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E0934FA-5BD0-456A-9748-0875190197E0}" xr6:coauthVersionLast="43" xr6:coauthVersionMax="43" xr10:uidLastSave="{00000000-0000-0000-0000-000000000000}"/>
  <bookViews>
    <workbookView xWindow="-120" yWindow="-120" windowWidth="21840" windowHeight="13140" xr2:uid="{90E1FF19-00E7-4034-8A22-51C2120A2885}"/>
  </bookViews>
  <sheets>
    <sheet name="源数据" sheetId="1" r:id="rId1"/>
    <sheet name="query" sheetId="2" state="hidden" r:id="rId2"/>
    <sheet name="day_data" sheetId="4" state="hidden" r:id="rId3"/>
    <sheet name="day_控件" sheetId="7" state="hidden" r:id="rId4"/>
    <sheet name="广告分析表" sheetId="5" r:id="rId5"/>
  </sheets>
  <definedNames>
    <definedName name="ExternalData_1" localSheetId="1" hidden="1">query!$A$1:$O$651</definedName>
    <definedName name="NativeTimeline_日期">#N/A</definedName>
    <definedName name="切片器_广告活动">#N/A</definedName>
  </definedNames>
  <calcPr calcId="18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62" i="7" l="1"/>
  <c r="L63" i="7"/>
  <c r="L64" i="7"/>
  <c r="S64" i="7" s="1"/>
  <c r="L65" i="7"/>
  <c r="L66" i="7"/>
  <c r="L67" i="7"/>
  <c r="L68" i="7"/>
  <c r="L69" i="7"/>
  <c r="L70" i="7"/>
  <c r="L71" i="7"/>
  <c r="L72" i="7"/>
  <c r="S72" i="7" s="1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N155" i="7" s="1"/>
  <c r="L156" i="7"/>
  <c r="L157" i="7"/>
  <c r="N157" i="7" s="1"/>
  <c r="L158" i="7"/>
  <c r="L159" i="7"/>
  <c r="N159" i="7" s="1"/>
  <c r="L160" i="7"/>
  <c r="L161" i="7"/>
  <c r="N161" i="7" s="1"/>
  <c r="L162" i="7"/>
  <c r="L163" i="7"/>
  <c r="N163" i="7" s="1"/>
  <c r="L164" i="7"/>
  <c r="L165" i="7"/>
  <c r="N165" i="7" s="1"/>
  <c r="L166" i="7"/>
  <c r="L167" i="7"/>
  <c r="N167" i="7" s="1"/>
  <c r="L168" i="7"/>
  <c r="L169" i="7"/>
  <c r="N169" i="7" s="1"/>
  <c r="L170" i="7"/>
  <c r="L171" i="7"/>
  <c r="N171" i="7" s="1"/>
  <c r="L172" i="7"/>
  <c r="L173" i="7"/>
  <c r="N173" i="7" s="1"/>
  <c r="L174" i="7"/>
  <c r="L175" i="7"/>
  <c r="N175" i="7" s="1"/>
  <c r="L176" i="7"/>
  <c r="L177" i="7"/>
  <c r="N177" i="7" s="1"/>
  <c r="L178" i="7"/>
  <c r="L179" i="7"/>
  <c r="N179" i="7" s="1"/>
  <c r="L180" i="7"/>
  <c r="L181" i="7"/>
  <c r="N181" i="7" s="1"/>
  <c r="L182" i="7"/>
  <c r="L183" i="7"/>
  <c r="N183" i="7" s="1"/>
  <c r="L184" i="7"/>
  <c r="L185" i="7"/>
  <c r="N185" i="7" s="1"/>
  <c r="L186" i="7"/>
  <c r="L187" i="7"/>
  <c r="N187" i="7" s="1"/>
  <c r="L188" i="7"/>
  <c r="L189" i="7"/>
  <c r="N189" i="7" s="1"/>
  <c r="L190" i="7"/>
  <c r="L191" i="7"/>
  <c r="N191" i="7" s="1"/>
  <c r="L192" i="7"/>
  <c r="L193" i="7"/>
  <c r="N193" i="7" s="1"/>
  <c r="L194" i="7"/>
  <c r="L195" i="7"/>
  <c r="N195" i="7" s="1"/>
  <c r="L196" i="7"/>
  <c r="L197" i="7"/>
  <c r="N197" i="7" s="1"/>
  <c r="L198" i="7"/>
  <c r="L199" i="7"/>
  <c r="N199" i="7" s="1"/>
  <c r="L200" i="7"/>
  <c r="A1" i="7"/>
  <c r="L2" i="7" s="1"/>
  <c r="L3" i="7" s="1"/>
  <c r="M200" i="7" l="1"/>
  <c r="P200" i="7"/>
  <c r="T200" i="7"/>
  <c r="X200" i="7"/>
  <c r="N200" i="7"/>
  <c r="R200" i="7"/>
  <c r="V200" i="7"/>
  <c r="M198" i="7"/>
  <c r="P198" i="7"/>
  <c r="T198" i="7"/>
  <c r="X198" i="7"/>
  <c r="N198" i="7"/>
  <c r="R198" i="7"/>
  <c r="V198" i="7"/>
  <c r="M196" i="7"/>
  <c r="P196" i="7"/>
  <c r="T196" i="7"/>
  <c r="X196" i="7"/>
  <c r="N196" i="7"/>
  <c r="R196" i="7"/>
  <c r="V196" i="7"/>
  <c r="M194" i="7"/>
  <c r="P194" i="7"/>
  <c r="T194" i="7"/>
  <c r="X194" i="7"/>
  <c r="N194" i="7"/>
  <c r="R194" i="7"/>
  <c r="V194" i="7"/>
  <c r="M192" i="7"/>
  <c r="P192" i="7"/>
  <c r="T192" i="7"/>
  <c r="X192" i="7"/>
  <c r="N192" i="7"/>
  <c r="R192" i="7"/>
  <c r="V192" i="7"/>
  <c r="M190" i="7"/>
  <c r="P190" i="7"/>
  <c r="T190" i="7"/>
  <c r="X190" i="7"/>
  <c r="N190" i="7"/>
  <c r="R190" i="7"/>
  <c r="V190" i="7"/>
  <c r="M188" i="7"/>
  <c r="P188" i="7"/>
  <c r="T188" i="7"/>
  <c r="X188" i="7"/>
  <c r="N188" i="7"/>
  <c r="R188" i="7"/>
  <c r="V188" i="7"/>
  <c r="M186" i="7"/>
  <c r="P186" i="7"/>
  <c r="T186" i="7"/>
  <c r="X186" i="7"/>
  <c r="N186" i="7"/>
  <c r="R186" i="7"/>
  <c r="V186" i="7"/>
  <c r="M184" i="7"/>
  <c r="P184" i="7"/>
  <c r="T184" i="7"/>
  <c r="X184" i="7"/>
  <c r="N184" i="7"/>
  <c r="R184" i="7"/>
  <c r="V184" i="7"/>
  <c r="M182" i="7"/>
  <c r="P182" i="7"/>
  <c r="T182" i="7"/>
  <c r="X182" i="7"/>
  <c r="N182" i="7"/>
  <c r="R182" i="7"/>
  <c r="V182" i="7"/>
  <c r="M180" i="7"/>
  <c r="P180" i="7"/>
  <c r="T180" i="7"/>
  <c r="X180" i="7"/>
  <c r="N180" i="7"/>
  <c r="R180" i="7"/>
  <c r="V180" i="7"/>
  <c r="M178" i="7"/>
  <c r="P178" i="7"/>
  <c r="T178" i="7"/>
  <c r="X178" i="7"/>
  <c r="N178" i="7"/>
  <c r="R178" i="7"/>
  <c r="V178" i="7"/>
  <c r="M176" i="7"/>
  <c r="P176" i="7"/>
  <c r="T176" i="7"/>
  <c r="X176" i="7"/>
  <c r="N176" i="7"/>
  <c r="R176" i="7"/>
  <c r="V176" i="7"/>
  <c r="M174" i="7"/>
  <c r="P174" i="7"/>
  <c r="T174" i="7"/>
  <c r="X174" i="7"/>
  <c r="N174" i="7"/>
  <c r="R174" i="7"/>
  <c r="V174" i="7"/>
  <c r="M172" i="7"/>
  <c r="P172" i="7"/>
  <c r="T172" i="7"/>
  <c r="X172" i="7"/>
  <c r="N172" i="7"/>
  <c r="R172" i="7"/>
  <c r="V172" i="7"/>
  <c r="M170" i="7"/>
  <c r="P170" i="7"/>
  <c r="T170" i="7"/>
  <c r="X170" i="7"/>
  <c r="N170" i="7"/>
  <c r="R170" i="7"/>
  <c r="V170" i="7"/>
  <c r="M168" i="7"/>
  <c r="P168" i="7"/>
  <c r="T168" i="7"/>
  <c r="X168" i="7"/>
  <c r="N168" i="7"/>
  <c r="R168" i="7"/>
  <c r="V168" i="7"/>
  <c r="M166" i="7"/>
  <c r="P166" i="7"/>
  <c r="T166" i="7"/>
  <c r="X166" i="7"/>
  <c r="N166" i="7"/>
  <c r="R166" i="7"/>
  <c r="V166" i="7"/>
  <c r="M164" i="7"/>
  <c r="P164" i="7"/>
  <c r="T164" i="7"/>
  <c r="X164" i="7"/>
  <c r="N164" i="7"/>
  <c r="R164" i="7"/>
  <c r="V164" i="7"/>
  <c r="M162" i="7"/>
  <c r="P162" i="7"/>
  <c r="T162" i="7"/>
  <c r="X162" i="7"/>
  <c r="N162" i="7"/>
  <c r="R162" i="7"/>
  <c r="V162" i="7"/>
  <c r="M160" i="7"/>
  <c r="P160" i="7"/>
  <c r="T160" i="7"/>
  <c r="X160" i="7"/>
  <c r="N160" i="7"/>
  <c r="R160" i="7"/>
  <c r="V160" i="7"/>
  <c r="M158" i="7"/>
  <c r="P158" i="7"/>
  <c r="T158" i="7"/>
  <c r="X158" i="7"/>
  <c r="N158" i="7"/>
  <c r="R158" i="7"/>
  <c r="V158" i="7"/>
  <c r="M156" i="7"/>
  <c r="N156" i="7"/>
  <c r="P156" i="7"/>
  <c r="T156" i="7"/>
  <c r="X156" i="7"/>
  <c r="R156" i="7"/>
  <c r="V156" i="7"/>
  <c r="M154" i="7"/>
  <c r="N154" i="7"/>
  <c r="R154" i="7"/>
  <c r="V154" i="7"/>
  <c r="P154" i="7"/>
  <c r="T154" i="7"/>
  <c r="X154" i="7"/>
  <c r="T152" i="7"/>
  <c r="P152" i="7"/>
  <c r="X152" i="7"/>
  <c r="N150" i="7"/>
  <c r="V150" i="7"/>
  <c r="R150" i="7"/>
  <c r="T148" i="7"/>
  <c r="P148" i="7"/>
  <c r="X148" i="7"/>
  <c r="N146" i="7"/>
  <c r="V146" i="7"/>
  <c r="R146" i="7"/>
  <c r="T144" i="7"/>
  <c r="P144" i="7"/>
  <c r="X144" i="7"/>
  <c r="N142" i="7"/>
  <c r="V142" i="7"/>
  <c r="R142" i="7"/>
  <c r="T140" i="7"/>
  <c r="P140" i="7"/>
  <c r="X140" i="7"/>
  <c r="N138" i="7"/>
  <c r="V138" i="7"/>
  <c r="R138" i="7"/>
  <c r="T136" i="7"/>
  <c r="P136" i="7"/>
  <c r="X136" i="7"/>
  <c r="N134" i="7"/>
  <c r="V134" i="7"/>
  <c r="R134" i="7"/>
  <c r="T132" i="7"/>
  <c r="P132" i="7"/>
  <c r="X132" i="7"/>
  <c r="N130" i="7"/>
  <c r="V130" i="7"/>
  <c r="R130" i="7"/>
  <c r="T128" i="7"/>
  <c r="P128" i="7"/>
  <c r="X128" i="7"/>
  <c r="N126" i="7"/>
  <c r="V126" i="7"/>
  <c r="R126" i="7"/>
  <c r="T124" i="7"/>
  <c r="P124" i="7"/>
  <c r="X124" i="7"/>
  <c r="N122" i="7"/>
  <c r="V122" i="7"/>
  <c r="R122" i="7"/>
  <c r="T120" i="7"/>
  <c r="P120" i="7"/>
  <c r="X120" i="7"/>
  <c r="N118" i="7"/>
  <c r="V118" i="7"/>
  <c r="R118" i="7"/>
  <c r="T116" i="7"/>
  <c r="P116" i="7"/>
  <c r="X116" i="7"/>
  <c r="N114" i="7"/>
  <c r="V114" i="7"/>
  <c r="R114" i="7"/>
  <c r="T112" i="7"/>
  <c r="P112" i="7"/>
  <c r="X112" i="7"/>
  <c r="N110" i="7"/>
  <c r="V110" i="7"/>
  <c r="R110" i="7"/>
  <c r="T108" i="7"/>
  <c r="P108" i="7"/>
  <c r="X108" i="7"/>
  <c r="N106" i="7"/>
  <c r="V106" i="7"/>
  <c r="R106" i="7"/>
  <c r="T104" i="7"/>
  <c r="P104" i="7"/>
  <c r="X104" i="7"/>
  <c r="N102" i="7"/>
  <c r="V102" i="7"/>
  <c r="R102" i="7"/>
  <c r="T100" i="7"/>
  <c r="P100" i="7"/>
  <c r="X100" i="7"/>
  <c r="N98" i="7"/>
  <c r="V98" i="7"/>
  <c r="R98" i="7"/>
  <c r="T96" i="7"/>
  <c r="P96" i="7"/>
  <c r="X96" i="7"/>
  <c r="N94" i="7"/>
  <c r="V94" i="7"/>
  <c r="R94" i="7"/>
  <c r="T92" i="7"/>
  <c r="P92" i="7"/>
  <c r="X92" i="7"/>
  <c r="N90" i="7"/>
  <c r="V90" i="7"/>
  <c r="R90" i="7"/>
  <c r="T88" i="7"/>
  <c r="P88" i="7"/>
  <c r="X88" i="7"/>
  <c r="N86" i="7"/>
  <c r="V86" i="7"/>
  <c r="R86" i="7"/>
  <c r="T84" i="7"/>
  <c r="P84" i="7"/>
  <c r="X84" i="7"/>
  <c r="N82" i="7"/>
  <c r="V82" i="7"/>
  <c r="R82" i="7"/>
  <c r="T80" i="7"/>
  <c r="P80" i="7"/>
  <c r="X80" i="7"/>
  <c r="N78" i="7"/>
  <c r="V78" i="7"/>
  <c r="R78" i="7"/>
  <c r="T76" i="7"/>
  <c r="P76" i="7"/>
  <c r="X76" i="7"/>
  <c r="Y74" i="7"/>
  <c r="Q74" i="7"/>
  <c r="M70" i="7"/>
  <c r="U70" i="7"/>
  <c r="O68" i="7"/>
  <c r="W68" i="7"/>
  <c r="Q66" i="7"/>
  <c r="Y66" i="7"/>
  <c r="U62" i="7"/>
  <c r="M62" i="7"/>
  <c r="W60" i="7"/>
  <c r="Q58" i="7"/>
  <c r="W52" i="7"/>
  <c r="Q50" i="7"/>
  <c r="W44" i="7"/>
  <c r="Q42" i="7"/>
  <c r="W36" i="7"/>
  <c r="N3" i="7"/>
  <c r="P3" i="7"/>
  <c r="R3" i="7"/>
  <c r="T3" i="7"/>
  <c r="V3" i="7"/>
  <c r="X3" i="7"/>
  <c r="O3" i="7"/>
  <c r="S3" i="7"/>
  <c r="W3" i="7"/>
  <c r="Q3" i="7"/>
  <c r="Y3" i="7"/>
  <c r="U3" i="7"/>
  <c r="N153" i="7"/>
  <c r="P153" i="7"/>
  <c r="R153" i="7"/>
  <c r="T153" i="7"/>
  <c r="V153" i="7"/>
  <c r="N151" i="7"/>
  <c r="P151" i="7"/>
  <c r="R151" i="7"/>
  <c r="T151" i="7"/>
  <c r="V151" i="7"/>
  <c r="X151" i="7"/>
  <c r="N149" i="7"/>
  <c r="P149" i="7"/>
  <c r="R149" i="7"/>
  <c r="T149" i="7"/>
  <c r="V149" i="7"/>
  <c r="X149" i="7"/>
  <c r="N147" i="7"/>
  <c r="P147" i="7"/>
  <c r="R147" i="7"/>
  <c r="T147" i="7"/>
  <c r="V147" i="7"/>
  <c r="X147" i="7"/>
  <c r="N145" i="7"/>
  <c r="P145" i="7"/>
  <c r="R145" i="7"/>
  <c r="T145" i="7"/>
  <c r="V145" i="7"/>
  <c r="X145" i="7"/>
  <c r="N143" i="7"/>
  <c r="P143" i="7"/>
  <c r="R143" i="7"/>
  <c r="T143" i="7"/>
  <c r="V143" i="7"/>
  <c r="X143" i="7"/>
  <c r="N141" i="7"/>
  <c r="P141" i="7"/>
  <c r="R141" i="7"/>
  <c r="T141" i="7"/>
  <c r="V141" i="7"/>
  <c r="X141" i="7"/>
  <c r="N139" i="7"/>
  <c r="P139" i="7"/>
  <c r="R139" i="7"/>
  <c r="T139" i="7"/>
  <c r="V139" i="7"/>
  <c r="X139" i="7"/>
  <c r="N137" i="7"/>
  <c r="P137" i="7"/>
  <c r="R137" i="7"/>
  <c r="T137" i="7"/>
  <c r="V137" i="7"/>
  <c r="X137" i="7"/>
  <c r="N135" i="7"/>
  <c r="P135" i="7"/>
  <c r="R135" i="7"/>
  <c r="T135" i="7"/>
  <c r="V135" i="7"/>
  <c r="X135" i="7"/>
  <c r="N133" i="7"/>
  <c r="P133" i="7"/>
  <c r="R133" i="7"/>
  <c r="T133" i="7"/>
  <c r="V133" i="7"/>
  <c r="X133" i="7"/>
  <c r="N131" i="7"/>
  <c r="P131" i="7"/>
  <c r="R131" i="7"/>
  <c r="T131" i="7"/>
  <c r="V131" i="7"/>
  <c r="X131" i="7"/>
  <c r="N129" i="7"/>
  <c r="P129" i="7"/>
  <c r="R129" i="7"/>
  <c r="T129" i="7"/>
  <c r="V129" i="7"/>
  <c r="X129" i="7"/>
  <c r="N127" i="7"/>
  <c r="P127" i="7"/>
  <c r="R127" i="7"/>
  <c r="T127" i="7"/>
  <c r="V127" i="7"/>
  <c r="X127" i="7"/>
  <c r="N125" i="7"/>
  <c r="P125" i="7"/>
  <c r="R125" i="7"/>
  <c r="T125" i="7"/>
  <c r="V125" i="7"/>
  <c r="X125" i="7"/>
  <c r="N123" i="7"/>
  <c r="P123" i="7"/>
  <c r="R123" i="7"/>
  <c r="T123" i="7"/>
  <c r="V123" i="7"/>
  <c r="X123" i="7"/>
  <c r="N121" i="7"/>
  <c r="P121" i="7"/>
  <c r="R121" i="7"/>
  <c r="T121" i="7"/>
  <c r="V121" i="7"/>
  <c r="X121" i="7"/>
  <c r="N119" i="7"/>
  <c r="P119" i="7"/>
  <c r="R119" i="7"/>
  <c r="T119" i="7"/>
  <c r="V119" i="7"/>
  <c r="X119" i="7"/>
  <c r="N117" i="7"/>
  <c r="P117" i="7"/>
  <c r="R117" i="7"/>
  <c r="T117" i="7"/>
  <c r="V117" i="7"/>
  <c r="X117" i="7"/>
  <c r="N115" i="7"/>
  <c r="P115" i="7"/>
  <c r="R115" i="7"/>
  <c r="T115" i="7"/>
  <c r="V115" i="7"/>
  <c r="X115" i="7"/>
  <c r="N113" i="7"/>
  <c r="P113" i="7"/>
  <c r="R113" i="7"/>
  <c r="T113" i="7"/>
  <c r="V113" i="7"/>
  <c r="X113" i="7"/>
  <c r="N111" i="7"/>
  <c r="P111" i="7"/>
  <c r="R111" i="7"/>
  <c r="T111" i="7"/>
  <c r="V111" i="7"/>
  <c r="X111" i="7"/>
  <c r="N109" i="7"/>
  <c r="P109" i="7"/>
  <c r="R109" i="7"/>
  <c r="T109" i="7"/>
  <c r="V109" i="7"/>
  <c r="X109" i="7"/>
  <c r="N107" i="7"/>
  <c r="P107" i="7"/>
  <c r="R107" i="7"/>
  <c r="T107" i="7"/>
  <c r="V107" i="7"/>
  <c r="X107" i="7"/>
  <c r="N105" i="7"/>
  <c r="P105" i="7"/>
  <c r="R105" i="7"/>
  <c r="T105" i="7"/>
  <c r="V105" i="7"/>
  <c r="X105" i="7"/>
  <c r="N103" i="7"/>
  <c r="P103" i="7"/>
  <c r="R103" i="7"/>
  <c r="T103" i="7"/>
  <c r="V103" i="7"/>
  <c r="X103" i="7"/>
  <c r="N101" i="7"/>
  <c r="P101" i="7"/>
  <c r="R101" i="7"/>
  <c r="T101" i="7"/>
  <c r="V101" i="7"/>
  <c r="X101" i="7"/>
  <c r="N99" i="7"/>
  <c r="P99" i="7"/>
  <c r="R99" i="7"/>
  <c r="T99" i="7"/>
  <c r="V99" i="7"/>
  <c r="X99" i="7"/>
  <c r="N97" i="7"/>
  <c r="P97" i="7"/>
  <c r="R97" i="7"/>
  <c r="T97" i="7"/>
  <c r="V97" i="7"/>
  <c r="X97" i="7"/>
  <c r="N95" i="7"/>
  <c r="P95" i="7"/>
  <c r="R95" i="7"/>
  <c r="T95" i="7"/>
  <c r="V95" i="7"/>
  <c r="X95" i="7"/>
  <c r="N93" i="7"/>
  <c r="P93" i="7"/>
  <c r="R93" i="7"/>
  <c r="T93" i="7"/>
  <c r="V93" i="7"/>
  <c r="X93" i="7"/>
  <c r="N91" i="7"/>
  <c r="P91" i="7"/>
  <c r="R91" i="7"/>
  <c r="T91" i="7"/>
  <c r="V91" i="7"/>
  <c r="X91" i="7"/>
  <c r="N89" i="7"/>
  <c r="P89" i="7"/>
  <c r="R89" i="7"/>
  <c r="T89" i="7"/>
  <c r="V89" i="7"/>
  <c r="X89" i="7"/>
  <c r="N87" i="7"/>
  <c r="P87" i="7"/>
  <c r="R87" i="7"/>
  <c r="T87" i="7"/>
  <c r="V87" i="7"/>
  <c r="X87" i="7"/>
  <c r="N85" i="7"/>
  <c r="P85" i="7"/>
  <c r="R85" i="7"/>
  <c r="T85" i="7"/>
  <c r="V85" i="7"/>
  <c r="X85" i="7"/>
  <c r="N83" i="7"/>
  <c r="P83" i="7"/>
  <c r="R83" i="7"/>
  <c r="T83" i="7"/>
  <c r="V83" i="7"/>
  <c r="X83" i="7"/>
  <c r="N81" i="7"/>
  <c r="P81" i="7"/>
  <c r="R81" i="7"/>
  <c r="T81" i="7"/>
  <c r="V81" i="7"/>
  <c r="X81" i="7"/>
  <c r="N79" i="7"/>
  <c r="P79" i="7"/>
  <c r="R79" i="7"/>
  <c r="T79" i="7"/>
  <c r="V79" i="7"/>
  <c r="X79" i="7"/>
  <c r="N77" i="7"/>
  <c r="P77" i="7"/>
  <c r="R77" i="7"/>
  <c r="T77" i="7"/>
  <c r="V77" i="7"/>
  <c r="X77" i="7"/>
  <c r="M75" i="7"/>
  <c r="N75" i="7"/>
  <c r="P75" i="7"/>
  <c r="R75" i="7"/>
  <c r="T75" i="7"/>
  <c r="V75" i="7"/>
  <c r="X75" i="7"/>
  <c r="M73" i="7"/>
  <c r="O73" i="7"/>
  <c r="Q73" i="7"/>
  <c r="S73" i="7"/>
  <c r="U73" i="7"/>
  <c r="W73" i="7"/>
  <c r="Y73" i="7"/>
  <c r="P73" i="7"/>
  <c r="T73" i="7"/>
  <c r="X73" i="7"/>
  <c r="M71" i="7"/>
  <c r="O71" i="7"/>
  <c r="Q71" i="7"/>
  <c r="S71" i="7"/>
  <c r="U71" i="7"/>
  <c r="W71" i="7"/>
  <c r="Y71" i="7"/>
  <c r="N71" i="7"/>
  <c r="R71" i="7"/>
  <c r="V71" i="7"/>
  <c r="M69" i="7"/>
  <c r="O69" i="7"/>
  <c r="Q69" i="7"/>
  <c r="S69" i="7"/>
  <c r="U69" i="7"/>
  <c r="W69" i="7"/>
  <c r="Y69" i="7"/>
  <c r="P69" i="7"/>
  <c r="T69" i="7"/>
  <c r="X69" i="7"/>
  <c r="M67" i="7"/>
  <c r="O67" i="7"/>
  <c r="Q67" i="7"/>
  <c r="S67" i="7"/>
  <c r="U67" i="7"/>
  <c r="W67" i="7"/>
  <c r="Y67" i="7"/>
  <c r="N67" i="7"/>
  <c r="R67" i="7"/>
  <c r="V67" i="7"/>
  <c r="M65" i="7"/>
  <c r="O65" i="7"/>
  <c r="Q65" i="7"/>
  <c r="S65" i="7"/>
  <c r="U65" i="7"/>
  <c r="W65" i="7"/>
  <c r="Y65" i="7"/>
  <c r="P65" i="7"/>
  <c r="T65" i="7"/>
  <c r="X65" i="7"/>
  <c r="M63" i="7"/>
  <c r="O63" i="7"/>
  <c r="Q63" i="7"/>
  <c r="S63" i="7"/>
  <c r="U63" i="7"/>
  <c r="W63" i="7"/>
  <c r="Y63" i="7"/>
  <c r="N63" i="7"/>
  <c r="R63" i="7"/>
  <c r="V63" i="7"/>
  <c r="Q61" i="7"/>
  <c r="S61" i="7"/>
  <c r="W61" i="7"/>
  <c r="T61" i="7"/>
  <c r="X61" i="7"/>
  <c r="Q59" i="7"/>
  <c r="S59" i="7"/>
  <c r="W59" i="7"/>
  <c r="V59" i="7"/>
  <c r="Q57" i="7"/>
  <c r="S57" i="7"/>
  <c r="W57" i="7"/>
  <c r="T57" i="7"/>
  <c r="X57" i="7"/>
  <c r="Q55" i="7"/>
  <c r="S55" i="7"/>
  <c r="W55" i="7"/>
  <c r="V55" i="7"/>
  <c r="Q53" i="7"/>
  <c r="S53" i="7"/>
  <c r="W53" i="7"/>
  <c r="T53" i="7"/>
  <c r="X53" i="7"/>
  <c r="Q51" i="7"/>
  <c r="S51" i="7"/>
  <c r="W51" i="7"/>
  <c r="V51" i="7"/>
  <c r="Q49" i="7"/>
  <c r="S49" i="7"/>
  <c r="W49" i="7"/>
  <c r="T49" i="7"/>
  <c r="X49" i="7"/>
  <c r="Q47" i="7"/>
  <c r="S47" i="7"/>
  <c r="W47" i="7"/>
  <c r="V47" i="7"/>
  <c r="Q45" i="7"/>
  <c r="S45" i="7"/>
  <c r="W45" i="7"/>
  <c r="T45" i="7"/>
  <c r="X45" i="7"/>
  <c r="Q43" i="7"/>
  <c r="S43" i="7"/>
  <c r="W43" i="7"/>
  <c r="V43" i="7"/>
  <c r="Q41" i="7"/>
  <c r="S41" i="7"/>
  <c r="W41" i="7"/>
  <c r="T41" i="7"/>
  <c r="X41" i="7"/>
  <c r="Q39" i="7"/>
  <c r="S39" i="7"/>
  <c r="W39" i="7"/>
  <c r="V39" i="7"/>
  <c r="Q37" i="7"/>
  <c r="S37" i="7"/>
  <c r="W37" i="7"/>
  <c r="T37" i="7"/>
  <c r="X37" i="7"/>
  <c r="Q35" i="7"/>
  <c r="S35" i="7"/>
  <c r="T35" i="7"/>
  <c r="W35" i="7"/>
  <c r="V35" i="7"/>
  <c r="Q33" i="7"/>
  <c r="S33" i="7"/>
  <c r="W33" i="7"/>
  <c r="V33" i="7"/>
  <c r="X33" i="7"/>
  <c r="Q31" i="7"/>
  <c r="S31" i="7"/>
  <c r="W31" i="7"/>
  <c r="T31" i="7"/>
  <c r="X31" i="7"/>
  <c r="Q29" i="7"/>
  <c r="S29" i="7"/>
  <c r="W29" i="7"/>
  <c r="V29" i="7"/>
  <c r="T29" i="7"/>
  <c r="Q27" i="7"/>
  <c r="S27" i="7"/>
  <c r="W27" i="7"/>
  <c r="T27" i="7"/>
  <c r="X27" i="7"/>
  <c r="V27" i="7"/>
  <c r="Q25" i="7"/>
  <c r="S25" i="7"/>
  <c r="W25" i="7"/>
  <c r="V25" i="7"/>
  <c r="X25" i="7"/>
  <c r="Q23" i="7"/>
  <c r="S23" i="7"/>
  <c r="W23" i="7"/>
  <c r="T23" i="7"/>
  <c r="X23" i="7"/>
  <c r="Q21" i="7"/>
  <c r="S21" i="7"/>
  <c r="W21" i="7"/>
  <c r="V21" i="7"/>
  <c r="T21" i="7"/>
  <c r="M2" i="7"/>
  <c r="O2" i="7"/>
  <c r="Q2" i="7"/>
  <c r="S2" i="7"/>
  <c r="U2" i="7"/>
  <c r="W2" i="7"/>
  <c r="Y2" i="7"/>
  <c r="Y199" i="7"/>
  <c r="W199" i="7"/>
  <c r="U199" i="7"/>
  <c r="S199" i="7"/>
  <c r="Q199" i="7"/>
  <c r="O199" i="7"/>
  <c r="M199" i="7"/>
  <c r="Y197" i="7"/>
  <c r="W197" i="7"/>
  <c r="U197" i="7"/>
  <c r="S197" i="7"/>
  <c r="Q197" i="7"/>
  <c r="O197" i="7"/>
  <c r="M197" i="7"/>
  <c r="Y195" i="7"/>
  <c r="W195" i="7"/>
  <c r="U195" i="7"/>
  <c r="S195" i="7"/>
  <c r="Q195" i="7"/>
  <c r="O195" i="7"/>
  <c r="M195" i="7"/>
  <c r="Y193" i="7"/>
  <c r="W193" i="7"/>
  <c r="U193" i="7"/>
  <c r="S193" i="7"/>
  <c r="Q193" i="7"/>
  <c r="O193" i="7"/>
  <c r="M193" i="7"/>
  <c r="Y191" i="7"/>
  <c r="W191" i="7"/>
  <c r="U191" i="7"/>
  <c r="S191" i="7"/>
  <c r="Q191" i="7"/>
  <c r="O191" i="7"/>
  <c r="M191" i="7"/>
  <c r="Y189" i="7"/>
  <c r="W189" i="7"/>
  <c r="U189" i="7"/>
  <c r="S189" i="7"/>
  <c r="Q189" i="7"/>
  <c r="O189" i="7"/>
  <c r="M189" i="7"/>
  <c r="Y187" i="7"/>
  <c r="W187" i="7"/>
  <c r="U187" i="7"/>
  <c r="S187" i="7"/>
  <c r="Q187" i="7"/>
  <c r="O187" i="7"/>
  <c r="M187" i="7"/>
  <c r="Y185" i="7"/>
  <c r="W185" i="7"/>
  <c r="U185" i="7"/>
  <c r="S185" i="7"/>
  <c r="Q185" i="7"/>
  <c r="O185" i="7"/>
  <c r="M185" i="7"/>
  <c r="Y183" i="7"/>
  <c r="W183" i="7"/>
  <c r="U183" i="7"/>
  <c r="S183" i="7"/>
  <c r="Q183" i="7"/>
  <c r="O183" i="7"/>
  <c r="M183" i="7"/>
  <c r="Y181" i="7"/>
  <c r="W181" i="7"/>
  <c r="U181" i="7"/>
  <c r="S181" i="7"/>
  <c r="Q181" i="7"/>
  <c r="O181" i="7"/>
  <c r="M181" i="7"/>
  <c r="Y179" i="7"/>
  <c r="W179" i="7"/>
  <c r="U179" i="7"/>
  <c r="S179" i="7"/>
  <c r="Q179" i="7"/>
  <c r="O179" i="7"/>
  <c r="M179" i="7"/>
  <c r="Y177" i="7"/>
  <c r="W177" i="7"/>
  <c r="U177" i="7"/>
  <c r="S177" i="7"/>
  <c r="Q177" i="7"/>
  <c r="O177" i="7"/>
  <c r="M177" i="7"/>
  <c r="Y175" i="7"/>
  <c r="W175" i="7"/>
  <c r="U175" i="7"/>
  <c r="S175" i="7"/>
  <c r="Q175" i="7"/>
  <c r="O175" i="7"/>
  <c r="M175" i="7"/>
  <c r="Y173" i="7"/>
  <c r="W173" i="7"/>
  <c r="U173" i="7"/>
  <c r="S173" i="7"/>
  <c r="Q173" i="7"/>
  <c r="O173" i="7"/>
  <c r="M173" i="7"/>
  <c r="Y171" i="7"/>
  <c r="W171" i="7"/>
  <c r="U171" i="7"/>
  <c r="S171" i="7"/>
  <c r="Q171" i="7"/>
  <c r="O171" i="7"/>
  <c r="M171" i="7"/>
  <c r="Y169" i="7"/>
  <c r="W169" i="7"/>
  <c r="U169" i="7"/>
  <c r="S169" i="7"/>
  <c r="Q169" i="7"/>
  <c r="O169" i="7"/>
  <c r="M169" i="7"/>
  <c r="Y167" i="7"/>
  <c r="W167" i="7"/>
  <c r="U167" i="7"/>
  <c r="S167" i="7"/>
  <c r="Q167" i="7"/>
  <c r="O167" i="7"/>
  <c r="M167" i="7"/>
  <c r="Y165" i="7"/>
  <c r="W165" i="7"/>
  <c r="U165" i="7"/>
  <c r="S165" i="7"/>
  <c r="Q165" i="7"/>
  <c r="O165" i="7"/>
  <c r="M165" i="7"/>
  <c r="Y163" i="7"/>
  <c r="W163" i="7"/>
  <c r="U163" i="7"/>
  <c r="S163" i="7"/>
  <c r="Q163" i="7"/>
  <c r="O163" i="7"/>
  <c r="M163" i="7"/>
  <c r="Y161" i="7"/>
  <c r="W161" i="7"/>
  <c r="U161" i="7"/>
  <c r="S161" i="7"/>
  <c r="Q161" i="7"/>
  <c r="O161" i="7"/>
  <c r="M161" i="7"/>
  <c r="Y159" i="7"/>
  <c r="W159" i="7"/>
  <c r="U159" i="7"/>
  <c r="S159" i="7"/>
  <c r="Q159" i="7"/>
  <c r="O159" i="7"/>
  <c r="M159" i="7"/>
  <c r="Y157" i="7"/>
  <c r="W157" i="7"/>
  <c r="U157" i="7"/>
  <c r="S157" i="7"/>
  <c r="Q157" i="7"/>
  <c r="O157" i="7"/>
  <c r="M157" i="7"/>
  <c r="Y155" i="7"/>
  <c r="W155" i="7"/>
  <c r="U155" i="7"/>
  <c r="S155" i="7"/>
  <c r="Q155" i="7"/>
  <c r="O155" i="7"/>
  <c r="M155" i="7"/>
  <c r="Y153" i="7"/>
  <c r="W153" i="7"/>
  <c r="S153" i="7"/>
  <c r="O153" i="7"/>
  <c r="Y151" i="7"/>
  <c r="U151" i="7"/>
  <c r="Q151" i="7"/>
  <c r="M151" i="7"/>
  <c r="W149" i="7"/>
  <c r="S149" i="7"/>
  <c r="O149" i="7"/>
  <c r="Y147" i="7"/>
  <c r="U147" i="7"/>
  <c r="Q147" i="7"/>
  <c r="M147" i="7"/>
  <c r="W145" i="7"/>
  <c r="S145" i="7"/>
  <c r="O145" i="7"/>
  <c r="Y143" i="7"/>
  <c r="U143" i="7"/>
  <c r="Q143" i="7"/>
  <c r="M143" i="7"/>
  <c r="W141" i="7"/>
  <c r="S141" i="7"/>
  <c r="O141" i="7"/>
  <c r="Y139" i="7"/>
  <c r="U139" i="7"/>
  <c r="Q139" i="7"/>
  <c r="M139" i="7"/>
  <c r="W137" i="7"/>
  <c r="S137" i="7"/>
  <c r="O137" i="7"/>
  <c r="Y135" i="7"/>
  <c r="U135" i="7"/>
  <c r="Q135" i="7"/>
  <c r="M135" i="7"/>
  <c r="W133" i="7"/>
  <c r="S133" i="7"/>
  <c r="O133" i="7"/>
  <c r="Y131" i="7"/>
  <c r="U131" i="7"/>
  <c r="Q131" i="7"/>
  <c r="M131" i="7"/>
  <c r="W129" i="7"/>
  <c r="S129" i="7"/>
  <c r="O129" i="7"/>
  <c r="Y127" i="7"/>
  <c r="U127" i="7"/>
  <c r="Q127" i="7"/>
  <c r="M127" i="7"/>
  <c r="W125" i="7"/>
  <c r="S125" i="7"/>
  <c r="O125" i="7"/>
  <c r="Y123" i="7"/>
  <c r="U123" i="7"/>
  <c r="Q123" i="7"/>
  <c r="M123" i="7"/>
  <c r="W121" i="7"/>
  <c r="S121" i="7"/>
  <c r="O121" i="7"/>
  <c r="Y119" i="7"/>
  <c r="U119" i="7"/>
  <c r="Q119" i="7"/>
  <c r="M119" i="7"/>
  <c r="W117" i="7"/>
  <c r="S117" i="7"/>
  <c r="O117" i="7"/>
  <c r="Y115" i="7"/>
  <c r="U115" i="7"/>
  <c r="Q115" i="7"/>
  <c r="M115" i="7"/>
  <c r="W113" i="7"/>
  <c r="S113" i="7"/>
  <c r="O113" i="7"/>
  <c r="Y111" i="7"/>
  <c r="U111" i="7"/>
  <c r="Q111" i="7"/>
  <c r="M111" i="7"/>
  <c r="W109" i="7"/>
  <c r="S109" i="7"/>
  <c r="O109" i="7"/>
  <c r="Y107" i="7"/>
  <c r="U107" i="7"/>
  <c r="Q107" i="7"/>
  <c r="M107" i="7"/>
  <c r="W105" i="7"/>
  <c r="S105" i="7"/>
  <c r="O105" i="7"/>
  <c r="Y103" i="7"/>
  <c r="U103" i="7"/>
  <c r="Q103" i="7"/>
  <c r="M103" i="7"/>
  <c r="W101" i="7"/>
  <c r="S101" i="7"/>
  <c r="O101" i="7"/>
  <c r="Y99" i="7"/>
  <c r="U99" i="7"/>
  <c r="Q99" i="7"/>
  <c r="M99" i="7"/>
  <c r="W97" i="7"/>
  <c r="S97" i="7"/>
  <c r="O97" i="7"/>
  <c r="Y95" i="7"/>
  <c r="U95" i="7"/>
  <c r="Q95" i="7"/>
  <c r="M95" i="7"/>
  <c r="W93" i="7"/>
  <c r="S93" i="7"/>
  <c r="O93" i="7"/>
  <c r="Y91" i="7"/>
  <c r="U91" i="7"/>
  <c r="Q91" i="7"/>
  <c r="M91" i="7"/>
  <c r="W89" i="7"/>
  <c r="S89" i="7"/>
  <c r="O89" i="7"/>
  <c r="Y87" i="7"/>
  <c r="U87" i="7"/>
  <c r="Q87" i="7"/>
  <c r="M87" i="7"/>
  <c r="W85" i="7"/>
  <c r="S85" i="7"/>
  <c r="O85" i="7"/>
  <c r="Y83" i="7"/>
  <c r="U83" i="7"/>
  <c r="Q83" i="7"/>
  <c r="M83" i="7"/>
  <c r="W81" i="7"/>
  <c r="S81" i="7"/>
  <c r="O81" i="7"/>
  <c r="Y79" i="7"/>
  <c r="U79" i="7"/>
  <c r="Q79" i="7"/>
  <c r="M79" i="7"/>
  <c r="W77" i="7"/>
  <c r="S77" i="7"/>
  <c r="O77" i="7"/>
  <c r="Y75" i="7"/>
  <c r="U75" i="7"/>
  <c r="Q75" i="7"/>
  <c r="V73" i="7"/>
  <c r="N73" i="7"/>
  <c r="X71" i="7"/>
  <c r="P71" i="7"/>
  <c r="R69" i="7"/>
  <c r="T67" i="7"/>
  <c r="V65" i="7"/>
  <c r="N65" i="7"/>
  <c r="X63" i="7"/>
  <c r="P63" i="7"/>
  <c r="T59" i="7"/>
  <c r="V57" i="7"/>
  <c r="X55" i="7"/>
  <c r="T51" i="7"/>
  <c r="V49" i="7"/>
  <c r="X47" i="7"/>
  <c r="T43" i="7"/>
  <c r="V41" i="7"/>
  <c r="X39" i="7"/>
  <c r="V31" i="7"/>
  <c r="T25" i="7"/>
  <c r="X21" i="7"/>
  <c r="M3" i="7"/>
  <c r="M152" i="7"/>
  <c r="O152" i="7"/>
  <c r="Q152" i="7"/>
  <c r="S152" i="7"/>
  <c r="U152" i="7"/>
  <c r="W152" i="7"/>
  <c r="Y152" i="7"/>
  <c r="M150" i="7"/>
  <c r="O150" i="7"/>
  <c r="Q150" i="7"/>
  <c r="S150" i="7"/>
  <c r="U150" i="7"/>
  <c r="W150" i="7"/>
  <c r="Y150" i="7"/>
  <c r="M148" i="7"/>
  <c r="O148" i="7"/>
  <c r="Q148" i="7"/>
  <c r="S148" i="7"/>
  <c r="U148" i="7"/>
  <c r="W148" i="7"/>
  <c r="Y148" i="7"/>
  <c r="M146" i="7"/>
  <c r="O146" i="7"/>
  <c r="Q146" i="7"/>
  <c r="S146" i="7"/>
  <c r="U146" i="7"/>
  <c r="W146" i="7"/>
  <c r="Y146" i="7"/>
  <c r="M144" i="7"/>
  <c r="O144" i="7"/>
  <c r="Q144" i="7"/>
  <c r="S144" i="7"/>
  <c r="U144" i="7"/>
  <c r="W144" i="7"/>
  <c r="Y144" i="7"/>
  <c r="M142" i="7"/>
  <c r="O142" i="7"/>
  <c r="Q142" i="7"/>
  <c r="S142" i="7"/>
  <c r="U142" i="7"/>
  <c r="W142" i="7"/>
  <c r="Y142" i="7"/>
  <c r="M140" i="7"/>
  <c r="O140" i="7"/>
  <c r="Q140" i="7"/>
  <c r="S140" i="7"/>
  <c r="U140" i="7"/>
  <c r="W140" i="7"/>
  <c r="Y140" i="7"/>
  <c r="M138" i="7"/>
  <c r="O138" i="7"/>
  <c r="Q138" i="7"/>
  <c r="S138" i="7"/>
  <c r="U138" i="7"/>
  <c r="W138" i="7"/>
  <c r="Y138" i="7"/>
  <c r="M136" i="7"/>
  <c r="O136" i="7"/>
  <c r="Q136" i="7"/>
  <c r="S136" i="7"/>
  <c r="U136" i="7"/>
  <c r="W136" i="7"/>
  <c r="Y136" i="7"/>
  <c r="M134" i="7"/>
  <c r="O134" i="7"/>
  <c r="Q134" i="7"/>
  <c r="S134" i="7"/>
  <c r="U134" i="7"/>
  <c r="W134" i="7"/>
  <c r="Y134" i="7"/>
  <c r="M132" i="7"/>
  <c r="O132" i="7"/>
  <c r="Q132" i="7"/>
  <c r="S132" i="7"/>
  <c r="U132" i="7"/>
  <c r="W132" i="7"/>
  <c r="Y132" i="7"/>
  <c r="M130" i="7"/>
  <c r="O130" i="7"/>
  <c r="Q130" i="7"/>
  <c r="S130" i="7"/>
  <c r="U130" i="7"/>
  <c r="W130" i="7"/>
  <c r="Y130" i="7"/>
  <c r="M128" i="7"/>
  <c r="O128" i="7"/>
  <c r="Q128" i="7"/>
  <c r="S128" i="7"/>
  <c r="U128" i="7"/>
  <c r="W128" i="7"/>
  <c r="Y128" i="7"/>
  <c r="M126" i="7"/>
  <c r="O126" i="7"/>
  <c r="Q126" i="7"/>
  <c r="S126" i="7"/>
  <c r="U126" i="7"/>
  <c r="W126" i="7"/>
  <c r="Y126" i="7"/>
  <c r="M124" i="7"/>
  <c r="O124" i="7"/>
  <c r="Q124" i="7"/>
  <c r="S124" i="7"/>
  <c r="U124" i="7"/>
  <c r="W124" i="7"/>
  <c r="Y124" i="7"/>
  <c r="M122" i="7"/>
  <c r="O122" i="7"/>
  <c r="Q122" i="7"/>
  <c r="S122" i="7"/>
  <c r="U122" i="7"/>
  <c r="W122" i="7"/>
  <c r="Y122" i="7"/>
  <c r="M120" i="7"/>
  <c r="O120" i="7"/>
  <c r="Q120" i="7"/>
  <c r="S120" i="7"/>
  <c r="U120" i="7"/>
  <c r="W120" i="7"/>
  <c r="Y120" i="7"/>
  <c r="M118" i="7"/>
  <c r="O118" i="7"/>
  <c r="Q118" i="7"/>
  <c r="S118" i="7"/>
  <c r="U118" i="7"/>
  <c r="W118" i="7"/>
  <c r="Y118" i="7"/>
  <c r="M116" i="7"/>
  <c r="O116" i="7"/>
  <c r="Q116" i="7"/>
  <c r="S116" i="7"/>
  <c r="U116" i="7"/>
  <c r="W116" i="7"/>
  <c r="Y116" i="7"/>
  <c r="M114" i="7"/>
  <c r="O114" i="7"/>
  <c r="Q114" i="7"/>
  <c r="S114" i="7"/>
  <c r="U114" i="7"/>
  <c r="W114" i="7"/>
  <c r="Y114" i="7"/>
  <c r="M112" i="7"/>
  <c r="O112" i="7"/>
  <c r="Q112" i="7"/>
  <c r="S112" i="7"/>
  <c r="U112" i="7"/>
  <c r="W112" i="7"/>
  <c r="Y112" i="7"/>
  <c r="M110" i="7"/>
  <c r="O110" i="7"/>
  <c r="Q110" i="7"/>
  <c r="S110" i="7"/>
  <c r="U110" i="7"/>
  <c r="W110" i="7"/>
  <c r="Y110" i="7"/>
  <c r="M108" i="7"/>
  <c r="O108" i="7"/>
  <c r="Q108" i="7"/>
  <c r="S108" i="7"/>
  <c r="U108" i="7"/>
  <c r="W108" i="7"/>
  <c r="Y108" i="7"/>
  <c r="M106" i="7"/>
  <c r="O106" i="7"/>
  <c r="Q106" i="7"/>
  <c r="S106" i="7"/>
  <c r="U106" i="7"/>
  <c r="W106" i="7"/>
  <c r="Y106" i="7"/>
  <c r="M104" i="7"/>
  <c r="O104" i="7"/>
  <c r="Q104" i="7"/>
  <c r="S104" i="7"/>
  <c r="U104" i="7"/>
  <c r="W104" i="7"/>
  <c r="Y104" i="7"/>
  <c r="M102" i="7"/>
  <c r="O102" i="7"/>
  <c r="Q102" i="7"/>
  <c r="S102" i="7"/>
  <c r="U102" i="7"/>
  <c r="W102" i="7"/>
  <c r="Y102" i="7"/>
  <c r="M100" i="7"/>
  <c r="O100" i="7"/>
  <c r="Q100" i="7"/>
  <c r="S100" i="7"/>
  <c r="U100" i="7"/>
  <c r="W100" i="7"/>
  <c r="Y100" i="7"/>
  <c r="M98" i="7"/>
  <c r="O98" i="7"/>
  <c r="Q98" i="7"/>
  <c r="S98" i="7"/>
  <c r="U98" i="7"/>
  <c r="W98" i="7"/>
  <c r="Y98" i="7"/>
  <c r="M96" i="7"/>
  <c r="O96" i="7"/>
  <c r="Q96" i="7"/>
  <c r="S96" i="7"/>
  <c r="U96" i="7"/>
  <c r="W96" i="7"/>
  <c r="Y96" i="7"/>
  <c r="M94" i="7"/>
  <c r="O94" i="7"/>
  <c r="Q94" i="7"/>
  <c r="S94" i="7"/>
  <c r="U94" i="7"/>
  <c r="W94" i="7"/>
  <c r="Y94" i="7"/>
  <c r="M92" i="7"/>
  <c r="O92" i="7"/>
  <c r="Q92" i="7"/>
  <c r="S92" i="7"/>
  <c r="U92" i="7"/>
  <c r="W92" i="7"/>
  <c r="Y92" i="7"/>
  <c r="M90" i="7"/>
  <c r="O90" i="7"/>
  <c r="Q90" i="7"/>
  <c r="S90" i="7"/>
  <c r="U90" i="7"/>
  <c r="W90" i="7"/>
  <c r="Y90" i="7"/>
  <c r="M88" i="7"/>
  <c r="O88" i="7"/>
  <c r="Q88" i="7"/>
  <c r="S88" i="7"/>
  <c r="U88" i="7"/>
  <c r="W88" i="7"/>
  <c r="Y88" i="7"/>
  <c r="M86" i="7"/>
  <c r="O86" i="7"/>
  <c r="Q86" i="7"/>
  <c r="S86" i="7"/>
  <c r="U86" i="7"/>
  <c r="W86" i="7"/>
  <c r="Y86" i="7"/>
  <c r="M84" i="7"/>
  <c r="O84" i="7"/>
  <c r="Q84" i="7"/>
  <c r="S84" i="7"/>
  <c r="U84" i="7"/>
  <c r="W84" i="7"/>
  <c r="Y84" i="7"/>
  <c r="M82" i="7"/>
  <c r="O82" i="7"/>
  <c r="Q82" i="7"/>
  <c r="S82" i="7"/>
  <c r="U82" i="7"/>
  <c r="W82" i="7"/>
  <c r="Y82" i="7"/>
  <c r="M80" i="7"/>
  <c r="O80" i="7"/>
  <c r="Q80" i="7"/>
  <c r="S80" i="7"/>
  <c r="U80" i="7"/>
  <c r="W80" i="7"/>
  <c r="Y80" i="7"/>
  <c r="M78" i="7"/>
  <c r="O78" i="7"/>
  <c r="Q78" i="7"/>
  <c r="S78" i="7"/>
  <c r="U78" i="7"/>
  <c r="W78" i="7"/>
  <c r="Y78" i="7"/>
  <c r="M76" i="7"/>
  <c r="O76" i="7"/>
  <c r="Q76" i="7"/>
  <c r="S76" i="7"/>
  <c r="U76" i="7"/>
  <c r="W76" i="7"/>
  <c r="Y76" i="7"/>
  <c r="N74" i="7"/>
  <c r="P74" i="7"/>
  <c r="R74" i="7"/>
  <c r="T74" i="7"/>
  <c r="V74" i="7"/>
  <c r="X74" i="7"/>
  <c r="O74" i="7"/>
  <c r="S74" i="7"/>
  <c r="W74" i="7"/>
  <c r="N72" i="7"/>
  <c r="P72" i="7"/>
  <c r="R72" i="7"/>
  <c r="T72" i="7"/>
  <c r="V72" i="7"/>
  <c r="X72" i="7"/>
  <c r="M72" i="7"/>
  <c r="Q72" i="7"/>
  <c r="U72" i="7"/>
  <c r="Y72" i="7"/>
  <c r="N70" i="7"/>
  <c r="P70" i="7"/>
  <c r="R70" i="7"/>
  <c r="T70" i="7"/>
  <c r="V70" i="7"/>
  <c r="X70" i="7"/>
  <c r="O70" i="7"/>
  <c r="S70" i="7"/>
  <c r="W70" i="7"/>
  <c r="N68" i="7"/>
  <c r="P68" i="7"/>
  <c r="R68" i="7"/>
  <c r="T68" i="7"/>
  <c r="V68" i="7"/>
  <c r="X68" i="7"/>
  <c r="M68" i="7"/>
  <c r="Q68" i="7"/>
  <c r="U68" i="7"/>
  <c r="Y68" i="7"/>
  <c r="N66" i="7"/>
  <c r="P66" i="7"/>
  <c r="R66" i="7"/>
  <c r="T66" i="7"/>
  <c r="V66" i="7"/>
  <c r="X66" i="7"/>
  <c r="O66" i="7"/>
  <c r="S66" i="7"/>
  <c r="W66" i="7"/>
  <c r="N64" i="7"/>
  <c r="P64" i="7"/>
  <c r="R64" i="7"/>
  <c r="T64" i="7"/>
  <c r="V64" i="7"/>
  <c r="X64" i="7"/>
  <c r="M64" i="7"/>
  <c r="Q64" i="7"/>
  <c r="U64" i="7"/>
  <c r="Y64" i="7"/>
  <c r="N62" i="7"/>
  <c r="P62" i="7"/>
  <c r="R62" i="7"/>
  <c r="T62" i="7"/>
  <c r="V62" i="7"/>
  <c r="X62" i="7"/>
  <c r="O62" i="7"/>
  <c r="S62" i="7"/>
  <c r="W62" i="7"/>
  <c r="T60" i="7"/>
  <c r="V60" i="7"/>
  <c r="X60" i="7"/>
  <c r="Q60" i="7"/>
  <c r="T58" i="7"/>
  <c r="V58" i="7"/>
  <c r="X58" i="7"/>
  <c r="S58" i="7"/>
  <c r="W58" i="7"/>
  <c r="T56" i="7"/>
  <c r="V56" i="7"/>
  <c r="X56" i="7"/>
  <c r="Q56" i="7"/>
  <c r="T54" i="7"/>
  <c r="V54" i="7"/>
  <c r="X54" i="7"/>
  <c r="S54" i="7"/>
  <c r="W54" i="7"/>
  <c r="T52" i="7"/>
  <c r="V52" i="7"/>
  <c r="X52" i="7"/>
  <c r="Q52" i="7"/>
  <c r="T50" i="7"/>
  <c r="V50" i="7"/>
  <c r="X50" i="7"/>
  <c r="S50" i="7"/>
  <c r="W50" i="7"/>
  <c r="T48" i="7"/>
  <c r="V48" i="7"/>
  <c r="X48" i="7"/>
  <c r="Q48" i="7"/>
  <c r="T46" i="7"/>
  <c r="V46" i="7"/>
  <c r="X46" i="7"/>
  <c r="S46" i="7"/>
  <c r="W46" i="7"/>
  <c r="T44" i="7"/>
  <c r="V44" i="7"/>
  <c r="X44" i="7"/>
  <c r="Q44" i="7"/>
  <c r="T42" i="7"/>
  <c r="V42" i="7"/>
  <c r="X42" i="7"/>
  <c r="S42" i="7"/>
  <c r="W42" i="7"/>
  <c r="T40" i="7"/>
  <c r="V40" i="7"/>
  <c r="X40" i="7"/>
  <c r="Q40" i="7"/>
  <c r="T38" i="7"/>
  <c r="V38" i="7"/>
  <c r="X38" i="7"/>
  <c r="S38" i="7"/>
  <c r="W38" i="7"/>
  <c r="T36" i="7"/>
  <c r="V36" i="7"/>
  <c r="X36" i="7"/>
  <c r="Q36" i="7"/>
  <c r="T34" i="7"/>
  <c r="V34" i="7"/>
  <c r="X34" i="7"/>
  <c r="Q34" i="7"/>
  <c r="S34" i="7"/>
  <c r="T32" i="7"/>
  <c r="V32" i="7"/>
  <c r="X32" i="7"/>
  <c r="S32" i="7"/>
  <c r="W32" i="7"/>
  <c r="T30" i="7"/>
  <c r="V30" i="7"/>
  <c r="X30" i="7"/>
  <c r="Q30" i="7"/>
  <c r="W30" i="7"/>
  <c r="T28" i="7"/>
  <c r="V28" i="7"/>
  <c r="X28" i="7"/>
  <c r="S28" i="7"/>
  <c r="W28" i="7"/>
  <c r="Q28" i="7"/>
  <c r="T26" i="7"/>
  <c r="V26" i="7"/>
  <c r="X26" i="7"/>
  <c r="Q26" i="7"/>
  <c r="S26" i="7"/>
  <c r="T24" i="7"/>
  <c r="V24" i="7"/>
  <c r="X24" i="7"/>
  <c r="S24" i="7"/>
  <c r="W24" i="7"/>
  <c r="T22" i="7"/>
  <c r="V22" i="7"/>
  <c r="X22" i="7"/>
  <c r="Q22" i="7"/>
  <c r="W22" i="7"/>
  <c r="N2" i="7"/>
  <c r="P2" i="7"/>
  <c r="R2" i="7"/>
  <c r="T2" i="7"/>
  <c r="V2" i="7"/>
  <c r="X2" i="7"/>
  <c r="Y200" i="7"/>
  <c r="W200" i="7"/>
  <c r="U200" i="7"/>
  <c r="S200" i="7"/>
  <c r="Q200" i="7"/>
  <c r="O200" i="7"/>
  <c r="X199" i="7"/>
  <c r="V199" i="7"/>
  <c r="T199" i="7"/>
  <c r="R199" i="7"/>
  <c r="P199" i="7"/>
  <c r="Y198" i="7"/>
  <c r="W198" i="7"/>
  <c r="U198" i="7"/>
  <c r="S198" i="7"/>
  <c r="Q198" i="7"/>
  <c r="O198" i="7"/>
  <c r="X197" i="7"/>
  <c r="V197" i="7"/>
  <c r="T197" i="7"/>
  <c r="R197" i="7"/>
  <c r="P197" i="7"/>
  <c r="Y196" i="7"/>
  <c r="W196" i="7"/>
  <c r="U196" i="7"/>
  <c r="S196" i="7"/>
  <c r="Q196" i="7"/>
  <c r="O196" i="7"/>
  <c r="X195" i="7"/>
  <c r="V195" i="7"/>
  <c r="T195" i="7"/>
  <c r="R195" i="7"/>
  <c r="P195" i="7"/>
  <c r="Y194" i="7"/>
  <c r="W194" i="7"/>
  <c r="U194" i="7"/>
  <c r="S194" i="7"/>
  <c r="Q194" i="7"/>
  <c r="O194" i="7"/>
  <c r="X193" i="7"/>
  <c r="V193" i="7"/>
  <c r="T193" i="7"/>
  <c r="R193" i="7"/>
  <c r="P193" i="7"/>
  <c r="Y192" i="7"/>
  <c r="W192" i="7"/>
  <c r="U192" i="7"/>
  <c r="S192" i="7"/>
  <c r="Q192" i="7"/>
  <c r="O192" i="7"/>
  <c r="X191" i="7"/>
  <c r="V191" i="7"/>
  <c r="T191" i="7"/>
  <c r="R191" i="7"/>
  <c r="P191" i="7"/>
  <c r="Y190" i="7"/>
  <c r="W190" i="7"/>
  <c r="U190" i="7"/>
  <c r="S190" i="7"/>
  <c r="Q190" i="7"/>
  <c r="O190" i="7"/>
  <c r="X189" i="7"/>
  <c r="V189" i="7"/>
  <c r="T189" i="7"/>
  <c r="R189" i="7"/>
  <c r="P189" i="7"/>
  <c r="Y188" i="7"/>
  <c r="W188" i="7"/>
  <c r="U188" i="7"/>
  <c r="S188" i="7"/>
  <c r="Q188" i="7"/>
  <c r="O188" i="7"/>
  <c r="X187" i="7"/>
  <c r="V187" i="7"/>
  <c r="T187" i="7"/>
  <c r="R187" i="7"/>
  <c r="P187" i="7"/>
  <c r="Y186" i="7"/>
  <c r="W186" i="7"/>
  <c r="U186" i="7"/>
  <c r="S186" i="7"/>
  <c r="Q186" i="7"/>
  <c r="O186" i="7"/>
  <c r="X185" i="7"/>
  <c r="V185" i="7"/>
  <c r="T185" i="7"/>
  <c r="R185" i="7"/>
  <c r="P185" i="7"/>
  <c r="Y184" i="7"/>
  <c r="W184" i="7"/>
  <c r="U184" i="7"/>
  <c r="S184" i="7"/>
  <c r="Q184" i="7"/>
  <c r="O184" i="7"/>
  <c r="X183" i="7"/>
  <c r="V183" i="7"/>
  <c r="T183" i="7"/>
  <c r="R183" i="7"/>
  <c r="P183" i="7"/>
  <c r="Y182" i="7"/>
  <c r="W182" i="7"/>
  <c r="U182" i="7"/>
  <c r="S182" i="7"/>
  <c r="Q182" i="7"/>
  <c r="O182" i="7"/>
  <c r="X181" i="7"/>
  <c r="V181" i="7"/>
  <c r="T181" i="7"/>
  <c r="R181" i="7"/>
  <c r="P181" i="7"/>
  <c r="Y180" i="7"/>
  <c r="W180" i="7"/>
  <c r="U180" i="7"/>
  <c r="S180" i="7"/>
  <c r="Q180" i="7"/>
  <c r="O180" i="7"/>
  <c r="X179" i="7"/>
  <c r="V179" i="7"/>
  <c r="T179" i="7"/>
  <c r="R179" i="7"/>
  <c r="P179" i="7"/>
  <c r="Y178" i="7"/>
  <c r="W178" i="7"/>
  <c r="U178" i="7"/>
  <c r="S178" i="7"/>
  <c r="Q178" i="7"/>
  <c r="O178" i="7"/>
  <c r="X177" i="7"/>
  <c r="V177" i="7"/>
  <c r="T177" i="7"/>
  <c r="R177" i="7"/>
  <c r="P177" i="7"/>
  <c r="Y176" i="7"/>
  <c r="W176" i="7"/>
  <c r="U176" i="7"/>
  <c r="S176" i="7"/>
  <c r="Q176" i="7"/>
  <c r="O176" i="7"/>
  <c r="X175" i="7"/>
  <c r="V175" i="7"/>
  <c r="T175" i="7"/>
  <c r="R175" i="7"/>
  <c r="P175" i="7"/>
  <c r="Y174" i="7"/>
  <c r="W174" i="7"/>
  <c r="U174" i="7"/>
  <c r="S174" i="7"/>
  <c r="Q174" i="7"/>
  <c r="O174" i="7"/>
  <c r="X173" i="7"/>
  <c r="V173" i="7"/>
  <c r="T173" i="7"/>
  <c r="R173" i="7"/>
  <c r="P173" i="7"/>
  <c r="Y172" i="7"/>
  <c r="W172" i="7"/>
  <c r="U172" i="7"/>
  <c r="S172" i="7"/>
  <c r="Q172" i="7"/>
  <c r="O172" i="7"/>
  <c r="X171" i="7"/>
  <c r="V171" i="7"/>
  <c r="T171" i="7"/>
  <c r="R171" i="7"/>
  <c r="P171" i="7"/>
  <c r="Y170" i="7"/>
  <c r="W170" i="7"/>
  <c r="U170" i="7"/>
  <c r="S170" i="7"/>
  <c r="Q170" i="7"/>
  <c r="O170" i="7"/>
  <c r="X169" i="7"/>
  <c r="V169" i="7"/>
  <c r="T169" i="7"/>
  <c r="R169" i="7"/>
  <c r="P169" i="7"/>
  <c r="Y168" i="7"/>
  <c r="W168" i="7"/>
  <c r="U168" i="7"/>
  <c r="S168" i="7"/>
  <c r="Q168" i="7"/>
  <c r="O168" i="7"/>
  <c r="X167" i="7"/>
  <c r="V167" i="7"/>
  <c r="T167" i="7"/>
  <c r="R167" i="7"/>
  <c r="P167" i="7"/>
  <c r="Y166" i="7"/>
  <c r="W166" i="7"/>
  <c r="U166" i="7"/>
  <c r="S166" i="7"/>
  <c r="Q166" i="7"/>
  <c r="O166" i="7"/>
  <c r="X165" i="7"/>
  <c r="V165" i="7"/>
  <c r="T165" i="7"/>
  <c r="R165" i="7"/>
  <c r="P165" i="7"/>
  <c r="Y164" i="7"/>
  <c r="W164" i="7"/>
  <c r="U164" i="7"/>
  <c r="S164" i="7"/>
  <c r="Q164" i="7"/>
  <c r="O164" i="7"/>
  <c r="X163" i="7"/>
  <c r="V163" i="7"/>
  <c r="T163" i="7"/>
  <c r="R163" i="7"/>
  <c r="P163" i="7"/>
  <c r="Y162" i="7"/>
  <c r="W162" i="7"/>
  <c r="U162" i="7"/>
  <c r="S162" i="7"/>
  <c r="Q162" i="7"/>
  <c r="O162" i="7"/>
  <c r="X161" i="7"/>
  <c r="V161" i="7"/>
  <c r="T161" i="7"/>
  <c r="R161" i="7"/>
  <c r="P161" i="7"/>
  <c r="Y160" i="7"/>
  <c r="W160" i="7"/>
  <c r="U160" i="7"/>
  <c r="S160" i="7"/>
  <c r="Q160" i="7"/>
  <c r="O160" i="7"/>
  <c r="X159" i="7"/>
  <c r="V159" i="7"/>
  <c r="T159" i="7"/>
  <c r="R159" i="7"/>
  <c r="P159" i="7"/>
  <c r="Y158" i="7"/>
  <c r="W158" i="7"/>
  <c r="U158" i="7"/>
  <c r="S158" i="7"/>
  <c r="Q158" i="7"/>
  <c r="O158" i="7"/>
  <c r="X157" i="7"/>
  <c r="V157" i="7"/>
  <c r="T157" i="7"/>
  <c r="R157" i="7"/>
  <c r="P157" i="7"/>
  <c r="Y156" i="7"/>
  <c r="W156" i="7"/>
  <c r="U156" i="7"/>
  <c r="S156" i="7"/>
  <c r="Q156" i="7"/>
  <c r="O156" i="7"/>
  <c r="X155" i="7"/>
  <c r="V155" i="7"/>
  <c r="T155" i="7"/>
  <c r="R155" i="7"/>
  <c r="P155" i="7"/>
  <c r="Y154" i="7"/>
  <c r="W154" i="7"/>
  <c r="U154" i="7"/>
  <c r="S154" i="7"/>
  <c r="Q154" i="7"/>
  <c r="O154" i="7"/>
  <c r="X153" i="7"/>
  <c r="U153" i="7"/>
  <c r="Q153" i="7"/>
  <c r="M153" i="7"/>
  <c r="V152" i="7"/>
  <c r="R152" i="7"/>
  <c r="N152" i="7"/>
  <c r="W151" i="7"/>
  <c r="S151" i="7"/>
  <c r="O151" i="7"/>
  <c r="X150" i="7"/>
  <c r="T150" i="7"/>
  <c r="P150" i="7"/>
  <c r="Y149" i="7"/>
  <c r="U149" i="7"/>
  <c r="Q149" i="7"/>
  <c r="M149" i="7"/>
  <c r="V148" i="7"/>
  <c r="R148" i="7"/>
  <c r="N148" i="7"/>
  <c r="W147" i="7"/>
  <c r="S147" i="7"/>
  <c r="O147" i="7"/>
  <c r="X146" i="7"/>
  <c r="T146" i="7"/>
  <c r="P146" i="7"/>
  <c r="Y145" i="7"/>
  <c r="U145" i="7"/>
  <c r="Q145" i="7"/>
  <c r="M145" i="7"/>
  <c r="V144" i="7"/>
  <c r="R144" i="7"/>
  <c r="N144" i="7"/>
  <c r="W143" i="7"/>
  <c r="S143" i="7"/>
  <c r="O143" i="7"/>
  <c r="X142" i="7"/>
  <c r="T142" i="7"/>
  <c r="P142" i="7"/>
  <c r="Y141" i="7"/>
  <c r="U141" i="7"/>
  <c r="Q141" i="7"/>
  <c r="M141" i="7"/>
  <c r="V140" i="7"/>
  <c r="R140" i="7"/>
  <c r="N140" i="7"/>
  <c r="W139" i="7"/>
  <c r="S139" i="7"/>
  <c r="O139" i="7"/>
  <c r="X138" i="7"/>
  <c r="T138" i="7"/>
  <c r="P138" i="7"/>
  <c r="Y137" i="7"/>
  <c r="U137" i="7"/>
  <c r="Q137" i="7"/>
  <c r="M137" i="7"/>
  <c r="V136" i="7"/>
  <c r="R136" i="7"/>
  <c r="N136" i="7"/>
  <c r="W135" i="7"/>
  <c r="S135" i="7"/>
  <c r="O135" i="7"/>
  <c r="X134" i="7"/>
  <c r="T134" i="7"/>
  <c r="P134" i="7"/>
  <c r="Y133" i="7"/>
  <c r="U133" i="7"/>
  <c r="Q133" i="7"/>
  <c r="M133" i="7"/>
  <c r="V132" i="7"/>
  <c r="R132" i="7"/>
  <c r="N132" i="7"/>
  <c r="W131" i="7"/>
  <c r="S131" i="7"/>
  <c r="O131" i="7"/>
  <c r="X130" i="7"/>
  <c r="T130" i="7"/>
  <c r="P130" i="7"/>
  <c r="Y129" i="7"/>
  <c r="U129" i="7"/>
  <c r="Q129" i="7"/>
  <c r="M129" i="7"/>
  <c r="V128" i="7"/>
  <c r="R128" i="7"/>
  <c r="N128" i="7"/>
  <c r="W127" i="7"/>
  <c r="S127" i="7"/>
  <c r="O127" i="7"/>
  <c r="X126" i="7"/>
  <c r="T126" i="7"/>
  <c r="P126" i="7"/>
  <c r="Y125" i="7"/>
  <c r="U125" i="7"/>
  <c r="Q125" i="7"/>
  <c r="M125" i="7"/>
  <c r="V124" i="7"/>
  <c r="R124" i="7"/>
  <c r="N124" i="7"/>
  <c r="W123" i="7"/>
  <c r="S123" i="7"/>
  <c r="O123" i="7"/>
  <c r="X122" i="7"/>
  <c r="T122" i="7"/>
  <c r="P122" i="7"/>
  <c r="Y121" i="7"/>
  <c r="U121" i="7"/>
  <c r="Q121" i="7"/>
  <c r="M121" i="7"/>
  <c r="V120" i="7"/>
  <c r="R120" i="7"/>
  <c r="N120" i="7"/>
  <c r="W119" i="7"/>
  <c r="S119" i="7"/>
  <c r="O119" i="7"/>
  <c r="X118" i="7"/>
  <c r="T118" i="7"/>
  <c r="P118" i="7"/>
  <c r="Y117" i="7"/>
  <c r="U117" i="7"/>
  <c r="Q117" i="7"/>
  <c r="M117" i="7"/>
  <c r="V116" i="7"/>
  <c r="R116" i="7"/>
  <c r="N116" i="7"/>
  <c r="W115" i="7"/>
  <c r="S115" i="7"/>
  <c r="O115" i="7"/>
  <c r="X114" i="7"/>
  <c r="T114" i="7"/>
  <c r="P114" i="7"/>
  <c r="Y113" i="7"/>
  <c r="U113" i="7"/>
  <c r="Q113" i="7"/>
  <c r="M113" i="7"/>
  <c r="V112" i="7"/>
  <c r="R112" i="7"/>
  <c r="N112" i="7"/>
  <c r="W111" i="7"/>
  <c r="S111" i="7"/>
  <c r="O111" i="7"/>
  <c r="X110" i="7"/>
  <c r="T110" i="7"/>
  <c r="P110" i="7"/>
  <c r="Y109" i="7"/>
  <c r="U109" i="7"/>
  <c r="Q109" i="7"/>
  <c r="M109" i="7"/>
  <c r="V108" i="7"/>
  <c r="R108" i="7"/>
  <c r="N108" i="7"/>
  <c r="W107" i="7"/>
  <c r="S107" i="7"/>
  <c r="O107" i="7"/>
  <c r="X106" i="7"/>
  <c r="T106" i="7"/>
  <c r="P106" i="7"/>
  <c r="Y105" i="7"/>
  <c r="U105" i="7"/>
  <c r="Q105" i="7"/>
  <c r="M105" i="7"/>
  <c r="V104" i="7"/>
  <c r="R104" i="7"/>
  <c r="N104" i="7"/>
  <c r="W103" i="7"/>
  <c r="S103" i="7"/>
  <c r="O103" i="7"/>
  <c r="X102" i="7"/>
  <c r="T102" i="7"/>
  <c r="P102" i="7"/>
  <c r="Y101" i="7"/>
  <c r="U101" i="7"/>
  <c r="Q101" i="7"/>
  <c r="M101" i="7"/>
  <c r="V100" i="7"/>
  <c r="R100" i="7"/>
  <c r="N100" i="7"/>
  <c r="W99" i="7"/>
  <c r="S99" i="7"/>
  <c r="O99" i="7"/>
  <c r="X98" i="7"/>
  <c r="T98" i="7"/>
  <c r="P98" i="7"/>
  <c r="Y97" i="7"/>
  <c r="U97" i="7"/>
  <c r="Q97" i="7"/>
  <c r="M97" i="7"/>
  <c r="V96" i="7"/>
  <c r="R96" i="7"/>
  <c r="N96" i="7"/>
  <c r="W95" i="7"/>
  <c r="S95" i="7"/>
  <c r="O95" i="7"/>
  <c r="X94" i="7"/>
  <c r="T94" i="7"/>
  <c r="P94" i="7"/>
  <c r="Y93" i="7"/>
  <c r="U93" i="7"/>
  <c r="Q93" i="7"/>
  <c r="M93" i="7"/>
  <c r="V92" i="7"/>
  <c r="R92" i="7"/>
  <c r="N92" i="7"/>
  <c r="W91" i="7"/>
  <c r="S91" i="7"/>
  <c r="O91" i="7"/>
  <c r="X90" i="7"/>
  <c r="T90" i="7"/>
  <c r="P90" i="7"/>
  <c r="Y89" i="7"/>
  <c r="U89" i="7"/>
  <c r="Q89" i="7"/>
  <c r="M89" i="7"/>
  <c r="V88" i="7"/>
  <c r="R88" i="7"/>
  <c r="N88" i="7"/>
  <c r="W87" i="7"/>
  <c r="S87" i="7"/>
  <c r="O87" i="7"/>
  <c r="X86" i="7"/>
  <c r="T86" i="7"/>
  <c r="P86" i="7"/>
  <c r="Y85" i="7"/>
  <c r="U85" i="7"/>
  <c r="Q85" i="7"/>
  <c r="M85" i="7"/>
  <c r="V84" i="7"/>
  <c r="R84" i="7"/>
  <c r="N84" i="7"/>
  <c r="W83" i="7"/>
  <c r="S83" i="7"/>
  <c r="O83" i="7"/>
  <c r="X82" i="7"/>
  <c r="T82" i="7"/>
  <c r="P82" i="7"/>
  <c r="Y81" i="7"/>
  <c r="U81" i="7"/>
  <c r="Q81" i="7"/>
  <c r="M81" i="7"/>
  <c r="V80" i="7"/>
  <c r="R80" i="7"/>
  <c r="N80" i="7"/>
  <c r="W79" i="7"/>
  <c r="S79" i="7"/>
  <c r="O79" i="7"/>
  <c r="X78" i="7"/>
  <c r="T78" i="7"/>
  <c r="P78" i="7"/>
  <c r="Y77" i="7"/>
  <c r="U77" i="7"/>
  <c r="Q77" i="7"/>
  <c r="M77" i="7"/>
  <c r="V76" i="7"/>
  <c r="R76" i="7"/>
  <c r="N76" i="7"/>
  <c r="W75" i="7"/>
  <c r="S75" i="7"/>
  <c r="O75" i="7"/>
  <c r="U74" i="7"/>
  <c r="M74" i="7"/>
  <c r="R73" i="7"/>
  <c r="W72" i="7"/>
  <c r="O72" i="7"/>
  <c r="T71" i="7"/>
  <c r="Y70" i="7"/>
  <c r="Q70" i="7"/>
  <c r="V69" i="7"/>
  <c r="N69" i="7"/>
  <c r="S68" i="7"/>
  <c r="X67" i="7"/>
  <c r="P67" i="7"/>
  <c r="U66" i="7"/>
  <c r="M66" i="7"/>
  <c r="R65" i="7"/>
  <c r="W64" i="7"/>
  <c r="O64" i="7"/>
  <c r="T63" i="7"/>
  <c r="Y62" i="7"/>
  <c r="Q62" i="7"/>
  <c r="V61" i="7"/>
  <c r="S60" i="7"/>
  <c r="X59" i="7"/>
  <c r="W56" i="7"/>
  <c r="T55" i="7"/>
  <c r="Q54" i="7"/>
  <c r="V53" i="7"/>
  <c r="S52" i="7"/>
  <c r="X51" i="7"/>
  <c r="W48" i="7"/>
  <c r="T47" i="7"/>
  <c r="Q46" i="7"/>
  <c r="V45" i="7"/>
  <c r="S44" i="7"/>
  <c r="X43" i="7"/>
  <c r="W40" i="7"/>
  <c r="T39" i="7"/>
  <c r="Q38" i="7"/>
  <c r="V37" i="7"/>
  <c r="S36" i="7"/>
  <c r="X35" i="7"/>
  <c r="W34" i="7"/>
  <c r="T33" i="7"/>
  <c r="Q32" i="7"/>
  <c r="X29" i="7"/>
  <c r="V23" i="7"/>
  <c r="S22" i="7"/>
  <c r="L4" i="7"/>
  <c r="M4" i="7" l="1"/>
  <c r="O4" i="7"/>
  <c r="Q4" i="7"/>
  <c r="S4" i="7"/>
  <c r="U4" i="7"/>
  <c r="W4" i="7"/>
  <c r="Y4" i="7"/>
  <c r="N4" i="7"/>
  <c r="R4" i="7"/>
  <c r="V4" i="7"/>
  <c r="T4" i="7"/>
  <c r="X4" i="7"/>
  <c r="P4" i="7"/>
  <c r="L5" i="7"/>
  <c r="L6" i="7" l="1"/>
  <c r="N5" i="7"/>
  <c r="P5" i="7"/>
  <c r="R5" i="7"/>
  <c r="T5" i="7"/>
  <c r="V5" i="7"/>
  <c r="X5" i="7"/>
  <c r="M5" i="7"/>
  <c r="Q5" i="7"/>
  <c r="U5" i="7"/>
  <c r="Y5" i="7"/>
  <c r="O5" i="7"/>
  <c r="W5" i="7"/>
  <c r="S5" i="7"/>
  <c r="L7" i="7"/>
  <c r="N7" i="7" l="1"/>
  <c r="P7" i="7"/>
  <c r="R7" i="7"/>
  <c r="T7" i="7"/>
  <c r="V7" i="7"/>
  <c r="X7" i="7"/>
  <c r="O7" i="7"/>
  <c r="S7" i="7"/>
  <c r="W7" i="7"/>
  <c r="M7" i="7"/>
  <c r="U7" i="7"/>
  <c r="Q7" i="7"/>
  <c r="Y7" i="7"/>
  <c r="M6" i="7"/>
  <c r="O6" i="7"/>
  <c r="Q6" i="7"/>
  <c r="S6" i="7"/>
  <c r="U6" i="7"/>
  <c r="W6" i="7"/>
  <c r="Y6" i="7"/>
  <c r="P6" i="7"/>
  <c r="T6" i="7"/>
  <c r="X6" i="7"/>
  <c r="R6" i="7"/>
  <c r="N6" i="7"/>
  <c r="V6" i="7"/>
  <c r="L8" i="7"/>
  <c r="M8" i="7" l="1"/>
  <c r="O8" i="7"/>
  <c r="Q8" i="7"/>
  <c r="S8" i="7"/>
  <c r="U8" i="7"/>
  <c r="W8" i="7"/>
  <c r="Y8" i="7"/>
  <c r="N8" i="7"/>
  <c r="R8" i="7"/>
  <c r="V8" i="7"/>
  <c r="P8" i="7"/>
  <c r="X8" i="7"/>
  <c r="T8" i="7"/>
  <c r="L9" i="7"/>
  <c r="L10" i="7" l="1"/>
  <c r="L11" i="7" s="1"/>
  <c r="N9" i="7"/>
  <c r="P9" i="7"/>
  <c r="R9" i="7"/>
  <c r="T9" i="7"/>
  <c r="V9" i="7"/>
  <c r="X9" i="7"/>
  <c r="M9" i="7"/>
  <c r="Q9" i="7"/>
  <c r="U9" i="7"/>
  <c r="Y9" i="7"/>
  <c r="S9" i="7"/>
  <c r="W9" i="7"/>
  <c r="O9" i="7"/>
  <c r="L12" i="7" l="1"/>
  <c r="P11" i="7"/>
  <c r="T11" i="7"/>
  <c r="X11" i="7"/>
  <c r="S11" i="7"/>
  <c r="Q11" i="7"/>
  <c r="M11" i="7"/>
  <c r="N11" i="7"/>
  <c r="R11" i="7"/>
  <c r="V11" i="7"/>
  <c r="O11" i="7"/>
  <c r="W11" i="7"/>
  <c r="Y11" i="7"/>
  <c r="U11" i="7"/>
  <c r="M10" i="7"/>
  <c r="O10" i="7"/>
  <c r="Q10" i="7"/>
  <c r="S10" i="7"/>
  <c r="U10" i="7"/>
  <c r="W10" i="7"/>
  <c r="Y10" i="7"/>
  <c r="P10" i="7"/>
  <c r="T10" i="7"/>
  <c r="X10" i="7"/>
  <c r="N10" i="7"/>
  <c r="V10" i="7"/>
  <c r="R10" i="7"/>
  <c r="X12" i="7" l="1"/>
  <c r="L13" i="7"/>
  <c r="M12" i="7"/>
  <c r="Q12" i="7"/>
  <c r="U12" i="7"/>
  <c r="Y12" i="7"/>
  <c r="R12" i="7"/>
  <c r="T12" i="7"/>
  <c r="O12" i="7"/>
  <c r="S12" i="7"/>
  <c r="W12" i="7"/>
  <c r="N12" i="7"/>
  <c r="V12" i="7"/>
  <c r="P12" i="7"/>
  <c r="L14" i="7" l="1"/>
  <c r="N13" i="7"/>
  <c r="R13" i="7"/>
  <c r="V13" i="7"/>
  <c r="M13" i="7"/>
  <c r="U13" i="7"/>
  <c r="O13" i="7"/>
  <c r="S13" i="7"/>
  <c r="P13" i="7"/>
  <c r="T13" i="7"/>
  <c r="X13" i="7"/>
  <c r="Q13" i="7"/>
  <c r="Y13" i="7"/>
  <c r="W13" i="7"/>
  <c r="L15" i="7" l="1"/>
  <c r="M14" i="7"/>
  <c r="Q14" i="7"/>
  <c r="U14" i="7"/>
  <c r="Y14" i="7"/>
  <c r="T14" i="7"/>
  <c r="R14" i="7"/>
  <c r="N14" i="7"/>
  <c r="O14" i="7"/>
  <c r="S14" i="7"/>
  <c r="W14" i="7"/>
  <c r="P14" i="7"/>
  <c r="X14" i="7"/>
  <c r="V14" i="7"/>
  <c r="L16" i="7" l="1"/>
  <c r="N15" i="7"/>
  <c r="R15" i="7"/>
  <c r="V15" i="7"/>
  <c r="O15" i="7"/>
  <c r="W15" i="7"/>
  <c r="U15" i="7"/>
  <c r="P15" i="7"/>
  <c r="T15" i="7"/>
  <c r="X15" i="7"/>
  <c r="S15" i="7"/>
  <c r="M15" i="7"/>
  <c r="Y15" i="7"/>
  <c r="Q15" i="7"/>
  <c r="Y16" i="7" l="1"/>
  <c r="L17" i="7"/>
  <c r="N16" i="7"/>
  <c r="R16" i="7"/>
  <c r="V16" i="7"/>
  <c r="O16" i="7"/>
  <c r="W16" i="7"/>
  <c r="M16" i="7"/>
  <c r="P16" i="7"/>
  <c r="T16" i="7"/>
  <c r="X16" i="7"/>
  <c r="S16" i="7"/>
  <c r="U16" i="7"/>
  <c r="Q16" i="7"/>
  <c r="L18" i="7" l="1"/>
  <c r="M17" i="7"/>
  <c r="Q17" i="7"/>
  <c r="U17" i="7"/>
  <c r="Y17" i="7"/>
  <c r="R17" i="7"/>
  <c r="P17" i="7"/>
  <c r="T17" i="7"/>
  <c r="O17" i="7"/>
  <c r="S17" i="7"/>
  <c r="W17" i="7"/>
  <c r="N17" i="7"/>
  <c r="V17" i="7"/>
  <c r="X17" i="7"/>
  <c r="O18" i="7" l="1"/>
  <c r="L19" i="7"/>
  <c r="N18" i="7"/>
  <c r="R18" i="7"/>
  <c r="V18" i="7"/>
  <c r="M18" i="7"/>
  <c r="U18" i="7"/>
  <c r="S18" i="7"/>
  <c r="P18" i="7"/>
  <c r="T18" i="7"/>
  <c r="X18" i="7"/>
  <c r="Q18" i="7"/>
  <c r="Y18" i="7"/>
  <c r="W18" i="7"/>
  <c r="L20" i="7" l="1"/>
  <c r="L21" i="7" s="1"/>
  <c r="M19" i="7"/>
  <c r="Q19" i="7"/>
  <c r="U19" i="7"/>
  <c r="Y19" i="7"/>
  <c r="T19" i="7"/>
  <c r="N19" i="7"/>
  <c r="R19" i="7"/>
  <c r="O19" i="7"/>
  <c r="S19" i="7"/>
  <c r="W19" i="7"/>
  <c r="P19" i="7"/>
  <c r="X19" i="7"/>
  <c r="V19" i="7"/>
  <c r="P21" i="7" l="1"/>
  <c r="R21" i="7"/>
  <c r="O21" i="7"/>
  <c r="U21" i="7"/>
  <c r="L22" i="7"/>
  <c r="N21" i="7"/>
  <c r="L23" i="7"/>
  <c r="R23" i="7" s="1"/>
  <c r="M21" i="7"/>
  <c r="Y21" i="7"/>
  <c r="U20" i="7"/>
  <c r="P20" i="7"/>
  <c r="T20" i="7"/>
  <c r="X20" i="7"/>
  <c r="S20" i="7"/>
  <c r="Q20" i="7"/>
  <c r="M20" i="7"/>
  <c r="N20" i="7"/>
  <c r="R20" i="7"/>
  <c r="V20" i="7"/>
  <c r="O20" i="7"/>
  <c r="W20" i="7"/>
  <c r="Y20" i="7"/>
  <c r="P22" i="7" l="1"/>
  <c r="R22" i="7"/>
  <c r="U23" i="7"/>
  <c r="P23" i="7"/>
  <c r="M22" i="7"/>
  <c r="U22" i="7"/>
  <c r="Y22" i="7"/>
  <c r="N23" i="7"/>
  <c r="O23" i="7"/>
  <c r="N22" i="7"/>
  <c r="O22" i="7"/>
  <c r="L24" i="7"/>
  <c r="R24" i="7" s="1"/>
  <c r="M23" i="7"/>
  <c r="Y23" i="7"/>
  <c r="U24" i="7" l="1"/>
  <c r="P24" i="7"/>
  <c r="N24" i="7"/>
  <c r="O24" i="7"/>
  <c r="Q24" i="7"/>
  <c r="L25" i="7"/>
  <c r="R25" i="7" s="1"/>
  <c r="M24" i="7"/>
  <c r="Y24" i="7"/>
  <c r="U25" i="7" l="1"/>
  <c r="P25" i="7"/>
  <c r="N25" i="7"/>
  <c r="O25" i="7"/>
  <c r="L26" i="7"/>
  <c r="R26" i="7" s="1"/>
  <c r="M25" i="7"/>
  <c r="Y25" i="7"/>
  <c r="U26" i="7" l="1"/>
  <c r="P26" i="7"/>
  <c r="N26" i="7"/>
  <c r="O26" i="7"/>
  <c r="W26" i="7"/>
  <c r="L27" i="7"/>
  <c r="R27" i="7" s="1"/>
  <c r="M26" i="7"/>
  <c r="Y26" i="7"/>
  <c r="U27" i="7" l="1"/>
  <c r="P27" i="7"/>
  <c r="N27" i="7"/>
  <c r="O27" i="7"/>
  <c r="L28" i="7"/>
  <c r="R28" i="7" s="1"/>
  <c r="M27" i="7"/>
  <c r="Y27" i="7"/>
  <c r="U28" i="7" l="1"/>
  <c r="P28" i="7"/>
  <c r="N28" i="7"/>
  <c r="O28" i="7"/>
  <c r="M28" i="7"/>
  <c r="L29" i="7"/>
  <c r="R29" i="7" s="1"/>
  <c r="Y28" i="7"/>
  <c r="U29" i="7" l="1"/>
  <c r="P29" i="7"/>
  <c r="N29" i="7"/>
  <c r="O29" i="7"/>
  <c r="L30" i="7"/>
  <c r="R30" i="7" s="1"/>
  <c r="M29" i="7"/>
  <c r="Y29" i="7"/>
  <c r="U30" i="7" l="1"/>
  <c r="P30" i="7"/>
  <c r="N30" i="7"/>
  <c r="O30" i="7"/>
  <c r="S30" i="7"/>
  <c r="L31" i="7"/>
  <c r="Y30" i="7"/>
  <c r="M30" i="7"/>
  <c r="P31" i="7" l="1"/>
  <c r="R31" i="7"/>
  <c r="O31" i="7"/>
  <c r="U31" i="7"/>
  <c r="L32" i="7"/>
  <c r="R32" i="7" s="1"/>
  <c r="N31" i="7"/>
  <c r="Y32" i="7"/>
  <c r="L33" i="7"/>
  <c r="R33" i="7" s="1"/>
  <c r="M32" i="7"/>
  <c r="M31" i="7"/>
  <c r="Y31" i="7"/>
  <c r="U33" i="7" l="1"/>
  <c r="P33" i="7"/>
  <c r="U32" i="7"/>
  <c r="P32" i="7"/>
  <c r="N32" i="7"/>
  <c r="O32" i="7"/>
  <c r="N33" i="7"/>
  <c r="O33" i="7"/>
  <c r="L34" i="7"/>
  <c r="M33" i="7"/>
  <c r="Y33" i="7"/>
  <c r="P34" i="7" l="1"/>
  <c r="R34" i="7"/>
  <c r="N34" i="7"/>
  <c r="U34" i="7"/>
  <c r="O34" i="7"/>
  <c r="L35" i="7"/>
  <c r="R35" i="7" s="1"/>
  <c r="Y34" i="7"/>
  <c r="M34" i="7"/>
  <c r="U35" i="7" l="1"/>
  <c r="P35" i="7"/>
  <c r="N35" i="7"/>
  <c r="O35" i="7"/>
  <c r="L36" i="7"/>
  <c r="R36" i="7" s="1"/>
  <c r="M35" i="7"/>
  <c r="Y35" i="7"/>
  <c r="U36" i="7" l="1"/>
  <c r="P36" i="7"/>
  <c r="N36" i="7"/>
  <c r="O36" i="7"/>
  <c r="L37" i="7"/>
  <c r="R37" i="7" s="1"/>
  <c r="Y36" i="7"/>
  <c r="M36" i="7"/>
  <c r="U37" i="7" l="1"/>
  <c r="P37" i="7"/>
  <c r="N37" i="7"/>
  <c r="O37" i="7"/>
  <c r="L38" i="7"/>
  <c r="R38" i="7" s="1"/>
  <c r="M37" i="7"/>
  <c r="Y37" i="7"/>
  <c r="U38" i="7" l="1"/>
  <c r="P38" i="7"/>
  <c r="N38" i="7"/>
  <c r="O38" i="7"/>
  <c r="L39" i="7"/>
  <c r="R39" i="7" s="1"/>
  <c r="Y38" i="7"/>
  <c r="M38" i="7"/>
  <c r="U39" i="7" l="1"/>
  <c r="P39" i="7"/>
  <c r="N39" i="7"/>
  <c r="O39" i="7"/>
  <c r="L40" i="7"/>
  <c r="R40" i="7" s="1"/>
  <c r="M39" i="7"/>
  <c r="Y39" i="7"/>
  <c r="U40" i="7" l="1"/>
  <c r="P40" i="7"/>
  <c r="N40" i="7"/>
  <c r="O40" i="7"/>
  <c r="S40" i="7"/>
  <c r="L41" i="7"/>
  <c r="M40" i="7"/>
  <c r="Y40" i="7"/>
  <c r="P41" i="7" l="1"/>
  <c r="R41" i="7"/>
  <c r="O41" i="7"/>
  <c r="U41" i="7"/>
  <c r="L42" i="7"/>
  <c r="R42" i="7" s="1"/>
  <c r="N41" i="7"/>
  <c r="L43" i="7"/>
  <c r="R43" i="7" s="1"/>
  <c r="M41" i="7"/>
  <c r="Y41" i="7"/>
  <c r="U43" i="7" l="1"/>
  <c r="P43" i="7"/>
  <c r="U42" i="7"/>
  <c r="P42" i="7"/>
  <c r="N43" i="7"/>
  <c r="O43" i="7"/>
  <c r="N42" i="7"/>
  <c r="O42" i="7"/>
  <c r="M42" i="7"/>
  <c r="Y42" i="7"/>
  <c r="L44" i="7"/>
  <c r="R44" i="7" s="1"/>
  <c r="M43" i="7"/>
  <c r="Y43" i="7"/>
  <c r="U44" i="7" l="1"/>
  <c r="P44" i="7"/>
  <c r="N44" i="7"/>
  <c r="O44" i="7"/>
  <c r="L45" i="7"/>
  <c r="R45" i="7" s="1"/>
  <c r="M44" i="7"/>
  <c r="Y44" i="7"/>
  <c r="U45" i="7" l="1"/>
  <c r="P45" i="7"/>
  <c r="N45" i="7"/>
  <c r="O45" i="7"/>
  <c r="L46" i="7"/>
  <c r="R46" i="7" s="1"/>
  <c r="M45" i="7"/>
  <c r="Y45" i="7"/>
  <c r="U46" i="7" l="1"/>
  <c r="P46" i="7"/>
  <c r="N46" i="7"/>
  <c r="O46" i="7"/>
  <c r="L47" i="7"/>
  <c r="R47" i="7" s="1"/>
  <c r="M46" i="7"/>
  <c r="Y46" i="7"/>
  <c r="U47" i="7" l="1"/>
  <c r="P47" i="7"/>
  <c r="N47" i="7"/>
  <c r="O47" i="7"/>
  <c r="L48" i="7"/>
  <c r="R48" i="7" s="1"/>
  <c r="M47" i="7"/>
  <c r="Y47" i="7"/>
  <c r="U48" i="7" l="1"/>
  <c r="P48" i="7"/>
  <c r="N48" i="7"/>
  <c r="O48" i="7"/>
  <c r="S48" i="7"/>
  <c r="L49" i="7"/>
  <c r="R49" i="7" s="1"/>
  <c r="Y48" i="7"/>
  <c r="M48" i="7"/>
  <c r="U49" i="7" l="1"/>
  <c r="P49" i="7"/>
  <c r="N49" i="7"/>
  <c r="O49" i="7"/>
  <c r="L50" i="7"/>
  <c r="R50" i="7" s="1"/>
  <c r="M49" i="7"/>
  <c r="Y49" i="7"/>
  <c r="U50" i="7" l="1"/>
  <c r="P50" i="7"/>
  <c r="N50" i="7"/>
  <c r="O50" i="7"/>
  <c r="L51" i="7"/>
  <c r="Y50" i="7"/>
  <c r="M50" i="7"/>
  <c r="P51" i="7" l="1"/>
  <c r="R51" i="7"/>
  <c r="O51" i="7"/>
  <c r="U51" i="7"/>
  <c r="L52" i="7"/>
  <c r="R52" i="7" s="1"/>
  <c r="N51" i="7"/>
  <c r="L53" i="7"/>
  <c r="R53" i="7" s="1"/>
  <c r="M51" i="7"/>
  <c r="Y51" i="7"/>
  <c r="U53" i="7" l="1"/>
  <c r="P53" i="7"/>
  <c r="U52" i="7"/>
  <c r="P52" i="7"/>
  <c r="N53" i="7"/>
  <c r="O53" i="7"/>
  <c r="N52" i="7"/>
  <c r="O52" i="7"/>
  <c r="M52" i="7"/>
  <c r="Y52" i="7"/>
  <c r="L54" i="7"/>
  <c r="R54" i="7" s="1"/>
  <c r="M53" i="7"/>
  <c r="Y53" i="7"/>
  <c r="U54" i="7" l="1"/>
  <c r="P54" i="7"/>
  <c r="N54" i="7"/>
  <c r="O54" i="7"/>
  <c r="L55" i="7"/>
  <c r="R55" i="7" s="1"/>
  <c r="M54" i="7"/>
  <c r="Y54" i="7"/>
  <c r="U55" i="7" l="1"/>
  <c r="P55" i="7"/>
  <c r="N55" i="7"/>
  <c r="O55" i="7"/>
  <c r="L56" i="7"/>
  <c r="R56" i="7" s="1"/>
  <c r="M55" i="7"/>
  <c r="Y55" i="7"/>
  <c r="U56" i="7" l="1"/>
  <c r="P56" i="7"/>
  <c r="N56" i="7"/>
  <c r="O56" i="7"/>
  <c r="S56" i="7"/>
  <c r="L57" i="7"/>
  <c r="R57" i="7" s="1"/>
  <c r="M56" i="7"/>
  <c r="Y56" i="7"/>
  <c r="U57" i="7" l="1"/>
  <c r="P57" i="7"/>
  <c r="N57" i="7"/>
  <c r="O57" i="7"/>
  <c r="L58" i="7"/>
  <c r="R58" i="7" s="1"/>
  <c r="M57" i="7"/>
  <c r="Y57" i="7"/>
  <c r="U58" i="7" l="1"/>
  <c r="P58" i="7"/>
  <c r="N58" i="7"/>
  <c r="O58" i="7"/>
  <c r="L59" i="7"/>
  <c r="R59" i="7" s="1"/>
  <c r="M58" i="7"/>
  <c r="Y58" i="7"/>
  <c r="U59" i="7" l="1"/>
  <c r="P59" i="7"/>
  <c r="N59" i="7"/>
  <c r="O59" i="7"/>
  <c r="L60" i="7"/>
  <c r="R60" i="7" s="1"/>
  <c r="M59" i="7"/>
  <c r="Y59" i="7"/>
  <c r="U60" i="7" l="1"/>
  <c r="P60" i="7"/>
  <c r="N60" i="7"/>
  <c r="O60" i="7"/>
  <c r="L61" i="7"/>
  <c r="Y60" i="7"/>
  <c r="M60" i="7"/>
  <c r="P61" i="7" l="1"/>
  <c r="R61" i="7"/>
  <c r="U61" i="7"/>
  <c r="O1" i="5"/>
  <c r="O3" i="5"/>
  <c r="N61" i="7"/>
  <c r="O61" i="7"/>
  <c r="M61" i="7"/>
  <c r="Y6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119EA-B769-461C-BED1-E22C8DBFA2AF}" keepAlive="1" name="查询 - 表1" description="与工作簿中“表1”查询的连接。" type="5" refreshedVersion="6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<sst xmlns="http://schemas.openxmlformats.org/spreadsheetml/2006/main" count="4611" uniqueCount="92">
  <si>
    <t>状态</t>
  </si>
  <si>
    <t>广告活动</t>
  </si>
  <si>
    <t>类型</t>
  </si>
  <si>
    <t>投放</t>
  </si>
  <si>
    <t>广告活动的竞价策略</t>
  </si>
  <si>
    <t>开始日期</t>
  </si>
  <si>
    <t>结束日期</t>
  </si>
  <si>
    <t>广告组合</t>
  </si>
  <si>
    <t>预算(CNY)</t>
  </si>
  <si>
    <t>曝光量</t>
  </si>
  <si>
    <t>点击次数</t>
  </si>
  <si>
    <t>点击率 (CTR)(%)</t>
  </si>
  <si>
    <t>花费(CNY)</t>
  </si>
  <si>
    <t>每次点击费用 (CPC)(CNY)</t>
  </si>
  <si>
    <t>订单</t>
  </si>
  <si>
    <t>销售额(CNY)</t>
  </si>
  <si>
    <t>广告投入产出比 (ACOS)(%)</t>
  </si>
  <si>
    <t>新买家订单数</t>
  </si>
  <si>
    <t>新买家订单比</t>
  </si>
  <si>
    <t>新买家销量</t>
  </si>
  <si>
    <t>新买家销量比</t>
  </si>
  <si>
    <t>ENABLED</t>
  </si>
  <si>
    <t>CAMPAIGN_STATUS_ENABLED</t>
  </si>
  <si>
    <t>SP</t>
  </si>
  <si>
    <t>MANUAL</t>
  </si>
  <si>
    <t>LEGACY</t>
  </si>
  <si>
    <t>AUTOMATIC</t>
  </si>
  <si>
    <t>1537hblueL-M-E</t>
  </si>
  <si>
    <t>15382lanbai-M-E</t>
  </si>
  <si>
    <t>Winter Products-Auto</t>
  </si>
  <si>
    <t>1772GREEN-M-B</t>
  </si>
  <si>
    <t>1818blackL-A</t>
  </si>
  <si>
    <t>品牌推广</t>
  </si>
  <si>
    <t>RUNNING</t>
  </si>
  <si>
    <t>SB</t>
  </si>
  <si>
    <t>列1</t>
  </si>
  <si>
    <t>状态2</t>
  </si>
  <si>
    <t>日期</t>
  </si>
  <si>
    <t>行标签</t>
  </si>
  <si>
    <t>总计</t>
  </si>
  <si>
    <t>求和项:预算(CNY)</t>
  </si>
  <si>
    <t>求和项:曝光量</t>
  </si>
  <si>
    <t>求和项:点击次数</t>
  </si>
  <si>
    <t>求和项:点击率 (CTR)(%)</t>
  </si>
  <si>
    <t>求和项:花费(CNY)</t>
  </si>
  <si>
    <t>求和项:每次点击费用 (CPC)(CNY)</t>
  </si>
  <si>
    <t>求和项:订单</t>
  </si>
  <si>
    <t>求和项:销售额(CNY)</t>
  </si>
  <si>
    <t>求和项:广告投入产出比 (ACOS)(%)</t>
  </si>
  <si>
    <t>求和项:新买家订单数</t>
  </si>
  <si>
    <t>求和项:新买家订单比</t>
  </si>
  <si>
    <t>求和项:新买家销量</t>
  </si>
  <si>
    <t>求和项:新买家销量比</t>
  </si>
  <si>
    <t>日期</t>
    <phoneticPr fontId="3" type="noConversion"/>
  </si>
  <si>
    <t>广告活动</t>
    <phoneticPr fontId="3" type="noConversion"/>
  </si>
  <si>
    <t>预算</t>
    <phoneticPr fontId="3" type="noConversion"/>
  </si>
  <si>
    <t>曝光量</t>
    <phoneticPr fontId="3" type="noConversion"/>
  </si>
  <si>
    <t>点击次数</t>
    <phoneticPr fontId="3" type="noConversion"/>
  </si>
  <si>
    <t>花费</t>
    <phoneticPr fontId="3" type="noConversion"/>
  </si>
  <si>
    <t>点击率</t>
    <phoneticPr fontId="3" type="noConversion"/>
  </si>
  <si>
    <t>cpc</t>
    <phoneticPr fontId="3" type="noConversion"/>
  </si>
  <si>
    <t>订单</t>
    <phoneticPr fontId="3" type="noConversion"/>
  </si>
  <si>
    <t>销售额</t>
    <phoneticPr fontId="3" type="noConversion"/>
  </si>
  <si>
    <t>ACOS</t>
    <phoneticPr fontId="3" type="noConversion"/>
  </si>
  <si>
    <t>新买家订单数</t>
    <phoneticPr fontId="3" type="noConversion"/>
  </si>
  <si>
    <t>新买家订单比</t>
    <phoneticPr fontId="3" type="noConversion"/>
  </si>
  <si>
    <t>新买家销量</t>
    <phoneticPr fontId="3" type="noConversion"/>
  </si>
  <si>
    <t>新买家销量比</t>
    <phoneticPr fontId="3" type="noConversion"/>
  </si>
  <si>
    <t>新买家销售比</t>
    <phoneticPr fontId="3" type="noConversion"/>
  </si>
  <si>
    <t>开始日期</t>
    <phoneticPr fontId="3" type="noConversion"/>
  </si>
  <si>
    <t>结束日期</t>
    <phoneticPr fontId="3" type="noConversion"/>
  </si>
  <si>
    <t>：</t>
    <phoneticPr fontId="3" type="noConversion"/>
  </si>
  <si>
    <t>A-M-B</t>
  </si>
  <si>
    <t>A-M-E</t>
  </si>
  <si>
    <t>Bc-M-B</t>
  </si>
  <si>
    <t>Bg-M-B</t>
  </si>
  <si>
    <t>Cb-M-E</t>
  </si>
  <si>
    <t>R-A</t>
  </si>
  <si>
    <t>56BLACK-M-B</t>
  </si>
  <si>
    <t>A-A</t>
  </si>
  <si>
    <t>87green-A</t>
  </si>
  <si>
    <t>37hblueR-M-B</t>
  </si>
  <si>
    <t>Bc-A</t>
  </si>
  <si>
    <t>hblueL-A</t>
  </si>
  <si>
    <t>38blue-A</t>
  </si>
  <si>
    <t>82lanbai-A</t>
  </si>
  <si>
    <t>56BLACK-A</t>
  </si>
  <si>
    <t>56-M-B</t>
  </si>
  <si>
    <t>72GREEN-A</t>
  </si>
  <si>
    <t>68BLUE-4-A</t>
  </si>
  <si>
    <t>EEN-5-M-B</t>
  </si>
  <si>
    <t>BBLUE-4-M-B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</si>
</sst>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color rgb="FF00000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4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>
      <alignment vertical="center"/>
    </xf>
    <xf numFmtId="14" fontId="1" fillId="2" borderId="1" xfId="0" applyNumberFormat="1" applyFont="1" applyFill="1" applyBorder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vertical="center"/>
    </xf>
    <xf numFmtId="14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3">
    <dxf>
      <numFmt numFmtId="0" formatCode="General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1987734759992057E-2"/>
          <c:y val="7.4073970842140319E-2"/>
          <c:w val="0.86486351706036746"/>
          <c:h val="0.744251603966170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day_控件!$L$200:$X$200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day_控件!$L$2:$L$200</c:f>
              <c:strCache>
                <c:ptCount val="21"/>
                <c:pt idx="0">
                  <c:v>2019/8/1</c:v>
                </c:pt>
                <c:pt idx="1">
                  <c:v>2019/8/2</c:v>
                </c:pt>
                <c:pt idx="2">
                  <c:v>2019/8/3</c:v>
                </c:pt>
                <c:pt idx="3">
                  <c:v>2019/8/4</c:v>
                </c:pt>
                <c:pt idx="4">
                  <c:v>2019/8/5</c:v>
                </c:pt>
                <c:pt idx="5">
                  <c:v>2019/8/6</c:v>
                </c:pt>
                <c:pt idx="6">
                  <c:v>2019/8/7</c:v>
                </c:pt>
                <c:pt idx="7">
                  <c:v>2019/8/8</c:v>
                </c:pt>
                <c:pt idx="8">
                  <c:v>2019/8/9</c:v>
                </c:pt>
                <c:pt idx="9">
                  <c:v>2019/8/10</c:v>
                </c:pt>
                <c:pt idx="10">
                  <c:v>2019/8/11</c:v>
                </c:pt>
                <c:pt idx="11">
                  <c:v>2019/8/12</c:v>
                </c:pt>
                <c:pt idx="12">
                  <c:v>2019/8/13</c:v>
                </c:pt>
                <c:pt idx="13">
                  <c:v>2019/8/14</c:v>
                </c:pt>
                <c:pt idx="14">
                  <c:v>2019/8/15</c:v>
                </c:pt>
                <c:pt idx="15">
                  <c:v>2019/8/16</c:v>
                </c:pt>
                <c:pt idx="16">
                  <c:v>2019/8/17</c:v>
                </c:pt>
                <c:pt idx="17">
                  <c:v>2019/8/18</c:v>
                </c:pt>
                <c:pt idx="18">
                  <c:v>2019/8/19</c:v>
                </c:pt>
                <c:pt idx="19">
                  <c:v>2019/8/20</c:v>
                </c:pt>
                <c:pt idx="20">
                  <c:v>2019/8/21</c:v>
                </c:pt>
              </c:strCache>
            </c:strRef>
          </c:cat>
          <c:val>
            <c:numRef>
              <c:f>day_控件!$Y$200</c:f>
              <c:numCache>
                <c:formatCode>General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9-4D81-93DD-06778C71D3C5}"/>
            </c:ext>
          </c:extLst>
        </c:ser>
        <c:ser>
          <c:idx val="1"/>
          <c:order val="1"/>
          <c:tx>
            <c:v>预算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day_控件!$M$2:$M$200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F9-4D81-93DD-06778C71D3C5}"/>
            </c:ext>
          </c:extLst>
        </c:ser>
        <c:ser>
          <c:idx val="2"/>
          <c:order val="2"/>
          <c:tx>
            <c:v>曝光量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day_控件!$N$2:$N$200</c:f>
              <c:numCache>
                <c:formatCode>General</c:formatCode>
                <c:ptCount val="199"/>
                <c:pt idx="0">
                  <c:v>24674</c:v>
                </c:pt>
                <c:pt idx="1">
                  <c:v>23177</c:v>
                </c:pt>
                <c:pt idx="2">
                  <c:v>27328</c:v>
                </c:pt>
                <c:pt idx="3">
                  <c:v>24342</c:v>
                </c:pt>
                <c:pt idx="4">
                  <c:v>28761</c:v>
                </c:pt>
                <c:pt idx="5">
                  <c:v>33999</c:v>
                </c:pt>
                <c:pt idx="6">
                  <c:v>30780</c:v>
                </c:pt>
                <c:pt idx="7">
                  <c:v>24374</c:v>
                </c:pt>
                <c:pt idx="8">
                  <c:v>20432</c:v>
                </c:pt>
                <c:pt idx="9">
                  <c:v>28183</c:v>
                </c:pt>
                <c:pt idx="10">
                  <c:v>27736</c:v>
                </c:pt>
                <c:pt idx="11">
                  <c:v>27941</c:v>
                </c:pt>
                <c:pt idx="12">
                  <c:v>33405</c:v>
                </c:pt>
                <c:pt idx="13">
                  <c:v>34661</c:v>
                </c:pt>
                <c:pt idx="14">
                  <c:v>33467</c:v>
                </c:pt>
                <c:pt idx="15">
                  <c:v>25793</c:v>
                </c:pt>
                <c:pt idx="16">
                  <c:v>36457</c:v>
                </c:pt>
                <c:pt idx="17">
                  <c:v>38221</c:v>
                </c:pt>
                <c:pt idx="18">
                  <c:v>50587</c:v>
                </c:pt>
                <c:pt idx="19">
                  <c:v>48163</c:v>
                </c:pt>
                <c:pt idx="20">
                  <c:v>43115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F9-4D81-93DD-06778C71D3C5}"/>
            </c:ext>
          </c:extLst>
        </c:ser>
        <c:ser>
          <c:idx val="3"/>
          <c:order val="3"/>
          <c:tx>
            <c:v>点击量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day_控件!$O$2:$O$200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F9-4D81-93DD-06778C71D3C5}"/>
            </c:ext>
          </c:extLst>
        </c:ser>
        <c:ser>
          <c:idx val="4"/>
          <c:order val="4"/>
          <c:tx>
            <c:v>花费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day_控件!$P$2:$P$200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F9-4D81-93DD-06778C71D3C5}"/>
            </c:ext>
          </c:extLst>
        </c:ser>
        <c:ser>
          <c:idx val="6"/>
          <c:order val="6"/>
          <c:tx>
            <c:v>cpc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day_控件!$R$2:$R$200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F9-4D81-93DD-06778C71D3C5}"/>
            </c:ext>
          </c:extLst>
        </c:ser>
        <c:ser>
          <c:idx val="7"/>
          <c:order val="7"/>
          <c:tx>
            <c:v>订单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day_控件!$S$2:$S$200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F9-4D81-93DD-06778C71D3C5}"/>
            </c:ext>
          </c:extLst>
        </c:ser>
        <c:ser>
          <c:idx val="8"/>
          <c:order val="8"/>
          <c:tx>
            <c:v>销售额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day_控件!$T$2:$T$200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F9-4D81-93DD-06778C71D3C5}"/>
            </c:ext>
          </c:extLst>
        </c:ser>
        <c:ser>
          <c:idx val="9"/>
          <c:order val="9"/>
          <c:tx>
            <c:v>ACOS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day_控件!$U$2:$U$200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F9-4D81-93DD-06778C71D3C5}"/>
            </c:ext>
          </c:extLst>
        </c:ser>
        <c:ser>
          <c:idx val="10"/>
          <c:order val="10"/>
          <c:tx>
            <c:v>新买家订单数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day_控件!$V$2:$V$200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F9-4D81-93DD-06778C71D3C5}"/>
            </c:ext>
          </c:extLst>
        </c:ser>
        <c:ser>
          <c:idx val="12"/>
          <c:order val="12"/>
          <c:tx>
            <c:v>新买家销量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day_控件!$X$2:$X$200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F9-4D81-93DD-06778C71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95"/>
        <c:axId val="1191198464"/>
        <c:axId val="1191198792"/>
      </c:barChart>
      <c:lineChart>
        <c:grouping val="standard"/>
        <c:varyColors val="0"/>
        <c:ser>
          <c:idx val="5"/>
          <c:order val="5"/>
          <c:tx>
            <c:v>点击率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day_控件!$Q$2:$Q$200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F9-4D81-93DD-06778C71D3C5}"/>
            </c:ext>
          </c:extLst>
        </c:ser>
        <c:ser>
          <c:idx val="11"/>
          <c:order val="11"/>
          <c:tx>
            <c:v>新买家订单比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day_控件!$W$2:$W$200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F9-4D81-93DD-06778C71D3C5}"/>
            </c:ext>
          </c:extLst>
        </c:ser>
        <c:ser>
          <c:idx val="13"/>
          <c:order val="13"/>
          <c:tx>
            <c:v>新买家销量比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day_控件!$Y$2:$Y$200</c:f>
              <c:numCache>
                <c:formatCode>General</c:formatCode>
                <c:ptCount val="1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F9-4D81-93DD-06778C71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198464"/>
        <c:axId val="1191198792"/>
      </c:lineChart>
      <c:dateAx>
        <c:axId val="1191198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1198792"/>
        <c:crosses val="autoZero"/>
        <c:auto val="1"/>
        <c:lblOffset val="100"/>
        <c:baseTimeUnit val="days"/>
      </c:dateAx>
      <c:valAx>
        <c:axId val="1191198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119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4472C4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day_控件!$B$1" horiz="1" max="100" page="10" val="0"/>
</file>

<file path=xl/ctrlProps/ctrlProp2.xml><?xml version="1.0" encoding="utf-8"?>
<formControlPr xmlns="http://schemas.microsoft.com/office/spreadsheetml/2009/9/main" objectType="Scroll" dx="22" fmlaLink="day_控件!$C$1" horiz="1" max="100" page="10" val="21"/>
</file>

<file path=xl/ctrlProps/ctrlProp3.xml><?xml version="1.0" encoding="utf-8"?>
<formControlPr xmlns="http://schemas.microsoft.com/office/spreadsheetml/2009/9/main" objectType="CheckBox" fmlaLink="day_控件!$F$3" lockText="1" noThreeD="1"/>
</file>

<file path=xl/ctrlProps/ctrlProp4.xml><?xml version="1.0" encoding="utf-8"?>
<formControlPr xmlns="http://schemas.microsoft.com/office/spreadsheetml/2009/9/main" objectType="CheckBox" checked="Checked" fmlaLink="day_控件!$F$4" lockText="1" noThreeD="1"/>
</file>

<file path=xl/ctrlProps/ctrlProp5.xml><?xml version="1.0" encoding="utf-8"?>
<formControlPr xmlns="http://schemas.microsoft.com/office/spreadsheetml/2009/9/main" objectType="CheckBox" fmlaLink="day_控件!$F$5" lockText="1" noThreeD="1"/>
</file>

<file path=xl/ctrlProps/ctrlProp6.xml><?xml version="1.0" encoding="utf-8"?>
<formControlPr xmlns="http://schemas.microsoft.com/office/spreadsheetml/2009/9/main" objectType="CheckBox" fmlaLink="day_控件!$F$6" lockText="1" noThreeD="1"/>
</file>

<file path=xl/ctrlProps/ctrlProp7.xml><?xml version="1.0" encoding="utf-8"?>
<formControlPr xmlns="http://schemas.microsoft.com/office/spreadsheetml/2009/9/main" objectType="CheckBox" fmlaLink="day_控件!$F$7" lockText="1" noThreeD="1"/>
</file>

<file path=xl/ctrlProps/ctrlProp8.xml><?xml version="1.0" encoding="utf-8"?>
<formControlPr xmlns="http://schemas.microsoft.com/office/spreadsheetml/2009/9/main" objectType="CheckBox" fmlaLink="day_控件!$F$8" lockText="1" noThreeD="1"/>
</file>

<file path=xl/ctrlProps/ctrlProp9.xml><?xml version="1.0" encoding="utf-8"?>
<formControlPr xmlns="http://schemas.microsoft.com/office/spreadsheetml/2009/9/main" objectType="CheckBox" fmlaLink="day_控件!$F$9" lockText="1" noThreeD="1"/>
</file>

<file path=xl/ctrlProps/ctrlProp10.xml><?xml version="1.0" encoding="utf-8"?>
<formControlPr xmlns="http://schemas.microsoft.com/office/spreadsheetml/2009/9/main" objectType="CheckBox" fmlaLink="day_控件!$F$10" lockText="1" noThreeD="1"/>
</file>

<file path=xl/ctrlProps/ctrlProp11.xml><?xml version="1.0" encoding="utf-8"?>
<formControlPr xmlns="http://schemas.microsoft.com/office/spreadsheetml/2009/9/main" objectType="CheckBox" fmlaLink="day_控件!$F$11" lockText="1" noThreeD="1"/>
</file>

<file path=xl/ctrlProps/ctrlProp12.xml><?xml version="1.0" encoding="utf-8"?>
<formControlPr xmlns="http://schemas.microsoft.com/office/spreadsheetml/2009/9/main" objectType="CheckBox" fmlaLink="day_控件!$F$12" lockText="1" noThreeD="1"/>
</file>

<file path=xl/ctrlProps/ctrlProp13.xml><?xml version="1.0" encoding="utf-8"?>
<formControlPr xmlns="http://schemas.microsoft.com/office/spreadsheetml/2009/9/main" objectType="CheckBox" fmlaLink="day_控件!$F$13" lockText="1" noThreeD="1"/>
</file>

<file path=xl/ctrlProps/ctrlProp14.xml><?xml version="1.0" encoding="utf-8"?>
<formControlPr xmlns="http://schemas.microsoft.com/office/spreadsheetml/2009/9/main" objectType="CheckBox" fmlaLink="day_控件!$F$14" lockText="1" noThreeD="1"/>
</file>

<file path=xl/ctrlProps/ctrlProp15.xml><?xml version="1.0" encoding="utf-8"?>
<formControlPr xmlns="http://schemas.microsoft.com/office/spreadsheetml/2009/9/main" objectType="CheckBox" fmlaLink="day_控件!$F$1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314325</xdr:colOff>
      <xdr:row>0</xdr:row>
      <xdr:rowOff>95249</xdr:rowOff>
    </xdr:from>
    <xdr:to>
      <xdr:col>19</xdr:col>
      <xdr:colOff>85725</xdr:colOff>
      <xdr:row>28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广告活动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广告活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8050" y="95249"/>
              <a:ext cx="1828800" cy="519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485775</xdr:colOff>
          <xdr:row>0</xdr:row>
          <xdr:rowOff>9525</xdr:rowOff>
        </xdr:from>
        <xdr:to>
          <xdr:col>11</xdr:col>
          <xdr:colOff>695325</xdr:colOff>
          <xdr:row>0</xdr:row>
          <xdr:rowOff>266700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485775</xdr:colOff>
          <xdr:row>1</xdr:row>
          <xdr:rowOff>38100</xdr:rowOff>
        </xdr:from>
        <xdr:to>
          <xdr:col>11</xdr:col>
          <xdr:colOff>685800</xdr:colOff>
          <xdr:row>2</xdr:row>
          <xdr:rowOff>133350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590550</xdr:colOff>
      <xdr:row>7</xdr:row>
      <xdr:rowOff>133350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6" name="日期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日期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3375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日程表: 适用于 Excel 2013 或更高版本。请勿移动或调整大小。</a:t>
              </a:r>
            </a:p>
          </xdr:txBody>
        </xdr:sp>
      </mc:Fallback>
    </mc:AlternateContent>
    <xdr:clientData/>
  </xdr:twoCellAnchor>
  <xdr:twoCellAnchor>
    <xdr:from>
      <xdr:col>3</xdr:col>
      <xdr:colOff>47625</xdr:colOff>
      <xdr:row>10</xdr:row>
      <xdr:rowOff>142874</xdr:rowOff>
    </xdr:from>
    <xdr:to>
      <xdr:col>15</xdr:col>
      <xdr:colOff>657225</xdr:colOff>
      <xdr:row>31</xdr:row>
      <xdr:rowOff>152400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352425</xdr:colOff>
          <xdr:row>9</xdr:row>
          <xdr:rowOff>171450</xdr:rowOff>
        </xdr:from>
        <xdr:to>
          <xdr:col>2</xdr:col>
          <xdr:colOff>238125</xdr:colOff>
          <xdr:row>11</xdr:row>
          <xdr:rowOff>57150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预算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11</xdr:row>
          <xdr:rowOff>161925</xdr:rowOff>
        </xdr:from>
        <xdr:to>
          <xdr:col>2</xdr:col>
          <xdr:colOff>409575</xdr:colOff>
          <xdr:row>13</xdr:row>
          <xdr:rowOff>114300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曝光量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13</xdr:row>
          <xdr:rowOff>171450</xdr:rowOff>
        </xdr:from>
        <xdr:to>
          <xdr:col>2</xdr:col>
          <xdr:colOff>438150</xdr:colOff>
          <xdr:row>15</xdr:row>
          <xdr:rowOff>57150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点击次数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15</xdr:row>
          <xdr:rowOff>104775</xdr:rowOff>
        </xdr:from>
        <xdr:to>
          <xdr:col>2</xdr:col>
          <xdr:colOff>476250</xdr:colOff>
          <xdr:row>16</xdr:row>
          <xdr:rowOff>171450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花费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17</xdr:row>
          <xdr:rowOff>66675</xdr:rowOff>
        </xdr:from>
        <xdr:to>
          <xdr:col>2</xdr:col>
          <xdr:colOff>219075</xdr:colOff>
          <xdr:row>18</xdr:row>
          <xdr:rowOff>133350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点击率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19</xdr:row>
          <xdr:rowOff>95250</xdr:rowOff>
        </xdr:from>
        <xdr:to>
          <xdr:col>2</xdr:col>
          <xdr:colOff>247650</xdr:colOff>
          <xdr:row>20</xdr:row>
          <xdr:rowOff>161925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CPC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21</xdr:row>
          <xdr:rowOff>38100</xdr:rowOff>
        </xdr:from>
        <xdr:to>
          <xdr:col>2</xdr:col>
          <xdr:colOff>333375</xdr:colOff>
          <xdr:row>22</xdr:row>
          <xdr:rowOff>104775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订单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22</xdr:row>
          <xdr:rowOff>171450</xdr:rowOff>
        </xdr:from>
        <xdr:to>
          <xdr:col>2</xdr:col>
          <xdr:colOff>200025</xdr:colOff>
          <xdr:row>24</xdr:row>
          <xdr:rowOff>57150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销售额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24</xdr:row>
          <xdr:rowOff>114300</xdr:rowOff>
        </xdr:from>
        <xdr:to>
          <xdr:col>2</xdr:col>
          <xdr:colOff>266700</xdr:colOff>
          <xdr:row>26</xdr:row>
          <xdr:rowOff>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acos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314325</xdr:colOff>
          <xdr:row>26</xdr:row>
          <xdr:rowOff>19050</xdr:rowOff>
        </xdr:from>
        <xdr:to>
          <xdr:col>2</xdr:col>
          <xdr:colOff>447675</xdr:colOff>
          <xdr:row>27</xdr:row>
          <xdr:rowOff>85725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新买家订单数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27</xdr:row>
          <xdr:rowOff>114300</xdr:rowOff>
        </xdr:from>
        <xdr:to>
          <xdr:col>2</xdr:col>
          <xdr:colOff>590550</xdr:colOff>
          <xdr:row>29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新买家订单比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29</xdr:row>
          <xdr:rowOff>0</xdr:rowOff>
        </xdr:from>
        <xdr:to>
          <xdr:col>3</xdr:col>
          <xdr:colOff>114300</xdr:colOff>
          <xdr:row>30</xdr:row>
          <xdr:rowOff>66675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新买家销售额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30</xdr:row>
          <xdr:rowOff>95250</xdr:rowOff>
        </xdr:from>
        <xdr:to>
          <xdr:col>2</xdr:col>
          <xdr:colOff>657225</xdr:colOff>
          <xdr:row>31</xdr:row>
          <xdr:rowOff>161925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4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新买家销售比</a:t>
              </a:r>
            </a:p>
          </xdr:txBody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丹" refreshedDate="43705.613570601854" createdVersion="6" refreshedVersion="6" minRefreshableVersion="3" recordCount="651" xr:uid="{955317C9-0345-4156-B1B0-10CCC9B85F61}">
  <cacheSource type="worksheet">
    <worksheetSource ref="A1:O1048576" sheet="query"/>
  </cacheSource>
  <cacheFields count="15">
    <cacheField name="日期" numFmtId="0">
      <sharedItems containsNonDate="0" containsDate="1" containsString="0" containsBlank="1" minDate="2019-08-01T00:00:00" maxDate="2019-08-29T00:00:00" count="27"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m/>
        <d v="2019-08-28T00:00:00" u="1"/>
      </sharedItems>
    </cacheField>
    <cacheField name="广告活动" numFmtId="0">
      <sharedItems containsBlank="1" count="49">
        <s v="Bc-M-B"/>
        <s v="Cb-M-E"/>
        <s v="R-A"/>
        <s v="56BLACK-M-B"/>
        <s v="A-A"/>
        <s v="87green-A"/>
        <s v="A-M-E"/>
        <s v="37hblueR-M-B"/>
        <s v="Bc-A"/>
        <s v="hblueL-A"/>
        <s v="Winter Products-Auto"/>
        <s v="56BLACK-A"/>
        <s v="1772GREEN-M-B"/>
        <s v="82lanbai-A"/>
        <s v="38blue-A"/>
        <s v="Bg-M-B"/>
        <s v="1818blackL-A"/>
        <s v="BBLUE-4-M-B"/>
        <s v="56-M-B"/>
        <s v="72GREEN-A"/>
        <s v="68BLUE-4-A"/>
        <s v="EEN-5-M-B"/>
        <s v="品牌推广"/>
        <s v="A-M-B"/>
        <s v="15382lanbai-M-E"/>
        <s v="1537hblueL-M-E"/>
        <m/>
        <s v="1538blue-A" u="1"/>
        <s v="1766-3-M-E" u="1"/>
        <s v="1768BLUE-M-E" u="1"/>
        <s v="1537hblueL-A" u="1"/>
        <s v="1766GREEN-5-M-B" u="1"/>
        <s v="1789CAMEL-A" u="1"/>
        <s v="1768BLUE-4-M-B" u="1"/>
        <s v="1537hblueR-M-B" u="1"/>
        <s v="1356-M-B" u="1"/>
        <s v="15382lanbai-A" u="1"/>
        <s v="1766GREEN-A" u="1"/>
        <s v="shovel-manual-exact" u="1"/>
        <s v="FBAUK1772GREEN-Auto" u="1"/>
        <s v="1768BLUE-4-A" u="1"/>
        <s v="1537hblueR-A" u="1"/>
        <s v="1356BLACK-M-B" u="1"/>
        <s v="1789GREEN -M-B" u="1"/>
        <s v="1772GREEN-A" u="1"/>
        <s v="1687green-A" u="1"/>
        <s v="1789CAMEL-M-B" u="1"/>
        <s v="1766GREEN-3-M-B" u="1"/>
        <s v="1356BLACK-A" u="1"/>
      </sharedItems>
    </cacheField>
    <cacheField name="预算(CNY)" numFmtId="0">
      <sharedItems containsString="0" containsBlank="1" containsNumber="1" containsInteger="1" minValue="2" maxValue="30"/>
    </cacheField>
    <cacheField name="曝光量" numFmtId="0">
      <sharedItems containsString="0" containsBlank="1" containsNumber="1" containsInteger="1" minValue="0" maxValue="19520"/>
    </cacheField>
    <cacheField name="点击次数" numFmtId="0">
      <sharedItems containsString="0" containsBlank="1" containsNumber="1" containsInteger="1" minValue="0" maxValue="84"/>
    </cacheField>
    <cacheField name="点击率 (CTR)(%)" numFmtId="0">
      <sharedItems containsString="0" containsBlank="1" containsNumber="1" minValue="0" maxValue="25"/>
    </cacheField>
    <cacheField name="花费(CNY)" numFmtId="0">
      <sharedItems containsString="0" containsBlank="1" containsNumber="1" minValue="0" maxValue="22.49"/>
    </cacheField>
    <cacheField name="每次点击费用 (CPC)(CNY)" numFmtId="0">
      <sharedItems containsString="0" containsBlank="1" containsNumber="1" minValue="0" maxValue="2.4500000000000002"/>
    </cacheField>
    <cacheField name="订单" numFmtId="0">
      <sharedItems containsString="0" containsBlank="1" containsNumber="1" containsInteger="1" minValue="0" maxValue="4"/>
    </cacheField>
    <cacheField name="销售额(CNY)" numFmtId="0">
      <sharedItems containsString="0" containsBlank="1" containsNumber="1" minValue="0" maxValue="315.88"/>
    </cacheField>
    <cacheField name="广告投入产出比 (ACOS)(%)" numFmtId="0">
      <sharedItems containsString="0" containsBlank="1" containsNumber="1" minValue="0" maxValue="47.103000000000002"/>
    </cacheField>
    <cacheField name="新买家订单数" numFmtId="0">
      <sharedItems containsString="0" containsBlank="1" containsNumber="1" containsInteger="1" minValue="0" maxValue="1"/>
    </cacheField>
    <cacheField name="新买家订单比" numFmtId="0">
      <sharedItems containsString="0" containsBlank="1" containsNumber="1" containsInteger="1" minValue="0" maxValue="100"/>
    </cacheField>
    <cacheField name="新买家销量" numFmtId="0">
      <sharedItems containsString="0" containsBlank="1" containsNumber="1" minValue="0" maxValue="107.94"/>
    </cacheField>
    <cacheField name="新买家销量比" numFmtId="0">
      <sharedItems containsString="0" containsBlank="1" containsNumber="1" containsInteger="1" minValue="0" maxValue="100"/>
    </cacheField>
  </cacheFields>
  <extLst>
    <ext xmlns:x14="http://schemas.microsoft.com/office/spreadsheetml/2009/9/main" uri="{725AE2AE-9491-48be-B2B4-4EB974FC3084}">
      <x14:pivotCacheDefinition pivotCacheId="7817365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x v="0"/>
    <x v="0"/>
    <n v="5"/>
    <n v="0"/>
    <n v="0"/>
    <n v="0"/>
    <n v="0"/>
    <n v="0"/>
    <n v="0"/>
    <n v="0"/>
    <n v="0"/>
    <n v="0"/>
    <n v="0"/>
    <n v="0"/>
    <n v="0"/>
  </r>
  <r>
    <x v="0"/>
    <x v="1"/>
    <n v="10"/>
    <n v="0"/>
    <n v="0"/>
    <n v="0"/>
    <n v="0"/>
    <n v="0"/>
    <n v="0"/>
    <n v="0"/>
    <n v="0"/>
    <n v="0"/>
    <n v="0"/>
    <n v="0"/>
    <n v="0"/>
  </r>
  <r>
    <x v="0"/>
    <x v="2"/>
    <n v="5"/>
    <n v="0"/>
    <n v="0"/>
    <n v="0"/>
    <n v="0"/>
    <n v="0"/>
    <n v="0"/>
    <n v="0"/>
    <n v="0"/>
    <n v="0"/>
    <n v="0"/>
    <n v="0"/>
    <n v="0"/>
  </r>
  <r>
    <x v="0"/>
    <x v="3"/>
    <n v="10"/>
    <n v="0"/>
    <n v="0"/>
    <n v="0"/>
    <n v="0"/>
    <n v="0"/>
    <n v="0"/>
    <n v="0"/>
    <n v="0"/>
    <n v="0"/>
    <n v="0"/>
    <n v="0"/>
    <n v="0"/>
  </r>
  <r>
    <x v="0"/>
    <x v="4"/>
    <n v="10"/>
    <n v="635"/>
    <n v="4"/>
    <n v="0.62990000000000002"/>
    <n v="0.18"/>
    <n v="0.05"/>
    <n v="0"/>
    <n v="0"/>
    <n v="0"/>
    <n v="0"/>
    <n v="0"/>
    <n v="0"/>
    <n v="0"/>
  </r>
  <r>
    <x v="0"/>
    <x v="5"/>
    <n v="10"/>
    <n v="14"/>
    <n v="0"/>
    <n v="0"/>
    <n v="0"/>
    <n v="0"/>
    <n v="0"/>
    <n v="0"/>
    <n v="0"/>
    <n v="0"/>
    <n v="0"/>
    <n v="0"/>
    <n v="0"/>
  </r>
  <r>
    <x v="0"/>
    <x v="6"/>
    <n v="10"/>
    <n v="6163"/>
    <n v="41"/>
    <n v="0.6653"/>
    <n v="10.56"/>
    <n v="0.26"/>
    <n v="0"/>
    <n v="0"/>
    <n v="0"/>
    <n v="0"/>
    <n v="0"/>
    <n v="0"/>
    <n v="0"/>
  </r>
  <r>
    <x v="0"/>
    <x v="7"/>
    <n v="10"/>
    <n v="1047"/>
    <n v="6"/>
    <n v="0.57310000000000005"/>
    <n v="3.59"/>
    <n v="0.6"/>
    <n v="0"/>
    <n v="0"/>
    <n v="0"/>
    <n v="0"/>
    <n v="0"/>
    <n v="0"/>
    <n v="0"/>
  </r>
  <r>
    <x v="0"/>
    <x v="8"/>
    <n v="5"/>
    <n v="0"/>
    <n v="0"/>
    <n v="0"/>
    <n v="0"/>
    <n v="0"/>
    <n v="0"/>
    <n v="0"/>
    <n v="0"/>
    <n v="0"/>
    <n v="0"/>
    <n v="0"/>
    <n v="0"/>
  </r>
  <r>
    <x v="0"/>
    <x v="9"/>
    <n v="5"/>
    <n v="5231"/>
    <n v="9"/>
    <n v="0.1721"/>
    <n v="5.4"/>
    <n v="0.6"/>
    <n v="0"/>
    <n v="0"/>
    <n v="0"/>
    <n v="0"/>
    <n v="0"/>
    <n v="0"/>
    <n v="0"/>
  </r>
  <r>
    <x v="0"/>
    <x v="10"/>
    <n v="3"/>
    <n v="158"/>
    <n v="1"/>
    <n v="0.63290000000000002"/>
    <n v="0.1"/>
    <n v="0.1"/>
    <n v="0"/>
    <n v="0"/>
    <n v="0"/>
    <n v="0"/>
    <n v="0"/>
    <n v="0"/>
    <n v="0"/>
  </r>
  <r>
    <x v="0"/>
    <x v="11"/>
    <n v="10"/>
    <n v="1258"/>
    <n v="6"/>
    <n v="0.47689999999999999"/>
    <n v="3.85"/>
    <n v="0.64"/>
    <n v="0"/>
    <n v="0"/>
    <n v="0"/>
    <n v="0"/>
    <n v="0"/>
    <n v="0"/>
    <n v="0"/>
  </r>
  <r>
    <x v="0"/>
    <x v="12"/>
    <n v="5"/>
    <n v="0"/>
    <n v="0"/>
    <n v="0"/>
    <n v="0"/>
    <n v="0"/>
    <n v="0"/>
    <n v="0"/>
    <n v="0"/>
    <n v="0"/>
    <n v="0"/>
    <n v="0"/>
    <n v="0"/>
  </r>
  <r>
    <x v="0"/>
    <x v="13"/>
    <n v="5"/>
    <n v="4"/>
    <n v="1"/>
    <n v="25"/>
    <n v="0.02"/>
    <n v="0.02"/>
    <n v="0"/>
    <n v="0"/>
    <n v="0"/>
    <n v="0"/>
    <n v="0"/>
    <n v="0"/>
    <n v="0"/>
  </r>
  <r>
    <x v="0"/>
    <x v="14"/>
    <n v="10"/>
    <n v="198"/>
    <n v="0"/>
    <n v="0"/>
    <n v="0"/>
    <n v="0"/>
    <n v="0"/>
    <n v="0"/>
    <n v="0"/>
    <n v="0"/>
    <n v="0"/>
    <n v="0"/>
    <n v="0"/>
  </r>
  <r>
    <x v="0"/>
    <x v="15"/>
    <n v="5"/>
    <n v="0"/>
    <n v="0"/>
    <n v="0"/>
    <n v="0"/>
    <n v="0"/>
    <n v="0"/>
    <n v="0"/>
    <n v="0"/>
    <n v="0"/>
    <n v="0"/>
    <n v="0"/>
    <n v="0"/>
  </r>
  <r>
    <x v="0"/>
    <x v="16"/>
    <n v="30"/>
    <n v="0"/>
    <n v="0"/>
    <n v="0"/>
    <n v="0"/>
    <n v="0"/>
    <n v="0"/>
    <n v="0"/>
    <n v="0"/>
    <n v="0"/>
    <n v="0"/>
    <n v="0"/>
    <n v="0"/>
  </r>
  <r>
    <x v="0"/>
    <x v="17"/>
    <n v="2"/>
    <n v="0"/>
    <n v="0"/>
    <n v="0"/>
    <n v="0"/>
    <n v="0"/>
    <n v="0"/>
    <n v="0"/>
    <n v="0"/>
    <n v="0"/>
    <n v="0"/>
    <n v="0"/>
    <n v="0"/>
  </r>
  <r>
    <x v="0"/>
    <x v="18"/>
    <n v="10"/>
    <n v="362"/>
    <n v="3"/>
    <n v="0.82869999999999999"/>
    <n v="0.91"/>
    <n v="0.3"/>
    <n v="0"/>
    <n v="0"/>
    <n v="0"/>
    <n v="0"/>
    <n v="0"/>
    <n v="0"/>
    <n v="0"/>
  </r>
  <r>
    <x v="0"/>
    <x v="19"/>
    <n v="15"/>
    <n v="0"/>
    <n v="0"/>
    <n v="0"/>
    <n v="0"/>
    <n v="0"/>
    <n v="0"/>
    <n v="0"/>
    <n v="0"/>
    <n v="0"/>
    <n v="0"/>
    <n v="0"/>
    <n v="0"/>
  </r>
  <r>
    <x v="0"/>
    <x v="20"/>
    <n v="15"/>
    <n v="0"/>
    <n v="0"/>
    <n v="0"/>
    <n v="0"/>
    <n v="0"/>
    <n v="0"/>
    <n v="0"/>
    <n v="0"/>
    <n v="0"/>
    <n v="0"/>
    <n v="0"/>
    <n v="0"/>
  </r>
  <r>
    <x v="0"/>
    <x v="21"/>
    <n v="20"/>
    <n v="63"/>
    <n v="3"/>
    <n v="4.7618999999999998"/>
    <n v="0.71"/>
    <n v="0.24"/>
    <n v="1"/>
    <n v="79.97"/>
    <n v="0.88780000000000003"/>
    <n v="0"/>
    <n v="0"/>
    <n v="0"/>
    <n v="0"/>
  </r>
  <r>
    <x v="0"/>
    <x v="22"/>
    <n v="2"/>
    <n v="722"/>
    <n v="6"/>
    <n v="0.83099999999999996"/>
    <n v="2.41"/>
    <n v="0.4"/>
    <n v="1"/>
    <n v="107.94"/>
    <n v="2.2326999999999999"/>
    <n v="1"/>
    <n v="100"/>
    <n v="107.94"/>
    <n v="100"/>
  </r>
  <r>
    <x v="0"/>
    <x v="23"/>
    <n v="10"/>
    <n v="6566"/>
    <n v="60"/>
    <n v="0.91379999999999995"/>
    <n v="17.96"/>
    <n v="0.3"/>
    <n v="3"/>
    <n v="161.91"/>
    <n v="11.092599999999999"/>
    <n v="0"/>
    <n v="0"/>
    <n v="0"/>
    <n v="0"/>
  </r>
  <r>
    <x v="0"/>
    <x v="24"/>
    <n v="10"/>
    <n v="1326"/>
    <n v="7"/>
    <n v="0.52790000000000004"/>
    <n v="4.24"/>
    <n v="0.61"/>
    <n v="2"/>
    <n v="34.340000000000003"/>
    <n v="12.347099999999999"/>
    <n v="0"/>
    <n v="0"/>
    <n v="0"/>
    <n v="0"/>
  </r>
  <r>
    <x v="0"/>
    <x v="25"/>
    <n v="10"/>
    <n v="927"/>
    <n v="14"/>
    <n v="1.5102"/>
    <n v="9.68"/>
    <n v="0.69"/>
    <n v="2"/>
    <n v="71.97"/>
    <n v="13.45"/>
    <n v="0"/>
    <n v="0"/>
    <n v="0"/>
    <n v="0"/>
  </r>
  <r>
    <x v="1"/>
    <x v="0"/>
    <n v="5"/>
    <n v="0"/>
    <n v="0"/>
    <n v="0"/>
    <n v="0"/>
    <n v="0"/>
    <n v="0"/>
    <n v="0"/>
    <n v="0"/>
    <n v="0"/>
    <n v="0"/>
    <n v="0"/>
    <n v="0"/>
  </r>
  <r>
    <x v="1"/>
    <x v="1"/>
    <n v="10"/>
    <n v="0"/>
    <n v="0"/>
    <n v="0"/>
    <n v="0"/>
    <n v="0"/>
    <n v="0"/>
    <n v="0"/>
    <n v="0"/>
    <n v="0"/>
    <n v="0"/>
    <n v="0"/>
    <n v="0"/>
  </r>
  <r>
    <x v="1"/>
    <x v="2"/>
    <n v="5"/>
    <n v="0"/>
    <n v="0"/>
    <n v="0"/>
    <n v="0"/>
    <n v="0"/>
    <n v="0"/>
    <n v="0"/>
    <n v="0"/>
    <n v="0"/>
    <n v="0"/>
    <n v="0"/>
    <n v="0"/>
  </r>
  <r>
    <x v="1"/>
    <x v="25"/>
    <n v="10"/>
    <n v="1154"/>
    <n v="0"/>
    <n v="0"/>
    <n v="0"/>
    <n v="0"/>
    <n v="0"/>
    <n v="0"/>
    <n v="0"/>
    <n v="0"/>
    <n v="0"/>
    <n v="0"/>
    <n v="0"/>
  </r>
  <r>
    <x v="1"/>
    <x v="22"/>
    <n v="2"/>
    <n v="779"/>
    <n v="6"/>
    <n v="0.7702"/>
    <n v="2.29"/>
    <n v="0.38"/>
    <n v="0"/>
    <n v="0"/>
    <n v="0"/>
    <n v="0"/>
    <n v="0"/>
    <n v="0"/>
    <n v="0"/>
  </r>
  <r>
    <x v="1"/>
    <x v="3"/>
    <n v="10"/>
    <n v="0"/>
    <n v="0"/>
    <n v="0"/>
    <n v="0"/>
    <n v="0"/>
    <n v="0"/>
    <n v="0"/>
    <n v="0"/>
    <n v="0"/>
    <n v="0"/>
    <n v="0"/>
    <n v="0"/>
  </r>
  <r>
    <x v="1"/>
    <x v="4"/>
    <n v="10"/>
    <n v="426"/>
    <n v="2"/>
    <n v="0.46949999999999997"/>
    <n v="0.04"/>
    <n v="0.02"/>
    <n v="0"/>
    <n v="0"/>
    <n v="0"/>
    <n v="0"/>
    <n v="0"/>
    <n v="0"/>
    <n v="0"/>
  </r>
  <r>
    <x v="1"/>
    <x v="5"/>
    <n v="10"/>
    <n v="12"/>
    <n v="0"/>
    <n v="0"/>
    <n v="0"/>
    <n v="0"/>
    <n v="0"/>
    <n v="0"/>
    <n v="0"/>
    <n v="0"/>
    <n v="0"/>
    <n v="0"/>
    <n v="0"/>
  </r>
  <r>
    <x v="1"/>
    <x v="6"/>
    <n v="10"/>
    <n v="6964"/>
    <n v="42"/>
    <n v="0.60309999999999997"/>
    <n v="10.050000000000001"/>
    <n v="0.24"/>
    <n v="0"/>
    <n v="0"/>
    <n v="0"/>
    <n v="0"/>
    <n v="0"/>
    <n v="0"/>
    <n v="0"/>
  </r>
  <r>
    <x v="1"/>
    <x v="7"/>
    <n v="10"/>
    <n v="607"/>
    <n v="2"/>
    <n v="0.32950000000000002"/>
    <n v="1"/>
    <n v="0.5"/>
    <n v="0"/>
    <n v="0"/>
    <n v="0"/>
    <n v="0"/>
    <n v="0"/>
    <n v="0"/>
    <n v="0"/>
  </r>
  <r>
    <x v="1"/>
    <x v="8"/>
    <n v="5"/>
    <n v="0"/>
    <n v="0"/>
    <n v="0"/>
    <n v="0"/>
    <n v="0"/>
    <n v="0"/>
    <n v="0"/>
    <n v="0"/>
    <n v="0"/>
    <n v="0"/>
    <n v="0"/>
    <n v="0"/>
  </r>
  <r>
    <x v="1"/>
    <x v="24"/>
    <n v="10"/>
    <n v="1566"/>
    <n v="4"/>
    <n v="0.25540000000000002"/>
    <n v="2.39"/>
    <n v="0.6"/>
    <n v="0"/>
    <n v="0"/>
    <n v="0"/>
    <n v="0"/>
    <n v="0"/>
    <n v="0"/>
    <n v="0"/>
  </r>
  <r>
    <x v="1"/>
    <x v="9"/>
    <n v="5"/>
    <n v="5232"/>
    <n v="8"/>
    <n v="0.15290000000000001"/>
    <n v="4.8600000000000003"/>
    <n v="0.61"/>
    <n v="0"/>
    <n v="0"/>
    <n v="0"/>
    <n v="0"/>
    <n v="0"/>
    <n v="0"/>
    <n v="0"/>
  </r>
  <r>
    <x v="1"/>
    <x v="10"/>
    <n v="3"/>
    <n v="133"/>
    <n v="0"/>
    <n v="0"/>
    <n v="0"/>
    <n v="0"/>
    <n v="0"/>
    <n v="0"/>
    <n v="0"/>
    <n v="0"/>
    <n v="0"/>
    <n v="0"/>
    <n v="0"/>
  </r>
  <r>
    <x v="1"/>
    <x v="11"/>
    <n v="10"/>
    <n v="605"/>
    <n v="0"/>
    <n v="0"/>
    <n v="0"/>
    <n v="0"/>
    <n v="0"/>
    <n v="0"/>
    <n v="0"/>
    <n v="0"/>
    <n v="0"/>
    <n v="0"/>
    <n v="0"/>
  </r>
  <r>
    <x v="1"/>
    <x v="12"/>
    <n v="5"/>
    <n v="316"/>
    <n v="0"/>
    <n v="0"/>
    <n v="0"/>
    <n v="0"/>
    <n v="0"/>
    <n v="0"/>
    <n v="0"/>
    <n v="0"/>
    <n v="0"/>
    <n v="0"/>
    <n v="0"/>
  </r>
  <r>
    <x v="1"/>
    <x v="13"/>
    <n v="5"/>
    <n v="5"/>
    <n v="0"/>
    <n v="0"/>
    <n v="0"/>
    <n v="0"/>
    <n v="0"/>
    <n v="0"/>
    <n v="0"/>
    <n v="0"/>
    <n v="0"/>
    <n v="0"/>
    <n v="0"/>
  </r>
  <r>
    <x v="1"/>
    <x v="14"/>
    <n v="10"/>
    <n v="175"/>
    <n v="0"/>
    <n v="0"/>
    <n v="0"/>
    <n v="0"/>
    <n v="0"/>
    <n v="0"/>
    <n v="0"/>
    <n v="0"/>
    <n v="0"/>
    <n v="0"/>
    <n v="0"/>
  </r>
  <r>
    <x v="1"/>
    <x v="15"/>
    <n v="5"/>
    <n v="0"/>
    <n v="0"/>
    <n v="0"/>
    <n v="0"/>
    <n v="0"/>
    <n v="0"/>
    <n v="0"/>
    <n v="0"/>
    <n v="0"/>
    <n v="0"/>
    <n v="0"/>
    <n v="0"/>
  </r>
  <r>
    <x v="1"/>
    <x v="16"/>
    <n v="30"/>
    <n v="0"/>
    <n v="0"/>
    <n v="0"/>
    <n v="0"/>
    <n v="0"/>
    <n v="0"/>
    <n v="0"/>
    <n v="0"/>
    <n v="0"/>
    <n v="0"/>
    <n v="0"/>
    <n v="0"/>
  </r>
  <r>
    <x v="1"/>
    <x v="17"/>
    <n v="2"/>
    <n v="0"/>
    <n v="0"/>
    <n v="0"/>
    <n v="0"/>
    <n v="0"/>
    <n v="0"/>
    <n v="0"/>
    <n v="0"/>
    <n v="0"/>
    <n v="0"/>
    <n v="0"/>
    <n v="0"/>
  </r>
  <r>
    <x v="1"/>
    <x v="18"/>
    <n v="10"/>
    <n v="311"/>
    <n v="1"/>
    <n v="0.32150000000000001"/>
    <n v="0.5"/>
    <n v="0.5"/>
    <n v="0"/>
    <n v="0"/>
    <n v="0"/>
    <n v="0"/>
    <n v="0"/>
    <n v="0"/>
    <n v="0"/>
  </r>
  <r>
    <x v="1"/>
    <x v="19"/>
    <n v="15"/>
    <n v="0"/>
    <n v="0"/>
    <n v="0"/>
    <n v="0"/>
    <n v="0"/>
    <n v="0"/>
    <n v="0"/>
    <n v="0"/>
    <n v="0"/>
    <n v="0"/>
    <n v="0"/>
    <n v="0"/>
  </r>
  <r>
    <x v="1"/>
    <x v="21"/>
    <n v="20"/>
    <n v="0"/>
    <n v="0"/>
    <n v="0"/>
    <n v="0"/>
    <n v="0"/>
    <n v="0"/>
    <n v="0"/>
    <n v="0"/>
    <n v="0"/>
    <n v="0"/>
    <n v="0"/>
    <n v="0"/>
  </r>
  <r>
    <x v="1"/>
    <x v="20"/>
    <n v="15"/>
    <n v="0"/>
    <n v="0"/>
    <n v="0"/>
    <n v="0"/>
    <n v="0"/>
    <n v="0"/>
    <n v="0"/>
    <n v="0"/>
    <n v="0"/>
    <n v="0"/>
    <n v="0"/>
    <n v="0"/>
  </r>
  <r>
    <x v="1"/>
    <x v="23"/>
    <n v="10"/>
    <n v="4892"/>
    <n v="54"/>
    <n v="1.1037999999999999"/>
    <n v="16.52"/>
    <n v="0.31"/>
    <n v="1"/>
    <n v="53.97"/>
    <n v="30.6096"/>
    <n v="0"/>
    <n v="0"/>
    <n v="0"/>
    <n v="0"/>
  </r>
  <r>
    <x v="2"/>
    <x v="0"/>
    <n v="5"/>
    <n v="0"/>
    <n v="0"/>
    <n v="0"/>
    <n v="0"/>
    <n v="0"/>
    <n v="0"/>
    <n v="0"/>
    <n v="0"/>
    <n v="0"/>
    <n v="0"/>
    <n v="0"/>
    <n v="0"/>
  </r>
  <r>
    <x v="2"/>
    <x v="1"/>
    <n v="10"/>
    <n v="0"/>
    <n v="0"/>
    <n v="0"/>
    <n v="0"/>
    <n v="0"/>
    <n v="0"/>
    <n v="0"/>
    <n v="0"/>
    <n v="0"/>
    <n v="0"/>
    <n v="0"/>
    <n v="0"/>
  </r>
  <r>
    <x v="2"/>
    <x v="2"/>
    <n v="5"/>
    <n v="0"/>
    <n v="0"/>
    <n v="0"/>
    <n v="0"/>
    <n v="0"/>
    <n v="0"/>
    <n v="0"/>
    <n v="0"/>
    <n v="0"/>
    <n v="0"/>
    <n v="0"/>
    <n v="0"/>
  </r>
  <r>
    <x v="2"/>
    <x v="25"/>
    <n v="10"/>
    <n v="632"/>
    <n v="1"/>
    <n v="0.15820000000000001"/>
    <n v="0.66"/>
    <n v="0.66"/>
    <n v="0"/>
    <n v="0"/>
    <n v="0"/>
    <n v="0"/>
    <n v="0"/>
    <n v="0"/>
    <n v="0"/>
  </r>
  <r>
    <x v="2"/>
    <x v="22"/>
    <n v="2"/>
    <n v="672"/>
    <n v="6"/>
    <n v="0.89290000000000003"/>
    <n v="2.0699999999999998"/>
    <n v="0.35"/>
    <n v="0"/>
    <n v="0"/>
    <n v="0"/>
    <n v="0"/>
    <n v="0"/>
    <n v="0"/>
    <n v="0"/>
  </r>
  <r>
    <x v="2"/>
    <x v="3"/>
    <n v="10"/>
    <n v="0"/>
    <n v="0"/>
    <n v="0"/>
    <n v="0"/>
    <n v="0"/>
    <n v="0"/>
    <n v="0"/>
    <n v="0"/>
    <n v="0"/>
    <n v="0"/>
    <n v="0"/>
    <n v="0"/>
  </r>
  <r>
    <x v="2"/>
    <x v="4"/>
    <n v="10"/>
    <n v="551"/>
    <n v="5"/>
    <n v="0.90739999999999998"/>
    <n v="0.2"/>
    <n v="0.04"/>
    <n v="0"/>
    <n v="0"/>
    <n v="0"/>
    <n v="0"/>
    <n v="0"/>
    <n v="0"/>
    <n v="0"/>
  </r>
  <r>
    <x v="2"/>
    <x v="5"/>
    <n v="10"/>
    <n v="14"/>
    <n v="0"/>
    <n v="0"/>
    <n v="0"/>
    <n v="0"/>
    <n v="0"/>
    <n v="0"/>
    <n v="0"/>
    <n v="0"/>
    <n v="0"/>
    <n v="0"/>
    <n v="0"/>
  </r>
  <r>
    <x v="2"/>
    <x v="6"/>
    <n v="10"/>
    <n v="8626"/>
    <n v="42"/>
    <n v="0.4869"/>
    <n v="10.029999999999999"/>
    <n v="0.24"/>
    <n v="0"/>
    <n v="0"/>
    <n v="0"/>
    <n v="0"/>
    <n v="0"/>
    <n v="0"/>
    <n v="0"/>
  </r>
  <r>
    <x v="2"/>
    <x v="7"/>
    <n v="10"/>
    <n v="770"/>
    <n v="6"/>
    <n v="0.7792"/>
    <n v="3.19"/>
    <n v="0.53"/>
    <n v="0"/>
    <n v="0"/>
    <n v="0"/>
    <n v="0"/>
    <n v="0"/>
    <n v="0"/>
    <n v="0"/>
  </r>
  <r>
    <x v="2"/>
    <x v="8"/>
    <n v="5"/>
    <n v="0"/>
    <n v="0"/>
    <n v="0"/>
    <n v="0"/>
    <n v="0"/>
    <n v="0"/>
    <n v="0"/>
    <n v="0"/>
    <n v="0"/>
    <n v="0"/>
    <n v="0"/>
    <n v="0"/>
  </r>
  <r>
    <x v="2"/>
    <x v="24"/>
    <n v="10"/>
    <n v="831"/>
    <n v="2"/>
    <n v="0.2407"/>
    <n v="1.22"/>
    <n v="0.61"/>
    <n v="0"/>
    <n v="0"/>
    <n v="0"/>
    <n v="0"/>
    <n v="0"/>
    <n v="0"/>
    <n v="0"/>
  </r>
  <r>
    <x v="2"/>
    <x v="10"/>
    <n v="3"/>
    <n v="153"/>
    <n v="0"/>
    <n v="0"/>
    <n v="0"/>
    <n v="0"/>
    <n v="0"/>
    <n v="0"/>
    <n v="0"/>
    <n v="0"/>
    <n v="0"/>
    <n v="0"/>
    <n v="0"/>
  </r>
  <r>
    <x v="2"/>
    <x v="11"/>
    <n v="10"/>
    <n v="622"/>
    <n v="4"/>
    <n v="0.6431"/>
    <n v="2.14"/>
    <n v="0.53"/>
    <n v="0"/>
    <n v="0"/>
    <n v="0"/>
    <n v="0"/>
    <n v="0"/>
    <n v="0"/>
    <n v="0"/>
  </r>
  <r>
    <x v="2"/>
    <x v="12"/>
    <n v="5"/>
    <n v="198"/>
    <n v="0"/>
    <n v="0"/>
    <n v="0"/>
    <n v="0"/>
    <n v="0"/>
    <n v="0"/>
    <n v="0"/>
    <n v="0"/>
    <n v="0"/>
    <n v="0"/>
    <n v="0"/>
  </r>
  <r>
    <x v="2"/>
    <x v="13"/>
    <n v="5"/>
    <n v="15"/>
    <n v="0"/>
    <n v="0"/>
    <n v="0"/>
    <n v="0"/>
    <n v="0"/>
    <n v="0"/>
    <n v="0"/>
    <n v="0"/>
    <n v="0"/>
    <n v="0"/>
    <n v="0"/>
  </r>
  <r>
    <x v="2"/>
    <x v="14"/>
    <n v="10"/>
    <n v="219"/>
    <n v="1"/>
    <n v="0.45660000000000001"/>
    <n v="0.33"/>
    <n v="0.33"/>
    <n v="0"/>
    <n v="0"/>
    <n v="0"/>
    <n v="0"/>
    <n v="0"/>
    <n v="0"/>
    <n v="0"/>
  </r>
  <r>
    <x v="2"/>
    <x v="15"/>
    <n v="5"/>
    <n v="0"/>
    <n v="0"/>
    <n v="0"/>
    <n v="0"/>
    <n v="0"/>
    <n v="0"/>
    <n v="0"/>
    <n v="0"/>
    <n v="0"/>
    <n v="0"/>
    <n v="0"/>
    <n v="0"/>
  </r>
  <r>
    <x v="2"/>
    <x v="16"/>
    <n v="30"/>
    <n v="0"/>
    <n v="0"/>
    <n v="0"/>
    <n v="0"/>
    <n v="0"/>
    <n v="0"/>
    <n v="0"/>
    <n v="0"/>
    <n v="0"/>
    <n v="0"/>
    <n v="0"/>
    <n v="0"/>
  </r>
  <r>
    <x v="2"/>
    <x v="17"/>
    <n v="2"/>
    <n v="0"/>
    <n v="0"/>
    <n v="0"/>
    <n v="0"/>
    <n v="0"/>
    <n v="0"/>
    <n v="0"/>
    <n v="0"/>
    <n v="0"/>
    <n v="0"/>
    <n v="0"/>
    <n v="0"/>
  </r>
  <r>
    <x v="2"/>
    <x v="18"/>
    <n v="10"/>
    <n v="257"/>
    <n v="0"/>
    <n v="0"/>
    <n v="0"/>
    <n v="0"/>
    <n v="0"/>
    <n v="0"/>
    <n v="0"/>
    <n v="0"/>
    <n v="0"/>
    <n v="0"/>
    <n v="0"/>
  </r>
  <r>
    <x v="2"/>
    <x v="19"/>
    <n v="15"/>
    <n v="0"/>
    <n v="0"/>
    <n v="0"/>
    <n v="0"/>
    <n v="0"/>
    <n v="0"/>
    <n v="0"/>
    <n v="0"/>
    <n v="0"/>
    <n v="0"/>
    <n v="0"/>
    <n v="0"/>
  </r>
  <r>
    <x v="2"/>
    <x v="20"/>
    <n v="15"/>
    <n v="0"/>
    <n v="0"/>
    <n v="0"/>
    <n v="0"/>
    <n v="0"/>
    <n v="0"/>
    <n v="0"/>
    <n v="0"/>
    <n v="0"/>
    <n v="0"/>
    <n v="0"/>
    <n v="0"/>
  </r>
  <r>
    <x v="2"/>
    <x v="9"/>
    <n v="5"/>
    <n v="7829"/>
    <n v="8"/>
    <n v="0.1022"/>
    <n v="5.0999999999999996"/>
    <n v="0.64"/>
    <n v="3"/>
    <n v="71.97"/>
    <n v="7.0862999999999996"/>
    <n v="0"/>
    <n v="0"/>
    <n v="0"/>
    <n v="0"/>
  </r>
  <r>
    <x v="2"/>
    <x v="23"/>
    <n v="10"/>
    <n v="4247"/>
    <n v="44"/>
    <n v="1.036"/>
    <n v="12.44"/>
    <n v="0.28000000000000003"/>
    <n v="3"/>
    <n v="161.91"/>
    <n v="7.6833"/>
    <n v="0"/>
    <n v="0"/>
    <n v="0"/>
    <n v="0"/>
  </r>
  <r>
    <x v="2"/>
    <x v="21"/>
    <n v="20"/>
    <n v="1692"/>
    <n v="12"/>
    <n v="0.70920000000000005"/>
    <n v="4.25"/>
    <n v="0.35"/>
    <n v="1"/>
    <n v="53.97"/>
    <n v="7.8746999999999998"/>
    <n v="0"/>
    <n v="0"/>
    <n v="0"/>
    <n v="0"/>
  </r>
  <r>
    <x v="3"/>
    <x v="0"/>
    <n v="5"/>
    <n v="0"/>
    <n v="0"/>
    <n v="0"/>
    <n v="0"/>
    <n v="0"/>
    <n v="0"/>
    <n v="0"/>
    <n v="0"/>
    <n v="0"/>
    <n v="0"/>
    <n v="0"/>
    <n v="0"/>
  </r>
  <r>
    <x v="3"/>
    <x v="1"/>
    <n v="10"/>
    <n v="0"/>
    <n v="0"/>
    <n v="0"/>
    <n v="0"/>
    <n v="0"/>
    <n v="0"/>
    <n v="0"/>
    <n v="0"/>
    <n v="0"/>
    <n v="0"/>
    <n v="0"/>
    <n v="0"/>
  </r>
  <r>
    <x v="3"/>
    <x v="2"/>
    <n v="5"/>
    <n v="0"/>
    <n v="0"/>
    <n v="0"/>
    <n v="0"/>
    <n v="0"/>
    <n v="0"/>
    <n v="0"/>
    <n v="0"/>
    <n v="0"/>
    <n v="0"/>
    <n v="0"/>
    <n v="0"/>
  </r>
  <r>
    <x v="3"/>
    <x v="25"/>
    <n v="10"/>
    <n v="1357"/>
    <n v="7"/>
    <n v="0.51580000000000004"/>
    <n v="4.32"/>
    <n v="0.62"/>
    <n v="0"/>
    <n v="0"/>
    <n v="0"/>
    <n v="0"/>
    <n v="0"/>
    <n v="0"/>
    <n v="0"/>
  </r>
  <r>
    <x v="3"/>
    <x v="22"/>
    <n v="2"/>
    <n v="1353"/>
    <n v="7"/>
    <n v="0.51739999999999997"/>
    <n v="2.0299999999999998"/>
    <n v="0.28999999999999998"/>
    <n v="0"/>
    <n v="0"/>
    <n v="0"/>
    <n v="0"/>
    <n v="0"/>
    <n v="0"/>
    <n v="0"/>
  </r>
  <r>
    <x v="3"/>
    <x v="23"/>
    <n v="10"/>
    <n v="7466"/>
    <n v="75"/>
    <n v="1.0045999999999999"/>
    <n v="20.2"/>
    <n v="0.27"/>
    <n v="0"/>
    <n v="0"/>
    <n v="0"/>
    <n v="0"/>
    <n v="0"/>
    <n v="0"/>
    <n v="0"/>
  </r>
  <r>
    <x v="3"/>
    <x v="3"/>
    <n v="10"/>
    <n v="0"/>
    <n v="0"/>
    <n v="0"/>
    <n v="0"/>
    <n v="0"/>
    <n v="0"/>
    <n v="0"/>
    <n v="0"/>
    <n v="0"/>
    <n v="0"/>
    <n v="0"/>
    <n v="0"/>
  </r>
  <r>
    <x v="3"/>
    <x v="4"/>
    <n v="10"/>
    <n v="1196"/>
    <n v="9"/>
    <n v="0.75249999999999995"/>
    <n v="0.42"/>
    <n v="0.05"/>
    <n v="0"/>
    <n v="0"/>
    <n v="0"/>
    <n v="0"/>
    <n v="0"/>
    <n v="0"/>
    <n v="0"/>
  </r>
  <r>
    <x v="3"/>
    <x v="5"/>
    <n v="10"/>
    <n v="15"/>
    <n v="0"/>
    <n v="0"/>
    <n v="0"/>
    <n v="0"/>
    <n v="0"/>
    <n v="0"/>
    <n v="0"/>
    <n v="0"/>
    <n v="0"/>
    <n v="0"/>
    <n v="0"/>
  </r>
  <r>
    <x v="3"/>
    <x v="6"/>
    <n v="10"/>
    <n v="6346"/>
    <n v="44"/>
    <n v="0.69340000000000002"/>
    <n v="10.29"/>
    <n v="0.23"/>
    <n v="0"/>
    <n v="0"/>
    <n v="0"/>
    <n v="0"/>
    <n v="0"/>
    <n v="0"/>
    <n v="0"/>
  </r>
  <r>
    <x v="3"/>
    <x v="7"/>
    <n v="10"/>
    <n v="1077"/>
    <n v="12"/>
    <n v="1.1142000000000001"/>
    <n v="6.43"/>
    <n v="0.54"/>
    <n v="0"/>
    <n v="0"/>
    <n v="0"/>
    <n v="0"/>
    <n v="0"/>
    <n v="0"/>
    <n v="0"/>
  </r>
  <r>
    <x v="3"/>
    <x v="8"/>
    <n v="5"/>
    <n v="0"/>
    <n v="0"/>
    <n v="0"/>
    <n v="0"/>
    <n v="0"/>
    <n v="0"/>
    <n v="0"/>
    <n v="0"/>
    <n v="0"/>
    <n v="0"/>
    <n v="0"/>
    <n v="0"/>
  </r>
  <r>
    <x v="3"/>
    <x v="10"/>
    <n v="3"/>
    <n v="170"/>
    <n v="0"/>
    <n v="0"/>
    <n v="0"/>
    <n v="0"/>
    <n v="0"/>
    <n v="0"/>
    <n v="0"/>
    <n v="0"/>
    <n v="0"/>
    <n v="0"/>
    <n v="0"/>
  </r>
  <r>
    <x v="3"/>
    <x v="11"/>
    <n v="10"/>
    <n v="320"/>
    <n v="0"/>
    <n v="0"/>
    <n v="0"/>
    <n v="0"/>
    <n v="0"/>
    <n v="0"/>
    <n v="0"/>
    <n v="0"/>
    <n v="0"/>
    <n v="0"/>
    <n v="0"/>
  </r>
  <r>
    <x v="3"/>
    <x v="12"/>
    <n v="5"/>
    <n v="345"/>
    <n v="0"/>
    <n v="0"/>
    <n v="0"/>
    <n v="0"/>
    <n v="0"/>
    <n v="0"/>
    <n v="0"/>
    <n v="0"/>
    <n v="0"/>
    <n v="0"/>
    <n v="0"/>
  </r>
  <r>
    <x v="3"/>
    <x v="13"/>
    <n v="5"/>
    <n v="7"/>
    <n v="0"/>
    <n v="0"/>
    <n v="0"/>
    <n v="0"/>
    <n v="0"/>
    <n v="0"/>
    <n v="0"/>
    <n v="0"/>
    <n v="0"/>
    <n v="0"/>
    <n v="0"/>
  </r>
  <r>
    <x v="3"/>
    <x v="14"/>
    <n v="10"/>
    <n v="346"/>
    <n v="2"/>
    <n v="0.57799999999999996"/>
    <n v="0.61"/>
    <n v="0.31"/>
    <n v="0"/>
    <n v="0"/>
    <n v="0"/>
    <n v="0"/>
    <n v="0"/>
    <n v="0"/>
    <n v="0"/>
  </r>
  <r>
    <x v="3"/>
    <x v="15"/>
    <n v="5"/>
    <n v="0"/>
    <n v="0"/>
    <n v="0"/>
    <n v="0"/>
    <n v="0"/>
    <n v="0"/>
    <n v="0"/>
    <n v="0"/>
    <n v="0"/>
    <n v="0"/>
    <n v="0"/>
    <n v="0"/>
  </r>
  <r>
    <x v="3"/>
    <x v="16"/>
    <n v="30"/>
    <n v="0"/>
    <n v="0"/>
    <n v="0"/>
    <n v="0"/>
    <n v="0"/>
    <n v="0"/>
    <n v="0"/>
    <n v="0"/>
    <n v="0"/>
    <n v="0"/>
    <n v="0"/>
    <n v="0"/>
  </r>
  <r>
    <x v="3"/>
    <x v="17"/>
    <n v="2"/>
    <n v="0"/>
    <n v="0"/>
    <n v="0"/>
    <n v="0"/>
    <n v="0"/>
    <n v="0"/>
    <n v="0"/>
    <n v="0"/>
    <n v="0"/>
    <n v="0"/>
    <n v="0"/>
    <n v="0"/>
  </r>
  <r>
    <x v="3"/>
    <x v="18"/>
    <n v="10"/>
    <n v="249"/>
    <n v="6"/>
    <n v="2.4096000000000002"/>
    <n v="2.78"/>
    <n v="0.46"/>
    <n v="0"/>
    <n v="0"/>
    <n v="0"/>
    <n v="0"/>
    <n v="0"/>
    <n v="0"/>
    <n v="0"/>
  </r>
  <r>
    <x v="3"/>
    <x v="19"/>
    <n v="15"/>
    <n v="0"/>
    <n v="0"/>
    <n v="0"/>
    <n v="0"/>
    <n v="0"/>
    <n v="0"/>
    <n v="0"/>
    <n v="0"/>
    <n v="0"/>
    <n v="0"/>
    <n v="0"/>
    <n v="0"/>
  </r>
  <r>
    <x v="3"/>
    <x v="21"/>
    <n v="20"/>
    <n v="0"/>
    <n v="0"/>
    <n v="0"/>
    <n v="0"/>
    <n v="0"/>
    <n v="0"/>
    <n v="0"/>
    <n v="0"/>
    <n v="0"/>
    <n v="0"/>
    <n v="0"/>
    <n v="0"/>
  </r>
  <r>
    <x v="3"/>
    <x v="20"/>
    <n v="15"/>
    <n v="0"/>
    <n v="0"/>
    <n v="0"/>
    <n v="0"/>
    <n v="0"/>
    <n v="0"/>
    <n v="0"/>
    <n v="0"/>
    <n v="0"/>
    <n v="0"/>
    <n v="0"/>
    <n v="0"/>
  </r>
  <r>
    <x v="3"/>
    <x v="9"/>
    <n v="5"/>
    <n v="3050"/>
    <n v="9"/>
    <n v="0.29509999999999997"/>
    <n v="5.43"/>
    <n v="0.6"/>
    <n v="2"/>
    <n v="95.96"/>
    <n v="5.6585999999999999"/>
    <n v="0"/>
    <n v="0"/>
    <n v="0"/>
    <n v="0"/>
  </r>
  <r>
    <x v="3"/>
    <x v="24"/>
    <n v="10"/>
    <n v="1045"/>
    <n v="12"/>
    <n v="1.1483000000000001"/>
    <n v="6.7"/>
    <n v="0.56000000000000005"/>
    <n v="1"/>
    <n v="16.37"/>
    <n v="40.9285"/>
    <n v="0"/>
    <n v="0"/>
    <n v="0"/>
    <n v="0"/>
  </r>
  <r>
    <x v="4"/>
    <x v="0"/>
    <n v="5"/>
    <n v="0"/>
    <n v="0"/>
    <n v="0"/>
    <n v="0"/>
    <n v="0"/>
    <n v="0"/>
    <n v="0"/>
    <n v="0"/>
    <n v="0"/>
    <n v="0"/>
    <n v="0"/>
    <n v="0"/>
  </r>
  <r>
    <x v="4"/>
    <x v="1"/>
    <n v="10"/>
    <n v="0"/>
    <n v="0"/>
    <n v="0"/>
    <n v="0"/>
    <n v="0"/>
    <n v="0"/>
    <n v="0"/>
    <n v="0"/>
    <n v="0"/>
    <n v="0"/>
    <n v="0"/>
    <n v="0"/>
  </r>
  <r>
    <x v="4"/>
    <x v="2"/>
    <n v="5"/>
    <n v="0"/>
    <n v="0"/>
    <n v="0"/>
    <n v="0"/>
    <n v="0"/>
    <n v="0"/>
    <n v="0"/>
    <n v="0"/>
    <n v="0"/>
    <n v="0"/>
    <n v="0"/>
    <n v="0"/>
  </r>
  <r>
    <x v="4"/>
    <x v="22"/>
    <n v="2"/>
    <n v="1088"/>
    <n v="6"/>
    <n v="0.55149999999999999"/>
    <n v="2.09"/>
    <n v="0.35"/>
    <n v="0"/>
    <n v="0"/>
    <n v="0"/>
    <n v="0"/>
    <n v="0"/>
    <n v="0"/>
    <n v="0"/>
  </r>
  <r>
    <x v="4"/>
    <x v="3"/>
    <n v="10"/>
    <n v="0"/>
    <n v="0"/>
    <n v="0"/>
    <n v="0"/>
    <n v="0"/>
    <n v="0"/>
    <n v="0"/>
    <n v="0"/>
    <n v="0"/>
    <n v="0"/>
    <n v="0"/>
    <n v="0"/>
  </r>
  <r>
    <x v="4"/>
    <x v="4"/>
    <n v="10"/>
    <n v="878"/>
    <n v="7"/>
    <n v="0.79730000000000001"/>
    <n v="0.3"/>
    <n v="0.04"/>
    <n v="0"/>
    <n v="0"/>
    <n v="0"/>
    <n v="0"/>
    <n v="0"/>
    <n v="0"/>
    <n v="0"/>
  </r>
  <r>
    <x v="4"/>
    <x v="5"/>
    <n v="10"/>
    <n v="19"/>
    <n v="0"/>
    <n v="0"/>
    <n v="0"/>
    <n v="0"/>
    <n v="0"/>
    <n v="0"/>
    <n v="0"/>
    <n v="0"/>
    <n v="0"/>
    <n v="0"/>
    <n v="0"/>
  </r>
  <r>
    <x v="4"/>
    <x v="7"/>
    <n v="10"/>
    <n v="1557"/>
    <n v="8"/>
    <n v="0.51380000000000003"/>
    <n v="3.91"/>
    <n v="0.49"/>
    <n v="0"/>
    <n v="0"/>
    <n v="0"/>
    <n v="0"/>
    <n v="0"/>
    <n v="0"/>
    <n v="0"/>
  </r>
  <r>
    <x v="4"/>
    <x v="8"/>
    <n v="5"/>
    <n v="0"/>
    <n v="0"/>
    <n v="0"/>
    <n v="0"/>
    <n v="0"/>
    <n v="0"/>
    <n v="0"/>
    <n v="0"/>
    <n v="0"/>
    <n v="0"/>
    <n v="0"/>
    <n v="0"/>
  </r>
  <r>
    <x v="4"/>
    <x v="24"/>
    <n v="10"/>
    <n v="1171"/>
    <n v="7"/>
    <n v="0.5978"/>
    <n v="4.68"/>
    <n v="0.67"/>
    <n v="0"/>
    <n v="0"/>
    <n v="0"/>
    <n v="0"/>
    <n v="0"/>
    <n v="0"/>
    <n v="0"/>
  </r>
  <r>
    <x v="4"/>
    <x v="10"/>
    <n v="3"/>
    <n v="171"/>
    <n v="0"/>
    <n v="0"/>
    <n v="0"/>
    <n v="0"/>
    <n v="0"/>
    <n v="0"/>
    <n v="0"/>
    <n v="0"/>
    <n v="0"/>
    <n v="0"/>
    <n v="0"/>
  </r>
  <r>
    <x v="4"/>
    <x v="11"/>
    <n v="10"/>
    <n v="4141"/>
    <n v="4"/>
    <n v="9.6600000000000005E-2"/>
    <n v="1.93"/>
    <n v="0.48"/>
    <n v="0"/>
    <n v="0"/>
    <n v="0"/>
    <n v="0"/>
    <n v="0"/>
    <n v="0"/>
    <n v="0"/>
  </r>
  <r>
    <x v="4"/>
    <x v="12"/>
    <n v="5"/>
    <n v="418"/>
    <n v="7"/>
    <n v="1.6746000000000001"/>
    <n v="17.170000000000002"/>
    <n v="2.4500000000000002"/>
    <n v="0"/>
    <n v="0"/>
    <n v="0"/>
    <n v="0"/>
    <n v="0"/>
    <n v="0"/>
    <n v="0"/>
  </r>
  <r>
    <x v="4"/>
    <x v="13"/>
    <n v="5"/>
    <n v="17"/>
    <n v="0"/>
    <n v="0"/>
    <n v="0"/>
    <n v="0"/>
    <n v="0"/>
    <n v="0"/>
    <n v="0"/>
    <n v="0"/>
    <n v="0"/>
    <n v="0"/>
    <n v="0"/>
  </r>
  <r>
    <x v="4"/>
    <x v="14"/>
    <n v="10"/>
    <n v="426"/>
    <n v="4"/>
    <n v="0.93899999999999995"/>
    <n v="1.58"/>
    <n v="0.4"/>
    <n v="0"/>
    <n v="0"/>
    <n v="0"/>
    <n v="0"/>
    <n v="0"/>
    <n v="0"/>
    <n v="0"/>
  </r>
  <r>
    <x v="4"/>
    <x v="15"/>
    <n v="5"/>
    <n v="0"/>
    <n v="0"/>
    <n v="0"/>
    <n v="0"/>
    <n v="0"/>
    <n v="0"/>
    <n v="0"/>
    <n v="0"/>
    <n v="0"/>
    <n v="0"/>
    <n v="0"/>
    <n v="0"/>
  </r>
  <r>
    <x v="4"/>
    <x v="16"/>
    <n v="30"/>
    <n v="0"/>
    <n v="0"/>
    <n v="0"/>
    <n v="0"/>
    <n v="0"/>
    <n v="0"/>
    <n v="0"/>
    <n v="0"/>
    <n v="0"/>
    <n v="0"/>
    <n v="0"/>
    <n v="0"/>
  </r>
  <r>
    <x v="4"/>
    <x v="17"/>
    <n v="2"/>
    <n v="0"/>
    <n v="0"/>
    <n v="0"/>
    <n v="0"/>
    <n v="0"/>
    <n v="0"/>
    <n v="0"/>
    <n v="0"/>
    <n v="0"/>
    <n v="0"/>
    <n v="0"/>
    <n v="0"/>
  </r>
  <r>
    <x v="4"/>
    <x v="18"/>
    <n v="10"/>
    <n v="327"/>
    <n v="0"/>
    <n v="0"/>
    <n v="0"/>
    <n v="0"/>
    <n v="0"/>
    <n v="0"/>
    <n v="0"/>
    <n v="0"/>
    <n v="0"/>
    <n v="0"/>
    <n v="0"/>
  </r>
  <r>
    <x v="4"/>
    <x v="19"/>
    <n v="15"/>
    <n v="0"/>
    <n v="0"/>
    <n v="0"/>
    <n v="0"/>
    <n v="0"/>
    <n v="0"/>
    <n v="0"/>
    <n v="0"/>
    <n v="0"/>
    <n v="0"/>
    <n v="0"/>
    <n v="0"/>
  </r>
  <r>
    <x v="4"/>
    <x v="21"/>
    <n v="20"/>
    <n v="0"/>
    <n v="0"/>
    <n v="0"/>
    <n v="0"/>
    <n v="0"/>
    <n v="0"/>
    <n v="0"/>
    <n v="0"/>
    <n v="0"/>
    <n v="0"/>
    <n v="0"/>
    <n v="0"/>
  </r>
  <r>
    <x v="4"/>
    <x v="20"/>
    <n v="15"/>
    <n v="0"/>
    <n v="0"/>
    <n v="0"/>
    <n v="0"/>
    <n v="0"/>
    <n v="0"/>
    <n v="0"/>
    <n v="0"/>
    <n v="0"/>
    <n v="0"/>
    <n v="0"/>
    <n v="0"/>
  </r>
  <r>
    <x v="4"/>
    <x v="23"/>
    <n v="10"/>
    <n v="6864"/>
    <n v="74"/>
    <n v="1.0781000000000001"/>
    <n v="20.5"/>
    <n v="0.28000000000000003"/>
    <n v="3"/>
    <n v="161.91"/>
    <n v="12.6614"/>
    <n v="0"/>
    <n v="0"/>
    <n v="0"/>
    <n v="0"/>
  </r>
  <r>
    <x v="4"/>
    <x v="25"/>
    <n v="10"/>
    <n v="2188"/>
    <n v="6"/>
    <n v="0.2742"/>
    <n v="3.66"/>
    <n v="0.61"/>
    <n v="1"/>
    <n v="23.99"/>
    <n v="15.256399999999999"/>
    <n v="0"/>
    <n v="0"/>
    <n v="0"/>
    <n v="0"/>
  </r>
  <r>
    <x v="4"/>
    <x v="6"/>
    <n v="10"/>
    <n v="6557"/>
    <n v="40"/>
    <n v="0.61"/>
    <n v="10.4"/>
    <n v="0.26"/>
    <n v="1"/>
    <n v="53.97"/>
    <n v="19.27"/>
    <n v="0"/>
    <n v="0"/>
    <n v="0"/>
    <n v="0"/>
  </r>
  <r>
    <x v="4"/>
    <x v="9"/>
    <n v="5"/>
    <n v="2939"/>
    <n v="9"/>
    <n v="0.30620000000000003"/>
    <n v="5.0999999999999996"/>
    <n v="0.56999999999999995"/>
    <n v="1"/>
    <n v="23.99"/>
    <n v="21.258900000000001"/>
    <n v="0"/>
    <n v="0"/>
    <n v="0"/>
    <n v="0"/>
  </r>
  <r>
    <x v="5"/>
    <x v="0"/>
    <n v="5"/>
    <n v="0"/>
    <n v="0"/>
    <n v="0"/>
    <n v="0"/>
    <n v="0"/>
    <n v="0"/>
    <n v="0"/>
    <n v="0"/>
    <n v="0"/>
    <n v="0"/>
    <n v="0"/>
    <n v="0"/>
  </r>
  <r>
    <x v="5"/>
    <x v="1"/>
    <n v="10"/>
    <n v="0"/>
    <n v="0"/>
    <n v="0"/>
    <n v="0"/>
    <n v="0"/>
    <n v="0"/>
    <n v="0"/>
    <n v="0"/>
    <n v="0"/>
    <n v="0"/>
    <n v="0"/>
    <n v="0"/>
  </r>
  <r>
    <x v="5"/>
    <x v="2"/>
    <n v="5"/>
    <n v="0"/>
    <n v="0"/>
    <n v="0"/>
    <n v="0"/>
    <n v="0"/>
    <n v="0"/>
    <n v="0"/>
    <n v="0"/>
    <n v="0"/>
    <n v="0"/>
    <n v="0"/>
    <n v="0"/>
  </r>
  <r>
    <x v="5"/>
    <x v="25"/>
    <n v="10"/>
    <n v="1423"/>
    <n v="2"/>
    <n v="0.14050000000000001"/>
    <n v="1.36"/>
    <n v="0.68"/>
    <n v="0"/>
    <n v="0"/>
    <n v="0"/>
    <n v="0"/>
    <n v="0"/>
    <n v="0"/>
    <n v="0"/>
  </r>
  <r>
    <x v="5"/>
    <x v="22"/>
    <n v="2"/>
    <n v="734"/>
    <n v="6"/>
    <n v="0.81740000000000002"/>
    <n v="2.1800000000000002"/>
    <n v="0.36"/>
    <n v="0"/>
    <n v="0"/>
    <n v="0"/>
    <n v="0"/>
    <n v="0"/>
    <n v="0"/>
    <n v="0"/>
  </r>
  <r>
    <x v="5"/>
    <x v="3"/>
    <n v="10"/>
    <n v="0"/>
    <n v="0"/>
    <n v="0"/>
    <n v="0"/>
    <n v="0"/>
    <n v="0"/>
    <n v="0"/>
    <n v="0"/>
    <n v="0"/>
    <n v="0"/>
    <n v="0"/>
    <n v="0"/>
  </r>
  <r>
    <x v="5"/>
    <x v="4"/>
    <n v="10"/>
    <n v="652"/>
    <n v="4"/>
    <n v="0.61350000000000005"/>
    <n v="0.17"/>
    <n v="0.04"/>
    <n v="0"/>
    <n v="0"/>
    <n v="0"/>
    <n v="0"/>
    <n v="0"/>
    <n v="0"/>
    <n v="0"/>
  </r>
  <r>
    <x v="5"/>
    <x v="5"/>
    <n v="10"/>
    <n v="16"/>
    <n v="0"/>
    <n v="0"/>
    <n v="0"/>
    <n v="0"/>
    <n v="0"/>
    <n v="0"/>
    <n v="0"/>
    <n v="0"/>
    <n v="0"/>
    <n v="0"/>
    <n v="0"/>
  </r>
  <r>
    <x v="5"/>
    <x v="6"/>
    <n v="10"/>
    <n v="6572"/>
    <n v="43"/>
    <n v="0.65429999999999999"/>
    <n v="10.59"/>
    <n v="0.25"/>
    <n v="0"/>
    <n v="0"/>
    <n v="0"/>
    <n v="0"/>
    <n v="0"/>
    <n v="0"/>
    <n v="0"/>
  </r>
  <r>
    <x v="5"/>
    <x v="7"/>
    <n v="10"/>
    <n v="1428"/>
    <n v="7"/>
    <n v="0.49020000000000002"/>
    <n v="4.55"/>
    <n v="0.65"/>
    <n v="0"/>
    <n v="0"/>
    <n v="0"/>
    <n v="0"/>
    <n v="0"/>
    <n v="0"/>
    <n v="0"/>
  </r>
  <r>
    <x v="5"/>
    <x v="8"/>
    <n v="5"/>
    <n v="0"/>
    <n v="0"/>
    <n v="0"/>
    <n v="0"/>
    <n v="0"/>
    <n v="0"/>
    <n v="0"/>
    <n v="0"/>
    <n v="0"/>
    <n v="0"/>
    <n v="0"/>
    <n v="0"/>
  </r>
  <r>
    <x v="5"/>
    <x v="24"/>
    <n v="10"/>
    <n v="1160"/>
    <n v="5"/>
    <n v="0.43099999999999999"/>
    <n v="3.25"/>
    <n v="0.65"/>
    <n v="0"/>
    <n v="0"/>
    <n v="0"/>
    <n v="0"/>
    <n v="0"/>
    <n v="0"/>
    <n v="0"/>
  </r>
  <r>
    <x v="5"/>
    <x v="10"/>
    <n v="3"/>
    <n v="252"/>
    <n v="0"/>
    <n v="0"/>
    <n v="0"/>
    <n v="0"/>
    <n v="0"/>
    <n v="0"/>
    <n v="0"/>
    <n v="0"/>
    <n v="0"/>
    <n v="0"/>
    <n v="0"/>
  </r>
  <r>
    <x v="5"/>
    <x v="12"/>
    <n v="5"/>
    <n v="420"/>
    <n v="4"/>
    <n v="0.95240000000000002"/>
    <n v="6.71"/>
    <n v="1.68"/>
    <n v="0"/>
    <n v="0"/>
    <n v="0"/>
    <n v="0"/>
    <n v="0"/>
    <n v="0"/>
    <n v="0"/>
  </r>
  <r>
    <x v="5"/>
    <x v="13"/>
    <n v="5"/>
    <n v="4"/>
    <n v="0"/>
    <n v="0"/>
    <n v="0"/>
    <n v="0"/>
    <n v="0"/>
    <n v="0"/>
    <n v="0"/>
    <n v="0"/>
    <n v="0"/>
    <n v="0"/>
    <n v="0"/>
  </r>
  <r>
    <x v="5"/>
    <x v="15"/>
    <n v="5"/>
    <n v="0"/>
    <n v="0"/>
    <n v="0"/>
    <n v="0"/>
    <n v="0"/>
    <n v="0"/>
    <n v="0"/>
    <n v="0"/>
    <n v="0"/>
    <n v="0"/>
    <n v="0"/>
    <n v="0"/>
  </r>
  <r>
    <x v="5"/>
    <x v="16"/>
    <n v="30"/>
    <n v="0"/>
    <n v="0"/>
    <n v="0"/>
    <n v="0"/>
    <n v="0"/>
    <n v="0"/>
    <n v="0"/>
    <n v="0"/>
    <n v="0"/>
    <n v="0"/>
    <n v="0"/>
    <n v="0"/>
  </r>
  <r>
    <x v="5"/>
    <x v="17"/>
    <n v="2"/>
    <n v="0"/>
    <n v="0"/>
    <n v="0"/>
    <n v="0"/>
    <n v="0"/>
    <n v="0"/>
    <n v="0"/>
    <n v="0"/>
    <n v="0"/>
    <n v="0"/>
    <n v="0"/>
    <n v="0"/>
  </r>
  <r>
    <x v="5"/>
    <x v="18"/>
    <n v="10"/>
    <n v="221"/>
    <n v="1"/>
    <n v="0.45250000000000001"/>
    <n v="0.16"/>
    <n v="0.16"/>
    <n v="0"/>
    <n v="0"/>
    <n v="0"/>
    <n v="0"/>
    <n v="0"/>
    <n v="0"/>
    <n v="0"/>
  </r>
  <r>
    <x v="5"/>
    <x v="19"/>
    <n v="15"/>
    <n v="0"/>
    <n v="0"/>
    <n v="0"/>
    <n v="0"/>
    <n v="0"/>
    <n v="0"/>
    <n v="0"/>
    <n v="0"/>
    <n v="0"/>
    <n v="0"/>
    <n v="0"/>
    <n v="0"/>
  </r>
  <r>
    <x v="5"/>
    <x v="21"/>
    <n v="20"/>
    <n v="0"/>
    <n v="0"/>
    <n v="0"/>
    <n v="0"/>
    <n v="0"/>
    <n v="0"/>
    <n v="0"/>
    <n v="0"/>
    <n v="0"/>
    <n v="0"/>
    <n v="0"/>
    <n v="0"/>
  </r>
  <r>
    <x v="5"/>
    <x v="20"/>
    <n v="15"/>
    <n v="0"/>
    <n v="0"/>
    <n v="0"/>
    <n v="0"/>
    <n v="0"/>
    <n v="0"/>
    <n v="0"/>
    <n v="0"/>
    <n v="0"/>
    <n v="0"/>
    <n v="0"/>
    <n v="0"/>
  </r>
  <r>
    <x v="5"/>
    <x v="14"/>
    <n v="10"/>
    <n v="270"/>
    <n v="1"/>
    <n v="0.37040000000000001"/>
    <n v="0.4"/>
    <n v="0.4"/>
    <n v="1"/>
    <n v="12.87"/>
    <n v="3.1080000000000001"/>
    <n v="0"/>
    <n v="0"/>
    <n v="0"/>
    <n v="0"/>
  </r>
  <r>
    <x v="5"/>
    <x v="11"/>
    <n v="10"/>
    <n v="6115"/>
    <n v="6"/>
    <n v="9.8100000000000007E-2"/>
    <n v="2.59"/>
    <n v="0.43"/>
    <n v="2"/>
    <n v="23.98"/>
    <n v="10.800700000000001"/>
    <n v="0"/>
    <n v="0"/>
    <n v="0"/>
    <n v="0"/>
  </r>
  <r>
    <x v="5"/>
    <x v="9"/>
    <n v="5"/>
    <n v="8054"/>
    <n v="10"/>
    <n v="0.1242"/>
    <n v="3.85"/>
    <n v="0.38"/>
    <n v="1"/>
    <n v="23.99"/>
    <n v="16.048400000000001"/>
    <n v="0"/>
    <n v="0"/>
    <n v="0"/>
    <n v="0"/>
  </r>
  <r>
    <x v="5"/>
    <x v="23"/>
    <n v="10"/>
    <n v="6678"/>
    <n v="63"/>
    <n v="0.94340000000000002"/>
    <n v="18.84"/>
    <n v="0.3"/>
    <n v="1"/>
    <n v="53.97"/>
    <n v="34.908299999999997"/>
    <n v="0"/>
    <n v="0"/>
    <n v="0"/>
    <n v="0"/>
  </r>
  <r>
    <x v="6"/>
    <x v="0"/>
    <n v="5"/>
    <n v="83"/>
    <n v="0"/>
    <n v="0"/>
    <n v="0"/>
    <n v="0"/>
    <n v="0"/>
    <n v="0"/>
    <n v="0"/>
    <n v="0"/>
    <n v="0"/>
    <n v="0"/>
    <n v="0"/>
  </r>
  <r>
    <x v="6"/>
    <x v="1"/>
    <n v="10"/>
    <n v="0"/>
    <n v="0"/>
    <n v="0"/>
    <n v="0"/>
    <n v="0"/>
    <n v="0"/>
    <n v="0"/>
    <n v="0"/>
    <n v="0"/>
    <n v="0"/>
    <n v="0"/>
    <n v="0"/>
  </r>
  <r>
    <x v="6"/>
    <x v="2"/>
    <n v="5"/>
    <n v="0"/>
    <n v="0"/>
    <n v="0"/>
    <n v="0"/>
    <n v="0"/>
    <n v="0"/>
    <n v="0"/>
    <n v="0"/>
    <n v="0"/>
    <n v="0"/>
    <n v="0"/>
    <n v="0"/>
  </r>
  <r>
    <x v="6"/>
    <x v="25"/>
    <n v="10"/>
    <n v="1104"/>
    <n v="4"/>
    <n v="0.36230000000000001"/>
    <n v="2.12"/>
    <n v="0.53"/>
    <n v="0"/>
    <n v="0"/>
    <n v="0"/>
    <n v="0"/>
    <n v="0"/>
    <n v="0"/>
    <n v="0"/>
  </r>
  <r>
    <x v="6"/>
    <x v="22"/>
    <n v="2"/>
    <n v="829"/>
    <n v="6"/>
    <n v="0.7238"/>
    <n v="2.27"/>
    <n v="0.38"/>
    <n v="0"/>
    <n v="0"/>
    <n v="0"/>
    <n v="0"/>
    <n v="0"/>
    <n v="0"/>
    <n v="0"/>
  </r>
  <r>
    <x v="6"/>
    <x v="3"/>
    <n v="10"/>
    <n v="0"/>
    <n v="0"/>
    <n v="0"/>
    <n v="0"/>
    <n v="0"/>
    <n v="0"/>
    <n v="0"/>
    <n v="0"/>
    <n v="0"/>
    <n v="0"/>
    <n v="0"/>
    <n v="0"/>
  </r>
  <r>
    <x v="6"/>
    <x v="4"/>
    <n v="10"/>
    <n v="1067"/>
    <n v="6"/>
    <n v="0.56230000000000002"/>
    <n v="0.21"/>
    <n v="0.04"/>
    <n v="0"/>
    <n v="0"/>
    <n v="0"/>
    <n v="0"/>
    <n v="0"/>
    <n v="0"/>
    <n v="0"/>
  </r>
  <r>
    <x v="6"/>
    <x v="5"/>
    <n v="10"/>
    <n v="25"/>
    <n v="0"/>
    <n v="0"/>
    <n v="0"/>
    <n v="0"/>
    <n v="0"/>
    <n v="0"/>
    <n v="0"/>
    <n v="0"/>
    <n v="0"/>
    <n v="0"/>
    <n v="0"/>
  </r>
  <r>
    <x v="6"/>
    <x v="6"/>
    <n v="10"/>
    <n v="5810"/>
    <n v="36"/>
    <n v="0.61960000000000004"/>
    <n v="9.86"/>
    <n v="0.27"/>
    <n v="0"/>
    <n v="0"/>
    <n v="0"/>
    <n v="0"/>
    <n v="0"/>
    <n v="0"/>
    <n v="0"/>
  </r>
  <r>
    <x v="6"/>
    <x v="7"/>
    <n v="10"/>
    <n v="1242"/>
    <n v="2"/>
    <n v="0.161"/>
    <n v="0.87"/>
    <n v="0.44"/>
    <n v="0"/>
    <n v="0"/>
    <n v="0"/>
    <n v="0"/>
    <n v="0"/>
    <n v="0"/>
    <n v="0"/>
  </r>
  <r>
    <x v="6"/>
    <x v="8"/>
    <n v="5"/>
    <n v="4"/>
    <n v="0"/>
    <n v="0"/>
    <n v="0"/>
    <n v="0"/>
    <n v="0"/>
    <n v="0"/>
    <n v="0"/>
    <n v="0"/>
    <n v="0"/>
    <n v="0"/>
    <n v="0"/>
  </r>
  <r>
    <x v="6"/>
    <x v="24"/>
    <n v="10"/>
    <n v="1012"/>
    <n v="3"/>
    <n v="0.2964"/>
    <n v="1.95"/>
    <n v="0.65"/>
    <n v="0"/>
    <n v="0"/>
    <n v="0"/>
    <n v="0"/>
    <n v="0"/>
    <n v="0"/>
    <n v="0"/>
  </r>
  <r>
    <x v="6"/>
    <x v="9"/>
    <n v="5"/>
    <n v="11591"/>
    <n v="7"/>
    <n v="6.0400000000000002E-2"/>
    <n v="4.71"/>
    <n v="0.67"/>
    <n v="0"/>
    <n v="0"/>
    <n v="0"/>
    <n v="0"/>
    <n v="0"/>
    <n v="0"/>
    <n v="0"/>
  </r>
  <r>
    <x v="6"/>
    <x v="10"/>
    <n v="3"/>
    <n v="278"/>
    <n v="0"/>
    <n v="0"/>
    <n v="0"/>
    <n v="0"/>
    <n v="0"/>
    <n v="0"/>
    <n v="0"/>
    <n v="0"/>
    <n v="0"/>
    <n v="0"/>
    <n v="0"/>
  </r>
  <r>
    <x v="6"/>
    <x v="12"/>
    <n v="5"/>
    <n v="251"/>
    <n v="3"/>
    <n v="1.1952"/>
    <n v="1.62"/>
    <n v="0.54"/>
    <n v="0"/>
    <n v="0"/>
    <n v="0"/>
    <n v="0"/>
    <n v="0"/>
    <n v="0"/>
    <n v="0"/>
  </r>
  <r>
    <x v="6"/>
    <x v="13"/>
    <n v="5"/>
    <n v="9"/>
    <n v="0"/>
    <n v="0"/>
    <n v="0"/>
    <n v="0"/>
    <n v="0"/>
    <n v="0"/>
    <n v="0"/>
    <n v="0"/>
    <n v="0"/>
    <n v="0"/>
    <n v="0"/>
  </r>
  <r>
    <x v="6"/>
    <x v="14"/>
    <n v="10"/>
    <n v="430"/>
    <n v="1"/>
    <n v="0.2326"/>
    <n v="0.43"/>
    <n v="0.43"/>
    <n v="0"/>
    <n v="0"/>
    <n v="0"/>
    <n v="0"/>
    <n v="0"/>
    <n v="0"/>
    <n v="0"/>
  </r>
  <r>
    <x v="6"/>
    <x v="15"/>
    <n v="5"/>
    <n v="0"/>
    <n v="0"/>
    <n v="0"/>
    <n v="0"/>
    <n v="0"/>
    <n v="0"/>
    <n v="0"/>
    <n v="0"/>
    <n v="0"/>
    <n v="0"/>
    <n v="0"/>
    <n v="0"/>
  </r>
  <r>
    <x v="6"/>
    <x v="16"/>
    <n v="30"/>
    <n v="0"/>
    <n v="0"/>
    <n v="0"/>
    <n v="0"/>
    <n v="0"/>
    <n v="0"/>
    <n v="0"/>
    <n v="0"/>
    <n v="0"/>
    <n v="0"/>
    <n v="0"/>
    <n v="0"/>
  </r>
  <r>
    <x v="6"/>
    <x v="17"/>
    <n v="2"/>
    <n v="0"/>
    <n v="0"/>
    <n v="0"/>
    <n v="0"/>
    <n v="0"/>
    <n v="0"/>
    <n v="0"/>
    <n v="0"/>
    <n v="0"/>
    <n v="0"/>
    <n v="0"/>
    <n v="0"/>
  </r>
  <r>
    <x v="6"/>
    <x v="18"/>
    <n v="10"/>
    <n v="347"/>
    <n v="1"/>
    <n v="0.28820000000000001"/>
    <n v="0.41"/>
    <n v="0.41"/>
    <n v="0"/>
    <n v="0"/>
    <n v="0"/>
    <n v="0"/>
    <n v="0"/>
    <n v="0"/>
    <n v="0"/>
  </r>
  <r>
    <x v="6"/>
    <x v="19"/>
    <n v="15"/>
    <n v="0"/>
    <n v="0"/>
    <n v="0"/>
    <n v="0"/>
    <n v="0"/>
    <n v="0"/>
    <n v="0"/>
    <n v="0"/>
    <n v="0"/>
    <n v="0"/>
    <n v="0"/>
    <n v="0"/>
  </r>
  <r>
    <x v="6"/>
    <x v="21"/>
    <n v="20"/>
    <n v="0"/>
    <n v="0"/>
    <n v="0"/>
    <n v="0"/>
    <n v="0"/>
    <n v="0"/>
    <n v="0"/>
    <n v="0"/>
    <n v="0"/>
    <n v="0"/>
    <n v="0"/>
    <n v="0"/>
  </r>
  <r>
    <x v="6"/>
    <x v="20"/>
    <n v="15"/>
    <n v="0"/>
    <n v="0"/>
    <n v="0"/>
    <n v="0"/>
    <n v="0"/>
    <n v="0"/>
    <n v="0"/>
    <n v="0"/>
    <n v="0"/>
    <n v="0"/>
    <n v="0"/>
    <n v="0"/>
  </r>
  <r>
    <x v="6"/>
    <x v="23"/>
    <n v="10"/>
    <n v="6038"/>
    <n v="46"/>
    <n v="0.76180000000000003"/>
    <n v="13.98"/>
    <n v="0.3"/>
    <n v="2"/>
    <n v="107.94"/>
    <n v="12.951599999999999"/>
    <n v="0"/>
    <n v="0"/>
    <n v="0"/>
    <n v="0"/>
  </r>
  <r>
    <x v="6"/>
    <x v="11"/>
    <n v="10"/>
    <n v="660"/>
    <n v="7"/>
    <n v="1.0606"/>
    <n v="4.3600000000000003"/>
    <n v="0.62"/>
    <n v="1"/>
    <n v="11.99"/>
    <n v="36.363599999999998"/>
    <n v="0"/>
    <n v="0"/>
    <n v="0"/>
    <n v="0"/>
  </r>
  <r>
    <x v="7"/>
    <x v="0"/>
    <n v="5"/>
    <n v="0"/>
    <n v="0"/>
    <n v="0"/>
    <n v="0"/>
    <n v="0"/>
    <n v="0"/>
    <n v="0"/>
    <n v="0"/>
    <n v="0"/>
    <n v="0"/>
    <n v="0"/>
    <n v="0"/>
  </r>
  <r>
    <x v="7"/>
    <x v="1"/>
    <n v="10"/>
    <n v="0"/>
    <n v="0"/>
    <n v="0"/>
    <n v="0"/>
    <n v="0"/>
    <n v="0"/>
    <n v="0"/>
    <n v="0"/>
    <n v="0"/>
    <n v="0"/>
    <n v="0"/>
    <n v="0"/>
  </r>
  <r>
    <x v="7"/>
    <x v="2"/>
    <n v="5"/>
    <n v="0"/>
    <n v="0"/>
    <n v="0"/>
    <n v="0"/>
    <n v="0"/>
    <n v="0"/>
    <n v="0"/>
    <n v="0"/>
    <n v="0"/>
    <n v="0"/>
    <n v="0"/>
    <n v="0"/>
  </r>
  <r>
    <x v="7"/>
    <x v="25"/>
    <n v="10"/>
    <n v="880"/>
    <n v="7"/>
    <n v="0.79549999999999998"/>
    <n v="4.3099999999999996"/>
    <n v="0.62"/>
    <n v="0"/>
    <n v="0"/>
    <n v="0"/>
    <n v="0"/>
    <n v="0"/>
    <n v="0"/>
    <n v="0"/>
  </r>
  <r>
    <x v="7"/>
    <x v="22"/>
    <n v="2"/>
    <n v="899"/>
    <n v="7"/>
    <n v="0.77859999999999996"/>
    <n v="2.27"/>
    <n v="0.32"/>
    <n v="0"/>
    <n v="0"/>
    <n v="0"/>
    <n v="0"/>
    <n v="0"/>
    <n v="0"/>
    <n v="0"/>
  </r>
  <r>
    <x v="7"/>
    <x v="3"/>
    <n v="10"/>
    <n v="0"/>
    <n v="0"/>
    <n v="0"/>
    <n v="0"/>
    <n v="0"/>
    <n v="0"/>
    <n v="0"/>
    <n v="0"/>
    <n v="0"/>
    <n v="0"/>
    <n v="0"/>
    <n v="0"/>
  </r>
  <r>
    <x v="7"/>
    <x v="4"/>
    <n v="10"/>
    <n v="834"/>
    <n v="7"/>
    <n v="0.83930000000000005"/>
    <n v="0.49"/>
    <n v="7.0000000000000007E-2"/>
    <n v="0"/>
    <n v="0"/>
    <n v="0"/>
    <n v="0"/>
    <n v="0"/>
    <n v="0"/>
    <n v="0"/>
  </r>
  <r>
    <x v="7"/>
    <x v="5"/>
    <n v="10"/>
    <n v="39"/>
    <n v="0"/>
    <n v="0"/>
    <n v="0"/>
    <n v="0"/>
    <n v="0"/>
    <n v="0"/>
    <n v="0"/>
    <n v="0"/>
    <n v="0"/>
    <n v="0"/>
    <n v="0"/>
  </r>
  <r>
    <x v="7"/>
    <x v="6"/>
    <n v="10"/>
    <n v="4744"/>
    <n v="36"/>
    <n v="0.75890000000000002"/>
    <n v="10.25"/>
    <n v="0.28000000000000003"/>
    <n v="0"/>
    <n v="0"/>
    <n v="0"/>
    <n v="0"/>
    <n v="0"/>
    <n v="0"/>
    <n v="0"/>
  </r>
  <r>
    <x v="7"/>
    <x v="7"/>
    <n v="10"/>
    <n v="631"/>
    <n v="5"/>
    <n v="0.79239999999999999"/>
    <n v="2.99"/>
    <n v="0.6"/>
    <n v="0"/>
    <n v="0"/>
    <n v="0"/>
    <n v="0"/>
    <n v="0"/>
    <n v="0"/>
    <n v="0"/>
  </r>
  <r>
    <x v="7"/>
    <x v="8"/>
    <n v="5"/>
    <n v="0"/>
    <n v="0"/>
    <n v="0"/>
    <n v="0"/>
    <n v="0"/>
    <n v="0"/>
    <n v="0"/>
    <n v="0"/>
    <n v="0"/>
    <n v="0"/>
    <n v="0"/>
    <n v="0"/>
  </r>
  <r>
    <x v="7"/>
    <x v="24"/>
    <n v="10"/>
    <n v="684"/>
    <n v="4"/>
    <n v="0.58479999999999999"/>
    <n v="1.78"/>
    <n v="0.45"/>
    <n v="0"/>
    <n v="0"/>
    <n v="0"/>
    <n v="0"/>
    <n v="0"/>
    <n v="0"/>
    <n v="0"/>
  </r>
  <r>
    <x v="7"/>
    <x v="9"/>
    <n v="5"/>
    <n v="5500"/>
    <n v="9"/>
    <n v="0.1636"/>
    <n v="5.28"/>
    <n v="0.59"/>
    <n v="0"/>
    <n v="0"/>
    <n v="0"/>
    <n v="0"/>
    <n v="0"/>
    <n v="0"/>
    <n v="0"/>
  </r>
  <r>
    <x v="7"/>
    <x v="10"/>
    <n v="3"/>
    <n v="249"/>
    <n v="1"/>
    <n v="0.40160000000000001"/>
    <n v="0.14000000000000001"/>
    <n v="0.14000000000000001"/>
    <n v="0"/>
    <n v="0"/>
    <n v="0"/>
    <n v="0"/>
    <n v="0"/>
    <n v="0"/>
    <n v="0"/>
  </r>
  <r>
    <x v="7"/>
    <x v="11"/>
    <n v="10"/>
    <n v="1697"/>
    <n v="2"/>
    <n v="0.1179"/>
    <n v="0.3"/>
    <n v="0.15"/>
    <n v="0"/>
    <n v="0"/>
    <n v="0"/>
    <n v="0"/>
    <n v="0"/>
    <n v="0"/>
    <n v="0"/>
  </r>
  <r>
    <x v="7"/>
    <x v="12"/>
    <n v="5"/>
    <n v="186"/>
    <n v="1"/>
    <n v="0.53759999999999997"/>
    <n v="0.31"/>
    <n v="0.31"/>
    <n v="0"/>
    <n v="0"/>
    <n v="0"/>
    <n v="0"/>
    <n v="0"/>
    <n v="0"/>
    <n v="0"/>
  </r>
  <r>
    <x v="7"/>
    <x v="13"/>
    <n v="5"/>
    <n v="3"/>
    <n v="0"/>
    <n v="0"/>
    <n v="0"/>
    <n v="0"/>
    <n v="0"/>
    <n v="0"/>
    <n v="0"/>
    <n v="0"/>
    <n v="0"/>
    <n v="0"/>
    <n v="0"/>
  </r>
  <r>
    <x v="7"/>
    <x v="14"/>
    <n v="10"/>
    <n v="312"/>
    <n v="0"/>
    <n v="0"/>
    <n v="0"/>
    <n v="0"/>
    <n v="0"/>
    <n v="0"/>
    <n v="0"/>
    <n v="0"/>
    <n v="0"/>
    <n v="0"/>
    <n v="0"/>
  </r>
  <r>
    <x v="7"/>
    <x v="15"/>
    <n v="5"/>
    <n v="2533"/>
    <n v="16"/>
    <n v="0.63170000000000004"/>
    <n v="4.66"/>
    <n v="0.28999999999999998"/>
    <n v="0"/>
    <n v="0"/>
    <n v="0"/>
    <n v="0"/>
    <n v="0"/>
    <n v="0"/>
    <n v="0"/>
  </r>
  <r>
    <x v="7"/>
    <x v="16"/>
    <n v="30"/>
    <n v="0"/>
    <n v="0"/>
    <n v="0"/>
    <n v="0"/>
    <n v="0"/>
    <n v="0"/>
    <n v="0"/>
    <n v="0"/>
    <n v="0"/>
    <n v="0"/>
    <n v="0"/>
    <n v="0"/>
  </r>
  <r>
    <x v="7"/>
    <x v="17"/>
    <n v="2"/>
    <n v="0"/>
    <n v="0"/>
    <n v="0"/>
    <n v="0"/>
    <n v="0"/>
    <n v="0"/>
    <n v="0"/>
    <n v="0"/>
    <n v="0"/>
    <n v="0"/>
    <n v="0"/>
    <n v="0"/>
  </r>
  <r>
    <x v="7"/>
    <x v="19"/>
    <n v="15"/>
    <n v="0"/>
    <n v="0"/>
    <n v="0"/>
    <n v="0"/>
    <n v="0"/>
    <n v="0"/>
    <n v="0"/>
    <n v="0"/>
    <n v="0"/>
    <n v="0"/>
    <n v="0"/>
    <n v="0"/>
  </r>
  <r>
    <x v="7"/>
    <x v="21"/>
    <n v="20"/>
    <n v="0"/>
    <n v="0"/>
    <n v="0"/>
    <n v="0"/>
    <n v="0"/>
    <n v="0"/>
    <n v="0"/>
    <n v="0"/>
    <n v="0"/>
    <n v="0"/>
    <n v="0"/>
    <n v="0"/>
  </r>
  <r>
    <x v="7"/>
    <x v="20"/>
    <n v="15"/>
    <n v="0"/>
    <n v="0"/>
    <n v="0"/>
    <n v="0"/>
    <n v="0"/>
    <n v="0"/>
    <n v="0"/>
    <n v="0"/>
    <n v="0"/>
    <n v="0"/>
    <n v="0"/>
    <n v="0"/>
  </r>
  <r>
    <x v="7"/>
    <x v="18"/>
    <n v="10"/>
    <n v="331"/>
    <n v="1"/>
    <n v="0.30209999999999998"/>
    <n v="0.27"/>
    <n v="0.27"/>
    <n v="1"/>
    <n v="35.97"/>
    <n v="0.75060000000000004"/>
    <n v="0"/>
    <n v="0"/>
    <n v="0"/>
    <n v="0"/>
  </r>
  <r>
    <x v="7"/>
    <x v="23"/>
    <n v="10"/>
    <n v="4852"/>
    <n v="59"/>
    <n v="1.216"/>
    <n v="17.850000000000001"/>
    <n v="0.3"/>
    <n v="1"/>
    <n v="53.97"/>
    <n v="33.073900000000002"/>
    <n v="0"/>
    <n v="0"/>
    <n v="0"/>
    <n v="0"/>
  </r>
  <r>
    <x v="8"/>
    <x v="0"/>
    <n v="5"/>
    <n v="42"/>
    <n v="0"/>
    <n v="0"/>
    <n v="0"/>
    <n v="0"/>
    <n v="0"/>
    <n v="0"/>
    <n v="0"/>
    <n v="0"/>
    <n v="0"/>
    <n v="0"/>
    <n v="0"/>
  </r>
  <r>
    <x v="8"/>
    <x v="1"/>
    <n v="10"/>
    <n v="0"/>
    <n v="0"/>
    <n v="0"/>
    <n v="0"/>
    <n v="0"/>
    <n v="0"/>
    <n v="0"/>
    <n v="0"/>
    <n v="0"/>
    <n v="0"/>
    <n v="0"/>
    <n v="0"/>
  </r>
  <r>
    <x v="8"/>
    <x v="2"/>
    <n v="5"/>
    <n v="0"/>
    <n v="0"/>
    <n v="0"/>
    <n v="0"/>
    <n v="0"/>
    <n v="0"/>
    <n v="0"/>
    <n v="0"/>
    <n v="0"/>
    <n v="0"/>
    <n v="0"/>
    <n v="0"/>
  </r>
  <r>
    <x v="8"/>
    <x v="22"/>
    <n v="2"/>
    <n v="785"/>
    <n v="8"/>
    <n v="1.0190999999999999"/>
    <n v="2.12"/>
    <n v="0.27"/>
    <n v="0"/>
    <n v="0"/>
    <n v="0"/>
    <n v="0"/>
    <n v="0"/>
    <n v="0"/>
    <n v="0"/>
  </r>
  <r>
    <x v="8"/>
    <x v="3"/>
    <n v="10"/>
    <n v="0"/>
    <n v="0"/>
    <n v="0"/>
    <n v="0"/>
    <n v="0"/>
    <n v="0"/>
    <n v="0"/>
    <n v="0"/>
    <n v="0"/>
    <n v="0"/>
    <n v="0"/>
    <n v="0"/>
  </r>
  <r>
    <x v="8"/>
    <x v="5"/>
    <n v="10"/>
    <n v="44"/>
    <n v="0"/>
    <n v="0"/>
    <n v="0"/>
    <n v="0"/>
    <n v="0"/>
    <n v="0"/>
    <n v="0"/>
    <n v="0"/>
    <n v="0"/>
    <n v="0"/>
    <n v="0"/>
  </r>
  <r>
    <x v="8"/>
    <x v="8"/>
    <n v="5"/>
    <n v="6"/>
    <n v="0"/>
    <n v="0"/>
    <n v="0"/>
    <n v="0"/>
    <n v="0"/>
    <n v="0"/>
    <n v="0"/>
    <n v="0"/>
    <n v="0"/>
    <n v="0"/>
    <n v="0"/>
  </r>
  <r>
    <x v="8"/>
    <x v="24"/>
    <n v="10"/>
    <n v="681"/>
    <n v="4"/>
    <n v="0.58740000000000003"/>
    <n v="2.57"/>
    <n v="0.64"/>
    <n v="0"/>
    <n v="0"/>
    <n v="0"/>
    <n v="0"/>
    <n v="0"/>
    <n v="0"/>
    <n v="0"/>
  </r>
  <r>
    <x v="8"/>
    <x v="9"/>
    <n v="5"/>
    <n v="5606"/>
    <n v="6"/>
    <n v="0.107"/>
    <n v="3.48"/>
    <n v="0.57999999999999996"/>
    <n v="0"/>
    <n v="0"/>
    <n v="0"/>
    <n v="0"/>
    <n v="0"/>
    <n v="0"/>
    <n v="0"/>
  </r>
  <r>
    <x v="8"/>
    <x v="10"/>
    <n v="3"/>
    <n v="263"/>
    <n v="0"/>
    <n v="0"/>
    <n v="0"/>
    <n v="0"/>
    <n v="0"/>
    <n v="0"/>
    <n v="0"/>
    <n v="0"/>
    <n v="0"/>
    <n v="0"/>
    <n v="0"/>
  </r>
  <r>
    <x v="8"/>
    <x v="12"/>
    <n v="5"/>
    <n v="94"/>
    <n v="0"/>
    <n v="0"/>
    <n v="0"/>
    <n v="0"/>
    <n v="0"/>
    <n v="0"/>
    <n v="0"/>
    <n v="0"/>
    <n v="0"/>
    <n v="0"/>
    <n v="0"/>
  </r>
  <r>
    <x v="8"/>
    <x v="13"/>
    <n v="5"/>
    <n v="2"/>
    <n v="0"/>
    <n v="0"/>
    <n v="0"/>
    <n v="0"/>
    <n v="0"/>
    <n v="0"/>
    <n v="0"/>
    <n v="0"/>
    <n v="0"/>
    <n v="0"/>
    <n v="0"/>
  </r>
  <r>
    <x v="8"/>
    <x v="14"/>
    <n v="10"/>
    <n v="173"/>
    <n v="0"/>
    <n v="0"/>
    <n v="0"/>
    <n v="0"/>
    <n v="0"/>
    <n v="0"/>
    <n v="0"/>
    <n v="0"/>
    <n v="0"/>
    <n v="0"/>
    <n v="0"/>
  </r>
  <r>
    <x v="8"/>
    <x v="15"/>
    <n v="5"/>
    <n v="730"/>
    <n v="4"/>
    <n v="0.54790000000000005"/>
    <n v="1.1499999999999999"/>
    <n v="0.28999999999999998"/>
    <n v="0"/>
    <n v="0"/>
    <n v="0"/>
    <n v="0"/>
    <n v="0"/>
    <n v="0"/>
    <n v="0"/>
  </r>
  <r>
    <x v="8"/>
    <x v="16"/>
    <n v="30"/>
    <n v="0"/>
    <n v="0"/>
    <n v="0"/>
    <n v="0"/>
    <n v="0"/>
    <n v="0"/>
    <n v="0"/>
    <n v="0"/>
    <n v="0"/>
    <n v="0"/>
    <n v="0"/>
    <n v="0"/>
  </r>
  <r>
    <x v="8"/>
    <x v="17"/>
    <n v="2"/>
    <n v="0"/>
    <n v="0"/>
    <n v="0"/>
    <n v="0"/>
    <n v="0"/>
    <n v="0"/>
    <n v="0"/>
    <n v="0"/>
    <n v="0"/>
    <n v="0"/>
    <n v="0"/>
    <n v="0"/>
  </r>
  <r>
    <x v="8"/>
    <x v="18"/>
    <n v="10"/>
    <n v="328"/>
    <n v="0"/>
    <n v="0"/>
    <n v="0"/>
    <n v="0"/>
    <n v="0"/>
    <n v="0"/>
    <n v="0"/>
    <n v="0"/>
    <n v="0"/>
    <n v="0"/>
    <n v="0"/>
  </r>
  <r>
    <x v="8"/>
    <x v="19"/>
    <n v="15"/>
    <n v="0"/>
    <n v="0"/>
    <n v="0"/>
    <n v="0"/>
    <n v="0"/>
    <n v="0"/>
    <n v="0"/>
    <n v="0"/>
    <n v="0"/>
    <n v="0"/>
    <n v="0"/>
    <n v="0"/>
  </r>
  <r>
    <x v="8"/>
    <x v="21"/>
    <n v="20"/>
    <n v="1278"/>
    <n v="14"/>
    <n v="1.0954999999999999"/>
    <n v="3.49"/>
    <n v="0.25"/>
    <n v="0"/>
    <n v="0"/>
    <n v="0"/>
    <n v="0"/>
    <n v="0"/>
    <n v="0"/>
    <n v="0"/>
  </r>
  <r>
    <x v="8"/>
    <x v="20"/>
    <n v="15"/>
    <n v="0"/>
    <n v="0"/>
    <n v="0"/>
    <n v="0"/>
    <n v="0"/>
    <n v="0"/>
    <n v="0"/>
    <n v="0"/>
    <n v="0"/>
    <n v="0"/>
    <n v="0"/>
    <n v="0"/>
  </r>
  <r>
    <x v="8"/>
    <x v="4"/>
    <n v="10"/>
    <n v="788"/>
    <n v="6"/>
    <n v="0.76139999999999997"/>
    <n v="0.24"/>
    <n v="0.04"/>
    <n v="1"/>
    <n v="75.97"/>
    <n v="0.31590000000000001"/>
    <n v="0"/>
    <n v="0"/>
    <n v="0"/>
    <n v="0"/>
  </r>
  <r>
    <x v="8"/>
    <x v="25"/>
    <n v="10"/>
    <n v="668"/>
    <n v="2"/>
    <n v="0.2994"/>
    <n v="1.29"/>
    <n v="0.65"/>
    <n v="1"/>
    <n v="23.99"/>
    <n v="5.3772000000000002"/>
    <n v="0"/>
    <n v="0"/>
    <n v="0"/>
    <n v="0"/>
  </r>
  <r>
    <x v="8"/>
    <x v="7"/>
    <n v="10"/>
    <n v="778"/>
    <n v="2"/>
    <n v="0.2571"/>
    <n v="1.74"/>
    <n v="0.87"/>
    <n v="1"/>
    <n v="23.99"/>
    <n v="7.2530000000000001"/>
    <n v="0"/>
    <n v="0"/>
    <n v="0"/>
    <n v="0"/>
  </r>
  <r>
    <x v="8"/>
    <x v="23"/>
    <n v="10"/>
    <n v="3524"/>
    <n v="37"/>
    <n v="1.0499000000000001"/>
    <n v="10.130000000000001"/>
    <n v="0.27"/>
    <n v="1"/>
    <n v="53.97"/>
    <n v="18.7697"/>
    <n v="0"/>
    <n v="0"/>
    <n v="0"/>
    <n v="0"/>
  </r>
  <r>
    <x v="8"/>
    <x v="6"/>
    <n v="10"/>
    <n v="4190"/>
    <n v="41"/>
    <n v="0.97850000000000004"/>
    <n v="10.199999999999999"/>
    <n v="0.25"/>
    <n v="1"/>
    <n v="53.97"/>
    <n v="18.8994"/>
    <n v="0"/>
    <n v="0"/>
    <n v="0"/>
    <n v="0"/>
  </r>
  <r>
    <x v="8"/>
    <x v="11"/>
    <n v="10"/>
    <n v="452"/>
    <n v="5"/>
    <n v="1.1062000000000001"/>
    <n v="2.38"/>
    <n v="0.48"/>
    <n v="1"/>
    <n v="11.99"/>
    <n v="19.849900000000002"/>
    <n v="0"/>
    <n v="0"/>
    <n v="0"/>
    <n v="0"/>
  </r>
  <r>
    <x v="9"/>
    <x v="0"/>
    <n v="5"/>
    <n v="962"/>
    <n v="14"/>
    <n v="1.4553"/>
    <n v="2.35"/>
    <n v="0.17"/>
    <n v="0"/>
    <n v="0"/>
    <n v="0"/>
    <n v="0"/>
    <n v="0"/>
    <n v="0"/>
    <n v="0"/>
  </r>
  <r>
    <x v="9"/>
    <x v="1"/>
    <n v="10"/>
    <n v="0"/>
    <n v="0"/>
    <n v="0"/>
    <n v="0"/>
    <n v="0"/>
    <n v="0"/>
    <n v="0"/>
    <n v="0"/>
    <n v="0"/>
    <n v="0"/>
    <n v="0"/>
    <n v="0"/>
  </r>
  <r>
    <x v="9"/>
    <x v="2"/>
    <n v="5"/>
    <n v="0"/>
    <n v="0"/>
    <n v="0"/>
    <n v="0"/>
    <n v="0"/>
    <n v="0"/>
    <n v="0"/>
    <n v="0"/>
    <n v="0"/>
    <n v="0"/>
    <n v="0"/>
    <n v="0"/>
  </r>
  <r>
    <x v="9"/>
    <x v="25"/>
    <n v="10"/>
    <n v="380"/>
    <n v="5"/>
    <n v="1.3158000000000001"/>
    <n v="3.05"/>
    <n v="0.61"/>
    <n v="0"/>
    <n v="0"/>
    <n v="0"/>
    <n v="0"/>
    <n v="0"/>
    <n v="0"/>
    <n v="0"/>
  </r>
  <r>
    <x v="9"/>
    <x v="23"/>
    <n v="10"/>
    <n v="1406"/>
    <n v="18"/>
    <n v="1.2802"/>
    <n v="4.74"/>
    <n v="0.26"/>
    <n v="0"/>
    <n v="0"/>
    <n v="0"/>
    <n v="0"/>
    <n v="0"/>
    <n v="0"/>
    <n v="0"/>
  </r>
  <r>
    <x v="9"/>
    <x v="3"/>
    <n v="10"/>
    <n v="0"/>
    <n v="0"/>
    <n v="0"/>
    <n v="0"/>
    <n v="0"/>
    <n v="0"/>
    <n v="0"/>
    <n v="0"/>
    <n v="0"/>
    <n v="0"/>
    <n v="0"/>
    <n v="0"/>
  </r>
  <r>
    <x v="9"/>
    <x v="4"/>
    <n v="10"/>
    <n v="525"/>
    <n v="2"/>
    <n v="0.38100000000000001"/>
    <n v="0.13"/>
    <n v="7.0000000000000007E-2"/>
    <n v="0"/>
    <n v="0"/>
    <n v="0"/>
    <n v="0"/>
    <n v="0"/>
    <n v="0"/>
    <n v="0"/>
  </r>
  <r>
    <x v="9"/>
    <x v="5"/>
    <n v="10"/>
    <n v="70"/>
    <n v="0"/>
    <n v="0"/>
    <n v="0"/>
    <n v="0"/>
    <n v="0"/>
    <n v="0"/>
    <n v="0"/>
    <n v="0"/>
    <n v="0"/>
    <n v="0"/>
    <n v="0"/>
  </r>
  <r>
    <x v="9"/>
    <x v="6"/>
    <n v="10"/>
    <n v="9575"/>
    <n v="47"/>
    <n v="0.4909"/>
    <n v="10.66"/>
    <n v="0.23"/>
    <n v="0"/>
    <n v="0"/>
    <n v="0"/>
    <n v="0"/>
    <n v="0"/>
    <n v="0"/>
    <n v="0"/>
  </r>
  <r>
    <x v="9"/>
    <x v="7"/>
    <n v="10"/>
    <n v="132"/>
    <n v="0"/>
    <n v="0"/>
    <n v="0"/>
    <n v="0"/>
    <n v="0"/>
    <n v="0"/>
    <n v="0"/>
    <n v="0"/>
    <n v="0"/>
    <n v="0"/>
    <n v="0"/>
  </r>
  <r>
    <x v="9"/>
    <x v="8"/>
    <n v="5"/>
    <n v="90"/>
    <n v="4"/>
    <n v="4.4443999999999999"/>
    <n v="0.08"/>
    <n v="0.02"/>
    <n v="0"/>
    <n v="0"/>
    <n v="0"/>
    <n v="0"/>
    <n v="0"/>
    <n v="0"/>
    <n v="0"/>
  </r>
  <r>
    <x v="9"/>
    <x v="24"/>
    <n v="10"/>
    <n v="519"/>
    <n v="3"/>
    <n v="0.57799999999999996"/>
    <n v="1.5"/>
    <n v="0.5"/>
    <n v="0"/>
    <n v="0"/>
    <n v="0"/>
    <n v="0"/>
    <n v="0"/>
    <n v="0"/>
    <n v="0"/>
  </r>
  <r>
    <x v="9"/>
    <x v="11"/>
    <n v="10"/>
    <n v="330"/>
    <n v="8"/>
    <n v="2.4241999999999999"/>
    <n v="3.78"/>
    <n v="0.47"/>
    <n v="0"/>
    <n v="0"/>
    <n v="0"/>
    <n v="0"/>
    <n v="0"/>
    <n v="0"/>
    <n v="0"/>
  </r>
  <r>
    <x v="9"/>
    <x v="12"/>
    <n v="5"/>
    <n v="163"/>
    <n v="0"/>
    <n v="0"/>
    <n v="0"/>
    <n v="0"/>
    <n v="0"/>
    <n v="0"/>
    <n v="0"/>
    <n v="0"/>
    <n v="0"/>
    <n v="0"/>
    <n v="0"/>
  </r>
  <r>
    <x v="9"/>
    <x v="13"/>
    <n v="5"/>
    <n v="8"/>
    <n v="1"/>
    <n v="12.5"/>
    <n v="0.02"/>
    <n v="0.02"/>
    <n v="0"/>
    <n v="0"/>
    <n v="0"/>
    <n v="0"/>
    <n v="0"/>
    <n v="0"/>
    <n v="0"/>
  </r>
  <r>
    <x v="9"/>
    <x v="14"/>
    <n v="10"/>
    <n v="188"/>
    <n v="0"/>
    <n v="0"/>
    <n v="0"/>
    <n v="0"/>
    <n v="0"/>
    <n v="0"/>
    <n v="0"/>
    <n v="0"/>
    <n v="0"/>
    <n v="0"/>
    <n v="0"/>
  </r>
  <r>
    <x v="9"/>
    <x v="16"/>
    <n v="30"/>
    <n v="0"/>
    <n v="0"/>
    <n v="0"/>
    <n v="0"/>
    <n v="0"/>
    <n v="0"/>
    <n v="0"/>
    <n v="0"/>
    <n v="0"/>
    <n v="0"/>
    <n v="0"/>
    <n v="0"/>
  </r>
  <r>
    <x v="9"/>
    <x v="17"/>
    <n v="2"/>
    <n v="0"/>
    <n v="0"/>
    <n v="0"/>
    <n v="0"/>
    <n v="0"/>
    <n v="0"/>
    <n v="0"/>
    <n v="0"/>
    <n v="0"/>
    <n v="0"/>
    <n v="0"/>
    <n v="0"/>
  </r>
  <r>
    <x v="9"/>
    <x v="18"/>
    <n v="10"/>
    <n v="337"/>
    <n v="2"/>
    <n v="0.59350000000000003"/>
    <n v="0.41"/>
    <n v="0.21"/>
    <n v="0"/>
    <n v="0"/>
    <n v="0"/>
    <n v="0"/>
    <n v="0"/>
    <n v="0"/>
    <n v="0"/>
  </r>
  <r>
    <x v="9"/>
    <x v="19"/>
    <n v="15"/>
    <n v="0"/>
    <n v="0"/>
    <n v="0"/>
    <n v="0"/>
    <n v="0"/>
    <n v="0"/>
    <n v="0"/>
    <n v="0"/>
    <n v="0"/>
    <n v="0"/>
    <n v="0"/>
    <n v="0"/>
  </r>
  <r>
    <x v="9"/>
    <x v="20"/>
    <n v="15"/>
    <n v="0"/>
    <n v="0"/>
    <n v="0"/>
    <n v="0"/>
    <n v="0"/>
    <n v="0"/>
    <n v="0"/>
    <n v="0"/>
    <n v="0"/>
    <n v="0"/>
    <n v="0"/>
    <n v="0"/>
  </r>
  <r>
    <x v="9"/>
    <x v="10"/>
    <n v="3"/>
    <n v="332"/>
    <n v="1"/>
    <n v="0.30120000000000002"/>
    <n v="0.12"/>
    <n v="0.12"/>
    <n v="1"/>
    <n v="10.99"/>
    <n v="1.0919000000000001"/>
    <n v="0"/>
    <n v="0"/>
    <n v="0"/>
    <n v="0"/>
  </r>
  <r>
    <x v="9"/>
    <x v="9"/>
    <n v="5"/>
    <n v="524"/>
    <n v="1"/>
    <n v="0.1908"/>
    <n v="0.72"/>
    <n v="0.72"/>
    <n v="1"/>
    <n v="23.99"/>
    <n v="3.0013000000000001"/>
    <n v="0"/>
    <n v="0"/>
    <n v="0"/>
    <n v="0"/>
  </r>
  <r>
    <x v="9"/>
    <x v="15"/>
    <n v="5"/>
    <n v="3513"/>
    <n v="22"/>
    <n v="0.62619999999999998"/>
    <n v="5.72"/>
    <n v="0.26"/>
    <n v="1"/>
    <n v="77.97"/>
    <n v="7.3361999999999998"/>
    <n v="0"/>
    <n v="0"/>
    <n v="0"/>
    <n v="0"/>
  </r>
  <r>
    <x v="9"/>
    <x v="22"/>
    <n v="2"/>
    <n v="3250"/>
    <n v="23"/>
    <n v="0.7077"/>
    <n v="8.35"/>
    <n v="0.36"/>
    <n v="1"/>
    <n v="53.97"/>
    <n v="15.4716"/>
    <n v="1"/>
    <n v="100"/>
    <n v="53.97"/>
    <n v="100"/>
  </r>
  <r>
    <x v="9"/>
    <x v="21"/>
    <n v="20"/>
    <n v="5879"/>
    <n v="51"/>
    <n v="0.86750000000000005"/>
    <n v="13.59"/>
    <n v="0.27"/>
    <n v="1"/>
    <n v="77.97"/>
    <n v="17.4298"/>
    <n v="0"/>
    <n v="0"/>
    <n v="0"/>
    <n v="0"/>
  </r>
  <r>
    <x v="10"/>
    <x v="0"/>
    <n v="5"/>
    <n v="1341"/>
    <n v="18"/>
    <n v="1.3423"/>
    <n v="3.22"/>
    <n v="0.18"/>
    <n v="0"/>
    <n v="0"/>
    <n v="0"/>
    <n v="0"/>
    <n v="0"/>
    <n v="0"/>
    <n v="0"/>
  </r>
  <r>
    <x v="10"/>
    <x v="1"/>
    <n v="10"/>
    <n v="0"/>
    <n v="0"/>
    <n v="0"/>
    <n v="0"/>
    <n v="0"/>
    <n v="0"/>
    <n v="0"/>
    <n v="0"/>
    <n v="0"/>
    <n v="0"/>
    <n v="0"/>
    <n v="0"/>
  </r>
  <r>
    <x v="10"/>
    <x v="2"/>
    <n v="5"/>
    <n v="0"/>
    <n v="0"/>
    <n v="0"/>
    <n v="0"/>
    <n v="0"/>
    <n v="0"/>
    <n v="0"/>
    <n v="0"/>
    <n v="0"/>
    <n v="0"/>
    <n v="0"/>
    <n v="0"/>
  </r>
  <r>
    <x v="10"/>
    <x v="25"/>
    <n v="10"/>
    <n v="1539"/>
    <n v="9"/>
    <n v="0.58479999999999999"/>
    <n v="5.81"/>
    <n v="0.65"/>
    <n v="0"/>
    <n v="0"/>
    <n v="0"/>
    <n v="0"/>
    <n v="0"/>
    <n v="0"/>
    <n v="0"/>
  </r>
  <r>
    <x v="10"/>
    <x v="22"/>
    <n v="2"/>
    <n v="2678"/>
    <n v="26"/>
    <n v="0.97089999999999999"/>
    <n v="10.09"/>
    <n v="0.39"/>
    <n v="0"/>
    <n v="0"/>
    <n v="0"/>
    <n v="0"/>
    <n v="0"/>
    <n v="0"/>
    <n v="0"/>
  </r>
  <r>
    <x v="10"/>
    <x v="3"/>
    <n v="10"/>
    <n v="0"/>
    <n v="0"/>
    <n v="0"/>
    <n v="0"/>
    <n v="0"/>
    <n v="0"/>
    <n v="0"/>
    <n v="0"/>
    <n v="0"/>
    <n v="0"/>
    <n v="0"/>
    <n v="0"/>
  </r>
  <r>
    <x v="10"/>
    <x v="4"/>
    <n v="10"/>
    <n v="72"/>
    <n v="0"/>
    <n v="0"/>
    <n v="0"/>
    <n v="0"/>
    <n v="0"/>
    <n v="0"/>
    <n v="0"/>
    <n v="0"/>
    <n v="0"/>
    <n v="0"/>
    <n v="0"/>
  </r>
  <r>
    <x v="10"/>
    <x v="5"/>
    <n v="10"/>
    <n v="30"/>
    <n v="0"/>
    <n v="0"/>
    <n v="0"/>
    <n v="0"/>
    <n v="1"/>
    <n v="6.97"/>
    <n v="0"/>
    <n v="0"/>
    <n v="0"/>
    <n v="0"/>
    <n v="0"/>
  </r>
  <r>
    <x v="10"/>
    <x v="6"/>
    <n v="10"/>
    <n v="3282"/>
    <n v="15"/>
    <n v="0.45700000000000002"/>
    <n v="2.72"/>
    <n v="0.18"/>
    <n v="0"/>
    <n v="0"/>
    <n v="0"/>
    <n v="0"/>
    <n v="0"/>
    <n v="0"/>
    <n v="0"/>
  </r>
  <r>
    <x v="10"/>
    <x v="7"/>
    <n v="10"/>
    <n v="857"/>
    <n v="4"/>
    <n v="0.4667"/>
    <n v="1.61"/>
    <n v="0.4"/>
    <n v="0"/>
    <n v="0"/>
    <n v="0"/>
    <n v="0"/>
    <n v="0"/>
    <n v="0"/>
    <n v="0"/>
  </r>
  <r>
    <x v="10"/>
    <x v="8"/>
    <n v="5"/>
    <n v="63"/>
    <n v="1"/>
    <n v="1.5872999999999999"/>
    <n v="0.02"/>
    <n v="0.02"/>
    <n v="0"/>
    <n v="0"/>
    <n v="0"/>
    <n v="0"/>
    <n v="0"/>
    <n v="0"/>
    <n v="0"/>
  </r>
  <r>
    <x v="10"/>
    <x v="10"/>
    <n v="3"/>
    <n v="243"/>
    <n v="1"/>
    <n v="0.41149999999999998"/>
    <n v="0.11"/>
    <n v="0.11"/>
    <n v="0"/>
    <n v="0"/>
    <n v="0"/>
    <n v="0"/>
    <n v="0"/>
    <n v="0"/>
    <n v="0"/>
  </r>
  <r>
    <x v="10"/>
    <x v="11"/>
    <n v="10"/>
    <n v="414"/>
    <n v="5"/>
    <n v="1.2077"/>
    <n v="1.98"/>
    <n v="0.4"/>
    <n v="0"/>
    <n v="0"/>
    <n v="0"/>
    <n v="0"/>
    <n v="0"/>
    <n v="0"/>
    <n v="0"/>
  </r>
  <r>
    <x v="10"/>
    <x v="12"/>
    <n v="5"/>
    <n v="134"/>
    <n v="1"/>
    <n v="0.74629999999999996"/>
    <n v="0.35"/>
    <n v="0.35"/>
    <n v="0"/>
    <n v="0"/>
    <n v="0"/>
    <n v="0"/>
    <n v="0"/>
    <n v="0"/>
    <n v="0"/>
  </r>
  <r>
    <x v="10"/>
    <x v="13"/>
    <n v="5"/>
    <n v="3"/>
    <n v="0"/>
    <n v="0"/>
    <n v="0"/>
    <n v="0"/>
    <n v="0"/>
    <n v="0"/>
    <n v="0"/>
    <n v="0"/>
    <n v="0"/>
    <n v="0"/>
    <n v="0"/>
  </r>
  <r>
    <x v="10"/>
    <x v="14"/>
    <n v="10"/>
    <n v="229"/>
    <n v="1"/>
    <n v="0.43669999999999998"/>
    <n v="0.28000000000000003"/>
    <n v="0.28000000000000003"/>
    <n v="0"/>
    <n v="0"/>
    <n v="0"/>
    <n v="0"/>
    <n v="0"/>
    <n v="0"/>
    <n v="0"/>
  </r>
  <r>
    <x v="10"/>
    <x v="16"/>
    <n v="30"/>
    <n v="0"/>
    <n v="0"/>
    <n v="0"/>
    <n v="0"/>
    <n v="0"/>
    <n v="0"/>
    <n v="0"/>
    <n v="0"/>
    <n v="0"/>
    <n v="0"/>
    <n v="0"/>
    <n v="0"/>
  </r>
  <r>
    <x v="10"/>
    <x v="17"/>
    <n v="2"/>
    <n v="0"/>
    <n v="0"/>
    <n v="0"/>
    <n v="0"/>
    <n v="0"/>
    <n v="0"/>
    <n v="0"/>
    <n v="0"/>
    <n v="0"/>
    <n v="0"/>
    <n v="0"/>
    <n v="0"/>
  </r>
  <r>
    <x v="10"/>
    <x v="18"/>
    <n v="10"/>
    <n v="261"/>
    <n v="0"/>
    <n v="0"/>
    <n v="0"/>
    <n v="0"/>
    <n v="0"/>
    <n v="0"/>
    <n v="0"/>
    <n v="0"/>
    <n v="0"/>
    <n v="0"/>
    <n v="0"/>
  </r>
  <r>
    <x v="10"/>
    <x v="19"/>
    <n v="15"/>
    <n v="0"/>
    <n v="0"/>
    <n v="0"/>
    <n v="0"/>
    <n v="0"/>
    <n v="0"/>
    <n v="0"/>
    <n v="0"/>
    <n v="0"/>
    <n v="0"/>
    <n v="0"/>
    <n v="0"/>
  </r>
  <r>
    <x v="10"/>
    <x v="20"/>
    <n v="15"/>
    <n v="0"/>
    <n v="0"/>
    <n v="0"/>
    <n v="0"/>
    <n v="0"/>
    <n v="0"/>
    <n v="0"/>
    <n v="0"/>
    <n v="0"/>
    <n v="0"/>
    <n v="0"/>
    <n v="0"/>
  </r>
  <r>
    <x v="10"/>
    <x v="23"/>
    <n v="10"/>
    <n v="468"/>
    <n v="6"/>
    <n v="1.2821"/>
    <n v="1.89"/>
    <n v="0.32"/>
    <n v="2"/>
    <n v="129.94"/>
    <n v="1.4544999999999999"/>
    <n v="0"/>
    <n v="0"/>
    <n v="0"/>
    <n v="0"/>
  </r>
  <r>
    <x v="10"/>
    <x v="24"/>
    <n v="10"/>
    <n v="682"/>
    <n v="2"/>
    <n v="0.29330000000000001"/>
    <n v="1.1499999999999999"/>
    <n v="0.56999999999999995"/>
    <n v="1"/>
    <n v="16.37"/>
    <n v="7.0250000000000004"/>
    <n v="0"/>
    <n v="0"/>
    <n v="0"/>
    <n v="0"/>
  </r>
  <r>
    <x v="10"/>
    <x v="21"/>
    <n v="20"/>
    <n v="7253"/>
    <n v="84"/>
    <n v="1.1580999999999999"/>
    <n v="22.49"/>
    <n v="0.27"/>
    <n v="4"/>
    <n v="315.88"/>
    <n v="7.1197999999999997"/>
    <n v="0"/>
    <n v="0"/>
    <n v="0"/>
    <n v="0"/>
  </r>
  <r>
    <x v="10"/>
    <x v="15"/>
    <n v="5"/>
    <n v="3918"/>
    <n v="20"/>
    <n v="0.51049999999999995"/>
    <n v="5.54"/>
    <n v="0.28000000000000003"/>
    <n v="1"/>
    <n v="57.99"/>
    <n v="9.5533999999999999"/>
    <n v="0"/>
    <n v="0"/>
    <n v="0"/>
    <n v="0"/>
  </r>
  <r>
    <x v="10"/>
    <x v="9"/>
    <n v="5"/>
    <n v="4269"/>
    <n v="9"/>
    <n v="0.21079999999999999"/>
    <n v="5.53"/>
    <n v="0.61"/>
    <n v="1"/>
    <n v="23.99"/>
    <n v="23.051300000000001"/>
    <n v="0"/>
    <n v="0"/>
    <n v="0"/>
    <n v="0"/>
  </r>
  <r>
    <x v="11"/>
    <x v="0"/>
    <n v="5"/>
    <n v="1288"/>
    <n v="22"/>
    <n v="1.7081"/>
    <n v="6.26"/>
    <n v="0.28000000000000003"/>
    <n v="0"/>
    <n v="0"/>
    <n v="0"/>
    <n v="0"/>
    <n v="0"/>
    <n v="0"/>
    <n v="0"/>
  </r>
  <r>
    <x v="11"/>
    <x v="1"/>
    <n v="10"/>
    <n v="0"/>
    <n v="0"/>
    <n v="0"/>
    <n v="0"/>
    <n v="0"/>
    <n v="0"/>
    <n v="0"/>
    <n v="0"/>
    <n v="0"/>
    <n v="0"/>
    <n v="0"/>
    <n v="0"/>
  </r>
  <r>
    <x v="11"/>
    <x v="2"/>
    <n v="5"/>
    <n v="0"/>
    <n v="0"/>
    <n v="0"/>
    <n v="0"/>
    <n v="0"/>
    <n v="0"/>
    <n v="0"/>
    <n v="0"/>
    <n v="0"/>
    <n v="0"/>
    <n v="0"/>
    <n v="0"/>
  </r>
  <r>
    <x v="11"/>
    <x v="25"/>
    <n v="10"/>
    <n v="1405"/>
    <n v="12"/>
    <n v="0.85409999999999997"/>
    <n v="7.03"/>
    <n v="0.59"/>
    <n v="0"/>
    <n v="0"/>
    <n v="0"/>
    <n v="0"/>
    <n v="0"/>
    <n v="0"/>
    <n v="0"/>
  </r>
  <r>
    <x v="11"/>
    <x v="22"/>
    <n v="2"/>
    <n v="610"/>
    <n v="6"/>
    <n v="0.98360000000000003"/>
    <n v="2.23"/>
    <n v="0.37"/>
    <n v="0"/>
    <n v="0"/>
    <n v="0"/>
    <n v="0"/>
    <n v="0"/>
    <n v="0"/>
    <n v="0"/>
  </r>
  <r>
    <x v="11"/>
    <x v="23"/>
    <n v="10"/>
    <n v="0"/>
    <n v="0"/>
    <n v="0"/>
    <n v="0"/>
    <n v="0"/>
    <n v="0"/>
    <n v="0"/>
    <n v="0"/>
    <n v="0"/>
    <n v="0"/>
    <n v="0"/>
    <n v="0"/>
  </r>
  <r>
    <x v="11"/>
    <x v="3"/>
    <n v="10"/>
    <n v="0"/>
    <n v="0"/>
    <n v="0"/>
    <n v="0"/>
    <n v="0"/>
    <n v="0"/>
    <n v="0"/>
    <n v="0"/>
    <n v="0"/>
    <n v="0"/>
    <n v="0"/>
    <n v="0"/>
  </r>
  <r>
    <x v="11"/>
    <x v="4"/>
    <n v="10"/>
    <n v="0"/>
    <n v="0"/>
    <n v="0"/>
    <n v="0"/>
    <n v="0"/>
    <n v="0"/>
    <n v="0"/>
    <n v="0"/>
    <n v="0"/>
    <n v="0"/>
    <n v="0"/>
    <n v="0"/>
  </r>
  <r>
    <x v="11"/>
    <x v="5"/>
    <n v="10"/>
    <n v="26"/>
    <n v="0"/>
    <n v="0"/>
    <n v="0"/>
    <n v="0"/>
    <n v="0"/>
    <n v="0"/>
    <n v="0"/>
    <n v="0"/>
    <n v="0"/>
    <n v="0"/>
    <n v="0"/>
  </r>
  <r>
    <x v="11"/>
    <x v="6"/>
    <n v="10"/>
    <n v="0"/>
    <n v="0"/>
    <n v="0"/>
    <n v="0"/>
    <n v="0"/>
    <n v="0"/>
    <n v="0"/>
    <n v="0"/>
    <n v="0"/>
    <n v="0"/>
    <n v="0"/>
    <n v="0"/>
  </r>
  <r>
    <x v="11"/>
    <x v="7"/>
    <n v="10"/>
    <n v="1607"/>
    <n v="5"/>
    <n v="0.31109999999999999"/>
    <n v="2.46"/>
    <n v="0.49"/>
    <n v="0"/>
    <n v="0"/>
    <n v="0"/>
    <n v="0"/>
    <n v="0"/>
    <n v="0"/>
    <n v="0"/>
  </r>
  <r>
    <x v="11"/>
    <x v="8"/>
    <n v="5"/>
    <n v="118"/>
    <n v="3"/>
    <n v="2.5424000000000002"/>
    <n v="0.06"/>
    <n v="0.02"/>
    <n v="0"/>
    <n v="0"/>
    <n v="0"/>
    <n v="0"/>
    <n v="0"/>
    <n v="0"/>
    <n v="0"/>
  </r>
  <r>
    <x v="11"/>
    <x v="24"/>
    <n v="10"/>
    <n v="691"/>
    <n v="4"/>
    <n v="0.57889999999999997"/>
    <n v="2.33"/>
    <n v="0.57999999999999996"/>
    <n v="0"/>
    <n v="0"/>
    <n v="0"/>
    <n v="0"/>
    <n v="0"/>
    <n v="0"/>
    <n v="0"/>
  </r>
  <r>
    <x v="11"/>
    <x v="9"/>
    <n v="5"/>
    <n v="3454"/>
    <n v="9"/>
    <n v="0.2606"/>
    <n v="5.47"/>
    <n v="0.61"/>
    <n v="0"/>
    <n v="0"/>
    <n v="0"/>
    <n v="0"/>
    <n v="0"/>
    <n v="0"/>
    <n v="0"/>
  </r>
  <r>
    <x v="11"/>
    <x v="10"/>
    <n v="3"/>
    <n v="281"/>
    <n v="0"/>
    <n v="0"/>
    <n v="0"/>
    <n v="0"/>
    <n v="0"/>
    <n v="0"/>
    <n v="0"/>
    <n v="0"/>
    <n v="0"/>
    <n v="0"/>
    <n v="0"/>
  </r>
  <r>
    <x v="11"/>
    <x v="13"/>
    <n v="5"/>
    <n v="2"/>
    <n v="0"/>
    <n v="0"/>
    <n v="0"/>
    <n v="0"/>
    <n v="0"/>
    <n v="0"/>
    <n v="0"/>
    <n v="0"/>
    <n v="0"/>
    <n v="0"/>
    <n v="0"/>
  </r>
  <r>
    <x v="11"/>
    <x v="14"/>
    <n v="10"/>
    <n v="194"/>
    <n v="0"/>
    <n v="0"/>
    <n v="0"/>
    <n v="0"/>
    <n v="0"/>
    <n v="0"/>
    <n v="0"/>
    <n v="0"/>
    <n v="0"/>
    <n v="0"/>
    <n v="0"/>
  </r>
  <r>
    <x v="11"/>
    <x v="16"/>
    <n v="30"/>
    <n v="0"/>
    <n v="0"/>
    <n v="0"/>
    <n v="0"/>
    <n v="0"/>
    <n v="0"/>
    <n v="0"/>
    <n v="0"/>
    <n v="0"/>
    <n v="0"/>
    <n v="0"/>
    <n v="0"/>
  </r>
  <r>
    <x v="11"/>
    <x v="17"/>
    <n v="2"/>
    <n v="0"/>
    <n v="0"/>
    <n v="0"/>
    <n v="0"/>
    <n v="0"/>
    <n v="0"/>
    <n v="0"/>
    <n v="0"/>
    <n v="0"/>
    <n v="0"/>
    <n v="0"/>
    <n v="0"/>
  </r>
  <r>
    <x v="11"/>
    <x v="19"/>
    <n v="15"/>
    <n v="0"/>
    <n v="0"/>
    <n v="0"/>
    <n v="0"/>
    <n v="0"/>
    <n v="0"/>
    <n v="0"/>
    <n v="0"/>
    <n v="0"/>
    <n v="0"/>
    <n v="0"/>
    <n v="0"/>
  </r>
  <r>
    <x v="11"/>
    <x v="20"/>
    <n v="15"/>
    <n v="0"/>
    <n v="0"/>
    <n v="0"/>
    <n v="0"/>
    <n v="0"/>
    <n v="0"/>
    <n v="0"/>
    <n v="0"/>
    <n v="0"/>
    <n v="0"/>
    <n v="0"/>
    <n v="0"/>
  </r>
  <r>
    <x v="11"/>
    <x v="12"/>
    <n v="5"/>
    <n v="237"/>
    <n v="1"/>
    <n v="0.4219"/>
    <n v="0.38"/>
    <n v="0.38"/>
    <n v="1"/>
    <n v="19.989999999999998"/>
    <n v="1.901"/>
    <n v="0"/>
    <n v="0"/>
    <n v="0"/>
    <n v="0"/>
  </r>
  <r>
    <x v="11"/>
    <x v="15"/>
    <n v="5"/>
    <n v="3923"/>
    <n v="20"/>
    <n v="0.50980000000000003"/>
    <n v="5.55"/>
    <n v="0.28000000000000003"/>
    <n v="1"/>
    <n v="77.97"/>
    <n v="7.1181000000000001"/>
    <n v="0"/>
    <n v="0"/>
    <n v="0"/>
    <n v="0"/>
  </r>
  <r>
    <x v="11"/>
    <x v="21"/>
    <n v="20"/>
    <n v="8980"/>
    <n v="81"/>
    <n v="0.90200000000000002"/>
    <n v="22.36"/>
    <n v="0.28000000000000003"/>
    <n v="3"/>
    <n v="217.93"/>
    <n v="10.260199999999999"/>
    <n v="0"/>
    <n v="0"/>
    <n v="0"/>
    <n v="0"/>
  </r>
  <r>
    <x v="11"/>
    <x v="18"/>
    <n v="10"/>
    <n v="289"/>
    <n v="4"/>
    <n v="1.3841000000000001"/>
    <n v="1.69"/>
    <n v="0.42"/>
    <n v="1"/>
    <n v="11.99"/>
    <n v="14.0951"/>
    <n v="0"/>
    <n v="0"/>
    <n v="0"/>
    <n v="0"/>
  </r>
  <r>
    <x v="11"/>
    <x v="11"/>
    <n v="10"/>
    <n v="4836"/>
    <n v="11"/>
    <n v="0.22750000000000001"/>
    <n v="4.12"/>
    <n v="0.37"/>
    <n v="1"/>
    <n v="11.99"/>
    <n v="34.362000000000002"/>
    <n v="0"/>
    <n v="0"/>
    <n v="0"/>
    <n v="0"/>
  </r>
  <r>
    <x v="12"/>
    <x v="1"/>
    <n v="10"/>
    <n v="0"/>
    <n v="0"/>
    <n v="0"/>
    <n v="0"/>
    <n v="0"/>
    <n v="0"/>
    <n v="0"/>
    <n v="0"/>
    <n v="0"/>
    <n v="0"/>
    <n v="0"/>
    <n v="0"/>
  </r>
  <r>
    <x v="12"/>
    <x v="2"/>
    <n v="5"/>
    <n v="0"/>
    <n v="0"/>
    <n v="0"/>
    <n v="0"/>
    <n v="0"/>
    <n v="0"/>
    <n v="0"/>
    <n v="0"/>
    <n v="0"/>
    <n v="0"/>
    <n v="0"/>
    <n v="0"/>
  </r>
  <r>
    <x v="12"/>
    <x v="25"/>
    <n v="10"/>
    <n v="2263"/>
    <n v="9"/>
    <n v="0.3977"/>
    <n v="5.83"/>
    <n v="0.65"/>
    <n v="0"/>
    <n v="0"/>
    <n v="0"/>
    <n v="0"/>
    <n v="0"/>
    <n v="0"/>
    <n v="0"/>
  </r>
  <r>
    <x v="12"/>
    <x v="23"/>
    <n v="10"/>
    <n v="0"/>
    <n v="0"/>
    <n v="0"/>
    <n v="0"/>
    <n v="0"/>
    <n v="0"/>
    <n v="0"/>
    <n v="0"/>
    <n v="0"/>
    <n v="0"/>
    <n v="0"/>
    <n v="0"/>
  </r>
  <r>
    <x v="12"/>
    <x v="3"/>
    <n v="10"/>
    <n v="0"/>
    <n v="0"/>
    <n v="0"/>
    <n v="0"/>
    <n v="0"/>
    <n v="0"/>
    <n v="0"/>
    <n v="0"/>
    <n v="0"/>
    <n v="0"/>
    <n v="0"/>
    <n v="0"/>
  </r>
  <r>
    <x v="12"/>
    <x v="4"/>
    <n v="10"/>
    <n v="0"/>
    <n v="0"/>
    <n v="0"/>
    <n v="0"/>
    <n v="0"/>
    <n v="0"/>
    <n v="0"/>
    <n v="0"/>
    <n v="0"/>
    <n v="0"/>
    <n v="0"/>
    <n v="0"/>
  </r>
  <r>
    <x v="12"/>
    <x v="5"/>
    <n v="10"/>
    <n v="30"/>
    <n v="0"/>
    <n v="0"/>
    <n v="0"/>
    <n v="0"/>
    <n v="0"/>
    <n v="0"/>
    <n v="0"/>
    <n v="0"/>
    <n v="0"/>
    <n v="0"/>
    <n v="0"/>
  </r>
  <r>
    <x v="12"/>
    <x v="6"/>
    <n v="10"/>
    <n v="0"/>
    <n v="0"/>
    <n v="0"/>
    <n v="0"/>
    <n v="0"/>
    <n v="0"/>
    <n v="0"/>
    <n v="0"/>
    <n v="0"/>
    <n v="0"/>
    <n v="0"/>
    <n v="0"/>
  </r>
  <r>
    <x v="12"/>
    <x v="8"/>
    <n v="5"/>
    <n v="71"/>
    <n v="2"/>
    <n v="2.8169"/>
    <n v="0.04"/>
    <n v="0.02"/>
    <n v="0"/>
    <n v="0"/>
    <n v="0"/>
    <n v="0"/>
    <n v="0"/>
    <n v="0"/>
    <n v="0"/>
  </r>
  <r>
    <x v="12"/>
    <x v="24"/>
    <n v="10"/>
    <n v="775"/>
    <n v="4"/>
    <n v="0.5161"/>
    <n v="1.93"/>
    <n v="0.48"/>
    <n v="0"/>
    <n v="0"/>
    <n v="0"/>
    <n v="0"/>
    <n v="0"/>
    <n v="0"/>
    <n v="0"/>
  </r>
  <r>
    <x v="12"/>
    <x v="10"/>
    <n v="3"/>
    <n v="380"/>
    <n v="1"/>
    <n v="0.26319999999999999"/>
    <n v="0.14000000000000001"/>
    <n v="0.14000000000000001"/>
    <n v="0"/>
    <n v="0"/>
    <n v="0"/>
    <n v="0"/>
    <n v="0"/>
    <n v="0"/>
    <n v="0"/>
  </r>
  <r>
    <x v="12"/>
    <x v="11"/>
    <n v="10"/>
    <n v="5910"/>
    <n v="5"/>
    <n v="8.4599999999999995E-2"/>
    <n v="2.0299999999999998"/>
    <n v="0.41"/>
    <n v="0"/>
    <n v="0"/>
    <n v="0"/>
    <n v="0"/>
    <n v="0"/>
    <n v="0"/>
    <n v="0"/>
  </r>
  <r>
    <x v="12"/>
    <x v="12"/>
    <n v="5"/>
    <n v="161"/>
    <n v="0"/>
    <n v="0"/>
    <n v="0"/>
    <n v="0"/>
    <n v="0"/>
    <n v="0"/>
    <n v="0"/>
    <n v="0"/>
    <n v="0"/>
    <n v="0"/>
    <n v="0"/>
  </r>
  <r>
    <x v="12"/>
    <x v="13"/>
    <n v="5"/>
    <n v="10"/>
    <n v="0"/>
    <n v="0"/>
    <n v="0"/>
    <n v="0"/>
    <n v="0"/>
    <n v="0"/>
    <n v="0"/>
    <n v="0"/>
    <n v="0"/>
    <n v="0"/>
    <n v="0"/>
  </r>
  <r>
    <x v="12"/>
    <x v="14"/>
    <n v="10"/>
    <n v="208"/>
    <n v="0"/>
    <n v="0"/>
    <n v="0"/>
    <n v="0"/>
    <n v="0"/>
    <n v="0"/>
    <n v="0"/>
    <n v="0"/>
    <n v="0"/>
    <n v="0"/>
    <n v="0"/>
  </r>
  <r>
    <x v="12"/>
    <x v="15"/>
    <n v="5"/>
    <n v="3716"/>
    <n v="19"/>
    <n v="0.51129999999999998"/>
    <n v="5.63"/>
    <n v="0.3"/>
    <n v="0"/>
    <n v="0"/>
    <n v="0"/>
    <n v="0"/>
    <n v="0"/>
    <n v="0"/>
    <n v="0"/>
  </r>
  <r>
    <x v="12"/>
    <x v="16"/>
    <n v="30"/>
    <n v="0"/>
    <n v="0"/>
    <n v="0"/>
    <n v="0"/>
    <n v="0"/>
    <n v="0"/>
    <n v="0"/>
    <n v="0"/>
    <n v="0"/>
    <n v="0"/>
    <n v="0"/>
    <n v="0"/>
  </r>
  <r>
    <x v="12"/>
    <x v="17"/>
    <n v="2"/>
    <n v="0"/>
    <n v="0"/>
    <n v="0"/>
    <n v="0"/>
    <n v="0"/>
    <n v="0"/>
    <n v="0"/>
    <n v="0"/>
    <n v="0"/>
    <n v="0"/>
    <n v="0"/>
    <n v="0"/>
  </r>
  <r>
    <x v="12"/>
    <x v="18"/>
    <n v="10"/>
    <n v="236"/>
    <n v="1"/>
    <n v="0.42370000000000002"/>
    <n v="0.33"/>
    <n v="0.33"/>
    <n v="0"/>
    <n v="0"/>
    <n v="0"/>
    <n v="0"/>
    <n v="0"/>
    <n v="0"/>
    <n v="0"/>
  </r>
  <r>
    <x v="12"/>
    <x v="19"/>
    <n v="15"/>
    <n v="0"/>
    <n v="0"/>
    <n v="0"/>
    <n v="0"/>
    <n v="0"/>
    <n v="0"/>
    <n v="0"/>
    <n v="0"/>
    <n v="0"/>
    <n v="0"/>
    <n v="0"/>
    <n v="0"/>
  </r>
  <r>
    <x v="12"/>
    <x v="20"/>
    <n v="15"/>
    <n v="0"/>
    <n v="0"/>
    <n v="0"/>
    <n v="0"/>
    <n v="0"/>
    <n v="0"/>
    <n v="0"/>
    <n v="0"/>
    <n v="0"/>
    <n v="0"/>
    <n v="0"/>
    <n v="0"/>
  </r>
  <r>
    <x v="12"/>
    <x v="22"/>
    <n v="2"/>
    <n v="403"/>
    <n v="6"/>
    <n v="1.4887999999999999"/>
    <n v="2.31"/>
    <n v="0.39"/>
    <n v="1"/>
    <n v="77.97"/>
    <n v="2.9626999999999999"/>
    <n v="1"/>
    <n v="100"/>
    <n v="77.97"/>
    <n v="100"/>
  </r>
  <r>
    <x v="12"/>
    <x v="0"/>
    <n v="5"/>
    <n v="1108"/>
    <n v="16"/>
    <n v="1.444"/>
    <n v="3.47"/>
    <n v="0.22"/>
    <n v="1"/>
    <n v="77.97"/>
    <n v="4.4504000000000001"/>
    <n v="0"/>
    <n v="0"/>
    <n v="0"/>
    <n v="0"/>
  </r>
  <r>
    <x v="12"/>
    <x v="21"/>
    <n v="20"/>
    <n v="10015"/>
    <n v="75"/>
    <n v="0.74890000000000001"/>
    <n v="21.67"/>
    <n v="0.28999999999999998"/>
    <n v="4"/>
    <n v="275.92"/>
    <n v="7.8536999999999999"/>
    <n v="0"/>
    <n v="0"/>
    <n v="0"/>
    <n v="0"/>
  </r>
  <r>
    <x v="12"/>
    <x v="7"/>
    <n v="10"/>
    <n v="1211"/>
    <n v="8"/>
    <n v="0.66059999999999997"/>
    <n v="4.6100000000000003"/>
    <n v="0.57999999999999996"/>
    <n v="2"/>
    <n v="47.98"/>
    <n v="9.6082000000000001"/>
    <n v="0"/>
    <n v="0"/>
    <n v="0"/>
    <n v="0"/>
  </r>
  <r>
    <x v="12"/>
    <x v="9"/>
    <n v="5"/>
    <n v="6908"/>
    <n v="10"/>
    <n v="0.14480000000000001"/>
    <n v="5.75"/>
    <n v="0.56999999999999995"/>
    <n v="1"/>
    <n v="23.99"/>
    <n v="23.968299999999999"/>
    <n v="0"/>
    <n v="0"/>
    <n v="0"/>
    <n v="0"/>
  </r>
  <r>
    <x v="13"/>
    <x v="1"/>
    <n v="10"/>
    <n v="1151"/>
    <n v="4"/>
    <n v="0.34749999999999998"/>
    <n v="1.33"/>
    <n v="0.33"/>
    <n v="0"/>
    <n v="0"/>
    <n v="0"/>
    <n v="0"/>
    <n v="0"/>
    <n v="0"/>
    <n v="0"/>
  </r>
  <r>
    <x v="13"/>
    <x v="2"/>
    <n v="5"/>
    <n v="0"/>
    <n v="0"/>
    <n v="0"/>
    <n v="0"/>
    <n v="0"/>
    <n v="0"/>
    <n v="0"/>
    <n v="0"/>
    <n v="0"/>
    <n v="0"/>
    <n v="0"/>
    <n v="0"/>
  </r>
  <r>
    <x v="13"/>
    <x v="22"/>
    <n v="2"/>
    <n v="1183"/>
    <n v="9"/>
    <n v="0.76080000000000003"/>
    <n v="2.2799999999999998"/>
    <n v="0.25"/>
    <n v="0"/>
    <n v="0"/>
    <n v="0"/>
    <n v="0"/>
    <n v="0"/>
    <n v="0"/>
    <n v="0"/>
  </r>
  <r>
    <x v="13"/>
    <x v="23"/>
    <n v="10"/>
    <n v="0"/>
    <n v="0"/>
    <n v="0"/>
    <n v="0"/>
    <n v="0"/>
    <n v="0"/>
    <n v="0"/>
    <n v="0"/>
    <n v="0"/>
    <n v="0"/>
    <n v="0"/>
    <n v="0"/>
  </r>
  <r>
    <x v="13"/>
    <x v="3"/>
    <n v="10"/>
    <n v="2"/>
    <n v="0"/>
    <n v="0"/>
    <n v="0"/>
    <n v="0"/>
    <n v="0"/>
    <n v="0"/>
    <n v="0"/>
    <n v="0"/>
    <n v="0"/>
    <n v="0"/>
    <n v="0"/>
  </r>
  <r>
    <x v="13"/>
    <x v="4"/>
    <n v="10"/>
    <n v="0"/>
    <n v="0"/>
    <n v="0"/>
    <n v="0"/>
    <n v="0"/>
    <n v="0"/>
    <n v="0"/>
    <n v="0"/>
    <n v="0"/>
    <n v="0"/>
    <n v="0"/>
    <n v="0"/>
  </r>
  <r>
    <x v="13"/>
    <x v="5"/>
    <n v="10"/>
    <n v="33"/>
    <n v="0"/>
    <n v="0"/>
    <n v="0"/>
    <n v="0"/>
    <n v="0"/>
    <n v="0"/>
    <n v="0"/>
    <n v="0"/>
    <n v="0"/>
    <n v="0"/>
    <n v="0"/>
  </r>
  <r>
    <x v="13"/>
    <x v="6"/>
    <n v="10"/>
    <n v="0"/>
    <n v="0"/>
    <n v="0"/>
    <n v="0"/>
    <n v="0"/>
    <n v="0"/>
    <n v="0"/>
    <n v="0"/>
    <n v="0"/>
    <n v="0"/>
    <n v="0"/>
    <n v="0"/>
  </r>
  <r>
    <x v="13"/>
    <x v="7"/>
    <n v="10"/>
    <n v="1991"/>
    <n v="8"/>
    <n v="0.40179999999999999"/>
    <n v="4.79"/>
    <n v="0.6"/>
    <n v="0"/>
    <n v="0"/>
    <n v="0"/>
    <n v="0"/>
    <n v="0"/>
    <n v="0"/>
    <n v="0"/>
  </r>
  <r>
    <x v="13"/>
    <x v="8"/>
    <n v="5"/>
    <n v="64"/>
    <n v="3"/>
    <n v="4.6875"/>
    <n v="0.06"/>
    <n v="0.02"/>
    <n v="0"/>
    <n v="0"/>
    <n v="0"/>
    <n v="0"/>
    <n v="0"/>
    <n v="0"/>
    <n v="0"/>
  </r>
  <r>
    <x v="13"/>
    <x v="24"/>
    <n v="10"/>
    <n v="683"/>
    <n v="5"/>
    <n v="0.73209999999999997"/>
    <n v="3.1"/>
    <n v="0.62"/>
    <n v="0"/>
    <n v="0"/>
    <n v="0"/>
    <n v="0"/>
    <n v="0"/>
    <n v="0"/>
    <n v="0"/>
  </r>
  <r>
    <x v="13"/>
    <x v="9"/>
    <n v="5"/>
    <n v="2980"/>
    <n v="10"/>
    <n v="0.33560000000000001"/>
    <n v="6.25"/>
    <n v="0.63"/>
    <n v="0"/>
    <n v="0"/>
    <n v="0"/>
    <n v="0"/>
    <n v="0"/>
    <n v="0"/>
    <n v="0"/>
  </r>
  <r>
    <x v="13"/>
    <x v="10"/>
    <n v="3"/>
    <n v="312"/>
    <n v="2"/>
    <n v="0.64100000000000001"/>
    <n v="0.33"/>
    <n v="0.17"/>
    <n v="0"/>
    <n v="0"/>
    <n v="0"/>
    <n v="0"/>
    <n v="0"/>
    <n v="0"/>
    <n v="0"/>
  </r>
  <r>
    <x v="13"/>
    <x v="12"/>
    <n v="5"/>
    <n v="158"/>
    <n v="2"/>
    <n v="1.2658"/>
    <n v="1.39"/>
    <n v="0.7"/>
    <n v="0"/>
    <n v="0"/>
    <n v="0"/>
    <n v="0"/>
    <n v="0"/>
    <n v="0"/>
    <n v="0"/>
  </r>
  <r>
    <x v="13"/>
    <x v="13"/>
    <n v="5"/>
    <n v="9"/>
    <n v="0"/>
    <n v="0"/>
    <n v="0"/>
    <n v="0"/>
    <n v="0"/>
    <n v="0"/>
    <n v="0"/>
    <n v="0"/>
    <n v="0"/>
    <n v="0"/>
    <n v="0"/>
  </r>
  <r>
    <x v="13"/>
    <x v="14"/>
    <n v="10"/>
    <n v="323"/>
    <n v="1"/>
    <n v="0.30959999999999999"/>
    <n v="0.43"/>
    <n v="0.43"/>
    <n v="0"/>
    <n v="0"/>
    <n v="0"/>
    <n v="0"/>
    <n v="0"/>
    <n v="0"/>
    <n v="0"/>
  </r>
  <r>
    <x v="13"/>
    <x v="16"/>
    <n v="30"/>
    <n v="0"/>
    <n v="0"/>
    <n v="0"/>
    <n v="0"/>
    <n v="0"/>
    <n v="0"/>
    <n v="0"/>
    <n v="0"/>
    <n v="0"/>
    <n v="0"/>
    <n v="0"/>
    <n v="0"/>
  </r>
  <r>
    <x v="13"/>
    <x v="17"/>
    <n v="2"/>
    <n v="234"/>
    <n v="6"/>
    <n v="2.5640999999999998"/>
    <n v="1.73"/>
    <n v="0.28999999999999998"/>
    <n v="0"/>
    <n v="0"/>
    <n v="0"/>
    <n v="0"/>
    <n v="0"/>
    <n v="0"/>
    <n v="0"/>
  </r>
  <r>
    <x v="13"/>
    <x v="18"/>
    <n v="10"/>
    <n v="272"/>
    <n v="1"/>
    <n v="0.36759999999999998"/>
    <n v="0.42"/>
    <n v="0.42"/>
    <n v="0"/>
    <n v="0"/>
    <n v="0"/>
    <n v="0"/>
    <n v="0"/>
    <n v="0"/>
    <n v="0"/>
  </r>
  <r>
    <x v="13"/>
    <x v="19"/>
    <n v="15"/>
    <n v="5"/>
    <n v="0"/>
    <n v="0"/>
    <n v="0"/>
    <n v="0"/>
    <n v="0"/>
    <n v="0"/>
    <n v="0"/>
    <n v="0"/>
    <n v="0"/>
    <n v="0"/>
    <n v="0"/>
  </r>
  <r>
    <x v="13"/>
    <x v="0"/>
    <n v="5"/>
    <n v="1021"/>
    <n v="15"/>
    <n v="1.4691000000000001"/>
    <n v="3.8"/>
    <n v="0.25"/>
    <n v="1"/>
    <n v="77.97"/>
    <n v="4.8737000000000004"/>
    <n v="0"/>
    <n v="0"/>
    <n v="0"/>
    <n v="0"/>
  </r>
  <r>
    <x v="13"/>
    <x v="15"/>
    <n v="5"/>
    <n v="6644"/>
    <n v="22"/>
    <n v="0.33110000000000001"/>
    <n v="5.99"/>
    <n v="0.27"/>
    <n v="1"/>
    <n v="77.97"/>
    <n v="7.6824000000000003"/>
    <n v="0"/>
    <n v="0"/>
    <n v="0"/>
    <n v="0"/>
  </r>
  <r>
    <x v="13"/>
    <x v="20"/>
    <n v="15"/>
    <n v="2903"/>
    <n v="24"/>
    <n v="0.82669999999999999"/>
    <n v="7.32"/>
    <n v="0.31"/>
    <n v="1"/>
    <n v="57.99"/>
    <n v="12.6229"/>
    <n v="0"/>
    <n v="0"/>
    <n v="0"/>
    <n v="0"/>
  </r>
  <r>
    <x v="13"/>
    <x v="21"/>
    <n v="20"/>
    <n v="9284"/>
    <n v="70"/>
    <n v="0.754"/>
    <n v="20.16"/>
    <n v="0.28999999999999998"/>
    <n v="2"/>
    <n v="157.94"/>
    <n v="12.7643"/>
    <n v="0"/>
    <n v="0"/>
    <n v="0"/>
    <n v="0"/>
  </r>
  <r>
    <x v="13"/>
    <x v="11"/>
    <n v="10"/>
    <n v="1221"/>
    <n v="9"/>
    <n v="0.73709999999999998"/>
    <n v="3.98"/>
    <n v="0.44"/>
    <n v="1"/>
    <n v="11.99"/>
    <n v="33.194299999999998"/>
    <n v="0"/>
    <n v="0"/>
    <n v="0"/>
    <n v="0"/>
  </r>
  <r>
    <x v="13"/>
    <x v="25"/>
    <n v="10"/>
    <n v="4188"/>
    <n v="17"/>
    <n v="0.40589999999999998"/>
    <n v="11.3"/>
    <n v="0.66"/>
    <n v="1"/>
    <n v="23.99"/>
    <n v="47.103000000000002"/>
    <n v="0"/>
    <n v="0"/>
    <n v="0"/>
    <n v="0"/>
  </r>
  <r>
    <x v="14"/>
    <x v="0"/>
    <n v="5"/>
    <n v="498"/>
    <n v="6"/>
    <n v="1.2048000000000001"/>
    <n v="2.5099999999999998"/>
    <n v="0.42"/>
    <n v="0"/>
    <n v="0"/>
    <n v="0"/>
    <n v="0"/>
    <n v="0"/>
    <n v="0"/>
    <n v="0"/>
  </r>
  <r>
    <x v="14"/>
    <x v="1"/>
    <n v="10"/>
    <n v="1326"/>
    <n v="8"/>
    <n v="0.60329999999999995"/>
    <n v="3.43"/>
    <n v="0.43"/>
    <n v="0"/>
    <n v="0"/>
    <n v="0"/>
    <n v="0"/>
    <n v="0"/>
    <n v="0"/>
    <n v="0"/>
  </r>
  <r>
    <x v="14"/>
    <x v="2"/>
    <n v="5"/>
    <n v="0"/>
    <n v="0"/>
    <n v="0"/>
    <n v="0"/>
    <n v="0"/>
    <n v="0"/>
    <n v="0"/>
    <n v="0"/>
    <n v="0"/>
    <n v="0"/>
    <n v="0"/>
    <n v="0"/>
  </r>
  <r>
    <x v="14"/>
    <x v="25"/>
    <n v="10"/>
    <n v="1618"/>
    <n v="11"/>
    <n v="0.67989999999999995"/>
    <n v="7.59"/>
    <n v="0.69"/>
    <n v="0"/>
    <n v="0"/>
    <n v="0"/>
    <n v="0"/>
    <n v="0"/>
    <n v="0"/>
    <n v="0"/>
  </r>
  <r>
    <x v="14"/>
    <x v="22"/>
    <n v="2"/>
    <n v="1095"/>
    <n v="7"/>
    <n v="0.63929999999999998"/>
    <n v="2.2999999999999998"/>
    <n v="0.33"/>
    <n v="0"/>
    <n v="0"/>
    <n v="0"/>
    <n v="0"/>
    <n v="0"/>
    <n v="0"/>
    <n v="0"/>
  </r>
  <r>
    <x v="14"/>
    <x v="23"/>
    <n v="10"/>
    <n v="927"/>
    <n v="9"/>
    <n v="0.97089999999999999"/>
    <n v="2.17"/>
    <n v="0.24"/>
    <n v="0"/>
    <n v="0"/>
    <n v="0"/>
    <n v="0"/>
    <n v="0"/>
    <n v="0"/>
    <n v="0"/>
  </r>
  <r>
    <x v="14"/>
    <x v="3"/>
    <n v="10"/>
    <n v="0"/>
    <n v="0"/>
    <n v="0"/>
    <n v="0"/>
    <n v="0"/>
    <n v="0"/>
    <n v="0"/>
    <n v="0"/>
    <n v="0"/>
    <n v="0"/>
    <n v="0"/>
    <n v="0"/>
  </r>
  <r>
    <x v="14"/>
    <x v="4"/>
    <n v="10"/>
    <n v="90"/>
    <n v="0"/>
    <n v="0"/>
    <n v="0"/>
    <n v="0"/>
    <n v="0"/>
    <n v="0"/>
    <n v="0"/>
    <n v="0"/>
    <n v="0"/>
    <n v="0"/>
    <n v="0"/>
  </r>
  <r>
    <x v="14"/>
    <x v="5"/>
    <n v="10"/>
    <n v="36"/>
    <n v="0"/>
    <n v="0"/>
    <n v="0"/>
    <n v="0"/>
    <n v="0"/>
    <n v="0"/>
    <n v="0"/>
    <n v="0"/>
    <n v="0"/>
    <n v="0"/>
    <n v="0"/>
  </r>
  <r>
    <x v="14"/>
    <x v="6"/>
    <n v="10"/>
    <n v="5046"/>
    <n v="47"/>
    <n v="0.93140000000000001"/>
    <n v="10.11"/>
    <n v="0.22"/>
    <n v="0"/>
    <n v="0"/>
    <n v="0"/>
    <n v="0"/>
    <n v="0"/>
    <n v="0"/>
    <n v="0"/>
  </r>
  <r>
    <x v="14"/>
    <x v="7"/>
    <n v="10"/>
    <n v="816"/>
    <n v="4"/>
    <n v="0.49020000000000002"/>
    <n v="2.56"/>
    <n v="0.64"/>
    <n v="0"/>
    <n v="0"/>
    <n v="0"/>
    <n v="0"/>
    <n v="0"/>
    <n v="0"/>
    <n v="0"/>
  </r>
  <r>
    <x v="14"/>
    <x v="8"/>
    <n v="5"/>
    <n v="30"/>
    <n v="1"/>
    <n v="3.3332999999999999"/>
    <n v="0.02"/>
    <n v="0.02"/>
    <n v="0"/>
    <n v="0"/>
    <n v="0"/>
    <n v="0"/>
    <n v="0"/>
    <n v="0"/>
    <n v="0"/>
  </r>
  <r>
    <x v="14"/>
    <x v="24"/>
    <n v="10"/>
    <n v="903"/>
    <n v="3"/>
    <n v="0.3322"/>
    <n v="2.0099999999999998"/>
    <n v="0.67"/>
    <n v="0"/>
    <n v="0"/>
    <n v="0"/>
    <n v="0"/>
    <n v="0"/>
    <n v="0"/>
    <n v="0"/>
  </r>
  <r>
    <x v="14"/>
    <x v="9"/>
    <n v="5"/>
    <n v="6414"/>
    <n v="10"/>
    <n v="0.15590000000000001"/>
    <n v="5.9"/>
    <n v="0.59"/>
    <n v="0"/>
    <n v="0"/>
    <n v="0"/>
    <n v="0"/>
    <n v="0"/>
    <n v="0"/>
    <n v="0"/>
  </r>
  <r>
    <x v="14"/>
    <x v="10"/>
    <n v="3"/>
    <n v="428"/>
    <n v="0"/>
    <n v="0"/>
    <n v="0"/>
    <n v="0"/>
    <n v="0"/>
    <n v="0"/>
    <n v="0"/>
    <n v="0"/>
    <n v="0"/>
    <n v="0"/>
    <n v="0"/>
  </r>
  <r>
    <x v="14"/>
    <x v="11"/>
    <n v="10"/>
    <n v="549"/>
    <n v="0"/>
    <n v="0"/>
    <n v="0"/>
    <n v="0"/>
    <n v="0"/>
    <n v="0"/>
    <n v="0"/>
    <n v="0"/>
    <n v="0"/>
    <n v="0"/>
    <n v="0"/>
  </r>
  <r>
    <x v="14"/>
    <x v="12"/>
    <n v="5"/>
    <n v="132"/>
    <n v="0"/>
    <n v="0"/>
    <n v="0"/>
    <n v="0"/>
    <n v="0"/>
    <n v="0"/>
    <n v="0"/>
    <n v="0"/>
    <n v="0"/>
    <n v="0"/>
    <n v="0"/>
  </r>
  <r>
    <x v="14"/>
    <x v="13"/>
    <n v="5"/>
    <n v="9"/>
    <n v="0"/>
    <n v="0"/>
    <n v="0"/>
    <n v="0"/>
    <n v="0"/>
    <n v="0"/>
    <n v="0"/>
    <n v="0"/>
    <n v="0"/>
    <n v="0"/>
    <n v="0"/>
  </r>
  <r>
    <x v="14"/>
    <x v="14"/>
    <n v="10"/>
    <n v="159"/>
    <n v="1"/>
    <n v="0.62890000000000001"/>
    <n v="0.39"/>
    <n v="0.39"/>
    <n v="0"/>
    <n v="0"/>
    <n v="0"/>
    <n v="0"/>
    <n v="0"/>
    <n v="0"/>
    <n v="0"/>
  </r>
  <r>
    <x v="14"/>
    <x v="16"/>
    <n v="30"/>
    <n v="0"/>
    <n v="0"/>
    <n v="0"/>
    <n v="0"/>
    <n v="0"/>
    <n v="0"/>
    <n v="0"/>
    <n v="0"/>
    <n v="0"/>
    <n v="0"/>
    <n v="0"/>
    <n v="0"/>
  </r>
  <r>
    <x v="14"/>
    <x v="17"/>
    <n v="2"/>
    <n v="202"/>
    <n v="1"/>
    <n v="0.495"/>
    <n v="0.24"/>
    <n v="0.24"/>
    <n v="0"/>
    <n v="0"/>
    <n v="0"/>
    <n v="0"/>
    <n v="0"/>
    <n v="0"/>
    <n v="0"/>
  </r>
  <r>
    <x v="14"/>
    <x v="18"/>
    <n v="10"/>
    <n v="227"/>
    <n v="0"/>
    <n v="0"/>
    <n v="0"/>
    <n v="0"/>
    <n v="0"/>
    <n v="0"/>
    <n v="0"/>
    <n v="0"/>
    <n v="0"/>
    <n v="0"/>
    <n v="0"/>
  </r>
  <r>
    <x v="14"/>
    <x v="19"/>
    <n v="15"/>
    <n v="18"/>
    <n v="0"/>
    <n v="0"/>
    <n v="0"/>
    <n v="0"/>
    <n v="0"/>
    <n v="0"/>
    <n v="0"/>
    <n v="0"/>
    <n v="0"/>
    <n v="0"/>
    <n v="0"/>
  </r>
  <r>
    <x v="14"/>
    <x v="20"/>
    <n v="15"/>
    <n v="3870"/>
    <n v="35"/>
    <n v="0.90439999999999998"/>
    <n v="13.28"/>
    <n v="0.38"/>
    <n v="3"/>
    <n v="213.93"/>
    <n v="6.2076000000000002"/>
    <n v="0"/>
    <n v="0"/>
    <n v="0"/>
    <n v="0"/>
  </r>
  <r>
    <x v="14"/>
    <x v="15"/>
    <n v="5"/>
    <n v="4320"/>
    <n v="21"/>
    <n v="0.48609999999999998"/>
    <n v="6.3"/>
    <n v="0.3"/>
    <n v="1"/>
    <n v="77.97"/>
    <n v="8.08"/>
    <n v="0"/>
    <n v="0"/>
    <n v="0"/>
    <n v="0"/>
  </r>
  <r>
    <x v="14"/>
    <x v="21"/>
    <n v="20"/>
    <n v="4754"/>
    <n v="44"/>
    <n v="0.92549999999999999"/>
    <n v="13.46"/>
    <n v="0.31"/>
    <n v="2"/>
    <n v="159.94"/>
    <n v="8.4156999999999993"/>
    <n v="0"/>
    <n v="0"/>
    <n v="0"/>
    <n v="0"/>
  </r>
  <r>
    <x v="15"/>
    <x v="0"/>
    <n v="5"/>
    <n v="442"/>
    <n v="4"/>
    <n v="0.90500000000000003"/>
    <n v="0.86"/>
    <n v="0.22"/>
    <n v="0"/>
    <n v="0"/>
    <n v="0"/>
    <n v="0"/>
    <n v="0"/>
    <n v="0"/>
    <n v="0"/>
  </r>
  <r>
    <x v="15"/>
    <x v="1"/>
    <n v="10"/>
    <n v="0"/>
    <n v="0"/>
    <n v="0"/>
    <n v="0"/>
    <n v="0"/>
    <n v="0"/>
    <n v="0"/>
    <n v="0"/>
    <n v="0"/>
    <n v="0"/>
    <n v="0"/>
    <n v="0"/>
  </r>
  <r>
    <x v="15"/>
    <x v="2"/>
    <n v="5"/>
    <n v="0"/>
    <n v="0"/>
    <n v="0"/>
    <n v="0"/>
    <n v="0"/>
    <n v="0"/>
    <n v="0"/>
    <n v="0"/>
    <n v="0"/>
    <n v="0"/>
    <n v="0"/>
    <n v="0"/>
  </r>
  <r>
    <x v="15"/>
    <x v="25"/>
    <n v="10"/>
    <n v="1321"/>
    <n v="2"/>
    <n v="0.15140000000000001"/>
    <n v="1.28"/>
    <n v="0.64"/>
    <n v="0"/>
    <n v="0"/>
    <n v="0"/>
    <n v="0"/>
    <n v="0"/>
    <n v="0"/>
    <n v="0"/>
  </r>
  <r>
    <x v="15"/>
    <x v="22"/>
    <n v="2"/>
    <n v="947"/>
    <n v="5"/>
    <n v="0.52800000000000002"/>
    <n v="2.13"/>
    <n v="0.43"/>
    <n v="0"/>
    <n v="0"/>
    <n v="0"/>
    <n v="0"/>
    <n v="0"/>
    <n v="0"/>
    <n v="0"/>
  </r>
  <r>
    <x v="15"/>
    <x v="23"/>
    <n v="10"/>
    <n v="2217"/>
    <n v="23"/>
    <n v="1.0374000000000001"/>
    <n v="7.2"/>
    <n v="0.31"/>
    <n v="0"/>
    <n v="0"/>
    <n v="0"/>
    <n v="0"/>
    <n v="0"/>
    <n v="0"/>
    <n v="0"/>
  </r>
  <r>
    <x v="15"/>
    <x v="3"/>
    <n v="10"/>
    <n v="2"/>
    <n v="0"/>
    <n v="0"/>
    <n v="0"/>
    <n v="0"/>
    <n v="0"/>
    <n v="0"/>
    <n v="0"/>
    <n v="0"/>
    <n v="0"/>
    <n v="0"/>
    <n v="0"/>
  </r>
  <r>
    <x v="15"/>
    <x v="4"/>
    <n v="10"/>
    <n v="159"/>
    <n v="0"/>
    <n v="0"/>
    <n v="0"/>
    <n v="0"/>
    <n v="0"/>
    <n v="0"/>
    <n v="0"/>
    <n v="0"/>
    <n v="0"/>
    <n v="0"/>
    <n v="0"/>
  </r>
  <r>
    <x v="15"/>
    <x v="5"/>
    <n v="10"/>
    <n v="62"/>
    <n v="0"/>
    <n v="0"/>
    <n v="0"/>
    <n v="0"/>
    <n v="0"/>
    <n v="0"/>
    <n v="0"/>
    <n v="0"/>
    <n v="0"/>
    <n v="0"/>
    <n v="0"/>
  </r>
  <r>
    <x v="15"/>
    <x v="6"/>
    <n v="10"/>
    <n v="4599"/>
    <n v="36"/>
    <n v="0.78280000000000005"/>
    <n v="9.4700000000000006"/>
    <n v="0.26"/>
    <n v="0"/>
    <n v="0"/>
    <n v="0"/>
    <n v="0"/>
    <n v="0"/>
    <n v="0"/>
    <n v="0"/>
  </r>
  <r>
    <x v="15"/>
    <x v="7"/>
    <n v="10"/>
    <n v="615"/>
    <n v="1"/>
    <n v="0.16259999999999999"/>
    <n v="0.93"/>
    <n v="0.93"/>
    <n v="0"/>
    <n v="0"/>
    <n v="0"/>
    <n v="0"/>
    <n v="0"/>
    <n v="0"/>
    <n v="0"/>
  </r>
  <r>
    <x v="15"/>
    <x v="8"/>
    <n v="5"/>
    <n v="21"/>
    <n v="0"/>
    <n v="0"/>
    <n v="0"/>
    <n v="0"/>
    <n v="0"/>
    <n v="0"/>
    <n v="0"/>
    <n v="0"/>
    <n v="0"/>
    <n v="0"/>
    <n v="0"/>
  </r>
  <r>
    <x v="15"/>
    <x v="24"/>
    <n v="10"/>
    <n v="679"/>
    <n v="0"/>
    <n v="0"/>
    <n v="0"/>
    <n v="0"/>
    <n v="0"/>
    <n v="0"/>
    <n v="0"/>
    <n v="0"/>
    <n v="0"/>
    <n v="0"/>
    <n v="0"/>
  </r>
  <r>
    <x v="15"/>
    <x v="9"/>
    <n v="5"/>
    <n v="4536"/>
    <n v="9"/>
    <n v="0.19839999999999999"/>
    <n v="5.64"/>
    <n v="0.63"/>
    <n v="0"/>
    <n v="0"/>
    <n v="0"/>
    <n v="0"/>
    <n v="0"/>
    <n v="0"/>
    <n v="0"/>
  </r>
  <r>
    <x v="15"/>
    <x v="10"/>
    <n v="3"/>
    <n v="305"/>
    <n v="1"/>
    <n v="0.32790000000000002"/>
    <n v="0.15"/>
    <n v="0.15"/>
    <n v="0"/>
    <n v="0"/>
    <n v="0"/>
    <n v="0"/>
    <n v="0"/>
    <n v="0"/>
    <n v="0"/>
  </r>
  <r>
    <x v="15"/>
    <x v="11"/>
    <n v="10"/>
    <n v="3747"/>
    <n v="3"/>
    <n v="8.0100000000000005E-2"/>
    <n v="1.29"/>
    <n v="0.43"/>
    <n v="0"/>
    <n v="0"/>
    <n v="0"/>
    <n v="0"/>
    <n v="0"/>
    <n v="0"/>
    <n v="0"/>
  </r>
  <r>
    <x v="15"/>
    <x v="12"/>
    <n v="5"/>
    <n v="150"/>
    <n v="1"/>
    <n v="0.66669999999999996"/>
    <n v="0.26"/>
    <n v="0.26"/>
    <n v="0"/>
    <n v="0"/>
    <n v="0"/>
    <n v="0"/>
    <n v="0"/>
    <n v="0"/>
    <n v="0"/>
  </r>
  <r>
    <x v="15"/>
    <x v="13"/>
    <n v="5"/>
    <n v="8"/>
    <n v="0"/>
    <n v="0"/>
    <n v="0"/>
    <n v="0"/>
    <n v="0"/>
    <n v="0"/>
    <n v="0"/>
    <n v="0"/>
    <n v="0"/>
    <n v="0"/>
    <n v="0"/>
  </r>
  <r>
    <x v="15"/>
    <x v="14"/>
    <n v="10"/>
    <n v="210"/>
    <n v="2"/>
    <n v="0.95240000000000002"/>
    <n v="0.82"/>
    <n v="0.41"/>
    <n v="0"/>
    <n v="0"/>
    <n v="0"/>
    <n v="0"/>
    <n v="0"/>
    <n v="0"/>
    <n v="0"/>
  </r>
  <r>
    <x v="15"/>
    <x v="15"/>
    <n v="5"/>
    <n v="3249"/>
    <n v="17"/>
    <n v="0.5232"/>
    <n v="5.63"/>
    <n v="0.33"/>
    <n v="0"/>
    <n v="0"/>
    <n v="0"/>
    <n v="0"/>
    <n v="0"/>
    <n v="0"/>
    <n v="0"/>
  </r>
  <r>
    <x v="15"/>
    <x v="16"/>
    <n v="30"/>
    <n v="0"/>
    <n v="0"/>
    <n v="0"/>
    <n v="0"/>
    <n v="0"/>
    <n v="0"/>
    <n v="0"/>
    <n v="0"/>
    <n v="0"/>
    <n v="0"/>
    <n v="0"/>
    <n v="0"/>
  </r>
  <r>
    <x v="15"/>
    <x v="17"/>
    <n v="2"/>
    <n v="0"/>
    <n v="0"/>
    <n v="0"/>
    <n v="0"/>
    <n v="0"/>
    <n v="0"/>
    <n v="0"/>
    <n v="0"/>
    <n v="0"/>
    <n v="0"/>
    <n v="0"/>
    <n v="0"/>
  </r>
  <r>
    <x v="15"/>
    <x v="18"/>
    <n v="10"/>
    <n v="201"/>
    <n v="0"/>
    <n v="0"/>
    <n v="0"/>
    <n v="0"/>
    <n v="0"/>
    <n v="0"/>
    <n v="0"/>
    <n v="0"/>
    <n v="0"/>
    <n v="0"/>
    <n v="0"/>
  </r>
  <r>
    <x v="15"/>
    <x v="19"/>
    <n v="15"/>
    <n v="8"/>
    <n v="0"/>
    <n v="0"/>
    <n v="0"/>
    <n v="0"/>
    <n v="0"/>
    <n v="0"/>
    <n v="0"/>
    <n v="0"/>
    <n v="0"/>
    <n v="0"/>
    <n v="0"/>
  </r>
  <r>
    <x v="15"/>
    <x v="20"/>
    <n v="15"/>
    <n v="0"/>
    <n v="0"/>
    <n v="0"/>
    <n v="0"/>
    <n v="0"/>
    <n v="0"/>
    <n v="0"/>
    <n v="0"/>
    <n v="0"/>
    <n v="0"/>
    <n v="0"/>
    <n v="0"/>
  </r>
  <r>
    <x v="15"/>
    <x v="21"/>
    <n v="20"/>
    <n v="2315"/>
    <n v="13"/>
    <n v="0.56159999999999999"/>
    <n v="4.46"/>
    <n v="0.34"/>
    <n v="1"/>
    <n v="79.97"/>
    <n v="5.5770999999999997"/>
    <n v="0"/>
    <n v="0"/>
    <n v="0"/>
    <n v="0"/>
  </r>
  <r>
    <x v="16"/>
    <x v="0"/>
    <n v="5"/>
    <n v="48"/>
    <n v="1"/>
    <n v="2.0832999999999999"/>
    <n v="0.04"/>
    <n v="0.04"/>
    <n v="0"/>
    <n v="0"/>
    <n v="0"/>
    <n v="0"/>
    <n v="0"/>
    <n v="0"/>
    <n v="0"/>
  </r>
  <r>
    <x v="16"/>
    <x v="1"/>
    <n v="10"/>
    <n v="0"/>
    <n v="0"/>
    <n v="0"/>
    <n v="0"/>
    <n v="0"/>
    <n v="0"/>
    <n v="0"/>
    <n v="0"/>
    <n v="0"/>
    <n v="0"/>
    <n v="0"/>
    <n v="0"/>
  </r>
  <r>
    <x v="16"/>
    <x v="2"/>
    <n v="5"/>
    <n v="0"/>
    <n v="0"/>
    <n v="0"/>
    <n v="0"/>
    <n v="0"/>
    <n v="0"/>
    <n v="0"/>
    <n v="0"/>
    <n v="0"/>
    <n v="0"/>
    <n v="0"/>
    <n v="0"/>
  </r>
  <r>
    <x v="16"/>
    <x v="25"/>
    <n v="10"/>
    <n v="1414"/>
    <n v="3"/>
    <n v="0.2122"/>
    <n v="1.48"/>
    <n v="0.49"/>
    <n v="0"/>
    <n v="0"/>
    <n v="0"/>
    <n v="0"/>
    <n v="0"/>
    <n v="0"/>
    <n v="0"/>
  </r>
  <r>
    <x v="16"/>
    <x v="22"/>
    <n v="2"/>
    <n v="915"/>
    <n v="6"/>
    <n v="0.65569999999999995"/>
    <n v="2.13"/>
    <n v="0.36"/>
    <n v="0"/>
    <n v="0"/>
    <n v="0"/>
    <n v="0"/>
    <n v="0"/>
    <n v="0"/>
    <n v="0"/>
  </r>
  <r>
    <x v="16"/>
    <x v="23"/>
    <n v="10"/>
    <n v="1500"/>
    <n v="6"/>
    <n v="0.4"/>
    <n v="1.83"/>
    <n v="0.31"/>
    <n v="0"/>
    <n v="0"/>
    <n v="0"/>
    <n v="0"/>
    <n v="0"/>
    <n v="0"/>
    <n v="0"/>
  </r>
  <r>
    <x v="16"/>
    <x v="3"/>
    <n v="10"/>
    <n v="0"/>
    <n v="0"/>
    <n v="0"/>
    <n v="0"/>
    <n v="0"/>
    <n v="0"/>
    <n v="0"/>
    <n v="0"/>
    <n v="0"/>
    <n v="0"/>
    <n v="0"/>
    <n v="0"/>
  </r>
  <r>
    <x v="16"/>
    <x v="5"/>
    <n v="10"/>
    <n v="10"/>
    <n v="0"/>
    <n v="0"/>
    <n v="0"/>
    <n v="0"/>
    <n v="0"/>
    <n v="0"/>
    <n v="0"/>
    <n v="0"/>
    <n v="0"/>
    <n v="0"/>
    <n v="0"/>
  </r>
  <r>
    <x v="16"/>
    <x v="7"/>
    <n v="10"/>
    <n v="833"/>
    <n v="3"/>
    <n v="0.36009999999999998"/>
    <n v="2.14"/>
    <n v="0.71"/>
    <n v="0"/>
    <n v="0"/>
    <n v="0"/>
    <n v="0"/>
    <n v="0"/>
    <n v="0"/>
    <n v="0"/>
  </r>
  <r>
    <x v="16"/>
    <x v="8"/>
    <n v="5"/>
    <n v="2"/>
    <n v="0"/>
    <n v="0"/>
    <n v="0"/>
    <n v="0"/>
    <n v="0"/>
    <n v="0"/>
    <n v="0"/>
    <n v="0"/>
    <n v="0"/>
    <n v="0"/>
    <n v="0"/>
  </r>
  <r>
    <x v="16"/>
    <x v="9"/>
    <n v="5"/>
    <n v="4191"/>
    <n v="6"/>
    <n v="0.14319999999999999"/>
    <n v="4.05"/>
    <n v="0.68"/>
    <n v="0"/>
    <n v="0"/>
    <n v="0"/>
    <n v="0"/>
    <n v="0"/>
    <n v="0"/>
    <n v="0"/>
  </r>
  <r>
    <x v="16"/>
    <x v="10"/>
    <n v="3"/>
    <n v="222"/>
    <n v="0"/>
    <n v="0"/>
    <n v="0"/>
    <n v="0"/>
    <n v="0"/>
    <n v="0"/>
    <n v="0"/>
    <n v="0"/>
    <n v="0"/>
    <n v="0"/>
    <n v="0"/>
  </r>
  <r>
    <x v="16"/>
    <x v="11"/>
    <n v="10"/>
    <n v="929"/>
    <n v="5"/>
    <n v="0.53820000000000001"/>
    <n v="1.96"/>
    <n v="0.39"/>
    <n v="0"/>
    <n v="0"/>
    <n v="0"/>
    <n v="0"/>
    <n v="0"/>
    <n v="0"/>
    <n v="0"/>
  </r>
  <r>
    <x v="16"/>
    <x v="12"/>
    <n v="5"/>
    <n v="235"/>
    <n v="0"/>
    <n v="0"/>
    <n v="0"/>
    <n v="0"/>
    <n v="0"/>
    <n v="0"/>
    <n v="0"/>
    <n v="0"/>
    <n v="0"/>
    <n v="0"/>
    <n v="0"/>
  </r>
  <r>
    <x v="16"/>
    <x v="13"/>
    <n v="5"/>
    <n v="3"/>
    <n v="0"/>
    <n v="0"/>
    <n v="0"/>
    <n v="0"/>
    <n v="0"/>
    <n v="0"/>
    <n v="0"/>
    <n v="0"/>
    <n v="0"/>
    <n v="0"/>
    <n v="0"/>
  </r>
  <r>
    <x v="16"/>
    <x v="14"/>
    <n v="10"/>
    <n v="234"/>
    <n v="2"/>
    <n v="0.85470000000000002"/>
    <n v="0.69"/>
    <n v="0.35"/>
    <n v="0"/>
    <n v="0"/>
    <n v="0"/>
    <n v="0"/>
    <n v="0"/>
    <n v="0"/>
    <n v="0"/>
  </r>
  <r>
    <x v="16"/>
    <x v="16"/>
    <n v="30"/>
    <n v="0"/>
    <n v="0"/>
    <n v="0"/>
    <n v="0"/>
    <n v="0"/>
    <n v="0"/>
    <n v="0"/>
    <n v="0"/>
    <n v="0"/>
    <n v="0"/>
    <n v="0"/>
    <n v="0"/>
  </r>
  <r>
    <x v="16"/>
    <x v="17"/>
    <n v="2"/>
    <n v="0"/>
    <n v="0"/>
    <n v="0"/>
    <n v="0"/>
    <n v="0"/>
    <n v="0"/>
    <n v="0"/>
    <n v="0"/>
    <n v="0"/>
    <n v="0"/>
    <n v="0"/>
    <n v="0"/>
  </r>
  <r>
    <x v="16"/>
    <x v="18"/>
    <n v="10"/>
    <n v="186"/>
    <n v="0"/>
    <n v="0"/>
    <n v="0"/>
    <n v="0"/>
    <n v="0"/>
    <n v="0"/>
    <n v="0"/>
    <n v="0"/>
    <n v="0"/>
    <n v="0"/>
    <n v="0"/>
  </r>
  <r>
    <x v="16"/>
    <x v="19"/>
    <n v="15"/>
    <n v="1"/>
    <n v="0"/>
    <n v="0"/>
    <n v="0"/>
    <n v="0"/>
    <n v="0"/>
    <n v="0"/>
    <n v="0"/>
    <n v="0"/>
    <n v="0"/>
    <n v="0"/>
    <n v="0"/>
  </r>
  <r>
    <x v="16"/>
    <x v="21"/>
    <n v="20"/>
    <n v="0"/>
    <n v="0"/>
    <n v="0"/>
    <n v="0"/>
    <n v="0"/>
    <n v="0"/>
    <n v="0"/>
    <n v="0"/>
    <n v="0"/>
    <n v="0"/>
    <n v="0"/>
    <n v="0"/>
  </r>
  <r>
    <x v="16"/>
    <x v="20"/>
    <n v="15"/>
    <n v="0"/>
    <n v="0"/>
    <n v="0"/>
    <n v="0"/>
    <n v="0"/>
    <n v="0"/>
    <n v="0"/>
    <n v="0"/>
    <n v="0"/>
    <n v="0"/>
    <n v="0"/>
    <n v="0"/>
  </r>
  <r>
    <x v="16"/>
    <x v="15"/>
    <n v="5"/>
    <n v="2972"/>
    <n v="18"/>
    <n v="0.60570000000000002"/>
    <n v="6.02"/>
    <n v="0.33"/>
    <n v="2"/>
    <n v="135.96"/>
    <n v="4.4278000000000004"/>
    <n v="0"/>
    <n v="0"/>
    <n v="0"/>
    <n v="0"/>
  </r>
  <r>
    <x v="16"/>
    <x v="24"/>
    <n v="10"/>
    <n v="645"/>
    <n v="2"/>
    <n v="0.31009999999999999"/>
    <n v="1.28"/>
    <n v="0.64"/>
    <n v="1"/>
    <n v="16.37"/>
    <n v="7.8192000000000004"/>
    <n v="0"/>
    <n v="0"/>
    <n v="0"/>
    <n v="0"/>
  </r>
  <r>
    <x v="16"/>
    <x v="6"/>
    <n v="10"/>
    <n v="2597"/>
    <n v="35"/>
    <n v="1.3476999999999999"/>
    <n v="10.29"/>
    <n v="0.28999999999999998"/>
    <n v="2"/>
    <n v="107.94"/>
    <n v="9.5330999999999992"/>
    <n v="0"/>
    <n v="0"/>
    <n v="0"/>
    <n v="0"/>
  </r>
  <r>
    <x v="16"/>
    <x v="4"/>
    <n v="10"/>
    <n v="19520"/>
    <n v="76"/>
    <n v="0.38929999999999998"/>
    <n v="22.02"/>
    <n v="0.28999999999999998"/>
    <n v="2"/>
    <n v="107.94"/>
    <n v="20.400200000000002"/>
    <n v="0"/>
    <n v="0"/>
    <n v="0"/>
    <n v="0"/>
  </r>
  <r>
    <x v="17"/>
    <x v="0"/>
    <n v="5"/>
    <n v="0"/>
    <n v="0"/>
    <n v="0"/>
    <n v="0"/>
    <n v="0"/>
    <n v="0"/>
    <n v="0"/>
    <n v="0"/>
    <n v="0"/>
    <n v="0"/>
    <n v="0"/>
    <n v="0"/>
  </r>
  <r>
    <x v="17"/>
    <x v="1"/>
    <n v="10"/>
    <n v="0"/>
    <n v="0"/>
    <n v="0"/>
    <n v="0"/>
    <n v="0"/>
    <n v="0"/>
    <n v="0"/>
    <n v="0"/>
    <n v="0"/>
    <n v="0"/>
    <n v="0"/>
    <n v="0"/>
  </r>
  <r>
    <x v="17"/>
    <x v="2"/>
    <n v="5"/>
    <n v="0"/>
    <n v="0"/>
    <n v="0"/>
    <n v="0"/>
    <n v="0"/>
    <n v="0"/>
    <n v="0"/>
    <n v="0"/>
    <n v="0"/>
    <n v="0"/>
    <n v="0"/>
    <n v="0"/>
  </r>
  <r>
    <x v="17"/>
    <x v="25"/>
    <n v="10"/>
    <n v="3917"/>
    <n v="16"/>
    <n v="0.40849999999999997"/>
    <n v="11.21"/>
    <n v="0.7"/>
    <n v="0"/>
    <n v="0"/>
    <n v="0"/>
    <n v="0"/>
    <n v="0"/>
    <n v="0"/>
    <n v="0"/>
  </r>
  <r>
    <x v="17"/>
    <x v="22"/>
    <n v="2"/>
    <n v="957"/>
    <n v="6"/>
    <n v="0.627"/>
    <n v="2.19"/>
    <n v="0.36"/>
    <n v="0"/>
    <n v="0"/>
    <n v="0"/>
    <n v="0"/>
    <n v="0"/>
    <n v="0"/>
    <n v="0"/>
  </r>
  <r>
    <x v="17"/>
    <x v="3"/>
    <n v="10"/>
    <n v="0"/>
    <n v="0"/>
    <n v="0"/>
    <n v="0"/>
    <n v="0"/>
    <n v="0"/>
    <n v="0"/>
    <n v="0"/>
    <n v="0"/>
    <n v="0"/>
    <n v="0"/>
    <n v="0"/>
  </r>
  <r>
    <x v="17"/>
    <x v="5"/>
    <n v="10"/>
    <n v="25"/>
    <n v="0"/>
    <n v="0"/>
    <n v="0"/>
    <n v="0"/>
    <n v="0"/>
    <n v="0"/>
    <n v="0"/>
    <n v="0"/>
    <n v="0"/>
    <n v="0"/>
    <n v="0"/>
  </r>
  <r>
    <x v="17"/>
    <x v="7"/>
    <n v="10"/>
    <n v="1327"/>
    <n v="3"/>
    <n v="0.2261"/>
    <n v="2.0499999999999998"/>
    <n v="0.68"/>
    <n v="0"/>
    <n v="0"/>
    <n v="0"/>
    <n v="0"/>
    <n v="0"/>
    <n v="0"/>
    <n v="0"/>
  </r>
  <r>
    <x v="17"/>
    <x v="8"/>
    <n v="5"/>
    <n v="0"/>
    <n v="0"/>
    <n v="0"/>
    <n v="0"/>
    <n v="0"/>
    <n v="0"/>
    <n v="0"/>
    <n v="0"/>
    <n v="0"/>
    <n v="0"/>
    <n v="0"/>
    <n v="0"/>
  </r>
  <r>
    <x v="17"/>
    <x v="24"/>
    <n v="10"/>
    <n v="1636"/>
    <n v="7"/>
    <n v="0.4279"/>
    <n v="4.18"/>
    <n v="0.6"/>
    <n v="0"/>
    <n v="0"/>
    <n v="0"/>
    <n v="0"/>
    <n v="0"/>
    <n v="0"/>
    <n v="0"/>
  </r>
  <r>
    <x v="17"/>
    <x v="9"/>
    <n v="5"/>
    <n v="4597"/>
    <n v="8"/>
    <n v="0.17399999999999999"/>
    <n v="4.9800000000000004"/>
    <n v="0.62"/>
    <n v="0"/>
    <n v="0"/>
    <n v="0"/>
    <n v="0"/>
    <n v="0"/>
    <n v="0"/>
    <n v="0"/>
  </r>
  <r>
    <x v="17"/>
    <x v="10"/>
    <n v="3"/>
    <n v="207"/>
    <n v="2"/>
    <n v="0.96619999999999995"/>
    <n v="0.25"/>
    <n v="0.13"/>
    <n v="0"/>
    <n v="0"/>
    <n v="0"/>
    <n v="0"/>
    <n v="0"/>
    <n v="0"/>
    <n v="0"/>
  </r>
  <r>
    <x v="17"/>
    <x v="11"/>
    <n v="10"/>
    <n v="833"/>
    <n v="3"/>
    <n v="0.36009999999999998"/>
    <n v="1.29"/>
    <n v="0.43"/>
    <n v="0"/>
    <n v="0"/>
    <n v="0"/>
    <n v="0"/>
    <n v="0"/>
    <n v="0"/>
    <n v="0"/>
  </r>
  <r>
    <x v="17"/>
    <x v="13"/>
    <n v="5"/>
    <n v="11"/>
    <n v="0"/>
    <n v="0"/>
    <n v="0"/>
    <n v="0"/>
    <n v="0"/>
    <n v="0"/>
    <n v="0"/>
    <n v="0"/>
    <n v="0"/>
    <n v="0"/>
    <n v="0"/>
  </r>
  <r>
    <x v="17"/>
    <x v="16"/>
    <n v="30"/>
    <n v="0"/>
    <n v="0"/>
    <n v="0"/>
    <n v="0"/>
    <n v="0"/>
    <n v="0"/>
    <n v="0"/>
    <n v="0"/>
    <n v="0"/>
    <n v="0"/>
    <n v="0"/>
    <n v="0"/>
  </r>
  <r>
    <x v="17"/>
    <x v="17"/>
    <n v="2"/>
    <n v="0"/>
    <n v="0"/>
    <n v="0"/>
    <n v="0"/>
    <n v="0"/>
    <n v="0"/>
    <n v="0"/>
    <n v="0"/>
    <n v="0"/>
    <n v="0"/>
    <n v="0"/>
    <n v="0"/>
  </r>
  <r>
    <x v="17"/>
    <x v="19"/>
    <n v="15"/>
    <n v="8"/>
    <n v="0"/>
    <n v="0"/>
    <n v="0"/>
    <n v="0"/>
    <n v="0"/>
    <n v="0"/>
    <n v="0"/>
    <n v="0"/>
    <n v="0"/>
    <n v="0"/>
    <n v="0"/>
  </r>
  <r>
    <x v="17"/>
    <x v="21"/>
    <n v="20"/>
    <n v="0"/>
    <n v="0"/>
    <n v="0"/>
    <n v="0"/>
    <n v="0"/>
    <n v="0"/>
    <n v="0"/>
    <n v="0"/>
    <n v="0"/>
    <n v="0"/>
    <n v="0"/>
    <n v="0"/>
  </r>
  <r>
    <x v="17"/>
    <x v="20"/>
    <n v="15"/>
    <n v="0"/>
    <n v="0"/>
    <n v="0"/>
    <n v="0"/>
    <n v="0"/>
    <n v="0"/>
    <n v="0"/>
    <n v="0"/>
    <n v="0"/>
    <n v="0"/>
    <n v="0"/>
    <n v="0"/>
  </r>
  <r>
    <x v="17"/>
    <x v="15"/>
    <n v="5"/>
    <n v="4679"/>
    <n v="20"/>
    <n v="0.4274"/>
    <n v="5.58"/>
    <n v="0.28000000000000003"/>
    <n v="2"/>
    <n v="155.94"/>
    <n v="3.5783"/>
    <n v="0"/>
    <n v="0"/>
    <n v="0"/>
    <n v="0"/>
  </r>
  <r>
    <x v="17"/>
    <x v="14"/>
    <n v="10"/>
    <n v="267"/>
    <n v="2"/>
    <n v="0.74909999999999999"/>
    <n v="0.6"/>
    <n v="0.3"/>
    <n v="1"/>
    <n v="13.97"/>
    <n v="4.2949000000000002"/>
    <n v="0"/>
    <n v="0"/>
    <n v="0"/>
    <n v="0"/>
  </r>
  <r>
    <x v="17"/>
    <x v="6"/>
    <n v="10"/>
    <n v="4691"/>
    <n v="40"/>
    <n v="0.85270000000000001"/>
    <n v="10.64"/>
    <n v="0.27"/>
    <n v="4"/>
    <n v="239.88"/>
    <n v="4.4356"/>
    <n v="0"/>
    <n v="0"/>
    <n v="0"/>
    <n v="0"/>
  </r>
  <r>
    <x v="17"/>
    <x v="12"/>
    <n v="5"/>
    <n v="581"/>
    <n v="4"/>
    <n v="0.6885"/>
    <n v="2.09"/>
    <n v="0.52"/>
    <n v="1"/>
    <n v="24.99"/>
    <n v="8.3633000000000006"/>
    <n v="0"/>
    <n v="0"/>
    <n v="0"/>
    <n v="0"/>
  </r>
  <r>
    <x v="17"/>
    <x v="18"/>
    <n v="10"/>
    <n v="472"/>
    <n v="4"/>
    <n v="0.84750000000000003"/>
    <n v="1.55"/>
    <n v="0.39"/>
    <n v="1"/>
    <n v="11.99"/>
    <n v="12.9274"/>
    <n v="0"/>
    <n v="0"/>
    <n v="0"/>
    <n v="0"/>
  </r>
  <r>
    <x v="17"/>
    <x v="23"/>
    <n v="10"/>
    <n v="4415"/>
    <n v="44"/>
    <n v="0.99660000000000004"/>
    <n v="12.5"/>
    <n v="0.28000000000000003"/>
    <n v="1"/>
    <n v="53.97"/>
    <n v="23.161000000000001"/>
    <n v="0"/>
    <n v="0"/>
    <n v="0"/>
    <n v="0"/>
  </r>
  <r>
    <x v="17"/>
    <x v="4"/>
    <n v="10"/>
    <n v="9598"/>
    <n v="63"/>
    <n v="0.65639999999999998"/>
    <n v="22.11"/>
    <n v="0.35"/>
    <n v="1"/>
    <n v="53.97"/>
    <n v="40.967199999999998"/>
    <n v="0"/>
    <n v="0"/>
    <n v="0"/>
    <n v="0"/>
  </r>
  <r>
    <x v="18"/>
    <x v="0"/>
    <n v="5"/>
    <n v="0"/>
    <n v="0"/>
    <n v="0"/>
    <n v="0"/>
    <n v="0"/>
    <n v="0"/>
    <n v="0"/>
    <n v="0"/>
    <n v="0"/>
    <n v="0"/>
    <n v="0"/>
    <n v="0"/>
  </r>
  <r>
    <x v="18"/>
    <x v="1"/>
    <n v="10"/>
    <n v="0"/>
    <n v="0"/>
    <n v="0"/>
    <n v="0"/>
    <n v="0"/>
    <n v="0"/>
    <n v="0"/>
    <n v="0"/>
    <n v="0"/>
    <n v="0"/>
    <n v="0"/>
    <n v="0"/>
  </r>
  <r>
    <x v="18"/>
    <x v="22"/>
    <n v="2"/>
    <n v="621"/>
    <n v="7"/>
    <n v="1.1272"/>
    <n v="2.23"/>
    <n v="0.32"/>
    <n v="0"/>
    <n v="0"/>
    <n v="0"/>
    <n v="0"/>
    <n v="0"/>
    <n v="0"/>
    <n v="0"/>
  </r>
  <r>
    <x v="18"/>
    <x v="23"/>
    <n v="10"/>
    <n v="3101"/>
    <n v="23"/>
    <n v="0.74170000000000003"/>
    <n v="5.87"/>
    <n v="0.26"/>
    <n v="0"/>
    <n v="0"/>
    <n v="0"/>
    <n v="0"/>
    <n v="0"/>
    <n v="0"/>
    <n v="0"/>
  </r>
  <r>
    <x v="18"/>
    <x v="3"/>
    <n v="10"/>
    <n v="0"/>
    <n v="0"/>
    <n v="0"/>
    <n v="0"/>
    <n v="0"/>
    <n v="0"/>
    <n v="0"/>
    <n v="0"/>
    <n v="0"/>
    <n v="0"/>
    <n v="0"/>
    <n v="0"/>
  </r>
  <r>
    <x v="18"/>
    <x v="5"/>
    <n v="10"/>
    <n v="77"/>
    <n v="0"/>
    <n v="0"/>
    <n v="0"/>
    <n v="0"/>
    <n v="0"/>
    <n v="0"/>
    <n v="0"/>
    <n v="0"/>
    <n v="0"/>
    <n v="0"/>
    <n v="0"/>
  </r>
  <r>
    <x v="18"/>
    <x v="8"/>
    <n v="5"/>
    <n v="0"/>
    <n v="0"/>
    <n v="0"/>
    <n v="0"/>
    <n v="0"/>
    <n v="0"/>
    <n v="0"/>
    <n v="0"/>
    <n v="0"/>
    <n v="0"/>
    <n v="0"/>
    <n v="0"/>
  </r>
  <r>
    <x v="18"/>
    <x v="10"/>
    <n v="3"/>
    <n v="274"/>
    <n v="1"/>
    <n v="0.36499999999999999"/>
    <n v="0.02"/>
    <n v="0.02"/>
    <n v="0"/>
    <n v="0"/>
    <n v="0"/>
    <n v="0"/>
    <n v="0"/>
    <n v="0"/>
    <n v="0"/>
  </r>
  <r>
    <x v="18"/>
    <x v="11"/>
    <n v="10"/>
    <n v="1846"/>
    <n v="2"/>
    <n v="0.10829999999999999"/>
    <n v="0.78"/>
    <n v="0.39"/>
    <n v="0"/>
    <n v="0"/>
    <n v="0"/>
    <n v="0"/>
    <n v="0"/>
    <n v="0"/>
    <n v="0"/>
  </r>
  <r>
    <x v="18"/>
    <x v="12"/>
    <n v="5"/>
    <n v="535"/>
    <n v="2"/>
    <n v="0.37380000000000002"/>
    <n v="0.67"/>
    <n v="0.34"/>
    <n v="0"/>
    <n v="0"/>
    <n v="0"/>
    <n v="0"/>
    <n v="0"/>
    <n v="0"/>
    <n v="0"/>
  </r>
  <r>
    <x v="18"/>
    <x v="13"/>
    <n v="5"/>
    <n v="2"/>
    <n v="0"/>
    <n v="0"/>
    <n v="0"/>
    <n v="0"/>
    <n v="0"/>
    <n v="0"/>
    <n v="0"/>
    <n v="0"/>
    <n v="0"/>
    <n v="0"/>
    <n v="0"/>
  </r>
  <r>
    <x v="18"/>
    <x v="14"/>
    <n v="10"/>
    <n v="400"/>
    <n v="1"/>
    <n v="0.25"/>
    <n v="0.41"/>
    <n v="0.41"/>
    <n v="0"/>
    <n v="0"/>
    <n v="0"/>
    <n v="0"/>
    <n v="0"/>
    <n v="0"/>
    <n v="0"/>
  </r>
  <r>
    <x v="18"/>
    <x v="16"/>
    <n v="30"/>
    <n v="0"/>
    <n v="0"/>
    <n v="0"/>
    <n v="0"/>
    <n v="0"/>
    <n v="0"/>
    <n v="0"/>
    <n v="0"/>
    <n v="0"/>
    <n v="0"/>
    <n v="0"/>
    <n v="0"/>
  </r>
  <r>
    <x v="18"/>
    <x v="17"/>
    <n v="2"/>
    <n v="0"/>
    <n v="0"/>
    <n v="0"/>
    <n v="0"/>
    <n v="0"/>
    <n v="0"/>
    <n v="0"/>
    <n v="0"/>
    <n v="0"/>
    <n v="0"/>
    <n v="0"/>
    <n v="0"/>
  </r>
  <r>
    <x v="18"/>
    <x v="19"/>
    <n v="15"/>
    <n v="16"/>
    <n v="0"/>
    <n v="0"/>
    <n v="0"/>
    <n v="0"/>
    <n v="0"/>
    <n v="0"/>
    <n v="0"/>
    <n v="0"/>
    <n v="0"/>
    <n v="0"/>
    <n v="0"/>
  </r>
  <r>
    <x v="18"/>
    <x v="21"/>
    <n v="20"/>
    <n v="0"/>
    <n v="0"/>
    <n v="0"/>
    <n v="0"/>
    <n v="0"/>
    <n v="0"/>
    <n v="0"/>
    <n v="0"/>
    <n v="0"/>
    <n v="0"/>
    <n v="0"/>
    <n v="0"/>
  </r>
  <r>
    <x v="18"/>
    <x v="20"/>
    <n v="15"/>
    <n v="0"/>
    <n v="0"/>
    <n v="0"/>
    <n v="0"/>
    <n v="0"/>
    <n v="0"/>
    <n v="0"/>
    <n v="0"/>
    <n v="0"/>
    <n v="0"/>
    <n v="0"/>
    <n v="0"/>
  </r>
  <r>
    <x v="18"/>
    <x v="6"/>
    <n v="10"/>
    <n v="4400"/>
    <n v="39"/>
    <n v="0.88639999999999997"/>
    <n v="11.26"/>
    <n v="0.28999999999999998"/>
    <n v="2"/>
    <n v="107.94"/>
    <n v="10.431699999999999"/>
    <n v="0"/>
    <n v="0"/>
    <n v="0"/>
    <n v="0"/>
  </r>
  <r>
    <x v="18"/>
    <x v="15"/>
    <n v="5"/>
    <n v="4405"/>
    <n v="24"/>
    <n v="0.54479999999999995"/>
    <n v="6.03"/>
    <n v="0.25"/>
    <n v="1"/>
    <n v="53.97"/>
    <n v="11.1729"/>
    <n v="0"/>
    <n v="0"/>
    <n v="0"/>
    <n v="0"/>
  </r>
  <r>
    <x v="18"/>
    <x v="18"/>
    <n v="10"/>
    <n v="363"/>
    <n v="3"/>
    <n v="0.82640000000000002"/>
    <n v="1.54"/>
    <n v="0.51"/>
    <n v="1"/>
    <n v="11.99"/>
    <n v="12.843999999999999"/>
    <n v="0"/>
    <n v="0"/>
    <n v="0"/>
    <n v="0"/>
  </r>
  <r>
    <x v="18"/>
    <x v="24"/>
    <n v="10"/>
    <n v="1876"/>
    <n v="7"/>
    <n v="0.37309999999999999"/>
    <n v="4.3"/>
    <n v="0.61"/>
    <n v="2"/>
    <n v="32.74"/>
    <n v="13.133800000000001"/>
    <n v="0"/>
    <n v="0"/>
    <n v="0"/>
    <n v="0"/>
  </r>
  <r>
    <x v="18"/>
    <x v="7"/>
    <n v="10"/>
    <n v="935"/>
    <n v="7"/>
    <n v="0.74870000000000003"/>
    <n v="4.42"/>
    <n v="0.63"/>
    <n v="1"/>
    <n v="23.99"/>
    <n v="18.424299999999999"/>
    <n v="0"/>
    <n v="0"/>
    <n v="0"/>
    <n v="0"/>
  </r>
  <r>
    <x v="18"/>
    <x v="4"/>
    <n v="10"/>
    <n v="13248"/>
    <n v="68"/>
    <n v="0.51329999999999998"/>
    <n v="22.05"/>
    <n v="0.32"/>
    <n v="2"/>
    <n v="107.94"/>
    <n v="20.428000000000001"/>
    <n v="0"/>
    <n v="0"/>
    <n v="0"/>
    <n v="0"/>
  </r>
  <r>
    <x v="18"/>
    <x v="9"/>
    <n v="5"/>
    <n v="11072"/>
    <n v="19"/>
    <n v="0.1716"/>
    <n v="12.07"/>
    <n v="0.64"/>
    <n v="2"/>
    <n v="47.98"/>
    <n v="25.156300000000002"/>
    <n v="0"/>
    <n v="0"/>
    <n v="0"/>
    <n v="0"/>
  </r>
  <r>
    <x v="18"/>
    <x v="25"/>
    <n v="10"/>
    <n v="2984"/>
    <n v="19"/>
    <n v="0.63670000000000004"/>
    <n v="12.88"/>
    <n v="0.68"/>
    <n v="2"/>
    <n v="47.98"/>
    <n v="26.8445"/>
    <n v="0"/>
    <n v="0"/>
    <n v="0"/>
    <n v="0"/>
  </r>
  <r>
    <x v="18"/>
    <x v="2"/>
    <n v="5"/>
    <n v="4432"/>
    <n v="11"/>
    <n v="0.2482"/>
    <n v="7.48"/>
    <n v="0.68"/>
    <n v="1"/>
    <n v="23.99"/>
    <n v="31.1797"/>
    <n v="0"/>
    <n v="0"/>
    <n v="0"/>
    <n v="0"/>
  </r>
  <r>
    <x v="19"/>
    <x v="0"/>
    <n v="5"/>
    <n v="0"/>
    <n v="0"/>
    <n v="0"/>
    <n v="0"/>
    <n v="0"/>
    <n v="0"/>
    <n v="0"/>
    <n v="0"/>
    <n v="0"/>
    <n v="0"/>
    <n v="0"/>
    <n v="0"/>
  </r>
  <r>
    <x v="19"/>
    <x v="1"/>
    <n v="10"/>
    <n v="0"/>
    <n v="0"/>
    <n v="0"/>
    <n v="0"/>
    <n v="0"/>
    <n v="0"/>
    <n v="0"/>
    <n v="0"/>
    <n v="0"/>
    <n v="0"/>
    <n v="0"/>
    <n v="0"/>
  </r>
  <r>
    <x v="19"/>
    <x v="25"/>
    <n v="10"/>
    <n v="1769"/>
    <n v="18"/>
    <n v="1.0175000000000001"/>
    <n v="11.29"/>
    <n v="0.63"/>
    <n v="0"/>
    <n v="0"/>
    <n v="0"/>
    <n v="0"/>
    <n v="0"/>
    <n v="0"/>
    <n v="0"/>
  </r>
  <r>
    <x v="19"/>
    <x v="22"/>
    <n v="2"/>
    <n v="609"/>
    <n v="5"/>
    <n v="0.82099999999999995"/>
    <n v="2.2599999999999998"/>
    <n v="0.45"/>
    <n v="0"/>
    <n v="0"/>
    <n v="0"/>
    <n v="0"/>
    <n v="0"/>
    <n v="0"/>
    <n v="0"/>
  </r>
  <r>
    <x v="19"/>
    <x v="23"/>
    <n v="10"/>
    <n v="2364"/>
    <n v="11"/>
    <n v="0.46529999999999999"/>
    <n v="3"/>
    <n v="0.27"/>
    <n v="0"/>
    <n v="0"/>
    <n v="0"/>
    <n v="0"/>
    <n v="0"/>
    <n v="0"/>
    <n v="0"/>
  </r>
  <r>
    <x v="19"/>
    <x v="3"/>
    <n v="10"/>
    <n v="0"/>
    <n v="0"/>
    <n v="0"/>
    <n v="0"/>
    <n v="0"/>
    <n v="0"/>
    <n v="0"/>
    <n v="0"/>
    <n v="0"/>
    <n v="0"/>
    <n v="0"/>
    <n v="0"/>
  </r>
  <r>
    <x v="19"/>
    <x v="5"/>
    <n v="10"/>
    <n v="37"/>
    <n v="0"/>
    <n v="0"/>
    <n v="0"/>
    <n v="0"/>
    <n v="0"/>
    <n v="0"/>
    <n v="0"/>
    <n v="0"/>
    <n v="0"/>
    <n v="0"/>
    <n v="0"/>
  </r>
  <r>
    <x v="19"/>
    <x v="7"/>
    <n v="10"/>
    <n v="870"/>
    <n v="5"/>
    <n v="0.57469999999999999"/>
    <n v="2.84"/>
    <n v="0.56999999999999995"/>
    <n v="0"/>
    <n v="0"/>
    <n v="0"/>
    <n v="0"/>
    <n v="0"/>
    <n v="0"/>
    <n v="0"/>
  </r>
  <r>
    <x v="19"/>
    <x v="8"/>
    <n v="5"/>
    <n v="0"/>
    <n v="0"/>
    <n v="0"/>
    <n v="0"/>
    <n v="0"/>
    <n v="0"/>
    <n v="0"/>
    <n v="0"/>
    <n v="0"/>
    <n v="0"/>
    <n v="0"/>
    <n v="0"/>
  </r>
  <r>
    <x v="19"/>
    <x v="24"/>
    <n v="10"/>
    <n v="2381"/>
    <n v="6"/>
    <n v="0.252"/>
    <n v="3.34"/>
    <n v="0.56000000000000005"/>
    <n v="0"/>
    <n v="0"/>
    <n v="0"/>
    <n v="0"/>
    <n v="0"/>
    <n v="0"/>
    <n v="0"/>
  </r>
  <r>
    <x v="19"/>
    <x v="9"/>
    <n v="5"/>
    <n v="4453"/>
    <n v="12"/>
    <n v="0.26950000000000002"/>
    <n v="7.69"/>
    <n v="0.64"/>
    <n v="0"/>
    <n v="0"/>
    <n v="0"/>
    <n v="0"/>
    <n v="0"/>
    <n v="0"/>
    <n v="0"/>
  </r>
  <r>
    <x v="19"/>
    <x v="11"/>
    <n v="10"/>
    <n v="1462"/>
    <n v="4"/>
    <n v="0.27360000000000001"/>
    <n v="2.86"/>
    <n v="0.72"/>
    <n v="0"/>
    <n v="0"/>
    <n v="0"/>
    <n v="0"/>
    <n v="0"/>
    <n v="0"/>
    <n v="0"/>
  </r>
  <r>
    <x v="19"/>
    <x v="12"/>
    <n v="5"/>
    <n v="336"/>
    <n v="1"/>
    <n v="0.29759999999999998"/>
    <n v="0.43"/>
    <n v="0.43"/>
    <n v="0"/>
    <n v="0"/>
    <n v="0"/>
    <n v="0"/>
    <n v="0"/>
    <n v="0"/>
    <n v="0"/>
  </r>
  <r>
    <x v="19"/>
    <x v="13"/>
    <n v="5"/>
    <n v="5"/>
    <n v="1"/>
    <n v="20"/>
    <n v="0.02"/>
    <n v="0.02"/>
    <n v="0"/>
    <n v="0"/>
    <n v="0"/>
    <n v="0"/>
    <n v="0"/>
    <n v="0"/>
    <n v="0"/>
  </r>
  <r>
    <x v="19"/>
    <x v="14"/>
    <n v="10"/>
    <n v="710"/>
    <n v="6"/>
    <n v="0.84509999999999996"/>
    <n v="2.2799999999999998"/>
    <n v="0.38"/>
    <n v="0"/>
    <n v="0"/>
    <n v="0"/>
    <n v="0"/>
    <n v="0"/>
    <n v="0"/>
    <n v="0"/>
  </r>
  <r>
    <x v="19"/>
    <x v="15"/>
    <n v="5"/>
    <n v="27"/>
    <n v="0"/>
    <n v="0"/>
    <n v="0"/>
    <n v="0"/>
    <n v="0"/>
    <n v="0"/>
    <n v="0"/>
    <n v="0"/>
    <n v="0"/>
    <n v="0"/>
    <n v="0"/>
  </r>
  <r>
    <x v="19"/>
    <x v="16"/>
    <n v="30"/>
    <n v="0"/>
    <n v="0"/>
    <n v="0"/>
    <n v="0"/>
    <n v="0"/>
    <n v="0"/>
    <n v="0"/>
    <n v="0"/>
    <n v="0"/>
    <n v="0"/>
    <n v="0"/>
    <n v="0"/>
  </r>
  <r>
    <x v="19"/>
    <x v="17"/>
    <n v="2"/>
    <n v="0"/>
    <n v="0"/>
    <n v="0"/>
    <n v="0"/>
    <n v="0"/>
    <n v="0"/>
    <n v="0"/>
    <n v="0"/>
    <n v="0"/>
    <n v="0"/>
    <n v="0"/>
    <n v="0"/>
  </r>
  <r>
    <x v="19"/>
    <x v="18"/>
    <n v="10"/>
    <n v="334"/>
    <n v="3"/>
    <n v="0.8982"/>
    <n v="1.17"/>
    <n v="0.39"/>
    <n v="0"/>
    <n v="0"/>
    <n v="0"/>
    <n v="0"/>
    <n v="0"/>
    <n v="0"/>
    <n v="0"/>
  </r>
  <r>
    <x v="19"/>
    <x v="19"/>
    <n v="15"/>
    <n v="24"/>
    <n v="0"/>
    <n v="0"/>
    <n v="0"/>
    <n v="0"/>
    <n v="0"/>
    <n v="0"/>
    <n v="0"/>
    <n v="0"/>
    <n v="0"/>
    <n v="0"/>
    <n v="0"/>
  </r>
  <r>
    <x v="19"/>
    <x v="21"/>
    <n v="20"/>
    <n v="0"/>
    <n v="0"/>
    <n v="0"/>
    <n v="0"/>
    <n v="0"/>
    <n v="0"/>
    <n v="0"/>
    <n v="0"/>
    <n v="0"/>
    <n v="0"/>
    <n v="0"/>
    <n v="0"/>
  </r>
  <r>
    <x v="19"/>
    <x v="20"/>
    <n v="15"/>
    <n v="0"/>
    <n v="0"/>
    <n v="0"/>
    <n v="0"/>
    <n v="0"/>
    <n v="0"/>
    <n v="0"/>
    <n v="0"/>
    <n v="0"/>
    <n v="0"/>
    <n v="0"/>
    <n v="0"/>
  </r>
  <r>
    <x v="19"/>
    <x v="10"/>
    <n v="3"/>
    <n v="220"/>
    <n v="2"/>
    <n v="0.90910000000000002"/>
    <n v="0.18"/>
    <n v="0.09"/>
    <n v="2"/>
    <n v="25.98"/>
    <n v="0.69279999999999997"/>
    <n v="0"/>
    <n v="0"/>
    <n v="0"/>
    <n v="0"/>
  </r>
  <r>
    <x v="19"/>
    <x v="2"/>
    <n v="5"/>
    <n v="14238"/>
    <n v="25"/>
    <n v="0.17560000000000001"/>
    <n v="15.54"/>
    <n v="0.62"/>
    <n v="4"/>
    <n v="91.96"/>
    <n v="16.898700000000002"/>
    <n v="0"/>
    <n v="0"/>
    <n v="0"/>
    <n v="0"/>
  </r>
  <r>
    <x v="19"/>
    <x v="6"/>
    <n v="10"/>
    <n v="4119"/>
    <n v="45"/>
    <n v="1.0925"/>
    <n v="11.07"/>
    <n v="0.25"/>
    <n v="1"/>
    <n v="53.97"/>
    <n v="20.511399999999998"/>
    <n v="0"/>
    <n v="0"/>
    <n v="0"/>
    <n v="0"/>
  </r>
  <r>
    <x v="19"/>
    <x v="4"/>
    <n v="10"/>
    <n v="14205"/>
    <n v="69"/>
    <n v="0.48570000000000002"/>
    <n v="22.31"/>
    <n v="0.32"/>
    <n v="1"/>
    <n v="53.97"/>
    <n v="41.337800000000001"/>
    <n v="0"/>
    <n v="0"/>
    <n v="0"/>
    <n v="0"/>
  </r>
  <r>
    <x v="20"/>
    <x v="0"/>
    <n v="5"/>
    <n v="0"/>
    <n v="0"/>
    <n v="0"/>
    <n v="0"/>
    <n v="0"/>
    <n v="0"/>
    <n v="0"/>
    <n v="0"/>
    <n v="0"/>
    <n v="0"/>
    <n v="0"/>
    <n v="0"/>
  </r>
  <r>
    <x v="20"/>
    <x v="1"/>
    <n v="10"/>
    <n v="0"/>
    <n v="0"/>
    <n v="0"/>
    <n v="0"/>
    <n v="0"/>
    <n v="0"/>
    <n v="0"/>
    <n v="0"/>
    <n v="0"/>
    <n v="0"/>
    <n v="0"/>
    <n v="0"/>
  </r>
  <r>
    <x v="20"/>
    <x v="25"/>
    <n v="10"/>
    <n v="3691"/>
    <n v="11"/>
    <n v="0.29799999999999999"/>
    <n v="7.19"/>
    <n v="0.65"/>
    <n v="0"/>
    <n v="0"/>
    <n v="0"/>
    <n v="0"/>
    <n v="0"/>
    <n v="0"/>
    <n v="0"/>
  </r>
  <r>
    <x v="20"/>
    <x v="22"/>
    <n v="2"/>
    <n v="533"/>
    <n v="5"/>
    <n v="0.93810000000000004"/>
    <n v="1.74"/>
    <n v="0.35"/>
    <n v="0"/>
    <n v="0"/>
    <n v="0"/>
    <n v="0"/>
    <n v="0"/>
    <n v="0"/>
    <n v="0"/>
  </r>
  <r>
    <x v="20"/>
    <x v="23"/>
    <n v="10"/>
    <n v="1888"/>
    <n v="10"/>
    <n v="0.52969999999999995"/>
    <n v="3.05"/>
    <n v="0.31"/>
    <n v="0"/>
    <n v="0"/>
    <n v="0"/>
    <n v="0"/>
    <n v="0"/>
    <n v="0"/>
    <n v="0"/>
  </r>
  <r>
    <x v="20"/>
    <x v="3"/>
    <n v="10"/>
    <n v="4"/>
    <n v="0"/>
    <n v="0"/>
    <n v="0"/>
    <n v="0"/>
    <n v="0"/>
    <n v="0"/>
    <n v="0"/>
    <n v="0"/>
    <n v="0"/>
    <n v="0"/>
    <n v="0"/>
  </r>
  <r>
    <x v="20"/>
    <x v="4"/>
    <n v="10"/>
    <n v="19455"/>
    <n v="56"/>
    <n v="0.2878"/>
    <n v="16.010000000000002"/>
    <n v="0.28999999999999998"/>
    <n v="0"/>
    <n v="0"/>
    <n v="0"/>
    <n v="0"/>
    <n v="0"/>
    <n v="0"/>
    <n v="0"/>
  </r>
  <r>
    <x v="20"/>
    <x v="5"/>
    <n v="10"/>
    <n v="45"/>
    <n v="0"/>
    <n v="0"/>
    <n v="0"/>
    <n v="0"/>
    <n v="0"/>
    <n v="0"/>
    <n v="0"/>
    <n v="0"/>
    <n v="0"/>
    <n v="0"/>
    <n v="0"/>
  </r>
  <r>
    <x v="20"/>
    <x v="6"/>
    <n v="10"/>
    <n v="2650"/>
    <n v="21"/>
    <n v="0.79249999999999998"/>
    <n v="4.03"/>
    <n v="0.19"/>
    <n v="0"/>
    <n v="0"/>
    <n v="0"/>
    <n v="0"/>
    <n v="0"/>
    <n v="0"/>
    <n v="0"/>
  </r>
  <r>
    <x v="20"/>
    <x v="7"/>
    <n v="10"/>
    <n v="680"/>
    <n v="5"/>
    <n v="0.73529999999999995"/>
    <n v="3.04"/>
    <n v="0.61"/>
    <n v="0"/>
    <n v="0"/>
    <n v="0"/>
    <n v="0"/>
    <n v="0"/>
    <n v="0"/>
    <n v="0"/>
  </r>
  <r>
    <x v="20"/>
    <x v="8"/>
    <n v="5"/>
    <n v="0"/>
    <n v="0"/>
    <n v="0"/>
    <n v="0"/>
    <n v="0"/>
    <n v="0"/>
    <n v="0"/>
    <n v="0"/>
    <n v="0"/>
    <n v="0"/>
    <n v="0"/>
    <n v="0"/>
  </r>
  <r>
    <x v="20"/>
    <x v="10"/>
    <n v="3"/>
    <n v="327"/>
    <n v="0"/>
    <n v="0"/>
    <n v="0"/>
    <n v="0"/>
    <n v="0"/>
    <n v="0"/>
    <n v="0"/>
    <n v="0"/>
    <n v="0"/>
    <n v="0"/>
    <n v="0"/>
  </r>
  <r>
    <x v="20"/>
    <x v="11"/>
    <n v="10"/>
    <n v="1357"/>
    <n v="1"/>
    <n v="7.3700000000000002E-2"/>
    <n v="0.74"/>
    <n v="0.74"/>
    <n v="0"/>
    <n v="0"/>
    <n v="0"/>
    <n v="0"/>
    <n v="0"/>
    <n v="0"/>
    <n v="0"/>
  </r>
  <r>
    <x v="20"/>
    <x v="12"/>
    <n v="5"/>
    <n v="408"/>
    <n v="1"/>
    <n v="0.24510000000000001"/>
    <n v="0.39"/>
    <n v="0.39"/>
    <n v="0"/>
    <n v="0"/>
    <n v="0"/>
    <n v="0"/>
    <n v="0"/>
    <n v="0"/>
    <n v="0"/>
  </r>
  <r>
    <x v="20"/>
    <x v="13"/>
    <n v="5"/>
    <n v="8"/>
    <n v="0"/>
    <n v="0"/>
    <n v="0"/>
    <n v="0"/>
    <n v="0"/>
    <n v="0"/>
    <n v="0"/>
    <n v="0"/>
    <n v="0"/>
    <n v="0"/>
    <n v="0"/>
  </r>
  <r>
    <x v="20"/>
    <x v="14"/>
    <n v="10"/>
    <n v="460"/>
    <n v="4"/>
    <n v="0.86960000000000004"/>
    <n v="1.53"/>
    <n v="0.38"/>
    <n v="0"/>
    <n v="0"/>
    <n v="0"/>
    <n v="0"/>
    <n v="0"/>
    <n v="0"/>
    <n v="0"/>
  </r>
  <r>
    <x v="20"/>
    <x v="15"/>
    <n v="5"/>
    <n v="0"/>
    <n v="0"/>
    <n v="0"/>
    <n v="0"/>
    <n v="0"/>
    <n v="0"/>
    <n v="0"/>
    <n v="0"/>
    <n v="0"/>
    <n v="0"/>
    <n v="0"/>
    <n v="0"/>
  </r>
  <r>
    <x v="20"/>
    <x v="16"/>
    <n v="30"/>
    <n v="0"/>
    <n v="0"/>
    <n v="0"/>
    <n v="0"/>
    <n v="0"/>
    <n v="0"/>
    <n v="0"/>
    <n v="0"/>
    <n v="0"/>
    <n v="0"/>
    <n v="0"/>
    <n v="0"/>
  </r>
  <r>
    <x v="20"/>
    <x v="17"/>
    <n v="2"/>
    <n v="0"/>
    <n v="0"/>
    <n v="0"/>
    <n v="0"/>
    <n v="0"/>
    <n v="0"/>
    <n v="0"/>
    <n v="0"/>
    <n v="0"/>
    <n v="0"/>
    <n v="0"/>
    <n v="0"/>
  </r>
  <r>
    <x v="20"/>
    <x v="18"/>
    <n v="10"/>
    <n v="218"/>
    <n v="0"/>
    <n v="0"/>
    <n v="0"/>
    <n v="0"/>
    <n v="0"/>
    <n v="0"/>
    <n v="0"/>
    <n v="0"/>
    <n v="0"/>
    <n v="0"/>
    <n v="0"/>
  </r>
  <r>
    <x v="20"/>
    <x v="19"/>
    <n v="15"/>
    <n v="13"/>
    <n v="0"/>
    <n v="0"/>
    <n v="0"/>
    <n v="0"/>
    <n v="0"/>
    <n v="0"/>
    <n v="0"/>
    <n v="0"/>
    <n v="0"/>
    <n v="0"/>
    <n v="0"/>
  </r>
  <r>
    <x v="20"/>
    <x v="21"/>
    <n v="20"/>
    <n v="0"/>
    <n v="0"/>
    <n v="0"/>
    <n v="0"/>
    <n v="0"/>
    <n v="0"/>
    <n v="0"/>
    <n v="0"/>
    <n v="0"/>
    <n v="0"/>
    <n v="0"/>
    <n v="0"/>
  </r>
  <r>
    <x v="20"/>
    <x v="20"/>
    <n v="15"/>
    <n v="0"/>
    <n v="0"/>
    <n v="0"/>
    <n v="0"/>
    <n v="0"/>
    <n v="0"/>
    <n v="0"/>
    <n v="0"/>
    <n v="0"/>
    <n v="0"/>
    <n v="0"/>
    <n v="0"/>
  </r>
  <r>
    <x v="20"/>
    <x v="9"/>
    <n v="5"/>
    <n v="2619"/>
    <n v="17"/>
    <n v="0.64910000000000001"/>
    <n v="9.9"/>
    <n v="0.57999999999999996"/>
    <n v="2"/>
    <n v="71.97"/>
    <n v="13.755699999999999"/>
    <n v="0"/>
    <n v="0"/>
    <n v="0"/>
    <n v="0"/>
  </r>
  <r>
    <x v="20"/>
    <x v="24"/>
    <n v="10"/>
    <n v="1454"/>
    <n v="5"/>
    <n v="0.34389999999999998"/>
    <n v="2.92"/>
    <n v="0.57999999999999996"/>
    <n v="1"/>
    <n v="16.37"/>
    <n v="17.837499999999999"/>
    <n v="0"/>
    <n v="0"/>
    <n v="0"/>
    <n v="0"/>
  </r>
  <r>
    <x v="20"/>
    <x v="2"/>
    <n v="5"/>
    <n v="7305"/>
    <n v="18"/>
    <n v="0.24640000000000001"/>
    <n v="9.59"/>
    <n v="0.53"/>
    <n v="1"/>
    <n v="23.99"/>
    <n v="39.975000000000001"/>
    <n v="0"/>
    <n v="0"/>
    <n v="0"/>
    <n v="0"/>
  </r>
  <r>
    <x v="21"/>
    <x v="0"/>
    <n v="5"/>
    <n v="0"/>
    <n v="0"/>
    <n v="0"/>
    <n v="0"/>
    <n v="0"/>
    <n v="0"/>
    <n v="0"/>
    <n v="0"/>
    <n v="0"/>
    <n v="0"/>
    <n v="0"/>
    <n v="0"/>
  </r>
  <r>
    <x v="21"/>
    <x v="1"/>
    <n v="10"/>
    <n v="0"/>
    <n v="0"/>
    <n v="0"/>
    <n v="0"/>
    <n v="0"/>
    <n v="0"/>
    <n v="0"/>
    <n v="0"/>
    <n v="0"/>
    <n v="0"/>
    <n v="0"/>
    <n v="0"/>
  </r>
  <r>
    <x v="21"/>
    <x v="25"/>
    <n v="10"/>
    <n v="1870"/>
    <n v="5"/>
    <n v="0.26740000000000003"/>
    <n v="3.32"/>
    <n v="0.66"/>
    <n v="0"/>
    <n v="0"/>
    <n v="0"/>
    <n v="0"/>
    <n v="0"/>
    <n v="0"/>
    <n v="0"/>
  </r>
  <r>
    <x v="21"/>
    <x v="22"/>
    <n v="2"/>
    <n v="298"/>
    <n v="5"/>
    <n v="1.6778999999999999"/>
    <n v="2.08"/>
    <n v="0.42"/>
    <n v="0"/>
    <n v="0"/>
    <n v="0"/>
    <n v="0"/>
    <n v="0"/>
    <n v="0"/>
    <n v="0"/>
  </r>
  <r>
    <x v="21"/>
    <x v="23"/>
    <n v="10"/>
    <n v="2199"/>
    <n v="12"/>
    <n v="0.54569999999999996"/>
    <n v="3.66"/>
    <n v="0.31"/>
    <n v="0"/>
    <n v="0"/>
    <n v="0"/>
    <n v="0"/>
    <n v="0"/>
    <n v="0"/>
    <n v="0"/>
  </r>
  <r>
    <x v="21"/>
    <x v="3"/>
    <n v="10"/>
    <n v="0"/>
    <n v="0"/>
    <n v="0"/>
    <n v="0"/>
    <n v="0"/>
    <n v="0"/>
    <n v="0"/>
    <n v="0"/>
    <n v="0"/>
    <n v="0"/>
    <n v="0"/>
    <n v="0"/>
  </r>
  <r>
    <x v="21"/>
    <x v="4"/>
    <n v="10"/>
    <n v="17792"/>
    <n v="51"/>
    <n v="0.28660000000000002"/>
    <n v="12.47"/>
    <n v="0.24"/>
    <n v="0"/>
    <n v="0"/>
    <n v="0"/>
    <n v="0"/>
    <n v="0"/>
    <n v="0"/>
    <n v="0"/>
  </r>
  <r>
    <x v="21"/>
    <x v="5"/>
    <n v="10"/>
    <n v="38"/>
    <n v="0"/>
    <n v="0"/>
    <n v="0"/>
    <n v="0"/>
    <n v="0"/>
    <n v="0"/>
    <n v="0"/>
    <n v="0"/>
    <n v="0"/>
    <n v="0"/>
    <n v="0"/>
  </r>
  <r>
    <x v="21"/>
    <x v="6"/>
    <n v="10"/>
    <n v="2229"/>
    <n v="13"/>
    <n v="0.58320000000000005"/>
    <n v="2.0699999999999998"/>
    <n v="0.16"/>
    <n v="0"/>
    <n v="0"/>
    <n v="0"/>
    <n v="0"/>
    <n v="0"/>
    <n v="0"/>
    <n v="0"/>
  </r>
  <r>
    <x v="21"/>
    <x v="7"/>
    <n v="10"/>
    <n v="716"/>
    <n v="2"/>
    <n v="0.27929999999999999"/>
    <n v="1.28"/>
    <n v="0.64"/>
    <n v="0"/>
    <n v="0"/>
    <n v="0"/>
    <n v="0"/>
    <n v="0"/>
    <n v="0"/>
    <n v="0"/>
  </r>
  <r>
    <x v="21"/>
    <x v="8"/>
    <n v="5"/>
    <n v="0"/>
    <n v="0"/>
    <n v="0"/>
    <n v="0"/>
    <n v="0"/>
    <n v="0"/>
    <n v="0"/>
    <n v="0"/>
    <n v="0"/>
    <n v="0"/>
    <n v="0"/>
    <n v="0"/>
  </r>
  <r>
    <x v="21"/>
    <x v="24"/>
    <n v="10"/>
    <n v="1327"/>
    <n v="4"/>
    <n v="0.3014"/>
    <n v="2.4500000000000002"/>
    <n v="0.61"/>
    <n v="0"/>
    <n v="0"/>
    <n v="0"/>
    <n v="0"/>
    <n v="0"/>
    <n v="0"/>
    <n v="0"/>
  </r>
  <r>
    <x v="21"/>
    <x v="9"/>
    <n v="5"/>
    <n v="2642"/>
    <n v="11"/>
    <n v="0.41639999999999999"/>
    <n v="6.5"/>
    <n v="0.59"/>
    <n v="0"/>
    <n v="0"/>
    <n v="0"/>
    <n v="0"/>
    <n v="0"/>
    <n v="0"/>
    <n v="0"/>
  </r>
  <r>
    <x v="21"/>
    <x v="10"/>
    <n v="3"/>
    <n v="333"/>
    <n v="1"/>
    <n v="0.30030000000000001"/>
    <n v="0.02"/>
    <n v="0.02"/>
    <n v="0"/>
    <n v="0"/>
    <n v="0"/>
    <n v="0"/>
    <n v="0"/>
    <n v="0"/>
    <n v="0"/>
  </r>
  <r>
    <x v="21"/>
    <x v="11"/>
    <n v="10"/>
    <n v="380"/>
    <n v="1"/>
    <n v="0.26319999999999999"/>
    <n v="0.16"/>
    <n v="0.16"/>
    <n v="0"/>
    <n v="0"/>
    <n v="0"/>
    <n v="0"/>
    <n v="0"/>
    <n v="0"/>
    <n v="0"/>
  </r>
  <r>
    <x v="21"/>
    <x v="12"/>
    <n v="5"/>
    <n v="591"/>
    <n v="1"/>
    <n v="0.16919999999999999"/>
    <n v="0.47"/>
    <n v="0.47"/>
    <n v="0"/>
    <n v="0"/>
    <n v="0"/>
    <n v="0"/>
    <n v="0"/>
    <n v="0"/>
    <n v="0"/>
  </r>
  <r>
    <x v="21"/>
    <x v="13"/>
    <n v="5"/>
    <n v="13"/>
    <n v="0"/>
    <n v="0"/>
    <n v="0"/>
    <n v="0"/>
    <n v="0"/>
    <n v="0"/>
    <n v="0"/>
    <n v="0"/>
    <n v="0"/>
    <n v="0"/>
    <n v="0"/>
  </r>
  <r>
    <x v="21"/>
    <x v="14"/>
    <n v="10"/>
    <n v="588"/>
    <n v="4"/>
    <n v="0.68030000000000002"/>
    <n v="1.32"/>
    <n v="0.33"/>
    <n v="0"/>
    <n v="0"/>
    <n v="0"/>
    <n v="0"/>
    <n v="0"/>
    <n v="0"/>
    <n v="0"/>
  </r>
  <r>
    <x v="21"/>
    <x v="15"/>
    <n v="5"/>
    <n v="0"/>
    <n v="0"/>
    <n v="0"/>
    <n v="0"/>
    <n v="0"/>
    <n v="0"/>
    <n v="0"/>
    <n v="0"/>
    <n v="0"/>
    <n v="0"/>
    <n v="0"/>
    <n v="0"/>
  </r>
  <r>
    <x v="21"/>
    <x v="16"/>
    <n v="30"/>
    <n v="0"/>
    <n v="0"/>
    <n v="0"/>
    <n v="0"/>
    <n v="0"/>
    <n v="0"/>
    <n v="0"/>
    <n v="0"/>
    <n v="0"/>
    <n v="0"/>
    <n v="0"/>
    <n v="0"/>
  </r>
  <r>
    <x v="21"/>
    <x v="17"/>
    <n v="2"/>
    <n v="0"/>
    <n v="0"/>
    <n v="0"/>
    <n v="0"/>
    <n v="0"/>
    <n v="0"/>
    <n v="0"/>
    <n v="0"/>
    <n v="0"/>
    <n v="0"/>
    <n v="0"/>
    <n v="0"/>
  </r>
  <r>
    <x v="21"/>
    <x v="18"/>
    <n v="10"/>
    <n v="190"/>
    <n v="2"/>
    <n v="1.0526"/>
    <n v="1.31"/>
    <n v="0.66"/>
    <n v="0"/>
    <n v="0"/>
    <n v="0"/>
    <n v="0"/>
    <n v="0"/>
    <n v="0"/>
    <n v="0"/>
  </r>
  <r>
    <x v="21"/>
    <x v="19"/>
    <n v="15"/>
    <n v="20"/>
    <n v="0"/>
    <n v="0"/>
    <n v="0"/>
    <n v="0"/>
    <n v="0"/>
    <n v="0"/>
    <n v="0"/>
    <n v="0"/>
    <n v="0"/>
    <n v="0"/>
    <n v="0"/>
  </r>
  <r>
    <x v="21"/>
    <x v="21"/>
    <n v="20"/>
    <n v="0"/>
    <n v="0"/>
    <n v="0"/>
    <n v="0"/>
    <n v="0"/>
    <n v="0"/>
    <n v="0"/>
    <n v="0"/>
    <n v="0"/>
    <n v="0"/>
    <n v="0"/>
    <n v="0"/>
  </r>
  <r>
    <x v="21"/>
    <x v="20"/>
    <n v="15"/>
    <n v="0"/>
    <n v="0"/>
    <n v="0"/>
    <n v="0"/>
    <n v="0"/>
    <n v="0"/>
    <n v="0"/>
    <n v="0"/>
    <n v="0"/>
    <n v="0"/>
    <n v="0"/>
    <n v="0"/>
  </r>
  <r>
    <x v="21"/>
    <x v="2"/>
    <n v="5"/>
    <n v="8996"/>
    <n v="16"/>
    <n v="0.1779"/>
    <n v="9.1199999999999992"/>
    <n v="0.56999999999999995"/>
    <n v="1"/>
    <n v="20.99"/>
    <n v="43.449300000000001"/>
    <n v="0"/>
    <n v="0"/>
    <n v="0"/>
    <n v="0"/>
  </r>
  <r>
    <x v="22"/>
    <x v="0"/>
    <n v="5"/>
    <n v="0"/>
    <n v="0"/>
    <n v="0"/>
    <n v="0"/>
    <n v="0"/>
    <n v="0"/>
    <n v="0"/>
    <n v="0"/>
    <n v="0"/>
    <n v="0"/>
    <n v="0"/>
    <n v="0"/>
  </r>
  <r>
    <x v="22"/>
    <x v="1"/>
    <n v="10"/>
    <n v="0"/>
    <n v="0"/>
    <n v="0"/>
    <n v="0"/>
    <n v="0"/>
    <n v="0"/>
    <n v="0"/>
    <n v="0"/>
    <n v="0"/>
    <n v="0"/>
    <n v="0"/>
    <n v="0"/>
  </r>
  <r>
    <x v="22"/>
    <x v="2"/>
    <n v="5"/>
    <n v="3813"/>
    <n v="5"/>
    <n v="0.13109999999999999"/>
    <n v="3.16"/>
    <n v="0.63"/>
    <n v="0"/>
    <n v="0"/>
    <n v="0"/>
    <n v="0"/>
    <n v="0"/>
    <n v="0"/>
    <n v="0"/>
  </r>
  <r>
    <x v="22"/>
    <x v="25"/>
    <n v="10"/>
    <n v="395"/>
    <n v="1"/>
    <n v="0.25319999999999998"/>
    <n v="0.7"/>
    <n v="0.7"/>
    <n v="0"/>
    <n v="0"/>
    <n v="0"/>
    <n v="0"/>
    <n v="0"/>
    <n v="0"/>
    <n v="0"/>
  </r>
  <r>
    <x v="22"/>
    <x v="22"/>
    <n v="2"/>
    <n v="1382"/>
    <n v="5"/>
    <n v="0.36180000000000001"/>
    <n v="2.04"/>
    <n v="0.41"/>
    <n v="0"/>
    <n v="0"/>
    <n v="0"/>
    <n v="0"/>
    <n v="0"/>
    <n v="0"/>
    <n v="0"/>
  </r>
  <r>
    <x v="22"/>
    <x v="23"/>
    <n v="10"/>
    <n v="1540"/>
    <n v="8"/>
    <n v="0.51949999999999996"/>
    <n v="2.54"/>
    <n v="0.32"/>
    <n v="0"/>
    <n v="0"/>
    <n v="0"/>
    <n v="0"/>
    <n v="0"/>
    <n v="0"/>
    <n v="0"/>
  </r>
  <r>
    <x v="22"/>
    <x v="3"/>
    <n v="10"/>
    <n v="0"/>
    <n v="0"/>
    <n v="0"/>
    <n v="0"/>
    <n v="0"/>
    <n v="0"/>
    <n v="0"/>
    <n v="0"/>
    <n v="0"/>
    <n v="0"/>
    <n v="0"/>
    <n v="0"/>
  </r>
  <r>
    <x v="22"/>
    <x v="4"/>
    <n v="10"/>
    <n v="8625"/>
    <n v="35"/>
    <n v="0.40579999999999999"/>
    <n v="10.24"/>
    <n v="0.28999999999999998"/>
    <n v="0"/>
    <n v="0"/>
    <n v="0"/>
    <n v="0"/>
    <n v="0"/>
    <n v="0"/>
    <n v="0"/>
  </r>
  <r>
    <x v="22"/>
    <x v="5"/>
    <n v="10"/>
    <n v="13"/>
    <n v="0"/>
    <n v="0"/>
    <n v="0"/>
    <n v="0"/>
    <n v="0"/>
    <n v="0"/>
    <n v="0"/>
    <n v="0"/>
    <n v="0"/>
    <n v="0"/>
    <n v="0"/>
  </r>
  <r>
    <x v="22"/>
    <x v="6"/>
    <n v="10"/>
    <n v="1632"/>
    <n v="15"/>
    <n v="0.91910000000000003"/>
    <n v="3.49"/>
    <n v="0.23"/>
    <n v="0"/>
    <n v="0"/>
    <n v="0"/>
    <n v="0"/>
    <n v="0"/>
    <n v="0"/>
    <n v="0"/>
  </r>
  <r>
    <x v="22"/>
    <x v="7"/>
    <n v="10"/>
    <n v="224"/>
    <n v="2"/>
    <n v="0.89290000000000003"/>
    <n v="1.35"/>
    <n v="0.68"/>
    <n v="0"/>
    <n v="0"/>
    <n v="0"/>
    <n v="0"/>
    <n v="0"/>
    <n v="0"/>
    <n v="0"/>
  </r>
  <r>
    <x v="22"/>
    <x v="8"/>
    <n v="5"/>
    <n v="0"/>
    <n v="0"/>
    <n v="0"/>
    <n v="0"/>
    <n v="0"/>
    <n v="0"/>
    <n v="0"/>
    <n v="0"/>
    <n v="0"/>
    <n v="0"/>
    <n v="0"/>
    <n v="0"/>
  </r>
  <r>
    <x v="22"/>
    <x v="24"/>
    <n v="10"/>
    <n v="1805"/>
    <n v="5"/>
    <n v="0.27700000000000002"/>
    <n v="3.1"/>
    <n v="0.62"/>
    <n v="0"/>
    <n v="0"/>
    <n v="0"/>
    <n v="0"/>
    <n v="0"/>
    <n v="0"/>
    <n v="0"/>
  </r>
  <r>
    <x v="22"/>
    <x v="9"/>
    <n v="5"/>
    <n v="2931"/>
    <n v="4"/>
    <n v="0.13650000000000001"/>
    <n v="2.4900000000000002"/>
    <n v="0.62"/>
    <n v="0"/>
    <n v="0"/>
    <n v="0"/>
    <n v="0"/>
    <n v="0"/>
    <n v="0"/>
    <n v="0"/>
  </r>
  <r>
    <x v="22"/>
    <x v="10"/>
    <n v="3"/>
    <n v="161"/>
    <n v="0"/>
    <n v="0"/>
    <n v="0"/>
    <n v="0"/>
    <n v="0"/>
    <n v="0"/>
    <n v="0"/>
    <n v="0"/>
    <n v="0"/>
    <n v="0"/>
    <n v="0"/>
  </r>
  <r>
    <x v="22"/>
    <x v="11"/>
    <n v="10"/>
    <n v="627"/>
    <n v="2"/>
    <n v="0.31900000000000001"/>
    <n v="0.96"/>
    <n v="0.48"/>
    <n v="0"/>
    <n v="0"/>
    <n v="0"/>
    <n v="0"/>
    <n v="0"/>
    <n v="0"/>
    <n v="0"/>
  </r>
  <r>
    <x v="22"/>
    <x v="12"/>
    <n v="5"/>
    <n v="338"/>
    <n v="2"/>
    <n v="0.5917"/>
    <n v="1.34"/>
    <n v="0.67"/>
    <n v="0"/>
    <n v="0"/>
    <n v="0"/>
    <n v="0"/>
    <n v="0"/>
    <n v="0"/>
    <n v="0"/>
  </r>
  <r>
    <x v="22"/>
    <x v="13"/>
    <n v="5"/>
    <n v="5"/>
    <n v="0"/>
    <n v="0"/>
    <n v="0"/>
    <n v="0"/>
    <n v="0"/>
    <n v="0"/>
    <n v="0"/>
    <n v="0"/>
    <n v="0"/>
    <n v="0"/>
    <n v="0"/>
  </r>
  <r>
    <x v="22"/>
    <x v="14"/>
    <n v="10"/>
    <n v="339"/>
    <n v="1"/>
    <n v="0.29499999999999998"/>
    <n v="0.43"/>
    <n v="0.43"/>
    <n v="0"/>
    <n v="0"/>
    <n v="0"/>
    <n v="0"/>
    <n v="0"/>
    <n v="0"/>
    <n v="0"/>
  </r>
  <r>
    <x v="22"/>
    <x v="15"/>
    <n v="5"/>
    <n v="0"/>
    <n v="0"/>
    <n v="0"/>
    <n v="0"/>
    <n v="0"/>
    <n v="0"/>
    <n v="0"/>
    <n v="0"/>
    <n v="0"/>
    <n v="0"/>
    <n v="0"/>
    <n v="0"/>
  </r>
  <r>
    <x v="22"/>
    <x v="16"/>
    <n v="30"/>
    <n v="0"/>
    <n v="0"/>
    <n v="0"/>
    <n v="0"/>
    <n v="0"/>
    <n v="0"/>
    <n v="0"/>
    <n v="0"/>
    <n v="0"/>
    <n v="0"/>
    <n v="0"/>
    <n v="0"/>
  </r>
  <r>
    <x v="22"/>
    <x v="17"/>
    <n v="2"/>
    <n v="0"/>
    <n v="0"/>
    <n v="0"/>
    <n v="0"/>
    <n v="0"/>
    <n v="0"/>
    <n v="0"/>
    <n v="0"/>
    <n v="0"/>
    <n v="0"/>
    <n v="0"/>
    <n v="0"/>
  </r>
  <r>
    <x v="22"/>
    <x v="18"/>
    <n v="10"/>
    <n v="392"/>
    <n v="1"/>
    <n v="0.25509999999999999"/>
    <n v="0.49"/>
    <n v="0.49"/>
    <n v="0"/>
    <n v="0"/>
    <n v="0"/>
    <n v="0"/>
    <n v="0"/>
    <n v="0"/>
    <n v="0"/>
  </r>
  <r>
    <x v="22"/>
    <x v="19"/>
    <n v="15"/>
    <n v="19"/>
    <n v="0"/>
    <n v="0"/>
    <n v="0"/>
    <n v="0"/>
    <n v="0"/>
    <n v="0"/>
    <n v="0"/>
    <n v="0"/>
    <n v="0"/>
    <n v="0"/>
    <n v="0"/>
  </r>
  <r>
    <x v="22"/>
    <x v="21"/>
    <n v="20"/>
    <n v="0"/>
    <n v="0"/>
    <n v="0"/>
    <n v="0"/>
    <n v="0"/>
    <n v="0"/>
    <n v="0"/>
    <n v="0"/>
    <n v="0"/>
    <n v="0"/>
    <n v="0"/>
    <n v="0"/>
  </r>
  <r>
    <x v="22"/>
    <x v="20"/>
    <n v="15"/>
    <n v="0"/>
    <n v="0"/>
    <n v="0"/>
    <n v="0"/>
    <n v="0"/>
    <n v="0"/>
    <n v="0"/>
    <n v="0"/>
    <n v="0"/>
    <n v="0"/>
    <n v="0"/>
    <n v="0"/>
  </r>
  <r>
    <x v="23"/>
    <x v="0"/>
    <n v="5"/>
    <n v="0"/>
    <n v="0"/>
    <n v="0"/>
    <n v="0"/>
    <n v="0"/>
    <n v="0"/>
    <n v="0"/>
    <n v="0"/>
    <n v="0"/>
    <n v="0"/>
    <n v="0"/>
    <n v="0"/>
  </r>
  <r>
    <x v="23"/>
    <x v="1"/>
    <n v="10"/>
    <n v="0"/>
    <n v="0"/>
    <n v="0"/>
    <n v="0"/>
    <n v="0"/>
    <n v="0"/>
    <n v="0"/>
    <n v="0"/>
    <n v="0"/>
    <n v="0"/>
    <n v="0"/>
    <n v="0"/>
  </r>
  <r>
    <x v="23"/>
    <x v="2"/>
    <n v="5"/>
    <n v="4583"/>
    <n v="7"/>
    <n v="0.1527"/>
    <n v="4.5599999999999996"/>
    <n v="0.65"/>
    <n v="0"/>
    <n v="0"/>
    <n v="0"/>
    <n v="0"/>
    <n v="0"/>
    <n v="0"/>
    <n v="0"/>
  </r>
  <r>
    <x v="23"/>
    <x v="25"/>
    <n v="10"/>
    <n v="488"/>
    <n v="1"/>
    <n v="0.2049"/>
    <n v="0.46"/>
    <n v="0.46"/>
    <n v="0"/>
    <n v="0"/>
    <n v="0"/>
    <n v="0"/>
    <n v="0"/>
    <n v="0"/>
    <n v="0"/>
  </r>
  <r>
    <x v="23"/>
    <x v="22"/>
    <n v="2"/>
    <n v="717"/>
    <n v="6"/>
    <n v="0.83679999999999999"/>
    <n v="2.19"/>
    <n v="0.36"/>
    <n v="0"/>
    <n v="0"/>
    <n v="0"/>
    <n v="0"/>
    <n v="0"/>
    <n v="0"/>
    <n v="0"/>
  </r>
  <r>
    <x v="23"/>
    <x v="23"/>
    <n v="10"/>
    <n v="1305"/>
    <n v="5"/>
    <n v="0.3831"/>
    <n v="1.67"/>
    <n v="0.33"/>
    <n v="0"/>
    <n v="0"/>
    <n v="0"/>
    <n v="0"/>
    <n v="0"/>
    <n v="0"/>
    <n v="0"/>
  </r>
  <r>
    <x v="23"/>
    <x v="3"/>
    <n v="10"/>
    <n v="0"/>
    <n v="0"/>
    <n v="0"/>
    <n v="0"/>
    <n v="0"/>
    <n v="0"/>
    <n v="0"/>
    <n v="0"/>
    <n v="0"/>
    <n v="0"/>
    <n v="0"/>
    <n v="0"/>
  </r>
  <r>
    <x v="23"/>
    <x v="5"/>
    <n v="10"/>
    <n v="28"/>
    <n v="0"/>
    <n v="0"/>
    <n v="0"/>
    <n v="0"/>
    <n v="0"/>
    <n v="0"/>
    <n v="0"/>
    <n v="0"/>
    <n v="0"/>
    <n v="0"/>
    <n v="0"/>
  </r>
  <r>
    <x v="23"/>
    <x v="6"/>
    <n v="10"/>
    <n v="1363"/>
    <n v="8"/>
    <n v="0.58689999999999998"/>
    <n v="1.47"/>
    <n v="0.18"/>
    <n v="0"/>
    <n v="0"/>
    <n v="0"/>
    <n v="0"/>
    <n v="0"/>
    <n v="0"/>
    <n v="0"/>
  </r>
  <r>
    <x v="23"/>
    <x v="7"/>
    <n v="10"/>
    <n v="320"/>
    <n v="3"/>
    <n v="0.9375"/>
    <n v="1.73"/>
    <n v="0.57999999999999996"/>
    <n v="0"/>
    <n v="0"/>
    <n v="0"/>
    <n v="0"/>
    <n v="0"/>
    <n v="0"/>
    <n v="0"/>
  </r>
  <r>
    <x v="23"/>
    <x v="8"/>
    <n v="5"/>
    <n v="0"/>
    <n v="0"/>
    <n v="0"/>
    <n v="0"/>
    <n v="0"/>
    <n v="0"/>
    <n v="0"/>
    <n v="0"/>
    <n v="0"/>
    <n v="0"/>
    <n v="0"/>
    <n v="0"/>
  </r>
  <r>
    <x v="23"/>
    <x v="9"/>
    <n v="5"/>
    <n v="2024"/>
    <n v="6"/>
    <n v="0.2964"/>
    <n v="3.28"/>
    <n v="0.55000000000000004"/>
    <n v="0"/>
    <n v="0"/>
    <n v="0"/>
    <n v="0"/>
    <n v="0"/>
    <n v="0"/>
    <n v="0"/>
  </r>
  <r>
    <x v="23"/>
    <x v="10"/>
    <n v="3"/>
    <n v="109"/>
    <n v="0"/>
    <n v="0"/>
    <n v="0"/>
    <n v="0"/>
    <n v="0"/>
    <n v="0"/>
    <n v="0"/>
    <n v="0"/>
    <n v="0"/>
    <n v="0"/>
    <n v="0"/>
  </r>
  <r>
    <x v="23"/>
    <x v="11"/>
    <n v="10"/>
    <n v="287"/>
    <n v="1"/>
    <n v="0.34839999999999999"/>
    <n v="0.34"/>
    <n v="0.34"/>
    <n v="0"/>
    <n v="0"/>
    <n v="0"/>
    <n v="0"/>
    <n v="0"/>
    <n v="0"/>
    <n v="0"/>
  </r>
  <r>
    <x v="23"/>
    <x v="12"/>
    <n v="5"/>
    <n v="360"/>
    <n v="1"/>
    <n v="0.27779999999999999"/>
    <n v="0.3"/>
    <n v="0.3"/>
    <n v="0"/>
    <n v="0"/>
    <n v="0"/>
    <n v="0"/>
    <n v="0"/>
    <n v="0"/>
    <n v="0"/>
  </r>
  <r>
    <x v="23"/>
    <x v="13"/>
    <n v="5"/>
    <n v="5"/>
    <n v="0"/>
    <n v="0"/>
    <n v="0"/>
    <n v="0"/>
    <n v="0"/>
    <n v="0"/>
    <n v="0"/>
    <n v="0"/>
    <n v="0"/>
    <n v="0"/>
    <n v="0"/>
  </r>
  <r>
    <x v="23"/>
    <x v="14"/>
    <n v="10"/>
    <n v="261"/>
    <n v="3"/>
    <n v="1.1494"/>
    <n v="1.18"/>
    <n v="0.39"/>
    <n v="0"/>
    <n v="0"/>
    <n v="0"/>
    <n v="0"/>
    <n v="0"/>
    <n v="0"/>
    <n v="0"/>
  </r>
  <r>
    <x v="23"/>
    <x v="15"/>
    <n v="5"/>
    <n v="0"/>
    <n v="0"/>
    <n v="0"/>
    <n v="0"/>
    <n v="0"/>
    <n v="0"/>
    <n v="0"/>
    <n v="0"/>
    <n v="0"/>
    <n v="0"/>
    <n v="0"/>
    <n v="0"/>
  </r>
  <r>
    <x v="23"/>
    <x v="16"/>
    <n v="30"/>
    <n v="0"/>
    <n v="0"/>
    <n v="0"/>
    <n v="0"/>
    <n v="0"/>
    <n v="0"/>
    <n v="0"/>
    <n v="0"/>
    <n v="0"/>
    <n v="0"/>
    <n v="0"/>
    <n v="0"/>
  </r>
  <r>
    <x v="23"/>
    <x v="17"/>
    <n v="2"/>
    <n v="0"/>
    <n v="0"/>
    <n v="0"/>
    <n v="0"/>
    <n v="0"/>
    <n v="0"/>
    <n v="0"/>
    <n v="0"/>
    <n v="0"/>
    <n v="0"/>
    <n v="0"/>
    <n v="0"/>
  </r>
  <r>
    <x v="23"/>
    <x v="18"/>
    <n v="10"/>
    <n v="167"/>
    <n v="0"/>
    <n v="0"/>
    <n v="0"/>
    <n v="0"/>
    <n v="0"/>
    <n v="0"/>
    <n v="0"/>
    <n v="0"/>
    <n v="0"/>
    <n v="0"/>
    <n v="0"/>
  </r>
  <r>
    <x v="23"/>
    <x v="19"/>
    <n v="15"/>
    <n v="7"/>
    <n v="0"/>
    <n v="0"/>
    <n v="0"/>
    <n v="0"/>
    <n v="0"/>
    <n v="0"/>
    <n v="0"/>
    <n v="0"/>
    <n v="0"/>
    <n v="0"/>
    <n v="0"/>
  </r>
  <r>
    <x v="23"/>
    <x v="21"/>
    <n v="20"/>
    <n v="0"/>
    <n v="0"/>
    <n v="0"/>
    <n v="0"/>
    <n v="0"/>
    <n v="0"/>
    <n v="0"/>
    <n v="0"/>
    <n v="0"/>
    <n v="0"/>
    <n v="0"/>
    <n v="0"/>
  </r>
  <r>
    <x v="23"/>
    <x v="20"/>
    <n v="15"/>
    <n v="0"/>
    <n v="0"/>
    <n v="0"/>
    <n v="0"/>
    <n v="0"/>
    <n v="0"/>
    <n v="0"/>
    <n v="0"/>
    <n v="0"/>
    <n v="0"/>
    <n v="0"/>
    <n v="0"/>
  </r>
  <r>
    <x v="23"/>
    <x v="24"/>
    <n v="10"/>
    <n v="1350"/>
    <n v="4"/>
    <n v="0.29630000000000001"/>
    <n v="2.39"/>
    <n v="0.6"/>
    <n v="1"/>
    <n v="16.37"/>
    <n v="14.5999"/>
    <n v="0"/>
    <n v="0"/>
    <n v="0"/>
    <n v="0"/>
  </r>
  <r>
    <x v="23"/>
    <x v="4"/>
    <n v="10"/>
    <n v="10563"/>
    <n v="37"/>
    <n v="0.3503"/>
    <n v="10.28"/>
    <n v="0.28000000000000003"/>
    <n v="1"/>
    <n v="53.97"/>
    <n v="19.047599999999999"/>
    <n v="0"/>
    <n v="0"/>
    <n v="0"/>
    <n v="0"/>
  </r>
  <r>
    <x v="24"/>
    <x v="0"/>
    <n v="5"/>
    <n v="0"/>
    <n v="0"/>
    <n v="0"/>
    <n v="0"/>
    <n v="0"/>
    <n v="0"/>
    <n v="0"/>
    <n v="0"/>
    <n v="0"/>
    <n v="0"/>
    <n v="0"/>
    <n v="0"/>
  </r>
  <r>
    <x v="24"/>
    <x v="1"/>
    <n v="10"/>
    <n v="0"/>
    <n v="0"/>
    <n v="0"/>
    <n v="0"/>
    <n v="0"/>
    <n v="0"/>
    <n v="0"/>
    <n v="0"/>
    <n v="0"/>
    <n v="0"/>
    <n v="0"/>
    <n v="0"/>
  </r>
  <r>
    <x v="24"/>
    <x v="25"/>
    <n v="10"/>
    <n v="555"/>
    <n v="1"/>
    <n v="0.1802"/>
    <n v="0.44"/>
    <n v="0.44"/>
    <n v="0"/>
    <n v="0"/>
    <n v="0"/>
    <n v="0"/>
    <n v="0"/>
    <n v="0"/>
    <n v="0"/>
  </r>
  <r>
    <x v="24"/>
    <x v="22"/>
    <n v="2"/>
    <n v="199"/>
    <n v="5"/>
    <n v="2.5125999999999999"/>
    <n v="2.06"/>
    <n v="0.41"/>
    <n v="0"/>
    <n v="0"/>
    <n v="0"/>
    <n v="0"/>
    <n v="0"/>
    <n v="0"/>
    <n v="0"/>
  </r>
  <r>
    <x v="24"/>
    <x v="23"/>
    <n v="10"/>
    <n v="2055"/>
    <n v="8"/>
    <n v="0.38929999999999998"/>
    <n v="2.72"/>
    <n v="0.34"/>
    <n v="0"/>
    <n v="0"/>
    <n v="0"/>
    <n v="0"/>
    <n v="0"/>
    <n v="0"/>
    <n v="0"/>
  </r>
  <r>
    <x v="24"/>
    <x v="3"/>
    <n v="10"/>
    <n v="0"/>
    <n v="0"/>
    <n v="0"/>
    <n v="0"/>
    <n v="0"/>
    <n v="0"/>
    <n v="0"/>
    <n v="0"/>
    <n v="0"/>
    <n v="0"/>
    <n v="0"/>
    <n v="0"/>
  </r>
  <r>
    <x v="24"/>
    <x v="5"/>
    <n v="10"/>
    <n v="11"/>
    <n v="0"/>
    <n v="0"/>
    <n v="0"/>
    <n v="0"/>
    <n v="0"/>
    <n v="0"/>
    <n v="0"/>
    <n v="0"/>
    <n v="0"/>
    <n v="0"/>
    <n v="0"/>
  </r>
  <r>
    <x v="24"/>
    <x v="6"/>
    <n v="10"/>
    <n v="2121"/>
    <n v="17"/>
    <n v="0.80149999999999999"/>
    <n v="2.75"/>
    <n v="0.16"/>
    <n v="0"/>
    <n v="0"/>
    <n v="0"/>
    <n v="0"/>
    <n v="0"/>
    <n v="0"/>
    <n v="0"/>
  </r>
  <r>
    <x v="24"/>
    <x v="7"/>
    <n v="10"/>
    <n v="262"/>
    <n v="3"/>
    <n v="1.145"/>
    <n v="1.57"/>
    <n v="0.52"/>
    <n v="0"/>
    <n v="0"/>
    <n v="0"/>
    <n v="0"/>
    <n v="0"/>
    <n v="0"/>
    <n v="0"/>
  </r>
  <r>
    <x v="24"/>
    <x v="8"/>
    <n v="5"/>
    <n v="0"/>
    <n v="0"/>
    <n v="0"/>
    <n v="0"/>
    <n v="0"/>
    <n v="0"/>
    <n v="0"/>
    <n v="0"/>
    <n v="0"/>
    <n v="0"/>
    <n v="0"/>
    <n v="0"/>
  </r>
  <r>
    <x v="24"/>
    <x v="9"/>
    <n v="5"/>
    <n v="1582"/>
    <n v="5"/>
    <n v="0.31609999999999999"/>
    <n v="3.33"/>
    <n v="0.67"/>
    <n v="0"/>
    <n v="0"/>
    <n v="0"/>
    <n v="0"/>
    <n v="0"/>
    <n v="0"/>
    <n v="0"/>
  </r>
  <r>
    <x v="24"/>
    <x v="10"/>
    <n v="3"/>
    <n v="139"/>
    <n v="1"/>
    <n v="0.71940000000000004"/>
    <n v="0.17"/>
    <n v="0.17"/>
    <n v="0"/>
    <n v="0"/>
    <n v="0"/>
    <n v="0"/>
    <n v="0"/>
    <n v="0"/>
    <n v="0"/>
  </r>
  <r>
    <x v="24"/>
    <x v="11"/>
    <n v="10"/>
    <n v="149"/>
    <n v="1"/>
    <n v="0.67110000000000003"/>
    <n v="0.96"/>
    <n v="0.96"/>
    <n v="0"/>
    <n v="0"/>
    <n v="0"/>
    <n v="0"/>
    <n v="0"/>
    <n v="0"/>
    <n v="0"/>
  </r>
  <r>
    <x v="24"/>
    <x v="12"/>
    <n v="5"/>
    <n v="338"/>
    <n v="4"/>
    <n v="1.1834"/>
    <n v="1.73"/>
    <n v="0.43"/>
    <n v="0"/>
    <n v="0"/>
    <n v="0"/>
    <n v="0"/>
    <n v="0"/>
    <n v="0"/>
    <n v="0"/>
  </r>
  <r>
    <x v="24"/>
    <x v="13"/>
    <n v="5"/>
    <n v="5"/>
    <n v="0"/>
    <n v="0"/>
    <n v="0"/>
    <n v="0"/>
    <n v="0"/>
    <n v="0"/>
    <n v="0"/>
    <n v="0"/>
    <n v="0"/>
    <n v="0"/>
    <n v="0"/>
  </r>
  <r>
    <x v="24"/>
    <x v="14"/>
    <n v="10"/>
    <n v="420"/>
    <n v="4"/>
    <n v="0.95240000000000002"/>
    <n v="1.05"/>
    <n v="0.26"/>
    <n v="0"/>
    <n v="0"/>
    <n v="0"/>
    <n v="0"/>
    <n v="0"/>
    <n v="0"/>
    <n v="0"/>
  </r>
  <r>
    <x v="24"/>
    <x v="15"/>
    <n v="5"/>
    <n v="0"/>
    <n v="0"/>
    <n v="0"/>
    <n v="0"/>
    <n v="0"/>
    <n v="0"/>
    <n v="0"/>
    <n v="0"/>
    <n v="0"/>
    <n v="0"/>
    <n v="0"/>
    <n v="0"/>
  </r>
  <r>
    <x v="24"/>
    <x v="16"/>
    <n v="30"/>
    <n v="0"/>
    <n v="0"/>
    <n v="0"/>
    <n v="0"/>
    <n v="0"/>
    <n v="0"/>
    <n v="0"/>
    <n v="0"/>
    <n v="0"/>
    <n v="0"/>
    <n v="0"/>
    <n v="0"/>
  </r>
  <r>
    <x v="24"/>
    <x v="17"/>
    <n v="2"/>
    <n v="0"/>
    <n v="0"/>
    <n v="0"/>
    <n v="0"/>
    <n v="0"/>
    <n v="0"/>
    <n v="0"/>
    <n v="0"/>
    <n v="0"/>
    <n v="0"/>
    <n v="0"/>
    <n v="0"/>
  </r>
  <r>
    <x v="24"/>
    <x v="18"/>
    <n v="10"/>
    <n v="213"/>
    <n v="0"/>
    <n v="0"/>
    <n v="0"/>
    <n v="0"/>
    <n v="0"/>
    <n v="0"/>
    <n v="0"/>
    <n v="0"/>
    <n v="0"/>
    <n v="0"/>
    <n v="0"/>
  </r>
  <r>
    <x v="24"/>
    <x v="19"/>
    <n v="15"/>
    <n v="15"/>
    <n v="0"/>
    <n v="0"/>
    <n v="0"/>
    <n v="0"/>
    <n v="0"/>
    <n v="0"/>
    <n v="0"/>
    <n v="0"/>
    <n v="0"/>
    <n v="0"/>
    <n v="0"/>
  </r>
  <r>
    <x v="24"/>
    <x v="21"/>
    <n v="20"/>
    <n v="0"/>
    <n v="0"/>
    <n v="0"/>
    <n v="0"/>
    <n v="0"/>
    <n v="0"/>
    <n v="0"/>
    <n v="0"/>
    <n v="0"/>
    <n v="0"/>
    <n v="0"/>
    <n v="0"/>
  </r>
  <r>
    <x v="24"/>
    <x v="20"/>
    <n v="15"/>
    <n v="0"/>
    <n v="0"/>
    <n v="0"/>
    <n v="0"/>
    <n v="0"/>
    <n v="0"/>
    <n v="0"/>
    <n v="0"/>
    <n v="0"/>
    <n v="0"/>
    <n v="0"/>
    <n v="0"/>
  </r>
  <r>
    <x v="24"/>
    <x v="2"/>
    <n v="5"/>
    <n v="5010"/>
    <n v="4"/>
    <n v="7.9799999999999996E-2"/>
    <n v="2.66"/>
    <n v="0.67"/>
    <n v="1"/>
    <n v="21.99"/>
    <n v="12.096399999999999"/>
    <n v="0"/>
    <n v="0"/>
    <n v="0"/>
    <n v="0"/>
  </r>
  <r>
    <x v="24"/>
    <x v="4"/>
    <n v="10"/>
    <n v="7666"/>
    <n v="42"/>
    <n v="0.54790000000000005"/>
    <n v="10.08"/>
    <n v="0.24"/>
    <n v="2"/>
    <n v="35.96"/>
    <n v="28.031099999999999"/>
    <n v="0"/>
    <n v="0"/>
    <n v="0"/>
    <n v="0"/>
  </r>
  <r>
    <x v="24"/>
    <x v="24"/>
    <n v="10"/>
    <n v="2133"/>
    <n v="8"/>
    <n v="0.37509999999999999"/>
    <n v="4.66"/>
    <n v="0.57999999999999996"/>
    <n v="1"/>
    <n v="16.37"/>
    <n v="28.466699999999999"/>
    <n v="0"/>
    <n v="0"/>
    <n v="0"/>
    <n v="0"/>
  </r>
  <r>
    <x v="25"/>
    <x v="2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4C659-60BD-4BDF-A3C7-F7A736411BC1}" name="数据透视表2" cacheId="0" applyNumberFormats="0" applyBorderFormats="0" applyFontFormats="0" applyPatternFormats="0" applyAlignmentFormats="0" applyWidthHeightFormats="1" dataCaption="值" updatedVersion="6" minRefreshableVersion="5" useAutoFormatting="1" itemPrintTitles="1" createdVersion="6" indent="0" outline="1" outlineData="1" multipleFieldFilters="0">
  <location ref="A3:N29" firstHeaderRow="0" firstDataRow="1" firstDataCol="1"/>
  <pivotFields count="15">
    <pivotField axis="axisRow" showAll="0">
      <items count="28">
        <item m="1" x="26"/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50">
        <item m="1" x="48"/>
        <item m="1" x="42"/>
        <item m="1" x="35"/>
        <item m="1" x="30"/>
        <item x="25"/>
        <item m="1" x="41"/>
        <item m="1" x="34"/>
        <item m="1" x="36"/>
        <item x="24"/>
        <item m="1" x="27"/>
        <item m="1" x="45"/>
        <item m="1" x="28"/>
        <item m="1" x="47"/>
        <item m="1" x="31"/>
        <item m="1" x="37"/>
        <item m="1" x="40"/>
        <item m="1" x="33"/>
        <item m="1" x="29"/>
        <item m="1" x="44"/>
        <item x="12"/>
        <item m="1" x="32"/>
        <item m="1" x="46"/>
        <item m="1" x="43"/>
        <item x="16"/>
        <item x="7"/>
        <item x="14"/>
        <item x="11"/>
        <item x="3"/>
        <item x="18"/>
        <item x="20"/>
        <item x="19"/>
        <item x="13"/>
        <item x="5"/>
        <item x="4"/>
        <item x="23"/>
        <item x="6"/>
        <item x="17"/>
        <item x="8"/>
        <item x="0"/>
        <item x="15"/>
        <item x="1"/>
        <item x="21"/>
        <item m="1" x="39"/>
        <item x="9"/>
        <item x="2"/>
        <item m="1" x="38"/>
        <item x="10"/>
        <item x="22"/>
        <item x="2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求和项:预算(CNY)" fld="2" baseField="0" baseItem="0"/>
    <dataField name="求和项:曝光量" fld="3" baseField="0" baseItem="0"/>
    <dataField name="求和项:点击次数" fld="4" baseField="0" baseItem="0"/>
    <dataField name="求和项:花费(CNY)" fld="6" baseField="0" baseItem="0"/>
    <dataField name="求和项:点击率 (CTR)(%)" fld="5" baseField="0" baseItem="0"/>
    <dataField name="求和项:每次点击费用 (CPC)(CNY)" fld="7" baseField="0" baseItem="0"/>
    <dataField name="求和项:订单" fld="8" baseField="0" baseItem="0"/>
    <dataField name="求和项:销售额(CNY)" fld="9" baseField="0" baseItem="0"/>
    <dataField name="求和项:广告投入产出比 (ACOS)(%)" fld="10" baseField="0" baseItem="0"/>
    <dataField name="求和项:新买家订单数" fld="11" baseField="0" baseItem="0"/>
    <dataField name="求和项:新买家订单比" fld="12" baseField="0" baseItem="0"/>
    <dataField name="求和项:新买家销量" fld="13" baseField="0" baseItem="0"/>
    <dataField name="求和项:新买家销量比" fld="14" baseField="0" baseItem="0"/>
  </dataFields>
  <pivotTableStyleInfo name="PivotStyleLight16" showRowHeaders="1" showColHeaders="1" showRowStripes="0" showColStripes="0" showLastColumn="1"/>
  <filters count="1">
    <filter fld="0" type="dateBetween" evalOrder="-1" id="23" name="日期">
      <autoFilter ref="A1">
        <filterColumn colId="0">
          <customFilters and="1">
            <customFilter operator="greaterThanOrEqual" val="43678"/>
            <customFilter operator="lessThanOrEqual" val="4370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ACBA81-C2E7-49C7-99F4-096CD4AF1378}" autoFormatId="16" applyNumberFormats="0" applyBorderFormats="0" applyFontFormats="0" applyPatternFormats="0" applyAlignmentFormats="0" applyWidthHeightFormats="0">
  <queryTableRefresh nextId="18">
    <queryTableFields count="15">
      <queryTableField id="16" name="日期" tableColumnId="17"/>
      <queryTableField id="2" name="广告活动" tableColumnId="2"/>
      <queryTableField id="3" name="预算(CNY)" tableColumnId="3"/>
      <queryTableField id="4" name="曝光量" tableColumnId="4"/>
      <queryTableField id="5" name="点击次数" tableColumnId="5"/>
      <queryTableField id="6" name="点击率 (CTR)(%)" tableColumnId="6"/>
      <queryTableField id="7" name="花费(CNY)" tableColumnId="7"/>
      <queryTableField id="8" name="每次点击费用 (CPC)(CNY)" tableColumnId="8"/>
      <queryTableField id="9" name="订单" tableColumnId="9"/>
      <queryTableField id="10" name="销售额(CNY)" tableColumnId="10"/>
      <queryTableField id="11" name="广告投入产出比 (ACOS)(%)" tableColumnId="11"/>
      <queryTableField id="12" name="新买家订单数" tableColumnId="12"/>
      <queryTableField id="13" name="新买家订单比" tableColumnId="13"/>
      <queryTableField id="14" name="新买家销量" tableColumnId="14"/>
      <queryTableField id="15" name="新买家销量比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广告活动" xr10:uid="{3848CA0A-A6A3-4F80-9DF2-42B9BDADA86D}" sourceName="广告活动">
  <pivotTables>
    <pivotTable tabId="4" name="数据透视表2"/>
  </pivotTables>
  <data>
    <tabular pivotCacheId="781736546">
      <items count="49">
        <i x="25" s="1"/>
        <i x="24" s="1"/>
        <i x="12" s="1"/>
        <i x="16" s="1"/>
        <i x="7" s="1"/>
        <i x="14" s="1"/>
        <i x="11" s="1"/>
        <i x="3" s="1"/>
        <i x="18" s="1"/>
        <i x="20" s="1"/>
        <i x="19" s="1"/>
        <i x="13" s="1"/>
        <i x="5" s="1"/>
        <i x="4" s="1"/>
        <i x="23" s="1"/>
        <i x="6" s="1"/>
        <i x="17" s="1"/>
        <i x="8" s="1"/>
        <i x="0" s="1"/>
        <i x="15" s="1"/>
        <i x="1" s="1"/>
        <i x="21" s="1"/>
        <i x="9" s="1"/>
        <i x="2" s="1"/>
        <i x="10" s="1"/>
        <i x="22" s="1"/>
        <i x="48" s="1" nd="1"/>
        <i x="42" s="1" nd="1"/>
        <i x="35" s="1" nd="1"/>
        <i x="30" s="1" nd="1"/>
        <i x="41" s="1" nd="1"/>
        <i x="34" s="1" nd="1"/>
        <i x="36" s="1" nd="1"/>
        <i x="27" s="1" nd="1"/>
        <i x="45" s="1" nd="1"/>
        <i x="28" s="1" nd="1"/>
        <i x="47" s="1" nd="1"/>
        <i x="31" s="1" nd="1"/>
        <i x="37" s="1" nd="1"/>
        <i x="40" s="1" nd="1"/>
        <i x="33" s="1" nd="1"/>
        <i x="29" s="1" nd="1"/>
        <i x="44" s="1" nd="1"/>
        <i x="32" s="1" nd="1"/>
        <i x="46" s="1" nd="1"/>
        <i x="43" s="1" nd="1"/>
        <i x="39" s="1" nd="1"/>
        <i x="38" s="1" nd="1"/>
        <i x="2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广告活动" xr10:uid="{A5CA08B1-39B5-4C16-BA4E-A2A3BD1A6B40}" cache="切片器_广告活动" caption="广告活动" rowHeight="2095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7CA3E-7D47-4277-A1B3-E5D25E6B6DA5}" name="表1" displayName="表1" ref="A1:W651" totalsRowShown="0" headerRowDxfId="2">
  <autoFilter ref="A1:W651" xr:uid="{7ED60F04-767C-42C7-9F8E-AB2F5CA77B6B}"/>
  <tableColumns count="23">
    <tableColumn id="1" xr3:uid="{8E7E1F4F-96B7-4470-A659-022E17D2947A}" name="列1"/>
    <tableColumn id="2" xr3:uid="{FDA54EF1-56FE-4D96-B512-1A2AF2C1AFAA}" name="状态"/>
    <tableColumn id="3" xr3:uid="{5362F27B-79EF-40AB-B141-AF3BB9156E78}" name="广告活动"/>
    <tableColumn id="4" xr3:uid="{DE1D2DC9-F591-438D-9E98-4F1B24755358}" name="状态2"/>
    <tableColumn id="5" xr3:uid="{D6F1AC94-AC3E-4902-865E-2E571160A40F}" name="类型"/>
    <tableColumn id="6" xr3:uid="{1262267E-675D-4878-B89B-BF1A9899AD09}" name="投放"/>
    <tableColumn id="7" xr3:uid="{13518533-D982-4DB9-886F-64C8F53EA8C0}" name="广告活动的竞价策略"/>
    <tableColumn id="8" xr3:uid="{BF220D0F-220D-43A5-B976-2D343C080C37}" name="开始日期"/>
    <tableColumn id="9" xr3:uid="{1626C564-3B6A-486B-9DBB-729E74FD1F85}" name="结束日期"/>
    <tableColumn id="10" xr3:uid="{24007A89-97C2-4404-AEE7-EEBDCB7F664D}" name="广告组合"/>
    <tableColumn id="11" xr3:uid="{A2CB3ECE-E7D7-40CF-8302-4AE586A592BE}" name="预算(CNY)"/>
    <tableColumn id="12" xr3:uid="{D48CB2AB-3F53-4D0D-A931-54C806DB58CF}" name="曝光量"/>
    <tableColumn id="13" xr3:uid="{0E6E7DAD-845B-432A-AFF3-783A71E1151F}" name="点击次数"/>
    <tableColumn id="14" xr3:uid="{5076CD8C-3CBD-472F-AE73-0081C7E71CE4}" name="点击率 (CTR)(%)"/>
    <tableColumn id="15" xr3:uid="{7E24B3C5-9D3F-422C-936E-0B8B6C62BE69}" name="花费(CNY)"/>
    <tableColumn id="16" xr3:uid="{40847917-F4DA-4422-BDF1-8E304DA41721}" name="每次点击费用 (CPC)(CNY)"/>
    <tableColumn id="17" xr3:uid="{C55FE1B4-5040-4DB9-AB80-41D558C320E9}" name="订单"/>
    <tableColumn id="18" xr3:uid="{0A0B4D60-F032-4741-B94E-8F49754D9F59}" name="销售额(CNY)"/>
    <tableColumn id="19" xr3:uid="{6A7BEA92-55C5-43CB-9504-692920ED7818}" name="广告投入产出比 (ACOS)(%)"/>
    <tableColumn id="20" xr3:uid="{80F13CA0-EEED-47BB-9FD9-619E5B198C5C}" name="新买家订单数"/>
    <tableColumn id="21" xr3:uid="{D611BC3B-3CE1-46D1-A065-557DC7B5C8A7}" name="新买家订单比"/>
    <tableColumn id="22" xr3:uid="{6B902428-353F-4214-BA90-A59C93E27F54}" name="新买家销量"/>
    <tableColumn id="23" xr3:uid="{39816D13-A3AB-4E9E-A174-0E49714545F9}" name="新买家销量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5F6F14-CDF8-4C55-A8AE-2F0793AB06C3}" name="表1_2" displayName="表1_2" ref="A1:O651" tableType="queryTable" totalsRowShown="0">
  <autoFilter ref="A1:O651" xr:uid="{7C5349ED-0474-41A5-934E-C77E713D5987}"/>
  <tableColumns count="15">
    <tableColumn id="17" xr3:uid="{DB0B08E8-2AFE-4C69-9A44-93FD87E2594F}" uniqueName="17" name="日期" queryTableFieldId="16" dataDxfId="1"/>
    <tableColumn id="2" xr3:uid="{289D5866-FE68-4385-9704-D9E51E9AE51F}" uniqueName="2" name="广告活动" queryTableFieldId="2" dataDxfId="0"/>
    <tableColumn id="3" xr3:uid="{0692EA7A-3ECD-46ED-82AB-404F88492CEA}" uniqueName="3" name="预算(CNY)" queryTableFieldId="3"/>
    <tableColumn id="4" xr3:uid="{65B75230-C3D5-48F6-A63B-24ADB4A69E63}" uniqueName="4" name="曝光量" queryTableFieldId="4"/>
    <tableColumn id="5" xr3:uid="{068CE20A-BA45-428F-B0E2-51BA59A77278}" uniqueName="5" name="点击次数" queryTableFieldId="5"/>
    <tableColumn id="6" xr3:uid="{76DCA583-0710-4BAC-891F-1293BC276EB8}" uniqueName="6" name="点击率 (CTR)(%)" queryTableFieldId="6"/>
    <tableColumn id="7" xr3:uid="{9FD05C59-9CF8-40A9-B2BC-6371C0DA689A}" uniqueName="7" name="花费(CNY)" queryTableFieldId="7"/>
    <tableColumn id="8" xr3:uid="{FBB8E749-0608-4DBA-96D0-E7D6C752E0FF}" uniqueName="8" name="每次点击费用 (CPC)(CNY)" queryTableFieldId="8"/>
    <tableColumn id="9" xr3:uid="{40BADB3D-28A0-44E8-BBB1-903731370204}" uniqueName="9" name="订单" queryTableFieldId="9"/>
    <tableColumn id="10" xr3:uid="{D8924483-26E6-4CC3-BDF1-F9BE7906FC44}" uniqueName="10" name="销售额(CNY)" queryTableFieldId="10"/>
    <tableColumn id="11" xr3:uid="{E9D217DD-E772-4E48-B431-EAFC7D3A07A8}" uniqueName="11" name="广告投入产出比 (ACOS)(%)" queryTableFieldId="11"/>
    <tableColumn id="12" xr3:uid="{0C197833-05DA-4BE1-8EF7-3B0342AAA252}" uniqueName="12" name="新买家订单数" queryTableFieldId="12"/>
    <tableColumn id="13" xr3:uid="{FA5C2F0A-E7A3-48CA-9000-E8924CB56D0F}" uniqueName="13" name="新买家订单比" queryTableFieldId="13"/>
    <tableColumn id="14" xr3:uid="{B08DD867-8591-463F-B4A1-F8A030CF0B06}" uniqueName="14" name="新买家销量" queryTableFieldId="14"/>
    <tableColumn id="15" xr3:uid="{633F4F00-C65C-4F56-92E0-AAF918131F1C}" uniqueName="15" name="新买家销量比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日期" xr10:uid="{CFEA6C02-7626-49A7-AE4F-0E6F777E2987}" sourceName="日期">
  <pivotTables>
    <pivotTable tabId="4" name="数据透视表2"/>
  </pivotTables>
  <state minimalRefreshVersion="6" lastRefreshVersion="6" pivotCacheId="781736546" filterType="dateBetween">
    <selection startDate="2019-08-01T00:00:00" endDate="2019-08-31T00:00:00"/>
    <bounds startDate="2019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日期" xr10:uid="{9A964743-2DDA-4B84-84B4-DC9F8417FCFF}" cache="NativeTimeline_日期" caption="日期" level="2" selectionLevel="2" scrollPosition="2019-05-16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microsoft.com/office/2011/relationships/timeline" Target="../timelines/timeline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microsoft.com/office/2007/relationships/slicer" Target="../slicers/slicer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F92E-6CB5-4F50-A85A-BE2A26ABDFE9}">
  <dimension ref="A1:W651"/>
  <sheetViews>
    <sheetView tabSelected="1" topLeftCell="A617" workbookViewId="0">
      <selection activeCell="D6" sqref="D6"/>
    </sheetView>
  </sheetViews>
  <sheetFormatPr defaultRowHeight="14.25" x14ac:dyDescent="0.2"/>
  <cols>
    <col min="1" max="1" width="12.875" customWidth="1"/>
    <col min="3" max="3" width="23" customWidth="1"/>
    <col min="4" max="4" width="12.5" customWidth="1"/>
    <col min="7" max="7" width="20.75" customWidth="1"/>
    <col min="8" max="8" width="14" customWidth="1"/>
    <col min="9" max="10" width="10.75" customWidth="1"/>
    <col min="11" max="11" width="12.375" customWidth="1"/>
    <col min="13" max="13" width="10.75" customWidth="1"/>
    <col min="14" max="14" width="18.875" customWidth="1"/>
    <col min="15" max="15" width="12.375" customWidth="1"/>
    <col min="16" max="16" width="27.125" customWidth="1"/>
    <col min="18" max="18" width="14.375" customWidth="1"/>
    <col min="19" max="19" width="28" customWidth="1"/>
    <col min="20" max="21" width="14.75" customWidth="1"/>
    <col min="22" max="22" width="12.75" customWidth="1"/>
    <col min="23" max="23" width="14.75" customWidth="1"/>
  </cols>
  <sheetData>
    <row r="1" spans="1:23" x14ac:dyDescent="0.2">
      <c r="A1" s="1" t="s">
        <v>35</v>
      </c>
      <c r="B1" s="1" t="s">
        <v>0</v>
      </c>
      <c r="C1" s="1" t="s">
        <v>1</v>
      </c>
      <c r="D1" s="1" t="s">
        <v>36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43678</v>
      </c>
      <c r="B2" s="1" t="s">
        <v>21</v>
      </c>
      <c r="C2" s="13" t="s">
        <v>74</v>
      </c>
      <c r="D2" s="1" t="s">
        <v>22</v>
      </c>
      <c r="E2" s="1" t="s">
        <v>23</v>
      </c>
      <c r="F2" s="1" t="s">
        <v>24</v>
      </c>
      <c r="G2" s="1" t="s">
        <v>25</v>
      </c>
      <c r="H2" s="2">
        <v>43420</v>
      </c>
      <c r="I2" s="1"/>
      <c r="J2" s="1"/>
      <c r="K2" s="1">
        <v>5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 x14ac:dyDescent="0.2">
      <c r="A3" s="2">
        <v>43678</v>
      </c>
      <c r="B3" s="1" t="s">
        <v>21</v>
      </c>
      <c r="C3" s="13" t="s">
        <v>76</v>
      </c>
      <c r="D3" s="1" t="s">
        <v>22</v>
      </c>
      <c r="E3" s="1" t="s">
        <v>23</v>
      </c>
      <c r="F3" s="1" t="s">
        <v>24</v>
      </c>
      <c r="G3" s="1" t="s">
        <v>25</v>
      </c>
      <c r="H3" s="2">
        <v>43667</v>
      </c>
      <c r="I3" s="1"/>
      <c r="J3" s="1"/>
      <c r="K3" s="1">
        <v>10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2">
      <c r="A4" s="2">
        <v>43678</v>
      </c>
      <c r="B4" s="1" t="s">
        <v>21</v>
      </c>
      <c r="C4" s="13" t="s">
        <v>77</v>
      </c>
      <c r="D4" s="1" t="s">
        <v>22</v>
      </c>
      <c r="E4" s="1" t="s">
        <v>23</v>
      </c>
      <c r="F4" s="1" t="s">
        <v>26</v>
      </c>
      <c r="G4" s="1" t="s">
        <v>25</v>
      </c>
      <c r="H4" s="2">
        <v>43388</v>
      </c>
      <c r="I4" s="1"/>
      <c r="J4" s="1"/>
      <c r="K4" s="1">
        <v>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2">
      <c r="A5" s="2">
        <v>43678</v>
      </c>
      <c r="B5" s="1" t="s">
        <v>21</v>
      </c>
      <c r="C5" s="13" t="s">
        <v>78</v>
      </c>
      <c r="D5" s="1" t="s">
        <v>22</v>
      </c>
      <c r="E5" s="1" t="s">
        <v>23</v>
      </c>
      <c r="F5" s="1" t="s">
        <v>24</v>
      </c>
      <c r="G5" s="1" t="s">
        <v>25</v>
      </c>
      <c r="H5" s="2">
        <v>43688</v>
      </c>
      <c r="I5" s="1"/>
      <c r="J5" s="1"/>
      <c r="K5" s="1">
        <v>10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 x14ac:dyDescent="0.2">
      <c r="A6" s="2">
        <v>43678</v>
      </c>
      <c r="B6" s="1" t="s">
        <v>21</v>
      </c>
      <c r="C6" s="13" t="s">
        <v>79</v>
      </c>
      <c r="D6" s="1" t="s">
        <v>22</v>
      </c>
      <c r="E6" s="1" t="s">
        <v>23</v>
      </c>
      <c r="F6" s="1" t="s">
        <v>26</v>
      </c>
      <c r="G6" s="1" t="s">
        <v>25</v>
      </c>
      <c r="H6" s="2">
        <v>43387</v>
      </c>
      <c r="I6" s="1"/>
      <c r="J6" s="1"/>
      <c r="K6" s="1">
        <v>10</v>
      </c>
      <c r="L6" s="1">
        <v>635</v>
      </c>
      <c r="M6" s="1">
        <v>4</v>
      </c>
      <c r="N6" s="1">
        <v>0.62990000000000002</v>
      </c>
      <c r="O6" s="1">
        <v>0.18</v>
      </c>
      <c r="P6" s="1">
        <v>0.05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2">
      <c r="A7" s="2">
        <v>43678</v>
      </c>
      <c r="B7" s="1" t="s">
        <v>21</v>
      </c>
      <c r="C7" s="13" t="s">
        <v>80</v>
      </c>
      <c r="D7" s="1" t="s">
        <v>22</v>
      </c>
      <c r="E7" s="1" t="s">
        <v>23</v>
      </c>
      <c r="F7" s="1" t="s">
        <v>26</v>
      </c>
      <c r="G7" s="1" t="s">
        <v>25</v>
      </c>
      <c r="H7" s="2">
        <v>43676</v>
      </c>
      <c r="I7" s="1"/>
      <c r="J7" s="1"/>
      <c r="K7" s="1">
        <v>10</v>
      </c>
      <c r="L7" s="1">
        <v>14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2">
      <c r="A8" s="2">
        <v>43678</v>
      </c>
      <c r="B8" s="1" t="s">
        <v>21</v>
      </c>
      <c r="C8" s="13" t="s">
        <v>73</v>
      </c>
      <c r="D8" s="1" t="s">
        <v>22</v>
      </c>
      <c r="E8" s="1" t="s">
        <v>23</v>
      </c>
      <c r="F8" s="1" t="s">
        <v>24</v>
      </c>
      <c r="G8" s="1" t="s">
        <v>25</v>
      </c>
      <c r="H8" s="2">
        <v>43661</v>
      </c>
      <c r="I8" s="1"/>
      <c r="J8" s="1"/>
      <c r="K8" s="1">
        <v>10</v>
      </c>
      <c r="L8" s="1">
        <v>6163</v>
      </c>
      <c r="M8" s="1">
        <v>41</v>
      </c>
      <c r="N8" s="1">
        <v>0.6653</v>
      </c>
      <c r="O8" s="1">
        <v>10.56</v>
      </c>
      <c r="P8" s="1">
        <v>0.26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</row>
    <row r="9" spans="1:23" x14ac:dyDescent="0.2">
      <c r="A9" s="2">
        <v>43678</v>
      </c>
      <c r="B9" s="1" t="s">
        <v>21</v>
      </c>
      <c r="C9" s="13" t="s">
        <v>81</v>
      </c>
      <c r="D9" s="1" t="s">
        <v>22</v>
      </c>
      <c r="E9" s="1" t="s">
        <v>23</v>
      </c>
      <c r="F9" s="1" t="s">
        <v>24</v>
      </c>
      <c r="G9" s="1" t="s">
        <v>25</v>
      </c>
      <c r="H9" s="2">
        <v>43428</v>
      </c>
      <c r="I9" s="1"/>
      <c r="J9" s="1"/>
      <c r="K9" s="1">
        <v>10</v>
      </c>
      <c r="L9" s="1">
        <v>1047</v>
      </c>
      <c r="M9" s="1">
        <v>6</v>
      </c>
      <c r="N9" s="1">
        <v>0.57310000000000005</v>
      </c>
      <c r="O9" s="1">
        <v>3.59</v>
      </c>
      <c r="P9" s="1">
        <v>0.6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2">
      <c r="A10" s="2">
        <v>43678</v>
      </c>
      <c r="B10" s="1" t="s">
        <v>21</v>
      </c>
      <c r="C10" s="13" t="s">
        <v>82</v>
      </c>
      <c r="D10" s="1" t="s">
        <v>22</v>
      </c>
      <c r="E10" s="1" t="s">
        <v>23</v>
      </c>
      <c r="F10" s="1" t="s">
        <v>26</v>
      </c>
      <c r="G10" s="1" t="s">
        <v>25</v>
      </c>
      <c r="H10" s="2">
        <v>43387</v>
      </c>
      <c r="I10" s="1"/>
      <c r="J10" s="1"/>
      <c r="K10" s="1">
        <v>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2">
      <c r="A11" s="2">
        <v>43678</v>
      </c>
      <c r="B11" s="1" t="s">
        <v>21</v>
      </c>
      <c r="C11" s="13" t="s">
        <v>83</v>
      </c>
      <c r="D11" s="1" t="s">
        <v>22</v>
      </c>
      <c r="E11" s="1" t="s">
        <v>23</v>
      </c>
      <c r="F11" s="1" t="s">
        <v>26</v>
      </c>
      <c r="G11" s="1" t="s">
        <v>25</v>
      </c>
      <c r="H11" s="2">
        <v>43388</v>
      </c>
      <c r="I11" s="1"/>
      <c r="J11" s="1"/>
      <c r="K11" s="1">
        <v>5</v>
      </c>
      <c r="L11" s="1">
        <v>5231</v>
      </c>
      <c r="M11" s="1">
        <v>9</v>
      </c>
      <c r="N11" s="1">
        <v>0.1721</v>
      </c>
      <c r="O11" s="1">
        <v>5.4</v>
      </c>
      <c r="P11" s="1">
        <v>0.6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2">
      <c r="A12" s="2">
        <v>43678</v>
      </c>
      <c r="B12" s="1" t="s">
        <v>21</v>
      </c>
      <c r="C12" s="1" t="s">
        <v>29</v>
      </c>
      <c r="D12" s="1" t="s">
        <v>22</v>
      </c>
      <c r="E12" s="1" t="s">
        <v>23</v>
      </c>
      <c r="F12" s="1" t="s">
        <v>26</v>
      </c>
      <c r="G12" s="1" t="s">
        <v>25</v>
      </c>
      <c r="H12" s="2">
        <v>43423</v>
      </c>
      <c r="I12" s="1"/>
      <c r="J12" s="1"/>
      <c r="K12" s="1">
        <v>3</v>
      </c>
      <c r="L12" s="1">
        <v>158</v>
      </c>
      <c r="M12" s="1">
        <v>1</v>
      </c>
      <c r="N12" s="1">
        <v>0.63290000000000002</v>
      </c>
      <c r="O12" s="1">
        <v>0.1</v>
      </c>
      <c r="P12" s="1">
        <v>0.1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2">
      <c r="A13" s="2">
        <v>43678</v>
      </c>
      <c r="B13" s="1" t="s">
        <v>21</v>
      </c>
      <c r="C13" s="13" t="s">
        <v>86</v>
      </c>
      <c r="D13" s="1" t="s">
        <v>22</v>
      </c>
      <c r="E13" s="1" t="s">
        <v>23</v>
      </c>
      <c r="F13" s="1" t="s">
        <v>26</v>
      </c>
      <c r="G13" s="1" t="s">
        <v>25</v>
      </c>
      <c r="H13" s="2">
        <v>43647</v>
      </c>
      <c r="I13" s="1"/>
      <c r="J13" s="1"/>
      <c r="K13" s="1">
        <v>10</v>
      </c>
      <c r="L13" s="1">
        <v>1258</v>
      </c>
      <c r="M13" s="1">
        <v>6</v>
      </c>
      <c r="N13" s="1">
        <v>0.47689999999999999</v>
      </c>
      <c r="O13" s="1">
        <v>3.85</v>
      </c>
      <c r="P13" s="1">
        <v>0.64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2">
      <c r="A14" s="2">
        <v>43678</v>
      </c>
      <c r="B14" s="1" t="s">
        <v>21</v>
      </c>
      <c r="C14" s="1" t="s">
        <v>30</v>
      </c>
      <c r="D14" s="1" t="s">
        <v>22</v>
      </c>
      <c r="E14" s="1" t="s">
        <v>23</v>
      </c>
      <c r="F14" s="1" t="s">
        <v>24</v>
      </c>
      <c r="G14" s="1" t="s">
        <v>25</v>
      </c>
      <c r="H14" s="2">
        <v>43678</v>
      </c>
      <c r="I14" s="1"/>
      <c r="J14" s="1"/>
      <c r="K14" s="1">
        <v>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2">
      <c r="A15" s="2">
        <v>43678</v>
      </c>
      <c r="B15" s="1" t="s">
        <v>21</v>
      </c>
      <c r="C15" s="13" t="s">
        <v>85</v>
      </c>
      <c r="D15" s="1" t="s">
        <v>22</v>
      </c>
      <c r="E15" s="1" t="s">
        <v>23</v>
      </c>
      <c r="F15" s="1" t="s">
        <v>26</v>
      </c>
      <c r="G15" s="1" t="s">
        <v>25</v>
      </c>
      <c r="H15" s="2">
        <v>43387</v>
      </c>
      <c r="I15" s="1"/>
      <c r="J15" s="1"/>
      <c r="K15" s="1">
        <v>5</v>
      </c>
      <c r="L15" s="1">
        <v>4</v>
      </c>
      <c r="M15" s="1">
        <v>1</v>
      </c>
      <c r="N15" s="1">
        <v>25</v>
      </c>
      <c r="O15" s="1">
        <v>0.02</v>
      </c>
      <c r="P15" s="1">
        <v>0.02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2">
      <c r="A16" s="2">
        <v>43678</v>
      </c>
      <c r="B16" s="1" t="s">
        <v>21</v>
      </c>
      <c r="C16" s="13" t="s">
        <v>84</v>
      </c>
      <c r="D16" s="1" t="s">
        <v>22</v>
      </c>
      <c r="E16" s="1" t="s">
        <v>23</v>
      </c>
      <c r="F16" s="1" t="s">
        <v>26</v>
      </c>
      <c r="G16" s="1" t="s">
        <v>25</v>
      </c>
      <c r="H16" s="2">
        <v>43387</v>
      </c>
      <c r="I16" s="1"/>
      <c r="J16" s="1"/>
      <c r="K16" s="1">
        <v>10</v>
      </c>
      <c r="L16" s="1">
        <v>198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spans="1:23" x14ac:dyDescent="0.2">
      <c r="A17" s="2">
        <v>43678</v>
      </c>
      <c r="B17" s="1" t="s">
        <v>21</v>
      </c>
      <c r="C17" s="1" t="s">
        <v>75</v>
      </c>
      <c r="D17" s="1" t="s">
        <v>22</v>
      </c>
      <c r="E17" s="1" t="s">
        <v>23</v>
      </c>
      <c r="F17" s="1" t="s">
        <v>24</v>
      </c>
      <c r="G17" s="1" t="s">
        <v>25</v>
      </c>
      <c r="H17" s="2">
        <v>43454</v>
      </c>
      <c r="I17" s="1"/>
      <c r="J17" s="1"/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2">
      <c r="A18" s="2">
        <v>43678</v>
      </c>
      <c r="B18" s="1" t="s">
        <v>21</v>
      </c>
      <c r="C18" s="1" t="s">
        <v>31</v>
      </c>
      <c r="D18" s="1" t="s">
        <v>22</v>
      </c>
      <c r="E18" s="1" t="s">
        <v>23</v>
      </c>
      <c r="F18" s="1" t="s">
        <v>26</v>
      </c>
      <c r="G18" s="1" t="s">
        <v>25</v>
      </c>
      <c r="H18" s="2">
        <v>43615</v>
      </c>
      <c r="I18" s="1"/>
      <c r="J18" s="1"/>
      <c r="K18" s="1">
        <v>30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</row>
    <row r="19" spans="1:23" x14ac:dyDescent="0.2">
      <c r="A19" s="2">
        <v>43678</v>
      </c>
      <c r="B19" s="1" t="s">
        <v>21</v>
      </c>
      <c r="C19" s="13" t="s">
        <v>91</v>
      </c>
      <c r="D19" s="1" t="s">
        <v>22</v>
      </c>
      <c r="E19" s="1" t="s">
        <v>23</v>
      </c>
      <c r="F19" s="1" t="s">
        <v>24</v>
      </c>
      <c r="G19" s="1" t="s">
        <v>25</v>
      </c>
      <c r="H19" s="2">
        <v>43439</v>
      </c>
      <c r="I19" s="1"/>
      <c r="J19" s="1"/>
      <c r="K19" s="1">
        <v>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2">
      <c r="A20" s="2">
        <v>43678</v>
      </c>
      <c r="B20" s="1" t="s">
        <v>21</v>
      </c>
      <c r="C20" s="13" t="s">
        <v>87</v>
      </c>
      <c r="D20" s="1" t="s">
        <v>22</v>
      </c>
      <c r="E20" s="1" t="s">
        <v>23</v>
      </c>
      <c r="F20" s="1" t="s">
        <v>24</v>
      </c>
      <c r="G20" s="1" t="s">
        <v>25</v>
      </c>
      <c r="H20" s="2">
        <v>43657</v>
      </c>
      <c r="I20" s="1"/>
      <c r="J20" s="1"/>
      <c r="K20" s="1">
        <v>10</v>
      </c>
      <c r="L20" s="1">
        <v>362</v>
      </c>
      <c r="M20" s="1">
        <v>3</v>
      </c>
      <c r="N20" s="1">
        <v>0.82869999999999999</v>
      </c>
      <c r="O20" s="1">
        <v>0.91</v>
      </c>
      <c r="P20" s="1">
        <v>0.3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2">
      <c r="A21" s="2">
        <v>43678</v>
      </c>
      <c r="B21" s="1" t="s">
        <v>21</v>
      </c>
      <c r="C21" s="13" t="s">
        <v>88</v>
      </c>
      <c r="D21" s="1" t="s">
        <v>22</v>
      </c>
      <c r="E21" s="1" t="s">
        <v>23</v>
      </c>
      <c r="F21" s="1" t="s">
        <v>26</v>
      </c>
      <c r="G21" s="1" t="s">
        <v>25</v>
      </c>
      <c r="H21" s="2">
        <v>43690</v>
      </c>
      <c r="I21" s="1"/>
      <c r="J21" s="1"/>
      <c r="K21" s="1">
        <v>15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2">
      <c r="A22" s="2">
        <v>43678</v>
      </c>
      <c r="B22" s="1" t="s">
        <v>21</v>
      </c>
      <c r="C22" s="13" t="s">
        <v>89</v>
      </c>
      <c r="D22" s="1" t="s">
        <v>22</v>
      </c>
      <c r="E22" s="1" t="s">
        <v>23</v>
      </c>
      <c r="F22" s="1" t="s">
        <v>26</v>
      </c>
      <c r="G22" s="1" t="s">
        <v>25</v>
      </c>
      <c r="H22" s="2">
        <v>43387</v>
      </c>
      <c r="I22" s="1"/>
      <c r="J22" s="1"/>
      <c r="K22" s="1">
        <v>15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2">
      <c r="A23" s="2">
        <v>43678</v>
      </c>
      <c r="B23" s="1" t="s">
        <v>21</v>
      </c>
      <c r="C23" s="13" t="s">
        <v>90</v>
      </c>
      <c r="D23" s="1" t="s">
        <v>22</v>
      </c>
      <c r="E23" s="1" t="s">
        <v>23</v>
      </c>
      <c r="F23" s="1" t="s">
        <v>24</v>
      </c>
      <c r="G23" s="1" t="s">
        <v>25</v>
      </c>
      <c r="H23" s="2">
        <v>43454</v>
      </c>
      <c r="I23" s="1"/>
      <c r="J23" s="1"/>
      <c r="K23" s="1">
        <v>20</v>
      </c>
      <c r="L23" s="1">
        <v>63</v>
      </c>
      <c r="M23" s="1">
        <v>3</v>
      </c>
      <c r="N23" s="1">
        <v>4.7618999999999998</v>
      </c>
      <c r="O23" s="1">
        <v>0.71</v>
      </c>
      <c r="P23" s="1">
        <v>0.24</v>
      </c>
      <c r="Q23" s="1">
        <v>1</v>
      </c>
      <c r="R23" s="1">
        <v>79.97</v>
      </c>
      <c r="S23" s="1">
        <v>0.88780000000000003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2">
      <c r="A24" s="2">
        <v>43678</v>
      </c>
      <c r="B24" s="1" t="s">
        <v>21</v>
      </c>
      <c r="C24" s="1" t="s">
        <v>32</v>
      </c>
      <c r="D24" s="1" t="s">
        <v>33</v>
      </c>
      <c r="E24" s="1" t="s">
        <v>34</v>
      </c>
      <c r="F24" s="1" t="s">
        <v>24</v>
      </c>
      <c r="G24" s="1"/>
      <c r="H24" s="2">
        <v>43671</v>
      </c>
      <c r="I24" s="1"/>
      <c r="J24" s="1"/>
      <c r="K24" s="1">
        <v>2</v>
      </c>
      <c r="L24" s="1">
        <v>722</v>
      </c>
      <c r="M24" s="1">
        <v>6</v>
      </c>
      <c r="N24" s="1">
        <v>0.83099999999999996</v>
      </c>
      <c r="O24" s="1">
        <v>2.41</v>
      </c>
      <c r="P24" s="1">
        <v>0.4</v>
      </c>
      <c r="Q24" s="1">
        <v>1</v>
      </c>
      <c r="R24" s="1">
        <v>107.94</v>
      </c>
      <c r="S24" s="1">
        <v>2.2326999999999999</v>
      </c>
      <c r="T24" s="1">
        <v>1</v>
      </c>
      <c r="U24" s="1">
        <v>100</v>
      </c>
      <c r="V24" s="1">
        <v>107.94</v>
      </c>
      <c r="W24" s="1">
        <v>100</v>
      </c>
    </row>
    <row r="25" spans="1:23" x14ac:dyDescent="0.2">
      <c r="A25" s="2">
        <v>43678</v>
      </c>
      <c r="B25" s="1" t="s">
        <v>21</v>
      </c>
      <c r="C25" s="13" t="s">
        <v>72</v>
      </c>
      <c r="D25" s="1" t="s">
        <v>22</v>
      </c>
      <c r="E25" s="1" t="s">
        <v>23</v>
      </c>
      <c r="F25" s="1" t="s">
        <v>24</v>
      </c>
      <c r="G25" s="1" t="s">
        <v>25</v>
      </c>
      <c r="H25" s="2">
        <v>43412</v>
      </c>
      <c r="I25" s="1"/>
      <c r="J25" s="1"/>
      <c r="K25" s="1">
        <v>10</v>
      </c>
      <c r="L25" s="1">
        <v>6566</v>
      </c>
      <c r="M25" s="1">
        <v>60</v>
      </c>
      <c r="N25" s="1">
        <v>0.91379999999999995</v>
      </c>
      <c r="O25" s="1">
        <v>17.96</v>
      </c>
      <c r="P25" s="1">
        <v>0.3</v>
      </c>
      <c r="Q25" s="1">
        <v>3</v>
      </c>
      <c r="R25" s="1">
        <v>161.91</v>
      </c>
      <c r="S25" s="1">
        <v>11.092599999999999</v>
      </c>
      <c r="T25" s="1">
        <v>0</v>
      </c>
      <c r="U25" s="1">
        <v>0</v>
      </c>
      <c r="V25" s="1">
        <v>0</v>
      </c>
      <c r="W25" s="1">
        <v>0</v>
      </c>
    </row>
    <row r="26" spans="1:23" x14ac:dyDescent="0.2">
      <c r="A26" s="2">
        <v>43678</v>
      </c>
      <c r="B26" s="1" t="s">
        <v>21</v>
      </c>
      <c r="C26" s="1" t="s">
        <v>28</v>
      </c>
      <c r="D26" s="1" t="s">
        <v>22</v>
      </c>
      <c r="E26" s="1" t="s">
        <v>23</v>
      </c>
      <c r="F26" s="1" t="s">
        <v>24</v>
      </c>
      <c r="G26" s="1" t="s">
        <v>25</v>
      </c>
      <c r="H26" s="2">
        <v>43663</v>
      </c>
      <c r="I26" s="1"/>
      <c r="J26" s="1"/>
      <c r="K26" s="1">
        <v>10</v>
      </c>
      <c r="L26" s="1">
        <v>1326</v>
      </c>
      <c r="M26" s="1">
        <v>7</v>
      </c>
      <c r="N26" s="1">
        <v>0.52790000000000004</v>
      </c>
      <c r="O26" s="1">
        <v>4.24</v>
      </c>
      <c r="P26" s="1">
        <v>0.61</v>
      </c>
      <c r="Q26" s="1">
        <v>2</v>
      </c>
      <c r="R26" s="1">
        <v>34.340000000000003</v>
      </c>
      <c r="S26" s="1">
        <v>12.347099999999999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2">
      <c r="A27" s="2">
        <v>43678</v>
      </c>
      <c r="B27" s="1" t="s">
        <v>21</v>
      </c>
      <c r="C27" s="1" t="s">
        <v>27</v>
      </c>
      <c r="D27" s="1" t="s">
        <v>22</v>
      </c>
      <c r="E27" s="1" t="s">
        <v>23</v>
      </c>
      <c r="F27" s="1" t="s">
        <v>24</v>
      </c>
      <c r="G27" s="1" t="s">
        <v>25</v>
      </c>
      <c r="H27" s="2">
        <v>43663</v>
      </c>
      <c r="I27" s="1"/>
      <c r="J27" s="1"/>
      <c r="K27" s="1">
        <v>10</v>
      </c>
      <c r="L27" s="1">
        <v>927</v>
      </c>
      <c r="M27" s="1">
        <v>14</v>
      </c>
      <c r="N27" s="1">
        <v>1.5102</v>
      </c>
      <c r="O27" s="1">
        <v>9.68</v>
      </c>
      <c r="P27" s="1">
        <v>0.69</v>
      </c>
      <c r="Q27" s="1">
        <v>2</v>
      </c>
      <c r="R27" s="1">
        <v>71.97</v>
      </c>
      <c r="S27" s="1">
        <v>13.45</v>
      </c>
      <c r="T27" s="1">
        <v>0</v>
      </c>
      <c r="U27" s="1">
        <v>0</v>
      </c>
      <c r="V27" s="1">
        <v>0</v>
      </c>
      <c r="W27" s="1">
        <v>0</v>
      </c>
    </row>
    <row r="28" spans="1:23" x14ac:dyDescent="0.2">
      <c r="A28" s="2">
        <v>43679</v>
      </c>
      <c r="B28" s="1" t="s">
        <v>21</v>
      </c>
      <c r="C28" s="1" t="s">
        <v>74</v>
      </c>
      <c r="D28" s="1" t="s">
        <v>22</v>
      </c>
      <c r="E28" s="1" t="s">
        <v>23</v>
      </c>
      <c r="F28" s="1" t="s">
        <v>24</v>
      </c>
      <c r="G28" s="1" t="s">
        <v>25</v>
      </c>
      <c r="H28" s="2">
        <v>43420</v>
      </c>
      <c r="I28" s="1"/>
      <c r="J28" s="1"/>
      <c r="K28" s="1">
        <v>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2">
      <c r="A29" s="2">
        <v>43679</v>
      </c>
      <c r="B29" s="1" t="s">
        <v>21</v>
      </c>
      <c r="C29" s="1" t="s">
        <v>76</v>
      </c>
      <c r="D29" s="1" t="s">
        <v>22</v>
      </c>
      <c r="E29" s="1" t="s">
        <v>23</v>
      </c>
      <c r="F29" s="1" t="s">
        <v>24</v>
      </c>
      <c r="G29" s="1" t="s">
        <v>25</v>
      </c>
      <c r="H29" s="2">
        <v>43667</v>
      </c>
      <c r="I29" s="1"/>
      <c r="J29" s="1"/>
      <c r="K29" s="1">
        <v>10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</row>
    <row r="30" spans="1:23" x14ac:dyDescent="0.2">
      <c r="A30" s="2">
        <v>43679</v>
      </c>
      <c r="B30" s="1" t="s">
        <v>21</v>
      </c>
      <c r="C30" s="1" t="s">
        <v>77</v>
      </c>
      <c r="D30" s="1" t="s">
        <v>22</v>
      </c>
      <c r="E30" s="1" t="s">
        <v>23</v>
      </c>
      <c r="F30" s="1" t="s">
        <v>26</v>
      </c>
      <c r="G30" s="1" t="s">
        <v>25</v>
      </c>
      <c r="H30" s="2">
        <v>43388</v>
      </c>
      <c r="I30" s="1"/>
      <c r="J30" s="1"/>
      <c r="K30" s="1">
        <v>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</row>
    <row r="31" spans="1:23" x14ac:dyDescent="0.2">
      <c r="A31" s="2">
        <v>43679</v>
      </c>
      <c r="B31" s="1" t="s">
        <v>21</v>
      </c>
      <c r="C31" s="1" t="s">
        <v>27</v>
      </c>
      <c r="D31" s="1" t="s">
        <v>22</v>
      </c>
      <c r="E31" s="1" t="s">
        <v>23</v>
      </c>
      <c r="F31" s="1" t="s">
        <v>24</v>
      </c>
      <c r="G31" s="1" t="s">
        <v>25</v>
      </c>
      <c r="H31" s="2">
        <v>43663</v>
      </c>
      <c r="I31" s="1"/>
      <c r="J31" s="1"/>
      <c r="K31" s="1">
        <v>10</v>
      </c>
      <c r="L31" s="1">
        <v>1154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</row>
    <row r="32" spans="1:23" x14ac:dyDescent="0.2">
      <c r="A32" s="2">
        <v>43679</v>
      </c>
      <c r="B32" s="1" t="s">
        <v>21</v>
      </c>
      <c r="C32" s="1" t="s">
        <v>32</v>
      </c>
      <c r="D32" s="1" t="s">
        <v>33</v>
      </c>
      <c r="E32" s="1" t="s">
        <v>34</v>
      </c>
      <c r="F32" s="1" t="s">
        <v>24</v>
      </c>
      <c r="G32" s="1"/>
      <c r="H32" s="2">
        <v>43671</v>
      </c>
      <c r="I32" s="1"/>
      <c r="J32" s="1"/>
      <c r="K32" s="1">
        <v>2</v>
      </c>
      <c r="L32" s="1">
        <v>779</v>
      </c>
      <c r="M32" s="1">
        <v>6</v>
      </c>
      <c r="N32" s="1">
        <v>0.7702</v>
      </c>
      <c r="O32" s="1">
        <v>2.29</v>
      </c>
      <c r="P32" s="1">
        <v>0.38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</row>
    <row r="33" spans="1:23" x14ac:dyDescent="0.2">
      <c r="A33" s="2">
        <v>43679</v>
      </c>
      <c r="B33" s="1" t="s">
        <v>21</v>
      </c>
      <c r="C33" s="1" t="s">
        <v>78</v>
      </c>
      <c r="D33" s="1" t="s">
        <v>22</v>
      </c>
      <c r="E33" s="1" t="s">
        <v>23</v>
      </c>
      <c r="F33" s="1" t="s">
        <v>24</v>
      </c>
      <c r="G33" s="1" t="s">
        <v>25</v>
      </c>
      <c r="H33" s="2">
        <v>43688</v>
      </c>
      <c r="I33" s="1"/>
      <c r="J33" s="1"/>
      <c r="K33" s="1">
        <v>10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2">
      <c r="A34" s="2">
        <v>43679</v>
      </c>
      <c r="B34" s="1" t="s">
        <v>21</v>
      </c>
      <c r="C34" s="1" t="s">
        <v>79</v>
      </c>
      <c r="D34" s="1" t="s">
        <v>22</v>
      </c>
      <c r="E34" s="1" t="s">
        <v>23</v>
      </c>
      <c r="F34" s="1" t="s">
        <v>26</v>
      </c>
      <c r="G34" s="1" t="s">
        <v>25</v>
      </c>
      <c r="H34" s="2">
        <v>43387</v>
      </c>
      <c r="I34" s="1"/>
      <c r="J34" s="1"/>
      <c r="K34" s="1">
        <v>10</v>
      </c>
      <c r="L34" s="1">
        <v>426</v>
      </c>
      <c r="M34" s="1">
        <v>2</v>
      </c>
      <c r="N34" s="1">
        <v>0.46949999999999997</v>
      </c>
      <c r="O34" s="1">
        <v>0.04</v>
      </c>
      <c r="P34" s="1">
        <v>0.02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</row>
    <row r="35" spans="1:23" x14ac:dyDescent="0.2">
      <c r="A35" s="2">
        <v>43679</v>
      </c>
      <c r="B35" s="1" t="s">
        <v>21</v>
      </c>
      <c r="C35" s="1" t="s">
        <v>80</v>
      </c>
      <c r="D35" s="1" t="s">
        <v>22</v>
      </c>
      <c r="E35" s="1" t="s">
        <v>23</v>
      </c>
      <c r="F35" s="1" t="s">
        <v>26</v>
      </c>
      <c r="G35" s="1" t="s">
        <v>25</v>
      </c>
      <c r="H35" s="2">
        <v>43676</v>
      </c>
      <c r="I35" s="1"/>
      <c r="J35" s="1"/>
      <c r="K35" s="1">
        <v>10</v>
      </c>
      <c r="L35" s="1">
        <v>12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 spans="1:23" x14ac:dyDescent="0.2">
      <c r="A36" s="2">
        <v>43679</v>
      </c>
      <c r="B36" s="1" t="s">
        <v>21</v>
      </c>
      <c r="C36" s="1" t="s">
        <v>73</v>
      </c>
      <c r="D36" s="1" t="s">
        <v>22</v>
      </c>
      <c r="E36" s="1" t="s">
        <v>23</v>
      </c>
      <c r="F36" s="1" t="s">
        <v>24</v>
      </c>
      <c r="G36" s="1" t="s">
        <v>25</v>
      </c>
      <c r="H36" s="2">
        <v>43661</v>
      </c>
      <c r="I36" s="1"/>
      <c r="J36" s="1"/>
      <c r="K36" s="1">
        <v>10</v>
      </c>
      <c r="L36" s="1">
        <v>6964</v>
      </c>
      <c r="M36" s="1">
        <v>42</v>
      </c>
      <c r="N36" s="1">
        <v>0.60309999999999997</v>
      </c>
      <c r="O36" s="1">
        <v>10.050000000000001</v>
      </c>
      <c r="P36" s="1">
        <v>0.24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2">
      <c r="A37" s="2">
        <v>43679</v>
      </c>
      <c r="B37" s="1" t="s">
        <v>21</v>
      </c>
      <c r="C37" s="1" t="s">
        <v>81</v>
      </c>
      <c r="D37" s="1" t="s">
        <v>22</v>
      </c>
      <c r="E37" s="1" t="s">
        <v>23</v>
      </c>
      <c r="F37" s="1" t="s">
        <v>24</v>
      </c>
      <c r="G37" s="1" t="s">
        <v>25</v>
      </c>
      <c r="H37" s="2">
        <v>43428</v>
      </c>
      <c r="I37" s="1"/>
      <c r="J37" s="1"/>
      <c r="K37" s="1">
        <v>10</v>
      </c>
      <c r="L37" s="1">
        <v>607</v>
      </c>
      <c r="M37" s="1">
        <v>2</v>
      </c>
      <c r="N37" s="1">
        <v>0.32950000000000002</v>
      </c>
      <c r="O37" s="1">
        <v>1</v>
      </c>
      <c r="P37" s="1">
        <v>0.5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spans="1:23" x14ac:dyDescent="0.2">
      <c r="A38" s="2">
        <v>43679</v>
      </c>
      <c r="B38" s="1" t="s">
        <v>21</v>
      </c>
      <c r="C38" s="1" t="s">
        <v>82</v>
      </c>
      <c r="D38" s="1" t="s">
        <v>22</v>
      </c>
      <c r="E38" s="1" t="s">
        <v>23</v>
      </c>
      <c r="F38" s="1" t="s">
        <v>26</v>
      </c>
      <c r="G38" s="1" t="s">
        <v>25</v>
      </c>
      <c r="H38" s="2">
        <v>43387</v>
      </c>
      <c r="I38" s="1"/>
      <c r="J38" s="1"/>
      <c r="K38" s="1">
        <v>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2">
      <c r="A39" s="2">
        <v>43679</v>
      </c>
      <c r="B39" s="1" t="s">
        <v>21</v>
      </c>
      <c r="C39" s="1" t="s">
        <v>28</v>
      </c>
      <c r="D39" s="1" t="s">
        <v>22</v>
      </c>
      <c r="E39" s="1" t="s">
        <v>23</v>
      </c>
      <c r="F39" s="1" t="s">
        <v>24</v>
      </c>
      <c r="G39" s="1" t="s">
        <v>25</v>
      </c>
      <c r="H39" s="2">
        <v>43663</v>
      </c>
      <c r="I39" s="1"/>
      <c r="J39" s="1"/>
      <c r="K39" s="1">
        <v>10</v>
      </c>
      <c r="L39" s="1">
        <v>1566</v>
      </c>
      <c r="M39" s="1">
        <v>4</v>
      </c>
      <c r="N39" s="1">
        <v>0.25540000000000002</v>
      </c>
      <c r="O39" s="1">
        <v>2.39</v>
      </c>
      <c r="P39" s="1">
        <v>0.6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 x14ac:dyDescent="0.2">
      <c r="A40" s="2">
        <v>43679</v>
      </c>
      <c r="B40" s="1" t="s">
        <v>21</v>
      </c>
      <c r="C40" s="1" t="s">
        <v>83</v>
      </c>
      <c r="D40" s="1" t="s">
        <v>22</v>
      </c>
      <c r="E40" s="1" t="s">
        <v>23</v>
      </c>
      <c r="F40" s="1" t="s">
        <v>26</v>
      </c>
      <c r="G40" s="1" t="s">
        <v>25</v>
      </c>
      <c r="H40" s="2">
        <v>43388</v>
      </c>
      <c r="I40" s="1"/>
      <c r="J40" s="1"/>
      <c r="K40" s="1">
        <v>5</v>
      </c>
      <c r="L40" s="1">
        <v>5232</v>
      </c>
      <c r="M40" s="1">
        <v>8</v>
      </c>
      <c r="N40" s="1">
        <v>0.15290000000000001</v>
      </c>
      <c r="O40" s="1">
        <v>4.8600000000000003</v>
      </c>
      <c r="P40" s="1">
        <v>0.61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2">
      <c r="A41" s="2">
        <v>43679</v>
      </c>
      <c r="B41" s="1" t="s">
        <v>21</v>
      </c>
      <c r="C41" s="1" t="s">
        <v>29</v>
      </c>
      <c r="D41" s="1" t="s">
        <v>22</v>
      </c>
      <c r="E41" s="1" t="s">
        <v>23</v>
      </c>
      <c r="F41" s="1" t="s">
        <v>26</v>
      </c>
      <c r="G41" s="1" t="s">
        <v>25</v>
      </c>
      <c r="H41" s="2">
        <v>43423</v>
      </c>
      <c r="I41" s="1"/>
      <c r="J41" s="1"/>
      <c r="K41" s="1">
        <v>3</v>
      </c>
      <c r="L41" s="1">
        <v>133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spans="1:23" x14ac:dyDescent="0.2">
      <c r="A42" s="2">
        <v>43679</v>
      </c>
      <c r="B42" s="1" t="s">
        <v>21</v>
      </c>
      <c r="C42" s="1" t="s">
        <v>86</v>
      </c>
      <c r="D42" s="1" t="s">
        <v>22</v>
      </c>
      <c r="E42" s="1" t="s">
        <v>23</v>
      </c>
      <c r="F42" s="1" t="s">
        <v>26</v>
      </c>
      <c r="G42" s="1" t="s">
        <v>25</v>
      </c>
      <c r="H42" s="2">
        <v>43647</v>
      </c>
      <c r="I42" s="1"/>
      <c r="J42" s="1"/>
      <c r="K42" s="1">
        <v>10</v>
      </c>
      <c r="L42" s="1">
        <v>605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2">
      <c r="A43" s="2">
        <v>43679</v>
      </c>
      <c r="B43" s="1" t="s">
        <v>21</v>
      </c>
      <c r="C43" s="1" t="s">
        <v>30</v>
      </c>
      <c r="D43" s="1" t="s">
        <v>22</v>
      </c>
      <c r="E43" s="1" t="s">
        <v>23</v>
      </c>
      <c r="F43" s="1" t="s">
        <v>24</v>
      </c>
      <c r="G43" s="1" t="s">
        <v>25</v>
      </c>
      <c r="H43" s="2">
        <v>43678</v>
      </c>
      <c r="I43" s="1"/>
      <c r="J43" s="1"/>
      <c r="K43" s="1">
        <v>5</v>
      </c>
      <c r="L43" s="1">
        <v>316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2">
      <c r="A44" s="2">
        <v>43679</v>
      </c>
      <c r="B44" s="1" t="s">
        <v>21</v>
      </c>
      <c r="C44" s="1" t="s">
        <v>85</v>
      </c>
      <c r="D44" s="1" t="s">
        <v>22</v>
      </c>
      <c r="E44" s="1" t="s">
        <v>23</v>
      </c>
      <c r="F44" s="1" t="s">
        <v>26</v>
      </c>
      <c r="G44" s="1" t="s">
        <v>25</v>
      </c>
      <c r="H44" s="2">
        <v>43387</v>
      </c>
      <c r="I44" s="1"/>
      <c r="J44" s="1"/>
      <c r="K44" s="1">
        <v>5</v>
      </c>
      <c r="L44" s="1">
        <v>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2">
      <c r="A45" s="2">
        <v>43679</v>
      </c>
      <c r="B45" s="1" t="s">
        <v>21</v>
      </c>
      <c r="C45" s="1" t="s">
        <v>84</v>
      </c>
      <c r="D45" s="1" t="s">
        <v>22</v>
      </c>
      <c r="E45" s="1" t="s">
        <v>23</v>
      </c>
      <c r="F45" s="1" t="s">
        <v>26</v>
      </c>
      <c r="G45" s="1" t="s">
        <v>25</v>
      </c>
      <c r="H45" s="2">
        <v>43387</v>
      </c>
      <c r="I45" s="1"/>
      <c r="J45" s="1"/>
      <c r="K45" s="1">
        <v>10</v>
      </c>
      <c r="L45" s="1">
        <v>175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2">
      <c r="A46" s="2">
        <v>43679</v>
      </c>
      <c r="B46" s="1" t="s">
        <v>21</v>
      </c>
      <c r="C46" s="1" t="s">
        <v>75</v>
      </c>
      <c r="D46" s="1" t="s">
        <v>22</v>
      </c>
      <c r="E46" s="1" t="s">
        <v>23</v>
      </c>
      <c r="F46" s="1" t="s">
        <v>24</v>
      </c>
      <c r="G46" s="1" t="s">
        <v>25</v>
      </c>
      <c r="H46" s="2">
        <v>43454</v>
      </c>
      <c r="I46" s="1"/>
      <c r="J46" s="1"/>
      <c r="K46" s="1">
        <v>5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 x14ac:dyDescent="0.2">
      <c r="A47" s="2">
        <v>43679</v>
      </c>
      <c r="B47" s="1" t="s">
        <v>21</v>
      </c>
      <c r="C47" s="1" t="s">
        <v>31</v>
      </c>
      <c r="D47" s="1" t="s">
        <v>22</v>
      </c>
      <c r="E47" s="1" t="s">
        <v>23</v>
      </c>
      <c r="F47" s="1" t="s">
        <v>26</v>
      </c>
      <c r="G47" s="1" t="s">
        <v>25</v>
      </c>
      <c r="H47" s="2">
        <v>43615</v>
      </c>
      <c r="I47" s="1"/>
      <c r="J47" s="1"/>
      <c r="K47" s="1">
        <v>30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spans="1:23" x14ac:dyDescent="0.2">
      <c r="A48" s="2">
        <v>43679</v>
      </c>
      <c r="B48" s="1" t="s">
        <v>21</v>
      </c>
      <c r="C48" s="1" t="s">
        <v>91</v>
      </c>
      <c r="D48" s="1" t="s">
        <v>22</v>
      </c>
      <c r="E48" s="1" t="s">
        <v>23</v>
      </c>
      <c r="F48" s="1" t="s">
        <v>24</v>
      </c>
      <c r="G48" s="1" t="s">
        <v>25</v>
      </c>
      <c r="H48" s="2">
        <v>43439</v>
      </c>
      <c r="I48" s="1"/>
      <c r="J48" s="1"/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spans="1:23" x14ac:dyDescent="0.2">
      <c r="A49" s="2">
        <v>43679</v>
      </c>
      <c r="B49" s="1" t="s">
        <v>21</v>
      </c>
      <c r="C49" s="1" t="s">
        <v>87</v>
      </c>
      <c r="D49" s="1" t="s">
        <v>22</v>
      </c>
      <c r="E49" s="1" t="s">
        <v>23</v>
      </c>
      <c r="F49" s="1" t="s">
        <v>24</v>
      </c>
      <c r="G49" s="1" t="s">
        <v>25</v>
      </c>
      <c r="H49" s="2">
        <v>43657</v>
      </c>
      <c r="I49" s="1"/>
      <c r="J49" s="1"/>
      <c r="K49" s="1">
        <v>10</v>
      </c>
      <c r="L49" s="1">
        <v>311</v>
      </c>
      <c r="M49" s="1">
        <v>1</v>
      </c>
      <c r="N49" s="1">
        <v>0.32150000000000001</v>
      </c>
      <c r="O49" s="1">
        <v>0.5</v>
      </c>
      <c r="P49" s="1">
        <v>0.5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</row>
    <row r="50" spans="1:23" x14ac:dyDescent="0.2">
      <c r="A50" s="2">
        <v>43679</v>
      </c>
      <c r="B50" s="1" t="s">
        <v>21</v>
      </c>
      <c r="C50" s="1" t="s">
        <v>88</v>
      </c>
      <c r="D50" s="1" t="s">
        <v>22</v>
      </c>
      <c r="E50" s="1" t="s">
        <v>23</v>
      </c>
      <c r="F50" s="1" t="s">
        <v>26</v>
      </c>
      <c r="G50" s="1" t="s">
        <v>25</v>
      </c>
      <c r="H50" s="2">
        <v>43690</v>
      </c>
      <c r="I50" s="1"/>
      <c r="J50" s="1"/>
      <c r="K50" s="1">
        <v>15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spans="1:23" x14ac:dyDescent="0.2">
      <c r="A51" s="2">
        <v>43679</v>
      </c>
      <c r="B51" s="1" t="s">
        <v>21</v>
      </c>
      <c r="C51" s="1" t="s">
        <v>90</v>
      </c>
      <c r="D51" s="1" t="s">
        <v>22</v>
      </c>
      <c r="E51" s="1" t="s">
        <v>23</v>
      </c>
      <c r="F51" s="1" t="s">
        <v>24</v>
      </c>
      <c r="G51" s="1" t="s">
        <v>25</v>
      </c>
      <c r="H51" s="2">
        <v>43454</v>
      </c>
      <c r="I51" s="1"/>
      <c r="J51" s="1"/>
      <c r="K51" s="1">
        <v>20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</row>
    <row r="52" spans="1:23" x14ac:dyDescent="0.2">
      <c r="A52" s="2">
        <v>43679</v>
      </c>
      <c r="B52" s="1" t="s">
        <v>21</v>
      </c>
      <c r="C52" s="1" t="s">
        <v>89</v>
      </c>
      <c r="D52" s="1" t="s">
        <v>22</v>
      </c>
      <c r="E52" s="1" t="s">
        <v>23</v>
      </c>
      <c r="F52" s="1" t="s">
        <v>26</v>
      </c>
      <c r="G52" s="1" t="s">
        <v>25</v>
      </c>
      <c r="H52" s="2">
        <v>43387</v>
      </c>
      <c r="I52" s="1"/>
      <c r="J52" s="1"/>
      <c r="K52" s="1">
        <v>15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</row>
    <row r="53" spans="1:23" x14ac:dyDescent="0.2">
      <c r="A53" s="2">
        <v>43679</v>
      </c>
      <c r="B53" s="1" t="s">
        <v>21</v>
      </c>
      <c r="C53" s="1" t="s">
        <v>72</v>
      </c>
      <c r="D53" s="1" t="s">
        <v>22</v>
      </c>
      <c r="E53" s="1" t="s">
        <v>23</v>
      </c>
      <c r="F53" s="1" t="s">
        <v>24</v>
      </c>
      <c r="G53" s="1" t="s">
        <v>25</v>
      </c>
      <c r="H53" s="2">
        <v>43412</v>
      </c>
      <c r="I53" s="1"/>
      <c r="J53" s="1"/>
      <c r="K53" s="1">
        <v>10</v>
      </c>
      <c r="L53" s="1">
        <v>4892</v>
      </c>
      <c r="M53" s="1">
        <v>54</v>
      </c>
      <c r="N53" s="1">
        <v>1.1037999999999999</v>
      </c>
      <c r="O53" s="1">
        <v>16.52</v>
      </c>
      <c r="P53" s="1">
        <v>0.31</v>
      </c>
      <c r="Q53" s="1">
        <v>1</v>
      </c>
      <c r="R53" s="1">
        <v>53.97</v>
      </c>
      <c r="S53" s="1">
        <v>30.6096</v>
      </c>
      <c r="T53" s="1">
        <v>0</v>
      </c>
      <c r="U53" s="1">
        <v>0</v>
      </c>
      <c r="V53" s="1">
        <v>0</v>
      </c>
      <c r="W53" s="1">
        <v>0</v>
      </c>
    </row>
    <row r="54" spans="1:23" x14ac:dyDescent="0.2">
      <c r="A54" s="2">
        <v>43680</v>
      </c>
      <c r="B54" s="1" t="s">
        <v>21</v>
      </c>
      <c r="C54" s="1" t="s">
        <v>74</v>
      </c>
      <c r="D54" s="1" t="s">
        <v>22</v>
      </c>
      <c r="E54" s="1" t="s">
        <v>23</v>
      </c>
      <c r="F54" s="1" t="s">
        <v>24</v>
      </c>
      <c r="G54" s="1" t="s">
        <v>25</v>
      </c>
      <c r="H54" s="2">
        <v>43420</v>
      </c>
      <c r="I54" s="1"/>
      <c r="J54" s="1"/>
      <c r="K54" s="1">
        <v>5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</row>
    <row r="55" spans="1:23" x14ac:dyDescent="0.2">
      <c r="A55" s="2">
        <v>43680</v>
      </c>
      <c r="B55" s="1" t="s">
        <v>21</v>
      </c>
      <c r="C55" s="1" t="s">
        <v>76</v>
      </c>
      <c r="D55" s="1" t="s">
        <v>22</v>
      </c>
      <c r="E55" s="1" t="s">
        <v>23</v>
      </c>
      <c r="F55" s="1" t="s">
        <v>24</v>
      </c>
      <c r="G55" s="1" t="s">
        <v>25</v>
      </c>
      <c r="H55" s="2">
        <v>43667</v>
      </c>
      <c r="I55" s="1"/>
      <c r="J55" s="1"/>
      <c r="K55" s="1">
        <v>10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</row>
    <row r="56" spans="1:23" x14ac:dyDescent="0.2">
      <c r="A56" s="2">
        <v>43680</v>
      </c>
      <c r="B56" s="1" t="s">
        <v>21</v>
      </c>
      <c r="C56" s="1" t="s">
        <v>77</v>
      </c>
      <c r="D56" s="1" t="s">
        <v>22</v>
      </c>
      <c r="E56" s="1" t="s">
        <v>23</v>
      </c>
      <c r="F56" s="1" t="s">
        <v>26</v>
      </c>
      <c r="G56" s="1" t="s">
        <v>25</v>
      </c>
      <c r="H56" s="2">
        <v>43388</v>
      </c>
      <c r="I56" s="1"/>
      <c r="J56" s="1"/>
      <c r="K56" s="1">
        <v>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</row>
    <row r="57" spans="1:23" x14ac:dyDescent="0.2">
      <c r="A57" s="2">
        <v>43680</v>
      </c>
      <c r="B57" s="1" t="s">
        <v>21</v>
      </c>
      <c r="C57" s="1" t="s">
        <v>27</v>
      </c>
      <c r="D57" s="1" t="s">
        <v>22</v>
      </c>
      <c r="E57" s="1" t="s">
        <v>23</v>
      </c>
      <c r="F57" s="1" t="s">
        <v>24</v>
      </c>
      <c r="G57" s="1" t="s">
        <v>25</v>
      </c>
      <c r="H57" s="2">
        <v>43663</v>
      </c>
      <c r="I57" s="1"/>
      <c r="J57" s="1"/>
      <c r="K57" s="1">
        <v>10</v>
      </c>
      <c r="L57" s="1">
        <v>632</v>
      </c>
      <c r="M57" s="1">
        <v>1</v>
      </c>
      <c r="N57" s="1">
        <v>0.15820000000000001</v>
      </c>
      <c r="O57" s="1">
        <v>0.66</v>
      </c>
      <c r="P57" s="1">
        <v>0.66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2">
      <c r="A58" s="2">
        <v>43680</v>
      </c>
      <c r="B58" s="1" t="s">
        <v>21</v>
      </c>
      <c r="C58" s="1" t="s">
        <v>32</v>
      </c>
      <c r="D58" s="1" t="s">
        <v>33</v>
      </c>
      <c r="E58" s="1" t="s">
        <v>34</v>
      </c>
      <c r="F58" s="1" t="s">
        <v>24</v>
      </c>
      <c r="G58" s="1"/>
      <c r="H58" s="2">
        <v>43671</v>
      </c>
      <c r="I58" s="1"/>
      <c r="J58" s="1"/>
      <c r="K58" s="1">
        <v>2</v>
      </c>
      <c r="L58" s="1">
        <v>672</v>
      </c>
      <c r="M58" s="1">
        <v>6</v>
      </c>
      <c r="N58" s="1">
        <v>0.89290000000000003</v>
      </c>
      <c r="O58" s="1">
        <v>2.0699999999999998</v>
      </c>
      <c r="P58" s="1">
        <v>0.35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</row>
    <row r="59" spans="1:23" x14ac:dyDescent="0.2">
      <c r="A59" s="2">
        <v>43680</v>
      </c>
      <c r="B59" s="1" t="s">
        <v>21</v>
      </c>
      <c r="C59" s="1" t="s">
        <v>78</v>
      </c>
      <c r="D59" s="1" t="s">
        <v>22</v>
      </c>
      <c r="E59" s="1" t="s">
        <v>23</v>
      </c>
      <c r="F59" s="1" t="s">
        <v>24</v>
      </c>
      <c r="G59" s="1" t="s">
        <v>25</v>
      </c>
      <c r="H59" s="2">
        <v>43688</v>
      </c>
      <c r="I59" s="1"/>
      <c r="J59" s="1"/>
      <c r="K59" s="1">
        <v>10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</row>
    <row r="60" spans="1:23" x14ac:dyDescent="0.2">
      <c r="A60" s="2">
        <v>43680</v>
      </c>
      <c r="B60" s="1" t="s">
        <v>21</v>
      </c>
      <c r="C60" s="1" t="s">
        <v>79</v>
      </c>
      <c r="D60" s="1" t="s">
        <v>22</v>
      </c>
      <c r="E60" s="1" t="s">
        <v>23</v>
      </c>
      <c r="F60" s="1" t="s">
        <v>26</v>
      </c>
      <c r="G60" s="1" t="s">
        <v>25</v>
      </c>
      <c r="H60" s="2">
        <v>43387</v>
      </c>
      <c r="I60" s="1"/>
      <c r="J60" s="1"/>
      <c r="K60" s="1">
        <v>10</v>
      </c>
      <c r="L60" s="1">
        <v>551</v>
      </c>
      <c r="M60" s="1">
        <v>5</v>
      </c>
      <c r="N60" s="1">
        <v>0.90739999999999998</v>
      </c>
      <c r="O60" s="1">
        <v>0.2</v>
      </c>
      <c r="P60" s="1">
        <v>0.04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</row>
    <row r="61" spans="1:23" x14ac:dyDescent="0.2">
      <c r="A61" s="2">
        <v>43680</v>
      </c>
      <c r="B61" s="1" t="s">
        <v>21</v>
      </c>
      <c r="C61" s="1" t="s">
        <v>80</v>
      </c>
      <c r="D61" s="1" t="s">
        <v>22</v>
      </c>
      <c r="E61" s="1" t="s">
        <v>23</v>
      </c>
      <c r="F61" s="1" t="s">
        <v>26</v>
      </c>
      <c r="G61" s="1" t="s">
        <v>25</v>
      </c>
      <c r="H61" s="2">
        <v>43676</v>
      </c>
      <c r="I61" s="1"/>
      <c r="J61" s="1"/>
      <c r="K61" s="1">
        <v>10</v>
      </c>
      <c r="L61" s="1">
        <v>14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</row>
    <row r="62" spans="1:23" x14ac:dyDescent="0.2">
      <c r="A62" s="2">
        <v>43680</v>
      </c>
      <c r="B62" s="1" t="s">
        <v>21</v>
      </c>
      <c r="C62" s="1" t="s">
        <v>73</v>
      </c>
      <c r="D62" s="1" t="s">
        <v>22</v>
      </c>
      <c r="E62" s="1" t="s">
        <v>23</v>
      </c>
      <c r="F62" s="1" t="s">
        <v>24</v>
      </c>
      <c r="G62" s="1" t="s">
        <v>25</v>
      </c>
      <c r="H62" s="2">
        <v>43661</v>
      </c>
      <c r="I62" s="1"/>
      <c r="J62" s="1"/>
      <c r="K62" s="1">
        <v>10</v>
      </c>
      <c r="L62" s="1">
        <v>8626</v>
      </c>
      <c r="M62" s="1">
        <v>42</v>
      </c>
      <c r="N62" s="1">
        <v>0.4869</v>
      </c>
      <c r="O62" s="1">
        <v>10.029999999999999</v>
      </c>
      <c r="P62" s="1">
        <v>0.24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</row>
    <row r="63" spans="1:23" x14ac:dyDescent="0.2">
      <c r="A63" s="2">
        <v>43680</v>
      </c>
      <c r="B63" s="1" t="s">
        <v>21</v>
      </c>
      <c r="C63" s="1" t="s">
        <v>81</v>
      </c>
      <c r="D63" s="1" t="s">
        <v>22</v>
      </c>
      <c r="E63" s="1" t="s">
        <v>23</v>
      </c>
      <c r="F63" s="1" t="s">
        <v>24</v>
      </c>
      <c r="G63" s="1" t="s">
        <v>25</v>
      </c>
      <c r="H63" s="2">
        <v>43428</v>
      </c>
      <c r="I63" s="1"/>
      <c r="J63" s="1"/>
      <c r="K63" s="1">
        <v>10</v>
      </c>
      <c r="L63" s="1">
        <v>770</v>
      </c>
      <c r="M63" s="1">
        <v>6</v>
      </c>
      <c r="N63" s="1">
        <v>0.7792</v>
      </c>
      <c r="O63" s="1">
        <v>3.19</v>
      </c>
      <c r="P63" s="1">
        <v>0.53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</row>
    <row r="64" spans="1:23" x14ac:dyDescent="0.2">
      <c r="A64" s="2">
        <v>43680</v>
      </c>
      <c r="B64" s="1" t="s">
        <v>21</v>
      </c>
      <c r="C64" s="1" t="s">
        <v>82</v>
      </c>
      <c r="D64" s="1" t="s">
        <v>22</v>
      </c>
      <c r="E64" s="1" t="s">
        <v>23</v>
      </c>
      <c r="F64" s="1" t="s">
        <v>26</v>
      </c>
      <c r="G64" s="1" t="s">
        <v>25</v>
      </c>
      <c r="H64" s="2">
        <v>43387</v>
      </c>
      <c r="I64" s="1"/>
      <c r="J64" s="1"/>
      <c r="K64" s="1">
        <v>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</row>
    <row r="65" spans="1:23" x14ac:dyDescent="0.2">
      <c r="A65" s="2">
        <v>43680</v>
      </c>
      <c r="B65" s="1" t="s">
        <v>21</v>
      </c>
      <c r="C65" s="1" t="s">
        <v>28</v>
      </c>
      <c r="D65" s="1" t="s">
        <v>22</v>
      </c>
      <c r="E65" s="1" t="s">
        <v>23</v>
      </c>
      <c r="F65" s="1" t="s">
        <v>24</v>
      </c>
      <c r="G65" s="1" t="s">
        <v>25</v>
      </c>
      <c r="H65" s="2">
        <v>43663</v>
      </c>
      <c r="I65" s="1"/>
      <c r="J65" s="1"/>
      <c r="K65" s="1">
        <v>10</v>
      </c>
      <c r="L65" s="1">
        <v>831</v>
      </c>
      <c r="M65" s="1">
        <v>2</v>
      </c>
      <c r="N65" s="1">
        <v>0.2407</v>
      </c>
      <c r="O65" s="1">
        <v>1.22</v>
      </c>
      <c r="P65" s="1">
        <v>0.61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2">
      <c r="A66" s="2">
        <v>43680</v>
      </c>
      <c r="B66" s="1" t="s">
        <v>21</v>
      </c>
      <c r="C66" s="1" t="s">
        <v>29</v>
      </c>
      <c r="D66" s="1" t="s">
        <v>22</v>
      </c>
      <c r="E66" s="1" t="s">
        <v>23</v>
      </c>
      <c r="F66" s="1" t="s">
        <v>26</v>
      </c>
      <c r="G66" s="1" t="s">
        <v>25</v>
      </c>
      <c r="H66" s="2">
        <v>43423</v>
      </c>
      <c r="I66" s="1"/>
      <c r="J66" s="1"/>
      <c r="K66" s="1">
        <v>3</v>
      </c>
      <c r="L66" s="1">
        <v>153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</row>
    <row r="67" spans="1:23" x14ac:dyDescent="0.2">
      <c r="A67" s="2">
        <v>43680</v>
      </c>
      <c r="B67" s="1" t="s">
        <v>21</v>
      </c>
      <c r="C67" s="1" t="s">
        <v>86</v>
      </c>
      <c r="D67" s="1" t="s">
        <v>22</v>
      </c>
      <c r="E67" s="1" t="s">
        <v>23</v>
      </c>
      <c r="F67" s="1" t="s">
        <v>26</v>
      </c>
      <c r="G67" s="1" t="s">
        <v>25</v>
      </c>
      <c r="H67" s="2">
        <v>43647</v>
      </c>
      <c r="I67" s="1"/>
      <c r="J67" s="1"/>
      <c r="K67" s="1">
        <v>10</v>
      </c>
      <c r="L67" s="1">
        <v>622</v>
      </c>
      <c r="M67" s="1">
        <v>4</v>
      </c>
      <c r="N67" s="1">
        <v>0.6431</v>
      </c>
      <c r="O67" s="1">
        <v>2.14</v>
      </c>
      <c r="P67" s="1">
        <v>0.53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</row>
    <row r="68" spans="1:23" x14ac:dyDescent="0.2">
      <c r="A68" s="2">
        <v>43680</v>
      </c>
      <c r="B68" s="1" t="s">
        <v>21</v>
      </c>
      <c r="C68" s="1" t="s">
        <v>30</v>
      </c>
      <c r="D68" s="1" t="s">
        <v>22</v>
      </c>
      <c r="E68" s="1" t="s">
        <v>23</v>
      </c>
      <c r="F68" s="1" t="s">
        <v>24</v>
      </c>
      <c r="G68" s="1" t="s">
        <v>25</v>
      </c>
      <c r="H68" s="2">
        <v>43678</v>
      </c>
      <c r="I68" s="1"/>
      <c r="J68" s="1"/>
      <c r="K68" s="1">
        <v>5</v>
      </c>
      <c r="L68" s="1">
        <v>198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</row>
    <row r="69" spans="1:23" x14ac:dyDescent="0.2">
      <c r="A69" s="2">
        <v>43680</v>
      </c>
      <c r="B69" s="1" t="s">
        <v>21</v>
      </c>
      <c r="C69" s="1" t="s">
        <v>85</v>
      </c>
      <c r="D69" s="1" t="s">
        <v>22</v>
      </c>
      <c r="E69" s="1" t="s">
        <v>23</v>
      </c>
      <c r="F69" s="1" t="s">
        <v>26</v>
      </c>
      <c r="G69" s="1" t="s">
        <v>25</v>
      </c>
      <c r="H69" s="2">
        <v>43387</v>
      </c>
      <c r="I69" s="1"/>
      <c r="J69" s="1"/>
      <c r="K69" s="1">
        <v>5</v>
      </c>
      <c r="L69" s="1">
        <v>15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</row>
    <row r="70" spans="1:23" x14ac:dyDescent="0.2">
      <c r="A70" s="2">
        <v>43680</v>
      </c>
      <c r="B70" s="1" t="s">
        <v>21</v>
      </c>
      <c r="C70" s="1" t="s">
        <v>84</v>
      </c>
      <c r="D70" s="1" t="s">
        <v>22</v>
      </c>
      <c r="E70" s="1" t="s">
        <v>23</v>
      </c>
      <c r="F70" s="1" t="s">
        <v>26</v>
      </c>
      <c r="G70" s="1" t="s">
        <v>25</v>
      </c>
      <c r="H70" s="2">
        <v>43387</v>
      </c>
      <c r="I70" s="1"/>
      <c r="J70" s="1"/>
      <c r="K70" s="1">
        <v>10</v>
      </c>
      <c r="L70" s="1">
        <v>219</v>
      </c>
      <c r="M70" s="1">
        <v>1</v>
      </c>
      <c r="N70" s="1">
        <v>0.45660000000000001</v>
      </c>
      <c r="O70" s="1">
        <v>0.33</v>
      </c>
      <c r="P70" s="1">
        <v>0.33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</row>
    <row r="71" spans="1:23" x14ac:dyDescent="0.2">
      <c r="A71" s="2">
        <v>43680</v>
      </c>
      <c r="B71" s="1" t="s">
        <v>21</v>
      </c>
      <c r="C71" s="1" t="s">
        <v>75</v>
      </c>
      <c r="D71" s="1" t="s">
        <v>22</v>
      </c>
      <c r="E71" s="1" t="s">
        <v>23</v>
      </c>
      <c r="F71" s="1" t="s">
        <v>24</v>
      </c>
      <c r="G71" s="1" t="s">
        <v>25</v>
      </c>
      <c r="H71" s="2">
        <v>43454</v>
      </c>
      <c r="I71" s="1"/>
      <c r="J71" s="1"/>
      <c r="K71" s="1">
        <v>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</row>
    <row r="72" spans="1:23" x14ac:dyDescent="0.2">
      <c r="A72" s="2">
        <v>43680</v>
      </c>
      <c r="B72" s="1" t="s">
        <v>21</v>
      </c>
      <c r="C72" s="1" t="s">
        <v>31</v>
      </c>
      <c r="D72" s="1" t="s">
        <v>22</v>
      </c>
      <c r="E72" s="1" t="s">
        <v>23</v>
      </c>
      <c r="F72" s="1" t="s">
        <v>26</v>
      </c>
      <c r="G72" s="1" t="s">
        <v>25</v>
      </c>
      <c r="H72" s="2">
        <v>43615</v>
      </c>
      <c r="I72" s="1"/>
      <c r="J72" s="1"/>
      <c r="K72" s="1">
        <v>30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</row>
    <row r="73" spans="1:23" x14ac:dyDescent="0.2">
      <c r="A73" s="2">
        <v>43680</v>
      </c>
      <c r="B73" s="1" t="s">
        <v>21</v>
      </c>
      <c r="C73" s="1" t="s">
        <v>91</v>
      </c>
      <c r="D73" s="1" t="s">
        <v>22</v>
      </c>
      <c r="E73" s="1" t="s">
        <v>23</v>
      </c>
      <c r="F73" s="1" t="s">
        <v>24</v>
      </c>
      <c r="G73" s="1" t="s">
        <v>25</v>
      </c>
      <c r="H73" s="2">
        <v>43439</v>
      </c>
      <c r="I73" s="1"/>
      <c r="J73" s="1"/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</row>
    <row r="74" spans="1:23" x14ac:dyDescent="0.2">
      <c r="A74" s="2">
        <v>43680</v>
      </c>
      <c r="B74" s="1" t="s">
        <v>21</v>
      </c>
      <c r="C74" s="1" t="s">
        <v>87</v>
      </c>
      <c r="D74" s="1" t="s">
        <v>22</v>
      </c>
      <c r="E74" s="1" t="s">
        <v>23</v>
      </c>
      <c r="F74" s="1" t="s">
        <v>24</v>
      </c>
      <c r="G74" s="1" t="s">
        <v>25</v>
      </c>
      <c r="H74" s="2">
        <v>43657</v>
      </c>
      <c r="I74" s="1"/>
      <c r="J74" s="1"/>
      <c r="K74" s="1">
        <v>10</v>
      </c>
      <c r="L74" s="1">
        <v>257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spans="1:23" x14ac:dyDescent="0.2">
      <c r="A75" s="2">
        <v>43680</v>
      </c>
      <c r="B75" s="1" t="s">
        <v>21</v>
      </c>
      <c r="C75" s="1" t="s">
        <v>88</v>
      </c>
      <c r="D75" s="1" t="s">
        <v>22</v>
      </c>
      <c r="E75" s="1" t="s">
        <v>23</v>
      </c>
      <c r="F75" s="1" t="s">
        <v>26</v>
      </c>
      <c r="G75" s="1" t="s">
        <v>25</v>
      </c>
      <c r="H75" s="2">
        <v>43690</v>
      </c>
      <c r="I75" s="1"/>
      <c r="J75" s="1"/>
      <c r="K75" s="1">
        <v>15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</row>
    <row r="76" spans="1:23" x14ac:dyDescent="0.2">
      <c r="A76" s="2">
        <v>43680</v>
      </c>
      <c r="B76" s="1" t="s">
        <v>21</v>
      </c>
      <c r="C76" s="1" t="s">
        <v>89</v>
      </c>
      <c r="D76" s="1" t="s">
        <v>22</v>
      </c>
      <c r="E76" s="1" t="s">
        <v>23</v>
      </c>
      <c r="F76" s="1" t="s">
        <v>26</v>
      </c>
      <c r="G76" s="1" t="s">
        <v>25</v>
      </c>
      <c r="H76" s="2">
        <v>43387</v>
      </c>
      <c r="I76" s="1"/>
      <c r="J76" s="1"/>
      <c r="K76" s="1">
        <v>15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</row>
    <row r="77" spans="1:23" x14ac:dyDescent="0.2">
      <c r="A77" s="2">
        <v>43680</v>
      </c>
      <c r="B77" s="1" t="s">
        <v>21</v>
      </c>
      <c r="C77" s="1" t="s">
        <v>83</v>
      </c>
      <c r="D77" s="1" t="s">
        <v>22</v>
      </c>
      <c r="E77" s="1" t="s">
        <v>23</v>
      </c>
      <c r="F77" s="1" t="s">
        <v>26</v>
      </c>
      <c r="G77" s="1" t="s">
        <v>25</v>
      </c>
      <c r="H77" s="2">
        <v>43388</v>
      </c>
      <c r="I77" s="1"/>
      <c r="J77" s="1"/>
      <c r="K77" s="1">
        <v>5</v>
      </c>
      <c r="L77" s="1">
        <v>7829</v>
      </c>
      <c r="M77" s="1">
        <v>8</v>
      </c>
      <c r="N77" s="1">
        <v>0.1022</v>
      </c>
      <c r="O77" s="1">
        <v>5.0999999999999996</v>
      </c>
      <c r="P77" s="1">
        <v>0.64</v>
      </c>
      <c r="Q77" s="1">
        <v>3</v>
      </c>
      <c r="R77" s="1">
        <v>71.97</v>
      </c>
      <c r="S77" s="1">
        <v>7.0862999999999996</v>
      </c>
      <c r="T77" s="1">
        <v>0</v>
      </c>
      <c r="U77" s="1">
        <v>0</v>
      </c>
      <c r="V77" s="1">
        <v>0</v>
      </c>
      <c r="W77" s="1">
        <v>0</v>
      </c>
    </row>
    <row r="78" spans="1:23" x14ac:dyDescent="0.2">
      <c r="A78" s="2">
        <v>43680</v>
      </c>
      <c r="B78" s="1" t="s">
        <v>21</v>
      </c>
      <c r="C78" s="1" t="s">
        <v>72</v>
      </c>
      <c r="D78" s="1" t="s">
        <v>22</v>
      </c>
      <c r="E78" s="1" t="s">
        <v>23</v>
      </c>
      <c r="F78" s="1" t="s">
        <v>24</v>
      </c>
      <c r="G78" s="1" t="s">
        <v>25</v>
      </c>
      <c r="H78" s="2">
        <v>43412</v>
      </c>
      <c r="I78" s="1"/>
      <c r="J78" s="1"/>
      <c r="K78" s="1">
        <v>10</v>
      </c>
      <c r="L78" s="1">
        <v>4247</v>
      </c>
      <c r="M78" s="1">
        <v>44</v>
      </c>
      <c r="N78" s="1">
        <v>1.036</v>
      </c>
      <c r="O78" s="1">
        <v>12.44</v>
      </c>
      <c r="P78" s="1">
        <v>0.28000000000000003</v>
      </c>
      <c r="Q78" s="1">
        <v>3</v>
      </c>
      <c r="R78" s="1">
        <v>161.91</v>
      </c>
      <c r="S78" s="1">
        <v>7.6833</v>
      </c>
      <c r="T78" s="1">
        <v>0</v>
      </c>
      <c r="U78" s="1">
        <v>0</v>
      </c>
      <c r="V78" s="1">
        <v>0</v>
      </c>
      <c r="W78" s="1">
        <v>0</v>
      </c>
    </row>
    <row r="79" spans="1:23" x14ac:dyDescent="0.2">
      <c r="A79" s="2">
        <v>43680</v>
      </c>
      <c r="B79" s="1" t="s">
        <v>21</v>
      </c>
      <c r="C79" s="1" t="s">
        <v>90</v>
      </c>
      <c r="D79" s="1" t="s">
        <v>22</v>
      </c>
      <c r="E79" s="1" t="s">
        <v>23</v>
      </c>
      <c r="F79" s="1" t="s">
        <v>24</v>
      </c>
      <c r="G79" s="1" t="s">
        <v>25</v>
      </c>
      <c r="H79" s="2">
        <v>43454</v>
      </c>
      <c r="I79" s="1"/>
      <c r="J79" s="1"/>
      <c r="K79" s="1">
        <v>20</v>
      </c>
      <c r="L79" s="1">
        <v>1692</v>
      </c>
      <c r="M79" s="1">
        <v>12</v>
      </c>
      <c r="N79" s="1">
        <v>0.70920000000000005</v>
      </c>
      <c r="O79" s="1">
        <v>4.25</v>
      </c>
      <c r="P79" s="1">
        <v>0.35</v>
      </c>
      <c r="Q79" s="1">
        <v>1</v>
      </c>
      <c r="R79" s="1">
        <v>53.97</v>
      </c>
      <c r="S79" s="1">
        <v>7.8746999999999998</v>
      </c>
      <c r="T79" s="1">
        <v>0</v>
      </c>
      <c r="U79" s="1">
        <v>0</v>
      </c>
      <c r="V79" s="1">
        <v>0</v>
      </c>
      <c r="W79" s="1">
        <v>0</v>
      </c>
    </row>
    <row r="80" spans="1:23" x14ac:dyDescent="0.2">
      <c r="A80" s="2">
        <v>43681</v>
      </c>
      <c r="B80" s="1" t="s">
        <v>21</v>
      </c>
      <c r="C80" s="1" t="s">
        <v>74</v>
      </c>
      <c r="D80" s="1" t="s">
        <v>22</v>
      </c>
      <c r="E80" s="1" t="s">
        <v>23</v>
      </c>
      <c r="F80" s="1" t="s">
        <v>24</v>
      </c>
      <c r="G80" s="1" t="s">
        <v>25</v>
      </c>
      <c r="H80" s="2">
        <v>43420</v>
      </c>
      <c r="I80" s="1"/>
      <c r="J80" s="1"/>
      <c r="K80" s="1">
        <v>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</row>
    <row r="81" spans="1:23" x14ac:dyDescent="0.2">
      <c r="A81" s="2">
        <v>43681</v>
      </c>
      <c r="B81" s="1" t="s">
        <v>21</v>
      </c>
      <c r="C81" s="1" t="s">
        <v>76</v>
      </c>
      <c r="D81" s="1" t="s">
        <v>22</v>
      </c>
      <c r="E81" s="1" t="s">
        <v>23</v>
      </c>
      <c r="F81" s="1" t="s">
        <v>24</v>
      </c>
      <c r="G81" s="1" t="s">
        <v>25</v>
      </c>
      <c r="H81" s="2">
        <v>43667</v>
      </c>
      <c r="I81" s="1"/>
      <c r="J81" s="1"/>
      <c r="K81" s="1">
        <v>10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</row>
    <row r="82" spans="1:23" x14ac:dyDescent="0.2">
      <c r="A82" s="2">
        <v>43681</v>
      </c>
      <c r="B82" s="1" t="s">
        <v>21</v>
      </c>
      <c r="C82" s="1" t="s">
        <v>77</v>
      </c>
      <c r="D82" s="1" t="s">
        <v>22</v>
      </c>
      <c r="E82" s="1" t="s">
        <v>23</v>
      </c>
      <c r="F82" s="1" t="s">
        <v>26</v>
      </c>
      <c r="G82" s="1" t="s">
        <v>25</v>
      </c>
      <c r="H82" s="2">
        <v>43388</v>
      </c>
      <c r="I82" s="1"/>
      <c r="J82" s="1"/>
      <c r="K82" s="1">
        <v>5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</row>
    <row r="83" spans="1:23" x14ac:dyDescent="0.2">
      <c r="A83" s="2">
        <v>43681</v>
      </c>
      <c r="B83" s="1" t="s">
        <v>21</v>
      </c>
      <c r="C83" s="1" t="s">
        <v>27</v>
      </c>
      <c r="D83" s="1" t="s">
        <v>22</v>
      </c>
      <c r="E83" s="1" t="s">
        <v>23</v>
      </c>
      <c r="F83" s="1" t="s">
        <v>24</v>
      </c>
      <c r="G83" s="1" t="s">
        <v>25</v>
      </c>
      <c r="H83" s="2">
        <v>43663</v>
      </c>
      <c r="I83" s="1"/>
      <c r="J83" s="1"/>
      <c r="K83" s="1">
        <v>10</v>
      </c>
      <c r="L83" s="1">
        <v>1357</v>
      </c>
      <c r="M83" s="1">
        <v>7</v>
      </c>
      <c r="N83" s="1">
        <v>0.51580000000000004</v>
      </c>
      <c r="O83" s="1">
        <v>4.32</v>
      </c>
      <c r="P83" s="1">
        <v>0.62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</row>
    <row r="84" spans="1:23" x14ac:dyDescent="0.2">
      <c r="A84" s="2">
        <v>43681</v>
      </c>
      <c r="B84" s="1" t="s">
        <v>21</v>
      </c>
      <c r="C84" s="1" t="s">
        <v>32</v>
      </c>
      <c r="D84" s="1" t="s">
        <v>33</v>
      </c>
      <c r="E84" s="1" t="s">
        <v>34</v>
      </c>
      <c r="F84" s="1" t="s">
        <v>24</v>
      </c>
      <c r="G84" s="1"/>
      <c r="H84" s="2">
        <v>43671</v>
      </c>
      <c r="I84" s="1"/>
      <c r="J84" s="1"/>
      <c r="K84" s="1">
        <v>2</v>
      </c>
      <c r="L84" s="1">
        <v>1353</v>
      </c>
      <c r="M84" s="1">
        <v>7</v>
      </c>
      <c r="N84" s="1">
        <v>0.51739999999999997</v>
      </c>
      <c r="O84" s="1">
        <v>2.0299999999999998</v>
      </c>
      <c r="P84" s="1">
        <v>0.28999999999999998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</row>
    <row r="85" spans="1:23" x14ac:dyDescent="0.2">
      <c r="A85" s="2">
        <v>43681</v>
      </c>
      <c r="B85" s="1" t="s">
        <v>21</v>
      </c>
      <c r="C85" s="1" t="s">
        <v>72</v>
      </c>
      <c r="D85" s="1" t="s">
        <v>22</v>
      </c>
      <c r="E85" s="1" t="s">
        <v>23</v>
      </c>
      <c r="F85" s="1" t="s">
        <v>24</v>
      </c>
      <c r="G85" s="1" t="s">
        <v>25</v>
      </c>
      <c r="H85" s="2">
        <v>43412</v>
      </c>
      <c r="I85" s="1"/>
      <c r="J85" s="1"/>
      <c r="K85" s="1">
        <v>10</v>
      </c>
      <c r="L85" s="1">
        <v>7466</v>
      </c>
      <c r="M85" s="1">
        <v>75</v>
      </c>
      <c r="N85" s="1">
        <v>1.0045999999999999</v>
      </c>
      <c r="O85" s="1">
        <v>20.2</v>
      </c>
      <c r="P85" s="1">
        <v>0.27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</row>
    <row r="86" spans="1:23" x14ac:dyDescent="0.2">
      <c r="A86" s="2">
        <v>43681</v>
      </c>
      <c r="B86" s="1" t="s">
        <v>21</v>
      </c>
      <c r="C86" s="1" t="s">
        <v>78</v>
      </c>
      <c r="D86" s="1" t="s">
        <v>22</v>
      </c>
      <c r="E86" s="1" t="s">
        <v>23</v>
      </c>
      <c r="F86" s="1" t="s">
        <v>24</v>
      </c>
      <c r="G86" s="1" t="s">
        <v>25</v>
      </c>
      <c r="H86" s="2">
        <v>43688</v>
      </c>
      <c r="I86" s="1"/>
      <c r="J86" s="1"/>
      <c r="K86" s="1">
        <v>10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</row>
    <row r="87" spans="1:23" x14ac:dyDescent="0.2">
      <c r="A87" s="2">
        <v>43681</v>
      </c>
      <c r="B87" s="1" t="s">
        <v>21</v>
      </c>
      <c r="C87" s="1" t="s">
        <v>79</v>
      </c>
      <c r="D87" s="1" t="s">
        <v>22</v>
      </c>
      <c r="E87" s="1" t="s">
        <v>23</v>
      </c>
      <c r="F87" s="1" t="s">
        <v>26</v>
      </c>
      <c r="G87" s="1" t="s">
        <v>25</v>
      </c>
      <c r="H87" s="2">
        <v>43387</v>
      </c>
      <c r="I87" s="1"/>
      <c r="J87" s="1"/>
      <c r="K87" s="1">
        <v>10</v>
      </c>
      <c r="L87" s="1">
        <v>1196</v>
      </c>
      <c r="M87" s="1">
        <v>9</v>
      </c>
      <c r="N87" s="1">
        <v>0.75249999999999995</v>
      </c>
      <c r="O87" s="1">
        <v>0.42</v>
      </c>
      <c r="P87" s="1">
        <v>0.05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</row>
    <row r="88" spans="1:23" x14ac:dyDescent="0.2">
      <c r="A88" s="2">
        <v>43681</v>
      </c>
      <c r="B88" s="1" t="s">
        <v>21</v>
      </c>
      <c r="C88" s="1" t="s">
        <v>80</v>
      </c>
      <c r="D88" s="1" t="s">
        <v>22</v>
      </c>
      <c r="E88" s="1" t="s">
        <v>23</v>
      </c>
      <c r="F88" s="1" t="s">
        <v>26</v>
      </c>
      <c r="G88" s="1" t="s">
        <v>25</v>
      </c>
      <c r="H88" s="2">
        <v>43676</v>
      </c>
      <c r="I88" s="1"/>
      <c r="J88" s="1"/>
      <c r="K88" s="1">
        <v>10</v>
      </c>
      <c r="L88" s="1">
        <v>15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</row>
    <row r="89" spans="1:23" x14ac:dyDescent="0.2">
      <c r="A89" s="2">
        <v>43681</v>
      </c>
      <c r="B89" s="1" t="s">
        <v>21</v>
      </c>
      <c r="C89" s="1" t="s">
        <v>73</v>
      </c>
      <c r="D89" s="1" t="s">
        <v>22</v>
      </c>
      <c r="E89" s="1" t="s">
        <v>23</v>
      </c>
      <c r="F89" s="1" t="s">
        <v>24</v>
      </c>
      <c r="G89" s="1" t="s">
        <v>25</v>
      </c>
      <c r="H89" s="2">
        <v>43661</v>
      </c>
      <c r="I89" s="1"/>
      <c r="J89" s="1"/>
      <c r="K89" s="1">
        <v>10</v>
      </c>
      <c r="L89" s="1">
        <v>6346</v>
      </c>
      <c r="M89" s="1">
        <v>44</v>
      </c>
      <c r="N89" s="1">
        <v>0.69340000000000002</v>
      </c>
      <c r="O89" s="1">
        <v>10.29</v>
      </c>
      <c r="P89" s="1">
        <v>0.23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</row>
    <row r="90" spans="1:23" x14ac:dyDescent="0.2">
      <c r="A90" s="2">
        <v>43681</v>
      </c>
      <c r="B90" s="1" t="s">
        <v>21</v>
      </c>
      <c r="C90" s="1" t="s">
        <v>81</v>
      </c>
      <c r="D90" s="1" t="s">
        <v>22</v>
      </c>
      <c r="E90" s="1" t="s">
        <v>23</v>
      </c>
      <c r="F90" s="1" t="s">
        <v>24</v>
      </c>
      <c r="G90" s="1" t="s">
        <v>25</v>
      </c>
      <c r="H90" s="2">
        <v>43428</v>
      </c>
      <c r="I90" s="1"/>
      <c r="J90" s="1"/>
      <c r="K90" s="1">
        <v>10</v>
      </c>
      <c r="L90" s="1">
        <v>1077</v>
      </c>
      <c r="M90" s="1">
        <v>12</v>
      </c>
      <c r="N90" s="1">
        <v>1.1142000000000001</v>
      </c>
      <c r="O90" s="1">
        <v>6.43</v>
      </c>
      <c r="P90" s="1">
        <v>0.54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</row>
    <row r="91" spans="1:23" x14ac:dyDescent="0.2">
      <c r="A91" s="2">
        <v>43681</v>
      </c>
      <c r="B91" s="1" t="s">
        <v>21</v>
      </c>
      <c r="C91" s="1" t="s">
        <v>82</v>
      </c>
      <c r="D91" s="1" t="s">
        <v>22</v>
      </c>
      <c r="E91" s="1" t="s">
        <v>23</v>
      </c>
      <c r="F91" s="1" t="s">
        <v>26</v>
      </c>
      <c r="G91" s="1" t="s">
        <v>25</v>
      </c>
      <c r="H91" s="2">
        <v>43387</v>
      </c>
      <c r="I91" s="1"/>
      <c r="J91" s="1"/>
      <c r="K91" s="1">
        <v>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</row>
    <row r="92" spans="1:23" x14ac:dyDescent="0.2">
      <c r="A92" s="2">
        <v>43681</v>
      </c>
      <c r="B92" s="1" t="s">
        <v>21</v>
      </c>
      <c r="C92" s="1" t="s">
        <v>29</v>
      </c>
      <c r="D92" s="1" t="s">
        <v>22</v>
      </c>
      <c r="E92" s="1" t="s">
        <v>23</v>
      </c>
      <c r="F92" s="1" t="s">
        <v>26</v>
      </c>
      <c r="G92" s="1" t="s">
        <v>25</v>
      </c>
      <c r="H92" s="2">
        <v>43423</v>
      </c>
      <c r="I92" s="1"/>
      <c r="J92" s="1"/>
      <c r="K92" s="1">
        <v>3</v>
      </c>
      <c r="L92" s="1">
        <v>170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</row>
    <row r="93" spans="1:23" x14ac:dyDescent="0.2">
      <c r="A93" s="2">
        <v>43681</v>
      </c>
      <c r="B93" s="1" t="s">
        <v>21</v>
      </c>
      <c r="C93" s="1" t="s">
        <v>86</v>
      </c>
      <c r="D93" s="1" t="s">
        <v>22</v>
      </c>
      <c r="E93" s="1" t="s">
        <v>23</v>
      </c>
      <c r="F93" s="1" t="s">
        <v>26</v>
      </c>
      <c r="G93" s="1" t="s">
        <v>25</v>
      </c>
      <c r="H93" s="2">
        <v>43647</v>
      </c>
      <c r="I93" s="1"/>
      <c r="J93" s="1"/>
      <c r="K93" s="1">
        <v>10</v>
      </c>
      <c r="L93" s="1">
        <v>320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</row>
    <row r="94" spans="1:23" x14ac:dyDescent="0.2">
      <c r="A94" s="2">
        <v>43681</v>
      </c>
      <c r="B94" s="1" t="s">
        <v>21</v>
      </c>
      <c r="C94" s="1" t="s">
        <v>30</v>
      </c>
      <c r="D94" s="1" t="s">
        <v>22</v>
      </c>
      <c r="E94" s="1" t="s">
        <v>23</v>
      </c>
      <c r="F94" s="1" t="s">
        <v>24</v>
      </c>
      <c r="G94" s="1" t="s">
        <v>25</v>
      </c>
      <c r="H94" s="2">
        <v>43678</v>
      </c>
      <c r="I94" s="1"/>
      <c r="J94" s="1"/>
      <c r="K94" s="1">
        <v>5</v>
      </c>
      <c r="L94" s="1">
        <v>345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</row>
    <row r="95" spans="1:23" x14ac:dyDescent="0.2">
      <c r="A95" s="2">
        <v>43681</v>
      </c>
      <c r="B95" s="1" t="s">
        <v>21</v>
      </c>
      <c r="C95" s="1" t="s">
        <v>85</v>
      </c>
      <c r="D95" s="1" t="s">
        <v>22</v>
      </c>
      <c r="E95" s="1" t="s">
        <v>23</v>
      </c>
      <c r="F95" s="1" t="s">
        <v>26</v>
      </c>
      <c r="G95" s="1" t="s">
        <v>25</v>
      </c>
      <c r="H95" s="2">
        <v>43387</v>
      </c>
      <c r="I95" s="1"/>
      <c r="J95" s="1"/>
      <c r="K95" s="1">
        <v>5</v>
      </c>
      <c r="L95" s="1">
        <v>7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</row>
    <row r="96" spans="1:23" x14ac:dyDescent="0.2">
      <c r="A96" s="2">
        <v>43681</v>
      </c>
      <c r="B96" s="1" t="s">
        <v>21</v>
      </c>
      <c r="C96" s="1" t="s">
        <v>84</v>
      </c>
      <c r="D96" s="1" t="s">
        <v>22</v>
      </c>
      <c r="E96" s="1" t="s">
        <v>23</v>
      </c>
      <c r="F96" s="1" t="s">
        <v>26</v>
      </c>
      <c r="G96" s="1" t="s">
        <v>25</v>
      </c>
      <c r="H96" s="2">
        <v>43387</v>
      </c>
      <c r="I96" s="1"/>
      <c r="J96" s="1"/>
      <c r="K96" s="1">
        <v>10</v>
      </c>
      <c r="L96" s="1">
        <v>346</v>
      </c>
      <c r="M96" s="1">
        <v>2</v>
      </c>
      <c r="N96" s="1">
        <v>0.57799999999999996</v>
      </c>
      <c r="O96" s="1">
        <v>0.61</v>
      </c>
      <c r="P96" s="1">
        <v>0.31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</row>
    <row r="97" spans="1:23" x14ac:dyDescent="0.2">
      <c r="A97" s="2">
        <v>43681</v>
      </c>
      <c r="B97" s="1" t="s">
        <v>21</v>
      </c>
      <c r="C97" s="1" t="s">
        <v>75</v>
      </c>
      <c r="D97" s="1" t="s">
        <v>22</v>
      </c>
      <c r="E97" s="1" t="s">
        <v>23</v>
      </c>
      <c r="F97" s="1" t="s">
        <v>24</v>
      </c>
      <c r="G97" s="1" t="s">
        <v>25</v>
      </c>
      <c r="H97" s="2">
        <v>43454</v>
      </c>
      <c r="I97" s="1"/>
      <c r="J97" s="1"/>
      <c r="K97" s="1">
        <v>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</row>
    <row r="98" spans="1:23" x14ac:dyDescent="0.2">
      <c r="A98" s="2">
        <v>43681</v>
      </c>
      <c r="B98" s="1" t="s">
        <v>21</v>
      </c>
      <c r="C98" s="1" t="s">
        <v>31</v>
      </c>
      <c r="D98" s="1" t="s">
        <v>22</v>
      </c>
      <c r="E98" s="1" t="s">
        <v>23</v>
      </c>
      <c r="F98" s="1" t="s">
        <v>26</v>
      </c>
      <c r="G98" s="1" t="s">
        <v>25</v>
      </c>
      <c r="H98" s="2">
        <v>43615</v>
      </c>
      <c r="I98" s="1"/>
      <c r="J98" s="1"/>
      <c r="K98" s="1">
        <v>30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</row>
    <row r="99" spans="1:23" x14ac:dyDescent="0.2">
      <c r="A99" s="2">
        <v>43681</v>
      </c>
      <c r="B99" s="1" t="s">
        <v>21</v>
      </c>
      <c r="C99" s="1" t="s">
        <v>91</v>
      </c>
      <c r="D99" s="1" t="s">
        <v>22</v>
      </c>
      <c r="E99" s="1" t="s">
        <v>23</v>
      </c>
      <c r="F99" s="1" t="s">
        <v>24</v>
      </c>
      <c r="G99" s="1" t="s">
        <v>25</v>
      </c>
      <c r="H99" s="2">
        <v>43439</v>
      </c>
      <c r="I99" s="1"/>
      <c r="J99" s="1"/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</row>
    <row r="100" spans="1:23" x14ac:dyDescent="0.2">
      <c r="A100" s="2">
        <v>43681</v>
      </c>
      <c r="B100" s="1" t="s">
        <v>21</v>
      </c>
      <c r="C100" s="1" t="s">
        <v>87</v>
      </c>
      <c r="D100" s="1" t="s">
        <v>22</v>
      </c>
      <c r="E100" s="1" t="s">
        <v>23</v>
      </c>
      <c r="F100" s="1" t="s">
        <v>24</v>
      </c>
      <c r="G100" s="1" t="s">
        <v>25</v>
      </c>
      <c r="H100" s="2">
        <v>43657</v>
      </c>
      <c r="I100" s="1"/>
      <c r="J100" s="1"/>
      <c r="K100" s="1">
        <v>10</v>
      </c>
      <c r="L100" s="1">
        <v>249</v>
      </c>
      <c r="M100" s="1">
        <v>6</v>
      </c>
      <c r="N100" s="1">
        <v>2.4096000000000002</v>
      </c>
      <c r="O100" s="1">
        <v>2.78</v>
      </c>
      <c r="P100" s="1">
        <v>0.46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</row>
    <row r="101" spans="1:23" x14ac:dyDescent="0.2">
      <c r="A101" s="2">
        <v>43681</v>
      </c>
      <c r="B101" s="1" t="s">
        <v>21</v>
      </c>
      <c r="C101" s="1" t="s">
        <v>88</v>
      </c>
      <c r="D101" s="1" t="s">
        <v>22</v>
      </c>
      <c r="E101" s="1" t="s">
        <v>23</v>
      </c>
      <c r="F101" s="1" t="s">
        <v>26</v>
      </c>
      <c r="G101" s="1" t="s">
        <v>25</v>
      </c>
      <c r="H101" s="2">
        <v>43690</v>
      </c>
      <c r="I101" s="1"/>
      <c r="J101" s="1"/>
      <c r="K101" s="1">
        <v>15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</row>
    <row r="102" spans="1:23" x14ac:dyDescent="0.2">
      <c r="A102" s="2">
        <v>43681</v>
      </c>
      <c r="B102" s="1" t="s">
        <v>21</v>
      </c>
      <c r="C102" s="1" t="s">
        <v>90</v>
      </c>
      <c r="D102" s="1" t="s">
        <v>22</v>
      </c>
      <c r="E102" s="1" t="s">
        <v>23</v>
      </c>
      <c r="F102" s="1" t="s">
        <v>24</v>
      </c>
      <c r="G102" s="1" t="s">
        <v>25</v>
      </c>
      <c r="H102" s="2">
        <v>43454</v>
      </c>
      <c r="I102" s="1"/>
      <c r="J102" s="1"/>
      <c r="K102" s="1">
        <v>20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</row>
    <row r="103" spans="1:23" x14ac:dyDescent="0.2">
      <c r="A103" s="2">
        <v>43681</v>
      </c>
      <c r="B103" s="1" t="s">
        <v>21</v>
      </c>
      <c r="C103" s="1" t="s">
        <v>89</v>
      </c>
      <c r="D103" s="1" t="s">
        <v>22</v>
      </c>
      <c r="E103" s="1" t="s">
        <v>23</v>
      </c>
      <c r="F103" s="1" t="s">
        <v>26</v>
      </c>
      <c r="G103" s="1" t="s">
        <v>25</v>
      </c>
      <c r="H103" s="2">
        <v>43387</v>
      </c>
      <c r="I103" s="1"/>
      <c r="J103" s="1"/>
      <c r="K103" s="1">
        <v>15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</row>
    <row r="104" spans="1:23" x14ac:dyDescent="0.2">
      <c r="A104" s="2">
        <v>43681</v>
      </c>
      <c r="B104" s="1" t="s">
        <v>21</v>
      </c>
      <c r="C104" s="1" t="s">
        <v>83</v>
      </c>
      <c r="D104" s="1" t="s">
        <v>22</v>
      </c>
      <c r="E104" s="1" t="s">
        <v>23</v>
      </c>
      <c r="F104" s="1" t="s">
        <v>26</v>
      </c>
      <c r="G104" s="1" t="s">
        <v>25</v>
      </c>
      <c r="H104" s="2">
        <v>43388</v>
      </c>
      <c r="I104" s="1"/>
      <c r="J104" s="1"/>
      <c r="K104" s="1">
        <v>5</v>
      </c>
      <c r="L104" s="1">
        <v>3050</v>
      </c>
      <c r="M104" s="1">
        <v>9</v>
      </c>
      <c r="N104" s="1">
        <v>0.29509999999999997</v>
      </c>
      <c r="O104" s="1">
        <v>5.43</v>
      </c>
      <c r="P104" s="1">
        <v>0.6</v>
      </c>
      <c r="Q104" s="1">
        <v>2</v>
      </c>
      <c r="R104" s="1">
        <v>95.96</v>
      </c>
      <c r="S104" s="1">
        <v>5.6585999999999999</v>
      </c>
      <c r="T104" s="1">
        <v>0</v>
      </c>
      <c r="U104" s="1">
        <v>0</v>
      </c>
      <c r="V104" s="1">
        <v>0</v>
      </c>
      <c r="W104" s="1">
        <v>0</v>
      </c>
    </row>
    <row r="105" spans="1:23" x14ac:dyDescent="0.2">
      <c r="A105" s="2">
        <v>43681</v>
      </c>
      <c r="B105" s="1" t="s">
        <v>21</v>
      </c>
      <c r="C105" s="1" t="s">
        <v>28</v>
      </c>
      <c r="D105" s="1" t="s">
        <v>22</v>
      </c>
      <c r="E105" s="1" t="s">
        <v>23</v>
      </c>
      <c r="F105" s="1" t="s">
        <v>24</v>
      </c>
      <c r="G105" s="1" t="s">
        <v>25</v>
      </c>
      <c r="H105" s="2">
        <v>43663</v>
      </c>
      <c r="I105" s="1"/>
      <c r="J105" s="1"/>
      <c r="K105" s="1">
        <v>10</v>
      </c>
      <c r="L105" s="1">
        <v>1045</v>
      </c>
      <c r="M105" s="1">
        <v>12</v>
      </c>
      <c r="N105" s="1">
        <v>1.1483000000000001</v>
      </c>
      <c r="O105" s="1">
        <v>6.7</v>
      </c>
      <c r="P105" s="1">
        <v>0.56000000000000005</v>
      </c>
      <c r="Q105" s="1">
        <v>1</v>
      </c>
      <c r="R105" s="1">
        <v>16.37</v>
      </c>
      <c r="S105" s="1">
        <v>40.9285</v>
      </c>
      <c r="T105" s="1">
        <v>0</v>
      </c>
      <c r="U105" s="1">
        <v>0</v>
      </c>
      <c r="V105" s="1">
        <v>0</v>
      </c>
      <c r="W105" s="1">
        <v>0</v>
      </c>
    </row>
    <row r="106" spans="1:23" x14ac:dyDescent="0.2">
      <c r="A106" s="14">
        <v>43682</v>
      </c>
      <c r="B106" s="13" t="s">
        <v>21</v>
      </c>
      <c r="C106" s="13" t="s">
        <v>74</v>
      </c>
      <c r="D106" s="13" t="s">
        <v>22</v>
      </c>
      <c r="E106" s="13" t="s">
        <v>23</v>
      </c>
      <c r="F106" s="13" t="s">
        <v>24</v>
      </c>
      <c r="G106" s="13" t="s">
        <v>25</v>
      </c>
      <c r="H106" s="14">
        <v>43420</v>
      </c>
      <c r="I106" s="13"/>
      <c r="J106" s="13"/>
      <c r="K106" s="13">
        <v>5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</row>
    <row r="107" spans="1:23" x14ac:dyDescent="0.2">
      <c r="A107" s="14">
        <v>43682</v>
      </c>
      <c r="B107" s="13" t="s">
        <v>21</v>
      </c>
      <c r="C107" s="13" t="s">
        <v>76</v>
      </c>
      <c r="D107" s="13" t="s">
        <v>22</v>
      </c>
      <c r="E107" s="13" t="s">
        <v>23</v>
      </c>
      <c r="F107" s="13" t="s">
        <v>24</v>
      </c>
      <c r="G107" s="13" t="s">
        <v>25</v>
      </c>
      <c r="H107" s="14">
        <v>43667</v>
      </c>
      <c r="I107" s="13"/>
      <c r="J107" s="13"/>
      <c r="K107" s="13">
        <v>10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</row>
    <row r="108" spans="1:23" x14ac:dyDescent="0.2">
      <c r="A108" s="14">
        <v>43682</v>
      </c>
      <c r="B108" s="13" t="s">
        <v>21</v>
      </c>
      <c r="C108" s="13" t="s">
        <v>77</v>
      </c>
      <c r="D108" s="13" t="s">
        <v>22</v>
      </c>
      <c r="E108" s="13" t="s">
        <v>23</v>
      </c>
      <c r="F108" s="13" t="s">
        <v>26</v>
      </c>
      <c r="G108" s="13" t="s">
        <v>25</v>
      </c>
      <c r="H108" s="14">
        <v>43388</v>
      </c>
      <c r="I108" s="13"/>
      <c r="J108" s="13"/>
      <c r="K108" s="13">
        <v>5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</row>
    <row r="109" spans="1:23" x14ac:dyDescent="0.2">
      <c r="A109" s="14">
        <v>43682</v>
      </c>
      <c r="B109" s="13" t="s">
        <v>21</v>
      </c>
      <c r="C109" s="13" t="s">
        <v>32</v>
      </c>
      <c r="D109" s="13" t="s">
        <v>33</v>
      </c>
      <c r="E109" s="13" t="s">
        <v>34</v>
      </c>
      <c r="F109" s="13" t="s">
        <v>24</v>
      </c>
      <c r="G109" s="13"/>
      <c r="H109" s="14">
        <v>43671</v>
      </c>
      <c r="I109" s="13"/>
      <c r="J109" s="13"/>
      <c r="K109" s="13">
        <v>2</v>
      </c>
      <c r="L109" s="13">
        <v>1088</v>
      </c>
      <c r="M109" s="13">
        <v>6</v>
      </c>
      <c r="N109" s="13">
        <v>0.55149999999999999</v>
      </c>
      <c r="O109" s="13">
        <v>2.09</v>
      </c>
      <c r="P109" s="13">
        <v>0.35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</row>
    <row r="110" spans="1:23" x14ac:dyDescent="0.2">
      <c r="A110" s="14">
        <v>43682</v>
      </c>
      <c r="B110" s="13" t="s">
        <v>21</v>
      </c>
      <c r="C110" s="13" t="s">
        <v>78</v>
      </c>
      <c r="D110" s="13" t="s">
        <v>22</v>
      </c>
      <c r="E110" s="13" t="s">
        <v>23</v>
      </c>
      <c r="F110" s="13" t="s">
        <v>24</v>
      </c>
      <c r="G110" s="13" t="s">
        <v>25</v>
      </c>
      <c r="H110" s="14">
        <v>43688</v>
      </c>
      <c r="I110" s="13"/>
      <c r="J110" s="13"/>
      <c r="K110" s="13">
        <v>10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</row>
    <row r="111" spans="1:23" x14ac:dyDescent="0.2">
      <c r="A111" s="14">
        <v>43682</v>
      </c>
      <c r="B111" s="13" t="s">
        <v>21</v>
      </c>
      <c r="C111" s="13" t="s">
        <v>79</v>
      </c>
      <c r="D111" s="13" t="s">
        <v>22</v>
      </c>
      <c r="E111" s="13" t="s">
        <v>23</v>
      </c>
      <c r="F111" s="13" t="s">
        <v>26</v>
      </c>
      <c r="G111" s="13" t="s">
        <v>25</v>
      </c>
      <c r="H111" s="14">
        <v>43387</v>
      </c>
      <c r="I111" s="13"/>
      <c r="J111" s="13"/>
      <c r="K111" s="13">
        <v>10</v>
      </c>
      <c r="L111" s="13">
        <v>878</v>
      </c>
      <c r="M111" s="13">
        <v>7</v>
      </c>
      <c r="N111" s="13">
        <v>0.79730000000000001</v>
      </c>
      <c r="O111" s="13">
        <v>0.3</v>
      </c>
      <c r="P111" s="13">
        <v>0.04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</row>
    <row r="112" spans="1:23" x14ac:dyDescent="0.2">
      <c r="A112" s="14">
        <v>43682</v>
      </c>
      <c r="B112" s="13" t="s">
        <v>21</v>
      </c>
      <c r="C112" s="13" t="s">
        <v>80</v>
      </c>
      <c r="D112" s="13" t="s">
        <v>22</v>
      </c>
      <c r="E112" s="13" t="s">
        <v>23</v>
      </c>
      <c r="F112" s="13" t="s">
        <v>26</v>
      </c>
      <c r="G112" s="13" t="s">
        <v>25</v>
      </c>
      <c r="H112" s="14">
        <v>43676</v>
      </c>
      <c r="I112" s="13"/>
      <c r="J112" s="13"/>
      <c r="K112" s="13">
        <v>10</v>
      </c>
      <c r="L112" s="13">
        <v>19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x14ac:dyDescent="0.2">
      <c r="A113" s="14">
        <v>43682</v>
      </c>
      <c r="B113" s="13" t="s">
        <v>21</v>
      </c>
      <c r="C113" s="13" t="s">
        <v>81</v>
      </c>
      <c r="D113" s="13" t="s">
        <v>22</v>
      </c>
      <c r="E113" s="13" t="s">
        <v>23</v>
      </c>
      <c r="F113" s="13" t="s">
        <v>24</v>
      </c>
      <c r="G113" s="13" t="s">
        <v>25</v>
      </c>
      <c r="H113" s="14">
        <v>43428</v>
      </c>
      <c r="I113" s="13"/>
      <c r="J113" s="13"/>
      <c r="K113" s="13">
        <v>10</v>
      </c>
      <c r="L113" s="13">
        <v>1557</v>
      </c>
      <c r="M113" s="13">
        <v>8</v>
      </c>
      <c r="N113" s="13">
        <v>0.51380000000000003</v>
      </c>
      <c r="O113" s="13">
        <v>3.91</v>
      </c>
      <c r="P113" s="13">
        <v>0.49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</row>
    <row r="114" spans="1:23" x14ac:dyDescent="0.2">
      <c r="A114" s="14">
        <v>43682</v>
      </c>
      <c r="B114" s="13" t="s">
        <v>21</v>
      </c>
      <c r="C114" s="13" t="s">
        <v>82</v>
      </c>
      <c r="D114" s="13" t="s">
        <v>22</v>
      </c>
      <c r="E114" s="13" t="s">
        <v>23</v>
      </c>
      <c r="F114" s="13" t="s">
        <v>26</v>
      </c>
      <c r="G114" s="13" t="s">
        <v>25</v>
      </c>
      <c r="H114" s="14">
        <v>43387</v>
      </c>
      <c r="I114" s="13"/>
      <c r="J114" s="13"/>
      <c r="K114" s="13">
        <v>5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x14ac:dyDescent="0.2">
      <c r="A115" s="14">
        <v>43682</v>
      </c>
      <c r="B115" s="13" t="s">
        <v>21</v>
      </c>
      <c r="C115" s="13" t="s">
        <v>28</v>
      </c>
      <c r="D115" s="13" t="s">
        <v>22</v>
      </c>
      <c r="E115" s="13" t="s">
        <v>23</v>
      </c>
      <c r="F115" s="13" t="s">
        <v>24</v>
      </c>
      <c r="G115" s="13" t="s">
        <v>25</v>
      </c>
      <c r="H115" s="14">
        <v>43663</v>
      </c>
      <c r="I115" s="13"/>
      <c r="J115" s="13"/>
      <c r="K115" s="13">
        <v>10</v>
      </c>
      <c r="L115" s="13">
        <v>1171</v>
      </c>
      <c r="M115" s="13">
        <v>7</v>
      </c>
      <c r="N115" s="13">
        <v>0.5978</v>
      </c>
      <c r="O115" s="13">
        <v>4.68</v>
      </c>
      <c r="P115" s="13">
        <v>0.67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</row>
    <row r="116" spans="1:23" x14ac:dyDescent="0.2">
      <c r="A116" s="14">
        <v>43682</v>
      </c>
      <c r="B116" s="13" t="s">
        <v>21</v>
      </c>
      <c r="C116" s="13" t="s">
        <v>29</v>
      </c>
      <c r="D116" s="13" t="s">
        <v>22</v>
      </c>
      <c r="E116" s="13" t="s">
        <v>23</v>
      </c>
      <c r="F116" s="13" t="s">
        <v>26</v>
      </c>
      <c r="G116" s="13" t="s">
        <v>25</v>
      </c>
      <c r="H116" s="14">
        <v>43423</v>
      </c>
      <c r="I116" s="13"/>
      <c r="J116" s="13"/>
      <c r="K116" s="13">
        <v>3</v>
      </c>
      <c r="L116" s="13">
        <v>171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</row>
    <row r="117" spans="1:23" x14ac:dyDescent="0.2">
      <c r="A117" s="14">
        <v>43682</v>
      </c>
      <c r="B117" s="13" t="s">
        <v>21</v>
      </c>
      <c r="C117" s="13" t="s">
        <v>86</v>
      </c>
      <c r="D117" s="13" t="s">
        <v>22</v>
      </c>
      <c r="E117" s="13" t="s">
        <v>23</v>
      </c>
      <c r="F117" s="13" t="s">
        <v>26</v>
      </c>
      <c r="G117" s="13" t="s">
        <v>25</v>
      </c>
      <c r="H117" s="14">
        <v>43647</v>
      </c>
      <c r="I117" s="13"/>
      <c r="J117" s="13"/>
      <c r="K117" s="13">
        <v>10</v>
      </c>
      <c r="L117" s="13">
        <v>4141</v>
      </c>
      <c r="M117" s="13">
        <v>4</v>
      </c>
      <c r="N117" s="13">
        <v>9.6600000000000005E-2</v>
      </c>
      <c r="O117" s="13">
        <v>1.93</v>
      </c>
      <c r="P117" s="13">
        <v>0.48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</row>
    <row r="118" spans="1:23" x14ac:dyDescent="0.2">
      <c r="A118" s="14">
        <v>43682</v>
      </c>
      <c r="B118" s="13" t="s">
        <v>21</v>
      </c>
      <c r="C118" s="13" t="s">
        <v>30</v>
      </c>
      <c r="D118" s="13" t="s">
        <v>22</v>
      </c>
      <c r="E118" s="13" t="s">
        <v>23</v>
      </c>
      <c r="F118" s="13" t="s">
        <v>24</v>
      </c>
      <c r="G118" s="13" t="s">
        <v>25</v>
      </c>
      <c r="H118" s="14">
        <v>43678</v>
      </c>
      <c r="I118" s="13"/>
      <c r="J118" s="13"/>
      <c r="K118" s="13">
        <v>5</v>
      </c>
      <c r="L118" s="13">
        <v>418</v>
      </c>
      <c r="M118" s="13">
        <v>7</v>
      </c>
      <c r="N118" s="13">
        <v>1.6746000000000001</v>
      </c>
      <c r="O118" s="13">
        <v>17.170000000000002</v>
      </c>
      <c r="P118" s="13">
        <v>2.4500000000000002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</row>
    <row r="119" spans="1:23" x14ac:dyDescent="0.2">
      <c r="A119" s="14">
        <v>43682</v>
      </c>
      <c r="B119" s="13" t="s">
        <v>21</v>
      </c>
      <c r="C119" s="13" t="s">
        <v>85</v>
      </c>
      <c r="D119" s="13" t="s">
        <v>22</v>
      </c>
      <c r="E119" s="13" t="s">
        <v>23</v>
      </c>
      <c r="F119" s="13" t="s">
        <v>26</v>
      </c>
      <c r="G119" s="13" t="s">
        <v>25</v>
      </c>
      <c r="H119" s="14">
        <v>43387</v>
      </c>
      <c r="I119" s="13"/>
      <c r="J119" s="13"/>
      <c r="K119" s="13">
        <v>5</v>
      </c>
      <c r="L119" s="13">
        <v>17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</row>
    <row r="120" spans="1:23" x14ac:dyDescent="0.2">
      <c r="A120" s="14">
        <v>43682</v>
      </c>
      <c r="B120" s="13" t="s">
        <v>21</v>
      </c>
      <c r="C120" s="13" t="s">
        <v>84</v>
      </c>
      <c r="D120" s="13" t="s">
        <v>22</v>
      </c>
      <c r="E120" s="13" t="s">
        <v>23</v>
      </c>
      <c r="F120" s="13" t="s">
        <v>26</v>
      </c>
      <c r="G120" s="13" t="s">
        <v>25</v>
      </c>
      <c r="H120" s="14">
        <v>43387</v>
      </c>
      <c r="I120" s="13"/>
      <c r="J120" s="13"/>
      <c r="K120" s="13">
        <v>10</v>
      </c>
      <c r="L120" s="13">
        <v>426</v>
      </c>
      <c r="M120" s="13">
        <v>4</v>
      </c>
      <c r="N120" s="13">
        <v>0.93899999999999995</v>
      </c>
      <c r="O120" s="13">
        <v>1.58</v>
      </c>
      <c r="P120" s="13">
        <v>0.4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</row>
    <row r="121" spans="1:23" x14ac:dyDescent="0.2">
      <c r="A121" s="14">
        <v>43682</v>
      </c>
      <c r="B121" s="13" t="s">
        <v>21</v>
      </c>
      <c r="C121" s="13" t="s">
        <v>75</v>
      </c>
      <c r="D121" s="13" t="s">
        <v>22</v>
      </c>
      <c r="E121" s="13" t="s">
        <v>23</v>
      </c>
      <c r="F121" s="13" t="s">
        <v>24</v>
      </c>
      <c r="G121" s="13" t="s">
        <v>25</v>
      </c>
      <c r="H121" s="14">
        <v>43454</v>
      </c>
      <c r="I121" s="13"/>
      <c r="J121" s="13"/>
      <c r="K121" s="13">
        <v>5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</row>
    <row r="122" spans="1:23" x14ac:dyDescent="0.2">
      <c r="A122" s="14">
        <v>43682</v>
      </c>
      <c r="B122" s="13" t="s">
        <v>21</v>
      </c>
      <c r="C122" s="13" t="s">
        <v>31</v>
      </c>
      <c r="D122" s="13" t="s">
        <v>22</v>
      </c>
      <c r="E122" s="13" t="s">
        <v>23</v>
      </c>
      <c r="F122" s="13" t="s">
        <v>26</v>
      </c>
      <c r="G122" s="13" t="s">
        <v>25</v>
      </c>
      <c r="H122" s="14">
        <v>43615</v>
      </c>
      <c r="I122" s="13"/>
      <c r="J122" s="13"/>
      <c r="K122" s="13">
        <v>30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</row>
    <row r="123" spans="1:23" x14ac:dyDescent="0.2">
      <c r="A123" s="14">
        <v>43682</v>
      </c>
      <c r="B123" s="13" t="s">
        <v>21</v>
      </c>
      <c r="C123" s="13" t="s">
        <v>91</v>
      </c>
      <c r="D123" s="13" t="s">
        <v>22</v>
      </c>
      <c r="E123" s="13" t="s">
        <v>23</v>
      </c>
      <c r="F123" s="13" t="s">
        <v>24</v>
      </c>
      <c r="G123" s="13" t="s">
        <v>25</v>
      </c>
      <c r="H123" s="14">
        <v>43439</v>
      </c>
      <c r="I123" s="13"/>
      <c r="J123" s="13"/>
      <c r="K123" s="13">
        <v>2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</row>
    <row r="124" spans="1:23" x14ac:dyDescent="0.2">
      <c r="A124" s="14">
        <v>43682</v>
      </c>
      <c r="B124" s="13" t="s">
        <v>21</v>
      </c>
      <c r="C124" s="13" t="s">
        <v>87</v>
      </c>
      <c r="D124" s="13" t="s">
        <v>22</v>
      </c>
      <c r="E124" s="13" t="s">
        <v>23</v>
      </c>
      <c r="F124" s="13" t="s">
        <v>24</v>
      </c>
      <c r="G124" s="13" t="s">
        <v>25</v>
      </c>
      <c r="H124" s="14">
        <v>43657</v>
      </c>
      <c r="I124" s="13"/>
      <c r="J124" s="13"/>
      <c r="K124" s="13">
        <v>10</v>
      </c>
      <c r="L124" s="13">
        <v>327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</row>
    <row r="125" spans="1:23" x14ac:dyDescent="0.2">
      <c r="A125" s="14">
        <v>43682</v>
      </c>
      <c r="B125" s="13" t="s">
        <v>21</v>
      </c>
      <c r="C125" s="13" t="s">
        <v>88</v>
      </c>
      <c r="D125" s="13" t="s">
        <v>22</v>
      </c>
      <c r="E125" s="13" t="s">
        <v>23</v>
      </c>
      <c r="F125" s="13" t="s">
        <v>26</v>
      </c>
      <c r="G125" s="13" t="s">
        <v>25</v>
      </c>
      <c r="H125" s="14">
        <v>43690</v>
      </c>
      <c r="I125" s="13"/>
      <c r="J125" s="13"/>
      <c r="K125" s="13">
        <v>15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</row>
    <row r="126" spans="1:23" x14ac:dyDescent="0.2">
      <c r="A126" s="14">
        <v>43682</v>
      </c>
      <c r="B126" s="13" t="s">
        <v>21</v>
      </c>
      <c r="C126" s="13" t="s">
        <v>90</v>
      </c>
      <c r="D126" s="13" t="s">
        <v>22</v>
      </c>
      <c r="E126" s="13" t="s">
        <v>23</v>
      </c>
      <c r="F126" s="13" t="s">
        <v>24</v>
      </c>
      <c r="G126" s="13" t="s">
        <v>25</v>
      </c>
      <c r="H126" s="14">
        <v>43454</v>
      </c>
      <c r="I126" s="13"/>
      <c r="J126" s="13"/>
      <c r="K126" s="13">
        <v>20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</row>
    <row r="127" spans="1:23" x14ac:dyDescent="0.2">
      <c r="A127" s="14">
        <v>43682</v>
      </c>
      <c r="B127" s="13" t="s">
        <v>21</v>
      </c>
      <c r="C127" s="13" t="s">
        <v>89</v>
      </c>
      <c r="D127" s="13" t="s">
        <v>22</v>
      </c>
      <c r="E127" s="13" t="s">
        <v>23</v>
      </c>
      <c r="F127" s="13" t="s">
        <v>26</v>
      </c>
      <c r="G127" s="13" t="s">
        <v>25</v>
      </c>
      <c r="H127" s="14">
        <v>43387</v>
      </c>
      <c r="I127" s="13"/>
      <c r="J127" s="13"/>
      <c r="K127" s="13">
        <v>15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</row>
    <row r="128" spans="1:23" x14ac:dyDescent="0.2">
      <c r="A128" s="14">
        <v>43682</v>
      </c>
      <c r="B128" s="13" t="s">
        <v>21</v>
      </c>
      <c r="C128" s="13" t="s">
        <v>72</v>
      </c>
      <c r="D128" s="13" t="s">
        <v>22</v>
      </c>
      <c r="E128" s="13" t="s">
        <v>23</v>
      </c>
      <c r="F128" s="13" t="s">
        <v>24</v>
      </c>
      <c r="G128" s="13" t="s">
        <v>25</v>
      </c>
      <c r="H128" s="14">
        <v>43412</v>
      </c>
      <c r="I128" s="13"/>
      <c r="J128" s="13"/>
      <c r="K128" s="13">
        <v>10</v>
      </c>
      <c r="L128" s="13">
        <v>6864</v>
      </c>
      <c r="M128" s="13">
        <v>74</v>
      </c>
      <c r="N128" s="13">
        <v>1.0781000000000001</v>
      </c>
      <c r="O128" s="13">
        <v>20.5</v>
      </c>
      <c r="P128" s="13">
        <v>0.28000000000000003</v>
      </c>
      <c r="Q128" s="13">
        <v>3</v>
      </c>
      <c r="R128" s="13">
        <v>161.91</v>
      </c>
      <c r="S128" s="13">
        <v>12.6614</v>
      </c>
      <c r="T128" s="13">
        <v>0</v>
      </c>
      <c r="U128" s="13">
        <v>0</v>
      </c>
      <c r="V128" s="13">
        <v>0</v>
      </c>
      <c r="W128" s="13">
        <v>0</v>
      </c>
    </row>
    <row r="129" spans="1:23" x14ac:dyDescent="0.2">
      <c r="A129" s="14">
        <v>43682</v>
      </c>
      <c r="B129" s="13" t="s">
        <v>21</v>
      </c>
      <c r="C129" s="13" t="s">
        <v>27</v>
      </c>
      <c r="D129" s="13" t="s">
        <v>22</v>
      </c>
      <c r="E129" s="13" t="s">
        <v>23</v>
      </c>
      <c r="F129" s="13" t="s">
        <v>24</v>
      </c>
      <c r="G129" s="13" t="s">
        <v>25</v>
      </c>
      <c r="H129" s="14">
        <v>43663</v>
      </c>
      <c r="I129" s="13"/>
      <c r="J129" s="13"/>
      <c r="K129" s="13">
        <v>10</v>
      </c>
      <c r="L129" s="13">
        <v>2188</v>
      </c>
      <c r="M129" s="13">
        <v>6</v>
      </c>
      <c r="N129" s="13">
        <v>0.2742</v>
      </c>
      <c r="O129" s="13">
        <v>3.66</v>
      </c>
      <c r="P129" s="13">
        <v>0.61</v>
      </c>
      <c r="Q129" s="13">
        <v>1</v>
      </c>
      <c r="R129" s="13">
        <v>23.99</v>
      </c>
      <c r="S129" s="13">
        <v>15.256399999999999</v>
      </c>
      <c r="T129" s="13">
        <v>0</v>
      </c>
      <c r="U129" s="13">
        <v>0</v>
      </c>
      <c r="V129" s="13">
        <v>0</v>
      </c>
      <c r="W129" s="13">
        <v>0</v>
      </c>
    </row>
    <row r="130" spans="1:23" x14ac:dyDescent="0.2">
      <c r="A130" s="14">
        <v>43682</v>
      </c>
      <c r="B130" s="13" t="s">
        <v>21</v>
      </c>
      <c r="C130" s="13" t="s">
        <v>73</v>
      </c>
      <c r="D130" s="13" t="s">
        <v>22</v>
      </c>
      <c r="E130" s="13" t="s">
        <v>23</v>
      </c>
      <c r="F130" s="13" t="s">
        <v>24</v>
      </c>
      <c r="G130" s="13" t="s">
        <v>25</v>
      </c>
      <c r="H130" s="14">
        <v>43661</v>
      </c>
      <c r="I130" s="13"/>
      <c r="J130" s="13"/>
      <c r="K130" s="13">
        <v>10</v>
      </c>
      <c r="L130" s="13">
        <v>6557</v>
      </c>
      <c r="M130" s="13">
        <v>40</v>
      </c>
      <c r="N130" s="13">
        <v>0.61</v>
      </c>
      <c r="O130" s="13">
        <v>10.4</v>
      </c>
      <c r="P130" s="13">
        <v>0.26</v>
      </c>
      <c r="Q130" s="13">
        <v>1</v>
      </c>
      <c r="R130" s="13">
        <v>53.97</v>
      </c>
      <c r="S130" s="13">
        <v>19.27</v>
      </c>
      <c r="T130" s="13">
        <v>0</v>
      </c>
      <c r="U130" s="13">
        <v>0</v>
      </c>
      <c r="V130" s="13">
        <v>0</v>
      </c>
      <c r="W130" s="13">
        <v>0</v>
      </c>
    </row>
    <row r="131" spans="1:23" x14ac:dyDescent="0.2">
      <c r="A131" s="14">
        <v>43682</v>
      </c>
      <c r="B131" s="13" t="s">
        <v>21</v>
      </c>
      <c r="C131" s="13" t="s">
        <v>83</v>
      </c>
      <c r="D131" s="13" t="s">
        <v>22</v>
      </c>
      <c r="E131" s="13" t="s">
        <v>23</v>
      </c>
      <c r="F131" s="13" t="s">
        <v>26</v>
      </c>
      <c r="G131" s="13" t="s">
        <v>25</v>
      </c>
      <c r="H131" s="14">
        <v>43388</v>
      </c>
      <c r="I131" s="13"/>
      <c r="J131" s="13"/>
      <c r="K131" s="13">
        <v>5</v>
      </c>
      <c r="L131" s="13">
        <v>2939</v>
      </c>
      <c r="M131" s="13">
        <v>9</v>
      </c>
      <c r="N131" s="13">
        <v>0.30620000000000003</v>
      </c>
      <c r="O131" s="13">
        <v>5.0999999999999996</v>
      </c>
      <c r="P131" s="13">
        <v>0.56999999999999995</v>
      </c>
      <c r="Q131" s="13">
        <v>1</v>
      </c>
      <c r="R131" s="13">
        <v>23.99</v>
      </c>
      <c r="S131" s="13">
        <v>21.258900000000001</v>
      </c>
      <c r="T131" s="13">
        <v>0</v>
      </c>
      <c r="U131" s="13">
        <v>0</v>
      </c>
      <c r="V131" s="13">
        <v>0</v>
      </c>
      <c r="W131" s="13">
        <v>0</v>
      </c>
    </row>
    <row r="132" spans="1:23" x14ac:dyDescent="0.2">
      <c r="A132" s="14">
        <v>43683</v>
      </c>
      <c r="B132" s="13" t="s">
        <v>21</v>
      </c>
      <c r="C132" s="13" t="s">
        <v>74</v>
      </c>
      <c r="D132" s="13" t="s">
        <v>22</v>
      </c>
      <c r="E132" s="13" t="s">
        <v>23</v>
      </c>
      <c r="F132" s="13" t="s">
        <v>24</v>
      </c>
      <c r="G132" s="13" t="s">
        <v>25</v>
      </c>
      <c r="H132" s="14">
        <v>43420</v>
      </c>
      <c r="I132" s="13"/>
      <c r="J132" s="13"/>
      <c r="K132" s="13">
        <v>5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</row>
    <row r="133" spans="1:23" x14ac:dyDescent="0.2">
      <c r="A133" s="14">
        <v>43683</v>
      </c>
      <c r="B133" s="13" t="s">
        <v>21</v>
      </c>
      <c r="C133" s="13" t="s">
        <v>76</v>
      </c>
      <c r="D133" s="13" t="s">
        <v>22</v>
      </c>
      <c r="E133" s="13" t="s">
        <v>23</v>
      </c>
      <c r="F133" s="13" t="s">
        <v>24</v>
      </c>
      <c r="G133" s="13" t="s">
        <v>25</v>
      </c>
      <c r="H133" s="14">
        <v>43667</v>
      </c>
      <c r="I133" s="13"/>
      <c r="J133" s="13"/>
      <c r="K133" s="13">
        <v>10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</row>
    <row r="134" spans="1:23" x14ac:dyDescent="0.2">
      <c r="A134" s="14">
        <v>43683</v>
      </c>
      <c r="B134" s="13" t="s">
        <v>21</v>
      </c>
      <c r="C134" s="13" t="s">
        <v>77</v>
      </c>
      <c r="D134" s="13" t="s">
        <v>22</v>
      </c>
      <c r="E134" s="13" t="s">
        <v>23</v>
      </c>
      <c r="F134" s="13" t="s">
        <v>26</v>
      </c>
      <c r="G134" s="13" t="s">
        <v>25</v>
      </c>
      <c r="H134" s="14">
        <v>43388</v>
      </c>
      <c r="I134" s="13"/>
      <c r="J134" s="13"/>
      <c r="K134" s="13">
        <v>5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</row>
    <row r="135" spans="1:23" x14ac:dyDescent="0.2">
      <c r="A135" s="14">
        <v>43683</v>
      </c>
      <c r="B135" s="13" t="s">
        <v>21</v>
      </c>
      <c r="C135" s="13" t="s">
        <v>27</v>
      </c>
      <c r="D135" s="13" t="s">
        <v>22</v>
      </c>
      <c r="E135" s="13" t="s">
        <v>23</v>
      </c>
      <c r="F135" s="13" t="s">
        <v>24</v>
      </c>
      <c r="G135" s="13" t="s">
        <v>25</v>
      </c>
      <c r="H135" s="14">
        <v>43663</v>
      </c>
      <c r="I135" s="13"/>
      <c r="J135" s="13"/>
      <c r="K135" s="13">
        <v>10</v>
      </c>
      <c r="L135" s="13">
        <v>1423</v>
      </c>
      <c r="M135" s="13">
        <v>2</v>
      </c>
      <c r="N135" s="13">
        <v>0.14050000000000001</v>
      </c>
      <c r="O135" s="13">
        <v>1.36</v>
      </c>
      <c r="P135" s="13">
        <v>0.68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x14ac:dyDescent="0.2">
      <c r="A136" s="14">
        <v>43683</v>
      </c>
      <c r="B136" s="13" t="s">
        <v>21</v>
      </c>
      <c r="C136" s="13" t="s">
        <v>32</v>
      </c>
      <c r="D136" s="13" t="s">
        <v>33</v>
      </c>
      <c r="E136" s="13" t="s">
        <v>34</v>
      </c>
      <c r="F136" s="13" t="s">
        <v>24</v>
      </c>
      <c r="G136" s="13"/>
      <c r="H136" s="14">
        <v>43671</v>
      </c>
      <c r="I136" s="13"/>
      <c r="J136" s="13"/>
      <c r="K136" s="13">
        <v>2</v>
      </c>
      <c r="L136" s="13">
        <v>734</v>
      </c>
      <c r="M136" s="13">
        <v>6</v>
      </c>
      <c r="N136" s="13">
        <v>0.81740000000000002</v>
      </c>
      <c r="O136" s="13">
        <v>2.1800000000000002</v>
      </c>
      <c r="P136" s="13">
        <v>0.36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</row>
    <row r="137" spans="1:23" x14ac:dyDescent="0.2">
      <c r="A137" s="14">
        <v>43683</v>
      </c>
      <c r="B137" s="13" t="s">
        <v>21</v>
      </c>
      <c r="C137" s="13" t="s">
        <v>78</v>
      </c>
      <c r="D137" s="13" t="s">
        <v>22</v>
      </c>
      <c r="E137" s="13" t="s">
        <v>23</v>
      </c>
      <c r="F137" s="13" t="s">
        <v>24</v>
      </c>
      <c r="G137" s="13" t="s">
        <v>25</v>
      </c>
      <c r="H137" s="14">
        <v>43688</v>
      </c>
      <c r="I137" s="13"/>
      <c r="J137" s="13"/>
      <c r="K137" s="13">
        <v>10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</row>
    <row r="138" spans="1:23" x14ac:dyDescent="0.2">
      <c r="A138" s="14">
        <v>43683</v>
      </c>
      <c r="B138" s="13" t="s">
        <v>21</v>
      </c>
      <c r="C138" s="13" t="s">
        <v>79</v>
      </c>
      <c r="D138" s="13" t="s">
        <v>22</v>
      </c>
      <c r="E138" s="13" t="s">
        <v>23</v>
      </c>
      <c r="F138" s="13" t="s">
        <v>26</v>
      </c>
      <c r="G138" s="13" t="s">
        <v>25</v>
      </c>
      <c r="H138" s="14">
        <v>43387</v>
      </c>
      <c r="I138" s="13"/>
      <c r="J138" s="13"/>
      <c r="K138" s="13">
        <v>10</v>
      </c>
      <c r="L138" s="13">
        <v>652</v>
      </c>
      <c r="M138" s="13">
        <v>4</v>
      </c>
      <c r="N138" s="13">
        <v>0.61350000000000005</v>
      </c>
      <c r="O138" s="13">
        <v>0.17</v>
      </c>
      <c r="P138" s="13">
        <v>0.04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</row>
    <row r="139" spans="1:23" x14ac:dyDescent="0.2">
      <c r="A139" s="14">
        <v>43683</v>
      </c>
      <c r="B139" s="13" t="s">
        <v>21</v>
      </c>
      <c r="C139" s="13" t="s">
        <v>80</v>
      </c>
      <c r="D139" s="13" t="s">
        <v>22</v>
      </c>
      <c r="E139" s="13" t="s">
        <v>23</v>
      </c>
      <c r="F139" s="13" t="s">
        <v>26</v>
      </c>
      <c r="G139" s="13" t="s">
        <v>25</v>
      </c>
      <c r="H139" s="14">
        <v>43676</v>
      </c>
      <c r="I139" s="13"/>
      <c r="J139" s="13"/>
      <c r="K139" s="13">
        <v>10</v>
      </c>
      <c r="L139" s="13">
        <v>16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</row>
    <row r="140" spans="1:23" x14ac:dyDescent="0.2">
      <c r="A140" s="14">
        <v>43683</v>
      </c>
      <c r="B140" s="13" t="s">
        <v>21</v>
      </c>
      <c r="C140" s="13" t="s">
        <v>73</v>
      </c>
      <c r="D140" s="13" t="s">
        <v>22</v>
      </c>
      <c r="E140" s="13" t="s">
        <v>23</v>
      </c>
      <c r="F140" s="13" t="s">
        <v>24</v>
      </c>
      <c r="G140" s="13" t="s">
        <v>25</v>
      </c>
      <c r="H140" s="14">
        <v>43661</v>
      </c>
      <c r="I140" s="13"/>
      <c r="J140" s="13"/>
      <c r="K140" s="13">
        <v>10</v>
      </c>
      <c r="L140" s="13">
        <v>6572</v>
      </c>
      <c r="M140" s="13">
        <v>43</v>
      </c>
      <c r="N140" s="13">
        <v>0.65429999999999999</v>
      </c>
      <c r="O140" s="13">
        <v>10.59</v>
      </c>
      <c r="P140" s="13">
        <v>0.25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x14ac:dyDescent="0.2">
      <c r="A141" s="14">
        <v>43683</v>
      </c>
      <c r="B141" s="13" t="s">
        <v>21</v>
      </c>
      <c r="C141" s="13" t="s">
        <v>81</v>
      </c>
      <c r="D141" s="13" t="s">
        <v>22</v>
      </c>
      <c r="E141" s="13" t="s">
        <v>23</v>
      </c>
      <c r="F141" s="13" t="s">
        <v>24</v>
      </c>
      <c r="G141" s="13" t="s">
        <v>25</v>
      </c>
      <c r="H141" s="14">
        <v>43428</v>
      </c>
      <c r="I141" s="13"/>
      <c r="J141" s="13"/>
      <c r="K141" s="13">
        <v>10</v>
      </c>
      <c r="L141" s="13">
        <v>1428</v>
      </c>
      <c r="M141" s="13">
        <v>7</v>
      </c>
      <c r="N141" s="13">
        <v>0.49020000000000002</v>
      </c>
      <c r="O141" s="13">
        <v>4.55</v>
      </c>
      <c r="P141" s="13">
        <v>0.65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</row>
    <row r="142" spans="1:23" x14ac:dyDescent="0.2">
      <c r="A142" s="14">
        <v>43683</v>
      </c>
      <c r="B142" s="13" t="s">
        <v>21</v>
      </c>
      <c r="C142" s="13" t="s">
        <v>82</v>
      </c>
      <c r="D142" s="13" t="s">
        <v>22</v>
      </c>
      <c r="E142" s="13" t="s">
        <v>23</v>
      </c>
      <c r="F142" s="13" t="s">
        <v>26</v>
      </c>
      <c r="G142" s="13" t="s">
        <v>25</v>
      </c>
      <c r="H142" s="14">
        <v>43387</v>
      </c>
      <c r="I142" s="13"/>
      <c r="J142" s="13"/>
      <c r="K142" s="13">
        <v>5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</row>
    <row r="143" spans="1:23" x14ac:dyDescent="0.2">
      <c r="A143" s="14">
        <v>43683</v>
      </c>
      <c r="B143" s="13" t="s">
        <v>21</v>
      </c>
      <c r="C143" s="13" t="s">
        <v>28</v>
      </c>
      <c r="D143" s="13" t="s">
        <v>22</v>
      </c>
      <c r="E143" s="13" t="s">
        <v>23</v>
      </c>
      <c r="F143" s="13" t="s">
        <v>24</v>
      </c>
      <c r="G143" s="13" t="s">
        <v>25</v>
      </c>
      <c r="H143" s="14">
        <v>43663</v>
      </c>
      <c r="I143" s="13"/>
      <c r="J143" s="13"/>
      <c r="K143" s="13">
        <v>10</v>
      </c>
      <c r="L143" s="13">
        <v>1160</v>
      </c>
      <c r="M143" s="13">
        <v>5</v>
      </c>
      <c r="N143" s="13">
        <v>0.43099999999999999</v>
      </c>
      <c r="O143" s="13">
        <v>3.25</v>
      </c>
      <c r="P143" s="13">
        <v>0.65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</row>
    <row r="144" spans="1:23" x14ac:dyDescent="0.2">
      <c r="A144" s="14">
        <v>43683</v>
      </c>
      <c r="B144" s="13" t="s">
        <v>21</v>
      </c>
      <c r="C144" s="13" t="s">
        <v>29</v>
      </c>
      <c r="D144" s="13" t="s">
        <v>22</v>
      </c>
      <c r="E144" s="13" t="s">
        <v>23</v>
      </c>
      <c r="F144" s="13" t="s">
        <v>26</v>
      </c>
      <c r="G144" s="13" t="s">
        <v>25</v>
      </c>
      <c r="H144" s="14">
        <v>43423</v>
      </c>
      <c r="I144" s="13"/>
      <c r="J144" s="13"/>
      <c r="K144" s="13">
        <v>3</v>
      </c>
      <c r="L144" s="13">
        <v>252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</row>
    <row r="145" spans="1:23" x14ac:dyDescent="0.2">
      <c r="A145" s="14">
        <v>43683</v>
      </c>
      <c r="B145" s="13" t="s">
        <v>21</v>
      </c>
      <c r="C145" s="13" t="s">
        <v>30</v>
      </c>
      <c r="D145" s="13" t="s">
        <v>22</v>
      </c>
      <c r="E145" s="13" t="s">
        <v>23</v>
      </c>
      <c r="F145" s="13" t="s">
        <v>24</v>
      </c>
      <c r="G145" s="13" t="s">
        <v>25</v>
      </c>
      <c r="H145" s="14">
        <v>43678</v>
      </c>
      <c r="I145" s="13"/>
      <c r="J145" s="13"/>
      <c r="K145" s="13">
        <v>5</v>
      </c>
      <c r="L145" s="13">
        <v>420</v>
      </c>
      <c r="M145" s="13">
        <v>4</v>
      </c>
      <c r="N145" s="13">
        <v>0.95240000000000002</v>
      </c>
      <c r="O145" s="13">
        <v>6.71</v>
      </c>
      <c r="P145" s="13">
        <v>1.68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</row>
    <row r="146" spans="1:23" x14ac:dyDescent="0.2">
      <c r="A146" s="14">
        <v>43683</v>
      </c>
      <c r="B146" s="13" t="s">
        <v>21</v>
      </c>
      <c r="C146" s="13" t="s">
        <v>85</v>
      </c>
      <c r="D146" s="13" t="s">
        <v>22</v>
      </c>
      <c r="E146" s="13" t="s">
        <v>23</v>
      </c>
      <c r="F146" s="13" t="s">
        <v>26</v>
      </c>
      <c r="G146" s="13" t="s">
        <v>25</v>
      </c>
      <c r="H146" s="14">
        <v>43387</v>
      </c>
      <c r="I146" s="13"/>
      <c r="J146" s="13"/>
      <c r="K146" s="13">
        <v>5</v>
      </c>
      <c r="L146" s="13">
        <v>4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</row>
    <row r="147" spans="1:23" x14ac:dyDescent="0.2">
      <c r="A147" s="14">
        <v>43683</v>
      </c>
      <c r="B147" s="13" t="s">
        <v>21</v>
      </c>
      <c r="C147" s="13" t="s">
        <v>75</v>
      </c>
      <c r="D147" s="13" t="s">
        <v>22</v>
      </c>
      <c r="E147" s="13" t="s">
        <v>23</v>
      </c>
      <c r="F147" s="13" t="s">
        <v>24</v>
      </c>
      <c r="G147" s="13" t="s">
        <v>25</v>
      </c>
      <c r="H147" s="14">
        <v>43454</v>
      </c>
      <c r="I147" s="13"/>
      <c r="J147" s="13"/>
      <c r="K147" s="13">
        <v>5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</row>
    <row r="148" spans="1:23" x14ac:dyDescent="0.2">
      <c r="A148" s="14">
        <v>43683</v>
      </c>
      <c r="B148" s="13" t="s">
        <v>21</v>
      </c>
      <c r="C148" s="13" t="s">
        <v>31</v>
      </c>
      <c r="D148" s="13" t="s">
        <v>22</v>
      </c>
      <c r="E148" s="13" t="s">
        <v>23</v>
      </c>
      <c r="F148" s="13" t="s">
        <v>26</v>
      </c>
      <c r="G148" s="13" t="s">
        <v>25</v>
      </c>
      <c r="H148" s="14">
        <v>43615</v>
      </c>
      <c r="I148" s="13"/>
      <c r="J148" s="13"/>
      <c r="K148" s="13">
        <v>30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</row>
    <row r="149" spans="1:23" x14ac:dyDescent="0.2">
      <c r="A149" s="14">
        <v>43683</v>
      </c>
      <c r="B149" s="13" t="s">
        <v>21</v>
      </c>
      <c r="C149" s="13" t="s">
        <v>91</v>
      </c>
      <c r="D149" s="13" t="s">
        <v>22</v>
      </c>
      <c r="E149" s="13" t="s">
        <v>23</v>
      </c>
      <c r="F149" s="13" t="s">
        <v>24</v>
      </c>
      <c r="G149" s="13" t="s">
        <v>25</v>
      </c>
      <c r="H149" s="14">
        <v>43439</v>
      </c>
      <c r="I149" s="13"/>
      <c r="J149" s="13"/>
      <c r="K149" s="13">
        <v>2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</row>
    <row r="150" spans="1:23" x14ac:dyDescent="0.2">
      <c r="A150" s="14">
        <v>43683</v>
      </c>
      <c r="B150" s="13" t="s">
        <v>21</v>
      </c>
      <c r="C150" s="13" t="s">
        <v>87</v>
      </c>
      <c r="D150" s="13" t="s">
        <v>22</v>
      </c>
      <c r="E150" s="13" t="s">
        <v>23</v>
      </c>
      <c r="F150" s="13" t="s">
        <v>24</v>
      </c>
      <c r="G150" s="13" t="s">
        <v>25</v>
      </c>
      <c r="H150" s="14">
        <v>43657</v>
      </c>
      <c r="I150" s="13"/>
      <c r="J150" s="13"/>
      <c r="K150" s="13">
        <v>10</v>
      </c>
      <c r="L150" s="13">
        <v>221</v>
      </c>
      <c r="M150" s="13">
        <v>1</v>
      </c>
      <c r="N150" s="13">
        <v>0.45250000000000001</v>
      </c>
      <c r="O150" s="13">
        <v>0.16</v>
      </c>
      <c r="P150" s="13">
        <v>0.16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</row>
    <row r="151" spans="1:23" x14ac:dyDescent="0.2">
      <c r="A151" s="14">
        <v>43683</v>
      </c>
      <c r="B151" s="13" t="s">
        <v>21</v>
      </c>
      <c r="C151" s="13" t="s">
        <v>88</v>
      </c>
      <c r="D151" s="13" t="s">
        <v>22</v>
      </c>
      <c r="E151" s="13" t="s">
        <v>23</v>
      </c>
      <c r="F151" s="13" t="s">
        <v>26</v>
      </c>
      <c r="G151" s="13" t="s">
        <v>25</v>
      </c>
      <c r="H151" s="14">
        <v>43690</v>
      </c>
      <c r="I151" s="13"/>
      <c r="J151" s="13"/>
      <c r="K151" s="13">
        <v>15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</row>
    <row r="152" spans="1:23" x14ac:dyDescent="0.2">
      <c r="A152" s="14">
        <v>43683</v>
      </c>
      <c r="B152" s="13" t="s">
        <v>21</v>
      </c>
      <c r="C152" s="13" t="s">
        <v>90</v>
      </c>
      <c r="D152" s="13" t="s">
        <v>22</v>
      </c>
      <c r="E152" s="13" t="s">
        <v>23</v>
      </c>
      <c r="F152" s="13" t="s">
        <v>24</v>
      </c>
      <c r="G152" s="13" t="s">
        <v>25</v>
      </c>
      <c r="H152" s="14">
        <v>43454</v>
      </c>
      <c r="I152" s="13"/>
      <c r="J152" s="13"/>
      <c r="K152" s="13">
        <v>20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</row>
    <row r="153" spans="1:23" x14ac:dyDescent="0.2">
      <c r="A153" s="14">
        <v>43683</v>
      </c>
      <c r="B153" s="13" t="s">
        <v>21</v>
      </c>
      <c r="C153" s="13" t="s">
        <v>89</v>
      </c>
      <c r="D153" s="13" t="s">
        <v>22</v>
      </c>
      <c r="E153" s="13" t="s">
        <v>23</v>
      </c>
      <c r="F153" s="13" t="s">
        <v>26</v>
      </c>
      <c r="G153" s="13" t="s">
        <v>25</v>
      </c>
      <c r="H153" s="14">
        <v>43387</v>
      </c>
      <c r="I153" s="13"/>
      <c r="J153" s="13"/>
      <c r="K153" s="13">
        <v>15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</row>
    <row r="154" spans="1:23" x14ac:dyDescent="0.2">
      <c r="A154" s="14">
        <v>43683</v>
      </c>
      <c r="B154" s="13" t="s">
        <v>21</v>
      </c>
      <c r="C154" s="13" t="s">
        <v>84</v>
      </c>
      <c r="D154" s="13" t="s">
        <v>22</v>
      </c>
      <c r="E154" s="13" t="s">
        <v>23</v>
      </c>
      <c r="F154" s="13" t="s">
        <v>26</v>
      </c>
      <c r="G154" s="13" t="s">
        <v>25</v>
      </c>
      <c r="H154" s="14">
        <v>43387</v>
      </c>
      <c r="I154" s="13"/>
      <c r="J154" s="13"/>
      <c r="K154" s="13">
        <v>10</v>
      </c>
      <c r="L154" s="13">
        <v>270</v>
      </c>
      <c r="M154" s="13">
        <v>1</v>
      </c>
      <c r="N154" s="13">
        <v>0.37040000000000001</v>
      </c>
      <c r="O154" s="13">
        <v>0.4</v>
      </c>
      <c r="P154" s="13">
        <v>0.4</v>
      </c>
      <c r="Q154" s="13">
        <v>1</v>
      </c>
      <c r="R154" s="13">
        <v>12.87</v>
      </c>
      <c r="S154" s="13">
        <v>3.1080000000000001</v>
      </c>
      <c r="T154" s="13">
        <v>0</v>
      </c>
      <c r="U154" s="13">
        <v>0</v>
      </c>
      <c r="V154" s="13">
        <v>0</v>
      </c>
      <c r="W154" s="13">
        <v>0</v>
      </c>
    </row>
    <row r="155" spans="1:23" x14ac:dyDescent="0.2">
      <c r="A155" s="14">
        <v>43683</v>
      </c>
      <c r="B155" s="13" t="s">
        <v>21</v>
      </c>
      <c r="C155" s="13" t="s">
        <v>86</v>
      </c>
      <c r="D155" s="13" t="s">
        <v>22</v>
      </c>
      <c r="E155" s="13" t="s">
        <v>23</v>
      </c>
      <c r="F155" s="13" t="s">
        <v>26</v>
      </c>
      <c r="G155" s="13" t="s">
        <v>25</v>
      </c>
      <c r="H155" s="14">
        <v>43647</v>
      </c>
      <c r="I155" s="13"/>
      <c r="J155" s="13"/>
      <c r="K155" s="13">
        <v>10</v>
      </c>
      <c r="L155" s="13">
        <v>6115</v>
      </c>
      <c r="M155" s="13">
        <v>6</v>
      </c>
      <c r="N155" s="13">
        <v>9.8100000000000007E-2</v>
      </c>
      <c r="O155" s="13">
        <v>2.59</v>
      </c>
      <c r="P155" s="13">
        <v>0.43</v>
      </c>
      <c r="Q155" s="13">
        <v>2</v>
      </c>
      <c r="R155" s="13">
        <v>23.98</v>
      </c>
      <c r="S155" s="13">
        <v>10.800700000000001</v>
      </c>
      <c r="T155" s="13">
        <v>0</v>
      </c>
      <c r="U155" s="13">
        <v>0</v>
      </c>
      <c r="V155" s="13">
        <v>0</v>
      </c>
      <c r="W155" s="13">
        <v>0</v>
      </c>
    </row>
    <row r="156" spans="1:23" x14ac:dyDescent="0.2">
      <c r="A156" s="14">
        <v>43683</v>
      </c>
      <c r="B156" s="13" t="s">
        <v>21</v>
      </c>
      <c r="C156" s="13" t="s">
        <v>83</v>
      </c>
      <c r="D156" s="13" t="s">
        <v>22</v>
      </c>
      <c r="E156" s="13" t="s">
        <v>23</v>
      </c>
      <c r="F156" s="13" t="s">
        <v>26</v>
      </c>
      <c r="G156" s="13" t="s">
        <v>25</v>
      </c>
      <c r="H156" s="14">
        <v>43388</v>
      </c>
      <c r="I156" s="13"/>
      <c r="J156" s="13"/>
      <c r="K156" s="13">
        <v>5</v>
      </c>
      <c r="L156" s="13">
        <v>8054</v>
      </c>
      <c r="M156" s="13">
        <v>10</v>
      </c>
      <c r="N156" s="13">
        <v>0.1242</v>
      </c>
      <c r="O156" s="13">
        <v>3.85</v>
      </c>
      <c r="P156" s="13">
        <v>0.38</v>
      </c>
      <c r="Q156" s="13">
        <v>1</v>
      </c>
      <c r="R156" s="13">
        <v>23.99</v>
      </c>
      <c r="S156" s="13">
        <v>16.048400000000001</v>
      </c>
      <c r="T156" s="13">
        <v>0</v>
      </c>
      <c r="U156" s="13">
        <v>0</v>
      </c>
      <c r="V156" s="13">
        <v>0</v>
      </c>
      <c r="W156" s="13">
        <v>0</v>
      </c>
    </row>
    <row r="157" spans="1:23" x14ac:dyDescent="0.2">
      <c r="A157" s="14">
        <v>43683</v>
      </c>
      <c r="B157" s="13" t="s">
        <v>21</v>
      </c>
      <c r="C157" s="13" t="s">
        <v>72</v>
      </c>
      <c r="D157" s="13" t="s">
        <v>22</v>
      </c>
      <c r="E157" s="13" t="s">
        <v>23</v>
      </c>
      <c r="F157" s="13" t="s">
        <v>24</v>
      </c>
      <c r="G157" s="13" t="s">
        <v>25</v>
      </c>
      <c r="H157" s="14">
        <v>43412</v>
      </c>
      <c r="I157" s="13"/>
      <c r="J157" s="13"/>
      <c r="K157" s="13">
        <v>10</v>
      </c>
      <c r="L157" s="13">
        <v>6678</v>
      </c>
      <c r="M157" s="13">
        <v>63</v>
      </c>
      <c r="N157" s="13">
        <v>0.94340000000000002</v>
      </c>
      <c r="O157" s="13">
        <v>18.84</v>
      </c>
      <c r="P157" s="13">
        <v>0.3</v>
      </c>
      <c r="Q157" s="13">
        <v>1</v>
      </c>
      <c r="R157" s="13">
        <v>53.97</v>
      </c>
      <c r="S157" s="13">
        <v>34.908299999999997</v>
      </c>
      <c r="T157" s="13">
        <v>0</v>
      </c>
      <c r="U157" s="13">
        <v>0</v>
      </c>
      <c r="V157" s="13">
        <v>0</v>
      </c>
      <c r="W157" s="13">
        <v>0</v>
      </c>
    </row>
    <row r="158" spans="1:23" x14ac:dyDescent="0.2">
      <c r="A158" s="14">
        <v>43684</v>
      </c>
      <c r="B158" s="13" t="s">
        <v>21</v>
      </c>
      <c r="C158" s="13" t="s">
        <v>74</v>
      </c>
      <c r="D158" s="13" t="s">
        <v>22</v>
      </c>
      <c r="E158" s="13" t="s">
        <v>23</v>
      </c>
      <c r="F158" s="13" t="s">
        <v>24</v>
      </c>
      <c r="G158" s="13" t="s">
        <v>25</v>
      </c>
      <c r="H158" s="14">
        <v>43420</v>
      </c>
      <c r="I158" s="13"/>
      <c r="J158" s="13"/>
      <c r="K158" s="13">
        <v>5</v>
      </c>
      <c r="L158" s="13">
        <v>83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</row>
    <row r="159" spans="1:23" x14ac:dyDescent="0.2">
      <c r="A159" s="14">
        <v>43684</v>
      </c>
      <c r="B159" s="13" t="s">
        <v>21</v>
      </c>
      <c r="C159" s="13" t="s">
        <v>76</v>
      </c>
      <c r="D159" s="13" t="s">
        <v>22</v>
      </c>
      <c r="E159" s="13" t="s">
        <v>23</v>
      </c>
      <c r="F159" s="13" t="s">
        <v>24</v>
      </c>
      <c r="G159" s="13" t="s">
        <v>25</v>
      </c>
      <c r="H159" s="14">
        <v>43667</v>
      </c>
      <c r="I159" s="13"/>
      <c r="J159" s="13"/>
      <c r="K159" s="13">
        <v>10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</row>
    <row r="160" spans="1:23" x14ac:dyDescent="0.2">
      <c r="A160" s="14">
        <v>43684</v>
      </c>
      <c r="B160" s="13" t="s">
        <v>21</v>
      </c>
      <c r="C160" s="13" t="s">
        <v>77</v>
      </c>
      <c r="D160" s="13" t="s">
        <v>22</v>
      </c>
      <c r="E160" s="13" t="s">
        <v>23</v>
      </c>
      <c r="F160" s="13" t="s">
        <v>26</v>
      </c>
      <c r="G160" s="13" t="s">
        <v>25</v>
      </c>
      <c r="H160" s="14">
        <v>43388</v>
      </c>
      <c r="I160" s="13"/>
      <c r="J160" s="13"/>
      <c r="K160" s="13">
        <v>5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</row>
    <row r="161" spans="1:23" x14ac:dyDescent="0.2">
      <c r="A161" s="14">
        <v>43684</v>
      </c>
      <c r="B161" s="13" t="s">
        <v>21</v>
      </c>
      <c r="C161" s="13" t="s">
        <v>27</v>
      </c>
      <c r="D161" s="13" t="s">
        <v>22</v>
      </c>
      <c r="E161" s="13" t="s">
        <v>23</v>
      </c>
      <c r="F161" s="13" t="s">
        <v>24</v>
      </c>
      <c r="G161" s="13" t="s">
        <v>25</v>
      </c>
      <c r="H161" s="14">
        <v>43663</v>
      </c>
      <c r="I161" s="13"/>
      <c r="J161" s="13"/>
      <c r="K161" s="13">
        <v>10</v>
      </c>
      <c r="L161" s="13">
        <v>1104</v>
      </c>
      <c r="M161" s="13">
        <v>4</v>
      </c>
      <c r="N161" s="13">
        <v>0.36230000000000001</v>
      </c>
      <c r="O161" s="13">
        <v>2.12</v>
      </c>
      <c r="P161" s="13">
        <v>0.53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</row>
    <row r="162" spans="1:23" x14ac:dyDescent="0.2">
      <c r="A162" s="14">
        <v>43684</v>
      </c>
      <c r="B162" s="13" t="s">
        <v>21</v>
      </c>
      <c r="C162" s="13" t="s">
        <v>32</v>
      </c>
      <c r="D162" s="13" t="s">
        <v>33</v>
      </c>
      <c r="E162" s="13" t="s">
        <v>34</v>
      </c>
      <c r="F162" s="13" t="s">
        <v>24</v>
      </c>
      <c r="G162" s="13"/>
      <c r="H162" s="14">
        <v>43671</v>
      </c>
      <c r="I162" s="13"/>
      <c r="J162" s="13"/>
      <c r="K162" s="13">
        <v>2</v>
      </c>
      <c r="L162" s="13">
        <v>829</v>
      </c>
      <c r="M162" s="13">
        <v>6</v>
      </c>
      <c r="N162" s="13">
        <v>0.7238</v>
      </c>
      <c r="O162" s="13">
        <v>2.27</v>
      </c>
      <c r="P162" s="13">
        <v>0.38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</row>
    <row r="163" spans="1:23" x14ac:dyDescent="0.2">
      <c r="A163" s="14">
        <v>43684</v>
      </c>
      <c r="B163" s="13" t="s">
        <v>21</v>
      </c>
      <c r="C163" s="13" t="s">
        <v>78</v>
      </c>
      <c r="D163" s="13" t="s">
        <v>22</v>
      </c>
      <c r="E163" s="13" t="s">
        <v>23</v>
      </c>
      <c r="F163" s="13" t="s">
        <v>24</v>
      </c>
      <c r="G163" s="13" t="s">
        <v>25</v>
      </c>
      <c r="H163" s="14">
        <v>43688</v>
      </c>
      <c r="I163" s="13"/>
      <c r="J163" s="13"/>
      <c r="K163" s="13">
        <v>10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</row>
    <row r="164" spans="1:23" x14ac:dyDescent="0.2">
      <c r="A164" s="14">
        <v>43684</v>
      </c>
      <c r="B164" s="13" t="s">
        <v>21</v>
      </c>
      <c r="C164" s="13" t="s">
        <v>79</v>
      </c>
      <c r="D164" s="13" t="s">
        <v>22</v>
      </c>
      <c r="E164" s="13" t="s">
        <v>23</v>
      </c>
      <c r="F164" s="13" t="s">
        <v>26</v>
      </c>
      <c r="G164" s="13" t="s">
        <v>25</v>
      </c>
      <c r="H164" s="14">
        <v>43387</v>
      </c>
      <c r="I164" s="13"/>
      <c r="J164" s="13"/>
      <c r="K164" s="13">
        <v>10</v>
      </c>
      <c r="L164" s="13">
        <v>1067</v>
      </c>
      <c r="M164" s="13">
        <v>6</v>
      </c>
      <c r="N164" s="13">
        <v>0.56230000000000002</v>
      </c>
      <c r="O164" s="13">
        <v>0.21</v>
      </c>
      <c r="P164" s="13">
        <v>0.04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</row>
    <row r="165" spans="1:23" x14ac:dyDescent="0.2">
      <c r="A165" s="14">
        <v>43684</v>
      </c>
      <c r="B165" s="13" t="s">
        <v>21</v>
      </c>
      <c r="C165" s="13" t="s">
        <v>80</v>
      </c>
      <c r="D165" s="13" t="s">
        <v>22</v>
      </c>
      <c r="E165" s="13" t="s">
        <v>23</v>
      </c>
      <c r="F165" s="13" t="s">
        <v>26</v>
      </c>
      <c r="G165" s="13" t="s">
        <v>25</v>
      </c>
      <c r="H165" s="14">
        <v>43676</v>
      </c>
      <c r="I165" s="13"/>
      <c r="J165" s="13"/>
      <c r="K165" s="13">
        <v>10</v>
      </c>
      <c r="L165" s="13">
        <v>25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</row>
    <row r="166" spans="1:23" x14ac:dyDescent="0.2">
      <c r="A166" s="14">
        <v>43684</v>
      </c>
      <c r="B166" s="13" t="s">
        <v>21</v>
      </c>
      <c r="C166" s="13" t="s">
        <v>73</v>
      </c>
      <c r="D166" s="13" t="s">
        <v>22</v>
      </c>
      <c r="E166" s="13" t="s">
        <v>23</v>
      </c>
      <c r="F166" s="13" t="s">
        <v>24</v>
      </c>
      <c r="G166" s="13" t="s">
        <v>25</v>
      </c>
      <c r="H166" s="14">
        <v>43661</v>
      </c>
      <c r="I166" s="13"/>
      <c r="J166" s="13"/>
      <c r="K166" s="13">
        <v>10</v>
      </c>
      <c r="L166" s="13">
        <v>5810</v>
      </c>
      <c r="M166" s="13">
        <v>36</v>
      </c>
      <c r="N166" s="13">
        <v>0.61960000000000004</v>
      </c>
      <c r="O166" s="13">
        <v>9.86</v>
      </c>
      <c r="P166" s="13">
        <v>0.27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</row>
    <row r="167" spans="1:23" x14ac:dyDescent="0.2">
      <c r="A167" s="14">
        <v>43684</v>
      </c>
      <c r="B167" s="13" t="s">
        <v>21</v>
      </c>
      <c r="C167" s="13" t="s">
        <v>81</v>
      </c>
      <c r="D167" s="13" t="s">
        <v>22</v>
      </c>
      <c r="E167" s="13" t="s">
        <v>23</v>
      </c>
      <c r="F167" s="13" t="s">
        <v>24</v>
      </c>
      <c r="G167" s="13" t="s">
        <v>25</v>
      </c>
      <c r="H167" s="14">
        <v>43428</v>
      </c>
      <c r="I167" s="13"/>
      <c r="J167" s="13"/>
      <c r="K167" s="13">
        <v>10</v>
      </c>
      <c r="L167" s="13">
        <v>1242</v>
      </c>
      <c r="M167" s="13">
        <v>2</v>
      </c>
      <c r="N167" s="13">
        <v>0.161</v>
      </c>
      <c r="O167" s="13">
        <v>0.87</v>
      </c>
      <c r="P167" s="13">
        <v>0.44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</row>
    <row r="168" spans="1:23" x14ac:dyDescent="0.2">
      <c r="A168" s="14">
        <v>43684</v>
      </c>
      <c r="B168" s="13" t="s">
        <v>21</v>
      </c>
      <c r="C168" s="13" t="s">
        <v>82</v>
      </c>
      <c r="D168" s="13" t="s">
        <v>22</v>
      </c>
      <c r="E168" s="13" t="s">
        <v>23</v>
      </c>
      <c r="F168" s="13" t="s">
        <v>26</v>
      </c>
      <c r="G168" s="13" t="s">
        <v>25</v>
      </c>
      <c r="H168" s="14">
        <v>43387</v>
      </c>
      <c r="I168" s="13"/>
      <c r="J168" s="13"/>
      <c r="K168" s="13">
        <v>5</v>
      </c>
      <c r="L168" s="13">
        <v>4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</row>
    <row r="169" spans="1:23" x14ac:dyDescent="0.2">
      <c r="A169" s="14">
        <v>43684</v>
      </c>
      <c r="B169" s="13" t="s">
        <v>21</v>
      </c>
      <c r="C169" s="13" t="s">
        <v>28</v>
      </c>
      <c r="D169" s="13" t="s">
        <v>22</v>
      </c>
      <c r="E169" s="13" t="s">
        <v>23</v>
      </c>
      <c r="F169" s="13" t="s">
        <v>24</v>
      </c>
      <c r="G169" s="13" t="s">
        <v>25</v>
      </c>
      <c r="H169" s="14">
        <v>43663</v>
      </c>
      <c r="I169" s="13"/>
      <c r="J169" s="13"/>
      <c r="K169" s="13">
        <v>10</v>
      </c>
      <c r="L169" s="13">
        <v>1012</v>
      </c>
      <c r="M169" s="13">
        <v>3</v>
      </c>
      <c r="N169" s="13">
        <v>0.2964</v>
      </c>
      <c r="O169" s="13">
        <v>1.95</v>
      </c>
      <c r="P169" s="13">
        <v>0.65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</row>
    <row r="170" spans="1:23" x14ac:dyDescent="0.2">
      <c r="A170" s="14">
        <v>43684</v>
      </c>
      <c r="B170" s="13" t="s">
        <v>21</v>
      </c>
      <c r="C170" s="13" t="s">
        <v>83</v>
      </c>
      <c r="D170" s="13" t="s">
        <v>22</v>
      </c>
      <c r="E170" s="13" t="s">
        <v>23</v>
      </c>
      <c r="F170" s="13" t="s">
        <v>26</v>
      </c>
      <c r="G170" s="13" t="s">
        <v>25</v>
      </c>
      <c r="H170" s="14">
        <v>43388</v>
      </c>
      <c r="I170" s="13"/>
      <c r="J170" s="13"/>
      <c r="K170" s="13">
        <v>5</v>
      </c>
      <c r="L170" s="13">
        <v>11591</v>
      </c>
      <c r="M170" s="13">
        <v>7</v>
      </c>
      <c r="N170" s="13">
        <v>6.0400000000000002E-2</v>
      </c>
      <c r="O170" s="13">
        <v>4.71</v>
      </c>
      <c r="P170" s="13">
        <v>0.67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</row>
    <row r="171" spans="1:23" x14ac:dyDescent="0.2">
      <c r="A171" s="14">
        <v>43684</v>
      </c>
      <c r="B171" s="13" t="s">
        <v>21</v>
      </c>
      <c r="C171" s="13" t="s">
        <v>29</v>
      </c>
      <c r="D171" s="13" t="s">
        <v>22</v>
      </c>
      <c r="E171" s="13" t="s">
        <v>23</v>
      </c>
      <c r="F171" s="13" t="s">
        <v>26</v>
      </c>
      <c r="G171" s="13" t="s">
        <v>25</v>
      </c>
      <c r="H171" s="14">
        <v>43423</v>
      </c>
      <c r="I171" s="13"/>
      <c r="J171" s="13"/>
      <c r="K171" s="13">
        <v>3</v>
      </c>
      <c r="L171" s="13">
        <v>278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</row>
    <row r="172" spans="1:23" x14ac:dyDescent="0.2">
      <c r="A172" s="14">
        <v>43684</v>
      </c>
      <c r="B172" s="13" t="s">
        <v>21</v>
      </c>
      <c r="C172" s="13" t="s">
        <v>30</v>
      </c>
      <c r="D172" s="13" t="s">
        <v>22</v>
      </c>
      <c r="E172" s="13" t="s">
        <v>23</v>
      </c>
      <c r="F172" s="13" t="s">
        <v>24</v>
      </c>
      <c r="G172" s="13" t="s">
        <v>25</v>
      </c>
      <c r="H172" s="14">
        <v>43678</v>
      </c>
      <c r="I172" s="13"/>
      <c r="J172" s="13"/>
      <c r="K172" s="13">
        <v>5</v>
      </c>
      <c r="L172" s="13">
        <v>251</v>
      </c>
      <c r="M172" s="13">
        <v>3</v>
      </c>
      <c r="N172" s="13">
        <v>1.1952</v>
      </c>
      <c r="O172" s="13">
        <v>1.62</v>
      </c>
      <c r="P172" s="13">
        <v>0.54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</row>
    <row r="173" spans="1:23" x14ac:dyDescent="0.2">
      <c r="A173" s="14">
        <v>43684</v>
      </c>
      <c r="B173" s="13" t="s">
        <v>21</v>
      </c>
      <c r="C173" s="13" t="s">
        <v>85</v>
      </c>
      <c r="D173" s="13" t="s">
        <v>22</v>
      </c>
      <c r="E173" s="13" t="s">
        <v>23</v>
      </c>
      <c r="F173" s="13" t="s">
        <v>26</v>
      </c>
      <c r="G173" s="13" t="s">
        <v>25</v>
      </c>
      <c r="H173" s="14">
        <v>43387</v>
      </c>
      <c r="I173" s="13"/>
      <c r="J173" s="13"/>
      <c r="K173" s="13">
        <v>5</v>
      </c>
      <c r="L173" s="13">
        <v>9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</row>
    <row r="174" spans="1:23" x14ac:dyDescent="0.2">
      <c r="A174" s="14">
        <v>43684</v>
      </c>
      <c r="B174" s="13" t="s">
        <v>21</v>
      </c>
      <c r="C174" s="13" t="s">
        <v>84</v>
      </c>
      <c r="D174" s="13" t="s">
        <v>22</v>
      </c>
      <c r="E174" s="13" t="s">
        <v>23</v>
      </c>
      <c r="F174" s="13" t="s">
        <v>26</v>
      </c>
      <c r="G174" s="13" t="s">
        <v>25</v>
      </c>
      <c r="H174" s="14">
        <v>43387</v>
      </c>
      <c r="I174" s="13"/>
      <c r="J174" s="13"/>
      <c r="K174" s="13">
        <v>10</v>
      </c>
      <c r="L174" s="13">
        <v>430</v>
      </c>
      <c r="M174" s="13">
        <v>1</v>
      </c>
      <c r="N174" s="13">
        <v>0.2326</v>
      </c>
      <c r="O174" s="13">
        <v>0.43</v>
      </c>
      <c r="P174" s="13">
        <v>0.43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</row>
    <row r="175" spans="1:23" x14ac:dyDescent="0.2">
      <c r="A175" s="14">
        <v>43684</v>
      </c>
      <c r="B175" s="13" t="s">
        <v>21</v>
      </c>
      <c r="C175" s="13" t="s">
        <v>75</v>
      </c>
      <c r="D175" s="13" t="s">
        <v>22</v>
      </c>
      <c r="E175" s="13" t="s">
        <v>23</v>
      </c>
      <c r="F175" s="13" t="s">
        <v>24</v>
      </c>
      <c r="G175" s="13" t="s">
        <v>25</v>
      </c>
      <c r="H175" s="14">
        <v>43454</v>
      </c>
      <c r="I175" s="13"/>
      <c r="J175" s="13"/>
      <c r="K175" s="13">
        <v>5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</row>
    <row r="176" spans="1:23" x14ac:dyDescent="0.2">
      <c r="A176" s="14">
        <v>43684</v>
      </c>
      <c r="B176" s="13" t="s">
        <v>21</v>
      </c>
      <c r="C176" s="13" t="s">
        <v>31</v>
      </c>
      <c r="D176" s="13" t="s">
        <v>22</v>
      </c>
      <c r="E176" s="13" t="s">
        <v>23</v>
      </c>
      <c r="F176" s="13" t="s">
        <v>26</v>
      </c>
      <c r="G176" s="13" t="s">
        <v>25</v>
      </c>
      <c r="H176" s="14">
        <v>43615</v>
      </c>
      <c r="I176" s="13"/>
      <c r="J176" s="13"/>
      <c r="K176" s="13">
        <v>30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</row>
    <row r="177" spans="1:23" x14ac:dyDescent="0.2">
      <c r="A177" s="14">
        <v>43684</v>
      </c>
      <c r="B177" s="13" t="s">
        <v>21</v>
      </c>
      <c r="C177" s="13" t="s">
        <v>91</v>
      </c>
      <c r="D177" s="13" t="s">
        <v>22</v>
      </c>
      <c r="E177" s="13" t="s">
        <v>23</v>
      </c>
      <c r="F177" s="13" t="s">
        <v>24</v>
      </c>
      <c r="G177" s="13" t="s">
        <v>25</v>
      </c>
      <c r="H177" s="14">
        <v>43439</v>
      </c>
      <c r="I177" s="13"/>
      <c r="J177" s="13"/>
      <c r="K177" s="13">
        <v>2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</row>
    <row r="178" spans="1:23" x14ac:dyDescent="0.2">
      <c r="A178" s="14">
        <v>43684</v>
      </c>
      <c r="B178" s="13" t="s">
        <v>21</v>
      </c>
      <c r="C178" s="13" t="s">
        <v>87</v>
      </c>
      <c r="D178" s="13" t="s">
        <v>22</v>
      </c>
      <c r="E178" s="13" t="s">
        <v>23</v>
      </c>
      <c r="F178" s="13" t="s">
        <v>24</v>
      </c>
      <c r="G178" s="13" t="s">
        <v>25</v>
      </c>
      <c r="H178" s="14">
        <v>43657</v>
      </c>
      <c r="I178" s="13"/>
      <c r="J178" s="13"/>
      <c r="K178" s="13">
        <v>10</v>
      </c>
      <c r="L178" s="13">
        <v>347</v>
      </c>
      <c r="M178" s="13">
        <v>1</v>
      </c>
      <c r="N178" s="13">
        <v>0.28820000000000001</v>
      </c>
      <c r="O178" s="13">
        <v>0.41</v>
      </c>
      <c r="P178" s="13">
        <v>0.41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</row>
    <row r="179" spans="1:23" x14ac:dyDescent="0.2">
      <c r="A179" s="14">
        <v>43684</v>
      </c>
      <c r="B179" s="13" t="s">
        <v>21</v>
      </c>
      <c r="C179" s="13" t="s">
        <v>88</v>
      </c>
      <c r="D179" s="13" t="s">
        <v>22</v>
      </c>
      <c r="E179" s="13" t="s">
        <v>23</v>
      </c>
      <c r="F179" s="13" t="s">
        <v>26</v>
      </c>
      <c r="G179" s="13" t="s">
        <v>25</v>
      </c>
      <c r="H179" s="14">
        <v>43690</v>
      </c>
      <c r="I179" s="13"/>
      <c r="J179" s="13"/>
      <c r="K179" s="13">
        <v>15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</row>
    <row r="180" spans="1:23" x14ac:dyDescent="0.2">
      <c r="A180" s="14">
        <v>43684</v>
      </c>
      <c r="B180" s="13" t="s">
        <v>21</v>
      </c>
      <c r="C180" s="13" t="s">
        <v>90</v>
      </c>
      <c r="D180" s="13" t="s">
        <v>22</v>
      </c>
      <c r="E180" s="13" t="s">
        <v>23</v>
      </c>
      <c r="F180" s="13" t="s">
        <v>24</v>
      </c>
      <c r="G180" s="13" t="s">
        <v>25</v>
      </c>
      <c r="H180" s="14">
        <v>43454</v>
      </c>
      <c r="I180" s="13"/>
      <c r="J180" s="13"/>
      <c r="K180" s="13">
        <v>20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</row>
    <row r="181" spans="1:23" x14ac:dyDescent="0.2">
      <c r="A181" s="14">
        <v>43684</v>
      </c>
      <c r="B181" s="13" t="s">
        <v>21</v>
      </c>
      <c r="C181" s="13" t="s">
        <v>89</v>
      </c>
      <c r="D181" s="13" t="s">
        <v>22</v>
      </c>
      <c r="E181" s="13" t="s">
        <v>23</v>
      </c>
      <c r="F181" s="13" t="s">
        <v>26</v>
      </c>
      <c r="G181" s="13" t="s">
        <v>25</v>
      </c>
      <c r="H181" s="14">
        <v>43387</v>
      </c>
      <c r="I181" s="13"/>
      <c r="J181" s="13"/>
      <c r="K181" s="13">
        <v>15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</row>
    <row r="182" spans="1:23" x14ac:dyDescent="0.2">
      <c r="A182" s="14">
        <v>43684</v>
      </c>
      <c r="B182" s="13" t="s">
        <v>21</v>
      </c>
      <c r="C182" s="13" t="s">
        <v>72</v>
      </c>
      <c r="D182" s="13" t="s">
        <v>22</v>
      </c>
      <c r="E182" s="13" t="s">
        <v>23</v>
      </c>
      <c r="F182" s="13" t="s">
        <v>24</v>
      </c>
      <c r="G182" s="13" t="s">
        <v>25</v>
      </c>
      <c r="H182" s="14">
        <v>43412</v>
      </c>
      <c r="I182" s="13"/>
      <c r="J182" s="13"/>
      <c r="K182" s="13">
        <v>10</v>
      </c>
      <c r="L182" s="13">
        <v>6038</v>
      </c>
      <c r="M182" s="13">
        <v>46</v>
      </c>
      <c r="N182" s="13">
        <v>0.76180000000000003</v>
      </c>
      <c r="O182" s="13">
        <v>13.98</v>
      </c>
      <c r="P182" s="13">
        <v>0.3</v>
      </c>
      <c r="Q182" s="13">
        <v>2</v>
      </c>
      <c r="R182" s="13">
        <v>107.94</v>
      </c>
      <c r="S182" s="13">
        <v>12.951599999999999</v>
      </c>
      <c r="T182" s="13">
        <v>0</v>
      </c>
      <c r="U182" s="13">
        <v>0</v>
      </c>
      <c r="V182" s="13">
        <v>0</v>
      </c>
      <c r="W182" s="13">
        <v>0</v>
      </c>
    </row>
    <row r="183" spans="1:23" x14ac:dyDescent="0.2">
      <c r="A183" s="14">
        <v>43684</v>
      </c>
      <c r="B183" s="13" t="s">
        <v>21</v>
      </c>
      <c r="C183" s="13" t="s">
        <v>86</v>
      </c>
      <c r="D183" s="13" t="s">
        <v>22</v>
      </c>
      <c r="E183" s="13" t="s">
        <v>23</v>
      </c>
      <c r="F183" s="13" t="s">
        <v>26</v>
      </c>
      <c r="G183" s="13" t="s">
        <v>25</v>
      </c>
      <c r="H183" s="14">
        <v>43647</v>
      </c>
      <c r="I183" s="13"/>
      <c r="J183" s="13"/>
      <c r="K183" s="13">
        <v>10</v>
      </c>
      <c r="L183" s="13">
        <v>660</v>
      </c>
      <c r="M183" s="13">
        <v>7</v>
      </c>
      <c r="N183" s="13">
        <v>1.0606</v>
      </c>
      <c r="O183" s="13">
        <v>4.3600000000000003</v>
      </c>
      <c r="P183" s="13">
        <v>0.62</v>
      </c>
      <c r="Q183" s="13">
        <v>1</v>
      </c>
      <c r="R183" s="13">
        <v>11.99</v>
      </c>
      <c r="S183" s="13">
        <v>36.363599999999998</v>
      </c>
      <c r="T183" s="13">
        <v>0</v>
      </c>
      <c r="U183" s="13">
        <v>0</v>
      </c>
      <c r="V183" s="13">
        <v>0</v>
      </c>
      <c r="W183" s="13">
        <v>0</v>
      </c>
    </row>
    <row r="184" spans="1:23" x14ac:dyDescent="0.2">
      <c r="A184" s="14">
        <v>43685</v>
      </c>
      <c r="B184" s="13" t="s">
        <v>21</v>
      </c>
      <c r="C184" s="13" t="s">
        <v>74</v>
      </c>
      <c r="D184" s="13" t="s">
        <v>22</v>
      </c>
      <c r="E184" s="13" t="s">
        <v>23</v>
      </c>
      <c r="F184" s="13" t="s">
        <v>24</v>
      </c>
      <c r="G184" s="13" t="s">
        <v>25</v>
      </c>
      <c r="H184" s="14">
        <v>43420</v>
      </c>
      <c r="I184" s="13"/>
      <c r="J184" s="13"/>
      <c r="K184" s="13">
        <v>5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</row>
    <row r="185" spans="1:23" x14ac:dyDescent="0.2">
      <c r="A185" s="14">
        <v>43685</v>
      </c>
      <c r="B185" s="13" t="s">
        <v>21</v>
      </c>
      <c r="C185" s="13" t="s">
        <v>76</v>
      </c>
      <c r="D185" s="13" t="s">
        <v>22</v>
      </c>
      <c r="E185" s="13" t="s">
        <v>23</v>
      </c>
      <c r="F185" s="13" t="s">
        <v>24</v>
      </c>
      <c r="G185" s="13" t="s">
        <v>25</v>
      </c>
      <c r="H185" s="14">
        <v>43667</v>
      </c>
      <c r="I185" s="13"/>
      <c r="J185" s="13"/>
      <c r="K185" s="13">
        <v>10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</row>
    <row r="186" spans="1:23" x14ac:dyDescent="0.2">
      <c r="A186" s="14">
        <v>43685</v>
      </c>
      <c r="B186" s="13" t="s">
        <v>21</v>
      </c>
      <c r="C186" s="13" t="s">
        <v>77</v>
      </c>
      <c r="D186" s="13" t="s">
        <v>22</v>
      </c>
      <c r="E186" s="13" t="s">
        <v>23</v>
      </c>
      <c r="F186" s="13" t="s">
        <v>26</v>
      </c>
      <c r="G186" s="13" t="s">
        <v>25</v>
      </c>
      <c r="H186" s="14">
        <v>43388</v>
      </c>
      <c r="I186" s="13"/>
      <c r="J186" s="13"/>
      <c r="K186" s="13">
        <v>5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</row>
    <row r="187" spans="1:23" x14ac:dyDescent="0.2">
      <c r="A187" s="14">
        <v>43685</v>
      </c>
      <c r="B187" s="13" t="s">
        <v>21</v>
      </c>
      <c r="C187" s="13" t="s">
        <v>27</v>
      </c>
      <c r="D187" s="13" t="s">
        <v>22</v>
      </c>
      <c r="E187" s="13" t="s">
        <v>23</v>
      </c>
      <c r="F187" s="13" t="s">
        <v>24</v>
      </c>
      <c r="G187" s="13" t="s">
        <v>25</v>
      </c>
      <c r="H187" s="14">
        <v>43663</v>
      </c>
      <c r="I187" s="13"/>
      <c r="J187" s="13"/>
      <c r="K187" s="13">
        <v>10</v>
      </c>
      <c r="L187" s="13">
        <v>880</v>
      </c>
      <c r="M187" s="13">
        <v>7</v>
      </c>
      <c r="N187" s="13">
        <v>0.79549999999999998</v>
      </c>
      <c r="O187" s="13">
        <v>4.3099999999999996</v>
      </c>
      <c r="P187" s="13">
        <v>0.62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</row>
    <row r="188" spans="1:23" x14ac:dyDescent="0.2">
      <c r="A188" s="14">
        <v>43685</v>
      </c>
      <c r="B188" s="13" t="s">
        <v>21</v>
      </c>
      <c r="C188" s="13" t="s">
        <v>32</v>
      </c>
      <c r="D188" s="13" t="s">
        <v>33</v>
      </c>
      <c r="E188" s="13" t="s">
        <v>34</v>
      </c>
      <c r="F188" s="13" t="s">
        <v>24</v>
      </c>
      <c r="G188" s="13"/>
      <c r="H188" s="14">
        <v>43671</v>
      </c>
      <c r="I188" s="13"/>
      <c r="J188" s="13"/>
      <c r="K188" s="13">
        <v>2</v>
      </c>
      <c r="L188" s="13">
        <v>899</v>
      </c>
      <c r="M188" s="13">
        <v>7</v>
      </c>
      <c r="N188" s="13">
        <v>0.77859999999999996</v>
      </c>
      <c r="O188" s="13">
        <v>2.27</v>
      </c>
      <c r="P188" s="13">
        <v>0.32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</row>
    <row r="189" spans="1:23" x14ac:dyDescent="0.2">
      <c r="A189" s="14">
        <v>43685</v>
      </c>
      <c r="B189" s="13" t="s">
        <v>21</v>
      </c>
      <c r="C189" s="13" t="s">
        <v>78</v>
      </c>
      <c r="D189" s="13" t="s">
        <v>22</v>
      </c>
      <c r="E189" s="13" t="s">
        <v>23</v>
      </c>
      <c r="F189" s="13" t="s">
        <v>24</v>
      </c>
      <c r="G189" s="13" t="s">
        <v>25</v>
      </c>
      <c r="H189" s="14">
        <v>43688</v>
      </c>
      <c r="I189" s="13"/>
      <c r="J189" s="13"/>
      <c r="K189" s="13">
        <v>10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</row>
    <row r="190" spans="1:23" x14ac:dyDescent="0.2">
      <c r="A190" s="14">
        <v>43685</v>
      </c>
      <c r="B190" s="13" t="s">
        <v>21</v>
      </c>
      <c r="C190" s="13" t="s">
        <v>79</v>
      </c>
      <c r="D190" s="13" t="s">
        <v>22</v>
      </c>
      <c r="E190" s="13" t="s">
        <v>23</v>
      </c>
      <c r="F190" s="13" t="s">
        <v>26</v>
      </c>
      <c r="G190" s="13" t="s">
        <v>25</v>
      </c>
      <c r="H190" s="14">
        <v>43387</v>
      </c>
      <c r="I190" s="13"/>
      <c r="J190" s="13"/>
      <c r="K190" s="13">
        <v>10</v>
      </c>
      <c r="L190" s="13">
        <v>834</v>
      </c>
      <c r="M190" s="13">
        <v>7</v>
      </c>
      <c r="N190" s="13">
        <v>0.83930000000000005</v>
      </c>
      <c r="O190" s="13">
        <v>0.49</v>
      </c>
      <c r="P190" s="13">
        <v>7.0000000000000007E-2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</row>
    <row r="191" spans="1:23" x14ac:dyDescent="0.2">
      <c r="A191" s="14">
        <v>43685</v>
      </c>
      <c r="B191" s="13" t="s">
        <v>21</v>
      </c>
      <c r="C191" s="13" t="s">
        <v>80</v>
      </c>
      <c r="D191" s="13" t="s">
        <v>22</v>
      </c>
      <c r="E191" s="13" t="s">
        <v>23</v>
      </c>
      <c r="F191" s="13" t="s">
        <v>26</v>
      </c>
      <c r="G191" s="13" t="s">
        <v>25</v>
      </c>
      <c r="H191" s="14">
        <v>43676</v>
      </c>
      <c r="I191" s="13"/>
      <c r="J191" s="13"/>
      <c r="K191" s="13">
        <v>10</v>
      </c>
      <c r="L191" s="13">
        <v>39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</row>
    <row r="192" spans="1:23" x14ac:dyDescent="0.2">
      <c r="A192" s="14">
        <v>43685</v>
      </c>
      <c r="B192" s="13" t="s">
        <v>21</v>
      </c>
      <c r="C192" s="13" t="s">
        <v>73</v>
      </c>
      <c r="D192" s="13" t="s">
        <v>22</v>
      </c>
      <c r="E192" s="13" t="s">
        <v>23</v>
      </c>
      <c r="F192" s="13" t="s">
        <v>24</v>
      </c>
      <c r="G192" s="13" t="s">
        <v>25</v>
      </c>
      <c r="H192" s="14">
        <v>43661</v>
      </c>
      <c r="I192" s="13"/>
      <c r="J192" s="13"/>
      <c r="K192" s="13">
        <v>10</v>
      </c>
      <c r="L192" s="13">
        <v>4744</v>
      </c>
      <c r="M192" s="13">
        <v>36</v>
      </c>
      <c r="N192" s="13">
        <v>0.75890000000000002</v>
      </c>
      <c r="O192" s="13">
        <v>10.25</v>
      </c>
      <c r="P192" s="13">
        <v>0.28000000000000003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</row>
    <row r="193" spans="1:23" x14ac:dyDescent="0.2">
      <c r="A193" s="14">
        <v>43685</v>
      </c>
      <c r="B193" s="13" t="s">
        <v>21</v>
      </c>
      <c r="C193" s="13" t="s">
        <v>81</v>
      </c>
      <c r="D193" s="13" t="s">
        <v>22</v>
      </c>
      <c r="E193" s="13" t="s">
        <v>23</v>
      </c>
      <c r="F193" s="13" t="s">
        <v>24</v>
      </c>
      <c r="G193" s="13" t="s">
        <v>25</v>
      </c>
      <c r="H193" s="14">
        <v>43428</v>
      </c>
      <c r="I193" s="13"/>
      <c r="J193" s="13"/>
      <c r="K193" s="13">
        <v>10</v>
      </c>
      <c r="L193" s="13">
        <v>631</v>
      </c>
      <c r="M193" s="13">
        <v>5</v>
      </c>
      <c r="N193" s="13">
        <v>0.79239999999999999</v>
      </c>
      <c r="O193" s="13">
        <v>2.99</v>
      </c>
      <c r="P193" s="13">
        <v>0.6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</row>
    <row r="194" spans="1:23" x14ac:dyDescent="0.2">
      <c r="A194" s="14">
        <v>43685</v>
      </c>
      <c r="B194" s="13" t="s">
        <v>21</v>
      </c>
      <c r="C194" s="13" t="s">
        <v>82</v>
      </c>
      <c r="D194" s="13" t="s">
        <v>22</v>
      </c>
      <c r="E194" s="13" t="s">
        <v>23</v>
      </c>
      <c r="F194" s="13" t="s">
        <v>26</v>
      </c>
      <c r="G194" s="13" t="s">
        <v>25</v>
      </c>
      <c r="H194" s="14">
        <v>43387</v>
      </c>
      <c r="I194" s="13"/>
      <c r="J194" s="13"/>
      <c r="K194" s="13">
        <v>5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</row>
    <row r="195" spans="1:23" x14ac:dyDescent="0.2">
      <c r="A195" s="14">
        <v>43685</v>
      </c>
      <c r="B195" s="13" t="s">
        <v>21</v>
      </c>
      <c r="C195" s="13" t="s">
        <v>28</v>
      </c>
      <c r="D195" s="13" t="s">
        <v>22</v>
      </c>
      <c r="E195" s="13" t="s">
        <v>23</v>
      </c>
      <c r="F195" s="13" t="s">
        <v>24</v>
      </c>
      <c r="G195" s="13" t="s">
        <v>25</v>
      </c>
      <c r="H195" s="14">
        <v>43663</v>
      </c>
      <c r="I195" s="13"/>
      <c r="J195" s="13"/>
      <c r="K195" s="13">
        <v>10</v>
      </c>
      <c r="L195" s="13">
        <v>684</v>
      </c>
      <c r="M195" s="13">
        <v>4</v>
      </c>
      <c r="N195" s="13">
        <v>0.58479999999999999</v>
      </c>
      <c r="O195" s="13">
        <v>1.78</v>
      </c>
      <c r="P195" s="13">
        <v>0.45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</row>
    <row r="196" spans="1:23" x14ac:dyDescent="0.2">
      <c r="A196" s="14">
        <v>43685</v>
      </c>
      <c r="B196" s="13" t="s">
        <v>21</v>
      </c>
      <c r="C196" s="13" t="s">
        <v>83</v>
      </c>
      <c r="D196" s="13" t="s">
        <v>22</v>
      </c>
      <c r="E196" s="13" t="s">
        <v>23</v>
      </c>
      <c r="F196" s="13" t="s">
        <v>26</v>
      </c>
      <c r="G196" s="13" t="s">
        <v>25</v>
      </c>
      <c r="H196" s="14">
        <v>43388</v>
      </c>
      <c r="I196" s="13"/>
      <c r="J196" s="13"/>
      <c r="K196" s="13">
        <v>5</v>
      </c>
      <c r="L196" s="13">
        <v>5500</v>
      </c>
      <c r="M196" s="13">
        <v>9</v>
      </c>
      <c r="N196" s="13">
        <v>0.1636</v>
      </c>
      <c r="O196" s="13">
        <v>5.28</v>
      </c>
      <c r="P196" s="13">
        <v>0.59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</row>
    <row r="197" spans="1:23" x14ac:dyDescent="0.2">
      <c r="A197" s="14">
        <v>43685</v>
      </c>
      <c r="B197" s="13" t="s">
        <v>21</v>
      </c>
      <c r="C197" s="13" t="s">
        <v>29</v>
      </c>
      <c r="D197" s="13" t="s">
        <v>22</v>
      </c>
      <c r="E197" s="13" t="s">
        <v>23</v>
      </c>
      <c r="F197" s="13" t="s">
        <v>26</v>
      </c>
      <c r="G197" s="13" t="s">
        <v>25</v>
      </c>
      <c r="H197" s="14">
        <v>43423</v>
      </c>
      <c r="I197" s="13"/>
      <c r="J197" s="13"/>
      <c r="K197" s="13">
        <v>3</v>
      </c>
      <c r="L197" s="13">
        <v>249</v>
      </c>
      <c r="M197" s="13">
        <v>1</v>
      </c>
      <c r="N197" s="13">
        <v>0.40160000000000001</v>
      </c>
      <c r="O197" s="13">
        <v>0.14000000000000001</v>
      </c>
      <c r="P197" s="13">
        <v>0.14000000000000001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</row>
    <row r="198" spans="1:23" x14ac:dyDescent="0.2">
      <c r="A198" s="14">
        <v>43685</v>
      </c>
      <c r="B198" s="13" t="s">
        <v>21</v>
      </c>
      <c r="C198" s="13" t="s">
        <v>86</v>
      </c>
      <c r="D198" s="13" t="s">
        <v>22</v>
      </c>
      <c r="E198" s="13" t="s">
        <v>23</v>
      </c>
      <c r="F198" s="13" t="s">
        <v>26</v>
      </c>
      <c r="G198" s="13" t="s">
        <v>25</v>
      </c>
      <c r="H198" s="14">
        <v>43647</v>
      </c>
      <c r="I198" s="13"/>
      <c r="J198" s="13"/>
      <c r="K198" s="13">
        <v>10</v>
      </c>
      <c r="L198" s="13">
        <v>1697</v>
      </c>
      <c r="M198" s="13">
        <v>2</v>
      </c>
      <c r="N198" s="13">
        <v>0.1179</v>
      </c>
      <c r="O198" s="13">
        <v>0.3</v>
      </c>
      <c r="P198" s="13">
        <v>0.15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</row>
    <row r="199" spans="1:23" x14ac:dyDescent="0.2">
      <c r="A199" s="14">
        <v>43685</v>
      </c>
      <c r="B199" s="13" t="s">
        <v>21</v>
      </c>
      <c r="C199" s="13" t="s">
        <v>30</v>
      </c>
      <c r="D199" s="13" t="s">
        <v>22</v>
      </c>
      <c r="E199" s="13" t="s">
        <v>23</v>
      </c>
      <c r="F199" s="13" t="s">
        <v>24</v>
      </c>
      <c r="G199" s="13" t="s">
        <v>25</v>
      </c>
      <c r="H199" s="14">
        <v>43678</v>
      </c>
      <c r="I199" s="13"/>
      <c r="J199" s="13"/>
      <c r="K199" s="13">
        <v>5</v>
      </c>
      <c r="L199" s="13">
        <v>186</v>
      </c>
      <c r="M199" s="13">
        <v>1</v>
      </c>
      <c r="N199" s="13">
        <v>0.53759999999999997</v>
      </c>
      <c r="O199" s="13">
        <v>0.31</v>
      </c>
      <c r="P199" s="13">
        <v>0.31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</row>
    <row r="200" spans="1:23" x14ac:dyDescent="0.2">
      <c r="A200" s="14">
        <v>43685</v>
      </c>
      <c r="B200" s="13" t="s">
        <v>21</v>
      </c>
      <c r="C200" s="13" t="s">
        <v>85</v>
      </c>
      <c r="D200" s="13" t="s">
        <v>22</v>
      </c>
      <c r="E200" s="13" t="s">
        <v>23</v>
      </c>
      <c r="F200" s="13" t="s">
        <v>26</v>
      </c>
      <c r="G200" s="13" t="s">
        <v>25</v>
      </c>
      <c r="H200" s="14">
        <v>43387</v>
      </c>
      <c r="I200" s="13"/>
      <c r="J200" s="13"/>
      <c r="K200" s="13">
        <v>5</v>
      </c>
      <c r="L200" s="13">
        <v>3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</row>
    <row r="201" spans="1:23" x14ac:dyDescent="0.2">
      <c r="A201" s="14">
        <v>43685</v>
      </c>
      <c r="B201" s="13" t="s">
        <v>21</v>
      </c>
      <c r="C201" s="13" t="s">
        <v>84</v>
      </c>
      <c r="D201" s="13" t="s">
        <v>22</v>
      </c>
      <c r="E201" s="13" t="s">
        <v>23</v>
      </c>
      <c r="F201" s="13" t="s">
        <v>26</v>
      </c>
      <c r="G201" s="13" t="s">
        <v>25</v>
      </c>
      <c r="H201" s="14">
        <v>43387</v>
      </c>
      <c r="I201" s="13"/>
      <c r="J201" s="13"/>
      <c r="K201" s="13">
        <v>10</v>
      </c>
      <c r="L201" s="13">
        <v>312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</row>
    <row r="202" spans="1:23" x14ac:dyDescent="0.2">
      <c r="A202" s="14">
        <v>43685</v>
      </c>
      <c r="B202" s="13" t="s">
        <v>21</v>
      </c>
      <c r="C202" s="13" t="s">
        <v>75</v>
      </c>
      <c r="D202" s="13" t="s">
        <v>22</v>
      </c>
      <c r="E202" s="13" t="s">
        <v>23</v>
      </c>
      <c r="F202" s="13" t="s">
        <v>24</v>
      </c>
      <c r="G202" s="13" t="s">
        <v>25</v>
      </c>
      <c r="H202" s="14">
        <v>43454</v>
      </c>
      <c r="I202" s="13"/>
      <c r="J202" s="13"/>
      <c r="K202" s="13">
        <v>5</v>
      </c>
      <c r="L202" s="13">
        <v>2533</v>
      </c>
      <c r="M202" s="13">
        <v>16</v>
      </c>
      <c r="N202" s="13">
        <v>0.63170000000000004</v>
      </c>
      <c r="O202" s="13">
        <v>4.66</v>
      </c>
      <c r="P202" s="13">
        <v>0.28999999999999998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</row>
    <row r="203" spans="1:23" x14ac:dyDescent="0.2">
      <c r="A203" s="14">
        <v>43685</v>
      </c>
      <c r="B203" s="13" t="s">
        <v>21</v>
      </c>
      <c r="C203" s="13" t="s">
        <v>31</v>
      </c>
      <c r="D203" s="13" t="s">
        <v>22</v>
      </c>
      <c r="E203" s="13" t="s">
        <v>23</v>
      </c>
      <c r="F203" s="13" t="s">
        <v>26</v>
      </c>
      <c r="G203" s="13" t="s">
        <v>25</v>
      </c>
      <c r="H203" s="14">
        <v>43615</v>
      </c>
      <c r="I203" s="13"/>
      <c r="J203" s="13"/>
      <c r="K203" s="13">
        <v>30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</row>
    <row r="204" spans="1:23" x14ac:dyDescent="0.2">
      <c r="A204" s="14">
        <v>43685</v>
      </c>
      <c r="B204" s="13" t="s">
        <v>21</v>
      </c>
      <c r="C204" s="13" t="s">
        <v>91</v>
      </c>
      <c r="D204" s="13" t="s">
        <v>22</v>
      </c>
      <c r="E204" s="13" t="s">
        <v>23</v>
      </c>
      <c r="F204" s="13" t="s">
        <v>24</v>
      </c>
      <c r="G204" s="13" t="s">
        <v>25</v>
      </c>
      <c r="H204" s="14">
        <v>43439</v>
      </c>
      <c r="I204" s="13"/>
      <c r="J204" s="13"/>
      <c r="K204" s="13">
        <v>2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</row>
    <row r="205" spans="1:23" x14ac:dyDescent="0.2">
      <c r="A205" s="14">
        <v>43685</v>
      </c>
      <c r="B205" s="13" t="s">
        <v>21</v>
      </c>
      <c r="C205" s="13" t="s">
        <v>88</v>
      </c>
      <c r="D205" s="13" t="s">
        <v>22</v>
      </c>
      <c r="E205" s="13" t="s">
        <v>23</v>
      </c>
      <c r="F205" s="13" t="s">
        <v>26</v>
      </c>
      <c r="G205" s="13" t="s">
        <v>25</v>
      </c>
      <c r="H205" s="14">
        <v>43690</v>
      </c>
      <c r="I205" s="13"/>
      <c r="J205" s="13"/>
      <c r="K205" s="13">
        <v>15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</row>
    <row r="206" spans="1:23" x14ac:dyDescent="0.2">
      <c r="A206" s="14">
        <v>43685</v>
      </c>
      <c r="B206" s="13" t="s">
        <v>21</v>
      </c>
      <c r="C206" s="13" t="s">
        <v>90</v>
      </c>
      <c r="D206" s="13" t="s">
        <v>22</v>
      </c>
      <c r="E206" s="13" t="s">
        <v>23</v>
      </c>
      <c r="F206" s="13" t="s">
        <v>24</v>
      </c>
      <c r="G206" s="13" t="s">
        <v>25</v>
      </c>
      <c r="H206" s="14">
        <v>43454</v>
      </c>
      <c r="I206" s="13"/>
      <c r="J206" s="13"/>
      <c r="K206" s="13">
        <v>20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</row>
    <row r="207" spans="1:23" x14ac:dyDescent="0.2">
      <c r="A207" s="14">
        <v>43685</v>
      </c>
      <c r="B207" s="13" t="s">
        <v>21</v>
      </c>
      <c r="C207" s="13" t="s">
        <v>89</v>
      </c>
      <c r="D207" s="13" t="s">
        <v>22</v>
      </c>
      <c r="E207" s="13" t="s">
        <v>23</v>
      </c>
      <c r="F207" s="13" t="s">
        <v>26</v>
      </c>
      <c r="G207" s="13" t="s">
        <v>25</v>
      </c>
      <c r="H207" s="14">
        <v>43387</v>
      </c>
      <c r="I207" s="13"/>
      <c r="J207" s="13"/>
      <c r="K207" s="13">
        <v>15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</row>
    <row r="208" spans="1:23" x14ac:dyDescent="0.2">
      <c r="A208" s="14">
        <v>43685</v>
      </c>
      <c r="B208" s="13" t="s">
        <v>21</v>
      </c>
      <c r="C208" s="13" t="s">
        <v>87</v>
      </c>
      <c r="D208" s="13" t="s">
        <v>22</v>
      </c>
      <c r="E208" s="13" t="s">
        <v>23</v>
      </c>
      <c r="F208" s="13" t="s">
        <v>24</v>
      </c>
      <c r="G208" s="13" t="s">
        <v>25</v>
      </c>
      <c r="H208" s="14">
        <v>43657</v>
      </c>
      <c r="I208" s="13"/>
      <c r="J208" s="13"/>
      <c r="K208" s="13">
        <v>10</v>
      </c>
      <c r="L208" s="13">
        <v>331</v>
      </c>
      <c r="M208" s="13">
        <v>1</v>
      </c>
      <c r="N208" s="13">
        <v>0.30209999999999998</v>
      </c>
      <c r="O208" s="13">
        <v>0.27</v>
      </c>
      <c r="P208" s="13">
        <v>0.27</v>
      </c>
      <c r="Q208" s="13">
        <v>1</v>
      </c>
      <c r="R208" s="13">
        <v>35.97</v>
      </c>
      <c r="S208" s="13">
        <v>0.75060000000000004</v>
      </c>
      <c r="T208" s="13">
        <v>0</v>
      </c>
      <c r="U208" s="13">
        <v>0</v>
      </c>
      <c r="V208" s="13">
        <v>0</v>
      </c>
      <c r="W208" s="13">
        <v>0</v>
      </c>
    </row>
    <row r="209" spans="1:23" x14ac:dyDescent="0.2">
      <c r="A209" s="14">
        <v>43685</v>
      </c>
      <c r="B209" s="13" t="s">
        <v>21</v>
      </c>
      <c r="C209" s="13" t="s">
        <v>72</v>
      </c>
      <c r="D209" s="13" t="s">
        <v>22</v>
      </c>
      <c r="E209" s="13" t="s">
        <v>23</v>
      </c>
      <c r="F209" s="13" t="s">
        <v>24</v>
      </c>
      <c r="G209" s="13" t="s">
        <v>25</v>
      </c>
      <c r="H209" s="14">
        <v>43412</v>
      </c>
      <c r="I209" s="13"/>
      <c r="J209" s="13"/>
      <c r="K209" s="13">
        <v>10</v>
      </c>
      <c r="L209" s="13">
        <v>4852</v>
      </c>
      <c r="M209" s="13">
        <v>59</v>
      </c>
      <c r="N209" s="13">
        <v>1.216</v>
      </c>
      <c r="O209" s="13">
        <v>17.850000000000001</v>
      </c>
      <c r="P209" s="13">
        <v>0.3</v>
      </c>
      <c r="Q209" s="13">
        <v>1</v>
      </c>
      <c r="R209" s="13">
        <v>53.97</v>
      </c>
      <c r="S209" s="13">
        <v>33.073900000000002</v>
      </c>
      <c r="T209" s="13">
        <v>0</v>
      </c>
      <c r="U209" s="13">
        <v>0</v>
      </c>
      <c r="V209" s="13">
        <v>0</v>
      </c>
      <c r="W209" s="13">
        <v>0</v>
      </c>
    </row>
    <row r="210" spans="1:23" x14ac:dyDescent="0.2">
      <c r="A210" s="14">
        <v>43686</v>
      </c>
      <c r="B210" s="13" t="s">
        <v>21</v>
      </c>
      <c r="C210" s="13" t="s">
        <v>74</v>
      </c>
      <c r="D210" s="13" t="s">
        <v>22</v>
      </c>
      <c r="E210" s="13" t="s">
        <v>23</v>
      </c>
      <c r="F210" s="13" t="s">
        <v>24</v>
      </c>
      <c r="G210" s="13" t="s">
        <v>25</v>
      </c>
      <c r="H210" s="14">
        <v>43420</v>
      </c>
      <c r="I210" s="13"/>
      <c r="J210" s="13"/>
      <c r="K210" s="13">
        <v>5</v>
      </c>
      <c r="L210" s="13">
        <v>42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</row>
    <row r="211" spans="1:23" x14ac:dyDescent="0.2">
      <c r="A211" s="14">
        <v>43686</v>
      </c>
      <c r="B211" s="13" t="s">
        <v>21</v>
      </c>
      <c r="C211" s="13" t="s">
        <v>76</v>
      </c>
      <c r="D211" s="13" t="s">
        <v>22</v>
      </c>
      <c r="E211" s="13" t="s">
        <v>23</v>
      </c>
      <c r="F211" s="13" t="s">
        <v>24</v>
      </c>
      <c r="G211" s="13" t="s">
        <v>25</v>
      </c>
      <c r="H211" s="14">
        <v>43667</v>
      </c>
      <c r="I211" s="13"/>
      <c r="J211" s="13"/>
      <c r="K211" s="13">
        <v>10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</row>
    <row r="212" spans="1:23" x14ac:dyDescent="0.2">
      <c r="A212" s="14">
        <v>43686</v>
      </c>
      <c r="B212" s="13" t="s">
        <v>21</v>
      </c>
      <c r="C212" s="13" t="s">
        <v>77</v>
      </c>
      <c r="D212" s="13" t="s">
        <v>22</v>
      </c>
      <c r="E212" s="13" t="s">
        <v>23</v>
      </c>
      <c r="F212" s="13" t="s">
        <v>26</v>
      </c>
      <c r="G212" s="13" t="s">
        <v>25</v>
      </c>
      <c r="H212" s="14">
        <v>43388</v>
      </c>
      <c r="I212" s="13"/>
      <c r="J212" s="13"/>
      <c r="K212" s="13">
        <v>5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</row>
    <row r="213" spans="1:23" x14ac:dyDescent="0.2">
      <c r="A213" s="14">
        <v>43686</v>
      </c>
      <c r="B213" s="13" t="s">
        <v>21</v>
      </c>
      <c r="C213" s="13" t="s">
        <v>32</v>
      </c>
      <c r="D213" s="13" t="s">
        <v>33</v>
      </c>
      <c r="E213" s="13" t="s">
        <v>34</v>
      </c>
      <c r="F213" s="13" t="s">
        <v>24</v>
      </c>
      <c r="G213" s="13"/>
      <c r="H213" s="14">
        <v>43671</v>
      </c>
      <c r="I213" s="13"/>
      <c r="J213" s="13"/>
      <c r="K213" s="13">
        <v>2</v>
      </c>
      <c r="L213" s="13">
        <v>785</v>
      </c>
      <c r="M213" s="13">
        <v>8</v>
      </c>
      <c r="N213" s="13">
        <v>1.0190999999999999</v>
      </c>
      <c r="O213" s="13">
        <v>2.12</v>
      </c>
      <c r="P213" s="13">
        <v>0.27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</row>
    <row r="214" spans="1:23" x14ac:dyDescent="0.2">
      <c r="A214" s="14">
        <v>43686</v>
      </c>
      <c r="B214" s="13" t="s">
        <v>21</v>
      </c>
      <c r="C214" s="13" t="s">
        <v>78</v>
      </c>
      <c r="D214" s="13" t="s">
        <v>22</v>
      </c>
      <c r="E214" s="13" t="s">
        <v>23</v>
      </c>
      <c r="F214" s="13" t="s">
        <v>24</v>
      </c>
      <c r="G214" s="13" t="s">
        <v>25</v>
      </c>
      <c r="H214" s="14">
        <v>43688</v>
      </c>
      <c r="I214" s="13"/>
      <c r="J214" s="13"/>
      <c r="K214" s="13">
        <v>10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</row>
    <row r="215" spans="1:23" x14ac:dyDescent="0.2">
      <c r="A215" s="14">
        <v>43686</v>
      </c>
      <c r="B215" s="13" t="s">
        <v>21</v>
      </c>
      <c r="C215" s="13" t="s">
        <v>80</v>
      </c>
      <c r="D215" s="13" t="s">
        <v>22</v>
      </c>
      <c r="E215" s="13" t="s">
        <v>23</v>
      </c>
      <c r="F215" s="13" t="s">
        <v>26</v>
      </c>
      <c r="G215" s="13" t="s">
        <v>25</v>
      </c>
      <c r="H215" s="14">
        <v>43676</v>
      </c>
      <c r="I215" s="13"/>
      <c r="J215" s="13"/>
      <c r="K215" s="13">
        <v>10</v>
      </c>
      <c r="L215" s="13">
        <v>44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</row>
    <row r="216" spans="1:23" x14ac:dyDescent="0.2">
      <c r="A216" s="14">
        <v>43686</v>
      </c>
      <c r="B216" s="13" t="s">
        <v>21</v>
      </c>
      <c r="C216" s="13" t="s">
        <v>82</v>
      </c>
      <c r="D216" s="13" t="s">
        <v>22</v>
      </c>
      <c r="E216" s="13" t="s">
        <v>23</v>
      </c>
      <c r="F216" s="13" t="s">
        <v>26</v>
      </c>
      <c r="G216" s="13" t="s">
        <v>25</v>
      </c>
      <c r="H216" s="14">
        <v>43387</v>
      </c>
      <c r="I216" s="13"/>
      <c r="J216" s="13"/>
      <c r="K216" s="13">
        <v>5</v>
      </c>
      <c r="L216" s="13">
        <v>6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</row>
    <row r="217" spans="1:23" x14ac:dyDescent="0.2">
      <c r="A217" s="14">
        <v>43686</v>
      </c>
      <c r="B217" s="13" t="s">
        <v>21</v>
      </c>
      <c r="C217" s="13" t="s">
        <v>28</v>
      </c>
      <c r="D217" s="13" t="s">
        <v>22</v>
      </c>
      <c r="E217" s="13" t="s">
        <v>23</v>
      </c>
      <c r="F217" s="13" t="s">
        <v>24</v>
      </c>
      <c r="G217" s="13" t="s">
        <v>25</v>
      </c>
      <c r="H217" s="14">
        <v>43663</v>
      </c>
      <c r="I217" s="13"/>
      <c r="J217" s="13"/>
      <c r="K217" s="13">
        <v>10</v>
      </c>
      <c r="L217" s="13">
        <v>681</v>
      </c>
      <c r="M217" s="13">
        <v>4</v>
      </c>
      <c r="N217" s="13">
        <v>0.58740000000000003</v>
      </c>
      <c r="O217" s="13">
        <v>2.57</v>
      </c>
      <c r="P217" s="13">
        <v>0.64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</row>
    <row r="218" spans="1:23" x14ac:dyDescent="0.2">
      <c r="A218" s="14">
        <v>43686</v>
      </c>
      <c r="B218" s="13" t="s">
        <v>21</v>
      </c>
      <c r="C218" s="13" t="s">
        <v>83</v>
      </c>
      <c r="D218" s="13" t="s">
        <v>22</v>
      </c>
      <c r="E218" s="13" t="s">
        <v>23</v>
      </c>
      <c r="F218" s="13" t="s">
        <v>26</v>
      </c>
      <c r="G218" s="13" t="s">
        <v>25</v>
      </c>
      <c r="H218" s="14">
        <v>43388</v>
      </c>
      <c r="I218" s="13"/>
      <c r="J218" s="13"/>
      <c r="K218" s="13">
        <v>5</v>
      </c>
      <c r="L218" s="13">
        <v>5606</v>
      </c>
      <c r="M218" s="13">
        <v>6</v>
      </c>
      <c r="N218" s="13">
        <v>0.107</v>
      </c>
      <c r="O218" s="13">
        <v>3.48</v>
      </c>
      <c r="P218" s="13">
        <v>0.57999999999999996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</row>
    <row r="219" spans="1:23" x14ac:dyDescent="0.2">
      <c r="A219" s="14">
        <v>43686</v>
      </c>
      <c r="B219" s="13" t="s">
        <v>21</v>
      </c>
      <c r="C219" s="13" t="s">
        <v>29</v>
      </c>
      <c r="D219" s="13" t="s">
        <v>22</v>
      </c>
      <c r="E219" s="13" t="s">
        <v>23</v>
      </c>
      <c r="F219" s="13" t="s">
        <v>26</v>
      </c>
      <c r="G219" s="13" t="s">
        <v>25</v>
      </c>
      <c r="H219" s="14">
        <v>43423</v>
      </c>
      <c r="I219" s="13"/>
      <c r="J219" s="13"/>
      <c r="K219" s="13">
        <v>3</v>
      </c>
      <c r="L219" s="13">
        <v>263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</row>
    <row r="220" spans="1:23" x14ac:dyDescent="0.2">
      <c r="A220" s="14">
        <v>43686</v>
      </c>
      <c r="B220" s="13" t="s">
        <v>21</v>
      </c>
      <c r="C220" s="13" t="s">
        <v>30</v>
      </c>
      <c r="D220" s="13" t="s">
        <v>22</v>
      </c>
      <c r="E220" s="13" t="s">
        <v>23</v>
      </c>
      <c r="F220" s="13" t="s">
        <v>24</v>
      </c>
      <c r="G220" s="13" t="s">
        <v>25</v>
      </c>
      <c r="H220" s="14">
        <v>43678</v>
      </c>
      <c r="I220" s="13"/>
      <c r="J220" s="13"/>
      <c r="K220" s="13">
        <v>5</v>
      </c>
      <c r="L220" s="13">
        <v>94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</row>
    <row r="221" spans="1:23" x14ac:dyDescent="0.2">
      <c r="A221" s="14">
        <v>43686</v>
      </c>
      <c r="B221" s="13" t="s">
        <v>21</v>
      </c>
      <c r="C221" s="13" t="s">
        <v>85</v>
      </c>
      <c r="D221" s="13" t="s">
        <v>22</v>
      </c>
      <c r="E221" s="13" t="s">
        <v>23</v>
      </c>
      <c r="F221" s="13" t="s">
        <v>26</v>
      </c>
      <c r="G221" s="13" t="s">
        <v>25</v>
      </c>
      <c r="H221" s="14">
        <v>43387</v>
      </c>
      <c r="I221" s="13"/>
      <c r="J221" s="13"/>
      <c r="K221" s="13">
        <v>5</v>
      </c>
      <c r="L221" s="13">
        <v>2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</row>
    <row r="222" spans="1:23" x14ac:dyDescent="0.2">
      <c r="A222" s="14">
        <v>43686</v>
      </c>
      <c r="B222" s="13" t="s">
        <v>21</v>
      </c>
      <c r="C222" s="13" t="s">
        <v>84</v>
      </c>
      <c r="D222" s="13" t="s">
        <v>22</v>
      </c>
      <c r="E222" s="13" t="s">
        <v>23</v>
      </c>
      <c r="F222" s="13" t="s">
        <v>26</v>
      </c>
      <c r="G222" s="13" t="s">
        <v>25</v>
      </c>
      <c r="H222" s="14">
        <v>43387</v>
      </c>
      <c r="I222" s="13"/>
      <c r="J222" s="13"/>
      <c r="K222" s="13">
        <v>10</v>
      </c>
      <c r="L222" s="13">
        <v>173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</row>
    <row r="223" spans="1:23" x14ac:dyDescent="0.2">
      <c r="A223" s="14">
        <v>43686</v>
      </c>
      <c r="B223" s="13" t="s">
        <v>21</v>
      </c>
      <c r="C223" s="13" t="s">
        <v>75</v>
      </c>
      <c r="D223" s="13" t="s">
        <v>22</v>
      </c>
      <c r="E223" s="13" t="s">
        <v>23</v>
      </c>
      <c r="F223" s="13" t="s">
        <v>24</v>
      </c>
      <c r="G223" s="13" t="s">
        <v>25</v>
      </c>
      <c r="H223" s="14">
        <v>43454</v>
      </c>
      <c r="I223" s="13"/>
      <c r="J223" s="13"/>
      <c r="K223" s="13">
        <v>5</v>
      </c>
      <c r="L223" s="13">
        <v>730</v>
      </c>
      <c r="M223" s="13">
        <v>4</v>
      </c>
      <c r="N223" s="13">
        <v>0.54790000000000005</v>
      </c>
      <c r="O223" s="13">
        <v>1.1499999999999999</v>
      </c>
      <c r="P223" s="13">
        <v>0.28999999999999998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</row>
    <row r="224" spans="1:23" x14ac:dyDescent="0.2">
      <c r="A224" s="14">
        <v>43686</v>
      </c>
      <c r="B224" s="13" t="s">
        <v>21</v>
      </c>
      <c r="C224" s="13" t="s">
        <v>31</v>
      </c>
      <c r="D224" s="13" t="s">
        <v>22</v>
      </c>
      <c r="E224" s="13" t="s">
        <v>23</v>
      </c>
      <c r="F224" s="13" t="s">
        <v>26</v>
      </c>
      <c r="G224" s="13" t="s">
        <v>25</v>
      </c>
      <c r="H224" s="14">
        <v>43615</v>
      </c>
      <c r="I224" s="13"/>
      <c r="J224" s="13"/>
      <c r="K224" s="13">
        <v>30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</row>
    <row r="225" spans="1:23" x14ac:dyDescent="0.2">
      <c r="A225" s="14">
        <v>43686</v>
      </c>
      <c r="B225" s="13" t="s">
        <v>21</v>
      </c>
      <c r="C225" s="13" t="s">
        <v>91</v>
      </c>
      <c r="D225" s="13" t="s">
        <v>22</v>
      </c>
      <c r="E225" s="13" t="s">
        <v>23</v>
      </c>
      <c r="F225" s="13" t="s">
        <v>24</v>
      </c>
      <c r="G225" s="13" t="s">
        <v>25</v>
      </c>
      <c r="H225" s="14">
        <v>43439</v>
      </c>
      <c r="I225" s="13"/>
      <c r="J225" s="13"/>
      <c r="K225" s="13">
        <v>2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</row>
    <row r="226" spans="1:23" x14ac:dyDescent="0.2">
      <c r="A226" s="14">
        <v>43686</v>
      </c>
      <c r="B226" s="13" t="s">
        <v>21</v>
      </c>
      <c r="C226" s="13" t="s">
        <v>87</v>
      </c>
      <c r="D226" s="13" t="s">
        <v>22</v>
      </c>
      <c r="E226" s="13" t="s">
        <v>23</v>
      </c>
      <c r="F226" s="13" t="s">
        <v>24</v>
      </c>
      <c r="G226" s="13" t="s">
        <v>25</v>
      </c>
      <c r="H226" s="14">
        <v>43657</v>
      </c>
      <c r="I226" s="13"/>
      <c r="J226" s="13"/>
      <c r="K226" s="13">
        <v>10</v>
      </c>
      <c r="L226" s="13">
        <v>328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</row>
    <row r="227" spans="1:23" x14ac:dyDescent="0.2">
      <c r="A227" s="14">
        <v>43686</v>
      </c>
      <c r="B227" s="13" t="s">
        <v>21</v>
      </c>
      <c r="C227" s="13" t="s">
        <v>88</v>
      </c>
      <c r="D227" s="13" t="s">
        <v>22</v>
      </c>
      <c r="E227" s="13" t="s">
        <v>23</v>
      </c>
      <c r="F227" s="13" t="s">
        <v>26</v>
      </c>
      <c r="G227" s="13" t="s">
        <v>25</v>
      </c>
      <c r="H227" s="14">
        <v>43690</v>
      </c>
      <c r="I227" s="13"/>
      <c r="J227" s="13"/>
      <c r="K227" s="13">
        <v>15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</row>
    <row r="228" spans="1:23" x14ac:dyDescent="0.2">
      <c r="A228" s="14">
        <v>43686</v>
      </c>
      <c r="B228" s="13" t="s">
        <v>21</v>
      </c>
      <c r="C228" s="13" t="s">
        <v>90</v>
      </c>
      <c r="D228" s="13" t="s">
        <v>22</v>
      </c>
      <c r="E228" s="13" t="s">
        <v>23</v>
      </c>
      <c r="F228" s="13" t="s">
        <v>24</v>
      </c>
      <c r="G228" s="13" t="s">
        <v>25</v>
      </c>
      <c r="H228" s="14">
        <v>43454</v>
      </c>
      <c r="I228" s="13"/>
      <c r="J228" s="13"/>
      <c r="K228" s="13">
        <v>20</v>
      </c>
      <c r="L228" s="13">
        <v>1278</v>
      </c>
      <c r="M228" s="13">
        <v>14</v>
      </c>
      <c r="N228" s="13">
        <v>1.0954999999999999</v>
      </c>
      <c r="O228" s="13">
        <v>3.49</v>
      </c>
      <c r="P228" s="13">
        <v>0.25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</row>
    <row r="229" spans="1:23" x14ac:dyDescent="0.2">
      <c r="A229" s="14">
        <v>43686</v>
      </c>
      <c r="B229" s="13" t="s">
        <v>21</v>
      </c>
      <c r="C229" s="13" t="s">
        <v>89</v>
      </c>
      <c r="D229" s="13" t="s">
        <v>22</v>
      </c>
      <c r="E229" s="13" t="s">
        <v>23</v>
      </c>
      <c r="F229" s="13" t="s">
        <v>26</v>
      </c>
      <c r="G229" s="13" t="s">
        <v>25</v>
      </c>
      <c r="H229" s="14">
        <v>43387</v>
      </c>
      <c r="I229" s="13"/>
      <c r="J229" s="13"/>
      <c r="K229" s="13">
        <v>15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</row>
    <row r="230" spans="1:23" x14ac:dyDescent="0.2">
      <c r="A230" s="14">
        <v>43686</v>
      </c>
      <c r="B230" s="13" t="s">
        <v>21</v>
      </c>
      <c r="C230" s="13" t="s">
        <v>79</v>
      </c>
      <c r="D230" s="13" t="s">
        <v>22</v>
      </c>
      <c r="E230" s="13" t="s">
        <v>23</v>
      </c>
      <c r="F230" s="13" t="s">
        <v>26</v>
      </c>
      <c r="G230" s="13" t="s">
        <v>25</v>
      </c>
      <c r="H230" s="14">
        <v>43387</v>
      </c>
      <c r="I230" s="13"/>
      <c r="J230" s="13"/>
      <c r="K230" s="13">
        <v>10</v>
      </c>
      <c r="L230" s="13">
        <v>788</v>
      </c>
      <c r="M230" s="13">
        <v>6</v>
      </c>
      <c r="N230" s="13">
        <v>0.76139999999999997</v>
      </c>
      <c r="O230" s="13">
        <v>0.24</v>
      </c>
      <c r="P230" s="13">
        <v>0.04</v>
      </c>
      <c r="Q230" s="13">
        <v>1</v>
      </c>
      <c r="R230" s="13">
        <v>75.97</v>
      </c>
      <c r="S230" s="13">
        <v>0.31590000000000001</v>
      </c>
      <c r="T230" s="13">
        <v>0</v>
      </c>
      <c r="U230" s="13">
        <v>0</v>
      </c>
      <c r="V230" s="13">
        <v>0</v>
      </c>
      <c r="W230" s="13">
        <v>0</v>
      </c>
    </row>
    <row r="231" spans="1:23" x14ac:dyDescent="0.2">
      <c r="A231" s="14">
        <v>43686</v>
      </c>
      <c r="B231" s="13" t="s">
        <v>21</v>
      </c>
      <c r="C231" s="13" t="s">
        <v>27</v>
      </c>
      <c r="D231" s="13" t="s">
        <v>22</v>
      </c>
      <c r="E231" s="13" t="s">
        <v>23</v>
      </c>
      <c r="F231" s="13" t="s">
        <v>24</v>
      </c>
      <c r="G231" s="13" t="s">
        <v>25</v>
      </c>
      <c r="H231" s="14">
        <v>43663</v>
      </c>
      <c r="I231" s="13"/>
      <c r="J231" s="13"/>
      <c r="K231" s="13">
        <v>10</v>
      </c>
      <c r="L231" s="13">
        <v>668</v>
      </c>
      <c r="M231" s="13">
        <v>2</v>
      </c>
      <c r="N231" s="13">
        <v>0.2994</v>
      </c>
      <c r="O231" s="13">
        <v>1.29</v>
      </c>
      <c r="P231" s="13">
        <v>0.65</v>
      </c>
      <c r="Q231" s="13">
        <v>1</v>
      </c>
      <c r="R231" s="13">
        <v>23.99</v>
      </c>
      <c r="S231" s="13">
        <v>5.3772000000000002</v>
      </c>
      <c r="T231" s="13">
        <v>0</v>
      </c>
      <c r="U231" s="13">
        <v>0</v>
      </c>
      <c r="V231" s="13">
        <v>0</v>
      </c>
      <c r="W231" s="13">
        <v>0</v>
      </c>
    </row>
    <row r="232" spans="1:23" x14ac:dyDescent="0.2">
      <c r="A232" s="14">
        <v>43686</v>
      </c>
      <c r="B232" s="13" t="s">
        <v>21</v>
      </c>
      <c r="C232" s="13" t="s">
        <v>81</v>
      </c>
      <c r="D232" s="13" t="s">
        <v>22</v>
      </c>
      <c r="E232" s="13" t="s">
        <v>23</v>
      </c>
      <c r="F232" s="13" t="s">
        <v>24</v>
      </c>
      <c r="G232" s="13" t="s">
        <v>25</v>
      </c>
      <c r="H232" s="14">
        <v>43428</v>
      </c>
      <c r="I232" s="13"/>
      <c r="J232" s="13"/>
      <c r="K232" s="13">
        <v>10</v>
      </c>
      <c r="L232" s="13">
        <v>778</v>
      </c>
      <c r="M232" s="13">
        <v>2</v>
      </c>
      <c r="N232" s="13">
        <v>0.2571</v>
      </c>
      <c r="O232" s="13">
        <v>1.74</v>
      </c>
      <c r="P232" s="13">
        <v>0.87</v>
      </c>
      <c r="Q232" s="13">
        <v>1</v>
      </c>
      <c r="R232" s="13">
        <v>23.99</v>
      </c>
      <c r="S232" s="13">
        <v>7.2530000000000001</v>
      </c>
      <c r="T232" s="13">
        <v>0</v>
      </c>
      <c r="U232" s="13">
        <v>0</v>
      </c>
      <c r="V232" s="13">
        <v>0</v>
      </c>
      <c r="W232" s="13">
        <v>0</v>
      </c>
    </row>
    <row r="233" spans="1:23" x14ac:dyDescent="0.2">
      <c r="A233" s="14">
        <v>43686</v>
      </c>
      <c r="B233" s="13" t="s">
        <v>21</v>
      </c>
      <c r="C233" s="13" t="s">
        <v>72</v>
      </c>
      <c r="D233" s="13" t="s">
        <v>22</v>
      </c>
      <c r="E233" s="13" t="s">
        <v>23</v>
      </c>
      <c r="F233" s="13" t="s">
        <v>24</v>
      </c>
      <c r="G233" s="13" t="s">
        <v>25</v>
      </c>
      <c r="H233" s="14">
        <v>43412</v>
      </c>
      <c r="I233" s="13"/>
      <c r="J233" s="13"/>
      <c r="K233" s="13">
        <v>10</v>
      </c>
      <c r="L233" s="13">
        <v>3524</v>
      </c>
      <c r="M233" s="13">
        <v>37</v>
      </c>
      <c r="N233" s="13">
        <v>1.0499000000000001</v>
      </c>
      <c r="O233" s="13">
        <v>10.130000000000001</v>
      </c>
      <c r="P233" s="13">
        <v>0.27</v>
      </c>
      <c r="Q233" s="13">
        <v>1</v>
      </c>
      <c r="R233" s="13">
        <v>53.97</v>
      </c>
      <c r="S233" s="13">
        <v>18.7697</v>
      </c>
      <c r="T233" s="13">
        <v>0</v>
      </c>
      <c r="U233" s="13">
        <v>0</v>
      </c>
      <c r="V233" s="13">
        <v>0</v>
      </c>
      <c r="W233" s="13">
        <v>0</v>
      </c>
    </row>
    <row r="234" spans="1:23" x14ac:dyDescent="0.2">
      <c r="A234" s="14">
        <v>43686</v>
      </c>
      <c r="B234" s="13" t="s">
        <v>21</v>
      </c>
      <c r="C234" s="13" t="s">
        <v>73</v>
      </c>
      <c r="D234" s="13" t="s">
        <v>22</v>
      </c>
      <c r="E234" s="13" t="s">
        <v>23</v>
      </c>
      <c r="F234" s="13" t="s">
        <v>24</v>
      </c>
      <c r="G234" s="13" t="s">
        <v>25</v>
      </c>
      <c r="H234" s="14">
        <v>43661</v>
      </c>
      <c r="I234" s="13"/>
      <c r="J234" s="13"/>
      <c r="K234" s="13">
        <v>10</v>
      </c>
      <c r="L234" s="13">
        <v>4190</v>
      </c>
      <c r="M234" s="13">
        <v>41</v>
      </c>
      <c r="N234" s="13">
        <v>0.97850000000000004</v>
      </c>
      <c r="O234" s="13">
        <v>10.199999999999999</v>
      </c>
      <c r="P234" s="13">
        <v>0.25</v>
      </c>
      <c r="Q234" s="13">
        <v>1</v>
      </c>
      <c r="R234" s="13">
        <v>53.97</v>
      </c>
      <c r="S234" s="13">
        <v>18.8994</v>
      </c>
      <c r="T234" s="13">
        <v>0</v>
      </c>
      <c r="U234" s="13">
        <v>0</v>
      </c>
      <c r="V234" s="13">
        <v>0</v>
      </c>
      <c r="W234" s="13">
        <v>0</v>
      </c>
    </row>
    <row r="235" spans="1:23" x14ac:dyDescent="0.2">
      <c r="A235" s="14">
        <v>43686</v>
      </c>
      <c r="B235" s="13" t="s">
        <v>21</v>
      </c>
      <c r="C235" s="13" t="s">
        <v>86</v>
      </c>
      <c r="D235" s="13" t="s">
        <v>22</v>
      </c>
      <c r="E235" s="13" t="s">
        <v>23</v>
      </c>
      <c r="F235" s="13" t="s">
        <v>26</v>
      </c>
      <c r="G235" s="13" t="s">
        <v>25</v>
      </c>
      <c r="H235" s="14">
        <v>43647</v>
      </c>
      <c r="I235" s="13"/>
      <c r="J235" s="13"/>
      <c r="K235" s="13">
        <v>10</v>
      </c>
      <c r="L235" s="13">
        <v>452</v>
      </c>
      <c r="M235" s="13">
        <v>5</v>
      </c>
      <c r="N235" s="13">
        <v>1.1062000000000001</v>
      </c>
      <c r="O235" s="13">
        <v>2.38</v>
      </c>
      <c r="P235" s="13">
        <v>0.48</v>
      </c>
      <c r="Q235" s="13">
        <v>1</v>
      </c>
      <c r="R235" s="13">
        <v>11.99</v>
      </c>
      <c r="S235" s="13">
        <v>19.849900000000002</v>
      </c>
      <c r="T235" s="13">
        <v>0</v>
      </c>
      <c r="U235" s="13">
        <v>0</v>
      </c>
      <c r="V235" s="13">
        <v>0</v>
      </c>
      <c r="W235" s="13">
        <v>0</v>
      </c>
    </row>
    <row r="236" spans="1:23" x14ac:dyDescent="0.2">
      <c r="A236" s="14">
        <v>43687</v>
      </c>
      <c r="B236" s="13" t="s">
        <v>21</v>
      </c>
      <c r="C236" s="13" t="s">
        <v>74</v>
      </c>
      <c r="D236" s="13" t="s">
        <v>22</v>
      </c>
      <c r="E236" s="13" t="s">
        <v>23</v>
      </c>
      <c r="F236" s="13" t="s">
        <v>24</v>
      </c>
      <c r="G236" s="13" t="s">
        <v>25</v>
      </c>
      <c r="H236" s="14">
        <v>43420</v>
      </c>
      <c r="I236" s="13"/>
      <c r="J236" s="13"/>
      <c r="K236" s="13">
        <v>5</v>
      </c>
      <c r="L236" s="13">
        <v>962</v>
      </c>
      <c r="M236" s="13">
        <v>14</v>
      </c>
      <c r="N236" s="13">
        <v>1.4553</v>
      </c>
      <c r="O236" s="13">
        <v>2.35</v>
      </c>
      <c r="P236" s="13">
        <v>0.17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</row>
    <row r="237" spans="1:23" x14ac:dyDescent="0.2">
      <c r="A237" s="14">
        <v>43687</v>
      </c>
      <c r="B237" s="13" t="s">
        <v>21</v>
      </c>
      <c r="C237" s="13" t="s">
        <v>76</v>
      </c>
      <c r="D237" s="13" t="s">
        <v>22</v>
      </c>
      <c r="E237" s="13" t="s">
        <v>23</v>
      </c>
      <c r="F237" s="13" t="s">
        <v>24</v>
      </c>
      <c r="G237" s="13" t="s">
        <v>25</v>
      </c>
      <c r="H237" s="14">
        <v>43667</v>
      </c>
      <c r="I237" s="13"/>
      <c r="J237" s="13"/>
      <c r="K237" s="13">
        <v>10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</row>
    <row r="238" spans="1:23" x14ac:dyDescent="0.2">
      <c r="A238" s="14">
        <v>43687</v>
      </c>
      <c r="B238" s="13" t="s">
        <v>21</v>
      </c>
      <c r="C238" s="13" t="s">
        <v>77</v>
      </c>
      <c r="D238" s="13" t="s">
        <v>22</v>
      </c>
      <c r="E238" s="13" t="s">
        <v>23</v>
      </c>
      <c r="F238" s="13" t="s">
        <v>26</v>
      </c>
      <c r="G238" s="13" t="s">
        <v>25</v>
      </c>
      <c r="H238" s="14">
        <v>43388</v>
      </c>
      <c r="I238" s="13"/>
      <c r="J238" s="13"/>
      <c r="K238" s="13">
        <v>5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</row>
    <row r="239" spans="1:23" x14ac:dyDescent="0.2">
      <c r="A239" s="14">
        <v>43687</v>
      </c>
      <c r="B239" s="13" t="s">
        <v>21</v>
      </c>
      <c r="C239" s="13" t="s">
        <v>27</v>
      </c>
      <c r="D239" s="13" t="s">
        <v>22</v>
      </c>
      <c r="E239" s="13" t="s">
        <v>23</v>
      </c>
      <c r="F239" s="13" t="s">
        <v>24</v>
      </c>
      <c r="G239" s="13" t="s">
        <v>25</v>
      </c>
      <c r="H239" s="14">
        <v>43663</v>
      </c>
      <c r="I239" s="13"/>
      <c r="J239" s="13"/>
      <c r="K239" s="13">
        <v>10</v>
      </c>
      <c r="L239" s="13">
        <v>380</v>
      </c>
      <c r="M239" s="13">
        <v>5</v>
      </c>
      <c r="N239" s="13">
        <v>1.3158000000000001</v>
      </c>
      <c r="O239" s="13">
        <v>3.05</v>
      </c>
      <c r="P239" s="13">
        <v>0.61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</row>
    <row r="240" spans="1:23" x14ac:dyDescent="0.2">
      <c r="A240" s="14">
        <v>43687</v>
      </c>
      <c r="B240" s="13" t="s">
        <v>21</v>
      </c>
      <c r="C240" s="13" t="s">
        <v>72</v>
      </c>
      <c r="D240" s="13" t="s">
        <v>22</v>
      </c>
      <c r="E240" s="13" t="s">
        <v>23</v>
      </c>
      <c r="F240" s="13" t="s">
        <v>24</v>
      </c>
      <c r="G240" s="13" t="s">
        <v>25</v>
      </c>
      <c r="H240" s="14">
        <v>43412</v>
      </c>
      <c r="I240" s="13"/>
      <c r="J240" s="13"/>
      <c r="K240" s="13">
        <v>10</v>
      </c>
      <c r="L240" s="13">
        <v>1406</v>
      </c>
      <c r="M240" s="13">
        <v>18</v>
      </c>
      <c r="N240" s="13">
        <v>1.2802</v>
      </c>
      <c r="O240" s="13">
        <v>4.74</v>
      </c>
      <c r="P240" s="13">
        <v>0.26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</row>
    <row r="241" spans="1:23" x14ac:dyDescent="0.2">
      <c r="A241" s="14">
        <v>43687</v>
      </c>
      <c r="B241" s="13" t="s">
        <v>21</v>
      </c>
      <c r="C241" s="13" t="s">
        <v>78</v>
      </c>
      <c r="D241" s="13" t="s">
        <v>22</v>
      </c>
      <c r="E241" s="13" t="s">
        <v>23</v>
      </c>
      <c r="F241" s="13" t="s">
        <v>24</v>
      </c>
      <c r="G241" s="13" t="s">
        <v>25</v>
      </c>
      <c r="H241" s="14">
        <v>43688</v>
      </c>
      <c r="I241" s="13"/>
      <c r="J241" s="13"/>
      <c r="K241" s="13">
        <v>10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</row>
    <row r="242" spans="1:23" x14ac:dyDescent="0.2">
      <c r="A242" s="14">
        <v>43687</v>
      </c>
      <c r="B242" s="13" t="s">
        <v>21</v>
      </c>
      <c r="C242" s="13" t="s">
        <v>79</v>
      </c>
      <c r="D242" s="13" t="s">
        <v>22</v>
      </c>
      <c r="E242" s="13" t="s">
        <v>23</v>
      </c>
      <c r="F242" s="13" t="s">
        <v>26</v>
      </c>
      <c r="G242" s="13" t="s">
        <v>25</v>
      </c>
      <c r="H242" s="14">
        <v>43387</v>
      </c>
      <c r="I242" s="13"/>
      <c r="J242" s="13"/>
      <c r="K242" s="13">
        <v>10</v>
      </c>
      <c r="L242" s="13">
        <v>525</v>
      </c>
      <c r="M242" s="13">
        <v>2</v>
      </c>
      <c r="N242" s="13">
        <v>0.38100000000000001</v>
      </c>
      <c r="O242" s="13">
        <v>0.13</v>
      </c>
      <c r="P242" s="13">
        <v>7.0000000000000007E-2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</row>
    <row r="243" spans="1:23" x14ac:dyDescent="0.2">
      <c r="A243" s="14">
        <v>43687</v>
      </c>
      <c r="B243" s="13" t="s">
        <v>21</v>
      </c>
      <c r="C243" s="13" t="s">
        <v>80</v>
      </c>
      <c r="D243" s="13" t="s">
        <v>22</v>
      </c>
      <c r="E243" s="13" t="s">
        <v>23</v>
      </c>
      <c r="F243" s="13" t="s">
        <v>26</v>
      </c>
      <c r="G243" s="13" t="s">
        <v>25</v>
      </c>
      <c r="H243" s="14">
        <v>43676</v>
      </c>
      <c r="I243" s="13"/>
      <c r="J243" s="13"/>
      <c r="K243" s="13">
        <v>10</v>
      </c>
      <c r="L243" s="13">
        <v>70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</row>
    <row r="244" spans="1:23" x14ac:dyDescent="0.2">
      <c r="A244" s="14">
        <v>43687</v>
      </c>
      <c r="B244" s="13" t="s">
        <v>21</v>
      </c>
      <c r="C244" s="13" t="s">
        <v>73</v>
      </c>
      <c r="D244" s="13" t="s">
        <v>22</v>
      </c>
      <c r="E244" s="13" t="s">
        <v>23</v>
      </c>
      <c r="F244" s="13" t="s">
        <v>24</v>
      </c>
      <c r="G244" s="13" t="s">
        <v>25</v>
      </c>
      <c r="H244" s="14">
        <v>43661</v>
      </c>
      <c r="I244" s="13"/>
      <c r="J244" s="13"/>
      <c r="K244" s="13">
        <v>10</v>
      </c>
      <c r="L244" s="13">
        <v>9575</v>
      </c>
      <c r="M244" s="13">
        <v>47</v>
      </c>
      <c r="N244" s="13">
        <v>0.4909</v>
      </c>
      <c r="O244" s="13">
        <v>10.66</v>
      </c>
      <c r="P244" s="13">
        <v>0.23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</row>
    <row r="245" spans="1:23" x14ac:dyDescent="0.2">
      <c r="A245" s="14">
        <v>43687</v>
      </c>
      <c r="B245" s="13" t="s">
        <v>21</v>
      </c>
      <c r="C245" s="13" t="s">
        <v>81</v>
      </c>
      <c r="D245" s="13" t="s">
        <v>22</v>
      </c>
      <c r="E245" s="13" t="s">
        <v>23</v>
      </c>
      <c r="F245" s="13" t="s">
        <v>24</v>
      </c>
      <c r="G245" s="13" t="s">
        <v>25</v>
      </c>
      <c r="H245" s="14">
        <v>43428</v>
      </c>
      <c r="I245" s="13"/>
      <c r="J245" s="13"/>
      <c r="K245" s="13">
        <v>10</v>
      </c>
      <c r="L245" s="13">
        <v>132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</row>
    <row r="246" spans="1:23" x14ac:dyDescent="0.2">
      <c r="A246" s="14">
        <v>43687</v>
      </c>
      <c r="B246" s="13" t="s">
        <v>21</v>
      </c>
      <c r="C246" s="13" t="s">
        <v>82</v>
      </c>
      <c r="D246" s="13" t="s">
        <v>22</v>
      </c>
      <c r="E246" s="13" t="s">
        <v>23</v>
      </c>
      <c r="F246" s="13" t="s">
        <v>26</v>
      </c>
      <c r="G246" s="13" t="s">
        <v>25</v>
      </c>
      <c r="H246" s="14">
        <v>43387</v>
      </c>
      <c r="I246" s="13"/>
      <c r="J246" s="13"/>
      <c r="K246" s="13">
        <v>5</v>
      </c>
      <c r="L246" s="13">
        <v>90</v>
      </c>
      <c r="M246" s="13">
        <v>4</v>
      </c>
      <c r="N246" s="13">
        <v>4.4443999999999999</v>
      </c>
      <c r="O246" s="13">
        <v>0.08</v>
      </c>
      <c r="P246" s="13">
        <v>0.02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</row>
    <row r="247" spans="1:23" x14ac:dyDescent="0.2">
      <c r="A247" s="14">
        <v>43687</v>
      </c>
      <c r="B247" s="13" t="s">
        <v>21</v>
      </c>
      <c r="C247" s="13" t="s">
        <v>28</v>
      </c>
      <c r="D247" s="13" t="s">
        <v>22</v>
      </c>
      <c r="E247" s="13" t="s">
        <v>23</v>
      </c>
      <c r="F247" s="13" t="s">
        <v>24</v>
      </c>
      <c r="G247" s="13" t="s">
        <v>25</v>
      </c>
      <c r="H247" s="14">
        <v>43663</v>
      </c>
      <c r="I247" s="13"/>
      <c r="J247" s="13"/>
      <c r="K247" s="13">
        <v>10</v>
      </c>
      <c r="L247" s="13">
        <v>519</v>
      </c>
      <c r="M247" s="13">
        <v>3</v>
      </c>
      <c r="N247" s="13">
        <v>0.57799999999999996</v>
      </c>
      <c r="O247" s="13">
        <v>1.5</v>
      </c>
      <c r="P247" s="13">
        <v>0.5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</row>
    <row r="248" spans="1:23" x14ac:dyDescent="0.2">
      <c r="A248" s="14">
        <v>43687</v>
      </c>
      <c r="B248" s="13" t="s">
        <v>21</v>
      </c>
      <c r="C248" s="13" t="s">
        <v>86</v>
      </c>
      <c r="D248" s="13" t="s">
        <v>22</v>
      </c>
      <c r="E248" s="13" t="s">
        <v>23</v>
      </c>
      <c r="F248" s="13" t="s">
        <v>26</v>
      </c>
      <c r="G248" s="13" t="s">
        <v>25</v>
      </c>
      <c r="H248" s="14">
        <v>43647</v>
      </c>
      <c r="I248" s="13"/>
      <c r="J248" s="13"/>
      <c r="K248" s="13">
        <v>10</v>
      </c>
      <c r="L248" s="13">
        <v>330</v>
      </c>
      <c r="M248" s="13">
        <v>8</v>
      </c>
      <c r="N248" s="13">
        <v>2.4241999999999999</v>
      </c>
      <c r="O248" s="13">
        <v>3.78</v>
      </c>
      <c r="P248" s="13">
        <v>0.47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</row>
    <row r="249" spans="1:23" x14ac:dyDescent="0.2">
      <c r="A249" s="14">
        <v>43687</v>
      </c>
      <c r="B249" s="13" t="s">
        <v>21</v>
      </c>
      <c r="C249" s="13" t="s">
        <v>30</v>
      </c>
      <c r="D249" s="13" t="s">
        <v>22</v>
      </c>
      <c r="E249" s="13" t="s">
        <v>23</v>
      </c>
      <c r="F249" s="13" t="s">
        <v>24</v>
      </c>
      <c r="G249" s="13" t="s">
        <v>25</v>
      </c>
      <c r="H249" s="14">
        <v>43678</v>
      </c>
      <c r="I249" s="13"/>
      <c r="J249" s="13"/>
      <c r="K249" s="13">
        <v>5</v>
      </c>
      <c r="L249" s="13">
        <v>163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</row>
    <row r="250" spans="1:23" x14ac:dyDescent="0.2">
      <c r="A250" s="14">
        <v>43687</v>
      </c>
      <c r="B250" s="13" t="s">
        <v>21</v>
      </c>
      <c r="C250" s="13" t="s">
        <v>85</v>
      </c>
      <c r="D250" s="13" t="s">
        <v>22</v>
      </c>
      <c r="E250" s="13" t="s">
        <v>23</v>
      </c>
      <c r="F250" s="13" t="s">
        <v>26</v>
      </c>
      <c r="G250" s="13" t="s">
        <v>25</v>
      </c>
      <c r="H250" s="14">
        <v>43387</v>
      </c>
      <c r="I250" s="13"/>
      <c r="J250" s="13"/>
      <c r="K250" s="13">
        <v>5</v>
      </c>
      <c r="L250" s="13">
        <v>8</v>
      </c>
      <c r="M250" s="13">
        <v>1</v>
      </c>
      <c r="N250" s="13">
        <v>12.5</v>
      </c>
      <c r="O250" s="13">
        <v>0.02</v>
      </c>
      <c r="P250" s="13">
        <v>0.02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</row>
    <row r="251" spans="1:23" x14ac:dyDescent="0.2">
      <c r="A251" s="14">
        <v>43687</v>
      </c>
      <c r="B251" s="13" t="s">
        <v>21</v>
      </c>
      <c r="C251" s="13" t="s">
        <v>84</v>
      </c>
      <c r="D251" s="13" t="s">
        <v>22</v>
      </c>
      <c r="E251" s="13" t="s">
        <v>23</v>
      </c>
      <c r="F251" s="13" t="s">
        <v>26</v>
      </c>
      <c r="G251" s="13" t="s">
        <v>25</v>
      </c>
      <c r="H251" s="14">
        <v>43387</v>
      </c>
      <c r="I251" s="13"/>
      <c r="J251" s="13"/>
      <c r="K251" s="13">
        <v>10</v>
      </c>
      <c r="L251" s="13">
        <v>188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</row>
    <row r="252" spans="1:23" x14ac:dyDescent="0.2">
      <c r="A252" s="14">
        <v>43687</v>
      </c>
      <c r="B252" s="13" t="s">
        <v>21</v>
      </c>
      <c r="C252" s="13" t="s">
        <v>31</v>
      </c>
      <c r="D252" s="13" t="s">
        <v>22</v>
      </c>
      <c r="E252" s="13" t="s">
        <v>23</v>
      </c>
      <c r="F252" s="13" t="s">
        <v>26</v>
      </c>
      <c r="G252" s="13" t="s">
        <v>25</v>
      </c>
      <c r="H252" s="14">
        <v>43615</v>
      </c>
      <c r="I252" s="13"/>
      <c r="J252" s="13"/>
      <c r="K252" s="13">
        <v>30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</row>
    <row r="253" spans="1:23" x14ac:dyDescent="0.2">
      <c r="A253" s="14">
        <v>43687</v>
      </c>
      <c r="B253" s="13" t="s">
        <v>21</v>
      </c>
      <c r="C253" s="13" t="s">
        <v>91</v>
      </c>
      <c r="D253" s="13" t="s">
        <v>22</v>
      </c>
      <c r="E253" s="13" t="s">
        <v>23</v>
      </c>
      <c r="F253" s="13" t="s">
        <v>24</v>
      </c>
      <c r="G253" s="13" t="s">
        <v>25</v>
      </c>
      <c r="H253" s="14">
        <v>43439</v>
      </c>
      <c r="I253" s="13"/>
      <c r="J253" s="13"/>
      <c r="K253" s="13">
        <v>2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</row>
    <row r="254" spans="1:23" x14ac:dyDescent="0.2">
      <c r="A254" s="14">
        <v>43687</v>
      </c>
      <c r="B254" s="13" t="s">
        <v>21</v>
      </c>
      <c r="C254" s="13" t="s">
        <v>87</v>
      </c>
      <c r="D254" s="13" t="s">
        <v>22</v>
      </c>
      <c r="E254" s="13" t="s">
        <v>23</v>
      </c>
      <c r="F254" s="13" t="s">
        <v>24</v>
      </c>
      <c r="G254" s="13" t="s">
        <v>25</v>
      </c>
      <c r="H254" s="14">
        <v>43657</v>
      </c>
      <c r="I254" s="13"/>
      <c r="J254" s="13"/>
      <c r="K254" s="13">
        <v>10</v>
      </c>
      <c r="L254" s="13">
        <v>337</v>
      </c>
      <c r="M254" s="13">
        <v>2</v>
      </c>
      <c r="N254" s="13">
        <v>0.59350000000000003</v>
      </c>
      <c r="O254" s="13">
        <v>0.41</v>
      </c>
      <c r="P254" s="13">
        <v>0.21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</row>
    <row r="255" spans="1:23" x14ac:dyDescent="0.2">
      <c r="A255" s="14">
        <v>43687</v>
      </c>
      <c r="B255" s="13" t="s">
        <v>21</v>
      </c>
      <c r="C255" s="13" t="s">
        <v>88</v>
      </c>
      <c r="D255" s="13" t="s">
        <v>22</v>
      </c>
      <c r="E255" s="13" t="s">
        <v>23</v>
      </c>
      <c r="F255" s="13" t="s">
        <v>26</v>
      </c>
      <c r="G255" s="13" t="s">
        <v>25</v>
      </c>
      <c r="H255" s="14">
        <v>43690</v>
      </c>
      <c r="I255" s="13"/>
      <c r="J255" s="13"/>
      <c r="K255" s="13">
        <v>15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</row>
    <row r="256" spans="1:23" x14ac:dyDescent="0.2">
      <c r="A256" s="14">
        <v>43687</v>
      </c>
      <c r="B256" s="13" t="s">
        <v>21</v>
      </c>
      <c r="C256" s="13" t="s">
        <v>89</v>
      </c>
      <c r="D256" s="13" t="s">
        <v>22</v>
      </c>
      <c r="E256" s="13" t="s">
        <v>23</v>
      </c>
      <c r="F256" s="13" t="s">
        <v>26</v>
      </c>
      <c r="G256" s="13" t="s">
        <v>25</v>
      </c>
      <c r="H256" s="14">
        <v>43387</v>
      </c>
      <c r="I256" s="13"/>
      <c r="J256" s="13"/>
      <c r="K256" s="13">
        <v>15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</row>
    <row r="257" spans="1:23" x14ac:dyDescent="0.2">
      <c r="A257" s="14">
        <v>43687</v>
      </c>
      <c r="B257" s="13" t="s">
        <v>21</v>
      </c>
      <c r="C257" s="13" t="s">
        <v>29</v>
      </c>
      <c r="D257" s="13" t="s">
        <v>22</v>
      </c>
      <c r="E257" s="13" t="s">
        <v>23</v>
      </c>
      <c r="F257" s="13" t="s">
        <v>26</v>
      </c>
      <c r="G257" s="13" t="s">
        <v>25</v>
      </c>
      <c r="H257" s="14">
        <v>43423</v>
      </c>
      <c r="I257" s="13"/>
      <c r="J257" s="13"/>
      <c r="K257" s="13">
        <v>3</v>
      </c>
      <c r="L257" s="13">
        <v>332</v>
      </c>
      <c r="M257" s="13">
        <v>1</v>
      </c>
      <c r="N257" s="13">
        <v>0.30120000000000002</v>
      </c>
      <c r="O257" s="13">
        <v>0.12</v>
      </c>
      <c r="P257" s="13">
        <v>0.12</v>
      </c>
      <c r="Q257" s="13">
        <v>1</v>
      </c>
      <c r="R257" s="13">
        <v>10.99</v>
      </c>
      <c r="S257" s="13">
        <v>1.0919000000000001</v>
      </c>
      <c r="T257" s="13">
        <v>0</v>
      </c>
      <c r="U257" s="13">
        <v>0</v>
      </c>
      <c r="V257" s="13">
        <v>0</v>
      </c>
      <c r="W257" s="13">
        <v>0</v>
      </c>
    </row>
    <row r="258" spans="1:23" x14ac:dyDescent="0.2">
      <c r="A258" s="14">
        <v>43687</v>
      </c>
      <c r="B258" s="13" t="s">
        <v>21</v>
      </c>
      <c r="C258" s="13" t="s">
        <v>83</v>
      </c>
      <c r="D258" s="13" t="s">
        <v>22</v>
      </c>
      <c r="E258" s="13" t="s">
        <v>23</v>
      </c>
      <c r="F258" s="13" t="s">
        <v>26</v>
      </c>
      <c r="G258" s="13" t="s">
        <v>25</v>
      </c>
      <c r="H258" s="14">
        <v>43388</v>
      </c>
      <c r="I258" s="13"/>
      <c r="J258" s="13"/>
      <c r="K258" s="13">
        <v>5</v>
      </c>
      <c r="L258" s="13">
        <v>524</v>
      </c>
      <c r="M258" s="13">
        <v>1</v>
      </c>
      <c r="N258" s="13">
        <v>0.1908</v>
      </c>
      <c r="O258" s="13">
        <v>0.72</v>
      </c>
      <c r="P258" s="13">
        <v>0.72</v>
      </c>
      <c r="Q258" s="13">
        <v>1</v>
      </c>
      <c r="R258" s="13">
        <v>23.99</v>
      </c>
      <c r="S258" s="13">
        <v>3.0013000000000001</v>
      </c>
      <c r="T258" s="13">
        <v>0</v>
      </c>
      <c r="U258" s="13">
        <v>0</v>
      </c>
      <c r="V258" s="13">
        <v>0</v>
      </c>
      <c r="W258" s="13">
        <v>0</v>
      </c>
    </row>
    <row r="259" spans="1:23" x14ac:dyDescent="0.2">
      <c r="A259" s="14">
        <v>43687</v>
      </c>
      <c r="B259" s="13" t="s">
        <v>21</v>
      </c>
      <c r="C259" s="13" t="s">
        <v>75</v>
      </c>
      <c r="D259" s="13" t="s">
        <v>22</v>
      </c>
      <c r="E259" s="13" t="s">
        <v>23</v>
      </c>
      <c r="F259" s="13" t="s">
        <v>24</v>
      </c>
      <c r="G259" s="13" t="s">
        <v>25</v>
      </c>
      <c r="H259" s="14">
        <v>43454</v>
      </c>
      <c r="I259" s="13"/>
      <c r="J259" s="13"/>
      <c r="K259" s="13">
        <v>5</v>
      </c>
      <c r="L259" s="13">
        <v>3513</v>
      </c>
      <c r="M259" s="13">
        <v>22</v>
      </c>
      <c r="N259" s="13">
        <v>0.62619999999999998</v>
      </c>
      <c r="O259" s="13">
        <v>5.72</v>
      </c>
      <c r="P259" s="13">
        <v>0.26</v>
      </c>
      <c r="Q259" s="13">
        <v>1</v>
      </c>
      <c r="R259" s="13">
        <v>77.97</v>
      </c>
      <c r="S259" s="13">
        <v>7.3361999999999998</v>
      </c>
      <c r="T259" s="13">
        <v>0</v>
      </c>
      <c r="U259" s="13">
        <v>0</v>
      </c>
      <c r="V259" s="13">
        <v>0</v>
      </c>
      <c r="W259" s="13">
        <v>0</v>
      </c>
    </row>
    <row r="260" spans="1:23" x14ac:dyDescent="0.2">
      <c r="A260" s="14">
        <v>43687</v>
      </c>
      <c r="B260" s="13" t="s">
        <v>21</v>
      </c>
      <c r="C260" s="13" t="s">
        <v>32</v>
      </c>
      <c r="D260" s="13" t="s">
        <v>33</v>
      </c>
      <c r="E260" s="13" t="s">
        <v>34</v>
      </c>
      <c r="F260" s="13" t="s">
        <v>24</v>
      </c>
      <c r="G260" s="13"/>
      <c r="H260" s="14">
        <v>43671</v>
      </c>
      <c r="I260" s="13"/>
      <c r="J260" s="13"/>
      <c r="K260" s="13">
        <v>2</v>
      </c>
      <c r="L260" s="13">
        <v>3250</v>
      </c>
      <c r="M260" s="13">
        <v>23</v>
      </c>
      <c r="N260" s="13">
        <v>0.7077</v>
      </c>
      <c r="O260" s="13">
        <v>8.35</v>
      </c>
      <c r="P260" s="13">
        <v>0.36</v>
      </c>
      <c r="Q260" s="13">
        <v>1</v>
      </c>
      <c r="R260" s="13">
        <v>53.97</v>
      </c>
      <c r="S260" s="13">
        <v>15.4716</v>
      </c>
      <c r="T260" s="13">
        <v>1</v>
      </c>
      <c r="U260" s="13">
        <v>100</v>
      </c>
      <c r="V260" s="13">
        <v>53.97</v>
      </c>
      <c r="W260" s="13">
        <v>100</v>
      </c>
    </row>
    <row r="261" spans="1:23" x14ac:dyDescent="0.2">
      <c r="A261" s="14">
        <v>43687</v>
      </c>
      <c r="B261" s="13" t="s">
        <v>21</v>
      </c>
      <c r="C261" s="13" t="s">
        <v>90</v>
      </c>
      <c r="D261" s="13" t="s">
        <v>22</v>
      </c>
      <c r="E261" s="13" t="s">
        <v>23</v>
      </c>
      <c r="F261" s="13" t="s">
        <v>24</v>
      </c>
      <c r="G261" s="13" t="s">
        <v>25</v>
      </c>
      <c r="H261" s="14">
        <v>43454</v>
      </c>
      <c r="I261" s="13"/>
      <c r="J261" s="13"/>
      <c r="K261" s="13">
        <v>20</v>
      </c>
      <c r="L261" s="13">
        <v>5879</v>
      </c>
      <c r="M261" s="13">
        <v>51</v>
      </c>
      <c r="N261" s="13">
        <v>0.86750000000000005</v>
      </c>
      <c r="O261" s="13">
        <v>13.59</v>
      </c>
      <c r="P261" s="13">
        <v>0.27</v>
      </c>
      <c r="Q261" s="13">
        <v>1</v>
      </c>
      <c r="R261" s="13">
        <v>77.97</v>
      </c>
      <c r="S261" s="13">
        <v>17.4298</v>
      </c>
      <c r="T261" s="13">
        <v>0</v>
      </c>
      <c r="U261" s="13">
        <v>0</v>
      </c>
      <c r="V261" s="13">
        <v>0</v>
      </c>
      <c r="W261" s="13">
        <v>0</v>
      </c>
    </row>
    <row r="262" spans="1:23" x14ac:dyDescent="0.2">
      <c r="A262" s="14">
        <v>43688</v>
      </c>
      <c r="B262" s="13" t="s">
        <v>21</v>
      </c>
      <c r="C262" s="13" t="s">
        <v>74</v>
      </c>
      <c r="D262" s="13" t="s">
        <v>22</v>
      </c>
      <c r="E262" s="13" t="s">
        <v>23</v>
      </c>
      <c r="F262" s="13" t="s">
        <v>24</v>
      </c>
      <c r="G262" s="13" t="s">
        <v>25</v>
      </c>
      <c r="H262" s="14">
        <v>43420</v>
      </c>
      <c r="I262" s="13"/>
      <c r="J262" s="13"/>
      <c r="K262" s="13">
        <v>5</v>
      </c>
      <c r="L262" s="13">
        <v>1341</v>
      </c>
      <c r="M262" s="13">
        <v>18</v>
      </c>
      <c r="N262" s="13">
        <v>1.3423</v>
      </c>
      <c r="O262" s="13">
        <v>3.22</v>
      </c>
      <c r="P262" s="13">
        <v>0.18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</row>
    <row r="263" spans="1:23" x14ac:dyDescent="0.2">
      <c r="A263" s="14">
        <v>43688</v>
      </c>
      <c r="B263" s="13" t="s">
        <v>21</v>
      </c>
      <c r="C263" s="13" t="s">
        <v>76</v>
      </c>
      <c r="D263" s="13" t="s">
        <v>22</v>
      </c>
      <c r="E263" s="13" t="s">
        <v>23</v>
      </c>
      <c r="F263" s="13" t="s">
        <v>24</v>
      </c>
      <c r="G263" s="13" t="s">
        <v>25</v>
      </c>
      <c r="H263" s="14">
        <v>43667</v>
      </c>
      <c r="I263" s="13"/>
      <c r="J263" s="13"/>
      <c r="K263" s="13">
        <v>10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</row>
    <row r="264" spans="1:23" x14ac:dyDescent="0.2">
      <c r="A264" s="14">
        <v>43688</v>
      </c>
      <c r="B264" s="13" t="s">
        <v>21</v>
      </c>
      <c r="C264" s="13" t="s">
        <v>77</v>
      </c>
      <c r="D264" s="13" t="s">
        <v>22</v>
      </c>
      <c r="E264" s="13" t="s">
        <v>23</v>
      </c>
      <c r="F264" s="13" t="s">
        <v>26</v>
      </c>
      <c r="G264" s="13" t="s">
        <v>25</v>
      </c>
      <c r="H264" s="14">
        <v>43388</v>
      </c>
      <c r="I264" s="13"/>
      <c r="J264" s="13"/>
      <c r="K264" s="13">
        <v>5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</row>
    <row r="265" spans="1:23" x14ac:dyDescent="0.2">
      <c r="A265" s="14">
        <v>43688</v>
      </c>
      <c r="B265" s="13" t="s">
        <v>21</v>
      </c>
      <c r="C265" s="13" t="s">
        <v>27</v>
      </c>
      <c r="D265" s="13" t="s">
        <v>22</v>
      </c>
      <c r="E265" s="13" t="s">
        <v>23</v>
      </c>
      <c r="F265" s="13" t="s">
        <v>24</v>
      </c>
      <c r="G265" s="13" t="s">
        <v>25</v>
      </c>
      <c r="H265" s="14">
        <v>43663</v>
      </c>
      <c r="I265" s="13"/>
      <c r="J265" s="13"/>
      <c r="K265" s="13">
        <v>10</v>
      </c>
      <c r="L265" s="13">
        <v>1539</v>
      </c>
      <c r="M265" s="13">
        <v>9</v>
      </c>
      <c r="N265" s="13">
        <v>0.58479999999999999</v>
      </c>
      <c r="O265" s="13">
        <v>5.81</v>
      </c>
      <c r="P265" s="13">
        <v>0.65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</row>
    <row r="266" spans="1:23" x14ac:dyDescent="0.2">
      <c r="A266" s="14">
        <v>43688</v>
      </c>
      <c r="B266" s="13" t="s">
        <v>21</v>
      </c>
      <c r="C266" s="13" t="s">
        <v>32</v>
      </c>
      <c r="D266" s="13" t="s">
        <v>33</v>
      </c>
      <c r="E266" s="13" t="s">
        <v>34</v>
      </c>
      <c r="F266" s="13" t="s">
        <v>24</v>
      </c>
      <c r="G266" s="13"/>
      <c r="H266" s="14">
        <v>43671</v>
      </c>
      <c r="I266" s="13"/>
      <c r="J266" s="13"/>
      <c r="K266" s="13">
        <v>2</v>
      </c>
      <c r="L266" s="13">
        <v>2678</v>
      </c>
      <c r="M266" s="13">
        <v>26</v>
      </c>
      <c r="N266" s="13">
        <v>0.97089999999999999</v>
      </c>
      <c r="O266" s="13">
        <v>10.09</v>
      </c>
      <c r="P266" s="13">
        <v>0.39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</row>
    <row r="267" spans="1:23" x14ac:dyDescent="0.2">
      <c r="A267" s="14">
        <v>43688</v>
      </c>
      <c r="B267" s="13" t="s">
        <v>21</v>
      </c>
      <c r="C267" s="13" t="s">
        <v>78</v>
      </c>
      <c r="D267" s="13" t="s">
        <v>22</v>
      </c>
      <c r="E267" s="13" t="s">
        <v>23</v>
      </c>
      <c r="F267" s="13" t="s">
        <v>24</v>
      </c>
      <c r="G267" s="13" t="s">
        <v>25</v>
      </c>
      <c r="H267" s="14">
        <v>43688</v>
      </c>
      <c r="I267" s="13"/>
      <c r="J267" s="13"/>
      <c r="K267" s="13">
        <v>10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</row>
    <row r="268" spans="1:23" x14ac:dyDescent="0.2">
      <c r="A268" s="14">
        <v>43688</v>
      </c>
      <c r="B268" s="13" t="s">
        <v>21</v>
      </c>
      <c r="C268" s="13" t="s">
        <v>79</v>
      </c>
      <c r="D268" s="13" t="s">
        <v>22</v>
      </c>
      <c r="E268" s="13" t="s">
        <v>23</v>
      </c>
      <c r="F268" s="13" t="s">
        <v>26</v>
      </c>
      <c r="G268" s="13" t="s">
        <v>25</v>
      </c>
      <c r="H268" s="14">
        <v>43387</v>
      </c>
      <c r="I268" s="13"/>
      <c r="J268" s="13"/>
      <c r="K268" s="13">
        <v>10</v>
      </c>
      <c r="L268" s="13">
        <v>72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</row>
    <row r="269" spans="1:23" x14ac:dyDescent="0.2">
      <c r="A269" s="14">
        <v>43688</v>
      </c>
      <c r="B269" s="13" t="s">
        <v>21</v>
      </c>
      <c r="C269" s="13" t="s">
        <v>80</v>
      </c>
      <c r="D269" s="13" t="s">
        <v>22</v>
      </c>
      <c r="E269" s="13" t="s">
        <v>23</v>
      </c>
      <c r="F269" s="13" t="s">
        <v>26</v>
      </c>
      <c r="G269" s="13" t="s">
        <v>25</v>
      </c>
      <c r="H269" s="14">
        <v>43676</v>
      </c>
      <c r="I269" s="13"/>
      <c r="J269" s="13"/>
      <c r="K269" s="13">
        <v>10</v>
      </c>
      <c r="L269" s="13">
        <v>30</v>
      </c>
      <c r="M269" s="13">
        <v>0</v>
      </c>
      <c r="N269" s="13">
        <v>0</v>
      </c>
      <c r="O269" s="13">
        <v>0</v>
      </c>
      <c r="P269" s="13">
        <v>0</v>
      </c>
      <c r="Q269" s="13">
        <v>1</v>
      </c>
      <c r="R269" s="13">
        <v>6.97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</row>
    <row r="270" spans="1:23" x14ac:dyDescent="0.2">
      <c r="A270" s="14">
        <v>43688</v>
      </c>
      <c r="B270" s="13" t="s">
        <v>21</v>
      </c>
      <c r="C270" s="13" t="s">
        <v>73</v>
      </c>
      <c r="D270" s="13" t="s">
        <v>22</v>
      </c>
      <c r="E270" s="13" t="s">
        <v>23</v>
      </c>
      <c r="F270" s="13" t="s">
        <v>24</v>
      </c>
      <c r="G270" s="13" t="s">
        <v>25</v>
      </c>
      <c r="H270" s="14">
        <v>43661</v>
      </c>
      <c r="I270" s="13"/>
      <c r="J270" s="13"/>
      <c r="K270" s="13">
        <v>10</v>
      </c>
      <c r="L270" s="13">
        <v>3282</v>
      </c>
      <c r="M270" s="13">
        <v>15</v>
      </c>
      <c r="N270" s="13">
        <v>0.45700000000000002</v>
      </c>
      <c r="O270" s="13">
        <v>2.72</v>
      </c>
      <c r="P270" s="13">
        <v>0.18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</row>
    <row r="271" spans="1:23" x14ac:dyDescent="0.2">
      <c r="A271" s="14">
        <v>43688</v>
      </c>
      <c r="B271" s="13" t="s">
        <v>21</v>
      </c>
      <c r="C271" s="13" t="s">
        <v>81</v>
      </c>
      <c r="D271" s="13" t="s">
        <v>22</v>
      </c>
      <c r="E271" s="13" t="s">
        <v>23</v>
      </c>
      <c r="F271" s="13" t="s">
        <v>24</v>
      </c>
      <c r="G271" s="13" t="s">
        <v>25</v>
      </c>
      <c r="H271" s="14">
        <v>43428</v>
      </c>
      <c r="I271" s="13"/>
      <c r="J271" s="13"/>
      <c r="K271" s="13">
        <v>10</v>
      </c>
      <c r="L271" s="13">
        <v>857</v>
      </c>
      <c r="M271" s="13">
        <v>4</v>
      </c>
      <c r="N271" s="13">
        <v>0.4667</v>
      </c>
      <c r="O271" s="13">
        <v>1.61</v>
      </c>
      <c r="P271" s="13">
        <v>0.4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</row>
    <row r="272" spans="1:23" x14ac:dyDescent="0.2">
      <c r="A272" s="14">
        <v>43688</v>
      </c>
      <c r="B272" s="13" t="s">
        <v>21</v>
      </c>
      <c r="C272" s="13" t="s">
        <v>82</v>
      </c>
      <c r="D272" s="13" t="s">
        <v>22</v>
      </c>
      <c r="E272" s="13" t="s">
        <v>23</v>
      </c>
      <c r="F272" s="13" t="s">
        <v>26</v>
      </c>
      <c r="G272" s="13" t="s">
        <v>25</v>
      </c>
      <c r="H272" s="14">
        <v>43387</v>
      </c>
      <c r="I272" s="13"/>
      <c r="J272" s="13"/>
      <c r="K272" s="13">
        <v>5</v>
      </c>
      <c r="L272" s="13">
        <v>63</v>
      </c>
      <c r="M272" s="13">
        <v>1</v>
      </c>
      <c r="N272" s="13">
        <v>1.5872999999999999</v>
      </c>
      <c r="O272" s="13">
        <v>0.02</v>
      </c>
      <c r="P272" s="13">
        <v>0.02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</row>
    <row r="273" spans="1:23" x14ac:dyDescent="0.2">
      <c r="A273" s="14">
        <v>43688</v>
      </c>
      <c r="B273" s="13" t="s">
        <v>21</v>
      </c>
      <c r="C273" s="13" t="s">
        <v>29</v>
      </c>
      <c r="D273" s="13" t="s">
        <v>22</v>
      </c>
      <c r="E273" s="13" t="s">
        <v>23</v>
      </c>
      <c r="F273" s="13" t="s">
        <v>26</v>
      </c>
      <c r="G273" s="13" t="s">
        <v>25</v>
      </c>
      <c r="H273" s="14">
        <v>43423</v>
      </c>
      <c r="I273" s="13"/>
      <c r="J273" s="13"/>
      <c r="K273" s="13">
        <v>3</v>
      </c>
      <c r="L273" s="13">
        <v>243</v>
      </c>
      <c r="M273" s="13">
        <v>1</v>
      </c>
      <c r="N273" s="13">
        <v>0.41149999999999998</v>
      </c>
      <c r="O273" s="13">
        <v>0.11</v>
      </c>
      <c r="P273" s="13">
        <v>0.11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</row>
    <row r="274" spans="1:23" x14ac:dyDescent="0.2">
      <c r="A274" s="14">
        <v>43688</v>
      </c>
      <c r="B274" s="13" t="s">
        <v>21</v>
      </c>
      <c r="C274" s="13" t="s">
        <v>86</v>
      </c>
      <c r="D274" s="13" t="s">
        <v>22</v>
      </c>
      <c r="E274" s="13" t="s">
        <v>23</v>
      </c>
      <c r="F274" s="13" t="s">
        <v>26</v>
      </c>
      <c r="G274" s="13" t="s">
        <v>25</v>
      </c>
      <c r="H274" s="14">
        <v>43647</v>
      </c>
      <c r="I274" s="13"/>
      <c r="J274" s="13"/>
      <c r="K274" s="13">
        <v>10</v>
      </c>
      <c r="L274" s="13">
        <v>414</v>
      </c>
      <c r="M274" s="13">
        <v>5</v>
      </c>
      <c r="N274" s="13">
        <v>1.2077</v>
      </c>
      <c r="O274" s="13">
        <v>1.98</v>
      </c>
      <c r="P274" s="13">
        <v>0.4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</row>
    <row r="275" spans="1:23" x14ac:dyDescent="0.2">
      <c r="A275" s="14">
        <v>43688</v>
      </c>
      <c r="B275" s="13" t="s">
        <v>21</v>
      </c>
      <c r="C275" s="13" t="s">
        <v>30</v>
      </c>
      <c r="D275" s="13" t="s">
        <v>22</v>
      </c>
      <c r="E275" s="13" t="s">
        <v>23</v>
      </c>
      <c r="F275" s="13" t="s">
        <v>24</v>
      </c>
      <c r="G275" s="13" t="s">
        <v>25</v>
      </c>
      <c r="H275" s="14">
        <v>43678</v>
      </c>
      <c r="I275" s="13"/>
      <c r="J275" s="13"/>
      <c r="K275" s="13">
        <v>5</v>
      </c>
      <c r="L275" s="13">
        <v>134</v>
      </c>
      <c r="M275" s="13">
        <v>1</v>
      </c>
      <c r="N275" s="13">
        <v>0.74629999999999996</v>
      </c>
      <c r="O275" s="13">
        <v>0.35</v>
      </c>
      <c r="P275" s="13">
        <v>0.35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</row>
    <row r="276" spans="1:23" x14ac:dyDescent="0.2">
      <c r="A276" s="14">
        <v>43688</v>
      </c>
      <c r="B276" s="13" t="s">
        <v>21</v>
      </c>
      <c r="C276" s="13" t="s">
        <v>85</v>
      </c>
      <c r="D276" s="13" t="s">
        <v>22</v>
      </c>
      <c r="E276" s="13" t="s">
        <v>23</v>
      </c>
      <c r="F276" s="13" t="s">
        <v>26</v>
      </c>
      <c r="G276" s="13" t="s">
        <v>25</v>
      </c>
      <c r="H276" s="14">
        <v>43387</v>
      </c>
      <c r="I276" s="13"/>
      <c r="J276" s="13"/>
      <c r="K276" s="13">
        <v>5</v>
      </c>
      <c r="L276" s="13">
        <v>3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</row>
    <row r="277" spans="1:23" x14ac:dyDescent="0.2">
      <c r="A277" s="14">
        <v>43688</v>
      </c>
      <c r="B277" s="13" t="s">
        <v>21</v>
      </c>
      <c r="C277" s="13" t="s">
        <v>84</v>
      </c>
      <c r="D277" s="13" t="s">
        <v>22</v>
      </c>
      <c r="E277" s="13" t="s">
        <v>23</v>
      </c>
      <c r="F277" s="13" t="s">
        <v>26</v>
      </c>
      <c r="G277" s="13" t="s">
        <v>25</v>
      </c>
      <c r="H277" s="14">
        <v>43387</v>
      </c>
      <c r="I277" s="13"/>
      <c r="J277" s="13"/>
      <c r="K277" s="13">
        <v>10</v>
      </c>
      <c r="L277" s="13">
        <v>229</v>
      </c>
      <c r="M277" s="13">
        <v>1</v>
      </c>
      <c r="N277" s="13">
        <v>0.43669999999999998</v>
      </c>
      <c r="O277" s="13">
        <v>0.28000000000000003</v>
      </c>
      <c r="P277" s="13">
        <v>0.28000000000000003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</row>
    <row r="278" spans="1:23" x14ac:dyDescent="0.2">
      <c r="A278" s="14">
        <v>43688</v>
      </c>
      <c r="B278" s="13" t="s">
        <v>21</v>
      </c>
      <c r="C278" s="13" t="s">
        <v>31</v>
      </c>
      <c r="D278" s="13" t="s">
        <v>22</v>
      </c>
      <c r="E278" s="13" t="s">
        <v>23</v>
      </c>
      <c r="F278" s="13" t="s">
        <v>26</v>
      </c>
      <c r="G278" s="13" t="s">
        <v>25</v>
      </c>
      <c r="H278" s="14">
        <v>43615</v>
      </c>
      <c r="I278" s="13"/>
      <c r="J278" s="13"/>
      <c r="K278" s="13">
        <v>30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</row>
    <row r="279" spans="1:23" x14ac:dyDescent="0.2">
      <c r="A279" s="14">
        <v>43688</v>
      </c>
      <c r="B279" s="13" t="s">
        <v>21</v>
      </c>
      <c r="C279" s="13" t="s">
        <v>91</v>
      </c>
      <c r="D279" s="13" t="s">
        <v>22</v>
      </c>
      <c r="E279" s="13" t="s">
        <v>23</v>
      </c>
      <c r="F279" s="13" t="s">
        <v>24</v>
      </c>
      <c r="G279" s="13" t="s">
        <v>25</v>
      </c>
      <c r="H279" s="14">
        <v>43439</v>
      </c>
      <c r="I279" s="13"/>
      <c r="J279" s="13"/>
      <c r="K279" s="13">
        <v>2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</row>
    <row r="280" spans="1:23" x14ac:dyDescent="0.2">
      <c r="A280" s="14">
        <v>43688</v>
      </c>
      <c r="B280" s="13" t="s">
        <v>21</v>
      </c>
      <c r="C280" s="13" t="s">
        <v>87</v>
      </c>
      <c r="D280" s="13" t="s">
        <v>22</v>
      </c>
      <c r="E280" s="13" t="s">
        <v>23</v>
      </c>
      <c r="F280" s="13" t="s">
        <v>24</v>
      </c>
      <c r="G280" s="13" t="s">
        <v>25</v>
      </c>
      <c r="H280" s="14">
        <v>43657</v>
      </c>
      <c r="I280" s="13"/>
      <c r="J280" s="13"/>
      <c r="K280" s="13">
        <v>10</v>
      </c>
      <c r="L280" s="13">
        <v>261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</row>
    <row r="281" spans="1:23" x14ac:dyDescent="0.2">
      <c r="A281" s="14">
        <v>43688</v>
      </c>
      <c r="B281" s="13" t="s">
        <v>21</v>
      </c>
      <c r="C281" s="13" t="s">
        <v>88</v>
      </c>
      <c r="D281" s="13" t="s">
        <v>22</v>
      </c>
      <c r="E281" s="13" t="s">
        <v>23</v>
      </c>
      <c r="F281" s="13" t="s">
        <v>26</v>
      </c>
      <c r="G281" s="13" t="s">
        <v>25</v>
      </c>
      <c r="H281" s="14">
        <v>43690</v>
      </c>
      <c r="I281" s="13"/>
      <c r="J281" s="13"/>
      <c r="K281" s="13">
        <v>15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</row>
    <row r="282" spans="1:23" x14ac:dyDescent="0.2">
      <c r="A282" s="14">
        <v>43688</v>
      </c>
      <c r="B282" s="13" t="s">
        <v>21</v>
      </c>
      <c r="C282" s="13" t="s">
        <v>89</v>
      </c>
      <c r="D282" s="13" t="s">
        <v>22</v>
      </c>
      <c r="E282" s="13" t="s">
        <v>23</v>
      </c>
      <c r="F282" s="13" t="s">
        <v>26</v>
      </c>
      <c r="G282" s="13" t="s">
        <v>25</v>
      </c>
      <c r="H282" s="14">
        <v>43387</v>
      </c>
      <c r="I282" s="13"/>
      <c r="J282" s="13"/>
      <c r="K282" s="13">
        <v>15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</row>
    <row r="283" spans="1:23" x14ac:dyDescent="0.2">
      <c r="A283" s="14">
        <v>43688</v>
      </c>
      <c r="B283" s="13" t="s">
        <v>21</v>
      </c>
      <c r="C283" s="13" t="s">
        <v>72</v>
      </c>
      <c r="D283" s="13" t="s">
        <v>22</v>
      </c>
      <c r="E283" s="13" t="s">
        <v>23</v>
      </c>
      <c r="F283" s="13" t="s">
        <v>24</v>
      </c>
      <c r="G283" s="13" t="s">
        <v>25</v>
      </c>
      <c r="H283" s="14">
        <v>43412</v>
      </c>
      <c r="I283" s="13"/>
      <c r="J283" s="13"/>
      <c r="K283" s="13">
        <v>10</v>
      </c>
      <c r="L283" s="13">
        <v>468</v>
      </c>
      <c r="M283" s="13">
        <v>6</v>
      </c>
      <c r="N283" s="13">
        <v>1.2821</v>
      </c>
      <c r="O283" s="13">
        <v>1.89</v>
      </c>
      <c r="P283" s="13">
        <v>0.32</v>
      </c>
      <c r="Q283" s="13">
        <v>2</v>
      </c>
      <c r="R283" s="13">
        <v>129.94</v>
      </c>
      <c r="S283" s="13">
        <v>1.4544999999999999</v>
      </c>
      <c r="T283" s="13">
        <v>0</v>
      </c>
      <c r="U283" s="13">
        <v>0</v>
      </c>
      <c r="V283" s="13">
        <v>0</v>
      </c>
      <c r="W283" s="13">
        <v>0</v>
      </c>
    </row>
    <row r="284" spans="1:23" x14ac:dyDescent="0.2">
      <c r="A284" s="14">
        <v>43688</v>
      </c>
      <c r="B284" s="13" t="s">
        <v>21</v>
      </c>
      <c r="C284" s="13" t="s">
        <v>28</v>
      </c>
      <c r="D284" s="13" t="s">
        <v>22</v>
      </c>
      <c r="E284" s="13" t="s">
        <v>23</v>
      </c>
      <c r="F284" s="13" t="s">
        <v>24</v>
      </c>
      <c r="G284" s="13" t="s">
        <v>25</v>
      </c>
      <c r="H284" s="14">
        <v>43663</v>
      </c>
      <c r="I284" s="13"/>
      <c r="J284" s="13"/>
      <c r="K284" s="13">
        <v>10</v>
      </c>
      <c r="L284" s="13">
        <v>682</v>
      </c>
      <c r="M284" s="13">
        <v>2</v>
      </c>
      <c r="N284" s="13">
        <v>0.29330000000000001</v>
      </c>
      <c r="O284" s="13">
        <v>1.1499999999999999</v>
      </c>
      <c r="P284" s="13">
        <v>0.56999999999999995</v>
      </c>
      <c r="Q284" s="13">
        <v>1</v>
      </c>
      <c r="R284" s="13">
        <v>16.37</v>
      </c>
      <c r="S284" s="13">
        <v>7.0250000000000004</v>
      </c>
      <c r="T284" s="13">
        <v>0</v>
      </c>
      <c r="U284" s="13">
        <v>0</v>
      </c>
      <c r="V284" s="13">
        <v>0</v>
      </c>
      <c r="W284" s="13">
        <v>0</v>
      </c>
    </row>
    <row r="285" spans="1:23" x14ac:dyDescent="0.2">
      <c r="A285" s="14">
        <v>43688</v>
      </c>
      <c r="B285" s="13" t="s">
        <v>21</v>
      </c>
      <c r="C285" s="13" t="s">
        <v>90</v>
      </c>
      <c r="D285" s="13" t="s">
        <v>22</v>
      </c>
      <c r="E285" s="13" t="s">
        <v>23</v>
      </c>
      <c r="F285" s="13" t="s">
        <v>24</v>
      </c>
      <c r="G285" s="13" t="s">
        <v>25</v>
      </c>
      <c r="H285" s="14">
        <v>43454</v>
      </c>
      <c r="I285" s="13"/>
      <c r="J285" s="13"/>
      <c r="K285" s="13">
        <v>20</v>
      </c>
      <c r="L285" s="13">
        <v>7253</v>
      </c>
      <c r="M285" s="13">
        <v>84</v>
      </c>
      <c r="N285" s="13">
        <v>1.1580999999999999</v>
      </c>
      <c r="O285" s="13">
        <v>22.49</v>
      </c>
      <c r="P285" s="13">
        <v>0.27</v>
      </c>
      <c r="Q285" s="13">
        <v>4</v>
      </c>
      <c r="R285" s="13">
        <v>315.88</v>
      </c>
      <c r="S285" s="13">
        <v>7.1197999999999997</v>
      </c>
      <c r="T285" s="13">
        <v>0</v>
      </c>
      <c r="U285" s="13">
        <v>0</v>
      </c>
      <c r="V285" s="13">
        <v>0</v>
      </c>
      <c r="W285" s="13">
        <v>0</v>
      </c>
    </row>
    <row r="286" spans="1:23" x14ac:dyDescent="0.2">
      <c r="A286" s="14">
        <v>43688</v>
      </c>
      <c r="B286" s="13" t="s">
        <v>21</v>
      </c>
      <c r="C286" s="13" t="s">
        <v>75</v>
      </c>
      <c r="D286" s="13" t="s">
        <v>22</v>
      </c>
      <c r="E286" s="13" t="s">
        <v>23</v>
      </c>
      <c r="F286" s="13" t="s">
        <v>24</v>
      </c>
      <c r="G286" s="13" t="s">
        <v>25</v>
      </c>
      <c r="H286" s="14">
        <v>43454</v>
      </c>
      <c r="I286" s="13"/>
      <c r="J286" s="13"/>
      <c r="K286" s="13">
        <v>5</v>
      </c>
      <c r="L286" s="13">
        <v>3918</v>
      </c>
      <c r="M286" s="13">
        <v>20</v>
      </c>
      <c r="N286" s="13">
        <v>0.51049999999999995</v>
      </c>
      <c r="O286" s="13">
        <v>5.54</v>
      </c>
      <c r="P286" s="13">
        <v>0.28000000000000003</v>
      </c>
      <c r="Q286" s="13">
        <v>1</v>
      </c>
      <c r="R286" s="13">
        <v>57.99</v>
      </c>
      <c r="S286" s="13">
        <v>9.5533999999999999</v>
      </c>
      <c r="T286" s="13">
        <v>0</v>
      </c>
      <c r="U286" s="13">
        <v>0</v>
      </c>
      <c r="V286" s="13">
        <v>0</v>
      </c>
      <c r="W286" s="13">
        <v>0</v>
      </c>
    </row>
    <row r="287" spans="1:23" x14ac:dyDescent="0.2">
      <c r="A287" s="14">
        <v>43688</v>
      </c>
      <c r="B287" s="13" t="s">
        <v>21</v>
      </c>
      <c r="C287" s="13" t="s">
        <v>83</v>
      </c>
      <c r="D287" s="13" t="s">
        <v>22</v>
      </c>
      <c r="E287" s="13" t="s">
        <v>23</v>
      </c>
      <c r="F287" s="13" t="s">
        <v>26</v>
      </c>
      <c r="G287" s="13" t="s">
        <v>25</v>
      </c>
      <c r="H287" s="14">
        <v>43388</v>
      </c>
      <c r="I287" s="13"/>
      <c r="J287" s="13"/>
      <c r="K287" s="13">
        <v>5</v>
      </c>
      <c r="L287" s="13">
        <v>4269</v>
      </c>
      <c r="M287" s="13">
        <v>9</v>
      </c>
      <c r="N287" s="13">
        <v>0.21079999999999999</v>
      </c>
      <c r="O287" s="13">
        <v>5.53</v>
      </c>
      <c r="P287" s="13">
        <v>0.61</v>
      </c>
      <c r="Q287" s="13">
        <v>1</v>
      </c>
      <c r="R287" s="13">
        <v>23.99</v>
      </c>
      <c r="S287" s="13">
        <v>23.051300000000001</v>
      </c>
      <c r="T287" s="13">
        <v>0</v>
      </c>
      <c r="U287" s="13">
        <v>0</v>
      </c>
      <c r="V287" s="13">
        <v>0</v>
      </c>
      <c r="W287" s="13">
        <v>0</v>
      </c>
    </row>
    <row r="288" spans="1:23" x14ac:dyDescent="0.2">
      <c r="A288" s="14">
        <v>43689</v>
      </c>
      <c r="B288" s="13" t="s">
        <v>21</v>
      </c>
      <c r="C288" s="13" t="s">
        <v>74</v>
      </c>
      <c r="D288" s="13" t="s">
        <v>22</v>
      </c>
      <c r="E288" s="13" t="s">
        <v>23</v>
      </c>
      <c r="F288" s="13" t="s">
        <v>24</v>
      </c>
      <c r="G288" s="13" t="s">
        <v>25</v>
      </c>
      <c r="H288" s="14">
        <v>43420</v>
      </c>
      <c r="I288" s="13"/>
      <c r="J288" s="13"/>
      <c r="K288" s="13">
        <v>5</v>
      </c>
      <c r="L288" s="13">
        <v>1288</v>
      </c>
      <c r="M288" s="13">
        <v>22</v>
      </c>
      <c r="N288" s="13">
        <v>1.7081</v>
      </c>
      <c r="O288" s="13">
        <v>6.26</v>
      </c>
      <c r="P288" s="13">
        <v>0.28000000000000003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</row>
    <row r="289" spans="1:23" x14ac:dyDescent="0.2">
      <c r="A289" s="14">
        <v>43689</v>
      </c>
      <c r="B289" s="13" t="s">
        <v>21</v>
      </c>
      <c r="C289" s="13" t="s">
        <v>76</v>
      </c>
      <c r="D289" s="13" t="s">
        <v>22</v>
      </c>
      <c r="E289" s="13" t="s">
        <v>23</v>
      </c>
      <c r="F289" s="13" t="s">
        <v>24</v>
      </c>
      <c r="G289" s="13" t="s">
        <v>25</v>
      </c>
      <c r="H289" s="14">
        <v>43667</v>
      </c>
      <c r="I289" s="13"/>
      <c r="J289" s="13"/>
      <c r="K289" s="13">
        <v>10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</row>
    <row r="290" spans="1:23" x14ac:dyDescent="0.2">
      <c r="A290" s="14">
        <v>43689</v>
      </c>
      <c r="B290" s="13" t="s">
        <v>21</v>
      </c>
      <c r="C290" s="13" t="s">
        <v>77</v>
      </c>
      <c r="D290" s="13" t="s">
        <v>22</v>
      </c>
      <c r="E290" s="13" t="s">
        <v>23</v>
      </c>
      <c r="F290" s="13" t="s">
        <v>26</v>
      </c>
      <c r="G290" s="13" t="s">
        <v>25</v>
      </c>
      <c r="H290" s="14">
        <v>43388</v>
      </c>
      <c r="I290" s="13"/>
      <c r="J290" s="13"/>
      <c r="K290" s="13">
        <v>5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</row>
    <row r="291" spans="1:23" x14ac:dyDescent="0.2">
      <c r="A291" s="14">
        <v>43689</v>
      </c>
      <c r="B291" s="13" t="s">
        <v>21</v>
      </c>
      <c r="C291" s="13" t="s">
        <v>27</v>
      </c>
      <c r="D291" s="13" t="s">
        <v>22</v>
      </c>
      <c r="E291" s="13" t="s">
        <v>23</v>
      </c>
      <c r="F291" s="13" t="s">
        <v>24</v>
      </c>
      <c r="G291" s="13" t="s">
        <v>25</v>
      </c>
      <c r="H291" s="14">
        <v>43663</v>
      </c>
      <c r="I291" s="13"/>
      <c r="J291" s="13"/>
      <c r="K291" s="13">
        <v>10</v>
      </c>
      <c r="L291" s="13">
        <v>1405</v>
      </c>
      <c r="M291" s="13">
        <v>12</v>
      </c>
      <c r="N291" s="13">
        <v>0.85409999999999997</v>
      </c>
      <c r="O291" s="13">
        <v>7.03</v>
      </c>
      <c r="P291" s="13">
        <v>0.59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</row>
    <row r="292" spans="1:23" x14ac:dyDescent="0.2">
      <c r="A292" s="14">
        <v>43689</v>
      </c>
      <c r="B292" s="13" t="s">
        <v>21</v>
      </c>
      <c r="C292" s="13" t="s">
        <v>32</v>
      </c>
      <c r="D292" s="13" t="s">
        <v>33</v>
      </c>
      <c r="E292" s="13" t="s">
        <v>34</v>
      </c>
      <c r="F292" s="13" t="s">
        <v>24</v>
      </c>
      <c r="G292" s="13"/>
      <c r="H292" s="14">
        <v>43671</v>
      </c>
      <c r="I292" s="13"/>
      <c r="J292" s="13"/>
      <c r="K292" s="13">
        <v>2</v>
      </c>
      <c r="L292" s="13">
        <v>610</v>
      </c>
      <c r="M292" s="13">
        <v>6</v>
      </c>
      <c r="N292" s="13">
        <v>0.98360000000000003</v>
      </c>
      <c r="O292" s="13">
        <v>2.23</v>
      </c>
      <c r="P292" s="13">
        <v>0.37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</row>
    <row r="293" spans="1:23" x14ac:dyDescent="0.2">
      <c r="A293" s="14">
        <v>43689</v>
      </c>
      <c r="B293" s="13" t="s">
        <v>21</v>
      </c>
      <c r="C293" s="13" t="s">
        <v>72</v>
      </c>
      <c r="D293" s="13" t="s">
        <v>22</v>
      </c>
      <c r="E293" s="13" t="s">
        <v>23</v>
      </c>
      <c r="F293" s="13" t="s">
        <v>24</v>
      </c>
      <c r="G293" s="13" t="s">
        <v>25</v>
      </c>
      <c r="H293" s="14">
        <v>43412</v>
      </c>
      <c r="I293" s="13"/>
      <c r="J293" s="13"/>
      <c r="K293" s="13">
        <v>10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</row>
    <row r="294" spans="1:23" x14ac:dyDescent="0.2">
      <c r="A294" s="14">
        <v>43689</v>
      </c>
      <c r="B294" s="13" t="s">
        <v>21</v>
      </c>
      <c r="C294" s="13" t="s">
        <v>78</v>
      </c>
      <c r="D294" s="13" t="s">
        <v>22</v>
      </c>
      <c r="E294" s="13" t="s">
        <v>23</v>
      </c>
      <c r="F294" s="13" t="s">
        <v>24</v>
      </c>
      <c r="G294" s="13" t="s">
        <v>25</v>
      </c>
      <c r="H294" s="14">
        <v>43688</v>
      </c>
      <c r="I294" s="13"/>
      <c r="J294" s="13"/>
      <c r="K294" s="13">
        <v>10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</row>
    <row r="295" spans="1:23" x14ac:dyDescent="0.2">
      <c r="A295" s="14">
        <v>43689</v>
      </c>
      <c r="B295" s="13" t="s">
        <v>21</v>
      </c>
      <c r="C295" s="13" t="s">
        <v>79</v>
      </c>
      <c r="D295" s="13" t="s">
        <v>22</v>
      </c>
      <c r="E295" s="13" t="s">
        <v>23</v>
      </c>
      <c r="F295" s="13" t="s">
        <v>26</v>
      </c>
      <c r="G295" s="13" t="s">
        <v>25</v>
      </c>
      <c r="H295" s="14">
        <v>43387</v>
      </c>
      <c r="I295" s="13"/>
      <c r="J295" s="13"/>
      <c r="K295" s="13">
        <v>10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</row>
    <row r="296" spans="1:23" x14ac:dyDescent="0.2">
      <c r="A296" s="14">
        <v>43689</v>
      </c>
      <c r="B296" s="13" t="s">
        <v>21</v>
      </c>
      <c r="C296" s="13" t="s">
        <v>80</v>
      </c>
      <c r="D296" s="13" t="s">
        <v>22</v>
      </c>
      <c r="E296" s="13" t="s">
        <v>23</v>
      </c>
      <c r="F296" s="13" t="s">
        <v>26</v>
      </c>
      <c r="G296" s="13" t="s">
        <v>25</v>
      </c>
      <c r="H296" s="14">
        <v>43676</v>
      </c>
      <c r="I296" s="13"/>
      <c r="J296" s="13"/>
      <c r="K296" s="13">
        <v>10</v>
      </c>
      <c r="L296" s="13">
        <v>26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</row>
    <row r="297" spans="1:23" x14ac:dyDescent="0.2">
      <c r="A297" s="14">
        <v>43689</v>
      </c>
      <c r="B297" s="13" t="s">
        <v>21</v>
      </c>
      <c r="C297" s="13" t="s">
        <v>73</v>
      </c>
      <c r="D297" s="13" t="s">
        <v>22</v>
      </c>
      <c r="E297" s="13" t="s">
        <v>23</v>
      </c>
      <c r="F297" s="13" t="s">
        <v>24</v>
      </c>
      <c r="G297" s="13" t="s">
        <v>25</v>
      </c>
      <c r="H297" s="14">
        <v>43661</v>
      </c>
      <c r="I297" s="13"/>
      <c r="J297" s="13"/>
      <c r="K297" s="13">
        <v>10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</row>
    <row r="298" spans="1:23" x14ac:dyDescent="0.2">
      <c r="A298" s="14">
        <v>43689</v>
      </c>
      <c r="B298" s="13" t="s">
        <v>21</v>
      </c>
      <c r="C298" s="13" t="s">
        <v>81</v>
      </c>
      <c r="D298" s="13" t="s">
        <v>22</v>
      </c>
      <c r="E298" s="13" t="s">
        <v>23</v>
      </c>
      <c r="F298" s="13" t="s">
        <v>24</v>
      </c>
      <c r="G298" s="13" t="s">
        <v>25</v>
      </c>
      <c r="H298" s="14">
        <v>43428</v>
      </c>
      <c r="I298" s="13"/>
      <c r="J298" s="13"/>
      <c r="K298" s="13">
        <v>10</v>
      </c>
      <c r="L298" s="13">
        <v>1607</v>
      </c>
      <c r="M298" s="13">
        <v>5</v>
      </c>
      <c r="N298" s="13">
        <v>0.31109999999999999</v>
      </c>
      <c r="O298" s="13">
        <v>2.46</v>
      </c>
      <c r="P298" s="13">
        <v>0.49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</row>
    <row r="299" spans="1:23" x14ac:dyDescent="0.2">
      <c r="A299" s="14">
        <v>43689</v>
      </c>
      <c r="B299" s="13" t="s">
        <v>21</v>
      </c>
      <c r="C299" s="13" t="s">
        <v>82</v>
      </c>
      <c r="D299" s="13" t="s">
        <v>22</v>
      </c>
      <c r="E299" s="13" t="s">
        <v>23</v>
      </c>
      <c r="F299" s="13" t="s">
        <v>26</v>
      </c>
      <c r="G299" s="13" t="s">
        <v>25</v>
      </c>
      <c r="H299" s="14">
        <v>43387</v>
      </c>
      <c r="I299" s="13"/>
      <c r="J299" s="13"/>
      <c r="K299" s="13">
        <v>5</v>
      </c>
      <c r="L299" s="13">
        <v>118</v>
      </c>
      <c r="M299" s="13">
        <v>3</v>
      </c>
      <c r="N299" s="13">
        <v>2.5424000000000002</v>
      </c>
      <c r="O299" s="13">
        <v>0.06</v>
      </c>
      <c r="P299" s="13">
        <v>0.02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</row>
    <row r="300" spans="1:23" x14ac:dyDescent="0.2">
      <c r="A300" s="14">
        <v>43689</v>
      </c>
      <c r="B300" s="13" t="s">
        <v>21</v>
      </c>
      <c r="C300" s="13" t="s">
        <v>28</v>
      </c>
      <c r="D300" s="13" t="s">
        <v>22</v>
      </c>
      <c r="E300" s="13" t="s">
        <v>23</v>
      </c>
      <c r="F300" s="13" t="s">
        <v>24</v>
      </c>
      <c r="G300" s="13" t="s">
        <v>25</v>
      </c>
      <c r="H300" s="14">
        <v>43663</v>
      </c>
      <c r="I300" s="13"/>
      <c r="J300" s="13"/>
      <c r="K300" s="13">
        <v>10</v>
      </c>
      <c r="L300" s="13">
        <v>691</v>
      </c>
      <c r="M300" s="13">
        <v>4</v>
      </c>
      <c r="N300" s="13">
        <v>0.57889999999999997</v>
      </c>
      <c r="O300" s="13">
        <v>2.33</v>
      </c>
      <c r="P300" s="13">
        <v>0.57999999999999996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</row>
    <row r="301" spans="1:23" x14ac:dyDescent="0.2">
      <c r="A301" s="14">
        <v>43689</v>
      </c>
      <c r="B301" s="13" t="s">
        <v>21</v>
      </c>
      <c r="C301" s="13" t="s">
        <v>83</v>
      </c>
      <c r="D301" s="13" t="s">
        <v>22</v>
      </c>
      <c r="E301" s="13" t="s">
        <v>23</v>
      </c>
      <c r="F301" s="13" t="s">
        <v>26</v>
      </c>
      <c r="G301" s="13" t="s">
        <v>25</v>
      </c>
      <c r="H301" s="14">
        <v>43388</v>
      </c>
      <c r="I301" s="13"/>
      <c r="J301" s="13"/>
      <c r="K301" s="13">
        <v>5</v>
      </c>
      <c r="L301" s="13">
        <v>3454</v>
      </c>
      <c r="M301" s="13">
        <v>9</v>
      </c>
      <c r="N301" s="13">
        <v>0.2606</v>
      </c>
      <c r="O301" s="13">
        <v>5.47</v>
      </c>
      <c r="P301" s="13">
        <v>0.61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</row>
    <row r="302" spans="1:23" x14ac:dyDescent="0.2">
      <c r="A302" s="14">
        <v>43689</v>
      </c>
      <c r="B302" s="13" t="s">
        <v>21</v>
      </c>
      <c r="C302" s="13" t="s">
        <v>29</v>
      </c>
      <c r="D302" s="13" t="s">
        <v>22</v>
      </c>
      <c r="E302" s="13" t="s">
        <v>23</v>
      </c>
      <c r="F302" s="13" t="s">
        <v>26</v>
      </c>
      <c r="G302" s="13" t="s">
        <v>25</v>
      </c>
      <c r="H302" s="14">
        <v>43423</v>
      </c>
      <c r="I302" s="13"/>
      <c r="J302" s="13"/>
      <c r="K302" s="13">
        <v>3</v>
      </c>
      <c r="L302" s="13">
        <v>281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</row>
    <row r="303" spans="1:23" x14ac:dyDescent="0.2">
      <c r="A303" s="14">
        <v>43689</v>
      </c>
      <c r="B303" s="13" t="s">
        <v>21</v>
      </c>
      <c r="C303" s="13" t="s">
        <v>85</v>
      </c>
      <c r="D303" s="13" t="s">
        <v>22</v>
      </c>
      <c r="E303" s="13" t="s">
        <v>23</v>
      </c>
      <c r="F303" s="13" t="s">
        <v>26</v>
      </c>
      <c r="G303" s="13" t="s">
        <v>25</v>
      </c>
      <c r="H303" s="14">
        <v>43387</v>
      </c>
      <c r="I303" s="13"/>
      <c r="J303" s="13"/>
      <c r="K303" s="13">
        <v>5</v>
      </c>
      <c r="L303" s="13">
        <v>2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</row>
    <row r="304" spans="1:23" x14ac:dyDescent="0.2">
      <c r="A304" s="14">
        <v>43689</v>
      </c>
      <c r="B304" s="13" t="s">
        <v>21</v>
      </c>
      <c r="C304" s="13" t="s">
        <v>84</v>
      </c>
      <c r="D304" s="13" t="s">
        <v>22</v>
      </c>
      <c r="E304" s="13" t="s">
        <v>23</v>
      </c>
      <c r="F304" s="13" t="s">
        <v>26</v>
      </c>
      <c r="G304" s="13" t="s">
        <v>25</v>
      </c>
      <c r="H304" s="14">
        <v>43387</v>
      </c>
      <c r="I304" s="13"/>
      <c r="J304" s="13"/>
      <c r="K304" s="13">
        <v>10</v>
      </c>
      <c r="L304" s="13">
        <v>194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</row>
    <row r="305" spans="1:23" x14ac:dyDescent="0.2">
      <c r="A305" s="14">
        <v>43689</v>
      </c>
      <c r="B305" s="13" t="s">
        <v>21</v>
      </c>
      <c r="C305" s="13" t="s">
        <v>31</v>
      </c>
      <c r="D305" s="13" t="s">
        <v>22</v>
      </c>
      <c r="E305" s="13" t="s">
        <v>23</v>
      </c>
      <c r="F305" s="13" t="s">
        <v>26</v>
      </c>
      <c r="G305" s="13" t="s">
        <v>25</v>
      </c>
      <c r="H305" s="14">
        <v>43615</v>
      </c>
      <c r="I305" s="13"/>
      <c r="J305" s="13"/>
      <c r="K305" s="13">
        <v>30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</row>
    <row r="306" spans="1:23" x14ac:dyDescent="0.2">
      <c r="A306" s="14">
        <v>43689</v>
      </c>
      <c r="B306" s="13" t="s">
        <v>21</v>
      </c>
      <c r="C306" s="13" t="s">
        <v>91</v>
      </c>
      <c r="D306" s="13" t="s">
        <v>22</v>
      </c>
      <c r="E306" s="13" t="s">
        <v>23</v>
      </c>
      <c r="F306" s="13" t="s">
        <v>24</v>
      </c>
      <c r="G306" s="13" t="s">
        <v>25</v>
      </c>
      <c r="H306" s="14">
        <v>43439</v>
      </c>
      <c r="I306" s="13"/>
      <c r="J306" s="13"/>
      <c r="K306" s="13">
        <v>2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</row>
    <row r="307" spans="1:23" x14ac:dyDescent="0.2">
      <c r="A307" s="14">
        <v>43689</v>
      </c>
      <c r="B307" s="13" t="s">
        <v>21</v>
      </c>
      <c r="C307" s="13" t="s">
        <v>88</v>
      </c>
      <c r="D307" s="13" t="s">
        <v>22</v>
      </c>
      <c r="E307" s="13" t="s">
        <v>23</v>
      </c>
      <c r="F307" s="13" t="s">
        <v>26</v>
      </c>
      <c r="G307" s="13" t="s">
        <v>25</v>
      </c>
      <c r="H307" s="14">
        <v>43690</v>
      </c>
      <c r="I307" s="13"/>
      <c r="J307" s="13"/>
      <c r="K307" s="13">
        <v>15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</row>
    <row r="308" spans="1:23" x14ac:dyDescent="0.2">
      <c r="A308" s="14">
        <v>43689</v>
      </c>
      <c r="B308" s="13" t="s">
        <v>21</v>
      </c>
      <c r="C308" s="13" t="s">
        <v>89</v>
      </c>
      <c r="D308" s="13" t="s">
        <v>22</v>
      </c>
      <c r="E308" s="13" t="s">
        <v>23</v>
      </c>
      <c r="F308" s="13" t="s">
        <v>26</v>
      </c>
      <c r="G308" s="13" t="s">
        <v>25</v>
      </c>
      <c r="H308" s="14">
        <v>43387</v>
      </c>
      <c r="I308" s="13"/>
      <c r="J308" s="13"/>
      <c r="K308" s="13">
        <v>15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</row>
    <row r="309" spans="1:23" x14ac:dyDescent="0.2">
      <c r="A309" s="14">
        <v>43689</v>
      </c>
      <c r="B309" s="13" t="s">
        <v>21</v>
      </c>
      <c r="C309" s="13" t="s">
        <v>30</v>
      </c>
      <c r="D309" s="13" t="s">
        <v>22</v>
      </c>
      <c r="E309" s="13" t="s">
        <v>23</v>
      </c>
      <c r="F309" s="13" t="s">
        <v>24</v>
      </c>
      <c r="G309" s="13" t="s">
        <v>25</v>
      </c>
      <c r="H309" s="14">
        <v>43678</v>
      </c>
      <c r="I309" s="13"/>
      <c r="J309" s="13"/>
      <c r="K309" s="13">
        <v>5</v>
      </c>
      <c r="L309" s="13">
        <v>237</v>
      </c>
      <c r="M309" s="13">
        <v>1</v>
      </c>
      <c r="N309" s="13">
        <v>0.4219</v>
      </c>
      <c r="O309" s="13">
        <v>0.38</v>
      </c>
      <c r="P309" s="13">
        <v>0.38</v>
      </c>
      <c r="Q309" s="13">
        <v>1</v>
      </c>
      <c r="R309" s="13">
        <v>19.989999999999998</v>
      </c>
      <c r="S309" s="13">
        <v>1.901</v>
      </c>
      <c r="T309" s="13">
        <v>0</v>
      </c>
      <c r="U309" s="13">
        <v>0</v>
      </c>
      <c r="V309" s="13">
        <v>0</v>
      </c>
      <c r="W309" s="13">
        <v>0</v>
      </c>
    </row>
    <row r="310" spans="1:23" x14ac:dyDescent="0.2">
      <c r="A310" s="14">
        <v>43689</v>
      </c>
      <c r="B310" s="13" t="s">
        <v>21</v>
      </c>
      <c r="C310" s="13" t="s">
        <v>75</v>
      </c>
      <c r="D310" s="13" t="s">
        <v>22</v>
      </c>
      <c r="E310" s="13" t="s">
        <v>23</v>
      </c>
      <c r="F310" s="13" t="s">
        <v>24</v>
      </c>
      <c r="G310" s="13" t="s">
        <v>25</v>
      </c>
      <c r="H310" s="14">
        <v>43454</v>
      </c>
      <c r="I310" s="13"/>
      <c r="J310" s="13"/>
      <c r="K310" s="13">
        <v>5</v>
      </c>
      <c r="L310" s="13">
        <v>3923</v>
      </c>
      <c r="M310" s="13">
        <v>20</v>
      </c>
      <c r="N310" s="13">
        <v>0.50980000000000003</v>
      </c>
      <c r="O310" s="13">
        <v>5.55</v>
      </c>
      <c r="P310" s="13">
        <v>0.28000000000000003</v>
      </c>
      <c r="Q310" s="13">
        <v>1</v>
      </c>
      <c r="R310" s="13">
        <v>77.97</v>
      </c>
      <c r="S310" s="13">
        <v>7.1181000000000001</v>
      </c>
      <c r="T310" s="13">
        <v>0</v>
      </c>
      <c r="U310" s="13">
        <v>0</v>
      </c>
      <c r="V310" s="13">
        <v>0</v>
      </c>
      <c r="W310" s="13">
        <v>0</v>
      </c>
    </row>
    <row r="311" spans="1:23" x14ac:dyDescent="0.2">
      <c r="A311" s="14">
        <v>43689</v>
      </c>
      <c r="B311" s="13" t="s">
        <v>21</v>
      </c>
      <c r="C311" s="13" t="s">
        <v>90</v>
      </c>
      <c r="D311" s="13" t="s">
        <v>22</v>
      </c>
      <c r="E311" s="13" t="s">
        <v>23</v>
      </c>
      <c r="F311" s="13" t="s">
        <v>24</v>
      </c>
      <c r="G311" s="13" t="s">
        <v>25</v>
      </c>
      <c r="H311" s="14">
        <v>43454</v>
      </c>
      <c r="I311" s="13"/>
      <c r="J311" s="13"/>
      <c r="K311" s="13">
        <v>20</v>
      </c>
      <c r="L311" s="13">
        <v>8980</v>
      </c>
      <c r="M311" s="13">
        <v>81</v>
      </c>
      <c r="N311" s="13">
        <v>0.90200000000000002</v>
      </c>
      <c r="O311" s="13">
        <v>22.36</v>
      </c>
      <c r="P311" s="13">
        <v>0.28000000000000003</v>
      </c>
      <c r="Q311" s="13">
        <v>3</v>
      </c>
      <c r="R311" s="13">
        <v>217.93</v>
      </c>
      <c r="S311" s="13">
        <v>10.260199999999999</v>
      </c>
      <c r="T311" s="13">
        <v>0</v>
      </c>
      <c r="U311" s="13">
        <v>0</v>
      </c>
      <c r="V311" s="13">
        <v>0</v>
      </c>
      <c r="W311" s="13">
        <v>0</v>
      </c>
    </row>
    <row r="312" spans="1:23" x14ac:dyDescent="0.2">
      <c r="A312" s="14">
        <v>43689</v>
      </c>
      <c r="B312" s="13" t="s">
        <v>21</v>
      </c>
      <c r="C312" s="13" t="s">
        <v>87</v>
      </c>
      <c r="D312" s="13" t="s">
        <v>22</v>
      </c>
      <c r="E312" s="13" t="s">
        <v>23</v>
      </c>
      <c r="F312" s="13" t="s">
        <v>24</v>
      </c>
      <c r="G312" s="13" t="s">
        <v>25</v>
      </c>
      <c r="H312" s="14">
        <v>43657</v>
      </c>
      <c r="I312" s="13"/>
      <c r="J312" s="13"/>
      <c r="K312" s="13">
        <v>10</v>
      </c>
      <c r="L312" s="13">
        <v>289</v>
      </c>
      <c r="M312" s="13">
        <v>4</v>
      </c>
      <c r="N312" s="13">
        <v>1.3841000000000001</v>
      </c>
      <c r="O312" s="13">
        <v>1.69</v>
      </c>
      <c r="P312" s="13">
        <v>0.42</v>
      </c>
      <c r="Q312" s="13">
        <v>1</v>
      </c>
      <c r="R312" s="13">
        <v>11.99</v>
      </c>
      <c r="S312" s="13">
        <v>14.0951</v>
      </c>
      <c r="T312" s="13">
        <v>0</v>
      </c>
      <c r="U312" s="13">
        <v>0</v>
      </c>
      <c r="V312" s="13">
        <v>0</v>
      </c>
      <c r="W312" s="13">
        <v>0</v>
      </c>
    </row>
    <row r="313" spans="1:23" x14ac:dyDescent="0.2">
      <c r="A313" s="14">
        <v>43689</v>
      </c>
      <c r="B313" s="13" t="s">
        <v>21</v>
      </c>
      <c r="C313" s="13" t="s">
        <v>86</v>
      </c>
      <c r="D313" s="13" t="s">
        <v>22</v>
      </c>
      <c r="E313" s="13" t="s">
        <v>23</v>
      </c>
      <c r="F313" s="13" t="s">
        <v>26</v>
      </c>
      <c r="G313" s="13" t="s">
        <v>25</v>
      </c>
      <c r="H313" s="14">
        <v>43647</v>
      </c>
      <c r="I313" s="13"/>
      <c r="J313" s="13"/>
      <c r="K313" s="13">
        <v>10</v>
      </c>
      <c r="L313" s="13">
        <v>4836</v>
      </c>
      <c r="M313" s="13">
        <v>11</v>
      </c>
      <c r="N313" s="13">
        <v>0.22750000000000001</v>
      </c>
      <c r="O313" s="13">
        <v>4.12</v>
      </c>
      <c r="P313" s="13">
        <v>0.37</v>
      </c>
      <c r="Q313" s="13">
        <v>1</v>
      </c>
      <c r="R313" s="13">
        <v>11.99</v>
      </c>
      <c r="S313" s="13">
        <v>34.362000000000002</v>
      </c>
      <c r="T313" s="13">
        <v>0</v>
      </c>
      <c r="U313" s="13">
        <v>0</v>
      </c>
      <c r="V313" s="13">
        <v>0</v>
      </c>
      <c r="W313" s="13">
        <v>0</v>
      </c>
    </row>
    <row r="314" spans="1:23" x14ac:dyDescent="0.2">
      <c r="A314" s="14">
        <v>43690</v>
      </c>
      <c r="B314" s="13" t="s">
        <v>21</v>
      </c>
      <c r="C314" s="13" t="s">
        <v>76</v>
      </c>
      <c r="D314" s="13" t="s">
        <v>22</v>
      </c>
      <c r="E314" s="13" t="s">
        <v>23</v>
      </c>
      <c r="F314" s="13" t="s">
        <v>24</v>
      </c>
      <c r="G314" s="13" t="s">
        <v>25</v>
      </c>
      <c r="H314" s="14">
        <v>43667</v>
      </c>
      <c r="I314" s="13"/>
      <c r="J314" s="13"/>
      <c r="K314" s="13">
        <v>10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</row>
    <row r="315" spans="1:23" x14ac:dyDescent="0.2">
      <c r="A315" s="14">
        <v>43690</v>
      </c>
      <c r="B315" s="13" t="s">
        <v>21</v>
      </c>
      <c r="C315" s="13" t="s">
        <v>77</v>
      </c>
      <c r="D315" s="13" t="s">
        <v>22</v>
      </c>
      <c r="E315" s="13" t="s">
        <v>23</v>
      </c>
      <c r="F315" s="13" t="s">
        <v>26</v>
      </c>
      <c r="G315" s="13" t="s">
        <v>25</v>
      </c>
      <c r="H315" s="14">
        <v>43388</v>
      </c>
      <c r="I315" s="13"/>
      <c r="J315" s="13"/>
      <c r="K315" s="13">
        <v>5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</row>
    <row r="316" spans="1:23" x14ac:dyDescent="0.2">
      <c r="A316" s="14">
        <v>43690</v>
      </c>
      <c r="B316" s="13" t="s">
        <v>21</v>
      </c>
      <c r="C316" s="13" t="s">
        <v>27</v>
      </c>
      <c r="D316" s="13" t="s">
        <v>22</v>
      </c>
      <c r="E316" s="13" t="s">
        <v>23</v>
      </c>
      <c r="F316" s="13" t="s">
        <v>24</v>
      </c>
      <c r="G316" s="13" t="s">
        <v>25</v>
      </c>
      <c r="H316" s="14">
        <v>43663</v>
      </c>
      <c r="I316" s="13"/>
      <c r="J316" s="13"/>
      <c r="K316" s="13">
        <v>10</v>
      </c>
      <c r="L316" s="13">
        <v>2263</v>
      </c>
      <c r="M316" s="13">
        <v>9</v>
      </c>
      <c r="N316" s="13">
        <v>0.3977</v>
      </c>
      <c r="O316" s="13">
        <v>5.83</v>
      </c>
      <c r="P316" s="13">
        <v>0.65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</row>
    <row r="317" spans="1:23" x14ac:dyDescent="0.2">
      <c r="A317" s="14">
        <v>43690</v>
      </c>
      <c r="B317" s="13" t="s">
        <v>21</v>
      </c>
      <c r="C317" s="13" t="s">
        <v>72</v>
      </c>
      <c r="D317" s="13" t="s">
        <v>22</v>
      </c>
      <c r="E317" s="13" t="s">
        <v>23</v>
      </c>
      <c r="F317" s="13" t="s">
        <v>24</v>
      </c>
      <c r="G317" s="13" t="s">
        <v>25</v>
      </c>
      <c r="H317" s="14">
        <v>43412</v>
      </c>
      <c r="I317" s="13"/>
      <c r="J317" s="13"/>
      <c r="K317" s="13">
        <v>10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</row>
    <row r="318" spans="1:23" x14ac:dyDescent="0.2">
      <c r="A318" s="14">
        <v>43690</v>
      </c>
      <c r="B318" s="13" t="s">
        <v>21</v>
      </c>
      <c r="C318" s="13" t="s">
        <v>78</v>
      </c>
      <c r="D318" s="13" t="s">
        <v>22</v>
      </c>
      <c r="E318" s="13" t="s">
        <v>23</v>
      </c>
      <c r="F318" s="13" t="s">
        <v>24</v>
      </c>
      <c r="G318" s="13" t="s">
        <v>25</v>
      </c>
      <c r="H318" s="14">
        <v>43688</v>
      </c>
      <c r="I318" s="13"/>
      <c r="J318" s="13"/>
      <c r="K318" s="13">
        <v>10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</row>
    <row r="319" spans="1:23" x14ac:dyDescent="0.2">
      <c r="A319" s="14">
        <v>43690</v>
      </c>
      <c r="B319" s="13" t="s">
        <v>21</v>
      </c>
      <c r="C319" s="13" t="s">
        <v>79</v>
      </c>
      <c r="D319" s="13" t="s">
        <v>22</v>
      </c>
      <c r="E319" s="13" t="s">
        <v>23</v>
      </c>
      <c r="F319" s="13" t="s">
        <v>26</v>
      </c>
      <c r="G319" s="13" t="s">
        <v>25</v>
      </c>
      <c r="H319" s="14">
        <v>43387</v>
      </c>
      <c r="I319" s="13"/>
      <c r="J319" s="13"/>
      <c r="K319" s="13">
        <v>10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</row>
    <row r="320" spans="1:23" x14ac:dyDescent="0.2">
      <c r="A320" s="14">
        <v>43690</v>
      </c>
      <c r="B320" s="13" t="s">
        <v>21</v>
      </c>
      <c r="C320" s="13" t="s">
        <v>80</v>
      </c>
      <c r="D320" s="13" t="s">
        <v>22</v>
      </c>
      <c r="E320" s="13" t="s">
        <v>23</v>
      </c>
      <c r="F320" s="13" t="s">
        <v>26</v>
      </c>
      <c r="G320" s="13" t="s">
        <v>25</v>
      </c>
      <c r="H320" s="14">
        <v>43676</v>
      </c>
      <c r="I320" s="13"/>
      <c r="J320" s="13"/>
      <c r="K320" s="13">
        <v>10</v>
      </c>
      <c r="L320" s="13">
        <v>30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</row>
    <row r="321" spans="1:23" x14ac:dyDescent="0.2">
      <c r="A321" s="14">
        <v>43690</v>
      </c>
      <c r="B321" s="13" t="s">
        <v>21</v>
      </c>
      <c r="C321" s="13" t="s">
        <v>73</v>
      </c>
      <c r="D321" s="13" t="s">
        <v>22</v>
      </c>
      <c r="E321" s="13" t="s">
        <v>23</v>
      </c>
      <c r="F321" s="13" t="s">
        <v>24</v>
      </c>
      <c r="G321" s="13" t="s">
        <v>25</v>
      </c>
      <c r="H321" s="14">
        <v>43661</v>
      </c>
      <c r="I321" s="13"/>
      <c r="J321" s="13"/>
      <c r="K321" s="13">
        <v>10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</row>
    <row r="322" spans="1:23" x14ac:dyDescent="0.2">
      <c r="A322" s="14">
        <v>43690</v>
      </c>
      <c r="B322" s="13" t="s">
        <v>21</v>
      </c>
      <c r="C322" s="13" t="s">
        <v>82</v>
      </c>
      <c r="D322" s="13" t="s">
        <v>22</v>
      </c>
      <c r="E322" s="13" t="s">
        <v>23</v>
      </c>
      <c r="F322" s="13" t="s">
        <v>26</v>
      </c>
      <c r="G322" s="13" t="s">
        <v>25</v>
      </c>
      <c r="H322" s="14">
        <v>43387</v>
      </c>
      <c r="I322" s="13"/>
      <c r="J322" s="13"/>
      <c r="K322" s="13">
        <v>5</v>
      </c>
      <c r="L322" s="13">
        <v>71</v>
      </c>
      <c r="M322" s="13">
        <v>2</v>
      </c>
      <c r="N322" s="13">
        <v>2.8169</v>
      </c>
      <c r="O322" s="13">
        <v>0.04</v>
      </c>
      <c r="P322" s="13">
        <v>0.02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</row>
    <row r="323" spans="1:23" x14ac:dyDescent="0.2">
      <c r="A323" s="14">
        <v>43690</v>
      </c>
      <c r="B323" s="13" t="s">
        <v>21</v>
      </c>
      <c r="C323" s="13" t="s">
        <v>28</v>
      </c>
      <c r="D323" s="13" t="s">
        <v>22</v>
      </c>
      <c r="E323" s="13" t="s">
        <v>23</v>
      </c>
      <c r="F323" s="13" t="s">
        <v>24</v>
      </c>
      <c r="G323" s="13" t="s">
        <v>25</v>
      </c>
      <c r="H323" s="14">
        <v>43663</v>
      </c>
      <c r="I323" s="13"/>
      <c r="J323" s="13"/>
      <c r="K323" s="13">
        <v>10</v>
      </c>
      <c r="L323" s="13">
        <v>775</v>
      </c>
      <c r="M323" s="13">
        <v>4</v>
      </c>
      <c r="N323" s="13">
        <v>0.5161</v>
      </c>
      <c r="O323" s="13">
        <v>1.93</v>
      </c>
      <c r="P323" s="13">
        <v>0.48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</row>
    <row r="324" spans="1:23" x14ac:dyDescent="0.2">
      <c r="A324" s="14">
        <v>43690</v>
      </c>
      <c r="B324" s="13" t="s">
        <v>21</v>
      </c>
      <c r="C324" s="13" t="s">
        <v>29</v>
      </c>
      <c r="D324" s="13" t="s">
        <v>22</v>
      </c>
      <c r="E324" s="13" t="s">
        <v>23</v>
      </c>
      <c r="F324" s="13" t="s">
        <v>26</v>
      </c>
      <c r="G324" s="13" t="s">
        <v>25</v>
      </c>
      <c r="H324" s="14">
        <v>43423</v>
      </c>
      <c r="I324" s="13"/>
      <c r="J324" s="13"/>
      <c r="K324" s="13">
        <v>3</v>
      </c>
      <c r="L324" s="13">
        <v>380</v>
      </c>
      <c r="M324" s="13">
        <v>1</v>
      </c>
      <c r="N324" s="13">
        <v>0.26319999999999999</v>
      </c>
      <c r="O324" s="13">
        <v>0.14000000000000001</v>
      </c>
      <c r="P324" s="13">
        <v>0.14000000000000001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</row>
    <row r="325" spans="1:23" x14ac:dyDescent="0.2">
      <c r="A325" s="14">
        <v>43690</v>
      </c>
      <c r="B325" s="13" t="s">
        <v>21</v>
      </c>
      <c r="C325" s="13" t="s">
        <v>86</v>
      </c>
      <c r="D325" s="13" t="s">
        <v>22</v>
      </c>
      <c r="E325" s="13" t="s">
        <v>23</v>
      </c>
      <c r="F325" s="13" t="s">
        <v>26</v>
      </c>
      <c r="G325" s="13" t="s">
        <v>25</v>
      </c>
      <c r="H325" s="14">
        <v>43647</v>
      </c>
      <c r="I325" s="13"/>
      <c r="J325" s="13"/>
      <c r="K325" s="13">
        <v>10</v>
      </c>
      <c r="L325" s="13">
        <v>5910</v>
      </c>
      <c r="M325" s="13">
        <v>5</v>
      </c>
      <c r="N325" s="13">
        <v>8.4599999999999995E-2</v>
      </c>
      <c r="O325" s="13">
        <v>2.0299999999999998</v>
      </c>
      <c r="P325" s="13">
        <v>0.41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</row>
    <row r="326" spans="1:23" x14ac:dyDescent="0.2">
      <c r="A326" s="14">
        <v>43690</v>
      </c>
      <c r="B326" s="13" t="s">
        <v>21</v>
      </c>
      <c r="C326" s="13" t="s">
        <v>30</v>
      </c>
      <c r="D326" s="13" t="s">
        <v>22</v>
      </c>
      <c r="E326" s="13" t="s">
        <v>23</v>
      </c>
      <c r="F326" s="13" t="s">
        <v>24</v>
      </c>
      <c r="G326" s="13" t="s">
        <v>25</v>
      </c>
      <c r="H326" s="14">
        <v>43678</v>
      </c>
      <c r="I326" s="13"/>
      <c r="J326" s="13"/>
      <c r="K326" s="13">
        <v>5</v>
      </c>
      <c r="L326" s="13">
        <v>161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</row>
    <row r="327" spans="1:23" x14ac:dyDescent="0.2">
      <c r="A327" s="14">
        <v>43690</v>
      </c>
      <c r="B327" s="13" t="s">
        <v>21</v>
      </c>
      <c r="C327" s="13" t="s">
        <v>85</v>
      </c>
      <c r="D327" s="13" t="s">
        <v>22</v>
      </c>
      <c r="E327" s="13" t="s">
        <v>23</v>
      </c>
      <c r="F327" s="13" t="s">
        <v>26</v>
      </c>
      <c r="G327" s="13" t="s">
        <v>25</v>
      </c>
      <c r="H327" s="14">
        <v>43387</v>
      </c>
      <c r="I327" s="13"/>
      <c r="J327" s="13"/>
      <c r="K327" s="13">
        <v>5</v>
      </c>
      <c r="L327" s="13">
        <v>10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</row>
    <row r="328" spans="1:23" x14ac:dyDescent="0.2">
      <c r="A328" s="14">
        <v>43690</v>
      </c>
      <c r="B328" s="13" t="s">
        <v>21</v>
      </c>
      <c r="C328" s="13" t="s">
        <v>84</v>
      </c>
      <c r="D328" s="13" t="s">
        <v>22</v>
      </c>
      <c r="E328" s="13" t="s">
        <v>23</v>
      </c>
      <c r="F328" s="13" t="s">
        <v>26</v>
      </c>
      <c r="G328" s="13" t="s">
        <v>25</v>
      </c>
      <c r="H328" s="14">
        <v>43387</v>
      </c>
      <c r="I328" s="13"/>
      <c r="J328" s="13"/>
      <c r="K328" s="13">
        <v>10</v>
      </c>
      <c r="L328" s="13">
        <v>208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</row>
    <row r="329" spans="1:23" x14ac:dyDescent="0.2">
      <c r="A329" s="14">
        <v>43690</v>
      </c>
      <c r="B329" s="13" t="s">
        <v>21</v>
      </c>
      <c r="C329" s="13" t="s">
        <v>75</v>
      </c>
      <c r="D329" s="13" t="s">
        <v>22</v>
      </c>
      <c r="E329" s="13" t="s">
        <v>23</v>
      </c>
      <c r="F329" s="13" t="s">
        <v>24</v>
      </c>
      <c r="G329" s="13" t="s">
        <v>25</v>
      </c>
      <c r="H329" s="14">
        <v>43454</v>
      </c>
      <c r="I329" s="13"/>
      <c r="J329" s="13"/>
      <c r="K329" s="13">
        <v>5</v>
      </c>
      <c r="L329" s="13">
        <v>3716</v>
      </c>
      <c r="M329" s="13">
        <v>19</v>
      </c>
      <c r="N329" s="13">
        <v>0.51129999999999998</v>
      </c>
      <c r="O329" s="13">
        <v>5.63</v>
      </c>
      <c r="P329" s="13">
        <v>0.3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</row>
    <row r="330" spans="1:23" x14ac:dyDescent="0.2">
      <c r="A330" s="14">
        <v>43690</v>
      </c>
      <c r="B330" s="13" t="s">
        <v>21</v>
      </c>
      <c r="C330" s="13" t="s">
        <v>31</v>
      </c>
      <c r="D330" s="13" t="s">
        <v>22</v>
      </c>
      <c r="E330" s="13" t="s">
        <v>23</v>
      </c>
      <c r="F330" s="13" t="s">
        <v>26</v>
      </c>
      <c r="G330" s="13" t="s">
        <v>25</v>
      </c>
      <c r="H330" s="14">
        <v>43615</v>
      </c>
      <c r="I330" s="13"/>
      <c r="J330" s="13"/>
      <c r="K330" s="13">
        <v>30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</row>
    <row r="331" spans="1:23" x14ac:dyDescent="0.2">
      <c r="A331" s="14">
        <v>43690</v>
      </c>
      <c r="B331" s="13" t="s">
        <v>21</v>
      </c>
      <c r="C331" s="13" t="s">
        <v>91</v>
      </c>
      <c r="D331" s="13" t="s">
        <v>22</v>
      </c>
      <c r="E331" s="13" t="s">
        <v>23</v>
      </c>
      <c r="F331" s="13" t="s">
        <v>24</v>
      </c>
      <c r="G331" s="13" t="s">
        <v>25</v>
      </c>
      <c r="H331" s="14">
        <v>43439</v>
      </c>
      <c r="I331" s="13"/>
      <c r="J331" s="13"/>
      <c r="K331" s="13">
        <v>2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</row>
    <row r="332" spans="1:23" x14ac:dyDescent="0.2">
      <c r="A332" s="14">
        <v>43690</v>
      </c>
      <c r="B332" s="13" t="s">
        <v>21</v>
      </c>
      <c r="C332" s="13" t="s">
        <v>87</v>
      </c>
      <c r="D332" s="13" t="s">
        <v>22</v>
      </c>
      <c r="E332" s="13" t="s">
        <v>23</v>
      </c>
      <c r="F332" s="13" t="s">
        <v>24</v>
      </c>
      <c r="G332" s="13" t="s">
        <v>25</v>
      </c>
      <c r="H332" s="14">
        <v>43657</v>
      </c>
      <c r="I332" s="13"/>
      <c r="J332" s="13"/>
      <c r="K332" s="13">
        <v>10</v>
      </c>
      <c r="L332" s="13">
        <v>236</v>
      </c>
      <c r="M332" s="13">
        <v>1</v>
      </c>
      <c r="N332" s="13">
        <v>0.42370000000000002</v>
      </c>
      <c r="O332" s="13">
        <v>0.33</v>
      </c>
      <c r="P332" s="13">
        <v>0.33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</row>
    <row r="333" spans="1:23" x14ac:dyDescent="0.2">
      <c r="A333" s="14">
        <v>43690</v>
      </c>
      <c r="B333" s="13" t="s">
        <v>21</v>
      </c>
      <c r="C333" s="13" t="s">
        <v>88</v>
      </c>
      <c r="D333" s="13" t="s">
        <v>22</v>
      </c>
      <c r="E333" s="13" t="s">
        <v>23</v>
      </c>
      <c r="F333" s="13" t="s">
        <v>26</v>
      </c>
      <c r="G333" s="13" t="s">
        <v>25</v>
      </c>
      <c r="H333" s="14">
        <v>43690</v>
      </c>
      <c r="I333" s="13"/>
      <c r="J333" s="13"/>
      <c r="K333" s="13">
        <v>15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</row>
    <row r="334" spans="1:23" x14ac:dyDescent="0.2">
      <c r="A334" s="14">
        <v>43690</v>
      </c>
      <c r="B334" s="13" t="s">
        <v>21</v>
      </c>
      <c r="C334" s="13" t="s">
        <v>89</v>
      </c>
      <c r="D334" s="13" t="s">
        <v>22</v>
      </c>
      <c r="E334" s="13" t="s">
        <v>23</v>
      </c>
      <c r="F334" s="13" t="s">
        <v>26</v>
      </c>
      <c r="G334" s="13" t="s">
        <v>25</v>
      </c>
      <c r="H334" s="14">
        <v>43387</v>
      </c>
      <c r="I334" s="13"/>
      <c r="J334" s="13"/>
      <c r="K334" s="13">
        <v>15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</row>
    <row r="335" spans="1:23" x14ac:dyDescent="0.2">
      <c r="A335" s="14">
        <v>43690</v>
      </c>
      <c r="B335" s="13" t="s">
        <v>21</v>
      </c>
      <c r="C335" s="13" t="s">
        <v>32</v>
      </c>
      <c r="D335" s="13" t="s">
        <v>33</v>
      </c>
      <c r="E335" s="13" t="s">
        <v>34</v>
      </c>
      <c r="F335" s="13" t="s">
        <v>24</v>
      </c>
      <c r="G335" s="13"/>
      <c r="H335" s="14">
        <v>43671</v>
      </c>
      <c r="I335" s="13"/>
      <c r="J335" s="13"/>
      <c r="K335" s="13">
        <v>2</v>
      </c>
      <c r="L335" s="13">
        <v>403</v>
      </c>
      <c r="M335" s="13">
        <v>6</v>
      </c>
      <c r="N335" s="13">
        <v>1.4887999999999999</v>
      </c>
      <c r="O335" s="13">
        <v>2.31</v>
      </c>
      <c r="P335" s="13">
        <v>0.39</v>
      </c>
      <c r="Q335" s="13">
        <v>1</v>
      </c>
      <c r="R335" s="13">
        <v>77.97</v>
      </c>
      <c r="S335" s="13">
        <v>2.9626999999999999</v>
      </c>
      <c r="T335" s="13">
        <v>1</v>
      </c>
      <c r="U335" s="13">
        <v>100</v>
      </c>
      <c r="V335" s="13">
        <v>77.97</v>
      </c>
      <c r="W335" s="13">
        <v>100</v>
      </c>
    </row>
    <row r="336" spans="1:23" x14ac:dyDescent="0.2">
      <c r="A336" s="14">
        <v>43690</v>
      </c>
      <c r="B336" s="13" t="s">
        <v>21</v>
      </c>
      <c r="C336" s="13" t="s">
        <v>74</v>
      </c>
      <c r="D336" s="13" t="s">
        <v>22</v>
      </c>
      <c r="E336" s="13" t="s">
        <v>23</v>
      </c>
      <c r="F336" s="13" t="s">
        <v>24</v>
      </c>
      <c r="G336" s="13" t="s">
        <v>25</v>
      </c>
      <c r="H336" s="14">
        <v>43420</v>
      </c>
      <c r="I336" s="13"/>
      <c r="J336" s="13"/>
      <c r="K336" s="13">
        <v>5</v>
      </c>
      <c r="L336" s="13">
        <v>1108</v>
      </c>
      <c r="M336" s="13">
        <v>16</v>
      </c>
      <c r="N336" s="13">
        <v>1.444</v>
      </c>
      <c r="O336" s="13">
        <v>3.47</v>
      </c>
      <c r="P336" s="13">
        <v>0.22</v>
      </c>
      <c r="Q336" s="13">
        <v>1</v>
      </c>
      <c r="R336" s="13">
        <v>77.97</v>
      </c>
      <c r="S336" s="13">
        <v>4.4504000000000001</v>
      </c>
      <c r="T336" s="13">
        <v>0</v>
      </c>
      <c r="U336" s="13">
        <v>0</v>
      </c>
      <c r="V336" s="13">
        <v>0</v>
      </c>
      <c r="W336" s="13">
        <v>0</v>
      </c>
    </row>
    <row r="337" spans="1:23" x14ac:dyDescent="0.2">
      <c r="A337" s="14">
        <v>43690</v>
      </c>
      <c r="B337" s="13" t="s">
        <v>21</v>
      </c>
      <c r="C337" s="13" t="s">
        <v>90</v>
      </c>
      <c r="D337" s="13" t="s">
        <v>22</v>
      </c>
      <c r="E337" s="13" t="s">
        <v>23</v>
      </c>
      <c r="F337" s="13" t="s">
        <v>24</v>
      </c>
      <c r="G337" s="13" t="s">
        <v>25</v>
      </c>
      <c r="H337" s="14">
        <v>43454</v>
      </c>
      <c r="I337" s="13"/>
      <c r="J337" s="13"/>
      <c r="K337" s="13">
        <v>20</v>
      </c>
      <c r="L337" s="13">
        <v>10015</v>
      </c>
      <c r="M337" s="13">
        <v>75</v>
      </c>
      <c r="N337" s="13">
        <v>0.74890000000000001</v>
      </c>
      <c r="O337" s="13">
        <v>21.67</v>
      </c>
      <c r="P337" s="13">
        <v>0.28999999999999998</v>
      </c>
      <c r="Q337" s="13">
        <v>4</v>
      </c>
      <c r="R337" s="13">
        <v>275.92</v>
      </c>
      <c r="S337" s="13">
        <v>7.8536999999999999</v>
      </c>
      <c r="T337" s="13">
        <v>0</v>
      </c>
      <c r="U337" s="13">
        <v>0</v>
      </c>
      <c r="V337" s="13">
        <v>0</v>
      </c>
      <c r="W337" s="13">
        <v>0</v>
      </c>
    </row>
    <row r="338" spans="1:23" x14ac:dyDescent="0.2">
      <c r="A338" s="14">
        <v>43690</v>
      </c>
      <c r="B338" s="13" t="s">
        <v>21</v>
      </c>
      <c r="C338" s="13" t="s">
        <v>81</v>
      </c>
      <c r="D338" s="13" t="s">
        <v>22</v>
      </c>
      <c r="E338" s="13" t="s">
        <v>23</v>
      </c>
      <c r="F338" s="13" t="s">
        <v>24</v>
      </c>
      <c r="G338" s="13" t="s">
        <v>25</v>
      </c>
      <c r="H338" s="14">
        <v>43428</v>
      </c>
      <c r="I338" s="13"/>
      <c r="J338" s="13"/>
      <c r="K338" s="13">
        <v>10</v>
      </c>
      <c r="L338" s="13">
        <v>1211</v>
      </c>
      <c r="M338" s="13">
        <v>8</v>
      </c>
      <c r="N338" s="13">
        <v>0.66059999999999997</v>
      </c>
      <c r="O338" s="13">
        <v>4.6100000000000003</v>
      </c>
      <c r="P338" s="13">
        <v>0.57999999999999996</v>
      </c>
      <c r="Q338" s="13">
        <v>2</v>
      </c>
      <c r="R338" s="13">
        <v>47.98</v>
      </c>
      <c r="S338" s="13">
        <v>9.6082000000000001</v>
      </c>
      <c r="T338" s="13">
        <v>0</v>
      </c>
      <c r="U338" s="13">
        <v>0</v>
      </c>
      <c r="V338" s="13">
        <v>0</v>
      </c>
      <c r="W338" s="13">
        <v>0</v>
      </c>
    </row>
    <row r="339" spans="1:23" x14ac:dyDescent="0.2">
      <c r="A339" s="14">
        <v>43690</v>
      </c>
      <c r="B339" s="13" t="s">
        <v>21</v>
      </c>
      <c r="C339" s="13" t="s">
        <v>83</v>
      </c>
      <c r="D339" s="13" t="s">
        <v>22</v>
      </c>
      <c r="E339" s="13" t="s">
        <v>23</v>
      </c>
      <c r="F339" s="13" t="s">
        <v>26</v>
      </c>
      <c r="G339" s="13" t="s">
        <v>25</v>
      </c>
      <c r="H339" s="14">
        <v>43388</v>
      </c>
      <c r="I339" s="13"/>
      <c r="J339" s="13"/>
      <c r="K339" s="13">
        <v>5</v>
      </c>
      <c r="L339" s="13">
        <v>6908</v>
      </c>
      <c r="M339" s="13">
        <v>10</v>
      </c>
      <c r="N339" s="13">
        <v>0.14480000000000001</v>
      </c>
      <c r="O339" s="13">
        <v>5.75</v>
      </c>
      <c r="P339" s="13">
        <v>0.56999999999999995</v>
      </c>
      <c r="Q339" s="13">
        <v>1</v>
      </c>
      <c r="R339" s="13">
        <v>23.99</v>
      </c>
      <c r="S339" s="13">
        <v>23.968299999999999</v>
      </c>
      <c r="T339" s="13">
        <v>0</v>
      </c>
      <c r="U339" s="13">
        <v>0</v>
      </c>
      <c r="V339" s="13">
        <v>0</v>
      </c>
      <c r="W339" s="13">
        <v>0</v>
      </c>
    </row>
    <row r="340" spans="1:23" x14ac:dyDescent="0.2">
      <c r="A340" s="14">
        <v>43691</v>
      </c>
      <c r="B340" s="13" t="s">
        <v>21</v>
      </c>
      <c r="C340" s="13" t="s">
        <v>76</v>
      </c>
      <c r="D340" s="13" t="s">
        <v>22</v>
      </c>
      <c r="E340" s="13" t="s">
        <v>23</v>
      </c>
      <c r="F340" s="13" t="s">
        <v>24</v>
      </c>
      <c r="G340" s="13" t="s">
        <v>25</v>
      </c>
      <c r="H340" s="14">
        <v>43667</v>
      </c>
      <c r="I340" s="13"/>
      <c r="J340" s="13"/>
      <c r="K340" s="13">
        <v>10</v>
      </c>
      <c r="L340" s="13">
        <v>1151</v>
      </c>
      <c r="M340" s="13">
        <v>4</v>
      </c>
      <c r="N340" s="13">
        <v>0.34749999999999998</v>
      </c>
      <c r="O340" s="13">
        <v>1.33</v>
      </c>
      <c r="P340" s="13">
        <v>0.33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</row>
    <row r="341" spans="1:23" x14ac:dyDescent="0.2">
      <c r="A341" s="14">
        <v>43691</v>
      </c>
      <c r="B341" s="13" t="s">
        <v>21</v>
      </c>
      <c r="C341" s="13" t="s">
        <v>77</v>
      </c>
      <c r="D341" s="13" t="s">
        <v>22</v>
      </c>
      <c r="E341" s="13" t="s">
        <v>23</v>
      </c>
      <c r="F341" s="13" t="s">
        <v>26</v>
      </c>
      <c r="G341" s="13" t="s">
        <v>25</v>
      </c>
      <c r="H341" s="14">
        <v>43388</v>
      </c>
      <c r="I341" s="13"/>
      <c r="J341" s="13"/>
      <c r="K341" s="13">
        <v>5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</row>
    <row r="342" spans="1:23" x14ac:dyDescent="0.2">
      <c r="A342" s="14">
        <v>43691</v>
      </c>
      <c r="B342" s="13" t="s">
        <v>21</v>
      </c>
      <c r="C342" s="13" t="s">
        <v>32</v>
      </c>
      <c r="D342" s="13" t="s">
        <v>33</v>
      </c>
      <c r="E342" s="13" t="s">
        <v>34</v>
      </c>
      <c r="F342" s="13" t="s">
        <v>24</v>
      </c>
      <c r="G342" s="13"/>
      <c r="H342" s="14">
        <v>43671</v>
      </c>
      <c r="I342" s="13"/>
      <c r="J342" s="13"/>
      <c r="K342" s="13">
        <v>2</v>
      </c>
      <c r="L342" s="13">
        <v>1183</v>
      </c>
      <c r="M342" s="13">
        <v>9</v>
      </c>
      <c r="N342" s="13">
        <v>0.76080000000000003</v>
      </c>
      <c r="O342" s="13">
        <v>2.2799999999999998</v>
      </c>
      <c r="P342" s="13">
        <v>0.25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</row>
    <row r="343" spans="1:23" x14ac:dyDescent="0.2">
      <c r="A343" s="14">
        <v>43691</v>
      </c>
      <c r="B343" s="13" t="s">
        <v>21</v>
      </c>
      <c r="C343" s="13" t="s">
        <v>72</v>
      </c>
      <c r="D343" s="13" t="s">
        <v>22</v>
      </c>
      <c r="E343" s="13" t="s">
        <v>23</v>
      </c>
      <c r="F343" s="13" t="s">
        <v>24</v>
      </c>
      <c r="G343" s="13" t="s">
        <v>25</v>
      </c>
      <c r="H343" s="14">
        <v>43412</v>
      </c>
      <c r="I343" s="13"/>
      <c r="J343" s="13"/>
      <c r="K343" s="13">
        <v>10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</row>
    <row r="344" spans="1:23" x14ac:dyDescent="0.2">
      <c r="A344" s="14">
        <v>43691</v>
      </c>
      <c r="B344" s="13" t="s">
        <v>21</v>
      </c>
      <c r="C344" s="13" t="s">
        <v>78</v>
      </c>
      <c r="D344" s="13" t="s">
        <v>22</v>
      </c>
      <c r="E344" s="13" t="s">
        <v>23</v>
      </c>
      <c r="F344" s="13" t="s">
        <v>24</v>
      </c>
      <c r="G344" s="13" t="s">
        <v>25</v>
      </c>
      <c r="H344" s="14">
        <v>43688</v>
      </c>
      <c r="I344" s="13"/>
      <c r="J344" s="13"/>
      <c r="K344" s="13">
        <v>10</v>
      </c>
      <c r="L344" s="13">
        <v>2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</row>
    <row r="345" spans="1:23" x14ac:dyDescent="0.2">
      <c r="A345" s="14">
        <v>43691</v>
      </c>
      <c r="B345" s="13" t="s">
        <v>21</v>
      </c>
      <c r="C345" s="13" t="s">
        <v>79</v>
      </c>
      <c r="D345" s="13" t="s">
        <v>22</v>
      </c>
      <c r="E345" s="13" t="s">
        <v>23</v>
      </c>
      <c r="F345" s="13" t="s">
        <v>26</v>
      </c>
      <c r="G345" s="13" t="s">
        <v>25</v>
      </c>
      <c r="H345" s="14">
        <v>43387</v>
      </c>
      <c r="I345" s="13"/>
      <c r="J345" s="13"/>
      <c r="K345" s="13">
        <v>10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</row>
    <row r="346" spans="1:23" x14ac:dyDescent="0.2">
      <c r="A346" s="14">
        <v>43691</v>
      </c>
      <c r="B346" s="13" t="s">
        <v>21</v>
      </c>
      <c r="C346" s="13" t="s">
        <v>80</v>
      </c>
      <c r="D346" s="13" t="s">
        <v>22</v>
      </c>
      <c r="E346" s="13" t="s">
        <v>23</v>
      </c>
      <c r="F346" s="13" t="s">
        <v>26</v>
      </c>
      <c r="G346" s="13" t="s">
        <v>25</v>
      </c>
      <c r="H346" s="14">
        <v>43676</v>
      </c>
      <c r="I346" s="13"/>
      <c r="J346" s="13"/>
      <c r="K346" s="13">
        <v>10</v>
      </c>
      <c r="L346" s="13">
        <v>33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</row>
    <row r="347" spans="1:23" x14ac:dyDescent="0.2">
      <c r="A347" s="14">
        <v>43691</v>
      </c>
      <c r="B347" s="13" t="s">
        <v>21</v>
      </c>
      <c r="C347" s="13" t="s">
        <v>73</v>
      </c>
      <c r="D347" s="13" t="s">
        <v>22</v>
      </c>
      <c r="E347" s="13" t="s">
        <v>23</v>
      </c>
      <c r="F347" s="13" t="s">
        <v>24</v>
      </c>
      <c r="G347" s="13" t="s">
        <v>25</v>
      </c>
      <c r="H347" s="14">
        <v>43661</v>
      </c>
      <c r="I347" s="13"/>
      <c r="J347" s="13"/>
      <c r="K347" s="13">
        <v>10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</row>
    <row r="348" spans="1:23" x14ac:dyDescent="0.2">
      <c r="A348" s="14">
        <v>43691</v>
      </c>
      <c r="B348" s="13" t="s">
        <v>21</v>
      </c>
      <c r="C348" s="13" t="s">
        <v>81</v>
      </c>
      <c r="D348" s="13" t="s">
        <v>22</v>
      </c>
      <c r="E348" s="13" t="s">
        <v>23</v>
      </c>
      <c r="F348" s="13" t="s">
        <v>24</v>
      </c>
      <c r="G348" s="13" t="s">
        <v>25</v>
      </c>
      <c r="H348" s="14">
        <v>43428</v>
      </c>
      <c r="I348" s="13"/>
      <c r="J348" s="13"/>
      <c r="K348" s="13">
        <v>10</v>
      </c>
      <c r="L348" s="13">
        <v>1991</v>
      </c>
      <c r="M348" s="13">
        <v>8</v>
      </c>
      <c r="N348" s="13">
        <v>0.40179999999999999</v>
      </c>
      <c r="O348" s="13">
        <v>4.79</v>
      </c>
      <c r="P348" s="13">
        <v>0.6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</row>
    <row r="349" spans="1:23" x14ac:dyDescent="0.2">
      <c r="A349" s="14">
        <v>43691</v>
      </c>
      <c r="B349" s="13" t="s">
        <v>21</v>
      </c>
      <c r="C349" s="13" t="s">
        <v>82</v>
      </c>
      <c r="D349" s="13" t="s">
        <v>22</v>
      </c>
      <c r="E349" s="13" t="s">
        <v>23</v>
      </c>
      <c r="F349" s="13" t="s">
        <v>26</v>
      </c>
      <c r="G349" s="13" t="s">
        <v>25</v>
      </c>
      <c r="H349" s="14">
        <v>43387</v>
      </c>
      <c r="I349" s="13"/>
      <c r="J349" s="13"/>
      <c r="K349" s="13">
        <v>5</v>
      </c>
      <c r="L349" s="13">
        <v>64</v>
      </c>
      <c r="M349" s="13">
        <v>3</v>
      </c>
      <c r="N349" s="13">
        <v>4.6875</v>
      </c>
      <c r="O349" s="13">
        <v>0.06</v>
      </c>
      <c r="P349" s="13">
        <v>0.02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</row>
    <row r="350" spans="1:23" x14ac:dyDescent="0.2">
      <c r="A350" s="14">
        <v>43691</v>
      </c>
      <c r="B350" s="13" t="s">
        <v>21</v>
      </c>
      <c r="C350" s="13" t="s">
        <v>28</v>
      </c>
      <c r="D350" s="13" t="s">
        <v>22</v>
      </c>
      <c r="E350" s="13" t="s">
        <v>23</v>
      </c>
      <c r="F350" s="13" t="s">
        <v>24</v>
      </c>
      <c r="G350" s="13" t="s">
        <v>25</v>
      </c>
      <c r="H350" s="14">
        <v>43663</v>
      </c>
      <c r="I350" s="13"/>
      <c r="J350" s="13"/>
      <c r="K350" s="13">
        <v>10</v>
      </c>
      <c r="L350" s="13">
        <v>683</v>
      </c>
      <c r="M350" s="13">
        <v>5</v>
      </c>
      <c r="N350" s="13">
        <v>0.73209999999999997</v>
      </c>
      <c r="O350" s="13">
        <v>3.1</v>
      </c>
      <c r="P350" s="13">
        <v>0.62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</row>
    <row r="351" spans="1:23" x14ac:dyDescent="0.2">
      <c r="A351" s="14">
        <v>43691</v>
      </c>
      <c r="B351" s="13" t="s">
        <v>21</v>
      </c>
      <c r="C351" s="13" t="s">
        <v>83</v>
      </c>
      <c r="D351" s="13" t="s">
        <v>22</v>
      </c>
      <c r="E351" s="13" t="s">
        <v>23</v>
      </c>
      <c r="F351" s="13" t="s">
        <v>26</v>
      </c>
      <c r="G351" s="13" t="s">
        <v>25</v>
      </c>
      <c r="H351" s="14">
        <v>43388</v>
      </c>
      <c r="I351" s="13"/>
      <c r="J351" s="13"/>
      <c r="K351" s="13">
        <v>5</v>
      </c>
      <c r="L351" s="13">
        <v>2980</v>
      </c>
      <c r="M351" s="13">
        <v>10</v>
      </c>
      <c r="N351" s="13">
        <v>0.33560000000000001</v>
      </c>
      <c r="O351" s="13">
        <v>6.25</v>
      </c>
      <c r="P351" s="13">
        <v>0.63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</row>
    <row r="352" spans="1:23" x14ac:dyDescent="0.2">
      <c r="A352" s="14">
        <v>43691</v>
      </c>
      <c r="B352" s="13" t="s">
        <v>21</v>
      </c>
      <c r="C352" s="13" t="s">
        <v>29</v>
      </c>
      <c r="D352" s="13" t="s">
        <v>22</v>
      </c>
      <c r="E352" s="13" t="s">
        <v>23</v>
      </c>
      <c r="F352" s="13" t="s">
        <v>26</v>
      </c>
      <c r="G352" s="13" t="s">
        <v>25</v>
      </c>
      <c r="H352" s="14">
        <v>43423</v>
      </c>
      <c r="I352" s="13"/>
      <c r="J352" s="13"/>
      <c r="K352" s="13">
        <v>3</v>
      </c>
      <c r="L352" s="13">
        <v>312</v>
      </c>
      <c r="M352" s="13">
        <v>2</v>
      </c>
      <c r="N352" s="13">
        <v>0.64100000000000001</v>
      </c>
      <c r="O352" s="13">
        <v>0.33</v>
      </c>
      <c r="P352" s="13">
        <v>0.17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</row>
    <row r="353" spans="1:23" x14ac:dyDescent="0.2">
      <c r="A353" s="14">
        <v>43691</v>
      </c>
      <c r="B353" s="13" t="s">
        <v>21</v>
      </c>
      <c r="C353" s="13" t="s">
        <v>30</v>
      </c>
      <c r="D353" s="13" t="s">
        <v>22</v>
      </c>
      <c r="E353" s="13" t="s">
        <v>23</v>
      </c>
      <c r="F353" s="13" t="s">
        <v>24</v>
      </c>
      <c r="G353" s="13" t="s">
        <v>25</v>
      </c>
      <c r="H353" s="14">
        <v>43678</v>
      </c>
      <c r="I353" s="13"/>
      <c r="J353" s="13"/>
      <c r="K353" s="13">
        <v>5</v>
      </c>
      <c r="L353" s="13">
        <v>158</v>
      </c>
      <c r="M353" s="13">
        <v>2</v>
      </c>
      <c r="N353" s="13">
        <v>1.2658</v>
      </c>
      <c r="O353" s="13">
        <v>1.39</v>
      </c>
      <c r="P353" s="13">
        <v>0.7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</row>
    <row r="354" spans="1:23" x14ac:dyDescent="0.2">
      <c r="A354" s="14">
        <v>43691</v>
      </c>
      <c r="B354" s="13" t="s">
        <v>21</v>
      </c>
      <c r="C354" s="13" t="s">
        <v>85</v>
      </c>
      <c r="D354" s="13" t="s">
        <v>22</v>
      </c>
      <c r="E354" s="13" t="s">
        <v>23</v>
      </c>
      <c r="F354" s="13" t="s">
        <v>26</v>
      </c>
      <c r="G354" s="13" t="s">
        <v>25</v>
      </c>
      <c r="H354" s="14">
        <v>43387</v>
      </c>
      <c r="I354" s="13"/>
      <c r="J354" s="13"/>
      <c r="K354" s="13">
        <v>5</v>
      </c>
      <c r="L354" s="13">
        <v>9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</row>
    <row r="355" spans="1:23" x14ac:dyDescent="0.2">
      <c r="A355" s="14">
        <v>43691</v>
      </c>
      <c r="B355" s="13" t="s">
        <v>21</v>
      </c>
      <c r="C355" s="13" t="s">
        <v>84</v>
      </c>
      <c r="D355" s="13" t="s">
        <v>22</v>
      </c>
      <c r="E355" s="13" t="s">
        <v>23</v>
      </c>
      <c r="F355" s="13" t="s">
        <v>26</v>
      </c>
      <c r="G355" s="13" t="s">
        <v>25</v>
      </c>
      <c r="H355" s="14">
        <v>43387</v>
      </c>
      <c r="I355" s="13"/>
      <c r="J355" s="13"/>
      <c r="K355" s="13">
        <v>10</v>
      </c>
      <c r="L355" s="13">
        <v>323</v>
      </c>
      <c r="M355" s="13">
        <v>1</v>
      </c>
      <c r="N355" s="13">
        <v>0.30959999999999999</v>
      </c>
      <c r="O355" s="13">
        <v>0.43</v>
      </c>
      <c r="P355" s="13">
        <v>0.43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</row>
    <row r="356" spans="1:23" x14ac:dyDescent="0.2">
      <c r="A356" s="14">
        <v>43691</v>
      </c>
      <c r="B356" s="13" t="s">
        <v>21</v>
      </c>
      <c r="C356" s="13" t="s">
        <v>31</v>
      </c>
      <c r="D356" s="13" t="s">
        <v>22</v>
      </c>
      <c r="E356" s="13" t="s">
        <v>23</v>
      </c>
      <c r="F356" s="13" t="s">
        <v>26</v>
      </c>
      <c r="G356" s="13" t="s">
        <v>25</v>
      </c>
      <c r="H356" s="14">
        <v>43615</v>
      </c>
      <c r="I356" s="13"/>
      <c r="J356" s="13"/>
      <c r="K356" s="13">
        <v>30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</row>
    <row r="357" spans="1:23" x14ac:dyDescent="0.2">
      <c r="A357" s="14">
        <v>43691</v>
      </c>
      <c r="B357" s="13" t="s">
        <v>21</v>
      </c>
      <c r="C357" s="13" t="s">
        <v>91</v>
      </c>
      <c r="D357" s="13" t="s">
        <v>22</v>
      </c>
      <c r="E357" s="13" t="s">
        <v>23</v>
      </c>
      <c r="F357" s="13" t="s">
        <v>24</v>
      </c>
      <c r="G357" s="13" t="s">
        <v>25</v>
      </c>
      <c r="H357" s="14">
        <v>43439</v>
      </c>
      <c r="I357" s="13"/>
      <c r="J357" s="13"/>
      <c r="K357" s="13">
        <v>2</v>
      </c>
      <c r="L357" s="13">
        <v>234</v>
      </c>
      <c r="M357" s="13">
        <v>6</v>
      </c>
      <c r="N357" s="13">
        <v>2.5640999999999998</v>
      </c>
      <c r="O357" s="13">
        <v>1.73</v>
      </c>
      <c r="P357" s="13">
        <v>0.28999999999999998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</row>
    <row r="358" spans="1:23" x14ac:dyDescent="0.2">
      <c r="A358" s="14">
        <v>43691</v>
      </c>
      <c r="B358" s="13" t="s">
        <v>21</v>
      </c>
      <c r="C358" s="13" t="s">
        <v>87</v>
      </c>
      <c r="D358" s="13" t="s">
        <v>22</v>
      </c>
      <c r="E358" s="13" t="s">
        <v>23</v>
      </c>
      <c r="F358" s="13" t="s">
        <v>24</v>
      </c>
      <c r="G358" s="13" t="s">
        <v>25</v>
      </c>
      <c r="H358" s="14">
        <v>43657</v>
      </c>
      <c r="I358" s="13"/>
      <c r="J358" s="13"/>
      <c r="K358" s="13">
        <v>10</v>
      </c>
      <c r="L358" s="13">
        <v>272</v>
      </c>
      <c r="M358" s="13">
        <v>1</v>
      </c>
      <c r="N358" s="13">
        <v>0.36759999999999998</v>
      </c>
      <c r="O358" s="13">
        <v>0.42</v>
      </c>
      <c r="P358" s="13">
        <v>0.42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</row>
    <row r="359" spans="1:23" x14ac:dyDescent="0.2">
      <c r="A359" s="14">
        <v>43691</v>
      </c>
      <c r="B359" s="13" t="s">
        <v>21</v>
      </c>
      <c r="C359" s="13" t="s">
        <v>88</v>
      </c>
      <c r="D359" s="13" t="s">
        <v>22</v>
      </c>
      <c r="E359" s="13" t="s">
        <v>23</v>
      </c>
      <c r="F359" s="13" t="s">
        <v>26</v>
      </c>
      <c r="G359" s="13" t="s">
        <v>25</v>
      </c>
      <c r="H359" s="14">
        <v>43690</v>
      </c>
      <c r="I359" s="13"/>
      <c r="J359" s="13"/>
      <c r="K359" s="13">
        <v>15</v>
      </c>
      <c r="L359" s="13">
        <v>5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</row>
    <row r="360" spans="1:23" x14ac:dyDescent="0.2">
      <c r="A360" s="14">
        <v>43691</v>
      </c>
      <c r="B360" s="13" t="s">
        <v>21</v>
      </c>
      <c r="C360" s="13" t="s">
        <v>74</v>
      </c>
      <c r="D360" s="13" t="s">
        <v>22</v>
      </c>
      <c r="E360" s="13" t="s">
        <v>23</v>
      </c>
      <c r="F360" s="13" t="s">
        <v>24</v>
      </c>
      <c r="G360" s="13" t="s">
        <v>25</v>
      </c>
      <c r="H360" s="14">
        <v>43420</v>
      </c>
      <c r="I360" s="13"/>
      <c r="J360" s="13"/>
      <c r="K360" s="13">
        <v>5</v>
      </c>
      <c r="L360" s="13">
        <v>1021</v>
      </c>
      <c r="M360" s="13">
        <v>15</v>
      </c>
      <c r="N360" s="13">
        <v>1.4691000000000001</v>
      </c>
      <c r="O360" s="13">
        <v>3.8</v>
      </c>
      <c r="P360" s="13">
        <v>0.25</v>
      </c>
      <c r="Q360" s="13">
        <v>1</v>
      </c>
      <c r="R360" s="13">
        <v>77.97</v>
      </c>
      <c r="S360" s="13">
        <v>4.8737000000000004</v>
      </c>
      <c r="T360" s="13">
        <v>0</v>
      </c>
      <c r="U360" s="13">
        <v>0</v>
      </c>
      <c r="V360" s="13">
        <v>0</v>
      </c>
      <c r="W360" s="13">
        <v>0</v>
      </c>
    </row>
    <row r="361" spans="1:23" x14ac:dyDescent="0.2">
      <c r="A361" s="14">
        <v>43691</v>
      </c>
      <c r="B361" s="13" t="s">
        <v>21</v>
      </c>
      <c r="C361" s="13" t="s">
        <v>75</v>
      </c>
      <c r="D361" s="13" t="s">
        <v>22</v>
      </c>
      <c r="E361" s="13" t="s">
        <v>23</v>
      </c>
      <c r="F361" s="13" t="s">
        <v>24</v>
      </c>
      <c r="G361" s="13" t="s">
        <v>25</v>
      </c>
      <c r="H361" s="14">
        <v>43454</v>
      </c>
      <c r="I361" s="13"/>
      <c r="J361" s="13"/>
      <c r="K361" s="13">
        <v>5</v>
      </c>
      <c r="L361" s="13">
        <v>6644</v>
      </c>
      <c r="M361" s="13">
        <v>22</v>
      </c>
      <c r="N361" s="13">
        <v>0.33110000000000001</v>
      </c>
      <c r="O361" s="13">
        <v>5.99</v>
      </c>
      <c r="P361" s="13">
        <v>0.27</v>
      </c>
      <c r="Q361" s="13">
        <v>1</v>
      </c>
      <c r="R361" s="13">
        <v>77.97</v>
      </c>
      <c r="S361" s="13">
        <v>7.6824000000000003</v>
      </c>
      <c r="T361" s="13">
        <v>0</v>
      </c>
      <c r="U361" s="13">
        <v>0</v>
      </c>
      <c r="V361" s="13">
        <v>0</v>
      </c>
      <c r="W361" s="13">
        <v>0</v>
      </c>
    </row>
    <row r="362" spans="1:23" x14ac:dyDescent="0.2">
      <c r="A362" s="14">
        <v>43691</v>
      </c>
      <c r="B362" s="13" t="s">
        <v>21</v>
      </c>
      <c r="C362" s="13" t="s">
        <v>89</v>
      </c>
      <c r="D362" s="13" t="s">
        <v>22</v>
      </c>
      <c r="E362" s="13" t="s">
        <v>23</v>
      </c>
      <c r="F362" s="13" t="s">
        <v>26</v>
      </c>
      <c r="G362" s="13" t="s">
        <v>25</v>
      </c>
      <c r="H362" s="14">
        <v>43387</v>
      </c>
      <c r="I362" s="13"/>
      <c r="J362" s="13"/>
      <c r="K362" s="13">
        <v>15</v>
      </c>
      <c r="L362" s="13">
        <v>2903</v>
      </c>
      <c r="M362" s="13">
        <v>24</v>
      </c>
      <c r="N362" s="13">
        <v>0.82669999999999999</v>
      </c>
      <c r="O362" s="13">
        <v>7.32</v>
      </c>
      <c r="P362" s="13">
        <v>0.31</v>
      </c>
      <c r="Q362" s="13">
        <v>1</v>
      </c>
      <c r="R362" s="13">
        <v>57.99</v>
      </c>
      <c r="S362" s="13">
        <v>12.6229</v>
      </c>
      <c r="T362" s="13">
        <v>0</v>
      </c>
      <c r="U362" s="13">
        <v>0</v>
      </c>
      <c r="V362" s="13">
        <v>0</v>
      </c>
      <c r="W362" s="13">
        <v>0</v>
      </c>
    </row>
    <row r="363" spans="1:23" x14ac:dyDescent="0.2">
      <c r="A363" s="14">
        <v>43691</v>
      </c>
      <c r="B363" s="13" t="s">
        <v>21</v>
      </c>
      <c r="C363" s="13" t="s">
        <v>90</v>
      </c>
      <c r="D363" s="13" t="s">
        <v>22</v>
      </c>
      <c r="E363" s="13" t="s">
        <v>23</v>
      </c>
      <c r="F363" s="13" t="s">
        <v>24</v>
      </c>
      <c r="G363" s="13" t="s">
        <v>25</v>
      </c>
      <c r="H363" s="14">
        <v>43454</v>
      </c>
      <c r="I363" s="13"/>
      <c r="J363" s="13"/>
      <c r="K363" s="13">
        <v>20</v>
      </c>
      <c r="L363" s="13">
        <v>9284</v>
      </c>
      <c r="M363" s="13">
        <v>70</v>
      </c>
      <c r="N363" s="13">
        <v>0.754</v>
      </c>
      <c r="O363" s="13">
        <v>20.16</v>
      </c>
      <c r="P363" s="13">
        <v>0.28999999999999998</v>
      </c>
      <c r="Q363" s="13">
        <v>2</v>
      </c>
      <c r="R363" s="13">
        <v>157.94</v>
      </c>
      <c r="S363" s="13">
        <v>12.7643</v>
      </c>
      <c r="T363" s="13">
        <v>0</v>
      </c>
      <c r="U363" s="13">
        <v>0</v>
      </c>
      <c r="V363" s="13">
        <v>0</v>
      </c>
      <c r="W363" s="13">
        <v>0</v>
      </c>
    </row>
    <row r="364" spans="1:23" x14ac:dyDescent="0.2">
      <c r="A364" s="14">
        <v>43691</v>
      </c>
      <c r="B364" s="13" t="s">
        <v>21</v>
      </c>
      <c r="C364" s="13" t="s">
        <v>86</v>
      </c>
      <c r="D364" s="13" t="s">
        <v>22</v>
      </c>
      <c r="E364" s="13" t="s">
        <v>23</v>
      </c>
      <c r="F364" s="13" t="s">
        <v>26</v>
      </c>
      <c r="G364" s="13" t="s">
        <v>25</v>
      </c>
      <c r="H364" s="14">
        <v>43647</v>
      </c>
      <c r="I364" s="13"/>
      <c r="J364" s="13"/>
      <c r="K364" s="13">
        <v>10</v>
      </c>
      <c r="L364" s="13">
        <v>1221</v>
      </c>
      <c r="M364" s="13">
        <v>9</v>
      </c>
      <c r="N364" s="13">
        <v>0.73709999999999998</v>
      </c>
      <c r="O364" s="13">
        <v>3.98</v>
      </c>
      <c r="P364" s="13">
        <v>0.44</v>
      </c>
      <c r="Q364" s="13">
        <v>1</v>
      </c>
      <c r="R364" s="13">
        <v>11.99</v>
      </c>
      <c r="S364" s="13">
        <v>33.194299999999998</v>
      </c>
      <c r="T364" s="13">
        <v>0</v>
      </c>
      <c r="U364" s="13">
        <v>0</v>
      </c>
      <c r="V364" s="13">
        <v>0</v>
      </c>
      <c r="W364" s="13">
        <v>0</v>
      </c>
    </row>
    <row r="365" spans="1:23" x14ac:dyDescent="0.2">
      <c r="A365" s="14">
        <v>43691</v>
      </c>
      <c r="B365" s="13" t="s">
        <v>21</v>
      </c>
      <c r="C365" s="13" t="s">
        <v>27</v>
      </c>
      <c r="D365" s="13" t="s">
        <v>22</v>
      </c>
      <c r="E365" s="13" t="s">
        <v>23</v>
      </c>
      <c r="F365" s="13" t="s">
        <v>24</v>
      </c>
      <c r="G365" s="13" t="s">
        <v>25</v>
      </c>
      <c r="H365" s="14">
        <v>43663</v>
      </c>
      <c r="I365" s="13"/>
      <c r="J365" s="13"/>
      <c r="K365" s="13">
        <v>10</v>
      </c>
      <c r="L365" s="13">
        <v>4188</v>
      </c>
      <c r="M365" s="13">
        <v>17</v>
      </c>
      <c r="N365" s="13">
        <v>0.40589999999999998</v>
      </c>
      <c r="O365" s="13">
        <v>11.3</v>
      </c>
      <c r="P365" s="13">
        <v>0.66</v>
      </c>
      <c r="Q365" s="13">
        <v>1</v>
      </c>
      <c r="R365" s="13">
        <v>23.99</v>
      </c>
      <c r="S365" s="13">
        <v>47.103000000000002</v>
      </c>
      <c r="T365" s="13">
        <v>0</v>
      </c>
      <c r="U365" s="13">
        <v>0</v>
      </c>
      <c r="V365" s="13">
        <v>0</v>
      </c>
      <c r="W365" s="13">
        <v>0</v>
      </c>
    </row>
    <row r="366" spans="1:23" x14ac:dyDescent="0.2">
      <c r="A366" s="14">
        <v>43692</v>
      </c>
      <c r="B366" s="13" t="s">
        <v>21</v>
      </c>
      <c r="C366" s="13" t="s">
        <v>74</v>
      </c>
      <c r="D366" s="13" t="s">
        <v>22</v>
      </c>
      <c r="E366" s="13" t="s">
        <v>23</v>
      </c>
      <c r="F366" s="13" t="s">
        <v>24</v>
      </c>
      <c r="G366" s="13" t="s">
        <v>25</v>
      </c>
      <c r="H366" s="14">
        <v>43420</v>
      </c>
      <c r="I366" s="13"/>
      <c r="J366" s="13"/>
      <c r="K366" s="13">
        <v>5</v>
      </c>
      <c r="L366" s="13">
        <v>498</v>
      </c>
      <c r="M366" s="13">
        <v>6</v>
      </c>
      <c r="N366" s="13">
        <v>1.2048000000000001</v>
      </c>
      <c r="O366" s="13">
        <v>2.5099999999999998</v>
      </c>
      <c r="P366" s="13">
        <v>0.42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</row>
    <row r="367" spans="1:23" x14ac:dyDescent="0.2">
      <c r="A367" s="14">
        <v>43692</v>
      </c>
      <c r="B367" s="13" t="s">
        <v>21</v>
      </c>
      <c r="C367" s="13" t="s">
        <v>76</v>
      </c>
      <c r="D367" s="13" t="s">
        <v>22</v>
      </c>
      <c r="E367" s="13" t="s">
        <v>23</v>
      </c>
      <c r="F367" s="13" t="s">
        <v>24</v>
      </c>
      <c r="G367" s="13" t="s">
        <v>25</v>
      </c>
      <c r="H367" s="14">
        <v>43667</v>
      </c>
      <c r="I367" s="13"/>
      <c r="J367" s="13"/>
      <c r="K367" s="13">
        <v>10</v>
      </c>
      <c r="L367" s="13">
        <v>1326</v>
      </c>
      <c r="M367" s="13">
        <v>8</v>
      </c>
      <c r="N367" s="13">
        <v>0.60329999999999995</v>
      </c>
      <c r="O367" s="13">
        <v>3.43</v>
      </c>
      <c r="P367" s="13">
        <v>0.43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</row>
    <row r="368" spans="1:23" x14ac:dyDescent="0.2">
      <c r="A368" s="14">
        <v>43692</v>
      </c>
      <c r="B368" s="13" t="s">
        <v>21</v>
      </c>
      <c r="C368" s="13" t="s">
        <v>77</v>
      </c>
      <c r="D368" s="13" t="s">
        <v>22</v>
      </c>
      <c r="E368" s="13" t="s">
        <v>23</v>
      </c>
      <c r="F368" s="13" t="s">
        <v>26</v>
      </c>
      <c r="G368" s="13" t="s">
        <v>25</v>
      </c>
      <c r="H368" s="14">
        <v>43388</v>
      </c>
      <c r="I368" s="13"/>
      <c r="J368" s="13"/>
      <c r="K368" s="13">
        <v>5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</row>
    <row r="369" spans="1:23" x14ac:dyDescent="0.2">
      <c r="A369" s="14">
        <v>43692</v>
      </c>
      <c r="B369" s="13" t="s">
        <v>21</v>
      </c>
      <c r="C369" s="13" t="s">
        <v>27</v>
      </c>
      <c r="D369" s="13" t="s">
        <v>22</v>
      </c>
      <c r="E369" s="13" t="s">
        <v>23</v>
      </c>
      <c r="F369" s="13" t="s">
        <v>24</v>
      </c>
      <c r="G369" s="13" t="s">
        <v>25</v>
      </c>
      <c r="H369" s="14">
        <v>43663</v>
      </c>
      <c r="I369" s="13"/>
      <c r="J369" s="13"/>
      <c r="K369" s="13">
        <v>10</v>
      </c>
      <c r="L369" s="13">
        <v>1618</v>
      </c>
      <c r="M369" s="13">
        <v>11</v>
      </c>
      <c r="N369" s="13">
        <v>0.67989999999999995</v>
      </c>
      <c r="O369" s="13">
        <v>7.59</v>
      </c>
      <c r="P369" s="13">
        <v>0.69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</row>
    <row r="370" spans="1:23" x14ac:dyDescent="0.2">
      <c r="A370" s="14">
        <v>43692</v>
      </c>
      <c r="B370" s="13" t="s">
        <v>21</v>
      </c>
      <c r="C370" s="13" t="s">
        <v>32</v>
      </c>
      <c r="D370" s="13" t="s">
        <v>33</v>
      </c>
      <c r="E370" s="13" t="s">
        <v>34</v>
      </c>
      <c r="F370" s="13" t="s">
        <v>24</v>
      </c>
      <c r="G370" s="13"/>
      <c r="H370" s="14">
        <v>43671</v>
      </c>
      <c r="I370" s="13"/>
      <c r="J370" s="13"/>
      <c r="K370" s="13">
        <v>2</v>
      </c>
      <c r="L370" s="13">
        <v>1095</v>
      </c>
      <c r="M370" s="13">
        <v>7</v>
      </c>
      <c r="N370" s="13">
        <v>0.63929999999999998</v>
      </c>
      <c r="O370" s="13">
        <v>2.2999999999999998</v>
      </c>
      <c r="P370" s="13">
        <v>0.33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</row>
    <row r="371" spans="1:23" x14ac:dyDescent="0.2">
      <c r="A371" s="14">
        <v>43692</v>
      </c>
      <c r="B371" s="13" t="s">
        <v>21</v>
      </c>
      <c r="C371" s="13" t="s">
        <v>72</v>
      </c>
      <c r="D371" s="13" t="s">
        <v>22</v>
      </c>
      <c r="E371" s="13" t="s">
        <v>23</v>
      </c>
      <c r="F371" s="13" t="s">
        <v>24</v>
      </c>
      <c r="G371" s="13" t="s">
        <v>25</v>
      </c>
      <c r="H371" s="14">
        <v>43412</v>
      </c>
      <c r="I371" s="13"/>
      <c r="J371" s="13"/>
      <c r="K371" s="13">
        <v>10</v>
      </c>
      <c r="L371" s="13">
        <v>927</v>
      </c>
      <c r="M371" s="13">
        <v>9</v>
      </c>
      <c r="N371" s="13">
        <v>0.97089999999999999</v>
      </c>
      <c r="O371" s="13">
        <v>2.17</v>
      </c>
      <c r="P371" s="13">
        <v>0.24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</row>
    <row r="372" spans="1:23" x14ac:dyDescent="0.2">
      <c r="A372" s="14">
        <v>43692</v>
      </c>
      <c r="B372" s="13" t="s">
        <v>21</v>
      </c>
      <c r="C372" s="13" t="s">
        <v>78</v>
      </c>
      <c r="D372" s="13" t="s">
        <v>22</v>
      </c>
      <c r="E372" s="13" t="s">
        <v>23</v>
      </c>
      <c r="F372" s="13" t="s">
        <v>24</v>
      </c>
      <c r="G372" s="13" t="s">
        <v>25</v>
      </c>
      <c r="H372" s="14">
        <v>43688</v>
      </c>
      <c r="I372" s="13"/>
      <c r="J372" s="13"/>
      <c r="K372" s="13">
        <v>10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</row>
    <row r="373" spans="1:23" x14ac:dyDescent="0.2">
      <c r="A373" s="14">
        <v>43692</v>
      </c>
      <c r="B373" s="13" t="s">
        <v>21</v>
      </c>
      <c r="C373" s="13" t="s">
        <v>79</v>
      </c>
      <c r="D373" s="13" t="s">
        <v>22</v>
      </c>
      <c r="E373" s="13" t="s">
        <v>23</v>
      </c>
      <c r="F373" s="13" t="s">
        <v>26</v>
      </c>
      <c r="G373" s="13" t="s">
        <v>25</v>
      </c>
      <c r="H373" s="14">
        <v>43387</v>
      </c>
      <c r="I373" s="13"/>
      <c r="J373" s="13"/>
      <c r="K373" s="13">
        <v>10</v>
      </c>
      <c r="L373" s="13">
        <v>90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</row>
    <row r="374" spans="1:23" x14ac:dyDescent="0.2">
      <c r="A374" s="14">
        <v>43692</v>
      </c>
      <c r="B374" s="13" t="s">
        <v>21</v>
      </c>
      <c r="C374" s="13" t="s">
        <v>80</v>
      </c>
      <c r="D374" s="13" t="s">
        <v>22</v>
      </c>
      <c r="E374" s="13" t="s">
        <v>23</v>
      </c>
      <c r="F374" s="13" t="s">
        <v>26</v>
      </c>
      <c r="G374" s="13" t="s">
        <v>25</v>
      </c>
      <c r="H374" s="14">
        <v>43676</v>
      </c>
      <c r="I374" s="13"/>
      <c r="J374" s="13"/>
      <c r="K374" s="13">
        <v>10</v>
      </c>
      <c r="L374" s="13">
        <v>36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</row>
    <row r="375" spans="1:23" x14ac:dyDescent="0.2">
      <c r="A375" s="14">
        <v>43692</v>
      </c>
      <c r="B375" s="13" t="s">
        <v>21</v>
      </c>
      <c r="C375" s="13" t="s">
        <v>73</v>
      </c>
      <c r="D375" s="13" t="s">
        <v>22</v>
      </c>
      <c r="E375" s="13" t="s">
        <v>23</v>
      </c>
      <c r="F375" s="13" t="s">
        <v>24</v>
      </c>
      <c r="G375" s="13" t="s">
        <v>25</v>
      </c>
      <c r="H375" s="14">
        <v>43661</v>
      </c>
      <c r="I375" s="13"/>
      <c r="J375" s="13"/>
      <c r="K375" s="13">
        <v>10</v>
      </c>
      <c r="L375" s="13">
        <v>5046</v>
      </c>
      <c r="M375" s="13">
        <v>47</v>
      </c>
      <c r="N375" s="13">
        <v>0.93140000000000001</v>
      </c>
      <c r="O375" s="13">
        <v>10.11</v>
      </c>
      <c r="P375" s="13">
        <v>0.22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</row>
    <row r="376" spans="1:23" x14ac:dyDescent="0.2">
      <c r="A376" s="14">
        <v>43692</v>
      </c>
      <c r="B376" s="13" t="s">
        <v>21</v>
      </c>
      <c r="C376" s="13" t="s">
        <v>81</v>
      </c>
      <c r="D376" s="13" t="s">
        <v>22</v>
      </c>
      <c r="E376" s="13" t="s">
        <v>23</v>
      </c>
      <c r="F376" s="13" t="s">
        <v>24</v>
      </c>
      <c r="G376" s="13" t="s">
        <v>25</v>
      </c>
      <c r="H376" s="14">
        <v>43428</v>
      </c>
      <c r="I376" s="13"/>
      <c r="J376" s="13"/>
      <c r="K376" s="13">
        <v>10</v>
      </c>
      <c r="L376" s="13">
        <v>816</v>
      </c>
      <c r="M376" s="13">
        <v>4</v>
      </c>
      <c r="N376" s="13">
        <v>0.49020000000000002</v>
      </c>
      <c r="O376" s="13">
        <v>2.56</v>
      </c>
      <c r="P376" s="13">
        <v>0.64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</row>
    <row r="377" spans="1:23" x14ac:dyDescent="0.2">
      <c r="A377" s="14">
        <v>43692</v>
      </c>
      <c r="B377" s="13" t="s">
        <v>21</v>
      </c>
      <c r="C377" s="13" t="s">
        <v>82</v>
      </c>
      <c r="D377" s="13" t="s">
        <v>22</v>
      </c>
      <c r="E377" s="13" t="s">
        <v>23</v>
      </c>
      <c r="F377" s="13" t="s">
        <v>26</v>
      </c>
      <c r="G377" s="13" t="s">
        <v>25</v>
      </c>
      <c r="H377" s="14">
        <v>43387</v>
      </c>
      <c r="I377" s="13"/>
      <c r="J377" s="13"/>
      <c r="K377" s="13">
        <v>5</v>
      </c>
      <c r="L377" s="13">
        <v>30</v>
      </c>
      <c r="M377" s="13">
        <v>1</v>
      </c>
      <c r="N377" s="13">
        <v>3.3332999999999999</v>
      </c>
      <c r="O377" s="13">
        <v>0.02</v>
      </c>
      <c r="P377" s="13">
        <v>0.02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</row>
    <row r="378" spans="1:23" x14ac:dyDescent="0.2">
      <c r="A378" s="14">
        <v>43692</v>
      </c>
      <c r="B378" s="13" t="s">
        <v>21</v>
      </c>
      <c r="C378" s="13" t="s">
        <v>28</v>
      </c>
      <c r="D378" s="13" t="s">
        <v>22</v>
      </c>
      <c r="E378" s="13" t="s">
        <v>23</v>
      </c>
      <c r="F378" s="13" t="s">
        <v>24</v>
      </c>
      <c r="G378" s="13" t="s">
        <v>25</v>
      </c>
      <c r="H378" s="14">
        <v>43663</v>
      </c>
      <c r="I378" s="13"/>
      <c r="J378" s="13"/>
      <c r="K378" s="13">
        <v>10</v>
      </c>
      <c r="L378" s="13">
        <v>903</v>
      </c>
      <c r="M378" s="13">
        <v>3</v>
      </c>
      <c r="N378" s="13">
        <v>0.3322</v>
      </c>
      <c r="O378" s="13">
        <v>2.0099999999999998</v>
      </c>
      <c r="P378" s="13">
        <v>0.67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</row>
    <row r="379" spans="1:23" x14ac:dyDescent="0.2">
      <c r="A379" s="14">
        <v>43692</v>
      </c>
      <c r="B379" s="13" t="s">
        <v>21</v>
      </c>
      <c r="C379" s="13" t="s">
        <v>83</v>
      </c>
      <c r="D379" s="13" t="s">
        <v>22</v>
      </c>
      <c r="E379" s="13" t="s">
        <v>23</v>
      </c>
      <c r="F379" s="13" t="s">
        <v>26</v>
      </c>
      <c r="G379" s="13" t="s">
        <v>25</v>
      </c>
      <c r="H379" s="14">
        <v>43388</v>
      </c>
      <c r="I379" s="13"/>
      <c r="J379" s="13"/>
      <c r="K379" s="13">
        <v>5</v>
      </c>
      <c r="L379" s="13">
        <v>6414</v>
      </c>
      <c r="M379" s="13">
        <v>10</v>
      </c>
      <c r="N379" s="13">
        <v>0.15590000000000001</v>
      </c>
      <c r="O379" s="13">
        <v>5.9</v>
      </c>
      <c r="P379" s="13">
        <v>0.59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</row>
    <row r="380" spans="1:23" x14ac:dyDescent="0.2">
      <c r="A380" s="14">
        <v>43692</v>
      </c>
      <c r="B380" s="13" t="s">
        <v>21</v>
      </c>
      <c r="C380" s="13" t="s">
        <v>29</v>
      </c>
      <c r="D380" s="13" t="s">
        <v>22</v>
      </c>
      <c r="E380" s="13" t="s">
        <v>23</v>
      </c>
      <c r="F380" s="13" t="s">
        <v>26</v>
      </c>
      <c r="G380" s="13" t="s">
        <v>25</v>
      </c>
      <c r="H380" s="14">
        <v>43423</v>
      </c>
      <c r="I380" s="13"/>
      <c r="J380" s="13"/>
      <c r="K380" s="13">
        <v>3</v>
      </c>
      <c r="L380" s="13">
        <v>428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</row>
    <row r="381" spans="1:23" x14ac:dyDescent="0.2">
      <c r="A381" s="14">
        <v>43692</v>
      </c>
      <c r="B381" s="13" t="s">
        <v>21</v>
      </c>
      <c r="C381" s="13" t="s">
        <v>86</v>
      </c>
      <c r="D381" s="13" t="s">
        <v>22</v>
      </c>
      <c r="E381" s="13" t="s">
        <v>23</v>
      </c>
      <c r="F381" s="13" t="s">
        <v>26</v>
      </c>
      <c r="G381" s="13" t="s">
        <v>25</v>
      </c>
      <c r="H381" s="14">
        <v>43647</v>
      </c>
      <c r="I381" s="13"/>
      <c r="J381" s="13"/>
      <c r="K381" s="13">
        <v>10</v>
      </c>
      <c r="L381" s="13">
        <v>549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</row>
    <row r="382" spans="1:23" x14ac:dyDescent="0.2">
      <c r="A382" s="14">
        <v>43692</v>
      </c>
      <c r="B382" s="13" t="s">
        <v>21</v>
      </c>
      <c r="C382" s="13" t="s">
        <v>30</v>
      </c>
      <c r="D382" s="13" t="s">
        <v>22</v>
      </c>
      <c r="E382" s="13" t="s">
        <v>23</v>
      </c>
      <c r="F382" s="13" t="s">
        <v>24</v>
      </c>
      <c r="G382" s="13" t="s">
        <v>25</v>
      </c>
      <c r="H382" s="14">
        <v>43678</v>
      </c>
      <c r="I382" s="13"/>
      <c r="J382" s="13"/>
      <c r="K382" s="13">
        <v>5</v>
      </c>
      <c r="L382" s="13">
        <v>132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</row>
    <row r="383" spans="1:23" x14ac:dyDescent="0.2">
      <c r="A383" s="14">
        <v>43692</v>
      </c>
      <c r="B383" s="13" t="s">
        <v>21</v>
      </c>
      <c r="C383" s="13" t="s">
        <v>85</v>
      </c>
      <c r="D383" s="13" t="s">
        <v>22</v>
      </c>
      <c r="E383" s="13" t="s">
        <v>23</v>
      </c>
      <c r="F383" s="13" t="s">
        <v>26</v>
      </c>
      <c r="G383" s="13" t="s">
        <v>25</v>
      </c>
      <c r="H383" s="14">
        <v>43387</v>
      </c>
      <c r="I383" s="13"/>
      <c r="J383" s="13"/>
      <c r="K383" s="13">
        <v>5</v>
      </c>
      <c r="L383" s="13">
        <v>9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</row>
    <row r="384" spans="1:23" x14ac:dyDescent="0.2">
      <c r="A384" s="14">
        <v>43692</v>
      </c>
      <c r="B384" s="13" t="s">
        <v>21</v>
      </c>
      <c r="C384" s="13" t="s">
        <v>84</v>
      </c>
      <c r="D384" s="13" t="s">
        <v>22</v>
      </c>
      <c r="E384" s="13" t="s">
        <v>23</v>
      </c>
      <c r="F384" s="13" t="s">
        <v>26</v>
      </c>
      <c r="G384" s="13" t="s">
        <v>25</v>
      </c>
      <c r="H384" s="14">
        <v>43387</v>
      </c>
      <c r="I384" s="13"/>
      <c r="J384" s="13"/>
      <c r="K384" s="13">
        <v>10</v>
      </c>
      <c r="L384" s="13">
        <v>159</v>
      </c>
      <c r="M384" s="13">
        <v>1</v>
      </c>
      <c r="N384" s="13">
        <v>0.62890000000000001</v>
      </c>
      <c r="O384" s="13">
        <v>0.39</v>
      </c>
      <c r="P384" s="13">
        <v>0.39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</row>
    <row r="385" spans="1:23" x14ac:dyDescent="0.2">
      <c r="A385" s="14">
        <v>43692</v>
      </c>
      <c r="B385" s="13" t="s">
        <v>21</v>
      </c>
      <c r="C385" s="13" t="s">
        <v>31</v>
      </c>
      <c r="D385" s="13" t="s">
        <v>22</v>
      </c>
      <c r="E385" s="13" t="s">
        <v>23</v>
      </c>
      <c r="F385" s="13" t="s">
        <v>26</v>
      </c>
      <c r="G385" s="13" t="s">
        <v>25</v>
      </c>
      <c r="H385" s="14">
        <v>43615</v>
      </c>
      <c r="I385" s="13"/>
      <c r="J385" s="13"/>
      <c r="K385" s="13">
        <v>30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</row>
    <row r="386" spans="1:23" x14ac:dyDescent="0.2">
      <c r="A386" s="14">
        <v>43692</v>
      </c>
      <c r="B386" s="13" t="s">
        <v>21</v>
      </c>
      <c r="C386" s="13" t="s">
        <v>91</v>
      </c>
      <c r="D386" s="13" t="s">
        <v>22</v>
      </c>
      <c r="E386" s="13" t="s">
        <v>23</v>
      </c>
      <c r="F386" s="13" t="s">
        <v>24</v>
      </c>
      <c r="G386" s="13" t="s">
        <v>25</v>
      </c>
      <c r="H386" s="14">
        <v>43439</v>
      </c>
      <c r="I386" s="13"/>
      <c r="J386" s="13"/>
      <c r="K386" s="13">
        <v>2</v>
      </c>
      <c r="L386" s="13">
        <v>202</v>
      </c>
      <c r="M386" s="13">
        <v>1</v>
      </c>
      <c r="N386" s="13">
        <v>0.495</v>
      </c>
      <c r="O386" s="13">
        <v>0.24</v>
      </c>
      <c r="P386" s="13">
        <v>0.24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</row>
    <row r="387" spans="1:23" x14ac:dyDescent="0.2">
      <c r="A387" s="14">
        <v>43692</v>
      </c>
      <c r="B387" s="13" t="s">
        <v>21</v>
      </c>
      <c r="C387" s="13" t="s">
        <v>87</v>
      </c>
      <c r="D387" s="13" t="s">
        <v>22</v>
      </c>
      <c r="E387" s="13" t="s">
        <v>23</v>
      </c>
      <c r="F387" s="13" t="s">
        <v>24</v>
      </c>
      <c r="G387" s="13" t="s">
        <v>25</v>
      </c>
      <c r="H387" s="14">
        <v>43657</v>
      </c>
      <c r="I387" s="13"/>
      <c r="J387" s="13"/>
      <c r="K387" s="13">
        <v>10</v>
      </c>
      <c r="L387" s="13">
        <v>227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</row>
    <row r="388" spans="1:23" x14ac:dyDescent="0.2">
      <c r="A388" s="14">
        <v>43692</v>
      </c>
      <c r="B388" s="13" t="s">
        <v>21</v>
      </c>
      <c r="C388" s="13" t="s">
        <v>88</v>
      </c>
      <c r="D388" s="13" t="s">
        <v>22</v>
      </c>
      <c r="E388" s="13" t="s">
        <v>23</v>
      </c>
      <c r="F388" s="13" t="s">
        <v>26</v>
      </c>
      <c r="G388" s="13" t="s">
        <v>25</v>
      </c>
      <c r="H388" s="14">
        <v>43690</v>
      </c>
      <c r="I388" s="13"/>
      <c r="J388" s="13"/>
      <c r="K388" s="13">
        <v>15</v>
      </c>
      <c r="L388" s="13">
        <v>18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</row>
    <row r="389" spans="1:23" x14ac:dyDescent="0.2">
      <c r="A389" s="14">
        <v>43692</v>
      </c>
      <c r="B389" s="13" t="s">
        <v>21</v>
      </c>
      <c r="C389" s="13" t="s">
        <v>89</v>
      </c>
      <c r="D389" s="13" t="s">
        <v>22</v>
      </c>
      <c r="E389" s="13" t="s">
        <v>23</v>
      </c>
      <c r="F389" s="13" t="s">
        <v>26</v>
      </c>
      <c r="G389" s="13" t="s">
        <v>25</v>
      </c>
      <c r="H389" s="14">
        <v>43387</v>
      </c>
      <c r="I389" s="13"/>
      <c r="J389" s="13"/>
      <c r="K389" s="13">
        <v>15</v>
      </c>
      <c r="L389" s="13">
        <v>3870</v>
      </c>
      <c r="M389" s="13">
        <v>35</v>
      </c>
      <c r="N389" s="13">
        <v>0.90439999999999998</v>
      </c>
      <c r="O389" s="13">
        <v>13.28</v>
      </c>
      <c r="P389" s="13">
        <v>0.38</v>
      </c>
      <c r="Q389" s="13">
        <v>3</v>
      </c>
      <c r="R389" s="13">
        <v>213.93</v>
      </c>
      <c r="S389" s="13">
        <v>6.2076000000000002</v>
      </c>
      <c r="T389" s="13">
        <v>0</v>
      </c>
      <c r="U389" s="13">
        <v>0</v>
      </c>
      <c r="V389" s="13">
        <v>0</v>
      </c>
      <c r="W389" s="13">
        <v>0</v>
      </c>
    </row>
    <row r="390" spans="1:23" x14ac:dyDescent="0.2">
      <c r="A390" s="14">
        <v>43692</v>
      </c>
      <c r="B390" s="13" t="s">
        <v>21</v>
      </c>
      <c r="C390" s="13" t="s">
        <v>75</v>
      </c>
      <c r="D390" s="13" t="s">
        <v>22</v>
      </c>
      <c r="E390" s="13" t="s">
        <v>23</v>
      </c>
      <c r="F390" s="13" t="s">
        <v>24</v>
      </c>
      <c r="G390" s="13" t="s">
        <v>25</v>
      </c>
      <c r="H390" s="14">
        <v>43454</v>
      </c>
      <c r="I390" s="13"/>
      <c r="J390" s="13"/>
      <c r="K390" s="13">
        <v>5</v>
      </c>
      <c r="L390" s="13">
        <v>4320</v>
      </c>
      <c r="M390" s="13">
        <v>21</v>
      </c>
      <c r="N390" s="13">
        <v>0.48609999999999998</v>
      </c>
      <c r="O390" s="13">
        <v>6.3</v>
      </c>
      <c r="P390" s="13">
        <v>0.3</v>
      </c>
      <c r="Q390" s="13">
        <v>1</v>
      </c>
      <c r="R390" s="13">
        <v>77.97</v>
      </c>
      <c r="S390" s="13">
        <v>8.08</v>
      </c>
      <c r="T390" s="13">
        <v>0</v>
      </c>
      <c r="U390" s="13">
        <v>0</v>
      </c>
      <c r="V390" s="13">
        <v>0</v>
      </c>
      <c r="W390" s="13">
        <v>0</v>
      </c>
    </row>
    <row r="391" spans="1:23" x14ac:dyDescent="0.2">
      <c r="A391" s="14">
        <v>43692</v>
      </c>
      <c r="B391" s="13" t="s">
        <v>21</v>
      </c>
      <c r="C391" s="13" t="s">
        <v>90</v>
      </c>
      <c r="D391" s="13" t="s">
        <v>22</v>
      </c>
      <c r="E391" s="13" t="s">
        <v>23</v>
      </c>
      <c r="F391" s="13" t="s">
        <v>24</v>
      </c>
      <c r="G391" s="13" t="s">
        <v>25</v>
      </c>
      <c r="H391" s="14">
        <v>43454</v>
      </c>
      <c r="I391" s="13"/>
      <c r="J391" s="13"/>
      <c r="K391" s="13">
        <v>20</v>
      </c>
      <c r="L391" s="13">
        <v>4754</v>
      </c>
      <c r="M391" s="13">
        <v>44</v>
      </c>
      <c r="N391" s="13">
        <v>0.92549999999999999</v>
      </c>
      <c r="O391" s="13">
        <v>13.46</v>
      </c>
      <c r="P391" s="13">
        <v>0.31</v>
      </c>
      <c r="Q391" s="13">
        <v>2</v>
      </c>
      <c r="R391" s="13">
        <v>159.94</v>
      </c>
      <c r="S391" s="13">
        <v>8.4156999999999993</v>
      </c>
      <c r="T391" s="13">
        <v>0</v>
      </c>
      <c r="U391" s="13">
        <v>0</v>
      </c>
      <c r="V391" s="13">
        <v>0</v>
      </c>
      <c r="W391" s="13">
        <v>0</v>
      </c>
    </row>
    <row r="392" spans="1:23" x14ac:dyDescent="0.2">
      <c r="A392" s="14">
        <v>43693</v>
      </c>
      <c r="B392" s="13" t="s">
        <v>21</v>
      </c>
      <c r="C392" s="13" t="s">
        <v>74</v>
      </c>
      <c r="D392" s="13" t="s">
        <v>22</v>
      </c>
      <c r="E392" s="13" t="s">
        <v>23</v>
      </c>
      <c r="F392" s="13" t="s">
        <v>24</v>
      </c>
      <c r="G392" s="13" t="s">
        <v>25</v>
      </c>
      <c r="H392" s="14">
        <v>43420</v>
      </c>
      <c r="I392" s="13"/>
      <c r="J392" s="13"/>
      <c r="K392" s="13">
        <v>5</v>
      </c>
      <c r="L392" s="13">
        <v>442</v>
      </c>
      <c r="M392" s="13">
        <v>4</v>
      </c>
      <c r="N392" s="13">
        <v>0.90500000000000003</v>
      </c>
      <c r="O392" s="13">
        <v>0.86</v>
      </c>
      <c r="P392" s="13">
        <v>0.22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</row>
    <row r="393" spans="1:23" x14ac:dyDescent="0.2">
      <c r="A393" s="14">
        <v>43693</v>
      </c>
      <c r="B393" s="13" t="s">
        <v>21</v>
      </c>
      <c r="C393" s="13" t="s">
        <v>76</v>
      </c>
      <c r="D393" s="13" t="s">
        <v>22</v>
      </c>
      <c r="E393" s="13" t="s">
        <v>23</v>
      </c>
      <c r="F393" s="13" t="s">
        <v>24</v>
      </c>
      <c r="G393" s="13" t="s">
        <v>25</v>
      </c>
      <c r="H393" s="14">
        <v>43667</v>
      </c>
      <c r="I393" s="13"/>
      <c r="J393" s="13"/>
      <c r="K393" s="13">
        <v>10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</row>
    <row r="394" spans="1:23" x14ac:dyDescent="0.2">
      <c r="A394" s="14">
        <v>43693</v>
      </c>
      <c r="B394" s="13" t="s">
        <v>21</v>
      </c>
      <c r="C394" s="13" t="s">
        <v>77</v>
      </c>
      <c r="D394" s="13" t="s">
        <v>22</v>
      </c>
      <c r="E394" s="13" t="s">
        <v>23</v>
      </c>
      <c r="F394" s="13" t="s">
        <v>26</v>
      </c>
      <c r="G394" s="13" t="s">
        <v>25</v>
      </c>
      <c r="H394" s="14">
        <v>43388</v>
      </c>
      <c r="I394" s="13"/>
      <c r="J394" s="13"/>
      <c r="K394" s="13">
        <v>5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</row>
    <row r="395" spans="1:23" x14ac:dyDescent="0.2">
      <c r="A395" s="14">
        <v>43693</v>
      </c>
      <c r="B395" s="13" t="s">
        <v>21</v>
      </c>
      <c r="C395" s="13" t="s">
        <v>27</v>
      </c>
      <c r="D395" s="13" t="s">
        <v>22</v>
      </c>
      <c r="E395" s="13" t="s">
        <v>23</v>
      </c>
      <c r="F395" s="13" t="s">
        <v>24</v>
      </c>
      <c r="G395" s="13" t="s">
        <v>25</v>
      </c>
      <c r="H395" s="14">
        <v>43663</v>
      </c>
      <c r="I395" s="13"/>
      <c r="J395" s="13"/>
      <c r="K395" s="13">
        <v>10</v>
      </c>
      <c r="L395" s="13">
        <v>1321</v>
      </c>
      <c r="M395" s="13">
        <v>2</v>
      </c>
      <c r="N395" s="13">
        <v>0.15140000000000001</v>
      </c>
      <c r="O395" s="13">
        <v>1.28</v>
      </c>
      <c r="P395" s="13">
        <v>0.64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</row>
    <row r="396" spans="1:23" x14ac:dyDescent="0.2">
      <c r="A396" s="14">
        <v>43693</v>
      </c>
      <c r="B396" s="13" t="s">
        <v>21</v>
      </c>
      <c r="C396" s="13" t="s">
        <v>32</v>
      </c>
      <c r="D396" s="13" t="s">
        <v>33</v>
      </c>
      <c r="E396" s="13" t="s">
        <v>34</v>
      </c>
      <c r="F396" s="13" t="s">
        <v>24</v>
      </c>
      <c r="G396" s="13"/>
      <c r="H396" s="14">
        <v>43671</v>
      </c>
      <c r="I396" s="13"/>
      <c r="J396" s="13"/>
      <c r="K396" s="13">
        <v>2</v>
      </c>
      <c r="L396" s="13">
        <v>947</v>
      </c>
      <c r="M396" s="13">
        <v>5</v>
      </c>
      <c r="N396" s="13">
        <v>0.52800000000000002</v>
      </c>
      <c r="O396" s="13">
        <v>2.13</v>
      </c>
      <c r="P396" s="13">
        <v>0.43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</row>
    <row r="397" spans="1:23" x14ac:dyDescent="0.2">
      <c r="A397" s="14">
        <v>43693</v>
      </c>
      <c r="B397" s="13" t="s">
        <v>21</v>
      </c>
      <c r="C397" s="13" t="s">
        <v>72</v>
      </c>
      <c r="D397" s="13" t="s">
        <v>22</v>
      </c>
      <c r="E397" s="13" t="s">
        <v>23</v>
      </c>
      <c r="F397" s="13" t="s">
        <v>24</v>
      </c>
      <c r="G397" s="13" t="s">
        <v>25</v>
      </c>
      <c r="H397" s="14">
        <v>43412</v>
      </c>
      <c r="I397" s="13"/>
      <c r="J397" s="13"/>
      <c r="K397" s="13">
        <v>10</v>
      </c>
      <c r="L397" s="13">
        <v>2217</v>
      </c>
      <c r="M397" s="13">
        <v>23</v>
      </c>
      <c r="N397" s="13">
        <v>1.0374000000000001</v>
      </c>
      <c r="O397" s="13">
        <v>7.2</v>
      </c>
      <c r="P397" s="13">
        <v>0.31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</row>
    <row r="398" spans="1:23" x14ac:dyDescent="0.2">
      <c r="A398" s="14">
        <v>43693</v>
      </c>
      <c r="B398" s="13" t="s">
        <v>21</v>
      </c>
      <c r="C398" s="13" t="s">
        <v>78</v>
      </c>
      <c r="D398" s="13" t="s">
        <v>22</v>
      </c>
      <c r="E398" s="13" t="s">
        <v>23</v>
      </c>
      <c r="F398" s="13" t="s">
        <v>24</v>
      </c>
      <c r="G398" s="13" t="s">
        <v>25</v>
      </c>
      <c r="H398" s="14">
        <v>43688</v>
      </c>
      <c r="I398" s="13"/>
      <c r="J398" s="13"/>
      <c r="K398" s="13">
        <v>10</v>
      </c>
      <c r="L398" s="13">
        <v>2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</row>
    <row r="399" spans="1:23" x14ac:dyDescent="0.2">
      <c r="A399" s="14">
        <v>43693</v>
      </c>
      <c r="B399" s="13" t="s">
        <v>21</v>
      </c>
      <c r="C399" s="13" t="s">
        <v>79</v>
      </c>
      <c r="D399" s="13" t="s">
        <v>22</v>
      </c>
      <c r="E399" s="13" t="s">
        <v>23</v>
      </c>
      <c r="F399" s="13" t="s">
        <v>26</v>
      </c>
      <c r="G399" s="13" t="s">
        <v>25</v>
      </c>
      <c r="H399" s="14">
        <v>43387</v>
      </c>
      <c r="I399" s="13"/>
      <c r="J399" s="13"/>
      <c r="K399" s="13">
        <v>10</v>
      </c>
      <c r="L399" s="13">
        <v>159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</row>
    <row r="400" spans="1:23" x14ac:dyDescent="0.2">
      <c r="A400" s="14">
        <v>43693</v>
      </c>
      <c r="B400" s="13" t="s">
        <v>21</v>
      </c>
      <c r="C400" s="13" t="s">
        <v>80</v>
      </c>
      <c r="D400" s="13" t="s">
        <v>22</v>
      </c>
      <c r="E400" s="13" t="s">
        <v>23</v>
      </c>
      <c r="F400" s="13" t="s">
        <v>26</v>
      </c>
      <c r="G400" s="13" t="s">
        <v>25</v>
      </c>
      <c r="H400" s="14">
        <v>43676</v>
      </c>
      <c r="I400" s="13"/>
      <c r="J400" s="13"/>
      <c r="K400" s="13">
        <v>10</v>
      </c>
      <c r="L400" s="13">
        <v>62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</row>
    <row r="401" spans="1:23" x14ac:dyDescent="0.2">
      <c r="A401" s="14">
        <v>43693</v>
      </c>
      <c r="B401" s="13" t="s">
        <v>21</v>
      </c>
      <c r="C401" s="13" t="s">
        <v>73</v>
      </c>
      <c r="D401" s="13" t="s">
        <v>22</v>
      </c>
      <c r="E401" s="13" t="s">
        <v>23</v>
      </c>
      <c r="F401" s="13" t="s">
        <v>24</v>
      </c>
      <c r="G401" s="13" t="s">
        <v>25</v>
      </c>
      <c r="H401" s="14">
        <v>43661</v>
      </c>
      <c r="I401" s="13"/>
      <c r="J401" s="13"/>
      <c r="K401" s="13">
        <v>10</v>
      </c>
      <c r="L401" s="13">
        <v>4599</v>
      </c>
      <c r="M401" s="13">
        <v>36</v>
      </c>
      <c r="N401" s="13">
        <v>0.78280000000000005</v>
      </c>
      <c r="O401" s="13">
        <v>9.4700000000000006</v>
      </c>
      <c r="P401" s="13">
        <v>0.26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</row>
    <row r="402" spans="1:23" x14ac:dyDescent="0.2">
      <c r="A402" s="14">
        <v>43693</v>
      </c>
      <c r="B402" s="13" t="s">
        <v>21</v>
      </c>
      <c r="C402" s="13" t="s">
        <v>81</v>
      </c>
      <c r="D402" s="13" t="s">
        <v>22</v>
      </c>
      <c r="E402" s="13" t="s">
        <v>23</v>
      </c>
      <c r="F402" s="13" t="s">
        <v>24</v>
      </c>
      <c r="G402" s="13" t="s">
        <v>25</v>
      </c>
      <c r="H402" s="14">
        <v>43428</v>
      </c>
      <c r="I402" s="13"/>
      <c r="J402" s="13"/>
      <c r="K402" s="13">
        <v>10</v>
      </c>
      <c r="L402" s="13">
        <v>615</v>
      </c>
      <c r="M402" s="13">
        <v>1</v>
      </c>
      <c r="N402" s="13">
        <v>0.16259999999999999</v>
      </c>
      <c r="O402" s="13">
        <v>0.93</v>
      </c>
      <c r="P402" s="13">
        <v>0.93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</row>
    <row r="403" spans="1:23" x14ac:dyDescent="0.2">
      <c r="A403" s="14">
        <v>43693</v>
      </c>
      <c r="B403" s="13" t="s">
        <v>21</v>
      </c>
      <c r="C403" s="13" t="s">
        <v>82</v>
      </c>
      <c r="D403" s="13" t="s">
        <v>22</v>
      </c>
      <c r="E403" s="13" t="s">
        <v>23</v>
      </c>
      <c r="F403" s="13" t="s">
        <v>26</v>
      </c>
      <c r="G403" s="13" t="s">
        <v>25</v>
      </c>
      <c r="H403" s="14">
        <v>43387</v>
      </c>
      <c r="I403" s="13"/>
      <c r="J403" s="13"/>
      <c r="K403" s="13">
        <v>5</v>
      </c>
      <c r="L403" s="13">
        <v>21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</row>
    <row r="404" spans="1:23" x14ac:dyDescent="0.2">
      <c r="A404" s="14">
        <v>43693</v>
      </c>
      <c r="B404" s="13" t="s">
        <v>21</v>
      </c>
      <c r="C404" s="13" t="s">
        <v>28</v>
      </c>
      <c r="D404" s="13" t="s">
        <v>22</v>
      </c>
      <c r="E404" s="13" t="s">
        <v>23</v>
      </c>
      <c r="F404" s="13" t="s">
        <v>24</v>
      </c>
      <c r="G404" s="13" t="s">
        <v>25</v>
      </c>
      <c r="H404" s="14">
        <v>43663</v>
      </c>
      <c r="I404" s="13"/>
      <c r="J404" s="13"/>
      <c r="K404" s="13">
        <v>10</v>
      </c>
      <c r="L404" s="13">
        <v>679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</row>
    <row r="405" spans="1:23" x14ac:dyDescent="0.2">
      <c r="A405" s="14">
        <v>43693</v>
      </c>
      <c r="B405" s="13" t="s">
        <v>21</v>
      </c>
      <c r="C405" s="13" t="s">
        <v>83</v>
      </c>
      <c r="D405" s="13" t="s">
        <v>22</v>
      </c>
      <c r="E405" s="13" t="s">
        <v>23</v>
      </c>
      <c r="F405" s="13" t="s">
        <v>26</v>
      </c>
      <c r="G405" s="13" t="s">
        <v>25</v>
      </c>
      <c r="H405" s="14">
        <v>43388</v>
      </c>
      <c r="I405" s="13"/>
      <c r="J405" s="13"/>
      <c r="K405" s="13">
        <v>5</v>
      </c>
      <c r="L405" s="13">
        <v>4536</v>
      </c>
      <c r="M405" s="13">
        <v>9</v>
      </c>
      <c r="N405" s="13">
        <v>0.19839999999999999</v>
      </c>
      <c r="O405" s="13">
        <v>5.64</v>
      </c>
      <c r="P405" s="13">
        <v>0.63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</row>
    <row r="406" spans="1:23" x14ac:dyDescent="0.2">
      <c r="A406" s="14">
        <v>43693</v>
      </c>
      <c r="B406" s="13" t="s">
        <v>21</v>
      </c>
      <c r="C406" s="13" t="s">
        <v>29</v>
      </c>
      <c r="D406" s="13" t="s">
        <v>22</v>
      </c>
      <c r="E406" s="13" t="s">
        <v>23</v>
      </c>
      <c r="F406" s="13" t="s">
        <v>26</v>
      </c>
      <c r="G406" s="13" t="s">
        <v>25</v>
      </c>
      <c r="H406" s="14">
        <v>43423</v>
      </c>
      <c r="I406" s="13"/>
      <c r="J406" s="13"/>
      <c r="K406" s="13">
        <v>3</v>
      </c>
      <c r="L406" s="13">
        <v>305</v>
      </c>
      <c r="M406" s="13">
        <v>1</v>
      </c>
      <c r="N406" s="13">
        <v>0.32790000000000002</v>
      </c>
      <c r="O406" s="13">
        <v>0.15</v>
      </c>
      <c r="P406" s="13">
        <v>0.15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</row>
    <row r="407" spans="1:23" x14ac:dyDescent="0.2">
      <c r="A407" s="14">
        <v>43693</v>
      </c>
      <c r="B407" s="13" t="s">
        <v>21</v>
      </c>
      <c r="C407" s="13" t="s">
        <v>86</v>
      </c>
      <c r="D407" s="13" t="s">
        <v>22</v>
      </c>
      <c r="E407" s="13" t="s">
        <v>23</v>
      </c>
      <c r="F407" s="13" t="s">
        <v>26</v>
      </c>
      <c r="G407" s="13" t="s">
        <v>25</v>
      </c>
      <c r="H407" s="14">
        <v>43647</v>
      </c>
      <c r="I407" s="13"/>
      <c r="J407" s="13"/>
      <c r="K407" s="13">
        <v>10</v>
      </c>
      <c r="L407" s="13">
        <v>3747</v>
      </c>
      <c r="M407" s="13">
        <v>3</v>
      </c>
      <c r="N407" s="13">
        <v>8.0100000000000005E-2</v>
      </c>
      <c r="O407" s="13">
        <v>1.29</v>
      </c>
      <c r="P407" s="13">
        <v>0.43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</row>
    <row r="408" spans="1:23" x14ac:dyDescent="0.2">
      <c r="A408" s="14">
        <v>43693</v>
      </c>
      <c r="B408" s="13" t="s">
        <v>21</v>
      </c>
      <c r="C408" s="13" t="s">
        <v>30</v>
      </c>
      <c r="D408" s="13" t="s">
        <v>22</v>
      </c>
      <c r="E408" s="13" t="s">
        <v>23</v>
      </c>
      <c r="F408" s="13" t="s">
        <v>24</v>
      </c>
      <c r="G408" s="13" t="s">
        <v>25</v>
      </c>
      <c r="H408" s="14">
        <v>43678</v>
      </c>
      <c r="I408" s="13"/>
      <c r="J408" s="13"/>
      <c r="K408" s="13">
        <v>5</v>
      </c>
      <c r="L408" s="13">
        <v>150</v>
      </c>
      <c r="M408" s="13">
        <v>1</v>
      </c>
      <c r="N408" s="13">
        <v>0.66669999999999996</v>
      </c>
      <c r="O408" s="13">
        <v>0.26</v>
      </c>
      <c r="P408" s="13">
        <v>0.26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</row>
    <row r="409" spans="1:23" x14ac:dyDescent="0.2">
      <c r="A409" s="14">
        <v>43693</v>
      </c>
      <c r="B409" s="13" t="s">
        <v>21</v>
      </c>
      <c r="C409" s="13" t="s">
        <v>85</v>
      </c>
      <c r="D409" s="13" t="s">
        <v>22</v>
      </c>
      <c r="E409" s="13" t="s">
        <v>23</v>
      </c>
      <c r="F409" s="13" t="s">
        <v>26</v>
      </c>
      <c r="G409" s="13" t="s">
        <v>25</v>
      </c>
      <c r="H409" s="14">
        <v>43387</v>
      </c>
      <c r="I409" s="13"/>
      <c r="J409" s="13"/>
      <c r="K409" s="13">
        <v>5</v>
      </c>
      <c r="L409" s="13">
        <v>8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</row>
    <row r="410" spans="1:23" x14ac:dyDescent="0.2">
      <c r="A410" s="14">
        <v>43693</v>
      </c>
      <c r="B410" s="13" t="s">
        <v>21</v>
      </c>
      <c r="C410" s="13" t="s">
        <v>84</v>
      </c>
      <c r="D410" s="13" t="s">
        <v>22</v>
      </c>
      <c r="E410" s="13" t="s">
        <v>23</v>
      </c>
      <c r="F410" s="13" t="s">
        <v>26</v>
      </c>
      <c r="G410" s="13" t="s">
        <v>25</v>
      </c>
      <c r="H410" s="14">
        <v>43387</v>
      </c>
      <c r="I410" s="13"/>
      <c r="J410" s="13"/>
      <c r="K410" s="13">
        <v>10</v>
      </c>
      <c r="L410" s="13">
        <v>210</v>
      </c>
      <c r="M410" s="13">
        <v>2</v>
      </c>
      <c r="N410" s="13">
        <v>0.95240000000000002</v>
      </c>
      <c r="O410" s="13">
        <v>0.82</v>
      </c>
      <c r="P410" s="13">
        <v>0.41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</row>
    <row r="411" spans="1:23" x14ac:dyDescent="0.2">
      <c r="A411" s="14">
        <v>43693</v>
      </c>
      <c r="B411" s="13" t="s">
        <v>21</v>
      </c>
      <c r="C411" s="13" t="s">
        <v>75</v>
      </c>
      <c r="D411" s="13" t="s">
        <v>22</v>
      </c>
      <c r="E411" s="13" t="s">
        <v>23</v>
      </c>
      <c r="F411" s="13" t="s">
        <v>24</v>
      </c>
      <c r="G411" s="13" t="s">
        <v>25</v>
      </c>
      <c r="H411" s="14">
        <v>43454</v>
      </c>
      <c r="I411" s="13"/>
      <c r="J411" s="13"/>
      <c r="K411" s="13">
        <v>5</v>
      </c>
      <c r="L411" s="13">
        <v>3249</v>
      </c>
      <c r="M411" s="13">
        <v>17</v>
      </c>
      <c r="N411" s="13">
        <v>0.5232</v>
      </c>
      <c r="O411" s="13">
        <v>5.63</v>
      </c>
      <c r="P411" s="13">
        <v>0.33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</row>
    <row r="412" spans="1:23" x14ac:dyDescent="0.2">
      <c r="A412" s="14">
        <v>43693</v>
      </c>
      <c r="B412" s="13" t="s">
        <v>21</v>
      </c>
      <c r="C412" s="13" t="s">
        <v>31</v>
      </c>
      <c r="D412" s="13" t="s">
        <v>22</v>
      </c>
      <c r="E412" s="13" t="s">
        <v>23</v>
      </c>
      <c r="F412" s="13" t="s">
        <v>26</v>
      </c>
      <c r="G412" s="13" t="s">
        <v>25</v>
      </c>
      <c r="H412" s="14">
        <v>43615</v>
      </c>
      <c r="I412" s="13"/>
      <c r="J412" s="13"/>
      <c r="K412" s="13">
        <v>30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</row>
    <row r="413" spans="1:23" x14ac:dyDescent="0.2">
      <c r="A413" s="14">
        <v>43693</v>
      </c>
      <c r="B413" s="13" t="s">
        <v>21</v>
      </c>
      <c r="C413" s="13" t="s">
        <v>91</v>
      </c>
      <c r="D413" s="13" t="s">
        <v>22</v>
      </c>
      <c r="E413" s="13" t="s">
        <v>23</v>
      </c>
      <c r="F413" s="13" t="s">
        <v>24</v>
      </c>
      <c r="G413" s="13" t="s">
        <v>25</v>
      </c>
      <c r="H413" s="14">
        <v>43439</v>
      </c>
      <c r="I413" s="13"/>
      <c r="J413" s="13"/>
      <c r="K413" s="13">
        <v>2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</row>
    <row r="414" spans="1:23" x14ac:dyDescent="0.2">
      <c r="A414" s="14">
        <v>43693</v>
      </c>
      <c r="B414" s="13" t="s">
        <v>21</v>
      </c>
      <c r="C414" s="13" t="s">
        <v>87</v>
      </c>
      <c r="D414" s="13" t="s">
        <v>22</v>
      </c>
      <c r="E414" s="13" t="s">
        <v>23</v>
      </c>
      <c r="F414" s="13" t="s">
        <v>24</v>
      </c>
      <c r="G414" s="13" t="s">
        <v>25</v>
      </c>
      <c r="H414" s="14">
        <v>43657</v>
      </c>
      <c r="I414" s="13"/>
      <c r="J414" s="13"/>
      <c r="K414" s="13">
        <v>10</v>
      </c>
      <c r="L414" s="13">
        <v>201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</row>
    <row r="415" spans="1:23" x14ac:dyDescent="0.2">
      <c r="A415" s="14">
        <v>43693</v>
      </c>
      <c r="B415" s="13" t="s">
        <v>21</v>
      </c>
      <c r="C415" s="13" t="s">
        <v>88</v>
      </c>
      <c r="D415" s="13" t="s">
        <v>22</v>
      </c>
      <c r="E415" s="13" t="s">
        <v>23</v>
      </c>
      <c r="F415" s="13" t="s">
        <v>26</v>
      </c>
      <c r="G415" s="13" t="s">
        <v>25</v>
      </c>
      <c r="H415" s="14">
        <v>43690</v>
      </c>
      <c r="I415" s="13"/>
      <c r="J415" s="13"/>
      <c r="K415" s="13">
        <v>15</v>
      </c>
      <c r="L415" s="13">
        <v>8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</row>
    <row r="416" spans="1:23" x14ac:dyDescent="0.2">
      <c r="A416" s="14">
        <v>43693</v>
      </c>
      <c r="B416" s="13" t="s">
        <v>21</v>
      </c>
      <c r="C416" s="13" t="s">
        <v>89</v>
      </c>
      <c r="D416" s="13" t="s">
        <v>22</v>
      </c>
      <c r="E416" s="13" t="s">
        <v>23</v>
      </c>
      <c r="F416" s="13" t="s">
        <v>26</v>
      </c>
      <c r="G416" s="13" t="s">
        <v>25</v>
      </c>
      <c r="H416" s="14">
        <v>43387</v>
      </c>
      <c r="I416" s="13"/>
      <c r="J416" s="13"/>
      <c r="K416" s="13">
        <v>15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</row>
    <row r="417" spans="1:23" x14ac:dyDescent="0.2">
      <c r="A417" s="14">
        <v>43693</v>
      </c>
      <c r="B417" s="13" t="s">
        <v>21</v>
      </c>
      <c r="C417" s="13" t="s">
        <v>90</v>
      </c>
      <c r="D417" s="13" t="s">
        <v>22</v>
      </c>
      <c r="E417" s="13" t="s">
        <v>23</v>
      </c>
      <c r="F417" s="13" t="s">
        <v>24</v>
      </c>
      <c r="G417" s="13" t="s">
        <v>25</v>
      </c>
      <c r="H417" s="14">
        <v>43454</v>
      </c>
      <c r="I417" s="13"/>
      <c r="J417" s="13"/>
      <c r="K417" s="13">
        <v>20</v>
      </c>
      <c r="L417" s="13">
        <v>2315</v>
      </c>
      <c r="M417" s="13">
        <v>13</v>
      </c>
      <c r="N417" s="13">
        <v>0.56159999999999999</v>
      </c>
      <c r="O417" s="13">
        <v>4.46</v>
      </c>
      <c r="P417" s="13">
        <v>0.34</v>
      </c>
      <c r="Q417" s="13">
        <v>1</v>
      </c>
      <c r="R417" s="13">
        <v>79.97</v>
      </c>
      <c r="S417" s="13">
        <v>5.5770999999999997</v>
      </c>
      <c r="T417" s="13">
        <v>0</v>
      </c>
      <c r="U417" s="13">
        <v>0</v>
      </c>
      <c r="V417" s="13">
        <v>0</v>
      </c>
      <c r="W417" s="13">
        <v>0</v>
      </c>
    </row>
    <row r="418" spans="1:23" x14ac:dyDescent="0.2">
      <c r="A418" s="14">
        <v>43694</v>
      </c>
      <c r="B418" s="13" t="s">
        <v>21</v>
      </c>
      <c r="C418" s="13" t="s">
        <v>74</v>
      </c>
      <c r="D418" s="13" t="s">
        <v>22</v>
      </c>
      <c r="E418" s="13" t="s">
        <v>23</v>
      </c>
      <c r="F418" s="13" t="s">
        <v>24</v>
      </c>
      <c r="G418" s="13" t="s">
        <v>25</v>
      </c>
      <c r="H418" s="14">
        <v>43420</v>
      </c>
      <c r="I418" s="13"/>
      <c r="J418" s="13"/>
      <c r="K418" s="13">
        <v>5</v>
      </c>
      <c r="L418" s="13">
        <v>48</v>
      </c>
      <c r="M418" s="13">
        <v>1</v>
      </c>
      <c r="N418" s="13">
        <v>2.0832999999999999</v>
      </c>
      <c r="O418" s="13">
        <v>0.04</v>
      </c>
      <c r="P418" s="13">
        <v>0.04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</row>
    <row r="419" spans="1:23" x14ac:dyDescent="0.2">
      <c r="A419" s="14">
        <v>43694</v>
      </c>
      <c r="B419" s="13" t="s">
        <v>21</v>
      </c>
      <c r="C419" s="13" t="s">
        <v>76</v>
      </c>
      <c r="D419" s="13" t="s">
        <v>22</v>
      </c>
      <c r="E419" s="13" t="s">
        <v>23</v>
      </c>
      <c r="F419" s="13" t="s">
        <v>24</v>
      </c>
      <c r="G419" s="13" t="s">
        <v>25</v>
      </c>
      <c r="H419" s="14">
        <v>43667</v>
      </c>
      <c r="I419" s="13"/>
      <c r="J419" s="13"/>
      <c r="K419" s="13">
        <v>10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</row>
    <row r="420" spans="1:23" x14ac:dyDescent="0.2">
      <c r="A420" s="14">
        <v>43694</v>
      </c>
      <c r="B420" s="13" t="s">
        <v>21</v>
      </c>
      <c r="C420" s="13" t="s">
        <v>77</v>
      </c>
      <c r="D420" s="13" t="s">
        <v>22</v>
      </c>
      <c r="E420" s="13" t="s">
        <v>23</v>
      </c>
      <c r="F420" s="13" t="s">
        <v>26</v>
      </c>
      <c r="G420" s="13" t="s">
        <v>25</v>
      </c>
      <c r="H420" s="14">
        <v>43388</v>
      </c>
      <c r="I420" s="13"/>
      <c r="J420" s="13"/>
      <c r="K420" s="13">
        <v>5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</row>
    <row r="421" spans="1:23" x14ac:dyDescent="0.2">
      <c r="A421" s="14">
        <v>43694</v>
      </c>
      <c r="B421" s="13" t="s">
        <v>21</v>
      </c>
      <c r="C421" s="13" t="s">
        <v>27</v>
      </c>
      <c r="D421" s="13" t="s">
        <v>22</v>
      </c>
      <c r="E421" s="13" t="s">
        <v>23</v>
      </c>
      <c r="F421" s="13" t="s">
        <v>24</v>
      </c>
      <c r="G421" s="13" t="s">
        <v>25</v>
      </c>
      <c r="H421" s="14">
        <v>43663</v>
      </c>
      <c r="I421" s="13"/>
      <c r="J421" s="13"/>
      <c r="K421" s="13">
        <v>10</v>
      </c>
      <c r="L421" s="13">
        <v>1414</v>
      </c>
      <c r="M421" s="13">
        <v>3</v>
      </c>
      <c r="N421" s="13">
        <v>0.2122</v>
      </c>
      <c r="O421" s="13">
        <v>1.48</v>
      </c>
      <c r="P421" s="13">
        <v>0.49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</row>
    <row r="422" spans="1:23" x14ac:dyDescent="0.2">
      <c r="A422" s="14">
        <v>43694</v>
      </c>
      <c r="B422" s="13" t="s">
        <v>21</v>
      </c>
      <c r="C422" s="13" t="s">
        <v>32</v>
      </c>
      <c r="D422" s="13" t="s">
        <v>33</v>
      </c>
      <c r="E422" s="13" t="s">
        <v>34</v>
      </c>
      <c r="F422" s="13" t="s">
        <v>24</v>
      </c>
      <c r="G422" s="13"/>
      <c r="H422" s="14">
        <v>43671</v>
      </c>
      <c r="I422" s="13"/>
      <c r="J422" s="13"/>
      <c r="K422" s="13">
        <v>2</v>
      </c>
      <c r="L422" s="13">
        <v>915</v>
      </c>
      <c r="M422" s="13">
        <v>6</v>
      </c>
      <c r="N422" s="13">
        <v>0.65569999999999995</v>
      </c>
      <c r="O422" s="13">
        <v>2.13</v>
      </c>
      <c r="P422" s="13">
        <v>0.36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</row>
    <row r="423" spans="1:23" x14ac:dyDescent="0.2">
      <c r="A423" s="14">
        <v>43694</v>
      </c>
      <c r="B423" s="13" t="s">
        <v>21</v>
      </c>
      <c r="C423" s="13" t="s">
        <v>72</v>
      </c>
      <c r="D423" s="13" t="s">
        <v>22</v>
      </c>
      <c r="E423" s="13" t="s">
        <v>23</v>
      </c>
      <c r="F423" s="13" t="s">
        <v>24</v>
      </c>
      <c r="G423" s="13" t="s">
        <v>25</v>
      </c>
      <c r="H423" s="14">
        <v>43412</v>
      </c>
      <c r="I423" s="13"/>
      <c r="J423" s="13"/>
      <c r="K423" s="13">
        <v>10</v>
      </c>
      <c r="L423" s="13">
        <v>1500</v>
      </c>
      <c r="M423" s="13">
        <v>6</v>
      </c>
      <c r="N423" s="13">
        <v>0.4</v>
      </c>
      <c r="O423" s="13">
        <v>1.83</v>
      </c>
      <c r="P423" s="13">
        <v>0.31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</row>
    <row r="424" spans="1:23" x14ac:dyDescent="0.2">
      <c r="A424" s="14">
        <v>43694</v>
      </c>
      <c r="B424" s="13" t="s">
        <v>21</v>
      </c>
      <c r="C424" s="13" t="s">
        <v>78</v>
      </c>
      <c r="D424" s="13" t="s">
        <v>22</v>
      </c>
      <c r="E424" s="13" t="s">
        <v>23</v>
      </c>
      <c r="F424" s="13" t="s">
        <v>24</v>
      </c>
      <c r="G424" s="13" t="s">
        <v>25</v>
      </c>
      <c r="H424" s="14">
        <v>43688</v>
      </c>
      <c r="I424" s="13"/>
      <c r="J424" s="13"/>
      <c r="K424" s="13">
        <v>10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</row>
    <row r="425" spans="1:23" x14ac:dyDescent="0.2">
      <c r="A425" s="14">
        <v>43694</v>
      </c>
      <c r="B425" s="13" t="s">
        <v>21</v>
      </c>
      <c r="C425" s="13" t="s">
        <v>80</v>
      </c>
      <c r="D425" s="13" t="s">
        <v>22</v>
      </c>
      <c r="E425" s="13" t="s">
        <v>23</v>
      </c>
      <c r="F425" s="13" t="s">
        <v>26</v>
      </c>
      <c r="G425" s="13" t="s">
        <v>25</v>
      </c>
      <c r="H425" s="14">
        <v>43676</v>
      </c>
      <c r="I425" s="13"/>
      <c r="J425" s="13"/>
      <c r="K425" s="13">
        <v>10</v>
      </c>
      <c r="L425" s="13">
        <v>10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</row>
    <row r="426" spans="1:23" x14ac:dyDescent="0.2">
      <c r="A426" s="14">
        <v>43694</v>
      </c>
      <c r="B426" s="13" t="s">
        <v>21</v>
      </c>
      <c r="C426" s="13" t="s">
        <v>81</v>
      </c>
      <c r="D426" s="13" t="s">
        <v>22</v>
      </c>
      <c r="E426" s="13" t="s">
        <v>23</v>
      </c>
      <c r="F426" s="13" t="s">
        <v>24</v>
      </c>
      <c r="G426" s="13" t="s">
        <v>25</v>
      </c>
      <c r="H426" s="14">
        <v>43428</v>
      </c>
      <c r="I426" s="13"/>
      <c r="J426" s="13"/>
      <c r="K426" s="13">
        <v>10</v>
      </c>
      <c r="L426" s="13">
        <v>833</v>
      </c>
      <c r="M426" s="13">
        <v>3</v>
      </c>
      <c r="N426" s="13">
        <v>0.36009999999999998</v>
      </c>
      <c r="O426" s="13">
        <v>2.14</v>
      </c>
      <c r="P426" s="13">
        <v>0.71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</row>
    <row r="427" spans="1:23" x14ac:dyDescent="0.2">
      <c r="A427" s="14">
        <v>43694</v>
      </c>
      <c r="B427" s="13" t="s">
        <v>21</v>
      </c>
      <c r="C427" s="13" t="s">
        <v>82</v>
      </c>
      <c r="D427" s="13" t="s">
        <v>22</v>
      </c>
      <c r="E427" s="13" t="s">
        <v>23</v>
      </c>
      <c r="F427" s="13" t="s">
        <v>26</v>
      </c>
      <c r="G427" s="13" t="s">
        <v>25</v>
      </c>
      <c r="H427" s="14">
        <v>43387</v>
      </c>
      <c r="I427" s="13"/>
      <c r="J427" s="13"/>
      <c r="K427" s="13">
        <v>5</v>
      </c>
      <c r="L427" s="13">
        <v>2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</row>
    <row r="428" spans="1:23" x14ac:dyDescent="0.2">
      <c r="A428" s="14">
        <v>43694</v>
      </c>
      <c r="B428" s="13" t="s">
        <v>21</v>
      </c>
      <c r="C428" s="13" t="s">
        <v>83</v>
      </c>
      <c r="D428" s="13" t="s">
        <v>22</v>
      </c>
      <c r="E428" s="13" t="s">
        <v>23</v>
      </c>
      <c r="F428" s="13" t="s">
        <v>26</v>
      </c>
      <c r="G428" s="13" t="s">
        <v>25</v>
      </c>
      <c r="H428" s="14">
        <v>43388</v>
      </c>
      <c r="I428" s="13"/>
      <c r="J428" s="13"/>
      <c r="K428" s="13">
        <v>5</v>
      </c>
      <c r="L428" s="13">
        <v>4191</v>
      </c>
      <c r="M428" s="13">
        <v>6</v>
      </c>
      <c r="N428" s="13">
        <v>0.14319999999999999</v>
      </c>
      <c r="O428" s="13">
        <v>4.05</v>
      </c>
      <c r="P428" s="13">
        <v>0.68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</row>
    <row r="429" spans="1:23" x14ac:dyDescent="0.2">
      <c r="A429" s="14">
        <v>43694</v>
      </c>
      <c r="B429" s="13" t="s">
        <v>21</v>
      </c>
      <c r="C429" s="13" t="s">
        <v>29</v>
      </c>
      <c r="D429" s="13" t="s">
        <v>22</v>
      </c>
      <c r="E429" s="13" t="s">
        <v>23</v>
      </c>
      <c r="F429" s="13" t="s">
        <v>26</v>
      </c>
      <c r="G429" s="13" t="s">
        <v>25</v>
      </c>
      <c r="H429" s="14">
        <v>43423</v>
      </c>
      <c r="I429" s="13"/>
      <c r="J429" s="13"/>
      <c r="K429" s="13">
        <v>3</v>
      </c>
      <c r="L429" s="13">
        <v>222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</row>
    <row r="430" spans="1:23" x14ac:dyDescent="0.2">
      <c r="A430" s="14">
        <v>43694</v>
      </c>
      <c r="B430" s="13" t="s">
        <v>21</v>
      </c>
      <c r="C430" s="13" t="s">
        <v>86</v>
      </c>
      <c r="D430" s="13" t="s">
        <v>22</v>
      </c>
      <c r="E430" s="13" t="s">
        <v>23</v>
      </c>
      <c r="F430" s="13" t="s">
        <v>26</v>
      </c>
      <c r="G430" s="13" t="s">
        <v>25</v>
      </c>
      <c r="H430" s="14">
        <v>43647</v>
      </c>
      <c r="I430" s="13"/>
      <c r="J430" s="13"/>
      <c r="K430" s="13">
        <v>10</v>
      </c>
      <c r="L430" s="13">
        <v>929</v>
      </c>
      <c r="M430" s="13">
        <v>5</v>
      </c>
      <c r="N430" s="13">
        <v>0.53820000000000001</v>
      </c>
      <c r="O430" s="13">
        <v>1.96</v>
      </c>
      <c r="P430" s="13">
        <v>0.39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</row>
    <row r="431" spans="1:23" x14ac:dyDescent="0.2">
      <c r="A431" s="14">
        <v>43694</v>
      </c>
      <c r="B431" s="13" t="s">
        <v>21</v>
      </c>
      <c r="C431" s="13" t="s">
        <v>30</v>
      </c>
      <c r="D431" s="13" t="s">
        <v>22</v>
      </c>
      <c r="E431" s="13" t="s">
        <v>23</v>
      </c>
      <c r="F431" s="13" t="s">
        <v>24</v>
      </c>
      <c r="G431" s="13" t="s">
        <v>25</v>
      </c>
      <c r="H431" s="14">
        <v>43678</v>
      </c>
      <c r="I431" s="13"/>
      <c r="J431" s="13"/>
      <c r="K431" s="13">
        <v>5</v>
      </c>
      <c r="L431" s="13">
        <v>235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</row>
    <row r="432" spans="1:23" x14ac:dyDescent="0.2">
      <c r="A432" s="14">
        <v>43694</v>
      </c>
      <c r="B432" s="13" t="s">
        <v>21</v>
      </c>
      <c r="C432" s="13" t="s">
        <v>85</v>
      </c>
      <c r="D432" s="13" t="s">
        <v>22</v>
      </c>
      <c r="E432" s="13" t="s">
        <v>23</v>
      </c>
      <c r="F432" s="13" t="s">
        <v>26</v>
      </c>
      <c r="G432" s="13" t="s">
        <v>25</v>
      </c>
      <c r="H432" s="14">
        <v>43387</v>
      </c>
      <c r="I432" s="13"/>
      <c r="J432" s="13"/>
      <c r="K432" s="13">
        <v>5</v>
      </c>
      <c r="L432" s="13">
        <v>3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</row>
    <row r="433" spans="1:23" x14ac:dyDescent="0.2">
      <c r="A433" s="14">
        <v>43694</v>
      </c>
      <c r="B433" s="13" t="s">
        <v>21</v>
      </c>
      <c r="C433" s="13" t="s">
        <v>84</v>
      </c>
      <c r="D433" s="13" t="s">
        <v>22</v>
      </c>
      <c r="E433" s="13" t="s">
        <v>23</v>
      </c>
      <c r="F433" s="13" t="s">
        <v>26</v>
      </c>
      <c r="G433" s="13" t="s">
        <v>25</v>
      </c>
      <c r="H433" s="14">
        <v>43387</v>
      </c>
      <c r="I433" s="13"/>
      <c r="J433" s="13"/>
      <c r="K433" s="13">
        <v>10</v>
      </c>
      <c r="L433" s="13">
        <v>234</v>
      </c>
      <c r="M433" s="13">
        <v>2</v>
      </c>
      <c r="N433" s="13">
        <v>0.85470000000000002</v>
      </c>
      <c r="O433" s="13">
        <v>0.69</v>
      </c>
      <c r="P433" s="13">
        <v>0.35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</row>
    <row r="434" spans="1:23" x14ac:dyDescent="0.2">
      <c r="A434" s="14">
        <v>43694</v>
      </c>
      <c r="B434" s="13" t="s">
        <v>21</v>
      </c>
      <c r="C434" s="13" t="s">
        <v>31</v>
      </c>
      <c r="D434" s="13" t="s">
        <v>22</v>
      </c>
      <c r="E434" s="13" t="s">
        <v>23</v>
      </c>
      <c r="F434" s="13" t="s">
        <v>26</v>
      </c>
      <c r="G434" s="13" t="s">
        <v>25</v>
      </c>
      <c r="H434" s="14">
        <v>43615</v>
      </c>
      <c r="I434" s="13"/>
      <c r="J434" s="13"/>
      <c r="K434" s="13">
        <v>30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</row>
    <row r="435" spans="1:23" x14ac:dyDescent="0.2">
      <c r="A435" s="14">
        <v>43694</v>
      </c>
      <c r="B435" s="13" t="s">
        <v>21</v>
      </c>
      <c r="C435" s="13" t="s">
        <v>91</v>
      </c>
      <c r="D435" s="13" t="s">
        <v>22</v>
      </c>
      <c r="E435" s="13" t="s">
        <v>23</v>
      </c>
      <c r="F435" s="13" t="s">
        <v>24</v>
      </c>
      <c r="G435" s="13" t="s">
        <v>25</v>
      </c>
      <c r="H435" s="14">
        <v>43439</v>
      </c>
      <c r="I435" s="13"/>
      <c r="J435" s="13"/>
      <c r="K435" s="13">
        <v>2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</row>
    <row r="436" spans="1:23" x14ac:dyDescent="0.2">
      <c r="A436" s="14">
        <v>43694</v>
      </c>
      <c r="B436" s="13" t="s">
        <v>21</v>
      </c>
      <c r="C436" s="13" t="s">
        <v>87</v>
      </c>
      <c r="D436" s="13" t="s">
        <v>22</v>
      </c>
      <c r="E436" s="13" t="s">
        <v>23</v>
      </c>
      <c r="F436" s="13" t="s">
        <v>24</v>
      </c>
      <c r="G436" s="13" t="s">
        <v>25</v>
      </c>
      <c r="H436" s="14">
        <v>43657</v>
      </c>
      <c r="I436" s="13"/>
      <c r="J436" s="13"/>
      <c r="K436" s="13">
        <v>10</v>
      </c>
      <c r="L436" s="13">
        <v>186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</row>
    <row r="437" spans="1:23" x14ac:dyDescent="0.2">
      <c r="A437" s="14">
        <v>43694</v>
      </c>
      <c r="B437" s="13" t="s">
        <v>21</v>
      </c>
      <c r="C437" s="13" t="s">
        <v>88</v>
      </c>
      <c r="D437" s="13" t="s">
        <v>22</v>
      </c>
      <c r="E437" s="13" t="s">
        <v>23</v>
      </c>
      <c r="F437" s="13" t="s">
        <v>26</v>
      </c>
      <c r="G437" s="13" t="s">
        <v>25</v>
      </c>
      <c r="H437" s="14">
        <v>43690</v>
      </c>
      <c r="I437" s="13"/>
      <c r="J437" s="13"/>
      <c r="K437" s="13">
        <v>15</v>
      </c>
      <c r="L437" s="13">
        <v>1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</row>
    <row r="438" spans="1:23" x14ac:dyDescent="0.2">
      <c r="A438" s="14">
        <v>43694</v>
      </c>
      <c r="B438" s="13" t="s">
        <v>21</v>
      </c>
      <c r="C438" s="13" t="s">
        <v>90</v>
      </c>
      <c r="D438" s="13" t="s">
        <v>22</v>
      </c>
      <c r="E438" s="13" t="s">
        <v>23</v>
      </c>
      <c r="F438" s="13" t="s">
        <v>24</v>
      </c>
      <c r="G438" s="13" t="s">
        <v>25</v>
      </c>
      <c r="H438" s="14">
        <v>43454</v>
      </c>
      <c r="I438" s="13"/>
      <c r="J438" s="13"/>
      <c r="K438" s="13">
        <v>20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</row>
    <row r="439" spans="1:23" x14ac:dyDescent="0.2">
      <c r="A439" s="14">
        <v>43694</v>
      </c>
      <c r="B439" s="13" t="s">
        <v>21</v>
      </c>
      <c r="C439" s="13" t="s">
        <v>89</v>
      </c>
      <c r="D439" s="13" t="s">
        <v>22</v>
      </c>
      <c r="E439" s="13" t="s">
        <v>23</v>
      </c>
      <c r="F439" s="13" t="s">
        <v>26</v>
      </c>
      <c r="G439" s="13" t="s">
        <v>25</v>
      </c>
      <c r="H439" s="14">
        <v>43387</v>
      </c>
      <c r="I439" s="13"/>
      <c r="J439" s="13"/>
      <c r="K439" s="13">
        <v>15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</row>
    <row r="440" spans="1:23" x14ac:dyDescent="0.2">
      <c r="A440" s="14">
        <v>43694</v>
      </c>
      <c r="B440" s="13" t="s">
        <v>21</v>
      </c>
      <c r="C440" s="13" t="s">
        <v>75</v>
      </c>
      <c r="D440" s="13" t="s">
        <v>22</v>
      </c>
      <c r="E440" s="13" t="s">
        <v>23</v>
      </c>
      <c r="F440" s="13" t="s">
        <v>24</v>
      </c>
      <c r="G440" s="13" t="s">
        <v>25</v>
      </c>
      <c r="H440" s="14">
        <v>43454</v>
      </c>
      <c r="I440" s="13"/>
      <c r="J440" s="13"/>
      <c r="K440" s="13">
        <v>5</v>
      </c>
      <c r="L440" s="13">
        <v>2972</v>
      </c>
      <c r="M440" s="13">
        <v>18</v>
      </c>
      <c r="N440" s="13">
        <v>0.60570000000000002</v>
      </c>
      <c r="O440" s="13">
        <v>6.02</v>
      </c>
      <c r="P440" s="13">
        <v>0.33</v>
      </c>
      <c r="Q440" s="13">
        <v>2</v>
      </c>
      <c r="R440" s="13">
        <v>135.96</v>
      </c>
      <c r="S440" s="13">
        <v>4.4278000000000004</v>
      </c>
      <c r="T440" s="13">
        <v>0</v>
      </c>
      <c r="U440" s="13">
        <v>0</v>
      </c>
      <c r="V440" s="13">
        <v>0</v>
      </c>
      <c r="W440" s="13">
        <v>0</v>
      </c>
    </row>
    <row r="441" spans="1:23" x14ac:dyDescent="0.2">
      <c r="A441" s="14">
        <v>43694</v>
      </c>
      <c r="B441" s="13" t="s">
        <v>21</v>
      </c>
      <c r="C441" s="13" t="s">
        <v>28</v>
      </c>
      <c r="D441" s="13" t="s">
        <v>22</v>
      </c>
      <c r="E441" s="13" t="s">
        <v>23</v>
      </c>
      <c r="F441" s="13" t="s">
        <v>24</v>
      </c>
      <c r="G441" s="13" t="s">
        <v>25</v>
      </c>
      <c r="H441" s="14">
        <v>43663</v>
      </c>
      <c r="I441" s="13"/>
      <c r="J441" s="13"/>
      <c r="K441" s="13">
        <v>10</v>
      </c>
      <c r="L441" s="13">
        <v>645</v>
      </c>
      <c r="M441" s="13">
        <v>2</v>
      </c>
      <c r="N441" s="13">
        <v>0.31009999999999999</v>
      </c>
      <c r="O441" s="13">
        <v>1.28</v>
      </c>
      <c r="P441" s="13">
        <v>0.64</v>
      </c>
      <c r="Q441" s="13">
        <v>1</v>
      </c>
      <c r="R441" s="13">
        <v>16.37</v>
      </c>
      <c r="S441" s="13">
        <v>7.8192000000000004</v>
      </c>
      <c r="T441" s="13">
        <v>0</v>
      </c>
      <c r="U441" s="13">
        <v>0</v>
      </c>
      <c r="V441" s="13">
        <v>0</v>
      </c>
      <c r="W441" s="13">
        <v>0</v>
      </c>
    </row>
    <row r="442" spans="1:23" x14ac:dyDescent="0.2">
      <c r="A442" s="14">
        <v>43694</v>
      </c>
      <c r="B442" s="13" t="s">
        <v>21</v>
      </c>
      <c r="C442" s="13" t="s">
        <v>73</v>
      </c>
      <c r="D442" s="13" t="s">
        <v>22</v>
      </c>
      <c r="E442" s="13" t="s">
        <v>23</v>
      </c>
      <c r="F442" s="13" t="s">
        <v>24</v>
      </c>
      <c r="G442" s="13" t="s">
        <v>25</v>
      </c>
      <c r="H442" s="14">
        <v>43661</v>
      </c>
      <c r="I442" s="13"/>
      <c r="J442" s="13"/>
      <c r="K442" s="13">
        <v>10</v>
      </c>
      <c r="L442" s="13">
        <v>2597</v>
      </c>
      <c r="M442" s="13">
        <v>35</v>
      </c>
      <c r="N442" s="13">
        <v>1.3476999999999999</v>
      </c>
      <c r="O442" s="13">
        <v>10.29</v>
      </c>
      <c r="P442" s="13">
        <v>0.28999999999999998</v>
      </c>
      <c r="Q442" s="13">
        <v>2</v>
      </c>
      <c r="R442" s="13">
        <v>107.94</v>
      </c>
      <c r="S442" s="13">
        <v>9.5330999999999992</v>
      </c>
      <c r="T442" s="13">
        <v>0</v>
      </c>
      <c r="U442" s="13">
        <v>0</v>
      </c>
      <c r="V442" s="13">
        <v>0</v>
      </c>
      <c r="W442" s="13">
        <v>0</v>
      </c>
    </row>
    <row r="443" spans="1:23" x14ac:dyDescent="0.2">
      <c r="A443" s="14">
        <v>43694</v>
      </c>
      <c r="B443" s="13" t="s">
        <v>21</v>
      </c>
      <c r="C443" s="13" t="s">
        <v>79</v>
      </c>
      <c r="D443" s="13" t="s">
        <v>22</v>
      </c>
      <c r="E443" s="13" t="s">
        <v>23</v>
      </c>
      <c r="F443" s="13" t="s">
        <v>26</v>
      </c>
      <c r="G443" s="13" t="s">
        <v>25</v>
      </c>
      <c r="H443" s="14">
        <v>43387</v>
      </c>
      <c r="I443" s="13"/>
      <c r="J443" s="13"/>
      <c r="K443" s="13">
        <v>10</v>
      </c>
      <c r="L443" s="13">
        <v>19520</v>
      </c>
      <c r="M443" s="13">
        <v>76</v>
      </c>
      <c r="N443" s="13">
        <v>0.38929999999999998</v>
      </c>
      <c r="O443" s="13">
        <v>22.02</v>
      </c>
      <c r="P443" s="13">
        <v>0.28999999999999998</v>
      </c>
      <c r="Q443" s="13">
        <v>2</v>
      </c>
      <c r="R443" s="13">
        <v>107.94</v>
      </c>
      <c r="S443" s="13">
        <v>20.400200000000002</v>
      </c>
      <c r="T443" s="13">
        <v>0</v>
      </c>
      <c r="U443" s="13">
        <v>0</v>
      </c>
      <c r="V443" s="13">
        <v>0</v>
      </c>
      <c r="W443" s="13">
        <v>0</v>
      </c>
    </row>
    <row r="444" spans="1:23" x14ac:dyDescent="0.2">
      <c r="A444" s="14">
        <v>43695</v>
      </c>
      <c r="B444" s="13" t="s">
        <v>21</v>
      </c>
      <c r="C444" s="13" t="s">
        <v>74</v>
      </c>
      <c r="D444" s="13" t="s">
        <v>22</v>
      </c>
      <c r="E444" s="13" t="s">
        <v>23</v>
      </c>
      <c r="F444" s="13" t="s">
        <v>24</v>
      </c>
      <c r="G444" s="13" t="s">
        <v>25</v>
      </c>
      <c r="H444" s="14">
        <v>43420</v>
      </c>
      <c r="I444" s="13"/>
      <c r="J444" s="13"/>
      <c r="K444" s="13">
        <v>5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</row>
    <row r="445" spans="1:23" x14ac:dyDescent="0.2">
      <c r="A445" s="14">
        <v>43695</v>
      </c>
      <c r="B445" s="13" t="s">
        <v>21</v>
      </c>
      <c r="C445" s="13" t="s">
        <v>76</v>
      </c>
      <c r="D445" s="13" t="s">
        <v>22</v>
      </c>
      <c r="E445" s="13" t="s">
        <v>23</v>
      </c>
      <c r="F445" s="13" t="s">
        <v>24</v>
      </c>
      <c r="G445" s="13" t="s">
        <v>25</v>
      </c>
      <c r="H445" s="14">
        <v>43667</v>
      </c>
      <c r="I445" s="13"/>
      <c r="J445" s="13"/>
      <c r="K445" s="13">
        <v>10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</row>
    <row r="446" spans="1:23" x14ac:dyDescent="0.2">
      <c r="A446" s="14">
        <v>43695</v>
      </c>
      <c r="B446" s="13" t="s">
        <v>21</v>
      </c>
      <c r="C446" s="13" t="s">
        <v>77</v>
      </c>
      <c r="D446" s="13" t="s">
        <v>22</v>
      </c>
      <c r="E446" s="13" t="s">
        <v>23</v>
      </c>
      <c r="F446" s="13" t="s">
        <v>26</v>
      </c>
      <c r="G446" s="13" t="s">
        <v>25</v>
      </c>
      <c r="H446" s="14">
        <v>43388</v>
      </c>
      <c r="I446" s="13"/>
      <c r="J446" s="13"/>
      <c r="K446" s="13">
        <v>5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</row>
    <row r="447" spans="1:23" x14ac:dyDescent="0.2">
      <c r="A447" s="14">
        <v>43695</v>
      </c>
      <c r="B447" s="13" t="s">
        <v>21</v>
      </c>
      <c r="C447" s="13" t="s">
        <v>27</v>
      </c>
      <c r="D447" s="13" t="s">
        <v>22</v>
      </c>
      <c r="E447" s="13" t="s">
        <v>23</v>
      </c>
      <c r="F447" s="13" t="s">
        <v>24</v>
      </c>
      <c r="G447" s="13" t="s">
        <v>25</v>
      </c>
      <c r="H447" s="14">
        <v>43663</v>
      </c>
      <c r="I447" s="13"/>
      <c r="J447" s="13"/>
      <c r="K447" s="13">
        <v>10</v>
      </c>
      <c r="L447" s="13">
        <v>3917</v>
      </c>
      <c r="M447" s="13">
        <v>16</v>
      </c>
      <c r="N447" s="13">
        <v>0.40849999999999997</v>
      </c>
      <c r="O447" s="13">
        <v>11.21</v>
      </c>
      <c r="P447" s="13">
        <v>0.7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</row>
    <row r="448" spans="1:23" x14ac:dyDescent="0.2">
      <c r="A448" s="14">
        <v>43695</v>
      </c>
      <c r="B448" s="13" t="s">
        <v>21</v>
      </c>
      <c r="C448" s="13" t="s">
        <v>32</v>
      </c>
      <c r="D448" s="13" t="s">
        <v>33</v>
      </c>
      <c r="E448" s="13" t="s">
        <v>34</v>
      </c>
      <c r="F448" s="13" t="s">
        <v>24</v>
      </c>
      <c r="G448" s="13"/>
      <c r="H448" s="14">
        <v>43671</v>
      </c>
      <c r="I448" s="13"/>
      <c r="J448" s="13"/>
      <c r="K448" s="13">
        <v>2</v>
      </c>
      <c r="L448" s="13">
        <v>957</v>
      </c>
      <c r="M448" s="13">
        <v>6</v>
      </c>
      <c r="N448" s="13">
        <v>0.627</v>
      </c>
      <c r="O448" s="13">
        <v>2.19</v>
      </c>
      <c r="P448" s="13">
        <v>0.36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</row>
    <row r="449" spans="1:23" x14ac:dyDescent="0.2">
      <c r="A449" s="14">
        <v>43695</v>
      </c>
      <c r="B449" s="13" t="s">
        <v>21</v>
      </c>
      <c r="C449" s="13" t="s">
        <v>78</v>
      </c>
      <c r="D449" s="13" t="s">
        <v>22</v>
      </c>
      <c r="E449" s="13" t="s">
        <v>23</v>
      </c>
      <c r="F449" s="13" t="s">
        <v>24</v>
      </c>
      <c r="G449" s="13" t="s">
        <v>25</v>
      </c>
      <c r="H449" s="14">
        <v>43688</v>
      </c>
      <c r="I449" s="13"/>
      <c r="J449" s="13"/>
      <c r="K449" s="13">
        <v>10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</row>
    <row r="450" spans="1:23" x14ac:dyDescent="0.2">
      <c r="A450" s="14">
        <v>43695</v>
      </c>
      <c r="B450" s="13" t="s">
        <v>21</v>
      </c>
      <c r="C450" s="13" t="s">
        <v>80</v>
      </c>
      <c r="D450" s="13" t="s">
        <v>22</v>
      </c>
      <c r="E450" s="13" t="s">
        <v>23</v>
      </c>
      <c r="F450" s="13" t="s">
        <v>26</v>
      </c>
      <c r="G450" s="13" t="s">
        <v>25</v>
      </c>
      <c r="H450" s="14">
        <v>43676</v>
      </c>
      <c r="I450" s="13"/>
      <c r="J450" s="13"/>
      <c r="K450" s="13">
        <v>10</v>
      </c>
      <c r="L450" s="13">
        <v>25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</row>
    <row r="451" spans="1:23" x14ac:dyDescent="0.2">
      <c r="A451" s="14">
        <v>43695</v>
      </c>
      <c r="B451" s="13" t="s">
        <v>21</v>
      </c>
      <c r="C451" s="13" t="s">
        <v>81</v>
      </c>
      <c r="D451" s="13" t="s">
        <v>22</v>
      </c>
      <c r="E451" s="13" t="s">
        <v>23</v>
      </c>
      <c r="F451" s="13" t="s">
        <v>24</v>
      </c>
      <c r="G451" s="13" t="s">
        <v>25</v>
      </c>
      <c r="H451" s="14">
        <v>43428</v>
      </c>
      <c r="I451" s="13"/>
      <c r="J451" s="13"/>
      <c r="K451" s="13">
        <v>10</v>
      </c>
      <c r="L451" s="13">
        <v>1327</v>
      </c>
      <c r="M451" s="13">
        <v>3</v>
      </c>
      <c r="N451" s="13">
        <v>0.2261</v>
      </c>
      <c r="O451" s="13">
        <v>2.0499999999999998</v>
      </c>
      <c r="P451" s="13">
        <v>0.68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</row>
    <row r="452" spans="1:23" x14ac:dyDescent="0.2">
      <c r="A452" s="14">
        <v>43695</v>
      </c>
      <c r="B452" s="13" t="s">
        <v>21</v>
      </c>
      <c r="C452" s="13" t="s">
        <v>82</v>
      </c>
      <c r="D452" s="13" t="s">
        <v>22</v>
      </c>
      <c r="E452" s="13" t="s">
        <v>23</v>
      </c>
      <c r="F452" s="13" t="s">
        <v>26</v>
      </c>
      <c r="G452" s="13" t="s">
        <v>25</v>
      </c>
      <c r="H452" s="14">
        <v>43387</v>
      </c>
      <c r="I452" s="13"/>
      <c r="J452" s="13"/>
      <c r="K452" s="13">
        <v>5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</row>
    <row r="453" spans="1:23" x14ac:dyDescent="0.2">
      <c r="A453" s="14">
        <v>43695</v>
      </c>
      <c r="B453" s="13" t="s">
        <v>21</v>
      </c>
      <c r="C453" s="13" t="s">
        <v>28</v>
      </c>
      <c r="D453" s="13" t="s">
        <v>22</v>
      </c>
      <c r="E453" s="13" t="s">
        <v>23</v>
      </c>
      <c r="F453" s="13" t="s">
        <v>24</v>
      </c>
      <c r="G453" s="13" t="s">
        <v>25</v>
      </c>
      <c r="H453" s="14">
        <v>43663</v>
      </c>
      <c r="I453" s="13"/>
      <c r="J453" s="13"/>
      <c r="K453" s="13">
        <v>10</v>
      </c>
      <c r="L453" s="13">
        <v>1636</v>
      </c>
      <c r="M453" s="13">
        <v>7</v>
      </c>
      <c r="N453" s="13">
        <v>0.4279</v>
      </c>
      <c r="O453" s="13">
        <v>4.18</v>
      </c>
      <c r="P453" s="13">
        <v>0.6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</row>
    <row r="454" spans="1:23" x14ac:dyDescent="0.2">
      <c r="A454" s="14">
        <v>43695</v>
      </c>
      <c r="B454" s="13" t="s">
        <v>21</v>
      </c>
      <c r="C454" s="13" t="s">
        <v>83</v>
      </c>
      <c r="D454" s="13" t="s">
        <v>22</v>
      </c>
      <c r="E454" s="13" t="s">
        <v>23</v>
      </c>
      <c r="F454" s="13" t="s">
        <v>26</v>
      </c>
      <c r="G454" s="13" t="s">
        <v>25</v>
      </c>
      <c r="H454" s="14">
        <v>43388</v>
      </c>
      <c r="I454" s="13"/>
      <c r="J454" s="13"/>
      <c r="K454" s="13">
        <v>5</v>
      </c>
      <c r="L454" s="13">
        <v>4597</v>
      </c>
      <c r="M454" s="13">
        <v>8</v>
      </c>
      <c r="N454" s="13">
        <v>0.17399999999999999</v>
      </c>
      <c r="O454" s="13">
        <v>4.9800000000000004</v>
      </c>
      <c r="P454" s="13">
        <v>0.62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</row>
    <row r="455" spans="1:23" x14ac:dyDescent="0.2">
      <c r="A455" s="14">
        <v>43695</v>
      </c>
      <c r="B455" s="13" t="s">
        <v>21</v>
      </c>
      <c r="C455" s="13" t="s">
        <v>29</v>
      </c>
      <c r="D455" s="13" t="s">
        <v>22</v>
      </c>
      <c r="E455" s="13" t="s">
        <v>23</v>
      </c>
      <c r="F455" s="13" t="s">
        <v>26</v>
      </c>
      <c r="G455" s="13" t="s">
        <v>25</v>
      </c>
      <c r="H455" s="14">
        <v>43423</v>
      </c>
      <c r="I455" s="13"/>
      <c r="J455" s="13"/>
      <c r="K455" s="13">
        <v>3</v>
      </c>
      <c r="L455" s="13">
        <v>207</v>
      </c>
      <c r="M455" s="13">
        <v>2</v>
      </c>
      <c r="N455" s="13">
        <v>0.96619999999999995</v>
      </c>
      <c r="O455" s="13">
        <v>0.25</v>
      </c>
      <c r="P455" s="13">
        <v>0.13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</row>
    <row r="456" spans="1:23" x14ac:dyDescent="0.2">
      <c r="A456" s="14">
        <v>43695</v>
      </c>
      <c r="B456" s="13" t="s">
        <v>21</v>
      </c>
      <c r="C456" s="13" t="s">
        <v>86</v>
      </c>
      <c r="D456" s="13" t="s">
        <v>22</v>
      </c>
      <c r="E456" s="13" t="s">
        <v>23</v>
      </c>
      <c r="F456" s="13" t="s">
        <v>26</v>
      </c>
      <c r="G456" s="13" t="s">
        <v>25</v>
      </c>
      <c r="H456" s="14">
        <v>43647</v>
      </c>
      <c r="I456" s="13"/>
      <c r="J456" s="13"/>
      <c r="K456" s="13">
        <v>10</v>
      </c>
      <c r="L456" s="13">
        <v>833</v>
      </c>
      <c r="M456" s="13">
        <v>3</v>
      </c>
      <c r="N456" s="13">
        <v>0.36009999999999998</v>
      </c>
      <c r="O456" s="13">
        <v>1.29</v>
      </c>
      <c r="P456" s="13">
        <v>0.43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</row>
    <row r="457" spans="1:23" x14ac:dyDescent="0.2">
      <c r="A457" s="14">
        <v>43695</v>
      </c>
      <c r="B457" s="13" t="s">
        <v>21</v>
      </c>
      <c r="C457" s="13" t="s">
        <v>85</v>
      </c>
      <c r="D457" s="13" t="s">
        <v>22</v>
      </c>
      <c r="E457" s="13" t="s">
        <v>23</v>
      </c>
      <c r="F457" s="13" t="s">
        <v>26</v>
      </c>
      <c r="G457" s="13" t="s">
        <v>25</v>
      </c>
      <c r="H457" s="14">
        <v>43387</v>
      </c>
      <c r="I457" s="13"/>
      <c r="J457" s="13"/>
      <c r="K457" s="13">
        <v>5</v>
      </c>
      <c r="L457" s="13">
        <v>11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</row>
    <row r="458" spans="1:23" x14ac:dyDescent="0.2">
      <c r="A458" s="14">
        <v>43695</v>
      </c>
      <c r="B458" s="13" t="s">
        <v>21</v>
      </c>
      <c r="C458" s="13" t="s">
        <v>31</v>
      </c>
      <c r="D458" s="13" t="s">
        <v>22</v>
      </c>
      <c r="E458" s="13" t="s">
        <v>23</v>
      </c>
      <c r="F458" s="13" t="s">
        <v>26</v>
      </c>
      <c r="G458" s="13" t="s">
        <v>25</v>
      </c>
      <c r="H458" s="14">
        <v>43615</v>
      </c>
      <c r="I458" s="13"/>
      <c r="J458" s="13"/>
      <c r="K458" s="13">
        <v>30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</row>
    <row r="459" spans="1:23" x14ac:dyDescent="0.2">
      <c r="A459" s="14">
        <v>43695</v>
      </c>
      <c r="B459" s="13" t="s">
        <v>21</v>
      </c>
      <c r="C459" s="13" t="s">
        <v>91</v>
      </c>
      <c r="D459" s="13" t="s">
        <v>22</v>
      </c>
      <c r="E459" s="13" t="s">
        <v>23</v>
      </c>
      <c r="F459" s="13" t="s">
        <v>24</v>
      </c>
      <c r="G459" s="13" t="s">
        <v>25</v>
      </c>
      <c r="H459" s="14">
        <v>43439</v>
      </c>
      <c r="I459" s="13"/>
      <c r="J459" s="13"/>
      <c r="K459" s="13">
        <v>2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</row>
    <row r="460" spans="1:23" x14ac:dyDescent="0.2">
      <c r="A460" s="14">
        <v>43695</v>
      </c>
      <c r="B460" s="13" t="s">
        <v>21</v>
      </c>
      <c r="C460" s="13" t="s">
        <v>88</v>
      </c>
      <c r="D460" s="13" t="s">
        <v>22</v>
      </c>
      <c r="E460" s="13" t="s">
        <v>23</v>
      </c>
      <c r="F460" s="13" t="s">
        <v>26</v>
      </c>
      <c r="G460" s="13" t="s">
        <v>25</v>
      </c>
      <c r="H460" s="14">
        <v>43690</v>
      </c>
      <c r="I460" s="13"/>
      <c r="J460" s="13"/>
      <c r="K460" s="13">
        <v>15</v>
      </c>
      <c r="L460" s="13">
        <v>8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</row>
    <row r="461" spans="1:23" x14ac:dyDescent="0.2">
      <c r="A461" s="14">
        <v>43695</v>
      </c>
      <c r="B461" s="13" t="s">
        <v>21</v>
      </c>
      <c r="C461" s="13" t="s">
        <v>90</v>
      </c>
      <c r="D461" s="13" t="s">
        <v>22</v>
      </c>
      <c r="E461" s="13" t="s">
        <v>23</v>
      </c>
      <c r="F461" s="13" t="s">
        <v>24</v>
      </c>
      <c r="G461" s="13" t="s">
        <v>25</v>
      </c>
      <c r="H461" s="14">
        <v>43454</v>
      </c>
      <c r="I461" s="13"/>
      <c r="J461" s="13"/>
      <c r="K461" s="13">
        <v>20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</row>
    <row r="462" spans="1:23" x14ac:dyDescent="0.2">
      <c r="A462" s="14">
        <v>43695</v>
      </c>
      <c r="B462" s="13" t="s">
        <v>21</v>
      </c>
      <c r="C462" s="13" t="s">
        <v>89</v>
      </c>
      <c r="D462" s="13" t="s">
        <v>22</v>
      </c>
      <c r="E462" s="13" t="s">
        <v>23</v>
      </c>
      <c r="F462" s="13" t="s">
        <v>26</v>
      </c>
      <c r="G462" s="13" t="s">
        <v>25</v>
      </c>
      <c r="H462" s="14">
        <v>43387</v>
      </c>
      <c r="I462" s="13"/>
      <c r="J462" s="13"/>
      <c r="K462" s="13">
        <v>15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</row>
    <row r="463" spans="1:23" x14ac:dyDescent="0.2">
      <c r="A463" s="14">
        <v>43695</v>
      </c>
      <c r="B463" s="13" t="s">
        <v>21</v>
      </c>
      <c r="C463" s="13" t="s">
        <v>75</v>
      </c>
      <c r="D463" s="13" t="s">
        <v>22</v>
      </c>
      <c r="E463" s="13" t="s">
        <v>23</v>
      </c>
      <c r="F463" s="13" t="s">
        <v>24</v>
      </c>
      <c r="G463" s="13" t="s">
        <v>25</v>
      </c>
      <c r="H463" s="14">
        <v>43454</v>
      </c>
      <c r="I463" s="13"/>
      <c r="J463" s="13"/>
      <c r="K463" s="13">
        <v>5</v>
      </c>
      <c r="L463" s="13">
        <v>4679</v>
      </c>
      <c r="M463" s="13">
        <v>20</v>
      </c>
      <c r="N463" s="13">
        <v>0.4274</v>
      </c>
      <c r="O463" s="13">
        <v>5.58</v>
      </c>
      <c r="P463" s="13">
        <v>0.28000000000000003</v>
      </c>
      <c r="Q463" s="13">
        <v>2</v>
      </c>
      <c r="R463" s="13">
        <v>155.94</v>
      </c>
      <c r="S463" s="13">
        <v>3.5783</v>
      </c>
      <c r="T463" s="13">
        <v>0</v>
      </c>
      <c r="U463" s="13">
        <v>0</v>
      </c>
      <c r="V463" s="13">
        <v>0</v>
      </c>
      <c r="W463" s="13">
        <v>0</v>
      </c>
    </row>
    <row r="464" spans="1:23" x14ac:dyDescent="0.2">
      <c r="A464" s="14">
        <v>43695</v>
      </c>
      <c r="B464" s="13" t="s">
        <v>21</v>
      </c>
      <c r="C464" s="13" t="s">
        <v>84</v>
      </c>
      <c r="D464" s="13" t="s">
        <v>22</v>
      </c>
      <c r="E464" s="13" t="s">
        <v>23</v>
      </c>
      <c r="F464" s="13" t="s">
        <v>26</v>
      </c>
      <c r="G464" s="13" t="s">
        <v>25</v>
      </c>
      <c r="H464" s="14">
        <v>43387</v>
      </c>
      <c r="I464" s="13"/>
      <c r="J464" s="13"/>
      <c r="K464" s="13">
        <v>10</v>
      </c>
      <c r="L464" s="13">
        <v>267</v>
      </c>
      <c r="M464" s="13">
        <v>2</v>
      </c>
      <c r="N464" s="13">
        <v>0.74909999999999999</v>
      </c>
      <c r="O464" s="13">
        <v>0.6</v>
      </c>
      <c r="P464" s="13">
        <v>0.3</v>
      </c>
      <c r="Q464" s="13">
        <v>1</v>
      </c>
      <c r="R464" s="13">
        <v>13.97</v>
      </c>
      <c r="S464" s="13">
        <v>4.2949000000000002</v>
      </c>
      <c r="T464" s="13">
        <v>0</v>
      </c>
      <c r="U464" s="13">
        <v>0</v>
      </c>
      <c r="V464" s="13">
        <v>0</v>
      </c>
      <c r="W464" s="13">
        <v>0</v>
      </c>
    </row>
    <row r="465" spans="1:23" x14ac:dyDescent="0.2">
      <c r="A465" s="14">
        <v>43695</v>
      </c>
      <c r="B465" s="13" t="s">
        <v>21</v>
      </c>
      <c r="C465" s="13" t="s">
        <v>73</v>
      </c>
      <c r="D465" s="13" t="s">
        <v>22</v>
      </c>
      <c r="E465" s="13" t="s">
        <v>23</v>
      </c>
      <c r="F465" s="13" t="s">
        <v>24</v>
      </c>
      <c r="G465" s="13" t="s">
        <v>25</v>
      </c>
      <c r="H465" s="14">
        <v>43661</v>
      </c>
      <c r="I465" s="13"/>
      <c r="J465" s="13"/>
      <c r="K465" s="13">
        <v>10</v>
      </c>
      <c r="L465" s="13">
        <v>4691</v>
      </c>
      <c r="M465" s="13">
        <v>40</v>
      </c>
      <c r="N465" s="13">
        <v>0.85270000000000001</v>
      </c>
      <c r="O465" s="13">
        <v>10.64</v>
      </c>
      <c r="P465" s="13">
        <v>0.27</v>
      </c>
      <c r="Q465" s="13">
        <v>4</v>
      </c>
      <c r="R465" s="13">
        <v>239.88</v>
      </c>
      <c r="S465" s="13">
        <v>4.4356</v>
      </c>
      <c r="T465" s="13">
        <v>0</v>
      </c>
      <c r="U465" s="13">
        <v>0</v>
      </c>
      <c r="V465" s="13">
        <v>0</v>
      </c>
      <c r="W465" s="13">
        <v>0</v>
      </c>
    </row>
    <row r="466" spans="1:23" x14ac:dyDescent="0.2">
      <c r="A466" s="14">
        <v>43695</v>
      </c>
      <c r="B466" s="13" t="s">
        <v>21</v>
      </c>
      <c r="C466" s="13" t="s">
        <v>30</v>
      </c>
      <c r="D466" s="13" t="s">
        <v>22</v>
      </c>
      <c r="E466" s="13" t="s">
        <v>23</v>
      </c>
      <c r="F466" s="13" t="s">
        <v>24</v>
      </c>
      <c r="G466" s="13" t="s">
        <v>25</v>
      </c>
      <c r="H466" s="14">
        <v>43678</v>
      </c>
      <c r="I466" s="13"/>
      <c r="J466" s="13"/>
      <c r="K466" s="13">
        <v>5</v>
      </c>
      <c r="L466" s="13">
        <v>581</v>
      </c>
      <c r="M466" s="13">
        <v>4</v>
      </c>
      <c r="N466" s="13">
        <v>0.6885</v>
      </c>
      <c r="O466" s="13">
        <v>2.09</v>
      </c>
      <c r="P466" s="13">
        <v>0.52</v>
      </c>
      <c r="Q466" s="13">
        <v>1</v>
      </c>
      <c r="R466" s="13">
        <v>24.99</v>
      </c>
      <c r="S466" s="13">
        <v>8.3633000000000006</v>
      </c>
      <c r="T466" s="13">
        <v>0</v>
      </c>
      <c r="U466" s="13">
        <v>0</v>
      </c>
      <c r="V466" s="13">
        <v>0</v>
      </c>
      <c r="W466" s="13">
        <v>0</v>
      </c>
    </row>
    <row r="467" spans="1:23" x14ac:dyDescent="0.2">
      <c r="A467" s="14">
        <v>43695</v>
      </c>
      <c r="B467" s="13" t="s">
        <v>21</v>
      </c>
      <c r="C467" s="13" t="s">
        <v>87</v>
      </c>
      <c r="D467" s="13" t="s">
        <v>22</v>
      </c>
      <c r="E467" s="13" t="s">
        <v>23</v>
      </c>
      <c r="F467" s="13" t="s">
        <v>24</v>
      </c>
      <c r="G467" s="13" t="s">
        <v>25</v>
      </c>
      <c r="H467" s="14">
        <v>43657</v>
      </c>
      <c r="I467" s="13"/>
      <c r="J467" s="13"/>
      <c r="K467" s="13">
        <v>10</v>
      </c>
      <c r="L467" s="13">
        <v>472</v>
      </c>
      <c r="M467" s="13">
        <v>4</v>
      </c>
      <c r="N467" s="13">
        <v>0.84750000000000003</v>
      </c>
      <c r="O467" s="13">
        <v>1.55</v>
      </c>
      <c r="P467" s="13">
        <v>0.39</v>
      </c>
      <c r="Q467" s="13">
        <v>1</v>
      </c>
      <c r="R467" s="13">
        <v>11.99</v>
      </c>
      <c r="S467" s="13">
        <v>12.9274</v>
      </c>
      <c r="T467" s="13">
        <v>0</v>
      </c>
      <c r="U467" s="13">
        <v>0</v>
      </c>
      <c r="V467" s="13">
        <v>0</v>
      </c>
      <c r="W467" s="13">
        <v>0</v>
      </c>
    </row>
    <row r="468" spans="1:23" x14ac:dyDescent="0.2">
      <c r="A468" s="14">
        <v>43695</v>
      </c>
      <c r="B468" s="13" t="s">
        <v>21</v>
      </c>
      <c r="C468" s="13" t="s">
        <v>72</v>
      </c>
      <c r="D468" s="13" t="s">
        <v>22</v>
      </c>
      <c r="E468" s="13" t="s">
        <v>23</v>
      </c>
      <c r="F468" s="13" t="s">
        <v>24</v>
      </c>
      <c r="G468" s="13" t="s">
        <v>25</v>
      </c>
      <c r="H468" s="14">
        <v>43412</v>
      </c>
      <c r="I468" s="13"/>
      <c r="J468" s="13"/>
      <c r="K468" s="13">
        <v>10</v>
      </c>
      <c r="L468" s="13">
        <v>4415</v>
      </c>
      <c r="M468" s="13">
        <v>44</v>
      </c>
      <c r="N468" s="13">
        <v>0.99660000000000004</v>
      </c>
      <c r="O468" s="13">
        <v>12.5</v>
      </c>
      <c r="P468" s="13">
        <v>0.28000000000000003</v>
      </c>
      <c r="Q468" s="13">
        <v>1</v>
      </c>
      <c r="R468" s="13">
        <v>53.97</v>
      </c>
      <c r="S468" s="13">
        <v>23.161000000000001</v>
      </c>
      <c r="T468" s="13">
        <v>0</v>
      </c>
      <c r="U468" s="13">
        <v>0</v>
      </c>
      <c r="V468" s="13">
        <v>0</v>
      </c>
      <c r="W468" s="13">
        <v>0</v>
      </c>
    </row>
    <row r="469" spans="1:23" x14ac:dyDescent="0.2">
      <c r="A469" s="14">
        <v>43695</v>
      </c>
      <c r="B469" s="13" t="s">
        <v>21</v>
      </c>
      <c r="C469" s="13" t="s">
        <v>79</v>
      </c>
      <c r="D469" s="13" t="s">
        <v>22</v>
      </c>
      <c r="E469" s="13" t="s">
        <v>23</v>
      </c>
      <c r="F469" s="13" t="s">
        <v>26</v>
      </c>
      <c r="G469" s="13" t="s">
        <v>25</v>
      </c>
      <c r="H469" s="14">
        <v>43387</v>
      </c>
      <c r="I469" s="13"/>
      <c r="J469" s="13"/>
      <c r="K469" s="13">
        <v>10</v>
      </c>
      <c r="L469" s="13">
        <v>9598</v>
      </c>
      <c r="M469" s="13">
        <v>63</v>
      </c>
      <c r="N469" s="13">
        <v>0.65639999999999998</v>
      </c>
      <c r="O469" s="13">
        <v>22.11</v>
      </c>
      <c r="P469" s="13">
        <v>0.35</v>
      </c>
      <c r="Q469" s="13">
        <v>1</v>
      </c>
      <c r="R469" s="13">
        <v>53.97</v>
      </c>
      <c r="S469" s="13">
        <v>40.967199999999998</v>
      </c>
      <c r="T469" s="13">
        <v>0</v>
      </c>
      <c r="U469" s="13">
        <v>0</v>
      </c>
      <c r="V469" s="13">
        <v>0</v>
      </c>
      <c r="W469" s="13">
        <v>0</v>
      </c>
    </row>
    <row r="470" spans="1:23" x14ac:dyDescent="0.2">
      <c r="A470" s="14">
        <v>43696</v>
      </c>
      <c r="B470" s="13" t="s">
        <v>21</v>
      </c>
      <c r="C470" s="13" t="s">
        <v>74</v>
      </c>
      <c r="D470" s="13" t="s">
        <v>22</v>
      </c>
      <c r="E470" s="13" t="s">
        <v>23</v>
      </c>
      <c r="F470" s="13" t="s">
        <v>24</v>
      </c>
      <c r="G470" s="13" t="s">
        <v>25</v>
      </c>
      <c r="H470" s="14">
        <v>43420</v>
      </c>
      <c r="I470" s="13"/>
      <c r="J470" s="13"/>
      <c r="K470" s="13">
        <v>5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</row>
    <row r="471" spans="1:23" x14ac:dyDescent="0.2">
      <c r="A471" s="14">
        <v>43696</v>
      </c>
      <c r="B471" s="13" t="s">
        <v>21</v>
      </c>
      <c r="C471" s="13" t="s">
        <v>76</v>
      </c>
      <c r="D471" s="13" t="s">
        <v>22</v>
      </c>
      <c r="E471" s="13" t="s">
        <v>23</v>
      </c>
      <c r="F471" s="13" t="s">
        <v>24</v>
      </c>
      <c r="G471" s="13" t="s">
        <v>25</v>
      </c>
      <c r="H471" s="14">
        <v>43667</v>
      </c>
      <c r="I471" s="13"/>
      <c r="J471" s="13"/>
      <c r="K471" s="13">
        <v>10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</row>
    <row r="472" spans="1:23" x14ac:dyDescent="0.2">
      <c r="A472" s="14">
        <v>43696</v>
      </c>
      <c r="B472" s="13" t="s">
        <v>21</v>
      </c>
      <c r="C472" s="13" t="s">
        <v>32</v>
      </c>
      <c r="D472" s="13" t="s">
        <v>33</v>
      </c>
      <c r="E472" s="13" t="s">
        <v>34</v>
      </c>
      <c r="F472" s="13" t="s">
        <v>24</v>
      </c>
      <c r="G472" s="13"/>
      <c r="H472" s="14">
        <v>43671</v>
      </c>
      <c r="I472" s="13"/>
      <c r="J472" s="13"/>
      <c r="K472" s="13">
        <v>2</v>
      </c>
      <c r="L472" s="13">
        <v>621</v>
      </c>
      <c r="M472" s="13">
        <v>7</v>
      </c>
      <c r="N472" s="13">
        <v>1.1272</v>
      </c>
      <c r="O472" s="13">
        <v>2.23</v>
      </c>
      <c r="P472" s="13">
        <v>0.32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</row>
    <row r="473" spans="1:23" x14ac:dyDescent="0.2">
      <c r="A473" s="14">
        <v>43696</v>
      </c>
      <c r="B473" s="13" t="s">
        <v>21</v>
      </c>
      <c r="C473" s="13" t="s">
        <v>72</v>
      </c>
      <c r="D473" s="13" t="s">
        <v>22</v>
      </c>
      <c r="E473" s="13" t="s">
        <v>23</v>
      </c>
      <c r="F473" s="13" t="s">
        <v>24</v>
      </c>
      <c r="G473" s="13" t="s">
        <v>25</v>
      </c>
      <c r="H473" s="14">
        <v>43412</v>
      </c>
      <c r="I473" s="13"/>
      <c r="J473" s="13"/>
      <c r="K473" s="13">
        <v>10</v>
      </c>
      <c r="L473" s="13">
        <v>3101</v>
      </c>
      <c r="M473" s="13">
        <v>23</v>
      </c>
      <c r="N473" s="13">
        <v>0.74170000000000003</v>
      </c>
      <c r="O473" s="13">
        <v>5.87</v>
      </c>
      <c r="P473" s="13">
        <v>0.26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</row>
    <row r="474" spans="1:23" x14ac:dyDescent="0.2">
      <c r="A474" s="14">
        <v>43696</v>
      </c>
      <c r="B474" s="13" t="s">
        <v>21</v>
      </c>
      <c r="C474" s="13" t="s">
        <v>78</v>
      </c>
      <c r="D474" s="13" t="s">
        <v>22</v>
      </c>
      <c r="E474" s="13" t="s">
        <v>23</v>
      </c>
      <c r="F474" s="13" t="s">
        <v>24</v>
      </c>
      <c r="G474" s="13" t="s">
        <v>25</v>
      </c>
      <c r="H474" s="14">
        <v>43688</v>
      </c>
      <c r="I474" s="13"/>
      <c r="J474" s="13"/>
      <c r="K474" s="13">
        <v>10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</row>
    <row r="475" spans="1:23" x14ac:dyDescent="0.2">
      <c r="A475" s="14">
        <v>43696</v>
      </c>
      <c r="B475" s="13" t="s">
        <v>21</v>
      </c>
      <c r="C475" s="13" t="s">
        <v>80</v>
      </c>
      <c r="D475" s="13" t="s">
        <v>22</v>
      </c>
      <c r="E475" s="13" t="s">
        <v>23</v>
      </c>
      <c r="F475" s="13" t="s">
        <v>26</v>
      </c>
      <c r="G475" s="13" t="s">
        <v>25</v>
      </c>
      <c r="H475" s="14">
        <v>43676</v>
      </c>
      <c r="I475" s="13"/>
      <c r="J475" s="13"/>
      <c r="K475" s="13">
        <v>10</v>
      </c>
      <c r="L475" s="13">
        <v>77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</row>
    <row r="476" spans="1:23" x14ac:dyDescent="0.2">
      <c r="A476" s="14">
        <v>43696</v>
      </c>
      <c r="B476" s="13" t="s">
        <v>21</v>
      </c>
      <c r="C476" s="13" t="s">
        <v>82</v>
      </c>
      <c r="D476" s="13" t="s">
        <v>22</v>
      </c>
      <c r="E476" s="13" t="s">
        <v>23</v>
      </c>
      <c r="F476" s="13" t="s">
        <v>26</v>
      </c>
      <c r="G476" s="13" t="s">
        <v>25</v>
      </c>
      <c r="H476" s="14">
        <v>43387</v>
      </c>
      <c r="I476" s="13"/>
      <c r="J476" s="13"/>
      <c r="K476" s="13">
        <v>5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</row>
    <row r="477" spans="1:23" x14ac:dyDescent="0.2">
      <c r="A477" s="14">
        <v>43696</v>
      </c>
      <c r="B477" s="13" t="s">
        <v>21</v>
      </c>
      <c r="C477" s="13" t="s">
        <v>29</v>
      </c>
      <c r="D477" s="13" t="s">
        <v>22</v>
      </c>
      <c r="E477" s="13" t="s">
        <v>23</v>
      </c>
      <c r="F477" s="13" t="s">
        <v>26</v>
      </c>
      <c r="G477" s="13" t="s">
        <v>25</v>
      </c>
      <c r="H477" s="14">
        <v>43423</v>
      </c>
      <c r="I477" s="13"/>
      <c r="J477" s="13"/>
      <c r="K477" s="13">
        <v>3</v>
      </c>
      <c r="L477" s="13">
        <v>274</v>
      </c>
      <c r="M477" s="13">
        <v>1</v>
      </c>
      <c r="N477" s="13">
        <v>0.36499999999999999</v>
      </c>
      <c r="O477" s="13">
        <v>0.02</v>
      </c>
      <c r="P477" s="13">
        <v>0.02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</row>
    <row r="478" spans="1:23" x14ac:dyDescent="0.2">
      <c r="A478" s="14">
        <v>43696</v>
      </c>
      <c r="B478" s="13" t="s">
        <v>21</v>
      </c>
      <c r="C478" s="13" t="s">
        <v>86</v>
      </c>
      <c r="D478" s="13" t="s">
        <v>22</v>
      </c>
      <c r="E478" s="13" t="s">
        <v>23</v>
      </c>
      <c r="F478" s="13" t="s">
        <v>26</v>
      </c>
      <c r="G478" s="13" t="s">
        <v>25</v>
      </c>
      <c r="H478" s="14">
        <v>43647</v>
      </c>
      <c r="I478" s="13"/>
      <c r="J478" s="13"/>
      <c r="K478" s="13">
        <v>10</v>
      </c>
      <c r="L478" s="13">
        <v>1846</v>
      </c>
      <c r="M478" s="13">
        <v>2</v>
      </c>
      <c r="N478" s="13">
        <v>0.10829999999999999</v>
      </c>
      <c r="O478" s="13">
        <v>0.78</v>
      </c>
      <c r="P478" s="13">
        <v>0.39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</row>
    <row r="479" spans="1:23" x14ac:dyDescent="0.2">
      <c r="A479" s="14">
        <v>43696</v>
      </c>
      <c r="B479" s="13" t="s">
        <v>21</v>
      </c>
      <c r="C479" s="13" t="s">
        <v>30</v>
      </c>
      <c r="D479" s="13" t="s">
        <v>22</v>
      </c>
      <c r="E479" s="13" t="s">
        <v>23</v>
      </c>
      <c r="F479" s="13" t="s">
        <v>24</v>
      </c>
      <c r="G479" s="13" t="s">
        <v>25</v>
      </c>
      <c r="H479" s="14">
        <v>43678</v>
      </c>
      <c r="I479" s="13"/>
      <c r="J479" s="13"/>
      <c r="K479" s="13">
        <v>5</v>
      </c>
      <c r="L479" s="13">
        <v>535</v>
      </c>
      <c r="M479" s="13">
        <v>2</v>
      </c>
      <c r="N479" s="13">
        <v>0.37380000000000002</v>
      </c>
      <c r="O479" s="13">
        <v>0.67</v>
      </c>
      <c r="P479" s="13">
        <v>0.34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</row>
    <row r="480" spans="1:23" x14ac:dyDescent="0.2">
      <c r="A480" s="14">
        <v>43696</v>
      </c>
      <c r="B480" s="13" t="s">
        <v>21</v>
      </c>
      <c r="C480" s="13" t="s">
        <v>85</v>
      </c>
      <c r="D480" s="13" t="s">
        <v>22</v>
      </c>
      <c r="E480" s="13" t="s">
        <v>23</v>
      </c>
      <c r="F480" s="13" t="s">
        <v>26</v>
      </c>
      <c r="G480" s="13" t="s">
        <v>25</v>
      </c>
      <c r="H480" s="14">
        <v>43387</v>
      </c>
      <c r="I480" s="13"/>
      <c r="J480" s="13"/>
      <c r="K480" s="13">
        <v>5</v>
      </c>
      <c r="L480" s="13">
        <v>2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</row>
    <row r="481" spans="1:23" x14ac:dyDescent="0.2">
      <c r="A481" s="14">
        <v>43696</v>
      </c>
      <c r="B481" s="13" t="s">
        <v>21</v>
      </c>
      <c r="C481" s="13" t="s">
        <v>84</v>
      </c>
      <c r="D481" s="13" t="s">
        <v>22</v>
      </c>
      <c r="E481" s="13" t="s">
        <v>23</v>
      </c>
      <c r="F481" s="13" t="s">
        <v>26</v>
      </c>
      <c r="G481" s="13" t="s">
        <v>25</v>
      </c>
      <c r="H481" s="14">
        <v>43387</v>
      </c>
      <c r="I481" s="13"/>
      <c r="J481" s="13"/>
      <c r="K481" s="13">
        <v>10</v>
      </c>
      <c r="L481" s="13">
        <v>400</v>
      </c>
      <c r="M481" s="13">
        <v>1</v>
      </c>
      <c r="N481" s="13">
        <v>0.25</v>
      </c>
      <c r="O481" s="13">
        <v>0.41</v>
      </c>
      <c r="P481" s="13">
        <v>0.41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</row>
    <row r="482" spans="1:23" x14ac:dyDescent="0.2">
      <c r="A482" s="14">
        <v>43696</v>
      </c>
      <c r="B482" s="13" t="s">
        <v>21</v>
      </c>
      <c r="C482" s="13" t="s">
        <v>31</v>
      </c>
      <c r="D482" s="13" t="s">
        <v>22</v>
      </c>
      <c r="E482" s="13" t="s">
        <v>23</v>
      </c>
      <c r="F482" s="13" t="s">
        <v>26</v>
      </c>
      <c r="G482" s="13" t="s">
        <v>25</v>
      </c>
      <c r="H482" s="14">
        <v>43615</v>
      </c>
      <c r="I482" s="13"/>
      <c r="J482" s="13"/>
      <c r="K482" s="13">
        <v>30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</row>
    <row r="483" spans="1:23" x14ac:dyDescent="0.2">
      <c r="A483" s="14">
        <v>43696</v>
      </c>
      <c r="B483" s="13" t="s">
        <v>21</v>
      </c>
      <c r="C483" s="13" t="s">
        <v>91</v>
      </c>
      <c r="D483" s="13" t="s">
        <v>22</v>
      </c>
      <c r="E483" s="13" t="s">
        <v>23</v>
      </c>
      <c r="F483" s="13" t="s">
        <v>24</v>
      </c>
      <c r="G483" s="13" t="s">
        <v>25</v>
      </c>
      <c r="H483" s="14">
        <v>43439</v>
      </c>
      <c r="I483" s="13"/>
      <c r="J483" s="13"/>
      <c r="K483" s="13">
        <v>2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</row>
    <row r="484" spans="1:23" x14ac:dyDescent="0.2">
      <c r="A484" s="14">
        <v>43696</v>
      </c>
      <c r="B484" s="13" t="s">
        <v>21</v>
      </c>
      <c r="C484" s="13" t="s">
        <v>88</v>
      </c>
      <c r="D484" s="13" t="s">
        <v>22</v>
      </c>
      <c r="E484" s="13" t="s">
        <v>23</v>
      </c>
      <c r="F484" s="13" t="s">
        <v>26</v>
      </c>
      <c r="G484" s="13" t="s">
        <v>25</v>
      </c>
      <c r="H484" s="14">
        <v>43690</v>
      </c>
      <c r="I484" s="13"/>
      <c r="J484" s="13"/>
      <c r="K484" s="13">
        <v>15</v>
      </c>
      <c r="L484" s="13">
        <v>16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</row>
    <row r="485" spans="1:23" x14ac:dyDescent="0.2">
      <c r="A485" s="14">
        <v>43696</v>
      </c>
      <c r="B485" s="13" t="s">
        <v>21</v>
      </c>
      <c r="C485" s="13" t="s">
        <v>90</v>
      </c>
      <c r="D485" s="13" t="s">
        <v>22</v>
      </c>
      <c r="E485" s="13" t="s">
        <v>23</v>
      </c>
      <c r="F485" s="13" t="s">
        <v>24</v>
      </c>
      <c r="G485" s="13" t="s">
        <v>25</v>
      </c>
      <c r="H485" s="14">
        <v>43454</v>
      </c>
      <c r="I485" s="13"/>
      <c r="J485" s="13"/>
      <c r="K485" s="13">
        <v>20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</row>
    <row r="486" spans="1:23" x14ac:dyDescent="0.2">
      <c r="A486" s="14">
        <v>43696</v>
      </c>
      <c r="B486" s="13" t="s">
        <v>21</v>
      </c>
      <c r="C486" s="13" t="s">
        <v>89</v>
      </c>
      <c r="D486" s="13" t="s">
        <v>22</v>
      </c>
      <c r="E486" s="13" t="s">
        <v>23</v>
      </c>
      <c r="F486" s="13" t="s">
        <v>26</v>
      </c>
      <c r="G486" s="13" t="s">
        <v>25</v>
      </c>
      <c r="H486" s="14">
        <v>43387</v>
      </c>
      <c r="I486" s="13"/>
      <c r="J486" s="13"/>
      <c r="K486" s="13">
        <v>15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</row>
    <row r="487" spans="1:23" x14ac:dyDescent="0.2">
      <c r="A487" s="14">
        <v>43696</v>
      </c>
      <c r="B487" s="13" t="s">
        <v>21</v>
      </c>
      <c r="C487" s="13" t="s">
        <v>73</v>
      </c>
      <c r="D487" s="13" t="s">
        <v>22</v>
      </c>
      <c r="E487" s="13" t="s">
        <v>23</v>
      </c>
      <c r="F487" s="13" t="s">
        <v>24</v>
      </c>
      <c r="G487" s="13" t="s">
        <v>25</v>
      </c>
      <c r="H487" s="14">
        <v>43661</v>
      </c>
      <c r="I487" s="13"/>
      <c r="J487" s="13"/>
      <c r="K487" s="13">
        <v>10</v>
      </c>
      <c r="L487" s="13">
        <v>4400</v>
      </c>
      <c r="M487" s="13">
        <v>39</v>
      </c>
      <c r="N487" s="13">
        <v>0.88639999999999997</v>
      </c>
      <c r="O487" s="13">
        <v>11.26</v>
      </c>
      <c r="P487" s="13">
        <v>0.28999999999999998</v>
      </c>
      <c r="Q487" s="13">
        <v>2</v>
      </c>
      <c r="R487" s="13">
        <v>107.94</v>
      </c>
      <c r="S487" s="13">
        <v>10.431699999999999</v>
      </c>
      <c r="T487" s="13">
        <v>0</v>
      </c>
      <c r="U487" s="13">
        <v>0</v>
      </c>
      <c r="V487" s="13">
        <v>0</v>
      </c>
      <c r="W487" s="13">
        <v>0</v>
      </c>
    </row>
    <row r="488" spans="1:23" x14ac:dyDescent="0.2">
      <c r="A488" s="14">
        <v>43696</v>
      </c>
      <c r="B488" s="13" t="s">
        <v>21</v>
      </c>
      <c r="C488" s="13" t="s">
        <v>75</v>
      </c>
      <c r="D488" s="13" t="s">
        <v>22</v>
      </c>
      <c r="E488" s="13" t="s">
        <v>23</v>
      </c>
      <c r="F488" s="13" t="s">
        <v>24</v>
      </c>
      <c r="G488" s="13" t="s">
        <v>25</v>
      </c>
      <c r="H488" s="14">
        <v>43454</v>
      </c>
      <c r="I488" s="13"/>
      <c r="J488" s="13"/>
      <c r="K488" s="13">
        <v>5</v>
      </c>
      <c r="L488" s="13">
        <v>4405</v>
      </c>
      <c r="M488" s="13">
        <v>24</v>
      </c>
      <c r="N488" s="13">
        <v>0.54479999999999995</v>
      </c>
      <c r="O488" s="13">
        <v>6.03</v>
      </c>
      <c r="P488" s="13">
        <v>0.25</v>
      </c>
      <c r="Q488" s="13">
        <v>1</v>
      </c>
      <c r="R488" s="13">
        <v>53.97</v>
      </c>
      <c r="S488" s="13">
        <v>11.1729</v>
      </c>
      <c r="T488" s="13">
        <v>0</v>
      </c>
      <c r="U488" s="13">
        <v>0</v>
      </c>
      <c r="V488" s="13">
        <v>0</v>
      </c>
      <c r="W488" s="13">
        <v>0</v>
      </c>
    </row>
    <row r="489" spans="1:23" x14ac:dyDescent="0.2">
      <c r="A489" s="14">
        <v>43696</v>
      </c>
      <c r="B489" s="13" t="s">
        <v>21</v>
      </c>
      <c r="C489" s="13" t="s">
        <v>87</v>
      </c>
      <c r="D489" s="13" t="s">
        <v>22</v>
      </c>
      <c r="E489" s="13" t="s">
        <v>23</v>
      </c>
      <c r="F489" s="13" t="s">
        <v>24</v>
      </c>
      <c r="G489" s="13" t="s">
        <v>25</v>
      </c>
      <c r="H489" s="14">
        <v>43657</v>
      </c>
      <c r="I489" s="13"/>
      <c r="J489" s="13"/>
      <c r="K489" s="13">
        <v>10</v>
      </c>
      <c r="L489" s="13">
        <v>363</v>
      </c>
      <c r="M489" s="13">
        <v>3</v>
      </c>
      <c r="N489" s="13">
        <v>0.82640000000000002</v>
      </c>
      <c r="O489" s="13">
        <v>1.54</v>
      </c>
      <c r="P489" s="13">
        <v>0.51</v>
      </c>
      <c r="Q489" s="13">
        <v>1</v>
      </c>
      <c r="R489" s="13">
        <v>11.99</v>
      </c>
      <c r="S489" s="13">
        <v>12.843999999999999</v>
      </c>
      <c r="T489" s="13">
        <v>0</v>
      </c>
      <c r="U489" s="13">
        <v>0</v>
      </c>
      <c r="V489" s="13">
        <v>0</v>
      </c>
      <c r="W489" s="13">
        <v>0</v>
      </c>
    </row>
    <row r="490" spans="1:23" x14ac:dyDescent="0.2">
      <c r="A490" s="14">
        <v>43696</v>
      </c>
      <c r="B490" s="13" t="s">
        <v>21</v>
      </c>
      <c r="C490" s="13" t="s">
        <v>28</v>
      </c>
      <c r="D490" s="13" t="s">
        <v>22</v>
      </c>
      <c r="E490" s="13" t="s">
        <v>23</v>
      </c>
      <c r="F490" s="13" t="s">
        <v>24</v>
      </c>
      <c r="G490" s="13" t="s">
        <v>25</v>
      </c>
      <c r="H490" s="14">
        <v>43663</v>
      </c>
      <c r="I490" s="13"/>
      <c r="J490" s="13"/>
      <c r="K490" s="13">
        <v>10</v>
      </c>
      <c r="L490" s="13">
        <v>1876</v>
      </c>
      <c r="M490" s="13">
        <v>7</v>
      </c>
      <c r="N490" s="13">
        <v>0.37309999999999999</v>
      </c>
      <c r="O490" s="13">
        <v>4.3</v>
      </c>
      <c r="P490" s="13">
        <v>0.61</v>
      </c>
      <c r="Q490" s="13">
        <v>2</v>
      </c>
      <c r="R490" s="13">
        <v>32.74</v>
      </c>
      <c r="S490" s="13">
        <v>13.133800000000001</v>
      </c>
      <c r="T490" s="13">
        <v>0</v>
      </c>
      <c r="U490" s="13">
        <v>0</v>
      </c>
      <c r="V490" s="13">
        <v>0</v>
      </c>
      <c r="W490" s="13">
        <v>0</v>
      </c>
    </row>
    <row r="491" spans="1:23" x14ac:dyDescent="0.2">
      <c r="A491" s="14">
        <v>43696</v>
      </c>
      <c r="B491" s="13" t="s">
        <v>21</v>
      </c>
      <c r="C491" s="13" t="s">
        <v>81</v>
      </c>
      <c r="D491" s="13" t="s">
        <v>22</v>
      </c>
      <c r="E491" s="13" t="s">
        <v>23</v>
      </c>
      <c r="F491" s="13" t="s">
        <v>24</v>
      </c>
      <c r="G491" s="13" t="s">
        <v>25</v>
      </c>
      <c r="H491" s="14">
        <v>43428</v>
      </c>
      <c r="I491" s="13"/>
      <c r="J491" s="13"/>
      <c r="K491" s="13">
        <v>10</v>
      </c>
      <c r="L491" s="13">
        <v>935</v>
      </c>
      <c r="M491" s="13">
        <v>7</v>
      </c>
      <c r="N491" s="13">
        <v>0.74870000000000003</v>
      </c>
      <c r="O491" s="13">
        <v>4.42</v>
      </c>
      <c r="P491" s="13">
        <v>0.63</v>
      </c>
      <c r="Q491" s="13">
        <v>1</v>
      </c>
      <c r="R491" s="13">
        <v>23.99</v>
      </c>
      <c r="S491" s="13">
        <v>18.424299999999999</v>
      </c>
      <c r="T491" s="13">
        <v>0</v>
      </c>
      <c r="U491" s="13">
        <v>0</v>
      </c>
      <c r="V491" s="13">
        <v>0</v>
      </c>
      <c r="W491" s="13">
        <v>0</v>
      </c>
    </row>
    <row r="492" spans="1:23" x14ac:dyDescent="0.2">
      <c r="A492" s="14">
        <v>43696</v>
      </c>
      <c r="B492" s="13" t="s">
        <v>21</v>
      </c>
      <c r="C492" s="13" t="s">
        <v>79</v>
      </c>
      <c r="D492" s="13" t="s">
        <v>22</v>
      </c>
      <c r="E492" s="13" t="s">
        <v>23</v>
      </c>
      <c r="F492" s="13" t="s">
        <v>26</v>
      </c>
      <c r="G492" s="13" t="s">
        <v>25</v>
      </c>
      <c r="H492" s="14">
        <v>43387</v>
      </c>
      <c r="I492" s="13"/>
      <c r="J492" s="13"/>
      <c r="K492" s="13">
        <v>10</v>
      </c>
      <c r="L492" s="13">
        <v>13248</v>
      </c>
      <c r="M492" s="13">
        <v>68</v>
      </c>
      <c r="N492" s="13">
        <v>0.51329999999999998</v>
      </c>
      <c r="O492" s="13">
        <v>22.05</v>
      </c>
      <c r="P492" s="13">
        <v>0.32</v>
      </c>
      <c r="Q492" s="13">
        <v>2</v>
      </c>
      <c r="R492" s="13">
        <v>107.94</v>
      </c>
      <c r="S492" s="13">
        <v>20.428000000000001</v>
      </c>
      <c r="T492" s="13">
        <v>0</v>
      </c>
      <c r="U492" s="13">
        <v>0</v>
      </c>
      <c r="V492" s="13">
        <v>0</v>
      </c>
      <c r="W492" s="13">
        <v>0</v>
      </c>
    </row>
    <row r="493" spans="1:23" x14ac:dyDescent="0.2">
      <c r="A493" s="14">
        <v>43696</v>
      </c>
      <c r="B493" s="13" t="s">
        <v>21</v>
      </c>
      <c r="C493" s="13" t="s">
        <v>83</v>
      </c>
      <c r="D493" s="13" t="s">
        <v>22</v>
      </c>
      <c r="E493" s="13" t="s">
        <v>23</v>
      </c>
      <c r="F493" s="13" t="s">
        <v>26</v>
      </c>
      <c r="G493" s="13" t="s">
        <v>25</v>
      </c>
      <c r="H493" s="14">
        <v>43388</v>
      </c>
      <c r="I493" s="13"/>
      <c r="J493" s="13"/>
      <c r="K493" s="13">
        <v>5</v>
      </c>
      <c r="L493" s="13">
        <v>11072</v>
      </c>
      <c r="M493" s="13">
        <v>19</v>
      </c>
      <c r="N493" s="13">
        <v>0.1716</v>
      </c>
      <c r="O493" s="13">
        <v>12.07</v>
      </c>
      <c r="P493" s="13">
        <v>0.64</v>
      </c>
      <c r="Q493" s="13">
        <v>2</v>
      </c>
      <c r="R493" s="13">
        <v>47.98</v>
      </c>
      <c r="S493" s="13">
        <v>25.156300000000002</v>
      </c>
      <c r="T493" s="13">
        <v>0</v>
      </c>
      <c r="U493" s="13">
        <v>0</v>
      </c>
      <c r="V493" s="13">
        <v>0</v>
      </c>
      <c r="W493" s="13">
        <v>0</v>
      </c>
    </row>
    <row r="494" spans="1:23" x14ac:dyDescent="0.2">
      <c r="A494" s="14">
        <v>43696</v>
      </c>
      <c r="B494" s="13" t="s">
        <v>21</v>
      </c>
      <c r="C494" s="13" t="s">
        <v>27</v>
      </c>
      <c r="D494" s="13" t="s">
        <v>22</v>
      </c>
      <c r="E494" s="13" t="s">
        <v>23</v>
      </c>
      <c r="F494" s="13" t="s">
        <v>24</v>
      </c>
      <c r="G494" s="13" t="s">
        <v>25</v>
      </c>
      <c r="H494" s="14">
        <v>43663</v>
      </c>
      <c r="I494" s="13"/>
      <c r="J494" s="13"/>
      <c r="K494" s="13">
        <v>10</v>
      </c>
      <c r="L494" s="13">
        <v>2984</v>
      </c>
      <c r="M494" s="13">
        <v>19</v>
      </c>
      <c r="N494" s="13">
        <v>0.63670000000000004</v>
      </c>
      <c r="O494" s="13">
        <v>12.88</v>
      </c>
      <c r="P494" s="13">
        <v>0.68</v>
      </c>
      <c r="Q494" s="13">
        <v>2</v>
      </c>
      <c r="R494" s="13">
        <v>47.98</v>
      </c>
      <c r="S494" s="13">
        <v>26.8445</v>
      </c>
      <c r="T494" s="13">
        <v>0</v>
      </c>
      <c r="U494" s="13">
        <v>0</v>
      </c>
      <c r="V494" s="13">
        <v>0</v>
      </c>
      <c r="W494" s="13">
        <v>0</v>
      </c>
    </row>
    <row r="495" spans="1:23" x14ac:dyDescent="0.2">
      <c r="A495" s="14">
        <v>43696</v>
      </c>
      <c r="B495" s="13" t="s">
        <v>21</v>
      </c>
      <c r="C495" s="13" t="s">
        <v>77</v>
      </c>
      <c r="D495" s="13" t="s">
        <v>22</v>
      </c>
      <c r="E495" s="13" t="s">
        <v>23</v>
      </c>
      <c r="F495" s="13" t="s">
        <v>26</v>
      </c>
      <c r="G495" s="13" t="s">
        <v>25</v>
      </c>
      <c r="H495" s="14">
        <v>43388</v>
      </c>
      <c r="I495" s="13"/>
      <c r="J495" s="13"/>
      <c r="K495" s="13">
        <v>5</v>
      </c>
      <c r="L495" s="13">
        <v>4432</v>
      </c>
      <c r="M495" s="13">
        <v>11</v>
      </c>
      <c r="N495" s="13">
        <v>0.2482</v>
      </c>
      <c r="O495" s="13">
        <v>7.48</v>
      </c>
      <c r="P495" s="13">
        <v>0.68</v>
      </c>
      <c r="Q495" s="13">
        <v>1</v>
      </c>
      <c r="R495" s="13">
        <v>23.99</v>
      </c>
      <c r="S495" s="13">
        <v>31.1797</v>
      </c>
      <c r="T495" s="13">
        <v>0</v>
      </c>
      <c r="U495" s="13">
        <v>0</v>
      </c>
      <c r="V495" s="13">
        <v>0</v>
      </c>
      <c r="W495" s="13">
        <v>0</v>
      </c>
    </row>
    <row r="496" spans="1:23" x14ac:dyDescent="0.2">
      <c r="A496" s="14">
        <v>43697</v>
      </c>
      <c r="B496" s="13" t="s">
        <v>21</v>
      </c>
      <c r="C496" s="13" t="s">
        <v>74</v>
      </c>
      <c r="D496" s="13" t="s">
        <v>22</v>
      </c>
      <c r="E496" s="13" t="s">
        <v>23</v>
      </c>
      <c r="F496" s="13" t="s">
        <v>24</v>
      </c>
      <c r="G496" s="13" t="s">
        <v>25</v>
      </c>
      <c r="H496" s="14">
        <v>43420</v>
      </c>
      <c r="I496" s="13"/>
      <c r="J496" s="13"/>
      <c r="K496" s="13">
        <v>5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</row>
    <row r="497" spans="1:23" x14ac:dyDescent="0.2">
      <c r="A497" s="14">
        <v>43697</v>
      </c>
      <c r="B497" s="13" t="s">
        <v>21</v>
      </c>
      <c r="C497" s="13" t="s">
        <v>76</v>
      </c>
      <c r="D497" s="13" t="s">
        <v>22</v>
      </c>
      <c r="E497" s="13" t="s">
        <v>23</v>
      </c>
      <c r="F497" s="13" t="s">
        <v>24</v>
      </c>
      <c r="G497" s="13" t="s">
        <v>25</v>
      </c>
      <c r="H497" s="14">
        <v>43667</v>
      </c>
      <c r="I497" s="13"/>
      <c r="J497" s="13"/>
      <c r="K497" s="13">
        <v>10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</row>
    <row r="498" spans="1:23" x14ac:dyDescent="0.2">
      <c r="A498" s="14">
        <v>43697</v>
      </c>
      <c r="B498" s="13" t="s">
        <v>21</v>
      </c>
      <c r="C498" s="13" t="s">
        <v>27</v>
      </c>
      <c r="D498" s="13" t="s">
        <v>22</v>
      </c>
      <c r="E498" s="13" t="s">
        <v>23</v>
      </c>
      <c r="F498" s="13" t="s">
        <v>24</v>
      </c>
      <c r="G498" s="13" t="s">
        <v>25</v>
      </c>
      <c r="H498" s="14">
        <v>43663</v>
      </c>
      <c r="I498" s="13"/>
      <c r="J498" s="13"/>
      <c r="K498" s="13">
        <v>10</v>
      </c>
      <c r="L498" s="13">
        <v>1769</v>
      </c>
      <c r="M498" s="13">
        <v>18</v>
      </c>
      <c r="N498" s="13">
        <v>1.0175000000000001</v>
      </c>
      <c r="O498" s="13">
        <v>11.29</v>
      </c>
      <c r="P498" s="13">
        <v>0.63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</row>
    <row r="499" spans="1:23" x14ac:dyDescent="0.2">
      <c r="A499" s="14">
        <v>43697</v>
      </c>
      <c r="B499" s="13" t="s">
        <v>21</v>
      </c>
      <c r="C499" s="13" t="s">
        <v>32</v>
      </c>
      <c r="D499" s="13" t="s">
        <v>33</v>
      </c>
      <c r="E499" s="13" t="s">
        <v>34</v>
      </c>
      <c r="F499" s="13" t="s">
        <v>24</v>
      </c>
      <c r="G499" s="13"/>
      <c r="H499" s="14">
        <v>43671</v>
      </c>
      <c r="I499" s="13"/>
      <c r="J499" s="13"/>
      <c r="K499" s="13">
        <v>2</v>
      </c>
      <c r="L499" s="13">
        <v>609</v>
      </c>
      <c r="M499" s="13">
        <v>5</v>
      </c>
      <c r="N499" s="13">
        <v>0.82099999999999995</v>
      </c>
      <c r="O499" s="13">
        <v>2.2599999999999998</v>
      </c>
      <c r="P499" s="13">
        <v>0.45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</row>
    <row r="500" spans="1:23" x14ac:dyDescent="0.2">
      <c r="A500" s="14">
        <v>43697</v>
      </c>
      <c r="B500" s="13" t="s">
        <v>21</v>
      </c>
      <c r="C500" s="13" t="s">
        <v>72</v>
      </c>
      <c r="D500" s="13" t="s">
        <v>22</v>
      </c>
      <c r="E500" s="13" t="s">
        <v>23</v>
      </c>
      <c r="F500" s="13" t="s">
        <v>24</v>
      </c>
      <c r="G500" s="13" t="s">
        <v>25</v>
      </c>
      <c r="H500" s="14">
        <v>43412</v>
      </c>
      <c r="I500" s="13"/>
      <c r="J500" s="13"/>
      <c r="K500" s="13">
        <v>10</v>
      </c>
      <c r="L500" s="13">
        <v>2364</v>
      </c>
      <c r="M500" s="13">
        <v>11</v>
      </c>
      <c r="N500" s="13">
        <v>0.46529999999999999</v>
      </c>
      <c r="O500" s="13">
        <v>3</v>
      </c>
      <c r="P500" s="13">
        <v>0.27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</row>
    <row r="501" spans="1:23" x14ac:dyDescent="0.2">
      <c r="A501" s="14">
        <v>43697</v>
      </c>
      <c r="B501" s="13" t="s">
        <v>21</v>
      </c>
      <c r="C501" s="13" t="s">
        <v>78</v>
      </c>
      <c r="D501" s="13" t="s">
        <v>22</v>
      </c>
      <c r="E501" s="13" t="s">
        <v>23</v>
      </c>
      <c r="F501" s="13" t="s">
        <v>24</v>
      </c>
      <c r="G501" s="13" t="s">
        <v>25</v>
      </c>
      <c r="H501" s="14">
        <v>43688</v>
      </c>
      <c r="I501" s="13"/>
      <c r="J501" s="13"/>
      <c r="K501" s="13">
        <v>10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</row>
    <row r="502" spans="1:23" x14ac:dyDescent="0.2">
      <c r="A502" s="14">
        <v>43697</v>
      </c>
      <c r="B502" s="13" t="s">
        <v>21</v>
      </c>
      <c r="C502" s="13" t="s">
        <v>80</v>
      </c>
      <c r="D502" s="13" t="s">
        <v>22</v>
      </c>
      <c r="E502" s="13" t="s">
        <v>23</v>
      </c>
      <c r="F502" s="13" t="s">
        <v>26</v>
      </c>
      <c r="G502" s="13" t="s">
        <v>25</v>
      </c>
      <c r="H502" s="14">
        <v>43676</v>
      </c>
      <c r="I502" s="13"/>
      <c r="J502" s="13"/>
      <c r="K502" s="13">
        <v>10</v>
      </c>
      <c r="L502" s="13">
        <v>37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</row>
    <row r="503" spans="1:23" x14ac:dyDescent="0.2">
      <c r="A503" s="14">
        <v>43697</v>
      </c>
      <c r="B503" s="13" t="s">
        <v>21</v>
      </c>
      <c r="C503" s="13" t="s">
        <v>81</v>
      </c>
      <c r="D503" s="13" t="s">
        <v>22</v>
      </c>
      <c r="E503" s="13" t="s">
        <v>23</v>
      </c>
      <c r="F503" s="13" t="s">
        <v>24</v>
      </c>
      <c r="G503" s="13" t="s">
        <v>25</v>
      </c>
      <c r="H503" s="14">
        <v>43428</v>
      </c>
      <c r="I503" s="13"/>
      <c r="J503" s="13"/>
      <c r="K503" s="13">
        <v>10</v>
      </c>
      <c r="L503" s="13">
        <v>870</v>
      </c>
      <c r="M503" s="13">
        <v>5</v>
      </c>
      <c r="N503" s="13">
        <v>0.57469999999999999</v>
      </c>
      <c r="O503" s="13">
        <v>2.84</v>
      </c>
      <c r="P503" s="13">
        <v>0.56999999999999995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</row>
    <row r="504" spans="1:23" x14ac:dyDescent="0.2">
      <c r="A504" s="14">
        <v>43697</v>
      </c>
      <c r="B504" s="13" t="s">
        <v>21</v>
      </c>
      <c r="C504" s="13" t="s">
        <v>82</v>
      </c>
      <c r="D504" s="13" t="s">
        <v>22</v>
      </c>
      <c r="E504" s="13" t="s">
        <v>23</v>
      </c>
      <c r="F504" s="13" t="s">
        <v>26</v>
      </c>
      <c r="G504" s="13" t="s">
        <v>25</v>
      </c>
      <c r="H504" s="14">
        <v>43387</v>
      </c>
      <c r="I504" s="13"/>
      <c r="J504" s="13"/>
      <c r="K504" s="13">
        <v>5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</row>
    <row r="505" spans="1:23" x14ac:dyDescent="0.2">
      <c r="A505" s="14">
        <v>43697</v>
      </c>
      <c r="B505" s="13" t="s">
        <v>21</v>
      </c>
      <c r="C505" s="13" t="s">
        <v>28</v>
      </c>
      <c r="D505" s="13" t="s">
        <v>22</v>
      </c>
      <c r="E505" s="13" t="s">
        <v>23</v>
      </c>
      <c r="F505" s="13" t="s">
        <v>24</v>
      </c>
      <c r="G505" s="13" t="s">
        <v>25</v>
      </c>
      <c r="H505" s="14">
        <v>43663</v>
      </c>
      <c r="I505" s="13"/>
      <c r="J505" s="13"/>
      <c r="K505" s="13">
        <v>10</v>
      </c>
      <c r="L505" s="13">
        <v>2381</v>
      </c>
      <c r="M505" s="13">
        <v>6</v>
      </c>
      <c r="N505" s="13">
        <v>0.252</v>
      </c>
      <c r="O505" s="13">
        <v>3.34</v>
      </c>
      <c r="P505" s="13">
        <v>0.56000000000000005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</row>
    <row r="506" spans="1:23" x14ac:dyDescent="0.2">
      <c r="A506" s="14">
        <v>43697</v>
      </c>
      <c r="B506" s="13" t="s">
        <v>21</v>
      </c>
      <c r="C506" s="13" t="s">
        <v>83</v>
      </c>
      <c r="D506" s="13" t="s">
        <v>22</v>
      </c>
      <c r="E506" s="13" t="s">
        <v>23</v>
      </c>
      <c r="F506" s="13" t="s">
        <v>26</v>
      </c>
      <c r="G506" s="13" t="s">
        <v>25</v>
      </c>
      <c r="H506" s="14">
        <v>43388</v>
      </c>
      <c r="I506" s="13"/>
      <c r="J506" s="13"/>
      <c r="K506" s="13">
        <v>5</v>
      </c>
      <c r="L506" s="13">
        <v>4453</v>
      </c>
      <c r="M506" s="13">
        <v>12</v>
      </c>
      <c r="N506" s="13">
        <v>0.26950000000000002</v>
      </c>
      <c r="O506" s="13">
        <v>7.69</v>
      </c>
      <c r="P506" s="13">
        <v>0.64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</row>
    <row r="507" spans="1:23" x14ac:dyDescent="0.2">
      <c r="A507" s="14">
        <v>43697</v>
      </c>
      <c r="B507" s="13" t="s">
        <v>21</v>
      </c>
      <c r="C507" s="13" t="s">
        <v>86</v>
      </c>
      <c r="D507" s="13" t="s">
        <v>22</v>
      </c>
      <c r="E507" s="13" t="s">
        <v>23</v>
      </c>
      <c r="F507" s="13" t="s">
        <v>26</v>
      </c>
      <c r="G507" s="13" t="s">
        <v>25</v>
      </c>
      <c r="H507" s="14">
        <v>43647</v>
      </c>
      <c r="I507" s="13"/>
      <c r="J507" s="13"/>
      <c r="K507" s="13">
        <v>10</v>
      </c>
      <c r="L507" s="13">
        <v>1462</v>
      </c>
      <c r="M507" s="13">
        <v>4</v>
      </c>
      <c r="N507" s="13">
        <v>0.27360000000000001</v>
      </c>
      <c r="O507" s="13">
        <v>2.86</v>
      </c>
      <c r="P507" s="13">
        <v>0.72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</row>
    <row r="508" spans="1:23" x14ac:dyDescent="0.2">
      <c r="A508" s="14">
        <v>43697</v>
      </c>
      <c r="B508" s="13" t="s">
        <v>21</v>
      </c>
      <c r="C508" s="13" t="s">
        <v>30</v>
      </c>
      <c r="D508" s="13" t="s">
        <v>22</v>
      </c>
      <c r="E508" s="13" t="s">
        <v>23</v>
      </c>
      <c r="F508" s="13" t="s">
        <v>24</v>
      </c>
      <c r="G508" s="13" t="s">
        <v>25</v>
      </c>
      <c r="H508" s="14">
        <v>43678</v>
      </c>
      <c r="I508" s="13"/>
      <c r="J508" s="13"/>
      <c r="K508" s="13">
        <v>5</v>
      </c>
      <c r="L508" s="13">
        <v>336</v>
      </c>
      <c r="M508" s="13">
        <v>1</v>
      </c>
      <c r="N508" s="13">
        <v>0.29759999999999998</v>
      </c>
      <c r="O508" s="13">
        <v>0.43</v>
      </c>
      <c r="P508" s="13">
        <v>0.43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</row>
    <row r="509" spans="1:23" x14ac:dyDescent="0.2">
      <c r="A509" s="14">
        <v>43697</v>
      </c>
      <c r="B509" s="13" t="s">
        <v>21</v>
      </c>
      <c r="C509" s="13" t="s">
        <v>85</v>
      </c>
      <c r="D509" s="13" t="s">
        <v>22</v>
      </c>
      <c r="E509" s="13" t="s">
        <v>23</v>
      </c>
      <c r="F509" s="13" t="s">
        <v>26</v>
      </c>
      <c r="G509" s="13" t="s">
        <v>25</v>
      </c>
      <c r="H509" s="14">
        <v>43387</v>
      </c>
      <c r="I509" s="13"/>
      <c r="J509" s="13"/>
      <c r="K509" s="13">
        <v>5</v>
      </c>
      <c r="L509" s="13">
        <v>5</v>
      </c>
      <c r="M509" s="13">
        <v>1</v>
      </c>
      <c r="N509" s="13">
        <v>20</v>
      </c>
      <c r="O509" s="13">
        <v>0.02</v>
      </c>
      <c r="P509" s="13">
        <v>0.02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</row>
    <row r="510" spans="1:23" x14ac:dyDescent="0.2">
      <c r="A510" s="14">
        <v>43697</v>
      </c>
      <c r="B510" s="13" t="s">
        <v>21</v>
      </c>
      <c r="C510" s="13" t="s">
        <v>84</v>
      </c>
      <c r="D510" s="13" t="s">
        <v>22</v>
      </c>
      <c r="E510" s="13" t="s">
        <v>23</v>
      </c>
      <c r="F510" s="13" t="s">
        <v>26</v>
      </c>
      <c r="G510" s="13" t="s">
        <v>25</v>
      </c>
      <c r="H510" s="14">
        <v>43387</v>
      </c>
      <c r="I510" s="13"/>
      <c r="J510" s="13"/>
      <c r="K510" s="13">
        <v>10</v>
      </c>
      <c r="L510" s="13">
        <v>710</v>
      </c>
      <c r="M510" s="13">
        <v>6</v>
      </c>
      <c r="N510" s="13">
        <v>0.84509999999999996</v>
      </c>
      <c r="O510" s="13">
        <v>2.2799999999999998</v>
      </c>
      <c r="P510" s="13">
        <v>0.38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</row>
    <row r="511" spans="1:23" x14ac:dyDescent="0.2">
      <c r="A511" s="14">
        <v>43697</v>
      </c>
      <c r="B511" s="13" t="s">
        <v>21</v>
      </c>
      <c r="C511" s="13" t="s">
        <v>75</v>
      </c>
      <c r="D511" s="13" t="s">
        <v>22</v>
      </c>
      <c r="E511" s="13" t="s">
        <v>23</v>
      </c>
      <c r="F511" s="13" t="s">
        <v>24</v>
      </c>
      <c r="G511" s="13" t="s">
        <v>25</v>
      </c>
      <c r="H511" s="14">
        <v>43454</v>
      </c>
      <c r="I511" s="13"/>
      <c r="J511" s="13"/>
      <c r="K511" s="13">
        <v>5</v>
      </c>
      <c r="L511" s="13">
        <v>27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</row>
    <row r="512" spans="1:23" x14ac:dyDescent="0.2">
      <c r="A512" s="14">
        <v>43697</v>
      </c>
      <c r="B512" s="13" t="s">
        <v>21</v>
      </c>
      <c r="C512" s="13" t="s">
        <v>31</v>
      </c>
      <c r="D512" s="13" t="s">
        <v>22</v>
      </c>
      <c r="E512" s="13" t="s">
        <v>23</v>
      </c>
      <c r="F512" s="13" t="s">
        <v>26</v>
      </c>
      <c r="G512" s="13" t="s">
        <v>25</v>
      </c>
      <c r="H512" s="14">
        <v>43615</v>
      </c>
      <c r="I512" s="13"/>
      <c r="J512" s="13"/>
      <c r="K512" s="13">
        <v>30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</row>
    <row r="513" spans="1:23" x14ac:dyDescent="0.2">
      <c r="A513" s="14">
        <v>43697</v>
      </c>
      <c r="B513" s="13" t="s">
        <v>21</v>
      </c>
      <c r="C513" s="13" t="s">
        <v>91</v>
      </c>
      <c r="D513" s="13" t="s">
        <v>22</v>
      </c>
      <c r="E513" s="13" t="s">
        <v>23</v>
      </c>
      <c r="F513" s="13" t="s">
        <v>24</v>
      </c>
      <c r="G513" s="13" t="s">
        <v>25</v>
      </c>
      <c r="H513" s="14">
        <v>43439</v>
      </c>
      <c r="I513" s="13"/>
      <c r="J513" s="13"/>
      <c r="K513" s="13">
        <v>2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</row>
    <row r="514" spans="1:23" x14ac:dyDescent="0.2">
      <c r="A514" s="14">
        <v>43697</v>
      </c>
      <c r="B514" s="13" t="s">
        <v>21</v>
      </c>
      <c r="C514" s="13" t="s">
        <v>87</v>
      </c>
      <c r="D514" s="13" t="s">
        <v>22</v>
      </c>
      <c r="E514" s="13" t="s">
        <v>23</v>
      </c>
      <c r="F514" s="13" t="s">
        <v>24</v>
      </c>
      <c r="G514" s="13" t="s">
        <v>25</v>
      </c>
      <c r="H514" s="14">
        <v>43657</v>
      </c>
      <c r="I514" s="13"/>
      <c r="J514" s="13"/>
      <c r="K514" s="13">
        <v>10</v>
      </c>
      <c r="L514" s="13">
        <v>334</v>
      </c>
      <c r="M514" s="13">
        <v>3</v>
      </c>
      <c r="N514" s="13">
        <v>0.8982</v>
      </c>
      <c r="O514" s="13">
        <v>1.17</v>
      </c>
      <c r="P514" s="13">
        <v>0.39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</row>
    <row r="515" spans="1:23" x14ac:dyDescent="0.2">
      <c r="A515" s="14">
        <v>43697</v>
      </c>
      <c r="B515" s="13" t="s">
        <v>21</v>
      </c>
      <c r="C515" s="13" t="s">
        <v>88</v>
      </c>
      <c r="D515" s="13" t="s">
        <v>22</v>
      </c>
      <c r="E515" s="13" t="s">
        <v>23</v>
      </c>
      <c r="F515" s="13" t="s">
        <v>26</v>
      </c>
      <c r="G515" s="13" t="s">
        <v>25</v>
      </c>
      <c r="H515" s="14">
        <v>43690</v>
      </c>
      <c r="I515" s="13"/>
      <c r="J515" s="13"/>
      <c r="K515" s="13">
        <v>15</v>
      </c>
      <c r="L515" s="13">
        <v>24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</row>
    <row r="516" spans="1:23" x14ac:dyDescent="0.2">
      <c r="A516" s="14">
        <v>43697</v>
      </c>
      <c r="B516" s="13" t="s">
        <v>21</v>
      </c>
      <c r="C516" s="13" t="s">
        <v>90</v>
      </c>
      <c r="D516" s="13" t="s">
        <v>22</v>
      </c>
      <c r="E516" s="13" t="s">
        <v>23</v>
      </c>
      <c r="F516" s="13" t="s">
        <v>24</v>
      </c>
      <c r="G516" s="13" t="s">
        <v>25</v>
      </c>
      <c r="H516" s="14">
        <v>43454</v>
      </c>
      <c r="I516" s="13"/>
      <c r="J516" s="13"/>
      <c r="K516" s="13">
        <v>20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</row>
    <row r="517" spans="1:23" x14ac:dyDescent="0.2">
      <c r="A517" s="14">
        <v>43697</v>
      </c>
      <c r="B517" s="13" t="s">
        <v>21</v>
      </c>
      <c r="C517" s="13" t="s">
        <v>89</v>
      </c>
      <c r="D517" s="13" t="s">
        <v>22</v>
      </c>
      <c r="E517" s="13" t="s">
        <v>23</v>
      </c>
      <c r="F517" s="13" t="s">
        <v>26</v>
      </c>
      <c r="G517" s="13" t="s">
        <v>25</v>
      </c>
      <c r="H517" s="14">
        <v>43387</v>
      </c>
      <c r="I517" s="13"/>
      <c r="J517" s="13"/>
      <c r="K517" s="13">
        <v>15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</row>
    <row r="518" spans="1:23" x14ac:dyDescent="0.2">
      <c r="A518" s="14">
        <v>43697</v>
      </c>
      <c r="B518" s="13" t="s">
        <v>21</v>
      </c>
      <c r="C518" s="13" t="s">
        <v>29</v>
      </c>
      <c r="D518" s="13" t="s">
        <v>22</v>
      </c>
      <c r="E518" s="13" t="s">
        <v>23</v>
      </c>
      <c r="F518" s="13" t="s">
        <v>26</v>
      </c>
      <c r="G518" s="13" t="s">
        <v>25</v>
      </c>
      <c r="H518" s="14">
        <v>43423</v>
      </c>
      <c r="I518" s="13"/>
      <c r="J518" s="13"/>
      <c r="K518" s="13">
        <v>3</v>
      </c>
      <c r="L518" s="13">
        <v>220</v>
      </c>
      <c r="M518" s="13">
        <v>2</v>
      </c>
      <c r="N518" s="13">
        <v>0.90910000000000002</v>
      </c>
      <c r="O518" s="13">
        <v>0.18</v>
      </c>
      <c r="P518" s="13">
        <v>0.09</v>
      </c>
      <c r="Q518" s="13">
        <v>2</v>
      </c>
      <c r="R518" s="13">
        <v>25.98</v>
      </c>
      <c r="S518" s="13">
        <v>0.69279999999999997</v>
      </c>
      <c r="T518" s="13">
        <v>0</v>
      </c>
      <c r="U518" s="13">
        <v>0</v>
      </c>
      <c r="V518" s="13">
        <v>0</v>
      </c>
      <c r="W518" s="13">
        <v>0</v>
      </c>
    </row>
    <row r="519" spans="1:23" x14ac:dyDescent="0.2">
      <c r="A519" s="14">
        <v>43697</v>
      </c>
      <c r="B519" s="13" t="s">
        <v>21</v>
      </c>
      <c r="C519" s="13" t="s">
        <v>77</v>
      </c>
      <c r="D519" s="13" t="s">
        <v>22</v>
      </c>
      <c r="E519" s="13" t="s">
        <v>23</v>
      </c>
      <c r="F519" s="13" t="s">
        <v>26</v>
      </c>
      <c r="G519" s="13" t="s">
        <v>25</v>
      </c>
      <c r="H519" s="14">
        <v>43388</v>
      </c>
      <c r="I519" s="13"/>
      <c r="J519" s="13"/>
      <c r="K519" s="13">
        <v>5</v>
      </c>
      <c r="L519" s="13">
        <v>14238</v>
      </c>
      <c r="M519" s="13">
        <v>25</v>
      </c>
      <c r="N519" s="13">
        <v>0.17560000000000001</v>
      </c>
      <c r="O519" s="13">
        <v>15.54</v>
      </c>
      <c r="P519" s="13">
        <v>0.62</v>
      </c>
      <c r="Q519" s="13">
        <v>4</v>
      </c>
      <c r="R519" s="13">
        <v>91.96</v>
      </c>
      <c r="S519" s="13">
        <v>16.898700000000002</v>
      </c>
      <c r="T519" s="13">
        <v>0</v>
      </c>
      <c r="U519" s="13">
        <v>0</v>
      </c>
      <c r="V519" s="13">
        <v>0</v>
      </c>
      <c r="W519" s="13">
        <v>0</v>
      </c>
    </row>
    <row r="520" spans="1:23" x14ac:dyDescent="0.2">
      <c r="A520" s="14">
        <v>43697</v>
      </c>
      <c r="B520" s="13" t="s">
        <v>21</v>
      </c>
      <c r="C520" s="13" t="s">
        <v>73</v>
      </c>
      <c r="D520" s="13" t="s">
        <v>22</v>
      </c>
      <c r="E520" s="13" t="s">
        <v>23</v>
      </c>
      <c r="F520" s="13" t="s">
        <v>24</v>
      </c>
      <c r="G520" s="13" t="s">
        <v>25</v>
      </c>
      <c r="H520" s="14">
        <v>43661</v>
      </c>
      <c r="I520" s="13"/>
      <c r="J520" s="13"/>
      <c r="K520" s="13">
        <v>10</v>
      </c>
      <c r="L520" s="13">
        <v>4119</v>
      </c>
      <c r="M520" s="13">
        <v>45</v>
      </c>
      <c r="N520" s="13">
        <v>1.0925</v>
      </c>
      <c r="O520" s="13">
        <v>11.07</v>
      </c>
      <c r="P520" s="13">
        <v>0.25</v>
      </c>
      <c r="Q520" s="13">
        <v>1</v>
      </c>
      <c r="R520" s="13">
        <v>53.97</v>
      </c>
      <c r="S520" s="13">
        <v>20.511399999999998</v>
      </c>
      <c r="T520" s="13">
        <v>0</v>
      </c>
      <c r="U520" s="13">
        <v>0</v>
      </c>
      <c r="V520" s="13">
        <v>0</v>
      </c>
      <c r="W520" s="13">
        <v>0</v>
      </c>
    </row>
    <row r="521" spans="1:23" x14ac:dyDescent="0.2">
      <c r="A521" s="14">
        <v>43697</v>
      </c>
      <c r="B521" s="13" t="s">
        <v>21</v>
      </c>
      <c r="C521" s="13" t="s">
        <v>79</v>
      </c>
      <c r="D521" s="13" t="s">
        <v>22</v>
      </c>
      <c r="E521" s="13" t="s">
        <v>23</v>
      </c>
      <c r="F521" s="13" t="s">
        <v>26</v>
      </c>
      <c r="G521" s="13" t="s">
        <v>25</v>
      </c>
      <c r="H521" s="14">
        <v>43387</v>
      </c>
      <c r="I521" s="13"/>
      <c r="J521" s="13"/>
      <c r="K521" s="13">
        <v>10</v>
      </c>
      <c r="L521" s="13">
        <v>14205</v>
      </c>
      <c r="M521" s="13">
        <v>69</v>
      </c>
      <c r="N521" s="13">
        <v>0.48570000000000002</v>
      </c>
      <c r="O521" s="13">
        <v>22.31</v>
      </c>
      <c r="P521" s="13">
        <v>0.32</v>
      </c>
      <c r="Q521" s="13">
        <v>1</v>
      </c>
      <c r="R521" s="13">
        <v>53.97</v>
      </c>
      <c r="S521" s="13">
        <v>41.337800000000001</v>
      </c>
      <c r="T521" s="13">
        <v>0</v>
      </c>
      <c r="U521" s="13">
        <v>0</v>
      </c>
      <c r="V521" s="13">
        <v>0</v>
      </c>
      <c r="W521" s="13">
        <v>0</v>
      </c>
    </row>
    <row r="522" spans="1:23" x14ac:dyDescent="0.2">
      <c r="A522" s="14">
        <v>43698</v>
      </c>
      <c r="B522" s="13" t="s">
        <v>21</v>
      </c>
      <c r="C522" s="13" t="s">
        <v>74</v>
      </c>
      <c r="D522" s="13" t="s">
        <v>22</v>
      </c>
      <c r="E522" s="13" t="s">
        <v>23</v>
      </c>
      <c r="F522" s="13" t="s">
        <v>24</v>
      </c>
      <c r="G522" s="13" t="s">
        <v>25</v>
      </c>
      <c r="H522" s="14">
        <v>43420</v>
      </c>
      <c r="I522" s="13"/>
      <c r="J522" s="13"/>
      <c r="K522" s="13">
        <v>5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</row>
    <row r="523" spans="1:23" x14ac:dyDescent="0.2">
      <c r="A523" s="14">
        <v>43698</v>
      </c>
      <c r="B523" s="13" t="s">
        <v>21</v>
      </c>
      <c r="C523" s="13" t="s">
        <v>76</v>
      </c>
      <c r="D523" s="13" t="s">
        <v>22</v>
      </c>
      <c r="E523" s="13" t="s">
        <v>23</v>
      </c>
      <c r="F523" s="13" t="s">
        <v>24</v>
      </c>
      <c r="G523" s="13" t="s">
        <v>25</v>
      </c>
      <c r="H523" s="14">
        <v>43667</v>
      </c>
      <c r="I523" s="13"/>
      <c r="J523" s="13"/>
      <c r="K523" s="13">
        <v>10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</row>
    <row r="524" spans="1:23" x14ac:dyDescent="0.2">
      <c r="A524" s="14">
        <v>43698</v>
      </c>
      <c r="B524" s="13" t="s">
        <v>21</v>
      </c>
      <c r="C524" s="13" t="s">
        <v>27</v>
      </c>
      <c r="D524" s="13" t="s">
        <v>22</v>
      </c>
      <c r="E524" s="13" t="s">
        <v>23</v>
      </c>
      <c r="F524" s="13" t="s">
        <v>24</v>
      </c>
      <c r="G524" s="13" t="s">
        <v>25</v>
      </c>
      <c r="H524" s="14">
        <v>43663</v>
      </c>
      <c r="I524" s="13"/>
      <c r="J524" s="13"/>
      <c r="K524" s="13">
        <v>10</v>
      </c>
      <c r="L524" s="13">
        <v>3691</v>
      </c>
      <c r="M524" s="13">
        <v>11</v>
      </c>
      <c r="N524" s="13">
        <v>0.29799999999999999</v>
      </c>
      <c r="O524" s="13">
        <v>7.19</v>
      </c>
      <c r="P524" s="13">
        <v>0.65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</row>
    <row r="525" spans="1:23" x14ac:dyDescent="0.2">
      <c r="A525" s="14">
        <v>43698</v>
      </c>
      <c r="B525" s="13" t="s">
        <v>21</v>
      </c>
      <c r="C525" s="13" t="s">
        <v>32</v>
      </c>
      <c r="D525" s="13" t="s">
        <v>33</v>
      </c>
      <c r="E525" s="13" t="s">
        <v>34</v>
      </c>
      <c r="F525" s="13" t="s">
        <v>24</v>
      </c>
      <c r="G525" s="13"/>
      <c r="H525" s="14">
        <v>43671</v>
      </c>
      <c r="I525" s="13"/>
      <c r="J525" s="13"/>
      <c r="K525" s="13">
        <v>2</v>
      </c>
      <c r="L525" s="13">
        <v>533</v>
      </c>
      <c r="M525" s="13">
        <v>5</v>
      </c>
      <c r="N525" s="13">
        <v>0.93810000000000004</v>
      </c>
      <c r="O525" s="13">
        <v>1.74</v>
      </c>
      <c r="P525" s="13">
        <v>0.35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</row>
    <row r="526" spans="1:23" x14ac:dyDescent="0.2">
      <c r="A526" s="14">
        <v>43698</v>
      </c>
      <c r="B526" s="13" t="s">
        <v>21</v>
      </c>
      <c r="C526" s="13" t="s">
        <v>72</v>
      </c>
      <c r="D526" s="13" t="s">
        <v>22</v>
      </c>
      <c r="E526" s="13" t="s">
        <v>23</v>
      </c>
      <c r="F526" s="13" t="s">
        <v>24</v>
      </c>
      <c r="G526" s="13" t="s">
        <v>25</v>
      </c>
      <c r="H526" s="14">
        <v>43412</v>
      </c>
      <c r="I526" s="13"/>
      <c r="J526" s="13"/>
      <c r="K526" s="13">
        <v>10</v>
      </c>
      <c r="L526" s="13">
        <v>1888</v>
      </c>
      <c r="M526" s="13">
        <v>10</v>
      </c>
      <c r="N526" s="13">
        <v>0.52969999999999995</v>
      </c>
      <c r="O526" s="13">
        <v>3.05</v>
      </c>
      <c r="P526" s="13">
        <v>0.31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</row>
    <row r="527" spans="1:23" x14ac:dyDescent="0.2">
      <c r="A527" s="14">
        <v>43698</v>
      </c>
      <c r="B527" s="13" t="s">
        <v>21</v>
      </c>
      <c r="C527" s="13" t="s">
        <v>78</v>
      </c>
      <c r="D527" s="13" t="s">
        <v>22</v>
      </c>
      <c r="E527" s="13" t="s">
        <v>23</v>
      </c>
      <c r="F527" s="13" t="s">
        <v>24</v>
      </c>
      <c r="G527" s="13" t="s">
        <v>25</v>
      </c>
      <c r="H527" s="14">
        <v>43688</v>
      </c>
      <c r="I527" s="13"/>
      <c r="J527" s="13"/>
      <c r="K527" s="13">
        <v>10</v>
      </c>
      <c r="L527" s="13">
        <v>4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</row>
    <row r="528" spans="1:23" x14ac:dyDescent="0.2">
      <c r="A528" s="14">
        <v>43698</v>
      </c>
      <c r="B528" s="13" t="s">
        <v>21</v>
      </c>
      <c r="C528" s="13" t="s">
        <v>79</v>
      </c>
      <c r="D528" s="13" t="s">
        <v>22</v>
      </c>
      <c r="E528" s="13" t="s">
        <v>23</v>
      </c>
      <c r="F528" s="13" t="s">
        <v>26</v>
      </c>
      <c r="G528" s="13" t="s">
        <v>25</v>
      </c>
      <c r="H528" s="14">
        <v>43387</v>
      </c>
      <c r="I528" s="13"/>
      <c r="J528" s="13"/>
      <c r="K528" s="13">
        <v>10</v>
      </c>
      <c r="L528" s="13">
        <v>19455</v>
      </c>
      <c r="M528" s="13">
        <v>56</v>
      </c>
      <c r="N528" s="13">
        <v>0.2878</v>
      </c>
      <c r="O528" s="13">
        <v>16.010000000000002</v>
      </c>
      <c r="P528" s="13">
        <v>0.28999999999999998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</row>
    <row r="529" spans="1:23" x14ac:dyDescent="0.2">
      <c r="A529" s="14">
        <v>43698</v>
      </c>
      <c r="B529" s="13" t="s">
        <v>21</v>
      </c>
      <c r="C529" s="13" t="s">
        <v>80</v>
      </c>
      <c r="D529" s="13" t="s">
        <v>22</v>
      </c>
      <c r="E529" s="13" t="s">
        <v>23</v>
      </c>
      <c r="F529" s="13" t="s">
        <v>26</v>
      </c>
      <c r="G529" s="13" t="s">
        <v>25</v>
      </c>
      <c r="H529" s="14">
        <v>43676</v>
      </c>
      <c r="I529" s="13"/>
      <c r="J529" s="13"/>
      <c r="K529" s="13">
        <v>10</v>
      </c>
      <c r="L529" s="13">
        <v>45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</row>
    <row r="530" spans="1:23" x14ac:dyDescent="0.2">
      <c r="A530" s="14">
        <v>43698</v>
      </c>
      <c r="B530" s="13" t="s">
        <v>21</v>
      </c>
      <c r="C530" s="13" t="s">
        <v>73</v>
      </c>
      <c r="D530" s="13" t="s">
        <v>22</v>
      </c>
      <c r="E530" s="13" t="s">
        <v>23</v>
      </c>
      <c r="F530" s="13" t="s">
        <v>24</v>
      </c>
      <c r="G530" s="13" t="s">
        <v>25</v>
      </c>
      <c r="H530" s="14">
        <v>43661</v>
      </c>
      <c r="I530" s="13"/>
      <c r="J530" s="13"/>
      <c r="K530" s="13">
        <v>10</v>
      </c>
      <c r="L530" s="13">
        <v>2650</v>
      </c>
      <c r="M530" s="13">
        <v>21</v>
      </c>
      <c r="N530" s="13">
        <v>0.79249999999999998</v>
      </c>
      <c r="O530" s="13">
        <v>4.03</v>
      </c>
      <c r="P530" s="13">
        <v>0.19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</row>
    <row r="531" spans="1:23" x14ac:dyDescent="0.2">
      <c r="A531" s="14">
        <v>43698</v>
      </c>
      <c r="B531" s="13" t="s">
        <v>21</v>
      </c>
      <c r="C531" s="13" t="s">
        <v>81</v>
      </c>
      <c r="D531" s="13" t="s">
        <v>22</v>
      </c>
      <c r="E531" s="13" t="s">
        <v>23</v>
      </c>
      <c r="F531" s="13" t="s">
        <v>24</v>
      </c>
      <c r="G531" s="13" t="s">
        <v>25</v>
      </c>
      <c r="H531" s="14">
        <v>43428</v>
      </c>
      <c r="I531" s="13"/>
      <c r="J531" s="13"/>
      <c r="K531" s="13">
        <v>10</v>
      </c>
      <c r="L531" s="13">
        <v>680</v>
      </c>
      <c r="M531" s="13">
        <v>5</v>
      </c>
      <c r="N531" s="13">
        <v>0.73529999999999995</v>
      </c>
      <c r="O531" s="13">
        <v>3.04</v>
      </c>
      <c r="P531" s="13">
        <v>0.61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</row>
    <row r="532" spans="1:23" x14ac:dyDescent="0.2">
      <c r="A532" s="14">
        <v>43698</v>
      </c>
      <c r="B532" s="13" t="s">
        <v>21</v>
      </c>
      <c r="C532" s="13" t="s">
        <v>82</v>
      </c>
      <c r="D532" s="13" t="s">
        <v>22</v>
      </c>
      <c r="E532" s="13" t="s">
        <v>23</v>
      </c>
      <c r="F532" s="13" t="s">
        <v>26</v>
      </c>
      <c r="G532" s="13" t="s">
        <v>25</v>
      </c>
      <c r="H532" s="14">
        <v>43387</v>
      </c>
      <c r="I532" s="13"/>
      <c r="J532" s="13"/>
      <c r="K532" s="13">
        <v>5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</row>
    <row r="533" spans="1:23" x14ac:dyDescent="0.2">
      <c r="A533" s="14">
        <v>43698</v>
      </c>
      <c r="B533" s="13" t="s">
        <v>21</v>
      </c>
      <c r="C533" s="13" t="s">
        <v>29</v>
      </c>
      <c r="D533" s="13" t="s">
        <v>22</v>
      </c>
      <c r="E533" s="13" t="s">
        <v>23</v>
      </c>
      <c r="F533" s="13" t="s">
        <v>26</v>
      </c>
      <c r="G533" s="13" t="s">
        <v>25</v>
      </c>
      <c r="H533" s="14">
        <v>43423</v>
      </c>
      <c r="I533" s="13"/>
      <c r="J533" s="13"/>
      <c r="K533" s="13">
        <v>3</v>
      </c>
      <c r="L533" s="13">
        <v>327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</row>
    <row r="534" spans="1:23" x14ac:dyDescent="0.2">
      <c r="A534" s="14">
        <v>43698</v>
      </c>
      <c r="B534" s="13" t="s">
        <v>21</v>
      </c>
      <c r="C534" s="13" t="s">
        <v>86</v>
      </c>
      <c r="D534" s="13" t="s">
        <v>22</v>
      </c>
      <c r="E534" s="13" t="s">
        <v>23</v>
      </c>
      <c r="F534" s="13" t="s">
        <v>26</v>
      </c>
      <c r="G534" s="13" t="s">
        <v>25</v>
      </c>
      <c r="H534" s="14">
        <v>43647</v>
      </c>
      <c r="I534" s="13"/>
      <c r="J534" s="13"/>
      <c r="K534" s="13">
        <v>10</v>
      </c>
      <c r="L534" s="13">
        <v>1357</v>
      </c>
      <c r="M534" s="13">
        <v>1</v>
      </c>
      <c r="N534" s="13">
        <v>7.3700000000000002E-2</v>
      </c>
      <c r="O534" s="13">
        <v>0.74</v>
      </c>
      <c r="P534" s="13">
        <v>0.74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</row>
    <row r="535" spans="1:23" x14ac:dyDescent="0.2">
      <c r="A535" s="14">
        <v>43698</v>
      </c>
      <c r="B535" s="13" t="s">
        <v>21</v>
      </c>
      <c r="C535" s="13" t="s">
        <v>30</v>
      </c>
      <c r="D535" s="13" t="s">
        <v>22</v>
      </c>
      <c r="E535" s="13" t="s">
        <v>23</v>
      </c>
      <c r="F535" s="13" t="s">
        <v>24</v>
      </c>
      <c r="G535" s="13" t="s">
        <v>25</v>
      </c>
      <c r="H535" s="14">
        <v>43678</v>
      </c>
      <c r="I535" s="13"/>
      <c r="J535" s="13"/>
      <c r="K535" s="13">
        <v>5</v>
      </c>
      <c r="L535" s="13">
        <v>408</v>
      </c>
      <c r="M535" s="13">
        <v>1</v>
      </c>
      <c r="N535" s="13">
        <v>0.24510000000000001</v>
      </c>
      <c r="O535" s="13">
        <v>0.39</v>
      </c>
      <c r="P535" s="13">
        <v>0.39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</row>
    <row r="536" spans="1:23" x14ac:dyDescent="0.2">
      <c r="A536" s="14">
        <v>43698</v>
      </c>
      <c r="B536" s="13" t="s">
        <v>21</v>
      </c>
      <c r="C536" s="13" t="s">
        <v>85</v>
      </c>
      <c r="D536" s="13" t="s">
        <v>22</v>
      </c>
      <c r="E536" s="13" t="s">
        <v>23</v>
      </c>
      <c r="F536" s="13" t="s">
        <v>26</v>
      </c>
      <c r="G536" s="13" t="s">
        <v>25</v>
      </c>
      <c r="H536" s="14">
        <v>43387</v>
      </c>
      <c r="I536" s="13"/>
      <c r="J536" s="13"/>
      <c r="K536" s="13">
        <v>5</v>
      </c>
      <c r="L536" s="13">
        <v>8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</row>
    <row r="537" spans="1:23" x14ac:dyDescent="0.2">
      <c r="A537" s="14">
        <v>43698</v>
      </c>
      <c r="B537" s="13" t="s">
        <v>21</v>
      </c>
      <c r="C537" s="13" t="s">
        <v>84</v>
      </c>
      <c r="D537" s="13" t="s">
        <v>22</v>
      </c>
      <c r="E537" s="13" t="s">
        <v>23</v>
      </c>
      <c r="F537" s="13" t="s">
        <v>26</v>
      </c>
      <c r="G537" s="13" t="s">
        <v>25</v>
      </c>
      <c r="H537" s="14">
        <v>43387</v>
      </c>
      <c r="I537" s="13"/>
      <c r="J537" s="13"/>
      <c r="K537" s="13">
        <v>10</v>
      </c>
      <c r="L537" s="13">
        <v>460</v>
      </c>
      <c r="M537" s="13">
        <v>4</v>
      </c>
      <c r="N537" s="13">
        <v>0.86960000000000004</v>
      </c>
      <c r="O537" s="13">
        <v>1.53</v>
      </c>
      <c r="P537" s="13">
        <v>0.38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</row>
    <row r="538" spans="1:23" x14ac:dyDescent="0.2">
      <c r="A538" s="14">
        <v>43698</v>
      </c>
      <c r="B538" s="13" t="s">
        <v>21</v>
      </c>
      <c r="C538" s="13" t="s">
        <v>75</v>
      </c>
      <c r="D538" s="13" t="s">
        <v>22</v>
      </c>
      <c r="E538" s="13" t="s">
        <v>23</v>
      </c>
      <c r="F538" s="13" t="s">
        <v>24</v>
      </c>
      <c r="G538" s="13" t="s">
        <v>25</v>
      </c>
      <c r="H538" s="14">
        <v>43454</v>
      </c>
      <c r="I538" s="13"/>
      <c r="J538" s="13"/>
      <c r="K538" s="13">
        <v>5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</row>
    <row r="539" spans="1:23" x14ac:dyDescent="0.2">
      <c r="A539" s="14">
        <v>43698</v>
      </c>
      <c r="B539" s="13" t="s">
        <v>21</v>
      </c>
      <c r="C539" s="13" t="s">
        <v>31</v>
      </c>
      <c r="D539" s="13" t="s">
        <v>22</v>
      </c>
      <c r="E539" s="13" t="s">
        <v>23</v>
      </c>
      <c r="F539" s="13" t="s">
        <v>26</v>
      </c>
      <c r="G539" s="13" t="s">
        <v>25</v>
      </c>
      <c r="H539" s="14">
        <v>43615</v>
      </c>
      <c r="I539" s="13"/>
      <c r="J539" s="13"/>
      <c r="K539" s="13">
        <v>30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</row>
    <row r="540" spans="1:23" x14ac:dyDescent="0.2">
      <c r="A540" s="14">
        <v>43698</v>
      </c>
      <c r="B540" s="13" t="s">
        <v>21</v>
      </c>
      <c r="C540" s="13" t="s">
        <v>91</v>
      </c>
      <c r="D540" s="13" t="s">
        <v>22</v>
      </c>
      <c r="E540" s="13" t="s">
        <v>23</v>
      </c>
      <c r="F540" s="13" t="s">
        <v>24</v>
      </c>
      <c r="G540" s="13" t="s">
        <v>25</v>
      </c>
      <c r="H540" s="14">
        <v>43439</v>
      </c>
      <c r="I540" s="13"/>
      <c r="J540" s="13"/>
      <c r="K540" s="13">
        <v>2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</row>
    <row r="541" spans="1:23" x14ac:dyDescent="0.2">
      <c r="A541" s="14">
        <v>43698</v>
      </c>
      <c r="B541" s="13" t="s">
        <v>21</v>
      </c>
      <c r="C541" s="13" t="s">
        <v>87</v>
      </c>
      <c r="D541" s="13" t="s">
        <v>22</v>
      </c>
      <c r="E541" s="13" t="s">
        <v>23</v>
      </c>
      <c r="F541" s="13" t="s">
        <v>24</v>
      </c>
      <c r="G541" s="13" t="s">
        <v>25</v>
      </c>
      <c r="H541" s="14">
        <v>43657</v>
      </c>
      <c r="I541" s="13"/>
      <c r="J541" s="13"/>
      <c r="K541" s="13">
        <v>10</v>
      </c>
      <c r="L541" s="13">
        <v>218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</row>
    <row r="542" spans="1:23" x14ac:dyDescent="0.2">
      <c r="A542" s="14">
        <v>43698</v>
      </c>
      <c r="B542" s="13" t="s">
        <v>21</v>
      </c>
      <c r="C542" s="13" t="s">
        <v>88</v>
      </c>
      <c r="D542" s="13" t="s">
        <v>22</v>
      </c>
      <c r="E542" s="13" t="s">
        <v>23</v>
      </c>
      <c r="F542" s="13" t="s">
        <v>26</v>
      </c>
      <c r="G542" s="13" t="s">
        <v>25</v>
      </c>
      <c r="H542" s="14">
        <v>43690</v>
      </c>
      <c r="I542" s="13"/>
      <c r="J542" s="13"/>
      <c r="K542" s="13">
        <v>15</v>
      </c>
      <c r="L542" s="13">
        <v>13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</row>
    <row r="543" spans="1:23" x14ac:dyDescent="0.2">
      <c r="A543" s="14">
        <v>43698</v>
      </c>
      <c r="B543" s="13" t="s">
        <v>21</v>
      </c>
      <c r="C543" s="13" t="s">
        <v>90</v>
      </c>
      <c r="D543" s="13" t="s">
        <v>22</v>
      </c>
      <c r="E543" s="13" t="s">
        <v>23</v>
      </c>
      <c r="F543" s="13" t="s">
        <v>24</v>
      </c>
      <c r="G543" s="13" t="s">
        <v>25</v>
      </c>
      <c r="H543" s="14">
        <v>43454</v>
      </c>
      <c r="I543" s="13"/>
      <c r="J543" s="13"/>
      <c r="K543" s="13">
        <v>20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</row>
    <row r="544" spans="1:23" x14ac:dyDescent="0.2">
      <c r="A544" s="14">
        <v>43698</v>
      </c>
      <c r="B544" s="13" t="s">
        <v>21</v>
      </c>
      <c r="C544" s="13" t="s">
        <v>89</v>
      </c>
      <c r="D544" s="13" t="s">
        <v>22</v>
      </c>
      <c r="E544" s="13" t="s">
        <v>23</v>
      </c>
      <c r="F544" s="13" t="s">
        <v>26</v>
      </c>
      <c r="G544" s="13" t="s">
        <v>25</v>
      </c>
      <c r="H544" s="14">
        <v>43387</v>
      </c>
      <c r="I544" s="13"/>
      <c r="J544" s="13"/>
      <c r="K544" s="13">
        <v>15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</row>
    <row r="545" spans="1:23" x14ac:dyDescent="0.2">
      <c r="A545" s="14">
        <v>43698</v>
      </c>
      <c r="B545" s="13" t="s">
        <v>21</v>
      </c>
      <c r="C545" s="13" t="s">
        <v>83</v>
      </c>
      <c r="D545" s="13" t="s">
        <v>22</v>
      </c>
      <c r="E545" s="13" t="s">
        <v>23</v>
      </c>
      <c r="F545" s="13" t="s">
        <v>26</v>
      </c>
      <c r="G545" s="13" t="s">
        <v>25</v>
      </c>
      <c r="H545" s="14">
        <v>43388</v>
      </c>
      <c r="I545" s="13"/>
      <c r="J545" s="13"/>
      <c r="K545" s="13">
        <v>5</v>
      </c>
      <c r="L545" s="13">
        <v>2619</v>
      </c>
      <c r="M545" s="13">
        <v>17</v>
      </c>
      <c r="N545" s="13">
        <v>0.64910000000000001</v>
      </c>
      <c r="O545" s="13">
        <v>9.9</v>
      </c>
      <c r="P545" s="13">
        <v>0.57999999999999996</v>
      </c>
      <c r="Q545" s="13">
        <v>2</v>
      </c>
      <c r="R545" s="13">
        <v>71.97</v>
      </c>
      <c r="S545" s="13">
        <v>13.755699999999999</v>
      </c>
      <c r="T545" s="13">
        <v>0</v>
      </c>
      <c r="U545" s="13">
        <v>0</v>
      </c>
      <c r="V545" s="13">
        <v>0</v>
      </c>
      <c r="W545" s="13">
        <v>0</v>
      </c>
    </row>
    <row r="546" spans="1:23" x14ac:dyDescent="0.2">
      <c r="A546" s="14">
        <v>43698</v>
      </c>
      <c r="B546" s="13" t="s">
        <v>21</v>
      </c>
      <c r="C546" s="13" t="s">
        <v>28</v>
      </c>
      <c r="D546" s="13" t="s">
        <v>22</v>
      </c>
      <c r="E546" s="13" t="s">
        <v>23</v>
      </c>
      <c r="F546" s="13" t="s">
        <v>24</v>
      </c>
      <c r="G546" s="13" t="s">
        <v>25</v>
      </c>
      <c r="H546" s="14">
        <v>43663</v>
      </c>
      <c r="I546" s="13"/>
      <c r="J546" s="13"/>
      <c r="K546" s="13">
        <v>10</v>
      </c>
      <c r="L546" s="13">
        <v>1454</v>
      </c>
      <c r="M546" s="13">
        <v>5</v>
      </c>
      <c r="N546" s="13">
        <v>0.34389999999999998</v>
      </c>
      <c r="O546" s="13">
        <v>2.92</v>
      </c>
      <c r="P546" s="13">
        <v>0.57999999999999996</v>
      </c>
      <c r="Q546" s="13">
        <v>1</v>
      </c>
      <c r="R546" s="13">
        <v>16.37</v>
      </c>
      <c r="S546" s="13">
        <v>17.837499999999999</v>
      </c>
      <c r="T546" s="13">
        <v>0</v>
      </c>
      <c r="U546" s="13">
        <v>0</v>
      </c>
      <c r="V546" s="13">
        <v>0</v>
      </c>
      <c r="W546" s="13">
        <v>0</v>
      </c>
    </row>
    <row r="547" spans="1:23" x14ac:dyDescent="0.2">
      <c r="A547" s="14">
        <v>43698</v>
      </c>
      <c r="B547" s="13" t="s">
        <v>21</v>
      </c>
      <c r="C547" s="13" t="s">
        <v>77</v>
      </c>
      <c r="D547" s="13" t="s">
        <v>22</v>
      </c>
      <c r="E547" s="13" t="s">
        <v>23</v>
      </c>
      <c r="F547" s="13" t="s">
        <v>26</v>
      </c>
      <c r="G547" s="13" t="s">
        <v>25</v>
      </c>
      <c r="H547" s="14">
        <v>43388</v>
      </c>
      <c r="I547" s="13"/>
      <c r="J547" s="13"/>
      <c r="K547" s="13">
        <v>5</v>
      </c>
      <c r="L547" s="13">
        <v>7305</v>
      </c>
      <c r="M547" s="13">
        <v>18</v>
      </c>
      <c r="N547" s="13">
        <v>0.24640000000000001</v>
      </c>
      <c r="O547" s="13">
        <v>9.59</v>
      </c>
      <c r="P547" s="13">
        <v>0.53</v>
      </c>
      <c r="Q547" s="13">
        <v>1</v>
      </c>
      <c r="R547" s="13">
        <v>23.99</v>
      </c>
      <c r="S547" s="13">
        <v>39.975000000000001</v>
      </c>
      <c r="T547" s="13">
        <v>0</v>
      </c>
      <c r="U547" s="13">
        <v>0</v>
      </c>
      <c r="V547" s="13">
        <v>0</v>
      </c>
      <c r="W547" s="13">
        <v>0</v>
      </c>
    </row>
    <row r="548" spans="1:23" x14ac:dyDescent="0.2">
      <c r="A548" s="14">
        <v>43699</v>
      </c>
      <c r="B548" s="13" t="s">
        <v>21</v>
      </c>
      <c r="C548" s="13" t="s">
        <v>74</v>
      </c>
      <c r="D548" s="13" t="s">
        <v>22</v>
      </c>
      <c r="E548" s="13" t="s">
        <v>23</v>
      </c>
      <c r="F548" s="13" t="s">
        <v>24</v>
      </c>
      <c r="G548" s="13" t="s">
        <v>25</v>
      </c>
      <c r="H548" s="14">
        <v>43420</v>
      </c>
      <c r="I548" s="13"/>
      <c r="J548" s="13"/>
      <c r="K548" s="13">
        <v>5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</row>
    <row r="549" spans="1:23" x14ac:dyDescent="0.2">
      <c r="A549" s="14">
        <v>43699</v>
      </c>
      <c r="B549" s="13" t="s">
        <v>21</v>
      </c>
      <c r="C549" s="13" t="s">
        <v>76</v>
      </c>
      <c r="D549" s="13" t="s">
        <v>22</v>
      </c>
      <c r="E549" s="13" t="s">
        <v>23</v>
      </c>
      <c r="F549" s="13" t="s">
        <v>24</v>
      </c>
      <c r="G549" s="13" t="s">
        <v>25</v>
      </c>
      <c r="H549" s="14">
        <v>43667</v>
      </c>
      <c r="I549" s="13"/>
      <c r="J549" s="13"/>
      <c r="K549" s="13">
        <v>10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</row>
    <row r="550" spans="1:23" x14ac:dyDescent="0.2">
      <c r="A550" s="14">
        <v>43699</v>
      </c>
      <c r="B550" s="13" t="s">
        <v>21</v>
      </c>
      <c r="C550" s="13" t="s">
        <v>27</v>
      </c>
      <c r="D550" s="13" t="s">
        <v>22</v>
      </c>
      <c r="E550" s="13" t="s">
        <v>23</v>
      </c>
      <c r="F550" s="13" t="s">
        <v>24</v>
      </c>
      <c r="G550" s="13" t="s">
        <v>25</v>
      </c>
      <c r="H550" s="14">
        <v>43663</v>
      </c>
      <c r="I550" s="13"/>
      <c r="J550" s="13"/>
      <c r="K550" s="13">
        <v>10</v>
      </c>
      <c r="L550" s="13">
        <v>1870</v>
      </c>
      <c r="M550" s="13">
        <v>5</v>
      </c>
      <c r="N550" s="13">
        <v>0.26740000000000003</v>
      </c>
      <c r="O550" s="13">
        <v>3.32</v>
      </c>
      <c r="P550" s="13">
        <v>0.66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</row>
    <row r="551" spans="1:23" x14ac:dyDescent="0.2">
      <c r="A551" s="14">
        <v>43699</v>
      </c>
      <c r="B551" s="13" t="s">
        <v>21</v>
      </c>
      <c r="C551" s="13" t="s">
        <v>32</v>
      </c>
      <c r="D551" s="13" t="s">
        <v>33</v>
      </c>
      <c r="E551" s="13" t="s">
        <v>34</v>
      </c>
      <c r="F551" s="13" t="s">
        <v>24</v>
      </c>
      <c r="G551" s="13"/>
      <c r="H551" s="14">
        <v>43671</v>
      </c>
      <c r="I551" s="13"/>
      <c r="J551" s="13"/>
      <c r="K551" s="13">
        <v>2</v>
      </c>
      <c r="L551" s="13">
        <v>298</v>
      </c>
      <c r="M551" s="13">
        <v>5</v>
      </c>
      <c r="N551" s="13">
        <v>1.6778999999999999</v>
      </c>
      <c r="O551" s="13">
        <v>2.08</v>
      </c>
      <c r="P551" s="13">
        <v>0.42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</row>
    <row r="552" spans="1:23" x14ac:dyDescent="0.2">
      <c r="A552" s="14">
        <v>43699</v>
      </c>
      <c r="B552" s="13" t="s">
        <v>21</v>
      </c>
      <c r="C552" s="13" t="s">
        <v>72</v>
      </c>
      <c r="D552" s="13" t="s">
        <v>22</v>
      </c>
      <c r="E552" s="13" t="s">
        <v>23</v>
      </c>
      <c r="F552" s="13" t="s">
        <v>24</v>
      </c>
      <c r="G552" s="13" t="s">
        <v>25</v>
      </c>
      <c r="H552" s="14">
        <v>43412</v>
      </c>
      <c r="I552" s="13"/>
      <c r="J552" s="13"/>
      <c r="K552" s="13">
        <v>10</v>
      </c>
      <c r="L552" s="13">
        <v>2199</v>
      </c>
      <c r="M552" s="13">
        <v>12</v>
      </c>
      <c r="N552" s="13">
        <v>0.54569999999999996</v>
      </c>
      <c r="O552" s="13">
        <v>3.66</v>
      </c>
      <c r="P552" s="13">
        <v>0.31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</row>
    <row r="553" spans="1:23" x14ac:dyDescent="0.2">
      <c r="A553" s="14">
        <v>43699</v>
      </c>
      <c r="B553" s="13" t="s">
        <v>21</v>
      </c>
      <c r="C553" s="13" t="s">
        <v>78</v>
      </c>
      <c r="D553" s="13" t="s">
        <v>22</v>
      </c>
      <c r="E553" s="13" t="s">
        <v>23</v>
      </c>
      <c r="F553" s="13" t="s">
        <v>24</v>
      </c>
      <c r="G553" s="13" t="s">
        <v>25</v>
      </c>
      <c r="H553" s="14">
        <v>43688</v>
      </c>
      <c r="I553" s="13"/>
      <c r="J553" s="13"/>
      <c r="K553" s="13">
        <v>10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</row>
    <row r="554" spans="1:23" x14ac:dyDescent="0.2">
      <c r="A554" s="14">
        <v>43699</v>
      </c>
      <c r="B554" s="13" t="s">
        <v>21</v>
      </c>
      <c r="C554" s="13" t="s">
        <v>79</v>
      </c>
      <c r="D554" s="13" t="s">
        <v>22</v>
      </c>
      <c r="E554" s="13" t="s">
        <v>23</v>
      </c>
      <c r="F554" s="13" t="s">
        <v>26</v>
      </c>
      <c r="G554" s="13" t="s">
        <v>25</v>
      </c>
      <c r="H554" s="14">
        <v>43387</v>
      </c>
      <c r="I554" s="13"/>
      <c r="J554" s="13"/>
      <c r="K554" s="13">
        <v>10</v>
      </c>
      <c r="L554" s="13">
        <v>17792</v>
      </c>
      <c r="M554" s="13">
        <v>51</v>
      </c>
      <c r="N554" s="13">
        <v>0.28660000000000002</v>
      </c>
      <c r="O554" s="13">
        <v>12.47</v>
      </c>
      <c r="P554" s="13">
        <v>0.24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</row>
    <row r="555" spans="1:23" x14ac:dyDescent="0.2">
      <c r="A555" s="14">
        <v>43699</v>
      </c>
      <c r="B555" s="13" t="s">
        <v>21</v>
      </c>
      <c r="C555" s="13" t="s">
        <v>80</v>
      </c>
      <c r="D555" s="13" t="s">
        <v>22</v>
      </c>
      <c r="E555" s="13" t="s">
        <v>23</v>
      </c>
      <c r="F555" s="13" t="s">
        <v>26</v>
      </c>
      <c r="G555" s="13" t="s">
        <v>25</v>
      </c>
      <c r="H555" s="14">
        <v>43676</v>
      </c>
      <c r="I555" s="13"/>
      <c r="J555" s="13"/>
      <c r="K555" s="13">
        <v>10</v>
      </c>
      <c r="L555" s="13">
        <v>38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</row>
    <row r="556" spans="1:23" x14ac:dyDescent="0.2">
      <c r="A556" s="14">
        <v>43699</v>
      </c>
      <c r="B556" s="13" t="s">
        <v>21</v>
      </c>
      <c r="C556" s="13" t="s">
        <v>73</v>
      </c>
      <c r="D556" s="13" t="s">
        <v>22</v>
      </c>
      <c r="E556" s="13" t="s">
        <v>23</v>
      </c>
      <c r="F556" s="13" t="s">
        <v>24</v>
      </c>
      <c r="G556" s="13" t="s">
        <v>25</v>
      </c>
      <c r="H556" s="14">
        <v>43661</v>
      </c>
      <c r="I556" s="13"/>
      <c r="J556" s="13"/>
      <c r="K556" s="13">
        <v>10</v>
      </c>
      <c r="L556" s="13">
        <v>2229</v>
      </c>
      <c r="M556" s="13">
        <v>13</v>
      </c>
      <c r="N556" s="13">
        <v>0.58320000000000005</v>
      </c>
      <c r="O556" s="13">
        <v>2.0699999999999998</v>
      </c>
      <c r="P556" s="13">
        <v>0.16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</row>
    <row r="557" spans="1:23" x14ac:dyDescent="0.2">
      <c r="A557" s="14">
        <v>43699</v>
      </c>
      <c r="B557" s="13" t="s">
        <v>21</v>
      </c>
      <c r="C557" s="13" t="s">
        <v>81</v>
      </c>
      <c r="D557" s="13" t="s">
        <v>22</v>
      </c>
      <c r="E557" s="13" t="s">
        <v>23</v>
      </c>
      <c r="F557" s="13" t="s">
        <v>24</v>
      </c>
      <c r="G557" s="13" t="s">
        <v>25</v>
      </c>
      <c r="H557" s="14">
        <v>43428</v>
      </c>
      <c r="I557" s="13"/>
      <c r="J557" s="13"/>
      <c r="K557" s="13">
        <v>10</v>
      </c>
      <c r="L557" s="13">
        <v>716</v>
      </c>
      <c r="M557" s="13">
        <v>2</v>
      </c>
      <c r="N557" s="13">
        <v>0.27929999999999999</v>
      </c>
      <c r="O557" s="13">
        <v>1.28</v>
      </c>
      <c r="P557" s="13">
        <v>0.64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</row>
    <row r="558" spans="1:23" x14ac:dyDescent="0.2">
      <c r="A558" s="14">
        <v>43699</v>
      </c>
      <c r="B558" s="13" t="s">
        <v>21</v>
      </c>
      <c r="C558" s="13" t="s">
        <v>82</v>
      </c>
      <c r="D558" s="13" t="s">
        <v>22</v>
      </c>
      <c r="E558" s="13" t="s">
        <v>23</v>
      </c>
      <c r="F558" s="13" t="s">
        <v>26</v>
      </c>
      <c r="G558" s="13" t="s">
        <v>25</v>
      </c>
      <c r="H558" s="14">
        <v>43387</v>
      </c>
      <c r="I558" s="13"/>
      <c r="J558" s="13"/>
      <c r="K558" s="13">
        <v>5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</row>
    <row r="559" spans="1:23" x14ac:dyDescent="0.2">
      <c r="A559" s="14">
        <v>43699</v>
      </c>
      <c r="B559" s="13" t="s">
        <v>21</v>
      </c>
      <c r="C559" s="13" t="s">
        <v>28</v>
      </c>
      <c r="D559" s="13" t="s">
        <v>22</v>
      </c>
      <c r="E559" s="13" t="s">
        <v>23</v>
      </c>
      <c r="F559" s="13" t="s">
        <v>24</v>
      </c>
      <c r="G559" s="13" t="s">
        <v>25</v>
      </c>
      <c r="H559" s="14">
        <v>43663</v>
      </c>
      <c r="I559" s="13"/>
      <c r="J559" s="13"/>
      <c r="K559" s="13">
        <v>10</v>
      </c>
      <c r="L559" s="13">
        <v>1327</v>
      </c>
      <c r="M559" s="13">
        <v>4</v>
      </c>
      <c r="N559" s="13">
        <v>0.3014</v>
      </c>
      <c r="O559" s="13">
        <v>2.4500000000000002</v>
      </c>
      <c r="P559" s="13">
        <v>0.61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</row>
    <row r="560" spans="1:23" x14ac:dyDescent="0.2">
      <c r="A560" s="14">
        <v>43699</v>
      </c>
      <c r="B560" s="13" t="s">
        <v>21</v>
      </c>
      <c r="C560" s="13" t="s">
        <v>83</v>
      </c>
      <c r="D560" s="13" t="s">
        <v>22</v>
      </c>
      <c r="E560" s="13" t="s">
        <v>23</v>
      </c>
      <c r="F560" s="13" t="s">
        <v>26</v>
      </c>
      <c r="G560" s="13" t="s">
        <v>25</v>
      </c>
      <c r="H560" s="14">
        <v>43388</v>
      </c>
      <c r="I560" s="13"/>
      <c r="J560" s="13"/>
      <c r="K560" s="13">
        <v>5</v>
      </c>
      <c r="L560" s="13">
        <v>2642</v>
      </c>
      <c r="M560" s="13">
        <v>11</v>
      </c>
      <c r="N560" s="13">
        <v>0.41639999999999999</v>
      </c>
      <c r="O560" s="13">
        <v>6.5</v>
      </c>
      <c r="P560" s="13">
        <v>0.59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</row>
    <row r="561" spans="1:23" x14ac:dyDescent="0.2">
      <c r="A561" s="14">
        <v>43699</v>
      </c>
      <c r="B561" s="13" t="s">
        <v>21</v>
      </c>
      <c r="C561" s="13" t="s">
        <v>29</v>
      </c>
      <c r="D561" s="13" t="s">
        <v>22</v>
      </c>
      <c r="E561" s="13" t="s">
        <v>23</v>
      </c>
      <c r="F561" s="13" t="s">
        <v>26</v>
      </c>
      <c r="G561" s="13" t="s">
        <v>25</v>
      </c>
      <c r="H561" s="14">
        <v>43423</v>
      </c>
      <c r="I561" s="13"/>
      <c r="J561" s="13"/>
      <c r="K561" s="13">
        <v>3</v>
      </c>
      <c r="L561" s="13">
        <v>333</v>
      </c>
      <c r="M561" s="13">
        <v>1</v>
      </c>
      <c r="N561" s="13">
        <v>0.30030000000000001</v>
      </c>
      <c r="O561" s="13">
        <v>0.02</v>
      </c>
      <c r="P561" s="13">
        <v>0.02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</row>
    <row r="562" spans="1:23" x14ac:dyDescent="0.2">
      <c r="A562" s="14">
        <v>43699</v>
      </c>
      <c r="B562" s="13" t="s">
        <v>21</v>
      </c>
      <c r="C562" s="13" t="s">
        <v>86</v>
      </c>
      <c r="D562" s="13" t="s">
        <v>22</v>
      </c>
      <c r="E562" s="13" t="s">
        <v>23</v>
      </c>
      <c r="F562" s="13" t="s">
        <v>26</v>
      </c>
      <c r="G562" s="13" t="s">
        <v>25</v>
      </c>
      <c r="H562" s="14">
        <v>43647</v>
      </c>
      <c r="I562" s="13"/>
      <c r="J562" s="13"/>
      <c r="K562" s="13">
        <v>10</v>
      </c>
      <c r="L562" s="13">
        <v>380</v>
      </c>
      <c r="M562" s="13">
        <v>1</v>
      </c>
      <c r="N562" s="13">
        <v>0.26319999999999999</v>
      </c>
      <c r="O562" s="13">
        <v>0.16</v>
      </c>
      <c r="P562" s="13">
        <v>0.16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</row>
    <row r="563" spans="1:23" x14ac:dyDescent="0.2">
      <c r="A563" s="14">
        <v>43699</v>
      </c>
      <c r="B563" s="13" t="s">
        <v>21</v>
      </c>
      <c r="C563" s="13" t="s">
        <v>30</v>
      </c>
      <c r="D563" s="13" t="s">
        <v>22</v>
      </c>
      <c r="E563" s="13" t="s">
        <v>23</v>
      </c>
      <c r="F563" s="13" t="s">
        <v>24</v>
      </c>
      <c r="G563" s="13" t="s">
        <v>25</v>
      </c>
      <c r="H563" s="14">
        <v>43678</v>
      </c>
      <c r="I563" s="13"/>
      <c r="J563" s="13"/>
      <c r="K563" s="13">
        <v>5</v>
      </c>
      <c r="L563" s="13">
        <v>591</v>
      </c>
      <c r="M563" s="13">
        <v>1</v>
      </c>
      <c r="N563" s="13">
        <v>0.16919999999999999</v>
      </c>
      <c r="O563" s="13">
        <v>0.47</v>
      </c>
      <c r="P563" s="13">
        <v>0.47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</row>
    <row r="564" spans="1:23" x14ac:dyDescent="0.2">
      <c r="A564" s="14">
        <v>43699</v>
      </c>
      <c r="B564" s="13" t="s">
        <v>21</v>
      </c>
      <c r="C564" s="13" t="s">
        <v>85</v>
      </c>
      <c r="D564" s="13" t="s">
        <v>22</v>
      </c>
      <c r="E564" s="13" t="s">
        <v>23</v>
      </c>
      <c r="F564" s="13" t="s">
        <v>26</v>
      </c>
      <c r="G564" s="13" t="s">
        <v>25</v>
      </c>
      <c r="H564" s="14">
        <v>43387</v>
      </c>
      <c r="I564" s="13"/>
      <c r="J564" s="13"/>
      <c r="K564" s="13">
        <v>5</v>
      </c>
      <c r="L564" s="13">
        <v>13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</row>
    <row r="565" spans="1:23" x14ac:dyDescent="0.2">
      <c r="A565" s="14">
        <v>43699</v>
      </c>
      <c r="B565" s="13" t="s">
        <v>21</v>
      </c>
      <c r="C565" s="13" t="s">
        <v>84</v>
      </c>
      <c r="D565" s="13" t="s">
        <v>22</v>
      </c>
      <c r="E565" s="13" t="s">
        <v>23</v>
      </c>
      <c r="F565" s="13" t="s">
        <v>26</v>
      </c>
      <c r="G565" s="13" t="s">
        <v>25</v>
      </c>
      <c r="H565" s="14">
        <v>43387</v>
      </c>
      <c r="I565" s="13"/>
      <c r="J565" s="13"/>
      <c r="K565" s="13">
        <v>10</v>
      </c>
      <c r="L565" s="13">
        <v>588</v>
      </c>
      <c r="M565" s="13">
        <v>4</v>
      </c>
      <c r="N565" s="13">
        <v>0.68030000000000002</v>
      </c>
      <c r="O565" s="13">
        <v>1.32</v>
      </c>
      <c r="P565" s="13">
        <v>0.33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</row>
    <row r="566" spans="1:23" x14ac:dyDescent="0.2">
      <c r="A566" s="14">
        <v>43699</v>
      </c>
      <c r="B566" s="13" t="s">
        <v>21</v>
      </c>
      <c r="C566" s="13" t="s">
        <v>75</v>
      </c>
      <c r="D566" s="13" t="s">
        <v>22</v>
      </c>
      <c r="E566" s="13" t="s">
        <v>23</v>
      </c>
      <c r="F566" s="13" t="s">
        <v>24</v>
      </c>
      <c r="G566" s="13" t="s">
        <v>25</v>
      </c>
      <c r="H566" s="14">
        <v>43454</v>
      </c>
      <c r="I566" s="13"/>
      <c r="J566" s="13"/>
      <c r="K566" s="13">
        <v>5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</row>
    <row r="567" spans="1:23" x14ac:dyDescent="0.2">
      <c r="A567" s="14">
        <v>43699</v>
      </c>
      <c r="B567" s="13" t="s">
        <v>21</v>
      </c>
      <c r="C567" s="13" t="s">
        <v>31</v>
      </c>
      <c r="D567" s="13" t="s">
        <v>22</v>
      </c>
      <c r="E567" s="13" t="s">
        <v>23</v>
      </c>
      <c r="F567" s="13" t="s">
        <v>26</v>
      </c>
      <c r="G567" s="13" t="s">
        <v>25</v>
      </c>
      <c r="H567" s="14">
        <v>43615</v>
      </c>
      <c r="I567" s="13"/>
      <c r="J567" s="13"/>
      <c r="K567" s="13">
        <v>30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</row>
    <row r="568" spans="1:23" x14ac:dyDescent="0.2">
      <c r="A568" s="14">
        <v>43699</v>
      </c>
      <c r="B568" s="13" t="s">
        <v>21</v>
      </c>
      <c r="C568" s="13" t="s">
        <v>91</v>
      </c>
      <c r="D568" s="13" t="s">
        <v>22</v>
      </c>
      <c r="E568" s="13" t="s">
        <v>23</v>
      </c>
      <c r="F568" s="13" t="s">
        <v>24</v>
      </c>
      <c r="G568" s="13" t="s">
        <v>25</v>
      </c>
      <c r="H568" s="14">
        <v>43439</v>
      </c>
      <c r="I568" s="13"/>
      <c r="J568" s="13"/>
      <c r="K568" s="13">
        <v>2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</row>
    <row r="569" spans="1:23" x14ac:dyDescent="0.2">
      <c r="A569" s="14">
        <v>43699</v>
      </c>
      <c r="B569" s="13" t="s">
        <v>21</v>
      </c>
      <c r="C569" s="13" t="s">
        <v>87</v>
      </c>
      <c r="D569" s="13" t="s">
        <v>22</v>
      </c>
      <c r="E569" s="13" t="s">
        <v>23</v>
      </c>
      <c r="F569" s="13" t="s">
        <v>24</v>
      </c>
      <c r="G569" s="13" t="s">
        <v>25</v>
      </c>
      <c r="H569" s="14">
        <v>43657</v>
      </c>
      <c r="I569" s="13"/>
      <c r="J569" s="13"/>
      <c r="K569" s="13">
        <v>10</v>
      </c>
      <c r="L569" s="13">
        <v>190</v>
      </c>
      <c r="M569" s="13">
        <v>2</v>
      </c>
      <c r="N569" s="13">
        <v>1.0526</v>
      </c>
      <c r="O569" s="13">
        <v>1.31</v>
      </c>
      <c r="P569" s="13">
        <v>0.66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</row>
    <row r="570" spans="1:23" x14ac:dyDescent="0.2">
      <c r="A570" s="14">
        <v>43699</v>
      </c>
      <c r="B570" s="13" t="s">
        <v>21</v>
      </c>
      <c r="C570" s="13" t="s">
        <v>88</v>
      </c>
      <c r="D570" s="13" t="s">
        <v>22</v>
      </c>
      <c r="E570" s="13" t="s">
        <v>23</v>
      </c>
      <c r="F570" s="13" t="s">
        <v>26</v>
      </c>
      <c r="G570" s="13" t="s">
        <v>25</v>
      </c>
      <c r="H570" s="14">
        <v>43690</v>
      </c>
      <c r="I570" s="13"/>
      <c r="J570" s="13"/>
      <c r="K570" s="13">
        <v>15</v>
      </c>
      <c r="L570" s="13">
        <v>20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</row>
    <row r="571" spans="1:23" x14ac:dyDescent="0.2">
      <c r="A571" s="14">
        <v>43699</v>
      </c>
      <c r="B571" s="13" t="s">
        <v>21</v>
      </c>
      <c r="C571" s="13" t="s">
        <v>90</v>
      </c>
      <c r="D571" s="13" t="s">
        <v>22</v>
      </c>
      <c r="E571" s="13" t="s">
        <v>23</v>
      </c>
      <c r="F571" s="13" t="s">
        <v>24</v>
      </c>
      <c r="G571" s="13" t="s">
        <v>25</v>
      </c>
      <c r="H571" s="14">
        <v>43454</v>
      </c>
      <c r="I571" s="13"/>
      <c r="J571" s="13"/>
      <c r="K571" s="13">
        <v>20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</row>
    <row r="572" spans="1:23" x14ac:dyDescent="0.2">
      <c r="A572" s="14">
        <v>43699</v>
      </c>
      <c r="B572" s="13" t="s">
        <v>21</v>
      </c>
      <c r="C572" s="13" t="s">
        <v>89</v>
      </c>
      <c r="D572" s="13" t="s">
        <v>22</v>
      </c>
      <c r="E572" s="13" t="s">
        <v>23</v>
      </c>
      <c r="F572" s="13" t="s">
        <v>26</v>
      </c>
      <c r="G572" s="13" t="s">
        <v>25</v>
      </c>
      <c r="H572" s="14">
        <v>43387</v>
      </c>
      <c r="I572" s="13"/>
      <c r="J572" s="13"/>
      <c r="K572" s="13">
        <v>15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</row>
    <row r="573" spans="1:23" x14ac:dyDescent="0.2">
      <c r="A573" s="14">
        <v>43699</v>
      </c>
      <c r="B573" s="13" t="s">
        <v>21</v>
      </c>
      <c r="C573" s="13" t="s">
        <v>77</v>
      </c>
      <c r="D573" s="13" t="s">
        <v>22</v>
      </c>
      <c r="E573" s="13" t="s">
        <v>23</v>
      </c>
      <c r="F573" s="13" t="s">
        <v>26</v>
      </c>
      <c r="G573" s="13" t="s">
        <v>25</v>
      </c>
      <c r="H573" s="14">
        <v>43388</v>
      </c>
      <c r="I573" s="13"/>
      <c r="J573" s="13"/>
      <c r="K573" s="13">
        <v>5</v>
      </c>
      <c r="L573" s="13">
        <v>8996</v>
      </c>
      <c r="M573" s="13">
        <v>16</v>
      </c>
      <c r="N573" s="13">
        <v>0.1779</v>
      </c>
      <c r="O573" s="13">
        <v>9.1199999999999992</v>
      </c>
      <c r="P573" s="13">
        <v>0.56999999999999995</v>
      </c>
      <c r="Q573" s="13">
        <v>1</v>
      </c>
      <c r="R573" s="13">
        <v>20.99</v>
      </c>
      <c r="S573" s="13">
        <v>43.449300000000001</v>
      </c>
      <c r="T573" s="13">
        <v>0</v>
      </c>
      <c r="U573" s="13">
        <v>0</v>
      </c>
      <c r="V573" s="13">
        <v>0</v>
      </c>
      <c r="W573" s="13">
        <v>0</v>
      </c>
    </row>
    <row r="574" spans="1:23" x14ac:dyDescent="0.2">
      <c r="A574" s="14">
        <v>43700</v>
      </c>
      <c r="B574" s="13" t="s">
        <v>21</v>
      </c>
      <c r="C574" s="13" t="s">
        <v>74</v>
      </c>
      <c r="D574" s="13" t="s">
        <v>22</v>
      </c>
      <c r="E574" s="13" t="s">
        <v>23</v>
      </c>
      <c r="F574" s="13" t="s">
        <v>24</v>
      </c>
      <c r="G574" s="13" t="s">
        <v>25</v>
      </c>
      <c r="H574" s="14">
        <v>43420</v>
      </c>
      <c r="I574" s="13"/>
      <c r="J574" s="13"/>
      <c r="K574" s="13">
        <v>5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</row>
    <row r="575" spans="1:23" x14ac:dyDescent="0.2">
      <c r="A575" s="14">
        <v>43700</v>
      </c>
      <c r="B575" s="13" t="s">
        <v>21</v>
      </c>
      <c r="C575" s="13" t="s">
        <v>76</v>
      </c>
      <c r="D575" s="13" t="s">
        <v>22</v>
      </c>
      <c r="E575" s="13" t="s">
        <v>23</v>
      </c>
      <c r="F575" s="13" t="s">
        <v>24</v>
      </c>
      <c r="G575" s="13" t="s">
        <v>25</v>
      </c>
      <c r="H575" s="14">
        <v>43667</v>
      </c>
      <c r="I575" s="13"/>
      <c r="J575" s="13"/>
      <c r="K575" s="13">
        <v>10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</row>
    <row r="576" spans="1:23" x14ac:dyDescent="0.2">
      <c r="A576" s="14">
        <v>43700</v>
      </c>
      <c r="B576" s="13" t="s">
        <v>21</v>
      </c>
      <c r="C576" s="13" t="s">
        <v>77</v>
      </c>
      <c r="D576" s="13" t="s">
        <v>22</v>
      </c>
      <c r="E576" s="13" t="s">
        <v>23</v>
      </c>
      <c r="F576" s="13" t="s">
        <v>26</v>
      </c>
      <c r="G576" s="13" t="s">
        <v>25</v>
      </c>
      <c r="H576" s="14">
        <v>43388</v>
      </c>
      <c r="I576" s="13"/>
      <c r="J576" s="13"/>
      <c r="K576" s="13">
        <v>5</v>
      </c>
      <c r="L576" s="13">
        <v>3813</v>
      </c>
      <c r="M576" s="13">
        <v>5</v>
      </c>
      <c r="N576" s="13">
        <v>0.13109999999999999</v>
      </c>
      <c r="O576" s="13">
        <v>3.16</v>
      </c>
      <c r="P576" s="13">
        <v>0.63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</row>
    <row r="577" spans="1:23" x14ac:dyDescent="0.2">
      <c r="A577" s="14">
        <v>43700</v>
      </c>
      <c r="B577" s="13" t="s">
        <v>21</v>
      </c>
      <c r="C577" s="13" t="s">
        <v>27</v>
      </c>
      <c r="D577" s="13" t="s">
        <v>22</v>
      </c>
      <c r="E577" s="13" t="s">
        <v>23</v>
      </c>
      <c r="F577" s="13" t="s">
        <v>24</v>
      </c>
      <c r="G577" s="13" t="s">
        <v>25</v>
      </c>
      <c r="H577" s="14">
        <v>43663</v>
      </c>
      <c r="I577" s="13"/>
      <c r="J577" s="13"/>
      <c r="K577" s="13">
        <v>10</v>
      </c>
      <c r="L577" s="13">
        <v>395</v>
      </c>
      <c r="M577" s="13">
        <v>1</v>
      </c>
      <c r="N577" s="13">
        <v>0.25319999999999998</v>
      </c>
      <c r="O577" s="13">
        <v>0.7</v>
      </c>
      <c r="P577" s="13">
        <v>0.7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</row>
    <row r="578" spans="1:23" x14ac:dyDescent="0.2">
      <c r="A578" s="14">
        <v>43700</v>
      </c>
      <c r="B578" s="13" t="s">
        <v>21</v>
      </c>
      <c r="C578" s="13" t="s">
        <v>32</v>
      </c>
      <c r="D578" s="13" t="s">
        <v>33</v>
      </c>
      <c r="E578" s="13" t="s">
        <v>34</v>
      </c>
      <c r="F578" s="13" t="s">
        <v>24</v>
      </c>
      <c r="G578" s="13"/>
      <c r="H578" s="14">
        <v>43671</v>
      </c>
      <c r="I578" s="13"/>
      <c r="J578" s="13"/>
      <c r="K578" s="13">
        <v>2</v>
      </c>
      <c r="L578" s="13">
        <v>1382</v>
      </c>
      <c r="M578" s="13">
        <v>5</v>
      </c>
      <c r="N578" s="13">
        <v>0.36180000000000001</v>
      </c>
      <c r="O578" s="13">
        <v>2.04</v>
      </c>
      <c r="P578" s="13">
        <v>0.41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</row>
    <row r="579" spans="1:23" x14ac:dyDescent="0.2">
      <c r="A579" s="14">
        <v>43700</v>
      </c>
      <c r="B579" s="13" t="s">
        <v>21</v>
      </c>
      <c r="C579" s="13" t="s">
        <v>72</v>
      </c>
      <c r="D579" s="13" t="s">
        <v>22</v>
      </c>
      <c r="E579" s="13" t="s">
        <v>23</v>
      </c>
      <c r="F579" s="13" t="s">
        <v>24</v>
      </c>
      <c r="G579" s="13" t="s">
        <v>25</v>
      </c>
      <c r="H579" s="14">
        <v>43412</v>
      </c>
      <c r="I579" s="13"/>
      <c r="J579" s="13"/>
      <c r="K579" s="13">
        <v>10</v>
      </c>
      <c r="L579" s="13">
        <v>1540</v>
      </c>
      <c r="M579" s="13">
        <v>8</v>
      </c>
      <c r="N579" s="13">
        <v>0.51949999999999996</v>
      </c>
      <c r="O579" s="13">
        <v>2.54</v>
      </c>
      <c r="P579" s="13">
        <v>0.32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</row>
    <row r="580" spans="1:23" x14ac:dyDescent="0.2">
      <c r="A580" s="14">
        <v>43700</v>
      </c>
      <c r="B580" s="13" t="s">
        <v>21</v>
      </c>
      <c r="C580" s="13" t="s">
        <v>78</v>
      </c>
      <c r="D580" s="13" t="s">
        <v>22</v>
      </c>
      <c r="E580" s="13" t="s">
        <v>23</v>
      </c>
      <c r="F580" s="13" t="s">
        <v>24</v>
      </c>
      <c r="G580" s="13" t="s">
        <v>25</v>
      </c>
      <c r="H580" s="14">
        <v>43688</v>
      </c>
      <c r="I580" s="13"/>
      <c r="J580" s="13"/>
      <c r="K580" s="13">
        <v>10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</row>
    <row r="581" spans="1:23" x14ac:dyDescent="0.2">
      <c r="A581" s="14">
        <v>43700</v>
      </c>
      <c r="B581" s="13" t="s">
        <v>21</v>
      </c>
      <c r="C581" s="13" t="s">
        <v>79</v>
      </c>
      <c r="D581" s="13" t="s">
        <v>22</v>
      </c>
      <c r="E581" s="13" t="s">
        <v>23</v>
      </c>
      <c r="F581" s="13" t="s">
        <v>26</v>
      </c>
      <c r="G581" s="13" t="s">
        <v>25</v>
      </c>
      <c r="H581" s="14">
        <v>43387</v>
      </c>
      <c r="I581" s="13"/>
      <c r="J581" s="13"/>
      <c r="K581" s="13">
        <v>10</v>
      </c>
      <c r="L581" s="13">
        <v>8625</v>
      </c>
      <c r="M581" s="13">
        <v>35</v>
      </c>
      <c r="N581" s="13">
        <v>0.40579999999999999</v>
      </c>
      <c r="O581" s="13">
        <v>10.24</v>
      </c>
      <c r="P581" s="13">
        <v>0.28999999999999998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</row>
    <row r="582" spans="1:23" x14ac:dyDescent="0.2">
      <c r="A582" s="14">
        <v>43700</v>
      </c>
      <c r="B582" s="13" t="s">
        <v>21</v>
      </c>
      <c r="C582" s="13" t="s">
        <v>80</v>
      </c>
      <c r="D582" s="13" t="s">
        <v>22</v>
      </c>
      <c r="E582" s="13" t="s">
        <v>23</v>
      </c>
      <c r="F582" s="13" t="s">
        <v>26</v>
      </c>
      <c r="G582" s="13" t="s">
        <v>25</v>
      </c>
      <c r="H582" s="14">
        <v>43676</v>
      </c>
      <c r="I582" s="13"/>
      <c r="J582" s="13"/>
      <c r="K582" s="13">
        <v>10</v>
      </c>
      <c r="L582" s="13">
        <v>13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</row>
    <row r="583" spans="1:23" x14ac:dyDescent="0.2">
      <c r="A583" s="14">
        <v>43700</v>
      </c>
      <c r="B583" s="13" t="s">
        <v>21</v>
      </c>
      <c r="C583" s="13" t="s">
        <v>73</v>
      </c>
      <c r="D583" s="13" t="s">
        <v>22</v>
      </c>
      <c r="E583" s="13" t="s">
        <v>23</v>
      </c>
      <c r="F583" s="13" t="s">
        <v>24</v>
      </c>
      <c r="G583" s="13" t="s">
        <v>25</v>
      </c>
      <c r="H583" s="14">
        <v>43661</v>
      </c>
      <c r="I583" s="13"/>
      <c r="J583" s="13"/>
      <c r="K583" s="13">
        <v>10</v>
      </c>
      <c r="L583" s="13">
        <v>1632</v>
      </c>
      <c r="M583" s="13">
        <v>15</v>
      </c>
      <c r="N583" s="13">
        <v>0.91910000000000003</v>
      </c>
      <c r="O583" s="13">
        <v>3.49</v>
      </c>
      <c r="P583" s="13">
        <v>0.23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</row>
    <row r="584" spans="1:23" x14ac:dyDescent="0.2">
      <c r="A584" s="14">
        <v>43700</v>
      </c>
      <c r="B584" s="13" t="s">
        <v>21</v>
      </c>
      <c r="C584" s="13" t="s">
        <v>81</v>
      </c>
      <c r="D584" s="13" t="s">
        <v>22</v>
      </c>
      <c r="E584" s="13" t="s">
        <v>23</v>
      </c>
      <c r="F584" s="13" t="s">
        <v>24</v>
      </c>
      <c r="G584" s="13" t="s">
        <v>25</v>
      </c>
      <c r="H584" s="14">
        <v>43428</v>
      </c>
      <c r="I584" s="13"/>
      <c r="J584" s="13"/>
      <c r="K584" s="13">
        <v>10</v>
      </c>
      <c r="L584" s="13">
        <v>224</v>
      </c>
      <c r="M584" s="13">
        <v>2</v>
      </c>
      <c r="N584" s="13">
        <v>0.89290000000000003</v>
      </c>
      <c r="O584" s="13">
        <v>1.35</v>
      </c>
      <c r="P584" s="13">
        <v>0.68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</row>
    <row r="585" spans="1:23" x14ac:dyDescent="0.2">
      <c r="A585" s="14">
        <v>43700</v>
      </c>
      <c r="B585" s="13" t="s">
        <v>21</v>
      </c>
      <c r="C585" s="13" t="s">
        <v>82</v>
      </c>
      <c r="D585" s="13" t="s">
        <v>22</v>
      </c>
      <c r="E585" s="13" t="s">
        <v>23</v>
      </c>
      <c r="F585" s="13" t="s">
        <v>26</v>
      </c>
      <c r="G585" s="13" t="s">
        <v>25</v>
      </c>
      <c r="H585" s="14">
        <v>43387</v>
      </c>
      <c r="I585" s="13"/>
      <c r="J585" s="13"/>
      <c r="K585" s="13">
        <v>5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</row>
    <row r="586" spans="1:23" x14ac:dyDescent="0.2">
      <c r="A586" s="14">
        <v>43700</v>
      </c>
      <c r="B586" s="13" t="s">
        <v>21</v>
      </c>
      <c r="C586" s="13" t="s">
        <v>28</v>
      </c>
      <c r="D586" s="13" t="s">
        <v>22</v>
      </c>
      <c r="E586" s="13" t="s">
        <v>23</v>
      </c>
      <c r="F586" s="13" t="s">
        <v>24</v>
      </c>
      <c r="G586" s="13" t="s">
        <v>25</v>
      </c>
      <c r="H586" s="14">
        <v>43663</v>
      </c>
      <c r="I586" s="13"/>
      <c r="J586" s="13"/>
      <c r="K586" s="13">
        <v>10</v>
      </c>
      <c r="L586" s="13">
        <v>1805</v>
      </c>
      <c r="M586" s="13">
        <v>5</v>
      </c>
      <c r="N586" s="13">
        <v>0.27700000000000002</v>
      </c>
      <c r="O586" s="13">
        <v>3.1</v>
      </c>
      <c r="P586" s="13">
        <v>0.62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</row>
    <row r="587" spans="1:23" x14ac:dyDescent="0.2">
      <c r="A587" s="14">
        <v>43700</v>
      </c>
      <c r="B587" s="13" t="s">
        <v>21</v>
      </c>
      <c r="C587" s="13" t="s">
        <v>83</v>
      </c>
      <c r="D587" s="13" t="s">
        <v>22</v>
      </c>
      <c r="E587" s="13" t="s">
        <v>23</v>
      </c>
      <c r="F587" s="13" t="s">
        <v>26</v>
      </c>
      <c r="G587" s="13" t="s">
        <v>25</v>
      </c>
      <c r="H587" s="14">
        <v>43388</v>
      </c>
      <c r="I587" s="13"/>
      <c r="J587" s="13"/>
      <c r="K587" s="13">
        <v>5</v>
      </c>
      <c r="L587" s="13">
        <v>2931</v>
      </c>
      <c r="M587" s="13">
        <v>4</v>
      </c>
      <c r="N587" s="13">
        <v>0.13650000000000001</v>
      </c>
      <c r="O587" s="13">
        <v>2.4900000000000002</v>
      </c>
      <c r="P587" s="13">
        <v>0.62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</row>
    <row r="588" spans="1:23" x14ac:dyDescent="0.2">
      <c r="A588" s="14">
        <v>43700</v>
      </c>
      <c r="B588" s="13" t="s">
        <v>21</v>
      </c>
      <c r="C588" s="13" t="s">
        <v>29</v>
      </c>
      <c r="D588" s="13" t="s">
        <v>22</v>
      </c>
      <c r="E588" s="13" t="s">
        <v>23</v>
      </c>
      <c r="F588" s="13" t="s">
        <v>26</v>
      </c>
      <c r="G588" s="13" t="s">
        <v>25</v>
      </c>
      <c r="H588" s="14">
        <v>43423</v>
      </c>
      <c r="I588" s="13"/>
      <c r="J588" s="13"/>
      <c r="K588" s="13">
        <v>3</v>
      </c>
      <c r="L588" s="13">
        <v>161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</row>
    <row r="589" spans="1:23" x14ac:dyDescent="0.2">
      <c r="A589" s="14">
        <v>43700</v>
      </c>
      <c r="B589" s="13" t="s">
        <v>21</v>
      </c>
      <c r="C589" s="13" t="s">
        <v>86</v>
      </c>
      <c r="D589" s="13" t="s">
        <v>22</v>
      </c>
      <c r="E589" s="13" t="s">
        <v>23</v>
      </c>
      <c r="F589" s="13" t="s">
        <v>26</v>
      </c>
      <c r="G589" s="13" t="s">
        <v>25</v>
      </c>
      <c r="H589" s="14">
        <v>43647</v>
      </c>
      <c r="I589" s="13"/>
      <c r="J589" s="13"/>
      <c r="K589" s="13">
        <v>10</v>
      </c>
      <c r="L589" s="13">
        <v>627</v>
      </c>
      <c r="M589" s="13">
        <v>2</v>
      </c>
      <c r="N589" s="13">
        <v>0.31900000000000001</v>
      </c>
      <c r="O589" s="13">
        <v>0.96</v>
      </c>
      <c r="P589" s="13">
        <v>0.48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</row>
    <row r="590" spans="1:23" x14ac:dyDescent="0.2">
      <c r="A590" s="14">
        <v>43700</v>
      </c>
      <c r="B590" s="13" t="s">
        <v>21</v>
      </c>
      <c r="C590" s="13" t="s">
        <v>30</v>
      </c>
      <c r="D590" s="13" t="s">
        <v>22</v>
      </c>
      <c r="E590" s="13" t="s">
        <v>23</v>
      </c>
      <c r="F590" s="13" t="s">
        <v>24</v>
      </c>
      <c r="G590" s="13" t="s">
        <v>25</v>
      </c>
      <c r="H590" s="14">
        <v>43678</v>
      </c>
      <c r="I590" s="13"/>
      <c r="J590" s="13"/>
      <c r="K590" s="13">
        <v>5</v>
      </c>
      <c r="L590" s="13">
        <v>338</v>
      </c>
      <c r="M590" s="13">
        <v>2</v>
      </c>
      <c r="N590" s="13">
        <v>0.5917</v>
      </c>
      <c r="O590" s="13">
        <v>1.34</v>
      </c>
      <c r="P590" s="13">
        <v>0.67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</row>
    <row r="591" spans="1:23" x14ac:dyDescent="0.2">
      <c r="A591" s="14">
        <v>43700</v>
      </c>
      <c r="B591" s="13" t="s">
        <v>21</v>
      </c>
      <c r="C591" s="13" t="s">
        <v>85</v>
      </c>
      <c r="D591" s="13" t="s">
        <v>22</v>
      </c>
      <c r="E591" s="13" t="s">
        <v>23</v>
      </c>
      <c r="F591" s="13" t="s">
        <v>26</v>
      </c>
      <c r="G591" s="13" t="s">
        <v>25</v>
      </c>
      <c r="H591" s="14">
        <v>43387</v>
      </c>
      <c r="I591" s="13"/>
      <c r="J591" s="13"/>
      <c r="K591" s="13">
        <v>5</v>
      </c>
      <c r="L591" s="13">
        <v>5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</row>
    <row r="592" spans="1:23" x14ac:dyDescent="0.2">
      <c r="A592" s="14">
        <v>43700</v>
      </c>
      <c r="B592" s="13" t="s">
        <v>21</v>
      </c>
      <c r="C592" s="13" t="s">
        <v>84</v>
      </c>
      <c r="D592" s="13" t="s">
        <v>22</v>
      </c>
      <c r="E592" s="13" t="s">
        <v>23</v>
      </c>
      <c r="F592" s="13" t="s">
        <v>26</v>
      </c>
      <c r="G592" s="13" t="s">
        <v>25</v>
      </c>
      <c r="H592" s="14">
        <v>43387</v>
      </c>
      <c r="I592" s="13"/>
      <c r="J592" s="13"/>
      <c r="K592" s="13">
        <v>10</v>
      </c>
      <c r="L592" s="13">
        <v>339</v>
      </c>
      <c r="M592" s="13">
        <v>1</v>
      </c>
      <c r="N592" s="13">
        <v>0.29499999999999998</v>
      </c>
      <c r="O592" s="13">
        <v>0.43</v>
      </c>
      <c r="P592" s="13">
        <v>0.43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</row>
    <row r="593" spans="1:23" x14ac:dyDescent="0.2">
      <c r="A593" s="14">
        <v>43700</v>
      </c>
      <c r="B593" s="13" t="s">
        <v>21</v>
      </c>
      <c r="C593" s="13" t="s">
        <v>75</v>
      </c>
      <c r="D593" s="13" t="s">
        <v>22</v>
      </c>
      <c r="E593" s="13" t="s">
        <v>23</v>
      </c>
      <c r="F593" s="13" t="s">
        <v>24</v>
      </c>
      <c r="G593" s="13" t="s">
        <v>25</v>
      </c>
      <c r="H593" s="14">
        <v>43454</v>
      </c>
      <c r="I593" s="13"/>
      <c r="J593" s="13"/>
      <c r="K593" s="13">
        <v>5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</row>
    <row r="594" spans="1:23" x14ac:dyDescent="0.2">
      <c r="A594" s="14">
        <v>43700</v>
      </c>
      <c r="B594" s="13" t="s">
        <v>21</v>
      </c>
      <c r="C594" s="13" t="s">
        <v>31</v>
      </c>
      <c r="D594" s="13" t="s">
        <v>22</v>
      </c>
      <c r="E594" s="13" t="s">
        <v>23</v>
      </c>
      <c r="F594" s="13" t="s">
        <v>26</v>
      </c>
      <c r="G594" s="13" t="s">
        <v>25</v>
      </c>
      <c r="H594" s="14">
        <v>43615</v>
      </c>
      <c r="I594" s="13"/>
      <c r="J594" s="13"/>
      <c r="K594" s="13">
        <v>30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</row>
    <row r="595" spans="1:23" x14ac:dyDescent="0.2">
      <c r="A595" s="14">
        <v>43700</v>
      </c>
      <c r="B595" s="13" t="s">
        <v>21</v>
      </c>
      <c r="C595" s="13" t="s">
        <v>91</v>
      </c>
      <c r="D595" s="13" t="s">
        <v>22</v>
      </c>
      <c r="E595" s="13" t="s">
        <v>23</v>
      </c>
      <c r="F595" s="13" t="s">
        <v>24</v>
      </c>
      <c r="G595" s="13" t="s">
        <v>25</v>
      </c>
      <c r="H595" s="14">
        <v>43439</v>
      </c>
      <c r="I595" s="13"/>
      <c r="J595" s="13"/>
      <c r="K595" s="13">
        <v>2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</row>
    <row r="596" spans="1:23" x14ac:dyDescent="0.2">
      <c r="A596" s="14">
        <v>43700</v>
      </c>
      <c r="B596" s="13" t="s">
        <v>21</v>
      </c>
      <c r="C596" s="13" t="s">
        <v>87</v>
      </c>
      <c r="D596" s="13" t="s">
        <v>22</v>
      </c>
      <c r="E596" s="13" t="s">
        <v>23</v>
      </c>
      <c r="F596" s="13" t="s">
        <v>24</v>
      </c>
      <c r="G596" s="13" t="s">
        <v>25</v>
      </c>
      <c r="H596" s="14">
        <v>43657</v>
      </c>
      <c r="I596" s="13"/>
      <c r="J596" s="13"/>
      <c r="K596" s="13">
        <v>10</v>
      </c>
      <c r="L596" s="13">
        <v>392</v>
      </c>
      <c r="M596" s="13">
        <v>1</v>
      </c>
      <c r="N596" s="13">
        <v>0.25509999999999999</v>
      </c>
      <c r="O596" s="13">
        <v>0.49</v>
      </c>
      <c r="P596" s="13">
        <v>0.49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</row>
    <row r="597" spans="1:23" x14ac:dyDescent="0.2">
      <c r="A597" s="14">
        <v>43700</v>
      </c>
      <c r="B597" s="13" t="s">
        <v>21</v>
      </c>
      <c r="C597" s="13" t="s">
        <v>88</v>
      </c>
      <c r="D597" s="13" t="s">
        <v>22</v>
      </c>
      <c r="E597" s="13" t="s">
        <v>23</v>
      </c>
      <c r="F597" s="13" t="s">
        <v>26</v>
      </c>
      <c r="G597" s="13" t="s">
        <v>25</v>
      </c>
      <c r="H597" s="14">
        <v>43690</v>
      </c>
      <c r="I597" s="13"/>
      <c r="J597" s="13"/>
      <c r="K597" s="13">
        <v>15</v>
      </c>
      <c r="L597" s="13">
        <v>19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</row>
    <row r="598" spans="1:23" x14ac:dyDescent="0.2">
      <c r="A598" s="14">
        <v>43700</v>
      </c>
      <c r="B598" s="13" t="s">
        <v>21</v>
      </c>
      <c r="C598" s="13" t="s">
        <v>90</v>
      </c>
      <c r="D598" s="13" t="s">
        <v>22</v>
      </c>
      <c r="E598" s="13" t="s">
        <v>23</v>
      </c>
      <c r="F598" s="13" t="s">
        <v>24</v>
      </c>
      <c r="G598" s="13" t="s">
        <v>25</v>
      </c>
      <c r="H598" s="14">
        <v>43454</v>
      </c>
      <c r="I598" s="13"/>
      <c r="J598" s="13"/>
      <c r="K598" s="13">
        <v>20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</row>
    <row r="599" spans="1:23" x14ac:dyDescent="0.2">
      <c r="A599" s="14">
        <v>43700</v>
      </c>
      <c r="B599" s="13" t="s">
        <v>21</v>
      </c>
      <c r="C599" s="13" t="s">
        <v>89</v>
      </c>
      <c r="D599" s="13" t="s">
        <v>22</v>
      </c>
      <c r="E599" s="13" t="s">
        <v>23</v>
      </c>
      <c r="F599" s="13" t="s">
        <v>26</v>
      </c>
      <c r="G599" s="13" t="s">
        <v>25</v>
      </c>
      <c r="H599" s="14">
        <v>43387</v>
      </c>
      <c r="I599" s="13"/>
      <c r="J599" s="13"/>
      <c r="K599" s="13">
        <v>15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</row>
    <row r="600" spans="1:23" x14ac:dyDescent="0.2">
      <c r="A600" s="14">
        <v>43701</v>
      </c>
      <c r="B600" s="13" t="s">
        <v>21</v>
      </c>
      <c r="C600" s="13" t="s">
        <v>74</v>
      </c>
      <c r="D600" s="13" t="s">
        <v>22</v>
      </c>
      <c r="E600" s="13" t="s">
        <v>23</v>
      </c>
      <c r="F600" s="13" t="s">
        <v>24</v>
      </c>
      <c r="G600" s="13" t="s">
        <v>25</v>
      </c>
      <c r="H600" s="14">
        <v>43420</v>
      </c>
      <c r="I600" s="13"/>
      <c r="J600" s="13"/>
      <c r="K600" s="13">
        <v>5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</row>
    <row r="601" spans="1:23" x14ac:dyDescent="0.2">
      <c r="A601" s="14">
        <v>43701</v>
      </c>
      <c r="B601" s="13" t="s">
        <v>21</v>
      </c>
      <c r="C601" s="13" t="s">
        <v>76</v>
      </c>
      <c r="D601" s="13" t="s">
        <v>22</v>
      </c>
      <c r="E601" s="13" t="s">
        <v>23</v>
      </c>
      <c r="F601" s="13" t="s">
        <v>24</v>
      </c>
      <c r="G601" s="13" t="s">
        <v>25</v>
      </c>
      <c r="H601" s="14">
        <v>43667</v>
      </c>
      <c r="I601" s="13"/>
      <c r="J601" s="13"/>
      <c r="K601" s="13">
        <v>10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</row>
    <row r="602" spans="1:23" x14ac:dyDescent="0.2">
      <c r="A602" s="14">
        <v>43701</v>
      </c>
      <c r="B602" s="13" t="s">
        <v>21</v>
      </c>
      <c r="C602" s="13" t="s">
        <v>77</v>
      </c>
      <c r="D602" s="13" t="s">
        <v>22</v>
      </c>
      <c r="E602" s="13" t="s">
        <v>23</v>
      </c>
      <c r="F602" s="13" t="s">
        <v>26</v>
      </c>
      <c r="G602" s="13" t="s">
        <v>25</v>
      </c>
      <c r="H602" s="14">
        <v>43388</v>
      </c>
      <c r="I602" s="13"/>
      <c r="J602" s="13"/>
      <c r="K602" s="13">
        <v>5</v>
      </c>
      <c r="L602" s="13">
        <v>4583</v>
      </c>
      <c r="M602" s="13">
        <v>7</v>
      </c>
      <c r="N602" s="13">
        <v>0.1527</v>
      </c>
      <c r="O602" s="13">
        <v>4.5599999999999996</v>
      </c>
      <c r="P602" s="13">
        <v>0.65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</row>
    <row r="603" spans="1:23" x14ac:dyDescent="0.2">
      <c r="A603" s="14">
        <v>43701</v>
      </c>
      <c r="B603" s="13" t="s">
        <v>21</v>
      </c>
      <c r="C603" s="13" t="s">
        <v>27</v>
      </c>
      <c r="D603" s="13" t="s">
        <v>22</v>
      </c>
      <c r="E603" s="13" t="s">
        <v>23</v>
      </c>
      <c r="F603" s="13" t="s">
        <v>24</v>
      </c>
      <c r="G603" s="13" t="s">
        <v>25</v>
      </c>
      <c r="H603" s="14">
        <v>43663</v>
      </c>
      <c r="I603" s="13"/>
      <c r="J603" s="13"/>
      <c r="K603" s="13">
        <v>10</v>
      </c>
      <c r="L603" s="13">
        <v>488</v>
      </c>
      <c r="M603" s="13">
        <v>1</v>
      </c>
      <c r="N603" s="13">
        <v>0.2049</v>
      </c>
      <c r="O603" s="13">
        <v>0.46</v>
      </c>
      <c r="P603" s="13">
        <v>0.46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</row>
    <row r="604" spans="1:23" x14ac:dyDescent="0.2">
      <c r="A604" s="14">
        <v>43701</v>
      </c>
      <c r="B604" s="13" t="s">
        <v>21</v>
      </c>
      <c r="C604" s="13" t="s">
        <v>32</v>
      </c>
      <c r="D604" s="13" t="s">
        <v>33</v>
      </c>
      <c r="E604" s="13" t="s">
        <v>34</v>
      </c>
      <c r="F604" s="13" t="s">
        <v>24</v>
      </c>
      <c r="G604" s="13"/>
      <c r="H604" s="14">
        <v>43671</v>
      </c>
      <c r="I604" s="13"/>
      <c r="J604" s="13"/>
      <c r="K604" s="13">
        <v>2</v>
      </c>
      <c r="L604" s="13">
        <v>717</v>
      </c>
      <c r="M604" s="13">
        <v>6</v>
      </c>
      <c r="N604" s="13">
        <v>0.83679999999999999</v>
      </c>
      <c r="O604" s="13">
        <v>2.19</v>
      </c>
      <c r="P604" s="13">
        <v>0.36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</row>
    <row r="605" spans="1:23" x14ac:dyDescent="0.2">
      <c r="A605" s="14">
        <v>43701</v>
      </c>
      <c r="B605" s="13" t="s">
        <v>21</v>
      </c>
      <c r="C605" s="13" t="s">
        <v>72</v>
      </c>
      <c r="D605" s="13" t="s">
        <v>22</v>
      </c>
      <c r="E605" s="13" t="s">
        <v>23</v>
      </c>
      <c r="F605" s="13" t="s">
        <v>24</v>
      </c>
      <c r="G605" s="13" t="s">
        <v>25</v>
      </c>
      <c r="H605" s="14">
        <v>43412</v>
      </c>
      <c r="I605" s="13"/>
      <c r="J605" s="13"/>
      <c r="K605" s="13">
        <v>10</v>
      </c>
      <c r="L605" s="13">
        <v>1305</v>
      </c>
      <c r="M605" s="13">
        <v>5</v>
      </c>
      <c r="N605" s="13">
        <v>0.3831</v>
      </c>
      <c r="O605" s="13">
        <v>1.67</v>
      </c>
      <c r="P605" s="13">
        <v>0.33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</row>
    <row r="606" spans="1:23" x14ac:dyDescent="0.2">
      <c r="A606" s="14">
        <v>43701</v>
      </c>
      <c r="B606" s="13" t="s">
        <v>21</v>
      </c>
      <c r="C606" s="13" t="s">
        <v>78</v>
      </c>
      <c r="D606" s="13" t="s">
        <v>22</v>
      </c>
      <c r="E606" s="13" t="s">
        <v>23</v>
      </c>
      <c r="F606" s="13" t="s">
        <v>24</v>
      </c>
      <c r="G606" s="13" t="s">
        <v>25</v>
      </c>
      <c r="H606" s="14">
        <v>43688</v>
      </c>
      <c r="I606" s="13"/>
      <c r="J606" s="13"/>
      <c r="K606" s="13">
        <v>10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</row>
    <row r="607" spans="1:23" x14ac:dyDescent="0.2">
      <c r="A607" s="14">
        <v>43701</v>
      </c>
      <c r="B607" s="13" t="s">
        <v>21</v>
      </c>
      <c r="C607" s="13" t="s">
        <v>80</v>
      </c>
      <c r="D607" s="13" t="s">
        <v>22</v>
      </c>
      <c r="E607" s="13" t="s">
        <v>23</v>
      </c>
      <c r="F607" s="13" t="s">
        <v>26</v>
      </c>
      <c r="G607" s="13" t="s">
        <v>25</v>
      </c>
      <c r="H607" s="14">
        <v>43676</v>
      </c>
      <c r="I607" s="13"/>
      <c r="J607" s="13"/>
      <c r="K607" s="13">
        <v>10</v>
      </c>
      <c r="L607" s="13">
        <v>28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</row>
    <row r="608" spans="1:23" x14ac:dyDescent="0.2">
      <c r="A608" s="14">
        <v>43701</v>
      </c>
      <c r="B608" s="13" t="s">
        <v>21</v>
      </c>
      <c r="C608" s="13" t="s">
        <v>73</v>
      </c>
      <c r="D608" s="13" t="s">
        <v>22</v>
      </c>
      <c r="E608" s="13" t="s">
        <v>23</v>
      </c>
      <c r="F608" s="13" t="s">
        <v>24</v>
      </c>
      <c r="G608" s="13" t="s">
        <v>25</v>
      </c>
      <c r="H608" s="14">
        <v>43661</v>
      </c>
      <c r="I608" s="13"/>
      <c r="J608" s="13"/>
      <c r="K608" s="13">
        <v>10</v>
      </c>
      <c r="L608" s="13">
        <v>1363</v>
      </c>
      <c r="M608" s="13">
        <v>8</v>
      </c>
      <c r="N608" s="13">
        <v>0.58689999999999998</v>
      </c>
      <c r="O608" s="13">
        <v>1.47</v>
      </c>
      <c r="P608" s="13">
        <v>0.18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</row>
    <row r="609" spans="1:23" x14ac:dyDescent="0.2">
      <c r="A609" s="14">
        <v>43701</v>
      </c>
      <c r="B609" s="13" t="s">
        <v>21</v>
      </c>
      <c r="C609" s="13" t="s">
        <v>81</v>
      </c>
      <c r="D609" s="13" t="s">
        <v>22</v>
      </c>
      <c r="E609" s="13" t="s">
        <v>23</v>
      </c>
      <c r="F609" s="13" t="s">
        <v>24</v>
      </c>
      <c r="G609" s="13" t="s">
        <v>25</v>
      </c>
      <c r="H609" s="14">
        <v>43428</v>
      </c>
      <c r="I609" s="13"/>
      <c r="J609" s="13"/>
      <c r="K609" s="13">
        <v>10</v>
      </c>
      <c r="L609" s="13">
        <v>320</v>
      </c>
      <c r="M609" s="13">
        <v>3</v>
      </c>
      <c r="N609" s="13">
        <v>0.9375</v>
      </c>
      <c r="O609" s="13">
        <v>1.73</v>
      </c>
      <c r="P609" s="13">
        <v>0.57999999999999996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</row>
    <row r="610" spans="1:23" x14ac:dyDescent="0.2">
      <c r="A610" s="14">
        <v>43701</v>
      </c>
      <c r="B610" s="13" t="s">
        <v>21</v>
      </c>
      <c r="C610" s="13" t="s">
        <v>82</v>
      </c>
      <c r="D610" s="13" t="s">
        <v>22</v>
      </c>
      <c r="E610" s="13" t="s">
        <v>23</v>
      </c>
      <c r="F610" s="13" t="s">
        <v>26</v>
      </c>
      <c r="G610" s="13" t="s">
        <v>25</v>
      </c>
      <c r="H610" s="14">
        <v>43387</v>
      </c>
      <c r="I610" s="13"/>
      <c r="J610" s="13"/>
      <c r="K610" s="13">
        <v>5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</row>
    <row r="611" spans="1:23" x14ac:dyDescent="0.2">
      <c r="A611" s="14">
        <v>43701</v>
      </c>
      <c r="B611" s="13" t="s">
        <v>21</v>
      </c>
      <c r="C611" s="13" t="s">
        <v>83</v>
      </c>
      <c r="D611" s="13" t="s">
        <v>22</v>
      </c>
      <c r="E611" s="13" t="s">
        <v>23</v>
      </c>
      <c r="F611" s="13" t="s">
        <v>26</v>
      </c>
      <c r="G611" s="13" t="s">
        <v>25</v>
      </c>
      <c r="H611" s="14">
        <v>43388</v>
      </c>
      <c r="I611" s="13"/>
      <c r="J611" s="13"/>
      <c r="K611" s="13">
        <v>5</v>
      </c>
      <c r="L611" s="13">
        <v>2024</v>
      </c>
      <c r="M611" s="13">
        <v>6</v>
      </c>
      <c r="N611" s="13">
        <v>0.2964</v>
      </c>
      <c r="O611" s="13">
        <v>3.28</v>
      </c>
      <c r="P611" s="13">
        <v>0.55000000000000004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</row>
    <row r="612" spans="1:23" x14ac:dyDescent="0.2">
      <c r="A612" s="14">
        <v>43701</v>
      </c>
      <c r="B612" s="13" t="s">
        <v>21</v>
      </c>
      <c r="C612" s="13" t="s">
        <v>29</v>
      </c>
      <c r="D612" s="13" t="s">
        <v>22</v>
      </c>
      <c r="E612" s="13" t="s">
        <v>23</v>
      </c>
      <c r="F612" s="13" t="s">
        <v>26</v>
      </c>
      <c r="G612" s="13" t="s">
        <v>25</v>
      </c>
      <c r="H612" s="14">
        <v>43423</v>
      </c>
      <c r="I612" s="13"/>
      <c r="J612" s="13"/>
      <c r="K612" s="13">
        <v>3</v>
      </c>
      <c r="L612" s="13">
        <v>109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</row>
    <row r="613" spans="1:23" x14ac:dyDescent="0.2">
      <c r="A613" s="14">
        <v>43701</v>
      </c>
      <c r="B613" s="13" t="s">
        <v>21</v>
      </c>
      <c r="C613" s="13" t="s">
        <v>86</v>
      </c>
      <c r="D613" s="13" t="s">
        <v>22</v>
      </c>
      <c r="E613" s="13" t="s">
        <v>23</v>
      </c>
      <c r="F613" s="13" t="s">
        <v>26</v>
      </c>
      <c r="G613" s="13" t="s">
        <v>25</v>
      </c>
      <c r="H613" s="14">
        <v>43647</v>
      </c>
      <c r="I613" s="13"/>
      <c r="J613" s="13"/>
      <c r="K613" s="13">
        <v>10</v>
      </c>
      <c r="L613" s="13">
        <v>287</v>
      </c>
      <c r="M613" s="13">
        <v>1</v>
      </c>
      <c r="N613" s="13">
        <v>0.34839999999999999</v>
      </c>
      <c r="O613" s="13">
        <v>0.34</v>
      </c>
      <c r="P613" s="13">
        <v>0.34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</row>
    <row r="614" spans="1:23" x14ac:dyDescent="0.2">
      <c r="A614" s="14">
        <v>43701</v>
      </c>
      <c r="B614" s="13" t="s">
        <v>21</v>
      </c>
      <c r="C614" s="13" t="s">
        <v>30</v>
      </c>
      <c r="D614" s="13" t="s">
        <v>22</v>
      </c>
      <c r="E614" s="13" t="s">
        <v>23</v>
      </c>
      <c r="F614" s="13" t="s">
        <v>24</v>
      </c>
      <c r="G614" s="13" t="s">
        <v>25</v>
      </c>
      <c r="H614" s="14">
        <v>43678</v>
      </c>
      <c r="I614" s="13"/>
      <c r="J614" s="13"/>
      <c r="K614" s="13">
        <v>5</v>
      </c>
      <c r="L614" s="13">
        <v>360</v>
      </c>
      <c r="M614" s="13">
        <v>1</v>
      </c>
      <c r="N614" s="13">
        <v>0.27779999999999999</v>
      </c>
      <c r="O614" s="13">
        <v>0.3</v>
      </c>
      <c r="P614" s="13">
        <v>0.3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</row>
    <row r="615" spans="1:23" x14ac:dyDescent="0.2">
      <c r="A615" s="14">
        <v>43701</v>
      </c>
      <c r="B615" s="13" t="s">
        <v>21</v>
      </c>
      <c r="C615" s="13" t="s">
        <v>85</v>
      </c>
      <c r="D615" s="13" t="s">
        <v>22</v>
      </c>
      <c r="E615" s="13" t="s">
        <v>23</v>
      </c>
      <c r="F615" s="13" t="s">
        <v>26</v>
      </c>
      <c r="G615" s="13" t="s">
        <v>25</v>
      </c>
      <c r="H615" s="14">
        <v>43387</v>
      </c>
      <c r="I615" s="13"/>
      <c r="J615" s="13"/>
      <c r="K615" s="13">
        <v>5</v>
      </c>
      <c r="L615" s="13">
        <v>5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</row>
    <row r="616" spans="1:23" x14ac:dyDescent="0.2">
      <c r="A616" s="14">
        <v>43701</v>
      </c>
      <c r="B616" s="13" t="s">
        <v>21</v>
      </c>
      <c r="C616" s="13" t="s">
        <v>84</v>
      </c>
      <c r="D616" s="13" t="s">
        <v>22</v>
      </c>
      <c r="E616" s="13" t="s">
        <v>23</v>
      </c>
      <c r="F616" s="13" t="s">
        <v>26</v>
      </c>
      <c r="G616" s="13" t="s">
        <v>25</v>
      </c>
      <c r="H616" s="14">
        <v>43387</v>
      </c>
      <c r="I616" s="13"/>
      <c r="J616" s="13"/>
      <c r="K616" s="13">
        <v>10</v>
      </c>
      <c r="L616" s="13">
        <v>261</v>
      </c>
      <c r="M616" s="13">
        <v>3</v>
      </c>
      <c r="N616" s="13">
        <v>1.1494</v>
      </c>
      <c r="O616" s="13">
        <v>1.18</v>
      </c>
      <c r="P616" s="13">
        <v>0.39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</row>
    <row r="617" spans="1:23" x14ac:dyDescent="0.2">
      <c r="A617" s="14">
        <v>43701</v>
      </c>
      <c r="B617" s="13" t="s">
        <v>21</v>
      </c>
      <c r="C617" s="13" t="s">
        <v>75</v>
      </c>
      <c r="D617" s="13" t="s">
        <v>22</v>
      </c>
      <c r="E617" s="13" t="s">
        <v>23</v>
      </c>
      <c r="F617" s="13" t="s">
        <v>24</v>
      </c>
      <c r="G617" s="13" t="s">
        <v>25</v>
      </c>
      <c r="H617" s="14">
        <v>43454</v>
      </c>
      <c r="I617" s="13"/>
      <c r="J617" s="13"/>
      <c r="K617" s="13">
        <v>5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</row>
    <row r="618" spans="1:23" x14ac:dyDescent="0.2">
      <c r="A618" s="14">
        <v>43701</v>
      </c>
      <c r="B618" s="13" t="s">
        <v>21</v>
      </c>
      <c r="C618" s="13" t="s">
        <v>31</v>
      </c>
      <c r="D618" s="13" t="s">
        <v>22</v>
      </c>
      <c r="E618" s="13" t="s">
        <v>23</v>
      </c>
      <c r="F618" s="13" t="s">
        <v>26</v>
      </c>
      <c r="G618" s="13" t="s">
        <v>25</v>
      </c>
      <c r="H618" s="14">
        <v>43615</v>
      </c>
      <c r="I618" s="13"/>
      <c r="J618" s="13"/>
      <c r="K618" s="13">
        <v>30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</row>
    <row r="619" spans="1:23" x14ac:dyDescent="0.2">
      <c r="A619" s="14">
        <v>43701</v>
      </c>
      <c r="B619" s="13" t="s">
        <v>21</v>
      </c>
      <c r="C619" s="13" t="s">
        <v>91</v>
      </c>
      <c r="D619" s="13" t="s">
        <v>22</v>
      </c>
      <c r="E619" s="13" t="s">
        <v>23</v>
      </c>
      <c r="F619" s="13" t="s">
        <v>24</v>
      </c>
      <c r="G619" s="13" t="s">
        <v>25</v>
      </c>
      <c r="H619" s="14">
        <v>43439</v>
      </c>
      <c r="I619" s="13"/>
      <c r="J619" s="13"/>
      <c r="K619" s="13">
        <v>2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</row>
    <row r="620" spans="1:23" x14ac:dyDescent="0.2">
      <c r="A620" s="14">
        <v>43701</v>
      </c>
      <c r="B620" s="13" t="s">
        <v>21</v>
      </c>
      <c r="C620" s="13" t="s">
        <v>87</v>
      </c>
      <c r="D620" s="13" t="s">
        <v>22</v>
      </c>
      <c r="E620" s="13" t="s">
        <v>23</v>
      </c>
      <c r="F620" s="13" t="s">
        <v>24</v>
      </c>
      <c r="G620" s="13" t="s">
        <v>25</v>
      </c>
      <c r="H620" s="14">
        <v>43657</v>
      </c>
      <c r="I620" s="13"/>
      <c r="J620" s="13"/>
      <c r="K620" s="13">
        <v>10</v>
      </c>
      <c r="L620" s="13">
        <v>167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</row>
    <row r="621" spans="1:23" x14ac:dyDescent="0.2">
      <c r="A621" s="14">
        <v>43701</v>
      </c>
      <c r="B621" s="13" t="s">
        <v>21</v>
      </c>
      <c r="C621" s="13" t="s">
        <v>88</v>
      </c>
      <c r="D621" s="13" t="s">
        <v>22</v>
      </c>
      <c r="E621" s="13" t="s">
        <v>23</v>
      </c>
      <c r="F621" s="13" t="s">
        <v>26</v>
      </c>
      <c r="G621" s="13" t="s">
        <v>25</v>
      </c>
      <c r="H621" s="14">
        <v>43690</v>
      </c>
      <c r="I621" s="13"/>
      <c r="J621" s="13"/>
      <c r="K621" s="13">
        <v>15</v>
      </c>
      <c r="L621" s="13">
        <v>7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</row>
    <row r="622" spans="1:23" x14ac:dyDescent="0.2">
      <c r="A622" s="14">
        <v>43701</v>
      </c>
      <c r="B622" s="13" t="s">
        <v>21</v>
      </c>
      <c r="C622" s="13" t="s">
        <v>90</v>
      </c>
      <c r="D622" s="13" t="s">
        <v>22</v>
      </c>
      <c r="E622" s="13" t="s">
        <v>23</v>
      </c>
      <c r="F622" s="13" t="s">
        <v>24</v>
      </c>
      <c r="G622" s="13" t="s">
        <v>25</v>
      </c>
      <c r="H622" s="14">
        <v>43454</v>
      </c>
      <c r="I622" s="13"/>
      <c r="J622" s="13"/>
      <c r="K622" s="13">
        <v>20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</row>
    <row r="623" spans="1:23" x14ac:dyDescent="0.2">
      <c r="A623" s="14">
        <v>43701</v>
      </c>
      <c r="B623" s="13" t="s">
        <v>21</v>
      </c>
      <c r="C623" s="13" t="s">
        <v>89</v>
      </c>
      <c r="D623" s="13" t="s">
        <v>22</v>
      </c>
      <c r="E623" s="13" t="s">
        <v>23</v>
      </c>
      <c r="F623" s="13" t="s">
        <v>26</v>
      </c>
      <c r="G623" s="13" t="s">
        <v>25</v>
      </c>
      <c r="H623" s="14">
        <v>43387</v>
      </c>
      <c r="I623" s="13"/>
      <c r="J623" s="13"/>
      <c r="K623" s="13">
        <v>15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</row>
    <row r="624" spans="1:23" x14ac:dyDescent="0.2">
      <c r="A624" s="14">
        <v>43701</v>
      </c>
      <c r="B624" s="13" t="s">
        <v>21</v>
      </c>
      <c r="C624" s="13" t="s">
        <v>28</v>
      </c>
      <c r="D624" s="13" t="s">
        <v>22</v>
      </c>
      <c r="E624" s="13" t="s">
        <v>23</v>
      </c>
      <c r="F624" s="13" t="s">
        <v>24</v>
      </c>
      <c r="G624" s="13" t="s">
        <v>25</v>
      </c>
      <c r="H624" s="14">
        <v>43663</v>
      </c>
      <c r="I624" s="13"/>
      <c r="J624" s="13"/>
      <c r="K624" s="13">
        <v>10</v>
      </c>
      <c r="L624" s="13">
        <v>1350</v>
      </c>
      <c r="M624" s="13">
        <v>4</v>
      </c>
      <c r="N624" s="13">
        <v>0.29630000000000001</v>
      </c>
      <c r="O624" s="13">
        <v>2.39</v>
      </c>
      <c r="P624" s="13">
        <v>0.6</v>
      </c>
      <c r="Q624" s="13">
        <v>1</v>
      </c>
      <c r="R624" s="13">
        <v>16.37</v>
      </c>
      <c r="S624" s="13">
        <v>14.5999</v>
      </c>
      <c r="T624" s="13">
        <v>0</v>
      </c>
      <c r="U624" s="13">
        <v>0</v>
      </c>
      <c r="V624" s="13">
        <v>0</v>
      </c>
      <c r="W624" s="13">
        <v>0</v>
      </c>
    </row>
    <row r="625" spans="1:23" x14ac:dyDescent="0.2">
      <c r="A625" s="14">
        <v>43701</v>
      </c>
      <c r="B625" s="13" t="s">
        <v>21</v>
      </c>
      <c r="C625" s="13" t="s">
        <v>79</v>
      </c>
      <c r="D625" s="13" t="s">
        <v>22</v>
      </c>
      <c r="E625" s="13" t="s">
        <v>23</v>
      </c>
      <c r="F625" s="13" t="s">
        <v>26</v>
      </c>
      <c r="G625" s="13" t="s">
        <v>25</v>
      </c>
      <c r="H625" s="14">
        <v>43387</v>
      </c>
      <c r="I625" s="13"/>
      <c r="J625" s="13"/>
      <c r="K625" s="13">
        <v>10</v>
      </c>
      <c r="L625" s="13">
        <v>10563</v>
      </c>
      <c r="M625" s="13">
        <v>37</v>
      </c>
      <c r="N625" s="13">
        <v>0.3503</v>
      </c>
      <c r="O625" s="13">
        <v>10.28</v>
      </c>
      <c r="P625" s="13">
        <v>0.28000000000000003</v>
      </c>
      <c r="Q625" s="13">
        <v>1</v>
      </c>
      <c r="R625" s="13">
        <v>53.97</v>
      </c>
      <c r="S625" s="13">
        <v>19.047599999999999</v>
      </c>
      <c r="T625" s="13">
        <v>0</v>
      </c>
      <c r="U625" s="13">
        <v>0</v>
      </c>
      <c r="V625" s="13">
        <v>0</v>
      </c>
      <c r="W625" s="13">
        <v>0</v>
      </c>
    </row>
    <row r="626" spans="1:23" x14ac:dyDescent="0.2">
      <c r="A626" s="14">
        <v>43702</v>
      </c>
      <c r="B626" s="13" t="s">
        <v>21</v>
      </c>
      <c r="C626" s="13" t="s">
        <v>74</v>
      </c>
      <c r="D626" s="13" t="s">
        <v>22</v>
      </c>
      <c r="E626" s="13" t="s">
        <v>23</v>
      </c>
      <c r="F626" s="13" t="s">
        <v>24</v>
      </c>
      <c r="G626" s="13" t="s">
        <v>25</v>
      </c>
      <c r="H626" s="14">
        <v>43420</v>
      </c>
      <c r="I626" s="13"/>
      <c r="J626" s="13"/>
      <c r="K626" s="13">
        <v>5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</row>
    <row r="627" spans="1:23" x14ac:dyDescent="0.2">
      <c r="A627" s="14">
        <v>43702</v>
      </c>
      <c r="B627" s="13" t="s">
        <v>21</v>
      </c>
      <c r="C627" s="13" t="s">
        <v>76</v>
      </c>
      <c r="D627" s="13" t="s">
        <v>22</v>
      </c>
      <c r="E627" s="13" t="s">
        <v>23</v>
      </c>
      <c r="F627" s="13" t="s">
        <v>24</v>
      </c>
      <c r="G627" s="13" t="s">
        <v>25</v>
      </c>
      <c r="H627" s="14">
        <v>43667</v>
      </c>
      <c r="I627" s="13"/>
      <c r="J627" s="13"/>
      <c r="K627" s="13">
        <v>10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</row>
    <row r="628" spans="1:23" x14ac:dyDescent="0.2">
      <c r="A628" s="14">
        <v>43702</v>
      </c>
      <c r="B628" s="13" t="s">
        <v>21</v>
      </c>
      <c r="C628" s="13" t="s">
        <v>27</v>
      </c>
      <c r="D628" s="13" t="s">
        <v>22</v>
      </c>
      <c r="E628" s="13" t="s">
        <v>23</v>
      </c>
      <c r="F628" s="13" t="s">
        <v>24</v>
      </c>
      <c r="G628" s="13" t="s">
        <v>25</v>
      </c>
      <c r="H628" s="14">
        <v>43663</v>
      </c>
      <c r="I628" s="13"/>
      <c r="J628" s="13"/>
      <c r="K628" s="13">
        <v>10</v>
      </c>
      <c r="L628" s="13">
        <v>555</v>
      </c>
      <c r="M628" s="13">
        <v>1</v>
      </c>
      <c r="N628" s="13">
        <v>0.1802</v>
      </c>
      <c r="O628" s="13">
        <v>0.44</v>
      </c>
      <c r="P628" s="13">
        <v>0.44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</row>
    <row r="629" spans="1:23" x14ac:dyDescent="0.2">
      <c r="A629" s="14">
        <v>43702</v>
      </c>
      <c r="B629" s="13" t="s">
        <v>21</v>
      </c>
      <c r="C629" s="13" t="s">
        <v>32</v>
      </c>
      <c r="D629" s="13" t="s">
        <v>33</v>
      </c>
      <c r="E629" s="13" t="s">
        <v>34</v>
      </c>
      <c r="F629" s="13" t="s">
        <v>24</v>
      </c>
      <c r="G629" s="13"/>
      <c r="H629" s="14">
        <v>43671</v>
      </c>
      <c r="I629" s="13"/>
      <c r="J629" s="13"/>
      <c r="K629" s="13">
        <v>2</v>
      </c>
      <c r="L629" s="13">
        <v>199</v>
      </c>
      <c r="M629" s="13">
        <v>5</v>
      </c>
      <c r="N629" s="13">
        <v>2.5125999999999999</v>
      </c>
      <c r="O629" s="13">
        <v>2.06</v>
      </c>
      <c r="P629" s="13">
        <v>0.41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</row>
    <row r="630" spans="1:23" x14ac:dyDescent="0.2">
      <c r="A630" s="14">
        <v>43702</v>
      </c>
      <c r="B630" s="13" t="s">
        <v>21</v>
      </c>
      <c r="C630" s="13" t="s">
        <v>72</v>
      </c>
      <c r="D630" s="13" t="s">
        <v>22</v>
      </c>
      <c r="E630" s="13" t="s">
        <v>23</v>
      </c>
      <c r="F630" s="13" t="s">
        <v>24</v>
      </c>
      <c r="G630" s="13" t="s">
        <v>25</v>
      </c>
      <c r="H630" s="14">
        <v>43412</v>
      </c>
      <c r="I630" s="13"/>
      <c r="J630" s="13"/>
      <c r="K630" s="13">
        <v>10</v>
      </c>
      <c r="L630" s="13">
        <v>2055</v>
      </c>
      <c r="M630" s="13">
        <v>8</v>
      </c>
      <c r="N630" s="13">
        <v>0.38929999999999998</v>
      </c>
      <c r="O630" s="13">
        <v>2.72</v>
      </c>
      <c r="P630" s="13">
        <v>0.34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</row>
    <row r="631" spans="1:23" x14ac:dyDescent="0.2">
      <c r="A631" s="14">
        <v>43702</v>
      </c>
      <c r="B631" s="13" t="s">
        <v>21</v>
      </c>
      <c r="C631" s="13" t="s">
        <v>78</v>
      </c>
      <c r="D631" s="13" t="s">
        <v>22</v>
      </c>
      <c r="E631" s="13" t="s">
        <v>23</v>
      </c>
      <c r="F631" s="13" t="s">
        <v>24</v>
      </c>
      <c r="G631" s="13" t="s">
        <v>25</v>
      </c>
      <c r="H631" s="14">
        <v>43688</v>
      </c>
      <c r="I631" s="13"/>
      <c r="J631" s="13"/>
      <c r="K631" s="13">
        <v>10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</row>
    <row r="632" spans="1:23" x14ac:dyDescent="0.2">
      <c r="A632" s="14">
        <v>43702</v>
      </c>
      <c r="B632" s="13" t="s">
        <v>21</v>
      </c>
      <c r="C632" s="13" t="s">
        <v>80</v>
      </c>
      <c r="D632" s="13" t="s">
        <v>22</v>
      </c>
      <c r="E632" s="13" t="s">
        <v>23</v>
      </c>
      <c r="F632" s="13" t="s">
        <v>26</v>
      </c>
      <c r="G632" s="13" t="s">
        <v>25</v>
      </c>
      <c r="H632" s="14">
        <v>43676</v>
      </c>
      <c r="I632" s="13"/>
      <c r="J632" s="13"/>
      <c r="K632" s="13">
        <v>10</v>
      </c>
      <c r="L632" s="13">
        <v>11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</row>
    <row r="633" spans="1:23" x14ac:dyDescent="0.2">
      <c r="A633" s="14">
        <v>43702</v>
      </c>
      <c r="B633" s="13" t="s">
        <v>21</v>
      </c>
      <c r="C633" s="13" t="s">
        <v>73</v>
      </c>
      <c r="D633" s="13" t="s">
        <v>22</v>
      </c>
      <c r="E633" s="13" t="s">
        <v>23</v>
      </c>
      <c r="F633" s="13" t="s">
        <v>24</v>
      </c>
      <c r="G633" s="13" t="s">
        <v>25</v>
      </c>
      <c r="H633" s="14">
        <v>43661</v>
      </c>
      <c r="I633" s="13"/>
      <c r="J633" s="13"/>
      <c r="K633" s="13">
        <v>10</v>
      </c>
      <c r="L633" s="13">
        <v>2121</v>
      </c>
      <c r="M633" s="13">
        <v>17</v>
      </c>
      <c r="N633" s="13">
        <v>0.80149999999999999</v>
      </c>
      <c r="O633" s="13">
        <v>2.75</v>
      </c>
      <c r="P633" s="13">
        <v>0.16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</row>
    <row r="634" spans="1:23" x14ac:dyDescent="0.2">
      <c r="A634" s="14">
        <v>43702</v>
      </c>
      <c r="B634" s="13" t="s">
        <v>21</v>
      </c>
      <c r="C634" s="13" t="s">
        <v>81</v>
      </c>
      <c r="D634" s="13" t="s">
        <v>22</v>
      </c>
      <c r="E634" s="13" t="s">
        <v>23</v>
      </c>
      <c r="F634" s="13" t="s">
        <v>24</v>
      </c>
      <c r="G634" s="13" t="s">
        <v>25</v>
      </c>
      <c r="H634" s="14">
        <v>43428</v>
      </c>
      <c r="I634" s="13"/>
      <c r="J634" s="13"/>
      <c r="K634" s="13">
        <v>10</v>
      </c>
      <c r="L634" s="13">
        <v>262</v>
      </c>
      <c r="M634" s="13">
        <v>3</v>
      </c>
      <c r="N634" s="13">
        <v>1.145</v>
      </c>
      <c r="O634" s="13">
        <v>1.57</v>
      </c>
      <c r="P634" s="13">
        <v>0.52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</row>
    <row r="635" spans="1:23" x14ac:dyDescent="0.2">
      <c r="A635" s="14">
        <v>43702</v>
      </c>
      <c r="B635" s="13" t="s">
        <v>21</v>
      </c>
      <c r="C635" s="13" t="s">
        <v>82</v>
      </c>
      <c r="D635" s="13" t="s">
        <v>22</v>
      </c>
      <c r="E635" s="13" t="s">
        <v>23</v>
      </c>
      <c r="F635" s="13" t="s">
        <v>26</v>
      </c>
      <c r="G635" s="13" t="s">
        <v>25</v>
      </c>
      <c r="H635" s="14">
        <v>43387</v>
      </c>
      <c r="I635" s="13"/>
      <c r="J635" s="13"/>
      <c r="K635" s="13">
        <v>5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</row>
    <row r="636" spans="1:23" x14ac:dyDescent="0.2">
      <c r="A636" s="14">
        <v>43702</v>
      </c>
      <c r="B636" s="13" t="s">
        <v>21</v>
      </c>
      <c r="C636" s="13" t="s">
        <v>83</v>
      </c>
      <c r="D636" s="13" t="s">
        <v>22</v>
      </c>
      <c r="E636" s="13" t="s">
        <v>23</v>
      </c>
      <c r="F636" s="13" t="s">
        <v>26</v>
      </c>
      <c r="G636" s="13" t="s">
        <v>25</v>
      </c>
      <c r="H636" s="14">
        <v>43388</v>
      </c>
      <c r="I636" s="13"/>
      <c r="J636" s="13"/>
      <c r="K636" s="13">
        <v>5</v>
      </c>
      <c r="L636" s="13">
        <v>1582</v>
      </c>
      <c r="M636" s="13">
        <v>5</v>
      </c>
      <c r="N636" s="13">
        <v>0.31609999999999999</v>
      </c>
      <c r="O636" s="13">
        <v>3.33</v>
      </c>
      <c r="P636" s="13">
        <v>0.67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</row>
    <row r="637" spans="1:23" x14ac:dyDescent="0.2">
      <c r="A637" s="14">
        <v>43702</v>
      </c>
      <c r="B637" s="13" t="s">
        <v>21</v>
      </c>
      <c r="C637" s="13" t="s">
        <v>29</v>
      </c>
      <c r="D637" s="13" t="s">
        <v>22</v>
      </c>
      <c r="E637" s="13" t="s">
        <v>23</v>
      </c>
      <c r="F637" s="13" t="s">
        <v>26</v>
      </c>
      <c r="G637" s="13" t="s">
        <v>25</v>
      </c>
      <c r="H637" s="14">
        <v>43423</v>
      </c>
      <c r="I637" s="13"/>
      <c r="J637" s="13"/>
      <c r="K637" s="13">
        <v>3</v>
      </c>
      <c r="L637" s="13">
        <v>139</v>
      </c>
      <c r="M637" s="13">
        <v>1</v>
      </c>
      <c r="N637" s="13">
        <v>0.71940000000000004</v>
      </c>
      <c r="O637" s="13">
        <v>0.17</v>
      </c>
      <c r="P637" s="13">
        <v>0.17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</row>
    <row r="638" spans="1:23" x14ac:dyDescent="0.2">
      <c r="A638" s="14">
        <v>43702</v>
      </c>
      <c r="B638" s="13" t="s">
        <v>21</v>
      </c>
      <c r="C638" s="13" t="s">
        <v>86</v>
      </c>
      <c r="D638" s="13" t="s">
        <v>22</v>
      </c>
      <c r="E638" s="13" t="s">
        <v>23</v>
      </c>
      <c r="F638" s="13" t="s">
        <v>26</v>
      </c>
      <c r="G638" s="13" t="s">
        <v>25</v>
      </c>
      <c r="H638" s="14">
        <v>43647</v>
      </c>
      <c r="I638" s="13"/>
      <c r="J638" s="13"/>
      <c r="K638" s="13">
        <v>10</v>
      </c>
      <c r="L638" s="13">
        <v>149</v>
      </c>
      <c r="M638" s="13">
        <v>1</v>
      </c>
      <c r="N638" s="13">
        <v>0.67110000000000003</v>
      </c>
      <c r="O638" s="13">
        <v>0.96</v>
      </c>
      <c r="P638" s="13">
        <v>0.96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</row>
    <row r="639" spans="1:23" x14ac:dyDescent="0.2">
      <c r="A639" s="14">
        <v>43702</v>
      </c>
      <c r="B639" s="13" t="s">
        <v>21</v>
      </c>
      <c r="C639" s="13" t="s">
        <v>30</v>
      </c>
      <c r="D639" s="13" t="s">
        <v>22</v>
      </c>
      <c r="E639" s="13" t="s">
        <v>23</v>
      </c>
      <c r="F639" s="13" t="s">
        <v>24</v>
      </c>
      <c r="G639" s="13" t="s">
        <v>25</v>
      </c>
      <c r="H639" s="14">
        <v>43678</v>
      </c>
      <c r="I639" s="13"/>
      <c r="J639" s="13"/>
      <c r="K639" s="13">
        <v>5</v>
      </c>
      <c r="L639" s="13">
        <v>338</v>
      </c>
      <c r="M639" s="13">
        <v>4</v>
      </c>
      <c r="N639" s="13">
        <v>1.1834</v>
      </c>
      <c r="O639" s="13">
        <v>1.73</v>
      </c>
      <c r="P639" s="13">
        <v>0.43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</row>
    <row r="640" spans="1:23" x14ac:dyDescent="0.2">
      <c r="A640" s="14">
        <v>43702</v>
      </c>
      <c r="B640" s="13" t="s">
        <v>21</v>
      </c>
      <c r="C640" s="13" t="s">
        <v>85</v>
      </c>
      <c r="D640" s="13" t="s">
        <v>22</v>
      </c>
      <c r="E640" s="13" t="s">
        <v>23</v>
      </c>
      <c r="F640" s="13" t="s">
        <v>26</v>
      </c>
      <c r="G640" s="13" t="s">
        <v>25</v>
      </c>
      <c r="H640" s="14">
        <v>43387</v>
      </c>
      <c r="I640" s="13"/>
      <c r="J640" s="13"/>
      <c r="K640" s="13">
        <v>5</v>
      </c>
      <c r="L640" s="13">
        <v>5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</row>
    <row r="641" spans="1:23" x14ac:dyDescent="0.2">
      <c r="A641" s="14">
        <v>43702</v>
      </c>
      <c r="B641" s="13" t="s">
        <v>21</v>
      </c>
      <c r="C641" s="13" t="s">
        <v>84</v>
      </c>
      <c r="D641" s="13" t="s">
        <v>22</v>
      </c>
      <c r="E641" s="13" t="s">
        <v>23</v>
      </c>
      <c r="F641" s="13" t="s">
        <v>26</v>
      </c>
      <c r="G641" s="13" t="s">
        <v>25</v>
      </c>
      <c r="H641" s="14">
        <v>43387</v>
      </c>
      <c r="I641" s="13"/>
      <c r="J641" s="13"/>
      <c r="K641" s="13">
        <v>10</v>
      </c>
      <c r="L641" s="13">
        <v>420</v>
      </c>
      <c r="M641" s="13">
        <v>4</v>
      </c>
      <c r="N641" s="13">
        <v>0.95240000000000002</v>
      </c>
      <c r="O641" s="13">
        <v>1.05</v>
      </c>
      <c r="P641" s="13">
        <v>0.26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</row>
    <row r="642" spans="1:23" x14ac:dyDescent="0.2">
      <c r="A642" s="14">
        <v>43702</v>
      </c>
      <c r="B642" s="13" t="s">
        <v>21</v>
      </c>
      <c r="C642" s="13" t="s">
        <v>75</v>
      </c>
      <c r="D642" s="13" t="s">
        <v>22</v>
      </c>
      <c r="E642" s="13" t="s">
        <v>23</v>
      </c>
      <c r="F642" s="13" t="s">
        <v>24</v>
      </c>
      <c r="G642" s="13" t="s">
        <v>25</v>
      </c>
      <c r="H642" s="14">
        <v>43454</v>
      </c>
      <c r="I642" s="13"/>
      <c r="J642" s="13"/>
      <c r="K642" s="13">
        <v>5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</row>
    <row r="643" spans="1:23" x14ac:dyDescent="0.2">
      <c r="A643" s="14">
        <v>43702</v>
      </c>
      <c r="B643" s="13" t="s">
        <v>21</v>
      </c>
      <c r="C643" s="13" t="s">
        <v>31</v>
      </c>
      <c r="D643" s="13" t="s">
        <v>22</v>
      </c>
      <c r="E643" s="13" t="s">
        <v>23</v>
      </c>
      <c r="F643" s="13" t="s">
        <v>26</v>
      </c>
      <c r="G643" s="13" t="s">
        <v>25</v>
      </c>
      <c r="H643" s="14">
        <v>43615</v>
      </c>
      <c r="I643" s="13"/>
      <c r="J643" s="13"/>
      <c r="K643" s="13">
        <v>30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</row>
    <row r="644" spans="1:23" x14ac:dyDescent="0.2">
      <c r="A644" s="14">
        <v>43702</v>
      </c>
      <c r="B644" s="13" t="s">
        <v>21</v>
      </c>
      <c r="C644" s="13" t="s">
        <v>91</v>
      </c>
      <c r="D644" s="13" t="s">
        <v>22</v>
      </c>
      <c r="E644" s="13" t="s">
        <v>23</v>
      </c>
      <c r="F644" s="13" t="s">
        <v>24</v>
      </c>
      <c r="G644" s="13" t="s">
        <v>25</v>
      </c>
      <c r="H644" s="14">
        <v>43439</v>
      </c>
      <c r="I644" s="13"/>
      <c r="J644" s="13"/>
      <c r="K644" s="13">
        <v>2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</row>
    <row r="645" spans="1:23" x14ac:dyDescent="0.2">
      <c r="A645" s="14">
        <v>43702</v>
      </c>
      <c r="B645" s="13" t="s">
        <v>21</v>
      </c>
      <c r="C645" s="13" t="s">
        <v>87</v>
      </c>
      <c r="D645" s="13" t="s">
        <v>22</v>
      </c>
      <c r="E645" s="13" t="s">
        <v>23</v>
      </c>
      <c r="F645" s="13" t="s">
        <v>24</v>
      </c>
      <c r="G645" s="13" t="s">
        <v>25</v>
      </c>
      <c r="H645" s="14">
        <v>43657</v>
      </c>
      <c r="I645" s="13"/>
      <c r="J645" s="13"/>
      <c r="K645" s="13">
        <v>10</v>
      </c>
      <c r="L645" s="13">
        <v>213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</row>
    <row r="646" spans="1:23" x14ac:dyDescent="0.2">
      <c r="A646" s="14">
        <v>43702</v>
      </c>
      <c r="B646" s="13" t="s">
        <v>21</v>
      </c>
      <c r="C646" s="13" t="s">
        <v>88</v>
      </c>
      <c r="D646" s="13" t="s">
        <v>22</v>
      </c>
      <c r="E646" s="13" t="s">
        <v>23</v>
      </c>
      <c r="F646" s="13" t="s">
        <v>26</v>
      </c>
      <c r="G646" s="13" t="s">
        <v>25</v>
      </c>
      <c r="H646" s="14">
        <v>43690</v>
      </c>
      <c r="I646" s="13"/>
      <c r="J646" s="13"/>
      <c r="K646" s="13">
        <v>15</v>
      </c>
      <c r="L646" s="13">
        <v>15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</row>
    <row r="647" spans="1:23" x14ac:dyDescent="0.2">
      <c r="A647" s="14">
        <v>43702</v>
      </c>
      <c r="B647" s="13" t="s">
        <v>21</v>
      </c>
      <c r="C647" s="13" t="s">
        <v>90</v>
      </c>
      <c r="D647" s="13" t="s">
        <v>22</v>
      </c>
      <c r="E647" s="13" t="s">
        <v>23</v>
      </c>
      <c r="F647" s="13" t="s">
        <v>24</v>
      </c>
      <c r="G647" s="13" t="s">
        <v>25</v>
      </c>
      <c r="H647" s="14">
        <v>43454</v>
      </c>
      <c r="I647" s="13"/>
      <c r="J647" s="13"/>
      <c r="K647" s="13">
        <v>20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</row>
    <row r="648" spans="1:23" x14ac:dyDescent="0.2">
      <c r="A648" s="14">
        <v>43702</v>
      </c>
      <c r="B648" s="13" t="s">
        <v>21</v>
      </c>
      <c r="C648" s="13" t="s">
        <v>89</v>
      </c>
      <c r="D648" s="13" t="s">
        <v>22</v>
      </c>
      <c r="E648" s="13" t="s">
        <v>23</v>
      </c>
      <c r="F648" s="13" t="s">
        <v>26</v>
      </c>
      <c r="G648" s="13" t="s">
        <v>25</v>
      </c>
      <c r="H648" s="14">
        <v>43387</v>
      </c>
      <c r="I648" s="13"/>
      <c r="J648" s="13"/>
      <c r="K648" s="13">
        <v>15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</row>
    <row r="649" spans="1:23" x14ac:dyDescent="0.2">
      <c r="A649" s="14">
        <v>43702</v>
      </c>
      <c r="B649" s="13" t="s">
        <v>21</v>
      </c>
      <c r="C649" s="13" t="s">
        <v>77</v>
      </c>
      <c r="D649" s="13" t="s">
        <v>22</v>
      </c>
      <c r="E649" s="13" t="s">
        <v>23</v>
      </c>
      <c r="F649" s="13" t="s">
        <v>26</v>
      </c>
      <c r="G649" s="13" t="s">
        <v>25</v>
      </c>
      <c r="H649" s="14">
        <v>43388</v>
      </c>
      <c r="I649" s="13"/>
      <c r="J649" s="13"/>
      <c r="K649" s="13">
        <v>5</v>
      </c>
      <c r="L649" s="13">
        <v>5010</v>
      </c>
      <c r="M649" s="13">
        <v>4</v>
      </c>
      <c r="N649" s="13">
        <v>7.9799999999999996E-2</v>
      </c>
      <c r="O649" s="13">
        <v>2.66</v>
      </c>
      <c r="P649" s="13">
        <v>0.67</v>
      </c>
      <c r="Q649" s="13">
        <v>1</v>
      </c>
      <c r="R649" s="13">
        <v>21.99</v>
      </c>
      <c r="S649" s="13">
        <v>12.096399999999999</v>
      </c>
      <c r="T649" s="13">
        <v>0</v>
      </c>
      <c r="U649" s="13">
        <v>0</v>
      </c>
      <c r="V649" s="13">
        <v>0</v>
      </c>
      <c r="W649" s="13">
        <v>0</v>
      </c>
    </row>
    <row r="650" spans="1:23" x14ac:dyDescent="0.2">
      <c r="A650" s="14">
        <v>43702</v>
      </c>
      <c r="B650" s="13" t="s">
        <v>21</v>
      </c>
      <c r="C650" s="13" t="s">
        <v>79</v>
      </c>
      <c r="D650" s="13" t="s">
        <v>22</v>
      </c>
      <c r="E650" s="13" t="s">
        <v>23</v>
      </c>
      <c r="F650" s="13" t="s">
        <v>26</v>
      </c>
      <c r="G650" s="13" t="s">
        <v>25</v>
      </c>
      <c r="H650" s="14">
        <v>43387</v>
      </c>
      <c r="I650" s="13"/>
      <c r="J650" s="13"/>
      <c r="K650" s="13">
        <v>10</v>
      </c>
      <c r="L650" s="13">
        <v>7666</v>
      </c>
      <c r="M650" s="13">
        <v>42</v>
      </c>
      <c r="N650" s="13">
        <v>0.54790000000000005</v>
      </c>
      <c r="O650" s="13">
        <v>10.08</v>
      </c>
      <c r="P650" s="13">
        <v>0.24</v>
      </c>
      <c r="Q650" s="13">
        <v>2</v>
      </c>
      <c r="R650" s="13">
        <v>35.96</v>
      </c>
      <c r="S650" s="13">
        <v>28.031099999999999</v>
      </c>
      <c r="T650" s="13">
        <v>0</v>
      </c>
      <c r="U650" s="13">
        <v>0</v>
      </c>
      <c r="V650" s="13">
        <v>0</v>
      </c>
      <c r="W650" s="13">
        <v>0</v>
      </c>
    </row>
    <row r="651" spans="1:23" x14ac:dyDescent="0.2">
      <c r="A651" s="14">
        <v>43702</v>
      </c>
      <c r="B651" s="13" t="s">
        <v>21</v>
      </c>
      <c r="C651" s="13" t="s">
        <v>28</v>
      </c>
      <c r="D651" s="13" t="s">
        <v>22</v>
      </c>
      <c r="E651" s="13" t="s">
        <v>23</v>
      </c>
      <c r="F651" s="13" t="s">
        <v>24</v>
      </c>
      <c r="G651" s="13" t="s">
        <v>25</v>
      </c>
      <c r="H651" s="14">
        <v>43663</v>
      </c>
      <c r="I651" s="13"/>
      <c r="J651" s="13"/>
      <c r="K651" s="13">
        <v>10</v>
      </c>
      <c r="L651" s="13">
        <v>2133</v>
      </c>
      <c r="M651" s="13">
        <v>8</v>
      </c>
      <c r="N651" s="13">
        <v>0.37509999999999999</v>
      </c>
      <c r="O651" s="13">
        <v>4.66</v>
      </c>
      <c r="P651" s="13">
        <v>0.57999999999999996</v>
      </c>
      <c r="Q651" s="13">
        <v>1</v>
      </c>
      <c r="R651" s="13">
        <v>16.37</v>
      </c>
      <c r="S651" s="13">
        <v>28.466699999999999</v>
      </c>
      <c r="T651" s="13">
        <v>0</v>
      </c>
      <c r="U651" s="13">
        <v>0</v>
      </c>
      <c r="V651" s="13">
        <v>0</v>
      </c>
      <c r="W651" s="13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1CC0-ED6D-4CA7-AE94-16590C32362D}">
  <dimension ref="A1:O651"/>
  <sheetViews>
    <sheetView workbookViewId="0">
      <selection activeCell="D26" sqref="D26"/>
    </sheetView>
  </sheetViews>
  <sheetFormatPr defaultRowHeight="14.25" x14ac:dyDescent="0.2"/>
  <cols>
    <col min="1" max="1" width="10" bestFit="1" customWidth="1"/>
    <col min="2" max="2" width="20.5" bestFit="1" customWidth="1"/>
    <col min="3" max="3" width="12.25" bestFit="1" customWidth="1"/>
    <col min="4" max="4" width="9.125" bestFit="1" customWidth="1"/>
    <col min="5" max="5" width="11" bestFit="1" customWidth="1"/>
    <col min="6" max="6" width="16.875" bestFit="1" customWidth="1"/>
    <col min="7" max="7" width="12.25" bestFit="1" customWidth="1"/>
    <col min="8" max="8" width="26.25" bestFit="1" customWidth="1"/>
    <col min="9" max="9" width="7.25" bestFit="1" customWidth="1"/>
    <col min="10" max="10" width="14.375" bestFit="1" customWidth="1"/>
    <col min="11" max="11" width="26.875" bestFit="1" customWidth="1"/>
    <col min="12" max="13" width="15" bestFit="1" customWidth="1"/>
    <col min="14" max="14" width="13" bestFit="1" customWidth="1"/>
    <col min="15" max="16" width="15" bestFit="1" customWidth="1"/>
  </cols>
  <sheetData>
    <row r="1" spans="1:15" x14ac:dyDescent="0.2">
      <c r="A1" t="s">
        <v>37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 x14ac:dyDescent="0.2">
      <c r="A2" s="4">
        <v>43678</v>
      </c>
      <c r="B2" s="3" t="s">
        <v>74</v>
      </c>
      <c r="C2" s="3">
        <v>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">
      <c r="A3" s="4">
        <v>43678</v>
      </c>
      <c r="B3" s="3" t="s">
        <v>76</v>
      </c>
      <c r="C3" s="3">
        <v>10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2">
      <c r="A4" s="4">
        <v>43678</v>
      </c>
      <c r="B4" s="3" t="s">
        <v>77</v>
      </c>
      <c r="C4" s="3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2">
      <c r="A5" s="4">
        <v>43678</v>
      </c>
      <c r="B5" s="3" t="s">
        <v>78</v>
      </c>
      <c r="C5" s="3">
        <v>10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2">
      <c r="A6" s="4">
        <v>43678</v>
      </c>
      <c r="B6" s="3" t="s">
        <v>79</v>
      </c>
      <c r="C6" s="3">
        <v>10</v>
      </c>
      <c r="D6" s="3">
        <v>635</v>
      </c>
      <c r="E6" s="3">
        <v>4</v>
      </c>
      <c r="F6" s="3">
        <v>0.62990000000000002</v>
      </c>
      <c r="G6" s="3">
        <v>0.18</v>
      </c>
      <c r="H6" s="3">
        <v>0.05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2">
      <c r="A7" s="4">
        <v>43678</v>
      </c>
      <c r="B7" s="3" t="s">
        <v>80</v>
      </c>
      <c r="C7" s="3">
        <v>10</v>
      </c>
      <c r="D7" s="3">
        <v>14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2">
      <c r="A8" s="4">
        <v>43678</v>
      </c>
      <c r="B8" s="3" t="s">
        <v>73</v>
      </c>
      <c r="C8" s="3">
        <v>10</v>
      </c>
      <c r="D8" s="3">
        <v>6163</v>
      </c>
      <c r="E8" s="3">
        <v>41</v>
      </c>
      <c r="F8" s="3">
        <v>0.6653</v>
      </c>
      <c r="G8" s="3">
        <v>10.56</v>
      </c>
      <c r="H8" s="3">
        <v>0.26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A9" s="4">
        <v>43678</v>
      </c>
      <c r="B9" s="3" t="s">
        <v>81</v>
      </c>
      <c r="C9" s="3">
        <v>10</v>
      </c>
      <c r="D9" s="3">
        <v>1047</v>
      </c>
      <c r="E9" s="3">
        <v>6</v>
      </c>
      <c r="F9" s="3">
        <v>0.57310000000000005</v>
      </c>
      <c r="G9" s="3">
        <v>3.59</v>
      </c>
      <c r="H9" s="3">
        <v>0.6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A10" s="4">
        <v>43678</v>
      </c>
      <c r="B10" s="3" t="s">
        <v>82</v>
      </c>
      <c r="C10" s="3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A11" s="4">
        <v>43678</v>
      </c>
      <c r="B11" s="3" t="s">
        <v>83</v>
      </c>
      <c r="C11" s="3">
        <v>5</v>
      </c>
      <c r="D11" s="3">
        <v>5231</v>
      </c>
      <c r="E11" s="3">
        <v>9</v>
      </c>
      <c r="F11" s="3">
        <v>0.1721</v>
      </c>
      <c r="G11" s="3">
        <v>5.4</v>
      </c>
      <c r="H11" s="3">
        <v>0.6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2">
      <c r="A12" s="4">
        <v>43678</v>
      </c>
      <c r="B12" s="3" t="s">
        <v>29</v>
      </c>
      <c r="C12" s="3">
        <v>3</v>
      </c>
      <c r="D12" s="3">
        <v>158</v>
      </c>
      <c r="E12" s="3">
        <v>1</v>
      </c>
      <c r="F12" s="3">
        <v>0.63290000000000002</v>
      </c>
      <c r="G12" s="3">
        <v>0.1</v>
      </c>
      <c r="H12" s="3">
        <v>0.1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">
      <c r="A13" s="4">
        <v>43678</v>
      </c>
      <c r="B13" s="3" t="s">
        <v>86</v>
      </c>
      <c r="C13" s="3">
        <v>10</v>
      </c>
      <c r="D13" s="3">
        <v>1258</v>
      </c>
      <c r="E13" s="3">
        <v>6</v>
      </c>
      <c r="F13" s="3">
        <v>0.47689999999999999</v>
      </c>
      <c r="G13" s="3">
        <v>3.85</v>
      </c>
      <c r="H13" s="3">
        <v>0.64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A14" s="4">
        <v>43678</v>
      </c>
      <c r="B14" s="3" t="s">
        <v>30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s="4">
        <v>43678</v>
      </c>
      <c r="B15" s="3" t="s">
        <v>85</v>
      </c>
      <c r="C15">
        <v>5</v>
      </c>
      <c r="D15">
        <v>4</v>
      </c>
      <c r="E15">
        <v>1</v>
      </c>
      <c r="F15">
        <v>25</v>
      </c>
      <c r="G15">
        <v>0.02</v>
      </c>
      <c r="H15">
        <v>0.02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s="4">
        <v>43678</v>
      </c>
      <c r="B16" s="3" t="s">
        <v>84</v>
      </c>
      <c r="C16">
        <v>10</v>
      </c>
      <c r="D16">
        <v>198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s="4">
        <v>43678</v>
      </c>
      <c r="B17" s="3" t="s">
        <v>75</v>
      </c>
      <c r="C17">
        <v>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s="4">
        <v>43678</v>
      </c>
      <c r="B18" s="3" t="s">
        <v>31</v>
      </c>
      <c r="C18">
        <v>30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s="4">
        <v>43678</v>
      </c>
      <c r="B19" s="3" t="s">
        <v>91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s="4">
        <v>43678</v>
      </c>
      <c r="B20" s="3" t="s">
        <v>87</v>
      </c>
      <c r="C20">
        <v>10</v>
      </c>
      <c r="D20">
        <v>362</v>
      </c>
      <c r="E20">
        <v>3</v>
      </c>
      <c r="F20">
        <v>0.82869999999999999</v>
      </c>
      <c r="G20">
        <v>0.91</v>
      </c>
      <c r="H20">
        <v>0.3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s="4">
        <v>43678</v>
      </c>
      <c r="B21" s="3" t="s">
        <v>88</v>
      </c>
      <c r="C21">
        <v>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s="4">
        <v>43678</v>
      </c>
      <c r="B22" s="3" t="s">
        <v>89</v>
      </c>
      <c r="C22">
        <v>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s="4">
        <v>43678</v>
      </c>
      <c r="B23" s="3" t="s">
        <v>90</v>
      </c>
      <c r="C23">
        <v>20</v>
      </c>
      <c r="D23">
        <v>63</v>
      </c>
      <c r="E23">
        <v>3</v>
      </c>
      <c r="F23">
        <v>4.7618999999999998</v>
      </c>
      <c r="G23">
        <v>0.71</v>
      </c>
      <c r="H23">
        <v>0.24</v>
      </c>
      <c r="I23">
        <v>1</v>
      </c>
      <c r="J23">
        <v>79.97</v>
      </c>
      <c r="K23">
        <v>0.88780000000000003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s="4">
        <v>43678</v>
      </c>
      <c r="B24" s="3" t="s">
        <v>32</v>
      </c>
      <c r="C24">
        <v>2</v>
      </c>
      <c r="D24">
        <v>722</v>
      </c>
      <c r="E24">
        <v>6</v>
      </c>
      <c r="F24">
        <v>0.83099999999999996</v>
      </c>
      <c r="G24">
        <v>2.41</v>
      </c>
      <c r="H24">
        <v>0.4</v>
      </c>
      <c r="I24">
        <v>1</v>
      </c>
      <c r="J24">
        <v>107.94</v>
      </c>
      <c r="K24">
        <v>2.2326999999999999</v>
      </c>
      <c r="L24">
        <v>1</v>
      </c>
      <c r="M24">
        <v>100</v>
      </c>
      <c r="N24">
        <v>107.94</v>
      </c>
      <c r="O24">
        <v>100</v>
      </c>
    </row>
    <row r="25" spans="1:15" x14ac:dyDescent="0.2">
      <c r="A25" s="4">
        <v>43678</v>
      </c>
      <c r="B25" s="3" t="s">
        <v>72</v>
      </c>
      <c r="C25">
        <v>10</v>
      </c>
      <c r="D25">
        <v>6566</v>
      </c>
      <c r="E25">
        <v>60</v>
      </c>
      <c r="F25">
        <v>0.91379999999999995</v>
      </c>
      <c r="G25">
        <v>17.96</v>
      </c>
      <c r="H25">
        <v>0.3</v>
      </c>
      <c r="I25">
        <v>3</v>
      </c>
      <c r="J25">
        <v>161.91</v>
      </c>
      <c r="K25">
        <v>11.092599999999999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s="4">
        <v>43678</v>
      </c>
      <c r="B26" s="3" t="s">
        <v>28</v>
      </c>
      <c r="C26">
        <v>10</v>
      </c>
      <c r="D26">
        <v>1326</v>
      </c>
      <c r="E26">
        <v>7</v>
      </c>
      <c r="F26">
        <v>0.52790000000000004</v>
      </c>
      <c r="G26">
        <v>4.24</v>
      </c>
      <c r="H26">
        <v>0.61</v>
      </c>
      <c r="I26">
        <v>2</v>
      </c>
      <c r="J26">
        <v>34.340000000000003</v>
      </c>
      <c r="K26">
        <v>12.347099999999999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s="4">
        <v>43678</v>
      </c>
      <c r="B27" s="3" t="s">
        <v>27</v>
      </c>
      <c r="C27">
        <v>10</v>
      </c>
      <c r="D27">
        <v>927</v>
      </c>
      <c r="E27">
        <v>14</v>
      </c>
      <c r="F27">
        <v>1.5102</v>
      </c>
      <c r="G27">
        <v>9.68</v>
      </c>
      <c r="H27">
        <v>0.69</v>
      </c>
      <c r="I27">
        <v>2</v>
      </c>
      <c r="J27">
        <v>71.97</v>
      </c>
      <c r="K27">
        <v>13.45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s="4">
        <v>43679</v>
      </c>
      <c r="B28" s="3" t="s">
        <v>74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s="4">
        <v>43679</v>
      </c>
      <c r="B29" s="3" t="s">
        <v>76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s="4">
        <v>43679</v>
      </c>
      <c r="B30" s="3" t="s">
        <v>77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s="4">
        <v>43679</v>
      </c>
      <c r="B31" s="3" t="s">
        <v>27</v>
      </c>
      <c r="C31">
        <v>10</v>
      </c>
      <c r="D31">
        <v>1154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s="4">
        <v>43679</v>
      </c>
      <c r="B32" s="3" t="s">
        <v>32</v>
      </c>
      <c r="C32">
        <v>2</v>
      </c>
      <c r="D32">
        <v>779</v>
      </c>
      <c r="E32">
        <v>6</v>
      </c>
      <c r="F32">
        <v>0.7702</v>
      </c>
      <c r="G32">
        <v>2.29</v>
      </c>
      <c r="H32">
        <v>0.38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s="4">
        <v>43679</v>
      </c>
      <c r="B33" s="3" t="s">
        <v>78</v>
      </c>
      <c r="C33">
        <v>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s="4">
        <v>43679</v>
      </c>
      <c r="B34" s="3" t="s">
        <v>79</v>
      </c>
      <c r="C34">
        <v>10</v>
      </c>
      <c r="D34">
        <v>426</v>
      </c>
      <c r="E34">
        <v>2</v>
      </c>
      <c r="F34">
        <v>0.46949999999999997</v>
      </c>
      <c r="G34">
        <v>0.04</v>
      </c>
      <c r="H34">
        <v>0.02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s="4">
        <v>43679</v>
      </c>
      <c r="B35" s="3" t="s">
        <v>80</v>
      </c>
      <c r="C35">
        <v>10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s="4">
        <v>43679</v>
      </c>
      <c r="B36" s="3" t="s">
        <v>73</v>
      </c>
      <c r="C36">
        <v>10</v>
      </c>
      <c r="D36">
        <v>6964</v>
      </c>
      <c r="E36">
        <v>42</v>
      </c>
      <c r="F36">
        <v>0.60309999999999997</v>
      </c>
      <c r="G36">
        <v>10.050000000000001</v>
      </c>
      <c r="H36">
        <v>0.24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s="4">
        <v>43679</v>
      </c>
      <c r="B37" s="3" t="s">
        <v>81</v>
      </c>
      <c r="C37">
        <v>10</v>
      </c>
      <c r="D37">
        <v>607</v>
      </c>
      <c r="E37">
        <v>2</v>
      </c>
      <c r="F37">
        <v>0.32950000000000002</v>
      </c>
      <c r="G37">
        <v>1</v>
      </c>
      <c r="H37">
        <v>0.5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s="4">
        <v>43679</v>
      </c>
      <c r="B38" s="3" t="s">
        <v>82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s="4">
        <v>43679</v>
      </c>
      <c r="B39" s="3" t="s">
        <v>28</v>
      </c>
      <c r="C39">
        <v>10</v>
      </c>
      <c r="D39">
        <v>1566</v>
      </c>
      <c r="E39">
        <v>4</v>
      </c>
      <c r="F39">
        <v>0.25540000000000002</v>
      </c>
      <c r="G39">
        <v>2.39</v>
      </c>
      <c r="H39">
        <v>0.6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s="4">
        <v>43679</v>
      </c>
      <c r="B40" s="3" t="s">
        <v>83</v>
      </c>
      <c r="C40">
        <v>5</v>
      </c>
      <c r="D40">
        <v>5232</v>
      </c>
      <c r="E40">
        <v>8</v>
      </c>
      <c r="F40">
        <v>0.15290000000000001</v>
      </c>
      <c r="G40">
        <v>4.8600000000000003</v>
      </c>
      <c r="H40">
        <v>0.61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s="4">
        <v>43679</v>
      </c>
      <c r="B41" s="3" t="s">
        <v>29</v>
      </c>
      <c r="C41">
        <v>3</v>
      </c>
      <c r="D41">
        <v>133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s="4">
        <v>43679</v>
      </c>
      <c r="B42" s="3" t="s">
        <v>86</v>
      </c>
      <c r="C42">
        <v>10</v>
      </c>
      <c r="D42">
        <v>605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s="4">
        <v>43679</v>
      </c>
      <c r="B43" s="3" t="s">
        <v>30</v>
      </c>
      <c r="C43">
        <v>5</v>
      </c>
      <c r="D43">
        <v>316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s="4">
        <v>43679</v>
      </c>
      <c r="B44" s="3" t="s">
        <v>85</v>
      </c>
      <c r="C44">
        <v>5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s="4">
        <v>43679</v>
      </c>
      <c r="B45" s="3" t="s">
        <v>84</v>
      </c>
      <c r="C45">
        <v>10</v>
      </c>
      <c r="D45">
        <v>175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s="4">
        <v>43679</v>
      </c>
      <c r="B46" s="3" t="s">
        <v>75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s="4">
        <v>43679</v>
      </c>
      <c r="B47" s="3" t="s">
        <v>31</v>
      </c>
      <c r="C47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s="4">
        <v>43679</v>
      </c>
      <c r="B48" s="3" t="s">
        <v>91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s="4">
        <v>43679</v>
      </c>
      <c r="B49" s="3" t="s">
        <v>87</v>
      </c>
      <c r="C49">
        <v>10</v>
      </c>
      <c r="D49">
        <v>311</v>
      </c>
      <c r="E49">
        <v>1</v>
      </c>
      <c r="F49">
        <v>0.32150000000000001</v>
      </c>
      <c r="G49">
        <v>0.5</v>
      </c>
      <c r="H49">
        <v>0.5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s="4">
        <v>43679</v>
      </c>
      <c r="B50" s="3" t="s">
        <v>88</v>
      </c>
      <c r="C50">
        <v>15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s="4">
        <v>43679</v>
      </c>
      <c r="B51" s="3" t="s">
        <v>90</v>
      </c>
      <c r="C51">
        <v>20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s="4">
        <v>43679</v>
      </c>
      <c r="B52" s="3" t="s">
        <v>89</v>
      </c>
      <c r="C52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">
      <c r="A53" s="4">
        <v>43679</v>
      </c>
      <c r="B53" s="3" t="s">
        <v>72</v>
      </c>
      <c r="C53">
        <v>10</v>
      </c>
      <c r="D53">
        <v>4892</v>
      </c>
      <c r="E53">
        <v>54</v>
      </c>
      <c r="F53">
        <v>1.1037999999999999</v>
      </c>
      <c r="G53">
        <v>16.52</v>
      </c>
      <c r="H53">
        <v>0.31</v>
      </c>
      <c r="I53">
        <v>1</v>
      </c>
      <c r="J53">
        <v>53.97</v>
      </c>
      <c r="K53">
        <v>30.6096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s="4">
        <v>43680</v>
      </c>
      <c r="B54" s="3" t="s">
        <v>74</v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">
      <c r="A55" s="4">
        <v>43680</v>
      </c>
      <c r="B55" s="3" t="s">
        <v>76</v>
      </c>
      <c r="C55">
        <v>10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s="4">
        <v>43680</v>
      </c>
      <c r="B56" s="3" t="s">
        <v>77</v>
      </c>
      <c r="C56">
        <v>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s="4">
        <v>43680</v>
      </c>
      <c r="B57" s="3" t="s">
        <v>27</v>
      </c>
      <c r="C57">
        <v>10</v>
      </c>
      <c r="D57">
        <v>632</v>
      </c>
      <c r="E57">
        <v>1</v>
      </c>
      <c r="F57">
        <v>0.15820000000000001</v>
      </c>
      <c r="G57">
        <v>0.66</v>
      </c>
      <c r="H57">
        <v>0.66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s="4">
        <v>43680</v>
      </c>
      <c r="B58" s="3" t="s">
        <v>32</v>
      </c>
      <c r="C58">
        <v>2</v>
      </c>
      <c r="D58">
        <v>672</v>
      </c>
      <c r="E58">
        <v>6</v>
      </c>
      <c r="F58">
        <v>0.89290000000000003</v>
      </c>
      <c r="G58">
        <v>2.0699999999999998</v>
      </c>
      <c r="H58">
        <v>0.35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">
      <c r="A59" s="4">
        <v>43680</v>
      </c>
      <c r="B59" s="3" t="s">
        <v>78</v>
      </c>
      <c r="C59">
        <v>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s="4">
        <v>43680</v>
      </c>
      <c r="B60" s="3" t="s">
        <v>79</v>
      </c>
      <c r="C60">
        <v>10</v>
      </c>
      <c r="D60">
        <v>551</v>
      </c>
      <c r="E60">
        <v>5</v>
      </c>
      <c r="F60">
        <v>0.90739999999999998</v>
      </c>
      <c r="G60">
        <v>0.2</v>
      </c>
      <c r="H60">
        <v>0.04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">
      <c r="A61" s="4">
        <v>43680</v>
      </c>
      <c r="B61" s="3" t="s">
        <v>80</v>
      </c>
      <c r="C61">
        <v>10</v>
      </c>
      <c r="D61">
        <v>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">
      <c r="A62" s="4">
        <v>43680</v>
      </c>
      <c r="B62" s="3" t="s">
        <v>73</v>
      </c>
      <c r="C62">
        <v>10</v>
      </c>
      <c r="D62">
        <v>8626</v>
      </c>
      <c r="E62">
        <v>42</v>
      </c>
      <c r="F62">
        <v>0.4869</v>
      </c>
      <c r="G62">
        <v>10.029999999999999</v>
      </c>
      <c r="H62">
        <v>0.24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">
      <c r="A63" s="4">
        <v>43680</v>
      </c>
      <c r="B63" s="3" t="s">
        <v>81</v>
      </c>
      <c r="C63">
        <v>10</v>
      </c>
      <c r="D63">
        <v>770</v>
      </c>
      <c r="E63">
        <v>6</v>
      </c>
      <c r="F63">
        <v>0.7792</v>
      </c>
      <c r="G63">
        <v>3.19</v>
      </c>
      <c r="H63">
        <v>0.53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">
      <c r="A64" s="4">
        <v>43680</v>
      </c>
      <c r="B64" s="3" t="s">
        <v>82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">
      <c r="A65" s="4">
        <v>43680</v>
      </c>
      <c r="B65" s="3" t="s">
        <v>28</v>
      </c>
      <c r="C65">
        <v>10</v>
      </c>
      <c r="D65">
        <v>831</v>
      </c>
      <c r="E65">
        <v>2</v>
      </c>
      <c r="F65">
        <v>0.2407</v>
      </c>
      <c r="G65">
        <v>1.22</v>
      </c>
      <c r="H65">
        <v>0.61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">
      <c r="A66" s="4">
        <v>43680</v>
      </c>
      <c r="B66" s="3" t="s">
        <v>29</v>
      </c>
      <c r="C66">
        <v>3</v>
      </c>
      <c r="D66">
        <v>153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">
      <c r="A67" s="4">
        <v>43680</v>
      </c>
      <c r="B67" s="3" t="s">
        <v>86</v>
      </c>
      <c r="C67">
        <v>10</v>
      </c>
      <c r="D67">
        <v>622</v>
      </c>
      <c r="E67">
        <v>4</v>
      </c>
      <c r="F67">
        <v>0.6431</v>
      </c>
      <c r="G67">
        <v>2.14</v>
      </c>
      <c r="H67">
        <v>0.53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s="4">
        <v>43680</v>
      </c>
      <c r="B68" s="3" t="s">
        <v>30</v>
      </c>
      <c r="C68">
        <v>5</v>
      </c>
      <c r="D68">
        <v>198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">
      <c r="A69" s="4">
        <v>43680</v>
      </c>
      <c r="B69" s="3" t="s">
        <v>85</v>
      </c>
      <c r="C69">
        <v>5</v>
      </c>
      <c r="D69">
        <v>15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">
      <c r="A70" s="4">
        <v>43680</v>
      </c>
      <c r="B70" s="3" t="s">
        <v>84</v>
      </c>
      <c r="C70">
        <v>10</v>
      </c>
      <c r="D70">
        <v>219</v>
      </c>
      <c r="E70">
        <v>1</v>
      </c>
      <c r="F70">
        <v>0.45660000000000001</v>
      </c>
      <c r="G70">
        <v>0.33</v>
      </c>
      <c r="H70">
        <v>0.33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">
      <c r="A71" s="4">
        <v>43680</v>
      </c>
      <c r="B71" s="3" t="s">
        <v>75</v>
      </c>
      <c r="C71">
        <v>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">
      <c r="A72" s="4">
        <v>43680</v>
      </c>
      <c r="B72" s="3" t="s">
        <v>31</v>
      </c>
      <c r="C72">
        <v>30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">
      <c r="A73" s="4">
        <v>43680</v>
      </c>
      <c r="B73" s="3" t="s">
        <v>91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">
      <c r="A74" s="4">
        <v>43680</v>
      </c>
      <c r="B74" s="3" t="s">
        <v>87</v>
      </c>
      <c r="C74">
        <v>10</v>
      </c>
      <c r="D74">
        <v>257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s="4">
        <v>43680</v>
      </c>
      <c r="B75" s="3" t="s">
        <v>88</v>
      </c>
      <c r="C75">
        <v>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">
      <c r="A76" s="4">
        <v>43680</v>
      </c>
      <c r="B76" s="3" t="s">
        <v>89</v>
      </c>
      <c r="C76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">
      <c r="A77" s="4">
        <v>43680</v>
      </c>
      <c r="B77" s="3" t="s">
        <v>83</v>
      </c>
      <c r="C77">
        <v>5</v>
      </c>
      <c r="D77">
        <v>7829</v>
      </c>
      <c r="E77">
        <v>8</v>
      </c>
      <c r="F77">
        <v>0.1022</v>
      </c>
      <c r="G77">
        <v>5.0999999999999996</v>
      </c>
      <c r="H77">
        <v>0.64</v>
      </c>
      <c r="I77">
        <v>3</v>
      </c>
      <c r="J77">
        <v>71.97</v>
      </c>
      <c r="K77">
        <v>7.0862999999999996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s="4">
        <v>43680</v>
      </c>
      <c r="B78" s="3" t="s">
        <v>72</v>
      </c>
      <c r="C78">
        <v>10</v>
      </c>
      <c r="D78">
        <v>4247</v>
      </c>
      <c r="E78">
        <v>44</v>
      </c>
      <c r="F78">
        <v>1.036</v>
      </c>
      <c r="G78">
        <v>12.44</v>
      </c>
      <c r="H78">
        <v>0.28000000000000003</v>
      </c>
      <c r="I78">
        <v>3</v>
      </c>
      <c r="J78">
        <v>161.91</v>
      </c>
      <c r="K78">
        <v>7.6833</v>
      </c>
      <c r="L78">
        <v>0</v>
      </c>
      <c r="M78">
        <v>0</v>
      </c>
      <c r="N78">
        <v>0</v>
      </c>
      <c r="O78">
        <v>0</v>
      </c>
    </row>
    <row r="79" spans="1:15" x14ac:dyDescent="0.2">
      <c r="A79" s="4">
        <v>43680</v>
      </c>
      <c r="B79" s="3" t="s">
        <v>90</v>
      </c>
      <c r="C79">
        <v>20</v>
      </c>
      <c r="D79">
        <v>1692</v>
      </c>
      <c r="E79">
        <v>12</v>
      </c>
      <c r="F79">
        <v>0.70920000000000005</v>
      </c>
      <c r="G79">
        <v>4.25</v>
      </c>
      <c r="H79">
        <v>0.35</v>
      </c>
      <c r="I79">
        <v>1</v>
      </c>
      <c r="J79">
        <v>53.97</v>
      </c>
      <c r="K79">
        <v>7.8746999999999998</v>
      </c>
      <c r="L79">
        <v>0</v>
      </c>
      <c r="M79">
        <v>0</v>
      </c>
      <c r="N79">
        <v>0</v>
      </c>
      <c r="O79">
        <v>0</v>
      </c>
    </row>
    <row r="80" spans="1:15" x14ac:dyDescent="0.2">
      <c r="A80" s="4">
        <v>43681</v>
      </c>
      <c r="B80" s="3" t="s">
        <v>74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">
      <c r="A81" s="4">
        <v>43681</v>
      </c>
      <c r="B81" s="3" t="s">
        <v>76</v>
      </c>
      <c r="C81">
        <v>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">
      <c r="A82" s="4">
        <v>43681</v>
      </c>
      <c r="B82" s="3" t="s">
        <v>77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s="4">
        <v>43681</v>
      </c>
      <c r="B83" s="3" t="s">
        <v>27</v>
      </c>
      <c r="C83">
        <v>10</v>
      </c>
      <c r="D83">
        <v>1357</v>
      </c>
      <c r="E83">
        <v>7</v>
      </c>
      <c r="F83">
        <v>0.51580000000000004</v>
      </c>
      <c r="G83">
        <v>4.32</v>
      </c>
      <c r="H83">
        <v>0.62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">
      <c r="A84" s="4">
        <v>43681</v>
      </c>
      <c r="B84" s="3" t="s">
        <v>32</v>
      </c>
      <c r="C84">
        <v>2</v>
      </c>
      <c r="D84">
        <v>1353</v>
      </c>
      <c r="E84">
        <v>7</v>
      </c>
      <c r="F84">
        <v>0.51739999999999997</v>
      </c>
      <c r="G84">
        <v>2.0299999999999998</v>
      </c>
      <c r="H84">
        <v>0.28999999999999998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">
      <c r="A85" s="4">
        <v>43681</v>
      </c>
      <c r="B85" s="3" t="s">
        <v>72</v>
      </c>
      <c r="C85">
        <v>10</v>
      </c>
      <c r="D85">
        <v>7466</v>
      </c>
      <c r="E85">
        <v>75</v>
      </c>
      <c r="F85">
        <v>1.0045999999999999</v>
      </c>
      <c r="G85">
        <v>20.2</v>
      </c>
      <c r="H85">
        <v>0.27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">
      <c r="A86" s="4">
        <v>43681</v>
      </c>
      <c r="B86" s="3" t="s">
        <v>78</v>
      </c>
      <c r="C86">
        <v>10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">
      <c r="A87" s="4">
        <v>43681</v>
      </c>
      <c r="B87" s="3" t="s">
        <v>79</v>
      </c>
      <c r="C87">
        <v>10</v>
      </c>
      <c r="D87">
        <v>1196</v>
      </c>
      <c r="E87">
        <v>9</v>
      </c>
      <c r="F87">
        <v>0.75249999999999995</v>
      </c>
      <c r="G87">
        <v>0.42</v>
      </c>
      <c r="H87">
        <v>0.05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">
      <c r="A88" s="4">
        <v>43681</v>
      </c>
      <c r="B88" s="3" t="s">
        <v>80</v>
      </c>
      <c r="C88">
        <v>10</v>
      </c>
      <c r="D88">
        <v>15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s="4">
        <v>43681</v>
      </c>
      <c r="B89" s="3" t="s">
        <v>73</v>
      </c>
      <c r="C89">
        <v>10</v>
      </c>
      <c r="D89">
        <v>6346</v>
      </c>
      <c r="E89">
        <v>44</v>
      </c>
      <c r="F89">
        <v>0.69340000000000002</v>
      </c>
      <c r="G89">
        <v>10.29</v>
      </c>
      <c r="H89">
        <v>0.23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s="4">
        <v>43681</v>
      </c>
      <c r="B90" s="3" t="s">
        <v>81</v>
      </c>
      <c r="C90">
        <v>10</v>
      </c>
      <c r="D90">
        <v>1077</v>
      </c>
      <c r="E90">
        <v>12</v>
      </c>
      <c r="F90">
        <v>1.1142000000000001</v>
      </c>
      <c r="G90">
        <v>6.43</v>
      </c>
      <c r="H90">
        <v>0.54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">
      <c r="A91" s="4">
        <v>43681</v>
      </c>
      <c r="B91" s="3" t="s">
        <v>82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s="4">
        <v>43681</v>
      </c>
      <c r="B92" s="3" t="s">
        <v>29</v>
      </c>
      <c r="C92">
        <v>3</v>
      </c>
      <c r="D92">
        <v>170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">
      <c r="A93" s="4">
        <v>43681</v>
      </c>
      <c r="B93" s="3" t="s">
        <v>86</v>
      </c>
      <c r="C93">
        <v>10</v>
      </c>
      <c r="D93">
        <v>320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">
      <c r="A94" s="4">
        <v>43681</v>
      </c>
      <c r="B94" s="3" t="s">
        <v>30</v>
      </c>
      <c r="C94">
        <v>5</v>
      </c>
      <c r="D94">
        <v>345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">
      <c r="A95" s="4">
        <v>43681</v>
      </c>
      <c r="B95" s="3" t="s">
        <v>85</v>
      </c>
      <c r="C95">
        <v>5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">
      <c r="A96" s="4">
        <v>43681</v>
      </c>
      <c r="B96" s="3" t="s">
        <v>84</v>
      </c>
      <c r="C96">
        <v>10</v>
      </c>
      <c r="D96">
        <v>346</v>
      </c>
      <c r="E96">
        <v>2</v>
      </c>
      <c r="F96">
        <v>0.57799999999999996</v>
      </c>
      <c r="G96">
        <v>0.61</v>
      </c>
      <c r="H96">
        <v>0.31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">
      <c r="A97" s="4">
        <v>43681</v>
      </c>
      <c r="B97" s="3" t="s">
        <v>75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">
      <c r="A98" s="4">
        <v>43681</v>
      </c>
      <c r="B98" s="3" t="s">
        <v>31</v>
      </c>
      <c r="C98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">
      <c r="A99" s="4">
        <v>43681</v>
      </c>
      <c r="B99" s="3" t="s">
        <v>91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">
      <c r="A100" s="4">
        <v>43681</v>
      </c>
      <c r="B100" s="3" t="s">
        <v>87</v>
      </c>
      <c r="C100">
        <v>10</v>
      </c>
      <c r="D100">
        <v>249</v>
      </c>
      <c r="E100">
        <v>6</v>
      </c>
      <c r="F100">
        <v>2.4096000000000002</v>
      </c>
      <c r="G100">
        <v>2.78</v>
      </c>
      <c r="H100">
        <v>0.46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">
      <c r="A101" s="4">
        <v>43681</v>
      </c>
      <c r="B101" s="3" t="s">
        <v>88</v>
      </c>
      <c r="C101">
        <v>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">
      <c r="A102" s="4">
        <v>43681</v>
      </c>
      <c r="B102" s="3" t="s">
        <v>90</v>
      </c>
      <c r="C102">
        <v>20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">
      <c r="A103" s="4">
        <v>43681</v>
      </c>
      <c r="B103" s="3" t="s">
        <v>89</v>
      </c>
      <c r="C103">
        <v>15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">
      <c r="A104" s="4">
        <v>43681</v>
      </c>
      <c r="B104" s="3" t="s">
        <v>83</v>
      </c>
      <c r="C104">
        <v>5</v>
      </c>
      <c r="D104">
        <v>3050</v>
      </c>
      <c r="E104">
        <v>9</v>
      </c>
      <c r="F104">
        <v>0.29509999999999997</v>
      </c>
      <c r="G104">
        <v>5.43</v>
      </c>
      <c r="H104">
        <v>0.6</v>
      </c>
      <c r="I104">
        <v>2</v>
      </c>
      <c r="J104">
        <v>95.96</v>
      </c>
      <c r="K104">
        <v>5.6585999999999999</v>
      </c>
      <c r="L104">
        <v>0</v>
      </c>
      <c r="M104">
        <v>0</v>
      </c>
      <c r="N104">
        <v>0</v>
      </c>
      <c r="O104">
        <v>0</v>
      </c>
    </row>
    <row r="105" spans="1:15" x14ac:dyDescent="0.2">
      <c r="A105" s="4">
        <v>43681</v>
      </c>
      <c r="B105" s="3" t="s">
        <v>28</v>
      </c>
      <c r="C105">
        <v>10</v>
      </c>
      <c r="D105">
        <v>1045</v>
      </c>
      <c r="E105">
        <v>12</v>
      </c>
      <c r="F105">
        <v>1.1483000000000001</v>
      </c>
      <c r="G105">
        <v>6.7</v>
      </c>
      <c r="H105">
        <v>0.56000000000000005</v>
      </c>
      <c r="I105">
        <v>1</v>
      </c>
      <c r="J105">
        <v>16.37</v>
      </c>
      <c r="K105">
        <v>40.9285</v>
      </c>
      <c r="L105">
        <v>0</v>
      </c>
      <c r="M105">
        <v>0</v>
      </c>
      <c r="N105">
        <v>0</v>
      </c>
      <c r="O105">
        <v>0</v>
      </c>
    </row>
    <row r="106" spans="1:15" x14ac:dyDescent="0.2">
      <c r="A106" s="4">
        <v>43682</v>
      </c>
      <c r="B106" s="3" t="s">
        <v>74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">
      <c r="A107" s="4">
        <v>43682</v>
      </c>
      <c r="B107" s="3" t="s">
        <v>76</v>
      </c>
      <c r="C107">
        <v>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">
      <c r="A108" s="4">
        <v>43682</v>
      </c>
      <c r="B108" s="3" t="s">
        <v>77</v>
      </c>
      <c r="C108">
        <v>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">
      <c r="A109" s="4">
        <v>43682</v>
      </c>
      <c r="B109" s="3" t="s">
        <v>32</v>
      </c>
      <c r="C109">
        <v>2</v>
      </c>
      <c r="D109">
        <v>1088</v>
      </c>
      <c r="E109">
        <v>6</v>
      </c>
      <c r="F109">
        <v>0.55149999999999999</v>
      </c>
      <c r="G109">
        <v>2.09</v>
      </c>
      <c r="H109">
        <v>0.35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 s="4">
        <v>43682</v>
      </c>
      <c r="B110" s="3" t="s">
        <v>78</v>
      </c>
      <c r="C110">
        <v>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">
      <c r="A111" s="4">
        <v>43682</v>
      </c>
      <c r="B111" s="3" t="s">
        <v>79</v>
      </c>
      <c r="C111">
        <v>10</v>
      </c>
      <c r="D111">
        <v>878</v>
      </c>
      <c r="E111">
        <v>7</v>
      </c>
      <c r="F111">
        <v>0.79730000000000001</v>
      </c>
      <c r="G111">
        <v>0.3</v>
      </c>
      <c r="H111">
        <v>0.04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">
      <c r="A112" s="4">
        <v>43682</v>
      </c>
      <c r="B112" s="3" t="s">
        <v>80</v>
      </c>
      <c r="C112">
        <v>10</v>
      </c>
      <c r="D112">
        <v>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">
      <c r="A113" s="4">
        <v>43682</v>
      </c>
      <c r="B113" s="3" t="s">
        <v>81</v>
      </c>
      <c r="C113">
        <v>10</v>
      </c>
      <c r="D113">
        <v>1557</v>
      </c>
      <c r="E113">
        <v>8</v>
      </c>
      <c r="F113">
        <v>0.51380000000000003</v>
      </c>
      <c r="G113">
        <v>3.91</v>
      </c>
      <c r="H113">
        <v>0.49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s="4">
        <v>43682</v>
      </c>
      <c r="B114" s="3" t="s">
        <v>82</v>
      </c>
      <c r="C114">
        <v>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s="4">
        <v>43682</v>
      </c>
      <c r="B115" s="3" t="s">
        <v>28</v>
      </c>
      <c r="C115">
        <v>10</v>
      </c>
      <c r="D115">
        <v>1171</v>
      </c>
      <c r="E115">
        <v>7</v>
      </c>
      <c r="F115">
        <v>0.5978</v>
      </c>
      <c r="G115">
        <v>4.68</v>
      </c>
      <c r="H115">
        <v>0.67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">
      <c r="A116" s="4">
        <v>43682</v>
      </c>
      <c r="B116" s="3" t="s">
        <v>29</v>
      </c>
      <c r="C116">
        <v>3</v>
      </c>
      <c r="D116">
        <v>171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">
      <c r="A117" s="4">
        <v>43682</v>
      </c>
      <c r="B117" s="3" t="s">
        <v>86</v>
      </c>
      <c r="C117">
        <v>10</v>
      </c>
      <c r="D117">
        <v>4141</v>
      </c>
      <c r="E117">
        <v>4</v>
      </c>
      <c r="F117">
        <v>9.6600000000000005E-2</v>
      </c>
      <c r="G117">
        <v>1.93</v>
      </c>
      <c r="H117">
        <v>0.48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">
      <c r="A118" s="4">
        <v>43682</v>
      </c>
      <c r="B118" s="3" t="s">
        <v>30</v>
      </c>
      <c r="C118">
        <v>5</v>
      </c>
      <c r="D118">
        <v>418</v>
      </c>
      <c r="E118">
        <v>7</v>
      </c>
      <c r="F118">
        <v>1.6746000000000001</v>
      </c>
      <c r="G118">
        <v>17.170000000000002</v>
      </c>
      <c r="H118">
        <v>2.4500000000000002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">
      <c r="A119" s="4">
        <v>43682</v>
      </c>
      <c r="B119" s="3" t="s">
        <v>85</v>
      </c>
      <c r="C119">
        <v>5</v>
      </c>
      <c r="D119">
        <v>17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">
      <c r="A120" s="4">
        <v>43682</v>
      </c>
      <c r="B120" s="3" t="s">
        <v>84</v>
      </c>
      <c r="C120">
        <v>10</v>
      </c>
      <c r="D120">
        <v>426</v>
      </c>
      <c r="E120">
        <v>4</v>
      </c>
      <c r="F120">
        <v>0.93899999999999995</v>
      </c>
      <c r="G120">
        <v>1.58</v>
      </c>
      <c r="H120">
        <v>0.4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">
      <c r="A121" s="4">
        <v>43682</v>
      </c>
      <c r="B121" s="3" t="s">
        <v>75</v>
      </c>
      <c r="C121">
        <v>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">
      <c r="A122" s="4">
        <v>43682</v>
      </c>
      <c r="B122" s="3" t="s">
        <v>31</v>
      </c>
      <c r="C122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">
      <c r="A123" s="4">
        <v>43682</v>
      </c>
      <c r="B123" s="3" t="s">
        <v>91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">
      <c r="A124" s="4">
        <v>43682</v>
      </c>
      <c r="B124" s="3" t="s">
        <v>87</v>
      </c>
      <c r="C124">
        <v>10</v>
      </c>
      <c r="D124">
        <v>327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">
      <c r="A125" s="4">
        <v>43682</v>
      </c>
      <c r="B125" s="3" t="s">
        <v>88</v>
      </c>
      <c r="C125">
        <v>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">
      <c r="A126" s="4">
        <v>43682</v>
      </c>
      <c r="B126" s="3" t="s">
        <v>90</v>
      </c>
      <c r="C126">
        <v>20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">
      <c r="A127" s="4">
        <v>43682</v>
      </c>
      <c r="B127" s="3" t="s">
        <v>89</v>
      </c>
      <c r="C127">
        <v>15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">
      <c r="A128" s="4">
        <v>43682</v>
      </c>
      <c r="B128" s="3" t="s">
        <v>72</v>
      </c>
      <c r="C128">
        <v>10</v>
      </c>
      <c r="D128">
        <v>6864</v>
      </c>
      <c r="E128">
        <v>74</v>
      </c>
      <c r="F128">
        <v>1.0781000000000001</v>
      </c>
      <c r="G128">
        <v>20.5</v>
      </c>
      <c r="H128">
        <v>0.28000000000000003</v>
      </c>
      <c r="I128">
        <v>3</v>
      </c>
      <c r="J128">
        <v>161.91</v>
      </c>
      <c r="K128">
        <v>12.6614</v>
      </c>
      <c r="L128">
        <v>0</v>
      </c>
      <c r="M128">
        <v>0</v>
      </c>
      <c r="N128">
        <v>0</v>
      </c>
      <c r="O128">
        <v>0</v>
      </c>
    </row>
    <row r="129" spans="1:15" x14ac:dyDescent="0.2">
      <c r="A129" s="4">
        <v>43682</v>
      </c>
      <c r="B129" s="3" t="s">
        <v>27</v>
      </c>
      <c r="C129">
        <v>10</v>
      </c>
      <c r="D129">
        <v>2188</v>
      </c>
      <c r="E129">
        <v>6</v>
      </c>
      <c r="F129">
        <v>0.2742</v>
      </c>
      <c r="G129">
        <v>3.66</v>
      </c>
      <c r="H129">
        <v>0.61</v>
      </c>
      <c r="I129">
        <v>1</v>
      </c>
      <c r="J129">
        <v>23.99</v>
      </c>
      <c r="K129">
        <v>15.256399999999999</v>
      </c>
      <c r="L129">
        <v>0</v>
      </c>
      <c r="M129">
        <v>0</v>
      </c>
      <c r="N129">
        <v>0</v>
      </c>
      <c r="O129">
        <v>0</v>
      </c>
    </row>
    <row r="130" spans="1:15" x14ac:dyDescent="0.2">
      <c r="A130" s="4">
        <v>43682</v>
      </c>
      <c r="B130" s="3" t="s">
        <v>73</v>
      </c>
      <c r="C130">
        <v>10</v>
      </c>
      <c r="D130">
        <v>6557</v>
      </c>
      <c r="E130">
        <v>40</v>
      </c>
      <c r="F130">
        <v>0.61</v>
      </c>
      <c r="G130">
        <v>10.4</v>
      </c>
      <c r="H130">
        <v>0.26</v>
      </c>
      <c r="I130">
        <v>1</v>
      </c>
      <c r="J130">
        <v>53.97</v>
      </c>
      <c r="K130">
        <v>19.27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 s="4">
        <v>43682</v>
      </c>
      <c r="B131" s="3" t="s">
        <v>83</v>
      </c>
      <c r="C131">
        <v>5</v>
      </c>
      <c r="D131">
        <v>2939</v>
      </c>
      <c r="E131">
        <v>9</v>
      </c>
      <c r="F131">
        <v>0.30620000000000003</v>
      </c>
      <c r="G131">
        <v>5.0999999999999996</v>
      </c>
      <c r="H131">
        <v>0.56999999999999995</v>
      </c>
      <c r="I131">
        <v>1</v>
      </c>
      <c r="J131">
        <v>23.99</v>
      </c>
      <c r="K131">
        <v>21.258900000000001</v>
      </c>
      <c r="L131">
        <v>0</v>
      </c>
      <c r="M131">
        <v>0</v>
      </c>
      <c r="N131">
        <v>0</v>
      </c>
      <c r="O131">
        <v>0</v>
      </c>
    </row>
    <row r="132" spans="1:15" x14ac:dyDescent="0.2">
      <c r="A132" s="4">
        <v>43683</v>
      </c>
      <c r="B132" s="3" t="s">
        <v>74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">
      <c r="A133" s="4">
        <v>43683</v>
      </c>
      <c r="B133" s="3" t="s">
        <v>76</v>
      </c>
      <c r="C133">
        <v>10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">
      <c r="A134" s="4">
        <v>43683</v>
      </c>
      <c r="B134" s="3" t="s">
        <v>77</v>
      </c>
      <c r="C134">
        <v>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">
      <c r="A135" s="4">
        <v>43683</v>
      </c>
      <c r="B135" s="3" t="s">
        <v>27</v>
      </c>
      <c r="C135">
        <v>10</v>
      </c>
      <c r="D135">
        <v>1423</v>
      </c>
      <c r="E135">
        <v>2</v>
      </c>
      <c r="F135">
        <v>0.14050000000000001</v>
      </c>
      <c r="G135">
        <v>1.36</v>
      </c>
      <c r="H135">
        <v>0.68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">
      <c r="A136" s="4">
        <v>43683</v>
      </c>
      <c r="B136" s="3" t="s">
        <v>32</v>
      </c>
      <c r="C136">
        <v>2</v>
      </c>
      <c r="D136">
        <v>734</v>
      </c>
      <c r="E136">
        <v>6</v>
      </c>
      <c r="F136">
        <v>0.81740000000000002</v>
      </c>
      <c r="G136">
        <v>2.1800000000000002</v>
      </c>
      <c r="H136">
        <v>0.36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">
      <c r="A137" s="4">
        <v>43683</v>
      </c>
      <c r="B137" s="3" t="s">
        <v>78</v>
      </c>
      <c r="C137">
        <v>10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">
      <c r="A138" s="4">
        <v>43683</v>
      </c>
      <c r="B138" s="3" t="s">
        <v>79</v>
      </c>
      <c r="C138">
        <v>10</v>
      </c>
      <c r="D138">
        <v>652</v>
      </c>
      <c r="E138">
        <v>4</v>
      </c>
      <c r="F138">
        <v>0.61350000000000005</v>
      </c>
      <c r="G138">
        <v>0.17</v>
      </c>
      <c r="H138">
        <v>0.04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">
      <c r="A139" s="4">
        <v>43683</v>
      </c>
      <c r="B139" s="3" t="s">
        <v>80</v>
      </c>
      <c r="C139">
        <v>10</v>
      </c>
      <c r="D139">
        <v>16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">
      <c r="A140" s="4">
        <v>43683</v>
      </c>
      <c r="B140" s="3" t="s">
        <v>73</v>
      </c>
      <c r="C140">
        <v>10</v>
      </c>
      <c r="D140">
        <v>6572</v>
      </c>
      <c r="E140">
        <v>43</v>
      </c>
      <c r="F140">
        <v>0.65429999999999999</v>
      </c>
      <c r="G140">
        <v>10.59</v>
      </c>
      <c r="H140">
        <v>0.25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">
      <c r="A141" s="4">
        <v>43683</v>
      </c>
      <c r="B141" s="3" t="s">
        <v>81</v>
      </c>
      <c r="C141">
        <v>10</v>
      </c>
      <c r="D141">
        <v>1428</v>
      </c>
      <c r="E141">
        <v>7</v>
      </c>
      <c r="F141">
        <v>0.49020000000000002</v>
      </c>
      <c r="G141">
        <v>4.55</v>
      </c>
      <c r="H141">
        <v>0.65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">
      <c r="A142" s="4">
        <v>43683</v>
      </c>
      <c r="B142" s="3" t="s">
        <v>82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">
      <c r="A143" s="4">
        <v>43683</v>
      </c>
      <c r="B143" s="3" t="s">
        <v>28</v>
      </c>
      <c r="C143">
        <v>10</v>
      </c>
      <c r="D143">
        <v>1160</v>
      </c>
      <c r="E143">
        <v>5</v>
      </c>
      <c r="F143">
        <v>0.43099999999999999</v>
      </c>
      <c r="G143">
        <v>3.25</v>
      </c>
      <c r="H143">
        <v>0.65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">
      <c r="A144" s="4">
        <v>43683</v>
      </c>
      <c r="B144" s="3" t="s">
        <v>29</v>
      </c>
      <c r="C144">
        <v>3</v>
      </c>
      <c r="D144">
        <v>252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 s="4">
        <v>43683</v>
      </c>
      <c r="B145" s="3" t="s">
        <v>30</v>
      </c>
      <c r="C145">
        <v>5</v>
      </c>
      <c r="D145">
        <v>420</v>
      </c>
      <c r="E145">
        <v>4</v>
      </c>
      <c r="F145">
        <v>0.95240000000000002</v>
      </c>
      <c r="G145">
        <v>6.71</v>
      </c>
      <c r="H145">
        <v>1.68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">
      <c r="A146" s="4">
        <v>43683</v>
      </c>
      <c r="B146" s="3" t="s">
        <v>85</v>
      </c>
      <c r="C146">
        <v>5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">
      <c r="A147" s="4">
        <v>43683</v>
      </c>
      <c r="B147" s="3" t="s">
        <v>75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">
      <c r="A148" s="4">
        <v>43683</v>
      </c>
      <c r="B148" s="3" t="s">
        <v>31</v>
      </c>
      <c r="C148">
        <v>30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">
      <c r="A149" s="4">
        <v>43683</v>
      </c>
      <c r="B149" s="3" t="s">
        <v>91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">
      <c r="A150" s="4">
        <v>43683</v>
      </c>
      <c r="B150" s="3" t="s">
        <v>87</v>
      </c>
      <c r="C150">
        <v>10</v>
      </c>
      <c r="D150">
        <v>221</v>
      </c>
      <c r="E150">
        <v>1</v>
      </c>
      <c r="F150">
        <v>0.45250000000000001</v>
      </c>
      <c r="G150">
        <v>0.16</v>
      </c>
      <c r="H150">
        <v>0.16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">
      <c r="A151" s="4">
        <v>43683</v>
      </c>
      <c r="B151" s="3" t="s">
        <v>88</v>
      </c>
      <c r="C151">
        <v>15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">
      <c r="A152" s="4">
        <v>43683</v>
      </c>
      <c r="B152" s="3" t="s">
        <v>90</v>
      </c>
      <c r="C152">
        <v>20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">
      <c r="A153" s="4">
        <v>43683</v>
      </c>
      <c r="B153" s="3" t="s">
        <v>89</v>
      </c>
      <c r="C153">
        <v>15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">
      <c r="A154" s="4">
        <v>43683</v>
      </c>
      <c r="B154" s="3" t="s">
        <v>84</v>
      </c>
      <c r="C154">
        <v>10</v>
      </c>
      <c r="D154">
        <v>270</v>
      </c>
      <c r="E154">
        <v>1</v>
      </c>
      <c r="F154">
        <v>0.37040000000000001</v>
      </c>
      <c r="G154">
        <v>0.4</v>
      </c>
      <c r="H154">
        <v>0.4</v>
      </c>
      <c r="I154">
        <v>1</v>
      </c>
      <c r="J154">
        <v>12.87</v>
      </c>
      <c r="K154">
        <v>3.1080000000000001</v>
      </c>
      <c r="L154">
        <v>0</v>
      </c>
      <c r="M154">
        <v>0</v>
      </c>
      <c r="N154">
        <v>0</v>
      </c>
      <c r="O154">
        <v>0</v>
      </c>
    </row>
    <row r="155" spans="1:15" x14ac:dyDescent="0.2">
      <c r="A155" s="4">
        <v>43683</v>
      </c>
      <c r="B155" s="3" t="s">
        <v>86</v>
      </c>
      <c r="C155">
        <v>10</v>
      </c>
      <c r="D155">
        <v>6115</v>
      </c>
      <c r="E155">
        <v>6</v>
      </c>
      <c r="F155">
        <v>9.8100000000000007E-2</v>
      </c>
      <c r="G155">
        <v>2.59</v>
      </c>
      <c r="H155">
        <v>0.43</v>
      </c>
      <c r="I155">
        <v>2</v>
      </c>
      <c r="J155">
        <v>23.98</v>
      </c>
      <c r="K155">
        <v>10.800700000000001</v>
      </c>
      <c r="L155">
        <v>0</v>
      </c>
      <c r="M155">
        <v>0</v>
      </c>
      <c r="N155">
        <v>0</v>
      </c>
      <c r="O155">
        <v>0</v>
      </c>
    </row>
    <row r="156" spans="1:15" x14ac:dyDescent="0.2">
      <c r="A156" s="4">
        <v>43683</v>
      </c>
      <c r="B156" s="3" t="s">
        <v>83</v>
      </c>
      <c r="C156">
        <v>5</v>
      </c>
      <c r="D156">
        <v>8054</v>
      </c>
      <c r="E156">
        <v>10</v>
      </c>
      <c r="F156">
        <v>0.1242</v>
      </c>
      <c r="G156">
        <v>3.85</v>
      </c>
      <c r="H156">
        <v>0.38</v>
      </c>
      <c r="I156">
        <v>1</v>
      </c>
      <c r="J156">
        <v>23.99</v>
      </c>
      <c r="K156">
        <v>16.048400000000001</v>
      </c>
      <c r="L156">
        <v>0</v>
      </c>
      <c r="M156">
        <v>0</v>
      </c>
      <c r="N156">
        <v>0</v>
      </c>
      <c r="O156">
        <v>0</v>
      </c>
    </row>
    <row r="157" spans="1:15" x14ac:dyDescent="0.2">
      <c r="A157" s="4">
        <v>43683</v>
      </c>
      <c r="B157" s="3" t="s">
        <v>72</v>
      </c>
      <c r="C157">
        <v>10</v>
      </c>
      <c r="D157">
        <v>6678</v>
      </c>
      <c r="E157">
        <v>63</v>
      </c>
      <c r="F157">
        <v>0.94340000000000002</v>
      </c>
      <c r="G157">
        <v>18.84</v>
      </c>
      <c r="H157">
        <v>0.3</v>
      </c>
      <c r="I157">
        <v>1</v>
      </c>
      <c r="J157">
        <v>53.97</v>
      </c>
      <c r="K157">
        <v>34.908299999999997</v>
      </c>
      <c r="L157">
        <v>0</v>
      </c>
      <c r="M157">
        <v>0</v>
      </c>
      <c r="N157">
        <v>0</v>
      </c>
      <c r="O157">
        <v>0</v>
      </c>
    </row>
    <row r="158" spans="1:15" x14ac:dyDescent="0.2">
      <c r="A158" s="4">
        <v>43684</v>
      </c>
      <c r="B158" s="3" t="s">
        <v>74</v>
      </c>
      <c r="C158">
        <v>5</v>
      </c>
      <c r="D158">
        <v>83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 s="4">
        <v>43684</v>
      </c>
      <c r="B159" s="3" t="s">
        <v>76</v>
      </c>
      <c r="C159">
        <v>10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">
      <c r="A160" s="4">
        <v>43684</v>
      </c>
      <c r="B160" s="3" t="s">
        <v>77</v>
      </c>
      <c r="C160">
        <v>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">
      <c r="A161" s="4">
        <v>43684</v>
      </c>
      <c r="B161" s="3" t="s">
        <v>27</v>
      </c>
      <c r="C161">
        <v>10</v>
      </c>
      <c r="D161">
        <v>1104</v>
      </c>
      <c r="E161">
        <v>4</v>
      </c>
      <c r="F161">
        <v>0.36230000000000001</v>
      </c>
      <c r="G161">
        <v>2.12</v>
      </c>
      <c r="H161">
        <v>0.53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s="4">
        <v>43684</v>
      </c>
      <c r="B162" s="3" t="s">
        <v>32</v>
      </c>
      <c r="C162">
        <v>2</v>
      </c>
      <c r="D162">
        <v>829</v>
      </c>
      <c r="E162">
        <v>6</v>
      </c>
      <c r="F162">
        <v>0.7238</v>
      </c>
      <c r="G162">
        <v>2.27</v>
      </c>
      <c r="H162">
        <v>0.38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">
      <c r="A163" s="4">
        <v>43684</v>
      </c>
      <c r="B163" s="3" t="s">
        <v>78</v>
      </c>
      <c r="C163">
        <v>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">
      <c r="A164" s="4">
        <v>43684</v>
      </c>
      <c r="B164" s="3" t="s">
        <v>79</v>
      </c>
      <c r="C164">
        <v>10</v>
      </c>
      <c r="D164">
        <v>1067</v>
      </c>
      <c r="E164">
        <v>6</v>
      </c>
      <c r="F164">
        <v>0.56230000000000002</v>
      </c>
      <c r="G164">
        <v>0.21</v>
      </c>
      <c r="H164">
        <v>0.04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">
      <c r="A165" s="4">
        <v>43684</v>
      </c>
      <c r="B165" s="3" t="s">
        <v>80</v>
      </c>
      <c r="C165">
        <v>10</v>
      </c>
      <c r="D165">
        <v>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">
      <c r="A166" s="4">
        <v>43684</v>
      </c>
      <c r="B166" s="3" t="s">
        <v>73</v>
      </c>
      <c r="C166">
        <v>10</v>
      </c>
      <c r="D166">
        <v>5810</v>
      </c>
      <c r="E166">
        <v>36</v>
      </c>
      <c r="F166">
        <v>0.61960000000000004</v>
      </c>
      <c r="G166">
        <v>9.86</v>
      </c>
      <c r="H166">
        <v>0.27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">
      <c r="A167" s="4">
        <v>43684</v>
      </c>
      <c r="B167" s="3" t="s">
        <v>81</v>
      </c>
      <c r="C167">
        <v>10</v>
      </c>
      <c r="D167">
        <v>1242</v>
      </c>
      <c r="E167">
        <v>2</v>
      </c>
      <c r="F167">
        <v>0.161</v>
      </c>
      <c r="G167">
        <v>0.87</v>
      </c>
      <c r="H167">
        <v>0.44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">
      <c r="A168" s="4">
        <v>43684</v>
      </c>
      <c r="B168" s="3" t="s">
        <v>82</v>
      </c>
      <c r="C168">
        <v>5</v>
      </c>
      <c r="D168">
        <v>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">
      <c r="A169" s="4">
        <v>43684</v>
      </c>
      <c r="B169" s="3" t="s">
        <v>28</v>
      </c>
      <c r="C169">
        <v>10</v>
      </c>
      <c r="D169">
        <v>1012</v>
      </c>
      <c r="E169">
        <v>3</v>
      </c>
      <c r="F169">
        <v>0.2964</v>
      </c>
      <c r="G169">
        <v>1.95</v>
      </c>
      <c r="H169">
        <v>0.65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">
      <c r="A170" s="4">
        <v>43684</v>
      </c>
      <c r="B170" s="3" t="s">
        <v>83</v>
      </c>
      <c r="C170">
        <v>5</v>
      </c>
      <c r="D170">
        <v>11591</v>
      </c>
      <c r="E170">
        <v>7</v>
      </c>
      <c r="F170">
        <v>6.0400000000000002E-2</v>
      </c>
      <c r="G170">
        <v>4.71</v>
      </c>
      <c r="H170">
        <v>0.67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s="4">
        <v>43684</v>
      </c>
      <c r="B171" s="3" t="s">
        <v>29</v>
      </c>
      <c r="C171">
        <v>3</v>
      </c>
      <c r="D171">
        <v>278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">
      <c r="A172" s="4">
        <v>43684</v>
      </c>
      <c r="B172" s="3" t="s">
        <v>30</v>
      </c>
      <c r="C172">
        <v>5</v>
      </c>
      <c r="D172">
        <v>251</v>
      </c>
      <c r="E172">
        <v>3</v>
      </c>
      <c r="F172">
        <v>1.1952</v>
      </c>
      <c r="G172">
        <v>1.62</v>
      </c>
      <c r="H172">
        <v>0.54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">
      <c r="A173" s="4">
        <v>43684</v>
      </c>
      <c r="B173" s="3" t="s">
        <v>85</v>
      </c>
      <c r="C173">
        <v>5</v>
      </c>
      <c r="D173">
        <v>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">
      <c r="A174" s="4">
        <v>43684</v>
      </c>
      <c r="B174" s="3" t="s">
        <v>84</v>
      </c>
      <c r="C174">
        <v>10</v>
      </c>
      <c r="D174">
        <v>430</v>
      </c>
      <c r="E174">
        <v>1</v>
      </c>
      <c r="F174">
        <v>0.2326</v>
      </c>
      <c r="G174">
        <v>0.43</v>
      </c>
      <c r="H174">
        <v>0.43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">
      <c r="A175" s="4">
        <v>43684</v>
      </c>
      <c r="B175" s="3" t="s">
        <v>75</v>
      </c>
      <c r="C175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">
      <c r="A176" s="4">
        <v>43684</v>
      </c>
      <c r="B176" s="3" t="s">
        <v>31</v>
      </c>
      <c r="C176">
        <v>30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">
      <c r="A177" s="4">
        <v>43684</v>
      </c>
      <c r="B177" s="3" t="s">
        <v>91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">
      <c r="A178" s="4">
        <v>43684</v>
      </c>
      <c r="B178" s="3" t="s">
        <v>87</v>
      </c>
      <c r="C178">
        <v>10</v>
      </c>
      <c r="D178">
        <v>347</v>
      </c>
      <c r="E178">
        <v>1</v>
      </c>
      <c r="F178">
        <v>0.28820000000000001</v>
      </c>
      <c r="G178">
        <v>0.41</v>
      </c>
      <c r="H178">
        <v>0.41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">
      <c r="A179" s="4">
        <v>43684</v>
      </c>
      <c r="B179" s="3" t="s">
        <v>88</v>
      </c>
      <c r="C179">
        <v>15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">
      <c r="A180" s="4">
        <v>43684</v>
      </c>
      <c r="B180" s="3" t="s">
        <v>90</v>
      </c>
      <c r="C180">
        <v>20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">
      <c r="A181" s="4">
        <v>43684</v>
      </c>
      <c r="B181" s="3" t="s">
        <v>89</v>
      </c>
      <c r="C181">
        <v>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">
      <c r="A182" s="4">
        <v>43684</v>
      </c>
      <c r="B182" s="3" t="s">
        <v>72</v>
      </c>
      <c r="C182">
        <v>10</v>
      </c>
      <c r="D182">
        <v>6038</v>
      </c>
      <c r="E182">
        <v>46</v>
      </c>
      <c r="F182">
        <v>0.76180000000000003</v>
      </c>
      <c r="G182">
        <v>13.98</v>
      </c>
      <c r="H182">
        <v>0.3</v>
      </c>
      <c r="I182">
        <v>2</v>
      </c>
      <c r="J182">
        <v>107.94</v>
      </c>
      <c r="K182">
        <v>12.951599999999999</v>
      </c>
      <c r="L182">
        <v>0</v>
      </c>
      <c r="M182">
        <v>0</v>
      </c>
      <c r="N182">
        <v>0</v>
      </c>
      <c r="O182">
        <v>0</v>
      </c>
    </row>
    <row r="183" spans="1:15" x14ac:dyDescent="0.2">
      <c r="A183" s="4">
        <v>43684</v>
      </c>
      <c r="B183" s="3" t="s">
        <v>86</v>
      </c>
      <c r="C183">
        <v>10</v>
      </c>
      <c r="D183">
        <v>660</v>
      </c>
      <c r="E183">
        <v>7</v>
      </c>
      <c r="F183">
        <v>1.0606</v>
      </c>
      <c r="G183">
        <v>4.3600000000000003</v>
      </c>
      <c r="H183">
        <v>0.62</v>
      </c>
      <c r="I183">
        <v>1</v>
      </c>
      <c r="J183">
        <v>11.99</v>
      </c>
      <c r="K183">
        <v>36.363599999999998</v>
      </c>
      <c r="L183">
        <v>0</v>
      </c>
      <c r="M183">
        <v>0</v>
      </c>
      <c r="N183">
        <v>0</v>
      </c>
      <c r="O183">
        <v>0</v>
      </c>
    </row>
    <row r="184" spans="1:15" x14ac:dyDescent="0.2">
      <c r="A184" s="4">
        <v>43685</v>
      </c>
      <c r="B184" s="3" t="s">
        <v>74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">
      <c r="A185" s="4">
        <v>43685</v>
      </c>
      <c r="B185" s="3" t="s">
        <v>76</v>
      </c>
      <c r="C185">
        <v>10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">
      <c r="A186" s="4">
        <v>43685</v>
      </c>
      <c r="B186" s="3" t="s">
        <v>77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">
      <c r="A187" s="4">
        <v>43685</v>
      </c>
      <c r="B187" s="3" t="s">
        <v>27</v>
      </c>
      <c r="C187">
        <v>10</v>
      </c>
      <c r="D187">
        <v>880</v>
      </c>
      <c r="E187">
        <v>7</v>
      </c>
      <c r="F187">
        <v>0.79549999999999998</v>
      </c>
      <c r="G187">
        <v>4.3099999999999996</v>
      </c>
      <c r="H187">
        <v>0.62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">
      <c r="A188" s="4">
        <v>43685</v>
      </c>
      <c r="B188" s="3" t="s">
        <v>32</v>
      </c>
      <c r="C188">
        <v>2</v>
      </c>
      <c r="D188">
        <v>899</v>
      </c>
      <c r="E188">
        <v>7</v>
      </c>
      <c r="F188">
        <v>0.77859999999999996</v>
      </c>
      <c r="G188">
        <v>2.27</v>
      </c>
      <c r="H188">
        <v>0.32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 s="4">
        <v>43685</v>
      </c>
      <c r="B189" s="3" t="s">
        <v>78</v>
      </c>
      <c r="C189">
        <v>10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">
      <c r="A190" s="4">
        <v>43685</v>
      </c>
      <c r="B190" s="3" t="s">
        <v>79</v>
      </c>
      <c r="C190">
        <v>10</v>
      </c>
      <c r="D190">
        <v>834</v>
      </c>
      <c r="E190">
        <v>7</v>
      </c>
      <c r="F190">
        <v>0.83930000000000005</v>
      </c>
      <c r="G190">
        <v>0.49</v>
      </c>
      <c r="H190">
        <v>7.0000000000000007E-2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">
      <c r="A191" s="4">
        <v>43685</v>
      </c>
      <c r="B191" s="3" t="s">
        <v>80</v>
      </c>
      <c r="C191">
        <v>10</v>
      </c>
      <c r="D191">
        <v>39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">
      <c r="A192" s="4">
        <v>43685</v>
      </c>
      <c r="B192" s="3" t="s">
        <v>73</v>
      </c>
      <c r="C192">
        <v>10</v>
      </c>
      <c r="D192">
        <v>4744</v>
      </c>
      <c r="E192">
        <v>36</v>
      </c>
      <c r="F192">
        <v>0.75890000000000002</v>
      </c>
      <c r="G192">
        <v>10.25</v>
      </c>
      <c r="H192">
        <v>0.28000000000000003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">
      <c r="A193" s="4">
        <v>43685</v>
      </c>
      <c r="B193" s="3" t="s">
        <v>81</v>
      </c>
      <c r="C193">
        <v>10</v>
      </c>
      <c r="D193">
        <v>631</v>
      </c>
      <c r="E193">
        <v>5</v>
      </c>
      <c r="F193">
        <v>0.79239999999999999</v>
      </c>
      <c r="G193">
        <v>2.99</v>
      </c>
      <c r="H193">
        <v>0.6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">
      <c r="A194" s="4">
        <v>43685</v>
      </c>
      <c r="B194" s="3" t="s">
        <v>82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">
      <c r="A195" s="4">
        <v>43685</v>
      </c>
      <c r="B195" s="3" t="s">
        <v>28</v>
      </c>
      <c r="C195">
        <v>10</v>
      </c>
      <c r="D195">
        <v>684</v>
      </c>
      <c r="E195">
        <v>4</v>
      </c>
      <c r="F195">
        <v>0.58479999999999999</v>
      </c>
      <c r="G195">
        <v>1.78</v>
      </c>
      <c r="H195">
        <v>0.45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">
      <c r="A196" s="4">
        <v>43685</v>
      </c>
      <c r="B196" s="3" t="s">
        <v>83</v>
      </c>
      <c r="C196">
        <v>5</v>
      </c>
      <c r="D196">
        <v>5500</v>
      </c>
      <c r="E196">
        <v>9</v>
      </c>
      <c r="F196">
        <v>0.1636</v>
      </c>
      <c r="G196">
        <v>5.28</v>
      </c>
      <c r="H196">
        <v>0.59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">
      <c r="A197" s="4">
        <v>43685</v>
      </c>
      <c r="B197" s="3" t="s">
        <v>29</v>
      </c>
      <c r="C197">
        <v>3</v>
      </c>
      <c r="D197">
        <v>249</v>
      </c>
      <c r="E197">
        <v>1</v>
      </c>
      <c r="F197">
        <v>0.40160000000000001</v>
      </c>
      <c r="G197">
        <v>0.14000000000000001</v>
      </c>
      <c r="H197">
        <v>0.14000000000000001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">
      <c r="A198" s="4">
        <v>43685</v>
      </c>
      <c r="B198" s="3" t="s">
        <v>86</v>
      </c>
      <c r="C198">
        <v>10</v>
      </c>
      <c r="D198">
        <v>1697</v>
      </c>
      <c r="E198">
        <v>2</v>
      </c>
      <c r="F198">
        <v>0.1179</v>
      </c>
      <c r="G198">
        <v>0.3</v>
      </c>
      <c r="H198">
        <v>0.15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">
      <c r="A199" s="4">
        <v>43685</v>
      </c>
      <c r="B199" s="3" t="s">
        <v>30</v>
      </c>
      <c r="C199">
        <v>5</v>
      </c>
      <c r="D199">
        <v>186</v>
      </c>
      <c r="E199">
        <v>1</v>
      </c>
      <c r="F199">
        <v>0.53759999999999997</v>
      </c>
      <c r="G199">
        <v>0.31</v>
      </c>
      <c r="H199">
        <v>0.31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">
      <c r="A200" s="4">
        <v>43685</v>
      </c>
      <c r="B200" s="3" t="s">
        <v>85</v>
      </c>
      <c r="C200">
        <v>5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 s="4">
        <v>43685</v>
      </c>
      <c r="B201" s="3" t="s">
        <v>84</v>
      </c>
      <c r="C201">
        <v>10</v>
      </c>
      <c r="D201">
        <v>312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">
      <c r="A202" s="4">
        <v>43685</v>
      </c>
      <c r="B202" s="3" t="s">
        <v>75</v>
      </c>
      <c r="C202">
        <v>5</v>
      </c>
      <c r="D202">
        <v>2533</v>
      </c>
      <c r="E202">
        <v>16</v>
      </c>
      <c r="F202">
        <v>0.63170000000000004</v>
      </c>
      <c r="G202">
        <v>4.66</v>
      </c>
      <c r="H202">
        <v>0.28999999999999998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">
      <c r="A203" s="4">
        <v>43685</v>
      </c>
      <c r="B203" s="3" t="s">
        <v>31</v>
      </c>
      <c r="C203">
        <v>30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">
      <c r="A204" s="4">
        <v>43685</v>
      </c>
      <c r="B204" s="3" t="s">
        <v>91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">
      <c r="A205" s="4">
        <v>43685</v>
      </c>
      <c r="B205" s="3" t="s">
        <v>88</v>
      </c>
      <c r="C205">
        <v>15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">
      <c r="A206" s="4">
        <v>43685</v>
      </c>
      <c r="B206" s="3" t="s">
        <v>90</v>
      </c>
      <c r="C206">
        <v>20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">
      <c r="A207" s="4">
        <v>43685</v>
      </c>
      <c r="B207" s="3" t="s">
        <v>89</v>
      </c>
      <c r="C207">
        <v>15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 s="4">
        <v>43685</v>
      </c>
      <c r="B208" s="3" t="s">
        <v>87</v>
      </c>
      <c r="C208">
        <v>10</v>
      </c>
      <c r="D208">
        <v>331</v>
      </c>
      <c r="E208">
        <v>1</v>
      </c>
      <c r="F208">
        <v>0.30209999999999998</v>
      </c>
      <c r="G208">
        <v>0.27</v>
      </c>
      <c r="H208">
        <v>0.27</v>
      </c>
      <c r="I208">
        <v>1</v>
      </c>
      <c r="J208">
        <v>35.97</v>
      </c>
      <c r="K208">
        <v>0.75060000000000004</v>
      </c>
      <c r="L208">
        <v>0</v>
      </c>
      <c r="M208">
        <v>0</v>
      </c>
      <c r="N208">
        <v>0</v>
      </c>
      <c r="O208">
        <v>0</v>
      </c>
    </row>
    <row r="209" spans="1:15" x14ac:dyDescent="0.2">
      <c r="A209" s="4">
        <v>43685</v>
      </c>
      <c r="B209" s="3" t="s">
        <v>72</v>
      </c>
      <c r="C209">
        <v>10</v>
      </c>
      <c r="D209">
        <v>4852</v>
      </c>
      <c r="E209">
        <v>59</v>
      </c>
      <c r="F209">
        <v>1.216</v>
      </c>
      <c r="G209">
        <v>17.850000000000001</v>
      </c>
      <c r="H209">
        <v>0.3</v>
      </c>
      <c r="I209">
        <v>1</v>
      </c>
      <c r="J209">
        <v>53.97</v>
      </c>
      <c r="K209">
        <v>33.073900000000002</v>
      </c>
      <c r="L209">
        <v>0</v>
      </c>
      <c r="M209">
        <v>0</v>
      </c>
      <c r="N209">
        <v>0</v>
      </c>
      <c r="O209">
        <v>0</v>
      </c>
    </row>
    <row r="210" spans="1:15" x14ac:dyDescent="0.2">
      <c r="A210" s="4">
        <v>43686</v>
      </c>
      <c r="B210" s="3" t="s">
        <v>74</v>
      </c>
      <c r="C210">
        <v>5</v>
      </c>
      <c r="D210">
        <v>42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">
      <c r="A211" s="4">
        <v>43686</v>
      </c>
      <c r="B211" s="3" t="s">
        <v>76</v>
      </c>
      <c r="C211">
        <v>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">
      <c r="A212" s="4">
        <v>43686</v>
      </c>
      <c r="B212" s="3" t="s">
        <v>77</v>
      </c>
      <c r="C212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 s="4">
        <v>43686</v>
      </c>
      <c r="B213" s="3" t="s">
        <v>32</v>
      </c>
      <c r="C213">
        <v>2</v>
      </c>
      <c r="D213">
        <v>785</v>
      </c>
      <c r="E213">
        <v>8</v>
      </c>
      <c r="F213">
        <v>1.0190999999999999</v>
      </c>
      <c r="G213">
        <v>2.12</v>
      </c>
      <c r="H213">
        <v>0.27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">
      <c r="A214" s="4">
        <v>43686</v>
      </c>
      <c r="B214" s="3" t="s">
        <v>78</v>
      </c>
      <c r="C214">
        <v>10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 s="4">
        <v>43686</v>
      </c>
      <c r="B215" s="3" t="s">
        <v>80</v>
      </c>
      <c r="C215">
        <v>10</v>
      </c>
      <c r="D215">
        <v>44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 s="4">
        <v>43686</v>
      </c>
      <c r="B216" s="3" t="s">
        <v>82</v>
      </c>
      <c r="C216">
        <v>5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">
      <c r="A217" s="4">
        <v>43686</v>
      </c>
      <c r="B217" s="3" t="s">
        <v>28</v>
      </c>
      <c r="C217">
        <v>10</v>
      </c>
      <c r="D217">
        <v>681</v>
      </c>
      <c r="E217">
        <v>4</v>
      </c>
      <c r="F217">
        <v>0.58740000000000003</v>
      </c>
      <c r="G217">
        <v>2.57</v>
      </c>
      <c r="H217">
        <v>0.64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">
      <c r="A218" s="4">
        <v>43686</v>
      </c>
      <c r="B218" s="3" t="s">
        <v>83</v>
      </c>
      <c r="C218">
        <v>5</v>
      </c>
      <c r="D218">
        <v>5606</v>
      </c>
      <c r="E218">
        <v>6</v>
      </c>
      <c r="F218">
        <v>0.107</v>
      </c>
      <c r="G218">
        <v>3.48</v>
      </c>
      <c r="H218">
        <v>0.57999999999999996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 s="4">
        <v>43686</v>
      </c>
      <c r="B219" s="3" t="s">
        <v>29</v>
      </c>
      <c r="C219">
        <v>3</v>
      </c>
      <c r="D219">
        <v>263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">
      <c r="A220" s="4">
        <v>43686</v>
      </c>
      <c r="B220" s="3" t="s">
        <v>30</v>
      </c>
      <c r="C220">
        <v>5</v>
      </c>
      <c r="D220">
        <v>94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">
      <c r="A221" s="4">
        <v>43686</v>
      </c>
      <c r="B221" s="3" t="s">
        <v>85</v>
      </c>
      <c r="C221">
        <v>5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 s="4">
        <v>43686</v>
      </c>
      <c r="B222" s="3" t="s">
        <v>84</v>
      </c>
      <c r="C222">
        <v>10</v>
      </c>
      <c r="D222">
        <v>173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">
      <c r="A223" s="4">
        <v>43686</v>
      </c>
      <c r="B223" s="3" t="s">
        <v>75</v>
      </c>
      <c r="C223">
        <v>5</v>
      </c>
      <c r="D223">
        <v>730</v>
      </c>
      <c r="E223">
        <v>4</v>
      </c>
      <c r="F223">
        <v>0.54790000000000005</v>
      </c>
      <c r="G223">
        <v>1.1499999999999999</v>
      </c>
      <c r="H223">
        <v>0.28999999999999998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">
      <c r="A224" s="4">
        <v>43686</v>
      </c>
      <c r="B224" s="3" t="s">
        <v>31</v>
      </c>
      <c r="C224">
        <v>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">
      <c r="A225" s="4">
        <v>43686</v>
      </c>
      <c r="B225" s="3" t="s">
        <v>91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">
      <c r="A226" s="4">
        <v>43686</v>
      </c>
      <c r="B226" s="3" t="s">
        <v>87</v>
      </c>
      <c r="C226">
        <v>10</v>
      </c>
      <c r="D226">
        <v>328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">
      <c r="A227" s="4">
        <v>43686</v>
      </c>
      <c r="B227" s="3" t="s">
        <v>88</v>
      </c>
      <c r="C227">
        <v>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">
      <c r="A228" s="4">
        <v>43686</v>
      </c>
      <c r="B228" s="3" t="s">
        <v>90</v>
      </c>
      <c r="C228">
        <v>20</v>
      </c>
      <c r="D228">
        <v>1278</v>
      </c>
      <c r="E228">
        <v>14</v>
      </c>
      <c r="F228">
        <v>1.0954999999999999</v>
      </c>
      <c r="G228">
        <v>3.49</v>
      </c>
      <c r="H228">
        <v>0.25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 s="4">
        <v>43686</v>
      </c>
      <c r="B229" s="3" t="s">
        <v>89</v>
      </c>
      <c r="C229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">
      <c r="A230" s="4">
        <v>43686</v>
      </c>
      <c r="B230" s="3" t="s">
        <v>79</v>
      </c>
      <c r="C230">
        <v>10</v>
      </c>
      <c r="D230">
        <v>788</v>
      </c>
      <c r="E230">
        <v>6</v>
      </c>
      <c r="F230">
        <v>0.76139999999999997</v>
      </c>
      <c r="G230">
        <v>0.24</v>
      </c>
      <c r="H230">
        <v>0.04</v>
      </c>
      <c r="I230">
        <v>1</v>
      </c>
      <c r="J230">
        <v>75.97</v>
      </c>
      <c r="K230">
        <v>0.31590000000000001</v>
      </c>
      <c r="L230">
        <v>0</v>
      </c>
      <c r="M230">
        <v>0</v>
      </c>
      <c r="N230">
        <v>0</v>
      </c>
      <c r="O230">
        <v>0</v>
      </c>
    </row>
    <row r="231" spans="1:15" x14ac:dyDescent="0.2">
      <c r="A231" s="4">
        <v>43686</v>
      </c>
      <c r="B231" s="3" t="s">
        <v>27</v>
      </c>
      <c r="C231">
        <v>10</v>
      </c>
      <c r="D231">
        <v>668</v>
      </c>
      <c r="E231">
        <v>2</v>
      </c>
      <c r="F231">
        <v>0.2994</v>
      </c>
      <c r="G231">
        <v>1.29</v>
      </c>
      <c r="H231">
        <v>0.65</v>
      </c>
      <c r="I231">
        <v>1</v>
      </c>
      <c r="J231">
        <v>23.99</v>
      </c>
      <c r="K231">
        <v>5.3772000000000002</v>
      </c>
      <c r="L231">
        <v>0</v>
      </c>
      <c r="M231">
        <v>0</v>
      </c>
      <c r="N231">
        <v>0</v>
      </c>
      <c r="O231">
        <v>0</v>
      </c>
    </row>
    <row r="232" spans="1:15" x14ac:dyDescent="0.2">
      <c r="A232" s="4">
        <v>43686</v>
      </c>
      <c r="B232" s="3" t="s">
        <v>81</v>
      </c>
      <c r="C232">
        <v>10</v>
      </c>
      <c r="D232">
        <v>778</v>
      </c>
      <c r="E232">
        <v>2</v>
      </c>
      <c r="F232">
        <v>0.2571</v>
      </c>
      <c r="G232">
        <v>1.74</v>
      </c>
      <c r="H232">
        <v>0.87</v>
      </c>
      <c r="I232">
        <v>1</v>
      </c>
      <c r="J232">
        <v>23.99</v>
      </c>
      <c r="K232">
        <v>7.2530000000000001</v>
      </c>
      <c r="L232">
        <v>0</v>
      </c>
      <c r="M232">
        <v>0</v>
      </c>
      <c r="N232">
        <v>0</v>
      </c>
      <c r="O232">
        <v>0</v>
      </c>
    </row>
    <row r="233" spans="1:15" x14ac:dyDescent="0.2">
      <c r="A233" s="4">
        <v>43686</v>
      </c>
      <c r="B233" s="3" t="s">
        <v>72</v>
      </c>
      <c r="C233">
        <v>10</v>
      </c>
      <c r="D233">
        <v>3524</v>
      </c>
      <c r="E233">
        <v>37</v>
      </c>
      <c r="F233">
        <v>1.0499000000000001</v>
      </c>
      <c r="G233">
        <v>10.130000000000001</v>
      </c>
      <c r="H233">
        <v>0.27</v>
      </c>
      <c r="I233">
        <v>1</v>
      </c>
      <c r="J233">
        <v>53.97</v>
      </c>
      <c r="K233">
        <v>18.7697</v>
      </c>
      <c r="L233">
        <v>0</v>
      </c>
      <c r="M233">
        <v>0</v>
      </c>
      <c r="N233">
        <v>0</v>
      </c>
      <c r="O233">
        <v>0</v>
      </c>
    </row>
    <row r="234" spans="1:15" x14ac:dyDescent="0.2">
      <c r="A234" s="4">
        <v>43686</v>
      </c>
      <c r="B234" s="3" t="s">
        <v>73</v>
      </c>
      <c r="C234">
        <v>10</v>
      </c>
      <c r="D234">
        <v>4190</v>
      </c>
      <c r="E234">
        <v>41</v>
      </c>
      <c r="F234">
        <v>0.97850000000000004</v>
      </c>
      <c r="G234">
        <v>10.199999999999999</v>
      </c>
      <c r="H234">
        <v>0.25</v>
      </c>
      <c r="I234">
        <v>1</v>
      </c>
      <c r="J234">
        <v>53.97</v>
      </c>
      <c r="K234">
        <v>18.8994</v>
      </c>
      <c r="L234">
        <v>0</v>
      </c>
      <c r="M234">
        <v>0</v>
      </c>
      <c r="N234">
        <v>0</v>
      </c>
      <c r="O234">
        <v>0</v>
      </c>
    </row>
    <row r="235" spans="1:15" x14ac:dyDescent="0.2">
      <c r="A235" s="4">
        <v>43686</v>
      </c>
      <c r="B235" s="3" t="s">
        <v>86</v>
      </c>
      <c r="C235">
        <v>10</v>
      </c>
      <c r="D235">
        <v>452</v>
      </c>
      <c r="E235">
        <v>5</v>
      </c>
      <c r="F235">
        <v>1.1062000000000001</v>
      </c>
      <c r="G235">
        <v>2.38</v>
      </c>
      <c r="H235">
        <v>0.48</v>
      </c>
      <c r="I235">
        <v>1</v>
      </c>
      <c r="J235">
        <v>11.99</v>
      </c>
      <c r="K235">
        <v>19.849900000000002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 s="4">
        <v>43687</v>
      </c>
      <c r="B236" s="3" t="s">
        <v>74</v>
      </c>
      <c r="C236">
        <v>5</v>
      </c>
      <c r="D236">
        <v>962</v>
      </c>
      <c r="E236">
        <v>14</v>
      </c>
      <c r="F236">
        <v>1.4553</v>
      </c>
      <c r="G236">
        <v>2.35</v>
      </c>
      <c r="H236">
        <v>0.17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s="4">
        <v>43687</v>
      </c>
      <c r="B237" s="3" t="s">
        <v>76</v>
      </c>
      <c r="C237">
        <v>10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">
      <c r="A238" s="4">
        <v>43687</v>
      </c>
      <c r="B238" s="3" t="s">
        <v>77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">
      <c r="A239" s="4">
        <v>43687</v>
      </c>
      <c r="B239" s="3" t="s">
        <v>27</v>
      </c>
      <c r="C239">
        <v>10</v>
      </c>
      <c r="D239">
        <v>380</v>
      </c>
      <c r="E239">
        <v>5</v>
      </c>
      <c r="F239">
        <v>1.3158000000000001</v>
      </c>
      <c r="G239">
        <v>3.05</v>
      </c>
      <c r="H239">
        <v>0.61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">
      <c r="A240" s="4">
        <v>43687</v>
      </c>
      <c r="B240" s="3" t="s">
        <v>72</v>
      </c>
      <c r="C240">
        <v>10</v>
      </c>
      <c r="D240">
        <v>1406</v>
      </c>
      <c r="E240">
        <v>18</v>
      </c>
      <c r="F240">
        <v>1.2802</v>
      </c>
      <c r="G240">
        <v>4.74</v>
      </c>
      <c r="H240">
        <v>0.26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">
      <c r="A241" s="4">
        <v>43687</v>
      </c>
      <c r="B241" s="3" t="s">
        <v>78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">
      <c r="A242" s="4">
        <v>43687</v>
      </c>
      <c r="B242" s="3" t="s">
        <v>79</v>
      </c>
      <c r="C242">
        <v>10</v>
      </c>
      <c r="D242">
        <v>525</v>
      </c>
      <c r="E242">
        <v>2</v>
      </c>
      <c r="F242">
        <v>0.38100000000000001</v>
      </c>
      <c r="G242">
        <v>0.13</v>
      </c>
      <c r="H242">
        <v>7.0000000000000007E-2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">
      <c r="A243" s="4">
        <v>43687</v>
      </c>
      <c r="B243" s="3" t="s">
        <v>80</v>
      </c>
      <c r="C243">
        <v>10</v>
      </c>
      <c r="D243">
        <v>70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">
      <c r="A244" s="4">
        <v>43687</v>
      </c>
      <c r="B244" s="3" t="s">
        <v>73</v>
      </c>
      <c r="C244">
        <v>10</v>
      </c>
      <c r="D244">
        <v>9575</v>
      </c>
      <c r="E244">
        <v>47</v>
      </c>
      <c r="F244">
        <v>0.4909</v>
      </c>
      <c r="G244">
        <v>10.66</v>
      </c>
      <c r="H244">
        <v>0.23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">
      <c r="A245" s="4">
        <v>43687</v>
      </c>
      <c r="B245" s="3" t="s">
        <v>81</v>
      </c>
      <c r="C245">
        <v>10</v>
      </c>
      <c r="D245">
        <v>132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">
      <c r="A246" s="4">
        <v>43687</v>
      </c>
      <c r="B246" s="3" t="s">
        <v>82</v>
      </c>
      <c r="C246">
        <v>5</v>
      </c>
      <c r="D246">
        <v>90</v>
      </c>
      <c r="E246">
        <v>4</v>
      </c>
      <c r="F246">
        <v>4.4443999999999999</v>
      </c>
      <c r="G246">
        <v>0.08</v>
      </c>
      <c r="H246">
        <v>0.02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">
      <c r="A247" s="4">
        <v>43687</v>
      </c>
      <c r="B247" s="3" t="s">
        <v>28</v>
      </c>
      <c r="C247">
        <v>10</v>
      </c>
      <c r="D247">
        <v>519</v>
      </c>
      <c r="E247">
        <v>3</v>
      </c>
      <c r="F247">
        <v>0.57799999999999996</v>
      </c>
      <c r="G247">
        <v>1.5</v>
      </c>
      <c r="H247">
        <v>0.5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">
      <c r="A248" s="4">
        <v>43687</v>
      </c>
      <c r="B248" s="3" t="s">
        <v>86</v>
      </c>
      <c r="C248">
        <v>10</v>
      </c>
      <c r="D248">
        <v>330</v>
      </c>
      <c r="E248">
        <v>8</v>
      </c>
      <c r="F248">
        <v>2.4241999999999999</v>
      </c>
      <c r="G248">
        <v>3.78</v>
      </c>
      <c r="H248">
        <v>0.47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">
      <c r="A249" s="4">
        <v>43687</v>
      </c>
      <c r="B249" s="3" t="s">
        <v>30</v>
      </c>
      <c r="C249">
        <v>5</v>
      </c>
      <c r="D249">
        <v>163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 s="4">
        <v>43687</v>
      </c>
      <c r="B250" s="3" t="s">
        <v>85</v>
      </c>
      <c r="C250">
        <v>5</v>
      </c>
      <c r="D250">
        <v>8</v>
      </c>
      <c r="E250">
        <v>1</v>
      </c>
      <c r="F250">
        <v>12.5</v>
      </c>
      <c r="G250">
        <v>0.02</v>
      </c>
      <c r="H250">
        <v>0.02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">
      <c r="A251" s="4">
        <v>43687</v>
      </c>
      <c r="B251" s="3" t="s">
        <v>84</v>
      </c>
      <c r="C251">
        <v>10</v>
      </c>
      <c r="D251">
        <v>188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">
      <c r="A252" s="4">
        <v>43687</v>
      </c>
      <c r="B252" s="3" t="s">
        <v>31</v>
      </c>
      <c r="C252">
        <v>30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">
      <c r="A253" s="4">
        <v>43687</v>
      </c>
      <c r="B253" s="3" t="s">
        <v>91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">
      <c r="A254" s="4">
        <v>43687</v>
      </c>
      <c r="B254" s="3" t="s">
        <v>87</v>
      </c>
      <c r="C254">
        <v>10</v>
      </c>
      <c r="D254">
        <v>337</v>
      </c>
      <c r="E254">
        <v>2</v>
      </c>
      <c r="F254">
        <v>0.59350000000000003</v>
      </c>
      <c r="G254">
        <v>0.41</v>
      </c>
      <c r="H254">
        <v>0.21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">
      <c r="A255" s="4">
        <v>43687</v>
      </c>
      <c r="B255" s="3" t="s">
        <v>88</v>
      </c>
      <c r="C255">
        <v>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">
      <c r="A256" s="4">
        <v>43687</v>
      </c>
      <c r="B256" s="3" t="s">
        <v>89</v>
      </c>
      <c r="C256">
        <v>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">
      <c r="A257" s="4">
        <v>43687</v>
      </c>
      <c r="B257" s="3" t="s">
        <v>29</v>
      </c>
      <c r="C257">
        <v>3</v>
      </c>
      <c r="D257">
        <v>332</v>
      </c>
      <c r="E257">
        <v>1</v>
      </c>
      <c r="F257">
        <v>0.30120000000000002</v>
      </c>
      <c r="G257">
        <v>0.12</v>
      </c>
      <c r="H257">
        <v>0.12</v>
      </c>
      <c r="I257">
        <v>1</v>
      </c>
      <c r="J257">
        <v>10.99</v>
      </c>
      <c r="K257">
        <v>1.0919000000000001</v>
      </c>
      <c r="L257">
        <v>0</v>
      </c>
      <c r="M257">
        <v>0</v>
      </c>
      <c r="N257">
        <v>0</v>
      </c>
      <c r="O257">
        <v>0</v>
      </c>
    </row>
    <row r="258" spans="1:15" x14ac:dyDescent="0.2">
      <c r="A258" s="4">
        <v>43687</v>
      </c>
      <c r="B258" s="3" t="s">
        <v>83</v>
      </c>
      <c r="C258">
        <v>5</v>
      </c>
      <c r="D258">
        <v>524</v>
      </c>
      <c r="E258">
        <v>1</v>
      </c>
      <c r="F258">
        <v>0.1908</v>
      </c>
      <c r="G258">
        <v>0.72</v>
      </c>
      <c r="H258">
        <v>0.72</v>
      </c>
      <c r="I258">
        <v>1</v>
      </c>
      <c r="J258">
        <v>23.99</v>
      </c>
      <c r="K258">
        <v>3.0013000000000001</v>
      </c>
      <c r="L258">
        <v>0</v>
      </c>
      <c r="M258">
        <v>0</v>
      </c>
      <c r="N258">
        <v>0</v>
      </c>
      <c r="O258">
        <v>0</v>
      </c>
    </row>
    <row r="259" spans="1:15" x14ac:dyDescent="0.2">
      <c r="A259" s="4">
        <v>43687</v>
      </c>
      <c r="B259" s="3" t="s">
        <v>75</v>
      </c>
      <c r="C259">
        <v>5</v>
      </c>
      <c r="D259">
        <v>3513</v>
      </c>
      <c r="E259">
        <v>22</v>
      </c>
      <c r="F259">
        <v>0.62619999999999998</v>
      </c>
      <c r="G259">
        <v>5.72</v>
      </c>
      <c r="H259">
        <v>0.26</v>
      </c>
      <c r="I259">
        <v>1</v>
      </c>
      <c r="J259">
        <v>77.97</v>
      </c>
      <c r="K259">
        <v>7.3361999999999998</v>
      </c>
      <c r="L259">
        <v>0</v>
      </c>
      <c r="M259">
        <v>0</v>
      </c>
      <c r="N259">
        <v>0</v>
      </c>
      <c r="O259">
        <v>0</v>
      </c>
    </row>
    <row r="260" spans="1:15" x14ac:dyDescent="0.2">
      <c r="A260" s="4">
        <v>43687</v>
      </c>
      <c r="B260" s="3" t="s">
        <v>32</v>
      </c>
      <c r="C260">
        <v>2</v>
      </c>
      <c r="D260">
        <v>3250</v>
      </c>
      <c r="E260">
        <v>23</v>
      </c>
      <c r="F260">
        <v>0.7077</v>
      </c>
      <c r="G260">
        <v>8.35</v>
      </c>
      <c r="H260">
        <v>0.36</v>
      </c>
      <c r="I260">
        <v>1</v>
      </c>
      <c r="J260">
        <v>53.97</v>
      </c>
      <c r="K260">
        <v>15.4716</v>
      </c>
      <c r="L260">
        <v>1</v>
      </c>
      <c r="M260">
        <v>100</v>
      </c>
      <c r="N260">
        <v>53.97</v>
      </c>
      <c r="O260">
        <v>100</v>
      </c>
    </row>
    <row r="261" spans="1:15" x14ac:dyDescent="0.2">
      <c r="A261" s="4">
        <v>43687</v>
      </c>
      <c r="B261" s="3" t="s">
        <v>90</v>
      </c>
      <c r="C261">
        <v>20</v>
      </c>
      <c r="D261">
        <v>5879</v>
      </c>
      <c r="E261">
        <v>51</v>
      </c>
      <c r="F261">
        <v>0.86750000000000005</v>
      </c>
      <c r="G261">
        <v>13.59</v>
      </c>
      <c r="H261">
        <v>0.27</v>
      </c>
      <c r="I261">
        <v>1</v>
      </c>
      <c r="J261">
        <v>77.97</v>
      </c>
      <c r="K261">
        <v>17.4298</v>
      </c>
      <c r="L261">
        <v>0</v>
      </c>
      <c r="M261">
        <v>0</v>
      </c>
      <c r="N261">
        <v>0</v>
      </c>
      <c r="O261">
        <v>0</v>
      </c>
    </row>
    <row r="262" spans="1:15" x14ac:dyDescent="0.2">
      <c r="A262" s="4">
        <v>43688</v>
      </c>
      <c r="B262" s="3" t="s">
        <v>74</v>
      </c>
      <c r="C262">
        <v>5</v>
      </c>
      <c r="D262">
        <v>1341</v>
      </c>
      <c r="E262">
        <v>18</v>
      </c>
      <c r="F262">
        <v>1.3423</v>
      </c>
      <c r="G262">
        <v>3.22</v>
      </c>
      <c r="H262">
        <v>0.18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">
      <c r="A263" s="4">
        <v>43688</v>
      </c>
      <c r="B263" s="3" t="s">
        <v>76</v>
      </c>
      <c r="C263">
        <v>10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">
      <c r="A264" s="4">
        <v>43688</v>
      </c>
      <c r="B264" s="3" t="s">
        <v>77</v>
      </c>
      <c r="C264">
        <v>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">
      <c r="A265" s="4">
        <v>43688</v>
      </c>
      <c r="B265" s="3" t="s">
        <v>27</v>
      </c>
      <c r="C265">
        <v>10</v>
      </c>
      <c r="D265">
        <v>1539</v>
      </c>
      <c r="E265">
        <v>9</v>
      </c>
      <c r="F265">
        <v>0.58479999999999999</v>
      </c>
      <c r="G265">
        <v>5.81</v>
      </c>
      <c r="H265">
        <v>0.65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">
      <c r="A266" s="4">
        <v>43688</v>
      </c>
      <c r="B266" s="3" t="s">
        <v>32</v>
      </c>
      <c r="C266">
        <v>2</v>
      </c>
      <c r="D266">
        <v>2678</v>
      </c>
      <c r="E266">
        <v>26</v>
      </c>
      <c r="F266">
        <v>0.97089999999999999</v>
      </c>
      <c r="G266">
        <v>10.09</v>
      </c>
      <c r="H266">
        <v>0.39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">
      <c r="A267" s="4">
        <v>43688</v>
      </c>
      <c r="B267" s="3" t="s">
        <v>78</v>
      </c>
      <c r="C267">
        <v>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">
      <c r="A268" s="4">
        <v>43688</v>
      </c>
      <c r="B268" s="3" t="s">
        <v>79</v>
      </c>
      <c r="C268">
        <v>10</v>
      </c>
      <c r="D268">
        <v>72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">
      <c r="A269" s="4">
        <v>43688</v>
      </c>
      <c r="B269" s="3" t="s">
        <v>80</v>
      </c>
      <c r="C269">
        <v>10</v>
      </c>
      <c r="D269">
        <v>30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6.97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">
      <c r="A270" s="4">
        <v>43688</v>
      </c>
      <c r="B270" s="3" t="s">
        <v>73</v>
      </c>
      <c r="C270">
        <v>10</v>
      </c>
      <c r="D270">
        <v>3282</v>
      </c>
      <c r="E270">
        <v>15</v>
      </c>
      <c r="F270">
        <v>0.45700000000000002</v>
      </c>
      <c r="G270">
        <v>2.72</v>
      </c>
      <c r="H270">
        <v>0.18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">
      <c r="A271" s="4">
        <v>43688</v>
      </c>
      <c r="B271" s="3" t="s">
        <v>81</v>
      </c>
      <c r="C271">
        <v>10</v>
      </c>
      <c r="D271">
        <v>857</v>
      </c>
      <c r="E271">
        <v>4</v>
      </c>
      <c r="F271">
        <v>0.4667</v>
      </c>
      <c r="G271">
        <v>1.61</v>
      </c>
      <c r="H271">
        <v>0.4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">
      <c r="A272" s="4">
        <v>43688</v>
      </c>
      <c r="B272" s="3" t="s">
        <v>82</v>
      </c>
      <c r="C272">
        <v>5</v>
      </c>
      <c r="D272">
        <v>63</v>
      </c>
      <c r="E272">
        <v>1</v>
      </c>
      <c r="F272">
        <v>1.5872999999999999</v>
      </c>
      <c r="G272">
        <v>0.02</v>
      </c>
      <c r="H272">
        <v>0.02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">
      <c r="A273" s="4">
        <v>43688</v>
      </c>
      <c r="B273" s="3" t="s">
        <v>29</v>
      </c>
      <c r="C273">
        <v>3</v>
      </c>
      <c r="D273">
        <v>243</v>
      </c>
      <c r="E273">
        <v>1</v>
      </c>
      <c r="F273">
        <v>0.41149999999999998</v>
      </c>
      <c r="G273">
        <v>0.11</v>
      </c>
      <c r="H273">
        <v>0.11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">
      <c r="A274" s="4">
        <v>43688</v>
      </c>
      <c r="B274" s="3" t="s">
        <v>86</v>
      </c>
      <c r="C274">
        <v>10</v>
      </c>
      <c r="D274">
        <v>414</v>
      </c>
      <c r="E274">
        <v>5</v>
      </c>
      <c r="F274">
        <v>1.2077</v>
      </c>
      <c r="G274">
        <v>1.98</v>
      </c>
      <c r="H274">
        <v>0.4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">
      <c r="A275" s="4">
        <v>43688</v>
      </c>
      <c r="B275" s="3" t="s">
        <v>30</v>
      </c>
      <c r="C275">
        <v>5</v>
      </c>
      <c r="D275">
        <v>134</v>
      </c>
      <c r="E275">
        <v>1</v>
      </c>
      <c r="F275">
        <v>0.74629999999999996</v>
      </c>
      <c r="G275">
        <v>0.35</v>
      </c>
      <c r="H275">
        <v>0.35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">
      <c r="A276" s="4">
        <v>43688</v>
      </c>
      <c r="B276" s="3" t="s">
        <v>85</v>
      </c>
      <c r="C276">
        <v>5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">
      <c r="A277" s="4">
        <v>43688</v>
      </c>
      <c r="B277" s="3" t="s">
        <v>84</v>
      </c>
      <c r="C277">
        <v>10</v>
      </c>
      <c r="D277">
        <v>229</v>
      </c>
      <c r="E277">
        <v>1</v>
      </c>
      <c r="F277">
        <v>0.43669999999999998</v>
      </c>
      <c r="G277">
        <v>0.28000000000000003</v>
      </c>
      <c r="H277">
        <v>0.28000000000000003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">
      <c r="A278" s="4">
        <v>43688</v>
      </c>
      <c r="B278" s="3" t="s">
        <v>31</v>
      </c>
      <c r="C278">
        <v>30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">
      <c r="A279" s="4">
        <v>43688</v>
      </c>
      <c r="B279" s="3" t="s">
        <v>91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">
      <c r="A280" s="4">
        <v>43688</v>
      </c>
      <c r="B280" s="3" t="s">
        <v>87</v>
      </c>
      <c r="C280">
        <v>10</v>
      </c>
      <c r="D280">
        <v>261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">
      <c r="A281" s="4">
        <v>43688</v>
      </c>
      <c r="B281" s="3" t="s">
        <v>88</v>
      </c>
      <c r="C281">
        <v>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">
      <c r="A282" s="4">
        <v>43688</v>
      </c>
      <c r="B282" s="3" t="s">
        <v>89</v>
      </c>
      <c r="C282">
        <v>15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">
      <c r="A283" s="4">
        <v>43688</v>
      </c>
      <c r="B283" s="3" t="s">
        <v>72</v>
      </c>
      <c r="C283">
        <v>10</v>
      </c>
      <c r="D283">
        <v>468</v>
      </c>
      <c r="E283">
        <v>6</v>
      </c>
      <c r="F283">
        <v>1.2821</v>
      </c>
      <c r="G283">
        <v>1.89</v>
      </c>
      <c r="H283">
        <v>0.32</v>
      </c>
      <c r="I283">
        <v>2</v>
      </c>
      <c r="J283">
        <v>129.94</v>
      </c>
      <c r="K283">
        <v>1.4544999999999999</v>
      </c>
      <c r="L283">
        <v>0</v>
      </c>
      <c r="M283">
        <v>0</v>
      </c>
      <c r="N283">
        <v>0</v>
      </c>
      <c r="O283">
        <v>0</v>
      </c>
    </row>
    <row r="284" spans="1:15" x14ac:dyDescent="0.2">
      <c r="A284" s="4">
        <v>43688</v>
      </c>
      <c r="B284" s="3" t="s">
        <v>28</v>
      </c>
      <c r="C284">
        <v>10</v>
      </c>
      <c r="D284">
        <v>682</v>
      </c>
      <c r="E284">
        <v>2</v>
      </c>
      <c r="F284">
        <v>0.29330000000000001</v>
      </c>
      <c r="G284">
        <v>1.1499999999999999</v>
      </c>
      <c r="H284">
        <v>0.56999999999999995</v>
      </c>
      <c r="I284">
        <v>1</v>
      </c>
      <c r="J284">
        <v>16.37</v>
      </c>
      <c r="K284">
        <v>7.0250000000000004</v>
      </c>
      <c r="L284">
        <v>0</v>
      </c>
      <c r="M284">
        <v>0</v>
      </c>
      <c r="N284">
        <v>0</v>
      </c>
      <c r="O284">
        <v>0</v>
      </c>
    </row>
    <row r="285" spans="1:15" x14ac:dyDescent="0.2">
      <c r="A285" s="4">
        <v>43688</v>
      </c>
      <c r="B285" s="3" t="s">
        <v>90</v>
      </c>
      <c r="C285">
        <v>20</v>
      </c>
      <c r="D285">
        <v>7253</v>
      </c>
      <c r="E285">
        <v>84</v>
      </c>
      <c r="F285">
        <v>1.1580999999999999</v>
      </c>
      <c r="G285">
        <v>22.49</v>
      </c>
      <c r="H285">
        <v>0.27</v>
      </c>
      <c r="I285">
        <v>4</v>
      </c>
      <c r="J285">
        <v>315.88</v>
      </c>
      <c r="K285">
        <v>7.1197999999999997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s="4">
        <v>43688</v>
      </c>
      <c r="B286" s="3" t="s">
        <v>75</v>
      </c>
      <c r="C286">
        <v>5</v>
      </c>
      <c r="D286">
        <v>3918</v>
      </c>
      <c r="E286">
        <v>20</v>
      </c>
      <c r="F286">
        <v>0.51049999999999995</v>
      </c>
      <c r="G286">
        <v>5.54</v>
      </c>
      <c r="H286">
        <v>0.28000000000000003</v>
      </c>
      <c r="I286">
        <v>1</v>
      </c>
      <c r="J286">
        <v>57.99</v>
      </c>
      <c r="K286">
        <v>9.5533999999999999</v>
      </c>
      <c r="L286">
        <v>0</v>
      </c>
      <c r="M286">
        <v>0</v>
      </c>
      <c r="N286">
        <v>0</v>
      </c>
      <c r="O286">
        <v>0</v>
      </c>
    </row>
    <row r="287" spans="1:15" x14ac:dyDescent="0.2">
      <c r="A287" s="4">
        <v>43688</v>
      </c>
      <c r="B287" s="3" t="s">
        <v>83</v>
      </c>
      <c r="C287">
        <v>5</v>
      </c>
      <c r="D287">
        <v>4269</v>
      </c>
      <c r="E287">
        <v>9</v>
      </c>
      <c r="F287">
        <v>0.21079999999999999</v>
      </c>
      <c r="G287">
        <v>5.53</v>
      </c>
      <c r="H287">
        <v>0.61</v>
      </c>
      <c r="I287">
        <v>1</v>
      </c>
      <c r="J287">
        <v>23.99</v>
      </c>
      <c r="K287">
        <v>23.051300000000001</v>
      </c>
      <c r="L287">
        <v>0</v>
      </c>
      <c r="M287">
        <v>0</v>
      </c>
      <c r="N287">
        <v>0</v>
      </c>
      <c r="O287">
        <v>0</v>
      </c>
    </row>
    <row r="288" spans="1:15" x14ac:dyDescent="0.2">
      <c r="A288" s="4">
        <v>43689</v>
      </c>
      <c r="B288" s="3" t="s">
        <v>74</v>
      </c>
      <c r="C288">
        <v>5</v>
      </c>
      <c r="D288">
        <v>1288</v>
      </c>
      <c r="E288">
        <v>22</v>
      </c>
      <c r="F288">
        <v>1.7081</v>
      </c>
      <c r="G288">
        <v>6.26</v>
      </c>
      <c r="H288">
        <v>0.28000000000000003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">
      <c r="A289" s="4">
        <v>43689</v>
      </c>
      <c r="B289" s="3" t="s">
        <v>76</v>
      </c>
      <c r="C289">
        <v>10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">
      <c r="A290" s="4">
        <v>43689</v>
      </c>
      <c r="B290" s="3" t="s">
        <v>77</v>
      </c>
      <c r="C290">
        <v>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">
      <c r="A291" s="4">
        <v>43689</v>
      </c>
      <c r="B291" s="3" t="s">
        <v>27</v>
      </c>
      <c r="C291">
        <v>10</v>
      </c>
      <c r="D291">
        <v>1405</v>
      </c>
      <c r="E291">
        <v>12</v>
      </c>
      <c r="F291">
        <v>0.85409999999999997</v>
      </c>
      <c r="G291">
        <v>7.03</v>
      </c>
      <c r="H291">
        <v>0.59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">
      <c r="A292" s="4">
        <v>43689</v>
      </c>
      <c r="B292" s="3" t="s">
        <v>32</v>
      </c>
      <c r="C292">
        <v>2</v>
      </c>
      <c r="D292">
        <v>610</v>
      </c>
      <c r="E292">
        <v>6</v>
      </c>
      <c r="F292">
        <v>0.98360000000000003</v>
      </c>
      <c r="G292">
        <v>2.23</v>
      </c>
      <c r="H292">
        <v>0.37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">
      <c r="A293" s="4">
        <v>43689</v>
      </c>
      <c r="B293" s="3" t="s">
        <v>72</v>
      </c>
      <c r="C293">
        <v>10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">
      <c r="A294" s="4">
        <v>43689</v>
      </c>
      <c r="B294" s="3" t="s">
        <v>78</v>
      </c>
      <c r="C294">
        <v>10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">
      <c r="A295" s="4">
        <v>43689</v>
      </c>
      <c r="B295" s="3" t="s">
        <v>79</v>
      </c>
      <c r="C295">
        <v>10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">
      <c r="A296" s="4">
        <v>43689</v>
      </c>
      <c r="B296" s="3" t="s">
        <v>80</v>
      </c>
      <c r="C296">
        <v>10</v>
      </c>
      <c r="D296">
        <v>26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">
      <c r="A297" s="4">
        <v>43689</v>
      </c>
      <c r="B297" s="3" t="s">
        <v>73</v>
      </c>
      <c r="C297">
        <v>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">
      <c r="A298" s="4">
        <v>43689</v>
      </c>
      <c r="B298" s="3" t="s">
        <v>81</v>
      </c>
      <c r="C298">
        <v>10</v>
      </c>
      <c r="D298">
        <v>1607</v>
      </c>
      <c r="E298">
        <v>5</v>
      </c>
      <c r="F298">
        <v>0.31109999999999999</v>
      </c>
      <c r="G298">
        <v>2.46</v>
      </c>
      <c r="H298">
        <v>0.49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">
      <c r="A299" s="4">
        <v>43689</v>
      </c>
      <c r="B299" s="3" t="s">
        <v>82</v>
      </c>
      <c r="C299">
        <v>5</v>
      </c>
      <c r="D299">
        <v>118</v>
      </c>
      <c r="E299">
        <v>3</v>
      </c>
      <c r="F299">
        <v>2.5424000000000002</v>
      </c>
      <c r="G299">
        <v>0.06</v>
      </c>
      <c r="H299">
        <v>0.02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">
      <c r="A300" s="4">
        <v>43689</v>
      </c>
      <c r="B300" s="3" t="s">
        <v>28</v>
      </c>
      <c r="C300">
        <v>10</v>
      </c>
      <c r="D300">
        <v>691</v>
      </c>
      <c r="E300">
        <v>4</v>
      </c>
      <c r="F300">
        <v>0.57889999999999997</v>
      </c>
      <c r="G300">
        <v>2.33</v>
      </c>
      <c r="H300">
        <v>0.57999999999999996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">
      <c r="A301" s="4">
        <v>43689</v>
      </c>
      <c r="B301" s="3" t="s">
        <v>83</v>
      </c>
      <c r="C301">
        <v>5</v>
      </c>
      <c r="D301">
        <v>3454</v>
      </c>
      <c r="E301">
        <v>9</v>
      </c>
      <c r="F301">
        <v>0.2606</v>
      </c>
      <c r="G301">
        <v>5.47</v>
      </c>
      <c r="H301">
        <v>0.61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">
      <c r="A302" s="4">
        <v>43689</v>
      </c>
      <c r="B302" s="3" t="s">
        <v>29</v>
      </c>
      <c r="C302">
        <v>3</v>
      </c>
      <c r="D302">
        <v>281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">
      <c r="A303" s="4">
        <v>43689</v>
      </c>
      <c r="B303" s="3" t="s">
        <v>85</v>
      </c>
      <c r="C303">
        <v>5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">
      <c r="A304" s="4">
        <v>43689</v>
      </c>
      <c r="B304" s="3" t="s">
        <v>84</v>
      </c>
      <c r="C304">
        <v>10</v>
      </c>
      <c r="D304">
        <v>194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">
      <c r="A305" s="4">
        <v>43689</v>
      </c>
      <c r="B305" s="3" t="s">
        <v>31</v>
      </c>
      <c r="C305">
        <v>30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">
      <c r="A306" s="4">
        <v>43689</v>
      </c>
      <c r="B306" s="3" t="s">
        <v>91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">
      <c r="A307" s="4">
        <v>43689</v>
      </c>
      <c r="B307" s="3" t="s">
        <v>88</v>
      </c>
      <c r="C307">
        <v>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">
      <c r="A308" s="4">
        <v>43689</v>
      </c>
      <c r="B308" s="3" t="s">
        <v>89</v>
      </c>
      <c r="C308">
        <v>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">
      <c r="A309" s="4">
        <v>43689</v>
      </c>
      <c r="B309" s="3" t="s">
        <v>30</v>
      </c>
      <c r="C309">
        <v>5</v>
      </c>
      <c r="D309">
        <v>237</v>
      </c>
      <c r="E309">
        <v>1</v>
      </c>
      <c r="F309">
        <v>0.4219</v>
      </c>
      <c r="G309">
        <v>0.38</v>
      </c>
      <c r="H309">
        <v>0.38</v>
      </c>
      <c r="I309">
        <v>1</v>
      </c>
      <c r="J309">
        <v>19.989999999999998</v>
      </c>
      <c r="K309">
        <v>1.901</v>
      </c>
      <c r="L309">
        <v>0</v>
      </c>
      <c r="M309">
        <v>0</v>
      </c>
      <c r="N309">
        <v>0</v>
      </c>
      <c r="O309">
        <v>0</v>
      </c>
    </row>
    <row r="310" spans="1:15" x14ac:dyDescent="0.2">
      <c r="A310" s="4">
        <v>43689</v>
      </c>
      <c r="B310" s="3" t="s">
        <v>75</v>
      </c>
      <c r="C310">
        <v>5</v>
      </c>
      <c r="D310">
        <v>3923</v>
      </c>
      <c r="E310">
        <v>20</v>
      </c>
      <c r="F310">
        <v>0.50980000000000003</v>
      </c>
      <c r="G310">
        <v>5.55</v>
      </c>
      <c r="H310">
        <v>0.28000000000000003</v>
      </c>
      <c r="I310">
        <v>1</v>
      </c>
      <c r="J310">
        <v>77.97</v>
      </c>
      <c r="K310">
        <v>7.1181000000000001</v>
      </c>
      <c r="L310">
        <v>0</v>
      </c>
      <c r="M310">
        <v>0</v>
      </c>
      <c r="N310">
        <v>0</v>
      </c>
      <c r="O310">
        <v>0</v>
      </c>
    </row>
    <row r="311" spans="1:15" x14ac:dyDescent="0.2">
      <c r="A311" s="4">
        <v>43689</v>
      </c>
      <c r="B311" s="3" t="s">
        <v>90</v>
      </c>
      <c r="C311">
        <v>20</v>
      </c>
      <c r="D311">
        <v>8980</v>
      </c>
      <c r="E311">
        <v>81</v>
      </c>
      <c r="F311">
        <v>0.90200000000000002</v>
      </c>
      <c r="G311">
        <v>22.36</v>
      </c>
      <c r="H311">
        <v>0.28000000000000003</v>
      </c>
      <c r="I311">
        <v>3</v>
      </c>
      <c r="J311">
        <v>217.93</v>
      </c>
      <c r="K311">
        <v>10.260199999999999</v>
      </c>
      <c r="L311">
        <v>0</v>
      </c>
      <c r="M311">
        <v>0</v>
      </c>
      <c r="N311">
        <v>0</v>
      </c>
      <c r="O311">
        <v>0</v>
      </c>
    </row>
    <row r="312" spans="1:15" x14ac:dyDescent="0.2">
      <c r="A312" s="4">
        <v>43689</v>
      </c>
      <c r="B312" s="3" t="s">
        <v>87</v>
      </c>
      <c r="C312">
        <v>10</v>
      </c>
      <c r="D312">
        <v>289</v>
      </c>
      <c r="E312">
        <v>4</v>
      </c>
      <c r="F312">
        <v>1.3841000000000001</v>
      </c>
      <c r="G312">
        <v>1.69</v>
      </c>
      <c r="H312">
        <v>0.42</v>
      </c>
      <c r="I312">
        <v>1</v>
      </c>
      <c r="J312">
        <v>11.99</v>
      </c>
      <c r="K312">
        <v>14.0951</v>
      </c>
      <c r="L312">
        <v>0</v>
      </c>
      <c r="M312">
        <v>0</v>
      </c>
      <c r="N312">
        <v>0</v>
      </c>
      <c r="O312">
        <v>0</v>
      </c>
    </row>
    <row r="313" spans="1:15" x14ac:dyDescent="0.2">
      <c r="A313" s="4">
        <v>43689</v>
      </c>
      <c r="B313" s="3" t="s">
        <v>86</v>
      </c>
      <c r="C313">
        <v>10</v>
      </c>
      <c r="D313">
        <v>4836</v>
      </c>
      <c r="E313">
        <v>11</v>
      </c>
      <c r="F313">
        <v>0.22750000000000001</v>
      </c>
      <c r="G313">
        <v>4.12</v>
      </c>
      <c r="H313">
        <v>0.37</v>
      </c>
      <c r="I313">
        <v>1</v>
      </c>
      <c r="J313">
        <v>11.99</v>
      </c>
      <c r="K313">
        <v>34.362000000000002</v>
      </c>
      <c r="L313">
        <v>0</v>
      </c>
      <c r="M313">
        <v>0</v>
      </c>
      <c r="N313">
        <v>0</v>
      </c>
      <c r="O313">
        <v>0</v>
      </c>
    </row>
    <row r="314" spans="1:15" x14ac:dyDescent="0.2">
      <c r="A314" s="4">
        <v>43690</v>
      </c>
      <c r="B314" s="3" t="s">
        <v>76</v>
      </c>
      <c r="C314">
        <v>10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">
      <c r="A315" s="4">
        <v>43690</v>
      </c>
      <c r="B315" s="3" t="s">
        <v>77</v>
      </c>
      <c r="C315">
        <v>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">
      <c r="A316" s="4">
        <v>43690</v>
      </c>
      <c r="B316" s="3" t="s">
        <v>27</v>
      </c>
      <c r="C316">
        <v>10</v>
      </c>
      <c r="D316">
        <v>2263</v>
      </c>
      <c r="E316">
        <v>9</v>
      </c>
      <c r="F316">
        <v>0.3977</v>
      </c>
      <c r="G316">
        <v>5.83</v>
      </c>
      <c r="H316">
        <v>0.65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">
      <c r="A317" s="4">
        <v>43690</v>
      </c>
      <c r="B317" s="3" t="s">
        <v>72</v>
      </c>
      <c r="C317">
        <v>10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">
      <c r="A318" s="4">
        <v>43690</v>
      </c>
      <c r="B318" s="3" t="s">
        <v>78</v>
      </c>
      <c r="C318">
        <v>10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">
      <c r="A319" s="4">
        <v>43690</v>
      </c>
      <c r="B319" s="3" t="s">
        <v>79</v>
      </c>
      <c r="C319">
        <v>10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 s="4">
        <v>43690</v>
      </c>
      <c r="B320" s="3" t="s">
        <v>80</v>
      </c>
      <c r="C320">
        <v>10</v>
      </c>
      <c r="D320">
        <v>30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">
      <c r="A321" s="4">
        <v>43690</v>
      </c>
      <c r="B321" s="3" t="s">
        <v>73</v>
      </c>
      <c r="C321">
        <v>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">
      <c r="A322" s="4">
        <v>43690</v>
      </c>
      <c r="B322" s="3" t="s">
        <v>82</v>
      </c>
      <c r="C322">
        <v>5</v>
      </c>
      <c r="D322">
        <v>71</v>
      </c>
      <c r="E322">
        <v>2</v>
      </c>
      <c r="F322">
        <v>2.8169</v>
      </c>
      <c r="G322">
        <v>0.04</v>
      </c>
      <c r="H322">
        <v>0.02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">
      <c r="A323" s="4">
        <v>43690</v>
      </c>
      <c r="B323" s="3" t="s">
        <v>28</v>
      </c>
      <c r="C323">
        <v>10</v>
      </c>
      <c r="D323">
        <v>775</v>
      </c>
      <c r="E323">
        <v>4</v>
      </c>
      <c r="F323">
        <v>0.5161</v>
      </c>
      <c r="G323">
        <v>1.93</v>
      </c>
      <c r="H323">
        <v>0.48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">
      <c r="A324" s="4">
        <v>43690</v>
      </c>
      <c r="B324" s="3" t="s">
        <v>29</v>
      </c>
      <c r="C324">
        <v>3</v>
      </c>
      <c r="D324">
        <v>380</v>
      </c>
      <c r="E324">
        <v>1</v>
      </c>
      <c r="F324">
        <v>0.26319999999999999</v>
      </c>
      <c r="G324">
        <v>0.14000000000000001</v>
      </c>
      <c r="H324">
        <v>0.14000000000000001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">
      <c r="A325" s="4">
        <v>43690</v>
      </c>
      <c r="B325" s="3" t="s">
        <v>86</v>
      </c>
      <c r="C325">
        <v>10</v>
      </c>
      <c r="D325">
        <v>5910</v>
      </c>
      <c r="E325">
        <v>5</v>
      </c>
      <c r="F325">
        <v>8.4599999999999995E-2</v>
      </c>
      <c r="G325">
        <v>2.0299999999999998</v>
      </c>
      <c r="H325">
        <v>0.41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">
      <c r="A326" s="4">
        <v>43690</v>
      </c>
      <c r="B326" s="3" t="s">
        <v>30</v>
      </c>
      <c r="C326">
        <v>5</v>
      </c>
      <c r="D326">
        <v>161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">
      <c r="A327" s="4">
        <v>43690</v>
      </c>
      <c r="B327" s="3" t="s">
        <v>85</v>
      </c>
      <c r="C327">
        <v>5</v>
      </c>
      <c r="D327">
        <v>10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">
      <c r="A328" s="4">
        <v>43690</v>
      </c>
      <c r="B328" s="3" t="s">
        <v>84</v>
      </c>
      <c r="C328">
        <v>10</v>
      </c>
      <c r="D328">
        <v>208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">
      <c r="A329" s="4">
        <v>43690</v>
      </c>
      <c r="B329" s="3" t="s">
        <v>75</v>
      </c>
      <c r="C329">
        <v>5</v>
      </c>
      <c r="D329">
        <v>3716</v>
      </c>
      <c r="E329">
        <v>19</v>
      </c>
      <c r="F329">
        <v>0.51129999999999998</v>
      </c>
      <c r="G329">
        <v>5.63</v>
      </c>
      <c r="H329">
        <v>0.3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">
      <c r="A330" s="4">
        <v>43690</v>
      </c>
      <c r="B330" s="3" t="s">
        <v>31</v>
      </c>
      <c r="C330">
        <v>30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">
      <c r="A331" s="4">
        <v>43690</v>
      </c>
      <c r="B331" s="3" t="s">
        <v>91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">
      <c r="A332" s="4">
        <v>43690</v>
      </c>
      <c r="B332" s="3" t="s">
        <v>87</v>
      </c>
      <c r="C332">
        <v>10</v>
      </c>
      <c r="D332">
        <v>236</v>
      </c>
      <c r="E332">
        <v>1</v>
      </c>
      <c r="F332">
        <v>0.42370000000000002</v>
      </c>
      <c r="G332">
        <v>0.33</v>
      </c>
      <c r="H332">
        <v>0.33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">
      <c r="A333" s="4">
        <v>43690</v>
      </c>
      <c r="B333" s="3" t="s">
        <v>88</v>
      </c>
      <c r="C333">
        <v>15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">
      <c r="A334" s="4">
        <v>43690</v>
      </c>
      <c r="B334" s="3" t="s">
        <v>89</v>
      </c>
      <c r="C334">
        <v>15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">
      <c r="A335" s="4">
        <v>43690</v>
      </c>
      <c r="B335" s="3" t="s">
        <v>32</v>
      </c>
      <c r="C335">
        <v>2</v>
      </c>
      <c r="D335">
        <v>403</v>
      </c>
      <c r="E335">
        <v>6</v>
      </c>
      <c r="F335">
        <v>1.4887999999999999</v>
      </c>
      <c r="G335">
        <v>2.31</v>
      </c>
      <c r="H335">
        <v>0.39</v>
      </c>
      <c r="I335">
        <v>1</v>
      </c>
      <c r="J335">
        <v>77.97</v>
      </c>
      <c r="K335">
        <v>2.9626999999999999</v>
      </c>
      <c r="L335">
        <v>1</v>
      </c>
      <c r="M335">
        <v>100</v>
      </c>
      <c r="N335">
        <v>77.97</v>
      </c>
      <c r="O335">
        <v>100</v>
      </c>
    </row>
    <row r="336" spans="1:15" x14ac:dyDescent="0.2">
      <c r="A336" s="4">
        <v>43690</v>
      </c>
      <c r="B336" s="3" t="s">
        <v>74</v>
      </c>
      <c r="C336">
        <v>5</v>
      </c>
      <c r="D336">
        <v>1108</v>
      </c>
      <c r="E336">
        <v>16</v>
      </c>
      <c r="F336">
        <v>1.444</v>
      </c>
      <c r="G336">
        <v>3.47</v>
      </c>
      <c r="H336">
        <v>0.22</v>
      </c>
      <c r="I336">
        <v>1</v>
      </c>
      <c r="J336">
        <v>77.97</v>
      </c>
      <c r="K336">
        <v>4.4504000000000001</v>
      </c>
      <c r="L336">
        <v>0</v>
      </c>
      <c r="M336">
        <v>0</v>
      </c>
      <c r="N336">
        <v>0</v>
      </c>
      <c r="O336">
        <v>0</v>
      </c>
    </row>
    <row r="337" spans="1:15" x14ac:dyDescent="0.2">
      <c r="A337" s="4">
        <v>43690</v>
      </c>
      <c r="B337" s="3" t="s">
        <v>90</v>
      </c>
      <c r="C337">
        <v>20</v>
      </c>
      <c r="D337">
        <v>10015</v>
      </c>
      <c r="E337">
        <v>75</v>
      </c>
      <c r="F337">
        <v>0.74890000000000001</v>
      </c>
      <c r="G337">
        <v>21.67</v>
      </c>
      <c r="H337">
        <v>0.28999999999999998</v>
      </c>
      <c r="I337">
        <v>4</v>
      </c>
      <c r="J337">
        <v>275.92</v>
      </c>
      <c r="K337">
        <v>7.8536999999999999</v>
      </c>
      <c r="L337">
        <v>0</v>
      </c>
      <c r="M337">
        <v>0</v>
      </c>
      <c r="N337">
        <v>0</v>
      </c>
      <c r="O337">
        <v>0</v>
      </c>
    </row>
    <row r="338" spans="1:15" x14ac:dyDescent="0.2">
      <c r="A338" s="4">
        <v>43690</v>
      </c>
      <c r="B338" s="3" t="s">
        <v>81</v>
      </c>
      <c r="C338">
        <v>10</v>
      </c>
      <c r="D338">
        <v>1211</v>
      </c>
      <c r="E338">
        <v>8</v>
      </c>
      <c r="F338">
        <v>0.66059999999999997</v>
      </c>
      <c r="G338">
        <v>4.6100000000000003</v>
      </c>
      <c r="H338">
        <v>0.57999999999999996</v>
      </c>
      <c r="I338">
        <v>2</v>
      </c>
      <c r="J338">
        <v>47.98</v>
      </c>
      <c r="K338">
        <v>9.6082000000000001</v>
      </c>
      <c r="L338">
        <v>0</v>
      </c>
      <c r="M338">
        <v>0</v>
      </c>
      <c r="N338">
        <v>0</v>
      </c>
      <c r="O338">
        <v>0</v>
      </c>
    </row>
    <row r="339" spans="1:15" x14ac:dyDescent="0.2">
      <c r="A339" s="4">
        <v>43690</v>
      </c>
      <c r="B339" s="3" t="s">
        <v>83</v>
      </c>
      <c r="C339">
        <v>5</v>
      </c>
      <c r="D339">
        <v>6908</v>
      </c>
      <c r="E339">
        <v>10</v>
      </c>
      <c r="F339">
        <v>0.14480000000000001</v>
      </c>
      <c r="G339">
        <v>5.75</v>
      </c>
      <c r="H339">
        <v>0.56999999999999995</v>
      </c>
      <c r="I339">
        <v>1</v>
      </c>
      <c r="J339">
        <v>23.99</v>
      </c>
      <c r="K339">
        <v>23.968299999999999</v>
      </c>
      <c r="L339">
        <v>0</v>
      </c>
      <c r="M339">
        <v>0</v>
      </c>
      <c r="N339">
        <v>0</v>
      </c>
      <c r="O339">
        <v>0</v>
      </c>
    </row>
    <row r="340" spans="1:15" x14ac:dyDescent="0.2">
      <c r="A340" s="4">
        <v>43691</v>
      </c>
      <c r="B340" s="3" t="s">
        <v>76</v>
      </c>
      <c r="C340">
        <v>10</v>
      </c>
      <c r="D340">
        <v>1151</v>
      </c>
      <c r="E340">
        <v>4</v>
      </c>
      <c r="F340">
        <v>0.34749999999999998</v>
      </c>
      <c r="G340">
        <v>1.33</v>
      </c>
      <c r="H340">
        <v>0.33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">
      <c r="A341" s="4">
        <v>43691</v>
      </c>
      <c r="B341" s="3" t="s">
        <v>77</v>
      </c>
      <c r="C341">
        <v>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">
      <c r="A342" s="4">
        <v>43691</v>
      </c>
      <c r="B342" s="3" t="s">
        <v>32</v>
      </c>
      <c r="C342">
        <v>2</v>
      </c>
      <c r="D342">
        <v>1183</v>
      </c>
      <c r="E342">
        <v>9</v>
      </c>
      <c r="F342">
        <v>0.76080000000000003</v>
      </c>
      <c r="G342">
        <v>2.2799999999999998</v>
      </c>
      <c r="H342">
        <v>0.25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">
      <c r="A343" s="4">
        <v>43691</v>
      </c>
      <c r="B343" s="3" t="s">
        <v>72</v>
      </c>
      <c r="C343">
        <v>10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">
      <c r="A344" s="4">
        <v>43691</v>
      </c>
      <c r="B344" s="3" t="s">
        <v>78</v>
      </c>
      <c r="C344">
        <v>10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">
      <c r="A345" s="4">
        <v>43691</v>
      </c>
      <c r="B345" s="3" t="s">
        <v>79</v>
      </c>
      <c r="C345">
        <v>10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">
      <c r="A346" s="4">
        <v>43691</v>
      </c>
      <c r="B346" s="3" t="s">
        <v>80</v>
      </c>
      <c r="C346">
        <v>10</v>
      </c>
      <c r="D346">
        <v>33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">
      <c r="A347" s="4">
        <v>43691</v>
      </c>
      <c r="B347" s="3" t="s">
        <v>73</v>
      </c>
      <c r="C347">
        <v>10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">
      <c r="A348" s="4">
        <v>43691</v>
      </c>
      <c r="B348" s="3" t="s">
        <v>81</v>
      </c>
      <c r="C348">
        <v>10</v>
      </c>
      <c r="D348">
        <v>1991</v>
      </c>
      <c r="E348">
        <v>8</v>
      </c>
      <c r="F348">
        <v>0.40179999999999999</v>
      </c>
      <c r="G348">
        <v>4.79</v>
      </c>
      <c r="H348">
        <v>0.6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">
      <c r="A349" s="4">
        <v>43691</v>
      </c>
      <c r="B349" s="3" t="s">
        <v>82</v>
      </c>
      <c r="C349">
        <v>5</v>
      </c>
      <c r="D349">
        <v>64</v>
      </c>
      <c r="E349">
        <v>3</v>
      </c>
      <c r="F349">
        <v>4.6875</v>
      </c>
      <c r="G349">
        <v>0.06</v>
      </c>
      <c r="H349">
        <v>0.02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">
      <c r="A350" s="4">
        <v>43691</v>
      </c>
      <c r="B350" s="3" t="s">
        <v>28</v>
      </c>
      <c r="C350">
        <v>10</v>
      </c>
      <c r="D350">
        <v>683</v>
      </c>
      <c r="E350">
        <v>5</v>
      </c>
      <c r="F350">
        <v>0.73209999999999997</v>
      </c>
      <c r="G350">
        <v>3.1</v>
      </c>
      <c r="H350">
        <v>0.62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">
      <c r="A351" s="4">
        <v>43691</v>
      </c>
      <c r="B351" s="3" t="s">
        <v>83</v>
      </c>
      <c r="C351">
        <v>5</v>
      </c>
      <c r="D351">
        <v>2980</v>
      </c>
      <c r="E351">
        <v>10</v>
      </c>
      <c r="F351">
        <v>0.33560000000000001</v>
      </c>
      <c r="G351">
        <v>6.25</v>
      </c>
      <c r="H351">
        <v>0.63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">
      <c r="A352" s="4">
        <v>43691</v>
      </c>
      <c r="B352" s="3" t="s">
        <v>29</v>
      </c>
      <c r="C352">
        <v>3</v>
      </c>
      <c r="D352">
        <v>312</v>
      </c>
      <c r="E352">
        <v>2</v>
      </c>
      <c r="F352">
        <v>0.64100000000000001</v>
      </c>
      <c r="G352">
        <v>0.33</v>
      </c>
      <c r="H352">
        <v>0.17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">
      <c r="A353" s="4">
        <v>43691</v>
      </c>
      <c r="B353" s="3" t="s">
        <v>30</v>
      </c>
      <c r="C353">
        <v>5</v>
      </c>
      <c r="D353">
        <v>158</v>
      </c>
      <c r="E353">
        <v>2</v>
      </c>
      <c r="F353">
        <v>1.2658</v>
      </c>
      <c r="G353">
        <v>1.39</v>
      </c>
      <c r="H353">
        <v>0.7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">
      <c r="A354" s="4">
        <v>43691</v>
      </c>
      <c r="B354" s="3" t="s">
        <v>85</v>
      </c>
      <c r="C354">
        <v>5</v>
      </c>
      <c r="D354">
        <v>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">
      <c r="A355" s="4">
        <v>43691</v>
      </c>
      <c r="B355" s="3" t="s">
        <v>84</v>
      </c>
      <c r="C355">
        <v>10</v>
      </c>
      <c r="D355">
        <v>323</v>
      </c>
      <c r="E355">
        <v>1</v>
      </c>
      <c r="F355">
        <v>0.30959999999999999</v>
      </c>
      <c r="G355">
        <v>0.43</v>
      </c>
      <c r="H355">
        <v>0.43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">
      <c r="A356" s="4">
        <v>43691</v>
      </c>
      <c r="B356" s="3" t="s">
        <v>31</v>
      </c>
      <c r="C356">
        <v>30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">
      <c r="A357" s="4">
        <v>43691</v>
      </c>
      <c r="B357" s="3" t="s">
        <v>91</v>
      </c>
      <c r="C357">
        <v>2</v>
      </c>
      <c r="D357">
        <v>234</v>
      </c>
      <c r="E357">
        <v>6</v>
      </c>
      <c r="F357">
        <v>2.5640999999999998</v>
      </c>
      <c r="G357">
        <v>1.73</v>
      </c>
      <c r="H357">
        <v>0.28999999999999998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">
      <c r="A358" s="4">
        <v>43691</v>
      </c>
      <c r="B358" s="3" t="s">
        <v>87</v>
      </c>
      <c r="C358">
        <v>10</v>
      </c>
      <c r="D358">
        <v>272</v>
      </c>
      <c r="E358">
        <v>1</v>
      </c>
      <c r="F358">
        <v>0.36759999999999998</v>
      </c>
      <c r="G358">
        <v>0.42</v>
      </c>
      <c r="H358">
        <v>0.42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">
      <c r="A359" s="4">
        <v>43691</v>
      </c>
      <c r="B359" s="3" t="s">
        <v>88</v>
      </c>
      <c r="C359">
        <v>15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">
      <c r="A360" s="4">
        <v>43691</v>
      </c>
      <c r="B360" s="3" t="s">
        <v>74</v>
      </c>
      <c r="C360">
        <v>5</v>
      </c>
      <c r="D360">
        <v>1021</v>
      </c>
      <c r="E360">
        <v>15</v>
      </c>
      <c r="F360">
        <v>1.4691000000000001</v>
      </c>
      <c r="G360">
        <v>3.8</v>
      </c>
      <c r="H360">
        <v>0.25</v>
      </c>
      <c r="I360">
        <v>1</v>
      </c>
      <c r="J360">
        <v>77.97</v>
      </c>
      <c r="K360">
        <v>4.8737000000000004</v>
      </c>
      <c r="L360">
        <v>0</v>
      </c>
      <c r="M360">
        <v>0</v>
      </c>
      <c r="N360">
        <v>0</v>
      </c>
      <c r="O360">
        <v>0</v>
      </c>
    </row>
    <row r="361" spans="1:15" x14ac:dyDescent="0.2">
      <c r="A361" s="4">
        <v>43691</v>
      </c>
      <c r="B361" s="3" t="s">
        <v>75</v>
      </c>
      <c r="C361">
        <v>5</v>
      </c>
      <c r="D361">
        <v>6644</v>
      </c>
      <c r="E361">
        <v>22</v>
      </c>
      <c r="F361">
        <v>0.33110000000000001</v>
      </c>
      <c r="G361">
        <v>5.99</v>
      </c>
      <c r="H361">
        <v>0.27</v>
      </c>
      <c r="I361">
        <v>1</v>
      </c>
      <c r="J361">
        <v>77.97</v>
      </c>
      <c r="K361">
        <v>7.6824000000000003</v>
      </c>
      <c r="L361">
        <v>0</v>
      </c>
      <c r="M361">
        <v>0</v>
      </c>
      <c r="N361">
        <v>0</v>
      </c>
      <c r="O361">
        <v>0</v>
      </c>
    </row>
    <row r="362" spans="1:15" x14ac:dyDescent="0.2">
      <c r="A362" s="4">
        <v>43691</v>
      </c>
      <c r="B362" s="3" t="s">
        <v>89</v>
      </c>
      <c r="C362">
        <v>15</v>
      </c>
      <c r="D362">
        <v>2903</v>
      </c>
      <c r="E362">
        <v>24</v>
      </c>
      <c r="F362">
        <v>0.82669999999999999</v>
      </c>
      <c r="G362">
        <v>7.32</v>
      </c>
      <c r="H362">
        <v>0.31</v>
      </c>
      <c r="I362">
        <v>1</v>
      </c>
      <c r="J362">
        <v>57.99</v>
      </c>
      <c r="K362">
        <v>12.6229</v>
      </c>
      <c r="L362">
        <v>0</v>
      </c>
      <c r="M362">
        <v>0</v>
      </c>
      <c r="N362">
        <v>0</v>
      </c>
      <c r="O362">
        <v>0</v>
      </c>
    </row>
    <row r="363" spans="1:15" x14ac:dyDescent="0.2">
      <c r="A363" s="4">
        <v>43691</v>
      </c>
      <c r="B363" s="3" t="s">
        <v>90</v>
      </c>
      <c r="C363">
        <v>20</v>
      </c>
      <c r="D363">
        <v>9284</v>
      </c>
      <c r="E363">
        <v>70</v>
      </c>
      <c r="F363">
        <v>0.754</v>
      </c>
      <c r="G363">
        <v>20.16</v>
      </c>
      <c r="H363">
        <v>0.28999999999999998</v>
      </c>
      <c r="I363">
        <v>2</v>
      </c>
      <c r="J363">
        <v>157.94</v>
      </c>
      <c r="K363">
        <v>12.7643</v>
      </c>
      <c r="L363">
        <v>0</v>
      </c>
      <c r="M363">
        <v>0</v>
      </c>
      <c r="N363">
        <v>0</v>
      </c>
      <c r="O363">
        <v>0</v>
      </c>
    </row>
    <row r="364" spans="1:15" x14ac:dyDescent="0.2">
      <c r="A364" s="4">
        <v>43691</v>
      </c>
      <c r="B364" s="3" t="s">
        <v>86</v>
      </c>
      <c r="C364">
        <v>10</v>
      </c>
      <c r="D364">
        <v>1221</v>
      </c>
      <c r="E364">
        <v>9</v>
      </c>
      <c r="F364">
        <v>0.73709999999999998</v>
      </c>
      <c r="G364">
        <v>3.98</v>
      </c>
      <c r="H364">
        <v>0.44</v>
      </c>
      <c r="I364">
        <v>1</v>
      </c>
      <c r="J364">
        <v>11.99</v>
      </c>
      <c r="K364">
        <v>33.194299999999998</v>
      </c>
      <c r="L364">
        <v>0</v>
      </c>
      <c r="M364">
        <v>0</v>
      </c>
      <c r="N364">
        <v>0</v>
      </c>
      <c r="O364">
        <v>0</v>
      </c>
    </row>
    <row r="365" spans="1:15" x14ac:dyDescent="0.2">
      <c r="A365" s="4">
        <v>43691</v>
      </c>
      <c r="B365" s="3" t="s">
        <v>27</v>
      </c>
      <c r="C365">
        <v>10</v>
      </c>
      <c r="D365">
        <v>4188</v>
      </c>
      <c r="E365">
        <v>17</v>
      </c>
      <c r="F365">
        <v>0.40589999999999998</v>
      </c>
      <c r="G365">
        <v>11.3</v>
      </c>
      <c r="H365">
        <v>0.66</v>
      </c>
      <c r="I365">
        <v>1</v>
      </c>
      <c r="J365">
        <v>23.99</v>
      </c>
      <c r="K365">
        <v>47.103000000000002</v>
      </c>
      <c r="L365">
        <v>0</v>
      </c>
      <c r="M365">
        <v>0</v>
      </c>
      <c r="N365">
        <v>0</v>
      </c>
      <c r="O365">
        <v>0</v>
      </c>
    </row>
    <row r="366" spans="1:15" x14ac:dyDescent="0.2">
      <c r="A366" s="4">
        <v>43692</v>
      </c>
      <c r="B366" s="3" t="s">
        <v>74</v>
      </c>
      <c r="C366">
        <v>5</v>
      </c>
      <c r="D366">
        <v>498</v>
      </c>
      <c r="E366">
        <v>6</v>
      </c>
      <c r="F366">
        <v>1.2048000000000001</v>
      </c>
      <c r="G366">
        <v>2.5099999999999998</v>
      </c>
      <c r="H366">
        <v>0.42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">
      <c r="A367" s="4">
        <v>43692</v>
      </c>
      <c r="B367" s="3" t="s">
        <v>76</v>
      </c>
      <c r="C367">
        <v>10</v>
      </c>
      <c r="D367">
        <v>1326</v>
      </c>
      <c r="E367">
        <v>8</v>
      </c>
      <c r="F367">
        <v>0.60329999999999995</v>
      </c>
      <c r="G367">
        <v>3.43</v>
      </c>
      <c r="H367">
        <v>0.43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">
      <c r="A368" s="4">
        <v>43692</v>
      </c>
      <c r="B368" s="3" t="s">
        <v>77</v>
      </c>
      <c r="C368">
        <v>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">
      <c r="A369" s="4">
        <v>43692</v>
      </c>
      <c r="B369" s="3" t="s">
        <v>27</v>
      </c>
      <c r="C369">
        <v>10</v>
      </c>
      <c r="D369">
        <v>1618</v>
      </c>
      <c r="E369">
        <v>11</v>
      </c>
      <c r="F369">
        <v>0.67989999999999995</v>
      </c>
      <c r="G369">
        <v>7.59</v>
      </c>
      <c r="H369">
        <v>0.69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">
      <c r="A370" s="4">
        <v>43692</v>
      </c>
      <c r="B370" s="3" t="s">
        <v>32</v>
      </c>
      <c r="C370">
        <v>2</v>
      </c>
      <c r="D370">
        <v>1095</v>
      </c>
      <c r="E370">
        <v>7</v>
      </c>
      <c r="F370">
        <v>0.63929999999999998</v>
      </c>
      <c r="G370">
        <v>2.2999999999999998</v>
      </c>
      <c r="H370">
        <v>0.33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">
      <c r="A371" s="4">
        <v>43692</v>
      </c>
      <c r="B371" s="3" t="s">
        <v>72</v>
      </c>
      <c r="C371">
        <v>10</v>
      </c>
      <c r="D371">
        <v>927</v>
      </c>
      <c r="E371">
        <v>9</v>
      </c>
      <c r="F371">
        <v>0.97089999999999999</v>
      </c>
      <c r="G371">
        <v>2.17</v>
      </c>
      <c r="H371">
        <v>0.24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">
      <c r="A372" s="4">
        <v>43692</v>
      </c>
      <c r="B372" s="3" t="s">
        <v>78</v>
      </c>
      <c r="C372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">
      <c r="A373" s="4">
        <v>43692</v>
      </c>
      <c r="B373" s="3" t="s">
        <v>79</v>
      </c>
      <c r="C373">
        <v>10</v>
      </c>
      <c r="D373">
        <v>90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">
      <c r="A374" s="4">
        <v>43692</v>
      </c>
      <c r="B374" s="3" t="s">
        <v>80</v>
      </c>
      <c r="C374">
        <v>10</v>
      </c>
      <c r="D374">
        <v>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">
      <c r="A375" s="4">
        <v>43692</v>
      </c>
      <c r="B375" s="3" t="s">
        <v>73</v>
      </c>
      <c r="C375">
        <v>10</v>
      </c>
      <c r="D375">
        <v>5046</v>
      </c>
      <c r="E375">
        <v>47</v>
      </c>
      <c r="F375">
        <v>0.93140000000000001</v>
      </c>
      <c r="G375">
        <v>10.11</v>
      </c>
      <c r="H375">
        <v>0.22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">
      <c r="A376" s="4">
        <v>43692</v>
      </c>
      <c r="B376" s="3" t="s">
        <v>81</v>
      </c>
      <c r="C376">
        <v>10</v>
      </c>
      <c r="D376">
        <v>816</v>
      </c>
      <c r="E376">
        <v>4</v>
      </c>
      <c r="F376">
        <v>0.49020000000000002</v>
      </c>
      <c r="G376">
        <v>2.56</v>
      </c>
      <c r="H376">
        <v>0.64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">
      <c r="A377" s="4">
        <v>43692</v>
      </c>
      <c r="B377" s="3" t="s">
        <v>82</v>
      </c>
      <c r="C377">
        <v>5</v>
      </c>
      <c r="D377">
        <v>30</v>
      </c>
      <c r="E377">
        <v>1</v>
      </c>
      <c r="F377">
        <v>3.3332999999999999</v>
      </c>
      <c r="G377">
        <v>0.02</v>
      </c>
      <c r="H377">
        <v>0.02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">
      <c r="A378" s="4">
        <v>43692</v>
      </c>
      <c r="B378" s="3" t="s">
        <v>28</v>
      </c>
      <c r="C378">
        <v>10</v>
      </c>
      <c r="D378">
        <v>903</v>
      </c>
      <c r="E378">
        <v>3</v>
      </c>
      <c r="F378">
        <v>0.3322</v>
      </c>
      <c r="G378">
        <v>2.0099999999999998</v>
      </c>
      <c r="H378">
        <v>0.67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">
      <c r="A379" s="4">
        <v>43692</v>
      </c>
      <c r="B379" s="3" t="s">
        <v>83</v>
      </c>
      <c r="C379">
        <v>5</v>
      </c>
      <c r="D379">
        <v>6414</v>
      </c>
      <c r="E379">
        <v>10</v>
      </c>
      <c r="F379">
        <v>0.15590000000000001</v>
      </c>
      <c r="G379">
        <v>5.9</v>
      </c>
      <c r="H379">
        <v>0.59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">
      <c r="A380" s="4">
        <v>43692</v>
      </c>
      <c r="B380" s="3" t="s">
        <v>29</v>
      </c>
      <c r="C380">
        <v>3</v>
      </c>
      <c r="D380">
        <v>428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">
      <c r="A381" s="4">
        <v>43692</v>
      </c>
      <c r="B381" s="3" t="s">
        <v>86</v>
      </c>
      <c r="C381">
        <v>10</v>
      </c>
      <c r="D381">
        <v>549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">
      <c r="A382" s="4">
        <v>43692</v>
      </c>
      <c r="B382" s="3" t="s">
        <v>30</v>
      </c>
      <c r="C382">
        <v>5</v>
      </c>
      <c r="D382">
        <v>132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">
      <c r="A383" s="4">
        <v>43692</v>
      </c>
      <c r="B383" s="3" t="s">
        <v>85</v>
      </c>
      <c r="C383">
        <v>5</v>
      </c>
      <c r="D383">
        <v>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">
      <c r="A384" s="4">
        <v>43692</v>
      </c>
      <c r="B384" s="3" t="s">
        <v>84</v>
      </c>
      <c r="C384">
        <v>10</v>
      </c>
      <c r="D384">
        <v>159</v>
      </c>
      <c r="E384">
        <v>1</v>
      </c>
      <c r="F384">
        <v>0.62890000000000001</v>
      </c>
      <c r="G384">
        <v>0.39</v>
      </c>
      <c r="H384">
        <v>0.39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">
      <c r="A385" s="4">
        <v>43692</v>
      </c>
      <c r="B385" s="3" t="s">
        <v>31</v>
      </c>
      <c r="C385">
        <v>30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">
      <c r="A386" s="4">
        <v>43692</v>
      </c>
      <c r="B386" s="3" t="s">
        <v>91</v>
      </c>
      <c r="C386">
        <v>2</v>
      </c>
      <c r="D386">
        <v>202</v>
      </c>
      <c r="E386">
        <v>1</v>
      </c>
      <c r="F386">
        <v>0.495</v>
      </c>
      <c r="G386">
        <v>0.24</v>
      </c>
      <c r="H386">
        <v>0.24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">
      <c r="A387" s="4">
        <v>43692</v>
      </c>
      <c r="B387" s="3" t="s">
        <v>87</v>
      </c>
      <c r="C387">
        <v>10</v>
      </c>
      <c r="D387">
        <v>227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">
      <c r="A388" s="4">
        <v>43692</v>
      </c>
      <c r="B388" s="3" t="s">
        <v>88</v>
      </c>
      <c r="C388">
        <v>15</v>
      </c>
      <c r="D388">
        <v>18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">
      <c r="A389" s="4">
        <v>43692</v>
      </c>
      <c r="B389" s="3" t="s">
        <v>89</v>
      </c>
      <c r="C389">
        <v>15</v>
      </c>
      <c r="D389">
        <v>3870</v>
      </c>
      <c r="E389">
        <v>35</v>
      </c>
      <c r="F389">
        <v>0.90439999999999998</v>
      </c>
      <c r="G389">
        <v>13.28</v>
      </c>
      <c r="H389">
        <v>0.38</v>
      </c>
      <c r="I389">
        <v>3</v>
      </c>
      <c r="J389">
        <v>213.93</v>
      </c>
      <c r="K389">
        <v>6.2076000000000002</v>
      </c>
      <c r="L389">
        <v>0</v>
      </c>
      <c r="M389">
        <v>0</v>
      </c>
      <c r="N389">
        <v>0</v>
      </c>
      <c r="O389">
        <v>0</v>
      </c>
    </row>
    <row r="390" spans="1:15" x14ac:dyDescent="0.2">
      <c r="A390" s="4">
        <v>43692</v>
      </c>
      <c r="B390" s="3" t="s">
        <v>75</v>
      </c>
      <c r="C390">
        <v>5</v>
      </c>
      <c r="D390">
        <v>4320</v>
      </c>
      <c r="E390">
        <v>21</v>
      </c>
      <c r="F390">
        <v>0.48609999999999998</v>
      </c>
      <c r="G390">
        <v>6.3</v>
      </c>
      <c r="H390">
        <v>0.3</v>
      </c>
      <c r="I390">
        <v>1</v>
      </c>
      <c r="J390">
        <v>77.97</v>
      </c>
      <c r="K390">
        <v>8.08</v>
      </c>
      <c r="L390">
        <v>0</v>
      </c>
      <c r="M390">
        <v>0</v>
      </c>
      <c r="N390">
        <v>0</v>
      </c>
      <c r="O390">
        <v>0</v>
      </c>
    </row>
    <row r="391" spans="1:15" x14ac:dyDescent="0.2">
      <c r="A391" s="4">
        <v>43692</v>
      </c>
      <c r="B391" s="3" t="s">
        <v>90</v>
      </c>
      <c r="C391">
        <v>20</v>
      </c>
      <c r="D391">
        <v>4754</v>
      </c>
      <c r="E391">
        <v>44</v>
      </c>
      <c r="F391">
        <v>0.92549999999999999</v>
      </c>
      <c r="G391">
        <v>13.46</v>
      </c>
      <c r="H391">
        <v>0.31</v>
      </c>
      <c r="I391">
        <v>2</v>
      </c>
      <c r="J391">
        <v>159.94</v>
      </c>
      <c r="K391">
        <v>8.4156999999999993</v>
      </c>
      <c r="L391">
        <v>0</v>
      </c>
      <c r="M391">
        <v>0</v>
      </c>
      <c r="N391">
        <v>0</v>
      </c>
      <c r="O391">
        <v>0</v>
      </c>
    </row>
    <row r="392" spans="1:15" x14ac:dyDescent="0.2">
      <c r="A392" s="4">
        <v>43693</v>
      </c>
      <c r="B392" s="3" t="s">
        <v>74</v>
      </c>
      <c r="C392">
        <v>5</v>
      </c>
      <c r="D392">
        <v>442</v>
      </c>
      <c r="E392">
        <v>4</v>
      </c>
      <c r="F392">
        <v>0.90500000000000003</v>
      </c>
      <c r="G392">
        <v>0.86</v>
      </c>
      <c r="H392">
        <v>0.22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">
      <c r="A393" s="4">
        <v>43693</v>
      </c>
      <c r="B393" s="3" t="s">
        <v>76</v>
      </c>
      <c r="C393">
        <v>10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">
      <c r="A394" s="4">
        <v>43693</v>
      </c>
      <c r="B394" s="3" t="s">
        <v>77</v>
      </c>
      <c r="C394">
        <v>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">
      <c r="A395" s="4">
        <v>43693</v>
      </c>
      <c r="B395" s="3" t="s">
        <v>27</v>
      </c>
      <c r="C395">
        <v>10</v>
      </c>
      <c r="D395">
        <v>1321</v>
      </c>
      <c r="E395">
        <v>2</v>
      </c>
      <c r="F395">
        <v>0.15140000000000001</v>
      </c>
      <c r="G395">
        <v>1.28</v>
      </c>
      <c r="H395">
        <v>0.64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">
      <c r="A396" s="4">
        <v>43693</v>
      </c>
      <c r="B396" s="3" t="s">
        <v>32</v>
      </c>
      <c r="C396">
        <v>2</v>
      </c>
      <c r="D396">
        <v>947</v>
      </c>
      <c r="E396">
        <v>5</v>
      </c>
      <c r="F396">
        <v>0.52800000000000002</v>
      </c>
      <c r="G396">
        <v>2.13</v>
      </c>
      <c r="H396">
        <v>0.43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">
      <c r="A397" s="4">
        <v>43693</v>
      </c>
      <c r="B397" s="3" t="s">
        <v>72</v>
      </c>
      <c r="C397">
        <v>10</v>
      </c>
      <c r="D397">
        <v>2217</v>
      </c>
      <c r="E397">
        <v>23</v>
      </c>
      <c r="F397">
        <v>1.0374000000000001</v>
      </c>
      <c r="G397">
        <v>7.2</v>
      </c>
      <c r="H397">
        <v>0.31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">
      <c r="A398" s="4">
        <v>43693</v>
      </c>
      <c r="B398" s="3" t="s">
        <v>78</v>
      </c>
      <c r="C398">
        <v>10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">
      <c r="A399" s="4">
        <v>43693</v>
      </c>
      <c r="B399" s="3" t="s">
        <v>79</v>
      </c>
      <c r="C399">
        <v>10</v>
      </c>
      <c r="D399">
        <v>159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">
      <c r="A400" s="4">
        <v>43693</v>
      </c>
      <c r="B400" s="3" t="s">
        <v>80</v>
      </c>
      <c r="C400">
        <v>10</v>
      </c>
      <c r="D400">
        <v>62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">
      <c r="A401" s="4">
        <v>43693</v>
      </c>
      <c r="B401" s="3" t="s">
        <v>73</v>
      </c>
      <c r="C401">
        <v>10</v>
      </c>
      <c r="D401">
        <v>4599</v>
      </c>
      <c r="E401">
        <v>36</v>
      </c>
      <c r="F401">
        <v>0.78280000000000005</v>
      </c>
      <c r="G401">
        <v>9.4700000000000006</v>
      </c>
      <c r="H401">
        <v>0.26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">
      <c r="A402" s="4">
        <v>43693</v>
      </c>
      <c r="B402" s="3" t="s">
        <v>81</v>
      </c>
      <c r="C402">
        <v>10</v>
      </c>
      <c r="D402">
        <v>615</v>
      </c>
      <c r="E402">
        <v>1</v>
      </c>
      <c r="F402">
        <v>0.16259999999999999</v>
      </c>
      <c r="G402">
        <v>0.93</v>
      </c>
      <c r="H402">
        <v>0.93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">
      <c r="A403" s="4">
        <v>43693</v>
      </c>
      <c r="B403" s="3" t="s">
        <v>82</v>
      </c>
      <c r="C403">
        <v>5</v>
      </c>
      <c r="D403">
        <v>21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">
      <c r="A404" s="4">
        <v>43693</v>
      </c>
      <c r="B404" s="3" t="s">
        <v>28</v>
      </c>
      <c r="C404">
        <v>10</v>
      </c>
      <c r="D404">
        <v>679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">
      <c r="A405" s="4">
        <v>43693</v>
      </c>
      <c r="B405" s="3" t="s">
        <v>83</v>
      </c>
      <c r="C405">
        <v>5</v>
      </c>
      <c r="D405">
        <v>4536</v>
      </c>
      <c r="E405">
        <v>9</v>
      </c>
      <c r="F405">
        <v>0.19839999999999999</v>
      </c>
      <c r="G405">
        <v>5.64</v>
      </c>
      <c r="H405">
        <v>0.63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">
      <c r="A406" s="4">
        <v>43693</v>
      </c>
      <c r="B406" s="3" t="s">
        <v>29</v>
      </c>
      <c r="C406">
        <v>3</v>
      </c>
      <c r="D406">
        <v>305</v>
      </c>
      <c r="E406">
        <v>1</v>
      </c>
      <c r="F406">
        <v>0.32790000000000002</v>
      </c>
      <c r="G406">
        <v>0.15</v>
      </c>
      <c r="H406">
        <v>0.15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">
      <c r="A407" s="4">
        <v>43693</v>
      </c>
      <c r="B407" s="3" t="s">
        <v>86</v>
      </c>
      <c r="C407">
        <v>10</v>
      </c>
      <c r="D407">
        <v>3747</v>
      </c>
      <c r="E407">
        <v>3</v>
      </c>
      <c r="F407">
        <v>8.0100000000000005E-2</v>
      </c>
      <c r="G407">
        <v>1.29</v>
      </c>
      <c r="H407">
        <v>0.43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">
      <c r="A408" s="4">
        <v>43693</v>
      </c>
      <c r="B408" s="3" t="s">
        <v>30</v>
      </c>
      <c r="C408">
        <v>5</v>
      </c>
      <c r="D408">
        <v>150</v>
      </c>
      <c r="E408">
        <v>1</v>
      </c>
      <c r="F408">
        <v>0.66669999999999996</v>
      </c>
      <c r="G408">
        <v>0.26</v>
      </c>
      <c r="H408">
        <v>0.26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">
      <c r="A409" s="4">
        <v>43693</v>
      </c>
      <c r="B409" s="3" t="s">
        <v>85</v>
      </c>
      <c r="C409">
        <v>5</v>
      </c>
      <c r="D409">
        <v>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">
      <c r="A410" s="4">
        <v>43693</v>
      </c>
      <c r="B410" s="3" t="s">
        <v>84</v>
      </c>
      <c r="C410">
        <v>10</v>
      </c>
      <c r="D410">
        <v>210</v>
      </c>
      <c r="E410">
        <v>2</v>
      </c>
      <c r="F410">
        <v>0.95240000000000002</v>
      </c>
      <c r="G410">
        <v>0.82</v>
      </c>
      <c r="H410">
        <v>0.41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">
      <c r="A411" s="4">
        <v>43693</v>
      </c>
      <c r="B411" s="3" t="s">
        <v>75</v>
      </c>
      <c r="C411">
        <v>5</v>
      </c>
      <c r="D411">
        <v>3249</v>
      </c>
      <c r="E411">
        <v>17</v>
      </c>
      <c r="F411">
        <v>0.5232</v>
      </c>
      <c r="G411">
        <v>5.63</v>
      </c>
      <c r="H411">
        <v>0.33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">
      <c r="A412" s="4">
        <v>43693</v>
      </c>
      <c r="B412" s="3" t="s">
        <v>31</v>
      </c>
      <c r="C412">
        <v>30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">
      <c r="A413" s="4">
        <v>43693</v>
      </c>
      <c r="B413" s="3" t="s">
        <v>91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">
      <c r="A414" s="4">
        <v>43693</v>
      </c>
      <c r="B414" s="3" t="s">
        <v>87</v>
      </c>
      <c r="C414">
        <v>10</v>
      </c>
      <c r="D414">
        <v>201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">
      <c r="A415" s="4">
        <v>43693</v>
      </c>
      <c r="B415" s="3" t="s">
        <v>88</v>
      </c>
      <c r="C415">
        <v>15</v>
      </c>
      <c r="D415">
        <v>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">
      <c r="A416" s="4">
        <v>43693</v>
      </c>
      <c r="B416" s="3" t="s">
        <v>89</v>
      </c>
      <c r="C416">
        <v>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">
      <c r="A417" s="4">
        <v>43693</v>
      </c>
      <c r="B417" s="3" t="s">
        <v>90</v>
      </c>
      <c r="C417">
        <v>20</v>
      </c>
      <c r="D417">
        <v>2315</v>
      </c>
      <c r="E417">
        <v>13</v>
      </c>
      <c r="F417">
        <v>0.56159999999999999</v>
      </c>
      <c r="G417">
        <v>4.46</v>
      </c>
      <c r="H417">
        <v>0.34</v>
      </c>
      <c r="I417">
        <v>1</v>
      </c>
      <c r="J417">
        <v>79.97</v>
      </c>
      <c r="K417">
        <v>5.5770999999999997</v>
      </c>
      <c r="L417">
        <v>0</v>
      </c>
      <c r="M417">
        <v>0</v>
      </c>
      <c r="N417">
        <v>0</v>
      </c>
      <c r="O417">
        <v>0</v>
      </c>
    </row>
    <row r="418" spans="1:15" x14ac:dyDescent="0.2">
      <c r="A418" s="4">
        <v>43694</v>
      </c>
      <c r="B418" s="3" t="s">
        <v>74</v>
      </c>
      <c r="C418">
        <v>5</v>
      </c>
      <c r="D418">
        <v>48</v>
      </c>
      <c r="E418">
        <v>1</v>
      </c>
      <c r="F418">
        <v>2.0832999999999999</v>
      </c>
      <c r="G418">
        <v>0.04</v>
      </c>
      <c r="H418">
        <v>0.04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">
      <c r="A419" s="4">
        <v>43694</v>
      </c>
      <c r="B419" s="3" t="s">
        <v>76</v>
      </c>
      <c r="C419">
        <v>10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">
      <c r="A420" s="4">
        <v>43694</v>
      </c>
      <c r="B420" s="3" t="s">
        <v>77</v>
      </c>
      <c r="C420">
        <v>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">
      <c r="A421" s="4">
        <v>43694</v>
      </c>
      <c r="B421" s="3" t="s">
        <v>27</v>
      </c>
      <c r="C421">
        <v>10</v>
      </c>
      <c r="D421">
        <v>1414</v>
      </c>
      <c r="E421">
        <v>3</v>
      </c>
      <c r="F421">
        <v>0.2122</v>
      </c>
      <c r="G421">
        <v>1.48</v>
      </c>
      <c r="H421">
        <v>0.49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">
      <c r="A422" s="4">
        <v>43694</v>
      </c>
      <c r="B422" s="3" t="s">
        <v>32</v>
      </c>
      <c r="C422">
        <v>2</v>
      </c>
      <c r="D422">
        <v>915</v>
      </c>
      <c r="E422">
        <v>6</v>
      </c>
      <c r="F422">
        <v>0.65569999999999995</v>
      </c>
      <c r="G422">
        <v>2.13</v>
      </c>
      <c r="H422">
        <v>0.36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">
      <c r="A423" s="4">
        <v>43694</v>
      </c>
      <c r="B423" s="3" t="s">
        <v>72</v>
      </c>
      <c r="C423">
        <v>10</v>
      </c>
      <c r="D423">
        <v>1500</v>
      </c>
      <c r="E423">
        <v>6</v>
      </c>
      <c r="F423">
        <v>0.4</v>
      </c>
      <c r="G423">
        <v>1.83</v>
      </c>
      <c r="H423">
        <v>0.31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">
      <c r="A424" s="4">
        <v>43694</v>
      </c>
      <c r="B424" s="3" t="s">
        <v>78</v>
      </c>
      <c r="C424">
        <v>10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">
      <c r="A425" s="4">
        <v>43694</v>
      </c>
      <c r="B425" s="3" t="s">
        <v>80</v>
      </c>
      <c r="C425">
        <v>10</v>
      </c>
      <c r="D425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">
      <c r="A426" s="4">
        <v>43694</v>
      </c>
      <c r="B426" s="3" t="s">
        <v>81</v>
      </c>
      <c r="C426">
        <v>10</v>
      </c>
      <c r="D426">
        <v>833</v>
      </c>
      <c r="E426">
        <v>3</v>
      </c>
      <c r="F426">
        <v>0.36009999999999998</v>
      </c>
      <c r="G426">
        <v>2.14</v>
      </c>
      <c r="H426">
        <v>0.71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">
      <c r="A427" s="4">
        <v>43694</v>
      </c>
      <c r="B427" s="3" t="s">
        <v>82</v>
      </c>
      <c r="C427">
        <v>5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">
      <c r="A428" s="4">
        <v>43694</v>
      </c>
      <c r="B428" s="3" t="s">
        <v>83</v>
      </c>
      <c r="C428">
        <v>5</v>
      </c>
      <c r="D428">
        <v>4191</v>
      </c>
      <c r="E428">
        <v>6</v>
      </c>
      <c r="F428">
        <v>0.14319999999999999</v>
      </c>
      <c r="G428">
        <v>4.05</v>
      </c>
      <c r="H428">
        <v>0.68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">
      <c r="A429" s="4">
        <v>43694</v>
      </c>
      <c r="B429" s="3" t="s">
        <v>29</v>
      </c>
      <c r="C429">
        <v>3</v>
      </c>
      <c r="D429">
        <v>222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">
      <c r="A430" s="4">
        <v>43694</v>
      </c>
      <c r="B430" s="3" t="s">
        <v>86</v>
      </c>
      <c r="C430">
        <v>10</v>
      </c>
      <c r="D430">
        <v>929</v>
      </c>
      <c r="E430">
        <v>5</v>
      </c>
      <c r="F430">
        <v>0.53820000000000001</v>
      </c>
      <c r="G430">
        <v>1.96</v>
      </c>
      <c r="H430">
        <v>0.39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">
      <c r="A431" s="4">
        <v>43694</v>
      </c>
      <c r="B431" s="3" t="s">
        <v>30</v>
      </c>
      <c r="C431">
        <v>5</v>
      </c>
      <c r="D431">
        <v>235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">
      <c r="A432" s="4">
        <v>43694</v>
      </c>
      <c r="B432" s="3" t="s">
        <v>85</v>
      </c>
      <c r="C432">
        <v>5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">
      <c r="A433" s="4">
        <v>43694</v>
      </c>
      <c r="B433" s="3" t="s">
        <v>84</v>
      </c>
      <c r="C433">
        <v>10</v>
      </c>
      <c r="D433">
        <v>234</v>
      </c>
      <c r="E433">
        <v>2</v>
      </c>
      <c r="F433">
        <v>0.85470000000000002</v>
      </c>
      <c r="G433">
        <v>0.69</v>
      </c>
      <c r="H433">
        <v>0.35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">
      <c r="A434" s="4">
        <v>43694</v>
      </c>
      <c r="B434" s="3" t="s">
        <v>31</v>
      </c>
      <c r="C434">
        <v>30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">
      <c r="A435" s="4">
        <v>43694</v>
      </c>
      <c r="B435" s="3" t="s">
        <v>91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">
      <c r="A436" s="4">
        <v>43694</v>
      </c>
      <c r="B436" s="3" t="s">
        <v>87</v>
      </c>
      <c r="C436">
        <v>10</v>
      </c>
      <c r="D436">
        <v>186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">
      <c r="A437" s="4">
        <v>43694</v>
      </c>
      <c r="B437" s="3" t="s">
        <v>88</v>
      </c>
      <c r="C437">
        <v>15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">
      <c r="A438" s="4">
        <v>43694</v>
      </c>
      <c r="B438" s="3" t="s">
        <v>90</v>
      </c>
      <c r="C438">
        <v>20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">
      <c r="A439" s="4">
        <v>43694</v>
      </c>
      <c r="B439" s="3" t="s">
        <v>89</v>
      </c>
      <c r="C439">
        <v>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">
      <c r="A440" s="4">
        <v>43694</v>
      </c>
      <c r="B440" s="3" t="s">
        <v>75</v>
      </c>
      <c r="C440">
        <v>5</v>
      </c>
      <c r="D440">
        <v>2972</v>
      </c>
      <c r="E440">
        <v>18</v>
      </c>
      <c r="F440">
        <v>0.60570000000000002</v>
      </c>
      <c r="G440">
        <v>6.02</v>
      </c>
      <c r="H440">
        <v>0.33</v>
      </c>
      <c r="I440">
        <v>2</v>
      </c>
      <c r="J440">
        <v>135.96</v>
      </c>
      <c r="K440">
        <v>4.4278000000000004</v>
      </c>
      <c r="L440">
        <v>0</v>
      </c>
      <c r="M440">
        <v>0</v>
      </c>
      <c r="N440">
        <v>0</v>
      </c>
      <c r="O440">
        <v>0</v>
      </c>
    </row>
    <row r="441" spans="1:15" x14ac:dyDescent="0.2">
      <c r="A441" s="4">
        <v>43694</v>
      </c>
      <c r="B441" s="3" t="s">
        <v>28</v>
      </c>
      <c r="C441">
        <v>10</v>
      </c>
      <c r="D441">
        <v>645</v>
      </c>
      <c r="E441">
        <v>2</v>
      </c>
      <c r="F441">
        <v>0.31009999999999999</v>
      </c>
      <c r="G441">
        <v>1.28</v>
      </c>
      <c r="H441">
        <v>0.64</v>
      </c>
      <c r="I441">
        <v>1</v>
      </c>
      <c r="J441">
        <v>16.37</v>
      </c>
      <c r="K441">
        <v>7.8192000000000004</v>
      </c>
      <c r="L441">
        <v>0</v>
      </c>
      <c r="M441">
        <v>0</v>
      </c>
      <c r="N441">
        <v>0</v>
      </c>
      <c r="O441">
        <v>0</v>
      </c>
    </row>
    <row r="442" spans="1:15" x14ac:dyDescent="0.2">
      <c r="A442" s="4">
        <v>43694</v>
      </c>
      <c r="B442" s="3" t="s">
        <v>73</v>
      </c>
      <c r="C442">
        <v>10</v>
      </c>
      <c r="D442">
        <v>2597</v>
      </c>
      <c r="E442">
        <v>35</v>
      </c>
      <c r="F442">
        <v>1.3476999999999999</v>
      </c>
      <c r="G442">
        <v>10.29</v>
      </c>
      <c r="H442">
        <v>0.28999999999999998</v>
      </c>
      <c r="I442">
        <v>2</v>
      </c>
      <c r="J442">
        <v>107.94</v>
      </c>
      <c r="K442">
        <v>9.5330999999999992</v>
      </c>
      <c r="L442">
        <v>0</v>
      </c>
      <c r="M442">
        <v>0</v>
      </c>
      <c r="N442">
        <v>0</v>
      </c>
      <c r="O442">
        <v>0</v>
      </c>
    </row>
    <row r="443" spans="1:15" x14ac:dyDescent="0.2">
      <c r="A443" s="4">
        <v>43694</v>
      </c>
      <c r="B443" s="3" t="s">
        <v>79</v>
      </c>
      <c r="C443">
        <v>10</v>
      </c>
      <c r="D443">
        <v>19520</v>
      </c>
      <c r="E443">
        <v>76</v>
      </c>
      <c r="F443">
        <v>0.38929999999999998</v>
      </c>
      <c r="G443">
        <v>22.02</v>
      </c>
      <c r="H443">
        <v>0.28999999999999998</v>
      </c>
      <c r="I443">
        <v>2</v>
      </c>
      <c r="J443">
        <v>107.94</v>
      </c>
      <c r="K443">
        <v>20.400200000000002</v>
      </c>
      <c r="L443">
        <v>0</v>
      </c>
      <c r="M443">
        <v>0</v>
      </c>
      <c r="N443">
        <v>0</v>
      </c>
      <c r="O443">
        <v>0</v>
      </c>
    </row>
    <row r="444" spans="1:15" x14ac:dyDescent="0.2">
      <c r="A444" s="4">
        <v>43695</v>
      </c>
      <c r="B444" s="3" t="s">
        <v>74</v>
      </c>
      <c r="C444">
        <v>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">
      <c r="A445" s="4">
        <v>43695</v>
      </c>
      <c r="B445" s="3" t="s">
        <v>76</v>
      </c>
      <c r="C445">
        <v>10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">
      <c r="A446" s="4">
        <v>43695</v>
      </c>
      <c r="B446" s="3" t="s">
        <v>77</v>
      </c>
      <c r="C446">
        <v>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">
      <c r="A447" s="4">
        <v>43695</v>
      </c>
      <c r="B447" s="3" t="s">
        <v>27</v>
      </c>
      <c r="C447">
        <v>10</v>
      </c>
      <c r="D447">
        <v>3917</v>
      </c>
      <c r="E447">
        <v>16</v>
      </c>
      <c r="F447">
        <v>0.40849999999999997</v>
      </c>
      <c r="G447">
        <v>11.21</v>
      </c>
      <c r="H447">
        <v>0.7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">
      <c r="A448" s="4">
        <v>43695</v>
      </c>
      <c r="B448" s="3" t="s">
        <v>32</v>
      </c>
      <c r="C448">
        <v>2</v>
      </c>
      <c r="D448">
        <v>957</v>
      </c>
      <c r="E448">
        <v>6</v>
      </c>
      <c r="F448">
        <v>0.627</v>
      </c>
      <c r="G448">
        <v>2.19</v>
      </c>
      <c r="H448">
        <v>0.36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">
      <c r="A449" s="4">
        <v>43695</v>
      </c>
      <c r="B449" s="3" t="s">
        <v>78</v>
      </c>
      <c r="C449">
        <v>10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">
      <c r="A450" s="4">
        <v>43695</v>
      </c>
      <c r="B450" s="3" t="s">
        <v>80</v>
      </c>
      <c r="C450">
        <v>10</v>
      </c>
      <c r="D450">
        <v>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">
      <c r="A451" s="4">
        <v>43695</v>
      </c>
      <c r="B451" s="3" t="s">
        <v>81</v>
      </c>
      <c r="C451">
        <v>10</v>
      </c>
      <c r="D451">
        <v>1327</v>
      </c>
      <c r="E451">
        <v>3</v>
      </c>
      <c r="F451">
        <v>0.2261</v>
      </c>
      <c r="G451">
        <v>2.0499999999999998</v>
      </c>
      <c r="H451">
        <v>0.68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">
      <c r="A452" s="4">
        <v>43695</v>
      </c>
      <c r="B452" s="3" t="s">
        <v>82</v>
      </c>
      <c r="C452">
        <v>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">
      <c r="A453" s="4">
        <v>43695</v>
      </c>
      <c r="B453" s="3" t="s">
        <v>28</v>
      </c>
      <c r="C453">
        <v>10</v>
      </c>
      <c r="D453">
        <v>1636</v>
      </c>
      <c r="E453">
        <v>7</v>
      </c>
      <c r="F453">
        <v>0.4279</v>
      </c>
      <c r="G453">
        <v>4.18</v>
      </c>
      <c r="H453">
        <v>0.6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">
      <c r="A454" s="4">
        <v>43695</v>
      </c>
      <c r="B454" s="3" t="s">
        <v>83</v>
      </c>
      <c r="C454">
        <v>5</v>
      </c>
      <c r="D454">
        <v>4597</v>
      </c>
      <c r="E454">
        <v>8</v>
      </c>
      <c r="F454">
        <v>0.17399999999999999</v>
      </c>
      <c r="G454">
        <v>4.9800000000000004</v>
      </c>
      <c r="H454">
        <v>0.62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">
      <c r="A455" s="4">
        <v>43695</v>
      </c>
      <c r="B455" s="3" t="s">
        <v>29</v>
      </c>
      <c r="C455">
        <v>3</v>
      </c>
      <c r="D455">
        <v>207</v>
      </c>
      <c r="E455">
        <v>2</v>
      </c>
      <c r="F455">
        <v>0.96619999999999995</v>
      </c>
      <c r="G455">
        <v>0.25</v>
      </c>
      <c r="H455">
        <v>0.13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">
      <c r="A456" s="4">
        <v>43695</v>
      </c>
      <c r="B456" s="3" t="s">
        <v>86</v>
      </c>
      <c r="C456">
        <v>10</v>
      </c>
      <c r="D456">
        <v>833</v>
      </c>
      <c r="E456">
        <v>3</v>
      </c>
      <c r="F456">
        <v>0.36009999999999998</v>
      </c>
      <c r="G456">
        <v>1.29</v>
      </c>
      <c r="H456">
        <v>0.43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">
      <c r="A457" s="4">
        <v>43695</v>
      </c>
      <c r="B457" s="3" t="s">
        <v>85</v>
      </c>
      <c r="C457">
        <v>5</v>
      </c>
      <c r="D457">
        <v>11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">
      <c r="A458" s="4">
        <v>43695</v>
      </c>
      <c r="B458" s="3" t="s">
        <v>31</v>
      </c>
      <c r="C458">
        <v>30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">
      <c r="A459" s="4">
        <v>43695</v>
      </c>
      <c r="B459" s="3" t="s">
        <v>91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">
      <c r="A460" s="4">
        <v>43695</v>
      </c>
      <c r="B460" s="3" t="s">
        <v>88</v>
      </c>
      <c r="C460">
        <v>15</v>
      </c>
      <c r="D460">
        <v>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">
      <c r="A461" s="4">
        <v>43695</v>
      </c>
      <c r="B461" s="3" t="s">
        <v>90</v>
      </c>
      <c r="C461">
        <v>20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">
      <c r="A462" s="4">
        <v>43695</v>
      </c>
      <c r="B462" s="3" t="s">
        <v>89</v>
      </c>
      <c r="C462">
        <v>15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">
      <c r="A463" s="4">
        <v>43695</v>
      </c>
      <c r="B463" s="3" t="s">
        <v>75</v>
      </c>
      <c r="C463">
        <v>5</v>
      </c>
      <c r="D463">
        <v>4679</v>
      </c>
      <c r="E463">
        <v>20</v>
      </c>
      <c r="F463">
        <v>0.4274</v>
      </c>
      <c r="G463">
        <v>5.58</v>
      </c>
      <c r="H463">
        <v>0.28000000000000003</v>
      </c>
      <c r="I463">
        <v>2</v>
      </c>
      <c r="J463">
        <v>155.94</v>
      </c>
      <c r="K463">
        <v>3.5783</v>
      </c>
      <c r="L463">
        <v>0</v>
      </c>
      <c r="M463">
        <v>0</v>
      </c>
      <c r="N463">
        <v>0</v>
      </c>
      <c r="O463">
        <v>0</v>
      </c>
    </row>
    <row r="464" spans="1:15" x14ac:dyDescent="0.2">
      <c r="A464" s="4">
        <v>43695</v>
      </c>
      <c r="B464" s="3" t="s">
        <v>84</v>
      </c>
      <c r="C464">
        <v>10</v>
      </c>
      <c r="D464">
        <v>267</v>
      </c>
      <c r="E464">
        <v>2</v>
      </c>
      <c r="F464">
        <v>0.74909999999999999</v>
      </c>
      <c r="G464">
        <v>0.6</v>
      </c>
      <c r="H464">
        <v>0.3</v>
      </c>
      <c r="I464">
        <v>1</v>
      </c>
      <c r="J464">
        <v>13.97</v>
      </c>
      <c r="K464">
        <v>4.2949000000000002</v>
      </c>
      <c r="L464">
        <v>0</v>
      </c>
      <c r="M464">
        <v>0</v>
      </c>
      <c r="N464">
        <v>0</v>
      </c>
      <c r="O464">
        <v>0</v>
      </c>
    </row>
    <row r="465" spans="1:15" x14ac:dyDescent="0.2">
      <c r="A465" s="4">
        <v>43695</v>
      </c>
      <c r="B465" s="3" t="s">
        <v>73</v>
      </c>
      <c r="C465">
        <v>10</v>
      </c>
      <c r="D465">
        <v>4691</v>
      </c>
      <c r="E465">
        <v>40</v>
      </c>
      <c r="F465">
        <v>0.85270000000000001</v>
      </c>
      <c r="G465">
        <v>10.64</v>
      </c>
      <c r="H465">
        <v>0.27</v>
      </c>
      <c r="I465">
        <v>4</v>
      </c>
      <c r="J465">
        <v>239.88</v>
      </c>
      <c r="K465">
        <v>4.4356</v>
      </c>
      <c r="L465">
        <v>0</v>
      </c>
      <c r="M465">
        <v>0</v>
      </c>
      <c r="N465">
        <v>0</v>
      </c>
      <c r="O465">
        <v>0</v>
      </c>
    </row>
    <row r="466" spans="1:15" x14ac:dyDescent="0.2">
      <c r="A466" s="4">
        <v>43695</v>
      </c>
      <c r="B466" s="3" t="s">
        <v>30</v>
      </c>
      <c r="C466">
        <v>5</v>
      </c>
      <c r="D466">
        <v>581</v>
      </c>
      <c r="E466">
        <v>4</v>
      </c>
      <c r="F466">
        <v>0.6885</v>
      </c>
      <c r="G466">
        <v>2.09</v>
      </c>
      <c r="H466">
        <v>0.52</v>
      </c>
      <c r="I466">
        <v>1</v>
      </c>
      <c r="J466">
        <v>24.99</v>
      </c>
      <c r="K466">
        <v>8.3633000000000006</v>
      </c>
      <c r="L466">
        <v>0</v>
      </c>
      <c r="M466">
        <v>0</v>
      </c>
      <c r="N466">
        <v>0</v>
      </c>
      <c r="O466">
        <v>0</v>
      </c>
    </row>
    <row r="467" spans="1:15" x14ac:dyDescent="0.2">
      <c r="A467" s="4">
        <v>43695</v>
      </c>
      <c r="B467" s="3" t="s">
        <v>87</v>
      </c>
      <c r="C467">
        <v>10</v>
      </c>
      <c r="D467">
        <v>472</v>
      </c>
      <c r="E467">
        <v>4</v>
      </c>
      <c r="F467">
        <v>0.84750000000000003</v>
      </c>
      <c r="G467">
        <v>1.55</v>
      </c>
      <c r="H467">
        <v>0.39</v>
      </c>
      <c r="I467">
        <v>1</v>
      </c>
      <c r="J467">
        <v>11.99</v>
      </c>
      <c r="K467">
        <v>12.9274</v>
      </c>
      <c r="L467">
        <v>0</v>
      </c>
      <c r="M467">
        <v>0</v>
      </c>
      <c r="N467">
        <v>0</v>
      </c>
      <c r="O467">
        <v>0</v>
      </c>
    </row>
    <row r="468" spans="1:15" x14ac:dyDescent="0.2">
      <c r="A468" s="4">
        <v>43695</v>
      </c>
      <c r="B468" s="3" t="s">
        <v>72</v>
      </c>
      <c r="C468">
        <v>10</v>
      </c>
      <c r="D468">
        <v>4415</v>
      </c>
      <c r="E468">
        <v>44</v>
      </c>
      <c r="F468">
        <v>0.99660000000000004</v>
      </c>
      <c r="G468">
        <v>12.5</v>
      </c>
      <c r="H468">
        <v>0.28000000000000003</v>
      </c>
      <c r="I468">
        <v>1</v>
      </c>
      <c r="J468">
        <v>53.97</v>
      </c>
      <c r="K468">
        <v>23.161000000000001</v>
      </c>
      <c r="L468">
        <v>0</v>
      </c>
      <c r="M468">
        <v>0</v>
      </c>
      <c r="N468">
        <v>0</v>
      </c>
      <c r="O468">
        <v>0</v>
      </c>
    </row>
    <row r="469" spans="1:15" x14ac:dyDescent="0.2">
      <c r="A469" s="4">
        <v>43695</v>
      </c>
      <c r="B469" s="3" t="s">
        <v>79</v>
      </c>
      <c r="C469">
        <v>10</v>
      </c>
      <c r="D469">
        <v>9598</v>
      </c>
      <c r="E469">
        <v>63</v>
      </c>
      <c r="F469">
        <v>0.65639999999999998</v>
      </c>
      <c r="G469">
        <v>22.11</v>
      </c>
      <c r="H469">
        <v>0.35</v>
      </c>
      <c r="I469">
        <v>1</v>
      </c>
      <c r="J469">
        <v>53.97</v>
      </c>
      <c r="K469">
        <v>40.967199999999998</v>
      </c>
      <c r="L469">
        <v>0</v>
      </c>
      <c r="M469">
        <v>0</v>
      </c>
      <c r="N469">
        <v>0</v>
      </c>
      <c r="O469">
        <v>0</v>
      </c>
    </row>
    <row r="470" spans="1:15" x14ac:dyDescent="0.2">
      <c r="A470" s="4">
        <v>43696</v>
      </c>
      <c r="B470" s="3" t="s">
        <v>74</v>
      </c>
      <c r="C470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">
      <c r="A471" s="4">
        <v>43696</v>
      </c>
      <c r="B471" s="3" t="s">
        <v>76</v>
      </c>
      <c r="C471">
        <v>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">
      <c r="A472" s="4">
        <v>43696</v>
      </c>
      <c r="B472" s="3" t="s">
        <v>32</v>
      </c>
      <c r="C472">
        <v>2</v>
      </c>
      <c r="D472">
        <v>621</v>
      </c>
      <c r="E472">
        <v>7</v>
      </c>
      <c r="F472">
        <v>1.1272</v>
      </c>
      <c r="G472">
        <v>2.23</v>
      </c>
      <c r="H472">
        <v>0.32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">
      <c r="A473" s="4">
        <v>43696</v>
      </c>
      <c r="B473" s="3" t="s">
        <v>72</v>
      </c>
      <c r="C473">
        <v>10</v>
      </c>
      <c r="D473">
        <v>3101</v>
      </c>
      <c r="E473">
        <v>23</v>
      </c>
      <c r="F473">
        <v>0.74170000000000003</v>
      </c>
      <c r="G473">
        <v>5.87</v>
      </c>
      <c r="H473">
        <v>0.26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">
      <c r="A474" s="4">
        <v>43696</v>
      </c>
      <c r="B474" s="3" t="s">
        <v>78</v>
      </c>
      <c r="C474">
        <v>10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">
      <c r="A475" s="4">
        <v>43696</v>
      </c>
      <c r="B475" s="3" t="s">
        <v>80</v>
      </c>
      <c r="C475">
        <v>10</v>
      </c>
      <c r="D475">
        <v>77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">
      <c r="A476" s="4">
        <v>43696</v>
      </c>
      <c r="B476" s="3" t="s">
        <v>82</v>
      </c>
      <c r="C476">
        <v>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">
      <c r="A477" s="4">
        <v>43696</v>
      </c>
      <c r="B477" s="3" t="s">
        <v>29</v>
      </c>
      <c r="C477">
        <v>3</v>
      </c>
      <c r="D477">
        <v>274</v>
      </c>
      <c r="E477">
        <v>1</v>
      </c>
      <c r="F477">
        <v>0.36499999999999999</v>
      </c>
      <c r="G477">
        <v>0.02</v>
      </c>
      <c r="H477">
        <v>0.02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">
      <c r="A478" s="4">
        <v>43696</v>
      </c>
      <c r="B478" s="3" t="s">
        <v>86</v>
      </c>
      <c r="C478">
        <v>10</v>
      </c>
      <c r="D478">
        <v>1846</v>
      </c>
      <c r="E478">
        <v>2</v>
      </c>
      <c r="F478">
        <v>0.10829999999999999</v>
      </c>
      <c r="G478">
        <v>0.78</v>
      </c>
      <c r="H478">
        <v>0.39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">
      <c r="A479" s="4">
        <v>43696</v>
      </c>
      <c r="B479" s="3" t="s">
        <v>30</v>
      </c>
      <c r="C479">
        <v>5</v>
      </c>
      <c r="D479">
        <v>535</v>
      </c>
      <c r="E479">
        <v>2</v>
      </c>
      <c r="F479">
        <v>0.37380000000000002</v>
      </c>
      <c r="G479">
        <v>0.67</v>
      </c>
      <c r="H479">
        <v>0.34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">
      <c r="A480" s="4">
        <v>43696</v>
      </c>
      <c r="B480" s="3" t="s">
        <v>85</v>
      </c>
      <c r="C480">
        <v>5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">
      <c r="A481" s="4">
        <v>43696</v>
      </c>
      <c r="B481" s="3" t="s">
        <v>84</v>
      </c>
      <c r="C481">
        <v>10</v>
      </c>
      <c r="D481">
        <v>400</v>
      </c>
      <c r="E481">
        <v>1</v>
      </c>
      <c r="F481">
        <v>0.25</v>
      </c>
      <c r="G481">
        <v>0.41</v>
      </c>
      <c r="H481">
        <v>0.41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">
      <c r="A482" s="4">
        <v>43696</v>
      </c>
      <c r="B482" s="3" t="s">
        <v>31</v>
      </c>
      <c r="C482">
        <v>30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">
      <c r="A483" s="4">
        <v>43696</v>
      </c>
      <c r="B483" s="3" t="s">
        <v>91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">
      <c r="A484" s="4">
        <v>43696</v>
      </c>
      <c r="B484" s="3" t="s">
        <v>88</v>
      </c>
      <c r="C484">
        <v>15</v>
      </c>
      <c r="D484">
        <v>16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">
      <c r="A485" s="4">
        <v>43696</v>
      </c>
      <c r="B485" s="3" t="s">
        <v>90</v>
      </c>
      <c r="C485">
        <v>20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">
      <c r="A486" s="4">
        <v>43696</v>
      </c>
      <c r="B486" s="3" t="s">
        <v>89</v>
      </c>
      <c r="C486">
        <v>15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">
      <c r="A487" s="4">
        <v>43696</v>
      </c>
      <c r="B487" s="3" t="s">
        <v>73</v>
      </c>
      <c r="C487">
        <v>10</v>
      </c>
      <c r="D487">
        <v>4400</v>
      </c>
      <c r="E487">
        <v>39</v>
      </c>
      <c r="F487">
        <v>0.88639999999999997</v>
      </c>
      <c r="G487">
        <v>11.26</v>
      </c>
      <c r="H487">
        <v>0.28999999999999998</v>
      </c>
      <c r="I487">
        <v>2</v>
      </c>
      <c r="J487">
        <v>107.94</v>
      </c>
      <c r="K487">
        <v>10.431699999999999</v>
      </c>
      <c r="L487">
        <v>0</v>
      </c>
      <c r="M487">
        <v>0</v>
      </c>
      <c r="N487">
        <v>0</v>
      </c>
      <c r="O487">
        <v>0</v>
      </c>
    </row>
    <row r="488" spans="1:15" x14ac:dyDescent="0.2">
      <c r="A488" s="4">
        <v>43696</v>
      </c>
      <c r="B488" s="3" t="s">
        <v>75</v>
      </c>
      <c r="C488">
        <v>5</v>
      </c>
      <c r="D488">
        <v>4405</v>
      </c>
      <c r="E488">
        <v>24</v>
      </c>
      <c r="F488">
        <v>0.54479999999999995</v>
      </c>
      <c r="G488">
        <v>6.03</v>
      </c>
      <c r="H488">
        <v>0.25</v>
      </c>
      <c r="I488">
        <v>1</v>
      </c>
      <c r="J488">
        <v>53.97</v>
      </c>
      <c r="K488">
        <v>11.1729</v>
      </c>
      <c r="L488">
        <v>0</v>
      </c>
      <c r="M488">
        <v>0</v>
      </c>
      <c r="N488">
        <v>0</v>
      </c>
      <c r="O488">
        <v>0</v>
      </c>
    </row>
    <row r="489" spans="1:15" x14ac:dyDescent="0.2">
      <c r="A489" s="4">
        <v>43696</v>
      </c>
      <c r="B489" s="3" t="s">
        <v>87</v>
      </c>
      <c r="C489">
        <v>10</v>
      </c>
      <c r="D489">
        <v>363</v>
      </c>
      <c r="E489">
        <v>3</v>
      </c>
      <c r="F489">
        <v>0.82640000000000002</v>
      </c>
      <c r="G489">
        <v>1.54</v>
      </c>
      <c r="H489">
        <v>0.51</v>
      </c>
      <c r="I489">
        <v>1</v>
      </c>
      <c r="J489">
        <v>11.99</v>
      </c>
      <c r="K489">
        <v>12.843999999999999</v>
      </c>
      <c r="L489">
        <v>0</v>
      </c>
      <c r="M489">
        <v>0</v>
      </c>
      <c r="N489">
        <v>0</v>
      </c>
      <c r="O489">
        <v>0</v>
      </c>
    </row>
    <row r="490" spans="1:15" x14ac:dyDescent="0.2">
      <c r="A490" s="4">
        <v>43696</v>
      </c>
      <c r="B490" s="3" t="s">
        <v>28</v>
      </c>
      <c r="C490">
        <v>10</v>
      </c>
      <c r="D490">
        <v>1876</v>
      </c>
      <c r="E490">
        <v>7</v>
      </c>
      <c r="F490">
        <v>0.37309999999999999</v>
      </c>
      <c r="G490">
        <v>4.3</v>
      </c>
      <c r="H490">
        <v>0.61</v>
      </c>
      <c r="I490">
        <v>2</v>
      </c>
      <c r="J490">
        <v>32.74</v>
      </c>
      <c r="K490">
        <v>13.133800000000001</v>
      </c>
      <c r="L490">
        <v>0</v>
      </c>
      <c r="M490">
        <v>0</v>
      </c>
      <c r="N490">
        <v>0</v>
      </c>
      <c r="O490">
        <v>0</v>
      </c>
    </row>
    <row r="491" spans="1:15" x14ac:dyDescent="0.2">
      <c r="A491" s="4">
        <v>43696</v>
      </c>
      <c r="B491" s="3" t="s">
        <v>81</v>
      </c>
      <c r="C491">
        <v>10</v>
      </c>
      <c r="D491">
        <v>935</v>
      </c>
      <c r="E491">
        <v>7</v>
      </c>
      <c r="F491">
        <v>0.74870000000000003</v>
      </c>
      <c r="G491">
        <v>4.42</v>
      </c>
      <c r="H491">
        <v>0.63</v>
      </c>
      <c r="I491">
        <v>1</v>
      </c>
      <c r="J491">
        <v>23.99</v>
      </c>
      <c r="K491">
        <v>18.424299999999999</v>
      </c>
      <c r="L491">
        <v>0</v>
      </c>
      <c r="M491">
        <v>0</v>
      </c>
      <c r="N491">
        <v>0</v>
      </c>
      <c r="O491">
        <v>0</v>
      </c>
    </row>
    <row r="492" spans="1:15" x14ac:dyDescent="0.2">
      <c r="A492" s="4">
        <v>43696</v>
      </c>
      <c r="B492" s="3" t="s">
        <v>79</v>
      </c>
      <c r="C492">
        <v>10</v>
      </c>
      <c r="D492">
        <v>13248</v>
      </c>
      <c r="E492">
        <v>68</v>
      </c>
      <c r="F492">
        <v>0.51329999999999998</v>
      </c>
      <c r="G492">
        <v>22.05</v>
      </c>
      <c r="H492">
        <v>0.32</v>
      </c>
      <c r="I492">
        <v>2</v>
      </c>
      <c r="J492">
        <v>107.94</v>
      </c>
      <c r="K492">
        <v>20.428000000000001</v>
      </c>
      <c r="L492">
        <v>0</v>
      </c>
      <c r="M492">
        <v>0</v>
      </c>
      <c r="N492">
        <v>0</v>
      </c>
      <c r="O492">
        <v>0</v>
      </c>
    </row>
    <row r="493" spans="1:15" x14ac:dyDescent="0.2">
      <c r="A493" s="4">
        <v>43696</v>
      </c>
      <c r="B493" s="3" t="s">
        <v>83</v>
      </c>
      <c r="C493">
        <v>5</v>
      </c>
      <c r="D493">
        <v>11072</v>
      </c>
      <c r="E493">
        <v>19</v>
      </c>
      <c r="F493">
        <v>0.1716</v>
      </c>
      <c r="G493">
        <v>12.07</v>
      </c>
      <c r="H493">
        <v>0.64</v>
      </c>
      <c r="I493">
        <v>2</v>
      </c>
      <c r="J493">
        <v>47.98</v>
      </c>
      <c r="K493">
        <v>25.156300000000002</v>
      </c>
      <c r="L493">
        <v>0</v>
      </c>
      <c r="M493">
        <v>0</v>
      </c>
      <c r="N493">
        <v>0</v>
      </c>
      <c r="O493">
        <v>0</v>
      </c>
    </row>
    <row r="494" spans="1:15" x14ac:dyDescent="0.2">
      <c r="A494" s="4">
        <v>43696</v>
      </c>
      <c r="B494" s="3" t="s">
        <v>27</v>
      </c>
      <c r="C494">
        <v>10</v>
      </c>
      <c r="D494">
        <v>2984</v>
      </c>
      <c r="E494">
        <v>19</v>
      </c>
      <c r="F494">
        <v>0.63670000000000004</v>
      </c>
      <c r="G494">
        <v>12.88</v>
      </c>
      <c r="H494">
        <v>0.68</v>
      </c>
      <c r="I494">
        <v>2</v>
      </c>
      <c r="J494">
        <v>47.98</v>
      </c>
      <c r="K494">
        <v>26.8445</v>
      </c>
      <c r="L494">
        <v>0</v>
      </c>
      <c r="M494">
        <v>0</v>
      </c>
      <c r="N494">
        <v>0</v>
      </c>
      <c r="O494">
        <v>0</v>
      </c>
    </row>
    <row r="495" spans="1:15" x14ac:dyDescent="0.2">
      <c r="A495" s="4">
        <v>43696</v>
      </c>
      <c r="B495" s="3" t="s">
        <v>77</v>
      </c>
      <c r="C495">
        <v>5</v>
      </c>
      <c r="D495">
        <v>4432</v>
      </c>
      <c r="E495">
        <v>11</v>
      </c>
      <c r="F495">
        <v>0.2482</v>
      </c>
      <c r="G495">
        <v>7.48</v>
      </c>
      <c r="H495">
        <v>0.68</v>
      </c>
      <c r="I495">
        <v>1</v>
      </c>
      <c r="J495">
        <v>23.99</v>
      </c>
      <c r="K495">
        <v>31.1797</v>
      </c>
      <c r="L495">
        <v>0</v>
      </c>
      <c r="M495">
        <v>0</v>
      </c>
      <c r="N495">
        <v>0</v>
      </c>
      <c r="O495">
        <v>0</v>
      </c>
    </row>
    <row r="496" spans="1:15" x14ac:dyDescent="0.2">
      <c r="A496" s="4">
        <v>43697</v>
      </c>
      <c r="B496" s="3" t="s">
        <v>74</v>
      </c>
      <c r="C496">
        <v>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">
      <c r="A497" s="4">
        <v>43697</v>
      </c>
      <c r="B497" s="3" t="s">
        <v>76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">
      <c r="A498" s="4">
        <v>43697</v>
      </c>
      <c r="B498" s="3" t="s">
        <v>27</v>
      </c>
      <c r="C498">
        <v>10</v>
      </c>
      <c r="D498">
        <v>1769</v>
      </c>
      <c r="E498">
        <v>18</v>
      </c>
      <c r="F498">
        <v>1.0175000000000001</v>
      </c>
      <c r="G498">
        <v>11.29</v>
      </c>
      <c r="H498">
        <v>0.63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">
      <c r="A499" s="4">
        <v>43697</v>
      </c>
      <c r="B499" s="3" t="s">
        <v>32</v>
      </c>
      <c r="C499">
        <v>2</v>
      </c>
      <c r="D499">
        <v>609</v>
      </c>
      <c r="E499">
        <v>5</v>
      </c>
      <c r="F499">
        <v>0.82099999999999995</v>
      </c>
      <c r="G499">
        <v>2.2599999999999998</v>
      </c>
      <c r="H499">
        <v>0.45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">
      <c r="A500" s="4">
        <v>43697</v>
      </c>
      <c r="B500" s="3" t="s">
        <v>72</v>
      </c>
      <c r="C500">
        <v>10</v>
      </c>
      <c r="D500">
        <v>2364</v>
      </c>
      <c r="E500">
        <v>11</v>
      </c>
      <c r="F500">
        <v>0.46529999999999999</v>
      </c>
      <c r="G500">
        <v>3</v>
      </c>
      <c r="H500">
        <v>0.27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">
      <c r="A501" s="4">
        <v>43697</v>
      </c>
      <c r="B501" s="3" t="s">
        <v>78</v>
      </c>
      <c r="C501">
        <v>10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">
      <c r="A502" s="4">
        <v>43697</v>
      </c>
      <c r="B502" s="3" t="s">
        <v>80</v>
      </c>
      <c r="C502">
        <v>10</v>
      </c>
      <c r="D502">
        <v>37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">
      <c r="A503" s="4">
        <v>43697</v>
      </c>
      <c r="B503" s="3" t="s">
        <v>81</v>
      </c>
      <c r="C503">
        <v>10</v>
      </c>
      <c r="D503">
        <v>870</v>
      </c>
      <c r="E503">
        <v>5</v>
      </c>
      <c r="F503">
        <v>0.57469999999999999</v>
      </c>
      <c r="G503">
        <v>2.84</v>
      </c>
      <c r="H503">
        <v>0.56999999999999995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">
      <c r="A504" s="4">
        <v>43697</v>
      </c>
      <c r="B504" s="3" t="s">
        <v>82</v>
      </c>
      <c r="C504">
        <v>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">
      <c r="A505" s="4">
        <v>43697</v>
      </c>
      <c r="B505" s="3" t="s">
        <v>28</v>
      </c>
      <c r="C505">
        <v>10</v>
      </c>
      <c r="D505">
        <v>2381</v>
      </c>
      <c r="E505">
        <v>6</v>
      </c>
      <c r="F505">
        <v>0.252</v>
      </c>
      <c r="G505">
        <v>3.34</v>
      </c>
      <c r="H505">
        <v>0.56000000000000005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">
      <c r="A506" s="4">
        <v>43697</v>
      </c>
      <c r="B506" s="3" t="s">
        <v>83</v>
      </c>
      <c r="C506">
        <v>5</v>
      </c>
      <c r="D506">
        <v>4453</v>
      </c>
      <c r="E506">
        <v>12</v>
      </c>
      <c r="F506">
        <v>0.26950000000000002</v>
      </c>
      <c r="G506">
        <v>7.69</v>
      </c>
      <c r="H506">
        <v>0.64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">
      <c r="A507" s="4">
        <v>43697</v>
      </c>
      <c r="B507" s="3" t="s">
        <v>86</v>
      </c>
      <c r="C507">
        <v>10</v>
      </c>
      <c r="D507">
        <v>1462</v>
      </c>
      <c r="E507">
        <v>4</v>
      </c>
      <c r="F507">
        <v>0.27360000000000001</v>
      </c>
      <c r="G507">
        <v>2.86</v>
      </c>
      <c r="H507">
        <v>0.72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">
      <c r="A508" s="4">
        <v>43697</v>
      </c>
      <c r="B508" s="3" t="s">
        <v>30</v>
      </c>
      <c r="C508">
        <v>5</v>
      </c>
      <c r="D508">
        <v>336</v>
      </c>
      <c r="E508">
        <v>1</v>
      </c>
      <c r="F508">
        <v>0.29759999999999998</v>
      </c>
      <c r="G508">
        <v>0.43</v>
      </c>
      <c r="H508">
        <v>0.43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">
      <c r="A509" s="4">
        <v>43697</v>
      </c>
      <c r="B509" s="3" t="s">
        <v>85</v>
      </c>
      <c r="C509">
        <v>5</v>
      </c>
      <c r="D509">
        <v>5</v>
      </c>
      <c r="E509">
        <v>1</v>
      </c>
      <c r="F509">
        <v>20</v>
      </c>
      <c r="G509">
        <v>0.02</v>
      </c>
      <c r="H509">
        <v>0.02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">
      <c r="A510" s="4">
        <v>43697</v>
      </c>
      <c r="B510" s="3" t="s">
        <v>84</v>
      </c>
      <c r="C510">
        <v>10</v>
      </c>
      <c r="D510">
        <v>710</v>
      </c>
      <c r="E510">
        <v>6</v>
      </c>
      <c r="F510">
        <v>0.84509999999999996</v>
      </c>
      <c r="G510">
        <v>2.2799999999999998</v>
      </c>
      <c r="H510">
        <v>0.38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">
      <c r="A511" s="4">
        <v>43697</v>
      </c>
      <c r="B511" s="3" t="s">
        <v>75</v>
      </c>
      <c r="C511">
        <v>5</v>
      </c>
      <c r="D511">
        <v>27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">
      <c r="A512" s="4">
        <v>43697</v>
      </c>
      <c r="B512" s="3" t="s">
        <v>31</v>
      </c>
      <c r="C512">
        <v>30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">
      <c r="A513" s="4">
        <v>43697</v>
      </c>
      <c r="B513" s="3" t="s">
        <v>91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">
      <c r="A514" s="4">
        <v>43697</v>
      </c>
      <c r="B514" s="3" t="s">
        <v>87</v>
      </c>
      <c r="C514">
        <v>10</v>
      </c>
      <c r="D514">
        <v>334</v>
      </c>
      <c r="E514">
        <v>3</v>
      </c>
      <c r="F514">
        <v>0.8982</v>
      </c>
      <c r="G514">
        <v>1.17</v>
      </c>
      <c r="H514">
        <v>0.39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">
      <c r="A515" s="4">
        <v>43697</v>
      </c>
      <c r="B515" s="3" t="s">
        <v>88</v>
      </c>
      <c r="C515">
        <v>15</v>
      </c>
      <c r="D515">
        <v>24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">
      <c r="A516" s="4">
        <v>43697</v>
      </c>
      <c r="B516" s="3" t="s">
        <v>90</v>
      </c>
      <c r="C516">
        <v>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">
      <c r="A517" s="4">
        <v>43697</v>
      </c>
      <c r="B517" s="3" t="s">
        <v>89</v>
      </c>
      <c r="C517">
        <v>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">
      <c r="A518" s="4">
        <v>43697</v>
      </c>
      <c r="B518" s="3" t="s">
        <v>29</v>
      </c>
      <c r="C518">
        <v>3</v>
      </c>
      <c r="D518">
        <v>220</v>
      </c>
      <c r="E518">
        <v>2</v>
      </c>
      <c r="F518">
        <v>0.90910000000000002</v>
      </c>
      <c r="G518">
        <v>0.18</v>
      </c>
      <c r="H518">
        <v>0.09</v>
      </c>
      <c r="I518">
        <v>2</v>
      </c>
      <c r="J518">
        <v>25.98</v>
      </c>
      <c r="K518">
        <v>0.69279999999999997</v>
      </c>
      <c r="L518">
        <v>0</v>
      </c>
      <c r="M518">
        <v>0</v>
      </c>
      <c r="N518">
        <v>0</v>
      </c>
      <c r="O518">
        <v>0</v>
      </c>
    </row>
    <row r="519" spans="1:15" x14ac:dyDescent="0.2">
      <c r="A519" s="4">
        <v>43697</v>
      </c>
      <c r="B519" s="3" t="s">
        <v>77</v>
      </c>
      <c r="C519">
        <v>5</v>
      </c>
      <c r="D519">
        <v>14238</v>
      </c>
      <c r="E519">
        <v>25</v>
      </c>
      <c r="F519">
        <v>0.17560000000000001</v>
      </c>
      <c r="G519">
        <v>15.54</v>
      </c>
      <c r="H519">
        <v>0.62</v>
      </c>
      <c r="I519">
        <v>4</v>
      </c>
      <c r="J519">
        <v>91.96</v>
      </c>
      <c r="K519">
        <v>16.898700000000002</v>
      </c>
      <c r="L519">
        <v>0</v>
      </c>
      <c r="M519">
        <v>0</v>
      </c>
      <c r="N519">
        <v>0</v>
      </c>
      <c r="O519">
        <v>0</v>
      </c>
    </row>
    <row r="520" spans="1:15" x14ac:dyDescent="0.2">
      <c r="A520" s="4">
        <v>43697</v>
      </c>
      <c r="B520" s="3" t="s">
        <v>73</v>
      </c>
      <c r="C520">
        <v>10</v>
      </c>
      <c r="D520">
        <v>4119</v>
      </c>
      <c r="E520">
        <v>45</v>
      </c>
      <c r="F520">
        <v>1.0925</v>
      </c>
      <c r="G520">
        <v>11.07</v>
      </c>
      <c r="H520">
        <v>0.25</v>
      </c>
      <c r="I520">
        <v>1</v>
      </c>
      <c r="J520">
        <v>53.97</v>
      </c>
      <c r="K520">
        <v>20.511399999999998</v>
      </c>
      <c r="L520">
        <v>0</v>
      </c>
      <c r="M520">
        <v>0</v>
      </c>
      <c r="N520">
        <v>0</v>
      </c>
      <c r="O520">
        <v>0</v>
      </c>
    </row>
    <row r="521" spans="1:15" x14ac:dyDescent="0.2">
      <c r="A521" s="4">
        <v>43697</v>
      </c>
      <c r="B521" s="3" t="s">
        <v>79</v>
      </c>
      <c r="C521">
        <v>10</v>
      </c>
      <c r="D521">
        <v>14205</v>
      </c>
      <c r="E521">
        <v>69</v>
      </c>
      <c r="F521">
        <v>0.48570000000000002</v>
      </c>
      <c r="G521">
        <v>22.31</v>
      </c>
      <c r="H521">
        <v>0.32</v>
      </c>
      <c r="I521">
        <v>1</v>
      </c>
      <c r="J521">
        <v>53.97</v>
      </c>
      <c r="K521">
        <v>41.337800000000001</v>
      </c>
      <c r="L521">
        <v>0</v>
      </c>
      <c r="M521">
        <v>0</v>
      </c>
      <c r="N521">
        <v>0</v>
      </c>
      <c r="O521">
        <v>0</v>
      </c>
    </row>
    <row r="522" spans="1:15" x14ac:dyDescent="0.2">
      <c r="A522" s="4">
        <v>43698</v>
      </c>
      <c r="B522" s="3" t="s">
        <v>74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">
      <c r="A523" s="4">
        <v>43698</v>
      </c>
      <c r="B523" s="3" t="s">
        <v>76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">
      <c r="A524" s="4">
        <v>43698</v>
      </c>
      <c r="B524" s="3" t="s">
        <v>27</v>
      </c>
      <c r="C524">
        <v>10</v>
      </c>
      <c r="D524">
        <v>3691</v>
      </c>
      <c r="E524">
        <v>11</v>
      </c>
      <c r="F524">
        <v>0.29799999999999999</v>
      </c>
      <c r="G524">
        <v>7.19</v>
      </c>
      <c r="H524">
        <v>0.65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">
      <c r="A525" s="4">
        <v>43698</v>
      </c>
      <c r="B525" s="3" t="s">
        <v>32</v>
      </c>
      <c r="C525">
        <v>2</v>
      </c>
      <c r="D525">
        <v>533</v>
      </c>
      <c r="E525">
        <v>5</v>
      </c>
      <c r="F525">
        <v>0.93810000000000004</v>
      </c>
      <c r="G525">
        <v>1.74</v>
      </c>
      <c r="H525">
        <v>0.35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">
      <c r="A526" s="4">
        <v>43698</v>
      </c>
      <c r="B526" s="3" t="s">
        <v>72</v>
      </c>
      <c r="C526">
        <v>10</v>
      </c>
      <c r="D526">
        <v>1888</v>
      </c>
      <c r="E526">
        <v>10</v>
      </c>
      <c r="F526">
        <v>0.52969999999999995</v>
      </c>
      <c r="G526">
        <v>3.05</v>
      </c>
      <c r="H526">
        <v>0.31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">
      <c r="A527" s="4">
        <v>43698</v>
      </c>
      <c r="B527" s="3" t="s">
        <v>78</v>
      </c>
      <c r="C527">
        <v>10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">
      <c r="A528" s="4">
        <v>43698</v>
      </c>
      <c r="B528" s="3" t="s">
        <v>79</v>
      </c>
      <c r="C528">
        <v>10</v>
      </c>
      <c r="D528">
        <v>19455</v>
      </c>
      <c r="E528">
        <v>56</v>
      </c>
      <c r="F528">
        <v>0.2878</v>
      </c>
      <c r="G528">
        <v>16.010000000000002</v>
      </c>
      <c r="H528">
        <v>0.28999999999999998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">
      <c r="A529" s="4">
        <v>43698</v>
      </c>
      <c r="B529" s="3" t="s">
        <v>80</v>
      </c>
      <c r="C529">
        <v>10</v>
      </c>
      <c r="D529">
        <v>45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">
      <c r="A530" s="4">
        <v>43698</v>
      </c>
      <c r="B530" s="3" t="s">
        <v>73</v>
      </c>
      <c r="C530">
        <v>10</v>
      </c>
      <c r="D530">
        <v>2650</v>
      </c>
      <c r="E530">
        <v>21</v>
      </c>
      <c r="F530">
        <v>0.79249999999999998</v>
      </c>
      <c r="G530">
        <v>4.03</v>
      </c>
      <c r="H530">
        <v>0.19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">
      <c r="A531" s="4">
        <v>43698</v>
      </c>
      <c r="B531" s="3" t="s">
        <v>81</v>
      </c>
      <c r="C531">
        <v>10</v>
      </c>
      <c r="D531">
        <v>680</v>
      </c>
      <c r="E531">
        <v>5</v>
      </c>
      <c r="F531">
        <v>0.73529999999999995</v>
      </c>
      <c r="G531">
        <v>3.04</v>
      </c>
      <c r="H531">
        <v>0.61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">
      <c r="A532" s="4">
        <v>43698</v>
      </c>
      <c r="B532" s="3" t="s">
        <v>82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">
      <c r="A533" s="4">
        <v>43698</v>
      </c>
      <c r="B533" s="3" t="s">
        <v>29</v>
      </c>
      <c r="C533">
        <v>3</v>
      </c>
      <c r="D533">
        <v>327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">
      <c r="A534" s="4">
        <v>43698</v>
      </c>
      <c r="B534" s="3" t="s">
        <v>86</v>
      </c>
      <c r="C534">
        <v>10</v>
      </c>
      <c r="D534">
        <v>1357</v>
      </c>
      <c r="E534">
        <v>1</v>
      </c>
      <c r="F534">
        <v>7.3700000000000002E-2</v>
      </c>
      <c r="G534">
        <v>0.74</v>
      </c>
      <c r="H534">
        <v>0.74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">
      <c r="A535" s="4">
        <v>43698</v>
      </c>
      <c r="B535" s="3" t="s">
        <v>30</v>
      </c>
      <c r="C535">
        <v>5</v>
      </c>
      <c r="D535">
        <v>408</v>
      </c>
      <c r="E535">
        <v>1</v>
      </c>
      <c r="F535">
        <v>0.24510000000000001</v>
      </c>
      <c r="G535">
        <v>0.39</v>
      </c>
      <c r="H535">
        <v>0.39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">
      <c r="A536" s="4">
        <v>43698</v>
      </c>
      <c r="B536" s="3" t="s">
        <v>85</v>
      </c>
      <c r="C536">
        <v>5</v>
      </c>
      <c r="D536">
        <v>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">
      <c r="A537" s="4">
        <v>43698</v>
      </c>
      <c r="B537" s="3" t="s">
        <v>84</v>
      </c>
      <c r="C537">
        <v>10</v>
      </c>
      <c r="D537">
        <v>460</v>
      </c>
      <c r="E537">
        <v>4</v>
      </c>
      <c r="F537">
        <v>0.86960000000000004</v>
      </c>
      <c r="G537">
        <v>1.53</v>
      </c>
      <c r="H537">
        <v>0.38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">
      <c r="A538" s="4">
        <v>43698</v>
      </c>
      <c r="B538" s="3" t="s">
        <v>75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">
      <c r="A539" s="4">
        <v>43698</v>
      </c>
      <c r="B539" s="3" t="s">
        <v>31</v>
      </c>
      <c r="C539">
        <v>30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">
      <c r="A540" s="4">
        <v>43698</v>
      </c>
      <c r="B540" s="3" t="s">
        <v>91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">
      <c r="A541" s="4">
        <v>43698</v>
      </c>
      <c r="B541" s="3" t="s">
        <v>87</v>
      </c>
      <c r="C541">
        <v>10</v>
      </c>
      <c r="D541">
        <v>218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">
      <c r="A542" s="4">
        <v>43698</v>
      </c>
      <c r="B542" s="3" t="s">
        <v>88</v>
      </c>
      <c r="C542">
        <v>15</v>
      </c>
      <c r="D542">
        <v>13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">
      <c r="A543" s="4">
        <v>43698</v>
      </c>
      <c r="B543" s="3" t="s">
        <v>90</v>
      </c>
      <c r="C543">
        <v>20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">
      <c r="A544" s="4">
        <v>43698</v>
      </c>
      <c r="B544" s="3" t="s">
        <v>89</v>
      </c>
      <c r="C544">
        <v>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">
      <c r="A545" s="4">
        <v>43698</v>
      </c>
      <c r="B545" s="3" t="s">
        <v>83</v>
      </c>
      <c r="C545">
        <v>5</v>
      </c>
      <c r="D545">
        <v>2619</v>
      </c>
      <c r="E545">
        <v>17</v>
      </c>
      <c r="F545">
        <v>0.64910000000000001</v>
      </c>
      <c r="G545">
        <v>9.9</v>
      </c>
      <c r="H545">
        <v>0.57999999999999996</v>
      </c>
      <c r="I545">
        <v>2</v>
      </c>
      <c r="J545">
        <v>71.97</v>
      </c>
      <c r="K545">
        <v>13.755699999999999</v>
      </c>
      <c r="L545">
        <v>0</v>
      </c>
      <c r="M545">
        <v>0</v>
      </c>
      <c r="N545">
        <v>0</v>
      </c>
      <c r="O545">
        <v>0</v>
      </c>
    </row>
    <row r="546" spans="1:15" x14ac:dyDescent="0.2">
      <c r="A546" s="4">
        <v>43698</v>
      </c>
      <c r="B546" s="3" t="s">
        <v>28</v>
      </c>
      <c r="C546">
        <v>10</v>
      </c>
      <c r="D546">
        <v>1454</v>
      </c>
      <c r="E546">
        <v>5</v>
      </c>
      <c r="F546">
        <v>0.34389999999999998</v>
      </c>
      <c r="G546">
        <v>2.92</v>
      </c>
      <c r="H546">
        <v>0.57999999999999996</v>
      </c>
      <c r="I546">
        <v>1</v>
      </c>
      <c r="J546">
        <v>16.37</v>
      </c>
      <c r="K546">
        <v>17.837499999999999</v>
      </c>
      <c r="L546">
        <v>0</v>
      </c>
      <c r="M546">
        <v>0</v>
      </c>
      <c r="N546">
        <v>0</v>
      </c>
      <c r="O546">
        <v>0</v>
      </c>
    </row>
    <row r="547" spans="1:15" x14ac:dyDescent="0.2">
      <c r="A547" s="4">
        <v>43698</v>
      </c>
      <c r="B547" s="3" t="s">
        <v>77</v>
      </c>
      <c r="C547">
        <v>5</v>
      </c>
      <c r="D547">
        <v>7305</v>
      </c>
      <c r="E547">
        <v>18</v>
      </c>
      <c r="F547">
        <v>0.24640000000000001</v>
      </c>
      <c r="G547">
        <v>9.59</v>
      </c>
      <c r="H547">
        <v>0.53</v>
      </c>
      <c r="I547">
        <v>1</v>
      </c>
      <c r="J547">
        <v>23.99</v>
      </c>
      <c r="K547">
        <v>39.975000000000001</v>
      </c>
      <c r="L547">
        <v>0</v>
      </c>
      <c r="M547">
        <v>0</v>
      </c>
      <c r="N547">
        <v>0</v>
      </c>
      <c r="O547">
        <v>0</v>
      </c>
    </row>
    <row r="548" spans="1:15" x14ac:dyDescent="0.2">
      <c r="A548" s="4">
        <v>43699</v>
      </c>
      <c r="B548" s="3" t="s">
        <v>74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">
      <c r="A549" s="4">
        <v>43699</v>
      </c>
      <c r="B549" s="3" t="s">
        <v>76</v>
      </c>
      <c r="C549">
        <v>10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">
      <c r="A550" s="4">
        <v>43699</v>
      </c>
      <c r="B550" s="3" t="s">
        <v>27</v>
      </c>
      <c r="C550">
        <v>10</v>
      </c>
      <c r="D550">
        <v>1870</v>
      </c>
      <c r="E550">
        <v>5</v>
      </c>
      <c r="F550">
        <v>0.26740000000000003</v>
      </c>
      <c r="G550">
        <v>3.32</v>
      </c>
      <c r="H550">
        <v>0.66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">
      <c r="A551" s="4">
        <v>43699</v>
      </c>
      <c r="B551" s="3" t="s">
        <v>32</v>
      </c>
      <c r="C551">
        <v>2</v>
      </c>
      <c r="D551">
        <v>298</v>
      </c>
      <c r="E551">
        <v>5</v>
      </c>
      <c r="F551">
        <v>1.6778999999999999</v>
      </c>
      <c r="G551">
        <v>2.08</v>
      </c>
      <c r="H551">
        <v>0.42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">
      <c r="A552" s="4">
        <v>43699</v>
      </c>
      <c r="B552" s="3" t="s">
        <v>72</v>
      </c>
      <c r="C552">
        <v>10</v>
      </c>
      <c r="D552">
        <v>2199</v>
      </c>
      <c r="E552">
        <v>12</v>
      </c>
      <c r="F552">
        <v>0.54569999999999996</v>
      </c>
      <c r="G552">
        <v>3.66</v>
      </c>
      <c r="H552">
        <v>0.31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">
      <c r="A553" s="4">
        <v>43699</v>
      </c>
      <c r="B553" s="3" t="s">
        <v>78</v>
      </c>
      <c r="C553">
        <v>10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">
      <c r="A554" s="4">
        <v>43699</v>
      </c>
      <c r="B554" s="3" t="s">
        <v>79</v>
      </c>
      <c r="C554">
        <v>10</v>
      </c>
      <c r="D554">
        <v>17792</v>
      </c>
      <c r="E554">
        <v>51</v>
      </c>
      <c r="F554">
        <v>0.28660000000000002</v>
      </c>
      <c r="G554">
        <v>12.47</v>
      </c>
      <c r="H554">
        <v>0.24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">
      <c r="A555" s="4">
        <v>43699</v>
      </c>
      <c r="B555" s="3" t="s">
        <v>80</v>
      </c>
      <c r="C555">
        <v>10</v>
      </c>
      <c r="D555">
        <v>38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">
      <c r="A556" s="4">
        <v>43699</v>
      </c>
      <c r="B556" s="3" t="s">
        <v>73</v>
      </c>
      <c r="C556">
        <v>10</v>
      </c>
      <c r="D556">
        <v>2229</v>
      </c>
      <c r="E556">
        <v>13</v>
      </c>
      <c r="F556">
        <v>0.58320000000000005</v>
      </c>
      <c r="G556">
        <v>2.0699999999999998</v>
      </c>
      <c r="H556">
        <v>0.16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">
      <c r="A557" s="4">
        <v>43699</v>
      </c>
      <c r="B557" s="3" t="s">
        <v>81</v>
      </c>
      <c r="C557">
        <v>10</v>
      </c>
      <c r="D557">
        <v>716</v>
      </c>
      <c r="E557">
        <v>2</v>
      </c>
      <c r="F557">
        <v>0.27929999999999999</v>
      </c>
      <c r="G557">
        <v>1.28</v>
      </c>
      <c r="H557">
        <v>0.64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">
      <c r="A558" s="4">
        <v>43699</v>
      </c>
      <c r="B558" s="3" t="s">
        <v>82</v>
      </c>
      <c r="C558">
        <v>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">
      <c r="A559" s="4">
        <v>43699</v>
      </c>
      <c r="B559" s="3" t="s">
        <v>28</v>
      </c>
      <c r="C559">
        <v>10</v>
      </c>
      <c r="D559">
        <v>1327</v>
      </c>
      <c r="E559">
        <v>4</v>
      </c>
      <c r="F559">
        <v>0.3014</v>
      </c>
      <c r="G559">
        <v>2.4500000000000002</v>
      </c>
      <c r="H559">
        <v>0.61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">
      <c r="A560" s="4">
        <v>43699</v>
      </c>
      <c r="B560" s="3" t="s">
        <v>83</v>
      </c>
      <c r="C560">
        <v>5</v>
      </c>
      <c r="D560">
        <v>2642</v>
      </c>
      <c r="E560">
        <v>11</v>
      </c>
      <c r="F560">
        <v>0.41639999999999999</v>
      </c>
      <c r="G560">
        <v>6.5</v>
      </c>
      <c r="H560">
        <v>0.59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">
      <c r="A561" s="4">
        <v>43699</v>
      </c>
      <c r="B561" s="3" t="s">
        <v>29</v>
      </c>
      <c r="C561">
        <v>3</v>
      </c>
      <c r="D561">
        <v>333</v>
      </c>
      <c r="E561">
        <v>1</v>
      </c>
      <c r="F561">
        <v>0.30030000000000001</v>
      </c>
      <c r="G561">
        <v>0.02</v>
      </c>
      <c r="H561">
        <v>0.02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">
      <c r="A562" s="4">
        <v>43699</v>
      </c>
      <c r="B562" s="3" t="s">
        <v>86</v>
      </c>
      <c r="C562">
        <v>10</v>
      </c>
      <c r="D562">
        <v>380</v>
      </c>
      <c r="E562">
        <v>1</v>
      </c>
      <c r="F562">
        <v>0.26319999999999999</v>
      </c>
      <c r="G562">
        <v>0.16</v>
      </c>
      <c r="H562">
        <v>0.16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">
      <c r="A563" s="4">
        <v>43699</v>
      </c>
      <c r="B563" s="3" t="s">
        <v>30</v>
      </c>
      <c r="C563">
        <v>5</v>
      </c>
      <c r="D563">
        <v>591</v>
      </c>
      <c r="E563">
        <v>1</v>
      </c>
      <c r="F563">
        <v>0.16919999999999999</v>
      </c>
      <c r="G563">
        <v>0.47</v>
      </c>
      <c r="H563">
        <v>0.47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">
      <c r="A564" s="4">
        <v>43699</v>
      </c>
      <c r="B564" s="3" t="s">
        <v>85</v>
      </c>
      <c r="C564">
        <v>5</v>
      </c>
      <c r="D564">
        <v>13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">
      <c r="A565" s="4">
        <v>43699</v>
      </c>
      <c r="B565" s="3" t="s">
        <v>84</v>
      </c>
      <c r="C565">
        <v>10</v>
      </c>
      <c r="D565">
        <v>588</v>
      </c>
      <c r="E565">
        <v>4</v>
      </c>
      <c r="F565">
        <v>0.68030000000000002</v>
      </c>
      <c r="G565">
        <v>1.32</v>
      </c>
      <c r="H565">
        <v>0.33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">
      <c r="A566" s="4">
        <v>43699</v>
      </c>
      <c r="B566" s="3" t="s">
        <v>75</v>
      </c>
      <c r="C566">
        <v>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">
      <c r="A567" s="4">
        <v>43699</v>
      </c>
      <c r="B567" s="3" t="s">
        <v>31</v>
      </c>
      <c r="C567">
        <v>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">
      <c r="A568" s="4">
        <v>43699</v>
      </c>
      <c r="B568" s="3" t="s">
        <v>91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">
      <c r="A569" s="4">
        <v>43699</v>
      </c>
      <c r="B569" s="3" t="s">
        <v>87</v>
      </c>
      <c r="C569">
        <v>10</v>
      </c>
      <c r="D569">
        <v>190</v>
      </c>
      <c r="E569">
        <v>2</v>
      </c>
      <c r="F569">
        <v>1.0526</v>
      </c>
      <c r="G569">
        <v>1.31</v>
      </c>
      <c r="H569">
        <v>0.66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">
      <c r="A570" s="4">
        <v>43699</v>
      </c>
      <c r="B570" s="3" t="s">
        <v>88</v>
      </c>
      <c r="C570">
        <v>15</v>
      </c>
      <c r="D570">
        <v>20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">
      <c r="A571" s="4">
        <v>43699</v>
      </c>
      <c r="B571" s="3" t="s">
        <v>90</v>
      </c>
      <c r="C571">
        <v>20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">
      <c r="A572" s="4">
        <v>43699</v>
      </c>
      <c r="B572" s="3" t="s">
        <v>89</v>
      </c>
      <c r="C572">
        <v>15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">
      <c r="A573" s="4">
        <v>43699</v>
      </c>
      <c r="B573" s="3" t="s">
        <v>77</v>
      </c>
      <c r="C573">
        <v>5</v>
      </c>
      <c r="D573">
        <v>8996</v>
      </c>
      <c r="E573">
        <v>16</v>
      </c>
      <c r="F573">
        <v>0.1779</v>
      </c>
      <c r="G573">
        <v>9.1199999999999992</v>
      </c>
      <c r="H573">
        <v>0.56999999999999995</v>
      </c>
      <c r="I573">
        <v>1</v>
      </c>
      <c r="J573">
        <v>20.99</v>
      </c>
      <c r="K573">
        <v>43.449300000000001</v>
      </c>
      <c r="L573">
        <v>0</v>
      </c>
      <c r="M573">
        <v>0</v>
      </c>
      <c r="N573">
        <v>0</v>
      </c>
      <c r="O573">
        <v>0</v>
      </c>
    </row>
    <row r="574" spans="1:15" x14ac:dyDescent="0.2">
      <c r="A574" s="4">
        <v>43700</v>
      </c>
      <c r="B574" s="3" t="s">
        <v>74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">
      <c r="A575" s="4">
        <v>43700</v>
      </c>
      <c r="B575" s="3" t="s">
        <v>76</v>
      </c>
      <c r="C575">
        <v>10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">
      <c r="A576" s="4">
        <v>43700</v>
      </c>
      <c r="B576" s="3" t="s">
        <v>77</v>
      </c>
      <c r="C576">
        <v>5</v>
      </c>
      <c r="D576">
        <v>3813</v>
      </c>
      <c r="E576">
        <v>5</v>
      </c>
      <c r="F576">
        <v>0.13109999999999999</v>
      </c>
      <c r="G576">
        <v>3.16</v>
      </c>
      <c r="H576">
        <v>0.63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">
      <c r="A577" s="4">
        <v>43700</v>
      </c>
      <c r="B577" s="3" t="s">
        <v>27</v>
      </c>
      <c r="C577">
        <v>10</v>
      </c>
      <c r="D577">
        <v>395</v>
      </c>
      <c r="E577">
        <v>1</v>
      </c>
      <c r="F577">
        <v>0.25319999999999998</v>
      </c>
      <c r="G577">
        <v>0.7</v>
      </c>
      <c r="H577">
        <v>0.7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">
      <c r="A578" s="4">
        <v>43700</v>
      </c>
      <c r="B578" s="3" t="s">
        <v>32</v>
      </c>
      <c r="C578">
        <v>2</v>
      </c>
      <c r="D578">
        <v>1382</v>
      </c>
      <c r="E578">
        <v>5</v>
      </c>
      <c r="F578">
        <v>0.36180000000000001</v>
      </c>
      <c r="G578">
        <v>2.04</v>
      </c>
      <c r="H578">
        <v>0.41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">
      <c r="A579" s="4">
        <v>43700</v>
      </c>
      <c r="B579" s="3" t="s">
        <v>72</v>
      </c>
      <c r="C579">
        <v>10</v>
      </c>
      <c r="D579">
        <v>1540</v>
      </c>
      <c r="E579">
        <v>8</v>
      </c>
      <c r="F579">
        <v>0.51949999999999996</v>
      </c>
      <c r="G579">
        <v>2.54</v>
      </c>
      <c r="H579">
        <v>0.32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">
      <c r="A580" s="4">
        <v>43700</v>
      </c>
      <c r="B580" s="3" t="s">
        <v>78</v>
      </c>
      <c r="C580">
        <v>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">
      <c r="A581" s="4">
        <v>43700</v>
      </c>
      <c r="B581" s="3" t="s">
        <v>79</v>
      </c>
      <c r="C581">
        <v>10</v>
      </c>
      <c r="D581">
        <v>8625</v>
      </c>
      <c r="E581">
        <v>35</v>
      </c>
      <c r="F581">
        <v>0.40579999999999999</v>
      </c>
      <c r="G581">
        <v>10.24</v>
      </c>
      <c r="H581">
        <v>0.28999999999999998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">
      <c r="A582" s="4">
        <v>43700</v>
      </c>
      <c r="B582" s="3" t="s">
        <v>80</v>
      </c>
      <c r="C582">
        <v>10</v>
      </c>
      <c r="D582">
        <v>13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">
      <c r="A583" s="4">
        <v>43700</v>
      </c>
      <c r="B583" s="3" t="s">
        <v>73</v>
      </c>
      <c r="C583">
        <v>10</v>
      </c>
      <c r="D583">
        <v>1632</v>
      </c>
      <c r="E583">
        <v>15</v>
      </c>
      <c r="F583">
        <v>0.91910000000000003</v>
      </c>
      <c r="G583">
        <v>3.49</v>
      </c>
      <c r="H583">
        <v>0.23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">
      <c r="A584" s="4">
        <v>43700</v>
      </c>
      <c r="B584" s="3" t="s">
        <v>81</v>
      </c>
      <c r="C584">
        <v>10</v>
      </c>
      <c r="D584">
        <v>224</v>
      </c>
      <c r="E584">
        <v>2</v>
      </c>
      <c r="F584">
        <v>0.89290000000000003</v>
      </c>
      <c r="G584">
        <v>1.35</v>
      </c>
      <c r="H584">
        <v>0.68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">
      <c r="A585" s="4">
        <v>43700</v>
      </c>
      <c r="B585" s="3" t="s">
        <v>82</v>
      </c>
      <c r="C585">
        <v>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">
      <c r="A586" s="4">
        <v>43700</v>
      </c>
      <c r="B586" s="3" t="s">
        <v>28</v>
      </c>
      <c r="C586">
        <v>10</v>
      </c>
      <c r="D586">
        <v>1805</v>
      </c>
      <c r="E586">
        <v>5</v>
      </c>
      <c r="F586">
        <v>0.27700000000000002</v>
      </c>
      <c r="G586">
        <v>3.1</v>
      </c>
      <c r="H586">
        <v>0.62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">
      <c r="A587" s="4">
        <v>43700</v>
      </c>
      <c r="B587" s="3" t="s">
        <v>83</v>
      </c>
      <c r="C587">
        <v>5</v>
      </c>
      <c r="D587">
        <v>2931</v>
      </c>
      <c r="E587">
        <v>4</v>
      </c>
      <c r="F587">
        <v>0.13650000000000001</v>
      </c>
      <c r="G587">
        <v>2.4900000000000002</v>
      </c>
      <c r="H587">
        <v>0.62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">
      <c r="A588" s="4">
        <v>43700</v>
      </c>
      <c r="B588" s="3" t="s">
        <v>29</v>
      </c>
      <c r="C588">
        <v>3</v>
      </c>
      <c r="D588">
        <v>161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">
      <c r="A589" s="4">
        <v>43700</v>
      </c>
      <c r="B589" s="3" t="s">
        <v>86</v>
      </c>
      <c r="C589">
        <v>10</v>
      </c>
      <c r="D589">
        <v>627</v>
      </c>
      <c r="E589">
        <v>2</v>
      </c>
      <c r="F589">
        <v>0.31900000000000001</v>
      </c>
      <c r="G589">
        <v>0.96</v>
      </c>
      <c r="H589">
        <v>0.48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">
      <c r="A590" s="4">
        <v>43700</v>
      </c>
      <c r="B590" s="3" t="s">
        <v>30</v>
      </c>
      <c r="C590">
        <v>5</v>
      </c>
      <c r="D590">
        <v>338</v>
      </c>
      <c r="E590">
        <v>2</v>
      </c>
      <c r="F590">
        <v>0.5917</v>
      </c>
      <c r="G590">
        <v>1.34</v>
      </c>
      <c r="H590">
        <v>0.67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">
      <c r="A591" s="4">
        <v>43700</v>
      </c>
      <c r="B591" s="3" t="s">
        <v>85</v>
      </c>
      <c r="C591">
        <v>5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">
      <c r="A592" s="4">
        <v>43700</v>
      </c>
      <c r="B592" s="3" t="s">
        <v>84</v>
      </c>
      <c r="C592">
        <v>10</v>
      </c>
      <c r="D592">
        <v>339</v>
      </c>
      <c r="E592">
        <v>1</v>
      </c>
      <c r="F592">
        <v>0.29499999999999998</v>
      </c>
      <c r="G592">
        <v>0.43</v>
      </c>
      <c r="H592">
        <v>0.43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">
      <c r="A593" s="4">
        <v>43700</v>
      </c>
      <c r="B593" s="3" t="s">
        <v>75</v>
      </c>
      <c r="C593">
        <v>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">
      <c r="A594" s="4">
        <v>43700</v>
      </c>
      <c r="B594" s="3" t="s">
        <v>31</v>
      </c>
      <c r="C594">
        <v>30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">
      <c r="A595" s="4">
        <v>43700</v>
      </c>
      <c r="B595" s="3" t="s">
        <v>91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">
      <c r="A596" s="4">
        <v>43700</v>
      </c>
      <c r="B596" s="3" t="s">
        <v>87</v>
      </c>
      <c r="C596">
        <v>10</v>
      </c>
      <c r="D596">
        <v>392</v>
      </c>
      <c r="E596">
        <v>1</v>
      </c>
      <c r="F596">
        <v>0.25509999999999999</v>
      </c>
      <c r="G596">
        <v>0.49</v>
      </c>
      <c r="H596">
        <v>0.49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">
      <c r="A597" s="4">
        <v>43700</v>
      </c>
      <c r="B597" s="3" t="s">
        <v>88</v>
      </c>
      <c r="C597">
        <v>15</v>
      </c>
      <c r="D597">
        <v>19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">
      <c r="A598" s="4">
        <v>43700</v>
      </c>
      <c r="B598" s="3" t="s">
        <v>90</v>
      </c>
      <c r="C598">
        <v>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">
      <c r="A599" s="4">
        <v>43700</v>
      </c>
      <c r="B599" s="3" t="s">
        <v>89</v>
      </c>
      <c r="C599">
        <v>15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">
      <c r="A600" s="4">
        <v>43701</v>
      </c>
      <c r="B600" s="3" t="s">
        <v>74</v>
      </c>
      <c r="C600">
        <v>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">
      <c r="A601" s="4">
        <v>43701</v>
      </c>
      <c r="B601" s="3" t="s">
        <v>76</v>
      </c>
      <c r="C601">
        <v>10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">
      <c r="A602" s="4">
        <v>43701</v>
      </c>
      <c r="B602" s="3" t="s">
        <v>77</v>
      </c>
      <c r="C602">
        <v>5</v>
      </c>
      <c r="D602">
        <v>4583</v>
      </c>
      <c r="E602">
        <v>7</v>
      </c>
      <c r="F602">
        <v>0.1527</v>
      </c>
      <c r="G602">
        <v>4.5599999999999996</v>
      </c>
      <c r="H602">
        <v>0.65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">
      <c r="A603" s="4">
        <v>43701</v>
      </c>
      <c r="B603" s="3" t="s">
        <v>27</v>
      </c>
      <c r="C603">
        <v>10</v>
      </c>
      <c r="D603">
        <v>488</v>
      </c>
      <c r="E603">
        <v>1</v>
      </c>
      <c r="F603">
        <v>0.2049</v>
      </c>
      <c r="G603">
        <v>0.46</v>
      </c>
      <c r="H603">
        <v>0.46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">
      <c r="A604" s="4">
        <v>43701</v>
      </c>
      <c r="B604" s="3" t="s">
        <v>32</v>
      </c>
      <c r="C604">
        <v>2</v>
      </c>
      <c r="D604">
        <v>717</v>
      </c>
      <c r="E604">
        <v>6</v>
      </c>
      <c r="F604">
        <v>0.83679999999999999</v>
      </c>
      <c r="G604">
        <v>2.19</v>
      </c>
      <c r="H604">
        <v>0.36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">
      <c r="A605" s="4">
        <v>43701</v>
      </c>
      <c r="B605" s="3" t="s">
        <v>72</v>
      </c>
      <c r="C605">
        <v>10</v>
      </c>
      <c r="D605">
        <v>1305</v>
      </c>
      <c r="E605">
        <v>5</v>
      </c>
      <c r="F605">
        <v>0.3831</v>
      </c>
      <c r="G605">
        <v>1.67</v>
      </c>
      <c r="H605">
        <v>0.33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">
      <c r="A606" s="4">
        <v>43701</v>
      </c>
      <c r="B606" s="3" t="s">
        <v>78</v>
      </c>
      <c r="C606">
        <v>10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">
      <c r="A607" s="4">
        <v>43701</v>
      </c>
      <c r="B607" s="3" t="s">
        <v>80</v>
      </c>
      <c r="C607">
        <v>10</v>
      </c>
      <c r="D607">
        <v>28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">
      <c r="A608" s="4">
        <v>43701</v>
      </c>
      <c r="B608" s="3" t="s">
        <v>73</v>
      </c>
      <c r="C608">
        <v>10</v>
      </c>
      <c r="D608">
        <v>1363</v>
      </c>
      <c r="E608">
        <v>8</v>
      </c>
      <c r="F608">
        <v>0.58689999999999998</v>
      </c>
      <c r="G608">
        <v>1.47</v>
      </c>
      <c r="H608">
        <v>0.18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">
      <c r="A609" s="4">
        <v>43701</v>
      </c>
      <c r="B609" s="3" t="s">
        <v>81</v>
      </c>
      <c r="C609">
        <v>10</v>
      </c>
      <c r="D609">
        <v>320</v>
      </c>
      <c r="E609">
        <v>3</v>
      </c>
      <c r="F609">
        <v>0.9375</v>
      </c>
      <c r="G609">
        <v>1.73</v>
      </c>
      <c r="H609">
        <v>0.57999999999999996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">
      <c r="A610" s="4">
        <v>43701</v>
      </c>
      <c r="B610" s="3" t="s">
        <v>82</v>
      </c>
      <c r="C610">
        <v>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">
      <c r="A611" s="4">
        <v>43701</v>
      </c>
      <c r="B611" s="3" t="s">
        <v>83</v>
      </c>
      <c r="C611">
        <v>5</v>
      </c>
      <c r="D611">
        <v>2024</v>
      </c>
      <c r="E611">
        <v>6</v>
      </c>
      <c r="F611">
        <v>0.2964</v>
      </c>
      <c r="G611">
        <v>3.28</v>
      </c>
      <c r="H611">
        <v>0.55000000000000004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">
      <c r="A612" s="4">
        <v>43701</v>
      </c>
      <c r="B612" s="3" t="s">
        <v>29</v>
      </c>
      <c r="C612">
        <v>3</v>
      </c>
      <c r="D612">
        <v>109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">
      <c r="A613" s="4">
        <v>43701</v>
      </c>
      <c r="B613" s="3" t="s">
        <v>86</v>
      </c>
      <c r="C613">
        <v>10</v>
      </c>
      <c r="D613">
        <v>287</v>
      </c>
      <c r="E613">
        <v>1</v>
      </c>
      <c r="F613">
        <v>0.34839999999999999</v>
      </c>
      <c r="G613">
        <v>0.34</v>
      </c>
      <c r="H613">
        <v>0.34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">
      <c r="A614" s="4">
        <v>43701</v>
      </c>
      <c r="B614" s="3" t="s">
        <v>30</v>
      </c>
      <c r="C614">
        <v>5</v>
      </c>
      <c r="D614">
        <v>360</v>
      </c>
      <c r="E614">
        <v>1</v>
      </c>
      <c r="F614">
        <v>0.27779999999999999</v>
      </c>
      <c r="G614">
        <v>0.3</v>
      </c>
      <c r="H614">
        <v>0.3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">
      <c r="A615" s="4">
        <v>43701</v>
      </c>
      <c r="B615" s="3" t="s">
        <v>85</v>
      </c>
      <c r="C615">
        <v>5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">
      <c r="A616" s="4">
        <v>43701</v>
      </c>
      <c r="B616" s="3" t="s">
        <v>84</v>
      </c>
      <c r="C616">
        <v>10</v>
      </c>
      <c r="D616">
        <v>261</v>
      </c>
      <c r="E616">
        <v>3</v>
      </c>
      <c r="F616">
        <v>1.1494</v>
      </c>
      <c r="G616">
        <v>1.18</v>
      </c>
      <c r="H616">
        <v>0.39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">
      <c r="A617" s="4">
        <v>43701</v>
      </c>
      <c r="B617" s="3" t="s">
        <v>75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">
      <c r="A618" s="4">
        <v>43701</v>
      </c>
      <c r="B618" s="3" t="s">
        <v>31</v>
      </c>
      <c r="C618">
        <v>30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">
      <c r="A619" s="4">
        <v>43701</v>
      </c>
      <c r="B619" s="3" t="s">
        <v>91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">
      <c r="A620" s="4">
        <v>43701</v>
      </c>
      <c r="B620" s="3" t="s">
        <v>87</v>
      </c>
      <c r="C620">
        <v>10</v>
      </c>
      <c r="D620">
        <v>167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">
      <c r="A621" s="4">
        <v>43701</v>
      </c>
      <c r="B621" s="3" t="s">
        <v>88</v>
      </c>
      <c r="C621">
        <v>15</v>
      </c>
      <c r="D621">
        <v>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">
      <c r="A622" s="4">
        <v>43701</v>
      </c>
      <c r="B622" s="3" t="s">
        <v>90</v>
      </c>
      <c r="C622">
        <v>20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">
      <c r="A623" s="4">
        <v>43701</v>
      </c>
      <c r="B623" s="3" t="s">
        <v>89</v>
      </c>
      <c r="C623">
        <v>15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">
      <c r="A624" s="4">
        <v>43701</v>
      </c>
      <c r="B624" s="3" t="s">
        <v>28</v>
      </c>
      <c r="C624">
        <v>10</v>
      </c>
      <c r="D624">
        <v>1350</v>
      </c>
      <c r="E624">
        <v>4</v>
      </c>
      <c r="F624">
        <v>0.29630000000000001</v>
      </c>
      <c r="G624">
        <v>2.39</v>
      </c>
      <c r="H624">
        <v>0.6</v>
      </c>
      <c r="I624">
        <v>1</v>
      </c>
      <c r="J624">
        <v>16.37</v>
      </c>
      <c r="K624">
        <v>14.5999</v>
      </c>
      <c r="L624">
        <v>0</v>
      </c>
      <c r="M624">
        <v>0</v>
      </c>
      <c r="N624">
        <v>0</v>
      </c>
      <c r="O624">
        <v>0</v>
      </c>
    </row>
    <row r="625" spans="1:15" x14ac:dyDescent="0.2">
      <c r="A625" s="4">
        <v>43701</v>
      </c>
      <c r="B625" s="3" t="s">
        <v>79</v>
      </c>
      <c r="C625">
        <v>10</v>
      </c>
      <c r="D625">
        <v>10563</v>
      </c>
      <c r="E625">
        <v>37</v>
      </c>
      <c r="F625">
        <v>0.3503</v>
      </c>
      <c r="G625">
        <v>10.28</v>
      </c>
      <c r="H625">
        <v>0.28000000000000003</v>
      </c>
      <c r="I625">
        <v>1</v>
      </c>
      <c r="J625">
        <v>53.97</v>
      </c>
      <c r="K625">
        <v>19.047599999999999</v>
      </c>
      <c r="L625">
        <v>0</v>
      </c>
      <c r="M625">
        <v>0</v>
      </c>
      <c r="N625">
        <v>0</v>
      </c>
      <c r="O625">
        <v>0</v>
      </c>
    </row>
    <row r="626" spans="1:15" x14ac:dyDescent="0.2">
      <c r="A626" s="4">
        <v>43702</v>
      </c>
      <c r="B626" s="3" t="s">
        <v>74</v>
      </c>
      <c r="C626">
        <v>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">
      <c r="A627" s="4">
        <v>43702</v>
      </c>
      <c r="B627" s="3" t="s">
        <v>76</v>
      </c>
      <c r="C627">
        <v>10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">
      <c r="A628" s="4">
        <v>43702</v>
      </c>
      <c r="B628" s="3" t="s">
        <v>27</v>
      </c>
      <c r="C628">
        <v>10</v>
      </c>
      <c r="D628">
        <v>555</v>
      </c>
      <c r="E628">
        <v>1</v>
      </c>
      <c r="F628">
        <v>0.1802</v>
      </c>
      <c r="G628">
        <v>0.44</v>
      </c>
      <c r="H628">
        <v>0.44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">
      <c r="A629" s="4">
        <v>43702</v>
      </c>
      <c r="B629" s="3" t="s">
        <v>32</v>
      </c>
      <c r="C629">
        <v>2</v>
      </c>
      <c r="D629">
        <v>199</v>
      </c>
      <c r="E629">
        <v>5</v>
      </c>
      <c r="F629">
        <v>2.5125999999999999</v>
      </c>
      <c r="G629">
        <v>2.06</v>
      </c>
      <c r="H629">
        <v>0.41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">
      <c r="A630" s="4">
        <v>43702</v>
      </c>
      <c r="B630" s="3" t="s">
        <v>72</v>
      </c>
      <c r="C630">
        <v>10</v>
      </c>
      <c r="D630">
        <v>2055</v>
      </c>
      <c r="E630">
        <v>8</v>
      </c>
      <c r="F630">
        <v>0.38929999999999998</v>
      </c>
      <c r="G630">
        <v>2.72</v>
      </c>
      <c r="H630">
        <v>0.34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">
      <c r="A631" s="4">
        <v>43702</v>
      </c>
      <c r="B631" s="3" t="s">
        <v>78</v>
      </c>
      <c r="C631">
        <v>10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">
      <c r="A632" s="4">
        <v>43702</v>
      </c>
      <c r="B632" s="3" t="s">
        <v>80</v>
      </c>
      <c r="C632">
        <v>10</v>
      </c>
      <c r="D632">
        <v>11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">
      <c r="A633" s="4">
        <v>43702</v>
      </c>
      <c r="B633" s="3" t="s">
        <v>73</v>
      </c>
      <c r="C633">
        <v>10</v>
      </c>
      <c r="D633">
        <v>2121</v>
      </c>
      <c r="E633">
        <v>17</v>
      </c>
      <c r="F633">
        <v>0.80149999999999999</v>
      </c>
      <c r="G633">
        <v>2.75</v>
      </c>
      <c r="H633">
        <v>0.16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">
      <c r="A634" s="4">
        <v>43702</v>
      </c>
      <c r="B634" s="3" t="s">
        <v>81</v>
      </c>
      <c r="C634">
        <v>10</v>
      </c>
      <c r="D634">
        <v>262</v>
      </c>
      <c r="E634">
        <v>3</v>
      </c>
      <c r="F634">
        <v>1.145</v>
      </c>
      <c r="G634">
        <v>1.57</v>
      </c>
      <c r="H634">
        <v>0.52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">
      <c r="A635" s="4">
        <v>43702</v>
      </c>
      <c r="B635" s="3" t="s">
        <v>82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">
      <c r="A636" s="4">
        <v>43702</v>
      </c>
      <c r="B636" s="3" t="s">
        <v>83</v>
      </c>
      <c r="C636">
        <v>5</v>
      </c>
      <c r="D636">
        <v>1582</v>
      </c>
      <c r="E636">
        <v>5</v>
      </c>
      <c r="F636">
        <v>0.31609999999999999</v>
      </c>
      <c r="G636">
        <v>3.33</v>
      </c>
      <c r="H636">
        <v>0.67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">
      <c r="A637" s="4">
        <v>43702</v>
      </c>
      <c r="B637" s="3" t="s">
        <v>29</v>
      </c>
      <c r="C637">
        <v>3</v>
      </c>
      <c r="D637">
        <v>139</v>
      </c>
      <c r="E637">
        <v>1</v>
      </c>
      <c r="F637">
        <v>0.71940000000000004</v>
      </c>
      <c r="G637">
        <v>0.17</v>
      </c>
      <c r="H637">
        <v>0.17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">
      <c r="A638" s="4">
        <v>43702</v>
      </c>
      <c r="B638" s="3" t="s">
        <v>86</v>
      </c>
      <c r="C638">
        <v>10</v>
      </c>
      <c r="D638">
        <v>149</v>
      </c>
      <c r="E638">
        <v>1</v>
      </c>
      <c r="F638">
        <v>0.67110000000000003</v>
      </c>
      <c r="G638">
        <v>0.96</v>
      </c>
      <c r="H638">
        <v>0.96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">
      <c r="A639" s="4">
        <v>43702</v>
      </c>
      <c r="B639" s="3" t="s">
        <v>30</v>
      </c>
      <c r="C639">
        <v>5</v>
      </c>
      <c r="D639">
        <v>338</v>
      </c>
      <c r="E639">
        <v>4</v>
      </c>
      <c r="F639">
        <v>1.1834</v>
      </c>
      <c r="G639">
        <v>1.73</v>
      </c>
      <c r="H639">
        <v>0.43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">
      <c r="A640" s="4">
        <v>43702</v>
      </c>
      <c r="B640" s="3" t="s">
        <v>85</v>
      </c>
      <c r="C640">
        <v>5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">
      <c r="A641" s="4">
        <v>43702</v>
      </c>
      <c r="B641" s="3" t="s">
        <v>84</v>
      </c>
      <c r="C641">
        <v>10</v>
      </c>
      <c r="D641">
        <v>420</v>
      </c>
      <c r="E641">
        <v>4</v>
      </c>
      <c r="F641">
        <v>0.95240000000000002</v>
      </c>
      <c r="G641">
        <v>1.05</v>
      </c>
      <c r="H641">
        <v>0.26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">
      <c r="A642" s="4">
        <v>43702</v>
      </c>
      <c r="B642" s="3" t="s">
        <v>75</v>
      </c>
      <c r="C642">
        <v>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">
      <c r="A643" s="4">
        <v>43702</v>
      </c>
      <c r="B643" s="3" t="s">
        <v>31</v>
      </c>
      <c r="C643">
        <v>30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">
      <c r="A644" s="4">
        <v>43702</v>
      </c>
      <c r="B644" s="3" t="s">
        <v>91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">
      <c r="A645" s="4">
        <v>43702</v>
      </c>
      <c r="B645" s="3" t="s">
        <v>87</v>
      </c>
      <c r="C645">
        <v>10</v>
      </c>
      <c r="D645">
        <v>213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">
      <c r="A646" s="4">
        <v>43702</v>
      </c>
      <c r="B646" s="3" t="s">
        <v>88</v>
      </c>
      <c r="C646">
        <v>15</v>
      </c>
      <c r="D646">
        <v>15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">
      <c r="A647" s="4">
        <v>43702</v>
      </c>
      <c r="B647" s="3" t="s">
        <v>90</v>
      </c>
      <c r="C647">
        <v>20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">
      <c r="A648" s="4">
        <v>43702</v>
      </c>
      <c r="B648" s="3" t="s">
        <v>89</v>
      </c>
      <c r="C648">
        <v>15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">
      <c r="A649" s="4">
        <v>43702</v>
      </c>
      <c r="B649" s="3" t="s">
        <v>77</v>
      </c>
      <c r="C649">
        <v>5</v>
      </c>
      <c r="D649">
        <v>5010</v>
      </c>
      <c r="E649">
        <v>4</v>
      </c>
      <c r="F649">
        <v>7.9799999999999996E-2</v>
      </c>
      <c r="G649">
        <v>2.66</v>
      </c>
      <c r="H649">
        <v>0.67</v>
      </c>
      <c r="I649">
        <v>1</v>
      </c>
      <c r="J649">
        <v>21.99</v>
      </c>
      <c r="K649">
        <v>12.096399999999999</v>
      </c>
      <c r="L649">
        <v>0</v>
      </c>
      <c r="M649">
        <v>0</v>
      </c>
      <c r="N649">
        <v>0</v>
      </c>
      <c r="O649">
        <v>0</v>
      </c>
    </row>
    <row r="650" spans="1:15" x14ac:dyDescent="0.2">
      <c r="A650" s="4">
        <v>43702</v>
      </c>
      <c r="B650" s="3" t="s">
        <v>79</v>
      </c>
      <c r="C650">
        <v>10</v>
      </c>
      <c r="D650">
        <v>7666</v>
      </c>
      <c r="E650">
        <v>42</v>
      </c>
      <c r="F650">
        <v>0.54790000000000005</v>
      </c>
      <c r="G650">
        <v>10.08</v>
      </c>
      <c r="H650">
        <v>0.24</v>
      </c>
      <c r="I650">
        <v>2</v>
      </c>
      <c r="J650">
        <v>35.96</v>
      </c>
      <c r="K650">
        <v>28.031099999999999</v>
      </c>
      <c r="L650">
        <v>0</v>
      </c>
      <c r="M650">
        <v>0</v>
      </c>
      <c r="N650">
        <v>0</v>
      </c>
      <c r="O650">
        <v>0</v>
      </c>
    </row>
    <row r="651" spans="1:15" x14ac:dyDescent="0.2">
      <c r="A651" s="4">
        <v>43702</v>
      </c>
      <c r="B651" s="3" t="s">
        <v>28</v>
      </c>
      <c r="C651">
        <v>10</v>
      </c>
      <c r="D651">
        <v>2133</v>
      </c>
      <c r="E651">
        <v>8</v>
      </c>
      <c r="F651">
        <v>0.37509999999999999</v>
      </c>
      <c r="G651">
        <v>4.66</v>
      </c>
      <c r="H651">
        <v>0.57999999999999996</v>
      </c>
      <c r="I651">
        <v>1</v>
      </c>
      <c r="J651">
        <v>16.37</v>
      </c>
      <c r="K651">
        <v>28.466699999999999</v>
      </c>
      <c r="L651">
        <v>0</v>
      </c>
      <c r="M651">
        <v>0</v>
      </c>
      <c r="N651">
        <v>0</v>
      </c>
      <c r="O65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AA3E-D9B8-40DC-A0FE-F7C1DF5D7ED2}">
  <dimension ref="A3:N29"/>
  <sheetViews>
    <sheetView workbookViewId="0">
      <selection activeCell="D32" sqref="D32"/>
    </sheetView>
  </sheetViews>
  <sheetFormatPr defaultRowHeight="14.25" x14ac:dyDescent="0.2"/>
  <cols>
    <col min="1" max="1" width="10" bestFit="1" customWidth="1"/>
    <col min="2" max="2" width="17.125" bestFit="1" customWidth="1"/>
    <col min="3" max="3" width="13.625" bestFit="1" customWidth="1"/>
    <col min="4" max="4" width="15.625" bestFit="1" customWidth="1"/>
    <col min="5" max="5" width="17.125" bestFit="1" customWidth="1"/>
    <col min="6" max="6" width="21.625" bestFit="1" customWidth="1"/>
    <col min="7" max="7" width="31.125" bestFit="1" customWidth="1"/>
    <col min="8" max="8" width="11.5" bestFit="1" customWidth="1"/>
    <col min="9" max="9" width="19.125" bestFit="1" customWidth="1"/>
    <col min="10" max="10" width="31.625" bestFit="1" customWidth="1"/>
    <col min="11" max="12" width="19.875" bestFit="1" customWidth="1"/>
    <col min="13" max="13" width="17.75" bestFit="1" customWidth="1"/>
    <col min="14" max="15" width="19.875" bestFit="1" customWidth="1"/>
  </cols>
  <sheetData>
    <row r="3" spans="1:14" x14ac:dyDescent="0.2">
      <c r="A3" s="5" t="s">
        <v>38</v>
      </c>
      <c r="B3" t="s">
        <v>40</v>
      </c>
      <c r="C3" t="s">
        <v>41</v>
      </c>
      <c r="D3" t="s">
        <v>42</v>
      </c>
      <c r="E3" t="s">
        <v>44</v>
      </c>
      <c r="F3" t="s">
        <v>43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</row>
    <row r="4" spans="1:14" x14ac:dyDescent="0.2">
      <c r="A4" s="6">
        <v>43678</v>
      </c>
      <c r="B4" s="3">
        <v>242</v>
      </c>
      <c r="C4" s="3">
        <v>24674</v>
      </c>
      <c r="D4" s="3">
        <v>161</v>
      </c>
      <c r="E4" s="3">
        <v>59.610000000000007</v>
      </c>
      <c r="F4" s="3">
        <v>37.523700000000005</v>
      </c>
      <c r="G4" s="3">
        <v>4.8099999999999987</v>
      </c>
      <c r="H4" s="3">
        <v>9</v>
      </c>
      <c r="I4" s="3">
        <v>456.13</v>
      </c>
      <c r="J4" s="3">
        <v>40.010199999999998</v>
      </c>
      <c r="K4" s="3">
        <v>1</v>
      </c>
      <c r="L4" s="3">
        <v>100</v>
      </c>
      <c r="M4" s="3">
        <v>107.94</v>
      </c>
      <c r="N4" s="3">
        <v>100</v>
      </c>
    </row>
    <row r="5" spans="1:14" x14ac:dyDescent="0.2">
      <c r="A5" s="6">
        <v>43679</v>
      </c>
      <c r="B5" s="3">
        <v>242</v>
      </c>
      <c r="C5" s="3">
        <v>23177</v>
      </c>
      <c r="D5" s="3">
        <v>119</v>
      </c>
      <c r="E5" s="3">
        <v>37.650000000000006</v>
      </c>
      <c r="F5" s="3">
        <v>4.0058999999999996</v>
      </c>
      <c r="G5" s="3">
        <v>3.16</v>
      </c>
      <c r="H5" s="3">
        <v>1</v>
      </c>
      <c r="I5" s="3">
        <v>53.97</v>
      </c>
      <c r="J5" s="3">
        <v>30.6096</v>
      </c>
      <c r="K5" s="3">
        <v>0</v>
      </c>
      <c r="L5" s="3">
        <v>0</v>
      </c>
      <c r="M5" s="3">
        <v>0</v>
      </c>
      <c r="N5" s="3">
        <v>0</v>
      </c>
    </row>
    <row r="6" spans="1:14" x14ac:dyDescent="0.2">
      <c r="A6" s="6">
        <v>43680</v>
      </c>
      <c r="B6" s="3">
        <v>242</v>
      </c>
      <c r="C6" s="3">
        <v>27328</v>
      </c>
      <c r="D6" s="3">
        <v>131</v>
      </c>
      <c r="E6" s="3">
        <v>41.629999999999995</v>
      </c>
      <c r="F6" s="3">
        <v>6.412399999999999</v>
      </c>
      <c r="G6" s="3">
        <v>4.5599999999999996</v>
      </c>
      <c r="H6" s="3">
        <v>7</v>
      </c>
      <c r="I6" s="3">
        <v>287.85000000000002</v>
      </c>
      <c r="J6" s="3">
        <v>22.644300000000001</v>
      </c>
      <c r="K6" s="3">
        <v>0</v>
      </c>
      <c r="L6" s="3">
        <v>0</v>
      </c>
      <c r="M6" s="3">
        <v>0</v>
      </c>
      <c r="N6" s="3">
        <v>0</v>
      </c>
    </row>
    <row r="7" spans="1:14" x14ac:dyDescent="0.2">
      <c r="A7" s="6">
        <v>43681</v>
      </c>
      <c r="B7" s="3">
        <v>242</v>
      </c>
      <c r="C7" s="3">
        <v>24342</v>
      </c>
      <c r="D7" s="3">
        <v>183</v>
      </c>
      <c r="E7" s="3">
        <v>59.21</v>
      </c>
      <c r="F7" s="3">
        <v>9.0289000000000001</v>
      </c>
      <c r="G7" s="3">
        <v>3.93</v>
      </c>
      <c r="H7" s="3">
        <v>3</v>
      </c>
      <c r="I7" s="3">
        <v>112.33</v>
      </c>
      <c r="J7" s="3">
        <v>46.5871</v>
      </c>
      <c r="K7" s="3">
        <v>0</v>
      </c>
      <c r="L7" s="3">
        <v>0</v>
      </c>
      <c r="M7" s="3">
        <v>0</v>
      </c>
      <c r="N7" s="3">
        <v>0</v>
      </c>
    </row>
    <row r="8" spans="1:14" x14ac:dyDescent="0.2">
      <c r="A8" s="6">
        <v>43682</v>
      </c>
      <c r="B8" s="3">
        <v>242</v>
      </c>
      <c r="C8" s="3">
        <v>28761</v>
      </c>
      <c r="D8" s="3">
        <v>172</v>
      </c>
      <c r="E8" s="3">
        <v>71.320000000000007</v>
      </c>
      <c r="F8" s="3">
        <v>7.4390999999999998</v>
      </c>
      <c r="G8" s="3">
        <v>6.6000000000000014</v>
      </c>
      <c r="H8" s="3">
        <v>6</v>
      </c>
      <c r="I8" s="3">
        <v>263.86</v>
      </c>
      <c r="J8" s="3">
        <v>68.446699999999993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A9" s="6">
        <v>43683</v>
      </c>
      <c r="B9" s="3">
        <v>242</v>
      </c>
      <c r="C9" s="3">
        <v>33999</v>
      </c>
      <c r="D9" s="3">
        <v>152</v>
      </c>
      <c r="E9" s="3">
        <v>54.650000000000006</v>
      </c>
      <c r="F9" s="3">
        <v>6.0878999999999994</v>
      </c>
      <c r="G9" s="3">
        <v>5.9799999999999995</v>
      </c>
      <c r="H9" s="3">
        <v>5</v>
      </c>
      <c r="I9" s="3">
        <v>114.81</v>
      </c>
      <c r="J9" s="3">
        <v>64.865399999999994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A10" s="6">
        <v>43684</v>
      </c>
      <c r="B10" s="3">
        <v>242</v>
      </c>
      <c r="C10" s="3">
        <v>30780</v>
      </c>
      <c r="D10" s="3">
        <v>122</v>
      </c>
      <c r="E10" s="3">
        <v>42.790000000000006</v>
      </c>
      <c r="F10" s="3">
        <v>6.3242000000000003</v>
      </c>
      <c r="G10" s="3">
        <v>5.28</v>
      </c>
      <c r="H10" s="3">
        <v>3</v>
      </c>
      <c r="I10" s="3">
        <v>119.92999999999999</v>
      </c>
      <c r="J10" s="3">
        <v>49.315199999999997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A11" s="6">
        <v>43685</v>
      </c>
      <c r="B11" s="3">
        <v>242</v>
      </c>
      <c r="C11" s="3">
        <v>24374</v>
      </c>
      <c r="D11" s="3">
        <v>155</v>
      </c>
      <c r="E11" s="3">
        <v>50.900000000000006</v>
      </c>
      <c r="F11" s="3">
        <v>7.9200000000000008</v>
      </c>
      <c r="G11" s="3">
        <v>4.3899999999999997</v>
      </c>
      <c r="H11" s="3">
        <v>2</v>
      </c>
      <c r="I11" s="3">
        <v>89.94</v>
      </c>
      <c r="J11" s="3">
        <v>33.8245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">
      <c r="A12" s="6">
        <v>43686</v>
      </c>
      <c r="B12" s="3">
        <v>242</v>
      </c>
      <c r="C12" s="3">
        <v>20432</v>
      </c>
      <c r="D12" s="3">
        <v>129</v>
      </c>
      <c r="E12" s="3">
        <v>38.79</v>
      </c>
      <c r="F12" s="3">
        <v>7.809400000000001</v>
      </c>
      <c r="G12" s="3">
        <v>4.59</v>
      </c>
      <c r="H12" s="3">
        <v>6</v>
      </c>
      <c r="I12" s="3">
        <v>243.88</v>
      </c>
      <c r="J12" s="3">
        <v>70.465100000000007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2">
      <c r="A13" s="6">
        <v>43687</v>
      </c>
      <c r="B13" s="3">
        <v>242</v>
      </c>
      <c r="C13" s="3">
        <v>28183</v>
      </c>
      <c r="D13" s="3">
        <v>202</v>
      </c>
      <c r="E13" s="3">
        <v>55.22</v>
      </c>
      <c r="F13" s="3">
        <v>28.156699999999997</v>
      </c>
      <c r="G13" s="3">
        <v>4.2900000000000009</v>
      </c>
      <c r="H13" s="3">
        <v>5</v>
      </c>
      <c r="I13" s="3">
        <v>244.89</v>
      </c>
      <c r="J13" s="3">
        <v>44.330800000000004</v>
      </c>
      <c r="K13" s="3">
        <v>1</v>
      </c>
      <c r="L13" s="3">
        <v>100</v>
      </c>
      <c r="M13" s="3">
        <v>53.97</v>
      </c>
      <c r="N13" s="3">
        <v>100</v>
      </c>
    </row>
    <row r="14" spans="1:14" x14ac:dyDescent="0.2">
      <c r="A14" s="6">
        <v>43688</v>
      </c>
      <c r="B14" s="3">
        <v>242</v>
      </c>
      <c r="C14" s="3">
        <v>27736</v>
      </c>
      <c r="D14" s="3">
        <v>202</v>
      </c>
      <c r="E14" s="3">
        <v>62.79</v>
      </c>
      <c r="F14" s="3">
        <v>11.666</v>
      </c>
      <c r="G14" s="3">
        <v>5.0100000000000016</v>
      </c>
      <c r="H14" s="3">
        <v>10</v>
      </c>
      <c r="I14" s="3">
        <v>551.14</v>
      </c>
      <c r="J14" s="3">
        <v>48.204000000000001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A15" s="6">
        <v>43689</v>
      </c>
      <c r="B15" s="3">
        <v>242</v>
      </c>
      <c r="C15" s="3">
        <v>27941</v>
      </c>
      <c r="D15" s="3">
        <v>178</v>
      </c>
      <c r="E15" s="3">
        <v>59.939999999999991</v>
      </c>
      <c r="F15" s="3">
        <v>10.684099999999999</v>
      </c>
      <c r="G15" s="3">
        <v>4.67</v>
      </c>
      <c r="H15" s="3">
        <v>7</v>
      </c>
      <c r="I15" s="3">
        <v>339.87</v>
      </c>
      <c r="J15" s="3">
        <v>67.736400000000003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A16" s="6">
        <v>43690</v>
      </c>
      <c r="B16" s="3">
        <v>242</v>
      </c>
      <c r="C16" s="3">
        <v>33405</v>
      </c>
      <c r="D16" s="3">
        <v>156</v>
      </c>
      <c r="E16" s="3">
        <v>53.739999999999995</v>
      </c>
      <c r="F16" s="3">
        <v>9.5006000000000004</v>
      </c>
      <c r="G16" s="3">
        <v>4.3800000000000008</v>
      </c>
      <c r="H16" s="3">
        <v>9</v>
      </c>
      <c r="I16" s="3">
        <v>503.83000000000004</v>
      </c>
      <c r="J16" s="3">
        <v>48.843299999999999</v>
      </c>
      <c r="K16" s="3">
        <v>1</v>
      </c>
      <c r="L16" s="3">
        <v>100</v>
      </c>
      <c r="M16" s="3">
        <v>77.97</v>
      </c>
      <c r="N16" s="3">
        <v>100</v>
      </c>
    </row>
    <row r="17" spans="1:14" x14ac:dyDescent="0.2">
      <c r="A17" s="6">
        <v>43691</v>
      </c>
      <c r="B17" s="3">
        <v>242</v>
      </c>
      <c r="C17" s="3">
        <v>34661</v>
      </c>
      <c r="D17" s="3">
        <v>208</v>
      </c>
      <c r="E17" s="3">
        <v>74.660000000000011</v>
      </c>
      <c r="F17" s="3">
        <v>16.9373</v>
      </c>
      <c r="G17" s="3">
        <v>6.6800000000000006</v>
      </c>
      <c r="H17" s="3">
        <v>7</v>
      </c>
      <c r="I17" s="3">
        <v>407.85</v>
      </c>
      <c r="J17" s="3">
        <v>118.2406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2">
      <c r="A18" s="6">
        <v>43692</v>
      </c>
      <c r="B18" s="3">
        <v>242</v>
      </c>
      <c r="C18" s="3">
        <v>33467</v>
      </c>
      <c r="D18" s="3">
        <v>208</v>
      </c>
      <c r="E18" s="3">
        <v>72.27</v>
      </c>
      <c r="F18" s="3">
        <v>12.7811</v>
      </c>
      <c r="G18" s="3">
        <v>5.87</v>
      </c>
      <c r="H18" s="3">
        <v>6</v>
      </c>
      <c r="I18" s="3">
        <v>451.84</v>
      </c>
      <c r="J18" s="3">
        <v>22.703299999999999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">
      <c r="A19" s="6">
        <v>43693</v>
      </c>
      <c r="B19" s="3">
        <v>242</v>
      </c>
      <c r="C19" s="3">
        <v>25793</v>
      </c>
      <c r="D19" s="3">
        <v>117</v>
      </c>
      <c r="E19" s="3">
        <v>40.119999999999997</v>
      </c>
      <c r="F19" s="3">
        <v>6.8774999999999995</v>
      </c>
      <c r="G19" s="3">
        <v>5.34</v>
      </c>
      <c r="H19" s="3">
        <v>1</v>
      </c>
      <c r="I19" s="3">
        <v>79.97</v>
      </c>
      <c r="J19" s="3">
        <v>5.5770999999999997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2">
      <c r="A20" s="6">
        <v>43694</v>
      </c>
      <c r="B20" s="3">
        <v>242</v>
      </c>
      <c r="C20" s="3">
        <v>36457</v>
      </c>
      <c r="D20" s="3">
        <v>163</v>
      </c>
      <c r="E20" s="3">
        <v>53.930000000000007</v>
      </c>
      <c r="F20" s="3">
        <v>7.9001999999999999</v>
      </c>
      <c r="G20" s="3">
        <v>4.88</v>
      </c>
      <c r="H20" s="3">
        <v>7</v>
      </c>
      <c r="I20" s="3">
        <v>368.21</v>
      </c>
      <c r="J20" s="3">
        <v>42.180300000000003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">
      <c r="A21" s="6">
        <v>43695</v>
      </c>
      <c r="B21" s="3">
        <v>242</v>
      </c>
      <c r="C21" s="3">
        <v>38221</v>
      </c>
      <c r="D21" s="3">
        <v>222</v>
      </c>
      <c r="E21" s="3">
        <v>81.22</v>
      </c>
      <c r="F21" s="3">
        <v>8.4079999999999995</v>
      </c>
      <c r="G21" s="3">
        <v>5.91</v>
      </c>
      <c r="H21" s="3">
        <v>11</v>
      </c>
      <c r="I21" s="3">
        <v>554.71</v>
      </c>
      <c r="J21" s="3">
        <v>97.727699999999999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2">
      <c r="A22" s="6">
        <v>43696</v>
      </c>
      <c r="B22" s="3">
        <v>242</v>
      </c>
      <c r="C22" s="3">
        <v>50587</v>
      </c>
      <c r="D22" s="3">
        <v>233</v>
      </c>
      <c r="E22" s="3">
        <v>92.01</v>
      </c>
      <c r="F22" s="3">
        <v>7.9151999999999996</v>
      </c>
      <c r="G22" s="3">
        <v>6.35</v>
      </c>
      <c r="H22" s="3">
        <v>14</v>
      </c>
      <c r="I22" s="3">
        <v>458.5200000000001</v>
      </c>
      <c r="J22" s="3">
        <v>169.61519999999999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2">
      <c r="A23" s="6">
        <v>43697</v>
      </c>
      <c r="B23" s="3">
        <v>242</v>
      </c>
      <c r="C23" s="3">
        <v>48163</v>
      </c>
      <c r="D23" s="3">
        <v>213</v>
      </c>
      <c r="E23" s="3">
        <v>86.28</v>
      </c>
      <c r="F23" s="3">
        <v>28.377399999999998</v>
      </c>
      <c r="G23" s="3">
        <v>6.339999999999999</v>
      </c>
      <c r="H23" s="3">
        <v>8</v>
      </c>
      <c r="I23" s="3">
        <v>225.88</v>
      </c>
      <c r="J23" s="3">
        <v>79.440699999999993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2">
      <c r="A24" s="6">
        <v>43698</v>
      </c>
      <c r="B24" s="3">
        <v>242</v>
      </c>
      <c r="C24" s="3">
        <v>43115</v>
      </c>
      <c r="D24" s="3">
        <v>154</v>
      </c>
      <c r="E24" s="3">
        <v>60.13000000000001</v>
      </c>
      <c r="F24" s="3">
        <v>6.0091999999999999</v>
      </c>
      <c r="G24" s="3">
        <v>5.6</v>
      </c>
      <c r="H24" s="3">
        <v>4</v>
      </c>
      <c r="I24" s="3">
        <v>112.33</v>
      </c>
      <c r="J24" s="3">
        <v>71.56819999999999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2">
      <c r="A25" s="6">
        <v>43699</v>
      </c>
      <c r="B25" s="3">
        <v>242</v>
      </c>
      <c r="C25" s="3">
        <v>40222</v>
      </c>
      <c r="D25" s="3">
        <v>128</v>
      </c>
      <c r="E25" s="3">
        <v>46.23</v>
      </c>
      <c r="F25" s="3">
        <v>7.0014000000000012</v>
      </c>
      <c r="G25" s="3">
        <v>5.8400000000000007</v>
      </c>
      <c r="H25" s="3">
        <v>1</v>
      </c>
      <c r="I25" s="3">
        <v>20.99</v>
      </c>
      <c r="J25" s="3">
        <v>43.449300000000001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2">
      <c r="A26" s="6">
        <v>43700</v>
      </c>
      <c r="B26" s="3">
        <v>242</v>
      </c>
      <c r="C26" s="3">
        <v>24241</v>
      </c>
      <c r="D26" s="3">
        <v>86</v>
      </c>
      <c r="E26" s="3">
        <v>32.330000000000005</v>
      </c>
      <c r="F26" s="3">
        <v>5.3577000000000004</v>
      </c>
      <c r="G26" s="3">
        <v>6.57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2">
      <c r="A27" s="6">
        <v>43701</v>
      </c>
      <c r="B27" s="3">
        <v>242</v>
      </c>
      <c r="C27" s="3">
        <v>23937</v>
      </c>
      <c r="D27" s="3">
        <v>82</v>
      </c>
      <c r="E27" s="3">
        <v>29.85</v>
      </c>
      <c r="F27" s="3">
        <v>5.8205</v>
      </c>
      <c r="G27" s="3">
        <v>5.0199999999999996</v>
      </c>
      <c r="H27" s="3">
        <v>2</v>
      </c>
      <c r="I27" s="3">
        <v>70.34</v>
      </c>
      <c r="J27" s="3">
        <v>33.647500000000001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2">
      <c r="A28" s="6">
        <v>43702</v>
      </c>
      <c r="B28" s="3">
        <v>242</v>
      </c>
      <c r="C28" s="3">
        <v>22873</v>
      </c>
      <c r="D28" s="3">
        <v>103</v>
      </c>
      <c r="E28" s="3">
        <v>34.180000000000007</v>
      </c>
      <c r="F28" s="3">
        <v>9.873800000000001</v>
      </c>
      <c r="G28" s="3">
        <v>5.85</v>
      </c>
      <c r="H28" s="3">
        <v>4</v>
      </c>
      <c r="I28" s="3">
        <v>74.320000000000007</v>
      </c>
      <c r="J28" s="3">
        <v>68.594200000000001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2">
      <c r="A29" s="7" t="s">
        <v>39</v>
      </c>
      <c r="B29" s="3">
        <v>6050</v>
      </c>
      <c r="C29" s="3">
        <v>776869</v>
      </c>
      <c r="D29" s="3">
        <v>3979</v>
      </c>
      <c r="E29" s="3">
        <v>1391.45</v>
      </c>
      <c r="F29" s="3">
        <v>275.81819999999999</v>
      </c>
      <c r="G29" s="3">
        <v>131.9</v>
      </c>
      <c r="H29" s="3">
        <v>138</v>
      </c>
      <c r="I29" s="3">
        <v>6207.39</v>
      </c>
      <c r="J29" s="3">
        <v>1388.6266999999998</v>
      </c>
      <c r="K29" s="3">
        <v>3</v>
      </c>
      <c r="L29" s="3">
        <v>300</v>
      </c>
      <c r="M29" s="3">
        <v>239.88</v>
      </c>
      <c r="N29" s="3">
        <v>300</v>
      </c>
    </row>
  </sheetData>
  <phoneticPr fontId="3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016A-6C01-4257-AB38-DEA7ECB80890}">
  <dimension ref="A1:Y200"/>
  <sheetViews>
    <sheetView topLeftCell="A172" workbookViewId="0">
      <selection activeCell="E15" sqref="E15"/>
    </sheetView>
  </sheetViews>
  <sheetFormatPr defaultRowHeight="14.25" x14ac:dyDescent="0.2"/>
  <cols>
    <col min="1" max="1" width="9" style="4"/>
    <col min="5" max="5" width="13.125" customWidth="1"/>
    <col min="12" max="12" width="9" style="4"/>
    <col min="22" max="22" width="12.125" customWidth="1"/>
    <col min="23" max="23" width="13.625" customWidth="1"/>
    <col min="24" max="24" width="10" customWidth="1"/>
  </cols>
  <sheetData>
    <row r="1" spans="1:25" x14ac:dyDescent="0.2">
      <c r="A1" s="4">
        <f>SMALL(day_data!$A:$A,1)</f>
        <v>43678</v>
      </c>
      <c r="B1">
        <v>0</v>
      </c>
      <c r="C1">
        <v>21</v>
      </c>
      <c r="E1" s="8" t="s">
        <v>53</v>
      </c>
      <c r="F1">
        <v>1</v>
      </c>
      <c r="L1" s="9" t="s">
        <v>53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  <c r="R1" s="8" t="s">
        <v>60</v>
      </c>
      <c r="S1" s="8" t="s">
        <v>61</v>
      </c>
      <c r="T1" s="8" t="s">
        <v>62</v>
      </c>
      <c r="U1" s="8" t="s">
        <v>63</v>
      </c>
      <c r="V1" s="8" t="s">
        <v>64</v>
      </c>
      <c r="W1" s="8" t="s">
        <v>65</v>
      </c>
      <c r="X1" s="8" t="s">
        <v>66</v>
      </c>
      <c r="Y1" s="8" t="s">
        <v>67</v>
      </c>
    </row>
    <row r="2" spans="1:25" x14ac:dyDescent="0.2">
      <c r="E2" s="8" t="s">
        <v>54</v>
      </c>
      <c r="L2" s="9">
        <f>A1+B1</f>
        <v>43678</v>
      </c>
      <c r="M2" s="8" t="e">
        <f>IF($F$3,IF($L2="","",IFERROR(VLOOKUP($L2,day_data!$A:$O,2,FALSE),0)),NA())</f>
        <v>#N/A</v>
      </c>
      <c r="N2" s="8">
        <f>IF($F$4,IF($L2="","",IFERROR(VLOOKUP($L2,day_data!$A:$O,3,FALSE),0)),NA())</f>
        <v>24674</v>
      </c>
      <c r="O2" s="8" t="e">
        <f>IF($F$5,IF($L2="","",IFERROR(VLOOKUP($L2,day_data!$A:$O,4,FALSE),0)),NA())</f>
        <v>#N/A</v>
      </c>
      <c r="P2" s="8" t="e">
        <f>IF($F$6,IF($L2="","",IFERROR(VLOOKUP($L2,day_data!$A:$O,5,FALSE),0)),NA())</f>
        <v>#N/A</v>
      </c>
      <c r="Q2" s="8" t="e">
        <f>IF($F$7,IF($L2="","",IFERROR(VLOOKUP($L2,day_data!$A:$O,6,FALSE),0)),NA())</f>
        <v>#N/A</v>
      </c>
      <c r="R2" s="8" t="e">
        <f>IF($F$8,IF($L2="","",IFERROR(VLOOKUP($L2,day_data!$A:$O,7,FALSE),0)),NA())</f>
        <v>#N/A</v>
      </c>
      <c r="S2" s="8" t="e">
        <f>IF($F$9,IF($L2="","",IFERROR(VLOOKUP($L2,day_data!$A:$O,8,FALSE),0)),NA())</f>
        <v>#N/A</v>
      </c>
      <c r="T2" s="8" t="e">
        <f>IF($F$10,IF($L2="","",IFERROR(VLOOKUP($L2,day_data!$A:$O,9,FALSE),0)),NA())</f>
        <v>#N/A</v>
      </c>
      <c r="U2" s="8" t="e">
        <f>IF($F$11,IF($L2="","",IFERROR(VLOOKUP($L2,day_data!$A:$O,10,FALSE),0)),NA())</f>
        <v>#N/A</v>
      </c>
      <c r="V2" s="8" t="e">
        <f>IF($F$12,IF($L2="","",IFERROR(VLOOKUP($L2,day_data!$A:$O,11,FALSE),0)),NA())</f>
        <v>#N/A</v>
      </c>
      <c r="W2" s="8" t="e">
        <f>IF($F$13,IF($L2="","",IFERROR(VLOOKUP($L2,day_data!$A:$O,12,FALSE),0)),NA())</f>
        <v>#N/A</v>
      </c>
      <c r="X2" s="10" t="e">
        <f>IF($F$14,IF($L2="","",IFERROR(VLOOKUP($L2,day_data!$A:$O,13,FALSE),0)),NA())</f>
        <v>#N/A</v>
      </c>
      <c r="Y2" s="10" t="e">
        <f>IF($F$15,IF($L2="","",IFERROR(VLOOKUP($L2,day_data!$A:$O,14,FALSE),0)),NA())</f>
        <v>#N/A</v>
      </c>
    </row>
    <row r="3" spans="1:25" x14ac:dyDescent="0.2">
      <c r="E3" s="8" t="s">
        <v>55</v>
      </c>
      <c r="F3" t="b">
        <v>0</v>
      </c>
      <c r="L3" s="9">
        <f>IF(ROW(L3)-1&gt;$C$1,"",L2+1)</f>
        <v>43679</v>
      </c>
      <c r="M3" s="8" t="e">
        <f>IF($F$3,IF($L3="","",IFERROR(VLOOKUP($L3,day_data!$A:$O,2,FALSE),0)),NA())</f>
        <v>#N/A</v>
      </c>
      <c r="N3" s="8">
        <f>IF($F$4,IF($L3="","",IFERROR(VLOOKUP($L3,day_data!$A:$O,3,FALSE),0)),NA())</f>
        <v>23177</v>
      </c>
      <c r="O3" s="8" t="e">
        <f>IF($F$5,IF($L3="","",IFERROR(VLOOKUP($L3,day_data!$A:$O,4,FALSE),0)),NA())</f>
        <v>#N/A</v>
      </c>
      <c r="P3" s="8" t="e">
        <f>IF($F$6,IF($L3="","",IFERROR(VLOOKUP($L3,day_data!$A:$O,5,FALSE),0)),NA())</f>
        <v>#N/A</v>
      </c>
      <c r="Q3" s="8" t="e">
        <f>IF($F$7,IF($L3="","",IFERROR(VLOOKUP($L3,day_data!$A:$O,6,FALSE),0)),NA())</f>
        <v>#N/A</v>
      </c>
      <c r="R3" s="8" t="e">
        <f>IF($F$8,IF($L3="","",IFERROR(VLOOKUP($L3,day_data!$A:$O,7,FALSE),0)),NA())</f>
        <v>#N/A</v>
      </c>
      <c r="S3" s="8" t="e">
        <f>IF($F$9,IF($L3="","",IFERROR(VLOOKUP($L3,day_data!$A:$O,8,FALSE),0)),NA())</f>
        <v>#N/A</v>
      </c>
      <c r="T3" s="8" t="e">
        <f>IF($F$10,IF($L3="","",IFERROR(VLOOKUP($L3,day_data!$A:$O,9,FALSE),0)),NA())</f>
        <v>#N/A</v>
      </c>
      <c r="U3" s="8" t="e">
        <f>IF($F$11,IF($L3="","",IFERROR(VLOOKUP($L3,day_data!$A:$O,10,FALSE),0)),NA())</f>
        <v>#N/A</v>
      </c>
      <c r="V3" s="8" t="e">
        <f>IF($F$12,IF($L3="","",IFERROR(VLOOKUP($L3,day_data!$A:$O,11,FALSE),0)),NA())</f>
        <v>#N/A</v>
      </c>
      <c r="W3" s="8" t="e">
        <f>IF($F$13,IF($L3="","",IFERROR(VLOOKUP($L3,day_data!$A:$O,12,FALSE),0)),NA())</f>
        <v>#N/A</v>
      </c>
      <c r="X3" s="10" t="e">
        <f>IF($F$14,IF($L3="","",IFERROR(VLOOKUP($L3,day_data!$A:$O,13,FALSE),0)),NA())</f>
        <v>#N/A</v>
      </c>
      <c r="Y3" s="10" t="e">
        <f>IF($F$15,IF($L3="","",IFERROR(VLOOKUP($L3,day_data!$A:$O,14,FALSE),0)),NA())</f>
        <v>#N/A</v>
      </c>
    </row>
    <row r="4" spans="1:25" x14ac:dyDescent="0.2">
      <c r="E4" s="8" t="s">
        <v>56</v>
      </c>
      <c r="F4" t="b">
        <v>1</v>
      </c>
      <c r="L4" s="9">
        <f>IF(ROW(L4)-1&gt;$C$1,"",L3+1)</f>
        <v>43680</v>
      </c>
      <c r="M4" s="8" t="e">
        <f>IF($F$3,IF($L4="","",IFERROR(VLOOKUP($L4,day_data!$A:$O,2,FALSE),0)),NA())</f>
        <v>#N/A</v>
      </c>
      <c r="N4" s="8">
        <f>IF($F$4,IF($L4="","",IFERROR(VLOOKUP($L4,day_data!$A:$O,3,FALSE),0)),NA())</f>
        <v>27328</v>
      </c>
      <c r="O4" s="8" t="e">
        <f>IF($F$5,IF($L4="","",IFERROR(VLOOKUP($L4,day_data!$A:$O,4,FALSE),0)),NA())</f>
        <v>#N/A</v>
      </c>
      <c r="P4" s="8" t="e">
        <f>IF($F$6,IF($L4="","",IFERROR(VLOOKUP($L4,day_data!$A:$O,5,FALSE),0)),NA())</f>
        <v>#N/A</v>
      </c>
      <c r="Q4" s="8" t="e">
        <f>IF($F$7,IF($L4="","",IFERROR(VLOOKUP($L4,day_data!$A:$O,6,FALSE),0)),NA())</f>
        <v>#N/A</v>
      </c>
      <c r="R4" s="8" t="e">
        <f>IF($F$8,IF($L4="","",IFERROR(VLOOKUP($L4,day_data!$A:$O,7,FALSE),0)),NA())</f>
        <v>#N/A</v>
      </c>
      <c r="S4" s="8" t="e">
        <f>IF($F$9,IF($L4="","",IFERROR(VLOOKUP($L4,day_data!$A:$O,8,FALSE),0)),NA())</f>
        <v>#N/A</v>
      </c>
      <c r="T4" s="8" t="e">
        <f>IF($F$10,IF($L4="","",IFERROR(VLOOKUP($L4,day_data!$A:$O,9,FALSE),0)),NA())</f>
        <v>#N/A</v>
      </c>
      <c r="U4" s="8" t="e">
        <f>IF($F$11,IF($L4="","",IFERROR(VLOOKUP($L4,day_data!$A:$O,10,FALSE),0)),NA())</f>
        <v>#N/A</v>
      </c>
      <c r="V4" s="8" t="e">
        <f>IF($F$12,IF($L4="","",IFERROR(VLOOKUP($L4,day_data!$A:$O,11,FALSE),0)),NA())</f>
        <v>#N/A</v>
      </c>
      <c r="W4" s="8" t="e">
        <f>IF($F$13,IF($L4="","",IFERROR(VLOOKUP($L4,day_data!$A:$O,12,FALSE),0)),NA())</f>
        <v>#N/A</v>
      </c>
      <c r="X4" s="10" t="e">
        <f>IF($F$14,IF($L4="","",IFERROR(VLOOKUP($L4,day_data!$A:$O,13,FALSE),0)),NA())</f>
        <v>#N/A</v>
      </c>
      <c r="Y4" s="10" t="e">
        <f>IF($F$15,IF($L4="","",IFERROR(VLOOKUP($L4,day_data!$A:$O,14,FALSE),0)),NA())</f>
        <v>#N/A</v>
      </c>
    </row>
    <row r="5" spans="1:25" x14ac:dyDescent="0.2">
      <c r="E5" s="8" t="s">
        <v>57</v>
      </c>
      <c r="F5" t="b">
        <v>0</v>
      </c>
      <c r="L5" s="9">
        <f t="shared" ref="L5:L68" si="0">IF(ROW(L5)-1&gt;$C$1,"",L4+1)</f>
        <v>43681</v>
      </c>
      <c r="M5" s="8" t="e">
        <f>IF($F$3,IF($L5="","",IFERROR(VLOOKUP($L5,day_data!$A:$O,2,FALSE),0)),NA())</f>
        <v>#N/A</v>
      </c>
      <c r="N5" s="8">
        <f>IF($F$4,IF($L5="","",IFERROR(VLOOKUP($L5,day_data!$A:$O,3,FALSE),0)),NA())</f>
        <v>24342</v>
      </c>
      <c r="O5" s="8" t="e">
        <f>IF($F$5,IF($L5="","",IFERROR(VLOOKUP($L5,day_data!$A:$O,4,FALSE),0)),NA())</f>
        <v>#N/A</v>
      </c>
      <c r="P5" s="8" t="e">
        <f>IF($F$6,IF($L5="","",IFERROR(VLOOKUP($L5,day_data!$A:$O,5,FALSE),0)),NA())</f>
        <v>#N/A</v>
      </c>
      <c r="Q5" s="8" t="e">
        <f>IF($F$7,IF($L5="","",IFERROR(VLOOKUP($L5,day_data!$A:$O,6,FALSE),0)),NA())</f>
        <v>#N/A</v>
      </c>
      <c r="R5" s="8" t="e">
        <f>IF($F$8,IF($L5="","",IFERROR(VLOOKUP($L5,day_data!$A:$O,7,FALSE),0)),NA())</f>
        <v>#N/A</v>
      </c>
      <c r="S5" s="8" t="e">
        <f>IF($F$9,IF($L5="","",IFERROR(VLOOKUP($L5,day_data!$A:$O,8,FALSE),0)),NA())</f>
        <v>#N/A</v>
      </c>
      <c r="T5" s="8" t="e">
        <f>IF($F$10,IF($L5="","",IFERROR(VLOOKUP($L5,day_data!$A:$O,9,FALSE),0)),NA())</f>
        <v>#N/A</v>
      </c>
      <c r="U5" s="8" t="e">
        <f>IF($F$11,IF($L5="","",IFERROR(VLOOKUP($L5,day_data!$A:$O,10,FALSE),0)),NA())</f>
        <v>#N/A</v>
      </c>
      <c r="V5" s="8" t="e">
        <f>IF($F$12,IF($L5="","",IFERROR(VLOOKUP($L5,day_data!$A:$O,11,FALSE),0)),NA())</f>
        <v>#N/A</v>
      </c>
      <c r="W5" s="8" t="e">
        <f>IF($F$13,IF($L5="","",IFERROR(VLOOKUP($L5,day_data!$A:$O,12,FALSE),0)),NA())</f>
        <v>#N/A</v>
      </c>
      <c r="X5" s="10" t="e">
        <f>IF($F$14,IF($L5="","",IFERROR(VLOOKUP($L5,day_data!$A:$O,13,FALSE),0)),NA())</f>
        <v>#N/A</v>
      </c>
      <c r="Y5" s="10" t="e">
        <f>IF($F$15,IF($L5="","",IFERROR(VLOOKUP($L5,day_data!$A:$O,14,FALSE),0)),NA())</f>
        <v>#N/A</v>
      </c>
    </row>
    <row r="6" spans="1:25" x14ac:dyDescent="0.2">
      <c r="E6" s="8" t="s">
        <v>58</v>
      </c>
      <c r="F6" t="b">
        <v>0</v>
      </c>
      <c r="L6" s="9">
        <f t="shared" si="0"/>
        <v>43682</v>
      </c>
      <c r="M6" s="8" t="e">
        <f>IF($F$3,IF($L6="","",IFERROR(VLOOKUP($L6,day_data!$A:$O,2,FALSE),0)),NA())</f>
        <v>#N/A</v>
      </c>
      <c r="N6" s="8">
        <f>IF($F$4,IF($L6="","",IFERROR(VLOOKUP($L6,day_data!$A:$O,3,FALSE),0)),NA())</f>
        <v>28761</v>
      </c>
      <c r="O6" s="8" t="e">
        <f>IF($F$5,IF($L6="","",IFERROR(VLOOKUP($L6,day_data!$A:$O,4,FALSE),0)),NA())</f>
        <v>#N/A</v>
      </c>
      <c r="P6" s="8" t="e">
        <f>IF($F$6,IF($L6="","",IFERROR(VLOOKUP($L6,day_data!$A:$O,5,FALSE),0)),NA())</f>
        <v>#N/A</v>
      </c>
      <c r="Q6" s="8" t="e">
        <f>IF($F$7,IF($L6="","",IFERROR(VLOOKUP($L6,day_data!$A:$O,6,FALSE),0)),NA())</f>
        <v>#N/A</v>
      </c>
      <c r="R6" s="8" t="e">
        <f>IF($F$8,IF($L6="","",IFERROR(VLOOKUP($L6,day_data!$A:$O,7,FALSE),0)),NA())</f>
        <v>#N/A</v>
      </c>
      <c r="S6" s="8" t="e">
        <f>IF($F$9,IF($L6="","",IFERROR(VLOOKUP($L6,day_data!$A:$O,8,FALSE),0)),NA())</f>
        <v>#N/A</v>
      </c>
      <c r="T6" s="8" t="e">
        <f>IF($F$10,IF($L6="","",IFERROR(VLOOKUP($L6,day_data!$A:$O,9,FALSE),0)),NA())</f>
        <v>#N/A</v>
      </c>
      <c r="U6" s="8" t="e">
        <f>IF($F$11,IF($L6="","",IFERROR(VLOOKUP($L6,day_data!$A:$O,10,FALSE),0)),NA())</f>
        <v>#N/A</v>
      </c>
      <c r="V6" s="8" t="e">
        <f>IF($F$12,IF($L6="","",IFERROR(VLOOKUP($L6,day_data!$A:$O,11,FALSE),0)),NA())</f>
        <v>#N/A</v>
      </c>
      <c r="W6" s="8" t="e">
        <f>IF($F$13,IF($L6="","",IFERROR(VLOOKUP($L6,day_data!$A:$O,12,FALSE),0)),NA())</f>
        <v>#N/A</v>
      </c>
      <c r="X6" s="10" t="e">
        <f>IF($F$14,IF($L6="","",IFERROR(VLOOKUP($L6,day_data!$A:$O,13,FALSE),0)),NA())</f>
        <v>#N/A</v>
      </c>
      <c r="Y6" s="10" t="e">
        <f>IF($F$15,IF($L6="","",IFERROR(VLOOKUP($L6,day_data!$A:$O,14,FALSE),0)),NA())</f>
        <v>#N/A</v>
      </c>
    </row>
    <row r="7" spans="1:25" x14ac:dyDescent="0.2">
      <c r="E7" s="8" t="s">
        <v>59</v>
      </c>
      <c r="F7" t="b">
        <v>0</v>
      </c>
      <c r="L7" s="9">
        <f t="shared" si="0"/>
        <v>43683</v>
      </c>
      <c r="M7" s="8" t="e">
        <f>IF($F$3,IF($L7="","",IFERROR(VLOOKUP($L7,day_data!$A:$O,2,FALSE),0)),NA())</f>
        <v>#N/A</v>
      </c>
      <c r="N7" s="8">
        <f>IF($F$4,IF($L7="","",IFERROR(VLOOKUP($L7,day_data!$A:$O,3,FALSE),0)),NA())</f>
        <v>33999</v>
      </c>
      <c r="O7" s="8" t="e">
        <f>IF($F$5,IF($L7="","",IFERROR(VLOOKUP($L7,day_data!$A:$O,4,FALSE),0)),NA())</f>
        <v>#N/A</v>
      </c>
      <c r="P7" s="8" t="e">
        <f>IF($F$6,IF($L7="","",IFERROR(VLOOKUP($L7,day_data!$A:$O,5,FALSE),0)),NA())</f>
        <v>#N/A</v>
      </c>
      <c r="Q7" s="8" t="e">
        <f>IF($F$7,IF($L7="","",IFERROR(VLOOKUP($L7,day_data!$A:$O,6,FALSE),0)),NA())</f>
        <v>#N/A</v>
      </c>
      <c r="R7" s="8" t="e">
        <f>IF($F$8,IF($L7="","",IFERROR(VLOOKUP($L7,day_data!$A:$O,7,FALSE),0)),NA())</f>
        <v>#N/A</v>
      </c>
      <c r="S7" s="8" t="e">
        <f>IF($F$9,IF($L7="","",IFERROR(VLOOKUP($L7,day_data!$A:$O,8,FALSE),0)),NA())</f>
        <v>#N/A</v>
      </c>
      <c r="T7" s="8" t="e">
        <f>IF($F$10,IF($L7="","",IFERROR(VLOOKUP($L7,day_data!$A:$O,9,FALSE),0)),NA())</f>
        <v>#N/A</v>
      </c>
      <c r="U7" s="8" t="e">
        <f>IF($F$11,IF($L7="","",IFERROR(VLOOKUP($L7,day_data!$A:$O,10,FALSE),0)),NA())</f>
        <v>#N/A</v>
      </c>
      <c r="V7" s="8" t="e">
        <f>IF($F$12,IF($L7="","",IFERROR(VLOOKUP($L7,day_data!$A:$O,11,FALSE),0)),NA())</f>
        <v>#N/A</v>
      </c>
      <c r="W7" s="8" t="e">
        <f>IF($F$13,IF($L7="","",IFERROR(VLOOKUP($L7,day_data!$A:$O,12,FALSE),0)),NA())</f>
        <v>#N/A</v>
      </c>
      <c r="X7" s="10" t="e">
        <f>IF($F$14,IF($L7="","",IFERROR(VLOOKUP($L7,day_data!$A:$O,13,FALSE),0)),NA())</f>
        <v>#N/A</v>
      </c>
      <c r="Y7" s="10" t="e">
        <f>IF($F$15,IF($L7="","",IFERROR(VLOOKUP($L7,day_data!$A:$O,14,FALSE),0)),NA())</f>
        <v>#N/A</v>
      </c>
    </row>
    <row r="8" spans="1:25" x14ac:dyDescent="0.2">
      <c r="E8" s="8" t="s">
        <v>60</v>
      </c>
      <c r="F8" t="b">
        <v>0</v>
      </c>
      <c r="L8" s="9">
        <f t="shared" si="0"/>
        <v>43684</v>
      </c>
      <c r="M8" s="8" t="e">
        <f>IF($F$3,IF($L8="","",IFERROR(VLOOKUP($L8,day_data!$A:$O,2,FALSE),0)),NA())</f>
        <v>#N/A</v>
      </c>
      <c r="N8" s="8">
        <f>IF($F$4,IF($L8="","",IFERROR(VLOOKUP($L8,day_data!$A:$O,3,FALSE),0)),NA())</f>
        <v>30780</v>
      </c>
      <c r="O8" s="8" t="e">
        <f>IF($F$5,IF($L8="","",IFERROR(VLOOKUP($L8,day_data!$A:$O,4,FALSE),0)),NA())</f>
        <v>#N/A</v>
      </c>
      <c r="P8" s="8" t="e">
        <f>IF($F$6,IF($L8="","",IFERROR(VLOOKUP($L8,day_data!$A:$O,5,FALSE),0)),NA())</f>
        <v>#N/A</v>
      </c>
      <c r="Q8" s="8" t="e">
        <f>IF($F$7,IF($L8="","",IFERROR(VLOOKUP($L8,day_data!$A:$O,6,FALSE),0)),NA())</f>
        <v>#N/A</v>
      </c>
      <c r="R8" s="8" t="e">
        <f>IF($F$8,IF($L8="","",IFERROR(VLOOKUP($L8,day_data!$A:$O,7,FALSE),0)),NA())</f>
        <v>#N/A</v>
      </c>
      <c r="S8" s="8" t="e">
        <f>IF($F$9,IF($L8="","",IFERROR(VLOOKUP($L8,day_data!$A:$O,8,FALSE),0)),NA())</f>
        <v>#N/A</v>
      </c>
      <c r="T8" s="8" t="e">
        <f>IF($F$10,IF($L8="","",IFERROR(VLOOKUP($L8,day_data!$A:$O,9,FALSE),0)),NA())</f>
        <v>#N/A</v>
      </c>
      <c r="U8" s="8" t="e">
        <f>IF($F$11,IF($L8="","",IFERROR(VLOOKUP($L8,day_data!$A:$O,10,FALSE),0)),NA())</f>
        <v>#N/A</v>
      </c>
      <c r="V8" s="8" t="e">
        <f>IF($F$12,IF($L8="","",IFERROR(VLOOKUP($L8,day_data!$A:$O,11,FALSE),0)),NA())</f>
        <v>#N/A</v>
      </c>
      <c r="W8" s="8" t="e">
        <f>IF($F$13,IF($L8="","",IFERROR(VLOOKUP($L8,day_data!$A:$O,12,FALSE),0)),NA())</f>
        <v>#N/A</v>
      </c>
      <c r="X8" s="10" t="e">
        <f>IF($F$14,IF($L8="","",IFERROR(VLOOKUP($L8,day_data!$A:$O,13,FALSE),0)),NA())</f>
        <v>#N/A</v>
      </c>
      <c r="Y8" s="10" t="e">
        <f>IF($F$15,IF($L8="","",IFERROR(VLOOKUP($L8,day_data!$A:$O,14,FALSE),0)),NA())</f>
        <v>#N/A</v>
      </c>
    </row>
    <row r="9" spans="1:25" x14ac:dyDescent="0.2">
      <c r="E9" s="8" t="s">
        <v>61</v>
      </c>
      <c r="F9" t="b">
        <v>0</v>
      </c>
      <c r="L9" s="9">
        <f t="shared" si="0"/>
        <v>43685</v>
      </c>
      <c r="M9" s="8" t="e">
        <f>IF($F$3,IF($L9="","",IFERROR(VLOOKUP($L9,day_data!$A:$O,2,FALSE),0)),NA())</f>
        <v>#N/A</v>
      </c>
      <c r="N9" s="8">
        <f>IF($F$4,IF($L9="","",IFERROR(VLOOKUP($L9,day_data!$A:$O,3,FALSE),0)),NA())</f>
        <v>24374</v>
      </c>
      <c r="O9" s="8" t="e">
        <f>IF($F$5,IF($L9="","",IFERROR(VLOOKUP($L9,day_data!$A:$O,4,FALSE),0)),NA())</f>
        <v>#N/A</v>
      </c>
      <c r="P9" s="8" t="e">
        <f>IF($F$6,IF($L9="","",IFERROR(VLOOKUP($L9,day_data!$A:$O,5,FALSE),0)),NA())</f>
        <v>#N/A</v>
      </c>
      <c r="Q9" s="8" t="e">
        <f>IF($F$7,IF($L9="","",IFERROR(VLOOKUP($L9,day_data!$A:$O,6,FALSE),0)),NA())</f>
        <v>#N/A</v>
      </c>
      <c r="R9" s="8" t="e">
        <f>IF($F$8,IF($L9="","",IFERROR(VLOOKUP($L9,day_data!$A:$O,7,FALSE),0)),NA())</f>
        <v>#N/A</v>
      </c>
      <c r="S9" s="8" t="e">
        <f>IF($F$9,IF($L9="","",IFERROR(VLOOKUP($L9,day_data!$A:$O,8,FALSE),0)),NA())</f>
        <v>#N/A</v>
      </c>
      <c r="T9" s="8" t="e">
        <f>IF($F$10,IF($L9="","",IFERROR(VLOOKUP($L9,day_data!$A:$O,9,FALSE),0)),NA())</f>
        <v>#N/A</v>
      </c>
      <c r="U9" s="8" t="e">
        <f>IF($F$11,IF($L9="","",IFERROR(VLOOKUP($L9,day_data!$A:$O,10,FALSE),0)),NA())</f>
        <v>#N/A</v>
      </c>
      <c r="V9" s="8" t="e">
        <f>IF($F$12,IF($L9="","",IFERROR(VLOOKUP($L9,day_data!$A:$O,11,FALSE),0)),NA())</f>
        <v>#N/A</v>
      </c>
      <c r="W9" s="8" t="e">
        <f>IF($F$13,IF($L9="","",IFERROR(VLOOKUP($L9,day_data!$A:$O,12,FALSE),0)),NA())</f>
        <v>#N/A</v>
      </c>
      <c r="X9" s="10" t="e">
        <f>IF($F$14,IF($L9="","",IFERROR(VLOOKUP($L9,day_data!$A:$O,13,FALSE),0)),NA())</f>
        <v>#N/A</v>
      </c>
      <c r="Y9" s="10" t="e">
        <f>IF($F$15,IF($L9="","",IFERROR(VLOOKUP($L9,day_data!$A:$O,14,FALSE),0)),NA())</f>
        <v>#N/A</v>
      </c>
    </row>
    <row r="10" spans="1:25" x14ac:dyDescent="0.2">
      <c r="E10" s="8" t="s">
        <v>62</v>
      </c>
      <c r="F10" t="b">
        <v>0</v>
      </c>
      <c r="L10" s="9">
        <f t="shared" si="0"/>
        <v>43686</v>
      </c>
      <c r="M10" s="8" t="e">
        <f>IF($F$3,IF($L10="","",IFERROR(VLOOKUP($L10,day_data!$A:$O,2,FALSE),0)),NA())</f>
        <v>#N/A</v>
      </c>
      <c r="N10" s="8">
        <f>IF($F$4,IF($L10="","",IFERROR(VLOOKUP($L10,day_data!$A:$O,3,FALSE),0)),NA())</f>
        <v>20432</v>
      </c>
      <c r="O10" s="8" t="e">
        <f>IF($F$5,IF($L10="","",IFERROR(VLOOKUP($L10,day_data!$A:$O,4,FALSE),0)),NA())</f>
        <v>#N/A</v>
      </c>
      <c r="P10" s="8" t="e">
        <f>IF($F$6,IF($L10="","",IFERROR(VLOOKUP($L10,day_data!$A:$O,5,FALSE),0)),NA())</f>
        <v>#N/A</v>
      </c>
      <c r="Q10" s="8" t="e">
        <f>IF($F$7,IF($L10="","",IFERROR(VLOOKUP($L10,day_data!$A:$O,6,FALSE),0)),NA())</f>
        <v>#N/A</v>
      </c>
      <c r="R10" s="8" t="e">
        <f>IF($F$8,IF($L10="","",IFERROR(VLOOKUP($L10,day_data!$A:$O,7,FALSE),0)),NA())</f>
        <v>#N/A</v>
      </c>
      <c r="S10" s="8" t="e">
        <f>IF($F$9,IF($L10="","",IFERROR(VLOOKUP($L10,day_data!$A:$O,8,FALSE),0)),NA())</f>
        <v>#N/A</v>
      </c>
      <c r="T10" s="8" t="e">
        <f>IF($F$10,IF($L10="","",IFERROR(VLOOKUP($L10,day_data!$A:$O,9,FALSE),0)),NA())</f>
        <v>#N/A</v>
      </c>
      <c r="U10" s="8" t="e">
        <f>IF($F$11,IF($L10="","",IFERROR(VLOOKUP($L10,day_data!$A:$O,10,FALSE),0)),NA())</f>
        <v>#N/A</v>
      </c>
      <c r="V10" s="8" t="e">
        <f>IF($F$12,IF($L10="","",IFERROR(VLOOKUP($L10,day_data!$A:$O,11,FALSE),0)),NA())</f>
        <v>#N/A</v>
      </c>
      <c r="W10" s="8" t="e">
        <f>IF($F$13,IF($L10="","",IFERROR(VLOOKUP($L10,day_data!$A:$O,12,FALSE),0)),NA())</f>
        <v>#N/A</v>
      </c>
      <c r="X10" s="10" t="e">
        <f>IF($F$14,IF($L10="","",IFERROR(VLOOKUP($L10,day_data!$A:$O,13,FALSE),0)),NA())</f>
        <v>#N/A</v>
      </c>
      <c r="Y10" s="10" t="e">
        <f>IF($F$15,IF($L10="","",IFERROR(VLOOKUP($L10,day_data!$A:$O,14,FALSE),0)),NA())</f>
        <v>#N/A</v>
      </c>
    </row>
    <row r="11" spans="1:25" x14ac:dyDescent="0.2">
      <c r="E11" s="8" t="s">
        <v>63</v>
      </c>
      <c r="F11" t="b">
        <v>0</v>
      </c>
      <c r="L11" s="9">
        <f t="shared" si="0"/>
        <v>43687</v>
      </c>
      <c r="M11" s="8" t="e">
        <f>IF($F$3,IF($L11="","",IFERROR(VLOOKUP($L11,day_data!$A:$O,2,FALSE),0)),NA())</f>
        <v>#N/A</v>
      </c>
      <c r="N11" s="8">
        <f>IF($F$4,IF($L11="","",IFERROR(VLOOKUP($L11,day_data!$A:$O,3,FALSE),0)),NA())</f>
        <v>28183</v>
      </c>
      <c r="O11" s="8" t="e">
        <f>IF($F$5,IF($L11="","",IFERROR(VLOOKUP($L11,day_data!$A:$O,4,FALSE),0)),NA())</f>
        <v>#N/A</v>
      </c>
      <c r="P11" s="8" t="e">
        <f>IF($F$6,IF($L11="","",IFERROR(VLOOKUP($L11,day_data!$A:$O,5,FALSE),0)),NA())</f>
        <v>#N/A</v>
      </c>
      <c r="Q11" s="8" t="e">
        <f>IF($F$7,IF($L11="","",IFERROR(VLOOKUP($L11,day_data!$A:$O,6,FALSE),0)),NA())</f>
        <v>#N/A</v>
      </c>
      <c r="R11" s="8" t="e">
        <f>IF($F$8,IF($L11="","",IFERROR(VLOOKUP($L11,day_data!$A:$O,7,FALSE),0)),NA())</f>
        <v>#N/A</v>
      </c>
      <c r="S11" s="8" t="e">
        <f>IF($F$9,IF($L11="","",IFERROR(VLOOKUP($L11,day_data!$A:$O,8,FALSE),0)),NA())</f>
        <v>#N/A</v>
      </c>
      <c r="T11" s="8" t="e">
        <f>IF($F$10,IF($L11="","",IFERROR(VLOOKUP($L11,day_data!$A:$O,9,FALSE),0)),NA())</f>
        <v>#N/A</v>
      </c>
      <c r="U11" s="8" t="e">
        <f>IF($F$11,IF($L11="","",IFERROR(VLOOKUP($L11,day_data!$A:$O,10,FALSE),0)),NA())</f>
        <v>#N/A</v>
      </c>
      <c r="V11" s="8" t="e">
        <f>IF($F$12,IF($L11="","",IFERROR(VLOOKUP($L11,day_data!$A:$O,11,FALSE),0)),NA())</f>
        <v>#N/A</v>
      </c>
      <c r="W11" s="8" t="e">
        <f>IF($F$13,IF($L11="","",IFERROR(VLOOKUP($L11,day_data!$A:$O,12,FALSE),0)),NA())</f>
        <v>#N/A</v>
      </c>
      <c r="X11" s="10" t="e">
        <f>IF($F$14,IF($L11="","",IFERROR(VLOOKUP($L11,day_data!$A:$O,13,FALSE),0)),NA())</f>
        <v>#N/A</v>
      </c>
      <c r="Y11" s="10" t="e">
        <f>IF($F$15,IF($L11="","",IFERROR(VLOOKUP($L11,day_data!$A:$O,14,FALSE),0)),NA())</f>
        <v>#N/A</v>
      </c>
    </row>
    <row r="12" spans="1:25" x14ac:dyDescent="0.2">
      <c r="E12" s="8" t="s">
        <v>64</v>
      </c>
      <c r="F12" t="b">
        <v>0</v>
      </c>
      <c r="L12" s="9">
        <f t="shared" si="0"/>
        <v>43688</v>
      </c>
      <c r="M12" s="8" t="e">
        <f>IF($F$3,IF($L12="","",IFERROR(VLOOKUP($L12,day_data!$A:$O,2,FALSE),0)),NA())</f>
        <v>#N/A</v>
      </c>
      <c r="N12" s="8">
        <f>IF($F$4,IF($L12="","",IFERROR(VLOOKUP($L12,day_data!$A:$O,3,FALSE),0)),NA())</f>
        <v>27736</v>
      </c>
      <c r="O12" s="8" t="e">
        <f>IF($F$5,IF($L12="","",IFERROR(VLOOKUP($L12,day_data!$A:$O,4,FALSE),0)),NA())</f>
        <v>#N/A</v>
      </c>
      <c r="P12" s="8" t="e">
        <f>IF($F$6,IF($L12="","",IFERROR(VLOOKUP($L12,day_data!$A:$O,5,FALSE),0)),NA())</f>
        <v>#N/A</v>
      </c>
      <c r="Q12" s="8" t="e">
        <f>IF($F$7,IF($L12="","",IFERROR(VLOOKUP($L12,day_data!$A:$O,6,FALSE),0)),NA())</f>
        <v>#N/A</v>
      </c>
      <c r="R12" s="8" t="e">
        <f>IF($F$8,IF($L12="","",IFERROR(VLOOKUP($L12,day_data!$A:$O,7,FALSE),0)),NA())</f>
        <v>#N/A</v>
      </c>
      <c r="S12" s="8" t="e">
        <f>IF($F$9,IF($L12="","",IFERROR(VLOOKUP($L12,day_data!$A:$O,8,FALSE),0)),NA())</f>
        <v>#N/A</v>
      </c>
      <c r="T12" s="8" t="e">
        <f>IF($F$10,IF($L12="","",IFERROR(VLOOKUP($L12,day_data!$A:$O,9,FALSE),0)),NA())</f>
        <v>#N/A</v>
      </c>
      <c r="U12" s="8" t="e">
        <f>IF($F$11,IF($L12="","",IFERROR(VLOOKUP($L12,day_data!$A:$O,10,FALSE),0)),NA())</f>
        <v>#N/A</v>
      </c>
      <c r="V12" s="8" t="e">
        <f>IF($F$12,IF($L12="","",IFERROR(VLOOKUP($L12,day_data!$A:$O,11,FALSE),0)),NA())</f>
        <v>#N/A</v>
      </c>
      <c r="W12" s="8" t="e">
        <f>IF($F$13,IF($L12="","",IFERROR(VLOOKUP($L12,day_data!$A:$O,12,FALSE),0)),NA())</f>
        <v>#N/A</v>
      </c>
      <c r="X12" s="10" t="e">
        <f>IF($F$14,IF($L12="","",IFERROR(VLOOKUP($L12,day_data!$A:$O,13,FALSE),0)),NA())</f>
        <v>#N/A</v>
      </c>
      <c r="Y12" s="10" t="e">
        <f>IF($F$15,IF($L12="","",IFERROR(VLOOKUP($L12,day_data!$A:$O,14,FALSE),0)),NA())</f>
        <v>#N/A</v>
      </c>
    </row>
    <row r="13" spans="1:25" x14ac:dyDescent="0.2">
      <c r="E13" s="8" t="s">
        <v>65</v>
      </c>
      <c r="F13" t="b">
        <v>0</v>
      </c>
      <c r="L13" s="9">
        <f t="shared" si="0"/>
        <v>43689</v>
      </c>
      <c r="M13" s="8" t="e">
        <f>IF($F$3,IF($L13="","",IFERROR(VLOOKUP($L13,day_data!$A:$O,2,FALSE),0)),NA())</f>
        <v>#N/A</v>
      </c>
      <c r="N13" s="8">
        <f>IF($F$4,IF($L13="","",IFERROR(VLOOKUP($L13,day_data!$A:$O,3,FALSE),0)),NA())</f>
        <v>27941</v>
      </c>
      <c r="O13" s="8" t="e">
        <f>IF($F$5,IF($L13="","",IFERROR(VLOOKUP($L13,day_data!$A:$O,4,FALSE),0)),NA())</f>
        <v>#N/A</v>
      </c>
      <c r="P13" s="8" t="e">
        <f>IF($F$6,IF($L13="","",IFERROR(VLOOKUP($L13,day_data!$A:$O,5,FALSE),0)),NA())</f>
        <v>#N/A</v>
      </c>
      <c r="Q13" s="8" t="e">
        <f>IF($F$7,IF($L13="","",IFERROR(VLOOKUP($L13,day_data!$A:$O,6,FALSE),0)),NA())</f>
        <v>#N/A</v>
      </c>
      <c r="R13" s="8" t="e">
        <f>IF($F$8,IF($L13="","",IFERROR(VLOOKUP($L13,day_data!$A:$O,7,FALSE),0)),NA())</f>
        <v>#N/A</v>
      </c>
      <c r="S13" s="8" t="e">
        <f>IF($F$9,IF($L13="","",IFERROR(VLOOKUP($L13,day_data!$A:$O,8,FALSE),0)),NA())</f>
        <v>#N/A</v>
      </c>
      <c r="T13" s="8" t="e">
        <f>IF($F$10,IF($L13="","",IFERROR(VLOOKUP($L13,day_data!$A:$O,9,FALSE),0)),NA())</f>
        <v>#N/A</v>
      </c>
      <c r="U13" s="8" t="e">
        <f>IF($F$11,IF($L13="","",IFERROR(VLOOKUP($L13,day_data!$A:$O,10,FALSE),0)),NA())</f>
        <v>#N/A</v>
      </c>
      <c r="V13" s="8" t="e">
        <f>IF($F$12,IF($L13="","",IFERROR(VLOOKUP($L13,day_data!$A:$O,11,FALSE),0)),NA())</f>
        <v>#N/A</v>
      </c>
      <c r="W13" s="8" t="e">
        <f>IF($F$13,IF($L13="","",IFERROR(VLOOKUP($L13,day_data!$A:$O,12,FALSE),0)),NA())</f>
        <v>#N/A</v>
      </c>
      <c r="X13" s="10" t="e">
        <f>IF($F$14,IF($L13="","",IFERROR(VLOOKUP($L13,day_data!$A:$O,13,FALSE),0)),NA())</f>
        <v>#N/A</v>
      </c>
      <c r="Y13" s="10" t="e">
        <f>IF($F$15,IF($L13="","",IFERROR(VLOOKUP($L13,day_data!$A:$O,14,FALSE),0)),NA())</f>
        <v>#N/A</v>
      </c>
    </row>
    <row r="14" spans="1:25" x14ac:dyDescent="0.2">
      <c r="E14" s="8" t="s">
        <v>66</v>
      </c>
      <c r="F14" t="b">
        <v>0</v>
      </c>
      <c r="L14" s="9">
        <f t="shared" si="0"/>
        <v>43690</v>
      </c>
      <c r="M14" s="8" t="e">
        <f>IF($F$3,IF($L14="","",IFERROR(VLOOKUP($L14,day_data!$A:$O,2,FALSE),0)),NA())</f>
        <v>#N/A</v>
      </c>
      <c r="N14" s="8">
        <f>IF($F$4,IF($L14="","",IFERROR(VLOOKUP($L14,day_data!$A:$O,3,FALSE),0)),NA())</f>
        <v>33405</v>
      </c>
      <c r="O14" s="8" t="e">
        <f>IF($F$5,IF($L14="","",IFERROR(VLOOKUP($L14,day_data!$A:$O,4,FALSE),0)),NA())</f>
        <v>#N/A</v>
      </c>
      <c r="P14" s="8" t="e">
        <f>IF($F$6,IF($L14="","",IFERROR(VLOOKUP($L14,day_data!$A:$O,5,FALSE),0)),NA())</f>
        <v>#N/A</v>
      </c>
      <c r="Q14" s="8" t="e">
        <f>IF($F$7,IF($L14="","",IFERROR(VLOOKUP($L14,day_data!$A:$O,6,FALSE),0)),NA())</f>
        <v>#N/A</v>
      </c>
      <c r="R14" s="8" t="e">
        <f>IF($F$8,IF($L14="","",IFERROR(VLOOKUP($L14,day_data!$A:$O,7,FALSE),0)),NA())</f>
        <v>#N/A</v>
      </c>
      <c r="S14" s="8" t="e">
        <f>IF($F$9,IF($L14="","",IFERROR(VLOOKUP($L14,day_data!$A:$O,8,FALSE),0)),NA())</f>
        <v>#N/A</v>
      </c>
      <c r="T14" s="8" t="e">
        <f>IF($F$10,IF($L14="","",IFERROR(VLOOKUP($L14,day_data!$A:$O,9,FALSE),0)),NA())</f>
        <v>#N/A</v>
      </c>
      <c r="U14" s="8" t="e">
        <f>IF($F$11,IF($L14="","",IFERROR(VLOOKUP($L14,day_data!$A:$O,10,FALSE),0)),NA())</f>
        <v>#N/A</v>
      </c>
      <c r="V14" s="8" t="e">
        <f>IF($F$12,IF($L14="","",IFERROR(VLOOKUP($L14,day_data!$A:$O,11,FALSE),0)),NA())</f>
        <v>#N/A</v>
      </c>
      <c r="W14" s="8" t="e">
        <f>IF($F$13,IF($L14="","",IFERROR(VLOOKUP($L14,day_data!$A:$O,12,FALSE),0)),NA())</f>
        <v>#N/A</v>
      </c>
      <c r="X14" s="10" t="e">
        <f>IF($F$14,IF($L14="","",IFERROR(VLOOKUP($L14,day_data!$A:$O,13,FALSE),0)),NA())</f>
        <v>#N/A</v>
      </c>
      <c r="Y14" s="10" t="e">
        <f>IF($F$15,IF($L14="","",IFERROR(VLOOKUP($L14,day_data!$A:$O,14,FALSE),0)),NA())</f>
        <v>#N/A</v>
      </c>
    </row>
    <row r="15" spans="1:25" x14ac:dyDescent="0.2">
      <c r="E15" s="8" t="s">
        <v>68</v>
      </c>
      <c r="F15" t="b">
        <v>0</v>
      </c>
      <c r="L15" s="9">
        <f t="shared" si="0"/>
        <v>43691</v>
      </c>
      <c r="M15" s="8" t="e">
        <f>IF($F$3,IF($L15="","",IFERROR(VLOOKUP($L15,day_data!$A:$O,2,FALSE),0)),NA())</f>
        <v>#N/A</v>
      </c>
      <c r="N15" s="8">
        <f>IF($F$4,IF($L15="","",IFERROR(VLOOKUP($L15,day_data!$A:$O,3,FALSE),0)),NA())</f>
        <v>34661</v>
      </c>
      <c r="O15" s="8" t="e">
        <f>IF($F$5,IF($L15="","",IFERROR(VLOOKUP($L15,day_data!$A:$O,4,FALSE),0)),NA())</f>
        <v>#N/A</v>
      </c>
      <c r="P15" s="8" t="e">
        <f>IF($F$6,IF($L15="","",IFERROR(VLOOKUP($L15,day_data!$A:$O,5,FALSE),0)),NA())</f>
        <v>#N/A</v>
      </c>
      <c r="Q15" s="8" t="e">
        <f>IF($F$7,IF($L15="","",IFERROR(VLOOKUP($L15,day_data!$A:$O,6,FALSE),0)),NA())</f>
        <v>#N/A</v>
      </c>
      <c r="R15" s="8" t="e">
        <f>IF($F$8,IF($L15="","",IFERROR(VLOOKUP($L15,day_data!$A:$O,7,FALSE),0)),NA())</f>
        <v>#N/A</v>
      </c>
      <c r="S15" s="8" t="e">
        <f>IF($F$9,IF($L15="","",IFERROR(VLOOKUP($L15,day_data!$A:$O,8,FALSE),0)),NA())</f>
        <v>#N/A</v>
      </c>
      <c r="T15" s="8" t="e">
        <f>IF($F$10,IF($L15="","",IFERROR(VLOOKUP($L15,day_data!$A:$O,9,FALSE),0)),NA())</f>
        <v>#N/A</v>
      </c>
      <c r="U15" s="8" t="e">
        <f>IF($F$11,IF($L15="","",IFERROR(VLOOKUP($L15,day_data!$A:$O,10,FALSE),0)),NA())</f>
        <v>#N/A</v>
      </c>
      <c r="V15" s="8" t="e">
        <f>IF($F$12,IF($L15="","",IFERROR(VLOOKUP($L15,day_data!$A:$O,11,FALSE),0)),NA())</f>
        <v>#N/A</v>
      </c>
      <c r="W15" s="8" t="e">
        <f>IF($F$13,IF($L15="","",IFERROR(VLOOKUP($L15,day_data!$A:$O,12,FALSE),0)),NA())</f>
        <v>#N/A</v>
      </c>
      <c r="X15" s="10" t="e">
        <f>IF($F$14,IF($L15="","",IFERROR(VLOOKUP($L15,day_data!$A:$O,13,FALSE),0)),NA())</f>
        <v>#N/A</v>
      </c>
      <c r="Y15" s="10" t="e">
        <f>IF($F$15,IF($L15="","",IFERROR(VLOOKUP($L15,day_data!$A:$O,14,FALSE),0)),NA())</f>
        <v>#N/A</v>
      </c>
    </row>
    <row r="16" spans="1:25" x14ac:dyDescent="0.2">
      <c r="L16" s="9">
        <f t="shared" si="0"/>
        <v>43692</v>
      </c>
      <c r="M16" s="8" t="e">
        <f>IF($F$3,IF($L16="","",IFERROR(VLOOKUP($L16,day_data!$A:$O,2,FALSE),0)),NA())</f>
        <v>#N/A</v>
      </c>
      <c r="N16" s="8">
        <f>IF($F$4,IF($L16="","",IFERROR(VLOOKUP($L16,day_data!$A:$O,3,FALSE),0)),NA())</f>
        <v>33467</v>
      </c>
      <c r="O16" s="8" t="e">
        <f>IF($F$5,IF($L16="","",IFERROR(VLOOKUP($L16,day_data!$A:$O,4,FALSE),0)),NA())</f>
        <v>#N/A</v>
      </c>
      <c r="P16" s="8" t="e">
        <f>IF($F$6,IF($L16="","",IFERROR(VLOOKUP($L16,day_data!$A:$O,5,FALSE),0)),NA())</f>
        <v>#N/A</v>
      </c>
      <c r="Q16" s="8" t="e">
        <f>IF($F$7,IF($L16="","",IFERROR(VLOOKUP($L16,day_data!$A:$O,6,FALSE),0)),NA())</f>
        <v>#N/A</v>
      </c>
      <c r="R16" s="8" t="e">
        <f>IF($F$8,IF($L16="","",IFERROR(VLOOKUP($L16,day_data!$A:$O,7,FALSE),0)),NA())</f>
        <v>#N/A</v>
      </c>
      <c r="S16" s="8" t="e">
        <f>IF($F$9,IF($L16="","",IFERROR(VLOOKUP($L16,day_data!$A:$O,8,FALSE),0)),NA())</f>
        <v>#N/A</v>
      </c>
      <c r="T16" s="8" t="e">
        <f>IF($F$10,IF($L16="","",IFERROR(VLOOKUP($L16,day_data!$A:$O,9,FALSE),0)),NA())</f>
        <v>#N/A</v>
      </c>
      <c r="U16" s="8" t="e">
        <f>IF($F$11,IF($L16="","",IFERROR(VLOOKUP($L16,day_data!$A:$O,10,FALSE),0)),NA())</f>
        <v>#N/A</v>
      </c>
      <c r="V16" s="8" t="e">
        <f>IF($F$12,IF($L16="","",IFERROR(VLOOKUP($L16,day_data!$A:$O,11,FALSE),0)),NA())</f>
        <v>#N/A</v>
      </c>
      <c r="W16" s="8" t="e">
        <f>IF($F$13,IF($L16="","",IFERROR(VLOOKUP($L16,day_data!$A:$O,12,FALSE),0)),NA())</f>
        <v>#N/A</v>
      </c>
      <c r="X16" s="10" t="e">
        <f>IF($F$14,IF($L16="","",IFERROR(VLOOKUP($L16,day_data!$A:$O,13,FALSE),0)),NA())</f>
        <v>#N/A</v>
      </c>
      <c r="Y16" s="10" t="e">
        <f>IF($F$15,IF($L16="","",IFERROR(VLOOKUP($L16,day_data!$A:$O,14,FALSE),0)),NA())</f>
        <v>#N/A</v>
      </c>
    </row>
    <row r="17" spans="12:25" x14ac:dyDescent="0.2">
      <c r="L17" s="9">
        <f t="shared" si="0"/>
        <v>43693</v>
      </c>
      <c r="M17" s="8" t="e">
        <f>IF($F$3,IF($L17="","",IFERROR(VLOOKUP($L17,day_data!$A:$O,2,FALSE),0)),NA())</f>
        <v>#N/A</v>
      </c>
      <c r="N17" s="8">
        <f>IF($F$4,IF($L17="","",IFERROR(VLOOKUP($L17,day_data!$A:$O,3,FALSE),0)),NA())</f>
        <v>25793</v>
      </c>
      <c r="O17" s="8" t="e">
        <f>IF($F$5,IF($L17="","",IFERROR(VLOOKUP($L17,day_data!$A:$O,4,FALSE),0)),NA())</f>
        <v>#N/A</v>
      </c>
      <c r="P17" s="8" t="e">
        <f>IF($F$6,IF($L17="","",IFERROR(VLOOKUP($L17,day_data!$A:$O,5,FALSE),0)),NA())</f>
        <v>#N/A</v>
      </c>
      <c r="Q17" s="8" t="e">
        <f>IF($F$7,IF($L17="","",IFERROR(VLOOKUP($L17,day_data!$A:$O,6,FALSE),0)),NA())</f>
        <v>#N/A</v>
      </c>
      <c r="R17" s="8" t="e">
        <f>IF($F$8,IF($L17="","",IFERROR(VLOOKUP($L17,day_data!$A:$O,7,FALSE),0)),NA())</f>
        <v>#N/A</v>
      </c>
      <c r="S17" s="8" t="e">
        <f>IF($F$9,IF($L17="","",IFERROR(VLOOKUP($L17,day_data!$A:$O,8,FALSE),0)),NA())</f>
        <v>#N/A</v>
      </c>
      <c r="T17" s="8" t="e">
        <f>IF($F$10,IF($L17="","",IFERROR(VLOOKUP($L17,day_data!$A:$O,9,FALSE),0)),NA())</f>
        <v>#N/A</v>
      </c>
      <c r="U17" s="8" t="e">
        <f>IF($F$11,IF($L17="","",IFERROR(VLOOKUP($L17,day_data!$A:$O,10,FALSE),0)),NA())</f>
        <v>#N/A</v>
      </c>
      <c r="V17" s="8" t="e">
        <f>IF($F$12,IF($L17="","",IFERROR(VLOOKUP($L17,day_data!$A:$O,11,FALSE),0)),NA())</f>
        <v>#N/A</v>
      </c>
      <c r="W17" s="8" t="e">
        <f>IF($F$13,IF($L17="","",IFERROR(VLOOKUP($L17,day_data!$A:$O,12,FALSE),0)),NA())</f>
        <v>#N/A</v>
      </c>
      <c r="X17" s="10" t="e">
        <f>IF($F$14,IF($L17="","",IFERROR(VLOOKUP($L17,day_data!$A:$O,13,FALSE),0)),NA())</f>
        <v>#N/A</v>
      </c>
      <c r="Y17" s="10" t="e">
        <f>IF($F$15,IF($L17="","",IFERROR(VLOOKUP($L17,day_data!$A:$O,14,FALSE),0)),NA())</f>
        <v>#N/A</v>
      </c>
    </row>
    <row r="18" spans="12:25" x14ac:dyDescent="0.2">
      <c r="L18" s="9">
        <f t="shared" si="0"/>
        <v>43694</v>
      </c>
      <c r="M18" s="8" t="e">
        <f>IF($F$3,IF($L18="","",IFERROR(VLOOKUP($L18,day_data!$A:$O,2,FALSE),0)),NA())</f>
        <v>#N/A</v>
      </c>
      <c r="N18" s="8">
        <f>IF($F$4,IF($L18="","",IFERROR(VLOOKUP($L18,day_data!$A:$O,3,FALSE),0)),NA())</f>
        <v>36457</v>
      </c>
      <c r="O18" s="8" t="e">
        <f>IF($F$5,IF($L18="","",IFERROR(VLOOKUP($L18,day_data!$A:$O,4,FALSE),0)),NA())</f>
        <v>#N/A</v>
      </c>
      <c r="P18" s="8" t="e">
        <f>IF($F$6,IF($L18="","",IFERROR(VLOOKUP($L18,day_data!$A:$O,5,FALSE),0)),NA())</f>
        <v>#N/A</v>
      </c>
      <c r="Q18" s="8" t="e">
        <f>IF($F$7,IF($L18="","",IFERROR(VLOOKUP($L18,day_data!$A:$O,6,FALSE),0)),NA())</f>
        <v>#N/A</v>
      </c>
      <c r="R18" s="8" t="e">
        <f>IF($F$8,IF($L18="","",IFERROR(VLOOKUP($L18,day_data!$A:$O,7,FALSE),0)),NA())</f>
        <v>#N/A</v>
      </c>
      <c r="S18" s="8" t="e">
        <f>IF($F$9,IF($L18="","",IFERROR(VLOOKUP($L18,day_data!$A:$O,8,FALSE),0)),NA())</f>
        <v>#N/A</v>
      </c>
      <c r="T18" s="8" t="e">
        <f>IF($F$10,IF($L18="","",IFERROR(VLOOKUP($L18,day_data!$A:$O,9,FALSE),0)),NA())</f>
        <v>#N/A</v>
      </c>
      <c r="U18" s="8" t="e">
        <f>IF($F$11,IF($L18="","",IFERROR(VLOOKUP($L18,day_data!$A:$O,10,FALSE),0)),NA())</f>
        <v>#N/A</v>
      </c>
      <c r="V18" s="8" t="e">
        <f>IF($F$12,IF($L18="","",IFERROR(VLOOKUP($L18,day_data!$A:$O,11,FALSE),0)),NA())</f>
        <v>#N/A</v>
      </c>
      <c r="W18" s="8" t="e">
        <f>IF($F$13,IF($L18="","",IFERROR(VLOOKUP($L18,day_data!$A:$O,12,FALSE),0)),NA())</f>
        <v>#N/A</v>
      </c>
      <c r="X18" s="10" t="e">
        <f>IF($F$14,IF($L18="","",IFERROR(VLOOKUP($L18,day_data!$A:$O,13,FALSE),0)),NA())</f>
        <v>#N/A</v>
      </c>
      <c r="Y18" s="10" t="e">
        <f>IF($F$15,IF($L18="","",IFERROR(VLOOKUP($L18,day_data!$A:$O,14,FALSE),0)),NA())</f>
        <v>#N/A</v>
      </c>
    </row>
    <row r="19" spans="12:25" x14ac:dyDescent="0.2">
      <c r="L19" s="9">
        <f t="shared" si="0"/>
        <v>43695</v>
      </c>
      <c r="M19" s="8" t="e">
        <f>IF($F$3,IF($L19="","",IFERROR(VLOOKUP($L19,day_data!$A:$O,2,FALSE),0)),NA())</f>
        <v>#N/A</v>
      </c>
      <c r="N19" s="8">
        <f>IF($F$4,IF($L19="","",IFERROR(VLOOKUP($L19,day_data!$A:$O,3,FALSE),0)),NA())</f>
        <v>38221</v>
      </c>
      <c r="O19" s="8" t="e">
        <f>IF($F$5,IF($L19="","",IFERROR(VLOOKUP($L19,day_data!$A:$O,4,FALSE),0)),NA())</f>
        <v>#N/A</v>
      </c>
      <c r="P19" s="8" t="e">
        <f>IF($F$6,IF($L19="","",IFERROR(VLOOKUP($L19,day_data!$A:$O,5,FALSE),0)),NA())</f>
        <v>#N/A</v>
      </c>
      <c r="Q19" s="8" t="e">
        <f>IF($F$7,IF($L19="","",IFERROR(VLOOKUP($L19,day_data!$A:$O,6,FALSE),0)),NA())</f>
        <v>#N/A</v>
      </c>
      <c r="R19" s="8" t="e">
        <f>IF($F$8,IF($L19="","",IFERROR(VLOOKUP($L19,day_data!$A:$O,7,FALSE),0)),NA())</f>
        <v>#N/A</v>
      </c>
      <c r="S19" s="8" t="e">
        <f>IF($F$9,IF($L19="","",IFERROR(VLOOKUP($L19,day_data!$A:$O,8,FALSE),0)),NA())</f>
        <v>#N/A</v>
      </c>
      <c r="T19" s="8" t="e">
        <f>IF($F$10,IF($L19="","",IFERROR(VLOOKUP($L19,day_data!$A:$O,9,FALSE),0)),NA())</f>
        <v>#N/A</v>
      </c>
      <c r="U19" s="8" t="e">
        <f>IF($F$11,IF($L19="","",IFERROR(VLOOKUP($L19,day_data!$A:$O,10,FALSE),0)),NA())</f>
        <v>#N/A</v>
      </c>
      <c r="V19" s="8" t="e">
        <f>IF($F$12,IF($L19="","",IFERROR(VLOOKUP($L19,day_data!$A:$O,11,FALSE),0)),NA())</f>
        <v>#N/A</v>
      </c>
      <c r="W19" s="8" t="e">
        <f>IF($F$13,IF($L19="","",IFERROR(VLOOKUP($L19,day_data!$A:$O,12,FALSE),0)),NA())</f>
        <v>#N/A</v>
      </c>
      <c r="X19" s="10" t="e">
        <f>IF($F$14,IF($L19="","",IFERROR(VLOOKUP($L19,day_data!$A:$O,13,FALSE),0)),NA())</f>
        <v>#N/A</v>
      </c>
      <c r="Y19" s="10" t="e">
        <f>IF($F$15,IF($L19="","",IFERROR(VLOOKUP($L19,day_data!$A:$O,14,FALSE),0)),NA())</f>
        <v>#N/A</v>
      </c>
    </row>
    <row r="20" spans="12:25" x14ac:dyDescent="0.2">
      <c r="L20" s="9">
        <f t="shared" si="0"/>
        <v>43696</v>
      </c>
      <c r="M20" s="8" t="e">
        <f>IF($F$3,IF($L20="","",IFERROR(VLOOKUP($L20,day_data!$A:$O,2,FALSE),0)),NA())</f>
        <v>#N/A</v>
      </c>
      <c r="N20" s="8">
        <f>IF($F$4,IF($L20="","",IFERROR(VLOOKUP($L20,day_data!$A:$O,3,FALSE),0)),NA())</f>
        <v>50587</v>
      </c>
      <c r="O20" s="8" t="e">
        <f>IF($F$5,IF($L20="","",IFERROR(VLOOKUP($L20,day_data!$A:$O,4,FALSE),0)),NA())</f>
        <v>#N/A</v>
      </c>
      <c r="P20" s="8" t="e">
        <f>IF($F$6,IF($L20="","",IFERROR(VLOOKUP($L20,day_data!$A:$O,5,FALSE),0)),NA())</f>
        <v>#N/A</v>
      </c>
      <c r="Q20" s="8" t="e">
        <f>IF($F$7,IF($L20="","",IFERROR(VLOOKUP($L20,day_data!$A:$O,6,FALSE),0)),NA())</f>
        <v>#N/A</v>
      </c>
      <c r="R20" s="8" t="e">
        <f>IF($F$8,IF($L20="","",IFERROR(VLOOKUP($L20,day_data!$A:$O,7,FALSE),0)),NA())</f>
        <v>#N/A</v>
      </c>
      <c r="S20" s="8" t="e">
        <f>IF($F$9,IF($L20="","",IFERROR(VLOOKUP($L20,day_data!$A:$O,8,FALSE),0)),NA())</f>
        <v>#N/A</v>
      </c>
      <c r="T20" s="8" t="e">
        <f>IF($F$10,IF($L20="","",IFERROR(VLOOKUP($L20,day_data!$A:$O,9,FALSE),0)),NA())</f>
        <v>#N/A</v>
      </c>
      <c r="U20" s="8" t="e">
        <f>IF($F$11,IF($L20="","",IFERROR(VLOOKUP($L20,day_data!$A:$O,10,FALSE),0)),NA())</f>
        <v>#N/A</v>
      </c>
      <c r="V20" s="8" t="e">
        <f>IF($F$12,IF($L20="","",IFERROR(VLOOKUP($L20,day_data!$A:$O,11,FALSE),0)),NA())</f>
        <v>#N/A</v>
      </c>
      <c r="W20" s="8" t="e">
        <f>IF($F$13,IF($L20="","",IFERROR(VLOOKUP($L20,day_data!$A:$O,12,FALSE),0)),NA())</f>
        <v>#N/A</v>
      </c>
      <c r="X20" s="10" t="e">
        <f>IF($F$14,IF($L20="","",IFERROR(VLOOKUP($L20,day_data!$A:$O,13,FALSE),0)),NA())</f>
        <v>#N/A</v>
      </c>
      <c r="Y20" s="10" t="e">
        <f>IF($F$15,IF($L20="","",IFERROR(VLOOKUP($L20,day_data!$A:$O,14,FALSE),0)),NA())</f>
        <v>#N/A</v>
      </c>
    </row>
    <row r="21" spans="12:25" x14ac:dyDescent="0.2">
      <c r="L21" s="9">
        <f t="shared" si="0"/>
        <v>43697</v>
      </c>
      <c r="M21" s="8" t="e">
        <f>IF($F$3,IF($L21="","",IFERROR(VLOOKUP($L21,day_data!$A:$O,2,FALSE),0)),NA())</f>
        <v>#N/A</v>
      </c>
      <c r="N21" s="8">
        <f>IF($F$4,IF($L21="","",IFERROR(VLOOKUP($L21,day_data!$A:$O,3,FALSE),0)),NA())</f>
        <v>48163</v>
      </c>
      <c r="O21" s="8" t="e">
        <f>IF($F$5,IF($L21="","",IFERROR(VLOOKUP($L21,day_data!$A:$O,4,FALSE),0)),NA())</f>
        <v>#N/A</v>
      </c>
      <c r="P21" s="8" t="e">
        <f>IF($F$6,IF($L21="","",IFERROR(VLOOKUP($L21,day_data!$A:$O,5,FALSE),0)),NA())</f>
        <v>#N/A</v>
      </c>
      <c r="Q21" s="8" t="e">
        <f>IF($F$7,IF($L21="","",IFERROR(VLOOKUP($L21,day_data!$A:$O,6,FALSE),0)),NA())</f>
        <v>#N/A</v>
      </c>
      <c r="R21" s="8" t="e">
        <f>IF($F$8,IF($L21="","",IFERROR(VLOOKUP($L21,day_data!$A:$O,7,FALSE),0)),NA())</f>
        <v>#N/A</v>
      </c>
      <c r="S21" s="8" t="e">
        <f>IF($F$9,IF($L21="","",IFERROR(VLOOKUP($L21,day_data!$A:$O,8,FALSE),0)),NA())</f>
        <v>#N/A</v>
      </c>
      <c r="T21" s="8" t="e">
        <f>IF($F$10,IF($L21="","",IFERROR(VLOOKUP($L21,day_data!$A:$O,9,FALSE),0)),NA())</f>
        <v>#N/A</v>
      </c>
      <c r="U21" s="8" t="e">
        <f>IF($F$11,IF($L21="","",IFERROR(VLOOKUP($L21,day_data!$A:$O,10,FALSE),0)),NA())</f>
        <v>#N/A</v>
      </c>
      <c r="V21" s="8" t="e">
        <f>IF($F$12,IF($L21="","",IFERROR(VLOOKUP($L21,day_data!$A:$O,11,FALSE),0)),NA())</f>
        <v>#N/A</v>
      </c>
      <c r="W21" s="8" t="e">
        <f>IF($F$13,IF($L21="","",IFERROR(VLOOKUP($L21,day_data!$A:$O,12,FALSE),0)),NA())</f>
        <v>#N/A</v>
      </c>
      <c r="X21" s="10" t="e">
        <f>IF($F$14,IF($L21="","",IFERROR(VLOOKUP($L21,day_data!$A:$O,13,FALSE),0)),NA())</f>
        <v>#N/A</v>
      </c>
      <c r="Y21" s="10" t="e">
        <f>IF($F$15,IF($L21="","",IFERROR(VLOOKUP($L21,day_data!$A:$O,14,FALSE),0)),NA())</f>
        <v>#N/A</v>
      </c>
    </row>
    <row r="22" spans="12:25" x14ac:dyDescent="0.2">
      <c r="L22" s="9">
        <f t="shared" si="0"/>
        <v>43698</v>
      </c>
      <c r="M22" s="8" t="e">
        <f>IF($F$3,IF($L22="","",IFERROR(VLOOKUP($L22,day_data!$A:$O,2,FALSE),0)),NA())</f>
        <v>#N/A</v>
      </c>
      <c r="N22" s="8">
        <f>IF($F$4,IF($L22="","",IFERROR(VLOOKUP($L22,day_data!$A:$O,3,FALSE),0)),NA())</f>
        <v>43115</v>
      </c>
      <c r="O22" s="8" t="e">
        <f>IF($F$5,IF($L22="","",IFERROR(VLOOKUP($L22,day_data!$A:$O,4,FALSE),0)),NA())</f>
        <v>#N/A</v>
      </c>
      <c r="P22" s="8" t="e">
        <f>IF($F$6,IF($L22="","",IFERROR(VLOOKUP($L22,day_data!$A:$O,5,FALSE),0)),NA())</f>
        <v>#N/A</v>
      </c>
      <c r="Q22" s="8" t="e">
        <f>IF($F$7,IF($L22="","",IFERROR(VLOOKUP($L22,day_data!$A:$O,6,FALSE),0)),NA())</f>
        <v>#N/A</v>
      </c>
      <c r="R22" s="8" t="e">
        <f>IF($F$8,IF($L22="","",IFERROR(VLOOKUP($L22,day_data!$A:$O,7,FALSE),0)),NA())</f>
        <v>#N/A</v>
      </c>
      <c r="S22" s="8" t="e">
        <f>IF($F$9,IF($L22="","",IFERROR(VLOOKUP($L22,day_data!$A:$O,8,FALSE),0)),NA())</f>
        <v>#N/A</v>
      </c>
      <c r="T22" s="8" t="e">
        <f>IF($F$10,IF($L22="","",IFERROR(VLOOKUP($L22,day_data!$A:$O,9,FALSE),0)),NA())</f>
        <v>#N/A</v>
      </c>
      <c r="U22" s="8" t="e">
        <f>IF($F$11,IF($L22="","",IFERROR(VLOOKUP($L22,day_data!$A:$O,10,FALSE),0)),NA())</f>
        <v>#N/A</v>
      </c>
      <c r="V22" s="8" t="e">
        <f>IF($F$12,IF($L22="","",IFERROR(VLOOKUP($L22,day_data!$A:$O,11,FALSE),0)),NA())</f>
        <v>#N/A</v>
      </c>
      <c r="W22" s="8" t="e">
        <f>IF($F$13,IF($L22="","",IFERROR(VLOOKUP($L22,day_data!$A:$O,12,FALSE),0)),NA())</f>
        <v>#N/A</v>
      </c>
      <c r="X22" s="10" t="e">
        <f>IF($F$14,IF($L22="","",IFERROR(VLOOKUP($L22,day_data!$A:$O,13,FALSE),0)),NA())</f>
        <v>#N/A</v>
      </c>
      <c r="Y22" s="10" t="e">
        <f>IF($F$15,IF($L22="","",IFERROR(VLOOKUP($L22,day_data!$A:$O,14,FALSE),0)),NA())</f>
        <v>#N/A</v>
      </c>
    </row>
    <row r="23" spans="12:25" x14ac:dyDescent="0.2">
      <c r="L23" s="9" t="str">
        <f t="shared" si="0"/>
        <v/>
      </c>
      <c r="M23" s="8" t="e">
        <f>IF($F$3,IF($L23="","",IFERROR(VLOOKUP($L23,day_data!$A:$O,2,FALSE),0)),NA())</f>
        <v>#N/A</v>
      </c>
      <c r="N23" s="8" t="str">
        <f>IF($F$4,IF($L23="","",IFERROR(VLOOKUP($L23,day_data!$A:$O,3,FALSE),0)),NA())</f>
        <v/>
      </c>
      <c r="O23" s="8" t="e">
        <f>IF($F$5,IF($L23="","",IFERROR(VLOOKUP($L23,day_data!$A:$O,4,FALSE),0)),NA())</f>
        <v>#N/A</v>
      </c>
      <c r="P23" s="8" t="e">
        <f>IF($F$6,IF($L23="","",IFERROR(VLOOKUP($L23,day_data!$A:$O,5,FALSE),0)),NA())</f>
        <v>#N/A</v>
      </c>
      <c r="Q23" s="8" t="e">
        <f>IF($F$7,IF($L23="","",IFERROR(VLOOKUP($L23,day_data!$A:$O,6,FALSE),0)),NA())</f>
        <v>#N/A</v>
      </c>
      <c r="R23" s="8" t="e">
        <f>IF($F$8,IF($L23="","",IFERROR(VLOOKUP($L23,day_data!$A:$O,7,FALSE),0)),NA())</f>
        <v>#N/A</v>
      </c>
      <c r="S23" s="8" t="e">
        <f>IF($F$9,IF($L23="","",IFERROR(VLOOKUP($L23,day_data!$A:$O,8,FALSE),0)),NA())</f>
        <v>#N/A</v>
      </c>
      <c r="T23" s="8" t="e">
        <f>IF($F$10,IF($L23="","",IFERROR(VLOOKUP($L23,day_data!$A:$O,9,FALSE),0)),NA())</f>
        <v>#N/A</v>
      </c>
      <c r="U23" s="8" t="e">
        <f>IF($F$11,IF($L23="","",IFERROR(VLOOKUP($L23,day_data!$A:$O,10,FALSE),0)),NA())</f>
        <v>#N/A</v>
      </c>
      <c r="V23" s="8" t="e">
        <f>IF($F$12,IF($L23="","",IFERROR(VLOOKUP($L23,day_data!$A:$O,11,FALSE),0)),NA())</f>
        <v>#N/A</v>
      </c>
      <c r="W23" s="8" t="e">
        <f>IF($F$13,IF($L23="","",IFERROR(VLOOKUP($L23,day_data!$A:$O,12,FALSE),0)),NA())</f>
        <v>#N/A</v>
      </c>
      <c r="X23" s="10" t="e">
        <f>IF($F$14,IF($L23="","",IFERROR(VLOOKUP($L23,day_data!$A:$O,13,FALSE),0)),NA())</f>
        <v>#N/A</v>
      </c>
      <c r="Y23" s="10" t="e">
        <f>IF($F$15,IF($L23="","",IFERROR(VLOOKUP($L23,day_data!$A:$O,14,FALSE),0)),NA())</f>
        <v>#N/A</v>
      </c>
    </row>
    <row r="24" spans="12:25" x14ac:dyDescent="0.2">
      <c r="L24" s="9" t="str">
        <f t="shared" si="0"/>
        <v/>
      </c>
      <c r="M24" s="8" t="e">
        <f>IF($F$3,IF($L24="","",IFERROR(VLOOKUP($L24,day_data!$A:$O,2,FALSE),0)),NA())</f>
        <v>#N/A</v>
      </c>
      <c r="N24" s="8" t="str">
        <f>IF($F$4,IF($L24="","",IFERROR(VLOOKUP($L24,day_data!$A:$O,3,FALSE),0)),NA())</f>
        <v/>
      </c>
      <c r="O24" s="8" t="e">
        <f>IF($F$5,IF($L24="","",IFERROR(VLOOKUP($L24,day_data!$A:$O,4,FALSE),0)),NA())</f>
        <v>#N/A</v>
      </c>
      <c r="P24" s="8" t="e">
        <f>IF($F$6,IF($L24="","",IFERROR(VLOOKUP($L24,day_data!$A:$O,5,FALSE),0)),NA())</f>
        <v>#N/A</v>
      </c>
      <c r="Q24" s="8" t="e">
        <f>IF($F$7,IF($L24="","",IFERROR(VLOOKUP($L24,day_data!$A:$O,6,FALSE),0)),NA())</f>
        <v>#N/A</v>
      </c>
      <c r="R24" s="8" t="e">
        <f>IF($F$8,IF($L24="","",IFERROR(VLOOKUP($L24,day_data!$A:$O,7,FALSE),0)),NA())</f>
        <v>#N/A</v>
      </c>
      <c r="S24" s="8" t="e">
        <f>IF($F$9,IF($L24="","",IFERROR(VLOOKUP($L24,day_data!$A:$O,8,FALSE),0)),NA())</f>
        <v>#N/A</v>
      </c>
      <c r="T24" s="8" t="e">
        <f>IF($F$10,IF($L24="","",IFERROR(VLOOKUP($L24,day_data!$A:$O,9,FALSE),0)),NA())</f>
        <v>#N/A</v>
      </c>
      <c r="U24" s="8" t="e">
        <f>IF($F$11,IF($L24="","",IFERROR(VLOOKUP($L24,day_data!$A:$O,10,FALSE),0)),NA())</f>
        <v>#N/A</v>
      </c>
      <c r="V24" s="8" t="e">
        <f>IF($F$12,IF($L24="","",IFERROR(VLOOKUP($L24,day_data!$A:$O,11,FALSE),0)),NA())</f>
        <v>#N/A</v>
      </c>
      <c r="W24" s="8" t="e">
        <f>IF($F$13,IF($L24="","",IFERROR(VLOOKUP($L24,day_data!$A:$O,12,FALSE),0)),NA())</f>
        <v>#N/A</v>
      </c>
      <c r="X24" s="10" t="e">
        <f>IF($F$14,IF($L24="","",IFERROR(VLOOKUP($L24,day_data!$A:$O,13,FALSE),0)),NA())</f>
        <v>#N/A</v>
      </c>
      <c r="Y24" s="10" t="e">
        <f>IF($F$15,IF($L24="","",IFERROR(VLOOKUP($L24,day_data!$A:$O,14,FALSE),0)),NA())</f>
        <v>#N/A</v>
      </c>
    </row>
    <row r="25" spans="12:25" x14ac:dyDescent="0.2">
      <c r="L25" s="9" t="str">
        <f t="shared" si="0"/>
        <v/>
      </c>
      <c r="M25" s="8" t="e">
        <f>IF($F$3,IF($L25="","",IFERROR(VLOOKUP($L25,day_data!$A:$O,2,FALSE),0)),NA())</f>
        <v>#N/A</v>
      </c>
      <c r="N25" s="8" t="str">
        <f>IF($F$4,IF($L25="","",IFERROR(VLOOKUP($L25,day_data!$A:$O,3,FALSE),0)),NA())</f>
        <v/>
      </c>
      <c r="O25" s="8" t="e">
        <f>IF($F$5,IF($L25="","",IFERROR(VLOOKUP($L25,day_data!$A:$O,4,FALSE),0)),NA())</f>
        <v>#N/A</v>
      </c>
      <c r="P25" s="8" t="e">
        <f>IF($F$6,IF($L25="","",IFERROR(VLOOKUP($L25,day_data!$A:$O,5,FALSE),0)),NA())</f>
        <v>#N/A</v>
      </c>
      <c r="Q25" s="8" t="e">
        <f>IF($F$7,IF($L25="","",IFERROR(VLOOKUP($L25,day_data!$A:$O,6,FALSE),0)),NA())</f>
        <v>#N/A</v>
      </c>
      <c r="R25" s="8" t="e">
        <f>IF($F$8,IF($L25="","",IFERROR(VLOOKUP($L25,day_data!$A:$O,7,FALSE),0)),NA())</f>
        <v>#N/A</v>
      </c>
      <c r="S25" s="8" t="e">
        <f>IF($F$9,IF($L25="","",IFERROR(VLOOKUP($L25,day_data!$A:$O,8,FALSE),0)),NA())</f>
        <v>#N/A</v>
      </c>
      <c r="T25" s="8" t="e">
        <f>IF($F$10,IF($L25="","",IFERROR(VLOOKUP($L25,day_data!$A:$O,9,FALSE),0)),NA())</f>
        <v>#N/A</v>
      </c>
      <c r="U25" s="8" t="e">
        <f>IF($F$11,IF($L25="","",IFERROR(VLOOKUP($L25,day_data!$A:$O,10,FALSE),0)),NA())</f>
        <v>#N/A</v>
      </c>
      <c r="V25" s="8" t="e">
        <f>IF($F$12,IF($L25="","",IFERROR(VLOOKUP($L25,day_data!$A:$O,11,FALSE),0)),NA())</f>
        <v>#N/A</v>
      </c>
      <c r="W25" s="8" t="e">
        <f>IF($F$13,IF($L25="","",IFERROR(VLOOKUP($L25,day_data!$A:$O,12,FALSE),0)),NA())</f>
        <v>#N/A</v>
      </c>
      <c r="X25" s="10" t="e">
        <f>IF($F$14,IF($L25="","",IFERROR(VLOOKUP($L25,day_data!$A:$O,13,FALSE),0)),NA())</f>
        <v>#N/A</v>
      </c>
      <c r="Y25" s="10" t="e">
        <f>IF($F$15,IF($L25="","",IFERROR(VLOOKUP($L25,day_data!$A:$O,14,FALSE),0)),NA())</f>
        <v>#N/A</v>
      </c>
    </row>
    <row r="26" spans="12:25" x14ac:dyDescent="0.2">
      <c r="L26" s="9" t="str">
        <f t="shared" si="0"/>
        <v/>
      </c>
      <c r="M26" s="8" t="e">
        <f>IF($F$3,IF($L26="","",IFERROR(VLOOKUP($L26,day_data!$A:$O,2,FALSE),0)),NA())</f>
        <v>#N/A</v>
      </c>
      <c r="N26" s="8" t="str">
        <f>IF($F$4,IF($L26="","",IFERROR(VLOOKUP($L26,day_data!$A:$O,3,FALSE),0)),NA())</f>
        <v/>
      </c>
      <c r="O26" s="8" t="e">
        <f>IF($F$5,IF($L26="","",IFERROR(VLOOKUP($L26,day_data!$A:$O,4,FALSE),0)),NA())</f>
        <v>#N/A</v>
      </c>
      <c r="P26" s="8" t="e">
        <f>IF($F$6,IF($L26="","",IFERROR(VLOOKUP($L26,day_data!$A:$O,5,FALSE),0)),NA())</f>
        <v>#N/A</v>
      </c>
      <c r="Q26" s="8" t="e">
        <f>IF($F$7,IF($L26="","",IFERROR(VLOOKUP($L26,day_data!$A:$O,6,FALSE),0)),NA())</f>
        <v>#N/A</v>
      </c>
      <c r="R26" s="8" t="e">
        <f>IF($F$8,IF($L26="","",IFERROR(VLOOKUP($L26,day_data!$A:$O,7,FALSE),0)),NA())</f>
        <v>#N/A</v>
      </c>
      <c r="S26" s="8" t="e">
        <f>IF($F$9,IF($L26="","",IFERROR(VLOOKUP($L26,day_data!$A:$O,8,FALSE),0)),NA())</f>
        <v>#N/A</v>
      </c>
      <c r="T26" s="8" t="e">
        <f>IF($F$10,IF($L26="","",IFERROR(VLOOKUP($L26,day_data!$A:$O,9,FALSE),0)),NA())</f>
        <v>#N/A</v>
      </c>
      <c r="U26" s="8" t="e">
        <f>IF($F$11,IF($L26="","",IFERROR(VLOOKUP($L26,day_data!$A:$O,10,FALSE),0)),NA())</f>
        <v>#N/A</v>
      </c>
      <c r="V26" s="8" t="e">
        <f>IF($F$12,IF($L26="","",IFERROR(VLOOKUP($L26,day_data!$A:$O,11,FALSE),0)),NA())</f>
        <v>#N/A</v>
      </c>
      <c r="W26" s="8" t="e">
        <f>IF($F$13,IF($L26="","",IFERROR(VLOOKUP($L26,day_data!$A:$O,12,FALSE),0)),NA())</f>
        <v>#N/A</v>
      </c>
      <c r="X26" s="10" t="e">
        <f>IF($F$14,IF($L26="","",IFERROR(VLOOKUP($L26,day_data!$A:$O,13,FALSE),0)),NA())</f>
        <v>#N/A</v>
      </c>
      <c r="Y26" s="10" t="e">
        <f>IF($F$15,IF($L26="","",IFERROR(VLOOKUP($L26,day_data!$A:$O,14,FALSE),0)),NA())</f>
        <v>#N/A</v>
      </c>
    </row>
    <row r="27" spans="12:25" x14ac:dyDescent="0.2">
      <c r="L27" s="9" t="str">
        <f t="shared" si="0"/>
        <v/>
      </c>
      <c r="M27" s="8" t="e">
        <f>IF($F$3,IF($L27="","",IFERROR(VLOOKUP($L27,day_data!$A:$O,2,FALSE),0)),NA())</f>
        <v>#N/A</v>
      </c>
      <c r="N27" s="8" t="str">
        <f>IF($F$4,IF($L27="","",IFERROR(VLOOKUP($L27,day_data!$A:$O,3,FALSE),0)),NA())</f>
        <v/>
      </c>
      <c r="O27" s="8" t="e">
        <f>IF($F$5,IF($L27="","",IFERROR(VLOOKUP($L27,day_data!$A:$O,4,FALSE),0)),NA())</f>
        <v>#N/A</v>
      </c>
      <c r="P27" s="8" t="e">
        <f>IF($F$6,IF($L27="","",IFERROR(VLOOKUP($L27,day_data!$A:$O,5,FALSE),0)),NA())</f>
        <v>#N/A</v>
      </c>
      <c r="Q27" s="8" t="e">
        <f>IF($F$7,IF($L27="","",IFERROR(VLOOKUP($L27,day_data!$A:$O,6,FALSE),0)),NA())</f>
        <v>#N/A</v>
      </c>
      <c r="R27" s="8" t="e">
        <f>IF($F$8,IF($L27="","",IFERROR(VLOOKUP($L27,day_data!$A:$O,7,FALSE),0)),NA())</f>
        <v>#N/A</v>
      </c>
      <c r="S27" s="8" t="e">
        <f>IF($F$9,IF($L27="","",IFERROR(VLOOKUP($L27,day_data!$A:$O,8,FALSE),0)),NA())</f>
        <v>#N/A</v>
      </c>
      <c r="T27" s="8" t="e">
        <f>IF($F$10,IF($L27="","",IFERROR(VLOOKUP($L27,day_data!$A:$O,9,FALSE),0)),NA())</f>
        <v>#N/A</v>
      </c>
      <c r="U27" s="8" t="e">
        <f>IF($F$11,IF($L27="","",IFERROR(VLOOKUP($L27,day_data!$A:$O,10,FALSE),0)),NA())</f>
        <v>#N/A</v>
      </c>
      <c r="V27" s="8" t="e">
        <f>IF($F$12,IF($L27="","",IFERROR(VLOOKUP($L27,day_data!$A:$O,11,FALSE),0)),NA())</f>
        <v>#N/A</v>
      </c>
      <c r="W27" s="8" t="e">
        <f>IF($F$13,IF($L27="","",IFERROR(VLOOKUP($L27,day_data!$A:$O,12,FALSE),0)),NA())</f>
        <v>#N/A</v>
      </c>
      <c r="X27" s="10" t="e">
        <f>IF($F$14,IF($L27="","",IFERROR(VLOOKUP($L27,day_data!$A:$O,13,FALSE),0)),NA())</f>
        <v>#N/A</v>
      </c>
      <c r="Y27" s="10" t="e">
        <f>IF($F$15,IF($L27="","",IFERROR(VLOOKUP($L27,day_data!$A:$O,14,FALSE),0)),NA())</f>
        <v>#N/A</v>
      </c>
    </row>
    <row r="28" spans="12:25" x14ac:dyDescent="0.2">
      <c r="L28" s="9" t="str">
        <f t="shared" si="0"/>
        <v/>
      </c>
      <c r="M28" s="8" t="e">
        <f>IF($F$3,IF($L28="","",IFERROR(VLOOKUP($L28,day_data!$A:$O,2,FALSE),0)),NA())</f>
        <v>#N/A</v>
      </c>
      <c r="N28" s="8" t="str">
        <f>IF($F$4,IF($L28="","",IFERROR(VLOOKUP($L28,day_data!$A:$O,3,FALSE),0)),NA())</f>
        <v/>
      </c>
      <c r="O28" s="8" t="e">
        <f>IF($F$5,IF($L28="","",IFERROR(VLOOKUP($L28,day_data!$A:$O,4,FALSE),0)),NA())</f>
        <v>#N/A</v>
      </c>
      <c r="P28" s="8" t="e">
        <f>IF($F$6,IF($L28="","",IFERROR(VLOOKUP($L28,day_data!$A:$O,5,FALSE),0)),NA())</f>
        <v>#N/A</v>
      </c>
      <c r="Q28" s="8" t="e">
        <f>IF($F$7,IF($L28="","",IFERROR(VLOOKUP($L28,day_data!$A:$O,6,FALSE),0)),NA())</f>
        <v>#N/A</v>
      </c>
      <c r="R28" s="8" t="e">
        <f>IF($F$8,IF($L28="","",IFERROR(VLOOKUP($L28,day_data!$A:$O,7,FALSE),0)),NA())</f>
        <v>#N/A</v>
      </c>
      <c r="S28" s="8" t="e">
        <f>IF($F$9,IF($L28="","",IFERROR(VLOOKUP($L28,day_data!$A:$O,8,FALSE),0)),NA())</f>
        <v>#N/A</v>
      </c>
      <c r="T28" s="8" t="e">
        <f>IF($F$10,IF($L28="","",IFERROR(VLOOKUP($L28,day_data!$A:$O,9,FALSE),0)),NA())</f>
        <v>#N/A</v>
      </c>
      <c r="U28" s="8" t="e">
        <f>IF($F$11,IF($L28="","",IFERROR(VLOOKUP($L28,day_data!$A:$O,10,FALSE),0)),NA())</f>
        <v>#N/A</v>
      </c>
      <c r="V28" s="8" t="e">
        <f>IF($F$12,IF($L28="","",IFERROR(VLOOKUP($L28,day_data!$A:$O,11,FALSE),0)),NA())</f>
        <v>#N/A</v>
      </c>
      <c r="W28" s="8" t="e">
        <f>IF($F$13,IF($L28="","",IFERROR(VLOOKUP($L28,day_data!$A:$O,12,FALSE),0)),NA())</f>
        <v>#N/A</v>
      </c>
      <c r="X28" s="10" t="e">
        <f>IF($F$14,IF($L28="","",IFERROR(VLOOKUP($L28,day_data!$A:$O,13,FALSE),0)),NA())</f>
        <v>#N/A</v>
      </c>
      <c r="Y28" s="10" t="e">
        <f>IF($F$15,IF($L28="","",IFERROR(VLOOKUP($L28,day_data!$A:$O,14,FALSE),0)),NA())</f>
        <v>#N/A</v>
      </c>
    </row>
    <row r="29" spans="12:25" x14ac:dyDescent="0.2">
      <c r="L29" s="9" t="str">
        <f t="shared" si="0"/>
        <v/>
      </c>
      <c r="M29" s="8" t="e">
        <f>IF($F$3,IF($L29="","",IFERROR(VLOOKUP($L29,day_data!$A:$O,2,FALSE),0)),NA())</f>
        <v>#N/A</v>
      </c>
      <c r="N29" s="8" t="str">
        <f>IF($F$4,IF($L29="","",IFERROR(VLOOKUP($L29,day_data!$A:$O,3,FALSE),0)),NA())</f>
        <v/>
      </c>
      <c r="O29" s="8" t="e">
        <f>IF($F$5,IF($L29="","",IFERROR(VLOOKUP($L29,day_data!$A:$O,4,FALSE),0)),NA())</f>
        <v>#N/A</v>
      </c>
      <c r="P29" s="8" t="e">
        <f>IF($F$6,IF($L29="","",IFERROR(VLOOKUP($L29,day_data!$A:$O,5,FALSE),0)),NA())</f>
        <v>#N/A</v>
      </c>
      <c r="Q29" s="8" t="e">
        <f>IF($F$7,IF($L29="","",IFERROR(VLOOKUP($L29,day_data!$A:$O,6,FALSE),0)),NA())</f>
        <v>#N/A</v>
      </c>
      <c r="R29" s="8" t="e">
        <f>IF($F$8,IF($L29="","",IFERROR(VLOOKUP($L29,day_data!$A:$O,7,FALSE),0)),NA())</f>
        <v>#N/A</v>
      </c>
      <c r="S29" s="8" t="e">
        <f>IF($F$9,IF($L29="","",IFERROR(VLOOKUP($L29,day_data!$A:$O,8,FALSE),0)),NA())</f>
        <v>#N/A</v>
      </c>
      <c r="T29" s="8" t="e">
        <f>IF($F$10,IF($L29="","",IFERROR(VLOOKUP($L29,day_data!$A:$O,9,FALSE),0)),NA())</f>
        <v>#N/A</v>
      </c>
      <c r="U29" s="8" t="e">
        <f>IF($F$11,IF($L29="","",IFERROR(VLOOKUP($L29,day_data!$A:$O,10,FALSE),0)),NA())</f>
        <v>#N/A</v>
      </c>
      <c r="V29" s="8" t="e">
        <f>IF($F$12,IF($L29="","",IFERROR(VLOOKUP($L29,day_data!$A:$O,11,FALSE),0)),NA())</f>
        <v>#N/A</v>
      </c>
      <c r="W29" s="8" t="e">
        <f>IF($F$13,IF($L29="","",IFERROR(VLOOKUP($L29,day_data!$A:$O,12,FALSE),0)),NA())</f>
        <v>#N/A</v>
      </c>
      <c r="X29" s="10" t="e">
        <f>IF($F$14,IF($L29="","",IFERROR(VLOOKUP($L29,day_data!$A:$O,13,FALSE),0)),NA())</f>
        <v>#N/A</v>
      </c>
      <c r="Y29" s="10" t="e">
        <f>IF($F$15,IF($L29="","",IFERROR(VLOOKUP($L29,day_data!$A:$O,14,FALSE),0)),NA())</f>
        <v>#N/A</v>
      </c>
    </row>
    <row r="30" spans="12:25" x14ac:dyDescent="0.2">
      <c r="L30" s="9" t="str">
        <f t="shared" si="0"/>
        <v/>
      </c>
      <c r="M30" s="8" t="e">
        <f>IF($F$3,IF($L30="","",IFERROR(VLOOKUP($L30,day_data!$A:$O,2,FALSE),0)),NA())</f>
        <v>#N/A</v>
      </c>
      <c r="N30" s="8" t="str">
        <f>IF($F$4,IF($L30="","",IFERROR(VLOOKUP($L30,day_data!$A:$O,3,FALSE),0)),NA())</f>
        <v/>
      </c>
      <c r="O30" s="8" t="e">
        <f>IF($F$5,IF($L30="","",IFERROR(VLOOKUP($L30,day_data!$A:$O,4,FALSE),0)),NA())</f>
        <v>#N/A</v>
      </c>
      <c r="P30" s="8" t="e">
        <f>IF($F$6,IF($L30="","",IFERROR(VLOOKUP($L30,day_data!$A:$O,5,FALSE),0)),NA())</f>
        <v>#N/A</v>
      </c>
      <c r="Q30" s="8" t="e">
        <f>IF($F$7,IF($L30="","",IFERROR(VLOOKUP($L30,day_data!$A:$O,6,FALSE),0)),NA())</f>
        <v>#N/A</v>
      </c>
      <c r="R30" s="8" t="e">
        <f>IF($F$8,IF($L30="","",IFERROR(VLOOKUP($L30,day_data!$A:$O,7,FALSE),0)),NA())</f>
        <v>#N/A</v>
      </c>
      <c r="S30" s="8" t="e">
        <f>IF($F$9,IF($L30="","",IFERROR(VLOOKUP($L30,day_data!$A:$O,8,FALSE),0)),NA())</f>
        <v>#N/A</v>
      </c>
      <c r="T30" s="8" t="e">
        <f>IF($F$10,IF($L30="","",IFERROR(VLOOKUP($L30,day_data!$A:$O,9,FALSE),0)),NA())</f>
        <v>#N/A</v>
      </c>
      <c r="U30" s="8" t="e">
        <f>IF($F$11,IF($L30="","",IFERROR(VLOOKUP($L30,day_data!$A:$O,10,FALSE),0)),NA())</f>
        <v>#N/A</v>
      </c>
      <c r="V30" s="8" t="e">
        <f>IF($F$12,IF($L30="","",IFERROR(VLOOKUP($L30,day_data!$A:$O,11,FALSE),0)),NA())</f>
        <v>#N/A</v>
      </c>
      <c r="W30" s="8" t="e">
        <f>IF($F$13,IF($L30="","",IFERROR(VLOOKUP($L30,day_data!$A:$O,12,FALSE),0)),NA())</f>
        <v>#N/A</v>
      </c>
      <c r="X30" s="10" t="e">
        <f>IF($F$14,IF($L30="","",IFERROR(VLOOKUP($L30,day_data!$A:$O,13,FALSE),0)),NA())</f>
        <v>#N/A</v>
      </c>
      <c r="Y30" s="10" t="e">
        <f>IF($F$15,IF($L30="","",IFERROR(VLOOKUP($L30,day_data!$A:$O,14,FALSE),0)),NA())</f>
        <v>#N/A</v>
      </c>
    </row>
    <row r="31" spans="12:25" x14ac:dyDescent="0.2">
      <c r="L31" s="9" t="str">
        <f t="shared" si="0"/>
        <v/>
      </c>
      <c r="M31" s="8" t="e">
        <f>IF($F$3,IF($L31="","",IFERROR(VLOOKUP($L31,day_data!$A:$O,2,FALSE),0)),NA())</f>
        <v>#N/A</v>
      </c>
      <c r="N31" s="8" t="str">
        <f>IF($F$4,IF($L31="","",IFERROR(VLOOKUP($L31,day_data!$A:$O,3,FALSE),0)),NA())</f>
        <v/>
      </c>
      <c r="O31" s="8" t="e">
        <f>IF($F$5,IF($L31="","",IFERROR(VLOOKUP($L31,day_data!$A:$O,4,FALSE),0)),NA())</f>
        <v>#N/A</v>
      </c>
      <c r="P31" s="8" t="e">
        <f>IF($F$6,IF($L31="","",IFERROR(VLOOKUP($L31,day_data!$A:$O,5,FALSE),0)),NA())</f>
        <v>#N/A</v>
      </c>
      <c r="Q31" s="8" t="e">
        <f>IF($F$7,IF($L31="","",IFERROR(VLOOKUP($L31,day_data!$A:$O,6,FALSE),0)),NA())</f>
        <v>#N/A</v>
      </c>
      <c r="R31" s="8" t="e">
        <f>IF($F$8,IF($L31="","",IFERROR(VLOOKUP($L31,day_data!$A:$O,7,FALSE),0)),NA())</f>
        <v>#N/A</v>
      </c>
      <c r="S31" s="8" t="e">
        <f>IF($F$9,IF($L31="","",IFERROR(VLOOKUP($L31,day_data!$A:$O,8,FALSE),0)),NA())</f>
        <v>#N/A</v>
      </c>
      <c r="T31" s="8" t="e">
        <f>IF($F$10,IF($L31="","",IFERROR(VLOOKUP($L31,day_data!$A:$O,9,FALSE),0)),NA())</f>
        <v>#N/A</v>
      </c>
      <c r="U31" s="8" t="e">
        <f>IF($F$11,IF($L31="","",IFERROR(VLOOKUP($L31,day_data!$A:$O,10,FALSE),0)),NA())</f>
        <v>#N/A</v>
      </c>
      <c r="V31" s="8" t="e">
        <f>IF($F$12,IF($L31="","",IFERROR(VLOOKUP($L31,day_data!$A:$O,11,FALSE),0)),NA())</f>
        <v>#N/A</v>
      </c>
      <c r="W31" s="8" t="e">
        <f>IF($F$13,IF($L31="","",IFERROR(VLOOKUP($L31,day_data!$A:$O,12,FALSE),0)),NA())</f>
        <v>#N/A</v>
      </c>
      <c r="X31" s="10" t="e">
        <f>IF($F$14,IF($L31="","",IFERROR(VLOOKUP($L31,day_data!$A:$O,13,FALSE),0)),NA())</f>
        <v>#N/A</v>
      </c>
      <c r="Y31" s="10" t="e">
        <f>IF($F$15,IF($L31="","",IFERROR(VLOOKUP($L31,day_data!$A:$O,14,FALSE),0)),NA())</f>
        <v>#N/A</v>
      </c>
    </row>
    <row r="32" spans="12:25" x14ac:dyDescent="0.2">
      <c r="L32" s="9" t="str">
        <f t="shared" si="0"/>
        <v/>
      </c>
      <c r="M32" s="8" t="e">
        <f>IF($F$3,IF($L32="","",IFERROR(VLOOKUP($L32,day_data!$A:$O,2,FALSE),0)),NA())</f>
        <v>#N/A</v>
      </c>
      <c r="N32" s="8" t="str">
        <f>IF($F$4,IF($L32="","",IFERROR(VLOOKUP($L32,day_data!$A:$O,3,FALSE),0)),NA())</f>
        <v/>
      </c>
      <c r="O32" s="8" t="e">
        <f>IF($F$5,IF($L32="","",IFERROR(VLOOKUP($L32,day_data!$A:$O,4,FALSE),0)),NA())</f>
        <v>#N/A</v>
      </c>
      <c r="P32" s="8" t="e">
        <f>IF($F$6,IF($L32="","",IFERROR(VLOOKUP($L32,day_data!$A:$O,5,FALSE),0)),NA())</f>
        <v>#N/A</v>
      </c>
      <c r="Q32" s="8" t="e">
        <f>IF($F$7,IF($L32="","",IFERROR(VLOOKUP($L32,day_data!$A:$O,6,FALSE),0)),NA())</f>
        <v>#N/A</v>
      </c>
      <c r="R32" s="8" t="e">
        <f>IF($F$8,IF($L32="","",IFERROR(VLOOKUP($L32,day_data!$A:$O,7,FALSE),0)),NA())</f>
        <v>#N/A</v>
      </c>
      <c r="S32" s="8" t="e">
        <f>IF($F$9,IF($L32="","",IFERROR(VLOOKUP($L32,day_data!$A:$O,8,FALSE),0)),NA())</f>
        <v>#N/A</v>
      </c>
      <c r="T32" s="8" t="e">
        <f>IF($F$10,IF($L32="","",IFERROR(VLOOKUP($L32,day_data!$A:$O,9,FALSE),0)),NA())</f>
        <v>#N/A</v>
      </c>
      <c r="U32" s="8" t="e">
        <f>IF($F$11,IF($L32="","",IFERROR(VLOOKUP($L32,day_data!$A:$O,10,FALSE),0)),NA())</f>
        <v>#N/A</v>
      </c>
      <c r="V32" s="8" t="e">
        <f>IF($F$12,IF($L32="","",IFERROR(VLOOKUP($L32,day_data!$A:$O,11,FALSE),0)),NA())</f>
        <v>#N/A</v>
      </c>
      <c r="W32" s="8" t="e">
        <f>IF($F$13,IF($L32="","",IFERROR(VLOOKUP($L32,day_data!$A:$O,12,FALSE),0)),NA())</f>
        <v>#N/A</v>
      </c>
      <c r="X32" s="10" t="e">
        <f>IF($F$14,IF($L32="","",IFERROR(VLOOKUP($L32,day_data!$A:$O,13,FALSE),0)),NA())</f>
        <v>#N/A</v>
      </c>
      <c r="Y32" s="10" t="e">
        <f>IF($F$15,IF($L32="","",IFERROR(VLOOKUP($L32,day_data!$A:$O,14,FALSE),0)),NA())</f>
        <v>#N/A</v>
      </c>
    </row>
    <row r="33" spans="12:25" x14ac:dyDescent="0.2">
      <c r="L33" s="9" t="str">
        <f t="shared" si="0"/>
        <v/>
      </c>
      <c r="M33" s="8" t="e">
        <f>IF($F$3,IF($L33="","",IFERROR(VLOOKUP($L33,day_data!$A:$O,2,FALSE),0)),NA())</f>
        <v>#N/A</v>
      </c>
      <c r="N33" s="8" t="str">
        <f>IF($F$4,IF($L33="","",IFERROR(VLOOKUP($L33,day_data!$A:$O,3,FALSE),0)),NA())</f>
        <v/>
      </c>
      <c r="O33" s="8" t="e">
        <f>IF($F$5,IF($L33="","",IFERROR(VLOOKUP($L33,day_data!$A:$O,4,FALSE),0)),NA())</f>
        <v>#N/A</v>
      </c>
      <c r="P33" s="8" t="e">
        <f>IF($F$6,IF($L33="","",IFERROR(VLOOKUP($L33,day_data!$A:$O,5,FALSE),0)),NA())</f>
        <v>#N/A</v>
      </c>
      <c r="Q33" s="8" t="e">
        <f>IF($F$7,IF($L33="","",IFERROR(VLOOKUP($L33,day_data!$A:$O,6,FALSE),0)),NA())</f>
        <v>#N/A</v>
      </c>
      <c r="R33" s="8" t="e">
        <f>IF($F$8,IF($L33="","",IFERROR(VLOOKUP($L33,day_data!$A:$O,7,FALSE),0)),NA())</f>
        <v>#N/A</v>
      </c>
      <c r="S33" s="8" t="e">
        <f>IF($F$9,IF($L33="","",IFERROR(VLOOKUP($L33,day_data!$A:$O,8,FALSE),0)),NA())</f>
        <v>#N/A</v>
      </c>
      <c r="T33" s="8" t="e">
        <f>IF($F$10,IF($L33="","",IFERROR(VLOOKUP($L33,day_data!$A:$O,9,FALSE),0)),NA())</f>
        <v>#N/A</v>
      </c>
      <c r="U33" s="8" t="e">
        <f>IF($F$11,IF($L33="","",IFERROR(VLOOKUP($L33,day_data!$A:$O,10,FALSE),0)),NA())</f>
        <v>#N/A</v>
      </c>
      <c r="V33" s="8" t="e">
        <f>IF($F$12,IF($L33="","",IFERROR(VLOOKUP($L33,day_data!$A:$O,11,FALSE),0)),NA())</f>
        <v>#N/A</v>
      </c>
      <c r="W33" s="8" t="e">
        <f>IF($F$13,IF($L33="","",IFERROR(VLOOKUP($L33,day_data!$A:$O,12,FALSE),0)),NA())</f>
        <v>#N/A</v>
      </c>
      <c r="X33" s="10" t="e">
        <f>IF($F$14,IF($L33="","",IFERROR(VLOOKUP($L33,day_data!$A:$O,13,FALSE),0)),NA())</f>
        <v>#N/A</v>
      </c>
      <c r="Y33" s="10" t="e">
        <f>IF($F$15,IF($L33="","",IFERROR(VLOOKUP($L33,day_data!$A:$O,14,FALSE),0)),NA())</f>
        <v>#N/A</v>
      </c>
    </row>
    <row r="34" spans="12:25" x14ac:dyDescent="0.2">
      <c r="L34" s="9" t="str">
        <f t="shared" si="0"/>
        <v/>
      </c>
      <c r="M34" s="8" t="e">
        <f>IF($F$3,IF($L34="","",IFERROR(VLOOKUP($L34,day_data!$A:$O,2,FALSE),0)),NA())</f>
        <v>#N/A</v>
      </c>
      <c r="N34" s="8" t="str">
        <f>IF($F$4,IF($L34="","",IFERROR(VLOOKUP($L34,day_data!$A:$O,3,FALSE),0)),NA())</f>
        <v/>
      </c>
      <c r="O34" s="8" t="e">
        <f>IF($F$5,IF($L34="","",IFERROR(VLOOKUP($L34,day_data!$A:$O,4,FALSE),0)),NA())</f>
        <v>#N/A</v>
      </c>
      <c r="P34" s="8" t="e">
        <f>IF($F$6,IF($L34="","",IFERROR(VLOOKUP($L34,day_data!$A:$O,5,FALSE),0)),NA())</f>
        <v>#N/A</v>
      </c>
      <c r="Q34" s="8" t="e">
        <f>IF($F$7,IF($L34="","",IFERROR(VLOOKUP($L34,day_data!$A:$O,6,FALSE),0)),NA())</f>
        <v>#N/A</v>
      </c>
      <c r="R34" s="8" t="e">
        <f>IF($F$8,IF($L34="","",IFERROR(VLOOKUP($L34,day_data!$A:$O,7,FALSE),0)),NA())</f>
        <v>#N/A</v>
      </c>
      <c r="S34" s="8" t="e">
        <f>IF($F$9,IF($L34="","",IFERROR(VLOOKUP($L34,day_data!$A:$O,8,FALSE),0)),NA())</f>
        <v>#N/A</v>
      </c>
      <c r="T34" s="8" t="e">
        <f>IF($F$10,IF($L34="","",IFERROR(VLOOKUP($L34,day_data!$A:$O,9,FALSE),0)),NA())</f>
        <v>#N/A</v>
      </c>
      <c r="U34" s="8" t="e">
        <f>IF($F$11,IF($L34="","",IFERROR(VLOOKUP($L34,day_data!$A:$O,10,FALSE),0)),NA())</f>
        <v>#N/A</v>
      </c>
      <c r="V34" s="8" t="e">
        <f>IF($F$12,IF($L34="","",IFERROR(VLOOKUP($L34,day_data!$A:$O,11,FALSE),0)),NA())</f>
        <v>#N/A</v>
      </c>
      <c r="W34" s="8" t="e">
        <f>IF($F$13,IF($L34="","",IFERROR(VLOOKUP($L34,day_data!$A:$O,12,FALSE),0)),NA())</f>
        <v>#N/A</v>
      </c>
      <c r="X34" s="10" t="e">
        <f>IF($F$14,IF($L34="","",IFERROR(VLOOKUP($L34,day_data!$A:$O,13,FALSE),0)),NA())</f>
        <v>#N/A</v>
      </c>
      <c r="Y34" s="10" t="e">
        <f>IF($F$15,IF($L34="","",IFERROR(VLOOKUP($L34,day_data!$A:$O,14,FALSE),0)),NA())</f>
        <v>#N/A</v>
      </c>
    </row>
    <row r="35" spans="12:25" x14ac:dyDescent="0.2">
      <c r="L35" s="9" t="str">
        <f t="shared" si="0"/>
        <v/>
      </c>
      <c r="M35" s="8" t="e">
        <f>IF($F$3,IF($L35="","",IFERROR(VLOOKUP($L35,day_data!$A:$O,2,FALSE),0)),NA())</f>
        <v>#N/A</v>
      </c>
      <c r="N35" s="8" t="str">
        <f>IF($F$4,IF($L35="","",IFERROR(VLOOKUP($L35,day_data!$A:$O,3,FALSE),0)),NA())</f>
        <v/>
      </c>
      <c r="O35" s="8" t="e">
        <f>IF($F$5,IF($L35="","",IFERROR(VLOOKUP($L35,day_data!$A:$O,4,FALSE),0)),NA())</f>
        <v>#N/A</v>
      </c>
      <c r="P35" s="8" t="e">
        <f>IF($F$6,IF($L35="","",IFERROR(VLOOKUP($L35,day_data!$A:$O,5,FALSE),0)),NA())</f>
        <v>#N/A</v>
      </c>
      <c r="Q35" s="8" t="e">
        <f>IF($F$7,IF($L35="","",IFERROR(VLOOKUP($L35,day_data!$A:$O,6,FALSE),0)),NA())</f>
        <v>#N/A</v>
      </c>
      <c r="R35" s="8" t="e">
        <f>IF($F$8,IF($L35="","",IFERROR(VLOOKUP($L35,day_data!$A:$O,7,FALSE),0)),NA())</f>
        <v>#N/A</v>
      </c>
      <c r="S35" s="8" t="e">
        <f>IF($F$9,IF($L35="","",IFERROR(VLOOKUP($L35,day_data!$A:$O,8,FALSE),0)),NA())</f>
        <v>#N/A</v>
      </c>
      <c r="T35" s="8" t="e">
        <f>IF($F$10,IF($L35="","",IFERROR(VLOOKUP($L35,day_data!$A:$O,9,FALSE),0)),NA())</f>
        <v>#N/A</v>
      </c>
      <c r="U35" s="8" t="e">
        <f>IF($F$11,IF($L35="","",IFERROR(VLOOKUP($L35,day_data!$A:$O,10,FALSE),0)),NA())</f>
        <v>#N/A</v>
      </c>
      <c r="V35" s="8" t="e">
        <f>IF($F$12,IF($L35="","",IFERROR(VLOOKUP($L35,day_data!$A:$O,11,FALSE),0)),NA())</f>
        <v>#N/A</v>
      </c>
      <c r="W35" s="8" t="e">
        <f>IF($F$13,IF($L35="","",IFERROR(VLOOKUP($L35,day_data!$A:$O,12,FALSE),0)),NA())</f>
        <v>#N/A</v>
      </c>
      <c r="X35" s="10" t="e">
        <f>IF($F$14,IF($L35="","",IFERROR(VLOOKUP($L35,day_data!$A:$O,13,FALSE),0)),NA())</f>
        <v>#N/A</v>
      </c>
      <c r="Y35" s="10" t="e">
        <f>IF($F$15,IF($L35="","",IFERROR(VLOOKUP($L35,day_data!$A:$O,14,FALSE),0)),NA())</f>
        <v>#N/A</v>
      </c>
    </row>
    <row r="36" spans="12:25" x14ac:dyDescent="0.2">
      <c r="L36" s="9" t="str">
        <f t="shared" si="0"/>
        <v/>
      </c>
      <c r="M36" s="8" t="e">
        <f>IF($F$3,IF($L36="","",IFERROR(VLOOKUP($L36,day_data!$A:$O,2,FALSE),0)),NA())</f>
        <v>#N/A</v>
      </c>
      <c r="N36" s="8" t="str">
        <f>IF($F$4,IF($L36="","",IFERROR(VLOOKUP($L36,day_data!$A:$O,3,FALSE),0)),NA())</f>
        <v/>
      </c>
      <c r="O36" s="8" t="e">
        <f>IF($F$5,IF($L36="","",IFERROR(VLOOKUP($L36,day_data!$A:$O,4,FALSE),0)),NA())</f>
        <v>#N/A</v>
      </c>
      <c r="P36" s="8" t="e">
        <f>IF($F$6,IF($L36="","",IFERROR(VLOOKUP($L36,day_data!$A:$O,5,FALSE),0)),NA())</f>
        <v>#N/A</v>
      </c>
      <c r="Q36" s="8" t="e">
        <f>IF($F$7,IF($L36="","",IFERROR(VLOOKUP($L36,day_data!$A:$O,6,FALSE),0)),NA())</f>
        <v>#N/A</v>
      </c>
      <c r="R36" s="8" t="e">
        <f>IF($F$8,IF($L36="","",IFERROR(VLOOKUP($L36,day_data!$A:$O,7,FALSE),0)),NA())</f>
        <v>#N/A</v>
      </c>
      <c r="S36" s="8" t="e">
        <f>IF($F$9,IF($L36="","",IFERROR(VLOOKUP($L36,day_data!$A:$O,8,FALSE),0)),NA())</f>
        <v>#N/A</v>
      </c>
      <c r="T36" s="8" t="e">
        <f>IF($F$10,IF($L36="","",IFERROR(VLOOKUP($L36,day_data!$A:$O,9,FALSE),0)),NA())</f>
        <v>#N/A</v>
      </c>
      <c r="U36" s="8" t="e">
        <f>IF($F$11,IF($L36="","",IFERROR(VLOOKUP($L36,day_data!$A:$O,10,FALSE),0)),NA())</f>
        <v>#N/A</v>
      </c>
      <c r="V36" s="8" t="e">
        <f>IF($F$12,IF($L36="","",IFERROR(VLOOKUP($L36,day_data!$A:$O,11,FALSE),0)),NA())</f>
        <v>#N/A</v>
      </c>
      <c r="W36" s="8" t="e">
        <f>IF($F$13,IF($L36="","",IFERROR(VLOOKUP($L36,day_data!$A:$O,12,FALSE),0)),NA())</f>
        <v>#N/A</v>
      </c>
      <c r="X36" s="10" t="e">
        <f>IF($F$14,IF($L36="","",IFERROR(VLOOKUP($L36,day_data!$A:$O,13,FALSE),0)),NA())</f>
        <v>#N/A</v>
      </c>
      <c r="Y36" s="10" t="e">
        <f>IF($F$15,IF($L36="","",IFERROR(VLOOKUP($L36,day_data!$A:$O,14,FALSE),0)),NA())</f>
        <v>#N/A</v>
      </c>
    </row>
    <row r="37" spans="12:25" x14ac:dyDescent="0.2">
      <c r="L37" s="9" t="str">
        <f t="shared" si="0"/>
        <v/>
      </c>
      <c r="M37" s="8" t="e">
        <f>IF($F$3,IF($L37="","",IFERROR(VLOOKUP($L37,day_data!$A:$O,2,FALSE),0)),NA())</f>
        <v>#N/A</v>
      </c>
      <c r="N37" s="8" t="str">
        <f>IF($F$4,IF($L37="","",IFERROR(VLOOKUP($L37,day_data!$A:$O,3,FALSE),0)),NA())</f>
        <v/>
      </c>
      <c r="O37" s="8" t="e">
        <f>IF($F$5,IF($L37="","",IFERROR(VLOOKUP($L37,day_data!$A:$O,4,FALSE),0)),NA())</f>
        <v>#N/A</v>
      </c>
      <c r="P37" s="8" t="e">
        <f>IF($F$6,IF($L37="","",IFERROR(VLOOKUP($L37,day_data!$A:$O,5,FALSE),0)),NA())</f>
        <v>#N/A</v>
      </c>
      <c r="Q37" s="8" t="e">
        <f>IF($F$7,IF($L37="","",IFERROR(VLOOKUP($L37,day_data!$A:$O,6,FALSE),0)),NA())</f>
        <v>#N/A</v>
      </c>
      <c r="R37" s="8" t="e">
        <f>IF($F$8,IF($L37="","",IFERROR(VLOOKUP($L37,day_data!$A:$O,7,FALSE),0)),NA())</f>
        <v>#N/A</v>
      </c>
      <c r="S37" s="8" t="e">
        <f>IF($F$9,IF($L37="","",IFERROR(VLOOKUP($L37,day_data!$A:$O,8,FALSE),0)),NA())</f>
        <v>#N/A</v>
      </c>
      <c r="T37" s="8" t="e">
        <f>IF($F$10,IF($L37="","",IFERROR(VLOOKUP($L37,day_data!$A:$O,9,FALSE),0)),NA())</f>
        <v>#N/A</v>
      </c>
      <c r="U37" s="8" t="e">
        <f>IF($F$11,IF($L37="","",IFERROR(VLOOKUP($L37,day_data!$A:$O,10,FALSE),0)),NA())</f>
        <v>#N/A</v>
      </c>
      <c r="V37" s="8" t="e">
        <f>IF($F$12,IF($L37="","",IFERROR(VLOOKUP($L37,day_data!$A:$O,11,FALSE),0)),NA())</f>
        <v>#N/A</v>
      </c>
      <c r="W37" s="8" t="e">
        <f>IF($F$13,IF($L37="","",IFERROR(VLOOKUP($L37,day_data!$A:$O,12,FALSE),0)),NA())</f>
        <v>#N/A</v>
      </c>
      <c r="X37" s="10" t="e">
        <f>IF($F$14,IF($L37="","",IFERROR(VLOOKUP($L37,day_data!$A:$O,13,FALSE),0)),NA())</f>
        <v>#N/A</v>
      </c>
      <c r="Y37" s="10" t="e">
        <f>IF($F$15,IF($L37="","",IFERROR(VLOOKUP($L37,day_data!$A:$O,14,FALSE),0)),NA())</f>
        <v>#N/A</v>
      </c>
    </row>
    <row r="38" spans="12:25" x14ac:dyDescent="0.2">
      <c r="L38" s="9" t="str">
        <f t="shared" si="0"/>
        <v/>
      </c>
      <c r="M38" s="8" t="e">
        <f>IF($F$3,IF($L38="","",IFERROR(VLOOKUP($L38,day_data!$A:$O,2,FALSE),0)),NA())</f>
        <v>#N/A</v>
      </c>
      <c r="N38" s="8" t="str">
        <f>IF($F$4,IF($L38="","",IFERROR(VLOOKUP($L38,day_data!$A:$O,3,FALSE),0)),NA())</f>
        <v/>
      </c>
      <c r="O38" s="8" t="e">
        <f>IF($F$5,IF($L38="","",IFERROR(VLOOKUP($L38,day_data!$A:$O,4,FALSE),0)),NA())</f>
        <v>#N/A</v>
      </c>
      <c r="P38" s="8" t="e">
        <f>IF($F$6,IF($L38="","",IFERROR(VLOOKUP($L38,day_data!$A:$O,5,FALSE),0)),NA())</f>
        <v>#N/A</v>
      </c>
      <c r="Q38" s="8" t="e">
        <f>IF($F$7,IF($L38="","",IFERROR(VLOOKUP($L38,day_data!$A:$O,6,FALSE),0)),NA())</f>
        <v>#N/A</v>
      </c>
      <c r="R38" s="8" t="e">
        <f>IF($F$8,IF($L38="","",IFERROR(VLOOKUP($L38,day_data!$A:$O,7,FALSE),0)),NA())</f>
        <v>#N/A</v>
      </c>
      <c r="S38" s="8" t="e">
        <f>IF($F$9,IF($L38="","",IFERROR(VLOOKUP($L38,day_data!$A:$O,8,FALSE),0)),NA())</f>
        <v>#N/A</v>
      </c>
      <c r="T38" s="8" t="e">
        <f>IF($F$10,IF($L38="","",IFERROR(VLOOKUP($L38,day_data!$A:$O,9,FALSE),0)),NA())</f>
        <v>#N/A</v>
      </c>
      <c r="U38" s="8" t="e">
        <f>IF($F$11,IF($L38="","",IFERROR(VLOOKUP($L38,day_data!$A:$O,10,FALSE),0)),NA())</f>
        <v>#N/A</v>
      </c>
      <c r="V38" s="8" t="e">
        <f>IF($F$12,IF($L38="","",IFERROR(VLOOKUP($L38,day_data!$A:$O,11,FALSE),0)),NA())</f>
        <v>#N/A</v>
      </c>
      <c r="W38" s="8" t="e">
        <f>IF($F$13,IF($L38="","",IFERROR(VLOOKUP($L38,day_data!$A:$O,12,FALSE),0)),NA())</f>
        <v>#N/A</v>
      </c>
      <c r="X38" s="10" t="e">
        <f>IF($F$14,IF($L38="","",IFERROR(VLOOKUP($L38,day_data!$A:$O,13,FALSE),0)),NA())</f>
        <v>#N/A</v>
      </c>
      <c r="Y38" s="10" t="e">
        <f>IF($F$15,IF($L38="","",IFERROR(VLOOKUP($L38,day_data!$A:$O,14,FALSE),0)),NA())</f>
        <v>#N/A</v>
      </c>
    </row>
    <row r="39" spans="12:25" x14ac:dyDescent="0.2">
      <c r="L39" s="9" t="str">
        <f t="shared" si="0"/>
        <v/>
      </c>
      <c r="M39" s="8" t="e">
        <f>IF($F$3,IF($L39="","",IFERROR(VLOOKUP($L39,day_data!$A:$O,2,FALSE),0)),NA())</f>
        <v>#N/A</v>
      </c>
      <c r="N39" s="8" t="str">
        <f>IF($F$4,IF($L39="","",IFERROR(VLOOKUP($L39,day_data!$A:$O,3,FALSE),0)),NA())</f>
        <v/>
      </c>
      <c r="O39" s="8" t="e">
        <f>IF($F$5,IF($L39="","",IFERROR(VLOOKUP($L39,day_data!$A:$O,4,FALSE),0)),NA())</f>
        <v>#N/A</v>
      </c>
      <c r="P39" s="8" t="e">
        <f>IF($F$6,IF($L39="","",IFERROR(VLOOKUP($L39,day_data!$A:$O,5,FALSE),0)),NA())</f>
        <v>#N/A</v>
      </c>
      <c r="Q39" s="8" t="e">
        <f>IF($F$7,IF($L39="","",IFERROR(VLOOKUP($L39,day_data!$A:$O,6,FALSE),0)),NA())</f>
        <v>#N/A</v>
      </c>
      <c r="R39" s="8" t="e">
        <f>IF($F$8,IF($L39="","",IFERROR(VLOOKUP($L39,day_data!$A:$O,7,FALSE),0)),NA())</f>
        <v>#N/A</v>
      </c>
      <c r="S39" s="8" t="e">
        <f>IF($F$9,IF($L39="","",IFERROR(VLOOKUP($L39,day_data!$A:$O,8,FALSE),0)),NA())</f>
        <v>#N/A</v>
      </c>
      <c r="T39" s="8" t="e">
        <f>IF($F$10,IF($L39="","",IFERROR(VLOOKUP($L39,day_data!$A:$O,9,FALSE),0)),NA())</f>
        <v>#N/A</v>
      </c>
      <c r="U39" s="8" t="e">
        <f>IF($F$11,IF($L39="","",IFERROR(VLOOKUP($L39,day_data!$A:$O,10,FALSE),0)),NA())</f>
        <v>#N/A</v>
      </c>
      <c r="V39" s="8" t="e">
        <f>IF($F$12,IF($L39="","",IFERROR(VLOOKUP($L39,day_data!$A:$O,11,FALSE),0)),NA())</f>
        <v>#N/A</v>
      </c>
      <c r="W39" s="8" t="e">
        <f>IF($F$13,IF($L39="","",IFERROR(VLOOKUP($L39,day_data!$A:$O,12,FALSE),0)),NA())</f>
        <v>#N/A</v>
      </c>
      <c r="X39" s="10" t="e">
        <f>IF($F$14,IF($L39="","",IFERROR(VLOOKUP($L39,day_data!$A:$O,13,FALSE),0)),NA())</f>
        <v>#N/A</v>
      </c>
      <c r="Y39" s="10" t="e">
        <f>IF($F$15,IF($L39="","",IFERROR(VLOOKUP($L39,day_data!$A:$O,14,FALSE),0)),NA())</f>
        <v>#N/A</v>
      </c>
    </row>
    <row r="40" spans="12:25" x14ac:dyDescent="0.2">
      <c r="L40" s="9" t="str">
        <f t="shared" si="0"/>
        <v/>
      </c>
      <c r="M40" s="8" t="e">
        <f>IF($F$3,IF($L40="","",IFERROR(VLOOKUP($L40,day_data!$A:$O,2,FALSE),0)),NA())</f>
        <v>#N/A</v>
      </c>
      <c r="N40" s="8" t="str">
        <f>IF($F$4,IF($L40="","",IFERROR(VLOOKUP($L40,day_data!$A:$O,3,FALSE),0)),NA())</f>
        <v/>
      </c>
      <c r="O40" s="8" t="e">
        <f>IF($F$5,IF($L40="","",IFERROR(VLOOKUP($L40,day_data!$A:$O,4,FALSE),0)),NA())</f>
        <v>#N/A</v>
      </c>
      <c r="P40" s="8" t="e">
        <f>IF($F$6,IF($L40="","",IFERROR(VLOOKUP($L40,day_data!$A:$O,5,FALSE),0)),NA())</f>
        <v>#N/A</v>
      </c>
      <c r="Q40" s="8" t="e">
        <f>IF($F$7,IF($L40="","",IFERROR(VLOOKUP($L40,day_data!$A:$O,6,FALSE),0)),NA())</f>
        <v>#N/A</v>
      </c>
      <c r="R40" s="8" t="e">
        <f>IF($F$8,IF($L40="","",IFERROR(VLOOKUP($L40,day_data!$A:$O,7,FALSE),0)),NA())</f>
        <v>#N/A</v>
      </c>
      <c r="S40" s="8" t="e">
        <f>IF($F$9,IF($L40="","",IFERROR(VLOOKUP($L40,day_data!$A:$O,8,FALSE),0)),NA())</f>
        <v>#N/A</v>
      </c>
      <c r="T40" s="8" t="e">
        <f>IF($F$10,IF($L40="","",IFERROR(VLOOKUP($L40,day_data!$A:$O,9,FALSE),0)),NA())</f>
        <v>#N/A</v>
      </c>
      <c r="U40" s="8" t="e">
        <f>IF($F$11,IF($L40="","",IFERROR(VLOOKUP($L40,day_data!$A:$O,10,FALSE),0)),NA())</f>
        <v>#N/A</v>
      </c>
      <c r="V40" s="8" t="e">
        <f>IF($F$12,IF($L40="","",IFERROR(VLOOKUP($L40,day_data!$A:$O,11,FALSE),0)),NA())</f>
        <v>#N/A</v>
      </c>
      <c r="W40" s="8" t="e">
        <f>IF($F$13,IF($L40="","",IFERROR(VLOOKUP($L40,day_data!$A:$O,12,FALSE),0)),NA())</f>
        <v>#N/A</v>
      </c>
      <c r="X40" s="10" t="e">
        <f>IF($F$14,IF($L40="","",IFERROR(VLOOKUP($L40,day_data!$A:$O,13,FALSE),0)),NA())</f>
        <v>#N/A</v>
      </c>
      <c r="Y40" s="10" t="e">
        <f>IF($F$15,IF($L40="","",IFERROR(VLOOKUP($L40,day_data!$A:$O,14,FALSE),0)),NA())</f>
        <v>#N/A</v>
      </c>
    </row>
    <row r="41" spans="12:25" x14ac:dyDescent="0.2">
      <c r="L41" s="9" t="str">
        <f t="shared" si="0"/>
        <v/>
      </c>
      <c r="M41" s="8" t="e">
        <f>IF($F$3,IF($L41="","",IFERROR(VLOOKUP($L41,day_data!$A:$O,2,FALSE),0)),NA())</f>
        <v>#N/A</v>
      </c>
      <c r="N41" s="8" t="str">
        <f>IF($F$4,IF($L41="","",IFERROR(VLOOKUP($L41,day_data!$A:$O,3,FALSE),0)),NA())</f>
        <v/>
      </c>
      <c r="O41" s="8" t="e">
        <f>IF($F$5,IF($L41="","",IFERROR(VLOOKUP($L41,day_data!$A:$O,4,FALSE),0)),NA())</f>
        <v>#N/A</v>
      </c>
      <c r="P41" s="8" t="e">
        <f>IF($F$6,IF($L41="","",IFERROR(VLOOKUP($L41,day_data!$A:$O,5,FALSE),0)),NA())</f>
        <v>#N/A</v>
      </c>
      <c r="Q41" s="8" t="e">
        <f>IF($F$7,IF($L41="","",IFERROR(VLOOKUP($L41,day_data!$A:$O,6,FALSE),0)),NA())</f>
        <v>#N/A</v>
      </c>
      <c r="R41" s="8" t="e">
        <f>IF($F$8,IF($L41="","",IFERROR(VLOOKUP($L41,day_data!$A:$O,7,FALSE),0)),NA())</f>
        <v>#N/A</v>
      </c>
      <c r="S41" s="8" t="e">
        <f>IF($F$9,IF($L41="","",IFERROR(VLOOKUP($L41,day_data!$A:$O,8,FALSE),0)),NA())</f>
        <v>#N/A</v>
      </c>
      <c r="T41" s="8" t="e">
        <f>IF($F$10,IF($L41="","",IFERROR(VLOOKUP($L41,day_data!$A:$O,9,FALSE),0)),NA())</f>
        <v>#N/A</v>
      </c>
      <c r="U41" s="8" t="e">
        <f>IF($F$11,IF($L41="","",IFERROR(VLOOKUP($L41,day_data!$A:$O,10,FALSE),0)),NA())</f>
        <v>#N/A</v>
      </c>
      <c r="V41" s="8" t="e">
        <f>IF($F$12,IF($L41="","",IFERROR(VLOOKUP($L41,day_data!$A:$O,11,FALSE),0)),NA())</f>
        <v>#N/A</v>
      </c>
      <c r="W41" s="8" t="e">
        <f>IF($F$13,IF($L41="","",IFERROR(VLOOKUP($L41,day_data!$A:$O,12,FALSE),0)),NA())</f>
        <v>#N/A</v>
      </c>
      <c r="X41" s="10" t="e">
        <f>IF($F$14,IF($L41="","",IFERROR(VLOOKUP($L41,day_data!$A:$O,13,FALSE),0)),NA())</f>
        <v>#N/A</v>
      </c>
      <c r="Y41" s="10" t="e">
        <f>IF($F$15,IF($L41="","",IFERROR(VLOOKUP($L41,day_data!$A:$O,14,FALSE),0)),NA())</f>
        <v>#N/A</v>
      </c>
    </row>
    <row r="42" spans="12:25" x14ac:dyDescent="0.2">
      <c r="L42" s="9" t="str">
        <f t="shared" si="0"/>
        <v/>
      </c>
      <c r="M42" s="8" t="e">
        <f>IF($F$3,IF($L42="","",IFERROR(VLOOKUP($L42,day_data!$A:$O,2,FALSE),0)),NA())</f>
        <v>#N/A</v>
      </c>
      <c r="N42" s="8" t="str">
        <f>IF($F$4,IF($L42="","",IFERROR(VLOOKUP($L42,day_data!$A:$O,3,FALSE),0)),NA())</f>
        <v/>
      </c>
      <c r="O42" s="8" t="e">
        <f>IF($F$5,IF($L42="","",IFERROR(VLOOKUP($L42,day_data!$A:$O,4,FALSE),0)),NA())</f>
        <v>#N/A</v>
      </c>
      <c r="P42" s="8" t="e">
        <f>IF($F$6,IF($L42="","",IFERROR(VLOOKUP($L42,day_data!$A:$O,5,FALSE),0)),NA())</f>
        <v>#N/A</v>
      </c>
      <c r="Q42" s="8" t="e">
        <f>IF($F$7,IF($L42="","",IFERROR(VLOOKUP($L42,day_data!$A:$O,6,FALSE),0)),NA())</f>
        <v>#N/A</v>
      </c>
      <c r="R42" s="8" t="e">
        <f>IF($F$8,IF($L42="","",IFERROR(VLOOKUP($L42,day_data!$A:$O,7,FALSE),0)),NA())</f>
        <v>#N/A</v>
      </c>
      <c r="S42" s="8" t="e">
        <f>IF($F$9,IF($L42="","",IFERROR(VLOOKUP($L42,day_data!$A:$O,8,FALSE),0)),NA())</f>
        <v>#N/A</v>
      </c>
      <c r="T42" s="8" t="e">
        <f>IF($F$10,IF($L42="","",IFERROR(VLOOKUP($L42,day_data!$A:$O,9,FALSE),0)),NA())</f>
        <v>#N/A</v>
      </c>
      <c r="U42" s="8" t="e">
        <f>IF($F$11,IF($L42="","",IFERROR(VLOOKUP($L42,day_data!$A:$O,10,FALSE),0)),NA())</f>
        <v>#N/A</v>
      </c>
      <c r="V42" s="8" t="e">
        <f>IF($F$12,IF($L42="","",IFERROR(VLOOKUP($L42,day_data!$A:$O,11,FALSE),0)),NA())</f>
        <v>#N/A</v>
      </c>
      <c r="W42" s="8" t="e">
        <f>IF($F$13,IF($L42="","",IFERROR(VLOOKUP($L42,day_data!$A:$O,12,FALSE),0)),NA())</f>
        <v>#N/A</v>
      </c>
      <c r="X42" s="10" t="e">
        <f>IF($F$14,IF($L42="","",IFERROR(VLOOKUP($L42,day_data!$A:$O,13,FALSE),0)),NA())</f>
        <v>#N/A</v>
      </c>
      <c r="Y42" s="10" t="e">
        <f>IF($F$15,IF($L42="","",IFERROR(VLOOKUP($L42,day_data!$A:$O,14,FALSE),0)),NA())</f>
        <v>#N/A</v>
      </c>
    </row>
    <row r="43" spans="12:25" x14ac:dyDescent="0.2">
      <c r="L43" s="9" t="str">
        <f t="shared" si="0"/>
        <v/>
      </c>
      <c r="M43" s="8" t="e">
        <f>IF($F$3,IF($L43="","",IFERROR(VLOOKUP($L43,day_data!$A:$O,2,FALSE),0)),NA())</f>
        <v>#N/A</v>
      </c>
      <c r="N43" s="8" t="str">
        <f>IF($F$4,IF($L43="","",IFERROR(VLOOKUP($L43,day_data!$A:$O,3,FALSE),0)),NA())</f>
        <v/>
      </c>
      <c r="O43" s="8" t="e">
        <f>IF($F$5,IF($L43="","",IFERROR(VLOOKUP($L43,day_data!$A:$O,4,FALSE),0)),NA())</f>
        <v>#N/A</v>
      </c>
      <c r="P43" s="8" t="e">
        <f>IF($F$6,IF($L43="","",IFERROR(VLOOKUP($L43,day_data!$A:$O,5,FALSE),0)),NA())</f>
        <v>#N/A</v>
      </c>
      <c r="Q43" s="8" t="e">
        <f>IF($F$7,IF($L43="","",IFERROR(VLOOKUP($L43,day_data!$A:$O,6,FALSE),0)),NA())</f>
        <v>#N/A</v>
      </c>
      <c r="R43" s="8" t="e">
        <f>IF($F$8,IF($L43="","",IFERROR(VLOOKUP($L43,day_data!$A:$O,7,FALSE),0)),NA())</f>
        <v>#N/A</v>
      </c>
      <c r="S43" s="8" t="e">
        <f>IF($F$9,IF($L43="","",IFERROR(VLOOKUP($L43,day_data!$A:$O,8,FALSE),0)),NA())</f>
        <v>#N/A</v>
      </c>
      <c r="T43" s="8" t="e">
        <f>IF($F$10,IF($L43="","",IFERROR(VLOOKUP($L43,day_data!$A:$O,9,FALSE),0)),NA())</f>
        <v>#N/A</v>
      </c>
      <c r="U43" s="8" t="e">
        <f>IF($F$11,IF($L43="","",IFERROR(VLOOKUP($L43,day_data!$A:$O,10,FALSE),0)),NA())</f>
        <v>#N/A</v>
      </c>
      <c r="V43" s="8" t="e">
        <f>IF($F$12,IF($L43="","",IFERROR(VLOOKUP($L43,day_data!$A:$O,11,FALSE),0)),NA())</f>
        <v>#N/A</v>
      </c>
      <c r="W43" s="8" t="e">
        <f>IF($F$13,IF($L43="","",IFERROR(VLOOKUP($L43,day_data!$A:$O,12,FALSE),0)),NA())</f>
        <v>#N/A</v>
      </c>
      <c r="X43" s="10" t="e">
        <f>IF($F$14,IF($L43="","",IFERROR(VLOOKUP($L43,day_data!$A:$O,13,FALSE),0)),NA())</f>
        <v>#N/A</v>
      </c>
      <c r="Y43" s="10" t="e">
        <f>IF($F$15,IF($L43="","",IFERROR(VLOOKUP($L43,day_data!$A:$O,14,FALSE),0)),NA())</f>
        <v>#N/A</v>
      </c>
    </row>
    <row r="44" spans="12:25" x14ac:dyDescent="0.2">
      <c r="L44" s="9" t="str">
        <f t="shared" si="0"/>
        <v/>
      </c>
      <c r="M44" s="8" t="e">
        <f>IF($F$3,IF($L44="","",IFERROR(VLOOKUP($L44,day_data!$A:$O,2,FALSE),0)),NA())</f>
        <v>#N/A</v>
      </c>
      <c r="N44" s="8" t="str">
        <f>IF($F$4,IF($L44="","",IFERROR(VLOOKUP($L44,day_data!$A:$O,3,FALSE),0)),NA())</f>
        <v/>
      </c>
      <c r="O44" s="8" t="e">
        <f>IF($F$5,IF($L44="","",IFERROR(VLOOKUP($L44,day_data!$A:$O,4,FALSE),0)),NA())</f>
        <v>#N/A</v>
      </c>
      <c r="P44" s="8" t="e">
        <f>IF($F$6,IF($L44="","",IFERROR(VLOOKUP($L44,day_data!$A:$O,5,FALSE),0)),NA())</f>
        <v>#N/A</v>
      </c>
      <c r="Q44" s="8" t="e">
        <f>IF($F$7,IF($L44="","",IFERROR(VLOOKUP($L44,day_data!$A:$O,6,FALSE),0)),NA())</f>
        <v>#N/A</v>
      </c>
      <c r="R44" s="8" t="e">
        <f>IF($F$8,IF($L44="","",IFERROR(VLOOKUP($L44,day_data!$A:$O,7,FALSE),0)),NA())</f>
        <v>#N/A</v>
      </c>
      <c r="S44" s="8" t="e">
        <f>IF($F$9,IF($L44="","",IFERROR(VLOOKUP($L44,day_data!$A:$O,8,FALSE),0)),NA())</f>
        <v>#N/A</v>
      </c>
      <c r="T44" s="8" t="e">
        <f>IF($F$10,IF($L44="","",IFERROR(VLOOKUP($L44,day_data!$A:$O,9,FALSE),0)),NA())</f>
        <v>#N/A</v>
      </c>
      <c r="U44" s="8" t="e">
        <f>IF($F$11,IF($L44="","",IFERROR(VLOOKUP($L44,day_data!$A:$O,10,FALSE),0)),NA())</f>
        <v>#N/A</v>
      </c>
      <c r="V44" s="8" t="e">
        <f>IF($F$12,IF($L44="","",IFERROR(VLOOKUP($L44,day_data!$A:$O,11,FALSE),0)),NA())</f>
        <v>#N/A</v>
      </c>
      <c r="W44" s="8" t="e">
        <f>IF($F$13,IF($L44="","",IFERROR(VLOOKUP($L44,day_data!$A:$O,12,FALSE),0)),NA())</f>
        <v>#N/A</v>
      </c>
      <c r="X44" s="10" t="e">
        <f>IF($F$14,IF($L44="","",IFERROR(VLOOKUP($L44,day_data!$A:$O,13,FALSE),0)),NA())</f>
        <v>#N/A</v>
      </c>
      <c r="Y44" s="10" t="e">
        <f>IF($F$15,IF($L44="","",IFERROR(VLOOKUP($L44,day_data!$A:$O,14,FALSE),0)),NA())</f>
        <v>#N/A</v>
      </c>
    </row>
    <row r="45" spans="12:25" x14ac:dyDescent="0.2">
      <c r="L45" s="9" t="str">
        <f t="shared" si="0"/>
        <v/>
      </c>
      <c r="M45" s="8" t="e">
        <f>IF($F$3,IF($L45="","",IFERROR(VLOOKUP($L45,day_data!$A:$O,2,FALSE),0)),NA())</f>
        <v>#N/A</v>
      </c>
      <c r="N45" s="8" t="str">
        <f>IF($F$4,IF($L45="","",IFERROR(VLOOKUP($L45,day_data!$A:$O,3,FALSE),0)),NA())</f>
        <v/>
      </c>
      <c r="O45" s="8" t="e">
        <f>IF($F$5,IF($L45="","",IFERROR(VLOOKUP($L45,day_data!$A:$O,4,FALSE),0)),NA())</f>
        <v>#N/A</v>
      </c>
      <c r="P45" s="8" t="e">
        <f>IF($F$6,IF($L45="","",IFERROR(VLOOKUP($L45,day_data!$A:$O,5,FALSE),0)),NA())</f>
        <v>#N/A</v>
      </c>
      <c r="Q45" s="8" t="e">
        <f>IF($F$7,IF($L45="","",IFERROR(VLOOKUP($L45,day_data!$A:$O,6,FALSE),0)),NA())</f>
        <v>#N/A</v>
      </c>
      <c r="R45" s="8" t="e">
        <f>IF($F$8,IF($L45="","",IFERROR(VLOOKUP($L45,day_data!$A:$O,7,FALSE),0)),NA())</f>
        <v>#N/A</v>
      </c>
      <c r="S45" s="8" t="e">
        <f>IF($F$9,IF($L45="","",IFERROR(VLOOKUP($L45,day_data!$A:$O,8,FALSE),0)),NA())</f>
        <v>#N/A</v>
      </c>
      <c r="T45" s="8" t="e">
        <f>IF($F$10,IF($L45="","",IFERROR(VLOOKUP($L45,day_data!$A:$O,9,FALSE),0)),NA())</f>
        <v>#N/A</v>
      </c>
      <c r="U45" s="8" t="e">
        <f>IF($F$11,IF($L45="","",IFERROR(VLOOKUP($L45,day_data!$A:$O,10,FALSE),0)),NA())</f>
        <v>#N/A</v>
      </c>
      <c r="V45" s="8" t="e">
        <f>IF($F$12,IF($L45="","",IFERROR(VLOOKUP($L45,day_data!$A:$O,11,FALSE),0)),NA())</f>
        <v>#N/A</v>
      </c>
      <c r="W45" s="8" t="e">
        <f>IF($F$13,IF($L45="","",IFERROR(VLOOKUP($L45,day_data!$A:$O,12,FALSE),0)),NA())</f>
        <v>#N/A</v>
      </c>
      <c r="X45" s="10" t="e">
        <f>IF($F$14,IF($L45="","",IFERROR(VLOOKUP($L45,day_data!$A:$O,13,FALSE),0)),NA())</f>
        <v>#N/A</v>
      </c>
      <c r="Y45" s="10" t="e">
        <f>IF($F$15,IF($L45="","",IFERROR(VLOOKUP($L45,day_data!$A:$O,14,FALSE),0)),NA())</f>
        <v>#N/A</v>
      </c>
    </row>
    <row r="46" spans="12:25" x14ac:dyDescent="0.2">
      <c r="L46" s="9" t="str">
        <f t="shared" si="0"/>
        <v/>
      </c>
      <c r="M46" s="8" t="e">
        <f>IF($F$3,IF($L46="","",IFERROR(VLOOKUP($L46,day_data!$A:$O,2,FALSE),0)),NA())</f>
        <v>#N/A</v>
      </c>
      <c r="N46" s="8" t="str">
        <f>IF($F$4,IF($L46="","",IFERROR(VLOOKUP($L46,day_data!$A:$O,3,FALSE),0)),NA())</f>
        <v/>
      </c>
      <c r="O46" s="8" t="e">
        <f>IF($F$5,IF($L46="","",IFERROR(VLOOKUP($L46,day_data!$A:$O,4,FALSE),0)),NA())</f>
        <v>#N/A</v>
      </c>
      <c r="P46" s="8" t="e">
        <f>IF($F$6,IF($L46="","",IFERROR(VLOOKUP($L46,day_data!$A:$O,5,FALSE),0)),NA())</f>
        <v>#N/A</v>
      </c>
      <c r="Q46" s="8" t="e">
        <f>IF($F$7,IF($L46="","",IFERROR(VLOOKUP($L46,day_data!$A:$O,6,FALSE),0)),NA())</f>
        <v>#N/A</v>
      </c>
      <c r="R46" s="8" t="e">
        <f>IF($F$8,IF($L46="","",IFERROR(VLOOKUP($L46,day_data!$A:$O,7,FALSE),0)),NA())</f>
        <v>#N/A</v>
      </c>
      <c r="S46" s="8" t="e">
        <f>IF($F$9,IF($L46="","",IFERROR(VLOOKUP($L46,day_data!$A:$O,8,FALSE),0)),NA())</f>
        <v>#N/A</v>
      </c>
      <c r="T46" s="8" t="e">
        <f>IF($F$10,IF($L46="","",IFERROR(VLOOKUP($L46,day_data!$A:$O,9,FALSE),0)),NA())</f>
        <v>#N/A</v>
      </c>
      <c r="U46" s="8" t="e">
        <f>IF($F$11,IF($L46="","",IFERROR(VLOOKUP($L46,day_data!$A:$O,10,FALSE),0)),NA())</f>
        <v>#N/A</v>
      </c>
      <c r="V46" s="8" t="e">
        <f>IF($F$12,IF($L46="","",IFERROR(VLOOKUP($L46,day_data!$A:$O,11,FALSE),0)),NA())</f>
        <v>#N/A</v>
      </c>
      <c r="W46" s="8" t="e">
        <f>IF($F$13,IF($L46="","",IFERROR(VLOOKUP($L46,day_data!$A:$O,12,FALSE),0)),NA())</f>
        <v>#N/A</v>
      </c>
      <c r="X46" s="10" t="e">
        <f>IF($F$14,IF($L46="","",IFERROR(VLOOKUP($L46,day_data!$A:$O,13,FALSE),0)),NA())</f>
        <v>#N/A</v>
      </c>
      <c r="Y46" s="10" t="e">
        <f>IF($F$15,IF($L46="","",IFERROR(VLOOKUP($L46,day_data!$A:$O,14,FALSE),0)),NA())</f>
        <v>#N/A</v>
      </c>
    </row>
    <row r="47" spans="12:25" x14ac:dyDescent="0.2">
      <c r="L47" s="9" t="str">
        <f t="shared" si="0"/>
        <v/>
      </c>
      <c r="M47" s="8" t="e">
        <f>IF($F$3,IF($L47="","",IFERROR(VLOOKUP($L47,day_data!$A:$O,2,FALSE),0)),NA())</f>
        <v>#N/A</v>
      </c>
      <c r="N47" s="8" t="str">
        <f>IF($F$4,IF($L47="","",IFERROR(VLOOKUP($L47,day_data!$A:$O,3,FALSE),0)),NA())</f>
        <v/>
      </c>
      <c r="O47" s="8" t="e">
        <f>IF($F$5,IF($L47="","",IFERROR(VLOOKUP($L47,day_data!$A:$O,4,FALSE),0)),NA())</f>
        <v>#N/A</v>
      </c>
      <c r="P47" s="8" t="e">
        <f>IF($F$6,IF($L47="","",IFERROR(VLOOKUP($L47,day_data!$A:$O,5,FALSE),0)),NA())</f>
        <v>#N/A</v>
      </c>
      <c r="Q47" s="8" t="e">
        <f>IF($F$7,IF($L47="","",IFERROR(VLOOKUP($L47,day_data!$A:$O,6,FALSE),0)),NA())</f>
        <v>#N/A</v>
      </c>
      <c r="R47" s="8" t="e">
        <f>IF($F$8,IF($L47="","",IFERROR(VLOOKUP($L47,day_data!$A:$O,7,FALSE),0)),NA())</f>
        <v>#N/A</v>
      </c>
      <c r="S47" s="8" t="e">
        <f>IF($F$9,IF($L47="","",IFERROR(VLOOKUP($L47,day_data!$A:$O,8,FALSE),0)),NA())</f>
        <v>#N/A</v>
      </c>
      <c r="T47" s="8" t="e">
        <f>IF($F$10,IF($L47="","",IFERROR(VLOOKUP($L47,day_data!$A:$O,9,FALSE),0)),NA())</f>
        <v>#N/A</v>
      </c>
      <c r="U47" s="8" t="e">
        <f>IF($F$11,IF($L47="","",IFERROR(VLOOKUP($L47,day_data!$A:$O,10,FALSE),0)),NA())</f>
        <v>#N/A</v>
      </c>
      <c r="V47" s="8" t="e">
        <f>IF($F$12,IF($L47="","",IFERROR(VLOOKUP($L47,day_data!$A:$O,11,FALSE),0)),NA())</f>
        <v>#N/A</v>
      </c>
      <c r="W47" s="8" t="e">
        <f>IF($F$13,IF($L47="","",IFERROR(VLOOKUP($L47,day_data!$A:$O,12,FALSE),0)),NA())</f>
        <v>#N/A</v>
      </c>
      <c r="X47" s="10" t="e">
        <f>IF($F$14,IF($L47="","",IFERROR(VLOOKUP($L47,day_data!$A:$O,13,FALSE),0)),NA())</f>
        <v>#N/A</v>
      </c>
      <c r="Y47" s="10" t="e">
        <f>IF($F$15,IF($L47="","",IFERROR(VLOOKUP($L47,day_data!$A:$O,14,FALSE),0)),NA())</f>
        <v>#N/A</v>
      </c>
    </row>
    <row r="48" spans="12:25" x14ac:dyDescent="0.2">
      <c r="L48" s="9" t="str">
        <f t="shared" si="0"/>
        <v/>
      </c>
      <c r="M48" s="8" t="e">
        <f>IF($F$3,IF($L48="","",IFERROR(VLOOKUP($L48,day_data!$A:$O,2,FALSE),0)),NA())</f>
        <v>#N/A</v>
      </c>
      <c r="N48" s="8" t="str">
        <f>IF($F$4,IF($L48="","",IFERROR(VLOOKUP($L48,day_data!$A:$O,3,FALSE),0)),NA())</f>
        <v/>
      </c>
      <c r="O48" s="8" t="e">
        <f>IF($F$5,IF($L48="","",IFERROR(VLOOKUP($L48,day_data!$A:$O,4,FALSE),0)),NA())</f>
        <v>#N/A</v>
      </c>
      <c r="P48" s="8" t="e">
        <f>IF($F$6,IF($L48="","",IFERROR(VLOOKUP($L48,day_data!$A:$O,5,FALSE),0)),NA())</f>
        <v>#N/A</v>
      </c>
      <c r="Q48" s="8" t="e">
        <f>IF($F$7,IF($L48="","",IFERROR(VLOOKUP($L48,day_data!$A:$O,6,FALSE),0)),NA())</f>
        <v>#N/A</v>
      </c>
      <c r="R48" s="8" t="e">
        <f>IF($F$8,IF($L48="","",IFERROR(VLOOKUP($L48,day_data!$A:$O,7,FALSE),0)),NA())</f>
        <v>#N/A</v>
      </c>
      <c r="S48" s="8" t="e">
        <f>IF($F$9,IF($L48="","",IFERROR(VLOOKUP($L48,day_data!$A:$O,8,FALSE),0)),NA())</f>
        <v>#N/A</v>
      </c>
      <c r="T48" s="8" t="e">
        <f>IF($F$10,IF($L48="","",IFERROR(VLOOKUP($L48,day_data!$A:$O,9,FALSE),0)),NA())</f>
        <v>#N/A</v>
      </c>
      <c r="U48" s="8" t="e">
        <f>IF($F$11,IF($L48="","",IFERROR(VLOOKUP($L48,day_data!$A:$O,10,FALSE),0)),NA())</f>
        <v>#N/A</v>
      </c>
      <c r="V48" s="8" t="e">
        <f>IF($F$12,IF($L48="","",IFERROR(VLOOKUP($L48,day_data!$A:$O,11,FALSE),0)),NA())</f>
        <v>#N/A</v>
      </c>
      <c r="W48" s="8" t="e">
        <f>IF($F$13,IF($L48="","",IFERROR(VLOOKUP($L48,day_data!$A:$O,12,FALSE),0)),NA())</f>
        <v>#N/A</v>
      </c>
      <c r="X48" s="10" t="e">
        <f>IF($F$14,IF($L48="","",IFERROR(VLOOKUP($L48,day_data!$A:$O,13,FALSE),0)),NA())</f>
        <v>#N/A</v>
      </c>
      <c r="Y48" s="10" t="e">
        <f>IF($F$15,IF($L48="","",IFERROR(VLOOKUP($L48,day_data!$A:$O,14,FALSE),0)),NA())</f>
        <v>#N/A</v>
      </c>
    </row>
    <row r="49" spans="12:25" x14ac:dyDescent="0.2">
      <c r="L49" s="9" t="str">
        <f t="shared" si="0"/>
        <v/>
      </c>
      <c r="M49" s="8" t="e">
        <f>IF($F$3,IF($L49="","",IFERROR(VLOOKUP($L49,day_data!$A:$O,2,FALSE),0)),NA())</f>
        <v>#N/A</v>
      </c>
      <c r="N49" s="8" t="str">
        <f>IF($F$4,IF($L49="","",IFERROR(VLOOKUP($L49,day_data!$A:$O,3,FALSE),0)),NA())</f>
        <v/>
      </c>
      <c r="O49" s="8" t="e">
        <f>IF($F$5,IF($L49="","",IFERROR(VLOOKUP($L49,day_data!$A:$O,4,FALSE),0)),NA())</f>
        <v>#N/A</v>
      </c>
      <c r="P49" s="8" t="e">
        <f>IF($F$6,IF($L49="","",IFERROR(VLOOKUP($L49,day_data!$A:$O,5,FALSE),0)),NA())</f>
        <v>#N/A</v>
      </c>
      <c r="Q49" s="8" t="e">
        <f>IF($F$7,IF($L49="","",IFERROR(VLOOKUP($L49,day_data!$A:$O,6,FALSE),0)),NA())</f>
        <v>#N/A</v>
      </c>
      <c r="R49" s="8" t="e">
        <f>IF($F$8,IF($L49="","",IFERROR(VLOOKUP($L49,day_data!$A:$O,7,FALSE),0)),NA())</f>
        <v>#N/A</v>
      </c>
      <c r="S49" s="8" t="e">
        <f>IF($F$9,IF($L49="","",IFERROR(VLOOKUP($L49,day_data!$A:$O,8,FALSE),0)),NA())</f>
        <v>#N/A</v>
      </c>
      <c r="T49" s="8" t="e">
        <f>IF($F$10,IF($L49="","",IFERROR(VLOOKUP($L49,day_data!$A:$O,9,FALSE),0)),NA())</f>
        <v>#N/A</v>
      </c>
      <c r="U49" s="8" t="e">
        <f>IF($F$11,IF($L49="","",IFERROR(VLOOKUP($L49,day_data!$A:$O,10,FALSE),0)),NA())</f>
        <v>#N/A</v>
      </c>
      <c r="V49" s="8" t="e">
        <f>IF($F$12,IF($L49="","",IFERROR(VLOOKUP($L49,day_data!$A:$O,11,FALSE),0)),NA())</f>
        <v>#N/A</v>
      </c>
      <c r="W49" s="8" t="e">
        <f>IF($F$13,IF($L49="","",IFERROR(VLOOKUP($L49,day_data!$A:$O,12,FALSE),0)),NA())</f>
        <v>#N/A</v>
      </c>
      <c r="X49" s="10" t="e">
        <f>IF($F$14,IF($L49="","",IFERROR(VLOOKUP($L49,day_data!$A:$O,13,FALSE),0)),NA())</f>
        <v>#N/A</v>
      </c>
      <c r="Y49" s="10" t="e">
        <f>IF($F$15,IF($L49="","",IFERROR(VLOOKUP($L49,day_data!$A:$O,14,FALSE),0)),NA())</f>
        <v>#N/A</v>
      </c>
    </row>
    <row r="50" spans="12:25" x14ac:dyDescent="0.2">
      <c r="L50" s="9" t="str">
        <f t="shared" si="0"/>
        <v/>
      </c>
      <c r="M50" s="8" t="e">
        <f>IF($F$3,IF($L50="","",IFERROR(VLOOKUP($L50,day_data!$A:$O,2,FALSE),0)),NA())</f>
        <v>#N/A</v>
      </c>
      <c r="N50" s="8" t="str">
        <f>IF($F$4,IF($L50="","",IFERROR(VLOOKUP($L50,day_data!$A:$O,3,FALSE),0)),NA())</f>
        <v/>
      </c>
      <c r="O50" s="8" t="e">
        <f>IF($F$5,IF($L50="","",IFERROR(VLOOKUP($L50,day_data!$A:$O,4,FALSE),0)),NA())</f>
        <v>#N/A</v>
      </c>
      <c r="P50" s="8" t="e">
        <f>IF($F$6,IF($L50="","",IFERROR(VLOOKUP($L50,day_data!$A:$O,5,FALSE),0)),NA())</f>
        <v>#N/A</v>
      </c>
      <c r="Q50" s="8" t="e">
        <f>IF($F$7,IF($L50="","",IFERROR(VLOOKUP($L50,day_data!$A:$O,6,FALSE),0)),NA())</f>
        <v>#N/A</v>
      </c>
      <c r="R50" s="8" t="e">
        <f>IF($F$8,IF($L50="","",IFERROR(VLOOKUP($L50,day_data!$A:$O,7,FALSE),0)),NA())</f>
        <v>#N/A</v>
      </c>
      <c r="S50" s="8" t="e">
        <f>IF($F$9,IF($L50="","",IFERROR(VLOOKUP($L50,day_data!$A:$O,8,FALSE),0)),NA())</f>
        <v>#N/A</v>
      </c>
      <c r="T50" s="8" t="e">
        <f>IF($F$10,IF($L50="","",IFERROR(VLOOKUP($L50,day_data!$A:$O,9,FALSE),0)),NA())</f>
        <v>#N/A</v>
      </c>
      <c r="U50" s="8" t="e">
        <f>IF($F$11,IF($L50="","",IFERROR(VLOOKUP($L50,day_data!$A:$O,10,FALSE),0)),NA())</f>
        <v>#N/A</v>
      </c>
      <c r="V50" s="8" t="e">
        <f>IF($F$12,IF($L50="","",IFERROR(VLOOKUP($L50,day_data!$A:$O,11,FALSE),0)),NA())</f>
        <v>#N/A</v>
      </c>
      <c r="W50" s="8" t="e">
        <f>IF($F$13,IF($L50="","",IFERROR(VLOOKUP($L50,day_data!$A:$O,12,FALSE),0)),NA())</f>
        <v>#N/A</v>
      </c>
      <c r="X50" s="10" t="e">
        <f>IF($F$14,IF($L50="","",IFERROR(VLOOKUP($L50,day_data!$A:$O,13,FALSE),0)),NA())</f>
        <v>#N/A</v>
      </c>
      <c r="Y50" s="10" t="e">
        <f>IF($F$15,IF($L50="","",IFERROR(VLOOKUP($L50,day_data!$A:$O,14,FALSE),0)),NA())</f>
        <v>#N/A</v>
      </c>
    </row>
    <row r="51" spans="12:25" x14ac:dyDescent="0.2">
      <c r="L51" s="9" t="str">
        <f t="shared" si="0"/>
        <v/>
      </c>
      <c r="M51" s="8" t="e">
        <f>IF($F$3,IF($L51="","",IFERROR(VLOOKUP($L51,day_data!$A:$O,2,FALSE),0)),NA())</f>
        <v>#N/A</v>
      </c>
      <c r="N51" s="8" t="str">
        <f>IF($F$4,IF($L51="","",IFERROR(VLOOKUP($L51,day_data!$A:$O,3,FALSE),0)),NA())</f>
        <v/>
      </c>
      <c r="O51" s="8" t="e">
        <f>IF($F$5,IF($L51="","",IFERROR(VLOOKUP($L51,day_data!$A:$O,4,FALSE),0)),NA())</f>
        <v>#N/A</v>
      </c>
      <c r="P51" s="8" t="e">
        <f>IF($F$6,IF($L51="","",IFERROR(VLOOKUP($L51,day_data!$A:$O,5,FALSE),0)),NA())</f>
        <v>#N/A</v>
      </c>
      <c r="Q51" s="8" t="e">
        <f>IF($F$7,IF($L51="","",IFERROR(VLOOKUP($L51,day_data!$A:$O,6,FALSE),0)),NA())</f>
        <v>#N/A</v>
      </c>
      <c r="R51" s="8" t="e">
        <f>IF($F$8,IF($L51="","",IFERROR(VLOOKUP($L51,day_data!$A:$O,7,FALSE),0)),NA())</f>
        <v>#N/A</v>
      </c>
      <c r="S51" s="8" t="e">
        <f>IF($F$9,IF($L51="","",IFERROR(VLOOKUP($L51,day_data!$A:$O,8,FALSE),0)),NA())</f>
        <v>#N/A</v>
      </c>
      <c r="T51" s="8" t="e">
        <f>IF($F$10,IF($L51="","",IFERROR(VLOOKUP($L51,day_data!$A:$O,9,FALSE),0)),NA())</f>
        <v>#N/A</v>
      </c>
      <c r="U51" s="8" t="e">
        <f>IF($F$11,IF($L51="","",IFERROR(VLOOKUP($L51,day_data!$A:$O,10,FALSE),0)),NA())</f>
        <v>#N/A</v>
      </c>
      <c r="V51" s="8" t="e">
        <f>IF($F$12,IF($L51="","",IFERROR(VLOOKUP($L51,day_data!$A:$O,11,FALSE),0)),NA())</f>
        <v>#N/A</v>
      </c>
      <c r="W51" s="8" t="e">
        <f>IF($F$13,IF($L51="","",IFERROR(VLOOKUP($L51,day_data!$A:$O,12,FALSE),0)),NA())</f>
        <v>#N/A</v>
      </c>
      <c r="X51" s="10" t="e">
        <f>IF($F$14,IF($L51="","",IFERROR(VLOOKUP($L51,day_data!$A:$O,13,FALSE),0)),NA())</f>
        <v>#N/A</v>
      </c>
      <c r="Y51" s="10" t="e">
        <f>IF($F$15,IF($L51="","",IFERROR(VLOOKUP($L51,day_data!$A:$O,14,FALSE),0)),NA())</f>
        <v>#N/A</v>
      </c>
    </row>
    <row r="52" spans="12:25" x14ac:dyDescent="0.2">
      <c r="L52" s="9" t="str">
        <f t="shared" si="0"/>
        <v/>
      </c>
      <c r="M52" s="8" t="e">
        <f>IF($F$3,IF($L52="","",IFERROR(VLOOKUP($L52,day_data!$A:$O,2,FALSE),0)),NA())</f>
        <v>#N/A</v>
      </c>
      <c r="N52" s="8" t="str">
        <f>IF($F$4,IF($L52="","",IFERROR(VLOOKUP($L52,day_data!$A:$O,3,FALSE),0)),NA())</f>
        <v/>
      </c>
      <c r="O52" s="8" t="e">
        <f>IF($F$5,IF($L52="","",IFERROR(VLOOKUP($L52,day_data!$A:$O,4,FALSE),0)),NA())</f>
        <v>#N/A</v>
      </c>
      <c r="P52" s="8" t="e">
        <f>IF($F$6,IF($L52="","",IFERROR(VLOOKUP($L52,day_data!$A:$O,5,FALSE),0)),NA())</f>
        <v>#N/A</v>
      </c>
      <c r="Q52" s="8" t="e">
        <f>IF($F$7,IF($L52="","",IFERROR(VLOOKUP($L52,day_data!$A:$O,6,FALSE),0)),NA())</f>
        <v>#N/A</v>
      </c>
      <c r="R52" s="8" t="e">
        <f>IF($F$8,IF($L52="","",IFERROR(VLOOKUP($L52,day_data!$A:$O,7,FALSE),0)),NA())</f>
        <v>#N/A</v>
      </c>
      <c r="S52" s="8" t="e">
        <f>IF($F$9,IF($L52="","",IFERROR(VLOOKUP($L52,day_data!$A:$O,8,FALSE),0)),NA())</f>
        <v>#N/A</v>
      </c>
      <c r="T52" s="8" t="e">
        <f>IF($F$10,IF($L52="","",IFERROR(VLOOKUP($L52,day_data!$A:$O,9,FALSE),0)),NA())</f>
        <v>#N/A</v>
      </c>
      <c r="U52" s="8" t="e">
        <f>IF($F$11,IF($L52="","",IFERROR(VLOOKUP($L52,day_data!$A:$O,10,FALSE),0)),NA())</f>
        <v>#N/A</v>
      </c>
      <c r="V52" s="8" t="e">
        <f>IF($F$12,IF($L52="","",IFERROR(VLOOKUP($L52,day_data!$A:$O,11,FALSE),0)),NA())</f>
        <v>#N/A</v>
      </c>
      <c r="W52" s="8" t="e">
        <f>IF($F$13,IF($L52="","",IFERROR(VLOOKUP($L52,day_data!$A:$O,12,FALSE),0)),NA())</f>
        <v>#N/A</v>
      </c>
      <c r="X52" s="10" t="e">
        <f>IF($F$14,IF($L52="","",IFERROR(VLOOKUP($L52,day_data!$A:$O,13,FALSE),0)),NA())</f>
        <v>#N/A</v>
      </c>
      <c r="Y52" s="10" t="e">
        <f>IF($F$15,IF($L52="","",IFERROR(VLOOKUP($L52,day_data!$A:$O,14,FALSE),0)),NA())</f>
        <v>#N/A</v>
      </c>
    </row>
    <row r="53" spans="12:25" x14ac:dyDescent="0.2">
      <c r="L53" s="9" t="str">
        <f t="shared" si="0"/>
        <v/>
      </c>
      <c r="M53" s="8" t="e">
        <f>IF($F$3,IF($L53="","",IFERROR(VLOOKUP($L53,day_data!$A:$O,2,FALSE),0)),NA())</f>
        <v>#N/A</v>
      </c>
      <c r="N53" s="8" t="str">
        <f>IF($F$4,IF($L53="","",IFERROR(VLOOKUP($L53,day_data!$A:$O,3,FALSE),0)),NA())</f>
        <v/>
      </c>
      <c r="O53" s="8" t="e">
        <f>IF($F$5,IF($L53="","",IFERROR(VLOOKUP($L53,day_data!$A:$O,4,FALSE),0)),NA())</f>
        <v>#N/A</v>
      </c>
      <c r="P53" s="8" t="e">
        <f>IF($F$6,IF($L53="","",IFERROR(VLOOKUP($L53,day_data!$A:$O,5,FALSE),0)),NA())</f>
        <v>#N/A</v>
      </c>
      <c r="Q53" s="8" t="e">
        <f>IF($F$7,IF($L53="","",IFERROR(VLOOKUP($L53,day_data!$A:$O,6,FALSE),0)),NA())</f>
        <v>#N/A</v>
      </c>
      <c r="R53" s="8" t="e">
        <f>IF($F$8,IF($L53="","",IFERROR(VLOOKUP($L53,day_data!$A:$O,7,FALSE),0)),NA())</f>
        <v>#N/A</v>
      </c>
      <c r="S53" s="8" t="e">
        <f>IF($F$9,IF($L53="","",IFERROR(VLOOKUP($L53,day_data!$A:$O,8,FALSE),0)),NA())</f>
        <v>#N/A</v>
      </c>
      <c r="T53" s="8" t="e">
        <f>IF($F$10,IF($L53="","",IFERROR(VLOOKUP($L53,day_data!$A:$O,9,FALSE),0)),NA())</f>
        <v>#N/A</v>
      </c>
      <c r="U53" s="8" t="e">
        <f>IF($F$11,IF($L53="","",IFERROR(VLOOKUP($L53,day_data!$A:$O,10,FALSE),0)),NA())</f>
        <v>#N/A</v>
      </c>
      <c r="V53" s="8" t="e">
        <f>IF($F$12,IF($L53="","",IFERROR(VLOOKUP($L53,day_data!$A:$O,11,FALSE),0)),NA())</f>
        <v>#N/A</v>
      </c>
      <c r="W53" s="8" t="e">
        <f>IF($F$13,IF($L53="","",IFERROR(VLOOKUP($L53,day_data!$A:$O,12,FALSE),0)),NA())</f>
        <v>#N/A</v>
      </c>
      <c r="X53" s="10" t="e">
        <f>IF($F$14,IF($L53="","",IFERROR(VLOOKUP($L53,day_data!$A:$O,13,FALSE),0)),NA())</f>
        <v>#N/A</v>
      </c>
      <c r="Y53" s="10" t="e">
        <f>IF($F$15,IF($L53="","",IFERROR(VLOOKUP($L53,day_data!$A:$O,14,FALSE),0)),NA())</f>
        <v>#N/A</v>
      </c>
    </row>
    <row r="54" spans="12:25" x14ac:dyDescent="0.2">
      <c r="L54" s="9" t="str">
        <f t="shared" si="0"/>
        <v/>
      </c>
      <c r="M54" s="8" t="e">
        <f>IF($F$3,IF($L54="","",IFERROR(VLOOKUP($L54,day_data!$A:$O,2,FALSE),0)),NA())</f>
        <v>#N/A</v>
      </c>
      <c r="N54" s="8" t="str">
        <f>IF($F$4,IF($L54="","",IFERROR(VLOOKUP($L54,day_data!$A:$O,3,FALSE),0)),NA())</f>
        <v/>
      </c>
      <c r="O54" s="8" t="e">
        <f>IF($F$5,IF($L54="","",IFERROR(VLOOKUP($L54,day_data!$A:$O,4,FALSE),0)),NA())</f>
        <v>#N/A</v>
      </c>
      <c r="P54" s="8" t="e">
        <f>IF($F$6,IF($L54="","",IFERROR(VLOOKUP($L54,day_data!$A:$O,5,FALSE),0)),NA())</f>
        <v>#N/A</v>
      </c>
      <c r="Q54" s="8" t="e">
        <f>IF($F$7,IF($L54="","",IFERROR(VLOOKUP($L54,day_data!$A:$O,6,FALSE),0)),NA())</f>
        <v>#N/A</v>
      </c>
      <c r="R54" s="8" t="e">
        <f>IF($F$8,IF($L54="","",IFERROR(VLOOKUP($L54,day_data!$A:$O,7,FALSE),0)),NA())</f>
        <v>#N/A</v>
      </c>
      <c r="S54" s="8" t="e">
        <f>IF($F$9,IF($L54="","",IFERROR(VLOOKUP($L54,day_data!$A:$O,8,FALSE),0)),NA())</f>
        <v>#N/A</v>
      </c>
      <c r="T54" s="8" t="e">
        <f>IF($F$10,IF($L54="","",IFERROR(VLOOKUP($L54,day_data!$A:$O,9,FALSE),0)),NA())</f>
        <v>#N/A</v>
      </c>
      <c r="U54" s="8" t="e">
        <f>IF($F$11,IF($L54="","",IFERROR(VLOOKUP($L54,day_data!$A:$O,10,FALSE),0)),NA())</f>
        <v>#N/A</v>
      </c>
      <c r="V54" s="8" t="e">
        <f>IF($F$12,IF($L54="","",IFERROR(VLOOKUP($L54,day_data!$A:$O,11,FALSE),0)),NA())</f>
        <v>#N/A</v>
      </c>
      <c r="W54" s="8" t="e">
        <f>IF($F$13,IF($L54="","",IFERROR(VLOOKUP($L54,day_data!$A:$O,12,FALSE),0)),NA())</f>
        <v>#N/A</v>
      </c>
      <c r="X54" s="10" t="e">
        <f>IF($F$14,IF($L54="","",IFERROR(VLOOKUP($L54,day_data!$A:$O,13,FALSE),0)),NA())</f>
        <v>#N/A</v>
      </c>
      <c r="Y54" s="10" t="e">
        <f>IF($F$15,IF($L54="","",IFERROR(VLOOKUP($L54,day_data!$A:$O,14,FALSE),0)),NA())</f>
        <v>#N/A</v>
      </c>
    </row>
    <row r="55" spans="12:25" x14ac:dyDescent="0.2">
      <c r="L55" s="9" t="str">
        <f t="shared" si="0"/>
        <v/>
      </c>
      <c r="M55" s="8" t="e">
        <f>IF($F$3,IF($L55="","",IFERROR(VLOOKUP($L55,day_data!$A:$O,2,FALSE),0)),NA())</f>
        <v>#N/A</v>
      </c>
      <c r="N55" s="8" t="str">
        <f>IF($F$4,IF($L55="","",IFERROR(VLOOKUP($L55,day_data!$A:$O,3,FALSE),0)),NA())</f>
        <v/>
      </c>
      <c r="O55" s="8" t="e">
        <f>IF($F$5,IF($L55="","",IFERROR(VLOOKUP($L55,day_data!$A:$O,4,FALSE),0)),NA())</f>
        <v>#N/A</v>
      </c>
      <c r="P55" s="8" t="e">
        <f>IF($F$6,IF($L55="","",IFERROR(VLOOKUP($L55,day_data!$A:$O,5,FALSE),0)),NA())</f>
        <v>#N/A</v>
      </c>
      <c r="Q55" s="8" t="e">
        <f>IF($F$7,IF($L55="","",IFERROR(VLOOKUP($L55,day_data!$A:$O,6,FALSE),0)),NA())</f>
        <v>#N/A</v>
      </c>
      <c r="R55" s="8" t="e">
        <f>IF($F$8,IF($L55="","",IFERROR(VLOOKUP($L55,day_data!$A:$O,7,FALSE),0)),NA())</f>
        <v>#N/A</v>
      </c>
      <c r="S55" s="8" t="e">
        <f>IF($F$9,IF($L55="","",IFERROR(VLOOKUP($L55,day_data!$A:$O,8,FALSE),0)),NA())</f>
        <v>#N/A</v>
      </c>
      <c r="T55" s="8" t="e">
        <f>IF($F$10,IF($L55="","",IFERROR(VLOOKUP($L55,day_data!$A:$O,9,FALSE),0)),NA())</f>
        <v>#N/A</v>
      </c>
      <c r="U55" s="8" t="e">
        <f>IF($F$11,IF($L55="","",IFERROR(VLOOKUP($L55,day_data!$A:$O,10,FALSE),0)),NA())</f>
        <v>#N/A</v>
      </c>
      <c r="V55" s="8" t="e">
        <f>IF($F$12,IF($L55="","",IFERROR(VLOOKUP($L55,day_data!$A:$O,11,FALSE),0)),NA())</f>
        <v>#N/A</v>
      </c>
      <c r="W55" s="8" t="e">
        <f>IF($F$13,IF($L55="","",IFERROR(VLOOKUP($L55,day_data!$A:$O,12,FALSE),0)),NA())</f>
        <v>#N/A</v>
      </c>
      <c r="X55" s="10" t="e">
        <f>IF($F$14,IF($L55="","",IFERROR(VLOOKUP($L55,day_data!$A:$O,13,FALSE),0)),NA())</f>
        <v>#N/A</v>
      </c>
      <c r="Y55" s="10" t="e">
        <f>IF($F$15,IF($L55="","",IFERROR(VLOOKUP($L55,day_data!$A:$O,14,FALSE),0)),NA())</f>
        <v>#N/A</v>
      </c>
    </row>
    <row r="56" spans="12:25" x14ac:dyDescent="0.2">
      <c r="L56" s="9" t="str">
        <f t="shared" si="0"/>
        <v/>
      </c>
      <c r="M56" s="8" t="e">
        <f>IF($F$3,IF($L56="","",IFERROR(VLOOKUP($L56,day_data!$A:$O,2,FALSE),0)),NA())</f>
        <v>#N/A</v>
      </c>
      <c r="N56" s="8" t="str">
        <f>IF($F$4,IF($L56="","",IFERROR(VLOOKUP($L56,day_data!$A:$O,3,FALSE),0)),NA())</f>
        <v/>
      </c>
      <c r="O56" s="8" t="e">
        <f>IF($F$5,IF($L56="","",IFERROR(VLOOKUP($L56,day_data!$A:$O,4,FALSE),0)),NA())</f>
        <v>#N/A</v>
      </c>
      <c r="P56" s="8" t="e">
        <f>IF($F$6,IF($L56="","",IFERROR(VLOOKUP($L56,day_data!$A:$O,5,FALSE),0)),NA())</f>
        <v>#N/A</v>
      </c>
      <c r="Q56" s="8" t="e">
        <f>IF($F$7,IF($L56="","",IFERROR(VLOOKUP($L56,day_data!$A:$O,6,FALSE),0)),NA())</f>
        <v>#N/A</v>
      </c>
      <c r="R56" s="8" t="e">
        <f>IF($F$8,IF($L56="","",IFERROR(VLOOKUP($L56,day_data!$A:$O,7,FALSE),0)),NA())</f>
        <v>#N/A</v>
      </c>
      <c r="S56" s="8" t="e">
        <f>IF($F$9,IF($L56="","",IFERROR(VLOOKUP($L56,day_data!$A:$O,8,FALSE),0)),NA())</f>
        <v>#N/A</v>
      </c>
      <c r="T56" s="8" t="e">
        <f>IF($F$10,IF($L56="","",IFERROR(VLOOKUP($L56,day_data!$A:$O,9,FALSE),0)),NA())</f>
        <v>#N/A</v>
      </c>
      <c r="U56" s="8" t="e">
        <f>IF($F$11,IF($L56="","",IFERROR(VLOOKUP($L56,day_data!$A:$O,10,FALSE),0)),NA())</f>
        <v>#N/A</v>
      </c>
      <c r="V56" s="8" t="e">
        <f>IF($F$12,IF($L56="","",IFERROR(VLOOKUP($L56,day_data!$A:$O,11,FALSE),0)),NA())</f>
        <v>#N/A</v>
      </c>
      <c r="W56" s="8" t="e">
        <f>IF($F$13,IF($L56="","",IFERROR(VLOOKUP($L56,day_data!$A:$O,12,FALSE),0)),NA())</f>
        <v>#N/A</v>
      </c>
      <c r="X56" s="10" t="e">
        <f>IF($F$14,IF($L56="","",IFERROR(VLOOKUP($L56,day_data!$A:$O,13,FALSE),0)),NA())</f>
        <v>#N/A</v>
      </c>
      <c r="Y56" s="10" t="e">
        <f>IF($F$15,IF($L56="","",IFERROR(VLOOKUP($L56,day_data!$A:$O,14,FALSE),0)),NA())</f>
        <v>#N/A</v>
      </c>
    </row>
    <row r="57" spans="12:25" x14ac:dyDescent="0.2">
      <c r="L57" s="9" t="str">
        <f t="shared" si="0"/>
        <v/>
      </c>
      <c r="M57" s="8" t="e">
        <f>IF($F$3,IF($L57="","",IFERROR(VLOOKUP($L57,day_data!$A:$O,2,FALSE),0)),NA())</f>
        <v>#N/A</v>
      </c>
      <c r="N57" s="8" t="str">
        <f>IF($F$4,IF($L57="","",IFERROR(VLOOKUP($L57,day_data!$A:$O,3,FALSE),0)),NA())</f>
        <v/>
      </c>
      <c r="O57" s="8" t="e">
        <f>IF($F$5,IF($L57="","",IFERROR(VLOOKUP($L57,day_data!$A:$O,4,FALSE),0)),NA())</f>
        <v>#N/A</v>
      </c>
      <c r="P57" s="8" t="e">
        <f>IF($F$6,IF($L57="","",IFERROR(VLOOKUP($L57,day_data!$A:$O,5,FALSE),0)),NA())</f>
        <v>#N/A</v>
      </c>
      <c r="Q57" s="8" t="e">
        <f>IF($F$7,IF($L57="","",IFERROR(VLOOKUP($L57,day_data!$A:$O,6,FALSE),0)),NA())</f>
        <v>#N/A</v>
      </c>
      <c r="R57" s="8" t="e">
        <f>IF($F$8,IF($L57="","",IFERROR(VLOOKUP($L57,day_data!$A:$O,7,FALSE),0)),NA())</f>
        <v>#N/A</v>
      </c>
      <c r="S57" s="8" t="e">
        <f>IF($F$9,IF($L57="","",IFERROR(VLOOKUP($L57,day_data!$A:$O,8,FALSE),0)),NA())</f>
        <v>#N/A</v>
      </c>
      <c r="T57" s="8" t="e">
        <f>IF($F$10,IF($L57="","",IFERROR(VLOOKUP($L57,day_data!$A:$O,9,FALSE),0)),NA())</f>
        <v>#N/A</v>
      </c>
      <c r="U57" s="8" t="e">
        <f>IF($F$11,IF($L57="","",IFERROR(VLOOKUP($L57,day_data!$A:$O,10,FALSE),0)),NA())</f>
        <v>#N/A</v>
      </c>
      <c r="V57" s="8" t="e">
        <f>IF($F$12,IF($L57="","",IFERROR(VLOOKUP($L57,day_data!$A:$O,11,FALSE),0)),NA())</f>
        <v>#N/A</v>
      </c>
      <c r="W57" s="8" t="e">
        <f>IF($F$13,IF($L57="","",IFERROR(VLOOKUP($L57,day_data!$A:$O,12,FALSE),0)),NA())</f>
        <v>#N/A</v>
      </c>
      <c r="X57" s="10" t="e">
        <f>IF($F$14,IF($L57="","",IFERROR(VLOOKUP($L57,day_data!$A:$O,13,FALSE),0)),NA())</f>
        <v>#N/A</v>
      </c>
      <c r="Y57" s="10" t="e">
        <f>IF($F$15,IF($L57="","",IFERROR(VLOOKUP($L57,day_data!$A:$O,14,FALSE),0)),NA())</f>
        <v>#N/A</v>
      </c>
    </row>
    <row r="58" spans="12:25" x14ac:dyDescent="0.2">
      <c r="L58" s="9" t="str">
        <f t="shared" si="0"/>
        <v/>
      </c>
      <c r="M58" s="8" t="e">
        <f>IF($F$3,IF($L58="","",IFERROR(VLOOKUP($L58,day_data!$A:$O,2,FALSE),0)),NA())</f>
        <v>#N/A</v>
      </c>
      <c r="N58" s="8" t="str">
        <f>IF($F$4,IF($L58="","",IFERROR(VLOOKUP($L58,day_data!$A:$O,3,FALSE),0)),NA())</f>
        <v/>
      </c>
      <c r="O58" s="8" t="e">
        <f>IF($F$5,IF($L58="","",IFERROR(VLOOKUP($L58,day_data!$A:$O,4,FALSE),0)),NA())</f>
        <v>#N/A</v>
      </c>
      <c r="P58" s="8" t="e">
        <f>IF($F$6,IF($L58="","",IFERROR(VLOOKUP($L58,day_data!$A:$O,5,FALSE),0)),NA())</f>
        <v>#N/A</v>
      </c>
      <c r="Q58" s="8" t="e">
        <f>IF($F$7,IF($L58="","",IFERROR(VLOOKUP($L58,day_data!$A:$O,6,FALSE),0)),NA())</f>
        <v>#N/A</v>
      </c>
      <c r="R58" s="8" t="e">
        <f>IF($F$8,IF($L58="","",IFERROR(VLOOKUP($L58,day_data!$A:$O,7,FALSE),0)),NA())</f>
        <v>#N/A</v>
      </c>
      <c r="S58" s="8" t="e">
        <f>IF($F$9,IF($L58="","",IFERROR(VLOOKUP($L58,day_data!$A:$O,8,FALSE),0)),NA())</f>
        <v>#N/A</v>
      </c>
      <c r="T58" s="8" t="e">
        <f>IF($F$10,IF($L58="","",IFERROR(VLOOKUP($L58,day_data!$A:$O,9,FALSE),0)),NA())</f>
        <v>#N/A</v>
      </c>
      <c r="U58" s="8" t="e">
        <f>IF($F$11,IF($L58="","",IFERROR(VLOOKUP($L58,day_data!$A:$O,10,FALSE),0)),NA())</f>
        <v>#N/A</v>
      </c>
      <c r="V58" s="8" t="e">
        <f>IF($F$12,IF($L58="","",IFERROR(VLOOKUP($L58,day_data!$A:$O,11,FALSE),0)),NA())</f>
        <v>#N/A</v>
      </c>
      <c r="W58" s="8" t="e">
        <f>IF($F$13,IF($L58="","",IFERROR(VLOOKUP($L58,day_data!$A:$O,12,FALSE),0)),NA())</f>
        <v>#N/A</v>
      </c>
      <c r="X58" s="10" t="e">
        <f>IF($F$14,IF($L58="","",IFERROR(VLOOKUP($L58,day_data!$A:$O,13,FALSE),0)),NA())</f>
        <v>#N/A</v>
      </c>
      <c r="Y58" s="10" t="e">
        <f>IF($F$15,IF($L58="","",IFERROR(VLOOKUP($L58,day_data!$A:$O,14,FALSE),0)),NA())</f>
        <v>#N/A</v>
      </c>
    </row>
    <row r="59" spans="12:25" x14ac:dyDescent="0.2">
      <c r="L59" s="9" t="str">
        <f t="shared" si="0"/>
        <v/>
      </c>
      <c r="M59" s="8" t="e">
        <f>IF($F$3,IF($L59="","",IFERROR(VLOOKUP($L59,day_data!$A:$O,2,FALSE),0)),NA())</f>
        <v>#N/A</v>
      </c>
      <c r="N59" s="8" t="str">
        <f>IF($F$4,IF($L59="","",IFERROR(VLOOKUP($L59,day_data!$A:$O,3,FALSE),0)),NA())</f>
        <v/>
      </c>
      <c r="O59" s="8" t="e">
        <f>IF($F$5,IF($L59="","",IFERROR(VLOOKUP($L59,day_data!$A:$O,4,FALSE),0)),NA())</f>
        <v>#N/A</v>
      </c>
      <c r="P59" s="8" t="e">
        <f>IF($F$6,IF($L59="","",IFERROR(VLOOKUP($L59,day_data!$A:$O,5,FALSE),0)),NA())</f>
        <v>#N/A</v>
      </c>
      <c r="Q59" s="8" t="e">
        <f>IF($F$7,IF($L59="","",IFERROR(VLOOKUP($L59,day_data!$A:$O,6,FALSE),0)),NA())</f>
        <v>#N/A</v>
      </c>
      <c r="R59" s="8" t="e">
        <f>IF($F$8,IF($L59="","",IFERROR(VLOOKUP($L59,day_data!$A:$O,7,FALSE),0)),NA())</f>
        <v>#N/A</v>
      </c>
      <c r="S59" s="8" t="e">
        <f>IF($F$9,IF($L59="","",IFERROR(VLOOKUP($L59,day_data!$A:$O,8,FALSE),0)),NA())</f>
        <v>#N/A</v>
      </c>
      <c r="T59" s="8" t="e">
        <f>IF($F$10,IF($L59="","",IFERROR(VLOOKUP($L59,day_data!$A:$O,9,FALSE),0)),NA())</f>
        <v>#N/A</v>
      </c>
      <c r="U59" s="8" t="e">
        <f>IF($F$11,IF($L59="","",IFERROR(VLOOKUP($L59,day_data!$A:$O,10,FALSE),0)),NA())</f>
        <v>#N/A</v>
      </c>
      <c r="V59" s="8" t="e">
        <f>IF($F$12,IF($L59="","",IFERROR(VLOOKUP($L59,day_data!$A:$O,11,FALSE),0)),NA())</f>
        <v>#N/A</v>
      </c>
      <c r="W59" s="8" t="e">
        <f>IF($F$13,IF($L59="","",IFERROR(VLOOKUP($L59,day_data!$A:$O,12,FALSE),0)),NA())</f>
        <v>#N/A</v>
      </c>
      <c r="X59" s="10" t="e">
        <f>IF($F$14,IF($L59="","",IFERROR(VLOOKUP($L59,day_data!$A:$O,13,FALSE),0)),NA())</f>
        <v>#N/A</v>
      </c>
      <c r="Y59" s="10" t="e">
        <f>IF($F$15,IF($L59="","",IFERROR(VLOOKUP($L59,day_data!$A:$O,14,FALSE),0)),NA())</f>
        <v>#N/A</v>
      </c>
    </row>
    <row r="60" spans="12:25" x14ac:dyDescent="0.2">
      <c r="L60" s="9" t="str">
        <f t="shared" si="0"/>
        <v/>
      </c>
      <c r="M60" s="8" t="e">
        <f>IF($F$3,IF($L60="","",IFERROR(VLOOKUP($L60,day_data!$A:$O,2,FALSE),0)),NA())</f>
        <v>#N/A</v>
      </c>
      <c r="N60" s="8" t="str">
        <f>IF($F$4,IF($L60="","",IFERROR(VLOOKUP($L60,day_data!$A:$O,3,FALSE),0)),NA())</f>
        <v/>
      </c>
      <c r="O60" s="8" t="e">
        <f>IF($F$5,IF($L60="","",IFERROR(VLOOKUP($L60,day_data!$A:$O,4,FALSE),0)),NA())</f>
        <v>#N/A</v>
      </c>
      <c r="P60" s="8" t="e">
        <f>IF($F$6,IF($L60="","",IFERROR(VLOOKUP($L60,day_data!$A:$O,5,FALSE),0)),NA())</f>
        <v>#N/A</v>
      </c>
      <c r="Q60" s="8" t="e">
        <f>IF($F$7,IF($L60="","",IFERROR(VLOOKUP($L60,day_data!$A:$O,6,FALSE),0)),NA())</f>
        <v>#N/A</v>
      </c>
      <c r="R60" s="8" t="e">
        <f>IF($F$8,IF($L60="","",IFERROR(VLOOKUP($L60,day_data!$A:$O,7,FALSE),0)),NA())</f>
        <v>#N/A</v>
      </c>
      <c r="S60" s="8" t="e">
        <f>IF($F$9,IF($L60="","",IFERROR(VLOOKUP($L60,day_data!$A:$O,8,FALSE),0)),NA())</f>
        <v>#N/A</v>
      </c>
      <c r="T60" s="8" t="e">
        <f>IF($F$10,IF($L60="","",IFERROR(VLOOKUP($L60,day_data!$A:$O,9,FALSE),0)),NA())</f>
        <v>#N/A</v>
      </c>
      <c r="U60" s="8" t="e">
        <f>IF($F$11,IF($L60="","",IFERROR(VLOOKUP($L60,day_data!$A:$O,10,FALSE),0)),NA())</f>
        <v>#N/A</v>
      </c>
      <c r="V60" s="8" t="e">
        <f>IF($F$12,IF($L60="","",IFERROR(VLOOKUP($L60,day_data!$A:$O,11,FALSE),0)),NA())</f>
        <v>#N/A</v>
      </c>
      <c r="W60" s="8" t="e">
        <f>IF($F$13,IF($L60="","",IFERROR(VLOOKUP($L60,day_data!$A:$O,12,FALSE),0)),NA())</f>
        <v>#N/A</v>
      </c>
      <c r="X60" s="10" t="e">
        <f>IF($F$14,IF($L60="","",IFERROR(VLOOKUP($L60,day_data!$A:$O,13,FALSE),0)),NA())</f>
        <v>#N/A</v>
      </c>
      <c r="Y60" s="10" t="e">
        <f>IF($F$15,IF($L60="","",IFERROR(VLOOKUP($L60,day_data!$A:$O,14,FALSE),0)),NA())</f>
        <v>#N/A</v>
      </c>
    </row>
    <row r="61" spans="12:25" x14ac:dyDescent="0.2">
      <c r="L61" s="9" t="str">
        <f t="shared" si="0"/>
        <v/>
      </c>
      <c r="M61" s="8" t="e">
        <f>IF($F$3,IF($L61="","",IFERROR(VLOOKUP($L61,day_data!$A:$O,2,FALSE),0)),NA())</f>
        <v>#N/A</v>
      </c>
      <c r="N61" s="8" t="str">
        <f>IF($F$4,IF($L61="","",IFERROR(VLOOKUP($L61,day_data!$A:$O,3,FALSE),0)),NA())</f>
        <v/>
      </c>
      <c r="O61" s="8" t="e">
        <f>IF($F$5,IF($L61="","",IFERROR(VLOOKUP($L61,day_data!$A:$O,4,FALSE),0)),NA())</f>
        <v>#N/A</v>
      </c>
      <c r="P61" s="8" t="e">
        <f>IF($F$6,IF($L61="","",IFERROR(VLOOKUP($L61,day_data!$A:$O,5,FALSE),0)),NA())</f>
        <v>#N/A</v>
      </c>
      <c r="Q61" s="8" t="e">
        <f>IF($F$7,IF($L61="","",IFERROR(VLOOKUP($L61,day_data!$A:$O,6,FALSE),0)),NA())</f>
        <v>#N/A</v>
      </c>
      <c r="R61" s="8" t="e">
        <f>IF($F$8,IF($L61="","",IFERROR(VLOOKUP($L61,day_data!$A:$O,7,FALSE),0)),NA())</f>
        <v>#N/A</v>
      </c>
      <c r="S61" s="8" t="e">
        <f>IF($F$9,IF($L61="","",IFERROR(VLOOKUP($L61,day_data!$A:$O,8,FALSE),0)),NA())</f>
        <v>#N/A</v>
      </c>
      <c r="T61" s="8" t="e">
        <f>IF($F$10,IF($L61="","",IFERROR(VLOOKUP($L61,day_data!$A:$O,9,FALSE),0)),NA())</f>
        <v>#N/A</v>
      </c>
      <c r="U61" s="8" t="e">
        <f>IF($F$11,IF($L61="","",IFERROR(VLOOKUP($L61,day_data!$A:$O,10,FALSE),0)),NA())</f>
        <v>#N/A</v>
      </c>
      <c r="V61" s="8" t="e">
        <f>IF($F$12,IF($L61="","",IFERROR(VLOOKUP($L61,day_data!$A:$O,11,FALSE),0)),NA())</f>
        <v>#N/A</v>
      </c>
      <c r="W61" s="8" t="e">
        <f>IF($F$13,IF($L61="","",IFERROR(VLOOKUP($L61,day_data!$A:$O,12,FALSE),0)),NA())</f>
        <v>#N/A</v>
      </c>
      <c r="X61" s="10" t="e">
        <f>IF($F$14,IF($L61="","",IFERROR(VLOOKUP($L61,day_data!$A:$O,13,FALSE),0)),NA())</f>
        <v>#N/A</v>
      </c>
      <c r="Y61" s="10" t="e">
        <f>IF($F$15,IF($L61="","",IFERROR(VLOOKUP($L61,day_data!$A:$O,14,FALSE),0)),NA())</f>
        <v>#N/A</v>
      </c>
    </row>
    <row r="62" spans="12:25" x14ac:dyDescent="0.2">
      <c r="L62" s="9" t="str">
        <f t="shared" si="0"/>
        <v/>
      </c>
      <c r="M62" s="8" t="e">
        <f>IF($F$3,IF($L62="","",IFERROR(VLOOKUP($L62,day_data!$A:$O,2,FALSE),0)),NA())</f>
        <v>#N/A</v>
      </c>
      <c r="N62" s="8" t="str">
        <f>IF($F$4,IF($L62="","",IFERROR(VLOOKUP($L62,day_data!$A:$O,3,FALSE),0)),NA())</f>
        <v/>
      </c>
      <c r="O62" s="8" t="e">
        <f>IF($F$5,IF($L62="","",IFERROR(VLOOKUP($L62,day_data!$A:$O,4,FALSE),0)),NA())</f>
        <v>#N/A</v>
      </c>
      <c r="P62" s="8" t="e">
        <f>IF($F$6,IF($L62="","",IFERROR(VLOOKUP($L62,day_data!$A:$O,5,FALSE),0)),NA())</f>
        <v>#N/A</v>
      </c>
      <c r="Q62" s="8" t="e">
        <f>IF($F$7,IF($L62="","",IFERROR(VLOOKUP($L62,day_data!$A:$O,6,FALSE),0)),NA())</f>
        <v>#N/A</v>
      </c>
      <c r="R62" s="8" t="e">
        <f>IF($F$8,IF($L62="","",IFERROR(VLOOKUP($L62,day_data!$A:$O,7,FALSE),0)),NA())</f>
        <v>#N/A</v>
      </c>
      <c r="S62" s="8" t="e">
        <f>IF($F$9,IF($L62="","",IFERROR(VLOOKUP($L62,day_data!$A:$O,8,FALSE),0)),NA())</f>
        <v>#N/A</v>
      </c>
      <c r="T62" s="8" t="e">
        <f>IF($F$10,IF($L62="","",IFERROR(VLOOKUP($L62,day_data!$A:$O,9,FALSE),0)),NA())</f>
        <v>#N/A</v>
      </c>
      <c r="U62" s="8" t="e">
        <f>IF($F$11,IF($L62="","",IFERROR(VLOOKUP($L62,day_data!$A:$O,10,FALSE),0)),NA())</f>
        <v>#N/A</v>
      </c>
      <c r="V62" s="8" t="e">
        <f>IF($F$12,IF($L62="","",IFERROR(VLOOKUP($L62,day_data!$A:$O,11,FALSE),0)),NA())</f>
        <v>#N/A</v>
      </c>
      <c r="W62" s="8" t="e">
        <f>IF($F$13,IF($L62="","",IFERROR(VLOOKUP($L62,day_data!$A:$O,12,FALSE),0)),NA())</f>
        <v>#N/A</v>
      </c>
      <c r="X62" s="10" t="e">
        <f>IF($F$14,IF($L62="","",IFERROR(VLOOKUP($L62,day_data!$A:$O,13,FALSE),0)),NA())</f>
        <v>#N/A</v>
      </c>
      <c r="Y62" s="10" t="e">
        <f>IF($F$15,IF($L62="","",IFERROR(VLOOKUP($L62,day_data!$A:$O,14,FALSE),0)),NA())</f>
        <v>#N/A</v>
      </c>
    </row>
    <row r="63" spans="12:25" x14ac:dyDescent="0.2">
      <c r="L63" s="9" t="str">
        <f t="shared" si="0"/>
        <v/>
      </c>
      <c r="M63" s="8" t="e">
        <f>IF($F$3,IF($L63="","",IFERROR(VLOOKUP($L63,day_data!$A:$O,2,FALSE),0)),NA())</f>
        <v>#N/A</v>
      </c>
      <c r="N63" s="8" t="str">
        <f>IF($F$4,IF($L63="","",IFERROR(VLOOKUP($L63,day_data!$A:$O,3,FALSE),0)),NA())</f>
        <v/>
      </c>
      <c r="O63" s="8" t="e">
        <f>IF($F$5,IF($L63="","",IFERROR(VLOOKUP($L63,day_data!$A:$O,4,FALSE),0)),NA())</f>
        <v>#N/A</v>
      </c>
      <c r="P63" s="8" t="e">
        <f>IF($F$6,IF($L63="","",IFERROR(VLOOKUP($L63,day_data!$A:$O,5,FALSE),0)),NA())</f>
        <v>#N/A</v>
      </c>
      <c r="Q63" s="8" t="e">
        <f>IF($F$7,IF($L63="","",IFERROR(VLOOKUP($L63,day_data!$A:$O,6,FALSE),0)),NA())</f>
        <v>#N/A</v>
      </c>
      <c r="R63" s="8" t="e">
        <f>IF($F$8,IF($L63="","",IFERROR(VLOOKUP($L63,day_data!$A:$O,7,FALSE),0)),NA())</f>
        <v>#N/A</v>
      </c>
      <c r="S63" s="8" t="e">
        <f>IF($F$9,IF($L63="","",IFERROR(VLOOKUP($L63,day_data!$A:$O,8,FALSE),0)),NA())</f>
        <v>#N/A</v>
      </c>
      <c r="T63" s="8" t="e">
        <f>IF($F$10,IF($L63="","",IFERROR(VLOOKUP($L63,day_data!$A:$O,9,FALSE),0)),NA())</f>
        <v>#N/A</v>
      </c>
      <c r="U63" s="8" t="e">
        <f>IF($F$11,IF($L63="","",IFERROR(VLOOKUP($L63,day_data!$A:$O,10,FALSE),0)),NA())</f>
        <v>#N/A</v>
      </c>
      <c r="V63" s="8" t="e">
        <f>IF($F$12,IF($L63="","",IFERROR(VLOOKUP($L63,day_data!$A:$O,11,FALSE),0)),NA())</f>
        <v>#N/A</v>
      </c>
      <c r="W63" s="8" t="e">
        <f>IF($F$13,IF($L63="","",IFERROR(VLOOKUP($L63,day_data!$A:$O,12,FALSE),0)),NA())</f>
        <v>#N/A</v>
      </c>
      <c r="X63" s="10" t="e">
        <f>IF($F$14,IF($L63="","",IFERROR(VLOOKUP($L63,day_data!$A:$O,13,FALSE),0)),NA())</f>
        <v>#N/A</v>
      </c>
      <c r="Y63" s="10" t="e">
        <f>IF($F$15,IF($L63="","",IFERROR(VLOOKUP($L63,day_data!$A:$O,14,FALSE),0)),NA())</f>
        <v>#N/A</v>
      </c>
    </row>
    <row r="64" spans="12:25" x14ac:dyDescent="0.2">
      <c r="L64" s="9" t="str">
        <f t="shared" si="0"/>
        <v/>
      </c>
      <c r="M64" s="8" t="e">
        <f>IF($F$3,IF($L64="","",IFERROR(VLOOKUP($L64,day_data!$A:$O,2,FALSE),0)),NA())</f>
        <v>#N/A</v>
      </c>
      <c r="N64" s="8" t="str">
        <f>IF($F$4,IF($L64="","",IFERROR(VLOOKUP($L64,day_data!$A:$O,3,FALSE),0)),NA())</f>
        <v/>
      </c>
      <c r="O64" s="8" t="e">
        <f>IF($F$5,IF($L64="","",IFERROR(VLOOKUP($L64,day_data!$A:$O,4,FALSE),0)),NA())</f>
        <v>#N/A</v>
      </c>
      <c r="P64" s="8" t="e">
        <f>IF($F$6,IF($L64="","",IFERROR(VLOOKUP($L64,day_data!$A:$O,5,FALSE),0)),NA())</f>
        <v>#N/A</v>
      </c>
      <c r="Q64" s="8" t="e">
        <f>IF($F$7,IF($L64="","",IFERROR(VLOOKUP($L64,day_data!$A:$O,6,FALSE),0)),NA())</f>
        <v>#N/A</v>
      </c>
      <c r="R64" s="8" t="e">
        <f>IF($F$8,IF($L64="","",IFERROR(VLOOKUP($L64,day_data!$A:$O,7,FALSE),0)),NA())</f>
        <v>#N/A</v>
      </c>
      <c r="S64" s="8" t="e">
        <f>IF($F$9,IF($L64="","",IFERROR(VLOOKUP($L64,day_data!$A:$O,8,FALSE),0)),NA())</f>
        <v>#N/A</v>
      </c>
      <c r="T64" s="8" t="e">
        <f>IF($F$10,IF($L64="","",IFERROR(VLOOKUP($L64,day_data!$A:$O,9,FALSE),0)),NA())</f>
        <v>#N/A</v>
      </c>
      <c r="U64" s="8" t="e">
        <f>IF($F$11,IF($L64="","",IFERROR(VLOOKUP($L64,day_data!$A:$O,10,FALSE),0)),NA())</f>
        <v>#N/A</v>
      </c>
      <c r="V64" s="8" t="e">
        <f>IF($F$12,IF($L64="","",IFERROR(VLOOKUP($L64,day_data!$A:$O,11,FALSE),0)),NA())</f>
        <v>#N/A</v>
      </c>
      <c r="W64" s="8" t="e">
        <f>IF($F$13,IF($L64="","",IFERROR(VLOOKUP($L64,day_data!$A:$O,12,FALSE),0)),NA())</f>
        <v>#N/A</v>
      </c>
      <c r="X64" s="10" t="e">
        <f>IF($F$14,IF($L64="","",IFERROR(VLOOKUP($L64,day_data!$A:$O,13,FALSE),0)),NA())</f>
        <v>#N/A</v>
      </c>
      <c r="Y64" s="10" t="e">
        <f>IF($F$15,IF($L64="","",IFERROR(VLOOKUP($L64,day_data!$A:$O,14,FALSE),0)),NA())</f>
        <v>#N/A</v>
      </c>
    </row>
    <row r="65" spans="12:25" x14ac:dyDescent="0.2">
      <c r="L65" s="9" t="str">
        <f t="shared" si="0"/>
        <v/>
      </c>
      <c r="M65" s="8" t="e">
        <f>IF($F$3,IF($L65="","",IFERROR(VLOOKUP($L65,day_data!$A:$O,2,FALSE),0)),NA())</f>
        <v>#N/A</v>
      </c>
      <c r="N65" s="8" t="str">
        <f>IF($F$4,IF($L65="","",IFERROR(VLOOKUP($L65,day_data!$A:$O,3,FALSE),0)),NA())</f>
        <v/>
      </c>
      <c r="O65" s="8" t="e">
        <f>IF($F$5,IF($L65="","",IFERROR(VLOOKUP($L65,day_data!$A:$O,4,FALSE),0)),NA())</f>
        <v>#N/A</v>
      </c>
      <c r="P65" s="8" t="e">
        <f>IF($F$6,IF($L65="","",IFERROR(VLOOKUP($L65,day_data!$A:$O,5,FALSE),0)),NA())</f>
        <v>#N/A</v>
      </c>
      <c r="Q65" s="8" t="e">
        <f>IF($F$7,IF($L65="","",IFERROR(VLOOKUP($L65,day_data!$A:$O,6,FALSE),0)),NA())</f>
        <v>#N/A</v>
      </c>
      <c r="R65" s="8" t="e">
        <f>IF($F$8,IF($L65="","",IFERROR(VLOOKUP($L65,day_data!$A:$O,7,FALSE),0)),NA())</f>
        <v>#N/A</v>
      </c>
      <c r="S65" s="8" t="e">
        <f>IF($F$9,IF($L65="","",IFERROR(VLOOKUP($L65,day_data!$A:$O,8,FALSE),0)),NA())</f>
        <v>#N/A</v>
      </c>
      <c r="T65" s="8" t="e">
        <f>IF($F$10,IF($L65="","",IFERROR(VLOOKUP($L65,day_data!$A:$O,9,FALSE),0)),NA())</f>
        <v>#N/A</v>
      </c>
      <c r="U65" s="8" t="e">
        <f>IF($F$11,IF($L65="","",IFERROR(VLOOKUP($L65,day_data!$A:$O,10,FALSE),0)),NA())</f>
        <v>#N/A</v>
      </c>
      <c r="V65" s="8" t="e">
        <f>IF($F$12,IF($L65="","",IFERROR(VLOOKUP($L65,day_data!$A:$O,11,FALSE),0)),NA())</f>
        <v>#N/A</v>
      </c>
      <c r="W65" s="8" t="e">
        <f>IF($F$13,IF($L65="","",IFERROR(VLOOKUP($L65,day_data!$A:$O,12,FALSE),0)),NA())</f>
        <v>#N/A</v>
      </c>
      <c r="X65" s="10" t="e">
        <f>IF($F$14,IF($L65="","",IFERROR(VLOOKUP($L65,day_data!$A:$O,13,FALSE),0)),NA())</f>
        <v>#N/A</v>
      </c>
      <c r="Y65" s="10" t="e">
        <f>IF($F$15,IF($L65="","",IFERROR(VLOOKUP($L65,day_data!$A:$O,14,FALSE),0)),NA())</f>
        <v>#N/A</v>
      </c>
    </row>
    <row r="66" spans="12:25" x14ac:dyDescent="0.2">
      <c r="L66" s="9" t="str">
        <f t="shared" si="0"/>
        <v/>
      </c>
      <c r="M66" s="8" t="e">
        <f>IF($F$3,IF($L66="","",IFERROR(VLOOKUP($L66,day_data!$A:$O,2,FALSE),0)),NA())</f>
        <v>#N/A</v>
      </c>
      <c r="N66" s="8" t="str">
        <f>IF($F$4,IF($L66="","",IFERROR(VLOOKUP($L66,day_data!$A:$O,3,FALSE),0)),NA())</f>
        <v/>
      </c>
      <c r="O66" s="8" t="e">
        <f>IF($F$5,IF($L66="","",IFERROR(VLOOKUP($L66,day_data!$A:$O,4,FALSE),0)),NA())</f>
        <v>#N/A</v>
      </c>
      <c r="P66" s="8" t="e">
        <f>IF($F$6,IF($L66="","",IFERROR(VLOOKUP($L66,day_data!$A:$O,5,FALSE),0)),NA())</f>
        <v>#N/A</v>
      </c>
      <c r="Q66" s="8" t="e">
        <f>IF($F$7,IF($L66="","",IFERROR(VLOOKUP($L66,day_data!$A:$O,6,FALSE),0)),NA())</f>
        <v>#N/A</v>
      </c>
      <c r="R66" s="8" t="e">
        <f>IF($F$8,IF($L66="","",IFERROR(VLOOKUP($L66,day_data!$A:$O,7,FALSE),0)),NA())</f>
        <v>#N/A</v>
      </c>
      <c r="S66" s="8" t="e">
        <f>IF($F$9,IF($L66="","",IFERROR(VLOOKUP($L66,day_data!$A:$O,8,FALSE),0)),NA())</f>
        <v>#N/A</v>
      </c>
      <c r="T66" s="8" t="e">
        <f>IF($F$10,IF($L66="","",IFERROR(VLOOKUP($L66,day_data!$A:$O,9,FALSE),0)),NA())</f>
        <v>#N/A</v>
      </c>
      <c r="U66" s="8" t="e">
        <f>IF($F$11,IF($L66="","",IFERROR(VLOOKUP($L66,day_data!$A:$O,10,FALSE),0)),NA())</f>
        <v>#N/A</v>
      </c>
      <c r="V66" s="8" t="e">
        <f>IF($F$12,IF($L66="","",IFERROR(VLOOKUP($L66,day_data!$A:$O,11,FALSE),0)),NA())</f>
        <v>#N/A</v>
      </c>
      <c r="W66" s="8" t="e">
        <f>IF($F$13,IF($L66="","",IFERROR(VLOOKUP($L66,day_data!$A:$O,12,FALSE),0)),NA())</f>
        <v>#N/A</v>
      </c>
      <c r="X66" s="10" t="e">
        <f>IF($F$14,IF($L66="","",IFERROR(VLOOKUP($L66,day_data!$A:$O,13,FALSE),0)),NA())</f>
        <v>#N/A</v>
      </c>
      <c r="Y66" s="10" t="e">
        <f>IF($F$15,IF($L66="","",IFERROR(VLOOKUP($L66,day_data!$A:$O,14,FALSE),0)),NA())</f>
        <v>#N/A</v>
      </c>
    </row>
    <row r="67" spans="12:25" x14ac:dyDescent="0.2">
      <c r="L67" s="9" t="str">
        <f t="shared" si="0"/>
        <v/>
      </c>
      <c r="M67" s="8" t="e">
        <f>IF($F$3,IF($L67="","",IFERROR(VLOOKUP($L67,day_data!$A:$O,2,FALSE),0)),NA())</f>
        <v>#N/A</v>
      </c>
      <c r="N67" s="8" t="str">
        <f>IF($F$4,IF($L67="","",IFERROR(VLOOKUP($L67,day_data!$A:$O,3,FALSE),0)),NA())</f>
        <v/>
      </c>
      <c r="O67" s="8" t="e">
        <f>IF($F$5,IF($L67="","",IFERROR(VLOOKUP($L67,day_data!$A:$O,4,FALSE),0)),NA())</f>
        <v>#N/A</v>
      </c>
      <c r="P67" s="8" t="e">
        <f>IF($F$6,IF($L67="","",IFERROR(VLOOKUP($L67,day_data!$A:$O,5,FALSE),0)),NA())</f>
        <v>#N/A</v>
      </c>
      <c r="Q67" s="8" t="e">
        <f>IF($F$7,IF($L67="","",IFERROR(VLOOKUP($L67,day_data!$A:$O,6,FALSE),0)),NA())</f>
        <v>#N/A</v>
      </c>
      <c r="R67" s="8" t="e">
        <f>IF($F$8,IF($L67="","",IFERROR(VLOOKUP($L67,day_data!$A:$O,7,FALSE),0)),NA())</f>
        <v>#N/A</v>
      </c>
      <c r="S67" s="8" t="e">
        <f>IF($F$9,IF($L67="","",IFERROR(VLOOKUP($L67,day_data!$A:$O,8,FALSE),0)),NA())</f>
        <v>#N/A</v>
      </c>
      <c r="T67" s="8" t="e">
        <f>IF($F$10,IF($L67="","",IFERROR(VLOOKUP($L67,day_data!$A:$O,9,FALSE),0)),NA())</f>
        <v>#N/A</v>
      </c>
      <c r="U67" s="8" t="e">
        <f>IF($F$11,IF($L67="","",IFERROR(VLOOKUP($L67,day_data!$A:$O,10,FALSE),0)),NA())</f>
        <v>#N/A</v>
      </c>
      <c r="V67" s="8" t="e">
        <f>IF($F$12,IF($L67="","",IFERROR(VLOOKUP($L67,day_data!$A:$O,11,FALSE),0)),NA())</f>
        <v>#N/A</v>
      </c>
      <c r="W67" s="8" t="e">
        <f>IF($F$13,IF($L67="","",IFERROR(VLOOKUP($L67,day_data!$A:$O,12,FALSE),0)),NA())</f>
        <v>#N/A</v>
      </c>
      <c r="X67" s="10" t="e">
        <f>IF($F$14,IF($L67="","",IFERROR(VLOOKUP($L67,day_data!$A:$O,13,FALSE),0)),NA())</f>
        <v>#N/A</v>
      </c>
      <c r="Y67" s="10" t="e">
        <f>IF($F$15,IF($L67="","",IFERROR(VLOOKUP($L67,day_data!$A:$O,14,FALSE),0)),NA())</f>
        <v>#N/A</v>
      </c>
    </row>
    <row r="68" spans="12:25" x14ac:dyDescent="0.2">
      <c r="L68" s="9" t="str">
        <f t="shared" si="0"/>
        <v/>
      </c>
      <c r="M68" s="8" t="e">
        <f>IF($F$3,IF($L68="","",IFERROR(VLOOKUP($L68,day_data!$A:$O,2,FALSE),0)),NA())</f>
        <v>#N/A</v>
      </c>
      <c r="N68" s="8" t="str">
        <f>IF($F$4,IF($L68="","",IFERROR(VLOOKUP($L68,day_data!$A:$O,3,FALSE),0)),NA())</f>
        <v/>
      </c>
      <c r="O68" s="8" t="e">
        <f>IF($F$5,IF($L68="","",IFERROR(VLOOKUP($L68,day_data!$A:$O,4,FALSE),0)),NA())</f>
        <v>#N/A</v>
      </c>
      <c r="P68" s="8" t="e">
        <f>IF($F$6,IF($L68="","",IFERROR(VLOOKUP($L68,day_data!$A:$O,5,FALSE),0)),NA())</f>
        <v>#N/A</v>
      </c>
      <c r="Q68" s="8" t="e">
        <f>IF($F$7,IF($L68="","",IFERROR(VLOOKUP($L68,day_data!$A:$O,6,FALSE),0)),NA())</f>
        <v>#N/A</v>
      </c>
      <c r="R68" s="8" t="e">
        <f>IF($F$8,IF($L68="","",IFERROR(VLOOKUP($L68,day_data!$A:$O,7,FALSE),0)),NA())</f>
        <v>#N/A</v>
      </c>
      <c r="S68" s="8" t="e">
        <f>IF($F$9,IF($L68="","",IFERROR(VLOOKUP($L68,day_data!$A:$O,8,FALSE),0)),NA())</f>
        <v>#N/A</v>
      </c>
      <c r="T68" s="8" t="e">
        <f>IF($F$10,IF($L68="","",IFERROR(VLOOKUP($L68,day_data!$A:$O,9,FALSE),0)),NA())</f>
        <v>#N/A</v>
      </c>
      <c r="U68" s="8" t="e">
        <f>IF($F$11,IF($L68="","",IFERROR(VLOOKUP($L68,day_data!$A:$O,10,FALSE),0)),NA())</f>
        <v>#N/A</v>
      </c>
      <c r="V68" s="8" t="e">
        <f>IF($F$12,IF($L68="","",IFERROR(VLOOKUP($L68,day_data!$A:$O,11,FALSE),0)),NA())</f>
        <v>#N/A</v>
      </c>
      <c r="W68" s="8" t="e">
        <f>IF($F$13,IF($L68="","",IFERROR(VLOOKUP($L68,day_data!$A:$O,12,FALSE),0)),NA())</f>
        <v>#N/A</v>
      </c>
      <c r="X68" s="10" t="e">
        <f>IF($F$14,IF($L68="","",IFERROR(VLOOKUP($L68,day_data!$A:$O,13,FALSE),0)),NA())</f>
        <v>#N/A</v>
      </c>
      <c r="Y68" s="10" t="e">
        <f>IF($F$15,IF($L68="","",IFERROR(VLOOKUP($L68,day_data!$A:$O,14,FALSE),0)),NA())</f>
        <v>#N/A</v>
      </c>
    </row>
    <row r="69" spans="12:25" x14ac:dyDescent="0.2">
      <c r="L69" s="9" t="str">
        <f t="shared" ref="L69:L132" si="1">IF(ROW(L69)-1&gt;$C$1,"",L68+1)</f>
        <v/>
      </c>
      <c r="M69" s="8" t="e">
        <f>IF($F$3,IF($L69="","",IFERROR(VLOOKUP($L69,day_data!$A:$O,2,FALSE),0)),NA())</f>
        <v>#N/A</v>
      </c>
      <c r="N69" s="8" t="str">
        <f>IF($F$4,IF($L69="","",IFERROR(VLOOKUP($L69,day_data!$A:$O,3,FALSE),0)),NA())</f>
        <v/>
      </c>
      <c r="O69" s="8" t="e">
        <f>IF($F$5,IF($L69="","",IFERROR(VLOOKUP($L69,day_data!$A:$O,4,FALSE),0)),NA())</f>
        <v>#N/A</v>
      </c>
      <c r="P69" s="8" t="e">
        <f>IF($F$6,IF($L69="","",IFERROR(VLOOKUP($L69,day_data!$A:$O,5,FALSE),0)),NA())</f>
        <v>#N/A</v>
      </c>
      <c r="Q69" s="8" t="e">
        <f>IF($F$7,IF($L69="","",IFERROR(VLOOKUP($L69,day_data!$A:$O,6,FALSE),0)),NA())</f>
        <v>#N/A</v>
      </c>
      <c r="R69" s="8" t="e">
        <f>IF($F$8,IF($L69="","",IFERROR(VLOOKUP($L69,day_data!$A:$O,7,FALSE),0)),NA())</f>
        <v>#N/A</v>
      </c>
      <c r="S69" s="8" t="e">
        <f>IF($F$9,IF($L69="","",IFERROR(VLOOKUP($L69,day_data!$A:$O,8,FALSE),0)),NA())</f>
        <v>#N/A</v>
      </c>
      <c r="T69" s="8" t="e">
        <f>IF($F$10,IF($L69="","",IFERROR(VLOOKUP($L69,day_data!$A:$O,9,FALSE),0)),NA())</f>
        <v>#N/A</v>
      </c>
      <c r="U69" s="8" t="e">
        <f>IF($F$11,IF($L69="","",IFERROR(VLOOKUP($L69,day_data!$A:$O,10,FALSE),0)),NA())</f>
        <v>#N/A</v>
      </c>
      <c r="V69" s="8" t="e">
        <f>IF($F$12,IF($L69="","",IFERROR(VLOOKUP($L69,day_data!$A:$O,11,FALSE),0)),NA())</f>
        <v>#N/A</v>
      </c>
      <c r="W69" s="8" t="e">
        <f>IF($F$13,IF($L69="","",IFERROR(VLOOKUP($L69,day_data!$A:$O,12,FALSE),0)),NA())</f>
        <v>#N/A</v>
      </c>
      <c r="X69" s="10" t="e">
        <f>IF($F$14,IF($L69="","",IFERROR(VLOOKUP($L69,day_data!$A:$O,13,FALSE),0)),NA())</f>
        <v>#N/A</v>
      </c>
      <c r="Y69" s="10" t="e">
        <f>IF($F$15,IF($L69="","",IFERROR(VLOOKUP($L69,day_data!$A:$O,14,FALSE),0)),NA())</f>
        <v>#N/A</v>
      </c>
    </row>
    <row r="70" spans="12:25" x14ac:dyDescent="0.2">
      <c r="L70" s="9" t="str">
        <f t="shared" si="1"/>
        <v/>
      </c>
      <c r="M70" s="8" t="e">
        <f>IF($F$3,IF($L70="","",IFERROR(VLOOKUP($L70,day_data!$A:$O,2,FALSE),0)),NA())</f>
        <v>#N/A</v>
      </c>
      <c r="N70" s="8" t="str">
        <f>IF($F$4,IF($L70="","",IFERROR(VLOOKUP($L70,day_data!$A:$O,3,FALSE),0)),NA())</f>
        <v/>
      </c>
      <c r="O70" s="8" t="e">
        <f>IF($F$5,IF($L70="","",IFERROR(VLOOKUP($L70,day_data!$A:$O,4,FALSE),0)),NA())</f>
        <v>#N/A</v>
      </c>
      <c r="P70" s="8" t="e">
        <f>IF($F$6,IF($L70="","",IFERROR(VLOOKUP($L70,day_data!$A:$O,5,FALSE),0)),NA())</f>
        <v>#N/A</v>
      </c>
      <c r="Q70" s="8" t="e">
        <f>IF($F$7,IF($L70="","",IFERROR(VLOOKUP($L70,day_data!$A:$O,6,FALSE),0)),NA())</f>
        <v>#N/A</v>
      </c>
      <c r="R70" s="8" t="e">
        <f>IF($F$8,IF($L70="","",IFERROR(VLOOKUP($L70,day_data!$A:$O,7,FALSE),0)),NA())</f>
        <v>#N/A</v>
      </c>
      <c r="S70" s="8" t="e">
        <f>IF($F$9,IF($L70="","",IFERROR(VLOOKUP($L70,day_data!$A:$O,8,FALSE),0)),NA())</f>
        <v>#N/A</v>
      </c>
      <c r="T70" s="8" t="e">
        <f>IF($F$10,IF($L70="","",IFERROR(VLOOKUP($L70,day_data!$A:$O,9,FALSE),0)),NA())</f>
        <v>#N/A</v>
      </c>
      <c r="U70" s="8" t="e">
        <f>IF($F$11,IF($L70="","",IFERROR(VLOOKUP($L70,day_data!$A:$O,10,FALSE),0)),NA())</f>
        <v>#N/A</v>
      </c>
      <c r="V70" s="8" t="e">
        <f>IF($F$12,IF($L70="","",IFERROR(VLOOKUP($L70,day_data!$A:$O,11,FALSE),0)),NA())</f>
        <v>#N/A</v>
      </c>
      <c r="W70" s="8" t="e">
        <f>IF($F$13,IF($L70="","",IFERROR(VLOOKUP($L70,day_data!$A:$O,12,FALSE),0)),NA())</f>
        <v>#N/A</v>
      </c>
      <c r="X70" s="10" t="e">
        <f>IF($F$14,IF($L70="","",IFERROR(VLOOKUP($L70,day_data!$A:$O,13,FALSE),0)),NA())</f>
        <v>#N/A</v>
      </c>
      <c r="Y70" s="10" t="e">
        <f>IF($F$15,IF($L70="","",IFERROR(VLOOKUP($L70,day_data!$A:$O,14,FALSE),0)),NA())</f>
        <v>#N/A</v>
      </c>
    </row>
    <row r="71" spans="12:25" x14ac:dyDescent="0.2">
      <c r="L71" s="9" t="str">
        <f t="shared" si="1"/>
        <v/>
      </c>
      <c r="M71" s="8" t="e">
        <f>IF($F$3,IF($L71="","",IFERROR(VLOOKUP($L71,day_data!$A:$O,2,FALSE),0)),NA())</f>
        <v>#N/A</v>
      </c>
      <c r="N71" s="8" t="str">
        <f>IF($F$4,IF($L71="","",IFERROR(VLOOKUP($L71,day_data!$A:$O,3,FALSE),0)),NA())</f>
        <v/>
      </c>
      <c r="O71" s="8" t="e">
        <f>IF($F$5,IF($L71="","",IFERROR(VLOOKUP($L71,day_data!$A:$O,4,FALSE),0)),NA())</f>
        <v>#N/A</v>
      </c>
      <c r="P71" s="8" t="e">
        <f>IF($F$6,IF($L71="","",IFERROR(VLOOKUP($L71,day_data!$A:$O,5,FALSE),0)),NA())</f>
        <v>#N/A</v>
      </c>
      <c r="Q71" s="8" t="e">
        <f>IF($F$7,IF($L71="","",IFERROR(VLOOKUP($L71,day_data!$A:$O,6,FALSE),0)),NA())</f>
        <v>#N/A</v>
      </c>
      <c r="R71" s="8" t="e">
        <f>IF($F$8,IF($L71="","",IFERROR(VLOOKUP($L71,day_data!$A:$O,7,FALSE),0)),NA())</f>
        <v>#N/A</v>
      </c>
      <c r="S71" s="8" t="e">
        <f>IF($F$9,IF($L71="","",IFERROR(VLOOKUP($L71,day_data!$A:$O,8,FALSE),0)),NA())</f>
        <v>#N/A</v>
      </c>
      <c r="T71" s="8" t="e">
        <f>IF($F$10,IF($L71="","",IFERROR(VLOOKUP($L71,day_data!$A:$O,9,FALSE),0)),NA())</f>
        <v>#N/A</v>
      </c>
      <c r="U71" s="8" t="e">
        <f>IF($F$11,IF($L71="","",IFERROR(VLOOKUP($L71,day_data!$A:$O,10,FALSE),0)),NA())</f>
        <v>#N/A</v>
      </c>
      <c r="V71" s="8" t="e">
        <f>IF($F$12,IF($L71="","",IFERROR(VLOOKUP($L71,day_data!$A:$O,11,FALSE),0)),NA())</f>
        <v>#N/A</v>
      </c>
      <c r="W71" s="8" t="e">
        <f>IF($F$13,IF($L71="","",IFERROR(VLOOKUP($L71,day_data!$A:$O,12,FALSE),0)),NA())</f>
        <v>#N/A</v>
      </c>
      <c r="X71" s="10" t="e">
        <f>IF($F$14,IF($L71="","",IFERROR(VLOOKUP($L71,day_data!$A:$O,13,FALSE),0)),NA())</f>
        <v>#N/A</v>
      </c>
      <c r="Y71" s="10" t="e">
        <f>IF($F$15,IF($L71="","",IFERROR(VLOOKUP($L71,day_data!$A:$O,14,FALSE),0)),NA())</f>
        <v>#N/A</v>
      </c>
    </row>
    <row r="72" spans="12:25" x14ac:dyDescent="0.2">
      <c r="L72" s="9" t="str">
        <f t="shared" si="1"/>
        <v/>
      </c>
      <c r="M72" s="8" t="e">
        <f>IF($F$3,IF($L72="","",IFERROR(VLOOKUP($L72,day_data!$A:$O,2,FALSE),0)),NA())</f>
        <v>#N/A</v>
      </c>
      <c r="N72" s="8" t="str">
        <f>IF($F$4,IF($L72="","",IFERROR(VLOOKUP($L72,day_data!$A:$O,3,FALSE),0)),NA())</f>
        <v/>
      </c>
      <c r="O72" s="8" t="e">
        <f>IF($F$5,IF($L72="","",IFERROR(VLOOKUP($L72,day_data!$A:$O,4,FALSE),0)),NA())</f>
        <v>#N/A</v>
      </c>
      <c r="P72" s="8" t="e">
        <f>IF($F$6,IF($L72="","",IFERROR(VLOOKUP($L72,day_data!$A:$O,5,FALSE),0)),NA())</f>
        <v>#N/A</v>
      </c>
      <c r="Q72" s="8" t="e">
        <f>IF($F$7,IF($L72="","",IFERROR(VLOOKUP($L72,day_data!$A:$O,6,FALSE),0)),NA())</f>
        <v>#N/A</v>
      </c>
      <c r="R72" s="8" t="e">
        <f>IF($F$8,IF($L72="","",IFERROR(VLOOKUP($L72,day_data!$A:$O,7,FALSE),0)),NA())</f>
        <v>#N/A</v>
      </c>
      <c r="S72" s="8" t="e">
        <f>IF($F$9,IF($L72="","",IFERROR(VLOOKUP($L72,day_data!$A:$O,8,FALSE),0)),NA())</f>
        <v>#N/A</v>
      </c>
      <c r="T72" s="8" t="e">
        <f>IF($F$10,IF($L72="","",IFERROR(VLOOKUP($L72,day_data!$A:$O,9,FALSE),0)),NA())</f>
        <v>#N/A</v>
      </c>
      <c r="U72" s="8" t="e">
        <f>IF($F$11,IF($L72="","",IFERROR(VLOOKUP($L72,day_data!$A:$O,10,FALSE),0)),NA())</f>
        <v>#N/A</v>
      </c>
      <c r="V72" s="8" t="e">
        <f>IF($F$12,IF($L72="","",IFERROR(VLOOKUP($L72,day_data!$A:$O,11,FALSE),0)),NA())</f>
        <v>#N/A</v>
      </c>
      <c r="W72" s="8" t="e">
        <f>IF($F$13,IF($L72="","",IFERROR(VLOOKUP($L72,day_data!$A:$O,12,FALSE),0)),NA())</f>
        <v>#N/A</v>
      </c>
      <c r="X72" s="10" t="e">
        <f>IF($F$14,IF($L72="","",IFERROR(VLOOKUP($L72,day_data!$A:$O,13,FALSE),0)),NA())</f>
        <v>#N/A</v>
      </c>
      <c r="Y72" s="10" t="e">
        <f>IF($F$15,IF($L72="","",IFERROR(VLOOKUP($L72,day_data!$A:$O,14,FALSE),0)),NA())</f>
        <v>#N/A</v>
      </c>
    </row>
    <row r="73" spans="12:25" x14ac:dyDescent="0.2">
      <c r="L73" s="9" t="str">
        <f t="shared" si="1"/>
        <v/>
      </c>
      <c r="M73" s="8" t="e">
        <f>IF($F$3,IF($L73="","",IFERROR(VLOOKUP($L73,day_data!$A:$O,2,FALSE),0)),NA())</f>
        <v>#N/A</v>
      </c>
      <c r="N73" s="8" t="str">
        <f>IF($F$4,IF($L73="","",IFERROR(VLOOKUP($L73,day_data!$A:$O,3,FALSE),0)),NA())</f>
        <v/>
      </c>
      <c r="O73" s="8" t="e">
        <f>IF($F$5,IF($L73="","",IFERROR(VLOOKUP($L73,day_data!$A:$O,4,FALSE),0)),NA())</f>
        <v>#N/A</v>
      </c>
      <c r="P73" s="8" t="e">
        <f>IF($F$6,IF($L73="","",IFERROR(VLOOKUP($L73,day_data!$A:$O,5,FALSE),0)),NA())</f>
        <v>#N/A</v>
      </c>
      <c r="Q73" s="8" t="e">
        <f>IF($F$7,IF($L73="","",IFERROR(VLOOKUP($L73,day_data!$A:$O,6,FALSE),0)),NA())</f>
        <v>#N/A</v>
      </c>
      <c r="R73" s="8" t="e">
        <f>IF($F$8,IF($L73="","",IFERROR(VLOOKUP($L73,day_data!$A:$O,7,FALSE),0)),NA())</f>
        <v>#N/A</v>
      </c>
      <c r="S73" s="8" t="e">
        <f>IF($F$9,IF($L73="","",IFERROR(VLOOKUP($L73,day_data!$A:$O,8,FALSE),0)),NA())</f>
        <v>#N/A</v>
      </c>
      <c r="T73" s="8" t="e">
        <f>IF($F$10,IF($L73="","",IFERROR(VLOOKUP($L73,day_data!$A:$O,9,FALSE),0)),NA())</f>
        <v>#N/A</v>
      </c>
      <c r="U73" s="8" t="e">
        <f>IF($F$11,IF($L73="","",IFERROR(VLOOKUP($L73,day_data!$A:$O,10,FALSE),0)),NA())</f>
        <v>#N/A</v>
      </c>
      <c r="V73" s="8" t="e">
        <f>IF($F$12,IF($L73="","",IFERROR(VLOOKUP($L73,day_data!$A:$O,11,FALSE),0)),NA())</f>
        <v>#N/A</v>
      </c>
      <c r="W73" s="8" t="e">
        <f>IF($F$13,IF($L73="","",IFERROR(VLOOKUP($L73,day_data!$A:$O,12,FALSE),0)),NA())</f>
        <v>#N/A</v>
      </c>
      <c r="X73" s="10" t="e">
        <f>IF($F$14,IF($L73="","",IFERROR(VLOOKUP($L73,day_data!$A:$O,13,FALSE),0)),NA())</f>
        <v>#N/A</v>
      </c>
      <c r="Y73" s="10" t="e">
        <f>IF($F$15,IF($L73="","",IFERROR(VLOOKUP($L73,day_data!$A:$O,14,FALSE),0)),NA())</f>
        <v>#N/A</v>
      </c>
    </row>
    <row r="74" spans="12:25" x14ac:dyDescent="0.2">
      <c r="L74" s="9" t="str">
        <f t="shared" si="1"/>
        <v/>
      </c>
      <c r="M74" s="8" t="e">
        <f>IF($F$3,IF($L74="","",IFERROR(VLOOKUP($L74,day_data!$A:$O,2,FALSE),0)),NA())</f>
        <v>#N/A</v>
      </c>
      <c r="N74" s="8" t="str">
        <f>IF($F$4,IF($L74="","",IFERROR(VLOOKUP($L74,day_data!$A:$O,3,FALSE),0)),NA())</f>
        <v/>
      </c>
      <c r="O74" s="8" t="e">
        <f>IF($F$5,IF($L74="","",IFERROR(VLOOKUP($L74,day_data!$A:$O,4,FALSE),0)),NA())</f>
        <v>#N/A</v>
      </c>
      <c r="P74" s="8" t="e">
        <f>IF($F$6,IF($L74="","",IFERROR(VLOOKUP($L74,day_data!$A:$O,5,FALSE),0)),NA())</f>
        <v>#N/A</v>
      </c>
      <c r="Q74" s="8" t="e">
        <f>IF($F$7,IF($L74="","",IFERROR(VLOOKUP($L74,day_data!$A:$O,6,FALSE),0)),NA())</f>
        <v>#N/A</v>
      </c>
      <c r="R74" s="8" t="e">
        <f>IF($F$8,IF($L74="","",IFERROR(VLOOKUP($L74,day_data!$A:$O,7,FALSE),0)),NA())</f>
        <v>#N/A</v>
      </c>
      <c r="S74" s="8" t="e">
        <f>IF($F$9,IF($L74="","",IFERROR(VLOOKUP($L74,day_data!$A:$O,8,FALSE),0)),NA())</f>
        <v>#N/A</v>
      </c>
      <c r="T74" s="8" t="e">
        <f>IF($F$10,IF($L74="","",IFERROR(VLOOKUP($L74,day_data!$A:$O,9,FALSE),0)),NA())</f>
        <v>#N/A</v>
      </c>
      <c r="U74" s="8" t="e">
        <f>IF($F$11,IF($L74="","",IFERROR(VLOOKUP($L74,day_data!$A:$O,10,FALSE),0)),NA())</f>
        <v>#N/A</v>
      </c>
      <c r="V74" s="8" t="e">
        <f>IF($F$12,IF($L74="","",IFERROR(VLOOKUP($L74,day_data!$A:$O,11,FALSE),0)),NA())</f>
        <v>#N/A</v>
      </c>
      <c r="W74" s="8" t="e">
        <f>IF($F$13,IF($L74="","",IFERROR(VLOOKUP($L74,day_data!$A:$O,12,FALSE),0)),NA())</f>
        <v>#N/A</v>
      </c>
      <c r="X74" s="10" t="e">
        <f>IF($F$14,IF($L74="","",IFERROR(VLOOKUP($L74,day_data!$A:$O,13,FALSE),0)),NA())</f>
        <v>#N/A</v>
      </c>
      <c r="Y74" s="10" t="e">
        <f>IF($F$15,IF($L74="","",IFERROR(VLOOKUP($L74,day_data!$A:$O,14,FALSE),0)),NA())</f>
        <v>#N/A</v>
      </c>
    </row>
    <row r="75" spans="12:25" x14ac:dyDescent="0.2">
      <c r="L75" s="9" t="str">
        <f t="shared" si="1"/>
        <v/>
      </c>
      <c r="M75" s="8" t="e">
        <f>IF($F$3,IF($L75="","",IFERROR(VLOOKUP($L75,day_data!$A:$O,2,FALSE),0)),NA())</f>
        <v>#N/A</v>
      </c>
      <c r="N75" s="8" t="str">
        <f>IF($F$4,IF($L75="","",IFERROR(VLOOKUP($L75,day_data!$A:$O,3,FALSE),0)),NA())</f>
        <v/>
      </c>
      <c r="O75" s="8" t="e">
        <f>IF($F$5,IF($L75="","",IFERROR(VLOOKUP($L75,day_data!$A:$O,4,FALSE),0)),NA())</f>
        <v>#N/A</v>
      </c>
      <c r="P75" s="8" t="e">
        <f>IF($F$6,IF($L75="","",IFERROR(VLOOKUP($L75,day_data!$A:$O,5,FALSE),0)),NA())</f>
        <v>#N/A</v>
      </c>
      <c r="Q75" s="8" t="e">
        <f>IF($F$7,IF($L75="","",IFERROR(VLOOKUP($L75,day_data!$A:$O,6,FALSE),0)),NA())</f>
        <v>#N/A</v>
      </c>
      <c r="R75" s="8" t="e">
        <f>IF($F$8,IF($L75="","",IFERROR(VLOOKUP($L75,day_data!$A:$O,7,FALSE),0)),NA())</f>
        <v>#N/A</v>
      </c>
      <c r="S75" s="8" t="e">
        <f>IF($F$9,IF($L75="","",IFERROR(VLOOKUP($L75,day_data!$A:$O,8,FALSE),0)),NA())</f>
        <v>#N/A</v>
      </c>
      <c r="T75" s="8" t="e">
        <f>IF($F$10,IF($L75="","",IFERROR(VLOOKUP($L75,day_data!$A:$O,9,FALSE),0)),NA())</f>
        <v>#N/A</v>
      </c>
      <c r="U75" s="8" t="e">
        <f>IF($F$11,IF($L75="","",IFERROR(VLOOKUP($L75,day_data!$A:$O,10,FALSE),0)),NA())</f>
        <v>#N/A</v>
      </c>
      <c r="V75" s="8" t="e">
        <f>IF($F$12,IF($L75="","",IFERROR(VLOOKUP($L75,day_data!$A:$O,11,FALSE),0)),NA())</f>
        <v>#N/A</v>
      </c>
      <c r="W75" s="8" t="e">
        <f>IF($F$13,IF($L75="","",IFERROR(VLOOKUP($L75,day_data!$A:$O,12,FALSE),0)),NA())</f>
        <v>#N/A</v>
      </c>
      <c r="X75" s="10" t="e">
        <f>IF($F$14,IF($L75="","",IFERROR(VLOOKUP($L75,day_data!$A:$O,13,FALSE),0)),NA())</f>
        <v>#N/A</v>
      </c>
      <c r="Y75" s="10" t="e">
        <f>IF($F$15,IF($L75="","",IFERROR(VLOOKUP($L75,day_data!$A:$O,14,FALSE),0)),NA())</f>
        <v>#N/A</v>
      </c>
    </row>
    <row r="76" spans="12:25" x14ac:dyDescent="0.2">
      <c r="L76" s="9" t="str">
        <f t="shared" si="1"/>
        <v/>
      </c>
      <c r="M76" s="8" t="e">
        <f>IF($F$3,IF($L76="","",IFERROR(VLOOKUP($L76,day_data!$A:$O,2,FALSE),0)),NA())</f>
        <v>#N/A</v>
      </c>
      <c r="N76" s="8" t="str">
        <f>IF($F$4,IF($L76="","",IFERROR(VLOOKUP($L76,day_data!$A:$O,3,FALSE),0)),NA())</f>
        <v/>
      </c>
      <c r="O76" s="8" t="e">
        <f>IF($F$5,IF($L76="","",IFERROR(VLOOKUP($L76,day_data!$A:$O,4,FALSE),0)),NA())</f>
        <v>#N/A</v>
      </c>
      <c r="P76" s="8" t="e">
        <f>IF($F$6,IF($L76="","",IFERROR(VLOOKUP($L76,day_data!$A:$O,5,FALSE),0)),NA())</f>
        <v>#N/A</v>
      </c>
      <c r="Q76" s="8" t="e">
        <f>IF($F$7,IF($L76="","",IFERROR(VLOOKUP($L76,day_data!$A:$O,6,FALSE),0)),NA())</f>
        <v>#N/A</v>
      </c>
      <c r="R76" s="8" t="e">
        <f>IF($F$8,IF($L76="","",IFERROR(VLOOKUP($L76,day_data!$A:$O,7,FALSE),0)),NA())</f>
        <v>#N/A</v>
      </c>
      <c r="S76" s="8" t="e">
        <f>IF($F$9,IF($L76="","",IFERROR(VLOOKUP($L76,day_data!$A:$O,8,FALSE),0)),NA())</f>
        <v>#N/A</v>
      </c>
      <c r="T76" s="8" t="e">
        <f>IF($F$10,IF($L76="","",IFERROR(VLOOKUP($L76,day_data!$A:$O,9,FALSE),0)),NA())</f>
        <v>#N/A</v>
      </c>
      <c r="U76" s="8" t="e">
        <f>IF($F$11,IF($L76="","",IFERROR(VLOOKUP($L76,day_data!$A:$O,10,FALSE),0)),NA())</f>
        <v>#N/A</v>
      </c>
      <c r="V76" s="8" t="e">
        <f>IF($F$12,IF($L76="","",IFERROR(VLOOKUP($L76,day_data!$A:$O,11,FALSE),0)),NA())</f>
        <v>#N/A</v>
      </c>
      <c r="W76" s="8" t="e">
        <f>IF($F$13,IF($L76="","",IFERROR(VLOOKUP($L76,day_data!$A:$O,12,FALSE),0)),NA())</f>
        <v>#N/A</v>
      </c>
      <c r="X76" s="10" t="e">
        <f>IF($F$14,IF($L76="","",IFERROR(VLOOKUP($L76,day_data!$A:$O,13,FALSE),0)),NA())</f>
        <v>#N/A</v>
      </c>
      <c r="Y76" s="10" t="e">
        <f>IF($F$15,IF($L76="","",IFERROR(VLOOKUP($L76,day_data!$A:$O,14,FALSE),0)),NA())</f>
        <v>#N/A</v>
      </c>
    </row>
    <row r="77" spans="12:25" x14ac:dyDescent="0.2">
      <c r="L77" s="9" t="str">
        <f t="shared" si="1"/>
        <v/>
      </c>
      <c r="M77" s="8" t="e">
        <f>IF($F$3,IF($L77="","",IFERROR(VLOOKUP($L77,day_data!$A:$O,2,FALSE),0)),NA())</f>
        <v>#N/A</v>
      </c>
      <c r="N77" s="8" t="str">
        <f>IF($F$4,IF($L77="","",IFERROR(VLOOKUP($L77,day_data!$A:$O,3,FALSE),0)),NA())</f>
        <v/>
      </c>
      <c r="O77" s="8" t="e">
        <f>IF($F$5,IF($L77="","",IFERROR(VLOOKUP($L77,day_data!$A:$O,4,FALSE),0)),NA())</f>
        <v>#N/A</v>
      </c>
      <c r="P77" s="8" t="e">
        <f>IF($F$6,IF($L77="","",IFERROR(VLOOKUP($L77,day_data!$A:$O,5,FALSE),0)),NA())</f>
        <v>#N/A</v>
      </c>
      <c r="Q77" s="8" t="e">
        <f>IF($F$7,IF($L77="","",IFERROR(VLOOKUP($L77,day_data!$A:$O,6,FALSE),0)),NA())</f>
        <v>#N/A</v>
      </c>
      <c r="R77" s="8" t="e">
        <f>IF($F$8,IF($L77="","",IFERROR(VLOOKUP($L77,day_data!$A:$O,7,FALSE),0)),NA())</f>
        <v>#N/A</v>
      </c>
      <c r="S77" s="8" t="e">
        <f>IF($F$9,IF($L77="","",IFERROR(VLOOKUP($L77,day_data!$A:$O,8,FALSE),0)),NA())</f>
        <v>#N/A</v>
      </c>
      <c r="T77" s="8" t="e">
        <f>IF($F$10,IF($L77="","",IFERROR(VLOOKUP($L77,day_data!$A:$O,9,FALSE),0)),NA())</f>
        <v>#N/A</v>
      </c>
      <c r="U77" s="8" t="e">
        <f>IF($F$11,IF($L77="","",IFERROR(VLOOKUP($L77,day_data!$A:$O,10,FALSE),0)),NA())</f>
        <v>#N/A</v>
      </c>
      <c r="V77" s="8" t="e">
        <f>IF($F$12,IF($L77="","",IFERROR(VLOOKUP($L77,day_data!$A:$O,11,FALSE),0)),NA())</f>
        <v>#N/A</v>
      </c>
      <c r="W77" s="8" t="e">
        <f>IF($F$13,IF($L77="","",IFERROR(VLOOKUP($L77,day_data!$A:$O,12,FALSE),0)),NA())</f>
        <v>#N/A</v>
      </c>
      <c r="X77" s="10" t="e">
        <f>IF($F$14,IF($L77="","",IFERROR(VLOOKUP($L77,day_data!$A:$O,13,FALSE),0)),NA())</f>
        <v>#N/A</v>
      </c>
      <c r="Y77" s="10" t="e">
        <f>IF($F$15,IF($L77="","",IFERROR(VLOOKUP($L77,day_data!$A:$O,14,FALSE),0)),NA())</f>
        <v>#N/A</v>
      </c>
    </row>
    <row r="78" spans="12:25" x14ac:dyDescent="0.2">
      <c r="L78" s="9" t="str">
        <f t="shared" si="1"/>
        <v/>
      </c>
      <c r="M78" s="8" t="e">
        <f>IF($F$3,IF($L78="","",IFERROR(VLOOKUP($L78,day_data!$A:$O,2,FALSE),0)),NA())</f>
        <v>#N/A</v>
      </c>
      <c r="N78" s="8" t="str">
        <f>IF($F$4,IF($L78="","",IFERROR(VLOOKUP($L78,day_data!$A:$O,3,FALSE),0)),NA())</f>
        <v/>
      </c>
      <c r="O78" s="8" t="e">
        <f>IF($F$5,IF($L78="","",IFERROR(VLOOKUP($L78,day_data!$A:$O,4,FALSE),0)),NA())</f>
        <v>#N/A</v>
      </c>
      <c r="P78" s="8" t="e">
        <f>IF($F$6,IF($L78="","",IFERROR(VLOOKUP($L78,day_data!$A:$O,5,FALSE),0)),NA())</f>
        <v>#N/A</v>
      </c>
      <c r="Q78" s="8" t="e">
        <f>IF($F$7,IF($L78="","",IFERROR(VLOOKUP($L78,day_data!$A:$O,6,FALSE),0)),NA())</f>
        <v>#N/A</v>
      </c>
      <c r="R78" s="8" t="e">
        <f>IF($F$8,IF($L78="","",IFERROR(VLOOKUP($L78,day_data!$A:$O,7,FALSE),0)),NA())</f>
        <v>#N/A</v>
      </c>
      <c r="S78" s="8" t="e">
        <f>IF($F$9,IF($L78="","",IFERROR(VLOOKUP($L78,day_data!$A:$O,8,FALSE),0)),NA())</f>
        <v>#N/A</v>
      </c>
      <c r="T78" s="8" t="e">
        <f>IF($F$10,IF($L78="","",IFERROR(VLOOKUP($L78,day_data!$A:$O,9,FALSE),0)),NA())</f>
        <v>#N/A</v>
      </c>
      <c r="U78" s="8" t="e">
        <f>IF($F$11,IF($L78="","",IFERROR(VLOOKUP($L78,day_data!$A:$O,10,FALSE),0)),NA())</f>
        <v>#N/A</v>
      </c>
      <c r="V78" s="8" t="e">
        <f>IF($F$12,IF($L78="","",IFERROR(VLOOKUP($L78,day_data!$A:$O,11,FALSE),0)),NA())</f>
        <v>#N/A</v>
      </c>
      <c r="W78" s="8" t="e">
        <f>IF($F$13,IF($L78="","",IFERROR(VLOOKUP($L78,day_data!$A:$O,12,FALSE),0)),NA())</f>
        <v>#N/A</v>
      </c>
      <c r="X78" s="10" t="e">
        <f>IF($F$14,IF($L78="","",IFERROR(VLOOKUP($L78,day_data!$A:$O,13,FALSE),0)),NA())</f>
        <v>#N/A</v>
      </c>
      <c r="Y78" s="10" t="e">
        <f>IF($F$15,IF($L78="","",IFERROR(VLOOKUP($L78,day_data!$A:$O,14,FALSE),0)),NA())</f>
        <v>#N/A</v>
      </c>
    </row>
    <row r="79" spans="12:25" x14ac:dyDescent="0.2">
      <c r="L79" s="9" t="str">
        <f t="shared" si="1"/>
        <v/>
      </c>
      <c r="M79" s="8" t="e">
        <f>IF($F$3,IF($L79="","",IFERROR(VLOOKUP($L79,day_data!$A:$O,2,FALSE),0)),NA())</f>
        <v>#N/A</v>
      </c>
      <c r="N79" s="8" t="str">
        <f>IF($F$4,IF($L79="","",IFERROR(VLOOKUP($L79,day_data!$A:$O,3,FALSE),0)),NA())</f>
        <v/>
      </c>
      <c r="O79" s="8" t="e">
        <f>IF($F$5,IF($L79="","",IFERROR(VLOOKUP($L79,day_data!$A:$O,4,FALSE),0)),NA())</f>
        <v>#N/A</v>
      </c>
      <c r="P79" s="8" t="e">
        <f>IF($F$6,IF($L79="","",IFERROR(VLOOKUP($L79,day_data!$A:$O,5,FALSE),0)),NA())</f>
        <v>#N/A</v>
      </c>
      <c r="Q79" s="8" t="e">
        <f>IF($F$7,IF($L79="","",IFERROR(VLOOKUP($L79,day_data!$A:$O,6,FALSE),0)),NA())</f>
        <v>#N/A</v>
      </c>
      <c r="R79" s="8" t="e">
        <f>IF($F$8,IF($L79="","",IFERROR(VLOOKUP($L79,day_data!$A:$O,7,FALSE),0)),NA())</f>
        <v>#N/A</v>
      </c>
      <c r="S79" s="8" t="e">
        <f>IF($F$9,IF($L79="","",IFERROR(VLOOKUP($L79,day_data!$A:$O,8,FALSE),0)),NA())</f>
        <v>#N/A</v>
      </c>
      <c r="T79" s="8" t="e">
        <f>IF($F$10,IF($L79="","",IFERROR(VLOOKUP($L79,day_data!$A:$O,9,FALSE),0)),NA())</f>
        <v>#N/A</v>
      </c>
      <c r="U79" s="8" t="e">
        <f>IF($F$11,IF($L79="","",IFERROR(VLOOKUP($L79,day_data!$A:$O,10,FALSE),0)),NA())</f>
        <v>#N/A</v>
      </c>
      <c r="V79" s="8" t="e">
        <f>IF($F$12,IF($L79="","",IFERROR(VLOOKUP($L79,day_data!$A:$O,11,FALSE),0)),NA())</f>
        <v>#N/A</v>
      </c>
      <c r="W79" s="8" t="e">
        <f>IF($F$13,IF($L79="","",IFERROR(VLOOKUP($L79,day_data!$A:$O,12,FALSE),0)),NA())</f>
        <v>#N/A</v>
      </c>
      <c r="X79" s="10" t="e">
        <f>IF($F$14,IF($L79="","",IFERROR(VLOOKUP($L79,day_data!$A:$O,13,FALSE),0)),NA())</f>
        <v>#N/A</v>
      </c>
      <c r="Y79" s="10" t="e">
        <f>IF($F$15,IF($L79="","",IFERROR(VLOOKUP($L79,day_data!$A:$O,14,FALSE),0)),NA())</f>
        <v>#N/A</v>
      </c>
    </row>
    <row r="80" spans="12:25" x14ac:dyDescent="0.2">
      <c r="L80" s="9" t="str">
        <f t="shared" si="1"/>
        <v/>
      </c>
      <c r="M80" s="8" t="e">
        <f>IF($F$3,IF($L80="","",IFERROR(VLOOKUP($L80,day_data!$A:$O,2,FALSE),0)),NA())</f>
        <v>#N/A</v>
      </c>
      <c r="N80" s="8" t="str">
        <f>IF($F$4,IF($L80="","",IFERROR(VLOOKUP($L80,day_data!$A:$O,3,FALSE),0)),NA())</f>
        <v/>
      </c>
      <c r="O80" s="8" t="e">
        <f>IF($F$5,IF($L80="","",IFERROR(VLOOKUP($L80,day_data!$A:$O,4,FALSE),0)),NA())</f>
        <v>#N/A</v>
      </c>
      <c r="P80" s="8" t="e">
        <f>IF($F$6,IF($L80="","",IFERROR(VLOOKUP($L80,day_data!$A:$O,5,FALSE),0)),NA())</f>
        <v>#N/A</v>
      </c>
      <c r="Q80" s="8" t="e">
        <f>IF($F$7,IF($L80="","",IFERROR(VLOOKUP($L80,day_data!$A:$O,6,FALSE),0)),NA())</f>
        <v>#N/A</v>
      </c>
      <c r="R80" s="8" t="e">
        <f>IF($F$8,IF($L80="","",IFERROR(VLOOKUP($L80,day_data!$A:$O,7,FALSE),0)),NA())</f>
        <v>#N/A</v>
      </c>
      <c r="S80" s="8" t="e">
        <f>IF($F$9,IF($L80="","",IFERROR(VLOOKUP($L80,day_data!$A:$O,8,FALSE),0)),NA())</f>
        <v>#N/A</v>
      </c>
      <c r="T80" s="8" t="e">
        <f>IF($F$10,IF($L80="","",IFERROR(VLOOKUP($L80,day_data!$A:$O,9,FALSE),0)),NA())</f>
        <v>#N/A</v>
      </c>
      <c r="U80" s="8" t="e">
        <f>IF($F$11,IF($L80="","",IFERROR(VLOOKUP($L80,day_data!$A:$O,10,FALSE),0)),NA())</f>
        <v>#N/A</v>
      </c>
      <c r="V80" s="8" t="e">
        <f>IF($F$12,IF($L80="","",IFERROR(VLOOKUP($L80,day_data!$A:$O,11,FALSE),0)),NA())</f>
        <v>#N/A</v>
      </c>
      <c r="W80" s="8" t="e">
        <f>IF($F$13,IF($L80="","",IFERROR(VLOOKUP($L80,day_data!$A:$O,12,FALSE),0)),NA())</f>
        <v>#N/A</v>
      </c>
      <c r="X80" s="10" t="e">
        <f>IF($F$14,IF($L80="","",IFERROR(VLOOKUP($L80,day_data!$A:$O,13,FALSE),0)),NA())</f>
        <v>#N/A</v>
      </c>
      <c r="Y80" s="10" t="e">
        <f>IF($F$15,IF($L80="","",IFERROR(VLOOKUP($L80,day_data!$A:$O,14,FALSE),0)),NA())</f>
        <v>#N/A</v>
      </c>
    </row>
    <row r="81" spans="12:25" x14ac:dyDescent="0.2">
      <c r="L81" s="9" t="str">
        <f t="shared" si="1"/>
        <v/>
      </c>
      <c r="M81" s="8" t="e">
        <f>IF($F$3,IF($L81="","",IFERROR(VLOOKUP($L81,day_data!$A:$O,2,FALSE),0)),NA())</f>
        <v>#N/A</v>
      </c>
      <c r="N81" s="8" t="str">
        <f>IF($F$4,IF($L81="","",IFERROR(VLOOKUP($L81,day_data!$A:$O,3,FALSE),0)),NA())</f>
        <v/>
      </c>
      <c r="O81" s="8" t="e">
        <f>IF($F$5,IF($L81="","",IFERROR(VLOOKUP($L81,day_data!$A:$O,4,FALSE),0)),NA())</f>
        <v>#N/A</v>
      </c>
      <c r="P81" s="8" t="e">
        <f>IF($F$6,IF($L81="","",IFERROR(VLOOKUP($L81,day_data!$A:$O,5,FALSE),0)),NA())</f>
        <v>#N/A</v>
      </c>
      <c r="Q81" s="8" t="e">
        <f>IF($F$7,IF($L81="","",IFERROR(VLOOKUP($L81,day_data!$A:$O,6,FALSE),0)),NA())</f>
        <v>#N/A</v>
      </c>
      <c r="R81" s="8" t="e">
        <f>IF($F$8,IF($L81="","",IFERROR(VLOOKUP($L81,day_data!$A:$O,7,FALSE),0)),NA())</f>
        <v>#N/A</v>
      </c>
      <c r="S81" s="8" t="e">
        <f>IF($F$9,IF($L81="","",IFERROR(VLOOKUP($L81,day_data!$A:$O,8,FALSE),0)),NA())</f>
        <v>#N/A</v>
      </c>
      <c r="T81" s="8" t="e">
        <f>IF($F$10,IF($L81="","",IFERROR(VLOOKUP($L81,day_data!$A:$O,9,FALSE),0)),NA())</f>
        <v>#N/A</v>
      </c>
      <c r="U81" s="8" t="e">
        <f>IF($F$11,IF($L81="","",IFERROR(VLOOKUP($L81,day_data!$A:$O,10,FALSE),0)),NA())</f>
        <v>#N/A</v>
      </c>
      <c r="V81" s="8" t="e">
        <f>IF($F$12,IF($L81="","",IFERROR(VLOOKUP($L81,day_data!$A:$O,11,FALSE),0)),NA())</f>
        <v>#N/A</v>
      </c>
      <c r="W81" s="8" t="e">
        <f>IF($F$13,IF($L81="","",IFERROR(VLOOKUP($L81,day_data!$A:$O,12,FALSE),0)),NA())</f>
        <v>#N/A</v>
      </c>
      <c r="X81" s="10" t="e">
        <f>IF($F$14,IF($L81="","",IFERROR(VLOOKUP($L81,day_data!$A:$O,13,FALSE),0)),NA())</f>
        <v>#N/A</v>
      </c>
      <c r="Y81" s="10" t="e">
        <f>IF($F$15,IF($L81="","",IFERROR(VLOOKUP($L81,day_data!$A:$O,14,FALSE),0)),NA())</f>
        <v>#N/A</v>
      </c>
    </row>
    <row r="82" spans="12:25" x14ac:dyDescent="0.2">
      <c r="L82" s="9" t="str">
        <f t="shared" si="1"/>
        <v/>
      </c>
      <c r="M82" s="8" t="e">
        <f>IF($F$3,IF($L82="","",IFERROR(VLOOKUP($L82,day_data!$A:$O,2,FALSE),0)),NA())</f>
        <v>#N/A</v>
      </c>
      <c r="N82" s="8" t="str">
        <f>IF($F$4,IF($L82="","",IFERROR(VLOOKUP($L82,day_data!$A:$O,3,FALSE),0)),NA())</f>
        <v/>
      </c>
      <c r="O82" s="8" t="e">
        <f>IF($F$5,IF($L82="","",IFERROR(VLOOKUP($L82,day_data!$A:$O,4,FALSE),0)),NA())</f>
        <v>#N/A</v>
      </c>
      <c r="P82" s="8" t="e">
        <f>IF($F$6,IF($L82="","",IFERROR(VLOOKUP($L82,day_data!$A:$O,5,FALSE),0)),NA())</f>
        <v>#N/A</v>
      </c>
      <c r="Q82" s="8" t="e">
        <f>IF($F$7,IF($L82="","",IFERROR(VLOOKUP($L82,day_data!$A:$O,6,FALSE),0)),NA())</f>
        <v>#N/A</v>
      </c>
      <c r="R82" s="8" t="e">
        <f>IF($F$8,IF($L82="","",IFERROR(VLOOKUP($L82,day_data!$A:$O,7,FALSE),0)),NA())</f>
        <v>#N/A</v>
      </c>
      <c r="S82" s="8" t="e">
        <f>IF($F$9,IF($L82="","",IFERROR(VLOOKUP($L82,day_data!$A:$O,8,FALSE),0)),NA())</f>
        <v>#N/A</v>
      </c>
      <c r="T82" s="8" t="e">
        <f>IF($F$10,IF($L82="","",IFERROR(VLOOKUP($L82,day_data!$A:$O,9,FALSE),0)),NA())</f>
        <v>#N/A</v>
      </c>
      <c r="U82" s="8" t="e">
        <f>IF($F$11,IF($L82="","",IFERROR(VLOOKUP($L82,day_data!$A:$O,10,FALSE),0)),NA())</f>
        <v>#N/A</v>
      </c>
      <c r="V82" s="8" t="e">
        <f>IF($F$12,IF($L82="","",IFERROR(VLOOKUP($L82,day_data!$A:$O,11,FALSE),0)),NA())</f>
        <v>#N/A</v>
      </c>
      <c r="W82" s="8" t="e">
        <f>IF($F$13,IF($L82="","",IFERROR(VLOOKUP($L82,day_data!$A:$O,12,FALSE),0)),NA())</f>
        <v>#N/A</v>
      </c>
      <c r="X82" s="10" t="e">
        <f>IF($F$14,IF($L82="","",IFERROR(VLOOKUP($L82,day_data!$A:$O,13,FALSE),0)),NA())</f>
        <v>#N/A</v>
      </c>
      <c r="Y82" s="10" t="e">
        <f>IF($F$15,IF($L82="","",IFERROR(VLOOKUP($L82,day_data!$A:$O,14,FALSE),0)),NA())</f>
        <v>#N/A</v>
      </c>
    </row>
    <row r="83" spans="12:25" x14ac:dyDescent="0.2">
      <c r="L83" s="9" t="str">
        <f t="shared" si="1"/>
        <v/>
      </c>
      <c r="M83" s="8" t="e">
        <f>IF($F$3,IF($L83="","",IFERROR(VLOOKUP($L83,day_data!$A:$O,2,FALSE),0)),NA())</f>
        <v>#N/A</v>
      </c>
      <c r="N83" s="8" t="str">
        <f>IF($F$4,IF($L83="","",IFERROR(VLOOKUP($L83,day_data!$A:$O,3,FALSE),0)),NA())</f>
        <v/>
      </c>
      <c r="O83" s="8" t="e">
        <f>IF($F$5,IF($L83="","",IFERROR(VLOOKUP($L83,day_data!$A:$O,4,FALSE),0)),NA())</f>
        <v>#N/A</v>
      </c>
      <c r="P83" s="8" t="e">
        <f>IF($F$6,IF($L83="","",IFERROR(VLOOKUP($L83,day_data!$A:$O,5,FALSE),0)),NA())</f>
        <v>#N/A</v>
      </c>
      <c r="Q83" s="8" t="e">
        <f>IF($F$7,IF($L83="","",IFERROR(VLOOKUP($L83,day_data!$A:$O,6,FALSE),0)),NA())</f>
        <v>#N/A</v>
      </c>
      <c r="R83" s="8" t="e">
        <f>IF($F$8,IF($L83="","",IFERROR(VLOOKUP($L83,day_data!$A:$O,7,FALSE),0)),NA())</f>
        <v>#N/A</v>
      </c>
      <c r="S83" s="8" t="e">
        <f>IF($F$9,IF($L83="","",IFERROR(VLOOKUP($L83,day_data!$A:$O,8,FALSE),0)),NA())</f>
        <v>#N/A</v>
      </c>
      <c r="T83" s="8" t="e">
        <f>IF($F$10,IF($L83="","",IFERROR(VLOOKUP($L83,day_data!$A:$O,9,FALSE),0)),NA())</f>
        <v>#N/A</v>
      </c>
      <c r="U83" s="8" t="e">
        <f>IF($F$11,IF($L83="","",IFERROR(VLOOKUP($L83,day_data!$A:$O,10,FALSE),0)),NA())</f>
        <v>#N/A</v>
      </c>
      <c r="V83" s="8" t="e">
        <f>IF($F$12,IF($L83="","",IFERROR(VLOOKUP($L83,day_data!$A:$O,11,FALSE),0)),NA())</f>
        <v>#N/A</v>
      </c>
      <c r="W83" s="8" t="e">
        <f>IF($F$13,IF($L83="","",IFERROR(VLOOKUP($L83,day_data!$A:$O,12,FALSE),0)),NA())</f>
        <v>#N/A</v>
      </c>
      <c r="X83" s="10" t="e">
        <f>IF($F$14,IF($L83="","",IFERROR(VLOOKUP($L83,day_data!$A:$O,13,FALSE),0)),NA())</f>
        <v>#N/A</v>
      </c>
      <c r="Y83" s="10" t="e">
        <f>IF($F$15,IF($L83="","",IFERROR(VLOOKUP($L83,day_data!$A:$O,14,FALSE),0)),NA())</f>
        <v>#N/A</v>
      </c>
    </row>
    <row r="84" spans="12:25" x14ac:dyDescent="0.2">
      <c r="L84" s="9" t="str">
        <f t="shared" si="1"/>
        <v/>
      </c>
      <c r="M84" s="8" t="e">
        <f>IF($F$3,IF($L84="","",IFERROR(VLOOKUP($L84,day_data!$A:$O,2,FALSE),0)),NA())</f>
        <v>#N/A</v>
      </c>
      <c r="N84" s="8" t="str">
        <f>IF($F$4,IF($L84="","",IFERROR(VLOOKUP($L84,day_data!$A:$O,3,FALSE),0)),NA())</f>
        <v/>
      </c>
      <c r="O84" s="8" t="e">
        <f>IF($F$5,IF($L84="","",IFERROR(VLOOKUP($L84,day_data!$A:$O,4,FALSE),0)),NA())</f>
        <v>#N/A</v>
      </c>
      <c r="P84" s="8" t="e">
        <f>IF($F$6,IF($L84="","",IFERROR(VLOOKUP($L84,day_data!$A:$O,5,FALSE),0)),NA())</f>
        <v>#N/A</v>
      </c>
      <c r="Q84" s="8" t="e">
        <f>IF($F$7,IF($L84="","",IFERROR(VLOOKUP($L84,day_data!$A:$O,6,FALSE),0)),NA())</f>
        <v>#N/A</v>
      </c>
      <c r="R84" s="8" t="e">
        <f>IF($F$8,IF($L84="","",IFERROR(VLOOKUP($L84,day_data!$A:$O,7,FALSE),0)),NA())</f>
        <v>#N/A</v>
      </c>
      <c r="S84" s="8" t="e">
        <f>IF($F$9,IF($L84="","",IFERROR(VLOOKUP($L84,day_data!$A:$O,8,FALSE),0)),NA())</f>
        <v>#N/A</v>
      </c>
      <c r="T84" s="8" t="e">
        <f>IF($F$10,IF($L84="","",IFERROR(VLOOKUP($L84,day_data!$A:$O,9,FALSE),0)),NA())</f>
        <v>#N/A</v>
      </c>
      <c r="U84" s="8" t="e">
        <f>IF($F$11,IF($L84="","",IFERROR(VLOOKUP($L84,day_data!$A:$O,10,FALSE),0)),NA())</f>
        <v>#N/A</v>
      </c>
      <c r="V84" s="8" t="e">
        <f>IF($F$12,IF($L84="","",IFERROR(VLOOKUP($L84,day_data!$A:$O,11,FALSE),0)),NA())</f>
        <v>#N/A</v>
      </c>
      <c r="W84" s="8" t="e">
        <f>IF($F$13,IF($L84="","",IFERROR(VLOOKUP($L84,day_data!$A:$O,12,FALSE),0)),NA())</f>
        <v>#N/A</v>
      </c>
      <c r="X84" s="10" t="e">
        <f>IF($F$14,IF($L84="","",IFERROR(VLOOKUP($L84,day_data!$A:$O,13,FALSE),0)),NA())</f>
        <v>#N/A</v>
      </c>
      <c r="Y84" s="10" t="e">
        <f>IF($F$15,IF($L84="","",IFERROR(VLOOKUP($L84,day_data!$A:$O,14,FALSE),0)),NA())</f>
        <v>#N/A</v>
      </c>
    </row>
    <row r="85" spans="12:25" x14ac:dyDescent="0.2">
      <c r="L85" s="9" t="str">
        <f t="shared" si="1"/>
        <v/>
      </c>
      <c r="M85" s="8" t="e">
        <f>IF($F$3,IF($L85="","",IFERROR(VLOOKUP($L85,day_data!$A:$O,2,FALSE),0)),NA())</f>
        <v>#N/A</v>
      </c>
      <c r="N85" s="8" t="str">
        <f>IF($F$4,IF($L85="","",IFERROR(VLOOKUP($L85,day_data!$A:$O,3,FALSE),0)),NA())</f>
        <v/>
      </c>
      <c r="O85" s="8" t="e">
        <f>IF($F$5,IF($L85="","",IFERROR(VLOOKUP($L85,day_data!$A:$O,4,FALSE),0)),NA())</f>
        <v>#N/A</v>
      </c>
      <c r="P85" s="8" t="e">
        <f>IF($F$6,IF($L85="","",IFERROR(VLOOKUP($L85,day_data!$A:$O,5,FALSE),0)),NA())</f>
        <v>#N/A</v>
      </c>
      <c r="Q85" s="8" t="e">
        <f>IF($F$7,IF($L85="","",IFERROR(VLOOKUP($L85,day_data!$A:$O,6,FALSE),0)),NA())</f>
        <v>#N/A</v>
      </c>
      <c r="R85" s="8" t="e">
        <f>IF($F$8,IF($L85="","",IFERROR(VLOOKUP($L85,day_data!$A:$O,7,FALSE),0)),NA())</f>
        <v>#N/A</v>
      </c>
      <c r="S85" s="8" t="e">
        <f>IF($F$9,IF($L85="","",IFERROR(VLOOKUP($L85,day_data!$A:$O,8,FALSE),0)),NA())</f>
        <v>#N/A</v>
      </c>
      <c r="T85" s="8" t="e">
        <f>IF($F$10,IF($L85="","",IFERROR(VLOOKUP($L85,day_data!$A:$O,9,FALSE),0)),NA())</f>
        <v>#N/A</v>
      </c>
      <c r="U85" s="8" t="e">
        <f>IF($F$11,IF($L85="","",IFERROR(VLOOKUP($L85,day_data!$A:$O,10,FALSE),0)),NA())</f>
        <v>#N/A</v>
      </c>
      <c r="V85" s="8" t="e">
        <f>IF($F$12,IF($L85="","",IFERROR(VLOOKUP($L85,day_data!$A:$O,11,FALSE),0)),NA())</f>
        <v>#N/A</v>
      </c>
      <c r="W85" s="8" t="e">
        <f>IF($F$13,IF($L85="","",IFERROR(VLOOKUP($L85,day_data!$A:$O,12,FALSE),0)),NA())</f>
        <v>#N/A</v>
      </c>
      <c r="X85" s="10" t="e">
        <f>IF($F$14,IF($L85="","",IFERROR(VLOOKUP($L85,day_data!$A:$O,13,FALSE),0)),NA())</f>
        <v>#N/A</v>
      </c>
      <c r="Y85" s="10" t="e">
        <f>IF($F$15,IF($L85="","",IFERROR(VLOOKUP($L85,day_data!$A:$O,14,FALSE),0)),NA())</f>
        <v>#N/A</v>
      </c>
    </row>
    <row r="86" spans="12:25" x14ac:dyDescent="0.2">
      <c r="L86" s="9" t="str">
        <f t="shared" si="1"/>
        <v/>
      </c>
      <c r="M86" s="8" t="e">
        <f>IF($F$3,IF($L86="","",IFERROR(VLOOKUP($L86,day_data!$A:$O,2,FALSE),0)),NA())</f>
        <v>#N/A</v>
      </c>
      <c r="N86" s="8" t="str">
        <f>IF($F$4,IF($L86="","",IFERROR(VLOOKUP($L86,day_data!$A:$O,3,FALSE),0)),NA())</f>
        <v/>
      </c>
      <c r="O86" s="8" t="e">
        <f>IF($F$5,IF($L86="","",IFERROR(VLOOKUP($L86,day_data!$A:$O,4,FALSE),0)),NA())</f>
        <v>#N/A</v>
      </c>
      <c r="P86" s="8" t="e">
        <f>IF($F$6,IF($L86="","",IFERROR(VLOOKUP($L86,day_data!$A:$O,5,FALSE),0)),NA())</f>
        <v>#N/A</v>
      </c>
      <c r="Q86" s="8" t="e">
        <f>IF($F$7,IF($L86="","",IFERROR(VLOOKUP($L86,day_data!$A:$O,6,FALSE),0)),NA())</f>
        <v>#N/A</v>
      </c>
      <c r="R86" s="8" t="e">
        <f>IF($F$8,IF($L86="","",IFERROR(VLOOKUP($L86,day_data!$A:$O,7,FALSE),0)),NA())</f>
        <v>#N/A</v>
      </c>
      <c r="S86" s="8" t="e">
        <f>IF($F$9,IF($L86="","",IFERROR(VLOOKUP($L86,day_data!$A:$O,8,FALSE),0)),NA())</f>
        <v>#N/A</v>
      </c>
      <c r="T86" s="8" t="e">
        <f>IF($F$10,IF($L86="","",IFERROR(VLOOKUP($L86,day_data!$A:$O,9,FALSE),0)),NA())</f>
        <v>#N/A</v>
      </c>
      <c r="U86" s="8" t="e">
        <f>IF($F$11,IF($L86="","",IFERROR(VLOOKUP($L86,day_data!$A:$O,10,FALSE),0)),NA())</f>
        <v>#N/A</v>
      </c>
      <c r="V86" s="8" t="e">
        <f>IF($F$12,IF($L86="","",IFERROR(VLOOKUP($L86,day_data!$A:$O,11,FALSE),0)),NA())</f>
        <v>#N/A</v>
      </c>
      <c r="W86" s="8" t="e">
        <f>IF($F$13,IF($L86="","",IFERROR(VLOOKUP($L86,day_data!$A:$O,12,FALSE),0)),NA())</f>
        <v>#N/A</v>
      </c>
      <c r="X86" s="10" t="e">
        <f>IF($F$14,IF($L86="","",IFERROR(VLOOKUP($L86,day_data!$A:$O,13,FALSE),0)),NA())</f>
        <v>#N/A</v>
      </c>
      <c r="Y86" s="10" t="e">
        <f>IF($F$15,IF($L86="","",IFERROR(VLOOKUP($L86,day_data!$A:$O,14,FALSE),0)),NA())</f>
        <v>#N/A</v>
      </c>
    </row>
    <row r="87" spans="12:25" x14ac:dyDescent="0.2">
      <c r="L87" s="9" t="str">
        <f t="shared" si="1"/>
        <v/>
      </c>
      <c r="M87" s="8" t="e">
        <f>IF($F$3,IF($L87="","",IFERROR(VLOOKUP($L87,day_data!$A:$O,2,FALSE),0)),NA())</f>
        <v>#N/A</v>
      </c>
      <c r="N87" s="8" t="str">
        <f>IF($F$4,IF($L87="","",IFERROR(VLOOKUP($L87,day_data!$A:$O,3,FALSE),0)),NA())</f>
        <v/>
      </c>
      <c r="O87" s="8" t="e">
        <f>IF($F$5,IF($L87="","",IFERROR(VLOOKUP($L87,day_data!$A:$O,4,FALSE),0)),NA())</f>
        <v>#N/A</v>
      </c>
      <c r="P87" s="8" t="e">
        <f>IF($F$6,IF($L87="","",IFERROR(VLOOKUP($L87,day_data!$A:$O,5,FALSE),0)),NA())</f>
        <v>#N/A</v>
      </c>
      <c r="Q87" s="8" t="e">
        <f>IF($F$7,IF($L87="","",IFERROR(VLOOKUP($L87,day_data!$A:$O,6,FALSE),0)),NA())</f>
        <v>#N/A</v>
      </c>
      <c r="R87" s="8" t="e">
        <f>IF($F$8,IF($L87="","",IFERROR(VLOOKUP($L87,day_data!$A:$O,7,FALSE),0)),NA())</f>
        <v>#N/A</v>
      </c>
      <c r="S87" s="8" t="e">
        <f>IF($F$9,IF($L87="","",IFERROR(VLOOKUP($L87,day_data!$A:$O,8,FALSE),0)),NA())</f>
        <v>#N/A</v>
      </c>
      <c r="T87" s="8" t="e">
        <f>IF($F$10,IF($L87="","",IFERROR(VLOOKUP($L87,day_data!$A:$O,9,FALSE),0)),NA())</f>
        <v>#N/A</v>
      </c>
      <c r="U87" s="8" t="e">
        <f>IF($F$11,IF($L87="","",IFERROR(VLOOKUP($L87,day_data!$A:$O,10,FALSE),0)),NA())</f>
        <v>#N/A</v>
      </c>
      <c r="V87" s="8" t="e">
        <f>IF($F$12,IF($L87="","",IFERROR(VLOOKUP($L87,day_data!$A:$O,11,FALSE),0)),NA())</f>
        <v>#N/A</v>
      </c>
      <c r="W87" s="8" t="e">
        <f>IF($F$13,IF($L87="","",IFERROR(VLOOKUP($L87,day_data!$A:$O,12,FALSE),0)),NA())</f>
        <v>#N/A</v>
      </c>
      <c r="X87" s="10" t="e">
        <f>IF($F$14,IF($L87="","",IFERROR(VLOOKUP($L87,day_data!$A:$O,13,FALSE),0)),NA())</f>
        <v>#N/A</v>
      </c>
      <c r="Y87" s="10" t="e">
        <f>IF($F$15,IF($L87="","",IFERROR(VLOOKUP($L87,day_data!$A:$O,14,FALSE),0)),NA())</f>
        <v>#N/A</v>
      </c>
    </row>
    <row r="88" spans="12:25" x14ac:dyDescent="0.2">
      <c r="L88" s="9" t="str">
        <f t="shared" si="1"/>
        <v/>
      </c>
      <c r="M88" s="8" t="e">
        <f>IF($F$3,IF($L88="","",IFERROR(VLOOKUP($L88,day_data!$A:$O,2,FALSE),0)),NA())</f>
        <v>#N/A</v>
      </c>
      <c r="N88" s="8" t="str">
        <f>IF($F$4,IF($L88="","",IFERROR(VLOOKUP($L88,day_data!$A:$O,3,FALSE),0)),NA())</f>
        <v/>
      </c>
      <c r="O88" s="8" t="e">
        <f>IF($F$5,IF($L88="","",IFERROR(VLOOKUP($L88,day_data!$A:$O,4,FALSE),0)),NA())</f>
        <v>#N/A</v>
      </c>
      <c r="P88" s="8" t="e">
        <f>IF($F$6,IF($L88="","",IFERROR(VLOOKUP($L88,day_data!$A:$O,5,FALSE),0)),NA())</f>
        <v>#N/A</v>
      </c>
      <c r="Q88" s="8" t="e">
        <f>IF($F$7,IF($L88="","",IFERROR(VLOOKUP($L88,day_data!$A:$O,6,FALSE),0)),NA())</f>
        <v>#N/A</v>
      </c>
      <c r="R88" s="8" t="e">
        <f>IF($F$8,IF($L88="","",IFERROR(VLOOKUP($L88,day_data!$A:$O,7,FALSE),0)),NA())</f>
        <v>#N/A</v>
      </c>
      <c r="S88" s="8" t="e">
        <f>IF($F$9,IF($L88="","",IFERROR(VLOOKUP($L88,day_data!$A:$O,8,FALSE),0)),NA())</f>
        <v>#N/A</v>
      </c>
      <c r="T88" s="8" t="e">
        <f>IF($F$10,IF($L88="","",IFERROR(VLOOKUP($L88,day_data!$A:$O,9,FALSE),0)),NA())</f>
        <v>#N/A</v>
      </c>
      <c r="U88" s="8" t="e">
        <f>IF($F$11,IF($L88="","",IFERROR(VLOOKUP($L88,day_data!$A:$O,10,FALSE),0)),NA())</f>
        <v>#N/A</v>
      </c>
      <c r="V88" s="8" t="e">
        <f>IF($F$12,IF($L88="","",IFERROR(VLOOKUP($L88,day_data!$A:$O,11,FALSE),0)),NA())</f>
        <v>#N/A</v>
      </c>
      <c r="W88" s="8" t="e">
        <f>IF($F$13,IF($L88="","",IFERROR(VLOOKUP($L88,day_data!$A:$O,12,FALSE),0)),NA())</f>
        <v>#N/A</v>
      </c>
      <c r="X88" s="10" t="e">
        <f>IF($F$14,IF($L88="","",IFERROR(VLOOKUP($L88,day_data!$A:$O,13,FALSE),0)),NA())</f>
        <v>#N/A</v>
      </c>
      <c r="Y88" s="10" t="e">
        <f>IF($F$15,IF($L88="","",IFERROR(VLOOKUP($L88,day_data!$A:$O,14,FALSE),0)),NA())</f>
        <v>#N/A</v>
      </c>
    </row>
    <row r="89" spans="12:25" x14ac:dyDescent="0.2">
      <c r="L89" s="9" t="str">
        <f t="shared" si="1"/>
        <v/>
      </c>
      <c r="M89" s="8" t="e">
        <f>IF($F$3,IF($L89="","",IFERROR(VLOOKUP($L89,day_data!$A:$O,2,FALSE),0)),NA())</f>
        <v>#N/A</v>
      </c>
      <c r="N89" s="8" t="str">
        <f>IF($F$4,IF($L89="","",IFERROR(VLOOKUP($L89,day_data!$A:$O,3,FALSE),0)),NA())</f>
        <v/>
      </c>
      <c r="O89" s="8" t="e">
        <f>IF($F$5,IF($L89="","",IFERROR(VLOOKUP($L89,day_data!$A:$O,4,FALSE),0)),NA())</f>
        <v>#N/A</v>
      </c>
      <c r="P89" s="8" t="e">
        <f>IF($F$6,IF($L89="","",IFERROR(VLOOKUP($L89,day_data!$A:$O,5,FALSE),0)),NA())</f>
        <v>#N/A</v>
      </c>
      <c r="Q89" s="8" t="e">
        <f>IF($F$7,IF($L89="","",IFERROR(VLOOKUP($L89,day_data!$A:$O,6,FALSE),0)),NA())</f>
        <v>#N/A</v>
      </c>
      <c r="R89" s="8" t="e">
        <f>IF($F$8,IF($L89="","",IFERROR(VLOOKUP($L89,day_data!$A:$O,7,FALSE),0)),NA())</f>
        <v>#N/A</v>
      </c>
      <c r="S89" s="8" t="e">
        <f>IF($F$9,IF($L89="","",IFERROR(VLOOKUP($L89,day_data!$A:$O,8,FALSE),0)),NA())</f>
        <v>#N/A</v>
      </c>
      <c r="T89" s="8" t="e">
        <f>IF($F$10,IF($L89="","",IFERROR(VLOOKUP($L89,day_data!$A:$O,9,FALSE),0)),NA())</f>
        <v>#N/A</v>
      </c>
      <c r="U89" s="8" t="e">
        <f>IF($F$11,IF($L89="","",IFERROR(VLOOKUP($L89,day_data!$A:$O,10,FALSE),0)),NA())</f>
        <v>#N/A</v>
      </c>
      <c r="V89" s="8" t="e">
        <f>IF($F$12,IF($L89="","",IFERROR(VLOOKUP($L89,day_data!$A:$O,11,FALSE),0)),NA())</f>
        <v>#N/A</v>
      </c>
      <c r="W89" s="8" t="e">
        <f>IF($F$13,IF($L89="","",IFERROR(VLOOKUP($L89,day_data!$A:$O,12,FALSE),0)),NA())</f>
        <v>#N/A</v>
      </c>
      <c r="X89" s="10" t="e">
        <f>IF($F$14,IF($L89="","",IFERROR(VLOOKUP($L89,day_data!$A:$O,13,FALSE),0)),NA())</f>
        <v>#N/A</v>
      </c>
      <c r="Y89" s="10" t="e">
        <f>IF($F$15,IF($L89="","",IFERROR(VLOOKUP($L89,day_data!$A:$O,14,FALSE),0)),NA())</f>
        <v>#N/A</v>
      </c>
    </row>
    <row r="90" spans="12:25" x14ac:dyDescent="0.2">
      <c r="L90" s="9" t="str">
        <f t="shared" si="1"/>
        <v/>
      </c>
      <c r="M90" s="8" t="e">
        <f>IF($F$3,IF($L90="","",IFERROR(VLOOKUP($L90,day_data!$A:$O,2,FALSE),0)),NA())</f>
        <v>#N/A</v>
      </c>
      <c r="N90" s="8" t="str">
        <f>IF($F$4,IF($L90="","",IFERROR(VLOOKUP($L90,day_data!$A:$O,3,FALSE),0)),NA())</f>
        <v/>
      </c>
      <c r="O90" s="8" t="e">
        <f>IF($F$5,IF($L90="","",IFERROR(VLOOKUP($L90,day_data!$A:$O,4,FALSE),0)),NA())</f>
        <v>#N/A</v>
      </c>
      <c r="P90" s="8" t="e">
        <f>IF($F$6,IF($L90="","",IFERROR(VLOOKUP($L90,day_data!$A:$O,5,FALSE),0)),NA())</f>
        <v>#N/A</v>
      </c>
      <c r="Q90" s="8" t="e">
        <f>IF($F$7,IF($L90="","",IFERROR(VLOOKUP($L90,day_data!$A:$O,6,FALSE),0)),NA())</f>
        <v>#N/A</v>
      </c>
      <c r="R90" s="8" t="e">
        <f>IF($F$8,IF($L90="","",IFERROR(VLOOKUP($L90,day_data!$A:$O,7,FALSE),0)),NA())</f>
        <v>#N/A</v>
      </c>
      <c r="S90" s="8" t="e">
        <f>IF($F$9,IF($L90="","",IFERROR(VLOOKUP($L90,day_data!$A:$O,8,FALSE),0)),NA())</f>
        <v>#N/A</v>
      </c>
      <c r="T90" s="8" t="e">
        <f>IF($F$10,IF($L90="","",IFERROR(VLOOKUP($L90,day_data!$A:$O,9,FALSE),0)),NA())</f>
        <v>#N/A</v>
      </c>
      <c r="U90" s="8" t="e">
        <f>IF($F$11,IF($L90="","",IFERROR(VLOOKUP($L90,day_data!$A:$O,10,FALSE),0)),NA())</f>
        <v>#N/A</v>
      </c>
      <c r="V90" s="8" t="e">
        <f>IF($F$12,IF($L90="","",IFERROR(VLOOKUP($L90,day_data!$A:$O,11,FALSE),0)),NA())</f>
        <v>#N/A</v>
      </c>
      <c r="W90" s="8" t="e">
        <f>IF($F$13,IF($L90="","",IFERROR(VLOOKUP($L90,day_data!$A:$O,12,FALSE),0)),NA())</f>
        <v>#N/A</v>
      </c>
      <c r="X90" s="10" t="e">
        <f>IF($F$14,IF($L90="","",IFERROR(VLOOKUP($L90,day_data!$A:$O,13,FALSE),0)),NA())</f>
        <v>#N/A</v>
      </c>
      <c r="Y90" s="10" t="e">
        <f>IF($F$15,IF($L90="","",IFERROR(VLOOKUP($L90,day_data!$A:$O,14,FALSE),0)),NA())</f>
        <v>#N/A</v>
      </c>
    </row>
    <row r="91" spans="12:25" x14ac:dyDescent="0.2">
      <c r="L91" s="9" t="str">
        <f t="shared" si="1"/>
        <v/>
      </c>
      <c r="M91" s="8" t="e">
        <f>IF($F$3,IF($L91="","",IFERROR(VLOOKUP($L91,day_data!$A:$O,2,FALSE),0)),NA())</f>
        <v>#N/A</v>
      </c>
      <c r="N91" s="8" t="str">
        <f>IF($F$4,IF($L91="","",IFERROR(VLOOKUP($L91,day_data!$A:$O,3,FALSE),0)),NA())</f>
        <v/>
      </c>
      <c r="O91" s="8" t="e">
        <f>IF($F$5,IF($L91="","",IFERROR(VLOOKUP($L91,day_data!$A:$O,4,FALSE),0)),NA())</f>
        <v>#N/A</v>
      </c>
      <c r="P91" s="8" t="e">
        <f>IF($F$6,IF($L91="","",IFERROR(VLOOKUP($L91,day_data!$A:$O,5,FALSE),0)),NA())</f>
        <v>#N/A</v>
      </c>
      <c r="Q91" s="8" t="e">
        <f>IF($F$7,IF($L91="","",IFERROR(VLOOKUP($L91,day_data!$A:$O,6,FALSE),0)),NA())</f>
        <v>#N/A</v>
      </c>
      <c r="R91" s="8" t="e">
        <f>IF($F$8,IF($L91="","",IFERROR(VLOOKUP($L91,day_data!$A:$O,7,FALSE),0)),NA())</f>
        <v>#N/A</v>
      </c>
      <c r="S91" s="8" t="e">
        <f>IF($F$9,IF($L91="","",IFERROR(VLOOKUP($L91,day_data!$A:$O,8,FALSE),0)),NA())</f>
        <v>#N/A</v>
      </c>
      <c r="T91" s="8" t="e">
        <f>IF($F$10,IF($L91="","",IFERROR(VLOOKUP($L91,day_data!$A:$O,9,FALSE),0)),NA())</f>
        <v>#N/A</v>
      </c>
      <c r="U91" s="8" t="e">
        <f>IF($F$11,IF($L91="","",IFERROR(VLOOKUP($L91,day_data!$A:$O,10,FALSE),0)),NA())</f>
        <v>#N/A</v>
      </c>
      <c r="V91" s="8" t="e">
        <f>IF($F$12,IF($L91="","",IFERROR(VLOOKUP($L91,day_data!$A:$O,11,FALSE),0)),NA())</f>
        <v>#N/A</v>
      </c>
      <c r="W91" s="8" t="e">
        <f>IF($F$13,IF($L91="","",IFERROR(VLOOKUP($L91,day_data!$A:$O,12,FALSE),0)),NA())</f>
        <v>#N/A</v>
      </c>
      <c r="X91" s="10" t="e">
        <f>IF($F$14,IF($L91="","",IFERROR(VLOOKUP($L91,day_data!$A:$O,13,FALSE),0)),NA())</f>
        <v>#N/A</v>
      </c>
      <c r="Y91" s="10" t="e">
        <f>IF($F$15,IF($L91="","",IFERROR(VLOOKUP($L91,day_data!$A:$O,14,FALSE),0)),NA())</f>
        <v>#N/A</v>
      </c>
    </row>
    <row r="92" spans="12:25" x14ac:dyDescent="0.2">
      <c r="L92" s="9" t="str">
        <f t="shared" si="1"/>
        <v/>
      </c>
      <c r="M92" s="8" t="e">
        <f>IF($F$3,IF($L92="","",IFERROR(VLOOKUP($L92,day_data!$A:$O,2,FALSE),0)),NA())</f>
        <v>#N/A</v>
      </c>
      <c r="N92" s="8" t="str">
        <f>IF($F$4,IF($L92="","",IFERROR(VLOOKUP($L92,day_data!$A:$O,3,FALSE),0)),NA())</f>
        <v/>
      </c>
      <c r="O92" s="8" t="e">
        <f>IF($F$5,IF($L92="","",IFERROR(VLOOKUP($L92,day_data!$A:$O,4,FALSE),0)),NA())</f>
        <v>#N/A</v>
      </c>
      <c r="P92" s="8" t="e">
        <f>IF($F$6,IF($L92="","",IFERROR(VLOOKUP($L92,day_data!$A:$O,5,FALSE),0)),NA())</f>
        <v>#N/A</v>
      </c>
      <c r="Q92" s="8" t="e">
        <f>IF($F$7,IF($L92="","",IFERROR(VLOOKUP($L92,day_data!$A:$O,6,FALSE),0)),NA())</f>
        <v>#N/A</v>
      </c>
      <c r="R92" s="8" t="e">
        <f>IF($F$8,IF($L92="","",IFERROR(VLOOKUP($L92,day_data!$A:$O,7,FALSE),0)),NA())</f>
        <v>#N/A</v>
      </c>
      <c r="S92" s="8" t="e">
        <f>IF($F$9,IF($L92="","",IFERROR(VLOOKUP($L92,day_data!$A:$O,8,FALSE),0)),NA())</f>
        <v>#N/A</v>
      </c>
      <c r="T92" s="8" t="e">
        <f>IF($F$10,IF($L92="","",IFERROR(VLOOKUP($L92,day_data!$A:$O,9,FALSE),0)),NA())</f>
        <v>#N/A</v>
      </c>
      <c r="U92" s="8" t="e">
        <f>IF($F$11,IF($L92="","",IFERROR(VLOOKUP($L92,day_data!$A:$O,10,FALSE),0)),NA())</f>
        <v>#N/A</v>
      </c>
      <c r="V92" s="8" t="e">
        <f>IF($F$12,IF($L92="","",IFERROR(VLOOKUP($L92,day_data!$A:$O,11,FALSE),0)),NA())</f>
        <v>#N/A</v>
      </c>
      <c r="W92" s="8" t="e">
        <f>IF($F$13,IF($L92="","",IFERROR(VLOOKUP($L92,day_data!$A:$O,12,FALSE),0)),NA())</f>
        <v>#N/A</v>
      </c>
      <c r="X92" s="10" t="e">
        <f>IF($F$14,IF($L92="","",IFERROR(VLOOKUP($L92,day_data!$A:$O,13,FALSE),0)),NA())</f>
        <v>#N/A</v>
      </c>
      <c r="Y92" s="10" t="e">
        <f>IF($F$15,IF($L92="","",IFERROR(VLOOKUP($L92,day_data!$A:$O,14,FALSE),0)),NA())</f>
        <v>#N/A</v>
      </c>
    </row>
    <row r="93" spans="12:25" x14ac:dyDescent="0.2">
      <c r="L93" s="9" t="str">
        <f t="shared" si="1"/>
        <v/>
      </c>
      <c r="M93" s="8" t="e">
        <f>IF($F$3,IF($L93="","",IFERROR(VLOOKUP($L93,day_data!$A:$O,2,FALSE),0)),NA())</f>
        <v>#N/A</v>
      </c>
      <c r="N93" s="8" t="str">
        <f>IF($F$4,IF($L93="","",IFERROR(VLOOKUP($L93,day_data!$A:$O,3,FALSE),0)),NA())</f>
        <v/>
      </c>
      <c r="O93" s="8" t="e">
        <f>IF($F$5,IF($L93="","",IFERROR(VLOOKUP($L93,day_data!$A:$O,4,FALSE),0)),NA())</f>
        <v>#N/A</v>
      </c>
      <c r="P93" s="8" t="e">
        <f>IF($F$6,IF($L93="","",IFERROR(VLOOKUP($L93,day_data!$A:$O,5,FALSE),0)),NA())</f>
        <v>#N/A</v>
      </c>
      <c r="Q93" s="8" t="e">
        <f>IF($F$7,IF($L93="","",IFERROR(VLOOKUP($L93,day_data!$A:$O,6,FALSE),0)),NA())</f>
        <v>#N/A</v>
      </c>
      <c r="R93" s="8" t="e">
        <f>IF($F$8,IF($L93="","",IFERROR(VLOOKUP($L93,day_data!$A:$O,7,FALSE),0)),NA())</f>
        <v>#N/A</v>
      </c>
      <c r="S93" s="8" t="e">
        <f>IF($F$9,IF($L93="","",IFERROR(VLOOKUP($L93,day_data!$A:$O,8,FALSE),0)),NA())</f>
        <v>#N/A</v>
      </c>
      <c r="T93" s="8" t="e">
        <f>IF($F$10,IF($L93="","",IFERROR(VLOOKUP($L93,day_data!$A:$O,9,FALSE),0)),NA())</f>
        <v>#N/A</v>
      </c>
      <c r="U93" s="8" t="e">
        <f>IF($F$11,IF($L93="","",IFERROR(VLOOKUP($L93,day_data!$A:$O,10,FALSE),0)),NA())</f>
        <v>#N/A</v>
      </c>
      <c r="V93" s="8" t="e">
        <f>IF($F$12,IF($L93="","",IFERROR(VLOOKUP($L93,day_data!$A:$O,11,FALSE),0)),NA())</f>
        <v>#N/A</v>
      </c>
      <c r="W93" s="8" t="e">
        <f>IF($F$13,IF($L93="","",IFERROR(VLOOKUP($L93,day_data!$A:$O,12,FALSE),0)),NA())</f>
        <v>#N/A</v>
      </c>
      <c r="X93" s="10" t="e">
        <f>IF($F$14,IF($L93="","",IFERROR(VLOOKUP($L93,day_data!$A:$O,13,FALSE),0)),NA())</f>
        <v>#N/A</v>
      </c>
      <c r="Y93" s="10" t="e">
        <f>IF($F$15,IF($L93="","",IFERROR(VLOOKUP($L93,day_data!$A:$O,14,FALSE),0)),NA())</f>
        <v>#N/A</v>
      </c>
    </row>
    <row r="94" spans="12:25" x14ac:dyDescent="0.2">
      <c r="L94" s="9" t="str">
        <f t="shared" si="1"/>
        <v/>
      </c>
      <c r="M94" s="8" t="e">
        <f>IF($F$3,IF($L94="","",IFERROR(VLOOKUP($L94,day_data!$A:$O,2,FALSE),0)),NA())</f>
        <v>#N/A</v>
      </c>
      <c r="N94" s="8" t="str">
        <f>IF($F$4,IF($L94="","",IFERROR(VLOOKUP($L94,day_data!$A:$O,3,FALSE),0)),NA())</f>
        <v/>
      </c>
      <c r="O94" s="8" t="e">
        <f>IF($F$5,IF($L94="","",IFERROR(VLOOKUP($L94,day_data!$A:$O,4,FALSE),0)),NA())</f>
        <v>#N/A</v>
      </c>
      <c r="P94" s="8" t="e">
        <f>IF($F$6,IF($L94="","",IFERROR(VLOOKUP($L94,day_data!$A:$O,5,FALSE),0)),NA())</f>
        <v>#N/A</v>
      </c>
      <c r="Q94" s="8" t="e">
        <f>IF($F$7,IF($L94="","",IFERROR(VLOOKUP($L94,day_data!$A:$O,6,FALSE),0)),NA())</f>
        <v>#N/A</v>
      </c>
      <c r="R94" s="8" t="e">
        <f>IF($F$8,IF($L94="","",IFERROR(VLOOKUP($L94,day_data!$A:$O,7,FALSE),0)),NA())</f>
        <v>#N/A</v>
      </c>
      <c r="S94" s="8" t="e">
        <f>IF($F$9,IF($L94="","",IFERROR(VLOOKUP($L94,day_data!$A:$O,8,FALSE),0)),NA())</f>
        <v>#N/A</v>
      </c>
      <c r="T94" s="8" t="e">
        <f>IF($F$10,IF($L94="","",IFERROR(VLOOKUP($L94,day_data!$A:$O,9,FALSE),0)),NA())</f>
        <v>#N/A</v>
      </c>
      <c r="U94" s="8" t="e">
        <f>IF($F$11,IF($L94="","",IFERROR(VLOOKUP($L94,day_data!$A:$O,10,FALSE),0)),NA())</f>
        <v>#N/A</v>
      </c>
      <c r="V94" s="8" t="e">
        <f>IF($F$12,IF($L94="","",IFERROR(VLOOKUP($L94,day_data!$A:$O,11,FALSE),0)),NA())</f>
        <v>#N/A</v>
      </c>
      <c r="W94" s="8" t="e">
        <f>IF($F$13,IF($L94="","",IFERROR(VLOOKUP($L94,day_data!$A:$O,12,FALSE),0)),NA())</f>
        <v>#N/A</v>
      </c>
      <c r="X94" s="10" t="e">
        <f>IF($F$14,IF($L94="","",IFERROR(VLOOKUP($L94,day_data!$A:$O,13,FALSE),0)),NA())</f>
        <v>#N/A</v>
      </c>
      <c r="Y94" s="10" t="e">
        <f>IF($F$15,IF($L94="","",IFERROR(VLOOKUP($L94,day_data!$A:$O,14,FALSE),0)),NA())</f>
        <v>#N/A</v>
      </c>
    </row>
    <row r="95" spans="12:25" x14ac:dyDescent="0.2">
      <c r="L95" s="9" t="str">
        <f t="shared" si="1"/>
        <v/>
      </c>
      <c r="M95" s="8" t="e">
        <f>IF($F$3,IF($L95="","",IFERROR(VLOOKUP($L95,day_data!$A:$O,2,FALSE),0)),NA())</f>
        <v>#N/A</v>
      </c>
      <c r="N95" s="8" t="str">
        <f>IF($F$4,IF($L95="","",IFERROR(VLOOKUP($L95,day_data!$A:$O,3,FALSE),0)),NA())</f>
        <v/>
      </c>
      <c r="O95" s="8" t="e">
        <f>IF($F$5,IF($L95="","",IFERROR(VLOOKUP($L95,day_data!$A:$O,4,FALSE),0)),NA())</f>
        <v>#N/A</v>
      </c>
      <c r="P95" s="8" t="e">
        <f>IF($F$6,IF($L95="","",IFERROR(VLOOKUP($L95,day_data!$A:$O,5,FALSE),0)),NA())</f>
        <v>#N/A</v>
      </c>
      <c r="Q95" s="8" t="e">
        <f>IF($F$7,IF($L95="","",IFERROR(VLOOKUP($L95,day_data!$A:$O,6,FALSE),0)),NA())</f>
        <v>#N/A</v>
      </c>
      <c r="R95" s="8" t="e">
        <f>IF($F$8,IF($L95="","",IFERROR(VLOOKUP($L95,day_data!$A:$O,7,FALSE),0)),NA())</f>
        <v>#N/A</v>
      </c>
      <c r="S95" s="8" t="e">
        <f>IF($F$9,IF($L95="","",IFERROR(VLOOKUP($L95,day_data!$A:$O,8,FALSE),0)),NA())</f>
        <v>#N/A</v>
      </c>
      <c r="T95" s="8" t="e">
        <f>IF($F$10,IF($L95="","",IFERROR(VLOOKUP($L95,day_data!$A:$O,9,FALSE),0)),NA())</f>
        <v>#N/A</v>
      </c>
      <c r="U95" s="8" t="e">
        <f>IF($F$11,IF($L95="","",IFERROR(VLOOKUP($L95,day_data!$A:$O,10,FALSE),0)),NA())</f>
        <v>#N/A</v>
      </c>
      <c r="V95" s="8" t="e">
        <f>IF($F$12,IF($L95="","",IFERROR(VLOOKUP($L95,day_data!$A:$O,11,FALSE),0)),NA())</f>
        <v>#N/A</v>
      </c>
      <c r="W95" s="8" t="e">
        <f>IF($F$13,IF($L95="","",IFERROR(VLOOKUP($L95,day_data!$A:$O,12,FALSE),0)),NA())</f>
        <v>#N/A</v>
      </c>
      <c r="X95" s="10" t="e">
        <f>IF($F$14,IF($L95="","",IFERROR(VLOOKUP($L95,day_data!$A:$O,13,FALSE),0)),NA())</f>
        <v>#N/A</v>
      </c>
      <c r="Y95" s="10" t="e">
        <f>IF($F$15,IF($L95="","",IFERROR(VLOOKUP($L95,day_data!$A:$O,14,FALSE),0)),NA())</f>
        <v>#N/A</v>
      </c>
    </row>
    <row r="96" spans="12:25" x14ac:dyDescent="0.2">
      <c r="L96" s="9" t="str">
        <f t="shared" si="1"/>
        <v/>
      </c>
      <c r="M96" s="8" t="e">
        <f>IF($F$3,IF($L96="","",IFERROR(VLOOKUP($L96,day_data!$A:$O,2,FALSE),0)),NA())</f>
        <v>#N/A</v>
      </c>
      <c r="N96" s="8" t="str">
        <f>IF($F$4,IF($L96="","",IFERROR(VLOOKUP($L96,day_data!$A:$O,3,FALSE),0)),NA())</f>
        <v/>
      </c>
      <c r="O96" s="8" t="e">
        <f>IF($F$5,IF($L96="","",IFERROR(VLOOKUP($L96,day_data!$A:$O,4,FALSE),0)),NA())</f>
        <v>#N/A</v>
      </c>
      <c r="P96" s="8" t="e">
        <f>IF($F$6,IF($L96="","",IFERROR(VLOOKUP($L96,day_data!$A:$O,5,FALSE),0)),NA())</f>
        <v>#N/A</v>
      </c>
      <c r="Q96" s="8" t="e">
        <f>IF($F$7,IF($L96="","",IFERROR(VLOOKUP($L96,day_data!$A:$O,6,FALSE),0)),NA())</f>
        <v>#N/A</v>
      </c>
      <c r="R96" s="8" t="e">
        <f>IF($F$8,IF($L96="","",IFERROR(VLOOKUP($L96,day_data!$A:$O,7,FALSE),0)),NA())</f>
        <v>#N/A</v>
      </c>
      <c r="S96" s="8" t="e">
        <f>IF($F$9,IF($L96="","",IFERROR(VLOOKUP($L96,day_data!$A:$O,8,FALSE),0)),NA())</f>
        <v>#N/A</v>
      </c>
      <c r="T96" s="8" t="e">
        <f>IF($F$10,IF($L96="","",IFERROR(VLOOKUP($L96,day_data!$A:$O,9,FALSE),0)),NA())</f>
        <v>#N/A</v>
      </c>
      <c r="U96" s="8" t="e">
        <f>IF($F$11,IF($L96="","",IFERROR(VLOOKUP($L96,day_data!$A:$O,10,FALSE),0)),NA())</f>
        <v>#N/A</v>
      </c>
      <c r="V96" s="8" t="e">
        <f>IF($F$12,IF($L96="","",IFERROR(VLOOKUP($L96,day_data!$A:$O,11,FALSE),0)),NA())</f>
        <v>#N/A</v>
      </c>
      <c r="W96" s="8" t="e">
        <f>IF($F$13,IF($L96="","",IFERROR(VLOOKUP($L96,day_data!$A:$O,12,FALSE),0)),NA())</f>
        <v>#N/A</v>
      </c>
      <c r="X96" s="10" t="e">
        <f>IF($F$14,IF($L96="","",IFERROR(VLOOKUP($L96,day_data!$A:$O,13,FALSE),0)),NA())</f>
        <v>#N/A</v>
      </c>
      <c r="Y96" s="10" t="e">
        <f>IF($F$15,IF($L96="","",IFERROR(VLOOKUP($L96,day_data!$A:$O,14,FALSE),0)),NA())</f>
        <v>#N/A</v>
      </c>
    </row>
    <row r="97" spans="12:25" x14ac:dyDescent="0.2">
      <c r="L97" s="9" t="str">
        <f t="shared" si="1"/>
        <v/>
      </c>
      <c r="M97" s="8" t="e">
        <f>IF($F$3,IF($L97="","",IFERROR(VLOOKUP($L97,day_data!$A:$O,2,FALSE),0)),NA())</f>
        <v>#N/A</v>
      </c>
      <c r="N97" s="8" t="str">
        <f>IF($F$4,IF($L97="","",IFERROR(VLOOKUP($L97,day_data!$A:$O,3,FALSE),0)),NA())</f>
        <v/>
      </c>
      <c r="O97" s="8" t="e">
        <f>IF($F$5,IF($L97="","",IFERROR(VLOOKUP($L97,day_data!$A:$O,4,FALSE),0)),NA())</f>
        <v>#N/A</v>
      </c>
      <c r="P97" s="8" t="e">
        <f>IF($F$6,IF($L97="","",IFERROR(VLOOKUP($L97,day_data!$A:$O,5,FALSE),0)),NA())</f>
        <v>#N/A</v>
      </c>
      <c r="Q97" s="8" t="e">
        <f>IF($F$7,IF($L97="","",IFERROR(VLOOKUP($L97,day_data!$A:$O,6,FALSE),0)),NA())</f>
        <v>#N/A</v>
      </c>
      <c r="R97" s="8" t="e">
        <f>IF($F$8,IF($L97="","",IFERROR(VLOOKUP($L97,day_data!$A:$O,7,FALSE),0)),NA())</f>
        <v>#N/A</v>
      </c>
      <c r="S97" s="8" t="e">
        <f>IF($F$9,IF($L97="","",IFERROR(VLOOKUP($L97,day_data!$A:$O,8,FALSE),0)),NA())</f>
        <v>#N/A</v>
      </c>
      <c r="T97" s="8" t="e">
        <f>IF($F$10,IF($L97="","",IFERROR(VLOOKUP($L97,day_data!$A:$O,9,FALSE),0)),NA())</f>
        <v>#N/A</v>
      </c>
      <c r="U97" s="8" t="e">
        <f>IF($F$11,IF($L97="","",IFERROR(VLOOKUP($L97,day_data!$A:$O,10,FALSE),0)),NA())</f>
        <v>#N/A</v>
      </c>
      <c r="V97" s="8" t="e">
        <f>IF($F$12,IF($L97="","",IFERROR(VLOOKUP($L97,day_data!$A:$O,11,FALSE),0)),NA())</f>
        <v>#N/A</v>
      </c>
      <c r="W97" s="8" t="e">
        <f>IF($F$13,IF($L97="","",IFERROR(VLOOKUP($L97,day_data!$A:$O,12,FALSE),0)),NA())</f>
        <v>#N/A</v>
      </c>
      <c r="X97" s="10" t="e">
        <f>IF($F$14,IF($L97="","",IFERROR(VLOOKUP($L97,day_data!$A:$O,13,FALSE),0)),NA())</f>
        <v>#N/A</v>
      </c>
      <c r="Y97" s="10" t="e">
        <f>IF($F$15,IF($L97="","",IFERROR(VLOOKUP($L97,day_data!$A:$O,14,FALSE),0)),NA())</f>
        <v>#N/A</v>
      </c>
    </row>
    <row r="98" spans="12:25" x14ac:dyDescent="0.2">
      <c r="L98" s="9" t="str">
        <f t="shared" si="1"/>
        <v/>
      </c>
      <c r="M98" s="8" t="e">
        <f>IF($F$3,IF($L98="","",IFERROR(VLOOKUP($L98,day_data!$A:$O,2,FALSE),0)),NA())</f>
        <v>#N/A</v>
      </c>
      <c r="N98" s="8" t="str">
        <f>IF($F$4,IF($L98="","",IFERROR(VLOOKUP($L98,day_data!$A:$O,3,FALSE),0)),NA())</f>
        <v/>
      </c>
      <c r="O98" s="8" t="e">
        <f>IF($F$5,IF($L98="","",IFERROR(VLOOKUP($L98,day_data!$A:$O,4,FALSE),0)),NA())</f>
        <v>#N/A</v>
      </c>
      <c r="P98" s="8" t="e">
        <f>IF($F$6,IF($L98="","",IFERROR(VLOOKUP($L98,day_data!$A:$O,5,FALSE),0)),NA())</f>
        <v>#N/A</v>
      </c>
      <c r="Q98" s="8" t="e">
        <f>IF($F$7,IF($L98="","",IFERROR(VLOOKUP($L98,day_data!$A:$O,6,FALSE),0)),NA())</f>
        <v>#N/A</v>
      </c>
      <c r="R98" s="8" t="e">
        <f>IF($F$8,IF($L98="","",IFERROR(VLOOKUP($L98,day_data!$A:$O,7,FALSE),0)),NA())</f>
        <v>#N/A</v>
      </c>
      <c r="S98" s="8" t="e">
        <f>IF($F$9,IF($L98="","",IFERROR(VLOOKUP($L98,day_data!$A:$O,8,FALSE),0)),NA())</f>
        <v>#N/A</v>
      </c>
      <c r="T98" s="8" t="e">
        <f>IF($F$10,IF($L98="","",IFERROR(VLOOKUP($L98,day_data!$A:$O,9,FALSE),0)),NA())</f>
        <v>#N/A</v>
      </c>
      <c r="U98" s="8" t="e">
        <f>IF($F$11,IF($L98="","",IFERROR(VLOOKUP($L98,day_data!$A:$O,10,FALSE),0)),NA())</f>
        <v>#N/A</v>
      </c>
      <c r="V98" s="8" t="e">
        <f>IF($F$12,IF($L98="","",IFERROR(VLOOKUP($L98,day_data!$A:$O,11,FALSE),0)),NA())</f>
        <v>#N/A</v>
      </c>
      <c r="W98" s="8" t="e">
        <f>IF($F$13,IF($L98="","",IFERROR(VLOOKUP($L98,day_data!$A:$O,12,FALSE),0)),NA())</f>
        <v>#N/A</v>
      </c>
      <c r="X98" s="10" t="e">
        <f>IF($F$14,IF($L98="","",IFERROR(VLOOKUP($L98,day_data!$A:$O,13,FALSE),0)),NA())</f>
        <v>#N/A</v>
      </c>
      <c r="Y98" s="10" t="e">
        <f>IF($F$15,IF($L98="","",IFERROR(VLOOKUP($L98,day_data!$A:$O,14,FALSE),0)),NA())</f>
        <v>#N/A</v>
      </c>
    </row>
    <row r="99" spans="12:25" x14ac:dyDescent="0.2">
      <c r="L99" s="9" t="str">
        <f t="shared" si="1"/>
        <v/>
      </c>
      <c r="M99" s="8" t="e">
        <f>IF($F$3,IF($L99="","",IFERROR(VLOOKUP($L99,day_data!$A:$O,2,FALSE),0)),NA())</f>
        <v>#N/A</v>
      </c>
      <c r="N99" s="8" t="str">
        <f>IF($F$4,IF($L99="","",IFERROR(VLOOKUP($L99,day_data!$A:$O,3,FALSE),0)),NA())</f>
        <v/>
      </c>
      <c r="O99" s="8" t="e">
        <f>IF($F$5,IF($L99="","",IFERROR(VLOOKUP($L99,day_data!$A:$O,4,FALSE),0)),NA())</f>
        <v>#N/A</v>
      </c>
      <c r="P99" s="8" t="e">
        <f>IF($F$6,IF($L99="","",IFERROR(VLOOKUP($L99,day_data!$A:$O,5,FALSE),0)),NA())</f>
        <v>#N/A</v>
      </c>
      <c r="Q99" s="8" t="e">
        <f>IF($F$7,IF($L99="","",IFERROR(VLOOKUP($L99,day_data!$A:$O,6,FALSE),0)),NA())</f>
        <v>#N/A</v>
      </c>
      <c r="R99" s="8" t="e">
        <f>IF($F$8,IF($L99="","",IFERROR(VLOOKUP($L99,day_data!$A:$O,7,FALSE),0)),NA())</f>
        <v>#N/A</v>
      </c>
      <c r="S99" s="8" t="e">
        <f>IF($F$9,IF($L99="","",IFERROR(VLOOKUP($L99,day_data!$A:$O,8,FALSE),0)),NA())</f>
        <v>#N/A</v>
      </c>
      <c r="T99" s="8" t="e">
        <f>IF($F$10,IF($L99="","",IFERROR(VLOOKUP($L99,day_data!$A:$O,9,FALSE),0)),NA())</f>
        <v>#N/A</v>
      </c>
      <c r="U99" s="8" t="e">
        <f>IF($F$11,IF($L99="","",IFERROR(VLOOKUP($L99,day_data!$A:$O,10,FALSE),0)),NA())</f>
        <v>#N/A</v>
      </c>
      <c r="V99" s="8" t="e">
        <f>IF($F$12,IF($L99="","",IFERROR(VLOOKUP($L99,day_data!$A:$O,11,FALSE),0)),NA())</f>
        <v>#N/A</v>
      </c>
      <c r="W99" s="8" t="e">
        <f>IF($F$13,IF($L99="","",IFERROR(VLOOKUP($L99,day_data!$A:$O,12,FALSE),0)),NA())</f>
        <v>#N/A</v>
      </c>
      <c r="X99" s="10" t="e">
        <f>IF($F$14,IF($L99="","",IFERROR(VLOOKUP($L99,day_data!$A:$O,13,FALSE),0)),NA())</f>
        <v>#N/A</v>
      </c>
      <c r="Y99" s="10" t="e">
        <f>IF($F$15,IF($L99="","",IFERROR(VLOOKUP($L99,day_data!$A:$O,14,FALSE),0)),NA())</f>
        <v>#N/A</v>
      </c>
    </row>
    <row r="100" spans="12:25" x14ac:dyDescent="0.2">
      <c r="L100" s="9" t="str">
        <f t="shared" si="1"/>
        <v/>
      </c>
      <c r="M100" s="8" t="e">
        <f>IF($F$3,IF($L100="","",IFERROR(VLOOKUP($L100,day_data!$A:$O,2,FALSE),0)),NA())</f>
        <v>#N/A</v>
      </c>
      <c r="N100" s="8" t="str">
        <f>IF($F$4,IF($L100="","",IFERROR(VLOOKUP($L100,day_data!$A:$O,3,FALSE),0)),NA())</f>
        <v/>
      </c>
      <c r="O100" s="8" t="e">
        <f>IF($F$5,IF($L100="","",IFERROR(VLOOKUP($L100,day_data!$A:$O,4,FALSE),0)),NA())</f>
        <v>#N/A</v>
      </c>
      <c r="P100" s="8" t="e">
        <f>IF($F$6,IF($L100="","",IFERROR(VLOOKUP($L100,day_data!$A:$O,5,FALSE),0)),NA())</f>
        <v>#N/A</v>
      </c>
      <c r="Q100" s="8" t="e">
        <f>IF($F$7,IF($L100="","",IFERROR(VLOOKUP($L100,day_data!$A:$O,6,FALSE),0)),NA())</f>
        <v>#N/A</v>
      </c>
      <c r="R100" s="8" t="e">
        <f>IF($F$8,IF($L100="","",IFERROR(VLOOKUP($L100,day_data!$A:$O,7,FALSE),0)),NA())</f>
        <v>#N/A</v>
      </c>
      <c r="S100" s="8" t="e">
        <f>IF($F$9,IF($L100="","",IFERROR(VLOOKUP($L100,day_data!$A:$O,8,FALSE),0)),NA())</f>
        <v>#N/A</v>
      </c>
      <c r="T100" s="8" t="e">
        <f>IF($F$10,IF($L100="","",IFERROR(VLOOKUP($L100,day_data!$A:$O,9,FALSE),0)),NA())</f>
        <v>#N/A</v>
      </c>
      <c r="U100" s="8" t="e">
        <f>IF($F$11,IF($L100="","",IFERROR(VLOOKUP($L100,day_data!$A:$O,10,FALSE),0)),NA())</f>
        <v>#N/A</v>
      </c>
      <c r="V100" s="8" t="e">
        <f>IF($F$12,IF($L100="","",IFERROR(VLOOKUP($L100,day_data!$A:$O,11,FALSE),0)),NA())</f>
        <v>#N/A</v>
      </c>
      <c r="W100" s="8" t="e">
        <f>IF($F$13,IF($L100="","",IFERROR(VLOOKUP($L100,day_data!$A:$O,12,FALSE),0)),NA())</f>
        <v>#N/A</v>
      </c>
      <c r="X100" s="10" t="e">
        <f>IF($F$14,IF($L100="","",IFERROR(VLOOKUP($L100,day_data!$A:$O,13,FALSE),0)),NA())</f>
        <v>#N/A</v>
      </c>
      <c r="Y100" s="10" t="e">
        <f>IF($F$15,IF($L100="","",IFERROR(VLOOKUP($L100,day_data!$A:$O,14,FALSE),0)),NA())</f>
        <v>#N/A</v>
      </c>
    </row>
    <row r="101" spans="12:25" x14ac:dyDescent="0.2">
      <c r="L101" s="9" t="str">
        <f t="shared" si="1"/>
        <v/>
      </c>
      <c r="M101" s="8" t="e">
        <f>IF($F$3,IF($L101="","",IFERROR(VLOOKUP($L101,day_data!$A:$O,2,FALSE),0)),NA())</f>
        <v>#N/A</v>
      </c>
      <c r="N101" s="8" t="str">
        <f>IF($F$4,IF($L101="","",IFERROR(VLOOKUP($L101,day_data!$A:$O,3,FALSE),0)),NA())</f>
        <v/>
      </c>
      <c r="O101" s="8" t="e">
        <f>IF($F$5,IF($L101="","",IFERROR(VLOOKUP($L101,day_data!$A:$O,4,FALSE),0)),NA())</f>
        <v>#N/A</v>
      </c>
      <c r="P101" s="8" t="e">
        <f>IF($F$6,IF($L101="","",IFERROR(VLOOKUP($L101,day_data!$A:$O,5,FALSE),0)),NA())</f>
        <v>#N/A</v>
      </c>
      <c r="Q101" s="8" t="e">
        <f>IF($F$7,IF($L101="","",IFERROR(VLOOKUP($L101,day_data!$A:$O,6,FALSE),0)),NA())</f>
        <v>#N/A</v>
      </c>
      <c r="R101" s="8" t="e">
        <f>IF($F$8,IF($L101="","",IFERROR(VLOOKUP($L101,day_data!$A:$O,7,FALSE),0)),NA())</f>
        <v>#N/A</v>
      </c>
      <c r="S101" s="8" t="e">
        <f>IF($F$9,IF($L101="","",IFERROR(VLOOKUP($L101,day_data!$A:$O,8,FALSE),0)),NA())</f>
        <v>#N/A</v>
      </c>
      <c r="T101" s="8" t="e">
        <f>IF($F$10,IF($L101="","",IFERROR(VLOOKUP($L101,day_data!$A:$O,9,FALSE),0)),NA())</f>
        <v>#N/A</v>
      </c>
      <c r="U101" s="8" t="e">
        <f>IF($F$11,IF($L101="","",IFERROR(VLOOKUP($L101,day_data!$A:$O,10,FALSE),0)),NA())</f>
        <v>#N/A</v>
      </c>
      <c r="V101" s="8" t="e">
        <f>IF($F$12,IF($L101="","",IFERROR(VLOOKUP($L101,day_data!$A:$O,11,FALSE),0)),NA())</f>
        <v>#N/A</v>
      </c>
      <c r="W101" s="8" t="e">
        <f>IF($F$13,IF($L101="","",IFERROR(VLOOKUP($L101,day_data!$A:$O,12,FALSE),0)),NA())</f>
        <v>#N/A</v>
      </c>
      <c r="X101" s="10" t="e">
        <f>IF($F$14,IF($L101="","",IFERROR(VLOOKUP($L101,day_data!$A:$O,13,FALSE),0)),NA())</f>
        <v>#N/A</v>
      </c>
      <c r="Y101" s="10" t="e">
        <f>IF($F$15,IF($L101="","",IFERROR(VLOOKUP($L101,day_data!$A:$O,14,FALSE),0)),NA())</f>
        <v>#N/A</v>
      </c>
    </row>
    <row r="102" spans="12:25" x14ac:dyDescent="0.2">
      <c r="L102" s="9" t="str">
        <f t="shared" si="1"/>
        <v/>
      </c>
      <c r="M102" s="8" t="e">
        <f>IF($F$3,IF($L102="","",IFERROR(VLOOKUP($L102,day_data!$A:$O,2,FALSE),0)),NA())</f>
        <v>#N/A</v>
      </c>
      <c r="N102" s="8" t="str">
        <f>IF($F$4,IF($L102="","",IFERROR(VLOOKUP($L102,day_data!$A:$O,3,FALSE),0)),NA())</f>
        <v/>
      </c>
      <c r="O102" s="8" t="e">
        <f>IF($F$5,IF($L102="","",IFERROR(VLOOKUP($L102,day_data!$A:$O,4,FALSE),0)),NA())</f>
        <v>#N/A</v>
      </c>
      <c r="P102" s="8" t="e">
        <f>IF($F$6,IF($L102="","",IFERROR(VLOOKUP($L102,day_data!$A:$O,5,FALSE),0)),NA())</f>
        <v>#N/A</v>
      </c>
      <c r="Q102" s="8" t="e">
        <f>IF($F$7,IF($L102="","",IFERROR(VLOOKUP($L102,day_data!$A:$O,6,FALSE),0)),NA())</f>
        <v>#N/A</v>
      </c>
      <c r="R102" s="8" t="e">
        <f>IF($F$8,IF($L102="","",IFERROR(VLOOKUP($L102,day_data!$A:$O,7,FALSE),0)),NA())</f>
        <v>#N/A</v>
      </c>
      <c r="S102" s="8" t="e">
        <f>IF($F$9,IF($L102="","",IFERROR(VLOOKUP($L102,day_data!$A:$O,8,FALSE),0)),NA())</f>
        <v>#N/A</v>
      </c>
      <c r="T102" s="8" t="e">
        <f>IF($F$10,IF($L102="","",IFERROR(VLOOKUP($L102,day_data!$A:$O,9,FALSE),0)),NA())</f>
        <v>#N/A</v>
      </c>
      <c r="U102" s="8" t="e">
        <f>IF($F$11,IF($L102="","",IFERROR(VLOOKUP($L102,day_data!$A:$O,10,FALSE),0)),NA())</f>
        <v>#N/A</v>
      </c>
      <c r="V102" s="8" t="e">
        <f>IF($F$12,IF($L102="","",IFERROR(VLOOKUP($L102,day_data!$A:$O,11,FALSE),0)),NA())</f>
        <v>#N/A</v>
      </c>
      <c r="W102" s="8" t="e">
        <f>IF($F$13,IF($L102="","",IFERROR(VLOOKUP($L102,day_data!$A:$O,12,FALSE),0)),NA())</f>
        <v>#N/A</v>
      </c>
      <c r="X102" s="10" t="e">
        <f>IF($F$14,IF($L102="","",IFERROR(VLOOKUP($L102,day_data!$A:$O,13,FALSE),0)),NA())</f>
        <v>#N/A</v>
      </c>
      <c r="Y102" s="10" t="e">
        <f>IF($F$15,IF($L102="","",IFERROR(VLOOKUP($L102,day_data!$A:$O,14,FALSE),0)),NA())</f>
        <v>#N/A</v>
      </c>
    </row>
    <row r="103" spans="12:25" x14ac:dyDescent="0.2">
      <c r="L103" s="9" t="str">
        <f t="shared" si="1"/>
        <v/>
      </c>
      <c r="M103" s="8" t="e">
        <f>IF($F$3,IF($L103="","",IFERROR(VLOOKUP($L103,day_data!$A:$O,2,FALSE),0)),NA())</f>
        <v>#N/A</v>
      </c>
      <c r="N103" s="8" t="str">
        <f>IF($F$4,IF($L103="","",IFERROR(VLOOKUP($L103,day_data!$A:$O,3,FALSE),0)),NA())</f>
        <v/>
      </c>
      <c r="O103" s="8" t="e">
        <f>IF($F$5,IF($L103="","",IFERROR(VLOOKUP($L103,day_data!$A:$O,4,FALSE),0)),NA())</f>
        <v>#N/A</v>
      </c>
      <c r="P103" s="8" t="e">
        <f>IF($F$6,IF($L103="","",IFERROR(VLOOKUP($L103,day_data!$A:$O,5,FALSE),0)),NA())</f>
        <v>#N/A</v>
      </c>
      <c r="Q103" s="8" t="e">
        <f>IF($F$7,IF($L103="","",IFERROR(VLOOKUP($L103,day_data!$A:$O,6,FALSE),0)),NA())</f>
        <v>#N/A</v>
      </c>
      <c r="R103" s="8" t="e">
        <f>IF($F$8,IF($L103="","",IFERROR(VLOOKUP($L103,day_data!$A:$O,7,FALSE),0)),NA())</f>
        <v>#N/A</v>
      </c>
      <c r="S103" s="8" t="e">
        <f>IF($F$9,IF($L103="","",IFERROR(VLOOKUP($L103,day_data!$A:$O,8,FALSE),0)),NA())</f>
        <v>#N/A</v>
      </c>
      <c r="T103" s="8" t="e">
        <f>IF($F$10,IF($L103="","",IFERROR(VLOOKUP($L103,day_data!$A:$O,9,FALSE),0)),NA())</f>
        <v>#N/A</v>
      </c>
      <c r="U103" s="8" t="e">
        <f>IF($F$11,IF($L103="","",IFERROR(VLOOKUP($L103,day_data!$A:$O,10,FALSE),0)),NA())</f>
        <v>#N/A</v>
      </c>
      <c r="V103" s="8" t="e">
        <f>IF($F$12,IF($L103="","",IFERROR(VLOOKUP($L103,day_data!$A:$O,11,FALSE),0)),NA())</f>
        <v>#N/A</v>
      </c>
      <c r="W103" s="8" t="e">
        <f>IF($F$13,IF($L103="","",IFERROR(VLOOKUP($L103,day_data!$A:$O,12,FALSE),0)),NA())</f>
        <v>#N/A</v>
      </c>
      <c r="X103" s="10" t="e">
        <f>IF($F$14,IF($L103="","",IFERROR(VLOOKUP($L103,day_data!$A:$O,13,FALSE),0)),NA())</f>
        <v>#N/A</v>
      </c>
      <c r="Y103" s="10" t="e">
        <f>IF($F$15,IF($L103="","",IFERROR(VLOOKUP($L103,day_data!$A:$O,14,FALSE),0)),NA())</f>
        <v>#N/A</v>
      </c>
    </row>
    <row r="104" spans="12:25" x14ac:dyDescent="0.2">
      <c r="L104" s="9" t="str">
        <f t="shared" si="1"/>
        <v/>
      </c>
      <c r="M104" s="8" t="e">
        <f>IF($F$3,IF($L104="","",IFERROR(VLOOKUP($L104,day_data!$A:$O,2,FALSE),0)),NA())</f>
        <v>#N/A</v>
      </c>
      <c r="N104" s="8" t="str">
        <f>IF($F$4,IF($L104="","",IFERROR(VLOOKUP($L104,day_data!$A:$O,3,FALSE),0)),NA())</f>
        <v/>
      </c>
      <c r="O104" s="8" t="e">
        <f>IF($F$5,IF($L104="","",IFERROR(VLOOKUP($L104,day_data!$A:$O,4,FALSE),0)),NA())</f>
        <v>#N/A</v>
      </c>
      <c r="P104" s="8" t="e">
        <f>IF($F$6,IF($L104="","",IFERROR(VLOOKUP($L104,day_data!$A:$O,5,FALSE),0)),NA())</f>
        <v>#N/A</v>
      </c>
      <c r="Q104" s="8" t="e">
        <f>IF($F$7,IF($L104="","",IFERROR(VLOOKUP($L104,day_data!$A:$O,6,FALSE),0)),NA())</f>
        <v>#N/A</v>
      </c>
      <c r="R104" s="8" t="e">
        <f>IF($F$8,IF($L104="","",IFERROR(VLOOKUP($L104,day_data!$A:$O,7,FALSE),0)),NA())</f>
        <v>#N/A</v>
      </c>
      <c r="S104" s="8" t="e">
        <f>IF($F$9,IF($L104="","",IFERROR(VLOOKUP($L104,day_data!$A:$O,8,FALSE),0)),NA())</f>
        <v>#N/A</v>
      </c>
      <c r="T104" s="8" t="e">
        <f>IF($F$10,IF($L104="","",IFERROR(VLOOKUP($L104,day_data!$A:$O,9,FALSE),0)),NA())</f>
        <v>#N/A</v>
      </c>
      <c r="U104" s="8" t="e">
        <f>IF($F$11,IF($L104="","",IFERROR(VLOOKUP($L104,day_data!$A:$O,10,FALSE),0)),NA())</f>
        <v>#N/A</v>
      </c>
      <c r="V104" s="8" t="e">
        <f>IF($F$12,IF($L104="","",IFERROR(VLOOKUP($L104,day_data!$A:$O,11,FALSE),0)),NA())</f>
        <v>#N/A</v>
      </c>
      <c r="W104" s="8" t="e">
        <f>IF($F$13,IF($L104="","",IFERROR(VLOOKUP($L104,day_data!$A:$O,12,FALSE),0)),NA())</f>
        <v>#N/A</v>
      </c>
      <c r="X104" s="10" t="e">
        <f>IF($F$14,IF($L104="","",IFERROR(VLOOKUP($L104,day_data!$A:$O,13,FALSE),0)),NA())</f>
        <v>#N/A</v>
      </c>
      <c r="Y104" s="10" t="e">
        <f>IF($F$15,IF($L104="","",IFERROR(VLOOKUP($L104,day_data!$A:$O,14,FALSE),0)),NA())</f>
        <v>#N/A</v>
      </c>
    </row>
    <row r="105" spans="12:25" x14ac:dyDescent="0.2">
      <c r="L105" s="9" t="str">
        <f t="shared" si="1"/>
        <v/>
      </c>
      <c r="M105" s="8" t="e">
        <f>IF($F$3,IF($L105="","",IFERROR(VLOOKUP($L105,day_data!$A:$O,2,FALSE),0)),NA())</f>
        <v>#N/A</v>
      </c>
      <c r="N105" s="8" t="str">
        <f>IF($F$4,IF($L105="","",IFERROR(VLOOKUP($L105,day_data!$A:$O,3,FALSE),0)),NA())</f>
        <v/>
      </c>
      <c r="O105" s="8" t="e">
        <f>IF($F$5,IF($L105="","",IFERROR(VLOOKUP($L105,day_data!$A:$O,4,FALSE),0)),NA())</f>
        <v>#N/A</v>
      </c>
      <c r="P105" s="8" t="e">
        <f>IF($F$6,IF($L105="","",IFERROR(VLOOKUP($L105,day_data!$A:$O,5,FALSE),0)),NA())</f>
        <v>#N/A</v>
      </c>
      <c r="Q105" s="8" t="e">
        <f>IF($F$7,IF($L105="","",IFERROR(VLOOKUP($L105,day_data!$A:$O,6,FALSE),0)),NA())</f>
        <v>#N/A</v>
      </c>
      <c r="R105" s="8" t="e">
        <f>IF($F$8,IF($L105="","",IFERROR(VLOOKUP($L105,day_data!$A:$O,7,FALSE),0)),NA())</f>
        <v>#N/A</v>
      </c>
      <c r="S105" s="8" t="e">
        <f>IF($F$9,IF($L105="","",IFERROR(VLOOKUP($L105,day_data!$A:$O,8,FALSE),0)),NA())</f>
        <v>#N/A</v>
      </c>
      <c r="T105" s="8" t="e">
        <f>IF($F$10,IF($L105="","",IFERROR(VLOOKUP($L105,day_data!$A:$O,9,FALSE),0)),NA())</f>
        <v>#N/A</v>
      </c>
      <c r="U105" s="8" t="e">
        <f>IF($F$11,IF($L105="","",IFERROR(VLOOKUP($L105,day_data!$A:$O,10,FALSE),0)),NA())</f>
        <v>#N/A</v>
      </c>
      <c r="V105" s="8" t="e">
        <f>IF($F$12,IF($L105="","",IFERROR(VLOOKUP($L105,day_data!$A:$O,11,FALSE),0)),NA())</f>
        <v>#N/A</v>
      </c>
      <c r="W105" s="8" t="e">
        <f>IF($F$13,IF($L105="","",IFERROR(VLOOKUP($L105,day_data!$A:$O,12,FALSE),0)),NA())</f>
        <v>#N/A</v>
      </c>
      <c r="X105" s="10" t="e">
        <f>IF($F$14,IF($L105="","",IFERROR(VLOOKUP($L105,day_data!$A:$O,13,FALSE),0)),NA())</f>
        <v>#N/A</v>
      </c>
      <c r="Y105" s="10" t="e">
        <f>IF($F$15,IF($L105="","",IFERROR(VLOOKUP($L105,day_data!$A:$O,14,FALSE),0)),NA())</f>
        <v>#N/A</v>
      </c>
    </row>
    <row r="106" spans="12:25" x14ac:dyDescent="0.2">
      <c r="L106" s="9" t="str">
        <f t="shared" si="1"/>
        <v/>
      </c>
      <c r="M106" s="8" t="e">
        <f>IF($F$3,IF($L106="","",IFERROR(VLOOKUP($L106,day_data!$A:$O,2,FALSE),0)),NA())</f>
        <v>#N/A</v>
      </c>
      <c r="N106" s="8" t="str">
        <f>IF($F$4,IF($L106="","",IFERROR(VLOOKUP($L106,day_data!$A:$O,3,FALSE),0)),NA())</f>
        <v/>
      </c>
      <c r="O106" s="8" t="e">
        <f>IF($F$5,IF($L106="","",IFERROR(VLOOKUP($L106,day_data!$A:$O,4,FALSE),0)),NA())</f>
        <v>#N/A</v>
      </c>
      <c r="P106" s="8" t="e">
        <f>IF($F$6,IF($L106="","",IFERROR(VLOOKUP($L106,day_data!$A:$O,5,FALSE),0)),NA())</f>
        <v>#N/A</v>
      </c>
      <c r="Q106" s="8" t="e">
        <f>IF($F$7,IF($L106="","",IFERROR(VLOOKUP($L106,day_data!$A:$O,6,FALSE),0)),NA())</f>
        <v>#N/A</v>
      </c>
      <c r="R106" s="8" t="e">
        <f>IF($F$8,IF($L106="","",IFERROR(VLOOKUP($L106,day_data!$A:$O,7,FALSE),0)),NA())</f>
        <v>#N/A</v>
      </c>
      <c r="S106" s="8" t="e">
        <f>IF($F$9,IF($L106="","",IFERROR(VLOOKUP($L106,day_data!$A:$O,8,FALSE),0)),NA())</f>
        <v>#N/A</v>
      </c>
      <c r="T106" s="8" t="e">
        <f>IF($F$10,IF($L106="","",IFERROR(VLOOKUP($L106,day_data!$A:$O,9,FALSE),0)),NA())</f>
        <v>#N/A</v>
      </c>
      <c r="U106" s="8" t="e">
        <f>IF($F$11,IF($L106="","",IFERROR(VLOOKUP($L106,day_data!$A:$O,10,FALSE),0)),NA())</f>
        <v>#N/A</v>
      </c>
      <c r="V106" s="8" t="e">
        <f>IF($F$12,IF($L106="","",IFERROR(VLOOKUP($L106,day_data!$A:$O,11,FALSE),0)),NA())</f>
        <v>#N/A</v>
      </c>
      <c r="W106" s="8" t="e">
        <f>IF($F$13,IF($L106="","",IFERROR(VLOOKUP($L106,day_data!$A:$O,12,FALSE),0)),NA())</f>
        <v>#N/A</v>
      </c>
      <c r="X106" s="10" t="e">
        <f>IF($F$14,IF($L106="","",IFERROR(VLOOKUP($L106,day_data!$A:$O,13,FALSE),0)),NA())</f>
        <v>#N/A</v>
      </c>
      <c r="Y106" s="10" t="e">
        <f>IF($F$15,IF($L106="","",IFERROR(VLOOKUP($L106,day_data!$A:$O,14,FALSE),0)),NA())</f>
        <v>#N/A</v>
      </c>
    </row>
    <row r="107" spans="12:25" x14ac:dyDescent="0.2">
      <c r="L107" s="9" t="str">
        <f t="shared" si="1"/>
        <v/>
      </c>
      <c r="M107" s="8" t="e">
        <f>IF($F$3,IF($L107="","",IFERROR(VLOOKUP($L107,day_data!$A:$O,2,FALSE),0)),NA())</f>
        <v>#N/A</v>
      </c>
      <c r="N107" s="8" t="str">
        <f>IF($F$4,IF($L107="","",IFERROR(VLOOKUP($L107,day_data!$A:$O,3,FALSE),0)),NA())</f>
        <v/>
      </c>
      <c r="O107" s="8" t="e">
        <f>IF($F$5,IF($L107="","",IFERROR(VLOOKUP($L107,day_data!$A:$O,4,FALSE),0)),NA())</f>
        <v>#N/A</v>
      </c>
      <c r="P107" s="8" t="e">
        <f>IF($F$6,IF($L107="","",IFERROR(VLOOKUP($L107,day_data!$A:$O,5,FALSE),0)),NA())</f>
        <v>#N/A</v>
      </c>
      <c r="Q107" s="8" t="e">
        <f>IF($F$7,IF($L107="","",IFERROR(VLOOKUP($L107,day_data!$A:$O,6,FALSE),0)),NA())</f>
        <v>#N/A</v>
      </c>
      <c r="R107" s="8" t="e">
        <f>IF($F$8,IF($L107="","",IFERROR(VLOOKUP($L107,day_data!$A:$O,7,FALSE),0)),NA())</f>
        <v>#N/A</v>
      </c>
      <c r="S107" s="8" t="e">
        <f>IF($F$9,IF($L107="","",IFERROR(VLOOKUP($L107,day_data!$A:$O,8,FALSE),0)),NA())</f>
        <v>#N/A</v>
      </c>
      <c r="T107" s="8" t="e">
        <f>IF($F$10,IF($L107="","",IFERROR(VLOOKUP($L107,day_data!$A:$O,9,FALSE),0)),NA())</f>
        <v>#N/A</v>
      </c>
      <c r="U107" s="8" t="e">
        <f>IF($F$11,IF($L107="","",IFERROR(VLOOKUP($L107,day_data!$A:$O,10,FALSE),0)),NA())</f>
        <v>#N/A</v>
      </c>
      <c r="V107" s="8" t="e">
        <f>IF($F$12,IF($L107="","",IFERROR(VLOOKUP($L107,day_data!$A:$O,11,FALSE),0)),NA())</f>
        <v>#N/A</v>
      </c>
      <c r="W107" s="8" t="e">
        <f>IF($F$13,IF($L107="","",IFERROR(VLOOKUP($L107,day_data!$A:$O,12,FALSE),0)),NA())</f>
        <v>#N/A</v>
      </c>
      <c r="X107" s="10" t="e">
        <f>IF($F$14,IF($L107="","",IFERROR(VLOOKUP($L107,day_data!$A:$O,13,FALSE),0)),NA())</f>
        <v>#N/A</v>
      </c>
      <c r="Y107" s="10" t="e">
        <f>IF($F$15,IF($L107="","",IFERROR(VLOOKUP($L107,day_data!$A:$O,14,FALSE),0)),NA())</f>
        <v>#N/A</v>
      </c>
    </row>
    <row r="108" spans="12:25" x14ac:dyDescent="0.2">
      <c r="L108" s="9" t="str">
        <f t="shared" si="1"/>
        <v/>
      </c>
      <c r="M108" s="8" t="e">
        <f>IF($F$3,IF($L108="","",IFERROR(VLOOKUP($L108,day_data!$A:$O,2,FALSE),0)),NA())</f>
        <v>#N/A</v>
      </c>
      <c r="N108" s="8" t="str">
        <f>IF($F$4,IF($L108="","",IFERROR(VLOOKUP($L108,day_data!$A:$O,3,FALSE),0)),NA())</f>
        <v/>
      </c>
      <c r="O108" s="8" t="e">
        <f>IF($F$5,IF($L108="","",IFERROR(VLOOKUP($L108,day_data!$A:$O,4,FALSE),0)),NA())</f>
        <v>#N/A</v>
      </c>
      <c r="P108" s="8" t="e">
        <f>IF($F$6,IF($L108="","",IFERROR(VLOOKUP($L108,day_data!$A:$O,5,FALSE),0)),NA())</f>
        <v>#N/A</v>
      </c>
      <c r="Q108" s="8" t="e">
        <f>IF($F$7,IF($L108="","",IFERROR(VLOOKUP($L108,day_data!$A:$O,6,FALSE),0)),NA())</f>
        <v>#N/A</v>
      </c>
      <c r="R108" s="8" t="e">
        <f>IF($F$8,IF($L108="","",IFERROR(VLOOKUP($L108,day_data!$A:$O,7,FALSE),0)),NA())</f>
        <v>#N/A</v>
      </c>
      <c r="S108" s="8" t="e">
        <f>IF($F$9,IF($L108="","",IFERROR(VLOOKUP($L108,day_data!$A:$O,8,FALSE),0)),NA())</f>
        <v>#N/A</v>
      </c>
      <c r="T108" s="8" t="e">
        <f>IF($F$10,IF($L108="","",IFERROR(VLOOKUP($L108,day_data!$A:$O,9,FALSE),0)),NA())</f>
        <v>#N/A</v>
      </c>
      <c r="U108" s="8" t="e">
        <f>IF($F$11,IF($L108="","",IFERROR(VLOOKUP($L108,day_data!$A:$O,10,FALSE),0)),NA())</f>
        <v>#N/A</v>
      </c>
      <c r="V108" s="8" t="e">
        <f>IF($F$12,IF($L108="","",IFERROR(VLOOKUP($L108,day_data!$A:$O,11,FALSE),0)),NA())</f>
        <v>#N/A</v>
      </c>
      <c r="W108" s="8" t="e">
        <f>IF($F$13,IF($L108="","",IFERROR(VLOOKUP($L108,day_data!$A:$O,12,FALSE),0)),NA())</f>
        <v>#N/A</v>
      </c>
      <c r="X108" s="10" t="e">
        <f>IF($F$14,IF($L108="","",IFERROR(VLOOKUP($L108,day_data!$A:$O,13,FALSE),0)),NA())</f>
        <v>#N/A</v>
      </c>
      <c r="Y108" s="10" t="e">
        <f>IF($F$15,IF($L108="","",IFERROR(VLOOKUP($L108,day_data!$A:$O,14,FALSE),0)),NA())</f>
        <v>#N/A</v>
      </c>
    </row>
    <row r="109" spans="12:25" x14ac:dyDescent="0.2">
      <c r="L109" s="9" t="str">
        <f t="shared" si="1"/>
        <v/>
      </c>
      <c r="M109" s="8" t="e">
        <f>IF($F$3,IF($L109="","",IFERROR(VLOOKUP($L109,day_data!$A:$O,2,FALSE),0)),NA())</f>
        <v>#N/A</v>
      </c>
      <c r="N109" s="8" t="str">
        <f>IF($F$4,IF($L109="","",IFERROR(VLOOKUP($L109,day_data!$A:$O,3,FALSE),0)),NA())</f>
        <v/>
      </c>
      <c r="O109" s="8" t="e">
        <f>IF($F$5,IF($L109="","",IFERROR(VLOOKUP($L109,day_data!$A:$O,4,FALSE),0)),NA())</f>
        <v>#N/A</v>
      </c>
      <c r="P109" s="8" t="e">
        <f>IF($F$6,IF($L109="","",IFERROR(VLOOKUP($L109,day_data!$A:$O,5,FALSE),0)),NA())</f>
        <v>#N/A</v>
      </c>
      <c r="Q109" s="8" t="e">
        <f>IF($F$7,IF($L109="","",IFERROR(VLOOKUP($L109,day_data!$A:$O,6,FALSE),0)),NA())</f>
        <v>#N/A</v>
      </c>
      <c r="R109" s="8" t="e">
        <f>IF($F$8,IF($L109="","",IFERROR(VLOOKUP($L109,day_data!$A:$O,7,FALSE),0)),NA())</f>
        <v>#N/A</v>
      </c>
      <c r="S109" s="8" t="e">
        <f>IF($F$9,IF($L109="","",IFERROR(VLOOKUP($L109,day_data!$A:$O,8,FALSE),0)),NA())</f>
        <v>#N/A</v>
      </c>
      <c r="T109" s="8" t="e">
        <f>IF($F$10,IF($L109="","",IFERROR(VLOOKUP($L109,day_data!$A:$O,9,FALSE),0)),NA())</f>
        <v>#N/A</v>
      </c>
      <c r="U109" s="8" t="e">
        <f>IF($F$11,IF($L109="","",IFERROR(VLOOKUP($L109,day_data!$A:$O,10,FALSE),0)),NA())</f>
        <v>#N/A</v>
      </c>
      <c r="V109" s="8" t="e">
        <f>IF($F$12,IF($L109="","",IFERROR(VLOOKUP($L109,day_data!$A:$O,11,FALSE),0)),NA())</f>
        <v>#N/A</v>
      </c>
      <c r="W109" s="8" t="e">
        <f>IF($F$13,IF($L109="","",IFERROR(VLOOKUP($L109,day_data!$A:$O,12,FALSE),0)),NA())</f>
        <v>#N/A</v>
      </c>
      <c r="X109" s="10" t="e">
        <f>IF($F$14,IF($L109="","",IFERROR(VLOOKUP($L109,day_data!$A:$O,13,FALSE),0)),NA())</f>
        <v>#N/A</v>
      </c>
      <c r="Y109" s="10" t="e">
        <f>IF($F$15,IF($L109="","",IFERROR(VLOOKUP($L109,day_data!$A:$O,14,FALSE),0)),NA())</f>
        <v>#N/A</v>
      </c>
    </row>
    <row r="110" spans="12:25" x14ac:dyDescent="0.2">
      <c r="L110" s="9" t="str">
        <f t="shared" si="1"/>
        <v/>
      </c>
      <c r="M110" s="8" t="e">
        <f>IF($F$3,IF($L110="","",IFERROR(VLOOKUP($L110,day_data!$A:$O,2,FALSE),0)),NA())</f>
        <v>#N/A</v>
      </c>
      <c r="N110" s="8" t="str">
        <f>IF($F$4,IF($L110="","",IFERROR(VLOOKUP($L110,day_data!$A:$O,3,FALSE),0)),NA())</f>
        <v/>
      </c>
      <c r="O110" s="8" t="e">
        <f>IF($F$5,IF($L110="","",IFERROR(VLOOKUP($L110,day_data!$A:$O,4,FALSE),0)),NA())</f>
        <v>#N/A</v>
      </c>
      <c r="P110" s="8" t="e">
        <f>IF($F$6,IF($L110="","",IFERROR(VLOOKUP($L110,day_data!$A:$O,5,FALSE),0)),NA())</f>
        <v>#N/A</v>
      </c>
      <c r="Q110" s="8" t="e">
        <f>IF($F$7,IF($L110="","",IFERROR(VLOOKUP($L110,day_data!$A:$O,6,FALSE),0)),NA())</f>
        <v>#N/A</v>
      </c>
      <c r="R110" s="8" t="e">
        <f>IF($F$8,IF($L110="","",IFERROR(VLOOKUP($L110,day_data!$A:$O,7,FALSE),0)),NA())</f>
        <v>#N/A</v>
      </c>
      <c r="S110" s="8" t="e">
        <f>IF($F$9,IF($L110="","",IFERROR(VLOOKUP($L110,day_data!$A:$O,8,FALSE),0)),NA())</f>
        <v>#N/A</v>
      </c>
      <c r="T110" s="8" t="e">
        <f>IF($F$10,IF($L110="","",IFERROR(VLOOKUP($L110,day_data!$A:$O,9,FALSE),0)),NA())</f>
        <v>#N/A</v>
      </c>
      <c r="U110" s="8" t="e">
        <f>IF($F$11,IF($L110="","",IFERROR(VLOOKUP($L110,day_data!$A:$O,10,FALSE),0)),NA())</f>
        <v>#N/A</v>
      </c>
      <c r="V110" s="8" t="e">
        <f>IF($F$12,IF($L110="","",IFERROR(VLOOKUP($L110,day_data!$A:$O,11,FALSE),0)),NA())</f>
        <v>#N/A</v>
      </c>
      <c r="W110" s="8" t="e">
        <f>IF($F$13,IF($L110="","",IFERROR(VLOOKUP($L110,day_data!$A:$O,12,FALSE),0)),NA())</f>
        <v>#N/A</v>
      </c>
      <c r="X110" s="10" t="e">
        <f>IF($F$14,IF($L110="","",IFERROR(VLOOKUP($L110,day_data!$A:$O,13,FALSE),0)),NA())</f>
        <v>#N/A</v>
      </c>
      <c r="Y110" s="10" t="e">
        <f>IF($F$15,IF($L110="","",IFERROR(VLOOKUP($L110,day_data!$A:$O,14,FALSE),0)),NA())</f>
        <v>#N/A</v>
      </c>
    </row>
    <row r="111" spans="12:25" x14ac:dyDescent="0.2">
      <c r="L111" s="9" t="str">
        <f t="shared" si="1"/>
        <v/>
      </c>
      <c r="M111" s="8" t="e">
        <f>IF($F$3,IF($L111="","",IFERROR(VLOOKUP($L111,day_data!$A:$O,2,FALSE),0)),NA())</f>
        <v>#N/A</v>
      </c>
      <c r="N111" s="8" t="str">
        <f>IF($F$4,IF($L111="","",IFERROR(VLOOKUP($L111,day_data!$A:$O,3,FALSE),0)),NA())</f>
        <v/>
      </c>
      <c r="O111" s="8" t="e">
        <f>IF($F$5,IF($L111="","",IFERROR(VLOOKUP($L111,day_data!$A:$O,4,FALSE),0)),NA())</f>
        <v>#N/A</v>
      </c>
      <c r="P111" s="8" t="e">
        <f>IF($F$6,IF($L111="","",IFERROR(VLOOKUP($L111,day_data!$A:$O,5,FALSE),0)),NA())</f>
        <v>#N/A</v>
      </c>
      <c r="Q111" s="8" t="e">
        <f>IF($F$7,IF($L111="","",IFERROR(VLOOKUP($L111,day_data!$A:$O,6,FALSE),0)),NA())</f>
        <v>#N/A</v>
      </c>
      <c r="R111" s="8" t="e">
        <f>IF($F$8,IF($L111="","",IFERROR(VLOOKUP($L111,day_data!$A:$O,7,FALSE),0)),NA())</f>
        <v>#N/A</v>
      </c>
      <c r="S111" s="8" t="e">
        <f>IF($F$9,IF($L111="","",IFERROR(VLOOKUP($L111,day_data!$A:$O,8,FALSE),0)),NA())</f>
        <v>#N/A</v>
      </c>
      <c r="T111" s="8" t="e">
        <f>IF($F$10,IF($L111="","",IFERROR(VLOOKUP($L111,day_data!$A:$O,9,FALSE),0)),NA())</f>
        <v>#N/A</v>
      </c>
      <c r="U111" s="8" t="e">
        <f>IF($F$11,IF($L111="","",IFERROR(VLOOKUP($L111,day_data!$A:$O,10,FALSE),0)),NA())</f>
        <v>#N/A</v>
      </c>
      <c r="V111" s="8" t="e">
        <f>IF($F$12,IF($L111="","",IFERROR(VLOOKUP($L111,day_data!$A:$O,11,FALSE),0)),NA())</f>
        <v>#N/A</v>
      </c>
      <c r="W111" s="8" t="e">
        <f>IF($F$13,IF($L111="","",IFERROR(VLOOKUP($L111,day_data!$A:$O,12,FALSE),0)),NA())</f>
        <v>#N/A</v>
      </c>
      <c r="X111" s="10" t="e">
        <f>IF($F$14,IF($L111="","",IFERROR(VLOOKUP($L111,day_data!$A:$O,13,FALSE),0)),NA())</f>
        <v>#N/A</v>
      </c>
      <c r="Y111" s="10" t="e">
        <f>IF($F$15,IF($L111="","",IFERROR(VLOOKUP($L111,day_data!$A:$O,14,FALSE),0)),NA())</f>
        <v>#N/A</v>
      </c>
    </row>
    <row r="112" spans="12:25" x14ac:dyDescent="0.2">
      <c r="L112" s="9" t="str">
        <f t="shared" si="1"/>
        <v/>
      </c>
      <c r="M112" s="8" t="e">
        <f>IF($F$3,IF($L112="","",IFERROR(VLOOKUP($L112,day_data!$A:$O,2,FALSE),0)),NA())</f>
        <v>#N/A</v>
      </c>
      <c r="N112" s="8" t="str">
        <f>IF($F$4,IF($L112="","",IFERROR(VLOOKUP($L112,day_data!$A:$O,3,FALSE),0)),NA())</f>
        <v/>
      </c>
      <c r="O112" s="8" t="e">
        <f>IF($F$5,IF($L112="","",IFERROR(VLOOKUP($L112,day_data!$A:$O,4,FALSE),0)),NA())</f>
        <v>#N/A</v>
      </c>
      <c r="P112" s="8" t="e">
        <f>IF($F$6,IF($L112="","",IFERROR(VLOOKUP($L112,day_data!$A:$O,5,FALSE),0)),NA())</f>
        <v>#N/A</v>
      </c>
      <c r="Q112" s="8" t="e">
        <f>IF($F$7,IF($L112="","",IFERROR(VLOOKUP($L112,day_data!$A:$O,6,FALSE),0)),NA())</f>
        <v>#N/A</v>
      </c>
      <c r="R112" s="8" t="e">
        <f>IF($F$8,IF($L112="","",IFERROR(VLOOKUP($L112,day_data!$A:$O,7,FALSE),0)),NA())</f>
        <v>#N/A</v>
      </c>
      <c r="S112" s="8" t="e">
        <f>IF($F$9,IF($L112="","",IFERROR(VLOOKUP($L112,day_data!$A:$O,8,FALSE),0)),NA())</f>
        <v>#N/A</v>
      </c>
      <c r="T112" s="8" t="e">
        <f>IF($F$10,IF($L112="","",IFERROR(VLOOKUP($L112,day_data!$A:$O,9,FALSE),0)),NA())</f>
        <v>#N/A</v>
      </c>
      <c r="U112" s="8" t="e">
        <f>IF($F$11,IF($L112="","",IFERROR(VLOOKUP($L112,day_data!$A:$O,10,FALSE),0)),NA())</f>
        <v>#N/A</v>
      </c>
      <c r="V112" s="8" t="e">
        <f>IF($F$12,IF($L112="","",IFERROR(VLOOKUP($L112,day_data!$A:$O,11,FALSE),0)),NA())</f>
        <v>#N/A</v>
      </c>
      <c r="W112" s="8" t="e">
        <f>IF($F$13,IF($L112="","",IFERROR(VLOOKUP($L112,day_data!$A:$O,12,FALSE),0)),NA())</f>
        <v>#N/A</v>
      </c>
      <c r="X112" s="10" t="e">
        <f>IF($F$14,IF($L112="","",IFERROR(VLOOKUP($L112,day_data!$A:$O,13,FALSE),0)),NA())</f>
        <v>#N/A</v>
      </c>
      <c r="Y112" s="10" t="e">
        <f>IF($F$15,IF($L112="","",IFERROR(VLOOKUP($L112,day_data!$A:$O,14,FALSE),0)),NA())</f>
        <v>#N/A</v>
      </c>
    </row>
    <row r="113" spans="12:25" x14ac:dyDescent="0.2">
      <c r="L113" s="9" t="str">
        <f t="shared" si="1"/>
        <v/>
      </c>
      <c r="M113" s="8" t="e">
        <f>IF($F$3,IF($L113="","",IFERROR(VLOOKUP($L113,day_data!$A:$O,2,FALSE),0)),NA())</f>
        <v>#N/A</v>
      </c>
      <c r="N113" s="8" t="str">
        <f>IF($F$4,IF($L113="","",IFERROR(VLOOKUP($L113,day_data!$A:$O,3,FALSE),0)),NA())</f>
        <v/>
      </c>
      <c r="O113" s="8" t="e">
        <f>IF($F$5,IF($L113="","",IFERROR(VLOOKUP($L113,day_data!$A:$O,4,FALSE),0)),NA())</f>
        <v>#N/A</v>
      </c>
      <c r="P113" s="8" t="e">
        <f>IF($F$6,IF($L113="","",IFERROR(VLOOKUP($L113,day_data!$A:$O,5,FALSE),0)),NA())</f>
        <v>#N/A</v>
      </c>
      <c r="Q113" s="8" t="e">
        <f>IF($F$7,IF($L113="","",IFERROR(VLOOKUP($L113,day_data!$A:$O,6,FALSE),0)),NA())</f>
        <v>#N/A</v>
      </c>
      <c r="R113" s="8" t="e">
        <f>IF($F$8,IF($L113="","",IFERROR(VLOOKUP($L113,day_data!$A:$O,7,FALSE),0)),NA())</f>
        <v>#N/A</v>
      </c>
      <c r="S113" s="8" t="e">
        <f>IF($F$9,IF($L113="","",IFERROR(VLOOKUP($L113,day_data!$A:$O,8,FALSE),0)),NA())</f>
        <v>#N/A</v>
      </c>
      <c r="T113" s="8" t="e">
        <f>IF($F$10,IF($L113="","",IFERROR(VLOOKUP($L113,day_data!$A:$O,9,FALSE),0)),NA())</f>
        <v>#N/A</v>
      </c>
      <c r="U113" s="8" t="e">
        <f>IF($F$11,IF($L113="","",IFERROR(VLOOKUP($L113,day_data!$A:$O,10,FALSE),0)),NA())</f>
        <v>#N/A</v>
      </c>
      <c r="V113" s="8" t="e">
        <f>IF($F$12,IF($L113="","",IFERROR(VLOOKUP($L113,day_data!$A:$O,11,FALSE),0)),NA())</f>
        <v>#N/A</v>
      </c>
      <c r="W113" s="8" t="e">
        <f>IF($F$13,IF($L113="","",IFERROR(VLOOKUP($L113,day_data!$A:$O,12,FALSE),0)),NA())</f>
        <v>#N/A</v>
      </c>
      <c r="X113" s="10" t="e">
        <f>IF($F$14,IF($L113="","",IFERROR(VLOOKUP($L113,day_data!$A:$O,13,FALSE),0)),NA())</f>
        <v>#N/A</v>
      </c>
      <c r="Y113" s="10" t="e">
        <f>IF($F$15,IF($L113="","",IFERROR(VLOOKUP($L113,day_data!$A:$O,14,FALSE),0)),NA())</f>
        <v>#N/A</v>
      </c>
    </row>
    <row r="114" spans="12:25" x14ac:dyDescent="0.2">
      <c r="L114" s="9" t="str">
        <f t="shared" si="1"/>
        <v/>
      </c>
      <c r="M114" s="8" t="e">
        <f>IF($F$3,IF($L114="","",IFERROR(VLOOKUP($L114,day_data!$A:$O,2,FALSE),0)),NA())</f>
        <v>#N/A</v>
      </c>
      <c r="N114" s="8" t="str">
        <f>IF($F$4,IF($L114="","",IFERROR(VLOOKUP($L114,day_data!$A:$O,3,FALSE),0)),NA())</f>
        <v/>
      </c>
      <c r="O114" s="8" t="e">
        <f>IF($F$5,IF($L114="","",IFERROR(VLOOKUP($L114,day_data!$A:$O,4,FALSE),0)),NA())</f>
        <v>#N/A</v>
      </c>
      <c r="P114" s="8" t="e">
        <f>IF($F$6,IF($L114="","",IFERROR(VLOOKUP($L114,day_data!$A:$O,5,FALSE),0)),NA())</f>
        <v>#N/A</v>
      </c>
      <c r="Q114" s="8" t="e">
        <f>IF($F$7,IF($L114="","",IFERROR(VLOOKUP($L114,day_data!$A:$O,6,FALSE),0)),NA())</f>
        <v>#N/A</v>
      </c>
      <c r="R114" s="8" t="e">
        <f>IF($F$8,IF($L114="","",IFERROR(VLOOKUP($L114,day_data!$A:$O,7,FALSE),0)),NA())</f>
        <v>#N/A</v>
      </c>
      <c r="S114" s="8" t="e">
        <f>IF($F$9,IF($L114="","",IFERROR(VLOOKUP($L114,day_data!$A:$O,8,FALSE),0)),NA())</f>
        <v>#N/A</v>
      </c>
      <c r="T114" s="8" t="e">
        <f>IF($F$10,IF($L114="","",IFERROR(VLOOKUP($L114,day_data!$A:$O,9,FALSE),0)),NA())</f>
        <v>#N/A</v>
      </c>
      <c r="U114" s="8" t="e">
        <f>IF($F$11,IF($L114="","",IFERROR(VLOOKUP($L114,day_data!$A:$O,10,FALSE),0)),NA())</f>
        <v>#N/A</v>
      </c>
      <c r="V114" s="8" t="e">
        <f>IF($F$12,IF($L114="","",IFERROR(VLOOKUP($L114,day_data!$A:$O,11,FALSE),0)),NA())</f>
        <v>#N/A</v>
      </c>
      <c r="W114" s="8" t="e">
        <f>IF($F$13,IF($L114="","",IFERROR(VLOOKUP($L114,day_data!$A:$O,12,FALSE),0)),NA())</f>
        <v>#N/A</v>
      </c>
      <c r="X114" s="10" t="e">
        <f>IF($F$14,IF($L114="","",IFERROR(VLOOKUP($L114,day_data!$A:$O,13,FALSE),0)),NA())</f>
        <v>#N/A</v>
      </c>
      <c r="Y114" s="10" t="e">
        <f>IF($F$15,IF($L114="","",IFERROR(VLOOKUP($L114,day_data!$A:$O,14,FALSE),0)),NA())</f>
        <v>#N/A</v>
      </c>
    </row>
    <row r="115" spans="12:25" x14ac:dyDescent="0.2">
      <c r="L115" s="9" t="str">
        <f t="shared" si="1"/>
        <v/>
      </c>
      <c r="M115" s="8" t="e">
        <f>IF($F$3,IF($L115="","",IFERROR(VLOOKUP($L115,day_data!$A:$O,2,FALSE),0)),NA())</f>
        <v>#N/A</v>
      </c>
      <c r="N115" s="8" t="str">
        <f>IF($F$4,IF($L115="","",IFERROR(VLOOKUP($L115,day_data!$A:$O,3,FALSE),0)),NA())</f>
        <v/>
      </c>
      <c r="O115" s="8" t="e">
        <f>IF($F$5,IF($L115="","",IFERROR(VLOOKUP($L115,day_data!$A:$O,4,FALSE),0)),NA())</f>
        <v>#N/A</v>
      </c>
      <c r="P115" s="8" t="e">
        <f>IF($F$6,IF($L115="","",IFERROR(VLOOKUP($L115,day_data!$A:$O,5,FALSE),0)),NA())</f>
        <v>#N/A</v>
      </c>
      <c r="Q115" s="8" t="e">
        <f>IF($F$7,IF($L115="","",IFERROR(VLOOKUP($L115,day_data!$A:$O,6,FALSE),0)),NA())</f>
        <v>#N/A</v>
      </c>
      <c r="R115" s="8" t="e">
        <f>IF($F$8,IF($L115="","",IFERROR(VLOOKUP($L115,day_data!$A:$O,7,FALSE),0)),NA())</f>
        <v>#N/A</v>
      </c>
      <c r="S115" s="8" t="e">
        <f>IF($F$9,IF($L115="","",IFERROR(VLOOKUP($L115,day_data!$A:$O,8,FALSE),0)),NA())</f>
        <v>#N/A</v>
      </c>
      <c r="T115" s="8" t="e">
        <f>IF($F$10,IF($L115="","",IFERROR(VLOOKUP($L115,day_data!$A:$O,9,FALSE),0)),NA())</f>
        <v>#N/A</v>
      </c>
      <c r="U115" s="8" t="e">
        <f>IF($F$11,IF($L115="","",IFERROR(VLOOKUP($L115,day_data!$A:$O,10,FALSE),0)),NA())</f>
        <v>#N/A</v>
      </c>
      <c r="V115" s="8" t="e">
        <f>IF($F$12,IF($L115="","",IFERROR(VLOOKUP($L115,day_data!$A:$O,11,FALSE),0)),NA())</f>
        <v>#N/A</v>
      </c>
      <c r="W115" s="8" t="e">
        <f>IF($F$13,IF($L115="","",IFERROR(VLOOKUP($L115,day_data!$A:$O,12,FALSE),0)),NA())</f>
        <v>#N/A</v>
      </c>
      <c r="X115" s="10" t="e">
        <f>IF($F$14,IF($L115="","",IFERROR(VLOOKUP($L115,day_data!$A:$O,13,FALSE),0)),NA())</f>
        <v>#N/A</v>
      </c>
      <c r="Y115" s="10" t="e">
        <f>IF($F$15,IF($L115="","",IFERROR(VLOOKUP($L115,day_data!$A:$O,14,FALSE),0)),NA())</f>
        <v>#N/A</v>
      </c>
    </row>
    <row r="116" spans="12:25" x14ac:dyDescent="0.2">
      <c r="L116" s="9" t="str">
        <f t="shared" si="1"/>
        <v/>
      </c>
      <c r="M116" s="8" t="e">
        <f>IF($F$3,IF($L116="","",IFERROR(VLOOKUP($L116,day_data!$A:$O,2,FALSE),0)),NA())</f>
        <v>#N/A</v>
      </c>
      <c r="N116" s="8" t="str">
        <f>IF($F$4,IF($L116="","",IFERROR(VLOOKUP($L116,day_data!$A:$O,3,FALSE),0)),NA())</f>
        <v/>
      </c>
      <c r="O116" s="8" t="e">
        <f>IF($F$5,IF($L116="","",IFERROR(VLOOKUP($L116,day_data!$A:$O,4,FALSE),0)),NA())</f>
        <v>#N/A</v>
      </c>
      <c r="P116" s="8" t="e">
        <f>IF($F$6,IF($L116="","",IFERROR(VLOOKUP($L116,day_data!$A:$O,5,FALSE),0)),NA())</f>
        <v>#N/A</v>
      </c>
      <c r="Q116" s="8" t="e">
        <f>IF($F$7,IF($L116="","",IFERROR(VLOOKUP($L116,day_data!$A:$O,6,FALSE),0)),NA())</f>
        <v>#N/A</v>
      </c>
      <c r="R116" s="8" t="e">
        <f>IF($F$8,IF($L116="","",IFERROR(VLOOKUP($L116,day_data!$A:$O,7,FALSE),0)),NA())</f>
        <v>#N/A</v>
      </c>
      <c r="S116" s="8" t="e">
        <f>IF($F$9,IF($L116="","",IFERROR(VLOOKUP($L116,day_data!$A:$O,8,FALSE),0)),NA())</f>
        <v>#N/A</v>
      </c>
      <c r="T116" s="8" t="e">
        <f>IF($F$10,IF($L116="","",IFERROR(VLOOKUP($L116,day_data!$A:$O,9,FALSE),0)),NA())</f>
        <v>#N/A</v>
      </c>
      <c r="U116" s="8" t="e">
        <f>IF($F$11,IF($L116="","",IFERROR(VLOOKUP($L116,day_data!$A:$O,10,FALSE),0)),NA())</f>
        <v>#N/A</v>
      </c>
      <c r="V116" s="8" t="e">
        <f>IF($F$12,IF($L116="","",IFERROR(VLOOKUP($L116,day_data!$A:$O,11,FALSE),0)),NA())</f>
        <v>#N/A</v>
      </c>
      <c r="W116" s="8" t="e">
        <f>IF($F$13,IF($L116="","",IFERROR(VLOOKUP($L116,day_data!$A:$O,12,FALSE),0)),NA())</f>
        <v>#N/A</v>
      </c>
      <c r="X116" s="10" t="e">
        <f>IF($F$14,IF($L116="","",IFERROR(VLOOKUP($L116,day_data!$A:$O,13,FALSE),0)),NA())</f>
        <v>#N/A</v>
      </c>
      <c r="Y116" s="10" t="e">
        <f>IF($F$15,IF($L116="","",IFERROR(VLOOKUP($L116,day_data!$A:$O,14,FALSE),0)),NA())</f>
        <v>#N/A</v>
      </c>
    </row>
    <row r="117" spans="12:25" x14ac:dyDescent="0.2">
      <c r="L117" s="9" t="str">
        <f t="shared" si="1"/>
        <v/>
      </c>
      <c r="M117" s="8" t="e">
        <f>IF($F$3,IF($L117="","",IFERROR(VLOOKUP($L117,day_data!$A:$O,2,FALSE),0)),NA())</f>
        <v>#N/A</v>
      </c>
      <c r="N117" s="8" t="str">
        <f>IF($F$4,IF($L117="","",IFERROR(VLOOKUP($L117,day_data!$A:$O,3,FALSE),0)),NA())</f>
        <v/>
      </c>
      <c r="O117" s="8" t="e">
        <f>IF($F$5,IF($L117="","",IFERROR(VLOOKUP($L117,day_data!$A:$O,4,FALSE),0)),NA())</f>
        <v>#N/A</v>
      </c>
      <c r="P117" s="8" t="e">
        <f>IF($F$6,IF($L117="","",IFERROR(VLOOKUP($L117,day_data!$A:$O,5,FALSE),0)),NA())</f>
        <v>#N/A</v>
      </c>
      <c r="Q117" s="8" t="e">
        <f>IF($F$7,IF($L117="","",IFERROR(VLOOKUP($L117,day_data!$A:$O,6,FALSE),0)),NA())</f>
        <v>#N/A</v>
      </c>
      <c r="R117" s="8" t="e">
        <f>IF($F$8,IF($L117="","",IFERROR(VLOOKUP($L117,day_data!$A:$O,7,FALSE),0)),NA())</f>
        <v>#N/A</v>
      </c>
      <c r="S117" s="8" t="e">
        <f>IF($F$9,IF($L117="","",IFERROR(VLOOKUP($L117,day_data!$A:$O,8,FALSE),0)),NA())</f>
        <v>#N/A</v>
      </c>
      <c r="T117" s="8" t="e">
        <f>IF($F$10,IF($L117="","",IFERROR(VLOOKUP($L117,day_data!$A:$O,9,FALSE),0)),NA())</f>
        <v>#N/A</v>
      </c>
      <c r="U117" s="8" t="e">
        <f>IF($F$11,IF($L117="","",IFERROR(VLOOKUP($L117,day_data!$A:$O,10,FALSE),0)),NA())</f>
        <v>#N/A</v>
      </c>
      <c r="V117" s="8" t="e">
        <f>IF($F$12,IF($L117="","",IFERROR(VLOOKUP($L117,day_data!$A:$O,11,FALSE),0)),NA())</f>
        <v>#N/A</v>
      </c>
      <c r="W117" s="8" t="e">
        <f>IF($F$13,IF($L117="","",IFERROR(VLOOKUP($L117,day_data!$A:$O,12,FALSE),0)),NA())</f>
        <v>#N/A</v>
      </c>
      <c r="X117" s="10" t="e">
        <f>IF($F$14,IF($L117="","",IFERROR(VLOOKUP($L117,day_data!$A:$O,13,FALSE),0)),NA())</f>
        <v>#N/A</v>
      </c>
      <c r="Y117" s="10" t="e">
        <f>IF($F$15,IF($L117="","",IFERROR(VLOOKUP($L117,day_data!$A:$O,14,FALSE),0)),NA())</f>
        <v>#N/A</v>
      </c>
    </row>
    <row r="118" spans="12:25" x14ac:dyDescent="0.2">
      <c r="L118" s="9" t="str">
        <f t="shared" si="1"/>
        <v/>
      </c>
      <c r="M118" s="8" t="e">
        <f>IF($F$3,IF($L118="","",IFERROR(VLOOKUP($L118,day_data!$A:$O,2,FALSE),0)),NA())</f>
        <v>#N/A</v>
      </c>
      <c r="N118" s="8" t="str">
        <f>IF($F$4,IF($L118="","",IFERROR(VLOOKUP($L118,day_data!$A:$O,3,FALSE),0)),NA())</f>
        <v/>
      </c>
      <c r="O118" s="8" t="e">
        <f>IF($F$5,IF($L118="","",IFERROR(VLOOKUP($L118,day_data!$A:$O,4,FALSE),0)),NA())</f>
        <v>#N/A</v>
      </c>
      <c r="P118" s="8" t="e">
        <f>IF($F$6,IF($L118="","",IFERROR(VLOOKUP($L118,day_data!$A:$O,5,FALSE),0)),NA())</f>
        <v>#N/A</v>
      </c>
      <c r="Q118" s="8" t="e">
        <f>IF($F$7,IF($L118="","",IFERROR(VLOOKUP($L118,day_data!$A:$O,6,FALSE),0)),NA())</f>
        <v>#N/A</v>
      </c>
      <c r="R118" s="8" t="e">
        <f>IF($F$8,IF($L118="","",IFERROR(VLOOKUP($L118,day_data!$A:$O,7,FALSE),0)),NA())</f>
        <v>#N/A</v>
      </c>
      <c r="S118" s="8" t="e">
        <f>IF($F$9,IF($L118="","",IFERROR(VLOOKUP($L118,day_data!$A:$O,8,FALSE),0)),NA())</f>
        <v>#N/A</v>
      </c>
      <c r="T118" s="8" t="e">
        <f>IF($F$10,IF($L118="","",IFERROR(VLOOKUP($L118,day_data!$A:$O,9,FALSE),0)),NA())</f>
        <v>#N/A</v>
      </c>
      <c r="U118" s="8" t="e">
        <f>IF($F$11,IF($L118="","",IFERROR(VLOOKUP($L118,day_data!$A:$O,10,FALSE),0)),NA())</f>
        <v>#N/A</v>
      </c>
      <c r="V118" s="8" t="e">
        <f>IF($F$12,IF($L118="","",IFERROR(VLOOKUP($L118,day_data!$A:$O,11,FALSE),0)),NA())</f>
        <v>#N/A</v>
      </c>
      <c r="W118" s="8" t="e">
        <f>IF($F$13,IF($L118="","",IFERROR(VLOOKUP($L118,day_data!$A:$O,12,FALSE),0)),NA())</f>
        <v>#N/A</v>
      </c>
      <c r="X118" s="10" t="e">
        <f>IF($F$14,IF($L118="","",IFERROR(VLOOKUP($L118,day_data!$A:$O,13,FALSE),0)),NA())</f>
        <v>#N/A</v>
      </c>
      <c r="Y118" s="10" t="e">
        <f>IF($F$15,IF($L118="","",IFERROR(VLOOKUP($L118,day_data!$A:$O,14,FALSE),0)),NA())</f>
        <v>#N/A</v>
      </c>
    </row>
    <row r="119" spans="12:25" x14ac:dyDescent="0.2">
      <c r="L119" s="9" t="str">
        <f t="shared" si="1"/>
        <v/>
      </c>
      <c r="M119" s="8" t="e">
        <f>IF($F$3,IF($L119="","",IFERROR(VLOOKUP($L119,day_data!$A:$O,2,FALSE),0)),NA())</f>
        <v>#N/A</v>
      </c>
      <c r="N119" s="8" t="str">
        <f>IF($F$4,IF($L119="","",IFERROR(VLOOKUP($L119,day_data!$A:$O,3,FALSE),0)),NA())</f>
        <v/>
      </c>
      <c r="O119" s="8" t="e">
        <f>IF($F$5,IF($L119="","",IFERROR(VLOOKUP($L119,day_data!$A:$O,4,FALSE),0)),NA())</f>
        <v>#N/A</v>
      </c>
      <c r="P119" s="8" t="e">
        <f>IF($F$6,IF($L119="","",IFERROR(VLOOKUP($L119,day_data!$A:$O,5,FALSE),0)),NA())</f>
        <v>#N/A</v>
      </c>
      <c r="Q119" s="8" t="e">
        <f>IF($F$7,IF($L119="","",IFERROR(VLOOKUP($L119,day_data!$A:$O,6,FALSE),0)),NA())</f>
        <v>#N/A</v>
      </c>
      <c r="R119" s="8" t="e">
        <f>IF($F$8,IF($L119="","",IFERROR(VLOOKUP($L119,day_data!$A:$O,7,FALSE),0)),NA())</f>
        <v>#N/A</v>
      </c>
      <c r="S119" s="8" t="e">
        <f>IF($F$9,IF($L119="","",IFERROR(VLOOKUP($L119,day_data!$A:$O,8,FALSE),0)),NA())</f>
        <v>#N/A</v>
      </c>
      <c r="T119" s="8" t="e">
        <f>IF($F$10,IF($L119="","",IFERROR(VLOOKUP($L119,day_data!$A:$O,9,FALSE),0)),NA())</f>
        <v>#N/A</v>
      </c>
      <c r="U119" s="8" t="e">
        <f>IF($F$11,IF($L119="","",IFERROR(VLOOKUP($L119,day_data!$A:$O,10,FALSE),0)),NA())</f>
        <v>#N/A</v>
      </c>
      <c r="V119" s="8" t="e">
        <f>IF($F$12,IF($L119="","",IFERROR(VLOOKUP($L119,day_data!$A:$O,11,FALSE),0)),NA())</f>
        <v>#N/A</v>
      </c>
      <c r="W119" s="8" t="e">
        <f>IF($F$13,IF($L119="","",IFERROR(VLOOKUP($L119,day_data!$A:$O,12,FALSE),0)),NA())</f>
        <v>#N/A</v>
      </c>
      <c r="X119" s="10" t="e">
        <f>IF($F$14,IF($L119="","",IFERROR(VLOOKUP($L119,day_data!$A:$O,13,FALSE),0)),NA())</f>
        <v>#N/A</v>
      </c>
      <c r="Y119" s="10" t="e">
        <f>IF($F$15,IF($L119="","",IFERROR(VLOOKUP($L119,day_data!$A:$O,14,FALSE),0)),NA())</f>
        <v>#N/A</v>
      </c>
    </row>
    <row r="120" spans="12:25" x14ac:dyDescent="0.2">
      <c r="L120" s="9" t="str">
        <f t="shared" si="1"/>
        <v/>
      </c>
      <c r="M120" s="8" t="e">
        <f>IF($F$3,IF($L120="","",IFERROR(VLOOKUP($L120,day_data!$A:$O,2,FALSE),0)),NA())</f>
        <v>#N/A</v>
      </c>
      <c r="N120" s="8" t="str">
        <f>IF($F$4,IF($L120="","",IFERROR(VLOOKUP($L120,day_data!$A:$O,3,FALSE),0)),NA())</f>
        <v/>
      </c>
      <c r="O120" s="8" t="e">
        <f>IF($F$5,IF($L120="","",IFERROR(VLOOKUP($L120,day_data!$A:$O,4,FALSE),0)),NA())</f>
        <v>#N/A</v>
      </c>
      <c r="P120" s="8" t="e">
        <f>IF($F$6,IF($L120="","",IFERROR(VLOOKUP($L120,day_data!$A:$O,5,FALSE),0)),NA())</f>
        <v>#N/A</v>
      </c>
      <c r="Q120" s="8" t="e">
        <f>IF($F$7,IF($L120="","",IFERROR(VLOOKUP($L120,day_data!$A:$O,6,FALSE),0)),NA())</f>
        <v>#N/A</v>
      </c>
      <c r="R120" s="8" t="e">
        <f>IF($F$8,IF($L120="","",IFERROR(VLOOKUP($L120,day_data!$A:$O,7,FALSE),0)),NA())</f>
        <v>#N/A</v>
      </c>
      <c r="S120" s="8" t="e">
        <f>IF($F$9,IF($L120="","",IFERROR(VLOOKUP($L120,day_data!$A:$O,8,FALSE),0)),NA())</f>
        <v>#N/A</v>
      </c>
      <c r="T120" s="8" t="e">
        <f>IF($F$10,IF($L120="","",IFERROR(VLOOKUP($L120,day_data!$A:$O,9,FALSE),0)),NA())</f>
        <v>#N/A</v>
      </c>
      <c r="U120" s="8" t="e">
        <f>IF($F$11,IF($L120="","",IFERROR(VLOOKUP($L120,day_data!$A:$O,10,FALSE),0)),NA())</f>
        <v>#N/A</v>
      </c>
      <c r="V120" s="8" t="e">
        <f>IF($F$12,IF($L120="","",IFERROR(VLOOKUP($L120,day_data!$A:$O,11,FALSE),0)),NA())</f>
        <v>#N/A</v>
      </c>
      <c r="W120" s="8" t="e">
        <f>IF($F$13,IF($L120="","",IFERROR(VLOOKUP($L120,day_data!$A:$O,12,FALSE),0)),NA())</f>
        <v>#N/A</v>
      </c>
      <c r="X120" s="10" t="e">
        <f>IF($F$14,IF($L120="","",IFERROR(VLOOKUP($L120,day_data!$A:$O,13,FALSE),0)),NA())</f>
        <v>#N/A</v>
      </c>
      <c r="Y120" s="10" t="e">
        <f>IF($F$15,IF($L120="","",IFERROR(VLOOKUP($L120,day_data!$A:$O,14,FALSE),0)),NA())</f>
        <v>#N/A</v>
      </c>
    </row>
    <row r="121" spans="12:25" x14ac:dyDescent="0.2">
      <c r="L121" s="9" t="str">
        <f t="shared" si="1"/>
        <v/>
      </c>
      <c r="M121" s="8" t="e">
        <f>IF($F$3,IF($L121="","",IFERROR(VLOOKUP($L121,day_data!$A:$O,2,FALSE),0)),NA())</f>
        <v>#N/A</v>
      </c>
      <c r="N121" s="8" t="str">
        <f>IF($F$4,IF($L121="","",IFERROR(VLOOKUP($L121,day_data!$A:$O,3,FALSE),0)),NA())</f>
        <v/>
      </c>
      <c r="O121" s="8" t="e">
        <f>IF($F$5,IF($L121="","",IFERROR(VLOOKUP($L121,day_data!$A:$O,4,FALSE),0)),NA())</f>
        <v>#N/A</v>
      </c>
      <c r="P121" s="8" t="e">
        <f>IF($F$6,IF($L121="","",IFERROR(VLOOKUP($L121,day_data!$A:$O,5,FALSE),0)),NA())</f>
        <v>#N/A</v>
      </c>
      <c r="Q121" s="8" t="e">
        <f>IF($F$7,IF($L121="","",IFERROR(VLOOKUP($L121,day_data!$A:$O,6,FALSE),0)),NA())</f>
        <v>#N/A</v>
      </c>
      <c r="R121" s="8" t="e">
        <f>IF($F$8,IF($L121="","",IFERROR(VLOOKUP($L121,day_data!$A:$O,7,FALSE),0)),NA())</f>
        <v>#N/A</v>
      </c>
      <c r="S121" s="8" t="e">
        <f>IF($F$9,IF($L121="","",IFERROR(VLOOKUP($L121,day_data!$A:$O,8,FALSE),0)),NA())</f>
        <v>#N/A</v>
      </c>
      <c r="T121" s="8" t="e">
        <f>IF($F$10,IF($L121="","",IFERROR(VLOOKUP($L121,day_data!$A:$O,9,FALSE),0)),NA())</f>
        <v>#N/A</v>
      </c>
      <c r="U121" s="8" t="e">
        <f>IF($F$11,IF($L121="","",IFERROR(VLOOKUP($L121,day_data!$A:$O,10,FALSE),0)),NA())</f>
        <v>#N/A</v>
      </c>
      <c r="V121" s="8" t="e">
        <f>IF($F$12,IF($L121="","",IFERROR(VLOOKUP($L121,day_data!$A:$O,11,FALSE),0)),NA())</f>
        <v>#N/A</v>
      </c>
      <c r="W121" s="8" t="e">
        <f>IF($F$13,IF($L121="","",IFERROR(VLOOKUP($L121,day_data!$A:$O,12,FALSE),0)),NA())</f>
        <v>#N/A</v>
      </c>
      <c r="X121" s="10" t="e">
        <f>IF($F$14,IF($L121="","",IFERROR(VLOOKUP($L121,day_data!$A:$O,13,FALSE),0)),NA())</f>
        <v>#N/A</v>
      </c>
      <c r="Y121" s="10" t="e">
        <f>IF($F$15,IF($L121="","",IFERROR(VLOOKUP($L121,day_data!$A:$O,14,FALSE),0)),NA())</f>
        <v>#N/A</v>
      </c>
    </row>
    <row r="122" spans="12:25" x14ac:dyDescent="0.2">
      <c r="L122" s="9" t="str">
        <f t="shared" si="1"/>
        <v/>
      </c>
      <c r="M122" s="8" t="e">
        <f>IF($F$3,IF($L122="","",IFERROR(VLOOKUP($L122,day_data!$A:$O,2,FALSE),0)),NA())</f>
        <v>#N/A</v>
      </c>
      <c r="N122" s="8" t="str">
        <f>IF($F$4,IF($L122="","",IFERROR(VLOOKUP($L122,day_data!$A:$O,3,FALSE),0)),NA())</f>
        <v/>
      </c>
      <c r="O122" s="8" t="e">
        <f>IF($F$5,IF($L122="","",IFERROR(VLOOKUP($L122,day_data!$A:$O,4,FALSE),0)),NA())</f>
        <v>#N/A</v>
      </c>
      <c r="P122" s="8" t="e">
        <f>IF($F$6,IF($L122="","",IFERROR(VLOOKUP($L122,day_data!$A:$O,5,FALSE),0)),NA())</f>
        <v>#N/A</v>
      </c>
      <c r="Q122" s="8" t="e">
        <f>IF($F$7,IF($L122="","",IFERROR(VLOOKUP($L122,day_data!$A:$O,6,FALSE),0)),NA())</f>
        <v>#N/A</v>
      </c>
      <c r="R122" s="8" t="e">
        <f>IF($F$8,IF($L122="","",IFERROR(VLOOKUP($L122,day_data!$A:$O,7,FALSE),0)),NA())</f>
        <v>#N/A</v>
      </c>
      <c r="S122" s="8" t="e">
        <f>IF($F$9,IF($L122="","",IFERROR(VLOOKUP($L122,day_data!$A:$O,8,FALSE),0)),NA())</f>
        <v>#N/A</v>
      </c>
      <c r="T122" s="8" t="e">
        <f>IF($F$10,IF($L122="","",IFERROR(VLOOKUP($L122,day_data!$A:$O,9,FALSE),0)),NA())</f>
        <v>#N/A</v>
      </c>
      <c r="U122" s="8" t="e">
        <f>IF($F$11,IF($L122="","",IFERROR(VLOOKUP($L122,day_data!$A:$O,10,FALSE),0)),NA())</f>
        <v>#N/A</v>
      </c>
      <c r="V122" s="8" t="e">
        <f>IF($F$12,IF($L122="","",IFERROR(VLOOKUP($L122,day_data!$A:$O,11,FALSE),0)),NA())</f>
        <v>#N/A</v>
      </c>
      <c r="W122" s="8" t="e">
        <f>IF($F$13,IF($L122="","",IFERROR(VLOOKUP($L122,day_data!$A:$O,12,FALSE),0)),NA())</f>
        <v>#N/A</v>
      </c>
      <c r="X122" s="10" t="e">
        <f>IF($F$14,IF($L122="","",IFERROR(VLOOKUP($L122,day_data!$A:$O,13,FALSE),0)),NA())</f>
        <v>#N/A</v>
      </c>
      <c r="Y122" s="10" t="e">
        <f>IF($F$15,IF($L122="","",IFERROR(VLOOKUP($L122,day_data!$A:$O,14,FALSE),0)),NA())</f>
        <v>#N/A</v>
      </c>
    </row>
    <row r="123" spans="12:25" x14ac:dyDescent="0.2">
      <c r="L123" s="9" t="str">
        <f t="shared" si="1"/>
        <v/>
      </c>
      <c r="M123" s="8" t="e">
        <f>IF($F$3,IF($L123="","",IFERROR(VLOOKUP($L123,day_data!$A:$O,2,FALSE),0)),NA())</f>
        <v>#N/A</v>
      </c>
      <c r="N123" s="8" t="str">
        <f>IF($F$4,IF($L123="","",IFERROR(VLOOKUP($L123,day_data!$A:$O,3,FALSE),0)),NA())</f>
        <v/>
      </c>
      <c r="O123" s="8" t="e">
        <f>IF($F$5,IF($L123="","",IFERROR(VLOOKUP($L123,day_data!$A:$O,4,FALSE),0)),NA())</f>
        <v>#N/A</v>
      </c>
      <c r="P123" s="8" t="e">
        <f>IF($F$6,IF($L123="","",IFERROR(VLOOKUP($L123,day_data!$A:$O,5,FALSE),0)),NA())</f>
        <v>#N/A</v>
      </c>
      <c r="Q123" s="8" t="e">
        <f>IF($F$7,IF($L123="","",IFERROR(VLOOKUP($L123,day_data!$A:$O,6,FALSE),0)),NA())</f>
        <v>#N/A</v>
      </c>
      <c r="R123" s="8" t="e">
        <f>IF($F$8,IF($L123="","",IFERROR(VLOOKUP($L123,day_data!$A:$O,7,FALSE),0)),NA())</f>
        <v>#N/A</v>
      </c>
      <c r="S123" s="8" t="e">
        <f>IF($F$9,IF($L123="","",IFERROR(VLOOKUP($L123,day_data!$A:$O,8,FALSE),0)),NA())</f>
        <v>#N/A</v>
      </c>
      <c r="T123" s="8" t="e">
        <f>IF($F$10,IF($L123="","",IFERROR(VLOOKUP($L123,day_data!$A:$O,9,FALSE),0)),NA())</f>
        <v>#N/A</v>
      </c>
      <c r="U123" s="8" t="e">
        <f>IF($F$11,IF($L123="","",IFERROR(VLOOKUP($L123,day_data!$A:$O,10,FALSE),0)),NA())</f>
        <v>#N/A</v>
      </c>
      <c r="V123" s="8" t="e">
        <f>IF($F$12,IF($L123="","",IFERROR(VLOOKUP($L123,day_data!$A:$O,11,FALSE),0)),NA())</f>
        <v>#N/A</v>
      </c>
      <c r="W123" s="8" t="e">
        <f>IF($F$13,IF($L123="","",IFERROR(VLOOKUP($L123,day_data!$A:$O,12,FALSE),0)),NA())</f>
        <v>#N/A</v>
      </c>
      <c r="X123" s="10" t="e">
        <f>IF($F$14,IF($L123="","",IFERROR(VLOOKUP($L123,day_data!$A:$O,13,FALSE),0)),NA())</f>
        <v>#N/A</v>
      </c>
      <c r="Y123" s="10" t="e">
        <f>IF($F$15,IF($L123="","",IFERROR(VLOOKUP($L123,day_data!$A:$O,14,FALSE),0)),NA())</f>
        <v>#N/A</v>
      </c>
    </row>
    <row r="124" spans="12:25" x14ac:dyDescent="0.2">
      <c r="L124" s="9" t="str">
        <f t="shared" si="1"/>
        <v/>
      </c>
      <c r="M124" s="8" t="e">
        <f>IF($F$3,IF($L124="","",IFERROR(VLOOKUP($L124,day_data!$A:$O,2,FALSE),0)),NA())</f>
        <v>#N/A</v>
      </c>
      <c r="N124" s="8" t="str">
        <f>IF($F$4,IF($L124="","",IFERROR(VLOOKUP($L124,day_data!$A:$O,3,FALSE),0)),NA())</f>
        <v/>
      </c>
      <c r="O124" s="8" t="e">
        <f>IF($F$5,IF($L124="","",IFERROR(VLOOKUP($L124,day_data!$A:$O,4,FALSE),0)),NA())</f>
        <v>#N/A</v>
      </c>
      <c r="P124" s="8" t="e">
        <f>IF($F$6,IF($L124="","",IFERROR(VLOOKUP($L124,day_data!$A:$O,5,FALSE),0)),NA())</f>
        <v>#N/A</v>
      </c>
      <c r="Q124" s="8" t="e">
        <f>IF($F$7,IF($L124="","",IFERROR(VLOOKUP($L124,day_data!$A:$O,6,FALSE),0)),NA())</f>
        <v>#N/A</v>
      </c>
      <c r="R124" s="8" t="e">
        <f>IF($F$8,IF($L124="","",IFERROR(VLOOKUP($L124,day_data!$A:$O,7,FALSE),0)),NA())</f>
        <v>#N/A</v>
      </c>
      <c r="S124" s="8" t="e">
        <f>IF($F$9,IF($L124="","",IFERROR(VLOOKUP($L124,day_data!$A:$O,8,FALSE),0)),NA())</f>
        <v>#N/A</v>
      </c>
      <c r="T124" s="8" t="e">
        <f>IF($F$10,IF($L124="","",IFERROR(VLOOKUP($L124,day_data!$A:$O,9,FALSE),0)),NA())</f>
        <v>#N/A</v>
      </c>
      <c r="U124" s="8" t="e">
        <f>IF($F$11,IF($L124="","",IFERROR(VLOOKUP($L124,day_data!$A:$O,10,FALSE),0)),NA())</f>
        <v>#N/A</v>
      </c>
      <c r="V124" s="8" t="e">
        <f>IF($F$12,IF($L124="","",IFERROR(VLOOKUP($L124,day_data!$A:$O,11,FALSE),0)),NA())</f>
        <v>#N/A</v>
      </c>
      <c r="W124" s="8" t="e">
        <f>IF($F$13,IF($L124="","",IFERROR(VLOOKUP($L124,day_data!$A:$O,12,FALSE),0)),NA())</f>
        <v>#N/A</v>
      </c>
      <c r="X124" s="10" t="e">
        <f>IF($F$14,IF($L124="","",IFERROR(VLOOKUP($L124,day_data!$A:$O,13,FALSE),0)),NA())</f>
        <v>#N/A</v>
      </c>
      <c r="Y124" s="10" t="e">
        <f>IF($F$15,IF($L124="","",IFERROR(VLOOKUP($L124,day_data!$A:$O,14,FALSE),0)),NA())</f>
        <v>#N/A</v>
      </c>
    </row>
    <row r="125" spans="12:25" x14ac:dyDescent="0.2">
      <c r="L125" s="9" t="str">
        <f t="shared" si="1"/>
        <v/>
      </c>
      <c r="M125" s="8" t="e">
        <f>IF($F$3,IF($L125="","",IFERROR(VLOOKUP($L125,day_data!$A:$O,2,FALSE),0)),NA())</f>
        <v>#N/A</v>
      </c>
      <c r="N125" s="8" t="str">
        <f>IF($F$4,IF($L125="","",IFERROR(VLOOKUP($L125,day_data!$A:$O,3,FALSE),0)),NA())</f>
        <v/>
      </c>
      <c r="O125" s="8" t="e">
        <f>IF($F$5,IF($L125="","",IFERROR(VLOOKUP($L125,day_data!$A:$O,4,FALSE),0)),NA())</f>
        <v>#N/A</v>
      </c>
      <c r="P125" s="8" t="e">
        <f>IF($F$6,IF($L125="","",IFERROR(VLOOKUP($L125,day_data!$A:$O,5,FALSE),0)),NA())</f>
        <v>#N/A</v>
      </c>
      <c r="Q125" s="8" t="e">
        <f>IF($F$7,IF($L125="","",IFERROR(VLOOKUP($L125,day_data!$A:$O,6,FALSE),0)),NA())</f>
        <v>#N/A</v>
      </c>
      <c r="R125" s="8" t="e">
        <f>IF($F$8,IF($L125="","",IFERROR(VLOOKUP($L125,day_data!$A:$O,7,FALSE),0)),NA())</f>
        <v>#N/A</v>
      </c>
      <c r="S125" s="8" t="e">
        <f>IF($F$9,IF($L125="","",IFERROR(VLOOKUP($L125,day_data!$A:$O,8,FALSE),0)),NA())</f>
        <v>#N/A</v>
      </c>
      <c r="T125" s="8" t="e">
        <f>IF($F$10,IF($L125="","",IFERROR(VLOOKUP($L125,day_data!$A:$O,9,FALSE),0)),NA())</f>
        <v>#N/A</v>
      </c>
      <c r="U125" s="8" t="e">
        <f>IF($F$11,IF($L125="","",IFERROR(VLOOKUP($L125,day_data!$A:$O,10,FALSE),0)),NA())</f>
        <v>#N/A</v>
      </c>
      <c r="V125" s="8" t="e">
        <f>IF($F$12,IF($L125="","",IFERROR(VLOOKUP($L125,day_data!$A:$O,11,FALSE),0)),NA())</f>
        <v>#N/A</v>
      </c>
      <c r="W125" s="8" t="e">
        <f>IF($F$13,IF($L125="","",IFERROR(VLOOKUP($L125,day_data!$A:$O,12,FALSE),0)),NA())</f>
        <v>#N/A</v>
      </c>
      <c r="X125" s="10" t="e">
        <f>IF($F$14,IF($L125="","",IFERROR(VLOOKUP($L125,day_data!$A:$O,13,FALSE),0)),NA())</f>
        <v>#N/A</v>
      </c>
      <c r="Y125" s="10" t="e">
        <f>IF($F$15,IF($L125="","",IFERROR(VLOOKUP($L125,day_data!$A:$O,14,FALSE),0)),NA())</f>
        <v>#N/A</v>
      </c>
    </row>
    <row r="126" spans="12:25" x14ac:dyDescent="0.2">
      <c r="L126" s="9" t="str">
        <f t="shared" si="1"/>
        <v/>
      </c>
      <c r="M126" s="8" t="e">
        <f>IF($F$3,IF($L126="","",IFERROR(VLOOKUP($L126,day_data!$A:$O,2,FALSE),0)),NA())</f>
        <v>#N/A</v>
      </c>
      <c r="N126" s="8" t="str">
        <f>IF($F$4,IF($L126="","",IFERROR(VLOOKUP($L126,day_data!$A:$O,3,FALSE),0)),NA())</f>
        <v/>
      </c>
      <c r="O126" s="8" t="e">
        <f>IF($F$5,IF($L126="","",IFERROR(VLOOKUP($L126,day_data!$A:$O,4,FALSE),0)),NA())</f>
        <v>#N/A</v>
      </c>
      <c r="P126" s="8" t="e">
        <f>IF($F$6,IF($L126="","",IFERROR(VLOOKUP($L126,day_data!$A:$O,5,FALSE),0)),NA())</f>
        <v>#N/A</v>
      </c>
      <c r="Q126" s="8" t="e">
        <f>IF($F$7,IF($L126="","",IFERROR(VLOOKUP($L126,day_data!$A:$O,6,FALSE),0)),NA())</f>
        <v>#N/A</v>
      </c>
      <c r="R126" s="8" t="e">
        <f>IF($F$8,IF($L126="","",IFERROR(VLOOKUP($L126,day_data!$A:$O,7,FALSE),0)),NA())</f>
        <v>#N/A</v>
      </c>
      <c r="S126" s="8" t="e">
        <f>IF($F$9,IF($L126="","",IFERROR(VLOOKUP($L126,day_data!$A:$O,8,FALSE),0)),NA())</f>
        <v>#N/A</v>
      </c>
      <c r="T126" s="8" t="e">
        <f>IF($F$10,IF($L126="","",IFERROR(VLOOKUP($L126,day_data!$A:$O,9,FALSE),0)),NA())</f>
        <v>#N/A</v>
      </c>
      <c r="U126" s="8" t="e">
        <f>IF($F$11,IF($L126="","",IFERROR(VLOOKUP($L126,day_data!$A:$O,10,FALSE),0)),NA())</f>
        <v>#N/A</v>
      </c>
      <c r="V126" s="8" t="e">
        <f>IF($F$12,IF($L126="","",IFERROR(VLOOKUP($L126,day_data!$A:$O,11,FALSE),0)),NA())</f>
        <v>#N/A</v>
      </c>
      <c r="W126" s="8" t="e">
        <f>IF($F$13,IF($L126="","",IFERROR(VLOOKUP($L126,day_data!$A:$O,12,FALSE),0)),NA())</f>
        <v>#N/A</v>
      </c>
      <c r="X126" s="10" t="e">
        <f>IF($F$14,IF($L126="","",IFERROR(VLOOKUP($L126,day_data!$A:$O,13,FALSE),0)),NA())</f>
        <v>#N/A</v>
      </c>
      <c r="Y126" s="10" t="e">
        <f>IF($F$15,IF($L126="","",IFERROR(VLOOKUP($L126,day_data!$A:$O,14,FALSE),0)),NA())</f>
        <v>#N/A</v>
      </c>
    </row>
    <row r="127" spans="12:25" x14ac:dyDescent="0.2">
      <c r="L127" s="9" t="str">
        <f t="shared" si="1"/>
        <v/>
      </c>
      <c r="M127" s="8" t="e">
        <f>IF($F$3,IF($L127="","",IFERROR(VLOOKUP($L127,day_data!$A:$O,2,FALSE),0)),NA())</f>
        <v>#N/A</v>
      </c>
      <c r="N127" s="8" t="str">
        <f>IF($F$4,IF($L127="","",IFERROR(VLOOKUP($L127,day_data!$A:$O,3,FALSE),0)),NA())</f>
        <v/>
      </c>
      <c r="O127" s="8" t="e">
        <f>IF($F$5,IF($L127="","",IFERROR(VLOOKUP($L127,day_data!$A:$O,4,FALSE),0)),NA())</f>
        <v>#N/A</v>
      </c>
      <c r="P127" s="8" t="e">
        <f>IF($F$6,IF($L127="","",IFERROR(VLOOKUP($L127,day_data!$A:$O,5,FALSE),0)),NA())</f>
        <v>#N/A</v>
      </c>
      <c r="Q127" s="8" t="e">
        <f>IF($F$7,IF($L127="","",IFERROR(VLOOKUP($L127,day_data!$A:$O,6,FALSE),0)),NA())</f>
        <v>#N/A</v>
      </c>
      <c r="R127" s="8" t="e">
        <f>IF($F$8,IF($L127="","",IFERROR(VLOOKUP($L127,day_data!$A:$O,7,FALSE),0)),NA())</f>
        <v>#N/A</v>
      </c>
      <c r="S127" s="8" t="e">
        <f>IF($F$9,IF($L127="","",IFERROR(VLOOKUP($L127,day_data!$A:$O,8,FALSE),0)),NA())</f>
        <v>#N/A</v>
      </c>
      <c r="T127" s="8" t="e">
        <f>IF($F$10,IF($L127="","",IFERROR(VLOOKUP($L127,day_data!$A:$O,9,FALSE),0)),NA())</f>
        <v>#N/A</v>
      </c>
      <c r="U127" s="8" t="e">
        <f>IF($F$11,IF($L127="","",IFERROR(VLOOKUP($L127,day_data!$A:$O,10,FALSE),0)),NA())</f>
        <v>#N/A</v>
      </c>
      <c r="V127" s="8" t="e">
        <f>IF($F$12,IF($L127="","",IFERROR(VLOOKUP($L127,day_data!$A:$O,11,FALSE),0)),NA())</f>
        <v>#N/A</v>
      </c>
      <c r="W127" s="8" t="e">
        <f>IF($F$13,IF($L127="","",IFERROR(VLOOKUP($L127,day_data!$A:$O,12,FALSE),0)),NA())</f>
        <v>#N/A</v>
      </c>
      <c r="X127" s="10" t="e">
        <f>IF($F$14,IF($L127="","",IFERROR(VLOOKUP($L127,day_data!$A:$O,13,FALSE),0)),NA())</f>
        <v>#N/A</v>
      </c>
      <c r="Y127" s="10" t="e">
        <f>IF($F$15,IF($L127="","",IFERROR(VLOOKUP($L127,day_data!$A:$O,14,FALSE),0)),NA())</f>
        <v>#N/A</v>
      </c>
    </row>
    <row r="128" spans="12:25" x14ac:dyDescent="0.2">
      <c r="L128" s="9" t="str">
        <f t="shared" si="1"/>
        <v/>
      </c>
      <c r="M128" s="8" t="e">
        <f>IF($F$3,IF($L128="","",IFERROR(VLOOKUP($L128,day_data!$A:$O,2,FALSE),0)),NA())</f>
        <v>#N/A</v>
      </c>
      <c r="N128" s="8" t="str">
        <f>IF($F$4,IF($L128="","",IFERROR(VLOOKUP($L128,day_data!$A:$O,3,FALSE),0)),NA())</f>
        <v/>
      </c>
      <c r="O128" s="8" t="e">
        <f>IF($F$5,IF($L128="","",IFERROR(VLOOKUP($L128,day_data!$A:$O,4,FALSE),0)),NA())</f>
        <v>#N/A</v>
      </c>
      <c r="P128" s="8" t="e">
        <f>IF($F$6,IF($L128="","",IFERROR(VLOOKUP($L128,day_data!$A:$O,5,FALSE),0)),NA())</f>
        <v>#N/A</v>
      </c>
      <c r="Q128" s="8" t="e">
        <f>IF($F$7,IF($L128="","",IFERROR(VLOOKUP($L128,day_data!$A:$O,6,FALSE),0)),NA())</f>
        <v>#N/A</v>
      </c>
      <c r="R128" s="8" t="e">
        <f>IF($F$8,IF($L128="","",IFERROR(VLOOKUP($L128,day_data!$A:$O,7,FALSE),0)),NA())</f>
        <v>#N/A</v>
      </c>
      <c r="S128" s="8" t="e">
        <f>IF($F$9,IF($L128="","",IFERROR(VLOOKUP($L128,day_data!$A:$O,8,FALSE),0)),NA())</f>
        <v>#N/A</v>
      </c>
      <c r="T128" s="8" t="e">
        <f>IF($F$10,IF($L128="","",IFERROR(VLOOKUP($L128,day_data!$A:$O,9,FALSE),0)),NA())</f>
        <v>#N/A</v>
      </c>
      <c r="U128" s="8" t="e">
        <f>IF($F$11,IF($L128="","",IFERROR(VLOOKUP($L128,day_data!$A:$O,10,FALSE),0)),NA())</f>
        <v>#N/A</v>
      </c>
      <c r="V128" s="8" t="e">
        <f>IF($F$12,IF($L128="","",IFERROR(VLOOKUP($L128,day_data!$A:$O,11,FALSE),0)),NA())</f>
        <v>#N/A</v>
      </c>
      <c r="W128" s="8" t="e">
        <f>IF($F$13,IF($L128="","",IFERROR(VLOOKUP($L128,day_data!$A:$O,12,FALSE),0)),NA())</f>
        <v>#N/A</v>
      </c>
      <c r="X128" s="10" t="e">
        <f>IF($F$14,IF($L128="","",IFERROR(VLOOKUP($L128,day_data!$A:$O,13,FALSE),0)),NA())</f>
        <v>#N/A</v>
      </c>
      <c r="Y128" s="10" t="e">
        <f>IF($F$15,IF($L128="","",IFERROR(VLOOKUP($L128,day_data!$A:$O,14,FALSE),0)),NA())</f>
        <v>#N/A</v>
      </c>
    </row>
    <row r="129" spans="12:25" x14ac:dyDescent="0.2">
      <c r="L129" s="9" t="str">
        <f t="shared" si="1"/>
        <v/>
      </c>
      <c r="M129" s="8" t="e">
        <f>IF($F$3,IF($L129="","",IFERROR(VLOOKUP($L129,day_data!$A:$O,2,FALSE),0)),NA())</f>
        <v>#N/A</v>
      </c>
      <c r="N129" s="8" t="str">
        <f>IF($F$4,IF($L129="","",IFERROR(VLOOKUP($L129,day_data!$A:$O,3,FALSE),0)),NA())</f>
        <v/>
      </c>
      <c r="O129" s="8" t="e">
        <f>IF($F$5,IF($L129="","",IFERROR(VLOOKUP($L129,day_data!$A:$O,4,FALSE),0)),NA())</f>
        <v>#N/A</v>
      </c>
      <c r="P129" s="8" t="e">
        <f>IF($F$6,IF($L129="","",IFERROR(VLOOKUP($L129,day_data!$A:$O,5,FALSE),0)),NA())</f>
        <v>#N/A</v>
      </c>
      <c r="Q129" s="8" t="e">
        <f>IF($F$7,IF($L129="","",IFERROR(VLOOKUP($L129,day_data!$A:$O,6,FALSE),0)),NA())</f>
        <v>#N/A</v>
      </c>
      <c r="R129" s="8" t="e">
        <f>IF($F$8,IF($L129="","",IFERROR(VLOOKUP($L129,day_data!$A:$O,7,FALSE),0)),NA())</f>
        <v>#N/A</v>
      </c>
      <c r="S129" s="8" t="e">
        <f>IF($F$9,IF($L129="","",IFERROR(VLOOKUP($L129,day_data!$A:$O,8,FALSE),0)),NA())</f>
        <v>#N/A</v>
      </c>
      <c r="T129" s="8" t="e">
        <f>IF($F$10,IF($L129="","",IFERROR(VLOOKUP($L129,day_data!$A:$O,9,FALSE),0)),NA())</f>
        <v>#N/A</v>
      </c>
      <c r="U129" s="8" t="e">
        <f>IF($F$11,IF($L129="","",IFERROR(VLOOKUP($L129,day_data!$A:$O,10,FALSE),0)),NA())</f>
        <v>#N/A</v>
      </c>
      <c r="V129" s="8" t="e">
        <f>IF($F$12,IF($L129="","",IFERROR(VLOOKUP($L129,day_data!$A:$O,11,FALSE),0)),NA())</f>
        <v>#N/A</v>
      </c>
      <c r="W129" s="8" t="e">
        <f>IF($F$13,IF($L129="","",IFERROR(VLOOKUP($L129,day_data!$A:$O,12,FALSE),0)),NA())</f>
        <v>#N/A</v>
      </c>
      <c r="X129" s="10" t="e">
        <f>IF($F$14,IF($L129="","",IFERROR(VLOOKUP($L129,day_data!$A:$O,13,FALSE),0)),NA())</f>
        <v>#N/A</v>
      </c>
      <c r="Y129" s="10" t="e">
        <f>IF($F$15,IF($L129="","",IFERROR(VLOOKUP($L129,day_data!$A:$O,14,FALSE),0)),NA())</f>
        <v>#N/A</v>
      </c>
    </row>
    <row r="130" spans="12:25" x14ac:dyDescent="0.2">
      <c r="L130" s="9" t="str">
        <f t="shared" si="1"/>
        <v/>
      </c>
      <c r="M130" s="8" t="e">
        <f>IF($F$3,IF($L130="","",IFERROR(VLOOKUP($L130,day_data!$A:$O,2,FALSE),0)),NA())</f>
        <v>#N/A</v>
      </c>
      <c r="N130" s="8" t="str">
        <f>IF($F$4,IF($L130="","",IFERROR(VLOOKUP($L130,day_data!$A:$O,3,FALSE),0)),NA())</f>
        <v/>
      </c>
      <c r="O130" s="8" t="e">
        <f>IF($F$5,IF($L130="","",IFERROR(VLOOKUP($L130,day_data!$A:$O,4,FALSE),0)),NA())</f>
        <v>#N/A</v>
      </c>
      <c r="P130" s="8" t="e">
        <f>IF($F$6,IF($L130="","",IFERROR(VLOOKUP($L130,day_data!$A:$O,5,FALSE),0)),NA())</f>
        <v>#N/A</v>
      </c>
      <c r="Q130" s="8" t="e">
        <f>IF($F$7,IF($L130="","",IFERROR(VLOOKUP($L130,day_data!$A:$O,6,FALSE),0)),NA())</f>
        <v>#N/A</v>
      </c>
      <c r="R130" s="8" t="e">
        <f>IF($F$8,IF($L130="","",IFERROR(VLOOKUP($L130,day_data!$A:$O,7,FALSE),0)),NA())</f>
        <v>#N/A</v>
      </c>
      <c r="S130" s="8" t="e">
        <f>IF($F$9,IF($L130="","",IFERROR(VLOOKUP($L130,day_data!$A:$O,8,FALSE),0)),NA())</f>
        <v>#N/A</v>
      </c>
      <c r="T130" s="8" t="e">
        <f>IF($F$10,IF($L130="","",IFERROR(VLOOKUP($L130,day_data!$A:$O,9,FALSE),0)),NA())</f>
        <v>#N/A</v>
      </c>
      <c r="U130" s="8" t="e">
        <f>IF($F$11,IF($L130="","",IFERROR(VLOOKUP($L130,day_data!$A:$O,10,FALSE),0)),NA())</f>
        <v>#N/A</v>
      </c>
      <c r="V130" s="8" t="e">
        <f>IF($F$12,IF($L130="","",IFERROR(VLOOKUP($L130,day_data!$A:$O,11,FALSE),0)),NA())</f>
        <v>#N/A</v>
      </c>
      <c r="W130" s="8" t="e">
        <f>IF($F$13,IF($L130="","",IFERROR(VLOOKUP($L130,day_data!$A:$O,12,FALSE),0)),NA())</f>
        <v>#N/A</v>
      </c>
      <c r="X130" s="10" t="e">
        <f>IF($F$14,IF($L130="","",IFERROR(VLOOKUP($L130,day_data!$A:$O,13,FALSE),0)),NA())</f>
        <v>#N/A</v>
      </c>
      <c r="Y130" s="10" t="e">
        <f>IF($F$15,IF($L130="","",IFERROR(VLOOKUP($L130,day_data!$A:$O,14,FALSE),0)),NA())</f>
        <v>#N/A</v>
      </c>
    </row>
    <row r="131" spans="12:25" x14ac:dyDescent="0.2">
      <c r="L131" s="9" t="str">
        <f t="shared" si="1"/>
        <v/>
      </c>
      <c r="M131" s="8" t="e">
        <f>IF($F$3,IF($L131="","",IFERROR(VLOOKUP($L131,day_data!$A:$O,2,FALSE),0)),NA())</f>
        <v>#N/A</v>
      </c>
      <c r="N131" s="8" t="str">
        <f>IF($F$4,IF($L131="","",IFERROR(VLOOKUP($L131,day_data!$A:$O,3,FALSE),0)),NA())</f>
        <v/>
      </c>
      <c r="O131" s="8" t="e">
        <f>IF($F$5,IF($L131="","",IFERROR(VLOOKUP($L131,day_data!$A:$O,4,FALSE),0)),NA())</f>
        <v>#N/A</v>
      </c>
      <c r="P131" s="8" t="e">
        <f>IF($F$6,IF($L131="","",IFERROR(VLOOKUP($L131,day_data!$A:$O,5,FALSE),0)),NA())</f>
        <v>#N/A</v>
      </c>
      <c r="Q131" s="8" t="e">
        <f>IF($F$7,IF($L131="","",IFERROR(VLOOKUP($L131,day_data!$A:$O,6,FALSE),0)),NA())</f>
        <v>#N/A</v>
      </c>
      <c r="R131" s="8" t="e">
        <f>IF($F$8,IF($L131="","",IFERROR(VLOOKUP($L131,day_data!$A:$O,7,FALSE),0)),NA())</f>
        <v>#N/A</v>
      </c>
      <c r="S131" s="8" t="e">
        <f>IF($F$9,IF($L131="","",IFERROR(VLOOKUP($L131,day_data!$A:$O,8,FALSE),0)),NA())</f>
        <v>#N/A</v>
      </c>
      <c r="T131" s="8" t="e">
        <f>IF($F$10,IF($L131="","",IFERROR(VLOOKUP($L131,day_data!$A:$O,9,FALSE),0)),NA())</f>
        <v>#N/A</v>
      </c>
      <c r="U131" s="8" t="e">
        <f>IF($F$11,IF($L131="","",IFERROR(VLOOKUP($L131,day_data!$A:$O,10,FALSE),0)),NA())</f>
        <v>#N/A</v>
      </c>
      <c r="V131" s="8" t="e">
        <f>IF($F$12,IF($L131="","",IFERROR(VLOOKUP($L131,day_data!$A:$O,11,FALSE),0)),NA())</f>
        <v>#N/A</v>
      </c>
      <c r="W131" s="8" t="e">
        <f>IF($F$13,IF($L131="","",IFERROR(VLOOKUP($L131,day_data!$A:$O,12,FALSE),0)),NA())</f>
        <v>#N/A</v>
      </c>
      <c r="X131" s="10" t="e">
        <f>IF($F$14,IF($L131="","",IFERROR(VLOOKUP($L131,day_data!$A:$O,13,FALSE),0)),NA())</f>
        <v>#N/A</v>
      </c>
      <c r="Y131" s="10" t="e">
        <f>IF($F$15,IF($L131="","",IFERROR(VLOOKUP($L131,day_data!$A:$O,14,FALSE),0)),NA())</f>
        <v>#N/A</v>
      </c>
    </row>
    <row r="132" spans="12:25" x14ac:dyDescent="0.2">
      <c r="L132" s="9" t="str">
        <f t="shared" si="1"/>
        <v/>
      </c>
      <c r="M132" s="8" t="e">
        <f>IF($F$3,IF($L132="","",IFERROR(VLOOKUP($L132,day_data!$A:$O,2,FALSE),0)),NA())</f>
        <v>#N/A</v>
      </c>
      <c r="N132" s="8" t="str">
        <f>IF($F$4,IF($L132="","",IFERROR(VLOOKUP($L132,day_data!$A:$O,3,FALSE),0)),NA())</f>
        <v/>
      </c>
      <c r="O132" s="8" t="e">
        <f>IF($F$5,IF($L132="","",IFERROR(VLOOKUP($L132,day_data!$A:$O,4,FALSE),0)),NA())</f>
        <v>#N/A</v>
      </c>
      <c r="P132" s="8" t="e">
        <f>IF($F$6,IF($L132="","",IFERROR(VLOOKUP($L132,day_data!$A:$O,5,FALSE),0)),NA())</f>
        <v>#N/A</v>
      </c>
      <c r="Q132" s="8" t="e">
        <f>IF($F$7,IF($L132="","",IFERROR(VLOOKUP($L132,day_data!$A:$O,6,FALSE),0)),NA())</f>
        <v>#N/A</v>
      </c>
      <c r="R132" s="8" t="e">
        <f>IF($F$8,IF($L132="","",IFERROR(VLOOKUP($L132,day_data!$A:$O,7,FALSE),0)),NA())</f>
        <v>#N/A</v>
      </c>
      <c r="S132" s="8" t="e">
        <f>IF($F$9,IF($L132="","",IFERROR(VLOOKUP($L132,day_data!$A:$O,8,FALSE),0)),NA())</f>
        <v>#N/A</v>
      </c>
      <c r="T132" s="8" t="e">
        <f>IF($F$10,IF($L132="","",IFERROR(VLOOKUP($L132,day_data!$A:$O,9,FALSE),0)),NA())</f>
        <v>#N/A</v>
      </c>
      <c r="U132" s="8" t="e">
        <f>IF($F$11,IF($L132="","",IFERROR(VLOOKUP($L132,day_data!$A:$O,10,FALSE),0)),NA())</f>
        <v>#N/A</v>
      </c>
      <c r="V132" s="8" t="e">
        <f>IF($F$12,IF($L132="","",IFERROR(VLOOKUP($L132,day_data!$A:$O,11,FALSE),0)),NA())</f>
        <v>#N/A</v>
      </c>
      <c r="W132" s="8" t="e">
        <f>IF($F$13,IF($L132="","",IFERROR(VLOOKUP($L132,day_data!$A:$O,12,FALSE),0)),NA())</f>
        <v>#N/A</v>
      </c>
      <c r="X132" s="10" t="e">
        <f>IF($F$14,IF($L132="","",IFERROR(VLOOKUP($L132,day_data!$A:$O,13,FALSE),0)),NA())</f>
        <v>#N/A</v>
      </c>
      <c r="Y132" s="10" t="e">
        <f>IF($F$15,IF($L132="","",IFERROR(VLOOKUP($L132,day_data!$A:$O,14,FALSE),0)),NA())</f>
        <v>#N/A</v>
      </c>
    </row>
    <row r="133" spans="12:25" x14ac:dyDescent="0.2">
      <c r="L133" s="9" t="str">
        <f t="shared" ref="L133:L196" si="2">IF(ROW(L133)-1&gt;$C$1,"",L132+1)</f>
        <v/>
      </c>
      <c r="M133" s="8" t="e">
        <f>IF($F$3,IF($L133="","",IFERROR(VLOOKUP($L133,day_data!$A:$O,2,FALSE),0)),NA())</f>
        <v>#N/A</v>
      </c>
      <c r="N133" s="8" t="str">
        <f>IF($F$4,IF($L133="","",IFERROR(VLOOKUP($L133,day_data!$A:$O,3,FALSE),0)),NA())</f>
        <v/>
      </c>
      <c r="O133" s="8" t="e">
        <f>IF($F$5,IF($L133="","",IFERROR(VLOOKUP($L133,day_data!$A:$O,4,FALSE),0)),NA())</f>
        <v>#N/A</v>
      </c>
      <c r="P133" s="8" t="e">
        <f>IF($F$6,IF($L133="","",IFERROR(VLOOKUP($L133,day_data!$A:$O,5,FALSE),0)),NA())</f>
        <v>#N/A</v>
      </c>
      <c r="Q133" s="8" t="e">
        <f>IF($F$7,IF($L133="","",IFERROR(VLOOKUP($L133,day_data!$A:$O,6,FALSE),0)),NA())</f>
        <v>#N/A</v>
      </c>
      <c r="R133" s="8" t="e">
        <f>IF($F$8,IF($L133="","",IFERROR(VLOOKUP($L133,day_data!$A:$O,7,FALSE),0)),NA())</f>
        <v>#N/A</v>
      </c>
      <c r="S133" s="8" t="e">
        <f>IF($F$9,IF($L133="","",IFERROR(VLOOKUP($L133,day_data!$A:$O,8,FALSE),0)),NA())</f>
        <v>#N/A</v>
      </c>
      <c r="T133" s="8" t="e">
        <f>IF($F$10,IF($L133="","",IFERROR(VLOOKUP($L133,day_data!$A:$O,9,FALSE),0)),NA())</f>
        <v>#N/A</v>
      </c>
      <c r="U133" s="8" t="e">
        <f>IF($F$11,IF($L133="","",IFERROR(VLOOKUP($L133,day_data!$A:$O,10,FALSE),0)),NA())</f>
        <v>#N/A</v>
      </c>
      <c r="V133" s="8" t="e">
        <f>IF($F$12,IF($L133="","",IFERROR(VLOOKUP($L133,day_data!$A:$O,11,FALSE),0)),NA())</f>
        <v>#N/A</v>
      </c>
      <c r="W133" s="8" t="e">
        <f>IF($F$13,IF($L133="","",IFERROR(VLOOKUP($L133,day_data!$A:$O,12,FALSE),0)),NA())</f>
        <v>#N/A</v>
      </c>
      <c r="X133" s="10" t="e">
        <f>IF($F$14,IF($L133="","",IFERROR(VLOOKUP($L133,day_data!$A:$O,13,FALSE),0)),NA())</f>
        <v>#N/A</v>
      </c>
      <c r="Y133" s="10" t="e">
        <f>IF($F$15,IF($L133="","",IFERROR(VLOOKUP($L133,day_data!$A:$O,14,FALSE),0)),NA())</f>
        <v>#N/A</v>
      </c>
    </row>
    <row r="134" spans="12:25" x14ac:dyDescent="0.2">
      <c r="L134" s="9" t="str">
        <f t="shared" si="2"/>
        <v/>
      </c>
      <c r="M134" s="8" t="e">
        <f>IF($F$3,IF($L134="","",IFERROR(VLOOKUP($L134,day_data!$A:$O,2,FALSE),0)),NA())</f>
        <v>#N/A</v>
      </c>
      <c r="N134" s="8" t="str">
        <f>IF($F$4,IF($L134="","",IFERROR(VLOOKUP($L134,day_data!$A:$O,3,FALSE),0)),NA())</f>
        <v/>
      </c>
      <c r="O134" s="8" t="e">
        <f>IF($F$5,IF($L134="","",IFERROR(VLOOKUP($L134,day_data!$A:$O,4,FALSE),0)),NA())</f>
        <v>#N/A</v>
      </c>
      <c r="P134" s="8" t="e">
        <f>IF($F$6,IF($L134="","",IFERROR(VLOOKUP($L134,day_data!$A:$O,5,FALSE),0)),NA())</f>
        <v>#N/A</v>
      </c>
      <c r="Q134" s="8" t="e">
        <f>IF($F$7,IF($L134="","",IFERROR(VLOOKUP($L134,day_data!$A:$O,6,FALSE),0)),NA())</f>
        <v>#N/A</v>
      </c>
      <c r="R134" s="8" t="e">
        <f>IF($F$8,IF($L134="","",IFERROR(VLOOKUP($L134,day_data!$A:$O,7,FALSE),0)),NA())</f>
        <v>#N/A</v>
      </c>
      <c r="S134" s="8" t="e">
        <f>IF($F$9,IF($L134="","",IFERROR(VLOOKUP($L134,day_data!$A:$O,8,FALSE),0)),NA())</f>
        <v>#N/A</v>
      </c>
      <c r="T134" s="8" t="e">
        <f>IF($F$10,IF($L134="","",IFERROR(VLOOKUP($L134,day_data!$A:$O,9,FALSE),0)),NA())</f>
        <v>#N/A</v>
      </c>
      <c r="U134" s="8" t="e">
        <f>IF($F$11,IF($L134="","",IFERROR(VLOOKUP($L134,day_data!$A:$O,10,FALSE),0)),NA())</f>
        <v>#N/A</v>
      </c>
      <c r="V134" s="8" t="e">
        <f>IF($F$12,IF($L134="","",IFERROR(VLOOKUP($L134,day_data!$A:$O,11,FALSE),0)),NA())</f>
        <v>#N/A</v>
      </c>
      <c r="W134" s="8" t="e">
        <f>IF($F$13,IF($L134="","",IFERROR(VLOOKUP($L134,day_data!$A:$O,12,FALSE),0)),NA())</f>
        <v>#N/A</v>
      </c>
      <c r="X134" s="10" t="e">
        <f>IF($F$14,IF($L134="","",IFERROR(VLOOKUP($L134,day_data!$A:$O,13,FALSE),0)),NA())</f>
        <v>#N/A</v>
      </c>
      <c r="Y134" s="10" t="e">
        <f>IF($F$15,IF($L134="","",IFERROR(VLOOKUP($L134,day_data!$A:$O,14,FALSE),0)),NA())</f>
        <v>#N/A</v>
      </c>
    </row>
    <row r="135" spans="12:25" x14ac:dyDescent="0.2">
      <c r="L135" s="9" t="str">
        <f t="shared" si="2"/>
        <v/>
      </c>
      <c r="M135" s="8" t="e">
        <f>IF($F$3,IF($L135="","",IFERROR(VLOOKUP($L135,day_data!$A:$O,2,FALSE),0)),NA())</f>
        <v>#N/A</v>
      </c>
      <c r="N135" s="8" t="str">
        <f>IF($F$4,IF($L135="","",IFERROR(VLOOKUP($L135,day_data!$A:$O,3,FALSE),0)),NA())</f>
        <v/>
      </c>
      <c r="O135" s="8" t="e">
        <f>IF($F$5,IF($L135="","",IFERROR(VLOOKUP($L135,day_data!$A:$O,4,FALSE),0)),NA())</f>
        <v>#N/A</v>
      </c>
      <c r="P135" s="8" t="e">
        <f>IF($F$6,IF($L135="","",IFERROR(VLOOKUP($L135,day_data!$A:$O,5,FALSE),0)),NA())</f>
        <v>#N/A</v>
      </c>
      <c r="Q135" s="8" t="e">
        <f>IF($F$7,IF($L135="","",IFERROR(VLOOKUP($L135,day_data!$A:$O,6,FALSE),0)),NA())</f>
        <v>#N/A</v>
      </c>
      <c r="R135" s="8" t="e">
        <f>IF($F$8,IF($L135="","",IFERROR(VLOOKUP($L135,day_data!$A:$O,7,FALSE),0)),NA())</f>
        <v>#N/A</v>
      </c>
      <c r="S135" s="8" t="e">
        <f>IF($F$9,IF($L135="","",IFERROR(VLOOKUP($L135,day_data!$A:$O,8,FALSE),0)),NA())</f>
        <v>#N/A</v>
      </c>
      <c r="T135" s="8" t="e">
        <f>IF($F$10,IF($L135="","",IFERROR(VLOOKUP($L135,day_data!$A:$O,9,FALSE),0)),NA())</f>
        <v>#N/A</v>
      </c>
      <c r="U135" s="8" t="e">
        <f>IF($F$11,IF($L135="","",IFERROR(VLOOKUP($L135,day_data!$A:$O,10,FALSE),0)),NA())</f>
        <v>#N/A</v>
      </c>
      <c r="V135" s="8" t="e">
        <f>IF($F$12,IF($L135="","",IFERROR(VLOOKUP($L135,day_data!$A:$O,11,FALSE),0)),NA())</f>
        <v>#N/A</v>
      </c>
      <c r="W135" s="8" t="e">
        <f>IF($F$13,IF($L135="","",IFERROR(VLOOKUP($L135,day_data!$A:$O,12,FALSE),0)),NA())</f>
        <v>#N/A</v>
      </c>
      <c r="X135" s="10" t="e">
        <f>IF($F$14,IF($L135="","",IFERROR(VLOOKUP($L135,day_data!$A:$O,13,FALSE),0)),NA())</f>
        <v>#N/A</v>
      </c>
      <c r="Y135" s="10" t="e">
        <f>IF($F$15,IF($L135="","",IFERROR(VLOOKUP($L135,day_data!$A:$O,14,FALSE),0)),NA())</f>
        <v>#N/A</v>
      </c>
    </row>
    <row r="136" spans="12:25" x14ac:dyDescent="0.2">
      <c r="L136" s="9" t="str">
        <f t="shared" si="2"/>
        <v/>
      </c>
      <c r="M136" s="8" t="e">
        <f>IF($F$3,IF($L136="","",IFERROR(VLOOKUP($L136,day_data!$A:$O,2,FALSE),0)),NA())</f>
        <v>#N/A</v>
      </c>
      <c r="N136" s="8" t="str">
        <f>IF($F$4,IF($L136="","",IFERROR(VLOOKUP($L136,day_data!$A:$O,3,FALSE),0)),NA())</f>
        <v/>
      </c>
      <c r="O136" s="8" t="e">
        <f>IF($F$5,IF($L136="","",IFERROR(VLOOKUP($L136,day_data!$A:$O,4,FALSE),0)),NA())</f>
        <v>#N/A</v>
      </c>
      <c r="P136" s="8" t="e">
        <f>IF($F$6,IF($L136="","",IFERROR(VLOOKUP($L136,day_data!$A:$O,5,FALSE),0)),NA())</f>
        <v>#N/A</v>
      </c>
      <c r="Q136" s="8" t="e">
        <f>IF($F$7,IF($L136="","",IFERROR(VLOOKUP($L136,day_data!$A:$O,6,FALSE),0)),NA())</f>
        <v>#N/A</v>
      </c>
      <c r="R136" s="8" t="e">
        <f>IF($F$8,IF($L136="","",IFERROR(VLOOKUP($L136,day_data!$A:$O,7,FALSE),0)),NA())</f>
        <v>#N/A</v>
      </c>
      <c r="S136" s="8" t="e">
        <f>IF($F$9,IF($L136="","",IFERROR(VLOOKUP($L136,day_data!$A:$O,8,FALSE),0)),NA())</f>
        <v>#N/A</v>
      </c>
      <c r="T136" s="8" t="e">
        <f>IF($F$10,IF($L136="","",IFERROR(VLOOKUP($L136,day_data!$A:$O,9,FALSE),0)),NA())</f>
        <v>#N/A</v>
      </c>
      <c r="U136" s="8" t="e">
        <f>IF($F$11,IF($L136="","",IFERROR(VLOOKUP($L136,day_data!$A:$O,10,FALSE),0)),NA())</f>
        <v>#N/A</v>
      </c>
      <c r="V136" s="8" t="e">
        <f>IF($F$12,IF($L136="","",IFERROR(VLOOKUP($L136,day_data!$A:$O,11,FALSE),0)),NA())</f>
        <v>#N/A</v>
      </c>
      <c r="W136" s="8" t="e">
        <f>IF($F$13,IF($L136="","",IFERROR(VLOOKUP($L136,day_data!$A:$O,12,FALSE),0)),NA())</f>
        <v>#N/A</v>
      </c>
      <c r="X136" s="10" t="e">
        <f>IF($F$14,IF($L136="","",IFERROR(VLOOKUP($L136,day_data!$A:$O,13,FALSE),0)),NA())</f>
        <v>#N/A</v>
      </c>
      <c r="Y136" s="10" t="e">
        <f>IF($F$15,IF($L136="","",IFERROR(VLOOKUP($L136,day_data!$A:$O,14,FALSE),0)),NA())</f>
        <v>#N/A</v>
      </c>
    </row>
    <row r="137" spans="12:25" x14ac:dyDescent="0.2">
      <c r="L137" s="9" t="str">
        <f t="shared" si="2"/>
        <v/>
      </c>
      <c r="M137" s="8" t="e">
        <f>IF($F$3,IF($L137="","",IFERROR(VLOOKUP($L137,day_data!$A:$O,2,FALSE),0)),NA())</f>
        <v>#N/A</v>
      </c>
      <c r="N137" s="8" t="str">
        <f>IF($F$4,IF($L137="","",IFERROR(VLOOKUP($L137,day_data!$A:$O,3,FALSE),0)),NA())</f>
        <v/>
      </c>
      <c r="O137" s="8" t="e">
        <f>IF($F$5,IF($L137="","",IFERROR(VLOOKUP($L137,day_data!$A:$O,4,FALSE),0)),NA())</f>
        <v>#N/A</v>
      </c>
      <c r="P137" s="8" t="e">
        <f>IF($F$6,IF($L137="","",IFERROR(VLOOKUP($L137,day_data!$A:$O,5,FALSE),0)),NA())</f>
        <v>#N/A</v>
      </c>
      <c r="Q137" s="8" t="e">
        <f>IF($F$7,IF($L137="","",IFERROR(VLOOKUP($L137,day_data!$A:$O,6,FALSE),0)),NA())</f>
        <v>#N/A</v>
      </c>
      <c r="R137" s="8" t="e">
        <f>IF($F$8,IF($L137="","",IFERROR(VLOOKUP($L137,day_data!$A:$O,7,FALSE),0)),NA())</f>
        <v>#N/A</v>
      </c>
      <c r="S137" s="8" t="e">
        <f>IF($F$9,IF($L137="","",IFERROR(VLOOKUP($L137,day_data!$A:$O,8,FALSE),0)),NA())</f>
        <v>#N/A</v>
      </c>
      <c r="T137" s="8" t="e">
        <f>IF($F$10,IF($L137="","",IFERROR(VLOOKUP($L137,day_data!$A:$O,9,FALSE),0)),NA())</f>
        <v>#N/A</v>
      </c>
      <c r="U137" s="8" t="e">
        <f>IF($F$11,IF($L137="","",IFERROR(VLOOKUP($L137,day_data!$A:$O,10,FALSE),0)),NA())</f>
        <v>#N/A</v>
      </c>
      <c r="V137" s="8" t="e">
        <f>IF($F$12,IF($L137="","",IFERROR(VLOOKUP($L137,day_data!$A:$O,11,FALSE),0)),NA())</f>
        <v>#N/A</v>
      </c>
      <c r="W137" s="8" t="e">
        <f>IF($F$13,IF($L137="","",IFERROR(VLOOKUP($L137,day_data!$A:$O,12,FALSE),0)),NA())</f>
        <v>#N/A</v>
      </c>
      <c r="X137" s="10" t="e">
        <f>IF($F$14,IF($L137="","",IFERROR(VLOOKUP($L137,day_data!$A:$O,13,FALSE),0)),NA())</f>
        <v>#N/A</v>
      </c>
      <c r="Y137" s="10" t="e">
        <f>IF($F$15,IF($L137="","",IFERROR(VLOOKUP($L137,day_data!$A:$O,14,FALSE),0)),NA())</f>
        <v>#N/A</v>
      </c>
    </row>
    <row r="138" spans="12:25" x14ac:dyDescent="0.2">
      <c r="L138" s="9" t="str">
        <f t="shared" si="2"/>
        <v/>
      </c>
      <c r="M138" s="8" t="e">
        <f>IF($F$3,IF($L138="","",IFERROR(VLOOKUP($L138,day_data!$A:$O,2,FALSE),0)),NA())</f>
        <v>#N/A</v>
      </c>
      <c r="N138" s="8" t="str">
        <f>IF($F$4,IF($L138="","",IFERROR(VLOOKUP($L138,day_data!$A:$O,3,FALSE),0)),NA())</f>
        <v/>
      </c>
      <c r="O138" s="8" t="e">
        <f>IF($F$5,IF($L138="","",IFERROR(VLOOKUP($L138,day_data!$A:$O,4,FALSE),0)),NA())</f>
        <v>#N/A</v>
      </c>
      <c r="P138" s="8" t="e">
        <f>IF($F$6,IF($L138="","",IFERROR(VLOOKUP($L138,day_data!$A:$O,5,FALSE),0)),NA())</f>
        <v>#N/A</v>
      </c>
      <c r="Q138" s="8" t="e">
        <f>IF($F$7,IF($L138="","",IFERROR(VLOOKUP($L138,day_data!$A:$O,6,FALSE),0)),NA())</f>
        <v>#N/A</v>
      </c>
      <c r="R138" s="8" t="e">
        <f>IF($F$8,IF($L138="","",IFERROR(VLOOKUP($L138,day_data!$A:$O,7,FALSE),0)),NA())</f>
        <v>#N/A</v>
      </c>
      <c r="S138" s="8" t="e">
        <f>IF($F$9,IF($L138="","",IFERROR(VLOOKUP($L138,day_data!$A:$O,8,FALSE),0)),NA())</f>
        <v>#N/A</v>
      </c>
      <c r="T138" s="8" t="e">
        <f>IF($F$10,IF($L138="","",IFERROR(VLOOKUP($L138,day_data!$A:$O,9,FALSE),0)),NA())</f>
        <v>#N/A</v>
      </c>
      <c r="U138" s="8" t="e">
        <f>IF($F$11,IF($L138="","",IFERROR(VLOOKUP($L138,day_data!$A:$O,10,FALSE),0)),NA())</f>
        <v>#N/A</v>
      </c>
      <c r="V138" s="8" t="e">
        <f>IF($F$12,IF($L138="","",IFERROR(VLOOKUP($L138,day_data!$A:$O,11,FALSE),0)),NA())</f>
        <v>#N/A</v>
      </c>
      <c r="W138" s="8" t="e">
        <f>IF($F$13,IF($L138="","",IFERROR(VLOOKUP($L138,day_data!$A:$O,12,FALSE),0)),NA())</f>
        <v>#N/A</v>
      </c>
      <c r="X138" s="10" t="e">
        <f>IF($F$14,IF($L138="","",IFERROR(VLOOKUP($L138,day_data!$A:$O,13,FALSE),0)),NA())</f>
        <v>#N/A</v>
      </c>
      <c r="Y138" s="10" t="e">
        <f>IF($F$15,IF($L138="","",IFERROR(VLOOKUP($L138,day_data!$A:$O,14,FALSE),0)),NA())</f>
        <v>#N/A</v>
      </c>
    </row>
    <row r="139" spans="12:25" x14ac:dyDescent="0.2">
      <c r="L139" s="9" t="str">
        <f t="shared" si="2"/>
        <v/>
      </c>
      <c r="M139" s="8" t="e">
        <f>IF($F$3,IF($L139="","",IFERROR(VLOOKUP($L139,day_data!$A:$O,2,FALSE),0)),NA())</f>
        <v>#N/A</v>
      </c>
      <c r="N139" s="8" t="str">
        <f>IF($F$4,IF($L139="","",IFERROR(VLOOKUP($L139,day_data!$A:$O,3,FALSE),0)),NA())</f>
        <v/>
      </c>
      <c r="O139" s="8" t="e">
        <f>IF($F$5,IF($L139="","",IFERROR(VLOOKUP($L139,day_data!$A:$O,4,FALSE),0)),NA())</f>
        <v>#N/A</v>
      </c>
      <c r="P139" s="8" t="e">
        <f>IF($F$6,IF($L139="","",IFERROR(VLOOKUP($L139,day_data!$A:$O,5,FALSE),0)),NA())</f>
        <v>#N/A</v>
      </c>
      <c r="Q139" s="8" t="e">
        <f>IF($F$7,IF($L139="","",IFERROR(VLOOKUP($L139,day_data!$A:$O,6,FALSE),0)),NA())</f>
        <v>#N/A</v>
      </c>
      <c r="R139" s="8" t="e">
        <f>IF($F$8,IF($L139="","",IFERROR(VLOOKUP($L139,day_data!$A:$O,7,FALSE),0)),NA())</f>
        <v>#N/A</v>
      </c>
      <c r="S139" s="8" t="e">
        <f>IF($F$9,IF($L139="","",IFERROR(VLOOKUP($L139,day_data!$A:$O,8,FALSE),0)),NA())</f>
        <v>#N/A</v>
      </c>
      <c r="T139" s="8" t="e">
        <f>IF($F$10,IF($L139="","",IFERROR(VLOOKUP($L139,day_data!$A:$O,9,FALSE),0)),NA())</f>
        <v>#N/A</v>
      </c>
      <c r="U139" s="8" t="e">
        <f>IF($F$11,IF($L139="","",IFERROR(VLOOKUP($L139,day_data!$A:$O,10,FALSE),0)),NA())</f>
        <v>#N/A</v>
      </c>
      <c r="V139" s="8" t="e">
        <f>IF($F$12,IF($L139="","",IFERROR(VLOOKUP($L139,day_data!$A:$O,11,FALSE),0)),NA())</f>
        <v>#N/A</v>
      </c>
      <c r="W139" s="8" t="e">
        <f>IF($F$13,IF($L139="","",IFERROR(VLOOKUP($L139,day_data!$A:$O,12,FALSE),0)),NA())</f>
        <v>#N/A</v>
      </c>
      <c r="X139" s="10" t="e">
        <f>IF($F$14,IF($L139="","",IFERROR(VLOOKUP($L139,day_data!$A:$O,13,FALSE),0)),NA())</f>
        <v>#N/A</v>
      </c>
      <c r="Y139" s="10" t="e">
        <f>IF($F$15,IF($L139="","",IFERROR(VLOOKUP($L139,day_data!$A:$O,14,FALSE),0)),NA())</f>
        <v>#N/A</v>
      </c>
    </row>
    <row r="140" spans="12:25" x14ac:dyDescent="0.2">
      <c r="L140" s="9" t="str">
        <f t="shared" si="2"/>
        <v/>
      </c>
      <c r="M140" s="8" t="e">
        <f>IF($F$3,IF($L140="","",IFERROR(VLOOKUP($L140,day_data!$A:$O,2,FALSE),0)),NA())</f>
        <v>#N/A</v>
      </c>
      <c r="N140" s="8" t="str">
        <f>IF($F$4,IF($L140="","",IFERROR(VLOOKUP($L140,day_data!$A:$O,3,FALSE),0)),NA())</f>
        <v/>
      </c>
      <c r="O140" s="8" t="e">
        <f>IF($F$5,IF($L140="","",IFERROR(VLOOKUP($L140,day_data!$A:$O,4,FALSE),0)),NA())</f>
        <v>#N/A</v>
      </c>
      <c r="P140" s="8" t="e">
        <f>IF($F$6,IF($L140="","",IFERROR(VLOOKUP($L140,day_data!$A:$O,5,FALSE),0)),NA())</f>
        <v>#N/A</v>
      </c>
      <c r="Q140" s="8" t="e">
        <f>IF($F$7,IF($L140="","",IFERROR(VLOOKUP($L140,day_data!$A:$O,6,FALSE),0)),NA())</f>
        <v>#N/A</v>
      </c>
      <c r="R140" s="8" t="e">
        <f>IF($F$8,IF($L140="","",IFERROR(VLOOKUP($L140,day_data!$A:$O,7,FALSE),0)),NA())</f>
        <v>#N/A</v>
      </c>
      <c r="S140" s="8" t="e">
        <f>IF($F$9,IF($L140="","",IFERROR(VLOOKUP($L140,day_data!$A:$O,8,FALSE),0)),NA())</f>
        <v>#N/A</v>
      </c>
      <c r="T140" s="8" t="e">
        <f>IF($F$10,IF($L140="","",IFERROR(VLOOKUP($L140,day_data!$A:$O,9,FALSE),0)),NA())</f>
        <v>#N/A</v>
      </c>
      <c r="U140" s="8" t="e">
        <f>IF($F$11,IF($L140="","",IFERROR(VLOOKUP($L140,day_data!$A:$O,10,FALSE),0)),NA())</f>
        <v>#N/A</v>
      </c>
      <c r="V140" s="8" t="e">
        <f>IF($F$12,IF($L140="","",IFERROR(VLOOKUP($L140,day_data!$A:$O,11,FALSE),0)),NA())</f>
        <v>#N/A</v>
      </c>
      <c r="W140" s="8" t="e">
        <f>IF($F$13,IF($L140="","",IFERROR(VLOOKUP($L140,day_data!$A:$O,12,FALSE),0)),NA())</f>
        <v>#N/A</v>
      </c>
      <c r="X140" s="10" t="e">
        <f>IF($F$14,IF($L140="","",IFERROR(VLOOKUP($L140,day_data!$A:$O,13,FALSE),0)),NA())</f>
        <v>#N/A</v>
      </c>
      <c r="Y140" s="10" t="e">
        <f>IF($F$15,IF($L140="","",IFERROR(VLOOKUP($L140,day_data!$A:$O,14,FALSE),0)),NA())</f>
        <v>#N/A</v>
      </c>
    </row>
    <row r="141" spans="12:25" x14ac:dyDescent="0.2">
      <c r="L141" s="9" t="str">
        <f t="shared" si="2"/>
        <v/>
      </c>
      <c r="M141" s="8" t="e">
        <f>IF($F$3,IF($L141="","",IFERROR(VLOOKUP($L141,day_data!$A:$O,2,FALSE),0)),NA())</f>
        <v>#N/A</v>
      </c>
      <c r="N141" s="8" t="str">
        <f>IF($F$4,IF($L141="","",IFERROR(VLOOKUP($L141,day_data!$A:$O,3,FALSE),0)),NA())</f>
        <v/>
      </c>
      <c r="O141" s="8" t="e">
        <f>IF($F$5,IF($L141="","",IFERROR(VLOOKUP($L141,day_data!$A:$O,4,FALSE),0)),NA())</f>
        <v>#N/A</v>
      </c>
      <c r="P141" s="8" t="e">
        <f>IF($F$6,IF($L141="","",IFERROR(VLOOKUP($L141,day_data!$A:$O,5,FALSE),0)),NA())</f>
        <v>#N/A</v>
      </c>
      <c r="Q141" s="8" t="e">
        <f>IF($F$7,IF($L141="","",IFERROR(VLOOKUP($L141,day_data!$A:$O,6,FALSE),0)),NA())</f>
        <v>#N/A</v>
      </c>
      <c r="R141" s="8" t="e">
        <f>IF($F$8,IF($L141="","",IFERROR(VLOOKUP($L141,day_data!$A:$O,7,FALSE),0)),NA())</f>
        <v>#N/A</v>
      </c>
      <c r="S141" s="8" t="e">
        <f>IF($F$9,IF($L141="","",IFERROR(VLOOKUP($L141,day_data!$A:$O,8,FALSE),0)),NA())</f>
        <v>#N/A</v>
      </c>
      <c r="T141" s="8" t="e">
        <f>IF($F$10,IF($L141="","",IFERROR(VLOOKUP($L141,day_data!$A:$O,9,FALSE),0)),NA())</f>
        <v>#N/A</v>
      </c>
      <c r="U141" s="8" t="e">
        <f>IF($F$11,IF($L141="","",IFERROR(VLOOKUP($L141,day_data!$A:$O,10,FALSE),0)),NA())</f>
        <v>#N/A</v>
      </c>
      <c r="V141" s="8" t="e">
        <f>IF($F$12,IF($L141="","",IFERROR(VLOOKUP($L141,day_data!$A:$O,11,FALSE),0)),NA())</f>
        <v>#N/A</v>
      </c>
      <c r="W141" s="8" t="e">
        <f>IF($F$13,IF($L141="","",IFERROR(VLOOKUP($L141,day_data!$A:$O,12,FALSE),0)),NA())</f>
        <v>#N/A</v>
      </c>
      <c r="X141" s="10" t="e">
        <f>IF($F$14,IF($L141="","",IFERROR(VLOOKUP($L141,day_data!$A:$O,13,FALSE),0)),NA())</f>
        <v>#N/A</v>
      </c>
      <c r="Y141" s="10" t="e">
        <f>IF($F$15,IF($L141="","",IFERROR(VLOOKUP($L141,day_data!$A:$O,14,FALSE),0)),NA())</f>
        <v>#N/A</v>
      </c>
    </row>
    <row r="142" spans="12:25" x14ac:dyDescent="0.2">
      <c r="L142" s="9" t="str">
        <f t="shared" si="2"/>
        <v/>
      </c>
      <c r="M142" s="8" t="e">
        <f>IF($F$3,IF($L142="","",IFERROR(VLOOKUP($L142,day_data!$A:$O,2,FALSE),0)),NA())</f>
        <v>#N/A</v>
      </c>
      <c r="N142" s="8" t="str">
        <f>IF($F$4,IF($L142="","",IFERROR(VLOOKUP($L142,day_data!$A:$O,3,FALSE),0)),NA())</f>
        <v/>
      </c>
      <c r="O142" s="8" t="e">
        <f>IF($F$5,IF($L142="","",IFERROR(VLOOKUP($L142,day_data!$A:$O,4,FALSE),0)),NA())</f>
        <v>#N/A</v>
      </c>
      <c r="P142" s="8" t="e">
        <f>IF($F$6,IF($L142="","",IFERROR(VLOOKUP($L142,day_data!$A:$O,5,FALSE),0)),NA())</f>
        <v>#N/A</v>
      </c>
      <c r="Q142" s="8" t="e">
        <f>IF($F$7,IF($L142="","",IFERROR(VLOOKUP($L142,day_data!$A:$O,6,FALSE),0)),NA())</f>
        <v>#N/A</v>
      </c>
      <c r="R142" s="8" t="e">
        <f>IF($F$8,IF($L142="","",IFERROR(VLOOKUP($L142,day_data!$A:$O,7,FALSE),0)),NA())</f>
        <v>#N/A</v>
      </c>
      <c r="S142" s="8" t="e">
        <f>IF($F$9,IF($L142="","",IFERROR(VLOOKUP($L142,day_data!$A:$O,8,FALSE),0)),NA())</f>
        <v>#N/A</v>
      </c>
      <c r="T142" s="8" t="e">
        <f>IF($F$10,IF($L142="","",IFERROR(VLOOKUP($L142,day_data!$A:$O,9,FALSE),0)),NA())</f>
        <v>#N/A</v>
      </c>
      <c r="U142" s="8" t="e">
        <f>IF($F$11,IF($L142="","",IFERROR(VLOOKUP($L142,day_data!$A:$O,10,FALSE),0)),NA())</f>
        <v>#N/A</v>
      </c>
      <c r="V142" s="8" t="e">
        <f>IF($F$12,IF($L142="","",IFERROR(VLOOKUP($L142,day_data!$A:$O,11,FALSE),0)),NA())</f>
        <v>#N/A</v>
      </c>
      <c r="W142" s="8" t="e">
        <f>IF($F$13,IF($L142="","",IFERROR(VLOOKUP($L142,day_data!$A:$O,12,FALSE),0)),NA())</f>
        <v>#N/A</v>
      </c>
      <c r="X142" s="10" t="e">
        <f>IF($F$14,IF($L142="","",IFERROR(VLOOKUP($L142,day_data!$A:$O,13,FALSE),0)),NA())</f>
        <v>#N/A</v>
      </c>
      <c r="Y142" s="10" t="e">
        <f>IF($F$15,IF($L142="","",IFERROR(VLOOKUP($L142,day_data!$A:$O,14,FALSE),0)),NA())</f>
        <v>#N/A</v>
      </c>
    </row>
    <row r="143" spans="12:25" x14ac:dyDescent="0.2">
      <c r="L143" s="9" t="str">
        <f t="shared" si="2"/>
        <v/>
      </c>
      <c r="M143" s="8" t="e">
        <f>IF($F$3,IF($L143="","",IFERROR(VLOOKUP($L143,day_data!$A:$O,2,FALSE),0)),NA())</f>
        <v>#N/A</v>
      </c>
      <c r="N143" s="8" t="str">
        <f>IF($F$4,IF($L143="","",IFERROR(VLOOKUP($L143,day_data!$A:$O,3,FALSE),0)),NA())</f>
        <v/>
      </c>
      <c r="O143" s="8" t="e">
        <f>IF($F$5,IF($L143="","",IFERROR(VLOOKUP($L143,day_data!$A:$O,4,FALSE),0)),NA())</f>
        <v>#N/A</v>
      </c>
      <c r="P143" s="8" t="e">
        <f>IF($F$6,IF($L143="","",IFERROR(VLOOKUP($L143,day_data!$A:$O,5,FALSE),0)),NA())</f>
        <v>#N/A</v>
      </c>
      <c r="Q143" s="8" t="e">
        <f>IF($F$7,IF($L143="","",IFERROR(VLOOKUP($L143,day_data!$A:$O,6,FALSE),0)),NA())</f>
        <v>#N/A</v>
      </c>
      <c r="R143" s="8" t="e">
        <f>IF($F$8,IF($L143="","",IFERROR(VLOOKUP($L143,day_data!$A:$O,7,FALSE),0)),NA())</f>
        <v>#N/A</v>
      </c>
      <c r="S143" s="8" t="e">
        <f>IF($F$9,IF($L143="","",IFERROR(VLOOKUP($L143,day_data!$A:$O,8,FALSE),0)),NA())</f>
        <v>#N/A</v>
      </c>
      <c r="T143" s="8" t="e">
        <f>IF($F$10,IF($L143="","",IFERROR(VLOOKUP($L143,day_data!$A:$O,9,FALSE),0)),NA())</f>
        <v>#N/A</v>
      </c>
      <c r="U143" s="8" t="e">
        <f>IF($F$11,IF($L143="","",IFERROR(VLOOKUP($L143,day_data!$A:$O,10,FALSE),0)),NA())</f>
        <v>#N/A</v>
      </c>
      <c r="V143" s="8" t="e">
        <f>IF($F$12,IF($L143="","",IFERROR(VLOOKUP($L143,day_data!$A:$O,11,FALSE),0)),NA())</f>
        <v>#N/A</v>
      </c>
      <c r="W143" s="8" t="e">
        <f>IF($F$13,IF($L143="","",IFERROR(VLOOKUP($L143,day_data!$A:$O,12,FALSE),0)),NA())</f>
        <v>#N/A</v>
      </c>
      <c r="X143" s="10" t="e">
        <f>IF($F$14,IF($L143="","",IFERROR(VLOOKUP($L143,day_data!$A:$O,13,FALSE),0)),NA())</f>
        <v>#N/A</v>
      </c>
      <c r="Y143" s="10" t="e">
        <f>IF($F$15,IF($L143="","",IFERROR(VLOOKUP($L143,day_data!$A:$O,14,FALSE),0)),NA())</f>
        <v>#N/A</v>
      </c>
    </row>
    <row r="144" spans="12:25" x14ac:dyDescent="0.2">
      <c r="L144" s="9" t="str">
        <f t="shared" si="2"/>
        <v/>
      </c>
      <c r="M144" s="8" t="e">
        <f>IF($F$3,IF($L144="","",IFERROR(VLOOKUP($L144,day_data!$A:$O,2,FALSE),0)),NA())</f>
        <v>#N/A</v>
      </c>
      <c r="N144" s="8" t="str">
        <f>IF($F$4,IF($L144="","",IFERROR(VLOOKUP($L144,day_data!$A:$O,3,FALSE),0)),NA())</f>
        <v/>
      </c>
      <c r="O144" s="8" t="e">
        <f>IF($F$5,IF($L144="","",IFERROR(VLOOKUP($L144,day_data!$A:$O,4,FALSE),0)),NA())</f>
        <v>#N/A</v>
      </c>
      <c r="P144" s="8" t="e">
        <f>IF($F$6,IF($L144="","",IFERROR(VLOOKUP($L144,day_data!$A:$O,5,FALSE),0)),NA())</f>
        <v>#N/A</v>
      </c>
      <c r="Q144" s="8" t="e">
        <f>IF($F$7,IF($L144="","",IFERROR(VLOOKUP($L144,day_data!$A:$O,6,FALSE),0)),NA())</f>
        <v>#N/A</v>
      </c>
      <c r="R144" s="8" t="e">
        <f>IF($F$8,IF($L144="","",IFERROR(VLOOKUP($L144,day_data!$A:$O,7,FALSE),0)),NA())</f>
        <v>#N/A</v>
      </c>
      <c r="S144" s="8" t="e">
        <f>IF($F$9,IF($L144="","",IFERROR(VLOOKUP($L144,day_data!$A:$O,8,FALSE),0)),NA())</f>
        <v>#N/A</v>
      </c>
      <c r="T144" s="8" t="e">
        <f>IF($F$10,IF($L144="","",IFERROR(VLOOKUP($L144,day_data!$A:$O,9,FALSE),0)),NA())</f>
        <v>#N/A</v>
      </c>
      <c r="U144" s="8" t="e">
        <f>IF($F$11,IF($L144="","",IFERROR(VLOOKUP($L144,day_data!$A:$O,10,FALSE),0)),NA())</f>
        <v>#N/A</v>
      </c>
      <c r="V144" s="8" t="e">
        <f>IF($F$12,IF($L144="","",IFERROR(VLOOKUP($L144,day_data!$A:$O,11,FALSE),0)),NA())</f>
        <v>#N/A</v>
      </c>
      <c r="W144" s="8" t="e">
        <f>IF($F$13,IF($L144="","",IFERROR(VLOOKUP($L144,day_data!$A:$O,12,FALSE),0)),NA())</f>
        <v>#N/A</v>
      </c>
      <c r="X144" s="10" t="e">
        <f>IF($F$14,IF($L144="","",IFERROR(VLOOKUP($L144,day_data!$A:$O,13,FALSE),0)),NA())</f>
        <v>#N/A</v>
      </c>
      <c r="Y144" s="10" t="e">
        <f>IF($F$15,IF($L144="","",IFERROR(VLOOKUP($L144,day_data!$A:$O,14,FALSE),0)),NA())</f>
        <v>#N/A</v>
      </c>
    </row>
    <row r="145" spans="12:25" x14ac:dyDescent="0.2">
      <c r="L145" s="9" t="str">
        <f t="shared" si="2"/>
        <v/>
      </c>
      <c r="M145" s="8" t="e">
        <f>IF($F$3,IF($L145="","",IFERROR(VLOOKUP($L145,day_data!$A:$O,2,FALSE),0)),NA())</f>
        <v>#N/A</v>
      </c>
      <c r="N145" s="8" t="str">
        <f>IF($F$4,IF($L145="","",IFERROR(VLOOKUP($L145,day_data!$A:$O,3,FALSE),0)),NA())</f>
        <v/>
      </c>
      <c r="O145" s="8" t="e">
        <f>IF($F$5,IF($L145="","",IFERROR(VLOOKUP($L145,day_data!$A:$O,4,FALSE),0)),NA())</f>
        <v>#N/A</v>
      </c>
      <c r="P145" s="8" t="e">
        <f>IF($F$6,IF($L145="","",IFERROR(VLOOKUP($L145,day_data!$A:$O,5,FALSE),0)),NA())</f>
        <v>#N/A</v>
      </c>
      <c r="Q145" s="8" t="e">
        <f>IF($F$7,IF($L145="","",IFERROR(VLOOKUP($L145,day_data!$A:$O,6,FALSE),0)),NA())</f>
        <v>#N/A</v>
      </c>
      <c r="R145" s="8" t="e">
        <f>IF($F$8,IF($L145="","",IFERROR(VLOOKUP($L145,day_data!$A:$O,7,FALSE),0)),NA())</f>
        <v>#N/A</v>
      </c>
      <c r="S145" s="8" t="e">
        <f>IF($F$9,IF($L145="","",IFERROR(VLOOKUP($L145,day_data!$A:$O,8,FALSE),0)),NA())</f>
        <v>#N/A</v>
      </c>
      <c r="T145" s="8" t="e">
        <f>IF($F$10,IF($L145="","",IFERROR(VLOOKUP($L145,day_data!$A:$O,9,FALSE),0)),NA())</f>
        <v>#N/A</v>
      </c>
      <c r="U145" s="8" t="e">
        <f>IF($F$11,IF($L145="","",IFERROR(VLOOKUP($L145,day_data!$A:$O,10,FALSE),0)),NA())</f>
        <v>#N/A</v>
      </c>
      <c r="V145" s="8" t="e">
        <f>IF($F$12,IF($L145="","",IFERROR(VLOOKUP($L145,day_data!$A:$O,11,FALSE),0)),NA())</f>
        <v>#N/A</v>
      </c>
      <c r="W145" s="8" t="e">
        <f>IF($F$13,IF($L145="","",IFERROR(VLOOKUP($L145,day_data!$A:$O,12,FALSE),0)),NA())</f>
        <v>#N/A</v>
      </c>
      <c r="X145" s="10" t="e">
        <f>IF($F$14,IF($L145="","",IFERROR(VLOOKUP($L145,day_data!$A:$O,13,FALSE),0)),NA())</f>
        <v>#N/A</v>
      </c>
      <c r="Y145" s="10" t="e">
        <f>IF($F$15,IF($L145="","",IFERROR(VLOOKUP($L145,day_data!$A:$O,14,FALSE),0)),NA())</f>
        <v>#N/A</v>
      </c>
    </row>
    <row r="146" spans="12:25" x14ac:dyDescent="0.2">
      <c r="L146" s="9" t="str">
        <f t="shared" si="2"/>
        <v/>
      </c>
      <c r="M146" s="8" t="e">
        <f>IF($F$3,IF($L146="","",IFERROR(VLOOKUP($L146,day_data!$A:$O,2,FALSE),0)),NA())</f>
        <v>#N/A</v>
      </c>
      <c r="N146" s="8" t="str">
        <f>IF($F$4,IF($L146="","",IFERROR(VLOOKUP($L146,day_data!$A:$O,3,FALSE),0)),NA())</f>
        <v/>
      </c>
      <c r="O146" s="8" t="e">
        <f>IF($F$5,IF($L146="","",IFERROR(VLOOKUP($L146,day_data!$A:$O,4,FALSE),0)),NA())</f>
        <v>#N/A</v>
      </c>
      <c r="P146" s="8" t="e">
        <f>IF($F$6,IF($L146="","",IFERROR(VLOOKUP($L146,day_data!$A:$O,5,FALSE),0)),NA())</f>
        <v>#N/A</v>
      </c>
      <c r="Q146" s="8" t="e">
        <f>IF($F$7,IF($L146="","",IFERROR(VLOOKUP($L146,day_data!$A:$O,6,FALSE),0)),NA())</f>
        <v>#N/A</v>
      </c>
      <c r="R146" s="8" t="e">
        <f>IF($F$8,IF($L146="","",IFERROR(VLOOKUP($L146,day_data!$A:$O,7,FALSE),0)),NA())</f>
        <v>#N/A</v>
      </c>
      <c r="S146" s="8" t="e">
        <f>IF($F$9,IF($L146="","",IFERROR(VLOOKUP($L146,day_data!$A:$O,8,FALSE),0)),NA())</f>
        <v>#N/A</v>
      </c>
      <c r="T146" s="8" t="e">
        <f>IF($F$10,IF($L146="","",IFERROR(VLOOKUP($L146,day_data!$A:$O,9,FALSE),0)),NA())</f>
        <v>#N/A</v>
      </c>
      <c r="U146" s="8" t="e">
        <f>IF($F$11,IF($L146="","",IFERROR(VLOOKUP($L146,day_data!$A:$O,10,FALSE),0)),NA())</f>
        <v>#N/A</v>
      </c>
      <c r="V146" s="8" t="e">
        <f>IF($F$12,IF($L146="","",IFERROR(VLOOKUP($L146,day_data!$A:$O,11,FALSE),0)),NA())</f>
        <v>#N/A</v>
      </c>
      <c r="W146" s="8" t="e">
        <f>IF($F$13,IF($L146="","",IFERROR(VLOOKUP($L146,day_data!$A:$O,12,FALSE),0)),NA())</f>
        <v>#N/A</v>
      </c>
      <c r="X146" s="10" t="e">
        <f>IF($F$14,IF($L146="","",IFERROR(VLOOKUP($L146,day_data!$A:$O,13,FALSE),0)),NA())</f>
        <v>#N/A</v>
      </c>
      <c r="Y146" s="10" t="e">
        <f>IF($F$15,IF($L146="","",IFERROR(VLOOKUP($L146,day_data!$A:$O,14,FALSE),0)),NA())</f>
        <v>#N/A</v>
      </c>
    </row>
    <row r="147" spans="12:25" x14ac:dyDescent="0.2">
      <c r="L147" s="9" t="str">
        <f t="shared" si="2"/>
        <v/>
      </c>
      <c r="M147" s="8" t="e">
        <f>IF($F$3,IF($L147="","",IFERROR(VLOOKUP($L147,day_data!$A:$O,2,FALSE),0)),NA())</f>
        <v>#N/A</v>
      </c>
      <c r="N147" s="8" t="str">
        <f>IF($F$4,IF($L147="","",IFERROR(VLOOKUP($L147,day_data!$A:$O,3,FALSE),0)),NA())</f>
        <v/>
      </c>
      <c r="O147" s="8" t="e">
        <f>IF($F$5,IF($L147="","",IFERROR(VLOOKUP($L147,day_data!$A:$O,4,FALSE),0)),NA())</f>
        <v>#N/A</v>
      </c>
      <c r="P147" s="8" t="e">
        <f>IF($F$6,IF($L147="","",IFERROR(VLOOKUP($L147,day_data!$A:$O,5,FALSE),0)),NA())</f>
        <v>#N/A</v>
      </c>
      <c r="Q147" s="8" t="e">
        <f>IF($F$7,IF($L147="","",IFERROR(VLOOKUP($L147,day_data!$A:$O,6,FALSE),0)),NA())</f>
        <v>#N/A</v>
      </c>
      <c r="R147" s="8" t="e">
        <f>IF($F$8,IF($L147="","",IFERROR(VLOOKUP($L147,day_data!$A:$O,7,FALSE),0)),NA())</f>
        <v>#N/A</v>
      </c>
      <c r="S147" s="8" t="e">
        <f>IF($F$9,IF($L147="","",IFERROR(VLOOKUP($L147,day_data!$A:$O,8,FALSE),0)),NA())</f>
        <v>#N/A</v>
      </c>
      <c r="T147" s="8" t="e">
        <f>IF($F$10,IF($L147="","",IFERROR(VLOOKUP($L147,day_data!$A:$O,9,FALSE),0)),NA())</f>
        <v>#N/A</v>
      </c>
      <c r="U147" s="8" t="e">
        <f>IF($F$11,IF($L147="","",IFERROR(VLOOKUP($L147,day_data!$A:$O,10,FALSE),0)),NA())</f>
        <v>#N/A</v>
      </c>
      <c r="V147" s="8" t="e">
        <f>IF($F$12,IF($L147="","",IFERROR(VLOOKUP($L147,day_data!$A:$O,11,FALSE),0)),NA())</f>
        <v>#N/A</v>
      </c>
      <c r="W147" s="8" t="e">
        <f>IF($F$13,IF($L147="","",IFERROR(VLOOKUP($L147,day_data!$A:$O,12,FALSE),0)),NA())</f>
        <v>#N/A</v>
      </c>
      <c r="X147" s="10" t="e">
        <f>IF($F$14,IF($L147="","",IFERROR(VLOOKUP($L147,day_data!$A:$O,13,FALSE),0)),NA())</f>
        <v>#N/A</v>
      </c>
      <c r="Y147" s="10" t="e">
        <f>IF($F$15,IF($L147="","",IFERROR(VLOOKUP($L147,day_data!$A:$O,14,FALSE),0)),NA())</f>
        <v>#N/A</v>
      </c>
    </row>
    <row r="148" spans="12:25" x14ac:dyDescent="0.2">
      <c r="L148" s="9" t="str">
        <f t="shared" si="2"/>
        <v/>
      </c>
      <c r="M148" s="8" t="e">
        <f>IF($F$3,IF($L148="","",IFERROR(VLOOKUP($L148,day_data!$A:$O,2,FALSE),0)),NA())</f>
        <v>#N/A</v>
      </c>
      <c r="N148" s="8" t="str">
        <f>IF($F$4,IF($L148="","",IFERROR(VLOOKUP($L148,day_data!$A:$O,3,FALSE),0)),NA())</f>
        <v/>
      </c>
      <c r="O148" s="8" t="e">
        <f>IF($F$5,IF($L148="","",IFERROR(VLOOKUP($L148,day_data!$A:$O,4,FALSE),0)),NA())</f>
        <v>#N/A</v>
      </c>
      <c r="P148" s="8" t="e">
        <f>IF($F$6,IF($L148="","",IFERROR(VLOOKUP($L148,day_data!$A:$O,5,FALSE),0)),NA())</f>
        <v>#N/A</v>
      </c>
      <c r="Q148" s="8" t="e">
        <f>IF($F$7,IF($L148="","",IFERROR(VLOOKUP($L148,day_data!$A:$O,6,FALSE),0)),NA())</f>
        <v>#N/A</v>
      </c>
      <c r="R148" s="8" t="e">
        <f>IF($F$8,IF($L148="","",IFERROR(VLOOKUP($L148,day_data!$A:$O,7,FALSE),0)),NA())</f>
        <v>#N/A</v>
      </c>
      <c r="S148" s="8" t="e">
        <f>IF($F$9,IF($L148="","",IFERROR(VLOOKUP($L148,day_data!$A:$O,8,FALSE),0)),NA())</f>
        <v>#N/A</v>
      </c>
      <c r="T148" s="8" t="e">
        <f>IF($F$10,IF($L148="","",IFERROR(VLOOKUP($L148,day_data!$A:$O,9,FALSE),0)),NA())</f>
        <v>#N/A</v>
      </c>
      <c r="U148" s="8" t="e">
        <f>IF($F$11,IF($L148="","",IFERROR(VLOOKUP($L148,day_data!$A:$O,10,FALSE),0)),NA())</f>
        <v>#N/A</v>
      </c>
      <c r="V148" s="8" t="e">
        <f>IF($F$12,IF($L148="","",IFERROR(VLOOKUP($L148,day_data!$A:$O,11,FALSE),0)),NA())</f>
        <v>#N/A</v>
      </c>
      <c r="W148" s="8" t="e">
        <f>IF($F$13,IF($L148="","",IFERROR(VLOOKUP($L148,day_data!$A:$O,12,FALSE),0)),NA())</f>
        <v>#N/A</v>
      </c>
      <c r="X148" s="10" t="e">
        <f>IF($F$14,IF($L148="","",IFERROR(VLOOKUP($L148,day_data!$A:$O,13,FALSE),0)),NA())</f>
        <v>#N/A</v>
      </c>
      <c r="Y148" s="10" t="e">
        <f>IF($F$15,IF($L148="","",IFERROR(VLOOKUP($L148,day_data!$A:$O,14,FALSE),0)),NA())</f>
        <v>#N/A</v>
      </c>
    </row>
    <row r="149" spans="12:25" x14ac:dyDescent="0.2">
      <c r="L149" s="9" t="str">
        <f t="shared" si="2"/>
        <v/>
      </c>
      <c r="M149" s="8" t="e">
        <f>IF($F$3,IF($L149="","",IFERROR(VLOOKUP($L149,day_data!$A:$O,2,FALSE),0)),NA())</f>
        <v>#N/A</v>
      </c>
      <c r="N149" s="8" t="str">
        <f>IF($F$4,IF($L149="","",IFERROR(VLOOKUP($L149,day_data!$A:$O,3,FALSE),0)),NA())</f>
        <v/>
      </c>
      <c r="O149" s="8" t="e">
        <f>IF($F$5,IF($L149="","",IFERROR(VLOOKUP($L149,day_data!$A:$O,4,FALSE),0)),NA())</f>
        <v>#N/A</v>
      </c>
      <c r="P149" s="8" t="e">
        <f>IF($F$6,IF($L149="","",IFERROR(VLOOKUP($L149,day_data!$A:$O,5,FALSE),0)),NA())</f>
        <v>#N/A</v>
      </c>
      <c r="Q149" s="8" t="e">
        <f>IF($F$7,IF($L149="","",IFERROR(VLOOKUP($L149,day_data!$A:$O,6,FALSE),0)),NA())</f>
        <v>#N/A</v>
      </c>
      <c r="R149" s="8" t="e">
        <f>IF($F$8,IF($L149="","",IFERROR(VLOOKUP($L149,day_data!$A:$O,7,FALSE),0)),NA())</f>
        <v>#N/A</v>
      </c>
      <c r="S149" s="8" t="e">
        <f>IF($F$9,IF($L149="","",IFERROR(VLOOKUP($L149,day_data!$A:$O,8,FALSE),0)),NA())</f>
        <v>#N/A</v>
      </c>
      <c r="T149" s="8" t="e">
        <f>IF($F$10,IF($L149="","",IFERROR(VLOOKUP($L149,day_data!$A:$O,9,FALSE),0)),NA())</f>
        <v>#N/A</v>
      </c>
      <c r="U149" s="8" t="e">
        <f>IF($F$11,IF($L149="","",IFERROR(VLOOKUP($L149,day_data!$A:$O,10,FALSE),0)),NA())</f>
        <v>#N/A</v>
      </c>
      <c r="V149" s="8" t="e">
        <f>IF($F$12,IF($L149="","",IFERROR(VLOOKUP($L149,day_data!$A:$O,11,FALSE),0)),NA())</f>
        <v>#N/A</v>
      </c>
      <c r="W149" s="8" t="e">
        <f>IF($F$13,IF($L149="","",IFERROR(VLOOKUP($L149,day_data!$A:$O,12,FALSE),0)),NA())</f>
        <v>#N/A</v>
      </c>
      <c r="X149" s="10" t="e">
        <f>IF($F$14,IF($L149="","",IFERROR(VLOOKUP($L149,day_data!$A:$O,13,FALSE),0)),NA())</f>
        <v>#N/A</v>
      </c>
      <c r="Y149" s="10" t="e">
        <f>IF($F$15,IF($L149="","",IFERROR(VLOOKUP($L149,day_data!$A:$O,14,FALSE),0)),NA())</f>
        <v>#N/A</v>
      </c>
    </row>
    <row r="150" spans="12:25" x14ac:dyDescent="0.2">
      <c r="L150" s="9" t="str">
        <f t="shared" si="2"/>
        <v/>
      </c>
      <c r="M150" s="8" t="e">
        <f>IF($F$3,IF($L150="","",IFERROR(VLOOKUP($L150,day_data!$A:$O,2,FALSE),0)),NA())</f>
        <v>#N/A</v>
      </c>
      <c r="N150" s="8" t="str">
        <f>IF($F$4,IF($L150="","",IFERROR(VLOOKUP($L150,day_data!$A:$O,3,FALSE),0)),NA())</f>
        <v/>
      </c>
      <c r="O150" s="8" t="e">
        <f>IF($F$5,IF($L150="","",IFERROR(VLOOKUP($L150,day_data!$A:$O,4,FALSE),0)),NA())</f>
        <v>#N/A</v>
      </c>
      <c r="P150" s="8" t="e">
        <f>IF($F$6,IF($L150="","",IFERROR(VLOOKUP($L150,day_data!$A:$O,5,FALSE),0)),NA())</f>
        <v>#N/A</v>
      </c>
      <c r="Q150" s="8" t="e">
        <f>IF($F$7,IF($L150="","",IFERROR(VLOOKUP($L150,day_data!$A:$O,6,FALSE),0)),NA())</f>
        <v>#N/A</v>
      </c>
      <c r="R150" s="8" t="e">
        <f>IF($F$8,IF($L150="","",IFERROR(VLOOKUP($L150,day_data!$A:$O,7,FALSE),0)),NA())</f>
        <v>#N/A</v>
      </c>
      <c r="S150" s="8" t="e">
        <f>IF($F$9,IF($L150="","",IFERROR(VLOOKUP($L150,day_data!$A:$O,8,FALSE),0)),NA())</f>
        <v>#N/A</v>
      </c>
      <c r="T150" s="8" t="e">
        <f>IF($F$10,IF($L150="","",IFERROR(VLOOKUP($L150,day_data!$A:$O,9,FALSE),0)),NA())</f>
        <v>#N/A</v>
      </c>
      <c r="U150" s="8" t="e">
        <f>IF($F$11,IF($L150="","",IFERROR(VLOOKUP($L150,day_data!$A:$O,10,FALSE),0)),NA())</f>
        <v>#N/A</v>
      </c>
      <c r="V150" s="8" t="e">
        <f>IF($F$12,IF($L150="","",IFERROR(VLOOKUP($L150,day_data!$A:$O,11,FALSE),0)),NA())</f>
        <v>#N/A</v>
      </c>
      <c r="W150" s="8" t="e">
        <f>IF($F$13,IF($L150="","",IFERROR(VLOOKUP($L150,day_data!$A:$O,12,FALSE),0)),NA())</f>
        <v>#N/A</v>
      </c>
      <c r="X150" s="10" t="e">
        <f>IF($F$14,IF($L150="","",IFERROR(VLOOKUP($L150,day_data!$A:$O,13,FALSE),0)),NA())</f>
        <v>#N/A</v>
      </c>
      <c r="Y150" s="10" t="e">
        <f>IF($F$15,IF($L150="","",IFERROR(VLOOKUP($L150,day_data!$A:$O,14,FALSE),0)),NA())</f>
        <v>#N/A</v>
      </c>
    </row>
    <row r="151" spans="12:25" x14ac:dyDescent="0.2">
      <c r="L151" s="9" t="str">
        <f t="shared" si="2"/>
        <v/>
      </c>
      <c r="M151" s="8" t="e">
        <f>IF($F$3,IF($L151="","",IFERROR(VLOOKUP($L151,day_data!$A:$O,2,FALSE),0)),NA())</f>
        <v>#N/A</v>
      </c>
      <c r="N151" s="8" t="str">
        <f>IF($F$4,IF($L151="","",IFERROR(VLOOKUP($L151,day_data!$A:$O,3,FALSE),0)),NA())</f>
        <v/>
      </c>
      <c r="O151" s="8" t="e">
        <f>IF($F$5,IF($L151="","",IFERROR(VLOOKUP($L151,day_data!$A:$O,4,FALSE),0)),NA())</f>
        <v>#N/A</v>
      </c>
      <c r="P151" s="8" t="e">
        <f>IF($F$6,IF($L151="","",IFERROR(VLOOKUP($L151,day_data!$A:$O,5,FALSE),0)),NA())</f>
        <v>#N/A</v>
      </c>
      <c r="Q151" s="8" t="e">
        <f>IF($F$7,IF($L151="","",IFERROR(VLOOKUP($L151,day_data!$A:$O,6,FALSE),0)),NA())</f>
        <v>#N/A</v>
      </c>
      <c r="R151" s="8" t="e">
        <f>IF($F$8,IF($L151="","",IFERROR(VLOOKUP($L151,day_data!$A:$O,7,FALSE),0)),NA())</f>
        <v>#N/A</v>
      </c>
      <c r="S151" s="8" t="e">
        <f>IF($F$9,IF($L151="","",IFERROR(VLOOKUP($L151,day_data!$A:$O,8,FALSE),0)),NA())</f>
        <v>#N/A</v>
      </c>
      <c r="T151" s="8" t="e">
        <f>IF($F$10,IF($L151="","",IFERROR(VLOOKUP($L151,day_data!$A:$O,9,FALSE),0)),NA())</f>
        <v>#N/A</v>
      </c>
      <c r="U151" s="8" t="e">
        <f>IF($F$11,IF($L151="","",IFERROR(VLOOKUP($L151,day_data!$A:$O,10,FALSE),0)),NA())</f>
        <v>#N/A</v>
      </c>
      <c r="V151" s="8" t="e">
        <f>IF($F$12,IF($L151="","",IFERROR(VLOOKUP($L151,day_data!$A:$O,11,FALSE),0)),NA())</f>
        <v>#N/A</v>
      </c>
      <c r="W151" s="8" t="e">
        <f>IF($F$13,IF($L151="","",IFERROR(VLOOKUP($L151,day_data!$A:$O,12,FALSE),0)),NA())</f>
        <v>#N/A</v>
      </c>
      <c r="X151" s="10" t="e">
        <f>IF($F$14,IF($L151="","",IFERROR(VLOOKUP($L151,day_data!$A:$O,13,FALSE),0)),NA())</f>
        <v>#N/A</v>
      </c>
      <c r="Y151" s="10" t="e">
        <f>IF($F$15,IF($L151="","",IFERROR(VLOOKUP($L151,day_data!$A:$O,14,FALSE),0)),NA())</f>
        <v>#N/A</v>
      </c>
    </row>
    <row r="152" spans="12:25" x14ac:dyDescent="0.2">
      <c r="L152" s="9" t="str">
        <f t="shared" si="2"/>
        <v/>
      </c>
      <c r="M152" s="8" t="e">
        <f>IF($F$3,IF($L152="","",IFERROR(VLOOKUP($L152,day_data!$A:$O,2,FALSE),0)),NA())</f>
        <v>#N/A</v>
      </c>
      <c r="N152" s="8" t="str">
        <f>IF($F$4,IF($L152="","",IFERROR(VLOOKUP($L152,day_data!$A:$O,3,FALSE),0)),NA())</f>
        <v/>
      </c>
      <c r="O152" s="8" t="e">
        <f>IF($F$5,IF($L152="","",IFERROR(VLOOKUP($L152,day_data!$A:$O,4,FALSE),0)),NA())</f>
        <v>#N/A</v>
      </c>
      <c r="P152" s="8" t="e">
        <f>IF($F$6,IF($L152="","",IFERROR(VLOOKUP($L152,day_data!$A:$O,5,FALSE),0)),NA())</f>
        <v>#N/A</v>
      </c>
      <c r="Q152" s="8" t="e">
        <f>IF($F$7,IF($L152="","",IFERROR(VLOOKUP($L152,day_data!$A:$O,6,FALSE),0)),NA())</f>
        <v>#N/A</v>
      </c>
      <c r="R152" s="8" t="e">
        <f>IF($F$8,IF($L152="","",IFERROR(VLOOKUP($L152,day_data!$A:$O,7,FALSE),0)),NA())</f>
        <v>#N/A</v>
      </c>
      <c r="S152" s="8" t="e">
        <f>IF($F$9,IF($L152="","",IFERROR(VLOOKUP($L152,day_data!$A:$O,8,FALSE),0)),NA())</f>
        <v>#N/A</v>
      </c>
      <c r="T152" s="8" t="e">
        <f>IF($F$10,IF($L152="","",IFERROR(VLOOKUP($L152,day_data!$A:$O,9,FALSE),0)),NA())</f>
        <v>#N/A</v>
      </c>
      <c r="U152" s="8" t="e">
        <f>IF($F$11,IF($L152="","",IFERROR(VLOOKUP($L152,day_data!$A:$O,10,FALSE),0)),NA())</f>
        <v>#N/A</v>
      </c>
      <c r="V152" s="8" t="e">
        <f>IF($F$12,IF($L152="","",IFERROR(VLOOKUP($L152,day_data!$A:$O,11,FALSE),0)),NA())</f>
        <v>#N/A</v>
      </c>
      <c r="W152" s="8" t="e">
        <f>IF($F$13,IF($L152="","",IFERROR(VLOOKUP($L152,day_data!$A:$O,12,FALSE),0)),NA())</f>
        <v>#N/A</v>
      </c>
      <c r="X152" s="10" t="e">
        <f>IF($F$14,IF($L152="","",IFERROR(VLOOKUP($L152,day_data!$A:$O,13,FALSE),0)),NA())</f>
        <v>#N/A</v>
      </c>
      <c r="Y152" s="10" t="e">
        <f>IF($F$15,IF($L152="","",IFERROR(VLOOKUP($L152,day_data!$A:$O,14,FALSE),0)),NA())</f>
        <v>#N/A</v>
      </c>
    </row>
    <row r="153" spans="12:25" x14ac:dyDescent="0.2">
      <c r="L153" s="9" t="str">
        <f t="shared" si="2"/>
        <v/>
      </c>
      <c r="M153" s="8" t="e">
        <f>IF($F$3,IF($L153="","",IFERROR(VLOOKUP($L153,day_data!$A:$O,2,FALSE),0)),NA())</f>
        <v>#N/A</v>
      </c>
      <c r="N153" s="8" t="str">
        <f>IF($F$4,IF($L153="","",IFERROR(VLOOKUP($L153,day_data!$A:$O,3,FALSE),0)),NA())</f>
        <v/>
      </c>
      <c r="O153" s="8" t="e">
        <f>IF($F$5,IF($L153="","",IFERROR(VLOOKUP($L153,day_data!$A:$O,4,FALSE),0)),NA())</f>
        <v>#N/A</v>
      </c>
      <c r="P153" s="8" t="e">
        <f>IF($F$6,IF($L153="","",IFERROR(VLOOKUP($L153,day_data!$A:$O,5,FALSE),0)),NA())</f>
        <v>#N/A</v>
      </c>
      <c r="Q153" s="8" t="e">
        <f>IF($F$7,IF($L153="","",IFERROR(VLOOKUP($L153,day_data!$A:$O,6,FALSE),0)),NA())</f>
        <v>#N/A</v>
      </c>
      <c r="R153" s="8" t="e">
        <f>IF($F$8,IF($L153="","",IFERROR(VLOOKUP($L153,day_data!$A:$O,7,FALSE),0)),NA())</f>
        <v>#N/A</v>
      </c>
      <c r="S153" s="8" t="e">
        <f>IF($F$9,IF($L153="","",IFERROR(VLOOKUP($L153,day_data!$A:$O,8,FALSE),0)),NA())</f>
        <v>#N/A</v>
      </c>
      <c r="T153" s="8" t="e">
        <f>IF($F$10,IF($L153="","",IFERROR(VLOOKUP($L153,day_data!$A:$O,9,FALSE),0)),NA())</f>
        <v>#N/A</v>
      </c>
      <c r="U153" s="8" t="e">
        <f>IF($F$11,IF($L153="","",IFERROR(VLOOKUP($L153,day_data!$A:$O,10,FALSE),0)),NA())</f>
        <v>#N/A</v>
      </c>
      <c r="V153" s="8" t="e">
        <f>IF($F$12,IF($L153="","",IFERROR(VLOOKUP($L153,day_data!$A:$O,11,FALSE),0)),NA())</f>
        <v>#N/A</v>
      </c>
      <c r="W153" s="8" t="e">
        <f>IF($F$13,IF($L153="","",IFERROR(VLOOKUP($L153,day_data!$A:$O,12,FALSE),0)),NA())</f>
        <v>#N/A</v>
      </c>
      <c r="X153" s="10" t="e">
        <f>IF($F$14,IF($L153="","",IFERROR(VLOOKUP($L153,day_data!$A:$O,13,FALSE),0)),NA())</f>
        <v>#N/A</v>
      </c>
      <c r="Y153" s="10" t="e">
        <f>IF($F$15,IF($L153="","",IFERROR(VLOOKUP($L153,day_data!$A:$O,14,FALSE),0)),NA())</f>
        <v>#N/A</v>
      </c>
    </row>
    <row r="154" spans="12:25" x14ac:dyDescent="0.2">
      <c r="L154" s="9" t="str">
        <f t="shared" si="2"/>
        <v/>
      </c>
      <c r="M154" s="8" t="e">
        <f>IF($F$3,IF($L154="","",IFERROR(VLOOKUP($L154,day_data!$A:$O,2,FALSE),0)),NA())</f>
        <v>#N/A</v>
      </c>
      <c r="N154" s="8" t="str">
        <f>IF($F$4,IF($L154="","",IFERROR(VLOOKUP($L154,day_data!$A:$O,3,FALSE),0)),NA())</f>
        <v/>
      </c>
      <c r="O154" s="8" t="e">
        <f>IF($F$5,IF($L154="","",IFERROR(VLOOKUP($L154,day_data!$A:$O,4,FALSE),0)),NA())</f>
        <v>#N/A</v>
      </c>
      <c r="P154" s="8" t="e">
        <f>IF($F$6,IF($L154="","",IFERROR(VLOOKUP($L154,day_data!$A:$O,5,FALSE),0)),NA())</f>
        <v>#N/A</v>
      </c>
      <c r="Q154" s="8" t="e">
        <f>IF($F$7,IF($L154="","",IFERROR(VLOOKUP($L154,day_data!$A:$O,6,FALSE),0)),NA())</f>
        <v>#N/A</v>
      </c>
      <c r="R154" s="8" t="e">
        <f>IF($F$8,IF($L154="","",IFERROR(VLOOKUP($L154,day_data!$A:$O,7,FALSE),0)),NA())</f>
        <v>#N/A</v>
      </c>
      <c r="S154" s="8" t="e">
        <f>IF($F$9,IF($L154="","",IFERROR(VLOOKUP($L154,day_data!$A:$O,8,FALSE),0)),NA())</f>
        <v>#N/A</v>
      </c>
      <c r="T154" s="8" t="e">
        <f>IF($F$10,IF($L154="","",IFERROR(VLOOKUP($L154,day_data!$A:$O,9,FALSE),0)),NA())</f>
        <v>#N/A</v>
      </c>
      <c r="U154" s="8" t="e">
        <f>IF($F$11,IF($L154="","",IFERROR(VLOOKUP($L154,day_data!$A:$O,10,FALSE),0)),NA())</f>
        <v>#N/A</v>
      </c>
      <c r="V154" s="8" t="e">
        <f>IF($F$12,IF($L154="","",IFERROR(VLOOKUP($L154,day_data!$A:$O,11,FALSE),0)),NA())</f>
        <v>#N/A</v>
      </c>
      <c r="W154" s="8" t="e">
        <f>IF($F$13,IF($L154="","",IFERROR(VLOOKUP($L154,day_data!$A:$O,12,FALSE),0)),NA())</f>
        <v>#N/A</v>
      </c>
      <c r="X154" s="10" t="e">
        <f>IF($F$14,IF($L154="","",IFERROR(VLOOKUP($L154,day_data!$A:$O,13,FALSE),0)),NA())</f>
        <v>#N/A</v>
      </c>
      <c r="Y154" s="10" t="e">
        <f>IF($F$15,IF($L154="","",IFERROR(VLOOKUP($L154,day_data!$A:$O,14,FALSE),0)),NA())</f>
        <v>#N/A</v>
      </c>
    </row>
    <row r="155" spans="12:25" x14ac:dyDescent="0.2">
      <c r="L155" s="9" t="str">
        <f t="shared" si="2"/>
        <v/>
      </c>
      <c r="M155" s="8" t="e">
        <f>IF($F$3,IF($L155="","",IFERROR(VLOOKUP($L155,day_data!$A:$O,2,FALSE),0)),NA())</f>
        <v>#N/A</v>
      </c>
      <c r="N155" s="8" t="str">
        <f>IF($F$4,IF($L155="","",IFERROR(VLOOKUP($L155,day_data!$A:$O,3,FALSE),0)),NA())</f>
        <v/>
      </c>
      <c r="O155" s="8" t="e">
        <f>IF($F$5,IF($L155="","",IFERROR(VLOOKUP($L155,day_data!$A:$O,4,FALSE),0)),NA())</f>
        <v>#N/A</v>
      </c>
      <c r="P155" s="8" t="e">
        <f>IF($F$6,IF($L155="","",IFERROR(VLOOKUP($L155,day_data!$A:$O,5,FALSE),0)),NA())</f>
        <v>#N/A</v>
      </c>
      <c r="Q155" s="8" t="e">
        <f>IF($F$7,IF($L155="","",IFERROR(VLOOKUP($L155,day_data!$A:$O,6,FALSE),0)),NA())</f>
        <v>#N/A</v>
      </c>
      <c r="R155" s="8" t="e">
        <f>IF($F$8,IF($L155="","",IFERROR(VLOOKUP($L155,day_data!$A:$O,7,FALSE),0)),NA())</f>
        <v>#N/A</v>
      </c>
      <c r="S155" s="8" t="e">
        <f>IF($F$9,IF($L155="","",IFERROR(VLOOKUP($L155,day_data!$A:$O,8,FALSE),0)),NA())</f>
        <v>#N/A</v>
      </c>
      <c r="T155" s="8" t="e">
        <f>IF($F$10,IF($L155="","",IFERROR(VLOOKUP($L155,day_data!$A:$O,9,FALSE),0)),NA())</f>
        <v>#N/A</v>
      </c>
      <c r="U155" s="8" t="e">
        <f>IF($F$11,IF($L155="","",IFERROR(VLOOKUP($L155,day_data!$A:$O,10,FALSE),0)),NA())</f>
        <v>#N/A</v>
      </c>
      <c r="V155" s="8" t="e">
        <f>IF($F$12,IF($L155="","",IFERROR(VLOOKUP($L155,day_data!$A:$O,11,FALSE),0)),NA())</f>
        <v>#N/A</v>
      </c>
      <c r="W155" s="8" t="e">
        <f>IF($F$13,IF($L155="","",IFERROR(VLOOKUP($L155,day_data!$A:$O,12,FALSE),0)),NA())</f>
        <v>#N/A</v>
      </c>
      <c r="X155" s="10" t="e">
        <f>IF($F$14,IF($L155="","",IFERROR(VLOOKUP($L155,day_data!$A:$O,13,FALSE),0)),NA())</f>
        <v>#N/A</v>
      </c>
      <c r="Y155" s="10" t="e">
        <f>IF($F$15,IF($L155="","",IFERROR(VLOOKUP($L155,day_data!$A:$O,14,FALSE),0)),NA())</f>
        <v>#N/A</v>
      </c>
    </row>
    <row r="156" spans="12:25" x14ac:dyDescent="0.2">
      <c r="L156" s="9" t="str">
        <f t="shared" si="2"/>
        <v/>
      </c>
      <c r="M156" s="8" t="e">
        <f>IF($F$3,IF($L156="","",IFERROR(VLOOKUP($L156,day_data!$A:$O,2,FALSE),0)),NA())</f>
        <v>#N/A</v>
      </c>
      <c r="N156" s="8" t="str">
        <f>IF($F$4,IF($L156="","",IFERROR(VLOOKUP($L156,day_data!$A:$O,3,FALSE),0)),NA())</f>
        <v/>
      </c>
      <c r="O156" s="8" t="e">
        <f>IF($F$5,IF($L156="","",IFERROR(VLOOKUP($L156,day_data!$A:$O,4,FALSE),0)),NA())</f>
        <v>#N/A</v>
      </c>
      <c r="P156" s="8" t="e">
        <f>IF($F$6,IF($L156="","",IFERROR(VLOOKUP($L156,day_data!$A:$O,5,FALSE),0)),NA())</f>
        <v>#N/A</v>
      </c>
      <c r="Q156" s="8" t="e">
        <f>IF($F$7,IF($L156="","",IFERROR(VLOOKUP($L156,day_data!$A:$O,6,FALSE),0)),NA())</f>
        <v>#N/A</v>
      </c>
      <c r="R156" s="8" t="e">
        <f>IF($F$8,IF($L156="","",IFERROR(VLOOKUP($L156,day_data!$A:$O,7,FALSE),0)),NA())</f>
        <v>#N/A</v>
      </c>
      <c r="S156" s="8" t="e">
        <f>IF($F$9,IF($L156="","",IFERROR(VLOOKUP($L156,day_data!$A:$O,8,FALSE),0)),NA())</f>
        <v>#N/A</v>
      </c>
      <c r="T156" s="8" t="e">
        <f>IF($F$10,IF($L156="","",IFERROR(VLOOKUP($L156,day_data!$A:$O,9,FALSE),0)),NA())</f>
        <v>#N/A</v>
      </c>
      <c r="U156" s="8" t="e">
        <f>IF($F$11,IF($L156="","",IFERROR(VLOOKUP($L156,day_data!$A:$O,10,FALSE),0)),NA())</f>
        <v>#N/A</v>
      </c>
      <c r="V156" s="8" t="e">
        <f>IF($F$12,IF($L156="","",IFERROR(VLOOKUP($L156,day_data!$A:$O,11,FALSE),0)),NA())</f>
        <v>#N/A</v>
      </c>
      <c r="W156" s="8" t="e">
        <f>IF($F$13,IF($L156="","",IFERROR(VLOOKUP($L156,day_data!$A:$O,12,FALSE),0)),NA())</f>
        <v>#N/A</v>
      </c>
      <c r="X156" s="10" t="e">
        <f>IF($F$14,IF($L156="","",IFERROR(VLOOKUP($L156,day_data!$A:$O,13,FALSE),0)),NA())</f>
        <v>#N/A</v>
      </c>
      <c r="Y156" s="10" t="e">
        <f>IF($F$15,IF($L156="","",IFERROR(VLOOKUP($L156,day_data!$A:$O,14,FALSE),0)),NA())</f>
        <v>#N/A</v>
      </c>
    </row>
    <row r="157" spans="12:25" x14ac:dyDescent="0.2">
      <c r="L157" s="9" t="str">
        <f t="shared" si="2"/>
        <v/>
      </c>
      <c r="M157" s="8" t="e">
        <f>IF($F$3,IF($L157="","",IFERROR(VLOOKUP($L157,day_data!$A:$O,2,FALSE),0)),NA())</f>
        <v>#N/A</v>
      </c>
      <c r="N157" s="8" t="str">
        <f>IF($F$4,IF($L157="","",IFERROR(VLOOKUP($L157,day_data!$A:$O,3,FALSE),0)),NA())</f>
        <v/>
      </c>
      <c r="O157" s="8" t="e">
        <f>IF($F$5,IF($L157="","",IFERROR(VLOOKUP($L157,day_data!$A:$O,4,FALSE),0)),NA())</f>
        <v>#N/A</v>
      </c>
      <c r="P157" s="8" t="e">
        <f>IF($F$6,IF($L157="","",IFERROR(VLOOKUP($L157,day_data!$A:$O,5,FALSE),0)),NA())</f>
        <v>#N/A</v>
      </c>
      <c r="Q157" s="8" t="e">
        <f>IF($F$7,IF($L157="","",IFERROR(VLOOKUP($L157,day_data!$A:$O,6,FALSE),0)),NA())</f>
        <v>#N/A</v>
      </c>
      <c r="R157" s="8" t="e">
        <f>IF($F$8,IF($L157="","",IFERROR(VLOOKUP($L157,day_data!$A:$O,7,FALSE),0)),NA())</f>
        <v>#N/A</v>
      </c>
      <c r="S157" s="8" t="e">
        <f>IF($F$9,IF($L157="","",IFERROR(VLOOKUP($L157,day_data!$A:$O,8,FALSE),0)),NA())</f>
        <v>#N/A</v>
      </c>
      <c r="T157" s="8" t="e">
        <f>IF($F$10,IF($L157="","",IFERROR(VLOOKUP($L157,day_data!$A:$O,9,FALSE),0)),NA())</f>
        <v>#N/A</v>
      </c>
      <c r="U157" s="8" t="e">
        <f>IF($F$11,IF($L157="","",IFERROR(VLOOKUP($L157,day_data!$A:$O,10,FALSE),0)),NA())</f>
        <v>#N/A</v>
      </c>
      <c r="V157" s="8" t="e">
        <f>IF($F$12,IF($L157="","",IFERROR(VLOOKUP($L157,day_data!$A:$O,11,FALSE),0)),NA())</f>
        <v>#N/A</v>
      </c>
      <c r="W157" s="8" t="e">
        <f>IF($F$13,IF($L157="","",IFERROR(VLOOKUP($L157,day_data!$A:$O,12,FALSE),0)),NA())</f>
        <v>#N/A</v>
      </c>
      <c r="X157" s="10" t="e">
        <f>IF($F$14,IF($L157="","",IFERROR(VLOOKUP($L157,day_data!$A:$O,13,FALSE),0)),NA())</f>
        <v>#N/A</v>
      </c>
      <c r="Y157" s="10" t="e">
        <f>IF($F$15,IF($L157="","",IFERROR(VLOOKUP($L157,day_data!$A:$O,14,FALSE),0)),NA())</f>
        <v>#N/A</v>
      </c>
    </row>
    <row r="158" spans="12:25" x14ac:dyDescent="0.2">
      <c r="L158" s="9" t="str">
        <f t="shared" si="2"/>
        <v/>
      </c>
      <c r="M158" s="8" t="e">
        <f>IF($F$3,IF($L158="","",IFERROR(VLOOKUP($L158,day_data!$A:$O,2,FALSE),0)),NA())</f>
        <v>#N/A</v>
      </c>
      <c r="N158" s="8" t="str">
        <f>IF($F$4,IF($L158="","",IFERROR(VLOOKUP($L158,day_data!$A:$O,3,FALSE),0)),NA())</f>
        <v/>
      </c>
      <c r="O158" s="8" t="e">
        <f>IF($F$5,IF($L158="","",IFERROR(VLOOKUP($L158,day_data!$A:$O,4,FALSE),0)),NA())</f>
        <v>#N/A</v>
      </c>
      <c r="P158" s="8" t="e">
        <f>IF($F$6,IF($L158="","",IFERROR(VLOOKUP($L158,day_data!$A:$O,5,FALSE),0)),NA())</f>
        <v>#N/A</v>
      </c>
      <c r="Q158" s="8" t="e">
        <f>IF($F$7,IF($L158="","",IFERROR(VLOOKUP($L158,day_data!$A:$O,6,FALSE),0)),NA())</f>
        <v>#N/A</v>
      </c>
      <c r="R158" s="8" t="e">
        <f>IF($F$8,IF($L158="","",IFERROR(VLOOKUP($L158,day_data!$A:$O,7,FALSE),0)),NA())</f>
        <v>#N/A</v>
      </c>
      <c r="S158" s="8" t="e">
        <f>IF($F$9,IF($L158="","",IFERROR(VLOOKUP($L158,day_data!$A:$O,8,FALSE),0)),NA())</f>
        <v>#N/A</v>
      </c>
      <c r="T158" s="8" t="e">
        <f>IF($F$10,IF($L158="","",IFERROR(VLOOKUP($L158,day_data!$A:$O,9,FALSE),0)),NA())</f>
        <v>#N/A</v>
      </c>
      <c r="U158" s="8" t="e">
        <f>IF($F$11,IF($L158="","",IFERROR(VLOOKUP($L158,day_data!$A:$O,10,FALSE),0)),NA())</f>
        <v>#N/A</v>
      </c>
      <c r="V158" s="8" t="e">
        <f>IF($F$12,IF($L158="","",IFERROR(VLOOKUP($L158,day_data!$A:$O,11,FALSE),0)),NA())</f>
        <v>#N/A</v>
      </c>
      <c r="W158" s="8" t="e">
        <f>IF($F$13,IF($L158="","",IFERROR(VLOOKUP($L158,day_data!$A:$O,12,FALSE),0)),NA())</f>
        <v>#N/A</v>
      </c>
      <c r="X158" s="10" t="e">
        <f>IF($F$14,IF($L158="","",IFERROR(VLOOKUP($L158,day_data!$A:$O,13,FALSE),0)),NA())</f>
        <v>#N/A</v>
      </c>
      <c r="Y158" s="10" t="e">
        <f>IF($F$15,IF($L158="","",IFERROR(VLOOKUP($L158,day_data!$A:$O,14,FALSE),0)),NA())</f>
        <v>#N/A</v>
      </c>
    </row>
    <row r="159" spans="12:25" x14ac:dyDescent="0.2">
      <c r="L159" s="9" t="str">
        <f t="shared" si="2"/>
        <v/>
      </c>
      <c r="M159" s="8" t="e">
        <f>IF($F$3,IF($L159="","",IFERROR(VLOOKUP($L159,day_data!$A:$O,2,FALSE),0)),NA())</f>
        <v>#N/A</v>
      </c>
      <c r="N159" s="8" t="str">
        <f>IF($F$4,IF($L159="","",IFERROR(VLOOKUP($L159,day_data!$A:$O,3,FALSE),0)),NA())</f>
        <v/>
      </c>
      <c r="O159" s="8" t="e">
        <f>IF($F$5,IF($L159="","",IFERROR(VLOOKUP($L159,day_data!$A:$O,4,FALSE),0)),NA())</f>
        <v>#N/A</v>
      </c>
      <c r="P159" s="8" t="e">
        <f>IF($F$6,IF($L159="","",IFERROR(VLOOKUP($L159,day_data!$A:$O,5,FALSE),0)),NA())</f>
        <v>#N/A</v>
      </c>
      <c r="Q159" s="8" t="e">
        <f>IF($F$7,IF($L159="","",IFERROR(VLOOKUP($L159,day_data!$A:$O,6,FALSE),0)),NA())</f>
        <v>#N/A</v>
      </c>
      <c r="R159" s="8" t="e">
        <f>IF($F$8,IF($L159="","",IFERROR(VLOOKUP($L159,day_data!$A:$O,7,FALSE),0)),NA())</f>
        <v>#N/A</v>
      </c>
      <c r="S159" s="8" t="e">
        <f>IF($F$9,IF($L159="","",IFERROR(VLOOKUP($L159,day_data!$A:$O,8,FALSE),0)),NA())</f>
        <v>#N/A</v>
      </c>
      <c r="T159" s="8" t="e">
        <f>IF($F$10,IF($L159="","",IFERROR(VLOOKUP($L159,day_data!$A:$O,9,FALSE),0)),NA())</f>
        <v>#N/A</v>
      </c>
      <c r="U159" s="8" t="e">
        <f>IF($F$11,IF($L159="","",IFERROR(VLOOKUP($L159,day_data!$A:$O,10,FALSE),0)),NA())</f>
        <v>#N/A</v>
      </c>
      <c r="V159" s="8" t="e">
        <f>IF($F$12,IF($L159="","",IFERROR(VLOOKUP($L159,day_data!$A:$O,11,FALSE),0)),NA())</f>
        <v>#N/A</v>
      </c>
      <c r="W159" s="8" t="e">
        <f>IF($F$13,IF($L159="","",IFERROR(VLOOKUP($L159,day_data!$A:$O,12,FALSE),0)),NA())</f>
        <v>#N/A</v>
      </c>
      <c r="X159" s="10" t="e">
        <f>IF($F$14,IF($L159="","",IFERROR(VLOOKUP($L159,day_data!$A:$O,13,FALSE),0)),NA())</f>
        <v>#N/A</v>
      </c>
      <c r="Y159" s="10" t="e">
        <f>IF($F$15,IF($L159="","",IFERROR(VLOOKUP($L159,day_data!$A:$O,14,FALSE),0)),NA())</f>
        <v>#N/A</v>
      </c>
    </row>
    <row r="160" spans="12:25" x14ac:dyDescent="0.2">
      <c r="L160" s="9" t="str">
        <f t="shared" si="2"/>
        <v/>
      </c>
      <c r="M160" s="8" t="e">
        <f>IF($F$3,IF($L160="","",IFERROR(VLOOKUP($L160,day_data!$A:$O,2,FALSE),0)),NA())</f>
        <v>#N/A</v>
      </c>
      <c r="N160" s="8" t="str">
        <f>IF($F$4,IF($L160="","",IFERROR(VLOOKUP($L160,day_data!$A:$O,3,FALSE),0)),NA())</f>
        <v/>
      </c>
      <c r="O160" s="8" t="e">
        <f>IF($F$5,IF($L160="","",IFERROR(VLOOKUP($L160,day_data!$A:$O,4,FALSE),0)),NA())</f>
        <v>#N/A</v>
      </c>
      <c r="P160" s="8" t="e">
        <f>IF($F$6,IF($L160="","",IFERROR(VLOOKUP($L160,day_data!$A:$O,5,FALSE),0)),NA())</f>
        <v>#N/A</v>
      </c>
      <c r="Q160" s="8" t="e">
        <f>IF($F$7,IF($L160="","",IFERROR(VLOOKUP($L160,day_data!$A:$O,6,FALSE),0)),NA())</f>
        <v>#N/A</v>
      </c>
      <c r="R160" s="8" t="e">
        <f>IF($F$8,IF($L160="","",IFERROR(VLOOKUP($L160,day_data!$A:$O,7,FALSE),0)),NA())</f>
        <v>#N/A</v>
      </c>
      <c r="S160" s="8" t="e">
        <f>IF($F$9,IF($L160="","",IFERROR(VLOOKUP($L160,day_data!$A:$O,8,FALSE),0)),NA())</f>
        <v>#N/A</v>
      </c>
      <c r="T160" s="8" t="e">
        <f>IF($F$10,IF($L160="","",IFERROR(VLOOKUP($L160,day_data!$A:$O,9,FALSE),0)),NA())</f>
        <v>#N/A</v>
      </c>
      <c r="U160" s="8" t="e">
        <f>IF($F$11,IF($L160="","",IFERROR(VLOOKUP($L160,day_data!$A:$O,10,FALSE),0)),NA())</f>
        <v>#N/A</v>
      </c>
      <c r="V160" s="8" t="e">
        <f>IF($F$12,IF($L160="","",IFERROR(VLOOKUP($L160,day_data!$A:$O,11,FALSE),0)),NA())</f>
        <v>#N/A</v>
      </c>
      <c r="W160" s="8" t="e">
        <f>IF($F$13,IF($L160="","",IFERROR(VLOOKUP($L160,day_data!$A:$O,12,FALSE),0)),NA())</f>
        <v>#N/A</v>
      </c>
      <c r="X160" s="10" t="e">
        <f>IF($F$14,IF($L160="","",IFERROR(VLOOKUP($L160,day_data!$A:$O,13,FALSE),0)),NA())</f>
        <v>#N/A</v>
      </c>
      <c r="Y160" s="10" t="e">
        <f>IF($F$15,IF($L160="","",IFERROR(VLOOKUP($L160,day_data!$A:$O,14,FALSE),0)),NA())</f>
        <v>#N/A</v>
      </c>
    </row>
    <row r="161" spans="12:25" x14ac:dyDescent="0.2">
      <c r="L161" s="9" t="str">
        <f t="shared" si="2"/>
        <v/>
      </c>
      <c r="M161" s="8" t="e">
        <f>IF($F$3,IF($L161="","",IFERROR(VLOOKUP($L161,day_data!$A:$O,2,FALSE),0)),NA())</f>
        <v>#N/A</v>
      </c>
      <c r="N161" s="8" t="str">
        <f>IF($F$4,IF($L161="","",IFERROR(VLOOKUP($L161,day_data!$A:$O,3,FALSE),0)),NA())</f>
        <v/>
      </c>
      <c r="O161" s="8" t="e">
        <f>IF($F$5,IF($L161="","",IFERROR(VLOOKUP($L161,day_data!$A:$O,4,FALSE),0)),NA())</f>
        <v>#N/A</v>
      </c>
      <c r="P161" s="8" t="e">
        <f>IF($F$6,IF($L161="","",IFERROR(VLOOKUP($L161,day_data!$A:$O,5,FALSE),0)),NA())</f>
        <v>#N/A</v>
      </c>
      <c r="Q161" s="8" t="e">
        <f>IF($F$7,IF($L161="","",IFERROR(VLOOKUP($L161,day_data!$A:$O,6,FALSE),0)),NA())</f>
        <v>#N/A</v>
      </c>
      <c r="R161" s="8" t="e">
        <f>IF($F$8,IF($L161="","",IFERROR(VLOOKUP($L161,day_data!$A:$O,7,FALSE),0)),NA())</f>
        <v>#N/A</v>
      </c>
      <c r="S161" s="8" t="e">
        <f>IF($F$9,IF($L161="","",IFERROR(VLOOKUP($L161,day_data!$A:$O,8,FALSE),0)),NA())</f>
        <v>#N/A</v>
      </c>
      <c r="T161" s="8" t="e">
        <f>IF($F$10,IF($L161="","",IFERROR(VLOOKUP($L161,day_data!$A:$O,9,FALSE),0)),NA())</f>
        <v>#N/A</v>
      </c>
      <c r="U161" s="8" t="e">
        <f>IF($F$11,IF($L161="","",IFERROR(VLOOKUP($L161,day_data!$A:$O,10,FALSE),0)),NA())</f>
        <v>#N/A</v>
      </c>
      <c r="V161" s="8" t="e">
        <f>IF($F$12,IF($L161="","",IFERROR(VLOOKUP($L161,day_data!$A:$O,11,FALSE),0)),NA())</f>
        <v>#N/A</v>
      </c>
      <c r="W161" s="8" t="e">
        <f>IF($F$13,IF($L161="","",IFERROR(VLOOKUP($L161,day_data!$A:$O,12,FALSE),0)),NA())</f>
        <v>#N/A</v>
      </c>
      <c r="X161" s="10" t="e">
        <f>IF($F$14,IF($L161="","",IFERROR(VLOOKUP($L161,day_data!$A:$O,13,FALSE),0)),NA())</f>
        <v>#N/A</v>
      </c>
      <c r="Y161" s="10" t="e">
        <f>IF($F$15,IF($L161="","",IFERROR(VLOOKUP($L161,day_data!$A:$O,14,FALSE),0)),NA())</f>
        <v>#N/A</v>
      </c>
    </row>
    <row r="162" spans="12:25" x14ac:dyDescent="0.2">
      <c r="L162" s="9" t="str">
        <f t="shared" si="2"/>
        <v/>
      </c>
      <c r="M162" s="8" t="e">
        <f>IF($F$3,IF($L162="","",IFERROR(VLOOKUP($L162,day_data!$A:$O,2,FALSE),0)),NA())</f>
        <v>#N/A</v>
      </c>
      <c r="N162" s="8" t="str">
        <f>IF($F$4,IF($L162="","",IFERROR(VLOOKUP($L162,day_data!$A:$O,3,FALSE),0)),NA())</f>
        <v/>
      </c>
      <c r="O162" s="8" t="e">
        <f>IF($F$5,IF($L162="","",IFERROR(VLOOKUP($L162,day_data!$A:$O,4,FALSE),0)),NA())</f>
        <v>#N/A</v>
      </c>
      <c r="P162" s="8" t="e">
        <f>IF($F$6,IF($L162="","",IFERROR(VLOOKUP($L162,day_data!$A:$O,5,FALSE),0)),NA())</f>
        <v>#N/A</v>
      </c>
      <c r="Q162" s="8" t="e">
        <f>IF($F$7,IF($L162="","",IFERROR(VLOOKUP($L162,day_data!$A:$O,6,FALSE),0)),NA())</f>
        <v>#N/A</v>
      </c>
      <c r="R162" s="8" t="e">
        <f>IF($F$8,IF($L162="","",IFERROR(VLOOKUP($L162,day_data!$A:$O,7,FALSE),0)),NA())</f>
        <v>#N/A</v>
      </c>
      <c r="S162" s="8" t="e">
        <f>IF($F$9,IF($L162="","",IFERROR(VLOOKUP($L162,day_data!$A:$O,8,FALSE),0)),NA())</f>
        <v>#N/A</v>
      </c>
      <c r="T162" s="8" t="e">
        <f>IF($F$10,IF($L162="","",IFERROR(VLOOKUP($L162,day_data!$A:$O,9,FALSE),0)),NA())</f>
        <v>#N/A</v>
      </c>
      <c r="U162" s="8" t="e">
        <f>IF($F$11,IF($L162="","",IFERROR(VLOOKUP($L162,day_data!$A:$O,10,FALSE),0)),NA())</f>
        <v>#N/A</v>
      </c>
      <c r="V162" s="8" t="e">
        <f>IF($F$12,IF($L162="","",IFERROR(VLOOKUP($L162,day_data!$A:$O,11,FALSE),0)),NA())</f>
        <v>#N/A</v>
      </c>
      <c r="W162" s="8" t="e">
        <f>IF($F$13,IF($L162="","",IFERROR(VLOOKUP($L162,day_data!$A:$O,12,FALSE),0)),NA())</f>
        <v>#N/A</v>
      </c>
      <c r="X162" s="10" t="e">
        <f>IF($F$14,IF($L162="","",IFERROR(VLOOKUP($L162,day_data!$A:$O,13,FALSE),0)),NA())</f>
        <v>#N/A</v>
      </c>
      <c r="Y162" s="10" t="e">
        <f>IF($F$15,IF($L162="","",IFERROR(VLOOKUP($L162,day_data!$A:$O,14,FALSE),0)),NA())</f>
        <v>#N/A</v>
      </c>
    </row>
    <row r="163" spans="12:25" x14ac:dyDescent="0.2">
      <c r="L163" s="9" t="str">
        <f t="shared" si="2"/>
        <v/>
      </c>
      <c r="M163" s="8" t="e">
        <f>IF($F$3,IF($L163="","",IFERROR(VLOOKUP($L163,day_data!$A:$O,2,FALSE),0)),NA())</f>
        <v>#N/A</v>
      </c>
      <c r="N163" s="8" t="str">
        <f>IF($F$4,IF($L163="","",IFERROR(VLOOKUP($L163,day_data!$A:$O,3,FALSE),0)),NA())</f>
        <v/>
      </c>
      <c r="O163" s="8" t="e">
        <f>IF($F$5,IF($L163="","",IFERROR(VLOOKUP($L163,day_data!$A:$O,4,FALSE),0)),NA())</f>
        <v>#N/A</v>
      </c>
      <c r="P163" s="8" t="e">
        <f>IF($F$6,IF($L163="","",IFERROR(VLOOKUP($L163,day_data!$A:$O,5,FALSE),0)),NA())</f>
        <v>#N/A</v>
      </c>
      <c r="Q163" s="8" t="e">
        <f>IF($F$7,IF($L163="","",IFERROR(VLOOKUP($L163,day_data!$A:$O,6,FALSE),0)),NA())</f>
        <v>#N/A</v>
      </c>
      <c r="R163" s="8" t="e">
        <f>IF($F$8,IF($L163="","",IFERROR(VLOOKUP($L163,day_data!$A:$O,7,FALSE),0)),NA())</f>
        <v>#N/A</v>
      </c>
      <c r="S163" s="8" t="e">
        <f>IF($F$9,IF($L163="","",IFERROR(VLOOKUP($L163,day_data!$A:$O,8,FALSE),0)),NA())</f>
        <v>#N/A</v>
      </c>
      <c r="T163" s="8" t="e">
        <f>IF($F$10,IF($L163="","",IFERROR(VLOOKUP($L163,day_data!$A:$O,9,FALSE),0)),NA())</f>
        <v>#N/A</v>
      </c>
      <c r="U163" s="8" t="e">
        <f>IF($F$11,IF($L163="","",IFERROR(VLOOKUP($L163,day_data!$A:$O,10,FALSE),0)),NA())</f>
        <v>#N/A</v>
      </c>
      <c r="V163" s="8" t="e">
        <f>IF($F$12,IF($L163="","",IFERROR(VLOOKUP($L163,day_data!$A:$O,11,FALSE),0)),NA())</f>
        <v>#N/A</v>
      </c>
      <c r="W163" s="8" t="e">
        <f>IF($F$13,IF($L163="","",IFERROR(VLOOKUP($L163,day_data!$A:$O,12,FALSE),0)),NA())</f>
        <v>#N/A</v>
      </c>
      <c r="X163" s="10" t="e">
        <f>IF($F$14,IF($L163="","",IFERROR(VLOOKUP($L163,day_data!$A:$O,13,FALSE),0)),NA())</f>
        <v>#N/A</v>
      </c>
      <c r="Y163" s="10" t="e">
        <f>IF($F$15,IF($L163="","",IFERROR(VLOOKUP($L163,day_data!$A:$O,14,FALSE),0)),NA())</f>
        <v>#N/A</v>
      </c>
    </row>
    <row r="164" spans="12:25" x14ac:dyDescent="0.2">
      <c r="L164" s="9" t="str">
        <f t="shared" si="2"/>
        <v/>
      </c>
      <c r="M164" s="8" t="e">
        <f>IF($F$3,IF($L164="","",IFERROR(VLOOKUP($L164,day_data!$A:$O,2,FALSE),0)),NA())</f>
        <v>#N/A</v>
      </c>
      <c r="N164" s="8" t="str">
        <f>IF($F$4,IF($L164="","",IFERROR(VLOOKUP($L164,day_data!$A:$O,3,FALSE),0)),NA())</f>
        <v/>
      </c>
      <c r="O164" s="8" t="e">
        <f>IF($F$5,IF($L164="","",IFERROR(VLOOKUP($L164,day_data!$A:$O,4,FALSE),0)),NA())</f>
        <v>#N/A</v>
      </c>
      <c r="P164" s="8" t="e">
        <f>IF($F$6,IF($L164="","",IFERROR(VLOOKUP($L164,day_data!$A:$O,5,FALSE),0)),NA())</f>
        <v>#N/A</v>
      </c>
      <c r="Q164" s="8" t="e">
        <f>IF($F$7,IF($L164="","",IFERROR(VLOOKUP($L164,day_data!$A:$O,6,FALSE),0)),NA())</f>
        <v>#N/A</v>
      </c>
      <c r="R164" s="8" t="e">
        <f>IF($F$8,IF($L164="","",IFERROR(VLOOKUP($L164,day_data!$A:$O,7,FALSE),0)),NA())</f>
        <v>#N/A</v>
      </c>
      <c r="S164" s="8" t="e">
        <f>IF($F$9,IF($L164="","",IFERROR(VLOOKUP($L164,day_data!$A:$O,8,FALSE),0)),NA())</f>
        <v>#N/A</v>
      </c>
      <c r="T164" s="8" t="e">
        <f>IF($F$10,IF($L164="","",IFERROR(VLOOKUP($L164,day_data!$A:$O,9,FALSE),0)),NA())</f>
        <v>#N/A</v>
      </c>
      <c r="U164" s="8" t="e">
        <f>IF($F$11,IF($L164="","",IFERROR(VLOOKUP($L164,day_data!$A:$O,10,FALSE),0)),NA())</f>
        <v>#N/A</v>
      </c>
      <c r="V164" s="8" t="e">
        <f>IF($F$12,IF($L164="","",IFERROR(VLOOKUP($L164,day_data!$A:$O,11,FALSE),0)),NA())</f>
        <v>#N/A</v>
      </c>
      <c r="W164" s="8" t="e">
        <f>IF($F$13,IF($L164="","",IFERROR(VLOOKUP($L164,day_data!$A:$O,12,FALSE),0)),NA())</f>
        <v>#N/A</v>
      </c>
      <c r="X164" s="10" t="e">
        <f>IF($F$14,IF($L164="","",IFERROR(VLOOKUP($L164,day_data!$A:$O,13,FALSE),0)),NA())</f>
        <v>#N/A</v>
      </c>
      <c r="Y164" s="10" t="e">
        <f>IF($F$15,IF($L164="","",IFERROR(VLOOKUP($L164,day_data!$A:$O,14,FALSE),0)),NA())</f>
        <v>#N/A</v>
      </c>
    </row>
    <row r="165" spans="12:25" x14ac:dyDescent="0.2">
      <c r="L165" s="9" t="str">
        <f t="shared" si="2"/>
        <v/>
      </c>
      <c r="M165" s="8" t="e">
        <f>IF($F$3,IF($L165="","",IFERROR(VLOOKUP($L165,day_data!$A:$O,2,FALSE),0)),NA())</f>
        <v>#N/A</v>
      </c>
      <c r="N165" s="8" t="str">
        <f>IF($F$4,IF($L165="","",IFERROR(VLOOKUP($L165,day_data!$A:$O,3,FALSE),0)),NA())</f>
        <v/>
      </c>
      <c r="O165" s="8" t="e">
        <f>IF($F$5,IF($L165="","",IFERROR(VLOOKUP($L165,day_data!$A:$O,4,FALSE),0)),NA())</f>
        <v>#N/A</v>
      </c>
      <c r="P165" s="8" t="e">
        <f>IF($F$6,IF($L165="","",IFERROR(VLOOKUP($L165,day_data!$A:$O,5,FALSE),0)),NA())</f>
        <v>#N/A</v>
      </c>
      <c r="Q165" s="8" t="e">
        <f>IF($F$7,IF($L165="","",IFERROR(VLOOKUP($L165,day_data!$A:$O,6,FALSE),0)),NA())</f>
        <v>#N/A</v>
      </c>
      <c r="R165" s="8" t="e">
        <f>IF($F$8,IF($L165="","",IFERROR(VLOOKUP($L165,day_data!$A:$O,7,FALSE),0)),NA())</f>
        <v>#N/A</v>
      </c>
      <c r="S165" s="8" t="e">
        <f>IF($F$9,IF($L165="","",IFERROR(VLOOKUP($L165,day_data!$A:$O,8,FALSE),0)),NA())</f>
        <v>#N/A</v>
      </c>
      <c r="T165" s="8" t="e">
        <f>IF($F$10,IF($L165="","",IFERROR(VLOOKUP($L165,day_data!$A:$O,9,FALSE),0)),NA())</f>
        <v>#N/A</v>
      </c>
      <c r="U165" s="8" t="e">
        <f>IF($F$11,IF($L165="","",IFERROR(VLOOKUP($L165,day_data!$A:$O,10,FALSE),0)),NA())</f>
        <v>#N/A</v>
      </c>
      <c r="V165" s="8" t="e">
        <f>IF($F$12,IF($L165="","",IFERROR(VLOOKUP($L165,day_data!$A:$O,11,FALSE),0)),NA())</f>
        <v>#N/A</v>
      </c>
      <c r="W165" s="8" t="e">
        <f>IF($F$13,IF($L165="","",IFERROR(VLOOKUP($L165,day_data!$A:$O,12,FALSE),0)),NA())</f>
        <v>#N/A</v>
      </c>
      <c r="X165" s="10" t="e">
        <f>IF($F$14,IF($L165="","",IFERROR(VLOOKUP($L165,day_data!$A:$O,13,FALSE),0)),NA())</f>
        <v>#N/A</v>
      </c>
      <c r="Y165" s="10" t="e">
        <f>IF($F$15,IF($L165="","",IFERROR(VLOOKUP($L165,day_data!$A:$O,14,FALSE),0)),NA())</f>
        <v>#N/A</v>
      </c>
    </row>
    <row r="166" spans="12:25" x14ac:dyDescent="0.2">
      <c r="L166" s="9" t="str">
        <f t="shared" si="2"/>
        <v/>
      </c>
      <c r="M166" s="8" t="e">
        <f>IF($F$3,IF($L166="","",IFERROR(VLOOKUP($L166,day_data!$A:$O,2,FALSE),0)),NA())</f>
        <v>#N/A</v>
      </c>
      <c r="N166" s="8" t="str">
        <f>IF($F$4,IF($L166="","",IFERROR(VLOOKUP($L166,day_data!$A:$O,3,FALSE),0)),NA())</f>
        <v/>
      </c>
      <c r="O166" s="8" t="e">
        <f>IF($F$5,IF($L166="","",IFERROR(VLOOKUP($L166,day_data!$A:$O,4,FALSE),0)),NA())</f>
        <v>#N/A</v>
      </c>
      <c r="P166" s="8" t="e">
        <f>IF($F$6,IF($L166="","",IFERROR(VLOOKUP($L166,day_data!$A:$O,5,FALSE),0)),NA())</f>
        <v>#N/A</v>
      </c>
      <c r="Q166" s="8" t="e">
        <f>IF($F$7,IF($L166="","",IFERROR(VLOOKUP($L166,day_data!$A:$O,6,FALSE),0)),NA())</f>
        <v>#N/A</v>
      </c>
      <c r="R166" s="8" t="e">
        <f>IF($F$8,IF($L166="","",IFERROR(VLOOKUP($L166,day_data!$A:$O,7,FALSE),0)),NA())</f>
        <v>#N/A</v>
      </c>
      <c r="S166" s="8" t="e">
        <f>IF($F$9,IF($L166="","",IFERROR(VLOOKUP($L166,day_data!$A:$O,8,FALSE),0)),NA())</f>
        <v>#N/A</v>
      </c>
      <c r="T166" s="8" t="e">
        <f>IF($F$10,IF($L166="","",IFERROR(VLOOKUP($L166,day_data!$A:$O,9,FALSE),0)),NA())</f>
        <v>#N/A</v>
      </c>
      <c r="U166" s="8" t="e">
        <f>IF($F$11,IF($L166="","",IFERROR(VLOOKUP($L166,day_data!$A:$O,10,FALSE),0)),NA())</f>
        <v>#N/A</v>
      </c>
      <c r="V166" s="8" t="e">
        <f>IF($F$12,IF($L166="","",IFERROR(VLOOKUP($L166,day_data!$A:$O,11,FALSE),0)),NA())</f>
        <v>#N/A</v>
      </c>
      <c r="W166" s="8" t="e">
        <f>IF($F$13,IF($L166="","",IFERROR(VLOOKUP($L166,day_data!$A:$O,12,FALSE),0)),NA())</f>
        <v>#N/A</v>
      </c>
      <c r="X166" s="10" t="e">
        <f>IF($F$14,IF($L166="","",IFERROR(VLOOKUP($L166,day_data!$A:$O,13,FALSE),0)),NA())</f>
        <v>#N/A</v>
      </c>
      <c r="Y166" s="10" t="e">
        <f>IF($F$15,IF($L166="","",IFERROR(VLOOKUP($L166,day_data!$A:$O,14,FALSE),0)),NA())</f>
        <v>#N/A</v>
      </c>
    </row>
    <row r="167" spans="12:25" x14ac:dyDescent="0.2">
      <c r="L167" s="9" t="str">
        <f t="shared" si="2"/>
        <v/>
      </c>
      <c r="M167" s="8" t="e">
        <f>IF($F$3,IF($L167="","",IFERROR(VLOOKUP($L167,day_data!$A:$O,2,FALSE),0)),NA())</f>
        <v>#N/A</v>
      </c>
      <c r="N167" s="8" t="str">
        <f>IF($F$4,IF($L167="","",IFERROR(VLOOKUP($L167,day_data!$A:$O,3,FALSE),0)),NA())</f>
        <v/>
      </c>
      <c r="O167" s="8" t="e">
        <f>IF($F$5,IF($L167="","",IFERROR(VLOOKUP($L167,day_data!$A:$O,4,FALSE),0)),NA())</f>
        <v>#N/A</v>
      </c>
      <c r="P167" s="8" t="e">
        <f>IF($F$6,IF($L167="","",IFERROR(VLOOKUP($L167,day_data!$A:$O,5,FALSE),0)),NA())</f>
        <v>#N/A</v>
      </c>
      <c r="Q167" s="8" t="e">
        <f>IF($F$7,IF($L167="","",IFERROR(VLOOKUP($L167,day_data!$A:$O,6,FALSE),0)),NA())</f>
        <v>#N/A</v>
      </c>
      <c r="R167" s="8" t="e">
        <f>IF($F$8,IF($L167="","",IFERROR(VLOOKUP($L167,day_data!$A:$O,7,FALSE),0)),NA())</f>
        <v>#N/A</v>
      </c>
      <c r="S167" s="8" t="e">
        <f>IF($F$9,IF($L167="","",IFERROR(VLOOKUP($L167,day_data!$A:$O,8,FALSE),0)),NA())</f>
        <v>#N/A</v>
      </c>
      <c r="T167" s="8" t="e">
        <f>IF($F$10,IF($L167="","",IFERROR(VLOOKUP($L167,day_data!$A:$O,9,FALSE),0)),NA())</f>
        <v>#N/A</v>
      </c>
      <c r="U167" s="8" t="e">
        <f>IF($F$11,IF($L167="","",IFERROR(VLOOKUP($L167,day_data!$A:$O,10,FALSE),0)),NA())</f>
        <v>#N/A</v>
      </c>
      <c r="V167" s="8" t="e">
        <f>IF($F$12,IF($L167="","",IFERROR(VLOOKUP($L167,day_data!$A:$O,11,FALSE),0)),NA())</f>
        <v>#N/A</v>
      </c>
      <c r="W167" s="8" t="e">
        <f>IF($F$13,IF($L167="","",IFERROR(VLOOKUP($L167,day_data!$A:$O,12,FALSE),0)),NA())</f>
        <v>#N/A</v>
      </c>
      <c r="X167" s="10" t="e">
        <f>IF($F$14,IF($L167="","",IFERROR(VLOOKUP($L167,day_data!$A:$O,13,FALSE),0)),NA())</f>
        <v>#N/A</v>
      </c>
      <c r="Y167" s="10" t="e">
        <f>IF($F$15,IF($L167="","",IFERROR(VLOOKUP($L167,day_data!$A:$O,14,FALSE),0)),NA())</f>
        <v>#N/A</v>
      </c>
    </row>
    <row r="168" spans="12:25" x14ac:dyDescent="0.2">
      <c r="L168" s="9" t="str">
        <f t="shared" si="2"/>
        <v/>
      </c>
      <c r="M168" s="8" t="e">
        <f>IF($F$3,IF($L168="","",IFERROR(VLOOKUP($L168,day_data!$A:$O,2,FALSE),0)),NA())</f>
        <v>#N/A</v>
      </c>
      <c r="N168" s="8" t="str">
        <f>IF($F$4,IF($L168="","",IFERROR(VLOOKUP($L168,day_data!$A:$O,3,FALSE),0)),NA())</f>
        <v/>
      </c>
      <c r="O168" s="8" t="e">
        <f>IF($F$5,IF($L168="","",IFERROR(VLOOKUP($L168,day_data!$A:$O,4,FALSE),0)),NA())</f>
        <v>#N/A</v>
      </c>
      <c r="P168" s="8" t="e">
        <f>IF($F$6,IF($L168="","",IFERROR(VLOOKUP($L168,day_data!$A:$O,5,FALSE),0)),NA())</f>
        <v>#N/A</v>
      </c>
      <c r="Q168" s="8" t="e">
        <f>IF($F$7,IF($L168="","",IFERROR(VLOOKUP($L168,day_data!$A:$O,6,FALSE),0)),NA())</f>
        <v>#N/A</v>
      </c>
      <c r="R168" s="8" t="e">
        <f>IF($F$8,IF($L168="","",IFERROR(VLOOKUP($L168,day_data!$A:$O,7,FALSE),0)),NA())</f>
        <v>#N/A</v>
      </c>
      <c r="S168" s="8" t="e">
        <f>IF($F$9,IF($L168="","",IFERROR(VLOOKUP($L168,day_data!$A:$O,8,FALSE),0)),NA())</f>
        <v>#N/A</v>
      </c>
      <c r="T168" s="8" t="e">
        <f>IF($F$10,IF($L168="","",IFERROR(VLOOKUP($L168,day_data!$A:$O,9,FALSE),0)),NA())</f>
        <v>#N/A</v>
      </c>
      <c r="U168" s="8" t="e">
        <f>IF($F$11,IF($L168="","",IFERROR(VLOOKUP($L168,day_data!$A:$O,10,FALSE),0)),NA())</f>
        <v>#N/A</v>
      </c>
      <c r="V168" s="8" t="e">
        <f>IF($F$12,IF($L168="","",IFERROR(VLOOKUP($L168,day_data!$A:$O,11,FALSE),0)),NA())</f>
        <v>#N/A</v>
      </c>
      <c r="W168" s="8" t="e">
        <f>IF($F$13,IF($L168="","",IFERROR(VLOOKUP($L168,day_data!$A:$O,12,FALSE),0)),NA())</f>
        <v>#N/A</v>
      </c>
      <c r="X168" s="10" t="e">
        <f>IF($F$14,IF($L168="","",IFERROR(VLOOKUP($L168,day_data!$A:$O,13,FALSE),0)),NA())</f>
        <v>#N/A</v>
      </c>
      <c r="Y168" s="10" t="e">
        <f>IF($F$15,IF($L168="","",IFERROR(VLOOKUP($L168,day_data!$A:$O,14,FALSE),0)),NA())</f>
        <v>#N/A</v>
      </c>
    </row>
    <row r="169" spans="12:25" x14ac:dyDescent="0.2">
      <c r="L169" s="9" t="str">
        <f t="shared" si="2"/>
        <v/>
      </c>
      <c r="M169" s="8" t="e">
        <f>IF($F$3,IF($L169="","",IFERROR(VLOOKUP($L169,day_data!$A:$O,2,FALSE),0)),NA())</f>
        <v>#N/A</v>
      </c>
      <c r="N169" s="8" t="str">
        <f>IF($F$4,IF($L169="","",IFERROR(VLOOKUP($L169,day_data!$A:$O,3,FALSE),0)),NA())</f>
        <v/>
      </c>
      <c r="O169" s="8" t="e">
        <f>IF($F$5,IF($L169="","",IFERROR(VLOOKUP($L169,day_data!$A:$O,4,FALSE),0)),NA())</f>
        <v>#N/A</v>
      </c>
      <c r="P169" s="8" t="e">
        <f>IF($F$6,IF($L169="","",IFERROR(VLOOKUP($L169,day_data!$A:$O,5,FALSE),0)),NA())</f>
        <v>#N/A</v>
      </c>
      <c r="Q169" s="8" t="e">
        <f>IF($F$7,IF($L169="","",IFERROR(VLOOKUP($L169,day_data!$A:$O,6,FALSE),0)),NA())</f>
        <v>#N/A</v>
      </c>
      <c r="R169" s="8" t="e">
        <f>IF($F$8,IF($L169="","",IFERROR(VLOOKUP($L169,day_data!$A:$O,7,FALSE),0)),NA())</f>
        <v>#N/A</v>
      </c>
      <c r="S169" s="8" t="e">
        <f>IF($F$9,IF($L169="","",IFERROR(VLOOKUP($L169,day_data!$A:$O,8,FALSE),0)),NA())</f>
        <v>#N/A</v>
      </c>
      <c r="T169" s="8" t="e">
        <f>IF($F$10,IF($L169="","",IFERROR(VLOOKUP($L169,day_data!$A:$O,9,FALSE),0)),NA())</f>
        <v>#N/A</v>
      </c>
      <c r="U169" s="8" t="e">
        <f>IF($F$11,IF($L169="","",IFERROR(VLOOKUP($L169,day_data!$A:$O,10,FALSE),0)),NA())</f>
        <v>#N/A</v>
      </c>
      <c r="V169" s="8" t="e">
        <f>IF($F$12,IF($L169="","",IFERROR(VLOOKUP($L169,day_data!$A:$O,11,FALSE),0)),NA())</f>
        <v>#N/A</v>
      </c>
      <c r="W169" s="8" t="e">
        <f>IF($F$13,IF($L169="","",IFERROR(VLOOKUP($L169,day_data!$A:$O,12,FALSE),0)),NA())</f>
        <v>#N/A</v>
      </c>
      <c r="X169" s="10" t="e">
        <f>IF($F$14,IF($L169="","",IFERROR(VLOOKUP($L169,day_data!$A:$O,13,FALSE),0)),NA())</f>
        <v>#N/A</v>
      </c>
      <c r="Y169" s="10" t="e">
        <f>IF($F$15,IF($L169="","",IFERROR(VLOOKUP($L169,day_data!$A:$O,14,FALSE),0)),NA())</f>
        <v>#N/A</v>
      </c>
    </row>
    <row r="170" spans="12:25" x14ac:dyDescent="0.2">
      <c r="L170" s="9" t="str">
        <f t="shared" si="2"/>
        <v/>
      </c>
      <c r="M170" s="8" t="e">
        <f>IF($F$3,IF($L170="","",IFERROR(VLOOKUP($L170,day_data!$A:$O,2,FALSE),0)),NA())</f>
        <v>#N/A</v>
      </c>
      <c r="N170" s="8" t="str">
        <f>IF($F$4,IF($L170="","",IFERROR(VLOOKUP($L170,day_data!$A:$O,3,FALSE),0)),NA())</f>
        <v/>
      </c>
      <c r="O170" s="8" t="e">
        <f>IF($F$5,IF($L170="","",IFERROR(VLOOKUP($L170,day_data!$A:$O,4,FALSE),0)),NA())</f>
        <v>#N/A</v>
      </c>
      <c r="P170" s="8" t="e">
        <f>IF($F$6,IF($L170="","",IFERROR(VLOOKUP($L170,day_data!$A:$O,5,FALSE),0)),NA())</f>
        <v>#N/A</v>
      </c>
      <c r="Q170" s="8" t="e">
        <f>IF($F$7,IF($L170="","",IFERROR(VLOOKUP($L170,day_data!$A:$O,6,FALSE),0)),NA())</f>
        <v>#N/A</v>
      </c>
      <c r="R170" s="8" t="e">
        <f>IF($F$8,IF($L170="","",IFERROR(VLOOKUP($L170,day_data!$A:$O,7,FALSE),0)),NA())</f>
        <v>#N/A</v>
      </c>
      <c r="S170" s="8" t="e">
        <f>IF($F$9,IF($L170="","",IFERROR(VLOOKUP($L170,day_data!$A:$O,8,FALSE),0)),NA())</f>
        <v>#N/A</v>
      </c>
      <c r="T170" s="8" t="e">
        <f>IF($F$10,IF($L170="","",IFERROR(VLOOKUP($L170,day_data!$A:$O,9,FALSE),0)),NA())</f>
        <v>#N/A</v>
      </c>
      <c r="U170" s="8" t="e">
        <f>IF($F$11,IF($L170="","",IFERROR(VLOOKUP($L170,day_data!$A:$O,10,FALSE),0)),NA())</f>
        <v>#N/A</v>
      </c>
      <c r="V170" s="8" t="e">
        <f>IF($F$12,IF($L170="","",IFERROR(VLOOKUP($L170,day_data!$A:$O,11,FALSE),0)),NA())</f>
        <v>#N/A</v>
      </c>
      <c r="W170" s="8" t="e">
        <f>IF($F$13,IF($L170="","",IFERROR(VLOOKUP($L170,day_data!$A:$O,12,FALSE),0)),NA())</f>
        <v>#N/A</v>
      </c>
      <c r="X170" s="10" t="e">
        <f>IF($F$14,IF($L170="","",IFERROR(VLOOKUP($L170,day_data!$A:$O,13,FALSE),0)),NA())</f>
        <v>#N/A</v>
      </c>
      <c r="Y170" s="10" t="e">
        <f>IF($F$15,IF($L170="","",IFERROR(VLOOKUP($L170,day_data!$A:$O,14,FALSE),0)),NA())</f>
        <v>#N/A</v>
      </c>
    </row>
    <row r="171" spans="12:25" x14ac:dyDescent="0.2">
      <c r="L171" s="9" t="str">
        <f t="shared" si="2"/>
        <v/>
      </c>
      <c r="M171" s="8" t="e">
        <f>IF($F$3,IF($L171="","",IFERROR(VLOOKUP($L171,day_data!$A:$O,2,FALSE),0)),NA())</f>
        <v>#N/A</v>
      </c>
      <c r="N171" s="8" t="str">
        <f>IF($F$4,IF($L171="","",IFERROR(VLOOKUP($L171,day_data!$A:$O,3,FALSE),0)),NA())</f>
        <v/>
      </c>
      <c r="O171" s="8" t="e">
        <f>IF($F$5,IF($L171="","",IFERROR(VLOOKUP($L171,day_data!$A:$O,4,FALSE),0)),NA())</f>
        <v>#N/A</v>
      </c>
      <c r="P171" s="8" t="e">
        <f>IF($F$6,IF($L171="","",IFERROR(VLOOKUP($L171,day_data!$A:$O,5,FALSE),0)),NA())</f>
        <v>#N/A</v>
      </c>
      <c r="Q171" s="8" t="e">
        <f>IF($F$7,IF($L171="","",IFERROR(VLOOKUP($L171,day_data!$A:$O,6,FALSE),0)),NA())</f>
        <v>#N/A</v>
      </c>
      <c r="R171" s="8" t="e">
        <f>IF($F$8,IF($L171="","",IFERROR(VLOOKUP($L171,day_data!$A:$O,7,FALSE),0)),NA())</f>
        <v>#N/A</v>
      </c>
      <c r="S171" s="8" t="e">
        <f>IF($F$9,IF($L171="","",IFERROR(VLOOKUP($L171,day_data!$A:$O,8,FALSE),0)),NA())</f>
        <v>#N/A</v>
      </c>
      <c r="T171" s="8" t="e">
        <f>IF($F$10,IF($L171="","",IFERROR(VLOOKUP($L171,day_data!$A:$O,9,FALSE),0)),NA())</f>
        <v>#N/A</v>
      </c>
      <c r="U171" s="8" t="e">
        <f>IF($F$11,IF($L171="","",IFERROR(VLOOKUP($L171,day_data!$A:$O,10,FALSE),0)),NA())</f>
        <v>#N/A</v>
      </c>
      <c r="V171" s="8" t="e">
        <f>IF($F$12,IF($L171="","",IFERROR(VLOOKUP($L171,day_data!$A:$O,11,FALSE),0)),NA())</f>
        <v>#N/A</v>
      </c>
      <c r="W171" s="8" t="e">
        <f>IF($F$13,IF($L171="","",IFERROR(VLOOKUP($L171,day_data!$A:$O,12,FALSE),0)),NA())</f>
        <v>#N/A</v>
      </c>
      <c r="X171" s="10" t="e">
        <f>IF($F$14,IF($L171="","",IFERROR(VLOOKUP($L171,day_data!$A:$O,13,FALSE),0)),NA())</f>
        <v>#N/A</v>
      </c>
      <c r="Y171" s="10" t="e">
        <f>IF($F$15,IF($L171="","",IFERROR(VLOOKUP($L171,day_data!$A:$O,14,FALSE),0)),NA())</f>
        <v>#N/A</v>
      </c>
    </row>
    <row r="172" spans="12:25" x14ac:dyDescent="0.2">
      <c r="L172" s="9" t="str">
        <f t="shared" si="2"/>
        <v/>
      </c>
      <c r="M172" s="8" t="e">
        <f>IF($F$3,IF($L172="","",IFERROR(VLOOKUP($L172,day_data!$A:$O,2,FALSE),0)),NA())</f>
        <v>#N/A</v>
      </c>
      <c r="N172" s="8" t="str">
        <f>IF($F$4,IF($L172="","",IFERROR(VLOOKUP($L172,day_data!$A:$O,3,FALSE),0)),NA())</f>
        <v/>
      </c>
      <c r="O172" s="8" t="e">
        <f>IF($F$5,IF($L172="","",IFERROR(VLOOKUP($L172,day_data!$A:$O,4,FALSE),0)),NA())</f>
        <v>#N/A</v>
      </c>
      <c r="P172" s="8" t="e">
        <f>IF($F$6,IF($L172="","",IFERROR(VLOOKUP($L172,day_data!$A:$O,5,FALSE),0)),NA())</f>
        <v>#N/A</v>
      </c>
      <c r="Q172" s="8" t="e">
        <f>IF($F$7,IF($L172="","",IFERROR(VLOOKUP($L172,day_data!$A:$O,6,FALSE),0)),NA())</f>
        <v>#N/A</v>
      </c>
      <c r="R172" s="8" t="e">
        <f>IF($F$8,IF($L172="","",IFERROR(VLOOKUP($L172,day_data!$A:$O,7,FALSE),0)),NA())</f>
        <v>#N/A</v>
      </c>
      <c r="S172" s="8" t="e">
        <f>IF($F$9,IF($L172="","",IFERROR(VLOOKUP($L172,day_data!$A:$O,8,FALSE),0)),NA())</f>
        <v>#N/A</v>
      </c>
      <c r="T172" s="8" t="e">
        <f>IF($F$10,IF($L172="","",IFERROR(VLOOKUP($L172,day_data!$A:$O,9,FALSE),0)),NA())</f>
        <v>#N/A</v>
      </c>
      <c r="U172" s="8" t="e">
        <f>IF($F$11,IF($L172="","",IFERROR(VLOOKUP($L172,day_data!$A:$O,10,FALSE),0)),NA())</f>
        <v>#N/A</v>
      </c>
      <c r="V172" s="8" t="e">
        <f>IF($F$12,IF($L172="","",IFERROR(VLOOKUP($L172,day_data!$A:$O,11,FALSE),0)),NA())</f>
        <v>#N/A</v>
      </c>
      <c r="W172" s="8" t="e">
        <f>IF($F$13,IF($L172="","",IFERROR(VLOOKUP($L172,day_data!$A:$O,12,FALSE),0)),NA())</f>
        <v>#N/A</v>
      </c>
      <c r="X172" s="10" t="e">
        <f>IF($F$14,IF($L172="","",IFERROR(VLOOKUP($L172,day_data!$A:$O,13,FALSE),0)),NA())</f>
        <v>#N/A</v>
      </c>
      <c r="Y172" s="10" t="e">
        <f>IF($F$15,IF($L172="","",IFERROR(VLOOKUP($L172,day_data!$A:$O,14,FALSE),0)),NA())</f>
        <v>#N/A</v>
      </c>
    </row>
    <row r="173" spans="12:25" x14ac:dyDescent="0.2">
      <c r="L173" s="9" t="str">
        <f t="shared" si="2"/>
        <v/>
      </c>
      <c r="M173" s="8" t="e">
        <f>IF($F$3,IF($L173="","",IFERROR(VLOOKUP($L173,day_data!$A:$O,2,FALSE),0)),NA())</f>
        <v>#N/A</v>
      </c>
      <c r="N173" s="8" t="str">
        <f>IF($F$4,IF($L173="","",IFERROR(VLOOKUP($L173,day_data!$A:$O,3,FALSE),0)),NA())</f>
        <v/>
      </c>
      <c r="O173" s="8" t="e">
        <f>IF($F$5,IF($L173="","",IFERROR(VLOOKUP($L173,day_data!$A:$O,4,FALSE),0)),NA())</f>
        <v>#N/A</v>
      </c>
      <c r="P173" s="8" t="e">
        <f>IF($F$6,IF($L173="","",IFERROR(VLOOKUP($L173,day_data!$A:$O,5,FALSE),0)),NA())</f>
        <v>#N/A</v>
      </c>
      <c r="Q173" s="8" t="e">
        <f>IF($F$7,IF($L173="","",IFERROR(VLOOKUP($L173,day_data!$A:$O,6,FALSE),0)),NA())</f>
        <v>#N/A</v>
      </c>
      <c r="R173" s="8" t="e">
        <f>IF($F$8,IF($L173="","",IFERROR(VLOOKUP($L173,day_data!$A:$O,7,FALSE),0)),NA())</f>
        <v>#N/A</v>
      </c>
      <c r="S173" s="8" t="e">
        <f>IF($F$9,IF($L173="","",IFERROR(VLOOKUP($L173,day_data!$A:$O,8,FALSE),0)),NA())</f>
        <v>#N/A</v>
      </c>
      <c r="T173" s="8" t="e">
        <f>IF($F$10,IF($L173="","",IFERROR(VLOOKUP($L173,day_data!$A:$O,9,FALSE),0)),NA())</f>
        <v>#N/A</v>
      </c>
      <c r="U173" s="8" t="e">
        <f>IF($F$11,IF($L173="","",IFERROR(VLOOKUP($L173,day_data!$A:$O,10,FALSE),0)),NA())</f>
        <v>#N/A</v>
      </c>
      <c r="V173" s="8" t="e">
        <f>IF($F$12,IF($L173="","",IFERROR(VLOOKUP($L173,day_data!$A:$O,11,FALSE),0)),NA())</f>
        <v>#N/A</v>
      </c>
      <c r="W173" s="8" t="e">
        <f>IF($F$13,IF($L173="","",IFERROR(VLOOKUP($L173,day_data!$A:$O,12,FALSE),0)),NA())</f>
        <v>#N/A</v>
      </c>
      <c r="X173" s="10" t="e">
        <f>IF($F$14,IF($L173="","",IFERROR(VLOOKUP($L173,day_data!$A:$O,13,FALSE),0)),NA())</f>
        <v>#N/A</v>
      </c>
      <c r="Y173" s="10" t="e">
        <f>IF($F$15,IF($L173="","",IFERROR(VLOOKUP($L173,day_data!$A:$O,14,FALSE),0)),NA())</f>
        <v>#N/A</v>
      </c>
    </row>
    <row r="174" spans="12:25" x14ac:dyDescent="0.2">
      <c r="L174" s="9" t="str">
        <f t="shared" si="2"/>
        <v/>
      </c>
      <c r="M174" s="8" t="e">
        <f>IF($F$3,IF($L174="","",IFERROR(VLOOKUP($L174,day_data!$A:$O,2,FALSE),0)),NA())</f>
        <v>#N/A</v>
      </c>
      <c r="N174" s="8" t="str">
        <f>IF($F$4,IF($L174="","",IFERROR(VLOOKUP($L174,day_data!$A:$O,3,FALSE),0)),NA())</f>
        <v/>
      </c>
      <c r="O174" s="8" t="e">
        <f>IF($F$5,IF($L174="","",IFERROR(VLOOKUP($L174,day_data!$A:$O,4,FALSE),0)),NA())</f>
        <v>#N/A</v>
      </c>
      <c r="P174" s="8" t="e">
        <f>IF($F$6,IF($L174="","",IFERROR(VLOOKUP($L174,day_data!$A:$O,5,FALSE),0)),NA())</f>
        <v>#N/A</v>
      </c>
      <c r="Q174" s="8" t="e">
        <f>IF($F$7,IF($L174="","",IFERROR(VLOOKUP($L174,day_data!$A:$O,6,FALSE),0)),NA())</f>
        <v>#N/A</v>
      </c>
      <c r="R174" s="8" t="e">
        <f>IF($F$8,IF($L174="","",IFERROR(VLOOKUP($L174,day_data!$A:$O,7,FALSE),0)),NA())</f>
        <v>#N/A</v>
      </c>
      <c r="S174" s="8" t="e">
        <f>IF($F$9,IF($L174="","",IFERROR(VLOOKUP($L174,day_data!$A:$O,8,FALSE),0)),NA())</f>
        <v>#N/A</v>
      </c>
      <c r="T174" s="8" t="e">
        <f>IF($F$10,IF($L174="","",IFERROR(VLOOKUP($L174,day_data!$A:$O,9,FALSE),0)),NA())</f>
        <v>#N/A</v>
      </c>
      <c r="U174" s="8" t="e">
        <f>IF($F$11,IF($L174="","",IFERROR(VLOOKUP($L174,day_data!$A:$O,10,FALSE),0)),NA())</f>
        <v>#N/A</v>
      </c>
      <c r="V174" s="8" t="e">
        <f>IF($F$12,IF($L174="","",IFERROR(VLOOKUP($L174,day_data!$A:$O,11,FALSE),0)),NA())</f>
        <v>#N/A</v>
      </c>
      <c r="W174" s="8" t="e">
        <f>IF($F$13,IF($L174="","",IFERROR(VLOOKUP($L174,day_data!$A:$O,12,FALSE),0)),NA())</f>
        <v>#N/A</v>
      </c>
      <c r="X174" s="10" t="e">
        <f>IF($F$14,IF($L174="","",IFERROR(VLOOKUP($L174,day_data!$A:$O,13,FALSE),0)),NA())</f>
        <v>#N/A</v>
      </c>
      <c r="Y174" s="10" t="e">
        <f>IF($F$15,IF($L174="","",IFERROR(VLOOKUP($L174,day_data!$A:$O,14,FALSE),0)),NA())</f>
        <v>#N/A</v>
      </c>
    </row>
    <row r="175" spans="12:25" x14ac:dyDescent="0.2">
      <c r="L175" s="9" t="str">
        <f t="shared" si="2"/>
        <v/>
      </c>
      <c r="M175" s="8" t="e">
        <f>IF($F$3,IF($L175="","",IFERROR(VLOOKUP($L175,day_data!$A:$O,2,FALSE),0)),NA())</f>
        <v>#N/A</v>
      </c>
      <c r="N175" s="8" t="str">
        <f>IF($F$4,IF($L175="","",IFERROR(VLOOKUP($L175,day_data!$A:$O,3,FALSE),0)),NA())</f>
        <v/>
      </c>
      <c r="O175" s="8" t="e">
        <f>IF($F$5,IF($L175="","",IFERROR(VLOOKUP($L175,day_data!$A:$O,4,FALSE),0)),NA())</f>
        <v>#N/A</v>
      </c>
      <c r="P175" s="8" t="e">
        <f>IF($F$6,IF($L175="","",IFERROR(VLOOKUP($L175,day_data!$A:$O,5,FALSE),0)),NA())</f>
        <v>#N/A</v>
      </c>
      <c r="Q175" s="8" t="e">
        <f>IF($F$7,IF($L175="","",IFERROR(VLOOKUP($L175,day_data!$A:$O,6,FALSE),0)),NA())</f>
        <v>#N/A</v>
      </c>
      <c r="R175" s="8" t="e">
        <f>IF($F$8,IF($L175="","",IFERROR(VLOOKUP($L175,day_data!$A:$O,7,FALSE),0)),NA())</f>
        <v>#N/A</v>
      </c>
      <c r="S175" s="8" t="e">
        <f>IF($F$9,IF($L175="","",IFERROR(VLOOKUP($L175,day_data!$A:$O,8,FALSE),0)),NA())</f>
        <v>#N/A</v>
      </c>
      <c r="T175" s="8" t="e">
        <f>IF($F$10,IF($L175="","",IFERROR(VLOOKUP($L175,day_data!$A:$O,9,FALSE),0)),NA())</f>
        <v>#N/A</v>
      </c>
      <c r="U175" s="8" t="e">
        <f>IF($F$11,IF($L175="","",IFERROR(VLOOKUP($L175,day_data!$A:$O,10,FALSE),0)),NA())</f>
        <v>#N/A</v>
      </c>
      <c r="V175" s="8" t="e">
        <f>IF($F$12,IF($L175="","",IFERROR(VLOOKUP($L175,day_data!$A:$O,11,FALSE),0)),NA())</f>
        <v>#N/A</v>
      </c>
      <c r="W175" s="8" t="e">
        <f>IF($F$13,IF($L175="","",IFERROR(VLOOKUP($L175,day_data!$A:$O,12,FALSE),0)),NA())</f>
        <v>#N/A</v>
      </c>
      <c r="X175" s="10" t="e">
        <f>IF($F$14,IF($L175="","",IFERROR(VLOOKUP($L175,day_data!$A:$O,13,FALSE),0)),NA())</f>
        <v>#N/A</v>
      </c>
      <c r="Y175" s="10" t="e">
        <f>IF($F$15,IF($L175="","",IFERROR(VLOOKUP($L175,day_data!$A:$O,14,FALSE),0)),NA())</f>
        <v>#N/A</v>
      </c>
    </row>
    <row r="176" spans="12:25" x14ac:dyDescent="0.2">
      <c r="L176" s="9" t="str">
        <f t="shared" si="2"/>
        <v/>
      </c>
      <c r="M176" s="8" t="e">
        <f>IF($F$3,IF($L176="","",IFERROR(VLOOKUP($L176,day_data!$A:$O,2,FALSE),0)),NA())</f>
        <v>#N/A</v>
      </c>
      <c r="N176" s="8" t="str">
        <f>IF($F$4,IF($L176="","",IFERROR(VLOOKUP($L176,day_data!$A:$O,3,FALSE),0)),NA())</f>
        <v/>
      </c>
      <c r="O176" s="8" t="e">
        <f>IF($F$5,IF($L176="","",IFERROR(VLOOKUP($L176,day_data!$A:$O,4,FALSE),0)),NA())</f>
        <v>#N/A</v>
      </c>
      <c r="P176" s="8" t="e">
        <f>IF($F$6,IF($L176="","",IFERROR(VLOOKUP($L176,day_data!$A:$O,5,FALSE),0)),NA())</f>
        <v>#N/A</v>
      </c>
      <c r="Q176" s="8" t="e">
        <f>IF($F$7,IF($L176="","",IFERROR(VLOOKUP($L176,day_data!$A:$O,6,FALSE),0)),NA())</f>
        <v>#N/A</v>
      </c>
      <c r="R176" s="8" t="e">
        <f>IF($F$8,IF($L176="","",IFERROR(VLOOKUP($L176,day_data!$A:$O,7,FALSE),0)),NA())</f>
        <v>#N/A</v>
      </c>
      <c r="S176" s="8" t="e">
        <f>IF($F$9,IF($L176="","",IFERROR(VLOOKUP($L176,day_data!$A:$O,8,FALSE),0)),NA())</f>
        <v>#N/A</v>
      </c>
      <c r="T176" s="8" t="e">
        <f>IF($F$10,IF($L176="","",IFERROR(VLOOKUP($L176,day_data!$A:$O,9,FALSE),0)),NA())</f>
        <v>#N/A</v>
      </c>
      <c r="U176" s="8" t="e">
        <f>IF($F$11,IF($L176="","",IFERROR(VLOOKUP($L176,day_data!$A:$O,10,FALSE),0)),NA())</f>
        <v>#N/A</v>
      </c>
      <c r="V176" s="8" t="e">
        <f>IF($F$12,IF($L176="","",IFERROR(VLOOKUP($L176,day_data!$A:$O,11,FALSE),0)),NA())</f>
        <v>#N/A</v>
      </c>
      <c r="W176" s="8" t="e">
        <f>IF($F$13,IF($L176="","",IFERROR(VLOOKUP($L176,day_data!$A:$O,12,FALSE),0)),NA())</f>
        <v>#N/A</v>
      </c>
      <c r="X176" s="10" t="e">
        <f>IF($F$14,IF($L176="","",IFERROR(VLOOKUP($L176,day_data!$A:$O,13,FALSE),0)),NA())</f>
        <v>#N/A</v>
      </c>
      <c r="Y176" s="10" t="e">
        <f>IF($F$15,IF($L176="","",IFERROR(VLOOKUP($L176,day_data!$A:$O,14,FALSE),0)),NA())</f>
        <v>#N/A</v>
      </c>
    </row>
    <row r="177" spans="12:25" x14ac:dyDescent="0.2">
      <c r="L177" s="9" t="str">
        <f t="shared" si="2"/>
        <v/>
      </c>
      <c r="M177" s="8" t="e">
        <f>IF($F$3,IF($L177="","",IFERROR(VLOOKUP($L177,day_data!$A:$O,2,FALSE),0)),NA())</f>
        <v>#N/A</v>
      </c>
      <c r="N177" s="8" t="str">
        <f>IF($F$4,IF($L177="","",IFERROR(VLOOKUP($L177,day_data!$A:$O,3,FALSE),0)),NA())</f>
        <v/>
      </c>
      <c r="O177" s="8" t="e">
        <f>IF($F$5,IF($L177="","",IFERROR(VLOOKUP($L177,day_data!$A:$O,4,FALSE),0)),NA())</f>
        <v>#N/A</v>
      </c>
      <c r="P177" s="8" t="e">
        <f>IF($F$6,IF($L177="","",IFERROR(VLOOKUP($L177,day_data!$A:$O,5,FALSE),0)),NA())</f>
        <v>#N/A</v>
      </c>
      <c r="Q177" s="8" t="e">
        <f>IF($F$7,IF($L177="","",IFERROR(VLOOKUP($L177,day_data!$A:$O,6,FALSE),0)),NA())</f>
        <v>#N/A</v>
      </c>
      <c r="R177" s="8" t="e">
        <f>IF($F$8,IF($L177="","",IFERROR(VLOOKUP($L177,day_data!$A:$O,7,FALSE),0)),NA())</f>
        <v>#N/A</v>
      </c>
      <c r="S177" s="8" t="e">
        <f>IF($F$9,IF($L177="","",IFERROR(VLOOKUP($L177,day_data!$A:$O,8,FALSE),0)),NA())</f>
        <v>#N/A</v>
      </c>
      <c r="T177" s="8" t="e">
        <f>IF($F$10,IF($L177="","",IFERROR(VLOOKUP($L177,day_data!$A:$O,9,FALSE),0)),NA())</f>
        <v>#N/A</v>
      </c>
      <c r="U177" s="8" t="e">
        <f>IF($F$11,IF($L177="","",IFERROR(VLOOKUP($L177,day_data!$A:$O,10,FALSE),0)),NA())</f>
        <v>#N/A</v>
      </c>
      <c r="V177" s="8" t="e">
        <f>IF($F$12,IF($L177="","",IFERROR(VLOOKUP($L177,day_data!$A:$O,11,FALSE),0)),NA())</f>
        <v>#N/A</v>
      </c>
      <c r="W177" s="8" t="e">
        <f>IF($F$13,IF($L177="","",IFERROR(VLOOKUP($L177,day_data!$A:$O,12,FALSE),0)),NA())</f>
        <v>#N/A</v>
      </c>
      <c r="X177" s="10" t="e">
        <f>IF($F$14,IF($L177="","",IFERROR(VLOOKUP($L177,day_data!$A:$O,13,FALSE),0)),NA())</f>
        <v>#N/A</v>
      </c>
      <c r="Y177" s="10" t="e">
        <f>IF($F$15,IF($L177="","",IFERROR(VLOOKUP($L177,day_data!$A:$O,14,FALSE),0)),NA())</f>
        <v>#N/A</v>
      </c>
    </row>
    <row r="178" spans="12:25" x14ac:dyDescent="0.2">
      <c r="L178" s="9" t="str">
        <f t="shared" si="2"/>
        <v/>
      </c>
      <c r="M178" s="8" t="e">
        <f>IF($F$3,IF($L178="","",IFERROR(VLOOKUP($L178,day_data!$A:$O,2,FALSE),0)),NA())</f>
        <v>#N/A</v>
      </c>
      <c r="N178" s="8" t="str">
        <f>IF($F$4,IF($L178="","",IFERROR(VLOOKUP($L178,day_data!$A:$O,3,FALSE),0)),NA())</f>
        <v/>
      </c>
      <c r="O178" s="8" t="e">
        <f>IF($F$5,IF($L178="","",IFERROR(VLOOKUP($L178,day_data!$A:$O,4,FALSE),0)),NA())</f>
        <v>#N/A</v>
      </c>
      <c r="P178" s="8" t="e">
        <f>IF($F$6,IF($L178="","",IFERROR(VLOOKUP($L178,day_data!$A:$O,5,FALSE),0)),NA())</f>
        <v>#N/A</v>
      </c>
      <c r="Q178" s="8" t="e">
        <f>IF($F$7,IF($L178="","",IFERROR(VLOOKUP($L178,day_data!$A:$O,6,FALSE),0)),NA())</f>
        <v>#N/A</v>
      </c>
      <c r="R178" s="8" t="e">
        <f>IF($F$8,IF($L178="","",IFERROR(VLOOKUP($L178,day_data!$A:$O,7,FALSE),0)),NA())</f>
        <v>#N/A</v>
      </c>
      <c r="S178" s="8" t="e">
        <f>IF($F$9,IF($L178="","",IFERROR(VLOOKUP($L178,day_data!$A:$O,8,FALSE),0)),NA())</f>
        <v>#N/A</v>
      </c>
      <c r="T178" s="8" t="e">
        <f>IF($F$10,IF($L178="","",IFERROR(VLOOKUP($L178,day_data!$A:$O,9,FALSE),0)),NA())</f>
        <v>#N/A</v>
      </c>
      <c r="U178" s="8" t="e">
        <f>IF($F$11,IF($L178="","",IFERROR(VLOOKUP($L178,day_data!$A:$O,10,FALSE),0)),NA())</f>
        <v>#N/A</v>
      </c>
      <c r="V178" s="8" t="e">
        <f>IF($F$12,IF($L178="","",IFERROR(VLOOKUP($L178,day_data!$A:$O,11,FALSE),0)),NA())</f>
        <v>#N/A</v>
      </c>
      <c r="W178" s="8" t="e">
        <f>IF($F$13,IF($L178="","",IFERROR(VLOOKUP($L178,day_data!$A:$O,12,FALSE),0)),NA())</f>
        <v>#N/A</v>
      </c>
      <c r="X178" s="10" t="e">
        <f>IF($F$14,IF($L178="","",IFERROR(VLOOKUP($L178,day_data!$A:$O,13,FALSE),0)),NA())</f>
        <v>#N/A</v>
      </c>
      <c r="Y178" s="10" t="e">
        <f>IF($F$15,IF($L178="","",IFERROR(VLOOKUP($L178,day_data!$A:$O,14,FALSE),0)),NA())</f>
        <v>#N/A</v>
      </c>
    </row>
    <row r="179" spans="12:25" x14ac:dyDescent="0.2">
      <c r="L179" s="9" t="str">
        <f t="shared" si="2"/>
        <v/>
      </c>
      <c r="M179" s="8" t="e">
        <f>IF($F$3,IF($L179="","",IFERROR(VLOOKUP($L179,day_data!$A:$O,2,FALSE),0)),NA())</f>
        <v>#N/A</v>
      </c>
      <c r="N179" s="8" t="str">
        <f>IF($F$4,IF($L179="","",IFERROR(VLOOKUP($L179,day_data!$A:$O,3,FALSE),0)),NA())</f>
        <v/>
      </c>
      <c r="O179" s="8" t="e">
        <f>IF($F$5,IF($L179="","",IFERROR(VLOOKUP($L179,day_data!$A:$O,4,FALSE),0)),NA())</f>
        <v>#N/A</v>
      </c>
      <c r="P179" s="8" t="e">
        <f>IF($F$6,IF($L179="","",IFERROR(VLOOKUP($L179,day_data!$A:$O,5,FALSE),0)),NA())</f>
        <v>#N/A</v>
      </c>
      <c r="Q179" s="8" t="e">
        <f>IF($F$7,IF($L179="","",IFERROR(VLOOKUP($L179,day_data!$A:$O,6,FALSE),0)),NA())</f>
        <v>#N/A</v>
      </c>
      <c r="R179" s="8" t="e">
        <f>IF($F$8,IF($L179="","",IFERROR(VLOOKUP($L179,day_data!$A:$O,7,FALSE),0)),NA())</f>
        <v>#N/A</v>
      </c>
      <c r="S179" s="8" t="e">
        <f>IF($F$9,IF($L179="","",IFERROR(VLOOKUP($L179,day_data!$A:$O,8,FALSE),0)),NA())</f>
        <v>#N/A</v>
      </c>
      <c r="T179" s="8" t="e">
        <f>IF($F$10,IF($L179="","",IFERROR(VLOOKUP($L179,day_data!$A:$O,9,FALSE),0)),NA())</f>
        <v>#N/A</v>
      </c>
      <c r="U179" s="8" t="e">
        <f>IF($F$11,IF($L179="","",IFERROR(VLOOKUP($L179,day_data!$A:$O,10,FALSE),0)),NA())</f>
        <v>#N/A</v>
      </c>
      <c r="V179" s="8" t="e">
        <f>IF($F$12,IF($L179="","",IFERROR(VLOOKUP($L179,day_data!$A:$O,11,FALSE),0)),NA())</f>
        <v>#N/A</v>
      </c>
      <c r="W179" s="8" t="e">
        <f>IF($F$13,IF($L179="","",IFERROR(VLOOKUP($L179,day_data!$A:$O,12,FALSE),0)),NA())</f>
        <v>#N/A</v>
      </c>
      <c r="X179" s="10" t="e">
        <f>IF($F$14,IF($L179="","",IFERROR(VLOOKUP($L179,day_data!$A:$O,13,FALSE),0)),NA())</f>
        <v>#N/A</v>
      </c>
      <c r="Y179" s="10" t="e">
        <f>IF($F$15,IF($L179="","",IFERROR(VLOOKUP($L179,day_data!$A:$O,14,FALSE),0)),NA())</f>
        <v>#N/A</v>
      </c>
    </row>
    <row r="180" spans="12:25" x14ac:dyDescent="0.2">
      <c r="L180" s="9" t="str">
        <f t="shared" si="2"/>
        <v/>
      </c>
      <c r="M180" s="8" t="e">
        <f>IF($F$3,IF($L180="","",IFERROR(VLOOKUP($L180,day_data!$A:$O,2,FALSE),0)),NA())</f>
        <v>#N/A</v>
      </c>
      <c r="N180" s="8" t="str">
        <f>IF($F$4,IF($L180="","",IFERROR(VLOOKUP($L180,day_data!$A:$O,3,FALSE),0)),NA())</f>
        <v/>
      </c>
      <c r="O180" s="8" t="e">
        <f>IF($F$5,IF($L180="","",IFERROR(VLOOKUP($L180,day_data!$A:$O,4,FALSE),0)),NA())</f>
        <v>#N/A</v>
      </c>
      <c r="P180" s="8" t="e">
        <f>IF($F$6,IF($L180="","",IFERROR(VLOOKUP($L180,day_data!$A:$O,5,FALSE),0)),NA())</f>
        <v>#N/A</v>
      </c>
      <c r="Q180" s="8" t="e">
        <f>IF($F$7,IF($L180="","",IFERROR(VLOOKUP($L180,day_data!$A:$O,6,FALSE),0)),NA())</f>
        <v>#N/A</v>
      </c>
      <c r="R180" s="8" t="e">
        <f>IF($F$8,IF($L180="","",IFERROR(VLOOKUP($L180,day_data!$A:$O,7,FALSE),0)),NA())</f>
        <v>#N/A</v>
      </c>
      <c r="S180" s="8" t="e">
        <f>IF($F$9,IF($L180="","",IFERROR(VLOOKUP($L180,day_data!$A:$O,8,FALSE),0)),NA())</f>
        <v>#N/A</v>
      </c>
      <c r="T180" s="8" t="e">
        <f>IF($F$10,IF($L180="","",IFERROR(VLOOKUP($L180,day_data!$A:$O,9,FALSE),0)),NA())</f>
        <v>#N/A</v>
      </c>
      <c r="U180" s="8" t="e">
        <f>IF($F$11,IF($L180="","",IFERROR(VLOOKUP($L180,day_data!$A:$O,10,FALSE),0)),NA())</f>
        <v>#N/A</v>
      </c>
      <c r="V180" s="8" t="e">
        <f>IF($F$12,IF($L180="","",IFERROR(VLOOKUP($L180,day_data!$A:$O,11,FALSE),0)),NA())</f>
        <v>#N/A</v>
      </c>
      <c r="W180" s="8" t="e">
        <f>IF($F$13,IF($L180="","",IFERROR(VLOOKUP($L180,day_data!$A:$O,12,FALSE),0)),NA())</f>
        <v>#N/A</v>
      </c>
      <c r="X180" s="10" t="e">
        <f>IF($F$14,IF($L180="","",IFERROR(VLOOKUP($L180,day_data!$A:$O,13,FALSE),0)),NA())</f>
        <v>#N/A</v>
      </c>
      <c r="Y180" s="10" t="e">
        <f>IF($F$15,IF($L180="","",IFERROR(VLOOKUP($L180,day_data!$A:$O,14,FALSE),0)),NA())</f>
        <v>#N/A</v>
      </c>
    </row>
    <row r="181" spans="12:25" x14ac:dyDescent="0.2">
      <c r="L181" s="9" t="str">
        <f t="shared" si="2"/>
        <v/>
      </c>
      <c r="M181" s="8" t="e">
        <f>IF($F$3,IF($L181="","",IFERROR(VLOOKUP($L181,day_data!$A:$O,2,FALSE),0)),NA())</f>
        <v>#N/A</v>
      </c>
      <c r="N181" s="8" t="str">
        <f>IF($F$4,IF($L181="","",IFERROR(VLOOKUP($L181,day_data!$A:$O,3,FALSE),0)),NA())</f>
        <v/>
      </c>
      <c r="O181" s="8" t="e">
        <f>IF($F$5,IF($L181="","",IFERROR(VLOOKUP($L181,day_data!$A:$O,4,FALSE),0)),NA())</f>
        <v>#N/A</v>
      </c>
      <c r="P181" s="8" t="e">
        <f>IF($F$6,IF($L181="","",IFERROR(VLOOKUP($L181,day_data!$A:$O,5,FALSE),0)),NA())</f>
        <v>#N/A</v>
      </c>
      <c r="Q181" s="8" t="e">
        <f>IF($F$7,IF($L181="","",IFERROR(VLOOKUP($L181,day_data!$A:$O,6,FALSE),0)),NA())</f>
        <v>#N/A</v>
      </c>
      <c r="R181" s="8" t="e">
        <f>IF($F$8,IF($L181="","",IFERROR(VLOOKUP($L181,day_data!$A:$O,7,FALSE),0)),NA())</f>
        <v>#N/A</v>
      </c>
      <c r="S181" s="8" t="e">
        <f>IF($F$9,IF($L181="","",IFERROR(VLOOKUP($L181,day_data!$A:$O,8,FALSE),0)),NA())</f>
        <v>#N/A</v>
      </c>
      <c r="T181" s="8" t="e">
        <f>IF($F$10,IF($L181="","",IFERROR(VLOOKUP($L181,day_data!$A:$O,9,FALSE),0)),NA())</f>
        <v>#N/A</v>
      </c>
      <c r="U181" s="8" t="e">
        <f>IF($F$11,IF($L181="","",IFERROR(VLOOKUP($L181,day_data!$A:$O,10,FALSE),0)),NA())</f>
        <v>#N/A</v>
      </c>
      <c r="V181" s="8" t="e">
        <f>IF($F$12,IF($L181="","",IFERROR(VLOOKUP($L181,day_data!$A:$O,11,FALSE),0)),NA())</f>
        <v>#N/A</v>
      </c>
      <c r="W181" s="8" t="e">
        <f>IF($F$13,IF($L181="","",IFERROR(VLOOKUP($L181,day_data!$A:$O,12,FALSE),0)),NA())</f>
        <v>#N/A</v>
      </c>
      <c r="X181" s="10" t="e">
        <f>IF($F$14,IF($L181="","",IFERROR(VLOOKUP($L181,day_data!$A:$O,13,FALSE),0)),NA())</f>
        <v>#N/A</v>
      </c>
      <c r="Y181" s="10" t="e">
        <f>IF($F$15,IF($L181="","",IFERROR(VLOOKUP($L181,day_data!$A:$O,14,FALSE),0)),NA())</f>
        <v>#N/A</v>
      </c>
    </row>
    <row r="182" spans="12:25" x14ac:dyDescent="0.2">
      <c r="L182" s="9" t="str">
        <f t="shared" si="2"/>
        <v/>
      </c>
      <c r="M182" s="8" t="e">
        <f>IF($F$3,IF($L182="","",IFERROR(VLOOKUP($L182,day_data!$A:$O,2,FALSE),0)),NA())</f>
        <v>#N/A</v>
      </c>
      <c r="N182" s="8" t="str">
        <f>IF($F$4,IF($L182="","",IFERROR(VLOOKUP($L182,day_data!$A:$O,3,FALSE),0)),NA())</f>
        <v/>
      </c>
      <c r="O182" s="8" t="e">
        <f>IF($F$5,IF($L182="","",IFERROR(VLOOKUP($L182,day_data!$A:$O,4,FALSE),0)),NA())</f>
        <v>#N/A</v>
      </c>
      <c r="P182" s="8" t="e">
        <f>IF($F$6,IF($L182="","",IFERROR(VLOOKUP($L182,day_data!$A:$O,5,FALSE),0)),NA())</f>
        <v>#N/A</v>
      </c>
      <c r="Q182" s="8" t="e">
        <f>IF($F$7,IF($L182="","",IFERROR(VLOOKUP($L182,day_data!$A:$O,6,FALSE),0)),NA())</f>
        <v>#N/A</v>
      </c>
      <c r="R182" s="8" t="e">
        <f>IF($F$8,IF($L182="","",IFERROR(VLOOKUP($L182,day_data!$A:$O,7,FALSE),0)),NA())</f>
        <v>#N/A</v>
      </c>
      <c r="S182" s="8" t="e">
        <f>IF($F$9,IF($L182="","",IFERROR(VLOOKUP($L182,day_data!$A:$O,8,FALSE),0)),NA())</f>
        <v>#N/A</v>
      </c>
      <c r="T182" s="8" t="e">
        <f>IF($F$10,IF($L182="","",IFERROR(VLOOKUP($L182,day_data!$A:$O,9,FALSE),0)),NA())</f>
        <v>#N/A</v>
      </c>
      <c r="U182" s="8" t="e">
        <f>IF($F$11,IF($L182="","",IFERROR(VLOOKUP($L182,day_data!$A:$O,10,FALSE),0)),NA())</f>
        <v>#N/A</v>
      </c>
      <c r="V182" s="8" t="e">
        <f>IF($F$12,IF($L182="","",IFERROR(VLOOKUP($L182,day_data!$A:$O,11,FALSE),0)),NA())</f>
        <v>#N/A</v>
      </c>
      <c r="W182" s="8" t="e">
        <f>IF($F$13,IF($L182="","",IFERROR(VLOOKUP($L182,day_data!$A:$O,12,FALSE),0)),NA())</f>
        <v>#N/A</v>
      </c>
      <c r="X182" s="10" t="e">
        <f>IF($F$14,IF($L182="","",IFERROR(VLOOKUP($L182,day_data!$A:$O,13,FALSE),0)),NA())</f>
        <v>#N/A</v>
      </c>
      <c r="Y182" s="10" t="e">
        <f>IF($F$15,IF($L182="","",IFERROR(VLOOKUP($L182,day_data!$A:$O,14,FALSE),0)),NA())</f>
        <v>#N/A</v>
      </c>
    </row>
    <row r="183" spans="12:25" x14ac:dyDescent="0.2">
      <c r="L183" s="9" t="str">
        <f t="shared" si="2"/>
        <v/>
      </c>
      <c r="M183" s="8" t="e">
        <f>IF($F$3,IF($L183="","",IFERROR(VLOOKUP($L183,day_data!$A:$O,2,FALSE),0)),NA())</f>
        <v>#N/A</v>
      </c>
      <c r="N183" s="8" t="str">
        <f>IF($F$4,IF($L183="","",IFERROR(VLOOKUP($L183,day_data!$A:$O,3,FALSE),0)),NA())</f>
        <v/>
      </c>
      <c r="O183" s="8" t="e">
        <f>IF($F$5,IF($L183="","",IFERROR(VLOOKUP($L183,day_data!$A:$O,4,FALSE),0)),NA())</f>
        <v>#N/A</v>
      </c>
      <c r="P183" s="8" t="e">
        <f>IF($F$6,IF($L183="","",IFERROR(VLOOKUP($L183,day_data!$A:$O,5,FALSE),0)),NA())</f>
        <v>#N/A</v>
      </c>
      <c r="Q183" s="8" t="e">
        <f>IF($F$7,IF($L183="","",IFERROR(VLOOKUP($L183,day_data!$A:$O,6,FALSE),0)),NA())</f>
        <v>#N/A</v>
      </c>
      <c r="R183" s="8" t="e">
        <f>IF($F$8,IF($L183="","",IFERROR(VLOOKUP($L183,day_data!$A:$O,7,FALSE),0)),NA())</f>
        <v>#N/A</v>
      </c>
      <c r="S183" s="8" t="e">
        <f>IF($F$9,IF($L183="","",IFERROR(VLOOKUP($L183,day_data!$A:$O,8,FALSE),0)),NA())</f>
        <v>#N/A</v>
      </c>
      <c r="T183" s="8" t="e">
        <f>IF($F$10,IF($L183="","",IFERROR(VLOOKUP($L183,day_data!$A:$O,9,FALSE),0)),NA())</f>
        <v>#N/A</v>
      </c>
      <c r="U183" s="8" t="e">
        <f>IF($F$11,IF($L183="","",IFERROR(VLOOKUP($L183,day_data!$A:$O,10,FALSE),0)),NA())</f>
        <v>#N/A</v>
      </c>
      <c r="V183" s="8" t="e">
        <f>IF($F$12,IF($L183="","",IFERROR(VLOOKUP($L183,day_data!$A:$O,11,FALSE),0)),NA())</f>
        <v>#N/A</v>
      </c>
      <c r="W183" s="8" t="e">
        <f>IF($F$13,IF($L183="","",IFERROR(VLOOKUP($L183,day_data!$A:$O,12,FALSE),0)),NA())</f>
        <v>#N/A</v>
      </c>
      <c r="X183" s="10" t="e">
        <f>IF($F$14,IF($L183="","",IFERROR(VLOOKUP($L183,day_data!$A:$O,13,FALSE),0)),NA())</f>
        <v>#N/A</v>
      </c>
      <c r="Y183" s="10" t="e">
        <f>IF($F$15,IF($L183="","",IFERROR(VLOOKUP($L183,day_data!$A:$O,14,FALSE),0)),NA())</f>
        <v>#N/A</v>
      </c>
    </row>
    <row r="184" spans="12:25" x14ac:dyDescent="0.2">
      <c r="L184" s="9" t="str">
        <f t="shared" si="2"/>
        <v/>
      </c>
      <c r="M184" s="8" t="e">
        <f>IF($F$3,IF($L184="","",IFERROR(VLOOKUP($L184,day_data!$A:$O,2,FALSE),0)),NA())</f>
        <v>#N/A</v>
      </c>
      <c r="N184" s="8" t="str">
        <f>IF($F$4,IF($L184="","",IFERROR(VLOOKUP($L184,day_data!$A:$O,3,FALSE),0)),NA())</f>
        <v/>
      </c>
      <c r="O184" s="8" t="e">
        <f>IF($F$5,IF($L184="","",IFERROR(VLOOKUP($L184,day_data!$A:$O,4,FALSE),0)),NA())</f>
        <v>#N/A</v>
      </c>
      <c r="P184" s="8" t="e">
        <f>IF($F$6,IF($L184="","",IFERROR(VLOOKUP($L184,day_data!$A:$O,5,FALSE),0)),NA())</f>
        <v>#N/A</v>
      </c>
      <c r="Q184" s="8" t="e">
        <f>IF($F$7,IF($L184="","",IFERROR(VLOOKUP($L184,day_data!$A:$O,6,FALSE),0)),NA())</f>
        <v>#N/A</v>
      </c>
      <c r="R184" s="8" t="e">
        <f>IF($F$8,IF($L184="","",IFERROR(VLOOKUP($L184,day_data!$A:$O,7,FALSE),0)),NA())</f>
        <v>#N/A</v>
      </c>
      <c r="S184" s="8" t="e">
        <f>IF($F$9,IF($L184="","",IFERROR(VLOOKUP($L184,day_data!$A:$O,8,FALSE),0)),NA())</f>
        <v>#N/A</v>
      </c>
      <c r="T184" s="8" t="e">
        <f>IF($F$10,IF($L184="","",IFERROR(VLOOKUP($L184,day_data!$A:$O,9,FALSE),0)),NA())</f>
        <v>#N/A</v>
      </c>
      <c r="U184" s="8" t="e">
        <f>IF($F$11,IF($L184="","",IFERROR(VLOOKUP($L184,day_data!$A:$O,10,FALSE),0)),NA())</f>
        <v>#N/A</v>
      </c>
      <c r="V184" s="8" t="e">
        <f>IF($F$12,IF($L184="","",IFERROR(VLOOKUP($L184,day_data!$A:$O,11,FALSE),0)),NA())</f>
        <v>#N/A</v>
      </c>
      <c r="W184" s="8" t="e">
        <f>IF($F$13,IF($L184="","",IFERROR(VLOOKUP($L184,day_data!$A:$O,12,FALSE),0)),NA())</f>
        <v>#N/A</v>
      </c>
      <c r="X184" s="10" t="e">
        <f>IF($F$14,IF($L184="","",IFERROR(VLOOKUP($L184,day_data!$A:$O,13,FALSE),0)),NA())</f>
        <v>#N/A</v>
      </c>
      <c r="Y184" s="10" t="e">
        <f>IF($F$15,IF($L184="","",IFERROR(VLOOKUP($L184,day_data!$A:$O,14,FALSE),0)),NA())</f>
        <v>#N/A</v>
      </c>
    </row>
    <row r="185" spans="12:25" x14ac:dyDescent="0.2">
      <c r="L185" s="9" t="str">
        <f t="shared" si="2"/>
        <v/>
      </c>
      <c r="M185" s="8" t="e">
        <f>IF($F$3,IF($L185="","",IFERROR(VLOOKUP($L185,day_data!$A:$O,2,FALSE),0)),NA())</f>
        <v>#N/A</v>
      </c>
      <c r="N185" s="8" t="str">
        <f>IF($F$4,IF($L185="","",IFERROR(VLOOKUP($L185,day_data!$A:$O,3,FALSE),0)),NA())</f>
        <v/>
      </c>
      <c r="O185" s="8" t="e">
        <f>IF($F$5,IF($L185="","",IFERROR(VLOOKUP($L185,day_data!$A:$O,4,FALSE),0)),NA())</f>
        <v>#N/A</v>
      </c>
      <c r="P185" s="8" t="e">
        <f>IF($F$6,IF($L185="","",IFERROR(VLOOKUP($L185,day_data!$A:$O,5,FALSE),0)),NA())</f>
        <v>#N/A</v>
      </c>
      <c r="Q185" s="8" t="e">
        <f>IF($F$7,IF($L185="","",IFERROR(VLOOKUP($L185,day_data!$A:$O,6,FALSE),0)),NA())</f>
        <v>#N/A</v>
      </c>
      <c r="R185" s="8" t="e">
        <f>IF($F$8,IF($L185="","",IFERROR(VLOOKUP($L185,day_data!$A:$O,7,FALSE),0)),NA())</f>
        <v>#N/A</v>
      </c>
      <c r="S185" s="8" t="e">
        <f>IF($F$9,IF($L185="","",IFERROR(VLOOKUP($L185,day_data!$A:$O,8,FALSE),0)),NA())</f>
        <v>#N/A</v>
      </c>
      <c r="T185" s="8" t="e">
        <f>IF($F$10,IF($L185="","",IFERROR(VLOOKUP($L185,day_data!$A:$O,9,FALSE),0)),NA())</f>
        <v>#N/A</v>
      </c>
      <c r="U185" s="8" t="e">
        <f>IF($F$11,IF($L185="","",IFERROR(VLOOKUP($L185,day_data!$A:$O,10,FALSE),0)),NA())</f>
        <v>#N/A</v>
      </c>
      <c r="V185" s="8" t="e">
        <f>IF($F$12,IF($L185="","",IFERROR(VLOOKUP($L185,day_data!$A:$O,11,FALSE),0)),NA())</f>
        <v>#N/A</v>
      </c>
      <c r="W185" s="8" t="e">
        <f>IF($F$13,IF($L185="","",IFERROR(VLOOKUP($L185,day_data!$A:$O,12,FALSE),0)),NA())</f>
        <v>#N/A</v>
      </c>
      <c r="X185" s="10" t="e">
        <f>IF($F$14,IF($L185="","",IFERROR(VLOOKUP($L185,day_data!$A:$O,13,FALSE),0)),NA())</f>
        <v>#N/A</v>
      </c>
      <c r="Y185" s="10" t="e">
        <f>IF($F$15,IF($L185="","",IFERROR(VLOOKUP($L185,day_data!$A:$O,14,FALSE),0)),NA())</f>
        <v>#N/A</v>
      </c>
    </row>
    <row r="186" spans="12:25" x14ac:dyDescent="0.2">
      <c r="L186" s="9" t="str">
        <f t="shared" si="2"/>
        <v/>
      </c>
      <c r="M186" s="8" t="e">
        <f>IF($F$3,IF($L186="","",IFERROR(VLOOKUP($L186,day_data!$A:$O,2,FALSE),0)),NA())</f>
        <v>#N/A</v>
      </c>
      <c r="N186" s="8" t="str">
        <f>IF($F$4,IF($L186="","",IFERROR(VLOOKUP($L186,day_data!$A:$O,3,FALSE),0)),NA())</f>
        <v/>
      </c>
      <c r="O186" s="8" t="e">
        <f>IF($F$5,IF($L186="","",IFERROR(VLOOKUP($L186,day_data!$A:$O,4,FALSE),0)),NA())</f>
        <v>#N/A</v>
      </c>
      <c r="P186" s="8" t="e">
        <f>IF($F$6,IF($L186="","",IFERROR(VLOOKUP($L186,day_data!$A:$O,5,FALSE),0)),NA())</f>
        <v>#N/A</v>
      </c>
      <c r="Q186" s="8" t="e">
        <f>IF($F$7,IF($L186="","",IFERROR(VLOOKUP($L186,day_data!$A:$O,6,FALSE),0)),NA())</f>
        <v>#N/A</v>
      </c>
      <c r="R186" s="8" t="e">
        <f>IF($F$8,IF($L186="","",IFERROR(VLOOKUP($L186,day_data!$A:$O,7,FALSE),0)),NA())</f>
        <v>#N/A</v>
      </c>
      <c r="S186" s="8" t="e">
        <f>IF($F$9,IF($L186="","",IFERROR(VLOOKUP($L186,day_data!$A:$O,8,FALSE),0)),NA())</f>
        <v>#N/A</v>
      </c>
      <c r="T186" s="8" t="e">
        <f>IF($F$10,IF($L186="","",IFERROR(VLOOKUP($L186,day_data!$A:$O,9,FALSE),0)),NA())</f>
        <v>#N/A</v>
      </c>
      <c r="U186" s="8" t="e">
        <f>IF($F$11,IF($L186="","",IFERROR(VLOOKUP($L186,day_data!$A:$O,10,FALSE),0)),NA())</f>
        <v>#N/A</v>
      </c>
      <c r="V186" s="8" t="e">
        <f>IF($F$12,IF($L186="","",IFERROR(VLOOKUP($L186,day_data!$A:$O,11,FALSE),0)),NA())</f>
        <v>#N/A</v>
      </c>
      <c r="W186" s="8" t="e">
        <f>IF($F$13,IF($L186="","",IFERROR(VLOOKUP($L186,day_data!$A:$O,12,FALSE),0)),NA())</f>
        <v>#N/A</v>
      </c>
      <c r="X186" s="10" t="e">
        <f>IF($F$14,IF($L186="","",IFERROR(VLOOKUP($L186,day_data!$A:$O,13,FALSE),0)),NA())</f>
        <v>#N/A</v>
      </c>
      <c r="Y186" s="10" t="e">
        <f>IF($F$15,IF($L186="","",IFERROR(VLOOKUP($L186,day_data!$A:$O,14,FALSE),0)),NA())</f>
        <v>#N/A</v>
      </c>
    </row>
    <row r="187" spans="12:25" x14ac:dyDescent="0.2">
      <c r="L187" s="9" t="str">
        <f t="shared" si="2"/>
        <v/>
      </c>
      <c r="M187" s="8" t="e">
        <f>IF($F$3,IF($L187="","",IFERROR(VLOOKUP($L187,day_data!$A:$O,2,FALSE),0)),NA())</f>
        <v>#N/A</v>
      </c>
      <c r="N187" s="8" t="str">
        <f>IF($F$4,IF($L187="","",IFERROR(VLOOKUP($L187,day_data!$A:$O,3,FALSE),0)),NA())</f>
        <v/>
      </c>
      <c r="O187" s="8" t="e">
        <f>IF($F$5,IF($L187="","",IFERROR(VLOOKUP($L187,day_data!$A:$O,4,FALSE),0)),NA())</f>
        <v>#N/A</v>
      </c>
      <c r="P187" s="8" t="e">
        <f>IF($F$6,IF($L187="","",IFERROR(VLOOKUP($L187,day_data!$A:$O,5,FALSE),0)),NA())</f>
        <v>#N/A</v>
      </c>
      <c r="Q187" s="8" t="e">
        <f>IF($F$7,IF($L187="","",IFERROR(VLOOKUP($L187,day_data!$A:$O,6,FALSE),0)),NA())</f>
        <v>#N/A</v>
      </c>
      <c r="R187" s="8" t="e">
        <f>IF($F$8,IF($L187="","",IFERROR(VLOOKUP($L187,day_data!$A:$O,7,FALSE),0)),NA())</f>
        <v>#N/A</v>
      </c>
      <c r="S187" s="8" t="e">
        <f>IF($F$9,IF($L187="","",IFERROR(VLOOKUP($L187,day_data!$A:$O,8,FALSE),0)),NA())</f>
        <v>#N/A</v>
      </c>
      <c r="T187" s="8" t="e">
        <f>IF($F$10,IF($L187="","",IFERROR(VLOOKUP($L187,day_data!$A:$O,9,FALSE),0)),NA())</f>
        <v>#N/A</v>
      </c>
      <c r="U187" s="8" t="e">
        <f>IF($F$11,IF($L187="","",IFERROR(VLOOKUP($L187,day_data!$A:$O,10,FALSE),0)),NA())</f>
        <v>#N/A</v>
      </c>
      <c r="V187" s="8" t="e">
        <f>IF($F$12,IF($L187="","",IFERROR(VLOOKUP($L187,day_data!$A:$O,11,FALSE),0)),NA())</f>
        <v>#N/A</v>
      </c>
      <c r="W187" s="8" t="e">
        <f>IF($F$13,IF($L187="","",IFERROR(VLOOKUP($L187,day_data!$A:$O,12,FALSE),0)),NA())</f>
        <v>#N/A</v>
      </c>
      <c r="X187" s="10" t="e">
        <f>IF($F$14,IF($L187="","",IFERROR(VLOOKUP($L187,day_data!$A:$O,13,FALSE),0)),NA())</f>
        <v>#N/A</v>
      </c>
      <c r="Y187" s="10" t="e">
        <f>IF($F$15,IF($L187="","",IFERROR(VLOOKUP($L187,day_data!$A:$O,14,FALSE),0)),NA())</f>
        <v>#N/A</v>
      </c>
    </row>
    <row r="188" spans="12:25" x14ac:dyDescent="0.2">
      <c r="L188" s="9" t="str">
        <f t="shared" si="2"/>
        <v/>
      </c>
      <c r="M188" s="8" t="e">
        <f>IF($F$3,IF($L188="","",IFERROR(VLOOKUP($L188,day_data!$A:$O,2,FALSE),0)),NA())</f>
        <v>#N/A</v>
      </c>
      <c r="N188" s="8" t="str">
        <f>IF($F$4,IF($L188="","",IFERROR(VLOOKUP($L188,day_data!$A:$O,3,FALSE),0)),NA())</f>
        <v/>
      </c>
      <c r="O188" s="8" t="e">
        <f>IF($F$5,IF($L188="","",IFERROR(VLOOKUP($L188,day_data!$A:$O,4,FALSE),0)),NA())</f>
        <v>#N/A</v>
      </c>
      <c r="P188" s="8" t="e">
        <f>IF($F$6,IF($L188="","",IFERROR(VLOOKUP($L188,day_data!$A:$O,5,FALSE),0)),NA())</f>
        <v>#N/A</v>
      </c>
      <c r="Q188" s="8" t="e">
        <f>IF($F$7,IF($L188="","",IFERROR(VLOOKUP($L188,day_data!$A:$O,6,FALSE),0)),NA())</f>
        <v>#N/A</v>
      </c>
      <c r="R188" s="8" t="e">
        <f>IF($F$8,IF($L188="","",IFERROR(VLOOKUP($L188,day_data!$A:$O,7,FALSE),0)),NA())</f>
        <v>#N/A</v>
      </c>
      <c r="S188" s="8" t="e">
        <f>IF($F$9,IF($L188="","",IFERROR(VLOOKUP($L188,day_data!$A:$O,8,FALSE),0)),NA())</f>
        <v>#N/A</v>
      </c>
      <c r="T188" s="8" t="e">
        <f>IF($F$10,IF($L188="","",IFERROR(VLOOKUP($L188,day_data!$A:$O,9,FALSE),0)),NA())</f>
        <v>#N/A</v>
      </c>
      <c r="U188" s="8" t="e">
        <f>IF($F$11,IF($L188="","",IFERROR(VLOOKUP($L188,day_data!$A:$O,10,FALSE),0)),NA())</f>
        <v>#N/A</v>
      </c>
      <c r="V188" s="8" t="e">
        <f>IF($F$12,IF($L188="","",IFERROR(VLOOKUP($L188,day_data!$A:$O,11,FALSE),0)),NA())</f>
        <v>#N/A</v>
      </c>
      <c r="W188" s="8" t="e">
        <f>IF($F$13,IF($L188="","",IFERROR(VLOOKUP($L188,day_data!$A:$O,12,FALSE),0)),NA())</f>
        <v>#N/A</v>
      </c>
      <c r="X188" s="10" t="e">
        <f>IF($F$14,IF($L188="","",IFERROR(VLOOKUP($L188,day_data!$A:$O,13,FALSE),0)),NA())</f>
        <v>#N/A</v>
      </c>
      <c r="Y188" s="10" t="e">
        <f>IF($F$15,IF($L188="","",IFERROR(VLOOKUP($L188,day_data!$A:$O,14,FALSE),0)),NA())</f>
        <v>#N/A</v>
      </c>
    </row>
    <row r="189" spans="12:25" x14ac:dyDescent="0.2">
      <c r="L189" s="9" t="str">
        <f t="shared" si="2"/>
        <v/>
      </c>
      <c r="M189" s="8" t="e">
        <f>IF($F$3,IF($L189="","",IFERROR(VLOOKUP($L189,day_data!$A:$O,2,FALSE),0)),NA())</f>
        <v>#N/A</v>
      </c>
      <c r="N189" s="8" t="str">
        <f>IF($F$4,IF($L189="","",IFERROR(VLOOKUP($L189,day_data!$A:$O,3,FALSE),0)),NA())</f>
        <v/>
      </c>
      <c r="O189" s="8" t="e">
        <f>IF($F$5,IF($L189="","",IFERROR(VLOOKUP($L189,day_data!$A:$O,4,FALSE),0)),NA())</f>
        <v>#N/A</v>
      </c>
      <c r="P189" s="8" t="e">
        <f>IF($F$6,IF($L189="","",IFERROR(VLOOKUP($L189,day_data!$A:$O,5,FALSE),0)),NA())</f>
        <v>#N/A</v>
      </c>
      <c r="Q189" s="8" t="e">
        <f>IF($F$7,IF($L189="","",IFERROR(VLOOKUP($L189,day_data!$A:$O,6,FALSE),0)),NA())</f>
        <v>#N/A</v>
      </c>
      <c r="R189" s="8" t="e">
        <f>IF($F$8,IF($L189="","",IFERROR(VLOOKUP($L189,day_data!$A:$O,7,FALSE),0)),NA())</f>
        <v>#N/A</v>
      </c>
      <c r="S189" s="8" t="e">
        <f>IF($F$9,IF($L189="","",IFERROR(VLOOKUP($L189,day_data!$A:$O,8,FALSE),0)),NA())</f>
        <v>#N/A</v>
      </c>
      <c r="T189" s="8" t="e">
        <f>IF($F$10,IF($L189="","",IFERROR(VLOOKUP($L189,day_data!$A:$O,9,FALSE),0)),NA())</f>
        <v>#N/A</v>
      </c>
      <c r="U189" s="8" t="e">
        <f>IF($F$11,IF($L189="","",IFERROR(VLOOKUP($L189,day_data!$A:$O,10,FALSE),0)),NA())</f>
        <v>#N/A</v>
      </c>
      <c r="V189" s="8" t="e">
        <f>IF($F$12,IF($L189="","",IFERROR(VLOOKUP($L189,day_data!$A:$O,11,FALSE),0)),NA())</f>
        <v>#N/A</v>
      </c>
      <c r="W189" s="8" t="e">
        <f>IF($F$13,IF($L189="","",IFERROR(VLOOKUP($L189,day_data!$A:$O,12,FALSE),0)),NA())</f>
        <v>#N/A</v>
      </c>
      <c r="X189" s="10" t="e">
        <f>IF($F$14,IF($L189="","",IFERROR(VLOOKUP($L189,day_data!$A:$O,13,FALSE),0)),NA())</f>
        <v>#N/A</v>
      </c>
      <c r="Y189" s="10" t="e">
        <f>IF($F$15,IF($L189="","",IFERROR(VLOOKUP($L189,day_data!$A:$O,14,FALSE),0)),NA())</f>
        <v>#N/A</v>
      </c>
    </row>
    <row r="190" spans="12:25" x14ac:dyDescent="0.2">
      <c r="L190" s="9" t="str">
        <f t="shared" si="2"/>
        <v/>
      </c>
      <c r="M190" s="8" t="e">
        <f>IF($F$3,IF($L190="","",IFERROR(VLOOKUP($L190,day_data!$A:$O,2,FALSE),0)),NA())</f>
        <v>#N/A</v>
      </c>
      <c r="N190" s="8" t="str">
        <f>IF($F$4,IF($L190="","",IFERROR(VLOOKUP($L190,day_data!$A:$O,3,FALSE),0)),NA())</f>
        <v/>
      </c>
      <c r="O190" s="8" t="e">
        <f>IF($F$5,IF($L190="","",IFERROR(VLOOKUP($L190,day_data!$A:$O,4,FALSE),0)),NA())</f>
        <v>#N/A</v>
      </c>
      <c r="P190" s="8" t="e">
        <f>IF($F$6,IF($L190="","",IFERROR(VLOOKUP($L190,day_data!$A:$O,5,FALSE),0)),NA())</f>
        <v>#N/A</v>
      </c>
      <c r="Q190" s="8" t="e">
        <f>IF($F$7,IF($L190="","",IFERROR(VLOOKUP($L190,day_data!$A:$O,6,FALSE),0)),NA())</f>
        <v>#N/A</v>
      </c>
      <c r="R190" s="8" t="e">
        <f>IF($F$8,IF($L190="","",IFERROR(VLOOKUP($L190,day_data!$A:$O,7,FALSE),0)),NA())</f>
        <v>#N/A</v>
      </c>
      <c r="S190" s="8" t="e">
        <f>IF($F$9,IF($L190="","",IFERROR(VLOOKUP($L190,day_data!$A:$O,8,FALSE),0)),NA())</f>
        <v>#N/A</v>
      </c>
      <c r="T190" s="8" t="e">
        <f>IF($F$10,IF($L190="","",IFERROR(VLOOKUP($L190,day_data!$A:$O,9,FALSE),0)),NA())</f>
        <v>#N/A</v>
      </c>
      <c r="U190" s="8" t="e">
        <f>IF($F$11,IF($L190="","",IFERROR(VLOOKUP($L190,day_data!$A:$O,10,FALSE),0)),NA())</f>
        <v>#N/A</v>
      </c>
      <c r="V190" s="8" t="e">
        <f>IF($F$12,IF($L190="","",IFERROR(VLOOKUP($L190,day_data!$A:$O,11,FALSE),0)),NA())</f>
        <v>#N/A</v>
      </c>
      <c r="W190" s="8" t="e">
        <f>IF($F$13,IF($L190="","",IFERROR(VLOOKUP($L190,day_data!$A:$O,12,FALSE),0)),NA())</f>
        <v>#N/A</v>
      </c>
      <c r="X190" s="10" t="e">
        <f>IF($F$14,IF($L190="","",IFERROR(VLOOKUP($L190,day_data!$A:$O,13,FALSE),0)),NA())</f>
        <v>#N/A</v>
      </c>
      <c r="Y190" s="10" t="e">
        <f>IF($F$15,IF($L190="","",IFERROR(VLOOKUP($L190,day_data!$A:$O,14,FALSE),0)),NA())</f>
        <v>#N/A</v>
      </c>
    </row>
    <row r="191" spans="12:25" x14ac:dyDescent="0.2">
      <c r="L191" s="9" t="str">
        <f t="shared" si="2"/>
        <v/>
      </c>
      <c r="M191" s="8" t="e">
        <f>IF($F$3,IF($L191="","",IFERROR(VLOOKUP($L191,day_data!$A:$O,2,FALSE),0)),NA())</f>
        <v>#N/A</v>
      </c>
      <c r="N191" s="8" t="str">
        <f>IF($F$4,IF($L191="","",IFERROR(VLOOKUP($L191,day_data!$A:$O,3,FALSE),0)),NA())</f>
        <v/>
      </c>
      <c r="O191" s="8" t="e">
        <f>IF($F$5,IF($L191="","",IFERROR(VLOOKUP($L191,day_data!$A:$O,4,FALSE),0)),NA())</f>
        <v>#N/A</v>
      </c>
      <c r="P191" s="8" t="e">
        <f>IF($F$6,IF($L191="","",IFERROR(VLOOKUP($L191,day_data!$A:$O,5,FALSE),0)),NA())</f>
        <v>#N/A</v>
      </c>
      <c r="Q191" s="8" t="e">
        <f>IF($F$7,IF($L191="","",IFERROR(VLOOKUP($L191,day_data!$A:$O,6,FALSE),0)),NA())</f>
        <v>#N/A</v>
      </c>
      <c r="R191" s="8" t="e">
        <f>IF($F$8,IF($L191="","",IFERROR(VLOOKUP($L191,day_data!$A:$O,7,FALSE),0)),NA())</f>
        <v>#N/A</v>
      </c>
      <c r="S191" s="8" t="e">
        <f>IF($F$9,IF($L191="","",IFERROR(VLOOKUP($L191,day_data!$A:$O,8,FALSE),0)),NA())</f>
        <v>#N/A</v>
      </c>
      <c r="T191" s="8" t="e">
        <f>IF($F$10,IF($L191="","",IFERROR(VLOOKUP($L191,day_data!$A:$O,9,FALSE),0)),NA())</f>
        <v>#N/A</v>
      </c>
      <c r="U191" s="8" t="e">
        <f>IF($F$11,IF($L191="","",IFERROR(VLOOKUP($L191,day_data!$A:$O,10,FALSE),0)),NA())</f>
        <v>#N/A</v>
      </c>
      <c r="V191" s="8" t="e">
        <f>IF($F$12,IF($L191="","",IFERROR(VLOOKUP($L191,day_data!$A:$O,11,FALSE),0)),NA())</f>
        <v>#N/A</v>
      </c>
      <c r="W191" s="8" t="e">
        <f>IF($F$13,IF($L191="","",IFERROR(VLOOKUP($L191,day_data!$A:$O,12,FALSE),0)),NA())</f>
        <v>#N/A</v>
      </c>
      <c r="X191" s="10" t="e">
        <f>IF($F$14,IF($L191="","",IFERROR(VLOOKUP($L191,day_data!$A:$O,13,FALSE),0)),NA())</f>
        <v>#N/A</v>
      </c>
      <c r="Y191" s="10" t="e">
        <f>IF($F$15,IF($L191="","",IFERROR(VLOOKUP($L191,day_data!$A:$O,14,FALSE),0)),NA())</f>
        <v>#N/A</v>
      </c>
    </row>
    <row r="192" spans="12:25" x14ac:dyDescent="0.2">
      <c r="L192" s="9" t="str">
        <f t="shared" si="2"/>
        <v/>
      </c>
      <c r="M192" s="8" t="e">
        <f>IF($F$3,IF($L192="","",IFERROR(VLOOKUP($L192,day_data!$A:$O,2,FALSE),0)),NA())</f>
        <v>#N/A</v>
      </c>
      <c r="N192" s="8" t="str">
        <f>IF($F$4,IF($L192="","",IFERROR(VLOOKUP($L192,day_data!$A:$O,3,FALSE),0)),NA())</f>
        <v/>
      </c>
      <c r="O192" s="8" t="e">
        <f>IF($F$5,IF($L192="","",IFERROR(VLOOKUP($L192,day_data!$A:$O,4,FALSE),0)),NA())</f>
        <v>#N/A</v>
      </c>
      <c r="P192" s="8" t="e">
        <f>IF($F$6,IF($L192="","",IFERROR(VLOOKUP($L192,day_data!$A:$O,5,FALSE),0)),NA())</f>
        <v>#N/A</v>
      </c>
      <c r="Q192" s="8" t="e">
        <f>IF($F$7,IF($L192="","",IFERROR(VLOOKUP($L192,day_data!$A:$O,6,FALSE),0)),NA())</f>
        <v>#N/A</v>
      </c>
      <c r="R192" s="8" t="e">
        <f>IF($F$8,IF($L192="","",IFERROR(VLOOKUP($L192,day_data!$A:$O,7,FALSE),0)),NA())</f>
        <v>#N/A</v>
      </c>
      <c r="S192" s="8" t="e">
        <f>IF($F$9,IF($L192="","",IFERROR(VLOOKUP($L192,day_data!$A:$O,8,FALSE),0)),NA())</f>
        <v>#N/A</v>
      </c>
      <c r="T192" s="8" t="e">
        <f>IF($F$10,IF($L192="","",IFERROR(VLOOKUP($L192,day_data!$A:$O,9,FALSE),0)),NA())</f>
        <v>#N/A</v>
      </c>
      <c r="U192" s="8" t="e">
        <f>IF($F$11,IF($L192="","",IFERROR(VLOOKUP($L192,day_data!$A:$O,10,FALSE),0)),NA())</f>
        <v>#N/A</v>
      </c>
      <c r="V192" s="8" t="e">
        <f>IF($F$12,IF($L192="","",IFERROR(VLOOKUP($L192,day_data!$A:$O,11,FALSE),0)),NA())</f>
        <v>#N/A</v>
      </c>
      <c r="W192" s="8" t="e">
        <f>IF($F$13,IF($L192="","",IFERROR(VLOOKUP($L192,day_data!$A:$O,12,FALSE),0)),NA())</f>
        <v>#N/A</v>
      </c>
      <c r="X192" s="10" t="e">
        <f>IF($F$14,IF($L192="","",IFERROR(VLOOKUP($L192,day_data!$A:$O,13,FALSE),0)),NA())</f>
        <v>#N/A</v>
      </c>
      <c r="Y192" s="10" t="e">
        <f>IF($F$15,IF($L192="","",IFERROR(VLOOKUP($L192,day_data!$A:$O,14,FALSE),0)),NA())</f>
        <v>#N/A</v>
      </c>
    </row>
    <row r="193" spans="12:25" x14ac:dyDescent="0.2">
      <c r="L193" s="9" t="str">
        <f t="shared" si="2"/>
        <v/>
      </c>
      <c r="M193" s="8" t="e">
        <f>IF($F$3,IF($L193="","",IFERROR(VLOOKUP($L193,day_data!$A:$O,2,FALSE),0)),NA())</f>
        <v>#N/A</v>
      </c>
      <c r="N193" s="8" t="str">
        <f>IF($F$4,IF($L193="","",IFERROR(VLOOKUP($L193,day_data!$A:$O,3,FALSE),0)),NA())</f>
        <v/>
      </c>
      <c r="O193" s="8" t="e">
        <f>IF($F$5,IF($L193="","",IFERROR(VLOOKUP($L193,day_data!$A:$O,4,FALSE),0)),NA())</f>
        <v>#N/A</v>
      </c>
      <c r="P193" s="8" t="e">
        <f>IF($F$6,IF($L193="","",IFERROR(VLOOKUP($L193,day_data!$A:$O,5,FALSE),0)),NA())</f>
        <v>#N/A</v>
      </c>
      <c r="Q193" s="8" t="e">
        <f>IF($F$7,IF($L193="","",IFERROR(VLOOKUP($L193,day_data!$A:$O,6,FALSE),0)),NA())</f>
        <v>#N/A</v>
      </c>
      <c r="R193" s="8" t="e">
        <f>IF($F$8,IF($L193="","",IFERROR(VLOOKUP($L193,day_data!$A:$O,7,FALSE),0)),NA())</f>
        <v>#N/A</v>
      </c>
      <c r="S193" s="8" t="e">
        <f>IF($F$9,IF($L193="","",IFERROR(VLOOKUP($L193,day_data!$A:$O,8,FALSE),0)),NA())</f>
        <v>#N/A</v>
      </c>
      <c r="T193" s="8" t="e">
        <f>IF($F$10,IF($L193="","",IFERROR(VLOOKUP($L193,day_data!$A:$O,9,FALSE),0)),NA())</f>
        <v>#N/A</v>
      </c>
      <c r="U193" s="8" t="e">
        <f>IF($F$11,IF($L193="","",IFERROR(VLOOKUP($L193,day_data!$A:$O,10,FALSE),0)),NA())</f>
        <v>#N/A</v>
      </c>
      <c r="V193" s="8" t="e">
        <f>IF($F$12,IF($L193="","",IFERROR(VLOOKUP($L193,day_data!$A:$O,11,FALSE),0)),NA())</f>
        <v>#N/A</v>
      </c>
      <c r="W193" s="8" t="e">
        <f>IF($F$13,IF($L193="","",IFERROR(VLOOKUP($L193,day_data!$A:$O,12,FALSE),0)),NA())</f>
        <v>#N/A</v>
      </c>
      <c r="X193" s="10" t="e">
        <f>IF($F$14,IF($L193="","",IFERROR(VLOOKUP($L193,day_data!$A:$O,13,FALSE),0)),NA())</f>
        <v>#N/A</v>
      </c>
      <c r="Y193" s="10" t="e">
        <f>IF($F$15,IF($L193="","",IFERROR(VLOOKUP($L193,day_data!$A:$O,14,FALSE),0)),NA())</f>
        <v>#N/A</v>
      </c>
    </row>
    <row r="194" spans="12:25" x14ac:dyDescent="0.2">
      <c r="L194" s="9" t="str">
        <f t="shared" si="2"/>
        <v/>
      </c>
      <c r="M194" s="8" t="e">
        <f>IF($F$3,IF($L194="","",IFERROR(VLOOKUP($L194,day_data!$A:$O,2,FALSE),0)),NA())</f>
        <v>#N/A</v>
      </c>
      <c r="N194" s="8" t="str">
        <f>IF($F$4,IF($L194="","",IFERROR(VLOOKUP($L194,day_data!$A:$O,3,FALSE),0)),NA())</f>
        <v/>
      </c>
      <c r="O194" s="8" t="e">
        <f>IF($F$5,IF($L194="","",IFERROR(VLOOKUP($L194,day_data!$A:$O,4,FALSE),0)),NA())</f>
        <v>#N/A</v>
      </c>
      <c r="P194" s="8" t="e">
        <f>IF($F$6,IF($L194="","",IFERROR(VLOOKUP($L194,day_data!$A:$O,5,FALSE),0)),NA())</f>
        <v>#N/A</v>
      </c>
      <c r="Q194" s="8" t="e">
        <f>IF($F$7,IF($L194="","",IFERROR(VLOOKUP($L194,day_data!$A:$O,6,FALSE),0)),NA())</f>
        <v>#N/A</v>
      </c>
      <c r="R194" s="8" t="e">
        <f>IF($F$8,IF($L194="","",IFERROR(VLOOKUP($L194,day_data!$A:$O,7,FALSE),0)),NA())</f>
        <v>#N/A</v>
      </c>
      <c r="S194" s="8" t="e">
        <f>IF($F$9,IF($L194="","",IFERROR(VLOOKUP($L194,day_data!$A:$O,8,FALSE),0)),NA())</f>
        <v>#N/A</v>
      </c>
      <c r="T194" s="8" t="e">
        <f>IF($F$10,IF($L194="","",IFERROR(VLOOKUP($L194,day_data!$A:$O,9,FALSE),0)),NA())</f>
        <v>#N/A</v>
      </c>
      <c r="U194" s="8" t="e">
        <f>IF($F$11,IF($L194="","",IFERROR(VLOOKUP($L194,day_data!$A:$O,10,FALSE),0)),NA())</f>
        <v>#N/A</v>
      </c>
      <c r="V194" s="8" t="e">
        <f>IF($F$12,IF($L194="","",IFERROR(VLOOKUP($L194,day_data!$A:$O,11,FALSE),0)),NA())</f>
        <v>#N/A</v>
      </c>
      <c r="W194" s="8" t="e">
        <f>IF($F$13,IF($L194="","",IFERROR(VLOOKUP($L194,day_data!$A:$O,12,FALSE),0)),NA())</f>
        <v>#N/A</v>
      </c>
      <c r="X194" s="10" t="e">
        <f>IF($F$14,IF($L194="","",IFERROR(VLOOKUP($L194,day_data!$A:$O,13,FALSE),0)),NA())</f>
        <v>#N/A</v>
      </c>
      <c r="Y194" s="10" t="e">
        <f>IF($F$15,IF($L194="","",IFERROR(VLOOKUP($L194,day_data!$A:$O,14,FALSE),0)),NA())</f>
        <v>#N/A</v>
      </c>
    </row>
    <row r="195" spans="12:25" x14ac:dyDescent="0.2">
      <c r="L195" s="9" t="str">
        <f t="shared" si="2"/>
        <v/>
      </c>
      <c r="M195" s="8" t="e">
        <f>IF($F$3,IF($L195="","",IFERROR(VLOOKUP($L195,day_data!$A:$O,2,FALSE),0)),NA())</f>
        <v>#N/A</v>
      </c>
      <c r="N195" s="8" t="str">
        <f>IF($F$4,IF($L195="","",IFERROR(VLOOKUP($L195,day_data!$A:$O,3,FALSE),0)),NA())</f>
        <v/>
      </c>
      <c r="O195" s="8" t="e">
        <f>IF($F$5,IF($L195="","",IFERROR(VLOOKUP($L195,day_data!$A:$O,4,FALSE),0)),NA())</f>
        <v>#N/A</v>
      </c>
      <c r="P195" s="8" t="e">
        <f>IF($F$6,IF($L195="","",IFERROR(VLOOKUP($L195,day_data!$A:$O,5,FALSE),0)),NA())</f>
        <v>#N/A</v>
      </c>
      <c r="Q195" s="8" t="e">
        <f>IF($F$7,IF($L195="","",IFERROR(VLOOKUP($L195,day_data!$A:$O,6,FALSE),0)),NA())</f>
        <v>#N/A</v>
      </c>
      <c r="R195" s="8" t="e">
        <f>IF($F$8,IF($L195="","",IFERROR(VLOOKUP($L195,day_data!$A:$O,7,FALSE),0)),NA())</f>
        <v>#N/A</v>
      </c>
      <c r="S195" s="8" t="e">
        <f>IF($F$9,IF($L195="","",IFERROR(VLOOKUP($L195,day_data!$A:$O,8,FALSE),0)),NA())</f>
        <v>#N/A</v>
      </c>
      <c r="T195" s="8" t="e">
        <f>IF($F$10,IF($L195="","",IFERROR(VLOOKUP($L195,day_data!$A:$O,9,FALSE),0)),NA())</f>
        <v>#N/A</v>
      </c>
      <c r="U195" s="8" t="e">
        <f>IF($F$11,IF($L195="","",IFERROR(VLOOKUP($L195,day_data!$A:$O,10,FALSE),0)),NA())</f>
        <v>#N/A</v>
      </c>
      <c r="V195" s="8" t="e">
        <f>IF($F$12,IF($L195="","",IFERROR(VLOOKUP($L195,day_data!$A:$O,11,FALSE),0)),NA())</f>
        <v>#N/A</v>
      </c>
      <c r="W195" s="8" t="e">
        <f>IF($F$13,IF($L195="","",IFERROR(VLOOKUP($L195,day_data!$A:$O,12,FALSE),0)),NA())</f>
        <v>#N/A</v>
      </c>
      <c r="X195" s="10" t="e">
        <f>IF($F$14,IF($L195="","",IFERROR(VLOOKUP($L195,day_data!$A:$O,13,FALSE),0)),NA())</f>
        <v>#N/A</v>
      </c>
      <c r="Y195" s="10" t="e">
        <f>IF($F$15,IF($L195="","",IFERROR(VLOOKUP($L195,day_data!$A:$O,14,FALSE),0)),NA())</f>
        <v>#N/A</v>
      </c>
    </row>
    <row r="196" spans="12:25" x14ac:dyDescent="0.2">
      <c r="L196" s="9" t="str">
        <f t="shared" si="2"/>
        <v/>
      </c>
      <c r="M196" s="8" t="e">
        <f>IF($F$3,IF($L196="","",IFERROR(VLOOKUP($L196,day_data!$A:$O,2,FALSE),0)),NA())</f>
        <v>#N/A</v>
      </c>
      <c r="N196" s="8" t="str">
        <f>IF($F$4,IF($L196="","",IFERROR(VLOOKUP($L196,day_data!$A:$O,3,FALSE),0)),NA())</f>
        <v/>
      </c>
      <c r="O196" s="8" t="e">
        <f>IF($F$5,IF($L196="","",IFERROR(VLOOKUP($L196,day_data!$A:$O,4,FALSE),0)),NA())</f>
        <v>#N/A</v>
      </c>
      <c r="P196" s="8" t="e">
        <f>IF($F$6,IF($L196="","",IFERROR(VLOOKUP($L196,day_data!$A:$O,5,FALSE),0)),NA())</f>
        <v>#N/A</v>
      </c>
      <c r="Q196" s="8" t="e">
        <f>IF($F$7,IF($L196="","",IFERROR(VLOOKUP($L196,day_data!$A:$O,6,FALSE),0)),NA())</f>
        <v>#N/A</v>
      </c>
      <c r="R196" s="8" t="e">
        <f>IF($F$8,IF($L196="","",IFERROR(VLOOKUP($L196,day_data!$A:$O,7,FALSE),0)),NA())</f>
        <v>#N/A</v>
      </c>
      <c r="S196" s="8" t="e">
        <f>IF($F$9,IF($L196="","",IFERROR(VLOOKUP($L196,day_data!$A:$O,8,FALSE),0)),NA())</f>
        <v>#N/A</v>
      </c>
      <c r="T196" s="8" t="e">
        <f>IF($F$10,IF($L196="","",IFERROR(VLOOKUP($L196,day_data!$A:$O,9,FALSE),0)),NA())</f>
        <v>#N/A</v>
      </c>
      <c r="U196" s="8" t="e">
        <f>IF($F$11,IF($L196="","",IFERROR(VLOOKUP($L196,day_data!$A:$O,10,FALSE),0)),NA())</f>
        <v>#N/A</v>
      </c>
      <c r="V196" s="8" t="e">
        <f>IF($F$12,IF($L196="","",IFERROR(VLOOKUP($L196,day_data!$A:$O,11,FALSE),0)),NA())</f>
        <v>#N/A</v>
      </c>
      <c r="W196" s="8" t="e">
        <f>IF($F$13,IF($L196="","",IFERROR(VLOOKUP($L196,day_data!$A:$O,12,FALSE),0)),NA())</f>
        <v>#N/A</v>
      </c>
      <c r="X196" s="10" t="e">
        <f>IF($F$14,IF($L196="","",IFERROR(VLOOKUP($L196,day_data!$A:$O,13,FALSE),0)),NA())</f>
        <v>#N/A</v>
      </c>
      <c r="Y196" s="10" t="e">
        <f>IF($F$15,IF($L196="","",IFERROR(VLOOKUP($L196,day_data!$A:$O,14,FALSE),0)),NA())</f>
        <v>#N/A</v>
      </c>
    </row>
    <row r="197" spans="12:25" x14ac:dyDescent="0.2">
      <c r="L197" s="9" t="str">
        <f t="shared" ref="L197:L200" si="3">IF(ROW(L197)-1&gt;$C$1,"",L196+1)</f>
        <v/>
      </c>
      <c r="M197" s="8" t="e">
        <f>IF($F$3,IF($L197="","",IFERROR(VLOOKUP($L197,day_data!$A:$O,2,FALSE),0)),NA())</f>
        <v>#N/A</v>
      </c>
      <c r="N197" s="8" t="str">
        <f>IF($F$4,IF($L197="","",IFERROR(VLOOKUP($L197,day_data!$A:$O,3,FALSE),0)),NA())</f>
        <v/>
      </c>
      <c r="O197" s="8" t="e">
        <f>IF($F$5,IF($L197="","",IFERROR(VLOOKUP($L197,day_data!$A:$O,4,FALSE),0)),NA())</f>
        <v>#N/A</v>
      </c>
      <c r="P197" s="8" t="e">
        <f>IF($F$6,IF($L197="","",IFERROR(VLOOKUP($L197,day_data!$A:$O,5,FALSE),0)),NA())</f>
        <v>#N/A</v>
      </c>
      <c r="Q197" s="8" t="e">
        <f>IF($F$7,IF($L197="","",IFERROR(VLOOKUP($L197,day_data!$A:$O,6,FALSE),0)),NA())</f>
        <v>#N/A</v>
      </c>
      <c r="R197" s="8" t="e">
        <f>IF($F$8,IF($L197="","",IFERROR(VLOOKUP($L197,day_data!$A:$O,7,FALSE),0)),NA())</f>
        <v>#N/A</v>
      </c>
      <c r="S197" s="8" t="e">
        <f>IF($F$9,IF($L197="","",IFERROR(VLOOKUP($L197,day_data!$A:$O,8,FALSE),0)),NA())</f>
        <v>#N/A</v>
      </c>
      <c r="T197" s="8" t="e">
        <f>IF($F$10,IF($L197="","",IFERROR(VLOOKUP($L197,day_data!$A:$O,9,FALSE),0)),NA())</f>
        <v>#N/A</v>
      </c>
      <c r="U197" s="8" t="e">
        <f>IF($F$11,IF($L197="","",IFERROR(VLOOKUP($L197,day_data!$A:$O,10,FALSE),0)),NA())</f>
        <v>#N/A</v>
      </c>
      <c r="V197" s="8" t="e">
        <f>IF($F$12,IF($L197="","",IFERROR(VLOOKUP($L197,day_data!$A:$O,11,FALSE),0)),NA())</f>
        <v>#N/A</v>
      </c>
      <c r="W197" s="8" t="e">
        <f>IF($F$13,IF($L197="","",IFERROR(VLOOKUP($L197,day_data!$A:$O,12,FALSE),0)),NA())</f>
        <v>#N/A</v>
      </c>
      <c r="X197" s="10" t="e">
        <f>IF($F$14,IF($L197="","",IFERROR(VLOOKUP($L197,day_data!$A:$O,13,FALSE),0)),NA())</f>
        <v>#N/A</v>
      </c>
      <c r="Y197" s="10" t="e">
        <f>IF($F$15,IF($L197="","",IFERROR(VLOOKUP($L197,day_data!$A:$O,14,FALSE),0)),NA())</f>
        <v>#N/A</v>
      </c>
    </row>
    <row r="198" spans="12:25" x14ac:dyDescent="0.2">
      <c r="L198" s="9" t="str">
        <f t="shared" si="3"/>
        <v/>
      </c>
      <c r="M198" s="8" t="e">
        <f>IF($F$3,IF($L198="","",IFERROR(VLOOKUP($L198,day_data!$A:$O,2,FALSE),0)),NA())</f>
        <v>#N/A</v>
      </c>
      <c r="N198" s="8" t="str">
        <f>IF($F$4,IF($L198="","",IFERROR(VLOOKUP($L198,day_data!$A:$O,3,FALSE),0)),NA())</f>
        <v/>
      </c>
      <c r="O198" s="8" t="e">
        <f>IF($F$5,IF($L198="","",IFERROR(VLOOKUP($L198,day_data!$A:$O,4,FALSE),0)),NA())</f>
        <v>#N/A</v>
      </c>
      <c r="P198" s="8" t="e">
        <f>IF($F$6,IF($L198="","",IFERROR(VLOOKUP($L198,day_data!$A:$O,5,FALSE),0)),NA())</f>
        <v>#N/A</v>
      </c>
      <c r="Q198" s="8" t="e">
        <f>IF($F$7,IF($L198="","",IFERROR(VLOOKUP($L198,day_data!$A:$O,6,FALSE),0)),NA())</f>
        <v>#N/A</v>
      </c>
      <c r="R198" s="8" t="e">
        <f>IF($F$8,IF($L198="","",IFERROR(VLOOKUP($L198,day_data!$A:$O,7,FALSE),0)),NA())</f>
        <v>#N/A</v>
      </c>
      <c r="S198" s="8" t="e">
        <f>IF($F$9,IF($L198="","",IFERROR(VLOOKUP($L198,day_data!$A:$O,8,FALSE),0)),NA())</f>
        <v>#N/A</v>
      </c>
      <c r="T198" s="8" t="e">
        <f>IF($F$10,IF($L198="","",IFERROR(VLOOKUP($L198,day_data!$A:$O,9,FALSE),0)),NA())</f>
        <v>#N/A</v>
      </c>
      <c r="U198" s="8" t="e">
        <f>IF($F$11,IF($L198="","",IFERROR(VLOOKUP($L198,day_data!$A:$O,10,FALSE),0)),NA())</f>
        <v>#N/A</v>
      </c>
      <c r="V198" s="8" t="e">
        <f>IF($F$12,IF($L198="","",IFERROR(VLOOKUP($L198,day_data!$A:$O,11,FALSE),0)),NA())</f>
        <v>#N/A</v>
      </c>
      <c r="W198" s="8" t="e">
        <f>IF($F$13,IF($L198="","",IFERROR(VLOOKUP($L198,day_data!$A:$O,12,FALSE),0)),NA())</f>
        <v>#N/A</v>
      </c>
      <c r="X198" s="10" t="e">
        <f>IF($F$14,IF($L198="","",IFERROR(VLOOKUP($L198,day_data!$A:$O,13,FALSE),0)),NA())</f>
        <v>#N/A</v>
      </c>
      <c r="Y198" s="10" t="e">
        <f>IF($F$15,IF($L198="","",IFERROR(VLOOKUP($L198,day_data!$A:$O,14,FALSE),0)),NA())</f>
        <v>#N/A</v>
      </c>
    </row>
    <row r="199" spans="12:25" x14ac:dyDescent="0.2">
      <c r="L199" s="9" t="str">
        <f t="shared" si="3"/>
        <v/>
      </c>
      <c r="M199" s="8" t="e">
        <f>IF($F$3,IF($L199="","",IFERROR(VLOOKUP($L199,day_data!$A:$O,2,FALSE),0)),NA())</f>
        <v>#N/A</v>
      </c>
      <c r="N199" s="8" t="str">
        <f>IF($F$4,IF($L199="","",IFERROR(VLOOKUP($L199,day_data!$A:$O,3,FALSE),0)),NA())</f>
        <v/>
      </c>
      <c r="O199" s="8" t="e">
        <f>IF($F$5,IF($L199="","",IFERROR(VLOOKUP($L199,day_data!$A:$O,4,FALSE),0)),NA())</f>
        <v>#N/A</v>
      </c>
      <c r="P199" s="8" t="e">
        <f>IF($F$6,IF($L199="","",IFERROR(VLOOKUP($L199,day_data!$A:$O,5,FALSE),0)),NA())</f>
        <v>#N/A</v>
      </c>
      <c r="Q199" s="8" t="e">
        <f>IF($F$7,IF($L199="","",IFERROR(VLOOKUP($L199,day_data!$A:$O,6,FALSE),0)),NA())</f>
        <v>#N/A</v>
      </c>
      <c r="R199" s="8" t="e">
        <f>IF($F$8,IF($L199="","",IFERROR(VLOOKUP($L199,day_data!$A:$O,7,FALSE),0)),NA())</f>
        <v>#N/A</v>
      </c>
      <c r="S199" s="8" t="e">
        <f>IF($F$9,IF($L199="","",IFERROR(VLOOKUP($L199,day_data!$A:$O,8,FALSE),0)),NA())</f>
        <v>#N/A</v>
      </c>
      <c r="T199" s="8" t="e">
        <f>IF($F$10,IF($L199="","",IFERROR(VLOOKUP($L199,day_data!$A:$O,9,FALSE),0)),NA())</f>
        <v>#N/A</v>
      </c>
      <c r="U199" s="8" t="e">
        <f>IF($F$11,IF($L199="","",IFERROR(VLOOKUP($L199,day_data!$A:$O,10,FALSE),0)),NA())</f>
        <v>#N/A</v>
      </c>
      <c r="V199" s="8" t="e">
        <f>IF($F$12,IF($L199="","",IFERROR(VLOOKUP($L199,day_data!$A:$O,11,FALSE),0)),NA())</f>
        <v>#N/A</v>
      </c>
      <c r="W199" s="8" t="e">
        <f>IF($F$13,IF($L199="","",IFERROR(VLOOKUP($L199,day_data!$A:$O,12,FALSE),0)),NA())</f>
        <v>#N/A</v>
      </c>
      <c r="X199" s="10" t="e">
        <f>IF($F$14,IF($L199="","",IFERROR(VLOOKUP($L199,day_data!$A:$O,13,FALSE),0)),NA())</f>
        <v>#N/A</v>
      </c>
      <c r="Y199" s="10" t="e">
        <f>IF($F$15,IF($L199="","",IFERROR(VLOOKUP($L199,day_data!$A:$O,14,FALSE),0)),NA())</f>
        <v>#N/A</v>
      </c>
    </row>
    <row r="200" spans="12:25" x14ac:dyDescent="0.2">
      <c r="L200" s="9" t="str">
        <f t="shared" si="3"/>
        <v/>
      </c>
      <c r="M200" s="8" t="e">
        <f>IF($F$3,IF($L200="","",IFERROR(VLOOKUP($L200,day_data!$A:$O,2,FALSE),0)),NA())</f>
        <v>#N/A</v>
      </c>
      <c r="N200" s="8" t="str">
        <f>IF($F$4,IF($L200="","",IFERROR(VLOOKUP($L200,day_data!$A:$O,3,FALSE),0)),NA())</f>
        <v/>
      </c>
      <c r="O200" s="8" t="e">
        <f>IF($F$5,IF($L200="","",IFERROR(VLOOKUP($L200,day_data!$A:$O,4,FALSE),0)),NA())</f>
        <v>#N/A</v>
      </c>
      <c r="P200" s="8" t="e">
        <f>IF($F$6,IF($L200="","",IFERROR(VLOOKUP($L200,day_data!$A:$O,5,FALSE),0)),NA())</f>
        <v>#N/A</v>
      </c>
      <c r="Q200" s="8" t="e">
        <f>IF($F$7,IF($L200="","",IFERROR(VLOOKUP($L200,day_data!$A:$O,6,FALSE),0)),NA())</f>
        <v>#N/A</v>
      </c>
      <c r="R200" s="8" t="e">
        <f>IF($F$8,IF($L200="","",IFERROR(VLOOKUP($L200,day_data!$A:$O,7,FALSE),0)),NA())</f>
        <v>#N/A</v>
      </c>
      <c r="S200" s="8" t="e">
        <f>IF($F$9,IF($L200="","",IFERROR(VLOOKUP($L200,day_data!$A:$O,8,FALSE),0)),NA())</f>
        <v>#N/A</v>
      </c>
      <c r="T200" s="8" t="e">
        <f>IF($F$10,IF($L200="","",IFERROR(VLOOKUP($L200,day_data!$A:$O,9,FALSE),0)),NA())</f>
        <v>#N/A</v>
      </c>
      <c r="U200" s="8" t="e">
        <f>IF($F$11,IF($L200="","",IFERROR(VLOOKUP($L200,day_data!$A:$O,10,FALSE),0)),NA())</f>
        <v>#N/A</v>
      </c>
      <c r="V200" s="8" t="e">
        <f>IF($F$12,IF($L200="","",IFERROR(VLOOKUP($L200,day_data!$A:$O,11,FALSE),0)),NA())</f>
        <v>#N/A</v>
      </c>
      <c r="W200" s="8" t="e">
        <f>IF($F$13,IF($L200="","",IFERROR(VLOOKUP($L200,day_data!$A:$O,12,FALSE),0)),NA())</f>
        <v>#N/A</v>
      </c>
      <c r="X200" s="10" t="e">
        <f>IF($F$14,IF($L200="","",IFERROR(VLOOKUP($L200,day_data!$A:$O,13,FALSE),0)),NA())</f>
        <v>#N/A</v>
      </c>
      <c r="Y200" s="10" t="e">
        <f>IF($F$15,IF($L200="","",IFERROR(VLOOKUP($L200,day_data!$A:$O,14,FALSE),0)),NA())</f>
        <v>#N/A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0EDD-B15A-469A-A6C3-C6F5BE1BF42E}">
  <dimension ref="M1:Z3"/>
  <sheetViews>
    <sheetView zoomScaleNormal="100" workbookViewId="0">
      <selection activeCell="H5" sqref="H5"/>
    </sheetView>
  </sheetViews>
  <sheetFormatPr defaultRowHeight="14.25" x14ac:dyDescent="0.2"/>
  <cols>
    <col min="1" max="11" width="9" style="10"/>
    <col min="12" max="12" width="10.375" style="10" customWidth="1"/>
    <col min="13" max="13" width="9" style="10"/>
    <col min="14" max="14" width="3.75" style="10" customWidth="1"/>
    <col min="15" max="15" width="10" style="10" bestFit="1" customWidth="1"/>
    <col min="16" max="16384" width="9" style="10"/>
  </cols>
  <sheetData>
    <row r="1" spans="13:26" ht="21.75" customHeight="1" x14ac:dyDescent="0.2">
      <c r="M1" s="10" t="s">
        <v>69</v>
      </c>
      <c r="N1" s="10" t="s">
        <v>71</v>
      </c>
      <c r="O1" s="11">
        <f>MIN(day_控件!L2:L200)</f>
        <v>43678</v>
      </c>
      <c r="T1" s="8"/>
      <c r="U1" s="8"/>
      <c r="V1" s="8"/>
      <c r="W1" s="8"/>
      <c r="X1" s="8"/>
      <c r="Y1" s="8"/>
      <c r="Z1" s="8"/>
    </row>
    <row r="2" spans="13:26" x14ac:dyDescent="0.2">
      <c r="O2" s="12"/>
    </row>
    <row r="3" spans="13:26" x14ac:dyDescent="0.2">
      <c r="M3" s="10" t="s">
        <v>70</v>
      </c>
      <c r="N3" s="10" t="s">
        <v>71</v>
      </c>
      <c r="O3" s="11">
        <f>MAX(day_控件!L2:L200)</f>
        <v>43698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croll Bar 1">
              <controlPr defaultSize="0" autoPict="0">
                <anchor moveWithCells="1">
                  <from>
                    <xdr:col>5</xdr:col>
                    <xdr:colOff>485775</xdr:colOff>
                    <xdr:row>0</xdr:row>
                    <xdr:rowOff>9525</xdr:rowOff>
                  </from>
                  <to>
                    <xdr:col>11</xdr:col>
                    <xdr:colOff>695325</xdr:colOff>
                    <xdr:row>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croll Bar 2">
              <controlPr defaultSize="0" autoPict="0">
                <anchor moveWithCells="1">
                  <from>
                    <xdr:col>5</xdr:col>
                    <xdr:colOff>485775</xdr:colOff>
                    <xdr:row>1</xdr:row>
                    <xdr:rowOff>38100</xdr:rowOff>
                  </from>
                  <to>
                    <xdr:col>11</xdr:col>
                    <xdr:colOff>685800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352425</xdr:colOff>
                    <xdr:row>9</xdr:row>
                    <xdr:rowOff>171450</xdr:rowOff>
                  </from>
                  <to>
                    <xdr:col>2</xdr:col>
                    <xdr:colOff>238125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333375</xdr:colOff>
                    <xdr:row>11</xdr:row>
                    <xdr:rowOff>161925</xdr:rowOff>
                  </from>
                  <to>
                    <xdr:col>2</xdr:col>
                    <xdr:colOff>409575</xdr:colOff>
                    <xdr:row>13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333375</xdr:colOff>
                    <xdr:row>13</xdr:row>
                    <xdr:rowOff>171450</xdr:rowOff>
                  </from>
                  <to>
                    <xdr:col>2</xdr:col>
                    <xdr:colOff>438150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323850</xdr:colOff>
                    <xdr:row>15</xdr:row>
                    <xdr:rowOff>104775</xdr:rowOff>
                  </from>
                  <to>
                    <xdr:col>2</xdr:col>
                    <xdr:colOff>476250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323850</xdr:colOff>
                    <xdr:row>17</xdr:row>
                    <xdr:rowOff>66675</xdr:rowOff>
                  </from>
                  <to>
                    <xdr:col>2</xdr:col>
                    <xdr:colOff>219075</xdr:colOff>
                    <xdr:row>18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323850</xdr:colOff>
                    <xdr:row>19</xdr:row>
                    <xdr:rowOff>95250</xdr:rowOff>
                  </from>
                  <to>
                    <xdr:col>2</xdr:col>
                    <xdr:colOff>247650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323850</xdr:colOff>
                    <xdr:row>21</xdr:row>
                    <xdr:rowOff>38100</xdr:rowOff>
                  </from>
                  <to>
                    <xdr:col>2</xdr:col>
                    <xdr:colOff>333375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323850</xdr:colOff>
                    <xdr:row>22</xdr:row>
                    <xdr:rowOff>171450</xdr:rowOff>
                  </from>
                  <to>
                    <xdr:col>2</xdr:col>
                    <xdr:colOff>200025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323850</xdr:colOff>
                    <xdr:row>24</xdr:row>
                    <xdr:rowOff>114300</xdr:rowOff>
                  </from>
                  <to>
                    <xdr:col>2</xdr:col>
                    <xdr:colOff>266700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314325</xdr:colOff>
                    <xdr:row>26</xdr:row>
                    <xdr:rowOff>19050</xdr:rowOff>
                  </from>
                  <to>
                    <xdr:col>2</xdr:col>
                    <xdr:colOff>447675</xdr:colOff>
                    <xdr:row>27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333375</xdr:colOff>
                    <xdr:row>27</xdr:row>
                    <xdr:rowOff>114300</xdr:rowOff>
                  </from>
                  <to>
                    <xdr:col>2</xdr:col>
                    <xdr:colOff>590550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333375</xdr:colOff>
                    <xdr:row>29</xdr:row>
                    <xdr:rowOff>0</xdr:rowOff>
                  </from>
                  <to>
                    <xdr:col>3</xdr:col>
                    <xdr:colOff>114300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333375</xdr:colOff>
                    <xdr:row>30</xdr:row>
                    <xdr:rowOff>95250</xdr:rowOff>
                  </from>
                  <to>
                    <xdr:col>2</xdr:col>
                    <xdr:colOff>657225</xdr:colOff>
                    <xdr:row>31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9"/>
      </x14:slicerList>
    </ext>
    <ext xmlns:x15="http://schemas.microsoft.com/office/spreadsheetml/2010/11/main" uri="{7E03D99C-DC04-49d9-9315-930204A7B6E9}">
      <x15:timelineRefs>
        <x15:timelineRef r:id="rId20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50F51-4DFC-49E5-8BE7-D70A9A470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源数据</vt:lpstr>
      <vt:lpstr>query</vt:lpstr>
      <vt:lpstr>day_data</vt:lpstr>
      <vt:lpstr>day_控件</vt:lpstr>
      <vt:lpstr>广告分析表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李丹</dc:creator>
  <cp:lastModifiedBy>李丹</cp:lastModifiedBy>
  <dcterms:created xsi:type="dcterms:W3CDTF">2019-08-28T02:07:41Z</dcterms:created>
  <dcterms:modified xsi:type="dcterms:W3CDTF">2019-08-28T07:19:54Z</dcterms:modified>
</cp:coreProperties>
</file>