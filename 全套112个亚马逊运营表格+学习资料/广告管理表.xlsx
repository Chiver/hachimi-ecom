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45" windowHeight="12465"/>
  </bookViews>
  <sheets>
    <sheet name="SKU表" sheetId="14" r:id="rId1"/>
    <sheet name="广告数据报表" sheetId="25" r:id="rId2"/>
    <sheet name="广告透视表" sheetId="42" r:id="rId3"/>
    <sheet name="用法说明" sheetId="36" r:id="rId4"/>
  </sheets>
  <definedNames>
    <definedName name="_xlnm._FilterDatabase" localSheetId="1" hidden="1">广告数据报表!$A$2:$AH$2</definedName>
  </definedNames>
  <calcPr calcId="144525" concurrentCalc="0"/>
  <pivotCaches>
    <pivotCache cacheId="0" r:id="rId6"/>
  </pivotCaches>
</workbook>
</file>

<file path=xl/comments1.xml><?xml version="1.0" encoding="utf-8"?>
<comments xmlns="http://schemas.openxmlformats.org/spreadsheetml/2006/main">
  <authors>
    <author>10038</author>
  </authors>
  <commentList>
    <comment ref="AI2" authorId="0">
      <text>
        <r>
          <rPr>
            <b/>
            <sz val="9"/>
            <rFont val="宋体"/>
            <charset val="134"/>
          </rPr>
          <t>自动生成：
产品名称</t>
        </r>
      </text>
    </comment>
    <comment ref="AJ2" authorId="0">
      <text>
        <r>
          <rPr>
            <b/>
            <sz val="9"/>
            <rFont val="宋体"/>
            <charset val="134"/>
          </rPr>
          <t>自动生成：
产品ASIN</t>
        </r>
      </text>
    </comment>
    <comment ref="AK2" authorId="0">
      <text>
        <r>
          <rPr>
            <b/>
            <sz val="9"/>
            <rFont val="宋体"/>
            <charset val="134"/>
          </rPr>
          <t>自动生成：
广告日期</t>
        </r>
      </text>
    </comment>
    <comment ref="AL2" authorId="0">
      <text>
        <r>
          <rPr>
            <b/>
            <sz val="9"/>
            <rFont val="宋体"/>
            <charset val="134"/>
          </rPr>
          <t>自动生成：
广告年月</t>
        </r>
      </text>
    </comment>
  </commentList>
</comments>
</file>

<file path=xl/sharedStrings.xml><?xml version="1.0" encoding="utf-8"?>
<sst xmlns="http://schemas.openxmlformats.org/spreadsheetml/2006/main" count="419" uniqueCount="112">
  <si>
    <r>
      <rPr>
        <b/>
        <sz val="9"/>
        <color theme="1"/>
        <rFont val="宋体"/>
        <charset val="134"/>
      </rPr>
      <t>产品</t>
    </r>
    <r>
      <rPr>
        <b/>
        <sz val="9"/>
        <color theme="1"/>
        <rFont val="Calibri"/>
        <charset val="134"/>
      </rPr>
      <t>ASIN</t>
    </r>
    <r>
      <rPr>
        <sz val="9"/>
        <color theme="1"/>
        <rFont val="Calibri"/>
        <charset val="134"/>
      </rPr>
      <t xml:space="preserve">
</t>
    </r>
    <r>
      <rPr>
        <sz val="9"/>
        <color theme="1"/>
        <rFont val="宋体"/>
        <charset val="134"/>
      </rPr>
      <t>这个不用解释了吧？</t>
    </r>
  </si>
  <si>
    <r>
      <rPr>
        <b/>
        <sz val="9"/>
        <color theme="1"/>
        <rFont val="Calibri"/>
        <charset val="134"/>
      </rPr>
      <t>SKU</t>
    </r>
    <r>
      <rPr>
        <sz val="9"/>
        <color theme="1"/>
        <rFont val="Calibri"/>
        <charset val="134"/>
      </rPr>
      <t xml:space="preserve">
Amazon</t>
    </r>
    <r>
      <rPr>
        <sz val="9"/>
        <color theme="1"/>
        <rFont val="宋体"/>
        <charset val="134"/>
      </rPr>
      <t>上传时用的SKU，一定要与后台一致，多个地方会用到</t>
    </r>
  </si>
  <si>
    <r>
      <rPr>
        <b/>
        <sz val="9"/>
        <color theme="1"/>
        <rFont val="宋体"/>
        <charset val="134"/>
      </rPr>
      <t>产品名称</t>
    </r>
    <r>
      <rPr>
        <sz val="9"/>
        <color theme="1"/>
        <rFont val="宋体"/>
        <charset val="134"/>
      </rPr>
      <t xml:space="preserve">
这里是产品简称，不是产品标题，为了你方便看的名称而已。</t>
    </r>
  </si>
  <si>
    <r>
      <rPr>
        <sz val="9"/>
        <color theme="1"/>
        <rFont val="宋体"/>
        <charset val="134"/>
      </rPr>
      <t>产品</t>
    </r>
    <r>
      <rPr>
        <sz val="9"/>
        <color theme="1"/>
        <rFont val="Calibri"/>
        <charset val="134"/>
      </rPr>
      <t xml:space="preserve">ASIN
</t>
    </r>
    <r>
      <rPr>
        <sz val="9"/>
        <color theme="1"/>
        <rFont val="宋体"/>
        <charset val="134"/>
      </rPr>
      <t>不解释，不解释。多出来这个是为了反查ASIN的。懂Vlookup的人一看就明白。</t>
    </r>
  </si>
  <si>
    <t>ASIN</t>
  </si>
  <si>
    <t>SKU</t>
  </si>
  <si>
    <t>Name</t>
  </si>
  <si>
    <t>ASIN1</t>
  </si>
  <si>
    <t>名称是自动取值，只要SKU表有，名称和ASIN都会有值</t>
  </si>
  <si>
    <t>这里是时间处理栏，一样无需填写</t>
  </si>
  <si>
    <t>Campaign Name</t>
  </si>
  <si>
    <t>Ad Group Name</t>
  </si>
  <si>
    <t>Advertised SKU</t>
  </si>
  <si>
    <t>Keyword</t>
  </si>
  <si>
    <t>Match Type</t>
  </si>
  <si>
    <t>Start Date</t>
  </si>
  <si>
    <t>End Date</t>
  </si>
  <si>
    <t>Clicks</t>
  </si>
  <si>
    <t>Impressions</t>
  </si>
  <si>
    <t>CTR</t>
  </si>
  <si>
    <t>Total Spend</t>
  </si>
  <si>
    <t>Average CPC</t>
  </si>
  <si>
    <t>Currency</t>
  </si>
  <si>
    <t>1-day Orders Placed (#)</t>
  </si>
  <si>
    <t>1-day Ordered Product Sales ($)</t>
  </si>
  <si>
    <t>1-day Conversion Rate</t>
  </si>
  <si>
    <t>1-day Same SKU Units Ordered</t>
  </si>
  <si>
    <t>1-day Other SKU Units Ordered</t>
  </si>
  <si>
    <t>1-day Same SKU Units Ordered Product Sales</t>
  </si>
  <si>
    <t>1-day Other SKU Units Ordered Product Sales</t>
  </si>
  <si>
    <t>1-week Orders Placed (#)</t>
  </si>
  <si>
    <t>1-week Ordered Product Sales ($)</t>
  </si>
  <si>
    <t>1-week Conversion Rate</t>
  </si>
  <si>
    <t>1-week Same SKU Units Ordered</t>
  </si>
  <si>
    <t>1-week Other SKU Units Ordered</t>
  </si>
  <si>
    <t>1-week Same SKU Units Ordered Product Sales</t>
  </si>
  <si>
    <t>1-week Other SKU Units Ordered Product Sales</t>
  </si>
  <si>
    <t>1-month Orders Placed (#)</t>
  </si>
  <si>
    <t>1-month Ordered Product Sales ($)</t>
  </si>
  <si>
    <t>1-month Conversion Rate</t>
  </si>
  <si>
    <t>1-month Same SKU Units Ordered</t>
  </si>
  <si>
    <t>1-month Other SKU Units Ordered</t>
  </si>
  <si>
    <t>1-month Same SKU Units Ordered Product Sales</t>
  </si>
  <si>
    <t>1-month Other SKU Units Ordered Product Sales</t>
  </si>
  <si>
    <t>ProductName</t>
  </si>
  <si>
    <t>ADDate</t>
  </si>
  <si>
    <t>ADYM</t>
  </si>
  <si>
    <t>Campaign A</t>
  </si>
  <si>
    <t>Group A</t>
  </si>
  <si>
    <t>SKU A</t>
  </si>
  <si>
    <t>Key 1</t>
  </si>
  <si>
    <t>EXACT</t>
  </si>
  <si>
    <t>12/24/2017 0:00</t>
  </si>
  <si>
    <t>12/25/2017 0:00</t>
  </si>
  <si>
    <t>USD</t>
  </si>
  <si>
    <t>12/26/2017 0:00</t>
  </si>
  <si>
    <t>Key 2</t>
  </si>
  <si>
    <t>12/27/2017 0:00</t>
  </si>
  <si>
    <t>Key 3</t>
  </si>
  <si>
    <t>Campaign B</t>
  </si>
  <si>
    <t>Group B</t>
  </si>
  <si>
    <t>SKU B</t>
  </si>
  <si>
    <t>Key 4</t>
  </si>
  <si>
    <t>Key 5</t>
  </si>
  <si>
    <t>12/28/2017 0:00</t>
  </si>
  <si>
    <t>12/29/2017 0:00</t>
  </si>
  <si>
    <t>12/30/2017 0:00</t>
  </si>
  <si>
    <t>12/31/2017 0:00</t>
  </si>
  <si>
    <t>1/1/2018 0:00</t>
  </si>
  <si>
    <r>
      <rPr>
        <sz val="10"/>
        <color theme="1"/>
        <rFont val="Arial"/>
        <charset val="134"/>
      </rPr>
      <t>月份筛选器</t>
    </r>
  </si>
  <si>
    <r>
      <rPr>
        <sz val="10"/>
        <color theme="1"/>
        <rFont val="Calibri"/>
        <charset val="134"/>
      </rPr>
      <t>(</t>
    </r>
    <r>
      <rPr>
        <sz val="10"/>
        <color theme="1"/>
        <rFont val="Arial"/>
        <charset val="134"/>
      </rPr>
      <t>全部</t>
    </r>
    <r>
      <rPr>
        <sz val="10"/>
        <color theme="1"/>
        <rFont val="Calibri"/>
        <charset val="134"/>
      </rPr>
      <t>)</t>
    </r>
  </si>
  <si>
    <t>栏目解析：
展现，点击，点击率（CTR），费用，点击均价，X订单，X销售，周转化（CR）都不多说了。
单独说一下 X相关xx  ：  如果我没有理解错，就类似从本ASIN，跳转到你店铺其他产品的计量。  就是从A广告访问，但是跳转到你的B产品下单。这么个意思。
ACOS和CPA这些东西，我特意没有加进去。小小门槛，只要你学会自己加这两项，对广告的各种处理和筛选就在眼前了。
保留了月份筛选器，可以按月对广告数据进行筛选，类似一个基本的参考吧。</t>
  </si>
  <si>
    <r>
      <rPr>
        <sz val="10"/>
        <color theme="1"/>
        <rFont val="Arial"/>
        <charset val="134"/>
      </rPr>
      <t>行标签</t>
    </r>
  </si>
  <si>
    <r>
      <rPr>
        <sz val="10"/>
        <color theme="1"/>
        <rFont val="Arial"/>
        <charset val="134"/>
      </rPr>
      <t>总展现量</t>
    </r>
  </si>
  <si>
    <r>
      <rPr>
        <sz val="10"/>
        <color theme="1"/>
        <rFont val="Arial"/>
        <charset val="134"/>
      </rPr>
      <t>总点击量</t>
    </r>
  </si>
  <si>
    <r>
      <rPr>
        <sz val="10"/>
        <color theme="1"/>
        <rFont val="Arial"/>
        <charset val="134"/>
      </rPr>
      <t>点击率</t>
    </r>
    <r>
      <rPr>
        <sz val="10"/>
        <color theme="1"/>
        <rFont val="Calibri"/>
        <charset val="134"/>
      </rPr>
      <t>(</t>
    </r>
    <r>
      <rPr>
        <sz val="10"/>
        <color theme="1"/>
        <rFont val="Arial"/>
        <charset val="134"/>
      </rPr>
      <t>平均值</t>
    </r>
    <r>
      <rPr>
        <sz val="10"/>
        <color theme="1"/>
        <rFont val="Calibri"/>
        <charset val="134"/>
      </rPr>
      <t>)</t>
    </r>
  </si>
  <si>
    <r>
      <rPr>
        <sz val="10"/>
        <color theme="1"/>
        <rFont val="Arial"/>
        <charset val="134"/>
      </rPr>
      <t>总费用</t>
    </r>
  </si>
  <si>
    <r>
      <rPr>
        <sz val="10"/>
        <color theme="1"/>
        <rFont val="Arial"/>
        <charset val="134"/>
      </rPr>
      <t>每次点击费用</t>
    </r>
  </si>
  <si>
    <r>
      <rPr>
        <sz val="10"/>
        <color theme="1"/>
        <rFont val="Arial"/>
        <charset val="134"/>
      </rPr>
      <t>当日订单</t>
    </r>
    <r>
      <rPr>
        <sz val="10"/>
        <color theme="1"/>
        <rFont val="Calibri"/>
        <charset val="134"/>
      </rPr>
      <t>(</t>
    </r>
    <r>
      <rPr>
        <sz val="10"/>
        <color theme="1"/>
        <rFont val="Arial"/>
        <charset val="134"/>
      </rPr>
      <t>时间范围内总值</t>
    </r>
    <r>
      <rPr>
        <sz val="10"/>
        <color theme="1"/>
        <rFont val="Calibri"/>
        <charset val="134"/>
      </rPr>
      <t>)</t>
    </r>
  </si>
  <si>
    <r>
      <rPr>
        <sz val="10"/>
        <color theme="1"/>
        <rFont val="Arial"/>
        <charset val="134"/>
      </rPr>
      <t>当日销售</t>
    </r>
    <r>
      <rPr>
        <sz val="10"/>
        <color theme="1"/>
        <rFont val="Calibri"/>
        <charset val="134"/>
      </rPr>
      <t>(</t>
    </r>
    <r>
      <rPr>
        <sz val="10"/>
        <color theme="1"/>
        <rFont val="Arial"/>
        <charset val="134"/>
      </rPr>
      <t>时间范围内总值</t>
    </r>
    <r>
      <rPr>
        <sz val="10"/>
        <color theme="1"/>
        <rFont val="Calibri"/>
        <charset val="134"/>
      </rPr>
      <t>)</t>
    </r>
  </si>
  <si>
    <r>
      <rPr>
        <sz val="10"/>
        <color theme="1"/>
        <rFont val="Arial"/>
        <charset val="134"/>
      </rPr>
      <t>当日</t>
    </r>
    <r>
      <rPr>
        <sz val="10"/>
        <color theme="1"/>
        <rFont val="Calibri"/>
        <charset val="134"/>
      </rPr>
      <t>CR</t>
    </r>
  </si>
  <si>
    <r>
      <rPr>
        <sz val="10"/>
        <color theme="1"/>
        <rFont val="Arial"/>
        <charset val="134"/>
      </rPr>
      <t>日相关订单</t>
    </r>
  </si>
  <si>
    <r>
      <rPr>
        <sz val="10"/>
        <color theme="1"/>
        <rFont val="Arial"/>
        <charset val="134"/>
      </rPr>
      <t>日相关销售</t>
    </r>
  </si>
  <si>
    <r>
      <rPr>
        <sz val="10"/>
        <color theme="1"/>
        <rFont val="Arial"/>
        <charset val="134"/>
      </rPr>
      <t>周订单</t>
    </r>
  </si>
  <si>
    <r>
      <rPr>
        <sz val="10"/>
        <color theme="1"/>
        <rFont val="Arial"/>
        <charset val="134"/>
      </rPr>
      <t>周销售</t>
    </r>
  </si>
  <si>
    <r>
      <rPr>
        <sz val="10"/>
        <color theme="1"/>
        <rFont val="Arial"/>
        <charset val="134"/>
      </rPr>
      <t>周转化</t>
    </r>
  </si>
  <si>
    <r>
      <rPr>
        <sz val="10"/>
        <color theme="1"/>
        <rFont val="Arial"/>
        <charset val="134"/>
      </rPr>
      <t>周相关订单</t>
    </r>
  </si>
  <si>
    <r>
      <rPr>
        <sz val="10"/>
        <color theme="1"/>
        <rFont val="Arial"/>
        <charset val="134"/>
      </rPr>
      <t>周相关销售</t>
    </r>
  </si>
  <si>
    <r>
      <rPr>
        <sz val="10"/>
        <color theme="1"/>
        <rFont val="Arial"/>
        <charset val="134"/>
      </rPr>
      <t>月订单</t>
    </r>
  </si>
  <si>
    <r>
      <rPr>
        <sz val="10"/>
        <color theme="1"/>
        <rFont val="Arial"/>
        <charset val="134"/>
      </rPr>
      <t>月销售</t>
    </r>
  </si>
  <si>
    <r>
      <rPr>
        <sz val="10"/>
        <color theme="1"/>
        <rFont val="Arial"/>
        <charset val="134"/>
      </rPr>
      <t>月</t>
    </r>
    <r>
      <rPr>
        <sz val="10"/>
        <color theme="1"/>
        <rFont val="Calibri"/>
        <charset val="134"/>
      </rPr>
      <t>CR</t>
    </r>
  </si>
  <si>
    <r>
      <rPr>
        <sz val="10"/>
        <color theme="1"/>
        <rFont val="Arial"/>
        <charset val="134"/>
      </rPr>
      <t>相关月订单</t>
    </r>
  </si>
  <si>
    <r>
      <rPr>
        <sz val="10"/>
        <color theme="1"/>
        <rFont val="Arial"/>
        <charset val="134"/>
      </rPr>
      <t>相关月销售</t>
    </r>
  </si>
  <si>
    <t>B000010001</t>
  </si>
  <si>
    <r>
      <rPr>
        <sz val="10"/>
        <color theme="1"/>
        <rFont val="Calibri"/>
        <charset val="134"/>
      </rPr>
      <t xml:space="preserve">B000010001 </t>
    </r>
    <r>
      <rPr>
        <sz val="10"/>
        <color theme="1"/>
        <rFont val="Arial"/>
        <charset val="134"/>
      </rPr>
      <t>汇总</t>
    </r>
  </si>
  <si>
    <t>B000020002</t>
  </si>
  <si>
    <r>
      <rPr>
        <sz val="10"/>
        <color theme="1"/>
        <rFont val="Calibri"/>
        <charset val="134"/>
      </rPr>
      <t xml:space="preserve">B000020002 </t>
    </r>
    <r>
      <rPr>
        <sz val="10"/>
        <color theme="1"/>
        <rFont val="Arial"/>
        <charset val="134"/>
      </rPr>
      <t>汇总</t>
    </r>
  </si>
  <si>
    <r>
      <rPr>
        <sz val="10"/>
        <color theme="1"/>
        <rFont val="Arial"/>
        <charset val="134"/>
      </rPr>
      <t>总计</t>
    </r>
  </si>
  <si>
    <t>表简称</t>
  </si>
  <si>
    <t>填写顺序</t>
  </si>
  <si>
    <t>表名称</t>
  </si>
  <si>
    <t>表依据和</t>
  </si>
  <si>
    <r>
      <rPr>
        <sz val="10"/>
        <color theme="1"/>
        <rFont val="Calibri"/>
        <charset val="134"/>
      </rPr>
      <t>SKU</t>
    </r>
    <r>
      <rPr>
        <sz val="10"/>
        <color theme="1"/>
        <rFont val="宋体"/>
        <charset val="134"/>
      </rPr>
      <t>表</t>
    </r>
  </si>
  <si>
    <t>产品基础表</t>
  </si>
  <si>
    <r>
      <rPr>
        <sz val="10"/>
        <color theme="1"/>
        <rFont val="宋体"/>
        <charset val="134"/>
      </rPr>
      <t xml:space="preserve">填写产品ASIN和SKU表，其他表根据ASIN表和SKU来计算或取值。
</t>
    </r>
    <r>
      <rPr>
        <b/>
        <sz val="10"/>
        <color rgb="FFFF0000"/>
        <rFont val="宋体"/>
        <charset val="134"/>
      </rPr>
      <t>基础表必填。基础表必填。基础表必填。重要的事说三遍。</t>
    </r>
  </si>
  <si>
    <t>广告数据报表</t>
  </si>
  <si>
    <t>亚马逊广告明细表</t>
  </si>
  <si>
    <r>
      <rPr>
        <sz val="10"/>
        <color theme="1"/>
        <rFont val="宋体"/>
        <charset val="134"/>
      </rPr>
      <t xml:space="preserve">自后台导出的广告数据报表，按照时间排序后，更新到表格中。栏目一个都不要错，粘贴到非橙色区域。
</t>
    </r>
    <r>
      <rPr>
        <b/>
        <sz val="10"/>
        <color theme="7" tint="0.399975585192419"/>
        <rFont val="宋体"/>
        <charset val="134"/>
      </rPr>
      <t>并且，敲黑板，重点（！！！）</t>
    </r>
    <r>
      <rPr>
        <sz val="10"/>
        <color theme="1"/>
        <rFont val="宋体"/>
        <charset val="134"/>
      </rPr>
      <t xml:space="preserve">：
</t>
    </r>
    <r>
      <rPr>
        <b/>
        <sz val="10"/>
        <color theme="7" tint="0.399975585192419"/>
        <rFont val="宋体"/>
        <charset val="134"/>
      </rPr>
      <t xml:space="preserve">《SKU表》和《广告数据报表》都使用了“表格”。一定要保证你的数据，在表格范围内。如何确定表格范围？看你的数据最后一行的右下角是否有角标！如果我没有色盲的话，《SKU表》右下角那个蓝色的就是。
</t>
    </r>
    <r>
      <rPr>
        <sz val="10"/>
        <color theme="1"/>
        <rFont val="宋体"/>
        <charset val="134"/>
      </rPr>
      <t xml:space="preserve">
</t>
    </r>
    <r>
      <rPr>
        <b/>
        <sz val="10"/>
        <color theme="6"/>
        <rFont val="宋体"/>
        <charset val="134"/>
      </rPr>
      <t>橙色背景色特别说明</t>
    </r>
    <r>
      <rPr>
        <sz val="10"/>
        <color theme="1"/>
        <rFont val="Arial"/>
        <charset val="134"/>
        <scheme val="minor"/>
      </rPr>
      <t>：橙色背景色标记了不需要填写的区域，会公式自动取值。用于透视表的一些筛选等。懂Excel的人，也可以自己改动一下。例如把时间计算成本年第多少周什么的。脑洞大一些，细致一些。数据就拆分的更细致。</t>
    </r>
  </si>
  <si>
    <t>广告透析表</t>
  </si>
  <si>
    <t>广告数据透视表</t>
  </si>
  <si>
    <r>
      <rPr>
        <sz val="10"/>
        <color theme="1"/>
        <rFont val="宋体"/>
        <charset val="134"/>
      </rPr>
      <t xml:space="preserve">当所有准备工作做足后，在《广告透视表》中点击 </t>
    </r>
    <r>
      <rPr>
        <b/>
        <sz val="10"/>
        <color rgb="FFFF0000"/>
        <rFont val="宋体"/>
        <charset val="134"/>
      </rPr>
      <t>右键-刷新</t>
    </r>
    <r>
      <rPr>
        <sz val="10"/>
        <color theme="1"/>
        <rFont val="Arial"/>
        <charset val="134"/>
        <scheme val="minor"/>
      </rPr>
      <t xml:space="preserve"> 即可看到最新数据。
</t>
    </r>
    <r>
      <rPr>
        <b/>
        <sz val="10"/>
        <color rgb="FFFF0000"/>
        <rFont val="宋体"/>
        <charset val="134"/>
      </rPr>
      <t>基础工作做完只需要右键-刷新！基础工作做完只需要右键-刷新！基础工作做完只需要右键-刷新！重要的事说三遍。
反正刷新也不会在别的区域出现。</t>
    </r>
  </si>
  <si>
    <t xml:space="preserve"> </t>
  </si>
</sst>
</file>

<file path=xl/styles.xml><?xml version="1.0" encoding="utf-8"?>
<styleSheet xmlns="http://schemas.openxmlformats.org/spreadsheetml/2006/main">
  <numFmts count="51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#\ ??/??"/>
    <numFmt numFmtId="179" formatCode="mmmm\-yy"/>
    <numFmt numFmtId="24" formatCode="\$#,##0_);[Red]\(\$#,##0\)"/>
    <numFmt numFmtId="7" formatCode="&quot;￥&quot;#,##0.00;&quot;￥&quot;\-#,##0.00"/>
    <numFmt numFmtId="26" formatCode="\$#,##0.00_);[Red]\(\$#,##0.00\)"/>
    <numFmt numFmtId="23" formatCode="\$#,##0_);\(\$#,##0\)"/>
    <numFmt numFmtId="180" formatCode="yy/m/d"/>
    <numFmt numFmtId="42" formatCode="_ &quot;￥&quot;* #,##0_ ;_ &quot;￥&quot;* \-#,##0_ ;_ &quot;￥&quot;* &quot;-&quot;_ ;_ @_ "/>
    <numFmt numFmtId="181" formatCode="[DBNum1][$-804]yyyy&quot;年&quot;m&quot;月&quot;d&quot;日&quot;"/>
    <numFmt numFmtId="182" formatCode="h:mm:ss\ AM/PM"/>
    <numFmt numFmtId="183" formatCode="\¥#,##0;[Red]\¥\-#,##0"/>
    <numFmt numFmtId="184" formatCode="m/d"/>
    <numFmt numFmtId="185" formatCode="0_);[Red]\(0\)"/>
    <numFmt numFmtId="186" formatCode="h:mm\ AM/PM"/>
    <numFmt numFmtId="187" formatCode="mmmmm"/>
    <numFmt numFmtId="188" formatCode="dd\-mmm\-yy"/>
    <numFmt numFmtId="189" formatCode="mm/dd/yy"/>
    <numFmt numFmtId="190" formatCode="\$#,##0.00;\-\$#,##0.00"/>
    <numFmt numFmtId="191" formatCode="[$-804]aaa"/>
    <numFmt numFmtId="192" formatCode="\¥#,##0.00;\¥\-#,##0.00"/>
    <numFmt numFmtId="25" formatCode="\$#,##0.00_);\(\$#,##0.00\)"/>
    <numFmt numFmtId="193" formatCode="[DBNum1]h&quot;时&quot;mm&quot;分&quot;"/>
    <numFmt numFmtId="194" formatCode="\¥#,##0;\¥\-#,##0"/>
    <numFmt numFmtId="195" formatCode="#\ ?/?"/>
    <numFmt numFmtId="196" formatCode="mmmmm\-yy"/>
    <numFmt numFmtId="197" formatCode="[$-804]aaaa"/>
    <numFmt numFmtId="198" formatCode="#\ ??"/>
    <numFmt numFmtId="199" formatCode="0.00_);[Red]\(0.00\)"/>
    <numFmt numFmtId="200" formatCode="[DBNum1]上午/下午h&quot;时&quot;mm&quot;分&quot;"/>
    <numFmt numFmtId="8" formatCode="&quot;￥&quot;#,##0.00;[Red]&quot;￥&quot;\-#,##0.00"/>
    <numFmt numFmtId="201" formatCode="yyyy/m/d\ h:mm\ AM/PM"/>
    <numFmt numFmtId="43" formatCode="_ * #,##0.00_ ;_ * \-#,##0.00_ ;_ * &quot;-&quot;??_ ;_ @_ "/>
    <numFmt numFmtId="202" formatCode="0_ "/>
    <numFmt numFmtId="44" formatCode="_ &quot;￥&quot;* #,##0.00_ ;_ &quot;￥&quot;* \-#,##0.00_ ;_ &quot;￥&quot;* &quot;-&quot;??_ ;_ @_ "/>
    <numFmt numFmtId="41" formatCode="_ * #,##0_ ;_ * \-#,##0_ ;_ * &quot;-&quot;_ ;_ @_ "/>
    <numFmt numFmtId="5" formatCode="&quot;￥&quot;#,##0;&quot;￥&quot;\-#,##0"/>
    <numFmt numFmtId="203" formatCode="[DBNum1][$-804]m&quot;月&quot;d&quot;日&quot;"/>
    <numFmt numFmtId="204" formatCode="0_);[Red]\(0\)"/>
    <numFmt numFmtId="205" formatCode="0_);[Red]\(0\)"/>
    <numFmt numFmtId="206" formatCode="0_);[Red]\(0\)"/>
    <numFmt numFmtId="207" formatCode="0_);[Red]\(0\)"/>
    <numFmt numFmtId="208" formatCode="0_);[Red]\(0\)"/>
    <numFmt numFmtId="209" formatCode="0_);[Red]\(0\)"/>
    <numFmt numFmtId="210" formatCode="0_);[Red]\(0\)"/>
    <numFmt numFmtId="211" formatCode="0_);[Red]\(0\)"/>
    <numFmt numFmtId="212" formatCode="0_);[Red]\(0\)"/>
    <numFmt numFmtId="213" formatCode="0_);[Red]\(0\)"/>
    <numFmt numFmtId="214" formatCode="0_);[Red]\(0\)"/>
  </numFmts>
  <fonts count="44">
    <font>
      <sz val="10"/>
      <color theme="1"/>
      <name val="Arial"/>
      <charset val="134"/>
      <scheme val="minor"/>
    </font>
    <font>
      <sz val="10"/>
      <color theme="1"/>
      <name val="Calibri"/>
      <charset val="134"/>
    </font>
    <font>
      <sz val="10"/>
      <color theme="1"/>
      <name val="宋体"/>
      <charset val="134"/>
    </font>
    <font>
      <sz val="10"/>
      <color theme="0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  <scheme val="minor"/>
    </font>
    <font>
      <sz val="11"/>
      <color theme="0"/>
      <name val="Arial"/>
      <charset val="134"/>
      <scheme val="minor"/>
    </font>
    <font>
      <sz val="10"/>
      <color theme="0"/>
      <name val="Arial"/>
      <charset val="134"/>
      <scheme val="minor"/>
    </font>
    <font>
      <sz val="11"/>
      <color theme="0"/>
      <name val="Calibri"/>
      <charset val="134"/>
    </font>
    <font>
      <sz val="11"/>
      <color theme="0"/>
      <name val="宋体"/>
      <charset val="134"/>
    </font>
    <font>
      <sz val="9"/>
      <color theme="1"/>
      <name val="Calibri"/>
      <charset val="134"/>
    </font>
    <font>
      <sz val="9"/>
      <color theme="1"/>
      <name val="宋体"/>
      <charset val="134"/>
    </font>
    <font>
      <sz val="9"/>
      <color theme="1" tint="0.249946592608417"/>
      <name val="Calibri"/>
      <charset val="134"/>
    </font>
    <font>
      <sz val="9"/>
      <color theme="1" tint="0.249946592608417"/>
      <name val="宋体"/>
      <charset val="134"/>
    </font>
    <font>
      <sz val="11"/>
      <color theme="1"/>
      <name val="Arial"/>
      <charset val="0"/>
      <scheme val="minor"/>
    </font>
    <font>
      <sz val="11"/>
      <color theme="0"/>
      <name val="Arial"/>
      <charset val="0"/>
      <scheme val="minor"/>
    </font>
    <font>
      <b/>
      <sz val="12"/>
      <color theme="1" tint="0.249946592608417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rgb="FF3F3F3F"/>
      <name val="Arial"/>
      <charset val="0"/>
      <scheme val="minor"/>
    </font>
    <font>
      <sz val="9"/>
      <color theme="1"/>
      <name val="Arial"/>
      <charset val="134"/>
      <scheme val="minor"/>
    </font>
    <font>
      <b/>
      <sz val="26"/>
      <color theme="0"/>
      <name val="Arial"/>
      <charset val="134"/>
      <scheme val="major"/>
    </font>
    <font>
      <b/>
      <sz val="11"/>
      <color rgb="FFFA7D00"/>
      <name val="Arial"/>
      <charset val="0"/>
      <scheme val="minor"/>
    </font>
    <font>
      <b/>
      <sz val="22"/>
      <color theme="1" tint="0.249946592608417"/>
      <name val="Arial"/>
      <charset val="134"/>
      <scheme val="major"/>
    </font>
    <font>
      <u/>
      <sz val="11"/>
      <color rgb="FF0000FF"/>
      <name val="Arial"/>
      <charset val="0"/>
      <scheme val="minor"/>
    </font>
    <font>
      <sz val="12"/>
      <color theme="1"/>
      <name val="Arial"/>
      <charset val="134"/>
      <scheme val="minor"/>
    </font>
    <font>
      <sz val="12"/>
      <color theme="0"/>
      <name val="Arial"/>
      <charset val="134"/>
      <scheme val="minor"/>
    </font>
    <font>
      <sz val="11"/>
      <color rgb="FF9C0006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b/>
      <sz val="10"/>
      <color rgb="FFFF0000"/>
      <name val="宋体"/>
      <charset val="134"/>
    </font>
    <font>
      <sz val="10"/>
      <color theme="1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Calibri"/>
      <charset val="134"/>
    </font>
    <font>
      <b/>
      <sz val="10"/>
      <color theme="7" tint="0.399975585192419"/>
      <name val="宋体"/>
      <charset val="134"/>
    </font>
    <font>
      <b/>
      <sz val="10"/>
      <color theme="6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-0.249946592608417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3">
    <xf numFmtId="0" fontId="0" fillId="0" borderId="0"/>
    <xf numFmtId="0" fontId="25" fillId="0" borderId="0">
      <alignment vertical="center"/>
    </xf>
    <xf numFmtId="0" fontId="15" fillId="2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34" fillId="26" borderId="7" applyNumberForma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31" fillId="20" borderId="0" applyNumberFormat="0" applyBorder="0" applyAlignment="0" applyProtection="0"/>
    <xf numFmtId="0" fontId="15" fillId="27" borderId="0" applyNumberFormat="0" applyBorder="0" applyAlignment="0" applyProtection="0">
      <alignment vertical="center"/>
    </xf>
    <xf numFmtId="0" fontId="31" fillId="18" borderId="0" applyNumberFormat="0" applyBorder="0" applyAlignment="0" applyProtection="0"/>
    <xf numFmtId="0" fontId="15" fillId="17" borderId="0" applyNumberFormat="0" applyBorder="0" applyAlignment="0" applyProtection="0">
      <alignment vertical="center"/>
    </xf>
    <xf numFmtId="0" fontId="27" fillId="14" borderId="7" applyNumberFormat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6" fillId="33" borderId="10" applyNumberFormat="0" applyAlignment="0" applyProtection="0">
      <alignment vertical="center"/>
    </xf>
    <xf numFmtId="0" fontId="24" fillId="14" borderId="6" applyNumberFormat="0" applyAlignment="0" applyProtection="0">
      <alignment vertical="center"/>
    </xf>
    <xf numFmtId="0" fontId="19" fillId="0" borderId="0" applyNumberFormat="0" applyFill="0" applyAlignment="0" applyProtection="0"/>
    <xf numFmtId="0" fontId="21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/>
    <xf numFmtId="0" fontId="1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5" fillId="7" borderId="4" applyNumberFormat="0" applyFon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0" fillId="0" borderId="0"/>
    <xf numFmtId="0" fontId="14" fillId="1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0" fontId="16" fillId="0" borderId="0" applyNumberFormat="0" applyProtection="0">
      <alignment horizontal="right"/>
    </xf>
    <xf numFmtId="0" fontId="14" fillId="25" borderId="0" applyNumberFormat="0" applyBorder="0" applyAlignment="0" applyProtection="0">
      <alignment vertical="center"/>
    </xf>
    <xf numFmtId="0" fontId="16" fillId="0" borderId="0" applyNumberFormat="0" applyFill="0" applyAlignment="0" applyProtection="0"/>
    <xf numFmtId="0" fontId="15" fillId="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5" fillId="0" borderId="0"/>
    <xf numFmtId="0" fontId="35" fillId="0" borderId="9" applyNumberFormat="0" applyFill="0" applyAlignment="0" applyProtection="0">
      <alignment vertical="center"/>
    </xf>
  </cellStyleXfs>
  <cellXfs count="58">
    <xf numFmtId="0" fontId="0" fillId="0" borderId="0" xfId="0"/>
    <xf numFmtId="0" fontId="0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10" fontId="1" fillId="0" borderId="1" xfId="0" applyNumberFormat="1" applyFont="1" applyBorder="1"/>
    <xf numFmtId="0" fontId="1" fillId="0" borderId="1" xfId="0" applyFont="1" applyBorder="1" applyAlignment="1">
      <alignment horizontal="left" indent="1"/>
    </xf>
    <xf numFmtId="202" fontId="1" fillId="0" borderId="1" xfId="0" applyNumberFormat="1" applyFont="1" applyBorder="1" applyAlignment="1">
      <alignment horizontal="center" vertical="center" wrapText="1"/>
    </xf>
    <xf numFmtId="190" fontId="1" fillId="0" borderId="1" xfId="0" applyNumberFormat="1" applyFont="1" applyBorder="1"/>
    <xf numFmtId="202" fontId="1" fillId="0" borderId="1" xfId="0" applyNumberFormat="1" applyFont="1" applyBorder="1"/>
    <xf numFmtId="199" fontId="3" fillId="0" borderId="0" xfId="0" applyNumberFormat="1" applyFont="1" applyFill="1" applyAlignment="1">
      <alignment vertical="center"/>
    </xf>
    <xf numFmtId="199" fontId="4" fillId="0" borderId="0" xfId="51" applyNumberFormat="1" applyFont="1" applyFill="1"/>
    <xf numFmtId="0" fontId="5" fillId="0" borderId="0" xfId="51"/>
    <xf numFmtId="0" fontId="5" fillId="0" borderId="0" xfId="51" applyNumberFormat="1"/>
    <xf numFmtId="185" fontId="5" fillId="0" borderId="0" xfId="51" applyNumberFormat="1"/>
    <xf numFmtId="10" fontId="5" fillId="0" borderId="0" xfId="51" applyNumberFormat="1"/>
    <xf numFmtId="190" fontId="5" fillId="0" borderId="0" xfId="51" applyNumberFormat="1"/>
    <xf numFmtId="26" fontId="5" fillId="0" borderId="0" xfId="51" applyNumberFormat="1"/>
    <xf numFmtId="14" fontId="5" fillId="0" borderId="0" xfId="51" applyNumberFormat="1"/>
    <xf numFmtId="0" fontId="3" fillId="0" borderId="0" xfId="0" applyFont="1" applyFill="1" applyAlignment="1">
      <alignment vertical="center"/>
    </xf>
    <xf numFmtId="0" fontId="3" fillId="0" borderId="0" xfId="0" applyNumberFormat="1" applyFont="1" applyFill="1" applyAlignment="1">
      <alignment vertical="center"/>
    </xf>
    <xf numFmtId="0" fontId="4" fillId="0" borderId="1" xfId="51" applyFont="1" applyBorder="1"/>
    <xf numFmtId="0" fontId="4" fillId="0" borderId="1" xfId="51" applyNumberFormat="1" applyFont="1" applyBorder="1"/>
    <xf numFmtId="185" fontId="3" fillId="0" borderId="0" xfId="0" applyNumberFormat="1" applyFont="1" applyFill="1" applyAlignment="1">
      <alignment vertical="center"/>
    </xf>
    <xf numFmtId="185" fontId="4" fillId="0" borderId="1" xfId="51" applyNumberFormat="1" applyFont="1" applyBorder="1"/>
    <xf numFmtId="10" fontId="3" fillId="0" borderId="0" xfId="0" applyNumberFormat="1" applyFont="1" applyFill="1" applyAlignment="1">
      <alignment vertical="center"/>
    </xf>
    <xf numFmtId="190" fontId="3" fillId="0" borderId="0" xfId="0" applyNumberFormat="1" applyFont="1" applyFill="1" applyAlignment="1">
      <alignment vertical="center"/>
    </xf>
    <xf numFmtId="10" fontId="4" fillId="0" borderId="1" xfId="51" applyNumberFormat="1" applyFont="1" applyBorder="1"/>
    <xf numFmtId="190" fontId="4" fillId="0" borderId="1" xfId="51" applyNumberFormat="1" applyFont="1" applyBorder="1"/>
    <xf numFmtId="26" fontId="3" fillId="0" borderId="0" xfId="0" applyNumberFormat="1" applyFont="1" applyFill="1" applyAlignment="1">
      <alignment vertical="center"/>
    </xf>
    <xf numFmtId="26" fontId="4" fillId="0" borderId="1" xfId="51" applyNumberFormat="1" applyFont="1" applyBorder="1"/>
    <xf numFmtId="0" fontId="6" fillId="3" borderId="0" xfId="51" applyNumberFormat="1" applyFont="1" applyFill="1" applyAlignment="1"/>
    <xf numFmtId="0" fontId="7" fillId="0" borderId="0" xfId="0" applyNumberFormat="1" applyFont="1" applyAlignment="1"/>
    <xf numFmtId="0" fontId="8" fillId="3" borderId="1" xfId="51" applyNumberFormat="1" applyFont="1" applyFill="1" applyBorder="1"/>
    <xf numFmtId="14" fontId="9" fillId="3" borderId="0" xfId="51" applyNumberFormat="1" applyFont="1" applyFill="1" applyAlignment="1">
      <alignment horizontal="center"/>
    </xf>
    <xf numFmtId="14" fontId="3" fillId="0" borderId="0" xfId="0" applyNumberFormat="1" applyFont="1" applyFill="1" applyAlignment="1">
      <alignment vertical="center"/>
    </xf>
    <xf numFmtId="14" fontId="8" fillId="3" borderId="1" xfId="51" applyNumberFormat="1" applyFont="1" applyFill="1" applyBorder="1"/>
    <xf numFmtId="199" fontId="8" fillId="3" borderId="1" xfId="51" applyNumberFormat="1" applyFont="1" applyFill="1" applyBorder="1"/>
    <xf numFmtId="0" fontId="10" fillId="0" borderId="0" xfId="1" applyFont="1" applyFill="1">
      <alignment vertical="center"/>
    </xf>
    <xf numFmtId="0" fontId="10" fillId="0" borderId="0" xfId="0" applyNumberFormat="1" applyFont="1"/>
    <xf numFmtId="0" fontId="10" fillId="0" borderId="0" xfId="0" applyFont="1"/>
    <xf numFmtId="0" fontId="10" fillId="4" borderId="1" xfId="1" applyNumberFormat="1" applyFont="1" applyFill="1" applyBorder="1" applyAlignment="1">
      <alignment horizontal="center" vertical="center" wrapText="1"/>
    </xf>
    <xf numFmtId="0" fontId="11" fillId="4" borderId="1" xfId="1" applyNumberFormat="1" applyFont="1" applyFill="1" applyBorder="1" applyAlignment="1">
      <alignment horizontal="center" vertical="center" wrapText="1"/>
    </xf>
    <xf numFmtId="0" fontId="10" fillId="0" borderId="3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left" vertical="center"/>
    </xf>
    <xf numFmtId="0" fontId="13" fillId="0" borderId="1" xfId="1" applyNumberFormat="1" applyFont="1" applyFill="1" applyBorder="1" applyAlignment="1">
      <alignment horizontal="left" vertical="center"/>
    </xf>
    <xf numFmtId="0" fontId="10" fillId="0" borderId="1" xfId="1" applyNumberFormat="1" applyFont="1" applyFill="1" applyBorder="1" applyAlignment="1">
      <alignment horizontal="left" vertical="center"/>
    </xf>
  </cellXfs>
  <cellStyles count="53">
    <cellStyle name="常规" xfId="0" builtinId="0"/>
    <cellStyle name="常规 2" xfId="1"/>
    <cellStyle name="60% - 强调文字颜色 6" xfId="2" builtinId="52"/>
    <cellStyle name="20% - 强调文字颜色 4" xfId="3" builtinId="42"/>
    <cellStyle name="强调文字颜色 4" xfId="4" builtinId="41"/>
    <cellStyle name="输入" xfId="5" builtinId="20"/>
    <cellStyle name="40% - 强调文字颜色 3" xfId="6" builtinId="39"/>
    <cellStyle name="20% - 强调文字颜色 3" xfId="7" builtinId="38"/>
    <cellStyle name="货币" xfId="8" builtinId="4"/>
    <cellStyle name="强调文字颜色 3" xfId="9" builtinId="37"/>
    <cellStyle name="百分比" xfId="10" builtinId="5"/>
    <cellStyle name="60% - 强调文字颜色 2" xfId="11" builtinId="36"/>
    <cellStyle name="60% - 强调文字颜色 5" xfId="12" builtinId="48"/>
    <cellStyle name="强调文字颜色 2" xfId="13" builtinId="33"/>
    <cellStyle name="60% - 强调文字颜色 1" xfId="14" builtinId="32"/>
    <cellStyle name="60% - 强调文字颜色 4" xfId="15" builtinId="44"/>
    <cellStyle name="计算" xfId="16" builtinId="22"/>
    <cellStyle name="强调文字颜色 1" xfId="17" builtinId="29"/>
    <cellStyle name="适中" xfId="18" builtinId="28"/>
    <cellStyle name="20% - 强调文字颜色 5" xfId="19" builtinId="46"/>
    <cellStyle name="好" xfId="20" builtinId="26"/>
    <cellStyle name="20% - 强调文字颜色 1" xfId="21" builtinId="30"/>
    <cellStyle name="汇总" xfId="22" builtinId="25"/>
    <cellStyle name="差" xfId="23" builtinId="27"/>
    <cellStyle name="检查单元格" xfId="24" builtinId="23"/>
    <cellStyle name="输出" xfId="25" builtinId="21"/>
    <cellStyle name="标题 1" xfId="26" builtinId="16"/>
    <cellStyle name="解释性文本" xfId="27" builtinId="53"/>
    <cellStyle name="20% - 强调文字颜色 2" xfId="28" builtinId="34"/>
    <cellStyle name="标题 4" xfId="29" builtinId="19"/>
    <cellStyle name="货币[0]" xfId="30" builtinId="7"/>
    <cellStyle name="40% - 强调文字颜色 4" xfId="31" builtinId="43"/>
    <cellStyle name="千位分隔" xfId="32" builtinId="3"/>
    <cellStyle name="已访问的超链接" xfId="33" builtinId="9"/>
    <cellStyle name="标题" xfId="34" builtinId="15"/>
    <cellStyle name="40% - 强调文字颜色 2" xfId="35" builtinId="35"/>
    <cellStyle name="警告文本" xfId="36" builtinId="11"/>
    <cellStyle name="60% - 强调文字颜色 3" xfId="37" builtinId="40"/>
    <cellStyle name="注释" xfId="38" builtinId="10"/>
    <cellStyle name="20% - 强调文字颜色 6" xfId="39" builtinId="50"/>
    <cellStyle name="强调文字颜色 5" xfId="40" builtinId="45"/>
    <cellStyle name="常规 2 4" xfId="41"/>
    <cellStyle name="40% - 强调文字颜色 6" xfId="42" builtinId="51"/>
    <cellStyle name="超链接" xfId="43" builtinId="8"/>
    <cellStyle name="标题 5" xfId="44"/>
    <cellStyle name="千位分隔[0]" xfId="45" builtinId="6"/>
    <cellStyle name="标题 2" xfId="46" builtinId="17"/>
    <cellStyle name="40% - 强调文字颜色 5" xfId="47" builtinId="47"/>
    <cellStyle name="标题 3" xfId="48" builtinId="18"/>
    <cellStyle name="强调文字颜色 6" xfId="49" builtinId="49"/>
    <cellStyle name="40% - 强调文字颜色 1" xfId="50" builtinId="31"/>
    <cellStyle name="常规 3" xfId="51"/>
    <cellStyle name="链接单元格" xfId="52" builtinId="24"/>
  </cellStyles>
  <dxfs count="133">
    <dxf>
      <alignment wrapText="1"/>
    </dxf>
    <dxf>
      <alignment wrapText="1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9" formatCode="0%"/>
    </dxf>
    <dxf>
      <numFmt numFmtId="10" formatCode="0.00%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numFmt numFmtId="10" formatCode="0.00%"/>
    </dxf>
    <dxf>
      <alignment horizontal="center"/>
    </dxf>
    <dxf>
      <alignment vertical="center"/>
    </dxf>
    <dxf>
      <alignment wrapText="1"/>
    </dxf>
    <dxf>
      <border>
        <top style="thin">
          <color auto="1"/>
        </top>
        <bottom style="thin">
          <color auto="1"/>
        </bottom>
      </border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215" formatCode="&quot;$&quot;#,##0.00;\-&quot;$&quot;#,##0.00"/>
    </dxf>
    <dxf>
      <numFmt numFmtId="216" formatCode="&quot;$&quot;#,##0.00;\-&quot;$&quot;#,##0.00"/>
    </dxf>
    <dxf>
      <numFmt numFmtId="202" formatCode="0_ "/>
    </dxf>
    <dxf>
      <alignment horizontal="center"/>
    </dxf>
    <dxf>
      <alignment vertical="center"/>
    </dxf>
    <dxf>
      <numFmt numFmtId="217" formatCode="&quot;$&quot;#,##0.00;\-&quot;$&quot;#,##0.00"/>
    </dxf>
    <dxf>
      <alignment horizontal="center"/>
    </dxf>
    <dxf>
      <alignment vertical="center"/>
    </dxf>
    <dxf>
      <numFmt numFmtId="202" formatCode="0_ "/>
    </dxf>
    <dxf>
      <numFmt numFmtId="218" formatCode="&quot;$&quot;#,##0.00;\-&quot;$&quot;#,##0.00"/>
    </dxf>
    <dxf>
      <alignment wrapText="1"/>
    </dxf>
    <dxf>
      <numFmt numFmtId="10" formatCode="0.00%"/>
    </dxf>
    <dxf>
      <numFmt numFmtId="10" formatCode="0.00%"/>
    </dxf>
    <dxf>
      <numFmt numFmtId="10" formatCode="0.00%"/>
    </dxf>
    <dxf>
      <numFmt numFmtId="219" formatCode="&quot;$&quot;#,##0.00;\-&quot;$&quot;#,##0.00"/>
    </dxf>
    <dxf>
      <alignment horizontal="center"/>
    </dxf>
    <dxf>
      <alignment vertical="center"/>
    </dxf>
    <dxf>
      <numFmt numFmtId="202" formatCode="0_ "/>
      <alignment wrapText="1"/>
    </dxf>
    <dxf>
      <numFmt numFmtId="220" formatCode="&quot;$&quot;#,##0.00;\-&quot;$&quot;#,##0.00"/>
    </dxf>
    <dxf>
      <alignment wrapText="1"/>
    </dxf>
    <dxf>
      <alignment horizontal="center"/>
    </dxf>
    <dxf>
      <alignment vertical="center"/>
    </dxf>
    <dxf>
      <font>
        <name val="Calibri"/>
        <scheme val="none"/>
        <family val="2"/>
        <b val="0"/>
        <i val="0"/>
        <strike val="0"/>
        <u val="none"/>
        <sz val="9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9"/>
        <color theme="1"/>
      </font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9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9"/>
        <color theme="1" tint="0.249946592608417"/>
      </font>
      <fill>
        <patternFill patternType="none"/>
      </fill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FFC000"/>
        </patternFill>
      </fill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0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21" formatCode="&quot;$&quot;#,##0.00;\-&quot;$&quot;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22" formatCode="&quot;$&quot;#,##0.00;\-&quot;$&quot;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23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0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24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25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26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0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27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28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29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0" formatCode="0.0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85" formatCode="0_);[Red]\(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30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231" formatCode="&quot;$&quot;#,##0.00_);[Red]\(&quot;$&quot;#,##0.00\)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0"/>
      </font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0"/>
      </font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0"/>
      </font>
      <numFmt numFmtId="14" formatCode="yyyy/m/d"/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cheme val="none"/>
        <family val="2"/>
        <b val="0"/>
        <i val="0"/>
        <strike val="0"/>
        <u val="none"/>
        <sz val="11"/>
        <color theme="0"/>
      </font>
      <numFmt numFmtId="199" formatCode="0.00_);[Red]\(0.00\)"/>
      <fill>
        <patternFill patternType="solid">
          <bgColor theme="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b val="1"/>
        <i val="0"/>
        <color theme="1" tint="0.499984740745262"/>
      </font>
      <fill>
        <patternFill patternType="none"/>
      </fill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5"/>
        </bottom>
        <vertical style="thick">
          <color theme="0"/>
        </vertical>
        <horizontal style="thick">
          <color theme="0"/>
        </horizontal>
      </border>
    </dxf>
    <dxf>
      <font>
        <b val="0"/>
        <i val="0"/>
        <color theme="1" tint="0.499984740745262"/>
      </font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font>
        <name val="Century Gothic"/>
        <scheme val="none"/>
        <b val="1"/>
        <i val="0"/>
        <sz val="11"/>
        <color theme="0" tint="-0.349986266670736"/>
      </font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5" tint="0.899960325937681"/>
        </patternFill>
      </fill>
    </dxf>
    <dxf>
      <font>
        <b val="1"/>
        <i val="0"/>
      </font>
      <fill>
        <patternFill patternType="none"/>
      </fill>
    </dxf>
    <dxf>
      <font>
        <color theme="0"/>
      </font>
      <fill>
        <patternFill patternType="solid">
          <bgColor theme="1"/>
        </patternFill>
      </fill>
    </dxf>
    <dxf>
      <border>
        <bottom style="thin">
          <color theme="3" tint="0.399945066682943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border>
        <bottom style="thin">
          <color theme="4"/>
        </bottom>
      </border>
    </dxf>
    <dxf>
      <font>
        <color theme="1" tint="0.249946592608417"/>
      </font>
      <border>
        <top style="thin">
          <color theme="4"/>
        </top>
        <bottom style="thin">
          <color theme="4"/>
        </bottom>
      </border>
    </dxf>
    <dxf>
      <font>
        <color theme="1" tint="0.249946592608417"/>
      </font>
      <fill>
        <patternFill patternType="solid">
          <bgColor theme="0" tint="-0.0499893185216834"/>
        </patternFill>
      </fill>
    </dxf>
    <dxf>
      <font>
        <color theme="0"/>
      </font>
      <fill>
        <patternFill patternType="solid">
          <bgColor theme="1" tint="0.249946592608417"/>
        </patternFill>
      </fill>
    </dxf>
    <dxf>
      <font>
        <color theme="1" tint="0.249946592608417"/>
      </font>
    </dxf>
  </dxfs>
  <tableStyles count="4" defaultTableStyle="Small Business Budget Style 1" defaultPivotStyle="PivotStyleLight16">
    <tableStyle name="Employee Training Tracker - Info" pivot="0" count="4">
      <tableStyleElement type="wholeTable" dxfId="118"/>
      <tableStyleElement type="headerRow" dxfId="117"/>
      <tableStyleElement type="totalRow" dxfId="116"/>
      <tableStyleElement type="firstColumn" dxfId="115"/>
    </tableStyle>
    <tableStyle name="Small Business Budget Style 1" pivot="0" count="4">
      <tableStyleElement type="wholeTable" dxfId="122"/>
      <tableStyleElement type="headerRow" dxfId="121"/>
      <tableStyleElement type="totalRow" dxfId="120"/>
      <tableStyleElement type="firstRowStripe" dxfId="119"/>
    </tableStyle>
    <tableStyle name="Small Business Budget Style 2" pivot="0" count="7">
      <tableStyleElement type="wholeTable" dxfId="129"/>
      <tableStyleElement type="headerRow" dxfId="128"/>
      <tableStyleElement type="totalRow" dxfId="127"/>
      <tableStyleElement type="firstColumn" dxfId="126"/>
      <tableStyleElement type="lastColumn" dxfId="125"/>
      <tableStyleElement type="firstRowStripe" dxfId="124"/>
      <tableStyleElement type="firstColumnStripe" dxfId="123"/>
    </tableStyle>
    <tableStyle name="销售报表数_表样式 1" pivot="0" count="3">
      <tableStyleElement type="wholeTable" dxfId="132"/>
      <tableStyleElement type="headerRow" dxfId="131"/>
      <tableStyleElement type="firstRowStripe" dxfId="1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customXml" Target="../customXml/item4.xml"/><Relationship Id="rId11" Type="http://schemas.openxmlformats.org/officeDocument/2006/relationships/customXml" Target="../customXml/item3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3103.5259403935" refreshedBy="10038" recordCount="40">
  <cacheSource type="worksheet">
    <worksheetSource name="tblAD"/>
  </cacheSource>
  <cacheFields count="38">
    <cacheField name="Campaign Name" numFmtId="0"/>
    <cacheField name="Ad Group Name" numFmtId="0"/>
    <cacheField name="Advertised SKU" numFmtId="0">
      <sharedItems containsNumber="1" containsInteger="1" containsMixedTypes="1" count="9">
        <s v="SKU A"/>
        <s v="SKU B"/>
        <n v="83227" u="1"/>
        <n v="83226" u="1"/>
        <n v="83224" u="1"/>
        <n v="83223" u="1"/>
        <n v="83222" u="1"/>
        <n v="83217" u="1"/>
        <n v="83216" u="1"/>
      </sharedItems>
    </cacheField>
    <cacheField name="Keyword" numFmtId="0">
      <sharedItems containsNumber="1" containsInteger="1" containsMixedTypes="1" count="6">
        <s v="Key 1"/>
        <s v="Key 2"/>
        <s v="Key 3"/>
        <s v="Key 4"/>
        <s v="Key 5"/>
        <n v="2825" u="1"/>
      </sharedItems>
    </cacheField>
    <cacheField name="Match Type" numFmtId="0"/>
    <cacheField name="Start Date" numFmtId="0"/>
    <cacheField name="End Date" numFmtId="0"/>
    <cacheField name="Clicks" numFmtId="214"/>
    <cacheField name="Impressions" numFmtId="214"/>
    <cacheField name="CTR" numFmtId="10"/>
    <cacheField name="Total Spend" numFmtId="190"/>
    <cacheField name="Average CPC" numFmtId="190"/>
    <cacheField name="Currency" numFmtId="0"/>
    <cacheField name="1-day Orders Placed (#)" numFmtId="214"/>
    <cacheField name="1-day Ordered Product Sales ($)" numFmtId="26"/>
    <cacheField name="1-day Conversion Rate" numFmtId="10"/>
    <cacheField name="1-day Same SKU Units Ordered" numFmtId="214"/>
    <cacheField name="1-day Other SKU Units Ordered" numFmtId="214"/>
    <cacheField name="1-day Same SKU Units Ordered Product Sales" numFmtId="26"/>
    <cacheField name="1-day Other SKU Units Ordered Product Sales" numFmtId="26"/>
    <cacheField name="1-week Orders Placed (#)" numFmtId="214"/>
    <cacheField name="1-week Ordered Product Sales ($)" numFmtId="26"/>
    <cacheField name="1-week Conversion Rate" numFmtId="10"/>
    <cacheField name="1-week Same SKU Units Ordered" numFmtId="214"/>
    <cacheField name="1-week Other SKU Units Ordered" numFmtId="214"/>
    <cacheField name="1-week Same SKU Units Ordered Product Sales" numFmtId="26"/>
    <cacheField name="1-week Other SKU Units Ordered Product Sales" numFmtId="26"/>
    <cacheField name="1-month Orders Placed (#)" numFmtId="214"/>
    <cacheField name="1-month Ordered Product Sales ($)" numFmtId="26"/>
    <cacheField name="1-month Conversion Rate" numFmtId="10"/>
    <cacheField name="1-month Same SKU Units Ordered" numFmtId="214"/>
    <cacheField name="1-month Other SKU Units Ordered" numFmtId="214"/>
    <cacheField name="1-month Same SKU Units Ordered Product Sales" numFmtId="26"/>
    <cacheField name="1-month Other SKU Units Ordered Product Sales" numFmtId="26"/>
    <cacheField name="ProductName" numFmtId="0">
      <sharedItems containsNumber="1" containsInteger="1" containsMixedTypes="1" count="8">
        <s v="产品A"/>
        <s v="产品B"/>
        <n v="83227" u="1"/>
        <n v="83226" u="1"/>
        <n v="83223" u="1"/>
        <n v="83222" u="1"/>
        <n v="83217" u="1"/>
        <n v="83216" u="1"/>
      </sharedItems>
    </cacheField>
    <cacheField name="ASIN" numFmtId="0">
      <sharedItems containsNumber="1" containsInteger="1" containsMixedTypes="1" count="8">
        <s v="B000010001"/>
        <s v="B000020002"/>
        <n v="83227" u="1"/>
        <n v="83226" u="1"/>
        <n v="83223" u="1"/>
        <n v="83222" u="1"/>
        <n v="83217" u="1"/>
        <n v="83216" u="1"/>
      </sharedItems>
    </cacheField>
    <cacheField name="ADDate" numFmtId="14"/>
    <cacheField name="ADYM" numFmtId="199">
      <sharedItems count="8">
        <s v="2017/12"/>
        <s v="2017/5" u="1"/>
        <s v="2017/6" u="1"/>
        <s v="2017/7" u="1"/>
        <s v="2017/10" u="1"/>
        <s v="2017/8" u="1"/>
        <s v="2017/9" u="1"/>
        <s v="2017/11" u="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s v="Campaign A"/>
    <s v="Group A"/>
    <x v="0"/>
    <x v="0"/>
    <s v="EXACT"/>
    <s v="12/24/2017 0:00"/>
    <s v="12/25/2017 0:00"/>
    <n v="10"/>
    <n v="1000"/>
    <n v="0.01"/>
    <n v="15"/>
    <n v="1.5"/>
    <s v="USD"/>
    <n v="2"/>
    <n v="20"/>
    <n v="0.2"/>
    <n v="2"/>
    <n v="0"/>
    <n v="20"/>
    <n v="0"/>
    <n v="3"/>
    <n v="30"/>
    <n v="0.25"/>
    <n v="0"/>
    <n v="0"/>
    <n v="0"/>
    <n v="0"/>
    <n v="3"/>
    <n v="30"/>
    <n v="0.3"/>
    <n v="0"/>
    <n v="0"/>
    <n v="0"/>
    <n v="0"/>
    <x v="0"/>
    <x v="0"/>
    <d v="2017-12-24T00:00:00"/>
    <x v="0"/>
  </r>
  <r>
    <s v="Campaign A"/>
    <s v="Group A"/>
    <x v="0"/>
    <x v="0"/>
    <s v="EXACT"/>
    <s v="12/25/2017 0:00"/>
    <s v="12/26/2017 0:00"/>
    <n v="20"/>
    <n v="2000"/>
    <n v="0.01"/>
    <n v="26"/>
    <n v="1.3"/>
    <s v="USD"/>
    <n v="4"/>
    <n v="40"/>
    <n v="0.2"/>
    <n v="4"/>
    <n v="0"/>
    <n v="40"/>
    <n v="0"/>
    <n v="5"/>
    <n v="50"/>
    <n v="0.25"/>
    <n v="0"/>
    <n v="0"/>
    <n v="0"/>
    <n v="0"/>
    <n v="6"/>
    <n v="60"/>
    <n v="0.3"/>
    <n v="0"/>
    <n v="0"/>
    <n v="0"/>
    <n v="0"/>
    <x v="0"/>
    <x v="0"/>
    <d v="2017-12-25T00:00:00"/>
    <x v="0"/>
  </r>
  <r>
    <s v="Campaign A"/>
    <s v="Group A"/>
    <x v="0"/>
    <x v="1"/>
    <s v="EXACT"/>
    <s v="12/24/2017 0:00"/>
    <s v="12/25/2017 0:00"/>
    <n v="30"/>
    <n v="3000"/>
    <n v="0.01"/>
    <n v="51"/>
    <n v="1.7"/>
    <s v="USD"/>
    <n v="6"/>
    <n v="60"/>
    <n v="0.2"/>
    <n v="6"/>
    <n v="0"/>
    <n v="60"/>
    <n v="0"/>
    <n v="8"/>
    <n v="80"/>
    <n v="0.25"/>
    <n v="0"/>
    <n v="0"/>
    <n v="0"/>
    <n v="0"/>
    <n v="9"/>
    <n v="90"/>
    <n v="0.3"/>
    <n v="0"/>
    <n v="0"/>
    <n v="0"/>
    <n v="0"/>
    <x v="0"/>
    <x v="0"/>
    <d v="2017-12-24T00:00:00"/>
    <x v="0"/>
  </r>
  <r>
    <s v="Campaign A"/>
    <s v="Group A"/>
    <x v="0"/>
    <x v="1"/>
    <s v="EXACT"/>
    <s v="12/25/2017 0:00"/>
    <s v="12/26/2017 0:00"/>
    <n v="40"/>
    <n v="4000"/>
    <n v="0.01"/>
    <n v="84"/>
    <n v="2.1"/>
    <s v="USD"/>
    <n v="8"/>
    <n v="80"/>
    <n v="0.2"/>
    <n v="8"/>
    <n v="0"/>
    <n v="80"/>
    <n v="0"/>
    <n v="10"/>
    <n v="100"/>
    <n v="0.25"/>
    <n v="0"/>
    <n v="0"/>
    <n v="0"/>
    <n v="0"/>
    <n v="12"/>
    <n v="120"/>
    <n v="0.3"/>
    <n v="0"/>
    <n v="0"/>
    <n v="0"/>
    <n v="0"/>
    <x v="0"/>
    <x v="0"/>
    <d v="2017-12-25T00:00:00"/>
    <x v="0"/>
  </r>
  <r>
    <s v="Campaign A"/>
    <s v="Group A"/>
    <x v="0"/>
    <x v="1"/>
    <s v="EXACT"/>
    <s v="12/26/2017 0:00"/>
    <s v="12/27/2017 0:00"/>
    <n v="50"/>
    <n v="5000"/>
    <n v="0.01"/>
    <n v="40"/>
    <n v="0.8"/>
    <s v="USD"/>
    <n v="10"/>
    <n v="100"/>
    <n v="0.2"/>
    <n v="10"/>
    <n v="0"/>
    <n v="100"/>
    <n v="0"/>
    <n v="13"/>
    <n v="130"/>
    <n v="0.25"/>
    <n v="0"/>
    <n v="0"/>
    <n v="0"/>
    <n v="0"/>
    <n v="15"/>
    <n v="150"/>
    <n v="0.3"/>
    <n v="0"/>
    <n v="0"/>
    <n v="0"/>
    <n v="0"/>
    <x v="0"/>
    <x v="0"/>
    <d v="2017-12-26T00:00:00"/>
    <x v="0"/>
  </r>
  <r>
    <s v="Campaign A"/>
    <s v="Group A"/>
    <x v="0"/>
    <x v="2"/>
    <s v="EXACT"/>
    <s v="12/25/2017 0:00"/>
    <s v="12/26/2017 0:00"/>
    <n v="60"/>
    <n v="6000"/>
    <n v="0.01"/>
    <n v="42"/>
    <n v="0.7"/>
    <s v="USD"/>
    <n v="12"/>
    <n v="120"/>
    <n v="0.2"/>
    <n v="12"/>
    <n v="0"/>
    <n v="120"/>
    <n v="0"/>
    <n v="15"/>
    <n v="150"/>
    <n v="0.25"/>
    <n v="0"/>
    <n v="0"/>
    <n v="0"/>
    <n v="0"/>
    <n v="18"/>
    <n v="180"/>
    <n v="0.3"/>
    <n v="0"/>
    <n v="0"/>
    <n v="0"/>
    <n v="0"/>
    <x v="0"/>
    <x v="0"/>
    <d v="2017-12-25T00:00:00"/>
    <x v="0"/>
  </r>
  <r>
    <s v="Campaign A"/>
    <s v="Group A"/>
    <x v="0"/>
    <x v="2"/>
    <s v="EXACT"/>
    <s v="12/26/2017 0:00"/>
    <s v="12/27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0"/>
    <x v="0"/>
    <d v="2017-12-26T00:00:00"/>
    <x v="0"/>
  </r>
  <r>
    <s v="Campaign B"/>
    <s v="Group B"/>
    <x v="1"/>
    <x v="0"/>
    <s v="EXACT"/>
    <s v="12/25/2017 0:00"/>
    <s v="12/26/2017 0:00"/>
    <n v="80"/>
    <n v="8000"/>
    <n v="0.01"/>
    <n v="120"/>
    <n v="1.5"/>
    <s v="USD"/>
    <n v="16"/>
    <n v="160"/>
    <n v="0.2"/>
    <n v="16"/>
    <n v="0"/>
    <n v="160"/>
    <n v="0"/>
    <n v="20"/>
    <n v="200"/>
    <n v="0.25"/>
    <n v="0"/>
    <n v="0"/>
    <n v="0"/>
    <n v="0"/>
    <n v="24"/>
    <n v="240"/>
    <n v="0.3"/>
    <n v="0"/>
    <n v="0"/>
    <n v="0"/>
    <n v="0"/>
    <x v="1"/>
    <x v="1"/>
    <d v="2017-12-25T00:00:00"/>
    <x v="0"/>
  </r>
  <r>
    <s v="Campaign B"/>
    <s v="Group B"/>
    <x v="1"/>
    <x v="1"/>
    <s v="EXACT"/>
    <s v="12/25/2017 0:00"/>
    <s v="12/26/2017 0:00"/>
    <n v="32"/>
    <n v="3200"/>
    <n v="0.01"/>
    <n v="41.6"/>
    <n v="1.3"/>
    <s v="USD"/>
    <n v="6"/>
    <n v="60"/>
    <n v="0.2"/>
    <n v="7"/>
    <n v="0"/>
    <n v="60"/>
    <n v="0"/>
    <n v="8"/>
    <n v="80"/>
    <n v="0.25"/>
    <n v="0"/>
    <n v="0"/>
    <n v="0"/>
    <n v="0"/>
    <n v="10"/>
    <n v="100"/>
    <n v="0.3"/>
    <n v="0"/>
    <n v="0"/>
    <n v="0"/>
    <n v="0"/>
    <x v="1"/>
    <x v="1"/>
    <d v="2017-12-25T00:00:00"/>
    <x v="0"/>
  </r>
  <r>
    <s v="Campaign B"/>
    <s v="Group B"/>
    <x v="1"/>
    <x v="2"/>
    <s v="EXACT"/>
    <s v="12/25/2017 0:00"/>
    <s v="12/26/2017 0:00"/>
    <n v="45"/>
    <n v="4500"/>
    <n v="0.01"/>
    <n v="76.5"/>
    <n v="1.7"/>
    <s v="USD"/>
    <n v="9"/>
    <n v="90"/>
    <n v="0.2"/>
    <n v="9"/>
    <n v="0"/>
    <n v="90"/>
    <n v="0"/>
    <n v="12"/>
    <n v="120"/>
    <n v="0.25"/>
    <n v="0"/>
    <n v="0"/>
    <n v="0"/>
    <n v="0"/>
    <n v="14"/>
    <n v="140"/>
    <n v="0.3"/>
    <n v="0"/>
    <n v="0"/>
    <n v="0"/>
    <n v="0"/>
    <x v="1"/>
    <x v="1"/>
    <d v="2017-12-25T00:00:00"/>
    <x v="0"/>
  </r>
  <r>
    <s v="Campaign B"/>
    <s v="Group B"/>
    <x v="1"/>
    <x v="3"/>
    <s v="EXACT"/>
    <s v="12/25/2017 0:00"/>
    <s v="12/26/2017 0:00"/>
    <n v="31"/>
    <n v="3100"/>
    <n v="0.01"/>
    <n v="65.100000000000009"/>
    <n v="2.1"/>
    <s v="USD"/>
    <n v="6"/>
    <n v="60"/>
    <n v="0.2"/>
    <n v="7"/>
    <n v="0"/>
    <n v="60"/>
    <n v="0"/>
    <n v="8"/>
    <n v="80"/>
    <n v="0.25"/>
    <n v="0"/>
    <n v="0"/>
    <n v="0"/>
    <n v="0"/>
    <n v="10"/>
    <n v="100"/>
    <n v="0.3"/>
    <n v="0"/>
    <n v="0"/>
    <n v="0"/>
    <n v="0"/>
    <x v="1"/>
    <x v="1"/>
    <d v="2017-12-25T00:00:00"/>
    <x v="0"/>
  </r>
  <r>
    <s v="Campaign B"/>
    <s v="Group B"/>
    <x v="1"/>
    <x v="4"/>
    <s v="EXACT"/>
    <s v="12/25/2017 0:00"/>
    <s v="12/26/2017 0:00"/>
    <n v="42"/>
    <n v="4200"/>
    <n v="0.01"/>
    <n v="33.6"/>
    <n v="0.8"/>
    <s v="USD"/>
    <n v="8"/>
    <n v="80"/>
    <n v="0.2"/>
    <n v="9"/>
    <n v="0"/>
    <n v="80"/>
    <n v="0"/>
    <n v="11"/>
    <n v="110"/>
    <n v="0.25"/>
    <n v="0"/>
    <n v="0"/>
    <n v="0"/>
    <n v="0"/>
    <n v="13"/>
    <n v="130"/>
    <n v="0.3"/>
    <n v="0"/>
    <n v="0"/>
    <n v="0"/>
    <n v="0"/>
    <x v="1"/>
    <x v="1"/>
    <d v="2017-12-25T00:00:00"/>
    <x v="0"/>
  </r>
  <r>
    <s v="Campaign B"/>
    <s v="Group B"/>
    <x v="1"/>
    <x v="0"/>
    <s v="EXACT"/>
    <s v="12/26/2017 0:00"/>
    <s v="12/26/2017 0:00"/>
    <n v="59"/>
    <n v="5900"/>
    <n v="0.01"/>
    <n v="41.3"/>
    <n v="0.7"/>
    <s v="USD"/>
    <n v="11"/>
    <n v="110"/>
    <n v="0.2"/>
    <n v="12"/>
    <n v="0"/>
    <n v="110"/>
    <n v="0"/>
    <n v="15"/>
    <n v="150"/>
    <n v="0.25"/>
    <n v="0"/>
    <n v="0"/>
    <n v="0"/>
    <n v="0"/>
    <n v="18"/>
    <n v="180"/>
    <n v="0.3"/>
    <n v="0"/>
    <n v="0"/>
    <n v="0"/>
    <n v="0"/>
    <x v="1"/>
    <x v="1"/>
    <d v="2017-12-26T00:00:00"/>
    <x v="0"/>
  </r>
  <r>
    <s v="Campaign B"/>
    <s v="Group B"/>
    <x v="1"/>
    <x v="1"/>
    <s v="EXACT"/>
    <s v="12/26/2017 0:00"/>
    <s v="12/26/2017 0:00"/>
    <n v="73"/>
    <n v="7300"/>
    <n v="0.01"/>
    <n v="116.80000000000001"/>
    <n v="1.6"/>
    <s v="USD"/>
    <n v="14"/>
    <n v="140"/>
    <n v="0.2"/>
    <n v="15"/>
    <n v="0"/>
    <n v="140"/>
    <n v="0"/>
    <n v="19"/>
    <n v="190"/>
    <n v="0.25"/>
    <n v="0"/>
    <n v="0"/>
    <n v="0"/>
    <n v="0"/>
    <n v="22"/>
    <n v="220"/>
    <n v="0.3"/>
    <n v="0"/>
    <n v="0"/>
    <n v="0"/>
    <n v="0"/>
    <x v="1"/>
    <x v="1"/>
    <d v="2017-12-26T00:00:00"/>
    <x v="0"/>
  </r>
  <r>
    <s v="Campaign B"/>
    <s v="Group B"/>
    <x v="1"/>
    <x v="2"/>
    <s v="EXACT"/>
    <s v="12/26/2017 0:00"/>
    <s v="12/26/2017 0:00"/>
    <n v="88"/>
    <n v="8800"/>
    <n v="0.01"/>
    <n v="132"/>
    <n v="1.5"/>
    <s v="USD"/>
    <n v="17"/>
    <n v="170"/>
    <n v="0.2"/>
    <n v="18"/>
    <n v="0"/>
    <n v="170"/>
    <n v="0"/>
    <n v="22"/>
    <n v="220"/>
    <n v="0.25"/>
    <n v="0"/>
    <n v="0"/>
    <n v="0"/>
    <n v="0"/>
    <n v="27"/>
    <n v="270"/>
    <n v="0.3"/>
    <n v="0"/>
    <n v="0"/>
    <n v="0"/>
    <n v="0"/>
    <x v="1"/>
    <x v="1"/>
    <d v="2017-12-26T00:00:00"/>
    <x v="0"/>
  </r>
  <r>
    <s v="Campaign B"/>
    <s v="Group B"/>
    <x v="1"/>
    <x v="3"/>
    <s v="EXACT"/>
    <s v="12/26/2017 0:00"/>
    <s v="12/26/2017 0:00"/>
    <n v="99"/>
    <n v="9900"/>
    <n v="0.01"/>
    <n v="128.70000000000002"/>
    <n v="1.3"/>
    <s v="USD"/>
    <n v="19"/>
    <n v="190"/>
    <n v="0.2"/>
    <n v="20"/>
    <n v="0"/>
    <n v="190"/>
    <n v="0"/>
    <n v="25"/>
    <n v="250"/>
    <n v="0.25"/>
    <n v="0"/>
    <n v="0"/>
    <n v="0"/>
    <n v="0"/>
    <n v="30"/>
    <n v="300"/>
    <n v="0.3"/>
    <n v="0"/>
    <n v="0"/>
    <n v="0"/>
    <n v="0"/>
    <x v="1"/>
    <x v="1"/>
    <d v="2017-12-26T00:00:00"/>
    <x v="0"/>
  </r>
  <r>
    <s v="Campaign B"/>
    <s v="Group B"/>
    <x v="1"/>
    <x v="4"/>
    <s v="EXACT"/>
    <s v="12/26/2017 0:00"/>
    <s v="12/26/2017 0:00"/>
    <n v="60"/>
    <n v="6000"/>
    <n v="0.01"/>
    <n v="102"/>
    <n v="1.7"/>
    <s v="USD"/>
    <n v="12"/>
    <n v="120"/>
    <n v="0.2"/>
    <n v="12"/>
    <n v="0"/>
    <n v="120"/>
    <n v="0"/>
    <n v="15"/>
    <n v="150"/>
    <n v="0.25"/>
    <n v="0"/>
    <n v="0"/>
    <n v="0"/>
    <n v="0"/>
    <n v="18"/>
    <n v="180"/>
    <n v="0.3"/>
    <n v="0"/>
    <n v="0"/>
    <n v="0"/>
    <n v="0"/>
    <x v="1"/>
    <x v="1"/>
    <d v="2017-12-26T00:00:00"/>
    <x v="0"/>
  </r>
  <r>
    <s v="Campaign B"/>
    <s v="Group B"/>
    <x v="1"/>
    <x v="0"/>
    <s v="EXACT"/>
    <s v="12/27/2017 0:00"/>
    <s v="12/28/2017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1"/>
    <s v="EXACT"/>
    <s v="12/27/2017 0:00"/>
    <s v="12/28/2017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2"/>
    <s v="EXACT"/>
    <s v="12/27/2017 0:00"/>
    <s v="12/28/2017 0:00"/>
    <n v="70"/>
    <n v="7000"/>
    <n v="0.01"/>
    <n v="49"/>
    <n v="0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3"/>
    <s v="EXACT"/>
    <s v="12/27/2017 0:00"/>
    <s v="12/28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4"/>
    <s v="EXACT"/>
    <s v="12/27/2017 0:00"/>
    <s v="12/28/2017 0:00"/>
    <n v="70"/>
    <n v="7000"/>
    <n v="0.01"/>
    <n v="105"/>
    <n v="1.5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7T00:00:00"/>
    <x v="0"/>
  </r>
  <r>
    <s v="Campaign B"/>
    <s v="Group B"/>
    <x v="1"/>
    <x v="0"/>
    <s v="EXACT"/>
    <s v="12/28/2017 0:00"/>
    <s v="12/29/2017 0:00"/>
    <n v="70"/>
    <n v="7000"/>
    <n v="0.01"/>
    <n v="91"/>
    <n v="1.3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1"/>
    <s v="EXACT"/>
    <s v="12/28/2017 0:00"/>
    <s v="12/29/2017 0:00"/>
    <n v="70"/>
    <n v="7000"/>
    <n v="0.01"/>
    <n v="119"/>
    <n v="1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2"/>
    <s v="EXACT"/>
    <s v="12/28/2017 0:00"/>
    <s v="12/29/2017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3"/>
    <s v="EXACT"/>
    <s v="12/28/2017 0:00"/>
    <s v="12/29/2017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4"/>
    <s v="EXACT"/>
    <s v="12/28/2017 0:00"/>
    <s v="12/29/2017 0:00"/>
    <n v="70"/>
    <n v="7000"/>
    <n v="0.01"/>
    <n v="49"/>
    <n v="0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8T00:00:00"/>
    <x v="0"/>
  </r>
  <r>
    <s v="Campaign B"/>
    <s v="Group B"/>
    <x v="1"/>
    <x v="0"/>
    <s v="EXACT"/>
    <s v="12/29/2017 0:00"/>
    <s v="12/30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1"/>
    <s v="EXACT"/>
    <s v="12/29/2017 0:00"/>
    <s v="12/30/2017 0:00"/>
    <n v="70"/>
    <n v="7000"/>
    <n v="0.01"/>
    <n v="105"/>
    <n v="1.5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2"/>
    <s v="EXACT"/>
    <s v="12/29/2017 0:00"/>
    <s v="12/30/2017 0:00"/>
    <n v="70"/>
    <n v="7000"/>
    <n v="0.01"/>
    <n v="91"/>
    <n v="1.3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3"/>
    <s v="EXACT"/>
    <s v="12/29/2017 0:00"/>
    <s v="12/30/2017 0:00"/>
    <n v="70"/>
    <n v="7000"/>
    <n v="0.01"/>
    <n v="119"/>
    <n v="1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4"/>
    <s v="EXACT"/>
    <s v="12/29/2017 0:00"/>
    <s v="12/30/2017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29T00:00:00"/>
    <x v="0"/>
  </r>
  <r>
    <s v="Campaign B"/>
    <s v="Group B"/>
    <x v="1"/>
    <x v="0"/>
    <s v="EXACT"/>
    <s v="12/30/2017 0:00"/>
    <s v="12/31/2017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1"/>
    <s v="EXACT"/>
    <s v="12/30/2017 0:00"/>
    <s v="12/31/2017 0:00"/>
    <n v="70"/>
    <n v="7000"/>
    <n v="0.01"/>
    <n v="49"/>
    <n v="0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2"/>
    <s v="EXACT"/>
    <s v="12/30/2017 0:00"/>
    <s v="12/31/2017 0:00"/>
    <n v="70"/>
    <n v="7000"/>
    <n v="0.01"/>
    <n v="112"/>
    <n v="1.6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3"/>
    <s v="EXACT"/>
    <s v="12/30/2017 0:00"/>
    <s v="12/31/2017 0:00"/>
    <n v="70"/>
    <n v="7000"/>
    <n v="0.01"/>
    <n v="105"/>
    <n v="1.5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4"/>
    <s v="EXACT"/>
    <s v="12/30/2017 0:00"/>
    <s v="12/31/2017 0:00"/>
    <n v="70"/>
    <n v="7000"/>
    <n v="0.01"/>
    <n v="91"/>
    <n v="1.3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0T00:00:00"/>
    <x v="0"/>
  </r>
  <r>
    <s v="Campaign B"/>
    <s v="Group B"/>
    <x v="1"/>
    <x v="0"/>
    <s v="EXACT"/>
    <s v="12/31/2017 0:00"/>
    <s v="1/1/2018 0:00"/>
    <n v="70"/>
    <n v="7000"/>
    <n v="0.01"/>
    <n v="119"/>
    <n v="1.7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1T00:00:00"/>
    <x v="0"/>
  </r>
  <r>
    <s v="Campaign B"/>
    <s v="Group B"/>
    <x v="1"/>
    <x v="1"/>
    <s v="EXACT"/>
    <s v="12/31/2017 0:00"/>
    <s v="1/1/2018 0:00"/>
    <n v="70"/>
    <n v="7000"/>
    <n v="0.01"/>
    <n v="147"/>
    <n v="2.1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1T00:00:00"/>
    <x v="0"/>
  </r>
  <r>
    <s v="Campaign B"/>
    <s v="Group B"/>
    <x v="1"/>
    <x v="2"/>
    <s v="EXACT"/>
    <s v="12/31/2017 0:00"/>
    <s v="1/1/2018 0:00"/>
    <n v="70"/>
    <n v="7000"/>
    <n v="0.01"/>
    <n v="56"/>
    <n v="0.8"/>
    <s v="USD"/>
    <n v="14"/>
    <n v="140"/>
    <n v="0.2"/>
    <n v="14"/>
    <n v="0"/>
    <n v="140"/>
    <n v="0"/>
    <n v="18"/>
    <n v="180"/>
    <n v="0.25"/>
    <n v="0"/>
    <n v="0"/>
    <n v="0"/>
    <n v="0"/>
    <n v="21"/>
    <n v="210"/>
    <n v="0.3"/>
    <n v="0"/>
    <n v="0"/>
    <n v="0"/>
    <n v="0"/>
    <x v="1"/>
    <x v="1"/>
    <d v="2017-12-31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6" minRefreshableVersion="3" createdVersion="6" useAutoFormatting="1" indent="0" outline="1" outlineData="1" showDrill="1" multipleFieldFilters="0">
  <location ref="A5:U18" firstHeaderRow="0" firstDataRow="1" firstDataCol="1" rowPageCount="1" colPageCount="1"/>
  <pivotFields count="38">
    <pivotField subtotalTop="0" showAll="0"/>
    <pivotField subtotalTop="0" showAll="0"/>
    <pivotField subtotalTop="0" showAll="0">
      <items count="10">
        <item sd="0" m="1" x="8"/>
        <item sd="0" m="1" x="7"/>
        <item sd="0" m="1" x="6"/>
        <item sd="0" m="1" x="5"/>
        <item m="1" x="4"/>
        <item sd="0" m="1" x="3"/>
        <item sd="0" m="1" x="2"/>
        <item x="0"/>
        <item x="1"/>
        <item t="default"/>
      </items>
    </pivotField>
    <pivotField axis="axisRow" subtotalTop="0" showAll="0">
      <items count="7">
        <item m="1" x="5"/>
        <item x="0"/>
        <item x="1"/>
        <item x="2"/>
        <item x="3"/>
        <item x="4"/>
        <item t="default"/>
      </items>
    </pivotField>
    <pivotField subtotalTop="0" showAll="0"/>
    <pivotField subtotalTop="0" showAll="0"/>
    <pivotField subtotalTop="0" showAll="0"/>
    <pivotField dataField="1" subtotalTop="0" numFmtId="185" showAll="0"/>
    <pivotField dataField="1" subtotalTop="0" numFmtId="185" showAll="0"/>
    <pivotField dataField="1" subtotalTop="0" numFmtId="10" showAll="0"/>
    <pivotField dataField="1" subtotalTop="0" showAll="0"/>
    <pivotField dataField="1" subtotalTop="0" showAll="0"/>
    <pivotField subtotalTop="0" showAll="0"/>
    <pivotField dataField="1" subtotalTop="0" numFmtId="185" showAll="0"/>
    <pivotField dataField="1" subtotalTop="0" showAll="0"/>
    <pivotField dataField="1" subtotalTop="0" numFmtId="10" showAll="0"/>
    <pivotField subtotalTop="0" numFmtId="185" showAll="0"/>
    <pivotField dataField="1" subtotalTop="0" numFmtId="185" showAll="0"/>
    <pivotField subtotalTop="0" showAll="0"/>
    <pivotField dataField="1" subtotalTop="0" showAll="0"/>
    <pivotField dataField="1" subtotalTop="0" numFmtId="185" showAll="0"/>
    <pivotField dataField="1" subtotalTop="0" showAll="0"/>
    <pivotField dataField="1" subtotalTop="0" numFmtId="10" showAll="0"/>
    <pivotField subtotalTop="0" numFmtId="185" showAll="0"/>
    <pivotField dataField="1" subtotalTop="0" numFmtId="185" showAll="0"/>
    <pivotField subtotalTop="0" showAll="0"/>
    <pivotField dataField="1" subtotalTop="0" showAll="0"/>
    <pivotField dataField="1" subtotalTop="0" numFmtId="185" showAll="0"/>
    <pivotField dataField="1" subtotalTop="0" showAll="0"/>
    <pivotField dataField="1" subtotalTop="0" numFmtId="10" showAll="0"/>
    <pivotField subtotalTop="0" numFmtId="185" showAll="0"/>
    <pivotField dataField="1" subtotalTop="0" numFmtId="185" showAll="0"/>
    <pivotField subtotalTop="0" showAll="0"/>
    <pivotField dataField="1" subtotalTop="0" showAll="0"/>
    <pivotField subtotalTop="0" showAll="0">
      <items count="9">
        <item sd="0" m="1" x="5"/>
        <item sd="0" m="1" x="4"/>
        <item sd="0" m="1" x="3"/>
        <item sd="0" m="1" x="2"/>
        <item sd="0" m="1" x="7"/>
        <item sd="0" m="1" x="6"/>
        <item x="0"/>
        <item x="1"/>
        <item t="default"/>
      </items>
    </pivotField>
    <pivotField axis="axisRow" subtotalTop="0" showAll="0">
      <items count="9">
        <item sd="0" m="1" x="5"/>
        <item sd="0" m="1" x="4"/>
        <item sd="0" m="1" x="3"/>
        <item sd="0" m="1" x="2"/>
        <item m="1" x="7"/>
        <item m="1" x="6"/>
        <item x="0"/>
        <item x="1"/>
        <item t="default"/>
      </items>
    </pivotField>
    <pivotField subtotalTop="0" numFmtId="14" showAll="0"/>
    <pivotField axis="axisPage" name="月份筛选器" subtotalTop="0" showAll="0">
      <items count="9">
        <item m="1" x="1"/>
        <item m="1" x="2"/>
        <item m="1" x="3"/>
        <item m="1" x="5"/>
        <item m="1" x="6"/>
        <item m="1" x="4"/>
        <item m="1" x="7"/>
        <item x="0"/>
        <item t="default"/>
      </items>
    </pivotField>
  </pivotFields>
  <rowFields count="2">
    <field x="35"/>
    <field x="3"/>
  </rowFields>
  <rowItems count="13">
    <i>
      <x v="6"/>
    </i>
    <i r="1">
      <x v="1"/>
    </i>
    <i r="1">
      <x v="2"/>
    </i>
    <i r="1">
      <x v="3"/>
    </i>
    <i t="default">
      <x v="6"/>
    </i>
    <i>
      <x v="7"/>
    </i>
    <i r="1">
      <x v="1"/>
    </i>
    <i r="1">
      <x v="2"/>
    </i>
    <i r="1">
      <x v="3"/>
    </i>
    <i r="1">
      <x v="4"/>
    </i>
    <i r="1">
      <x v="5"/>
    </i>
    <i t="default">
      <x v="7"/>
    </i>
    <i t="grand">
      <x/>
    </i>
  </rowItems>
  <colFields count="1">
    <field x="-2"/>
  </colFields>
  <colItems count="2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</colItems>
  <pageFields count="1">
    <pageField fld="37"/>
  </pageFields>
  <dataFields count="20">
    <dataField name="总展现量" fld="8" baseField="2" baseItem="7"/>
    <dataField name="总点击量" fld="7" baseField="2" baseItem="7"/>
    <dataField name="点击率(平均值)" fld="9" subtotal="average" baseField="2" baseItem="7" numFmtId="10"/>
    <dataField name="总费用" fld="10" baseField="2" baseItem="7"/>
    <dataField name="每次点击费用" fld="11" subtotal="average" baseField="2" baseItem="7"/>
    <dataField name="当日订单(时间范围内总值)" fld="13" baseField="2" baseItem="7"/>
    <dataField name="当日销售(时间范围内总值)" fld="14" baseField="2" baseItem="7"/>
    <dataField name="当日CR" fld="15" subtotal="average" baseField="2" baseItem="7" numFmtId="10"/>
    <dataField name="日相关订单" fld="17" baseField="34" baseItem="0"/>
    <dataField name="日相关销售" fld="19" baseField="34" baseItem="0"/>
    <dataField name="周订单" fld="20" baseField="2" baseItem="0"/>
    <dataField name="周销售" fld="21" baseField="34" baseItem="0"/>
    <dataField name="周转化" fld="22" subtotal="average" baseField="2" baseItem="0" numFmtId="10"/>
    <dataField name="周相关订单" fld="24" baseField="34" baseItem="0"/>
    <dataField name="周相关销售" fld="26" baseField="34" baseItem="0"/>
    <dataField name="月订单" fld="27" baseField="34" baseItem="0" numFmtId="202"/>
    <dataField name="月销售" fld="28" baseField="34" baseItem="0"/>
    <dataField name="月CR" fld="29" subtotal="average" baseField="34" baseItem="0" numFmtId="10"/>
    <dataField name="相关月订单" fld="31" baseField="34" baseItem="0" numFmtId="202"/>
    <dataField name="相关月销售" fld="33" baseField="34" baseItem="0"/>
  </dataFields>
  <formats count="72">
    <format dxfId="0">
      <pivotArea field="2" type="button" dataOnly="0" labelOnly="1" outline="0" fieldPosition="0"/>
    </format>
    <format dxfId="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2">
      <pivotArea field="2" type="button" dataOnly="0" labelOnly="1" outline="0" fieldPosition="0"/>
    </format>
    <format dxfId="3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4">
      <pivotArea field="2" type="button" dataOnly="0" labelOnly="1" outline="0" fieldPosition="0"/>
    </format>
    <format dxfId="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6">
      <pivotArea field="2" type="button" dataOnly="0" labelOnly="1" outline="0" fieldPosition="0"/>
    </format>
    <format dxfId="7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10"/>
            <x v="11"/>
          </reference>
        </references>
      </pivotArea>
    </format>
    <format dxfId="8">
      <pivotArea outline="0" fieldPosition="0">
        <references count="1">
          <reference field="4294967294" count="1">
            <x v="12"/>
          </reference>
        </references>
      </pivotArea>
    </format>
    <format dxfId="9">
      <pivotArea outline="0" fieldPosition="0">
        <references count="1">
          <reference field="4294967294" count="1">
            <x v="12"/>
          </reference>
        </references>
      </pivotArea>
    </format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2" type="button" dataOnly="0" labelOnly="1" outline="0" fieldPosition="0"/>
    </format>
    <format dxfId="13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2" type="button" dataOnly="0" labelOnly="1" outline="0" fieldPosition="0"/>
    </format>
    <format dxfId="18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2" type="button" dataOnly="0" labelOnly="1" outline="0" fieldPosition="0"/>
    </format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25">
      <pivotArea field="2" type="button" dataOnly="0" labelOnly="1" outline="0" fieldPosition="0"/>
    </format>
    <format dxfId="26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27">
      <pivotArea field="2" type="button" dataOnly="0" labelOnly="1" outline="0" fieldPosition="0"/>
    </format>
    <format dxfId="28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29">
      <pivotArea field="2" type="button" dataOnly="0" labelOnly="1" outline="0" fieldPosition="0"/>
    </format>
    <format dxfId="3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31">
      <pivotArea type="all" dataOnly="0" outline="0" fieldPosition="0"/>
    </format>
    <format dxfId="32">
      <pivotArea outline="0" collapsedLevelsAreSubtotals="1" fieldPosition="0"/>
    </format>
    <format dxfId="33">
      <pivotArea field="2" type="button" dataOnly="0" labelOnly="1" outline="0" fieldPosition="0"/>
    </format>
    <format dxfId="34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10"/>
            <x v="11"/>
            <x v="12"/>
          </reference>
        </references>
      </pivotArea>
    </format>
    <format dxfId="36">
      <pivotArea outline="0" fieldPosition="0">
        <references count="1">
          <reference field="4294967294" count="1">
            <x v="2"/>
          </reference>
        </references>
      </pivotArea>
    </format>
    <format dxfId="37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39">
      <pivotArea dataOnly="0" labelOnly="1" outline="0" fieldPosition="0">
        <references count="1">
          <reference field="4294967294" count="2">
            <x v="13"/>
            <x v="14"/>
          </reference>
        </references>
      </pivotArea>
    </format>
    <format dxfId="40">
      <pivotArea dataOnly="0" labelOnly="1" outline="0" fieldPosition="0">
        <references count="1">
          <reference field="4294967294" count="4">
            <x v="11"/>
            <x v="12"/>
            <x v="13"/>
            <x v="14"/>
          </reference>
        </references>
      </pivotArea>
    </format>
    <format dxfId="41">
      <pivotArea field="35" type="button" dataOnly="0" labelOnly="1" outline="0" fieldPosition="0"/>
    </format>
    <format dxfId="42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10"/>
            <x v="11"/>
            <x v="12"/>
            <x v="13"/>
            <x v="14"/>
          </reference>
        </references>
      </pivotArea>
    </format>
    <format dxfId="43">
      <pivotArea field="35" type="button" dataOnly="0" labelOnly="1" outline="0" fieldPosition="0"/>
    </format>
    <format dxfId="44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10"/>
            <x v="11"/>
            <x v="12"/>
            <x v="13"/>
            <x v="14"/>
          </reference>
        </references>
      </pivotArea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field="34" type="button" dataOnly="0" labelOnly="1" outline="0" fieldPosition="0"/>
    </format>
    <format dxfId="48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10"/>
            <x v="11"/>
            <x v="12"/>
            <x v="13"/>
            <x v="14"/>
          </reference>
        </references>
      </pivotArea>
    </format>
    <format dxfId="50">
      <pivotArea outline="0" fieldPosition="0">
        <references count="1">
          <reference field="4294967294" count="1">
            <x v="11"/>
          </reference>
        </references>
      </pivotArea>
    </format>
    <format dxfId="51">
      <pivotArea outline="0" fieldPosition="0">
        <references count="1">
          <reference field="4294967294" count="1">
            <x v="14"/>
          </reference>
        </references>
      </pivotArea>
    </format>
    <format dxfId="52">
      <pivotArea outline="0" fieldPosition="0">
        <references count="1">
          <reference field="4294967294" count="1">
            <x v="15"/>
          </reference>
        </references>
      </pivotArea>
    </format>
    <format dxfId="53">
      <pivotArea dataOnly="0" labelOnly="1" outline="0" fieldPosition="0">
        <references count="1">
          <reference field="4294967294" count="3">
            <x v="15"/>
            <x v="16"/>
            <x v="17"/>
          </reference>
        </references>
      </pivotArea>
    </format>
    <format dxfId="54">
      <pivotArea dataOnly="0" labelOnly="1" outline="0" fieldPosition="0">
        <references count="1">
          <reference field="4294967294" count="3">
            <x v="15"/>
            <x v="16"/>
            <x v="17"/>
          </reference>
        </references>
      </pivotArea>
    </format>
    <format dxfId="55">
      <pivotArea outline="0" fieldPosition="0">
        <references count="1">
          <reference field="4294967294" count="1">
            <x v="16"/>
          </reference>
        </references>
      </pivotArea>
    </format>
    <format dxfId="56">
      <pivotArea dataOnly="0" labelOnly="1" outline="0" fieldPosition="0">
        <references count="1">
          <reference field="4294967294" count="2">
            <x v="18"/>
            <x v="19"/>
          </reference>
        </references>
      </pivotArea>
    </format>
    <format dxfId="57">
      <pivotArea dataOnly="0" labelOnly="1" outline="0" fieldPosition="0">
        <references count="1">
          <reference field="4294967294" count="2">
            <x v="18"/>
            <x v="19"/>
          </reference>
        </references>
      </pivotArea>
    </format>
    <format dxfId="58">
      <pivotArea outline="0" fieldPosition="0">
        <references count="1">
          <reference field="4294967294" count="1">
            <x v="18"/>
          </reference>
        </references>
      </pivotArea>
    </format>
    <format dxfId="59">
      <pivotArea outline="0" fieldPosition="0">
        <references count="1">
          <reference field="4294967294" count="1">
            <x v="19"/>
          </reference>
        </references>
      </pivotArea>
    </format>
    <format dxfId="60">
      <pivotArea dataOnly="0" labelOnly="1" outline="0" fieldPosition="0">
        <references count="1">
          <reference field="4294967294" count="7">
            <x v="13"/>
            <x v="14"/>
            <x v="15"/>
            <x v="16"/>
            <x v="17"/>
            <x v="18"/>
            <x v="19"/>
          </reference>
        </references>
      </pivotArea>
    </format>
    <format dxfId="61">
      <pivotArea outline="0" fieldPosition="0">
        <references count="1">
          <reference field="4294967294" count="1">
            <x v="17"/>
          </reference>
        </references>
      </pivotArea>
    </format>
    <format dxfId="62">
      <pivotArea outline="0" fieldPosition="0">
        <references count="1">
          <reference field="4294967294" count="1">
            <x v="7"/>
          </reference>
        </references>
      </pivotArea>
    </format>
    <format dxfId="63">
      <pivotArea outline="0" fieldPosition="0">
        <references count="1">
          <reference field="4294967294" count="1">
            <x v="6"/>
          </reference>
        </references>
      </pivotArea>
    </format>
    <format dxfId="64">
      <pivotArea outline="0" fieldPosition="0">
        <references count="1">
          <reference field="4294967294" count="1">
            <x v="6"/>
          </reference>
        </references>
      </pivotArea>
    </format>
    <format dxfId="65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6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7">
      <pivotArea dataOnly="0" labelOnly="1" outline="0" fieldPosition="0">
        <references count="1">
          <reference field="4294967294" count="3">
            <x v="5"/>
            <x v="6"/>
            <x v="7"/>
          </reference>
        </references>
      </pivotArea>
    </format>
    <format dxfId="68">
      <pivotArea outline="0" fieldPosition="0">
        <references count="1">
          <reference field="4294967294" count="1">
            <x v="9"/>
          </reference>
        </references>
      </pivotArea>
    </format>
    <format dxfId="69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70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  <format dxfId="71">
      <pivotArea dataOnly="0" labelOnly="1" outline="0" fieldPosition="0">
        <references count="1">
          <reference field="4294967294" count="2">
            <x v="8"/>
            <x v="9"/>
          </reference>
        </references>
      </pivotArea>
    </format>
  </formats>
  <pivotTableStyleInfo name="PivotStyleMedium8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7" name="tblProduct" displayName="tblProduct" ref="A2:D4" totalsRowShown="0">
  <autoFilter ref="A2:D4"/>
  <tableColumns count="4">
    <tableColumn id="1" name="ASIN" dataDxfId="72"/>
    <tableColumn id="2" name="SKU" dataDxfId="73"/>
    <tableColumn id="3" name="Name" dataDxfId="74"/>
    <tableColumn id="4" name="ASIN1" dataDxfId="75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blAD" displayName="tblAD" ref="A2:AL42" totalsRowShown="0">
  <autoFilter ref="A2:AL42"/>
  <sortState ref="A2:AL42">
    <sortCondition ref="AK2:AK42"/>
  </sortState>
  <tableColumns count="38">
    <tableColumn id="1" name="Campaign Name" dataDxfId="77"/>
    <tableColumn id="2" name="Ad Group Name" dataDxfId="78"/>
    <tableColumn id="3" name="Advertised SKU" dataDxfId="79"/>
    <tableColumn id="4" name="Keyword" dataDxfId="80"/>
    <tableColumn id="5" name="Match Type" dataDxfId="81"/>
    <tableColumn id="6" name="Start Date" dataDxfId="82"/>
    <tableColumn id="7" name="End Date" dataDxfId="83"/>
    <tableColumn id="8" name="Clicks" dataDxfId="84"/>
    <tableColumn id="9" name="Impressions" dataDxfId="85"/>
    <tableColumn id="10" name="CTR" dataDxfId="86"/>
    <tableColumn id="11" name="Total Spend" dataDxfId="87"/>
    <tableColumn id="12" name="Average CPC" dataDxfId="88"/>
    <tableColumn id="13" name="Currency" dataDxfId="89"/>
    <tableColumn id="14" name="1-day Orders Placed (#)" dataDxfId="90"/>
    <tableColumn id="15" name="1-day Ordered Product Sales ($)" dataDxfId="91"/>
    <tableColumn id="16" name="1-day Conversion Rate" dataDxfId="92"/>
    <tableColumn id="17" name="1-day Same SKU Units Ordered" dataDxfId="93"/>
    <tableColumn id="18" name="1-day Other SKU Units Ordered" dataDxfId="94"/>
    <tableColumn id="19" name="1-day Same SKU Units Ordered Product Sales" dataDxfId="95"/>
    <tableColumn id="20" name="1-day Other SKU Units Ordered Product Sales" dataDxfId="96"/>
    <tableColumn id="21" name="1-week Orders Placed (#)" dataDxfId="97"/>
    <tableColumn id="22" name="1-week Ordered Product Sales ($)" dataDxfId="98"/>
    <tableColumn id="23" name="1-week Conversion Rate" dataDxfId="99"/>
    <tableColumn id="24" name="1-week Same SKU Units Ordered" dataDxfId="100"/>
    <tableColumn id="25" name="1-week Other SKU Units Ordered" dataDxfId="101"/>
    <tableColumn id="26" name="1-week Same SKU Units Ordered Product Sales" dataDxfId="102"/>
    <tableColumn id="27" name="1-week Other SKU Units Ordered Product Sales" dataDxfId="103"/>
    <tableColumn id="28" name="1-month Orders Placed (#)" dataDxfId="104"/>
    <tableColumn id="29" name="1-month Ordered Product Sales ($)" dataDxfId="105"/>
    <tableColumn id="30" name="1-month Conversion Rate" dataDxfId="106"/>
    <tableColumn id="31" name="1-month Same SKU Units Ordered" dataDxfId="107"/>
    <tableColumn id="32" name="1-month Other SKU Units Ordered" dataDxfId="108"/>
    <tableColumn id="33" name="1-month Same SKU Units Ordered Product Sales" dataDxfId="109"/>
    <tableColumn id="34" name="1-month Other SKU Units Ordered Product Sales" dataDxfId="110"/>
    <tableColumn id="35" name="ProductName" dataDxfId="111"/>
    <tableColumn id="36" name="ASIN" dataDxfId="112"/>
    <tableColumn id="37" name="ADDate" dataDxfId="113"/>
    <tableColumn id="38" name="ADYM" dataDxfId="114"/>
  </tableColumns>
  <tableStyleInfo name="Small Business Budget Style 1" showFirstColumn="0" showLastColumn="0" showRowStripes="1" showColumnStripes="0"/>
</table>
</file>

<file path=xl/theme/theme1.xml><?xml version="1.0" encoding="utf-8"?>
<a:theme xmlns:a="http://schemas.openxmlformats.org/drawingml/2006/main" name="genesis_mac">
  <a:themeElements>
    <a:clrScheme name="Small Business Budget 2">
      <a:dk1>
        <a:srgbClr val="0C0C0C"/>
      </a:dk1>
      <a:lt1>
        <a:sysClr val="window" lastClr="FFFFFF"/>
      </a:lt1>
      <a:dk2>
        <a:srgbClr val="363636"/>
      </a:dk2>
      <a:lt2>
        <a:srgbClr val="D8D8D8"/>
      </a:lt2>
      <a:accent1>
        <a:srgbClr val="80B622"/>
      </a:accent1>
      <a:accent2>
        <a:srgbClr val="0C0C0C"/>
      </a:accent2>
      <a:accent3>
        <a:srgbClr val="FF6600"/>
      </a:accent3>
      <a:accent4>
        <a:srgbClr val="2397E2"/>
      </a:accent4>
      <a:accent5>
        <a:srgbClr val="D7D700"/>
      </a:accent5>
      <a:accent6>
        <a:srgbClr val="CC9900"/>
      </a:accent6>
      <a:hlink>
        <a:srgbClr val="00B0F0"/>
      </a:hlink>
      <a:folHlink>
        <a:srgbClr val="0070C0"/>
      </a:folHlink>
    </a:clrScheme>
    <a:fontScheme name="Custom 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2" tint="-0.0999786370433668"/>
  </sheetPr>
  <dimension ref="A1:F25"/>
  <sheetViews>
    <sheetView tabSelected="1" workbookViewId="0">
      <selection activeCell="F6" sqref="F6"/>
    </sheetView>
  </sheetViews>
  <sheetFormatPr defaultColWidth="9" defaultRowHeight="12" outlineLevelCol="5"/>
  <cols>
    <col min="1" max="1" width="22.8666666666667" style="50" customWidth="1"/>
    <col min="2" max="2" width="32.5333333333333" style="50" customWidth="1"/>
    <col min="3" max="3" width="22.8666666666667" style="50" customWidth="1"/>
    <col min="4" max="4" width="30.4" style="50" customWidth="1"/>
    <col min="5" max="16384" width="9.06666666666667" style="51"/>
  </cols>
  <sheetData>
    <row r="1" s="49" customFormat="1" ht="45.75" spans="1:6">
      <c r="A1" s="52" t="s">
        <v>0</v>
      </c>
      <c r="B1" s="52" t="s">
        <v>1</v>
      </c>
      <c r="C1" s="53" t="s">
        <v>2</v>
      </c>
      <c r="D1" s="52" t="s">
        <v>3</v>
      </c>
      <c r="F1" s="51"/>
    </row>
    <row r="2" spans="1:4">
      <c r="A2" s="54" t="s">
        <v>4</v>
      </c>
      <c r="B2" s="54" t="s">
        <v>5</v>
      </c>
      <c r="C2" s="54" t="s">
        <v>6</v>
      </c>
      <c r="D2" s="54" t="s">
        <v>7</v>
      </c>
    </row>
    <row r="3" ht="13.5" customHeight="1" spans="1:4">
      <c r="A3" s="55"/>
      <c r="B3" s="55"/>
      <c r="C3" s="56"/>
      <c r="D3" s="55"/>
    </row>
    <row r="4" ht="13.5" customHeight="1" spans="1:4">
      <c r="A4" s="55"/>
      <c r="B4" s="55"/>
      <c r="C4" s="57"/>
      <c r="D4" s="55"/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</sheetData>
  <sheetProtection formatCells="0" insertHyperlinks="0" autoFilter="0"/>
  <conditionalFormatting sqref="A3">
    <cfRule type="duplicateValues" dxfId="76" priority="11"/>
  </conditionalFormatting>
  <conditionalFormatting sqref="B3">
    <cfRule type="duplicateValues" dxfId="76" priority="10"/>
  </conditionalFormatting>
  <conditionalFormatting sqref="D3">
    <cfRule type="duplicateValues" dxfId="76" priority="2"/>
  </conditionalFormatting>
  <conditionalFormatting sqref="A4">
    <cfRule type="duplicateValues" dxfId="76" priority="3"/>
  </conditionalFormatting>
  <conditionalFormatting sqref="B4">
    <cfRule type="duplicateValues" dxfId="76" priority="4"/>
  </conditionalFormatting>
  <conditionalFormatting sqref="D4">
    <cfRule type="duplicateValues" dxfId="76" priority="1"/>
  </conditionalFormatting>
  <conditionalFormatting sqref="A5:A1048576 A1:A2">
    <cfRule type="duplicateValues" dxfId="76" priority="29"/>
  </conditionalFormatting>
  <conditionalFormatting sqref="D5:D1048576 D1:D2">
    <cfRule type="duplicateValues" dxfId="76" priority="9"/>
  </conditionalFormatting>
  <pageMargins left="0.699305555555556" right="0.699305555555556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AL42"/>
  <sheetViews>
    <sheetView workbookViewId="0">
      <pane ySplit="2" topLeftCell="A3" activePane="bottomLeft" state="frozen"/>
      <selection/>
      <selection pane="bottomLeft" activeCell="AI1" sqref="AI1:AJ1"/>
    </sheetView>
  </sheetViews>
  <sheetFormatPr defaultColWidth="9" defaultRowHeight="14.25"/>
  <cols>
    <col min="1" max="1" width="24.6" style="23" customWidth="1"/>
    <col min="2" max="2" width="28.9333333333333" style="23" customWidth="1"/>
    <col min="3" max="3" width="38" style="24" customWidth="1"/>
    <col min="4" max="4" width="33.4666666666667" style="23" customWidth="1"/>
    <col min="5" max="5" width="11.8" style="23" customWidth="1"/>
    <col min="6" max="7" width="14.8" style="23" customWidth="1"/>
    <col min="8" max="8" width="7.26666666666667" style="25" customWidth="1"/>
    <col min="9" max="9" width="12.0666666666667" style="25" customWidth="1"/>
    <col min="10" max="10" width="7.93333333333333" style="26" customWidth="1"/>
    <col min="11" max="11" width="11.8" style="27" customWidth="1"/>
    <col min="12" max="12" width="12.4" style="27" customWidth="1"/>
    <col min="13" max="13" width="9.66666666666667" style="23" customWidth="1"/>
    <col min="14" max="14" width="8.93333333333333" style="25" customWidth="1"/>
    <col min="15" max="15" width="13.5333333333333" style="28" customWidth="1"/>
    <col min="16" max="16" width="13.1333333333333" style="26" customWidth="1"/>
    <col min="17" max="17" width="26.4" style="25" customWidth="1"/>
    <col min="18" max="18" width="26.6" style="25" customWidth="1"/>
    <col min="19" max="19" width="37.1333333333333" style="28" customWidth="1"/>
    <col min="20" max="20" width="37.3333333333333" style="28" customWidth="1"/>
    <col min="21" max="21" width="21.8666666666667" style="25" customWidth="1"/>
    <col min="22" max="22" width="28.4" style="28" customWidth="1"/>
    <col min="23" max="23" width="21.2666666666667" style="26" customWidth="1"/>
    <col min="24" max="24" width="27.6666666666667" style="25" customWidth="1"/>
    <col min="25" max="25" width="27.8666666666667" style="25" customWidth="1"/>
    <col min="26" max="26" width="38.4" style="28" customWidth="1"/>
    <col min="27" max="27" width="38.6" style="28" customWidth="1"/>
    <col min="28" max="28" width="23" style="25" customWidth="1"/>
    <col min="29" max="29" width="29.5333333333333" style="28" customWidth="1"/>
    <col min="30" max="30" width="22.4" style="26" customWidth="1"/>
    <col min="31" max="31" width="28.8" style="25" customWidth="1"/>
    <col min="32" max="32" width="29" style="25" customWidth="1"/>
    <col min="33" max="33" width="39.5333333333333" style="28" customWidth="1"/>
    <col min="34" max="34" width="39.7333333333333" style="28" customWidth="1"/>
    <col min="35" max="36" width="37.4666666666667" style="24" customWidth="1"/>
    <col min="37" max="37" width="17.7333333333333" style="29" customWidth="1"/>
    <col min="38" max="38" width="17.7333333333333" style="23" customWidth="1"/>
    <col min="39" max="16384" width="9.06666666666667" style="23"/>
  </cols>
  <sheetData>
    <row r="1" spans="35:38">
      <c r="AI1" s="42" t="s">
        <v>8</v>
      </c>
      <c r="AJ1" s="43"/>
      <c r="AK1" s="45" t="s">
        <v>9</v>
      </c>
      <c r="AL1" s="45"/>
    </row>
    <row r="2" s="21" customFormat="1" ht="12.75" spans="1:38">
      <c r="A2" s="30" t="s">
        <v>10</v>
      </c>
      <c r="B2" s="30" t="s">
        <v>11</v>
      </c>
      <c r="C2" s="31" t="s">
        <v>12</v>
      </c>
      <c r="D2" s="30" t="s">
        <v>13</v>
      </c>
      <c r="E2" s="30" t="s">
        <v>14</v>
      </c>
      <c r="F2" s="30" t="s">
        <v>15</v>
      </c>
      <c r="G2" s="30" t="s">
        <v>16</v>
      </c>
      <c r="H2" s="34" t="s">
        <v>17</v>
      </c>
      <c r="I2" s="34" t="s">
        <v>18</v>
      </c>
      <c r="J2" s="36" t="s">
        <v>19</v>
      </c>
      <c r="K2" s="37" t="s">
        <v>20</v>
      </c>
      <c r="L2" s="37" t="s">
        <v>21</v>
      </c>
      <c r="M2" s="30" t="s">
        <v>22</v>
      </c>
      <c r="N2" s="34" t="s">
        <v>23</v>
      </c>
      <c r="O2" s="40" t="s">
        <v>24</v>
      </c>
      <c r="P2" s="36" t="s">
        <v>25</v>
      </c>
      <c r="Q2" s="34" t="s">
        <v>26</v>
      </c>
      <c r="R2" s="34" t="s">
        <v>27</v>
      </c>
      <c r="S2" s="40" t="s">
        <v>28</v>
      </c>
      <c r="T2" s="40" t="s">
        <v>29</v>
      </c>
      <c r="U2" s="34" t="s">
        <v>30</v>
      </c>
      <c r="V2" s="40" t="s">
        <v>31</v>
      </c>
      <c r="W2" s="36" t="s">
        <v>32</v>
      </c>
      <c r="X2" s="34" t="s">
        <v>33</v>
      </c>
      <c r="Y2" s="34" t="s">
        <v>34</v>
      </c>
      <c r="Z2" s="40" t="s">
        <v>35</v>
      </c>
      <c r="AA2" s="40" t="s">
        <v>36</v>
      </c>
      <c r="AB2" s="34" t="s">
        <v>37</v>
      </c>
      <c r="AC2" s="40" t="s">
        <v>38</v>
      </c>
      <c r="AD2" s="36" t="s">
        <v>39</v>
      </c>
      <c r="AE2" s="34" t="s">
        <v>40</v>
      </c>
      <c r="AF2" s="34" t="s">
        <v>41</v>
      </c>
      <c r="AG2" s="40" t="s">
        <v>42</v>
      </c>
      <c r="AH2" s="40" t="s">
        <v>43</v>
      </c>
      <c r="AI2" s="31" t="s">
        <v>44</v>
      </c>
      <c r="AJ2" s="31" t="s">
        <v>4</v>
      </c>
      <c r="AK2" s="46" t="s">
        <v>45</v>
      </c>
      <c r="AL2" s="21" t="s">
        <v>46</v>
      </c>
    </row>
    <row r="3" s="22" customFormat="1" ht="15" spans="1:38">
      <c r="A3" s="32" t="s">
        <v>47</v>
      </c>
      <c r="B3" s="32" t="s">
        <v>48</v>
      </c>
      <c r="C3" s="33" t="s">
        <v>49</v>
      </c>
      <c r="D3" s="32" t="s">
        <v>50</v>
      </c>
      <c r="E3" s="32" t="s">
        <v>51</v>
      </c>
      <c r="F3" s="32" t="s">
        <v>52</v>
      </c>
      <c r="G3" s="32" t="s">
        <v>53</v>
      </c>
      <c r="H3" s="35">
        <v>10</v>
      </c>
      <c r="I3" s="35">
        <v>1000</v>
      </c>
      <c r="J3" s="38">
        <v>0.01</v>
      </c>
      <c r="K3" s="39">
        <v>15</v>
      </c>
      <c r="L3" s="39">
        <v>1.5</v>
      </c>
      <c r="M3" s="32" t="s">
        <v>54</v>
      </c>
      <c r="N3" s="35">
        <f>INT(tblAD[[#This Row],[Clicks]]*tblAD[[#This Row],[1-day Conversion Rate]])</f>
        <v>2</v>
      </c>
      <c r="O3" s="41">
        <f>10*tblAD[[#This Row],[1-day Orders Placed ('#)]]</f>
        <v>20</v>
      </c>
      <c r="P3" s="38">
        <v>0.2</v>
      </c>
      <c r="Q3" s="35">
        <v>2</v>
      </c>
      <c r="R3" s="35">
        <v>0</v>
      </c>
      <c r="S3" s="41">
        <v>20</v>
      </c>
      <c r="T3" s="41">
        <v>0</v>
      </c>
      <c r="U3" s="35">
        <v>3</v>
      </c>
      <c r="V3" s="41">
        <v>30</v>
      </c>
      <c r="W3" s="38">
        <v>0.25</v>
      </c>
      <c r="X3" s="35">
        <v>0</v>
      </c>
      <c r="Y3" s="35">
        <v>0</v>
      </c>
      <c r="Z3" s="41">
        <v>0</v>
      </c>
      <c r="AA3" s="41">
        <v>0</v>
      </c>
      <c r="AB3" s="35">
        <v>3</v>
      </c>
      <c r="AC3" s="41">
        <v>30</v>
      </c>
      <c r="AD3" s="38">
        <v>0.3</v>
      </c>
      <c r="AE3" s="35">
        <v>0</v>
      </c>
      <c r="AF3" s="35">
        <v>0</v>
      </c>
      <c r="AG3" s="41">
        <v>0</v>
      </c>
      <c r="AH3" s="41">
        <v>0</v>
      </c>
      <c r="AI3" s="44" t="e">
        <f ca="1">VLOOKUP(tblAD[[#This Row],[Advertised SKU]],tblProduct[SKU]:tblProduct[Name],2,FALSE)</f>
        <v>#N/A</v>
      </c>
      <c r="AJ3" s="44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3" s="47">
        <f>DATE(MID(tblAD[Start Date],7,4),LEFT(tblAD[[#This Row],[Start Date]],2),MID(tblAD[[#This Row],[Start Date]],4,2))</f>
        <v>43093</v>
      </c>
      <c r="AL3" s="48" t="str">
        <f>YEAR(tblAD[[#This Row],[ADDate]])&amp;"/"&amp;MONTH(tblAD[[#This Row],[ADDate]])</f>
        <v>2017/12</v>
      </c>
    </row>
    <row r="4" s="22" customFormat="1" ht="15" spans="1:38">
      <c r="A4" s="32" t="s">
        <v>47</v>
      </c>
      <c r="B4" s="32" t="s">
        <v>48</v>
      </c>
      <c r="C4" s="33" t="s">
        <v>49</v>
      </c>
      <c r="D4" s="32" t="s">
        <v>50</v>
      </c>
      <c r="E4" s="32" t="s">
        <v>51</v>
      </c>
      <c r="F4" s="32" t="s">
        <v>53</v>
      </c>
      <c r="G4" s="32" t="s">
        <v>55</v>
      </c>
      <c r="H4" s="35">
        <v>20</v>
      </c>
      <c r="I4" s="35">
        <v>2000</v>
      </c>
      <c r="J4" s="38">
        <v>0.01</v>
      </c>
      <c r="K4" s="39">
        <v>26</v>
      </c>
      <c r="L4" s="39">
        <v>1.3</v>
      </c>
      <c r="M4" s="32" t="s">
        <v>54</v>
      </c>
      <c r="N4" s="35">
        <f>INT(tblAD[[#This Row],[Clicks]]*tblAD[[#This Row],[1-day Conversion Rate]])</f>
        <v>4</v>
      </c>
      <c r="O4" s="41">
        <f>10*tblAD[[#This Row],[1-day Orders Placed ('#)]]</f>
        <v>40</v>
      </c>
      <c r="P4" s="38">
        <v>0.2</v>
      </c>
      <c r="Q4" s="35">
        <v>4</v>
      </c>
      <c r="R4" s="35">
        <v>0</v>
      </c>
      <c r="S4" s="41">
        <v>40</v>
      </c>
      <c r="T4" s="41">
        <v>0</v>
      </c>
      <c r="U4" s="35">
        <v>5</v>
      </c>
      <c r="V4" s="41">
        <v>50</v>
      </c>
      <c r="W4" s="38">
        <v>0.25</v>
      </c>
      <c r="X4" s="35">
        <v>0</v>
      </c>
      <c r="Y4" s="35">
        <v>0</v>
      </c>
      <c r="Z4" s="41">
        <v>0</v>
      </c>
      <c r="AA4" s="41">
        <v>0</v>
      </c>
      <c r="AB4" s="35">
        <v>6</v>
      </c>
      <c r="AC4" s="41">
        <v>60</v>
      </c>
      <c r="AD4" s="38">
        <v>0.3</v>
      </c>
      <c r="AE4" s="35">
        <v>0</v>
      </c>
      <c r="AF4" s="35">
        <v>0</v>
      </c>
      <c r="AG4" s="41">
        <v>0</v>
      </c>
      <c r="AH4" s="41">
        <v>0</v>
      </c>
      <c r="AI4" s="44" t="e">
        <f ca="1">VLOOKUP(tblAD[[#This Row],[Advertised SKU]],tblProduct[SKU]:tblProduct[Name],2,FALSE)</f>
        <v>#N/A</v>
      </c>
      <c r="AJ4" s="44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4" s="47">
        <f>DATE(MID(tblAD[Start Date],7,4),LEFT(tblAD[[#This Row],[Start Date]],2),MID(tblAD[[#This Row],[Start Date]],4,2))</f>
        <v>43094</v>
      </c>
      <c r="AL4" s="48" t="str">
        <f>YEAR(tblAD[[#This Row],[ADDate]])&amp;"/"&amp;MONTH(tblAD[[#This Row],[ADDate]])</f>
        <v>2017/12</v>
      </c>
    </row>
    <row r="5" s="22" customFormat="1" ht="15" spans="1:38">
      <c r="A5" s="32" t="s">
        <v>47</v>
      </c>
      <c r="B5" s="32" t="s">
        <v>48</v>
      </c>
      <c r="C5" s="33" t="s">
        <v>49</v>
      </c>
      <c r="D5" s="32" t="s">
        <v>56</v>
      </c>
      <c r="E5" s="32" t="s">
        <v>51</v>
      </c>
      <c r="F5" s="32" t="s">
        <v>52</v>
      </c>
      <c r="G5" s="32" t="s">
        <v>53</v>
      </c>
      <c r="H5" s="35">
        <v>30</v>
      </c>
      <c r="I5" s="35">
        <v>3000</v>
      </c>
      <c r="J5" s="38">
        <v>0.01</v>
      </c>
      <c r="K5" s="39">
        <v>51</v>
      </c>
      <c r="L5" s="39">
        <v>1.7</v>
      </c>
      <c r="M5" s="32" t="s">
        <v>54</v>
      </c>
      <c r="N5" s="35">
        <f>INT(tblAD[[#This Row],[Clicks]]*tblAD[[#This Row],[1-day Conversion Rate]])</f>
        <v>6</v>
      </c>
      <c r="O5" s="41">
        <f>10*tblAD[[#This Row],[1-day Orders Placed ('#)]]</f>
        <v>60</v>
      </c>
      <c r="P5" s="38">
        <v>0.2</v>
      </c>
      <c r="Q5" s="35">
        <v>6</v>
      </c>
      <c r="R5" s="35">
        <v>0</v>
      </c>
      <c r="S5" s="41">
        <v>60</v>
      </c>
      <c r="T5" s="41">
        <v>0</v>
      </c>
      <c r="U5" s="35">
        <v>8</v>
      </c>
      <c r="V5" s="41">
        <v>80</v>
      </c>
      <c r="W5" s="38">
        <v>0.25</v>
      </c>
      <c r="X5" s="35">
        <v>0</v>
      </c>
      <c r="Y5" s="35">
        <v>0</v>
      </c>
      <c r="Z5" s="41">
        <v>0</v>
      </c>
      <c r="AA5" s="41">
        <v>0</v>
      </c>
      <c r="AB5" s="35">
        <v>9</v>
      </c>
      <c r="AC5" s="41">
        <v>90</v>
      </c>
      <c r="AD5" s="38">
        <v>0.3</v>
      </c>
      <c r="AE5" s="35">
        <v>0</v>
      </c>
      <c r="AF5" s="35">
        <v>0</v>
      </c>
      <c r="AG5" s="41">
        <v>0</v>
      </c>
      <c r="AH5" s="41">
        <v>0</v>
      </c>
      <c r="AI5" s="44" t="e">
        <f ca="1">VLOOKUP(tblAD[[#This Row],[Advertised SKU]],tblProduct[SKU]:tblProduct[Name],2,FALSE)</f>
        <v>#N/A</v>
      </c>
      <c r="AJ5" s="44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5" s="47">
        <f>DATE(MID(tblAD[Start Date],7,4),LEFT(tblAD[[#This Row],[Start Date]],2),MID(tblAD[[#This Row],[Start Date]],4,2))</f>
        <v>43093</v>
      </c>
      <c r="AL5" s="48" t="str">
        <f>YEAR(tblAD[[#This Row],[ADDate]])&amp;"/"&amp;MONTH(tblAD[[#This Row],[ADDate]])</f>
        <v>2017/12</v>
      </c>
    </row>
    <row r="6" s="22" customFormat="1" ht="15" spans="1:38">
      <c r="A6" s="32" t="s">
        <v>47</v>
      </c>
      <c r="B6" s="32" t="s">
        <v>48</v>
      </c>
      <c r="C6" s="33" t="s">
        <v>49</v>
      </c>
      <c r="D6" s="32" t="s">
        <v>56</v>
      </c>
      <c r="E6" s="32" t="s">
        <v>51</v>
      </c>
      <c r="F6" s="32" t="s">
        <v>53</v>
      </c>
      <c r="G6" s="32" t="s">
        <v>55</v>
      </c>
      <c r="H6" s="35">
        <v>40</v>
      </c>
      <c r="I6" s="35">
        <v>4000</v>
      </c>
      <c r="J6" s="38">
        <v>0.01</v>
      </c>
      <c r="K6" s="39">
        <v>84</v>
      </c>
      <c r="L6" s="39">
        <v>2.1</v>
      </c>
      <c r="M6" s="32" t="s">
        <v>54</v>
      </c>
      <c r="N6" s="35">
        <f>INT(tblAD[[#This Row],[Clicks]]*tblAD[[#This Row],[1-day Conversion Rate]])</f>
        <v>8</v>
      </c>
      <c r="O6" s="41">
        <f>10*tblAD[[#This Row],[1-day Orders Placed ('#)]]</f>
        <v>80</v>
      </c>
      <c r="P6" s="38">
        <v>0.2</v>
      </c>
      <c r="Q6" s="35">
        <v>8</v>
      </c>
      <c r="R6" s="35">
        <v>0</v>
      </c>
      <c r="S6" s="41">
        <v>80</v>
      </c>
      <c r="T6" s="41">
        <v>0</v>
      </c>
      <c r="U6" s="35">
        <v>10</v>
      </c>
      <c r="V6" s="41">
        <v>100</v>
      </c>
      <c r="W6" s="38">
        <v>0.25</v>
      </c>
      <c r="X6" s="35">
        <v>0</v>
      </c>
      <c r="Y6" s="35">
        <v>0</v>
      </c>
      <c r="Z6" s="41">
        <v>0</v>
      </c>
      <c r="AA6" s="41">
        <v>0</v>
      </c>
      <c r="AB6" s="35">
        <v>12</v>
      </c>
      <c r="AC6" s="41">
        <v>120</v>
      </c>
      <c r="AD6" s="38">
        <v>0.3</v>
      </c>
      <c r="AE6" s="35">
        <v>0</v>
      </c>
      <c r="AF6" s="35">
        <v>0</v>
      </c>
      <c r="AG6" s="41">
        <v>0</v>
      </c>
      <c r="AH6" s="41">
        <v>0</v>
      </c>
      <c r="AI6" s="44" t="e">
        <f ca="1">VLOOKUP(tblAD[[#This Row],[Advertised SKU]],tblProduct[SKU]:tblProduct[Name],2,FALSE)</f>
        <v>#N/A</v>
      </c>
      <c r="AJ6" s="44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6" s="47">
        <f>DATE(MID(tblAD[Start Date],7,4),LEFT(tblAD[[#This Row],[Start Date]],2),MID(tblAD[[#This Row],[Start Date]],4,2))</f>
        <v>43094</v>
      </c>
      <c r="AL6" s="48" t="str">
        <f>YEAR(tblAD[[#This Row],[ADDate]])&amp;"/"&amp;MONTH(tblAD[[#This Row],[ADDate]])</f>
        <v>2017/12</v>
      </c>
    </row>
    <row r="7" s="22" customFormat="1" ht="15" spans="1:38">
      <c r="A7" s="32" t="s">
        <v>47</v>
      </c>
      <c r="B7" s="32" t="s">
        <v>48</v>
      </c>
      <c r="C7" s="33" t="s">
        <v>49</v>
      </c>
      <c r="D7" s="32" t="s">
        <v>56</v>
      </c>
      <c r="E7" s="32" t="s">
        <v>51</v>
      </c>
      <c r="F7" s="32" t="s">
        <v>55</v>
      </c>
      <c r="G7" s="32" t="s">
        <v>57</v>
      </c>
      <c r="H7" s="35">
        <v>50</v>
      </c>
      <c r="I7" s="35">
        <v>5000</v>
      </c>
      <c r="J7" s="38">
        <v>0.01</v>
      </c>
      <c r="K7" s="39">
        <v>40</v>
      </c>
      <c r="L7" s="39">
        <v>0.8</v>
      </c>
      <c r="M7" s="32" t="s">
        <v>54</v>
      </c>
      <c r="N7" s="35">
        <f>INT(tblAD[[#This Row],[Clicks]]*tblAD[[#This Row],[1-day Conversion Rate]])</f>
        <v>10</v>
      </c>
      <c r="O7" s="41">
        <f>10*tblAD[[#This Row],[1-day Orders Placed ('#)]]</f>
        <v>100</v>
      </c>
      <c r="P7" s="38">
        <v>0.2</v>
      </c>
      <c r="Q7" s="35">
        <v>10</v>
      </c>
      <c r="R7" s="35">
        <v>0</v>
      </c>
      <c r="S7" s="41">
        <v>100</v>
      </c>
      <c r="T7" s="41">
        <v>0</v>
      </c>
      <c r="U7" s="35">
        <v>13</v>
      </c>
      <c r="V7" s="41">
        <v>130</v>
      </c>
      <c r="W7" s="38">
        <v>0.25</v>
      </c>
      <c r="X7" s="35">
        <v>0</v>
      </c>
      <c r="Y7" s="35">
        <v>0</v>
      </c>
      <c r="Z7" s="41">
        <v>0</v>
      </c>
      <c r="AA7" s="41">
        <v>0</v>
      </c>
      <c r="AB7" s="35">
        <v>15</v>
      </c>
      <c r="AC7" s="41">
        <v>150</v>
      </c>
      <c r="AD7" s="38">
        <v>0.3</v>
      </c>
      <c r="AE7" s="35">
        <v>0</v>
      </c>
      <c r="AF7" s="35">
        <v>0</v>
      </c>
      <c r="AG7" s="41">
        <v>0</v>
      </c>
      <c r="AH7" s="41">
        <v>0</v>
      </c>
      <c r="AI7" s="44" t="e">
        <f ca="1">VLOOKUP(tblAD[[#This Row],[Advertised SKU]],tblProduct[SKU]:tblProduct[Name],2,FALSE)</f>
        <v>#N/A</v>
      </c>
      <c r="AJ7" s="44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7" s="47">
        <f>DATE(MID(tblAD[Start Date],7,4),LEFT(tblAD[[#This Row],[Start Date]],2),MID(tblAD[[#This Row],[Start Date]],4,2))</f>
        <v>43095</v>
      </c>
      <c r="AL7" s="48" t="str">
        <f>YEAR(tblAD[[#This Row],[ADDate]])&amp;"/"&amp;MONTH(tblAD[[#This Row],[ADDate]])</f>
        <v>2017/12</v>
      </c>
    </row>
    <row r="8" s="22" customFormat="1" ht="15" spans="1:38">
      <c r="A8" s="32" t="s">
        <v>47</v>
      </c>
      <c r="B8" s="32" t="s">
        <v>48</v>
      </c>
      <c r="C8" s="33" t="s">
        <v>49</v>
      </c>
      <c r="D8" s="32" t="s">
        <v>58</v>
      </c>
      <c r="E8" s="32" t="s">
        <v>51</v>
      </c>
      <c r="F8" s="32" t="s">
        <v>53</v>
      </c>
      <c r="G8" s="32" t="s">
        <v>55</v>
      </c>
      <c r="H8" s="35">
        <v>60</v>
      </c>
      <c r="I8" s="35">
        <v>6000</v>
      </c>
      <c r="J8" s="38">
        <v>0.01</v>
      </c>
      <c r="K8" s="39">
        <v>42</v>
      </c>
      <c r="L8" s="39">
        <v>0.7</v>
      </c>
      <c r="M8" s="32" t="s">
        <v>54</v>
      </c>
      <c r="N8" s="35">
        <f>INT(tblAD[[#This Row],[Clicks]]*tblAD[[#This Row],[1-day Conversion Rate]])</f>
        <v>12</v>
      </c>
      <c r="O8" s="41">
        <f>10*tblAD[[#This Row],[1-day Orders Placed ('#)]]</f>
        <v>120</v>
      </c>
      <c r="P8" s="38">
        <v>0.2</v>
      </c>
      <c r="Q8" s="35">
        <v>12</v>
      </c>
      <c r="R8" s="35">
        <v>0</v>
      </c>
      <c r="S8" s="41">
        <v>120</v>
      </c>
      <c r="T8" s="41">
        <v>0</v>
      </c>
      <c r="U8" s="35">
        <v>15</v>
      </c>
      <c r="V8" s="41">
        <v>150</v>
      </c>
      <c r="W8" s="38">
        <v>0.25</v>
      </c>
      <c r="X8" s="35">
        <v>0</v>
      </c>
      <c r="Y8" s="35">
        <v>0</v>
      </c>
      <c r="Z8" s="41">
        <v>0</v>
      </c>
      <c r="AA8" s="41">
        <v>0</v>
      </c>
      <c r="AB8" s="35">
        <v>18</v>
      </c>
      <c r="AC8" s="41">
        <v>180</v>
      </c>
      <c r="AD8" s="38">
        <v>0.3</v>
      </c>
      <c r="AE8" s="35">
        <v>0</v>
      </c>
      <c r="AF8" s="35">
        <v>0</v>
      </c>
      <c r="AG8" s="41">
        <v>0</v>
      </c>
      <c r="AH8" s="41">
        <v>0</v>
      </c>
      <c r="AI8" s="44" t="e">
        <f ca="1">VLOOKUP(tblAD[[#This Row],[Advertised SKU]],tblProduct[SKU]:tblProduct[Name],2,FALSE)</f>
        <v>#N/A</v>
      </c>
      <c r="AJ8" s="44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8" s="47">
        <f>DATE(MID(tblAD[Start Date],7,4),LEFT(tblAD[[#This Row],[Start Date]],2),MID(tblAD[[#This Row],[Start Date]],4,2))</f>
        <v>43094</v>
      </c>
      <c r="AL8" s="48" t="str">
        <f>YEAR(tblAD[[#This Row],[ADDate]])&amp;"/"&amp;MONTH(tblAD[[#This Row],[ADDate]])</f>
        <v>2017/12</v>
      </c>
    </row>
    <row r="9" s="22" customFormat="1" ht="15" spans="1:38">
      <c r="A9" s="32" t="s">
        <v>47</v>
      </c>
      <c r="B9" s="32" t="s">
        <v>48</v>
      </c>
      <c r="C9" s="33" t="s">
        <v>49</v>
      </c>
      <c r="D9" s="32" t="s">
        <v>58</v>
      </c>
      <c r="E9" s="32" t="s">
        <v>51</v>
      </c>
      <c r="F9" s="32" t="s">
        <v>55</v>
      </c>
      <c r="G9" s="32" t="s">
        <v>57</v>
      </c>
      <c r="H9" s="35">
        <v>70</v>
      </c>
      <c r="I9" s="35">
        <v>7000</v>
      </c>
      <c r="J9" s="38">
        <v>0.01</v>
      </c>
      <c r="K9" s="39">
        <v>112</v>
      </c>
      <c r="L9" s="39">
        <v>1.6</v>
      </c>
      <c r="M9" s="32" t="s">
        <v>54</v>
      </c>
      <c r="N9" s="35">
        <f>INT(tblAD[[#This Row],[Clicks]]*tblAD[[#This Row],[1-day Conversion Rate]])</f>
        <v>14</v>
      </c>
      <c r="O9" s="41">
        <f>10*tblAD[[#This Row],[1-day Orders Placed ('#)]]</f>
        <v>140</v>
      </c>
      <c r="P9" s="38">
        <v>0.2</v>
      </c>
      <c r="Q9" s="35">
        <v>14</v>
      </c>
      <c r="R9" s="35">
        <v>0</v>
      </c>
      <c r="S9" s="41">
        <v>140</v>
      </c>
      <c r="T9" s="41">
        <v>0</v>
      </c>
      <c r="U9" s="35">
        <v>18</v>
      </c>
      <c r="V9" s="41">
        <v>180</v>
      </c>
      <c r="W9" s="38">
        <v>0.25</v>
      </c>
      <c r="X9" s="35">
        <v>0</v>
      </c>
      <c r="Y9" s="35">
        <v>0</v>
      </c>
      <c r="Z9" s="41">
        <v>0</v>
      </c>
      <c r="AA9" s="41">
        <v>0</v>
      </c>
      <c r="AB9" s="35">
        <v>21</v>
      </c>
      <c r="AC9" s="41">
        <v>210</v>
      </c>
      <c r="AD9" s="38">
        <v>0.3</v>
      </c>
      <c r="AE9" s="35">
        <v>0</v>
      </c>
      <c r="AF9" s="35">
        <v>0</v>
      </c>
      <c r="AG9" s="41">
        <v>0</v>
      </c>
      <c r="AH9" s="41">
        <v>0</v>
      </c>
      <c r="AI9" s="44" t="e">
        <f ca="1">VLOOKUP(tblAD[[#This Row],[Advertised SKU]],tblProduct[SKU]:tblProduct[Name],2,FALSE)</f>
        <v>#N/A</v>
      </c>
      <c r="AJ9" s="44" t="str">
        <f ca="1">IF(ISNA(VLOOKUP(tblAD[[#This Row],[Advertised SKU]],tblProduct[SKU]:tblProduct[ASIN1],3,FALSE)),tblAD[[#This Row],[Advertised SKU]],VLOOKUP(tblAD[[#This Row],[Advertised SKU]],tblProduct[SKU]:tblProduct[ASIN1],3,FALSE))</f>
        <v>SKU A</v>
      </c>
      <c r="AK9" s="47">
        <f>DATE(MID(tblAD[Start Date],7,4),LEFT(tblAD[[#This Row],[Start Date]],2),MID(tblAD[[#This Row],[Start Date]],4,2))</f>
        <v>43095</v>
      </c>
      <c r="AL9" s="48" t="str">
        <f>YEAR(tblAD[[#This Row],[ADDate]])&amp;"/"&amp;MONTH(tblAD[[#This Row],[ADDate]])</f>
        <v>2017/12</v>
      </c>
    </row>
    <row r="10" s="22" customFormat="1" ht="15" spans="1:38">
      <c r="A10" s="32" t="s">
        <v>59</v>
      </c>
      <c r="B10" s="32" t="s">
        <v>60</v>
      </c>
      <c r="C10" s="33" t="s">
        <v>61</v>
      </c>
      <c r="D10" s="32" t="s">
        <v>50</v>
      </c>
      <c r="E10" s="32" t="s">
        <v>51</v>
      </c>
      <c r="F10" s="32" t="s">
        <v>53</v>
      </c>
      <c r="G10" s="32" t="s">
        <v>55</v>
      </c>
      <c r="H10" s="35">
        <v>80</v>
      </c>
      <c r="I10" s="35">
        <v>8000</v>
      </c>
      <c r="J10" s="38">
        <v>0.01</v>
      </c>
      <c r="K10" s="39">
        <v>120</v>
      </c>
      <c r="L10" s="39">
        <v>1.5</v>
      </c>
      <c r="M10" s="32" t="s">
        <v>54</v>
      </c>
      <c r="N10" s="35">
        <f>INT(tblAD[[#This Row],[Clicks]]*tblAD[[#This Row],[1-day Conversion Rate]])</f>
        <v>16</v>
      </c>
      <c r="O10" s="41">
        <f>10*tblAD[[#This Row],[1-day Orders Placed ('#)]]</f>
        <v>160</v>
      </c>
      <c r="P10" s="38">
        <v>0.2</v>
      </c>
      <c r="Q10" s="35">
        <v>16</v>
      </c>
      <c r="R10" s="35">
        <v>0</v>
      </c>
      <c r="S10" s="41">
        <v>160</v>
      </c>
      <c r="T10" s="41">
        <v>0</v>
      </c>
      <c r="U10" s="35">
        <v>20</v>
      </c>
      <c r="V10" s="41">
        <v>200</v>
      </c>
      <c r="W10" s="38">
        <v>0.25</v>
      </c>
      <c r="X10" s="35">
        <v>0</v>
      </c>
      <c r="Y10" s="35">
        <v>0</v>
      </c>
      <c r="Z10" s="41">
        <v>0</v>
      </c>
      <c r="AA10" s="41">
        <v>0</v>
      </c>
      <c r="AB10" s="35">
        <v>24</v>
      </c>
      <c r="AC10" s="41">
        <v>240</v>
      </c>
      <c r="AD10" s="38">
        <v>0.3</v>
      </c>
      <c r="AE10" s="35">
        <v>0</v>
      </c>
      <c r="AF10" s="35">
        <v>0</v>
      </c>
      <c r="AG10" s="41">
        <v>0</v>
      </c>
      <c r="AH10" s="41">
        <v>0</v>
      </c>
      <c r="AI10" s="44" t="e">
        <f ca="1">VLOOKUP(tblAD[[#This Row],[Advertised SKU]],tblProduct[SKU]:tblProduct[Name],2,FALSE)</f>
        <v>#N/A</v>
      </c>
      <c r="AJ10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0" s="47">
        <f>DATE(MID(tblAD[Start Date],7,4),LEFT(tblAD[[#This Row],[Start Date]],2),MID(tblAD[[#This Row],[Start Date]],4,2))</f>
        <v>43094</v>
      </c>
      <c r="AL10" s="48" t="str">
        <f>YEAR(tblAD[[#This Row],[ADDate]])&amp;"/"&amp;MONTH(tblAD[[#This Row],[ADDate]])</f>
        <v>2017/12</v>
      </c>
    </row>
    <row r="11" s="22" customFormat="1" ht="15" spans="1:38">
      <c r="A11" s="32" t="s">
        <v>59</v>
      </c>
      <c r="B11" s="32" t="s">
        <v>60</v>
      </c>
      <c r="C11" s="33" t="s">
        <v>61</v>
      </c>
      <c r="D11" s="32" t="s">
        <v>56</v>
      </c>
      <c r="E11" s="32" t="s">
        <v>51</v>
      </c>
      <c r="F11" s="32" t="s">
        <v>53</v>
      </c>
      <c r="G11" s="32" t="s">
        <v>55</v>
      </c>
      <c r="H11" s="35">
        <v>32</v>
      </c>
      <c r="I11" s="35">
        <v>3200</v>
      </c>
      <c r="J11" s="38">
        <v>0.01</v>
      </c>
      <c r="K11" s="39">
        <v>41.6</v>
      </c>
      <c r="L11" s="39">
        <v>1.3</v>
      </c>
      <c r="M11" s="32" t="s">
        <v>54</v>
      </c>
      <c r="N11" s="35">
        <f>INT(tblAD[[#This Row],[Clicks]]*tblAD[[#This Row],[1-day Conversion Rate]])</f>
        <v>6</v>
      </c>
      <c r="O11" s="41">
        <f>10*tblAD[[#This Row],[1-day Orders Placed ('#)]]</f>
        <v>60</v>
      </c>
      <c r="P11" s="38">
        <v>0.2</v>
      </c>
      <c r="Q11" s="35">
        <v>7</v>
      </c>
      <c r="R11" s="35">
        <v>0</v>
      </c>
      <c r="S11" s="41">
        <v>60</v>
      </c>
      <c r="T11" s="41">
        <v>0</v>
      </c>
      <c r="U11" s="35">
        <v>8</v>
      </c>
      <c r="V11" s="41">
        <v>80</v>
      </c>
      <c r="W11" s="38">
        <v>0.25</v>
      </c>
      <c r="X11" s="35">
        <v>0</v>
      </c>
      <c r="Y11" s="35">
        <v>0</v>
      </c>
      <c r="Z11" s="41">
        <v>0</v>
      </c>
      <c r="AA11" s="41">
        <v>0</v>
      </c>
      <c r="AB11" s="35">
        <v>10</v>
      </c>
      <c r="AC11" s="41">
        <v>100</v>
      </c>
      <c r="AD11" s="38">
        <v>0.3</v>
      </c>
      <c r="AE11" s="35">
        <v>0</v>
      </c>
      <c r="AF11" s="35">
        <v>0</v>
      </c>
      <c r="AG11" s="41">
        <v>0</v>
      </c>
      <c r="AH11" s="41">
        <v>0</v>
      </c>
      <c r="AI11" s="44" t="e">
        <f ca="1">VLOOKUP(tblAD[[#This Row],[Advertised SKU]],tblProduct[SKU]:tblProduct[Name],2,FALSE)</f>
        <v>#N/A</v>
      </c>
      <c r="AJ11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1" s="47">
        <f>DATE(MID(tblAD[Start Date],7,4),LEFT(tblAD[[#This Row],[Start Date]],2),MID(tblAD[[#This Row],[Start Date]],4,2))</f>
        <v>43094</v>
      </c>
      <c r="AL11" s="48" t="str">
        <f>YEAR(tblAD[[#This Row],[ADDate]])&amp;"/"&amp;MONTH(tblAD[[#This Row],[ADDate]])</f>
        <v>2017/12</v>
      </c>
    </row>
    <row r="12" s="22" customFormat="1" ht="15" spans="1:38">
      <c r="A12" s="32" t="s">
        <v>59</v>
      </c>
      <c r="B12" s="32" t="s">
        <v>60</v>
      </c>
      <c r="C12" s="33" t="s">
        <v>61</v>
      </c>
      <c r="D12" s="32" t="s">
        <v>58</v>
      </c>
      <c r="E12" s="32" t="s">
        <v>51</v>
      </c>
      <c r="F12" s="32" t="s">
        <v>53</v>
      </c>
      <c r="G12" s="32" t="s">
        <v>55</v>
      </c>
      <c r="H12" s="35">
        <v>45</v>
      </c>
      <c r="I12" s="35">
        <v>4500</v>
      </c>
      <c r="J12" s="38">
        <v>0.01</v>
      </c>
      <c r="K12" s="39">
        <v>76.5</v>
      </c>
      <c r="L12" s="39">
        <v>1.7</v>
      </c>
      <c r="M12" s="32" t="s">
        <v>54</v>
      </c>
      <c r="N12" s="35">
        <f>INT(tblAD[[#This Row],[Clicks]]*tblAD[[#This Row],[1-day Conversion Rate]])</f>
        <v>9</v>
      </c>
      <c r="O12" s="41">
        <f>10*tblAD[[#This Row],[1-day Orders Placed ('#)]]</f>
        <v>90</v>
      </c>
      <c r="P12" s="38">
        <v>0.2</v>
      </c>
      <c r="Q12" s="35">
        <v>9</v>
      </c>
      <c r="R12" s="35">
        <v>0</v>
      </c>
      <c r="S12" s="41">
        <v>90</v>
      </c>
      <c r="T12" s="41">
        <v>0</v>
      </c>
      <c r="U12" s="35">
        <v>12</v>
      </c>
      <c r="V12" s="41">
        <v>120</v>
      </c>
      <c r="W12" s="38">
        <v>0.25</v>
      </c>
      <c r="X12" s="35">
        <v>0</v>
      </c>
      <c r="Y12" s="35">
        <v>0</v>
      </c>
      <c r="Z12" s="41">
        <v>0</v>
      </c>
      <c r="AA12" s="41">
        <v>0</v>
      </c>
      <c r="AB12" s="35">
        <v>14</v>
      </c>
      <c r="AC12" s="41">
        <v>140</v>
      </c>
      <c r="AD12" s="38">
        <v>0.3</v>
      </c>
      <c r="AE12" s="35">
        <v>0</v>
      </c>
      <c r="AF12" s="35">
        <v>0</v>
      </c>
      <c r="AG12" s="41">
        <v>0</v>
      </c>
      <c r="AH12" s="41">
        <v>0</v>
      </c>
      <c r="AI12" s="44" t="e">
        <f ca="1">VLOOKUP(tblAD[[#This Row],[Advertised SKU]],tblProduct[SKU]:tblProduct[Name],2,FALSE)</f>
        <v>#N/A</v>
      </c>
      <c r="AJ12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2" s="47">
        <f>DATE(MID(tblAD[Start Date],7,4),LEFT(tblAD[[#This Row],[Start Date]],2),MID(tblAD[[#This Row],[Start Date]],4,2))</f>
        <v>43094</v>
      </c>
      <c r="AL12" s="48" t="str">
        <f>YEAR(tblAD[[#This Row],[ADDate]])&amp;"/"&amp;MONTH(tblAD[[#This Row],[ADDate]])</f>
        <v>2017/12</v>
      </c>
    </row>
    <row r="13" s="22" customFormat="1" ht="15" spans="1:38">
      <c r="A13" s="32" t="s">
        <v>59</v>
      </c>
      <c r="B13" s="32" t="s">
        <v>60</v>
      </c>
      <c r="C13" s="33" t="s">
        <v>61</v>
      </c>
      <c r="D13" s="32" t="s">
        <v>62</v>
      </c>
      <c r="E13" s="32" t="s">
        <v>51</v>
      </c>
      <c r="F13" s="32" t="s">
        <v>53</v>
      </c>
      <c r="G13" s="32" t="s">
        <v>55</v>
      </c>
      <c r="H13" s="35">
        <v>31</v>
      </c>
      <c r="I13" s="35">
        <v>3100</v>
      </c>
      <c r="J13" s="38">
        <v>0.01</v>
      </c>
      <c r="K13" s="39">
        <v>65.1</v>
      </c>
      <c r="L13" s="39">
        <v>2.1</v>
      </c>
      <c r="M13" s="32" t="s">
        <v>54</v>
      </c>
      <c r="N13" s="35">
        <f>INT(tblAD[[#This Row],[Clicks]]*tblAD[[#This Row],[1-day Conversion Rate]])</f>
        <v>6</v>
      </c>
      <c r="O13" s="41">
        <f>10*tblAD[[#This Row],[1-day Orders Placed ('#)]]</f>
        <v>60</v>
      </c>
      <c r="P13" s="38">
        <v>0.2</v>
      </c>
      <c r="Q13" s="35">
        <v>7</v>
      </c>
      <c r="R13" s="35">
        <v>0</v>
      </c>
      <c r="S13" s="41">
        <v>60</v>
      </c>
      <c r="T13" s="41">
        <v>0</v>
      </c>
      <c r="U13" s="35">
        <v>8</v>
      </c>
      <c r="V13" s="41">
        <v>80</v>
      </c>
      <c r="W13" s="38">
        <v>0.25</v>
      </c>
      <c r="X13" s="35">
        <v>0</v>
      </c>
      <c r="Y13" s="35">
        <v>0</v>
      </c>
      <c r="Z13" s="41">
        <v>0</v>
      </c>
      <c r="AA13" s="41">
        <v>0</v>
      </c>
      <c r="AB13" s="35">
        <v>10</v>
      </c>
      <c r="AC13" s="41">
        <v>100</v>
      </c>
      <c r="AD13" s="38">
        <v>0.3</v>
      </c>
      <c r="AE13" s="35">
        <v>0</v>
      </c>
      <c r="AF13" s="35">
        <v>0</v>
      </c>
      <c r="AG13" s="41">
        <v>0</v>
      </c>
      <c r="AH13" s="41">
        <v>0</v>
      </c>
      <c r="AI13" s="44" t="e">
        <f ca="1">VLOOKUP(tblAD[[#This Row],[Advertised SKU]],tblProduct[SKU]:tblProduct[Name],2,FALSE)</f>
        <v>#N/A</v>
      </c>
      <c r="AJ13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3" s="47">
        <f>DATE(MID(tblAD[Start Date],7,4),LEFT(tblAD[[#This Row],[Start Date]],2),MID(tblAD[[#This Row],[Start Date]],4,2))</f>
        <v>43094</v>
      </c>
      <c r="AL13" s="48" t="str">
        <f>YEAR(tblAD[[#This Row],[ADDate]])&amp;"/"&amp;MONTH(tblAD[[#This Row],[ADDate]])</f>
        <v>2017/12</v>
      </c>
    </row>
    <row r="14" s="22" customFormat="1" ht="15" spans="1:38">
      <c r="A14" s="32" t="s">
        <v>59</v>
      </c>
      <c r="B14" s="32" t="s">
        <v>60</v>
      </c>
      <c r="C14" s="33" t="s">
        <v>61</v>
      </c>
      <c r="D14" s="32" t="s">
        <v>63</v>
      </c>
      <c r="E14" s="32" t="s">
        <v>51</v>
      </c>
      <c r="F14" s="32" t="s">
        <v>53</v>
      </c>
      <c r="G14" s="32" t="s">
        <v>55</v>
      </c>
      <c r="H14" s="35">
        <v>42</v>
      </c>
      <c r="I14" s="35">
        <v>4200</v>
      </c>
      <c r="J14" s="38">
        <v>0.01</v>
      </c>
      <c r="K14" s="39">
        <v>33.6</v>
      </c>
      <c r="L14" s="39">
        <v>0.8</v>
      </c>
      <c r="M14" s="32" t="s">
        <v>54</v>
      </c>
      <c r="N14" s="35">
        <f>INT(tblAD[[#This Row],[Clicks]]*tblAD[[#This Row],[1-day Conversion Rate]])</f>
        <v>8</v>
      </c>
      <c r="O14" s="41">
        <f>10*tblAD[[#This Row],[1-day Orders Placed ('#)]]</f>
        <v>80</v>
      </c>
      <c r="P14" s="38">
        <v>0.2</v>
      </c>
      <c r="Q14" s="35">
        <v>9</v>
      </c>
      <c r="R14" s="35">
        <v>0</v>
      </c>
      <c r="S14" s="41">
        <v>80</v>
      </c>
      <c r="T14" s="41">
        <v>0</v>
      </c>
      <c r="U14" s="35">
        <v>11</v>
      </c>
      <c r="V14" s="41">
        <v>110</v>
      </c>
      <c r="W14" s="38">
        <v>0.25</v>
      </c>
      <c r="X14" s="35">
        <v>0</v>
      </c>
      <c r="Y14" s="35">
        <v>0</v>
      </c>
      <c r="Z14" s="41">
        <v>0</v>
      </c>
      <c r="AA14" s="41">
        <v>0</v>
      </c>
      <c r="AB14" s="35">
        <v>13</v>
      </c>
      <c r="AC14" s="41">
        <v>130</v>
      </c>
      <c r="AD14" s="38">
        <v>0.3</v>
      </c>
      <c r="AE14" s="35">
        <v>0</v>
      </c>
      <c r="AF14" s="35">
        <v>0</v>
      </c>
      <c r="AG14" s="41">
        <v>0</v>
      </c>
      <c r="AH14" s="41">
        <v>0</v>
      </c>
      <c r="AI14" s="44" t="e">
        <f ca="1">VLOOKUP(tblAD[[#This Row],[Advertised SKU]],tblProduct[SKU]:tblProduct[Name],2,FALSE)</f>
        <v>#N/A</v>
      </c>
      <c r="AJ14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4" s="47">
        <f>DATE(MID(tblAD[Start Date],7,4),LEFT(tblAD[[#This Row],[Start Date]],2),MID(tblAD[[#This Row],[Start Date]],4,2))</f>
        <v>43094</v>
      </c>
      <c r="AL14" s="48" t="str">
        <f>YEAR(tblAD[[#This Row],[ADDate]])&amp;"/"&amp;MONTH(tblAD[[#This Row],[ADDate]])</f>
        <v>2017/12</v>
      </c>
    </row>
    <row r="15" s="22" customFormat="1" ht="15" spans="1:38">
      <c r="A15" s="32" t="s">
        <v>59</v>
      </c>
      <c r="B15" s="32" t="s">
        <v>60</v>
      </c>
      <c r="C15" s="33" t="s">
        <v>61</v>
      </c>
      <c r="D15" s="32" t="s">
        <v>50</v>
      </c>
      <c r="E15" s="32" t="s">
        <v>51</v>
      </c>
      <c r="F15" s="32" t="s">
        <v>55</v>
      </c>
      <c r="G15" s="32" t="s">
        <v>55</v>
      </c>
      <c r="H15" s="35">
        <v>59</v>
      </c>
      <c r="I15" s="35">
        <v>5900</v>
      </c>
      <c r="J15" s="38">
        <v>0.01</v>
      </c>
      <c r="K15" s="39">
        <v>41.3</v>
      </c>
      <c r="L15" s="39">
        <v>0.7</v>
      </c>
      <c r="M15" s="32" t="s">
        <v>54</v>
      </c>
      <c r="N15" s="35">
        <f>INT(tblAD[[#This Row],[Clicks]]*tblAD[[#This Row],[1-day Conversion Rate]])</f>
        <v>11</v>
      </c>
      <c r="O15" s="41">
        <f>10*tblAD[[#This Row],[1-day Orders Placed ('#)]]</f>
        <v>110</v>
      </c>
      <c r="P15" s="38">
        <v>0.2</v>
      </c>
      <c r="Q15" s="35">
        <v>12</v>
      </c>
      <c r="R15" s="35">
        <v>0</v>
      </c>
      <c r="S15" s="41">
        <v>110</v>
      </c>
      <c r="T15" s="41">
        <v>0</v>
      </c>
      <c r="U15" s="35">
        <v>15</v>
      </c>
      <c r="V15" s="41">
        <v>150</v>
      </c>
      <c r="W15" s="38">
        <v>0.25</v>
      </c>
      <c r="X15" s="35">
        <v>0</v>
      </c>
      <c r="Y15" s="35">
        <v>0</v>
      </c>
      <c r="Z15" s="41">
        <v>0</v>
      </c>
      <c r="AA15" s="41">
        <v>0</v>
      </c>
      <c r="AB15" s="35">
        <v>18</v>
      </c>
      <c r="AC15" s="41">
        <v>180</v>
      </c>
      <c r="AD15" s="38">
        <v>0.3</v>
      </c>
      <c r="AE15" s="35">
        <v>0</v>
      </c>
      <c r="AF15" s="35">
        <v>0</v>
      </c>
      <c r="AG15" s="41">
        <v>0</v>
      </c>
      <c r="AH15" s="41">
        <v>0</v>
      </c>
      <c r="AI15" s="44" t="e">
        <f ca="1">VLOOKUP(tblAD[[#This Row],[Advertised SKU]],tblProduct[SKU]:tblProduct[Name],2,FALSE)</f>
        <v>#N/A</v>
      </c>
      <c r="AJ15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5" s="47">
        <f>DATE(MID(tblAD[Start Date],7,4),LEFT(tblAD[[#This Row],[Start Date]],2),MID(tblAD[[#This Row],[Start Date]],4,2))</f>
        <v>43095</v>
      </c>
      <c r="AL15" s="48" t="str">
        <f>YEAR(tblAD[[#This Row],[ADDate]])&amp;"/"&amp;MONTH(tblAD[[#This Row],[ADDate]])</f>
        <v>2017/12</v>
      </c>
    </row>
    <row r="16" s="22" customFormat="1" ht="15" spans="1:38">
      <c r="A16" s="32" t="s">
        <v>59</v>
      </c>
      <c r="B16" s="32" t="s">
        <v>60</v>
      </c>
      <c r="C16" s="33" t="s">
        <v>61</v>
      </c>
      <c r="D16" s="32" t="s">
        <v>56</v>
      </c>
      <c r="E16" s="32" t="s">
        <v>51</v>
      </c>
      <c r="F16" s="32" t="s">
        <v>55</v>
      </c>
      <c r="G16" s="32" t="s">
        <v>55</v>
      </c>
      <c r="H16" s="35">
        <v>73</v>
      </c>
      <c r="I16" s="35">
        <v>7300</v>
      </c>
      <c r="J16" s="38">
        <v>0.01</v>
      </c>
      <c r="K16" s="39">
        <v>116.8</v>
      </c>
      <c r="L16" s="39">
        <v>1.6</v>
      </c>
      <c r="M16" s="32" t="s">
        <v>54</v>
      </c>
      <c r="N16" s="35">
        <f>INT(tblAD[[#This Row],[Clicks]]*tblAD[[#This Row],[1-day Conversion Rate]])</f>
        <v>14</v>
      </c>
      <c r="O16" s="41">
        <f>10*tblAD[[#This Row],[1-day Orders Placed ('#)]]</f>
        <v>140</v>
      </c>
      <c r="P16" s="38">
        <v>0.2</v>
      </c>
      <c r="Q16" s="35">
        <v>15</v>
      </c>
      <c r="R16" s="35">
        <v>0</v>
      </c>
      <c r="S16" s="41">
        <v>140</v>
      </c>
      <c r="T16" s="41">
        <v>0</v>
      </c>
      <c r="U16" s="35">
        <v>19</v>
      </c>
      <c r="V16" s="41">
        <v>190</v>
      </c>
      <c r="W16" s="38">
        <v>0.25</v>
      </c>
      <c r="X16" s="35">
        <v>0</v>
      </c>
      <c r="Y16" s="35">
        <v>0</v>
      </c>
      <c r="Z16" s="41">
        <v>0</v>
      </c>
      <c r="AA16" s="41">
        <v>0</v>
      </c>
      <c r="AB16" s="35">
        <v>22</v>
      </c>
      <c r="AC16" s="41">
        <v>220</v>
      </c>
      <c r="AD16" s="38">
        <v>0.3</v>
      </c>
      <c r="AE16" s="35">
        <v>0</v>
      </c>
      <c r="AF16" s="35">
        <v>0</v>
      </c>
      <c r="AG16" s="41">
        <v>0</v>
      </c>
      <c r="AH16" s="41">
        <v>0</v>
      </c>
      <c r="AI16" s="44" t="e">
        <f ca="1">VLOOKUP(tblAD[[#This Row],[Advertised SKU]],tblProduct[SKU]:tblProduct[Name],2,FALSE)</f>
        <v>#N/A</v>
      </c>
      <c r="AJ16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6" s="47">
        <f>DATE(MID(tblAD[Start Date],7,4),LEFT(tblAD[[#This Row],[Start Date]],2),MID(tblAD[[#This Row],[Start Date]],4,2))</f>
        <v>43095</v>
      </c>
      <c r="AL16" s="48" t="str">
        <f>YEAR(tblAD[[#This Row],[ADDate]])&amp;"/"&amp;MONTH(tblAD[[#This Row],[ADDate]])</f>
        <v>2017/12</v>
      </c>
    </row>
    <row r="17" s="22" customFormat="1" ht="15" spans="1:38">
      <c r="A17" s="32" t="s">
        <v>59</v>
      </c>
      <c r="B17" s="32" t="s">
        <v>60</v>
      </c>
      <c r="C17" s="33" t="s">
        <v>61</v>
      </c>
      <c r="D17" s="32" t="s">
        <v>58</v>
      </c>
      <c r="E17" s="32" t="s">
        <v>51</v>
      </c>
      <c r="F17" s="32" t="s">
        <v>55</v>
      </c>
      <c r="G17" s="32" t="s">
        <v>55</v>
      </c>
      <c r="H17" s="35">
        <v>88</v>
      </c>
      <c r="I17" s="35">
        <v>8800</v>
      </c>
      <c r="J17" s="38">
        <v>0.01</v>
      </c>
      <c r="K17" s="39">
        <v>132</v>
      </c>
      <c r="L17" s="39">
        <v>1.5</v>
      </c>
      <c r="M17" s="32" t="s">
        <v>54</v>
      </c>
      <c r="N17" s="35">
        <f>INT(tblAD[[#This Row],[Clicks]]*tblAD[[#This Row],[1-day Conversion Rate]])</f>
        <v>17</v>
      </c>
      <c r="O17" s="41">
        <f>10*tblAD[[#This Row],[1-day Orders Placed ('#)]]</f>
        <v>170</v>
      </c>
      <c r="P17" s="38">
        <v>0.2</v>
      </c>
      <c r="Q17" s="35">
        <v>18</v>
      </c>
      <c r="R17" s="35">
        <v>0</v>
      </c>
      <c r="S17" s="41">
        <v>170</v>
      </c>
      <c r="T17" s="41">
        <v>0</v>
      </c>
      <c r="U17" s="35">
        <v>22</v>
      </c>
      <c r="V17" s="41">
        <v>220</v>
      </c>
      <c r="W17" s="38">
        <v>0.25</v>
      </c>
      <c r="X17" s="35">
        <v>0</v>
      </c>
      <c r="Y17" s="35">
        <v>0</v>
      </c>
      <c r="Z17" s="41">
        <v>0</v>
      </c>
      <c r="AA17" s="41">
        <v>0</v>
      </c>
      <c r="AB17" s="35">
        <v>27</v>
      </c>
      <c r="AC17" s="41">
        <v>270</v>
      </c>
      <c r="AD17" s="38">
        <v>0.3</v>
      </c>
      <c r="AE17" s="35">
        <v>0</v>
      </c>
      <c r="AF17" s="35">
        <v>0</v>
      </c>
      <c r="AG17" s="41">
        <v>0</v>
      </c>
      <c r="AH17" s="41">
        <v>0</v>
      </c>
      <c r="AI17" s="44" t="e">
        <f ca="1">VLOOKUP(tblAD[[#This Row],[Advertised SKU]],tblProduct[SKU]:tblProduct[Name],2,FALSE)</f>
        <v>#N/A</v>
      </c>
      <c r="AJ17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7" s="47">
        <f>DATE(MID(tblAD[Start Date],7,4),LEFT(tblAD[[#This Row],[Start Date]],2),MID(tblAD[[#This Row],[Start Date]],4,2))</f>
        <v>43095</v>
      </c>
      <c r="AL17" s="48" t="str">
        <f>YEAR(tblAD[[#This Row],[ADDate]])&amp;"/"&amp;MONTH(tblAD[[#This Row],[ADDate]])</f>
        <v>2017/12</v>
      </c>
    </row>
    <row r="18" s="22" customFormat="1" ht="15" spans="1:38">
      <c r="A18" s="32" t="s">
        <v>59</v>
      </c>
      <c r="B18" s="32" t="s">
        <v>60</v>
      </c>
      <c r="C18" s="33" t="s">
        <v>61</v>
      </c>
      <c r="D18" s="32" t="s">
        <v>62</v>
      </c>
      <c r="E18" s="32" t="s">
        <v>51</v>
      </c>
      <c r="F18" s="32" t="s">
        <v>55</v>
      </c>
      <c r="G18" s="32" t="s">
        <v>55</v>
      </c>
      <c r="H18" s="35">
        <v>99</v>
      </c>
      <c r="I18" s="35">
        <v>9900</v>
      </c>
      <c r="J18" s="38">
        <v>0.01</v>
      </c>
      <c r="K18" s="39">
        <v>128.7</v>
      </c>
      <c r="L18" s="39">
        <v>1.3</v>
      </c>
      <c r="M18" s="32" t="s">
        <v>54</v>
      </c>
      <c r="N18" s="35">
        <f>INT(tblAD[[#This Row],[Clicks]]*tblAD[[#This Row],[1-day Conversion Rate]])</f>
        <v>19</v>
      </c>
      <c r="O18" s="41">
        <f>10*tblAD[[#This Row],[1-day Orders Placed ('#)]]</f>
        <v>190</v>
      </c>
      <c r="P18" s="38">
        <v>0.2</v>
      </c>
      <c r="Q18" s="35">
        <v>20</v>
      </c>
      <c r="R18" s="35">
        <v>0</v>
      </c>
      <c r="S18" s="41">
        <v>190</v>
      </c>
      <c r="T18" s="41">
        <v>0</v>
      </c>
      <c r="U18" s="35">
        <v>25</v>
      </c>
      <c r="V18" s="41">
        <v>250</v>
      </c>
      <c r="W18" s="38">
        <v>0.25</v>
      </c>
      <c r="X18" s="35">
        <v>0</v>
      </c>
      <c r="Y18" s="35">
        <v>0</v>
      </c>
      <c r="Z18" s="41">
        <v>0</v>
      </c>
      <c r="AA18" s="41">
        <v>0</v>
      </c>
      <c r="AB18" s="35">
        <v>30</v>
      </c>
      <c r="AC18" s="41">
        <v>300</v>
      </c>
      <c r="AD18" s="38">
        <v>0.3</v>
      </c>
      <c r="AE18" s="35">
        <v>0</v>
      </c>
      <c r="AF18" s="35">
        <v>0</v>
      </c>
      <c r="AG18" s="41">
        <v>0</v>
      </c>
      <c r="AH18" s="41">
        <v>0</v>
      </c>
      <c r="AI18" s="44" t="e">
        <f ca="1">VLOOKUP(tblAD[[#This Row],[Advertised SKU]],tblProduct[SKU]:tblProduct[Name],2,FALSE)</f>
        <v>#N/A</v>
      </c>
      <c r="AJ18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8" s="47">
        <f>DATE(MID(tblAD[Start Date],7,4),LEFT(tblAD[[#This Row],[Start Date]],2),MID(tblAD[[#This Row],[Start Date]],4,2))</f>
        <v>43095</v>
      </c>
      <c r="AL18" s="48" t="str">
        <f>YEAR(tblAD[[#This Row],[ADDate]])&amp;"/"&amp;MONTH(tblAD[[#This Row],[ADDate]])</f>
        <v>2017/12</v>
      </c>
    </row>
    <row r="19" s="22" customFormat="1" ht="15" spans="1:38">
      <c r="A19" s="32" t="s">
        <v>59</v>
      </c>
      <c r="B19" s="32" t="s">
        <v>60</v>
      </c>
      <c r="C19" s="33" t="s">
        <v>61</v>
      </c>
      <c r="D19" s="32" t="s">
        <v>63</v>
      </c>
      <c r="E19" s="32" t="s">
        <v>51</v>
      </c>
      <c r="F19" s="32" t="s">
        <v>55</v>
      </c>
      <c r="G19" s="32" t="s">
        <v>55</v>
      </c>
      <c r="H19" s="35">
        <v>60</v>
      </c>
      <c r="I19" s="35">
        <v>6000</v>
      </c>
      <c r="J19" s="38">
        <v>0.01</v>
      </c>
      <c r="K19" s="39">
        <v>102</v>
      </c>
      <c r="L19" s="39">
        <v>1.7</v>
      </c>
      <c r="M19" s="32" t="s">
        <v>54</v>
      </c>
      <c r="N19" s="35">
        <f>INT(tblAD[[#This Row],[Clicks]]*tblAD[[#This Row],[1-day Conversion Rate]])</f>
        <v>12</v>
      </c>
      <c r="O19" s="41">
        <f>10*tblAD[[#This Row],[1-day Orders Placed ('#)]]</f>
        <v>120</v>
      </c>
      <c r="P19" s="38">
        <v>0.2</v>
      </c>
      <c r="Q19" s="35">
        <v>12</v>
      </c>
      <c r="R19" s="35">
        <v>0</v>
      </c>
      <c r="S19" s="41">
        <v>120</v>
      </c>
      <c r="T19" s="41">
        <v>0</v>
      </c>
      <c r="U19" s="35">
        <v>15</v>
      </c>
      <c r="V19" s="41">
        <v>150</v>
      </c>
      <c r="W19" s="38">
        <v>0.25</v>
      </c>
      <c r="X19" s="35">
        <v>0</v>
      </c>
      <c r="Y19" s="35">
        <v>0</v>
      </c>
      <c r="Z19" s="41">
        <v>0</v>
      </c>
      <c r="AA19" s="41">
        <v>0</v>
      </c>
      <c r="AB19" s="35">
        <v>18</v>
      </c>
      <c r="AC19" s="41">
        <v>180</v>
      </c>
      <c r="AD19" s="38">
        <v>0.3</v>
      </c>
      <c r="AE19" s="35">
        <v>0</v>
      </c>
      <c r="AF19" s="35">
        <v>0</v>
      </c>
      <c r="AG19" s="41">
        <v>0</v>
      </c>
      <c r="AH19" s="41">
        <v>0</v>
      </c>
      <c r="AI19" s="44" t="e">
        <f ca="1">VLOOKUP(tblAD[[#This Row],[Advertised SKU]],tblProduct[SKU]:tblProduct[Name],2,FALSE)</f>
        <v>#N/A</v>
      </c>
      <c r="AJ19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19" s="47">
        <f>DATE(MID(tblAD[Start Date],7,4),LEFT(tblAD[[#This Row],[Start Date]],2),MID(tblAD[[#This Row],[Start Date]],4,2))</f>
        <v>43095</v>
      </c>
      <c r="AL19" s="48" t="str">
        <f>YEAR(tblAD[[#This Row],[ADDate]])&amp;"/"&amp;MONTH(tblAD[[#This Row],[ADDate]])</f>
        <v>2017/12</v>
      </c>
    </row>
    <row r="20" s="22" customFormat="1" ht="15" spans="1:38">
      <c r="A20" s="32" t="s">
        <v>59</v>
      </c>
      <c r="B20" s="32" t="s">
        <v>60</v>
      </c>
      <c r="C20" s="33" t="s">
        <v>61</v>
      </c>
      <c r="D20" s="32" t="s">
        <v>50</v>
      </c>
      <c r="E20" s="32" t="s">
        <v>51</v>
      </c>
      <c r="F20" s="32" t="s">
        <v>57</v>
      </c>
      <c r="G20" s="32" t="s">
        <v>64</v>
      </c>
      <c r="H20" s="35">
        <v>70</v>
      </c>
      <c r="I20" s="35">
        <v>7000</v>
      </c>
      <c r="J20" s="38">
        <v>0.01</v>
      </c>
      <c r="K20" s="39">
        <v>147</v>
      </c>
      <c r="L20" s="39">
        <v>2.1</v>
      </c>
      <c r="M20" s="32" t="s">
        <v>54</v>
      </c>
      <c r="N20" s="35">
        <f>INT(tblAD[[#This Row],[Clicks]]*tblAD[[#This Row],[1-day Conversion Rate]])</f>
        <v>14</v>
      </c>
      <c r="O20" s="41">
        <f>10*tblAD[[#This Row],[1-day Orders Placed ('#)]]</f>
        <v>140</v>
      </c>
      <c r="P20" s="38">
        <v>0.2</v>
      </c>
      <c r="Q20" s="35">
        <v>14</v>
      </c>
      <c r="R20" s="35">
        <v>0</v>
      </c>
      <c r="S20" s="41">
        <v>140</v>
      </c>
      <c r="T20" s="41">
        <v>0</v>
      </c>
      <c r="U20" s="35">
        <v>18</v>
      </c>
      <c r="V20" s="41">
        <v>180</v>
      </c>
      <c r="W20" s="38">
        <v>0.25</v>
      </c>
      <c r="X20" s="35">
        <v>0</v>
      </c>
      <c r="Y20" s="35">
        <v>0</v>
      </c>
      <c r="Z20" s="41">
        <v>0</v>
      </c>
      <c r="AA20" s="41">
        <v>0</v>
      </c>
      <c r="AB20" s="35">
        <v>21</v>
      </c>
      <c r="AC20" s="41">
        <v>210</v>
      </c>
      <c r="AD20" s="38">
        <v>0.3</v>
      </c>
      <c r="AE20" s="35">
        <v>0</v>
      </c>
      <c r="AF20" s="35">
        <v>0</v>
      </c>
      <c r="AG20" s="41">
        <v>0</v>
      </c>
      <c r="AH20" s="41">
        <v>0</v>
      </c>
      <c r="AI20" s="44" t="e">
        <f ca="1">VLOOKUP(tblAD[[#This Row],[Advertised SKU]],tblProduct[SKU]:tblProduct[Name],2,FALSE)</f>
        <v>#N/A</v>
      </c>
      <c r="AJ20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0" s="47">
        <f>DATE(MID(tblAD[Start Date],7,4),LEFT(tblAD[[#This Row],[Start Date]],2),MID(tblAD[[#This Row],[Start Date]],4,2))</f>
        <v>43096</v>
      </c>
      <c r="AL20" s="48" t="str">
        <f>YEAR(tblAD[[#This Row],[ADDate]])&amp;"/"&amp;MONTH(tblAD[[#This Row],[ADDate]])</f>
        <v>2017/12</v>
      </c>
    </row>
    <row r="21" s="22" customFormat="1" ht="15" spans="1:38">
      <c r="A21" s="32" t="s">
        <v>59</v>
      </c>
      <c r="B21" s="32" t="s">
        <v>60</v>
      </c>
      <c r="C21" s="33" t="s">
        <v>61</v>
      </c>
      <c r="D21" s="32" t="s">
        <v>56</v>
      </c>
      <c r="E21" s="32" t="s">
        <v>51</v>
      </c>
      <c r="F21" s="32" t="s">
        <v>57</v>
      </c>
      <c r="G21" s="32" t="s">
        <v>64</v>
      </c>
      <c r="H21" s="35">
        <v>70</v>
      </c>
      <c r="I21" s="35">
        <v>7000</v>
      </c>
      <c r="J21" s="38">
        <v>0.01</v>
      </c>
      <c r="K21" s="39">
        <v>56</v>
      </c>
      <c r="L21" s="39">
        <v>0.8</v>
      </c>
      <c r="M21" s="32" t="s">
        <v>54</v>
      </c>
      <c r="N21" s="35">
        <f>INT(tblAD[[#This Row],[Clicks]]*tblAD[[#This Row],[1-day Conversion Rate]])</f>
        <v>14</v>
      </c>
      <c r="O21" s="41">
        <f>10*tblAD[[#This Row],[1-day Orders Placed ('#)]]</f>
        <v>140</v>
      </c>
      <c r="P21" s="38">
        <v>0.2</v>
      </c>
      <c r="Q21" s="35">
        <v>14</v>
      </c>
      <c r="R21" s="35">
        <v>0</v>
      </c>
      <c r="S21" s="41">
        <v>140</v>
      </c>
      <c r="T21" s="41">
        <v>0</v>
      </c>
      <c r="U21" s="35">
        <v>18</v>
      </c>
      <c r="V21" s="41">
        <v>180</v>
      </c>
      <c r="W21" s="38">
        <v>0.25</v>
      </c>
      <c r="X21" s="35">
        <v>0</v>
      </c>
      <c r="Y21" s="35">
        <v>0</v>
      </c>
      <c r="Z21" s="41">
        <v>0</v>
      </c>
      <c r="AA21" s="41">
        <v>0</v>
      </c>
      <c r="AB21" s="35">
        <v>21</v>
      </c>
      <c r="AC21" s="41">
        <v>210</v>
      </c>
      <c r="AD21" s="38">
        <v>0.3</v>
      </c>
      <c r="AE21" s="35">
        <v>0</v>
      </c>
      <c r="AF21" s="35">
        <v>0</v>
      </c>
      <c r="AG21" s="41">
        <v>0</v>
      </c>
      <c r="AH21" s="41">
        <v>0</v>
      </c>
      <c r="AI21" s="44" t="e">
        <f ca="1">VLOOKUP(tblAD[[#This Row],[Advertised SKU]],tblProduct[SKU]:tblProduct[Name],2,FALSE)</f>
        <v>#N/A</v>
      </c>
      <c r="AJ21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1" s="47">
        <f>DATE(MID(tblAD[Start Date],7,4),LEFT(tblAD[[#This Row],[Start Date]],2),MID(tblAD[[#This Row],[Start Date]],4,2))</f>
        <v>43096</v>
      </c>
      <c r="AL21" s="48" t="str">
        <f>YEAR(tblAD[[#This Row],[ADDate]])&amp;"/"&amp;MONTH(tblAD[[#This Row],[ADDate]])</f>
        <v>2017/12</v>
      </c>
    </row>
    <row r="22" s="22" customFormat="1" ht="15" spans="1:38">
      <c r="A22" s="32" t="s">
        <v>59</v>
      </c>
      <c r="B22" s="32" t="s">
        <v>60</v>
      </c>
      <c r="C22" s="33" t="s">
        <v>61</v>
      </c>
      <c r="D22" s="32" t="s">
        <v>58</v>
      </c>
      <c r="E22" s="32" t="s">
        <v>51</v>
      </c>
      <c r="F22" s="32" t="s">
        <v>57</v>
      </c>
      <c r="G22" s="32" t="s">
        <v>64</v>
      </c>
      <c r="H22" s="35">
        <v>70</v>
      </c>
      <c r="I22" s="35">
        <v>7000</v>
      </c>
      <c r="J22" s="38">
        <v>0.01</v>
      </c>
      <c r="K22" s="39">
        <v>49</v>
      </c>
      <c r="L22" s="39">
        <v>0.7</v>
      </c>
      <c r="M22" s="32" t="s">
        <v>54</v>
      </c>
      <c r="N22" s="35">
        <f>INT(tblAD[[#This Row],[Clicks]]*tblAD[[#This Row],[1-day Conversion Rate]])</f>
        <v>14</v>
      </c>
      <c r="O22" s="41">
        <f>10*tblAD[[#This Row],[1-day Orders Placed ('#)]]</f>
        <v>140</v>
      </c>
      <c r="P22" s="38">
        <v>0.2</v>
      </c>
      <c r="Q22" s="35">
        <v>14</v>
      </c>
      <c r="R22" s="35">
        <v>0</v>
      </c>
      <c r="S22" s="41">
        <v>140</v>
      </c>
      <c r="T22" s="41">
        <v>0</v>
      </c>
      <c r="U22" s="35">
        <v>18</v>
      </c>
      <c r="V22" s="41">
        <v>180</v>
      </c>
      <c r="W22" s="38">
        <v>0.25</v>
      </c>
      <c r="X22" s="35">
        <v>0</v>
      </c>
      <c r="Y22" s="35">
        <v>0</v>
      </c>
      <c r="Z22" s="41">
        <v>0</v>
      </c>
      <c r="AA22" s="41">
        <v>0</v>
      </c>
      <c r="AB22" s="35">
        <v>21</v>
      </c>
      <c r="AC22" s="41">
        <v>210</v>
      </c>
      <c r="AD22" s="38">
        <v>0.3</v>
      </c>
      <c r="AE22" s="35">
        <v>0</v>
      </c>
      <c r="AF22" s="35">
        <v>0</v>
      </c>
      <c r="AG22" s="41">
        <v>0</v>
      </c>
      <c r="AH22" s="41">
        <v>0</v>
      </c>
      <c r="AI22" s="44" t="e">
        <f ca="1">VLOOKUP(tblAD[[#This Row],[Advertised SKU]],tblProduct[SKU]:tblProduct[Name],2,FALSE)</f>
        <v>#N/A</v>
      </c>
      <c r="AJ22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2" s="47">
        <f>DATE(MID(tblAD[Start Date],7,4),LEFT(tblAD[[#This Row],[Start Date]],2),MID(tblAD[[#This Row],[Start Date]],4,2))</f>
        <v>43096</v>
      </c>
      <c r="AL22" s="48" t="str">
        <f>YEAR(tblAD[[#This Row],[ADDate]])&amp;"/"&amp;MONTH(tblAD[[#This Row],[ADDate]])</f>
        <v>2017/12</v>
      </c>
    </row>
    <row r="23" s="22" customFormat="1" ht="15" spans="1:38">
      <c r="A23" s="32" t="s">
        <v>59</v>
      </c>
      <c r="B23" s="32" t="s">
        <v>60</v>
      </c>
      <c r="C23" s="33" t="s">
        <v>61</v>
      </c>
      <c r="D23" s="32" t="s">
        <v>62</v>
      </c>
      <c r="E23" s="32" t="s">
        <v>51</v>
      </c>
      <c r="F23" s="32" t="s">
        <v>57</v>
      </c>
      <c r="G23" s="32" t="s">
        <v>64</v>
      </c>
      <c r="H23" s="35">
        <v>70</v>
      </c>
      <c r="I23" s="35">
        <v>7000</v>
      </c>
      <c r="J23" s="38">
        <v>0.01</v>
      </c>
      <c r="K23" s="39">
        <v>112</v>
      </c>
      <c r="L23" s="39">
        <v>1.6</v>
      </c>
      <c r="M23" s="32" t="s">
        <v>54</v>
      </c>
      <c r="N23" s="35">
        <f>INT(tblAD[[#This Row],[Clicks]]*tblAD[[#This Row],[1-day Conversion Rate]])</f>
        <v>14</v>
      </c>
      <c r="O23" s="41">
        <f>10*tblAD[[#This Row],[1-day Orders Placed ('#)]]</f>
        <v>140</v>
      </c>
      <c r="P23" s="38">
        <v>0.2</v>
      </c>
      <c r="Q23" s="35">
        <v>14</v>
      </c>
      <c r="R23" s="35">
        <v>0</v>
      </c>
      <c r="S23" s="41">
        <v>140</v>
      </c>
      <c r="T23" s="41">
        <v>0</v>
      </c>
      <c r="U23" s="35">
        <v>18</v>
      </c>
      <c r="V23" s="41">
        <v>180</v>
      </c>
      <c r="W23" s="38">
        <v>0.25</v>
      </c>
      <c r="X23" s="35">
        <v>0</v>
      </c>
      <c r="Y23" s="35">
        <v>0</v>
      </c>
      <c r="Z23" s="41">
        <v>0</v>
      </c>
      <c r="AA23" s="41">
        <v>0</v>
      </c>
      <c r="AB23" s="35">
        <v>21</v>
      </c>
      <c r="AC23" s="41">
        <v>210</v>
      </c>
      <c r="AD23" s="38">
        <v>0.3</v>
      </c>
      <c r="AE23" s="35">
        <v>0</v>
      </c>
      <c r="AF23" s="35">
        <v>0</v>
      </c>
      <c r="AG23" s="41">
        <v>0</v>
      </c>
      <c r="AH23" s="41">
        <v>0</v>
      </c>
      <c r="AI23" s="44" t="e">
        <f ca="1">VLOOKUP(tblAD[[#This Row],[Advertised SKU]],tblProduct[SKU]:tblProduct[Name],2,FALSE)</f>
        <v>#N/A</v>
      </c>
      <c r="AJ23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3" s="47">
        <f>DATE(MID(tblAD[Start Date],7,4),LEFT(tblAD[[#This Row],[Start Date]],2),MID(tblAD[[#This Row],[Start Date]],4,2))</f>
        <v>43096</v>
      </c>
      <c r="AL23" s="48" t="str">
        <f>YEAR(tblAD[[#This Row],[ADDate]])&amp;"/"&amp;MONTH(tblAD[[#This Row],[ADDate]])</f>
        <v>2017/12</v>
      </c>
    </row>
    <row r="24" s="22" customFormat="1" ht="15" spans="1:38">
      <c r="A24" s="32" t="s">
        <v>59</v>
      </c>
      <c r="B24" s="32" t="s">
        <v>60</v>
      </c>
      <c r="C24" s="33" t="s">
        <v>61</v>
      </c>
      <c r="D24" s="32" t="s">
        <v>63</v>
      </c>
      <c r="E24" s="32" t="s">
        <v>51</v>
      </c>
      <c r="F24" s="32" t="s">
        <v>57</v>
      </c>
      <c r="G24" s="32" t="s">
        <v>64</v>
      </c>
      <c r="H24" s="35">
        <v>70</v>
      </c>
      <c r="I24" s="35">
        <v>7000</v>
      </c>
      <c r="J24" s="38">
        <v>0.01</v>
      </c>
      <c r="K24" s="39">
        <v>105</v>
      </c>
      <c r="L24" s="39">
        <v>1.5</v>
      </c>
      <c r="M24" s="32" t="s">
        <v>54</v>
      </c>
      <c r="N24" s="35">
        <f>INT(tblAD[[#This Row],[Clicks]]*tblAD[[#This Row],[1-day Conversion Rate]])</f>
        <v>14</v>
      </c>
      <c r="O24" s="41">
        <f>10*tblAD[[#This Row],[1-day Orders Placed ('#)]]</f>
        <v>140</v>
      </c>
      <c r="P24" s="38">
        <v>0.2</v>
      </c>
      <c r="Q24" s="35">
        <v>14</v>
      </c>
      <c r="R24" s="35">
        <v>0</v>
      </c>
      <c r="S24" s="41">
        <v>140</v>
      </c>
      <c r="T24" s="41">
        <v>0</v>
      </c>
      <c r="U24" s="35">
        <v>18</v>
      </c>
      <c r="V24" s="41">
        <v>180</v>
      </c>
      <c r="W24" s="38">
        <v>0.25</v>
      </c>
      <c r="X24" s="35">
        <v>0</v>
      </c>
      <c r="Y24" s="35">
        <v>0</v>
      </c>
      <c r="Z24" s="41">
        <v>0</v>
      </c>
      <c r="AA24" s="41">
        <v>0</v>
      </c>
      <c r="AB24" s="35">
        <v>21</v>
      </c>
      <c r="AC24" s="41">
        <v>210</v>
      </c>
      <c r="AD24" s="38">
        <v>0.3</v>
      </c>
      <c r="AE24" s="35">
        <v>0</v>
      </c>
      <c r="AF24" s="35">
        <v>0</v>
      </c>
      <c r="AG24" s="41">
        <v>0</v>
      </c>
      <c r="AH24" s="41">
        <v>0</v>
      </c>
      <c r="AI24" s="44" t="e">
        <f ca="1">VLOOKUP(tblAD[[#This Row],[Advertised SKU]],tblProduct[SKU]:tblProduct[Name],2,FALSE)</f>
        <v>#N/A</v>
      </c>
      <c r="AJ24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4" s="47">
        <f>DATE(MID(tblAD[Start Date],7,4),LEFT(tblAD[[#This Row],[Start Date]],2),MID(tblAD[[#This Row],[Start Date]],4,2))</f>
        <v>43096</v>
      </c>
      <c r="AL24" s="48" t="str">
        <f>YEAR(tblAD[[#This Row],[ADDate]])&amp;"/"&amp;MONTH(tblAD[[#This Row],[ADDate]])</f>
        <v>2017/12</v>
      </c>
    </row>
    <row r="25" s="22" customFormat="1" ht="15" spans="1:38">
      <c r="A25" s="32" t="s">
        <v>59</v>
      </c>
      <c r="B25" s="32" t="s">
        <v>60</v>
      </c>
      <c r="C25" s="33" t="s">
        <v>61</v>
      </c>
      <c r="D25" s="32" t="s">
        <v>50</v>
      </c>
      <c r="E25" s="32" t="s">
        <v>51</v>
      </c>
      <c r="F25" s="32" t="s">
        <v>64</v>
      </c>
      <c r="G25" s="32" t="s">
        <v>65</v>
      </c>
      <c r="H25" s="35">
        <v>70</v>
      </c>
      <c r="I25" s="35">
        <v>7000</v>
      </c>
      <c r="J25" s="38">
        <v>0.01</v>
      </c>
      <c r="K25" s="39">
        <v>91</v>
      </c>
      <c r="L25" s="39">
        <v>1.3</v>
      </c>
      <c r="M25" s="32" t="s">
        <v>54</v>
      </c>
      <c r="N25" s="35">
        <f>INT(tblAD[[#This Row],[Clicks]]*tblAD[[#This Row],[1-day Conversion Rate]])</f>
        <v>14</v>
      </c>
      <c r="O25" s="41">
        <f>10*tblAD[[#This Row],[1-day Orders Placed ('#)]]</f>
        <v>140</v>
      </c>
      <c r="P25" s="38">
        <v>0.2</v>
      </c>
      <c r="Q25" s="35">
        <v>14</v>
      </c>
      <c r="R25" s="35">
        <v>0</v>
      </c>
      <c r="S25" s="41">
        <v>140</v>
      </c>
      <c r="T25" s="41">
        <v>0</v>
      </c>
      <c r="U25" s="35">
        <v>18</v>
      </c>
      <c r="V25" s="41">
        <v>180</v>
      </c>
      <c r="W25" s="38">
        <v>0.25</v>
      </c>
      <c r="X25" s="35">
        <v>0</v>
      </c>
      <c r="Y25" s="35">
        <v>0</v>
      </c>
      <c r="Z25" s="41">
        <v>0</v>
      </c>
      <c r="AA25" s="41">
        <v>0</v>
      </c>
      <c r="AB25" s="35">
        <v>21</v>
      </c>
      <c r="AC25" s="41">
        <v>210</v>
      </c>
      <c r="AD25" s="38">
        <v>0.3</v>
      </c>
      <c r="AE25" s="35">
        <v>0</v>
      </c>
      <c r="AF25" s="35">
        <v>0</v>
      </c>
      <c r="AG25" s="41">
        <v>0</v>
      </c>
      <c r="AH25" s="41">
        <v>0</v>
      </c>
      <c r="AI25" s="44" t="e">
        <f ca="1">VLOOKUP(tblAD[[#This Row],[Advertised SKU]],tblProduct[SKU]:tblProduct[Name],2,FALSE)</f>
        <v>#N/A</v>
      </c>
      <c r="AJ25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5" s="47">
        <f>DATE(MID(tblAD[Start Date],7,4),LEFT(tblAD[[#This Row],[Start Date]],2),MID(tblAD[[#This Row],[Start Date]],4,2))</f>
        <v>43097</v>
      </c>
      <c r="AL25" s="48" t="str">
        <f>YEAR(tblAD[[#This Row],[ADDate]])&amp;"/"&amp;MONTH(tblAD[[#This Row],[ADDate]])</f>
        <v>2017/12</v>
      </c>
    </row>
    <row r="26" s="22" customFormat="1" ht="15" spans="1:38">
      <c r="A26" s="32" t="s">
        <v>59</v>
      </c>
      <c r="B26" s="32" t="s">
        <v>60</v>
      </c>
      <c r="C26" s="33" t="s">
        <v>61</v>
      </c>
      <c r="D26" s="32" t="s">
        <v>56</v>
      </c>
      <c r="E26" s="32" t="s">
        <v>51</v>
      </c>
      <c r="F26" s="32" t="s">
        <v>64</v>
      </c>
      <c r="G26" s="32" t="s">
        <v>65</v>
      </c>
      <c r="H26" s="35">
        <v>70</v>
      </c>
      <c r="I26" s="35">
        <v>7000</v>
      </c>
      <c r="J26" s="38">
        <v>0.01</v>
      </c>
      <c r="K26" s="39">
        <v>119</v>
      </c>
      <c r="L26" s="39">
        <v>1.7</v>
      </c>
      <c r="M26" s="32" t="s">
        <v>54</v>
      </c>
      <c r="N26" s="35">
        <f>INT(tblAD[[#This Row],[Clicks]]*tblAD[[#This Row],[1-day Conversion Rate]])</f>
        <v>14</v>
      </c>
      <c r="O26" s="41">
        <f>10*tblAD[[#This Row],[1-day Orders Placed ('#)]]</f>
        <v>140</v>
      </c>
      <c r="P26" s="38">
        <v>0.2</v>
      </c>
      <c r="Q26" s="35">
        <v>14</v>
      </c>
      <c r="R26" s="35">
        <v>0</v>
      </c>
      <c r="S26" s="41">
        <v>140</v>
      </c>
      <c r="T26" s="41">
        <v>0</v>
      </c>
      <c r="U26" s="35">
        <v>18</v>
      </c>
      <c r="V26" s="41">
        <v>180</v>
      </c>
      <c r="W26" s="38">
        <v>0.25</v>
      </c>
      <c r="X26" s="35">
        <v>0</v>
      </c>
      <c r="Y26" s="35">
        <v>0</v>
      </c>
      <c r="Z26" s="41">
        <v>0</v>
      </c>
      <c r="AA26" s="41">
        <v>0</v>
      </c>
      <c r="AB26" s="35">
        <v>21</v>
      </c>
      <c r="AC26" s="41">
        <v>210</v>
      </c>
      <c r="AD26" s="38">
        <v>0.3</v>
      </c>
      <c r="AE26" s="35">
        <v>0</v>
      </c>
      <c r="AF26" s="35">
        <v>0</v>
      </c>
      <c r="AG26" s="41">
        <v>0</v>
      </c>
      <c r="AH26" s="41">
        <v>0</v>
      </c>
      <c r="AI26" s="44" t="e">
        <f ca="1">VLOOKUP(tblAD[[#This Row],[Advertised SKU]],tblProduct[SKU]:tblProduct[Name],2,FALSE)</f>
        <v>#N/A</v>
      </c>
      <c r="AJ26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6" s="47">
        <f>DATE(MID(tblAD[Start Date],7,4),LEFT(tblAD[[#This Row],[Start Date]],2),MID(tblAD[[#This Row],[Start Date]],4,2))</f>
        <v>43097</v>
      </c>
      <c r="AL26" s="48" t="str">
        <f>YEAR(tblAD[[#This Row],[ADDate]])&amp;"/"&amp;MONTH(tblAD[[#This Row],[ADDate]])</f>
        <v>2017/12</v>
      </c>
    </row>
    <row r="27" s="22" customFormat="1" ht="15" spans="1:38">
      <c r="A27" s="32" t="s">
        <v>59</v>
      </c>
      <c r="B27" s="32" t="s">
        <v>60</v>
      </c>
      <c r="C27" s="33" t="s">
        <v>61</v>
      </c>
      <c r="D27" s="32" t="s">
        <v>58</v>
      </c>
      <c r="E27" s="32" t="s">
        <v>51</v>
      </c>
      <c r="F27" s="32" t="s">
        <v>64</v>
      </c>
      <c r="G27" s="32" t="s">
        <v>65</v>
      </c>
      <c r="H27" s="35">
        <v>70</v>
      </c>
      <c r="I27" s="35">
        <v>7000</v>
      </c>
      <c r="J27" s="38">
        <v>0.01</v>
      </c>
      <c r="K27" s="39">
        <v>147</v>
      </c>
      <c r="L27" s="39">
        <v>2.1</v>
      </c>
      <c r="M27" s="32" t="s">
        <v>54</v>
      </c>
      <c r="N27" s="35">
        <f>INT(tblAD[[#This Row],[Clicks]]*tblAD[[#This Row],[1-day Conversion Rate]])</f>
        <v>14</v>
      </c>
      <c r="O27" s="41">
        <f>10*tblAD[[#This Row],[1-day Orders Placed ('#)]]</f>
        <v>140</v>
      </c>
      <c r="P27" s="38">
        <v>0.2</v>
      </c>
      <c r="Q27" s="35">
        <v>14</v>
      </c>
      <c r="R27" s="35">
        <v>0</v>
      </c>
      <c r="S27" s="41">
        <v>140</v>
      </c>
      <c r="T27" s="41">
        <v>0</v>
      </c>
      <c r="U27" s="35">
        <v>18</v>
      </c>
      <c r="V27" s="41">
        <v>180</v>
      </c>
      <c r="W27" s="38">
        <v>0.25</v>
      </c>
      <c r="X27" s="35">
        <v>0</v>
      </c>
      <c r="Y27" s="35">
        <v>0</v>
      </c>
      <c r="Z27" s="41">
        <v>0</v>
      </c>
      <c r="AA27" s="41">
        <v>0</v>
      </c>
      <c r="AB27" s="35">
        <v>21</v>
      </c>
      <c r="AC27" s="41">
        <v>210</v>
      </c>
      <c r="AD27" s="38">
        <v>0.3</v>
      </c>
      <c r="AE27" s="35">
        <v>0</v>
      </c>
      <c r="AF27" s="35">
        <v>0</v>
      </c>
      <c r="AG27" s="41">
        <v>0</v>
      </c>
      <c r="AH27" s="41">
        <v>0</v>
      </c>
      <c r="AI27" s="44" t="e">
        <f ca="1">VLOOKUP(tblAD[[#This Row],[Advertised SKU]],tblProduct[SKU]:tblProduct[Name],2,FALSE)</f>
        <v>#N/A</v>
      </c>
      <c r="AJ27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7" s="47">
        <f>DATE(MID(tblAD[Start Date],7,4),LEFT(tblAD[[#This Row],[Start Date]],2),MID(tblAD[[#This Row],[Start Date]],4,2))</f>
        <v>43097</v>
      </c>
      <c r="AL27" s="48" t="str">
        <f>YEAR(tblAD[[#This Row],[ADDate]])&amp;"/"&amp;MONTH(tblAD[[#This Row],[ADDate]])</f>
        <v>2017/12</v>
      </c>
    </row>
    <row r="28" s="22" customFormat="1" ht="15" spans="1:38">
      <c r="A28" s="32" t="s">
        <v>59</v>
      </c>
      <c r="B28" s="32" t="s">
        <v>60</v>
      </c>
      <c r="C28" s="33" t="s">
        <v>61</v>
      </c>
      <c r="D28" s="32" t="s">
        <v>62</v>
      </c>
      <c r="E28" s="32" t="s">
        <v>51</v>
      </c>
      <c r="F28" s="32" t="s">
        <v>64</v>
      </c>
      <c r="G28" s="32" t="s">
        <v>65</v>
      </c>
      <c r="H28" s="35">
        <v>70</v>
      </c>
      <c r="I28" s="35">
        <v>7000</v>
      </c>
      <c r="J28" s="38">
        <v>0.01</v>
      </c>
      <c r="K28" s="39">
        <v>56</v>
      </c>
      <c r="L28" s="39">
        <v>0.8</v>
      </c>
      <c r="M28" s="32" t="s">
        <v>54</v>
      </c>
      <c r="N28" s="35">
        <f>INT(tblAD[[#This Row],[Clicks]]*tblAD[[#This Row],[1-day Conversion Rate]])</f>
        <v>14</v>
      </c>
      <c r="O28" s="41">
        <f>10*tblAD[[#This Row],[1-day Orders Placed ('#)]]</f>
        <v>140</v>
      </c>
      <c r="P28" s="38">
        <v>0.2</v>
      </c>
      <c r="Q28" s="35">
        <v>14</v>
      </c>
      <c r="R28" s="35">
        <v>0</v>
      </c>
      <c r="S28" s="41">
        <v>140</v>
      </c>
      <c r="T28" s="41">
        <v>0</v>
      </c>
      <c r="U28" s="35">
        <v>18</v>
      </c>
      <c r="V28" s="41">
        <v>180</v>
      </c>
      <c r="W28" s="38">
        <v>0.25</v>
      </c>
      <c r="X28" s="35">
        <v>0</v>
      </c>
      <c r="Y28" s="35">
        <v>0</v>
      </c>
      <c r="Z28" s="41">
        <v>0</v>
      </c>
      <c r="AA28" s="41">
        <v>0</v>
      </c>
      <c r="AB28" s="35">
        <v>21</v>
      </c>
      <c r="AC28" s="41">
        <v>210</v>
      </c>
      <c r="AD28" s="38">
        <v>0.3</v>
      </c>
      <c r="AE28" s="35">
        <v>0</v>
      </c>
      <c r="AF28" s="35">
        <v>0</v>
      </c>
      <c r="AG28" s="41">
        <v>0</v>
      </c>
      <c r="AH28" s="41">
        <v>0</v>
      </c>
      <c r="AI28" s="44" t="e">
        <f ca="1">VLOOKUP(tblAD[[#This Row],[Advertised SKU]],tblProduct[SKU]:tblProduct[Name],2,FALSE)</f>
        <v>#N/A</v>
      </c>
      <c r="AJ28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8" s="47">
        <f>DATE(MID(tblAD[Start Date],7,4),LEFT(tblAD[[#This Row],[Start Date]],2),MID(tblAD[[#This Row],[Start Date]],4,2))</f>
        <v>43097</v>
      </c>
      <c r="AL28" s="48" t="str">
        <f>YEAR(tblAD[[#This Row],[ADDate]])&amp;"/"&amp;MONTH(tblAD[[#This Row],[ADDate]])</f>
        <v>2017/12</v>
      </c>
    </row>
    <row r="29" s="22" customFormat="1" ht="15" spans="1:38">
      <c r="A29" s="32" t="s">
        <v>59</v>
      </c>
      <c r="B29" s="32" t="s">
        <v>60</v>
      </c>
      <c r="C29" s="33" t="s">
        <v>61</v>
      </c>
      <c r="D29" s="32" t="s">
        <v>63</v>
      </c>
      <c r="E29" s="32" t="s">
        <v>51</v>
      </c>
      <c r="F29" s="32" t="s">
        <v>64</v>
      </c>
      <c r="G29" s="32" t="s">
        <v>65</v>
      </c>
      <c r="H29" s="35">
        <v>70</v>
      </c>
      <c r="I29" s="35">
        <v>7000</v>
      </c>
      <c r="J29" s="38">
        <v>0.01</v>
      </c>
      <c r="K29" s="39">
        <v>49</v>
      </c>
      <c r="L29" s="39">
        <v>0.7</v>
      </c>
      <c r="M29" s="32" t="s">
        <v>54</v>
      </c>
      <c r="N29" s="35">
        <f>INT(tblAD[[#This Row],[Clicks]]*tblAD[[#This Row],[1-day Conversion Rate]])</f>
        <v>14</v>
      </c>
      <c r="O29" s="41">
        <f>10*tblAD[[#This Row],[1-day Orders Placed ('#)]]</f>
        <v>140</v>
      </c>
      <c r="P29" s="38">
        <v>0.2</v>
      </c>
      <c r="Q29" s="35">
        <v>14</v>
      </c>
      <c r="R29" s="35">
        <v>0</v>
      </c>
      <c r="S29" s="41">
        <v>140</v>
      </c>
      <c r="T29" s="41">
        <v>0</v>
      </c>
      <c r="U29" s="35">
        <v>18</v>
      </c>
      <c r="V29" s="41">
        <v>180</v>
      </c>
      <c r="W29" s="38">
        <v>0.25</v>
      </c>
      <c r="X29" s="35">
        <v>0</v>
      </c>
      <c r="Y29" s="35">
        <v>0</v>
      </c>
      <c r="Z29" s="41">
        <v>0</v>
      </c>
      <c r="AA29" s="41">
        <v>0</v>
      </c>
      <c r="AB29" s="35">
        <v>21</v>
      </c>
      <c r="AC29" s="41">
        <v>210</v>
      </c>
      <c r="AD29" s="38">
        <v>0.3</v>
      </c>
      <c r="AE29" s="35">
        <v>0</v>
      </c>
      <c r="AF29" s="35">
        <v>0</v>
      </c>
      <c r="AG29" s="41">
        <v>0</v>
      </c>
      <c r="AH29" s="41">
        <v>0</v>
      </c>
      <c r="AI29" s="44" t="e">
        <f ca="1">VLOOKUP(tblAD[[#This Row],[Advertised SKU]],tblProduct[SKU]:tblProduct[Name],2,FALSE)</f>
        <v>#N/A</v>
      </c>
      <c r="AJ29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29" s="47">
        <f>DATE(MID(tblAD[Start Date],7,4),LEFT(tblAD[[#This Row],[Start Date]],2),MID(tblAD[[#This Row],[Start Date]],4,2))</f>
        <v>43097</v>
      </c>
      <c r="AL29" s="48" t="str">
        <f>YEAR(tblAD[[#This Row],[ADDate]])&amp;"/"&amp;MONTH(tblAD[[#This Row],[ADDate]])</f>
        <v>2017/12</v>
      </c>
    </row>
    <row r="30" s="22" customFormat="1" ht="15" spans="1:38">
      <c r="A30" s="32" t="s">
        <v>59</v>
      </c>
      <c r="B30" s="32" t="s">
        <v>60</v>
      </c>
      <c r="C30" s="33" t="s">
        <v>61</v>
      </c>
      <c r="D30" s="32" t="s">
        <v>50</v>
      </c>
      <c r="E30" s="32" t="s">
        <v>51</v>
      </c>
      <c r="F30" s="32" t="s">
        <v>65</v>
      </c>
      <c r="G30" s="32" t="s">
        <v>66</v>
      </c>
      <c r="H30" s="35">
        <v>70</v>
      </c>
      <c r="I30" s="35">
        <v>7000</v>
      </c>
      <c r="J30" s="38">
        <v>0.01</v>
      </c>
      <c r="K30" s="39">
        <v>112</v>
      </c>
      <c r="L30" s="39">
        <v>1.6</v>
      </c>
      <c r="M30" s="32" t="s">
        <v>54</v>
      </c>
      <c r="N30" s="35">
        <f>INT(tblAD[[#This Row],[Clicks]]*tblAD[[#This Row],[1-day Conversion Rate]])</f>
        <v>14</v>
      </c>
      <c r="O30" s="41">
        <f>10*tblAD[[#This Row],[1-day Orders Placed ('#)]]</f>
        <v>140</v>
      </c>
      <c r="P30" s="38">
        <v>0.2</v>
      </c>
      <c r="Q30" s="35">
        <v>14</v>
      </c>
      <c r="R30" s="35">
        <v>0</v>
      </c>
      <c r="S30" s="41">
        <v>140</v>
      </c>
      <c r="T30" s="41">
        <v>0</v>
      </c>
      <c r="U30" s="35">
        <v>18</v>
      </c>
      <c r="V30" s="41">
        <v>180</v>
      </c>
      <c r="W30" s="38">
        <v>0.25</v>
      </c>
      <c r="X30" s="35">
        <v>0</v>
      </c>
      <c r="Y30" s="35">
        <v>0</v>
      </c>
      <c r="Z30" s="41">
        <v>0</v>
      </c>
      <c r="AA30" s="41">
        <v>0</v>
      </c>
      <c r="AB30" s="35">
        <v>21</v>
      </c>
      <c r="AC30" s="41">
        <v>210</v>
      </c>
      <c r="AD30" s="38">
        <v>0.3</v>
      </c>
      <c r="AE30" s="35">
        <v>0</v>
      </c>
      <c r="AF30" s="35">
        <v>0</v>
      </c>
      <c r="AG30" s="41">
        <v>0</v>
      </c>
      <c r="AH30" s="41">
        <v>0</v>
      </c>
      <c r="AI30" s="44" t="e">
        <f ca="1">VLOOKUP(tblAD[[#This Row],[Advertised SKU]],tblProduct[SKU]:tblProduct[Name],2,FALSE)</f>
        <v>#N/A</v>
      </c>
      <c r="AJ30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0" s="47">
        <f>DATE(MID(tblAD[Start Date],7,4),LEFT(tblAD[[#This Row],[Start Date]],2),MID(tblAD[[#This Row],[Start Date]],4,2))</f>
        <v>43098</v>
      </c>
      <c r="AL30" s="48" t="str">
        <f>YEAR(tblAD[[#This Row],[ADDate]])&amp;"/"&amp;MONTH(tblAD[[#This Row],[ADDate]])</f>
        <v>2017/12</v>
      </c>
    </row>
    <row r="31" s="22" customFormat="1" ht="15" spans="1:38">
      <c r="A31" s="32" t="s">
        <v>59</v>
      </c>
      <c r="B31" s="32" t="s">
        <v>60</v>
      </c>
      <c r="C31" s="33" t="s">
        <v>61</v>
      </c>
      <c r="D31" s="32" t="s">
        <v>56</v>
      </c>
      <c r="E31" s="32" t="s">
        <v>51</v>
      </c>
      <c r="F31" s="32" t="s">
        <v>65</v>
      </c>
      <c r="G31" s="32" t="s">
        <v>66</v>
      </c>
      <c r="H31" s="35">
        <v>70</v>
      </c>
      <c r="I31" s="35">
        <v>7000</v>
      </c>
      <c r="J31" s="38">
        <v>0.01</v>
      </c>
      <c r="K31" s="39">
        <v>105</v>
      </c>
      <c r="L31" s="39">
        <v>1.5</v>
      </c>
      <c r="M31" s="32" t="s">
        <v>54</v>
      </c>
      <c r="N31" s="35">
        <f>INT(tblAD[[#This Row],[Clicks]]*tblAD[[#This Row],[1-day Conversion Rate]])</f>
        <v>14</v>
      </c>
      <c r="O31" s="41">
        <f>10*tblAD[[#This Row],[1-day Orders Placed ('#)]]</f>
        <v>140</v>
      </c>
      <c r="P31" s="38">
        <v>0.2</v>
      </c>
      <c r="Q31" s="35">
        <v>14</v>
      </c>
      <c r="R31" s="35">
        <v>0</v>
      </c>
      <c r="S31" s="41">
        <v>140</v>
      </c>
      <c r="T31" s="41">
        <v>0</v>
      </c>
      <c r="U31" s="35">
        <v>18</v>
      </c>
      <c r="V31" s="41">
        <v>180</v>
      </c>
      <c r="W31" s="38">
        <v>0.25</v>
      </c>
      <c r="X31" s="35">
        <v>0</v>
      </c>
      <c r="Y31" s="35">
        <v>0</v>
      </c>
      <c r="Z31" s="41">
        <v>0</v>
      </c>
      <c r="AA31" s="41">
        <v>0</v>
      </c>
      <c r="AB31" s="35">
        <v>21</v>
      </c>
      <c r="AC31" s="41">
        <v>210</v>
      </c>
      <c r="AD31" s="38">
        <v>0.3</v>
      </c>
      <c r="AE31" s="35">
        <v>0</v>
      </c>
      <c r="AF31" s="35">
        <v>0</v>
      </c>
      <c r="AG31" s="41">
        <v>0</v>
      </c>
      <c r="AH31" s="41">
        <v>0</v>
      </c>
      <c r="AI31" s="44" t="e">
        <f ca="1">VLOOKUP(tblAD[[#This Row],[Advertised SKU]],tblProduct[SKU]:tblProduct[Name],2,FALSE)</f>
        <v>#N/A</v>
      </c>
      <c r="AJ31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1" s="47">
        <f>DATE(MID(tblAD[Start Date],7,4),LEFT(tblAD[[#This Row],[Start Date]],2),MID(tblAD[[#This Row],[Start Date]],4,2))</f>
        <v>43098</v>
      </c>
      <c r="AL31" s="48" t="str">
        <f>YEAR(tblAD[[#This Row],[ADDate]])&amp;"/"&amp;MONTH(tblAD[[#This Row],[ADDate]])</f>
        <v>2017/12</v>
      </c>
    </row>
    <row r="32" s="22" customFormat="1" ht="15" spans="1:38">
      <c r="A32" s="32" t="s">
        <v>59</v>
      </c>
      <c r="B32" s="32" t="s">
        <v>60</v>
      </c>
      <c r="C32" s="33" t="s">
        <v>61</v>
      </c>
      <c r="D32" s="32" t="s">
        <v>58</v>
      </c>
      <c r="E32" s="32" t="s">
        <v>51</v>
      </c>
      <c r="F32" s="32" t="s">
        <v>65</v>
      </c>
      <c r="G32" s="32" t="s">
        <v>66</v>
      </c>
      <c r="H32" s="35">
        <v>70</v>
      </c>
      <c r="I32" s="35">
        <v>7000</v>
      </c>
      <c r="J32" s="38">
        <v>0.01</v>
      </c>
      <c r="K32" s="39">
        <v>91</v>
      </c>
      <c r="L32" s="39">
        <v>1.3</v>
      </c>
      <c r="M32" s="32" t="s">
        <v>54</v>
      </c>
      <c r="N32" s="35">
        <f>INT(tblAD[[#This Row],[Clicks]]*tblAD[[#This Row],[1-day Conversion Rate]])</f>
        <v>14</v>
      </c>
      <c r="O32" s="41">
        <f>10*tblAD[[#This Row],[1-day Orders Placed ('#)]]</f>
        <v>140</v>
      </c>
      <c r="P32" s="38">
        <v>0.2</v>
      </c>
      <c r="Q32" s="35">
        <v>14</v>
      </c>
      <c r="R32" s="35">
        <v>0</v>
      </c>
      <c r="S32" s="41">
        <v>140</v>
      </c>
      <c r="T32" s="41">
        <v>0</v>
      </c>
      <c r="U32" s="35">
        <v>18</v>
      </c>
      <c r="V32" s="41">
        <v>180</v>
      </c>
      <c r="W32" s="38">
        <v>0.25</v>
      </c>
      <c r="X32" s="35">
        <v>0</v>
      </c>
      <c r="Y32" s="35">
        <v>0</v>
      </c>
      <c r="Z32" s="41">
        <v>0</v>
      </c>
      <c r="AA32" s="41">
        <v>0</v>
      </c>
      <c r="AB32" s="35">
        <v>21</v>
      </c>
      <c r="AC32" s="41">
        <v>210</v>
      </c>
      <c r="AD32" s="38">
        <v>0.3</v>
      </c>
      <c r="AE32" s="35">
        <v>0</v>
      </c>
      <c r="AF32" s="35">
        <v>0</v>
      </c>
      <c r="AG32" s="41">
        <v>0</v>
      </c>
      <c r="AH32" s="41">
        <v>0</v>
      </c>
      <c r="AI32" s="44" t="e">
        <f ca="1">VLOOKUP(tblAD[[#This Row],[Advertised SKU]],tblProduct[SKU]:tblProduct[Name],2,FALSE)</f>
        <v>#N/A</v>
      </c>
      <c r="AJ32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2" s="47">
        <f>DATE(MID(tblAD[Start Date],7,4),LEFT(tblAD[[#This Row],[Start Date]],2),MID(tblAD[[#This Row],[Start Date]],4,2))</f>
        <v>43098</v>
      </c>
      <c r="AL32" s="48" t="str">
        <f>YEAR(tblAD[[#This Row],[ADDate]])&amp;"/"&amp;MONTH(tblAD[[#This Row],[ADDate]])</f>
        <v>2017/12</v>
      </c>
    </row>
    <row r="33" s="22" customFormat="1" ht="15" spans="1:38">
      <c r="A33" s="32" t="s">
        <v>59</v>
      </c>
      <c r="B33" s="32" t="s">
        <v>60</v>
      </c>
      <c r="C33" s="33" t="s">
        <v>61</v>
      </c>
      <c r="D33" s="32" t="s">
        <v>62</v>
      </c>
      <c r="E33" s="32" t="s">
        <v>51</v>
      </c>
      <c r="F33" s="32" t="s">
        <v>65</v>
      </c>
      <c r="G33" s="32" t="s">
        <v>66</v>
      </c>
      <c r="H33" s="35">
        <v>70</v>
      </c>
      <c r="I33" s="35">
        <v>7000</v>
      </c>
      <c r="J33" s="38">
        <v>0.01</v>
      </c>
      <c r="K33" s="39">
        <v>119</v>
      </c>
      <c r="L33" s="39">
        <v>1.7</v>
      </c>
      <c r="M33" s="32" t="s">
        <v>54</v>
      </c>
      <c r="N33" s="35">
        <f>INT(tblAD[[#This Row],[Clicks]]*tblAD[[#This Row],[1-day Conversion Rate]])</f>
        <v>14</v>
      </c>
      <c r="O33" s="41">
        <f>10*tblAD[[#This Row],[1-day Orders Placed ('#)]]</f>
        <v>140</v>
      </c>
      <c r="P33" s="38">
        <v>0.2</v>
      </c>
      <c r="Q33" s="35">
        <v>14</v>
      </c>
      <c r="R33" s="35">
        <v>0</v>
      </c>
      <c r="S33" s="41">
        <v>140</v>
      </c>
      <c r="T33" s="41">
        <v>0</v>
      </c>
      <c r="U33" s="35">
        <v>18</v>
      </c>
      <c r="V33" s="41">
        <v>180</v>
      </c>
      <c r="W33" s="38">
        <v>0.25</v>
      </c>
      <c r="X33" s="35">
        <v>0</v>
      </c>
      <c r="Y33" s="35">
        <v>0</v>
      </c>
      <c r="Z33" s="41">
        <v>0</v>
      </c>
      <c r="AA33" s="41">
        <v>0</v>
      </c>
      <c r="AB33" s="35">
        <v>21</v>
      </c>
      <c r="AC33" s="41">
        <v>210</v>
      </c>
      <c r="AD33" s="38">
        <v>0.3</v>
      </c>
      <c r="AE33" s="35">
        <v>0</v>
      </c>
      <c r="AF33" s="35">
        <v>0</v>
      </c>
      <c r="AG33" s="41">
        <v>0</v>
      </c>
      <c r="AH33" s="41">
        <v>0</v>
      </c>
      <c r="AI33" s="44" t="e">
        <f ca="1">VLOOKUP(tblAD[[#This Row],[Advertised SKU]],tblProduct[SKU]:tblProduct[Name],2,FALSE)</f>
        <v>#N/A</v>
      </c>
      <c r="AJ33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3" s="47">
        <f>DATE(MID(tblAD[Start Date],7,4),LEFT(tblAD[[#This Row],[Start Date]],2),MID(tblAD[[#This Row],[Start Date]],4,2))</f>
        <v>43098</v>
      </c>
      <c r="AL33" s="48" t="str">
        <f>YEAR(tblAD[[#This Row],[ADDate]])&amp;"/"&amp;MONTH(tblAD[[#This Row],[ADDate]])</f>
        <v>2017/12</v>
      </c>
    </row>
    <row r="34" s="22" customFormat="1" ht="15" spans="1:38">
      <c r="A34" s="32" t="s">
        <v>59</v>
      </c>
      <c r="B34" s="32" t="s">
        <v>60</v>
      </c>
      <c r="C34" s="33" t="s">
        <v>61</v>
      </c>
      <c r="D34" s="32" t="s">
        <v>63</v>
      </c>
      <c r="E34" s="32" t="s">
        <v>51</v>
      </c>
      <c r="F34" s="32" t="s">
        <v>65</v>
      </c>
      <c r="G34" s="32" t="s">
        <v>66</v>
      </c>
      <c r="H34" s="35">
        <v>70</v>
      </c>
      <c r="I34" s="35">
        <v>7000</v>
      </c>
      <c r="J34" s="38">
        <v>0.01</v>
      </c>
      <c r="K34" s="39">
        <v>147</v>
      </c>
      <c r="L34" s="39">
        <v>2.1</v>
      </c>
      <c r="M34" s="32" t="s">
        <v>54</v>
      </c>
      <c r="N34" s="35">
        <f>INT(tblAD[[#This Row],[Clicks]]*tblAD[[#This Row],[1-day Conversion Rate]])</f>
        <v>14</v>
      </c>
      <c r="O34" s="41">
        <f>10*tblAD[[#This Row],[1-day Orders Placed ('#)]]</f>
        <v>140</v>
      </c>
      <c r="P34" s="38">
        <v>0.2</v>
      </c>
      <c r="Q34" s="35">
        <v>14</v>
      </c>
      <c r="R34" s="35">
        <v>0</v>
      </c>
      <c r="S34" s="41">
        <v>140</v>
      </c>
      <c r="T34" s="41">
        <v>0</v>
      </c>
      <c r="U34" s="35">
        <v>18</v>
      </c>
      <c r="V34" s="41">
        <v>180</v>
      </c>
      <c r="W34" s="38">
        <v>0.25</v>
      </c>
      <c r="X34" s="35">
        <v>0</v>
      </c>
      <c r="Y34" s="35">
        <v>0</v>
      </c>
      <c r="Z34" s="41">
        <v>0</v>
      </c>
      <c r="AA34" s="41">
        <v>0</v>
      </c>
      <c r="AB34" s="35">
        <v>21</v>
      </c>
      <c r="AC34" s="41">
        <v>210</v>
      </c>
      <c r="AD34" s="38">
        <v>0.3</v>
      </c>
      <c r="AE34" s="35">
        <v>0</v>
      </c>
      <c r="AF34" s="35">
        <v>0</v>
      </c>
      <c r="AG34" s="41">
        <v>0</v>
      </c>
      <c r="AH34" s="41">
        <v>0</v>
      </c>
      <c r="AI34" s="44" t="e">
        <f ca="1">VLOOKUP(tblAD[[#This Row],[Advertised SKU]],tblProduct[SKU]:tblProduct[Name],2,FALSE)</f>
        <v>#N/A</v>
      </c>
      <c r="AJ34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4" s="47">
        <f>DATE(MID(tblAD[Start Date],7,4),LEFT(tblAD[[#This Row],[Start Date]],2),MID(tblAD[[#This Row],[Start Date]],4,2))</f>
        <v>43098</v>
      </c>
      <c r="AL34" s="48" t="str">
        <f>YEAR(tblAD[[#This Row],[ADDate]])&amp;"/"&amp;MONTH(tblAD[[#This Row],[ADDate]])</f>
        <v>2017/12</v>
      </c>
    </row>
    <row r="35" s="22" customFormat="1" ht="15" spans="1:38">
      <c r="A35" s="32" t="s">
        <v>59</v>
      </c>
      <c r="B35" s="32" t="s">
        <v>60</v>
      </c>
      <c r="C35" s="33" t="s">
        <v>61</v>
      </c>
      <c r="D35" s="32" t="s">
        <v>50</v>
      </c>
      <c r="E35" s="32" t="s">
        <v>51</v>
      </c>
      <c r="F35" s="32" t="s">
        <v>66</v>
      </c>
      <c r="G35" s="32" t="s">
        <v>67</v>
      </c>
      <c r="H35" s="35">
        <v>70</v>
      </c>
      <c r="I35" s="35">
        <v>7000</v>
      </c>
      <c r="J35" s="38">
        <v>0.01</v>
      </c>
      <c r="K35" s="39">
        <v>56</v>
      </c>
      <c r="L35" s="39">
        <v>0.8</v>
      </c>
      <c r="M35" s="32" t="s">
        <v>54</v>
      </c>
      <c r="N35" s="35">
        <f>INT(tblAD[[#This Row],[Clicks]]*tblAD[[#This Row],[1-day Conversion Rate]])</f>
        <v>14</v>
      </c>
      <c r="O35" s="41">
        <f>10*tblAD[[#This Row],[1-day Orders Placed ('#)]]</f>
        <v>140</v>
      </c>
      <c r="P35" s="38">
        <v>0.2</v>
      </c>
      <c r="Q35" s="35">
        <v>14</v>
      </c>
      <c r="R35" s="35">
        <v>0</v>
      </c>
      <c r="S35" s="41">
        <v>140</v>
      </c>
      <c r="T35" s="41">
        <v>0</v>
      </c>
      <c r="U35" s="35">
        <v>18</v>
      </c>
      <c r="V35" s="41">
        <v>180</v>
      </c>
      <c r="W35" s="38">
        <v>0.25</v>
      </c>
      <c r="X35" s="35">
        <v>0</v>
      </c>
      <c r="Y35" s="35">
        <v>0</v>
      </c>
      <c r="Z35" s="41">
        <v>0</v>
      </c>
      <c r="AA35" s="41">
        <v>0</v>
      </c>
      <c r="AB35" s="35">
        <v>21</v>
      </c>
      <c r="AC35" s="41">
        <v>210</v>
      </c>
      <c r="AD35" s="38">
        <v>0.3</v>
      </c>
      <c r="AE35" s="35">
        <v>0</v>
      </c>
      <c r="AF35" s="35">
        <v>0</v>
      </c>
      <c r="AG35" s="41">
        <v>0</v>
      </c>
      <c r="AH35" s="41">
        <v>0</v>
      </c>
      <c r="AI35" s="44" t="e">
        <f ca="1">VLOOKUP(tblAD[[#This Row],[Advertised SKU]],tblProduct[SKU]:tblProduct[Name],2,FALSE)</f>
        <v>#N/A</v>
      </c>
      <c r="AJ35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5" s="47">
        <f>DATE(MID(tblAD[Start Date],7,4),LEFT(tblAD[[#This Row],[Start Date]],2),MID(tblAD[[#This Row],[Start Date]],4,2))</f>
        <v>43099</v>
      </c>
      <c r="AL35" s="48" t="str">
        <f>YEAR(tblAD[[#This Row],[ADDate]])&amp;"/"&amp;MONTH(tblAD[[#This Row],[ADDate]])</f>
        <v>2017/12</v>
      </c>
    </row>
    <row r="36" s="22" customFormat="1" ht="15" spans="1:38">
      <c r="A36" s="32" t="s">
        <v>59</v>
      </c>
      <c r="B36" s="32" t="s">
        <v>60</v>
      </c>
      <c r="C36" s="33" t="s">
        <v>61</v>
      </c>
      <c r="D36" s="32" t="s">
        <v>56</v>
      </c>
      <c r="E36" s="32" t="s">
        <v>51</v>
      </c>
      <c r="F36" s="32" t="s">
        <v>66</v>
      </c>
      <c r="G36" s="32" t="s">
        <v>67</v>
      </c>
      <c r="H36" s="35">
        <v>70</v>
      </c>
      <c r="I36" s="35">
        <v>7000</v>
      </c>
      <c r="J36" s="38">
        <v>0.01</v>
      </c>
      <c r="K36" s="39">
        <v>49</v>
      </c>
      <c r="L36" s="39">
        <v>0.7</v>
      </c>
      <c r="M36" s="32" t="s">
        <v>54</v>
      </c>
      <c r="N36" s="35">
        <f>INT(tblAD[[#This Row],[Clicks]]*tblAD[[#This Row],[1-day Conversion Rate]])</f>
        <v>14</v>
      </c>
      <c r="O36" s="41">
        <f>10*tblAD[[#This Row],[1-day Orders Placed ('#)]]</f>
        <v>140</v>
      </c>
      <c r="P36" s="38">
        <v>0.2</v>
      </c>
      <c r="Q36" s="35">
        <v>14</v>
      </c>
      <c r="R36" s="35">
        <v>0</v>
      </c>
      <c r="S36" s="41">
        <v>140</v>
      </c>
      <c r="T36" s="41">
        <v>0</v>
      </c>
      <c r="U36" s="35">
        <v>18</v>
      </c>
      <c r="V36" s="41">
        <v>180</v>
      </c>
      <c r="W36" s="38">
        <v>0.25</v>
      </c>
      <c r="X36" s="35">
        <v>0</v>
      </c>
      <c r="Y36" s="35">
        <v>0</v>
      </c>
      <c r="Z36" s="41">
        <v>0</v>
      </c>
      <c r="AA36" s="41">
        <v>0</v>
      </c>
      <c r="AB36" s="35">
        <v>21</v>
      </c>
      <c r="AC36" s="41">
        <v>210</v>
      </c>
      <c r="AD36" s="38">
        <v>0.3</v>
      </c>
      <c r="AE36" s="35">
        <v>0</v>
      </c>
      <c r="AF36" s="35">
        <v>0</v>
      </c>
      <c r="AG36" s="41">
        <v>0</v>
      </c>
      <c r="AH36" s="41">
        <v>0</v>
      </c>
      <c r="AI36" s="44" t="e">
        <f ca="1">VLOOKUP(tblAD[[#This Row],[Advertised SKU]],tblProduct[SKU]:tblProduct[Name],2,FALSE)</f>
        <v>#N/A</v>
      </c>
      <c r="AJ36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6" s="47">
        <f>DATE(MID(tblAD[Start Date],7,4),LEFT(tblAD[[#This Row],[Start Date]],2),MID(tblAD[[#This Row],[Start Date]],4,2))</f>
        <v>43099</v>
      </c>
      <c r="AL36" s="48" t="str">
        <f>YEAR(tblAD[[#This Row],[ADDate]])&amp;"/"&amp;MONTH(tblAD[[#This Row],[ADDate]])</f>
        <v>2017/12</v>
      </c>
    </row>
    <row r="37" s="22" customFormat="1" ht="15" spans="1:38">
      <c r="A37" s="32" t="s">
        <v>59</v>
      </c>
      <c r="B37" s="32" t="s">
        <v>60</v>
      </c>
      <c r="C37" s="33" t="s">
        <v>61</v>
      </c>
      <c r="D37" s="32" t="s">
        <v>58</v>
      </c>
      <c r="E37" s="32" t="s">
        <v>51</v>
      </c>
      <c r="F37" s="32" t="s">
        <v>66</v>
      </c>
      <c r="G37" s="32" t="s">
        <v>67</v>
      </c>
      <c r="H37" s="35">
        <v>70</v>
      </c>
      <c r="I37" s="35">
        <v>7000</v>
      </c>
      <c r="J37" s="38">
        <v>0.01</v>
      </c>
      <c r="K37" s="39">
        <v>112</v>
      </c>
      <c r="L37" s="39">
        <v>1.6</v>
      </c>
      <c r="M37" s="32" t="s">
        <v>54</v>
      </c>
      <c r="N37" s="35">
        <f>INT(tblAD[[#This Row],[Clicks]]*tblAD[[#This Row],[1-day Conversion Rate]])</f>
        <v>14</v>
      </c>
      <c r="O37" s="41">
        <f>10*tblAD[[#This Row],[1-day Orders Placed ('#)]]</f>
        <v>140</v>
      </c>
      <c r="P37" s="38">
        <v>0.2</v>
      </c>
      <c r="Q37" s="35">
        <v>14</v>
      </c>
      <c r="R37" s="35">
        <v>0</v>
      </c>
      <c r="S37" s="41">
        <v>140</v>
      </c>
      <c r="T37" s="41">
        <v>0</v>
      </c>
      <c r="U37" s="35">
        <v>18</v>
      </c>
      <c r="V37" s="41">
        <v>180</v>
      </c>
      <c r="W37" s="38">
        <v>0.25</v>
      </c>
      <c r="X37" s="35">
        <v>0</v>
      </c>
      <c r="Y37" s="35">
        <v>0</v>
      </c>
      <c r="Z37" s="41">
        <v>0</v>
      </c>
      <c r="AA37" s="41">
        <v>0</v>
      </c>
      <c r="AB37" s="35">
        <v>21</v>
      </c>
      <c r="AC37" s="41">
        <v>210</v>
      </c>
      <c r="AD37" s="38">
        <v>0.3</v>
      </c>
      <c r="AE37" s="35">
        <v>0</v>
      </c>
      <c r="AF37" s="35">
        <v>0</v>
      </c>
      <c r="AG37" s="41">
        <v>0</v>
      </c>
      <c r="AH37" s="41">
        <v>0</v>
      </c>
      <c r="AI37" s="44" t="e">
        <f ca="1">VLOOKUP(tblAD[[#This Row],[Advertised SKU]],tblProduct[SKU]:tblProduct[Name],2,FALSE)</f>
        <v>#N/A</v>
      </c>
      <c r="AJ37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7" s="47">
        <f>DATE(MID(tblAD[Start Date],7,4),LEFT(tblAD[[#This Row],[Start Date]],2),MID(tblAD[[#This Row],[Start Date]],4,2))</f>
        <v>43099</v>
      </c>
      <c r="AL37" s="48" t="str">
        <f>YEAR(tblAD[[#This Row],[ADDate]])&amp;"/"&amp;MONTH(tblAD[[#This Row],[ADDate]])</f>
        <v>2017/12</v>
      </c>
    </row>
    <row r="38" s="22" customFormat="1" ht="15" spans="1:38">
      <c r="A38" s="32" t="s">
        <v>59</v>
      </c>
      <c r="B38" s="32" t="s">
        <v>60</v>
      </c>
      <c r="C38" s="33" t="s">
        <v>61</v>
      </c>
      <c r="D38" s="32" t="s">
        <v>62</v>
      </c>
      <c r="E38" s="32" t="s">
        <v>51</v>
      </c>
      <c r="F38" s="32" t="s">
        <v>66</v>
      </c>
      <c r="G38" s="32" t="s">
        <v>67</v>
      </c>
      <c r="H38" s="35">
        <v>70</v>
      </c>
      <c r="I38" s="35">
        <v>7000</v>
      </c>
      <c r="J38" s="38">
        <v>0.01</v>
      </c>
      <c r="K38" s="39">
        <v>105</v>
      </c>
      <c r="L38" s="39">
        <v>1.5</v>
      </c>
      <c r="M38" s="32" t="s">
        <v>54</v>
      </c>
      <c r="N38" s="35">
        <f>INT(tblAD[[#This Row],[Clicks]]*tblAD[[#This Row],[1-day Conversion Rate]])</f>
        <v>14</v>
      </c>
      <c r="O38" s="41">
        <f>10*tblAD[[#This Row],[1-day Orders Placed ('#)]]</f>
        <v>140</v>
      </c>
      <c r="P38" s="38">
        <v>0.2</v>
      </c>
      <c r="Q38" s="35">
        <v>14</v>
      </c>
      <c r="R38" s="35">
        <v>0</v>
      </c>
      <c r="S38" s="41">
        <v>140</v>
      </c>
      <c r="T38" s="41">
        <v>0</v>
      </c>
      <c r="U38" s="35">
        <v>18</v>
      </c>
      <c r="V38" s="41">
        <v>180</v>
      </c>
      <c r="W38" s="38">
        <v>0.25</v>
      </c>
      <c r="X38" s="35">
        <v>0</v>
      </c>
      <c r="Y38" s="35">
        <v>0</v>
      </c>
      <c r="Z38" s="41">
        <v>0</v>
      </c>
      <c r="AA38" s="41">
        <v>0</v>
      </c>
      <c r="AB38" s="35">
        <v>21</v>
      </c>
      <c r="AC38" s="41">
        <v>210</v>
      </c>
      <c r="AD38" s="38">
        <v>0.3</v>
      </c>
      <c r="AE38" s="35">
        <v>0</v>
      </c>
      <c r="AF38" s="35">
        <v>0</v>
      </c>
      <c r="AG38" s="41">
        <v>0</v>
      </c>
      <c r="AH38" s="41">
        <v>0</v>
      </c>
      <c r="AI38" s="44" t="e">
        <f ca="1">VLOOKUP(tblAD[[#This Row],[Advertised SKU]],tblProduct[SKU]:tblProduct[Name],2,FALSE)</f>
        <v>#N/A</v>
      </c>
      <c r="AJ38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8" s="47">
        <f>DATE(MID(tblAD[Start Date],7,4),LEFT(tblAD[[#This Row],[Start Date]],2),MID(tblAD[[#This Row],[Start Date]],4,2))</f>
        <v>43099</v>
      </c>
      <c r="AL38" s="48" t="str">
        <f>YEAR(tblAD[[#This Row],[ADDate]])&amp;"/"&amp;MONTH(tblAD[[#This Row],[ADDate]])</f>
        <v>2017/12</v>
      </c>
    </row>
    <row r="39" s="22" customFormat="1" ht="15" spans="1:38">
      <c r="A39" s="32" t="s">
        <v>59</v>
      </c>
      <c r="B39" s="32" t="s">
        <v>60</v>
      </c>
      <c r="C39" s="33" t="s">
        <v>61</v>
      </c>
      <c r="D39" s="32" t="s">
        <v>63</v>
      </c>
      <c r="E39" s="32" t="s">
        <v>51</v>
      </c>
      <c r="F39" s="32" t="s">
        <v>66</v>
      </c>
      <c r="G39" s="32" t="s">
        <v>67</v>
      </c>
      <c r="H39" s="35">
        <v>70</v>
      </c>
      <c r="I39" s="35">
        <v>7000</v>
      </c>
      <c r="J39" s="38">
        <v>0.01</v>
      </c>
      <c r="K39" s="39">
        <v>91</v>
      </c>
      <c r="L39" s="39">
        <v>1.3</v>
      </c>
      <c r="M39" s="32" t="s">
        <v>54</v>
      </c>
      <c r="N39" s="35">
        <f>INT(tblAD[[#This Row],[Clicks]]*tblAD[[#This Row],[1-day Conversion Rate]])</f>
        <v>14</v>
      </c>
      <c r="O39" s="41">
        <f>10*tblAD[[#This Row],[1-day Orders Placed ('#)]]</f>
        <v>140</v>
      </c>
      <c r="P39" s="38">
        <v>0.2</v>
      </c>
      <c r="Q39" s="35">
        <v>14</v>
      </c>
      <c r="R39" s="35">
        <v>0</v>
      </c>
      <c r="S39" s="41">
        <v>140</v>
      </c>
      <c r="T39" s="41">
        <v>0</v>
      </c>
      <c r="U39" s="35">
        <v>18</v>
      </c>
      <c r="V39" s="41">
        <v>180</v>
      </c>
      <c r="W39" s="38">
        <v>0.25</v>
      </c>
      <c r="X39" s="35">
        <v>0</v>
      </c>
      <c r="Y39" s="35">
        <v>0</v>
      </c>
      <c r="Z39" s="41">
        <v>0</v>
      </c>
      <c r="AA39" s="41">
        <v>0</v>
      </c>
      <c r="AB39" s="35">
        <v>21</v>
      </c>
      <c r="AC39" s="41">
        <v>210</v>
      </c>
      <c r="AD39" s="38">
        <v>0.3</v>
      </c>
      <c r="AE39" s="35">
        <v>0</v>
      </c>
      <c r="AF39" s="35">
        <v>0</v>
      </c>
      <c r="AG39" s="41">
        <v>0</v>
      </c>
      <c r="AH39" s="41">
        <v>0</v>
      </c>
      <c r="AI39" s="44" t="e">
        <f ca="1">VLOOKUP(tblAD[[#This Row],[Advertised SKU]],tblProduct[SKU]:tblProduct[Name],2,FALSE)</f>
        <v>#N/A</v>
      </c>
      <c r="AJ39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39" s="47">
        <f>DATE(MID(tblAD[Start Date],7,4),LEFT(tblAD[[#This Row],[Start Date]],2),MID(tblAD[[#This Row],[Start Date]],4,2))</f>
        <v>43099</v>
      </c>
      <c r="AL39" s="48" t="str">
        <f>YEAR(tblAD[[#This Row],[ADDate]])&amp;"/"&amp;MONTH(tblAD[[#This Row],[ADDate]])</f>
        <v>2017/12</v>
      </c>
    </row>
    <row r="40" s="22" customFormat="1" ht="15" spans="1:38">
      <c r="A40" s="32" t="s">
        <v>59</v>
      </c>
      <c r="B40" s="32" t="s">
        <v>60</v>
      </c>
      <c r="C40" s="33" t="s">
        <v>61</v>
      </c>
      <c r="D40" s="32" t="s">
        <v>50</v>
      </c>
      <c r="E40" s="32" t="s">
        <v>51</v>
      </c>
      <c r="F40" s="32" t="s">
        <v>67</v>
      </c>
      <c r="G40" s="32" t="s">
        <v>68</v>
      </c>
      <c r="H40" s="35">
        <v>70</v>
      </c>
      <c r="I40" s="35">
        <v>7000</v>
      </c>
      <c r="J40" s="38">
        <v>0.01</v>
      </c>
      <c r="K40" s="39">
        <v>119</v>
      </c>
      <c r="L40" s="39">
        <v>1.7</v>
      </c>
      <c r="M40" s="32" t="s">
        <v>54</v>
      </c>
      <c r="N40" s="35">
        <f>INT(tblAD[[#This Row],[Clicks]]*tblAD[[#This Row],[1-day Conversion Rate]])</f>
        <v>14</v>
      </c>
      <c r="O40" s="41">
        <f>10*tblAD[[#This Row],[1-day Orders Placed ('#)]]</f>
        <v>140</v>
      </c>
      <c r="P40" s="38">
        <v>0.2</v>
      </c>
      <c r="Q40" s="35">
        <v>14</v>
      </c>
      <c r="R40" s="35">
        <v>0</v>
      </c>
      <c r="S40" s="41">
        <v>140</v>
      </c>
      <c r="T40" s="41">
        <v>0</v>
      </c>
      <c r="U40" s="35">
        <v>18</v>
      </c>
      <c r="V40" s="41">
        <v>180</v>
      </c>
      <c r="W40" s="38">
        <v>0.25</v>
      </c>
      <c r="X40" s="35">
        <v>0</v>
      </c>
      <c r="Y40" s="35">
        <v>0</v>
      </c>
      <c r="Z40" s="41">
        <v>0</v>
      </c>
      <c r="AA40" s="41">
        <v>0</v>
      </c>
      <c r="AB40" s="35">
        <v>21</v>
      </c>
      <c r="AC40" s="41">
        <v>210</v>
      </c>
      <c r="AD40" s="38">
        <v>0.3</v>
      </c>
      <c r="AE40" s="35">
        <v>0</v>
      </c>
      <c r="AF40" s="35">
        <v>0</v>
      </c>
      <c r="AG40" s="41">
        <v>0</v>
      </c>
      <c r="AH40" s="41">
        <v>0</v>
      </c>
      <c r="AI40" s="44" t="e">
        <f ca="1">VLOOKUP(tblAD[[#This Row],[Advertised SKU]],tblProduct[SKU]:tblProduct[Name],2,FALSE)</f>
        <v>#N/A</v>
      </c>
      <c r="AJ40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40" s="47">
        <f>DATE(MID(tblAD[Start Date],7,4),LEFT(tblAD[[#This Row],[Start Date]],2),MID(tblAD[[#This Row],[Start Date]],4,2))</f>
        <v>43100</v>
      </c>
      <c r="AL40" s="48" t="str">
        <f>YEAR(tblAD[[#This Row],[ADDate]])&amp;"/"&amp;MONTH(tblAD[[#This Row],[ADDate]])</f>
        <v>2017/12</v>
      </c>
    </row>
    <row r="41" s="22" customFormat="1" ht="15" spans="1:38">
      <c r="A41" s="32" t="s">
        <v>59</v>
      </c>
      <c r="B41" s="32" t="s">
        <v>60</v>
      </c>
      <c r="C41" s="33" t="s">
        <v>61</v>
      </c>
      <c r="D41" s="32" t="s">
        <v>56</v>
      </c>
      <c r="E41" s="32" t="s">
        <v>51</v>
      </c>
      <c r="F41" s="32" t="s">
        <v>67</v>
      </c>
      <c r="G41" s="32" t="s">
        <v>68</v>
      </c>
      <c r="H41" s="35">
        <v>70</v>
      </c>
      <c r="I41" s="35">
        <v>7000</v>
      </c>
      <c r="J41" s="38">
        <v>0.01</v>
      </c>
      <c r="K41" s="39">
        <v>147</v>
      </c>
      <c r="L41" s="39">
        <v>2.1</v>
      </c>
      <c r="M41" s="32" t="s">
        <v>54</v>
      </c>
      <c r="N41" s="35">
        <f>INT(tblAD[[#This Row],[Clicks]]*tblAD[[#This Row],[1-day Conversion Rate]])</f>
        <v>14</v>
      </c>
      <c r="O41" s="41">
        <f>10*tblAD[[#This Row],[1-day Orders Placed ('#)]]</f>
        <v>140</v>
      </c>
      <c r="P41" s="38">
        <v>0.2</v>
      </c>
      <c r="Q41" s="35">
        <v>14</v>
      </c>
      <c r="R41" s="35">
        <v>0</v>
      </c>
      <c r="S41" s="41">
        <v>140</v>
      </c>
      <c r="T41" s="41">
        <v>0</v>
      </c>
      <c r="U41" s="35">
        <v>18</v>
      </c>
      <c r="V41" s="41">
        <v>180</v>
      </c>
      <c r="W41" s="38">
        <v>0.25</v>
      </c>
      <c r="X41" s="35">
        <v>0</v>
      </c>
      <c r="Y41" s="35">
        <v>0</v>
      </c>
      <c r="Z41" s="41">
        <v>0</v>
      </c>
      <c r="AA41" s="41">
        <v>0</v>
      </c>
      <c r="AB41" s="35">
        <v>21</v>
      </c>
      <c r="AC41" s="41">
        <v>210</v>
      </c>
      <c r="AD41" s="38">
        <v>0.3</v>
      </c>
      <c r="AE41" s="35">
        <v>0</v>
      </c>
      <c r="AF41" s="35">
        <v>0</v>
      </c>
      <c r="AG41" s="41">
        <v>0</v>
      </c>
      <c r="AH41" s="41">
        <v>0</v>
      </c>
      <c r="AI41" s="44" t="e">
        <f ca="1">VLOOKUP(tblAD[[#This Row],[Advertised SKU]],tblProduct[SKU]:tblProduct[Name],2,FALSE)</f>
        <v>#N/A</v>
      </c>
      <c r="AJ41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41" s="47">
        <f>DATE(MID(tblAD[Start Date],7,4),LEFT(tblAD[[#This Row],[Start Date]],2),MID(tblAD[[#This Row],[Start Date]],4,2))</f>
        <v>43100</v>
      </c>
      <c r="AL41" s="48" t="str">
        <f>YEAR(tblAD[[#This Row],[ADDate]])&amp;"/"&amp;MONTH(tblAD[[#This Row],[ADDate]])</f>
        <v>2017/12</v>
      </c>
    </row>
    <row r="42" s="22" customFormat="1" ht="15" spans="1:38">
      <c r="A42" s="32" t="s">
        <v>59</v>
      </c>
      <c r="B42" s="32" t="s">
        <v>60</v>
      </c>
      <c r="C42" s="33" t="s">
        <v>61</v>
      </c>
      <c r="D42" s="32" t="s">
        <v>58</v>
      </c>
      <c r="E42" s="32" t="s">
        <v>51</v>
      </c>
      <c r="F42" s="32" t="s">
        <v>67</v>
      </c>
      <c r="G42" s="32" t="s">
        <v>68</v>
      </c>
      <c r="H42" s="35">
        <v>70</v>
      </c>
      <c r="I42" s="35">
        <v>7000</v>
      </c>
      <c r="J42" s="38">
        <v>0.01</v>
      </c>
      <c r="K42" s="39">
        <v>56</v>
      </c>
      <c r="L42" s="39">
        <v>0.8</v>
      </c>
      <c r="M42" s="32" t="s">
        <v>54</v>
      </c>
      <c r="N42" s="35">
        <f>INT(tblAD[[#This Row],[Clicks]]*tblAD[[#This Row],[1-day Conversion Rate]])</f>
        <v>14</v>
      </c>
      <c r="O42" s="41">
        <f>10*tblAD[[#This Row],[1-day Orders Placed ('#)]]</f>
        <v>140</v>
      </c>
      <c r="P42" s="38">
        <v>0.2</v>
      </c>
      <c r="Q42" s="35">
        <v>14</v>
      </c>
      <c r="R42" s="35">
        <v>0</v>
      </c>
      <c r="S42" s="41">
        <v>140</v>
      </c>
      <c r="T42" s="41">
        <v>0</v>
      </c>
      <c r="U42" s="35">
        <v>18</v>
      </c>
      <c r="V42" s="41">
        <v>180</v>
      </c>
      <c r="W42" s="38">
        <v>0.25</v>
      </c>
      <c r="X42" s="35">
        <v>0</v>
      </c>
      <c r="Y42" s="35">
        <v>0</v>
      </c>
      <c r="Z42" s="41">
        <v>0</v>
      </c>
      <c r="AA42" s="41">
        <v>0</v>
      </c>
      <c r="AB42" s="35">
        <v>21</v>
      </c>
      <c r="AC42" s="41">
        <v>210</v>
      </c>
      <c r="AD42" s="38">
        <v>0.3</v>
      </c>
      <c r="AE42" s="35">
        <v>0</v>
      </c>
      <c r="AF42" s="35">
        <v>0</v>
      </c>
      <c r="AG42" s="41">
        <v>0</v>
      </c>
      <c r="AH42" s="41">
        <v>0</v>
      </c>
      <c r="AI42" s="44" t="e">
        <f ca="1">VLOOKUP(tblAD[[#This Row],[Advertised SKU]],tblProduct[SKU]:tblProduct[Name],2,FALSE)</f>
        <v>#N/A</v>
      </c>
      <c r="AJ42" s="44" t="str">
        <f ca="1">IF(ISNA(VLOOKUP(tblAD[[#This Row],[Advertised SKU]],tblProduct[SKU]:tblProduct[ASIN1],3,FALSE)),tblAD[[#This Row],[Advertised SKU]],VLOOKUP(tblAD[[#This Row],[Advertised SKU]],tblProduct[SKU]:tblProduct[ASIN1],3,FALSE))</f>
        <v>SKU B</v>
      </c>
      <c r="AK42" s="47">
        <f>DATE(MID(tblAD[Start Date],7,4),LEFT(tblAD[[#This Row],[Start Date]],2),MID(tblAD[[#This Row],[Start Date]],4,2))</f>
        <v>43100</v>
      </c>
      <c r="AL42" s="48" t="str">
        <f>YEAR(tblAD[[#This Row],[ADDate]])&amp;"/"&amp;MONTH(tblAD[[#This Row],[ADDate]])</f>
        <v>2017/12</v>
      </c>
    </row>
  </sheetData>
  <sheetProtection formatCells="0" insertHyperlinks="0" autoFilter="0"/>
  <mergeCells count="2">
    <mergeCell ref="AI1:AJ1"/>
    <mergeCell ref="AK1:AL1"/>
  </mergeCells>
  <pageMargins left="0.699305555555556" right="0.699305555555556" top="0.75" bottom="0.75" header="0.3" footer="0.3"/>
  <pageSetup paperSize="9" orientation="portrait"/>
  <headerFooter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opLeftCell="A2" workbookViewId="0">
      <selection activeCell="B39" sqref="B39:B40"/>
    </sheetView>
  </sheetViews>
  <sheetFormatPr defaultColWidth="9" defaultRowHeight="12.75"/>
  <cols>
    <col min="1" max="1" width="14.7333333333333" style="6" customWidth="1"/>
    <col min="2" max="2" width="7.93333333333333" style="6" customWidth="1"/>
    <col min="3" max="3" width="4.8" style="6" customWidth="1"/>
    <col min="4" max="4" width="6.46666666666667" style="6" customWidth="1"/>
    <col min="5" max="5" width="8.53333333333333" style="6" customWidth="1"/>
    <col min="6" max="6" width="8.26666666666667" style="6" customWidth="1"/>
    <col min="7" max="7" width="6.46666666666667" style="6" customWidth="1"/>
    <col min="8" max="8" width="8.53333333333333" style="6" customWidth="1"/>
    <col min="9" max="9" width="6.6" style="6" customWidth="1"/>
    <col min="10" max="12" width="6.46666666666667" style="6" customWidth="1"/>
    <col min="13" max="13" width="8.53333333333333" style="6" customWidth="1"/>
    <col min="14" max="14" width="6.6" style="7" customWidth="1"/>
    <col min="15" max="17" width="6.46666666666667" style="7" customWidth="1"/>
    <col min="18" max="18" width="8.53333333333333" style="7" customWidth="1"/>
    <col min="19" max="19" width="6.6" style="7" customWidth="1"/>
    <col min="20" max="23" width="8.26666666666667" style="7" customWidth="1"/>
    <col min="24" max="25" width="10.0666666666667" style="7" customWidth="1"/>
    <col min="26" max="26" width="21.0666666666667" style="7" customWidth="1"/>
    <col min="27" max="27" width="16.6" style="7" customWidth="1"/>
    <col min="28" max="28" width="12.8666666666667" style="7" customWidth="1"/>
    <col min="29" max="29" width="16.5333333333333" style="7" customWidth="1"/>
    <col min="30" max="30" width="11.8666666666667" style="7" customWidth="1"/>
    <col min="31" max="31" width="6.2" style="7" customWidth="1"/>
    <col min="32" max="32" width="8.33333333333333" style="7" customWidth="1"/>
    <col min="33" max="33" width="18" style="7" customWidth="1"/>
    <col min="34" max="34" width="10.0666666666667" style="7" customWidth="1"/>
    <col min="35" max="35" width="14.0666666666667" style="7" customWidth="1"/>
    <col min="36" max="36" width="13.1333333333333" style="7" customWidth="1"/>
    <col min="37" max="37" width="9.2" style="7" customWidth="1"/>
    <col min="38" max="38" width="11.1333333333333" style="7" customWidth="1"/>
    <col min="39" max="39" width="14.8" style="7" customWidth="1"/>
    <col min="40" max="40" width="15.9333333333333" style="7" customWidth="1"/>
    <col min="41" max="41" width="12.2666666666667" style="7" customWidth="1"/>
    <col min="42" max="42" width="8.06666666666667" style="7" customWidth="1"/>
    <col min="43" max="43" width="15.9333333333333" style="7" customWidth="1"/>
    <col min="44" max="44" width="14.4666666666667" style="7" customWidth="1"/>
    <col min="45" max="45" width="13.9333333333333" style="7" customWidth="1"/>
    <col min="46" max="46" width="11" style="7" customWidth="1"/>
    <col min="47" max="47" width="15.6666666666667" style="7" customWidth="1"/>
    <col min="48" max="48" width="7.6" style="7" customWidth="1"/>
    <col min="49" max="49" width="14.7333333333333" style="7" customWidth="1"/>
    <col min="50" max="50" width="13.1333333333333" style="7" customWidth="1"/>
    <col min="51" max="51" width="10.8666666666667" style="7" customWidth="1"/>
    <col min="52" max="52" width="16" style="7" customWidth="1"/>
    <col min="53" max="53" width="14.9333333333333" style="7" customWidth="1"/>
    <col min="54" max="54" width="13.2" style="7" customWidth="1"/>
    <col min="55" max="55" width="13" style="7" customWidth="1"/>
    <col min="56" max="56" width="14" style="7" customWidth="1"/>
    <col min="57" max="57" width="13.4" style="7" customWidth="1"/>
    <col min="58" max="58" width="16.4666666666667" style="7" customWidth="1"/>
    <col min="59" max="59" width="17" style="7" customWidth="1"/>
    <col min="60" max="60" width="22.6666666666667" style="7" customWidth="1"/>
    <col min="61" max="61" width="12.4" style="7" customWidth="1"/>
    <col min="62" max="62" width="14" style="7" customWidth="1"/>
    <col min="63" max="63" width="11.8" style="7" customWidth="1"/>
    <col min="64" max="64" width="8.06666666666667" style="7" customWidth="1"/>
    <col min="65" max="65" width="21" style="7" customWidth="1"/>
    <col min="66" max="66" width="15.8" style="7" customWidth="1"/>
    <col min="67" max="67" width="14" style="7" customWidth="1"/>
    <col min="68" max="68" width="15.5333333333333" style="7" customWidth="1"/>
    <col min="69" max="69" width="13.1333333333333" style="7" customWidth="1"/>
    <col min="70" max="70" width="14.8666666666667" style="7" customWidth="1"/>
    <col min="71" max="71" width="18.8666666666667" style="7" customWidth="1"/>
    <col min="72" max="72" width="15.4666666666667" style="7" customWidth="1"/>
    <col min="73" max="73" width="10.8666666666667" style="7" customWidth="1"/>
    <col min="74" max="74" width="13.9333333333333" style="7" customWidth="1"/>
    <col min="75" max="75" width="18.9333333333333" style="7" customWidth="1"/>
    <col min="76" max="76" width="16.3333333333333" style="7" customWidth="1"/>
    <col min="77" max="77" width="22.4666666666667" style="7" customWidth="1"/>
    <col min="78" max="78" width="16.2" style="7" customWidth="1"/>
    <col min="79" max="79" width="22.4666666666667" style="7" customWidth="1"/>
    <col min="80" max="80" width="10.8666666666667" style="7" customWidth="1"/>
    <col min="81" max="81" width="12.5333333333333" style="7" customWidth="1"/>
    <col min="82" max="82" width="14.2" style="7" customWidth="1"/>
    <col min="83" max="83" width="8.93333333333333" style="7" customWidth="1"/>
    <col min="84" max="84" width="20.4" style="7" customWidth="1"/>
    <col min="85" max="85" width="15.4666666666667" style="7" customWidth="1"/>
    <col min="86" max="86" width="12.4666666666667" style="7" customWidth="1"/>
    <col min="87" max="87" width="10.5333333333333" style="7" customWidth="1"/>
    <col min="88" max="88" width="13.5333333333333" style="7" customWidth="1"/>
    <col min="89" max="89" width="14.5333333333333" style="7" customWidth="1"/>
    <col min="90" max="90" width="15.3333333333333" style="7" customWidth="1"/>
    <col min="91" max="91" width="21.6666666666667" style="7" customWidth="1"/>
    <col min="92" max="92" width="21" style="7" customWidth="1"/>
    <col min="93" max="93" width="12.5333333333333" style="7" customWidth="1"/>
    <col min="94" max="94" width="18" style="7" customWidth="1"/>
    <col min="95" max="95" width="13.4666666666667" style="7" customWidth="1"/>
    <col min="96" max="96" width="19.5333333333333" style="7" customWidth="1"/>
    <col min="97" max="97" width="16.6666666666667" style="7" customWidth="1"/>
    <col min="98" max="98" width="4.66666666666667" style="7" customWidth="1"/>
    <col min="99" max="99" width="20.8666666666667" style="7" customWidth="1"/>
    <col min="100" max="100" width="4.73333333333333" style="7" customWidth="1"/>
    <col min="101" max="101" width="17.1333333333333" style="7" customWidth="1"/>
    <col min="102" max="102" width="8.46666666666667" style="7" customWidth="1"/>
    <col min="103" max="103" width="11.4" style="7" customWidth="1"/>
    <col min="104" max="104" width="15.4" style="7" customWidth="1"/>
    <col min="105" max="105" width="14.5333333333333" style="7" customWidth="1"/>
    <col min="106" max="106" width="8.6" style="7" customWidth="1"/>
    <col min="107" max="107" width="16.7333333333333" style="7" customWidth="1"/>
    <col min="108" max="108" width="6.46666666666667" style="7" customWidth="1"/>
    <col min="109" max="109" width="11.4" style="7" customWidth="1"/>
    <col min="110" max="110" width="14.5333333333333" style="7" customWidth="1"/>
    <col min="111" max="111" width="17.8666666666667" style="7" customWidth="1"/>
    <col min="112" max="112" width="9.33333333333333" style="7" customWidth="1"/>
    <col min="113" max="113" width="13.3333333333333" style="7" customWidth="1"/>
    <col min="114" max="114" width="4.73333333333333" style="7" customWidth="1"/>
    <col min="115" max="115" width="7.6" style="7" customWidth="1"/>
    <col min="116" max="116" width="8.46666666666667" style="7" customWidth="1"/>
    <col min="117" max="117" width="14.6" style="7" customWidth="1"/>
    <col min="118" max="118" width="11.2666666666667" style="7" customWidth="1"/>
    <col min="119" max="119" width="10.5333333333333" style="7" customWidth="1"/>
    <col min="120" max="120" width="17.8" style="7" customWidth="1"/>
    <col min="121" max="121" width="12.0666666666667" style="7" customWidth="1"/>
    <col min="122" max="122" width="21.0666666666667" style="7" customWidth="1"/>
    <col min="123" max="123" width="16.6" style="7" customWidth="1"/>
    <col min="124" max="124" width="12.8666666666667" style="7" customWidth="1"/>
    <col min="125" max="125" width="16.5333333333333" style="7" customWidth="1"/>
    <col min="126" max="126" width="11.8666666666667" style="7" customWidth="1"/>
    <col min="127" max="127" width="6.2" style="7" customWidth="1"/>
    <col min="128" max="128" width="8.33333333333333" style="7" customWidth="1"/>
    <col min="129" max="129" width="18" style="7" customWidth="1"/>
    <col min="130" max="130" width="10.0666666666667" style="7" customWidth="1"/>
    <col min="131" max="131" width="14.0666666666667" style="7" customWidth="1"/>
    <col min="132" max="132" width="13.1333333333333" style="7" customWidth="1"/>
    <col min="133" max="133" width="9.2" style="7" customWidth="1"/>
    <col min="134" max="134" width="11.1333333333333" style="7" customWidth="1"/>
    <col min="135" max="135" width="14.8" style="7" customWidth="1"/>
    <col min="136" max="136" width="15.9333333333333" style="7" customWidth="1"/>
    <col min="137" max="137" width="12.2666666666667" style="7" customWidth="1"/>
    <col min="138" max="138" width="8.06666666666667" style="7" customWidth="1"/>
    <col min="139" max="139" width="15.9333333333333" style="7" customWidth="1"/>
    <col min="140" max="140" width="14.4666666666667" style="7" customWidth="1"/>
    <col min="141" max="141" width="13.9333333333333" style="7" customWidth="1"/>
    <col min="142" max="142" width="11" style="7" customWidth="1"/>
    <col min="143" max="143" width="15.6666666666667" style="7" customWidth="1"/>
    <col min="144" max="144" width="7.6" style="7" customWidth="1"/>
    <col min="145" max="145" width="14.7333333333333" style="7" customWidth="1"/>
    <col min="146" max="146" width="13.1333333333333" style="7" customWidth="1"/>
    <col min="147" max="147" width="10.8666666666667" style="7" customWidth="1"/>
    <col min="148" max="148" width="16" style="7" customWidth="1"/>
    <col min="149" max="149" width="14.9333333333333" style="7" customWidth="1"/>
    <col min="150" max="150" width="13.2" style="7" customWidth="1"/>
    <col min="151" max="151" width="13" style="7" customWidth="1"/>
    <col min="152" max="152" width="14" style="7" customWidth="1"/>
    <col min="153" max="153" width="13.4" style="7" customWidth="1"/>
    <col min="154" max="154" width="16.4666666666667" style="7" customWidth="1"/>
    <col min="155" max="155" width="17" style="7" customWidth="1"/>
    <col min="156" max="156" width="22.6666666666667" style="7" customWidth="1"/>
    <col min="157" max="157" width="12.4" style="7" customWidth="1"/>
    <col min="158" max="158" width="14" style="7" customWidth="1"/>
    <col min="159" max="159" width="11.8" style="7" customWidth="1"/>
    <col min="160" max="160" width="8.06666666666667" style="7" customWidth="1"/>
    <col min="161" max="161" width="21" style="7" customWidth="1"/>
    <col min="162" max="162" width="15.8" style="7" customWidth="1"/>
    <col min="163" max="163" width="14" style="7" customWidth="1"/>
    <col min="164" max="164" width="15.5333333333333" style="7" customWidth="1"/>
    <col min="165" max="165" width="13.1333333333333" style="7" customWidth="1"/>
    <col min="166" max="166" width="14.8666666666667" style="7" customWidth="1"/>
    <col min="167" max="167" width="18.8666666666667" style="7" customWidth="1"/>
    <col min="168" max="168" width="15.4666666666667" style="7" customWidth="1"/>
    <col min="169" max="169" width="10.8666666666667" style="7" customWidth="1"/>
    <col min="170" max="170" width="13.9333333333333" style="7" customWidth="1"/>
    <col min="171" max="171" width="18.9333333333333" style="7" customWidth="1"/>
    <col min="172" max="172" width="16.3333333333333" style="7" customWidth="1"/>
    <col min="173" max="173" width="22.4666666666667" style="7" customWidth="1"/>
    <col min="174" max="174" width="16.2" style="7" customWidth="1"/>
    <col min="175" max="175" width="22.4666666666667" style="7" customWidth="1"/>
    <col min="176" max="176" width="10.8666666666667" style="7" customWidth="1"/>
    <col min="177" max="177" width="12.5333333333333" style="7" customWidth="1"/>
    <col min="178" max="178" width="14.2" style="7" customWidth="1"/>
    <col min="179" max="179" width="8.93333333333333" style="7" customWidth="1"/>
    <col min="180" max="180" width="20.4" style="7" customWidth="1"/>
    <col min="181" max="181" width="15.4666666666667" style="7" customWidth="1"/>
    <col min="182" max="182" width="12.4666666666667" style="7" customWidth="1"/>
    <col min="183" max="183" width="10.5333333333333" style="7" customWidth="1"/>
    <col min="184" max="184" width="13.5333333333333" style="7" customWidth="1"/>
    <col min="185" max="185" width="14.5333333333333" style="7" customWidth="1"/>
    <col min="186" max="186" width="15.3333333333333" style="7" customWidth="1"/>
    <col min="187" max="187" width="21.6666666666667" style="7" customWidth="1"/>
    <col min="188" max="188" width="21" style="7" customWidth="1"/>
    <col min="189" max="189" width="12.5333333333333" style="7" customWidth="1"/>
    <col min="190" max="190" width="18" style="7" customWidth="1"/>
    <col min="191" max="191" width="13.4666666666667" style="7" customWidth="1"/>
    <col min="192" max="192" width="19.5333333333333" style="7" customWidth="1"/>
    <col min="193" max="193" width="16.6666666666667" style="7" customWidth="1"/>
    <col min="194" max="194" width="6.46666666666667" style="7" customWidth="1"/>
    <col min="195" max="195" width="20.8666666666667" style="7" customWidth="1"/>
    <col min="196" max="196" width="5.66666666666667" style="7" customWidth="1"/>
    <col min="197" max="197" width="17.1333333333333" style="7" customWidth="1"/>
    <col min="198" max="198" width="8.46666666666667" style="7" customWidth="1"/>
    <col min="199" max="199" width="11.4" style="7" customWidth="1"/>
    <col min="200" max="200" width="15.4" style="7" customWidth="1"/>
    <col min="201" max="201" width="14.5333333333333" style="7" customWidth="1"/>
    <col min="202" max="202" width="8.6" style="7" customWidth="1"/>
    <col min="203" max="203" width="16.7333333333333" style="7" customWidth="1"/>
    <col min="204" max="204" width="6.46666666666667" style="7" customWidth="1"/>
    <col min="205" max="205" width="11.4" style="7" customWidth="1"/>
    <col min="206" max="206" width="14.5333333333333" style="7" customWidth="1"/>
    <col min="207" max="207" width="17.8666666666667" style="7" customWidth="1"/>
    <col min="208" max="208" width="9.33333333333333" style="7" customWidth="1"/>
    <col min="209" max="209" width="13.3333333333333" style="7" customWidth="1"/>
    <col min="210" max="210" width="5.66666666666667" style="7" customWidth="1"/>
    <col min="211" max="211" width="7.6" style="7" customWidth="1"/>
    <col min="212" max="212" width="8.46666666666667" style="7" customWidth="1"/>
    <col min="213" max="213" width="14.6" style="7" customWidth="1"/>
    <col min="214" max="214" width="11.2666666666667" style="7" customWidth="1"/>
    <col min="215" max="215" width="10.5333333333333" style="7" customWidth="1"/>
    <col min="216" max="216" width="17.8" style="7" customWidth="1"/>
    <col min="217" max="217" width="12.0666666666667" style="7" customWidth="1"/>
    <col min="218" max="218" width="21.0666666666667" style="7" customWidth="1"/>
    <col min="219" max="219" width="16.6" style="7" customWidth="1"/>
    <col min="220" max="220" width="12.8666666666667" style="7" customWidth="1"/>
    <col min="221" max="221" width="16.5333333333333" style="7" customWidth="1"/>
    <col min="222" max="222" width="11.8666666666667" style="7" customWidth="1"/>
    <col min="223" max="223" width="6.2" style="7" customWidth="1"/>
    <col min="224" max="224" width="8.33333333333333" style="7" customWidth="1"/>
    <col min="225" max="225" width="18" style="7" customWidth="1"/>
    <col min="226" max="226" width="10.0666666666667" style="7" customWidth="1"/>
    <col min="227" max="227" width="14.0666666666667" style="7" customWidth="1"/>
    <col min="228" max="228" width="13.1333333333333" style="7" customWidth="1"/>
    <col min="229" max="229" width="9.2" style="7" customWidth="1"/>
    <col min="230" max="230" width="11.1333333333333" style="7" customWidth="1"/>
    <col min="231" max="231" width="14.8" style="7" customWidth="1"/>
    <col min="232" max="232" width="15.9333333333333" style="7" customWidth="1"/>
    <col min="233" max="233" width="12.2666666666667" style="7" customWidth="1"/>
    <col min="234" max="234" width="8.06666666666667" style="7" customWidth="1"/>
    <col min="235" max="235" width="15.9333333333333" style="7" customWidth="1"/>
    <col min="236" max="236" width="14.4666666666667" style="7" customWidth="1"/>
    <col min="237" max="237" width="13.9333333333333" style="7" customWidth="1"/>
    <col min="238" max="238" width="11" style="7" customWidth="1"/>
    <col min="239" max="239" width="15.6666666666667" style="7" customWidth="1"/>
    <col min="240" max="240" width="7.6" style="7" customWidth="1"/>
    <col min="241" max="241" width="14.7333333333333" style="7" customWidth="1"/>
    <col min="242" max="242" width="13.1333333333333" style="7" customWidth="1"/>
    <col min="243" max="243" width="10.8666666666667" style="7" customWidth="1"/>
    <col min="244" max="244" width="16" style="7" customWidth="1"/>
    <col min="245" max="245" width="14.9333333333333" style="7" customWidth="1"/>
    <col min="246" max="246" width="13.2" style="7" customWidth="1"/>
    <col min="247" max="247" width="13" style="7" customWidth="1"/>
    <col min="248" max="248" width="14" style="7" customWidth="1"/>
    <col min="249" max="249" width="13.4" style="7" customWidth="1"/>
    <col min="250" max="250" width="16.4666666666667" style="7" customWidth="1"/>
    <col min="251" max="251" width="17" style="7" customWidth="1"/>
    <col min="252" max="252" width="22.6666666666667" style="7" customWidth="1"/>
    <col min="253" max="253" width="12.4" style="7" customWidth="1"/>
    <col min="254" max="254" width="14" style="7" customWidth="1"/>
    <col min="255" max="255" width="11.8" style="7" customWidth="1"/>
    <col min="256" max="256" width="8.06666666666667" style="7" customWidth="1"/>
    <col min="257" max="257" width="21" style="7" customWidth="1"/>
    <col min="258" max="258" width="15.8" style="7" customWidth="1"/>
    <col min="259" max="259" width="14" style="7" customWidth="1"/>
    <col min="260" max="260" width="15.5333333333333" style="7" customWidth="1"/>
    <col min="261" max="261" width="13.1333333333333" style="7" customWidth="1"/>
    <col min="262" max="262" width="14.8666666666667" style="7" customWidth="1"/>
    <col min="263" max="263" width="18.8666666666667" style="7" customWidth="1"/>
    <col min="264" max="264" width="15.4666666666667" style="7" customWidth="1"/>
    <col min="265" max="265" width="10.8666666666667" style="7" customWidth="1"/>
    <col min="266" max="266" width="13.9333333333333" style="7" customWidth="1"/>
    <col min="267" max="267" width="18.9333333333333" style="7" customWidth="1"/>
    <col min="268" max="268" width="16.3333333333333" style="7" customWidth="1"/>
    <col min="269" max="269" width="22.4666666666667" style="7" customWidth="1"/>
    <col min="270" max="270" width="16.2" style="7" customWidth="1"/>
    <col min="271" max="271" width="22.4666666666667" style="7" customWidth="1"/>
    <col min="272" max="272" width="10.8666666666667" style="7" customWidth="1"/>
    <col min="273" max="273" width="12.5333333333333" style="7" customWidth="1"/>
    <col min="274" max="274" width="14.2" style="7" customWidth="1"/>
    <col min="275" max="275" width="8.93333333333333" style="7" customWidth="1"/>
    <col min="276" max="276" width="20.4" style="7" customWidth="1"/>
    <col min="277" max="277" width="15.4666666666667" style="7" customWidth="1"/>
    <col min="278" max="278" width="12.4666666666667" style="7" customWidth="1"/>
    <col min="279" max="279" width="10.5333333333333" style="7" customWidth="1"/>
    <col min="280" max="280" width="13.5333333333333" style="7" customWidth="1"/>
    <col min="281" max="281" width="14.5333333333333" style="7" customWidth="1"/>
    <col min="282" max="282" width="15.3333333333333" style="7" customWidth="1"/>
    <col min="283" max="283" width="21.6666666666667" style="7" customWidth="1"/>
    <col min="284" max="284" width="21" style="7" customWidth="1"/>
    <col min="285" max="285" width="12.5333333333333" style="7" customWidth="1"/>
    <col min="286" max="286" width="18" style="7" customWidth="1"/>
    <col min="287" max="287" width="13.4666666666667" style="7" customWidth="1"/>
    <col min="288" max="288" width="19.5333333333333" style="7" customWidth="1"/>
    <col min="289" max="289" width="16.6666666666667" style="7" customWidth="1"/>
    <col min="290" max="290" width="6.2" style="7" customWidth="1"/>
    <col min="291" max="291" width="20.8666666666667" style="7" customWidth="1"/>
    <col min="292" max="292" width="5.26666666666667" style="7" customWidth="1"/>
    <col min="293" max="293" width="17.1333333333333" style="7" customWidth="1"/>
    <col min="294" max="294" width="8.46666666666667" style="7" customWidth="1"/>
    <col min="295" max="295" width="11.4" style="7" customWidth="1"/>
    <col min="296" max="296" width="15.4" style="7" customWidth="1"/>
    <col min="297" max="297" width="14.5333333333333" style="7" customWidth="1"/>
    <col min="298" max="298" width="8.6" style="7" customWidth="1"/>
    <col min="299" max="299" width="16.7333333333333" style="7" customWidth="1"/>
    <col min="300" max="300" width="6.46666666666667" style="7" customWidth="1"/>
    <col min="301" max="301" width="11.4" style="7" customWidth="1"/>
    <col min="302" max="302" width="14.5333333333333" style="7" customWidth="1"/>
    <col min="303" max="303" width="17.8666666666667" style="7" customWidth="1"/>
    <col min="304" max="304" width="9.33333333333333" style="7" customWidth="1"/>
    <col min="305" max="305" width="13.3333333333333" style="7" customWidth="1"/>
    <col min="306" max="306" width="5.26666666666667" style="7" customWidth="1"/>
    <col min="307" max="307" width="7.6" style="7" customWidth="1"/>
    <col min="308" max="308" width="8.46666666666667" style="7" customWidth="1"/>
    <col min="309" max="309" width="14.6" style="7" customWidth="1"/>
    <col min="310" max="310" width="11.2666666666667" style="7" customWidth="1"/>
    <col min="311" max="311" width="10.5333333333333" style="7" customWidth="1"/>
    <col min="312" max="312" width="17.8" style="7" customWidth="1"/>
    <col min="313" max="313" width="12.0666666666667" style="7" customWidth="1"/>
    <col min="314" max="314" width="21.0666666666667" style="7" customWidth="1"/>
    <col min="315" max="315" width="16.6" style="7" customWidth="1"/>
    <col min="316" max="316" width="12.8666666666667" style="7" customWidth="1"/>
    <col min="317" max="317" width="16.5333333333333" style="7" customWidth="1"/>
    <col min="318" max="318" width="11.8666666666667" style="7" customWidth="1"/>
    <col min="319" max="319" width="6.2" style="7" customWidth="1"/>
    <col min="320" max="320" width="8.33333333333333" style="7" customWidth="1"/>
    <col min="321" max="321" width="18" style="7" customWidth="1"/>
    <col min="322" max="322" width="10.0666666666667" style="7" customWidth="1"/>
    <col min="323" max="323" width="14.0666666666667" style="7" customWidth="1"/>
    <col min="324" max="324" width="13.1333333333333" style="7" customWidth="1"/>
    <col min="325" max="325" width="9.2" style="7" customWidth="1"/>
    <col min="326" max="326" width="11.1333333333333" style="7" customWidth="1"/>
    <col min="327" max="327" width="14.8" style="7" customWidth="1"/>
    <col min="328" max="328" width="15.9333333333333" style="7" customWidth="1"/>
    <col min="329" max="329" width="12.2666666666667" style="7" customWidth="1"/>
    <col min="330" max="330" width="8.06666666666667" style="7" customWidth="1"/>
    <col min="331" max="331" width="15.9333333333333" style="7" customWidth="1"/>
    <col min="332" max="332" width="14.4666666666667" style="7" customWidth="1"/>
    <col min="333" max="333" width="13.9333333333333" style="7" customWidth="1"/>
    <col min="334" max="334" width="11" style="7" customWidth="1"/>
    <col min="335" max="335" width="15.6666666666667" style="7" customWidth="1"/>
    <col min="336" max="336" width="7.6" style="7" customWidth="1"/>
    <col min="337" max="337" width="14.7333333333333" style="7" customWidth="1"/>
    <col min="338" max="338" width="13.1333333333333" style="7" customWidth="1"/>
    <col min="339" max="339" width="10.8666666666667" style="7" customWidth="1"/>
    <col min="340" max="340" width="16" style="7" customWidth="1"/>
    <col min="341" max="341" width="14.9333333333333" style="7" customWidth="1"/>
    <col min="342" max="342" width="13.2" style="7" customWidth="1"/>
    <col min="343" max="343" width="13" style="7" customWidth="1"/>
    <col min="344" max="344" width="14" style="7" customWidth="1"/>
    <col min="345" max="345" width="13.4" style="7" customWidth="1"/>
    <col min="346" max="346" width="16.4666666666667" style="7" customWidth="1"/>
    <col min="347" max="347" width="17" style="7" customWidth="1"/>
    <col min="348" max="348" width="22.6666666666667" style="7" customWidth="1"/>
    <col min="349" max="349" width="12.4" style="7" customWidth="1"/>
    <col min="350" max="350" width="14" style="7" customWidth="1"/>
    <col min="351" max="351" width="11.8" style="7" customWidth="1"/>
    <col min="352" max="352" width="8.06666666666667" style="7" customWidth="1"/>
    <col min="353" max="353" width="21" style="7" customWidth="1"/>
    <col min="354" max="354" width="15.8" style="7" customWidth="1"/>
    <col min="355" max="355" width="14" style="7" customWidth="1"/>
    <col min="356" max="356" width="15.5333333333333" style="7" customWidth="1"/>
    <col min="357" max="357" width="13.1333333333333" style="7" customWidth="1"/>
    <col min="358" max="358" width="14.8666666666667" style="7" customWidth="1"/>
    <col min="359" max="359" width="18.8666666666667" style="7" customWidth="1"/>
    <col min="360" max="360" width="15.4666666666667" style="7" customWidth="1"/>
    <col min="361" max="361" width="10.8666666666667" style="7" customWidth="1"/>
    <col min="362" max="362" width="13.9333333333333" style="7" customWidth="1"/>
    <col min="363" max="363" width="18.9333333333333" style="7" customWidth="1"/>
    <col min="364" max="364" width="16.3333333333333" style="7" customWidth="1"/>
    <col min="365" max="365" width="22.4666666666667" style="7" customWidth="1"/>
    <col min="366" max="366" width="16.2" style="7" customWidth="1"/>
    <col min="367" max="367" width="22.4666666666667" style="7" customWidth="1"/>
    <col min="368" max="368" width="10.8666666666667" style="7" customWidth="1"/>
    <col min="369" max="369" width="12.5333333333333" style="7" customWidth="1"/>
    <col min="370" max="370" width="14.2" style="7" customWidth="1"/>
    <col min="371" max="371" width="8.93333333333333" style="7" customWidth="1"/>
    <col min="372" max="372" width="20.4" style="7" customWidth="1"/>
    <col min="373" max="373" width="15.4666666666667" style="7" customWidth="1"/>
    <col min="374" max="374" width="12.4666666666667" style="7" customWidth="1"/>
    <col min="375" max="375" width="10.5333333333333" style="7" customWidth="1"/>
    <col min="376" max="376" width="13.5333333333333" style="7" customWidth="1"/>
    <col min="377" max="377" width="14.5333333333333" style="7" customWidth="1"/>
    <col min="378" max="378" width="15.3333333333333" style="7" customWidth="1"/>
    <col min="379" max="379" width="21.6666666666667" style="7" customWidth="1"/>
    <col min="380" max="380" width="21" style="7" customWidth="1"/>
    <col min="381" max="381" width="12.5333333333333" style="7" customWidth="1"/>
    <col min="382" max="382" width="18" style="7" customWidth="1"/>
    <col min="383" max="383" width="13.4666666666667" style="7" customWidth="1"/>
    <col min="384" max="384" width="19.5333333333333" style="7" customWidth="1"/>
    <col min="385" max="385" width="16.6666666666667" style="7" customWidth="1"/>
    <col min="386" max="386" width="8.26666666666667" style="7" customWidth="1"/>
    <col min="387" max="387" width="20.8666666666667" style="7" customWidth="1"/>
    <col min="388" max="388" width="5.26666666666667" style="7" customWidth="1"/>
    <col min="389" max="389" width="17.1333333333333" style="7" customWidth="1"/>
    <col min="390" max="390" width="8.46666666666667" style="7" customWidth="1"/>
    <col min="391" max="391" width="11.4" style="7" customWidth="1"/>
    <col min="392" max="392" width="15.4" style="7" customWidth="1"/>
    <col min="393" max="393" width="14.5333333333333" style="7" customWidth="1"/>
    <col min="394" max="394" width="8.6" style="7" customWidth="1"/>
    <col min="395" max="395" width="16.7333333333333" style="7" customWidth="1"/>
    <col min="396" max="396" width="6.46666666666667" style="7" customWidth="1"/>
    <col min="397" max="397" width="11.4" style="7" customWidth="1"/>
    <col min="398" max="398" width="14.5333333333333" style="7" customWidth="1"/>
    <col min="399" max="399" width="17.8666666666667" style="7" customWidth="1"/>
    <col min="400" max="400" width="9.33333333333333" style="7" customWidth="1"/>
    <col min="401" max="401" width="13.3333333333333" style="7" customWidth="1"/>
    <col min="402" max="402" width="5.26666666666667" style="7" customWidth="1"/>
    <col min="403" max="403" width="7.6" style="7" customWidth="1"/>
    <col min="404" max="404" width="8.46666666666667" style="7" customWidth="1"/>
    <col min="405" max="405" width="14.6" style="7" customWidth="1"/>
    <col min="406" max="406" width="11.2666666666667" style="7" customWidth="1"/>
    <col min="407" max="407" width="10.5333333333333" style="7" customWidth="1"/>
    <col min="408" max="408" width="17.8" style="7" customWidth="1"/>
    <col min="409" max="409" width="12.0666666666667" style="7" customWidth="1"/>
    <col min="410" max="410" width="21.0666666666667" style="7" customWidth="1"/>
    <col min="411" max="411" width="16.6" style="7" customWidth="1"/>
    <col min="412" max="412" width="12.8666666666667" style="7" customWidth="1"/>
    <col min="413" max="413" width="16.5333333333333" style="7" customWidth="1"/>
    <col min="414" max="414" width="11.8666666666667" style="7" customWidth="1"/>
    <col min="415" max="415" width="6.2" style="7" customWidth="1"/>
    <col min="416" max="416" width="8.33333333333333" style="7" customWidth="1"/>
    <col min="417" max="417" width="18" style="7" customWidth="1"/>
    <col min="418" max="418" width="10.0666666666667" style="7" customWidth="1"/>
    <col min="419" max="419" width="14.0666666666667" style="7" customWidth="1"/>
    <col min="420" max="420" width="13.1333333333333" style="7" customWidth="1"/>
    <col min="421" max="421" width="9.2" style="7" customWidth="1"/>
    <col min="422" max="422" width="11.1333333333333" style="7" customWidth="1"/>
    <col min="423" max="423" width="14.8" style="7" customWidth="1"/>
    <col min="424" max="424" width="15.9333333333333" style="7" customWidth="1"/>
    <col min="425" max="425" width="12.2666666666667" style="7" customWidth="1"/>
    <col min="426" max="426" width="8.06666666666667" style="7" customWidth="1"/>
    <col min="427" max="427" width="15.9333333333333" style="7" customWidth="1"/>
    <col min="428" max="428" width="14.4666666666667" style="7" customWidth="1"/>
    <col min="429" max="429" width="13.9333333333333" style="7" customWidth="1"/>
    <col min="430" max="430" width="11" style="7" customWidth="1"/>
    <col min="431" max="431" width="15.6666666666667" style="7" customWidth="1"/>
    <col min="432" max="432" width="7.6" style="7" customWidth="1"/>
    <col min="433" max="433" width="14.7333333333333" style="7" customWidth="1"/>
    <col min="434" max="434" width="13.1333333333333" style="7" customWidth="1"/>
    <col min="435" max="435" width="10.8666666666667" style="7" customWidth="1"/>
    <col min="436" max="436" width="16" style="7" customWidth="1"/>
    <col min="437" max="437" width="14.9333333333333" style="7" customWidth="1"/>
    <col min="438" max="438" width="13.2" style="7" customWidth="1"/>
    <col min="439" max="439" width="13" style="7" customWidth="1"/>
    <col min="440" max="440" width="14" style="7" customWidth="1"/>
    <col min="441" max="441" width="13.4" style="7" customWidth="1"/>
    <col min="442" max="442" width="16.4666666666667" style="7" customWidth="1"/>
    <col min="443" max="443" width="17" style="7" customWidth="1"/>
    <col min="444" max="444" width="22.6666666666667" style="7" customWidth="1"/>
    <col min="445" max="445" width="12.4" style="7" customWidth="1"/>
    <col min="446" max="446" width="14" style="7" customWidth="1"/>
    <col min="447" max="447" width="11.8" style="7" customWidth="1"/>
    <col min="448" max="448" width="8.06666666666667" style="7" customWidth="1"/>
    <col min="449" max="449" width="21" style="7" customWidth="1"/>
    <col min="450" max="450" width="15.8" style="7" customWidth="1"/>
    <col min="451" max="451" width="14" style="7" customWidth="1"/>
    <col min="452" max="452" width="15.5333333333333" style="7" customWidth="1"/>
    <col min="453" max="453" width="13.1333333333333" style="7" customWidth="1"/>
    <col min="454" max="454" width="14.8666666666667" style="7" customWidth="1"/>
    <col min="455" max="455" width="18.8666666666667" style="7" customWidth="1"/>
    <col min="456" max="456" width="15.4666666666667" style="7" customWidth="1"/>
    <col min="457" max="457" width="10.8666666666667" style="7" customWidth="1"/>
    <col min="458" max="458" width="13.9333333333333" style="7" customWidth="1"/>
    <col min="459" max="459" width="18.9333333333333" style="7" customWidth="1"/>
    <col min="460" max="460" width="16.3333333333333" style="7" customWidth="1"/>
    <col min="461" max="461" width="22.4666666666667" style="7" customWidth="1"/>
    <col min="462" max="462" width="16.2" style="7" customWidth="1"/>
    <col min="463" max="463" width="22.4666666666667" style="7" customWidth="1"/>
    <col min="464" max="464" width="10.8666666666667" style="7" customWidth="1"/>
    <col min="465" max="465" width="12.5333333333333" style="7" customWidth="1"/>
    <col min="466" max="466" width="14.2" style="7" customWidth="1"/>
    <col min="467" max="467" width="8.93333333333333" style="7" customWidth="1"/>
    <col min="468" max="468" width="20.4" style="7" customWidth="1"/>
    <col min="469" max="469" width="15.4666666666667" style="7" customWidth="1"/>
    <col min="470" max="470" width="12.4666666666667" style="7" customWidth="1"/>
    <col min="471" max="471" width="10.5333333333333" style="7" customWidth="1"/>
    <col min="472" max="472" width="13.5333333333333" style="7" customWidth="1"/>
    <col min="473" max="473" width="14.5333333333333" style="7" customWidth="1"/>
    <col min="474" max="474" width="15.3333333333333" style="7" customWidth="1"/>
    <col min="475" max="475" width="21.6666666666667" style="7" customWidth="1"/>
    <col min="476" max="476" width="21" style="7" customWidth="1"/>
    <col min="477" max="477" width="12.5333333333333" style="7" customWidth="1"/>
    <col min="478" max="478" width="18" style="7" customWidth="1"/>
    <col min="479" max="479" width="13.4666666666667" style="7" customWidth="1"/>
    <col min="480" max="480" width="19.5333333333333" style="7" customWidth="1"/>
    <col min="481" max="481" width="16.6666666666667" style="7" customWidth="1"/>
    <col min="482" max="482" width="6.46666666666667" style="7" customWidth="1"/>
    <col min="483" max="483" width="20.8666666666667" style="7" customWidth="1"/>
    <col min="484" max="484" width="4.73333333333333" style="7" customWidth="1"/>
    <col min="485" max="485" width="17.1333333333333" style="7" customWidth="1"/>
    <col min="486" max="486" width="8.46666666666667" style="7" customWidth="1"/>
    <col min="487" max="487" width="11.4" style="7" customWidth="1"/>
    <col min="488" max="488" width="15.4" style="7" customWidth="1"/>
    <col min="489" max="489" width="14.5333333333333" style="7" customWidth="1"/>
    <col min="490" max="490" width="8.6" style="7" customWidth="1"/>
    <col min="491" max="491" width="16.7333333333333" style="7" customWidth="1"/>
    <col min="492" max="492" width="6.46666666666667" style="7" customWidth="1"/>
    <col min="493" max="493" width="11.4" style="7" customWidth="1"/>
    <col min="494" max="494" width="14.5333333333333" style="7" customWidth="1"/>
    <col min="495" max="495" width="17.8666666666667" style="7" customWidth="1"/>
    <col min="496" max="496" width="9.33333333333333" style="7" customWidth="1"/>
    <col min="497" max="497" width="13.3333333333333" style="7" customWidth="1"/>
    <col min="498" max="498" width="4.73333333333333" style="7" customWidth="1"/>
    <col min="499" max="499" width="7.6" style="7" customWidth="1"/>
    <col min="500" max="500" width="8.46666666666667" style="7" customWidth="1"/>
    <col min="501" max="501" width="14.6" style="7" customWidth="1"/>
    <col min="502" max="502" width="11.2666666666667" style="7" customWidth="1"/>
    <col min="503" max="503" width="10.5333333333333" style="7" customWidth="1"/>
    <col min="504" max="504" width="17.8" style="7" customWidth="1"/>
    <col min="505" max="505" width="12.0666666666667" style="7" customWidth="1"/>
    <col min="506" max="506" width="21.0666666666667" style="7" customWidth="1"/>
    <col min="507" max="507" width="16.6" style="7" customWidth="1"/>
    <col min="508" max="508" width="12.8666666666667" style="7" customWidth="1"/>
    <col min="509" max="509" width="16.5333333333333" style="7" customWidth="1"/>
    <col min="510" max="510" width="11.8666666666667" style="7" customWidth="1"/>
    <col min="511" max="511" width="6.2" style="7" customWidth="1"/>
    <col min="512" max="512" width="8.33333333333333" style="7" customWidth="1"/>
    <col min="513" max="513" width="18" style="7" customWidth="1"/>
    <col min="514" max="514" width="10.0666666666667" style="7" customWidth="1"/>
    <col min="515" max="515" width="14.0666666666667" style="7" customWidth="1"/>
    <col min="516" max="516" width="13.1333333333333" style="7" customWidth="1"/>
    <col min="517" max="517" width="9.2" style="7" customWidth="1"/>
    <col min="518" max="518" width="11.1333333333333" style="7" customWidth="1"/>
    <col min="519" max="519" width="14.8" style="7" customWidth="1"/>
    <col min="520" max="520" width="15.9333333333333" style="7" customWidth="1"/>
    <col min="521" max="521" width="12.2666666666667" style="7" customWidth="1"/>
    <col min="522" max="522" width="8.06666666666667" style="7" customWidth="1"/>
    <col min="523" max="523" width="15.9333333333333" style="7" customWidth="1"/>
    <col min="524" max="524" width="14.4666666666667" style="7" customWidth="1"/>
    <col min="525" max="525" width="13.9333333333333" style="7" customWidth="1"/>
    <col min="526" max="526" width="11" style="7" customWidth="1"/>
    <col min="527" max="527" width="15.6666666666667" style="7" customWidth="1"/>
    <col min="528" max="528" width="7.6" style="7" customWidth="1"/>
    <col min="529" max="529" width="14.7333333333333" style="7" customWidth="1"/>
    <col min="530" max="530" width="13.1333333333333" style="7" customWidth="1"/>
    <col min="531" max="531" width="10.8666666666667" style="7" customWidth="1"/>
    <col min="532" max="532" width="16" style="7" customWidth="1"/>
    <col min="533" max="533" width="14.9333333333333" style="7" customWidth="1"/>
    <col min="534" max="534" width="13.2" style="7" customWidth="1"/>
    <col min="535" max="535" width="13" style="7" customWidth="1"/>
    <col min="536" max="536" width="14" style="7" customWidth="1"/>
    <col min="537" max="537" width="13.4" style="7" customWidth="1"/>
    <col min="538" max="538" width="16.4666666666667" style="7" customWidth="1"/>
    <col min="539" max="539" width="17" style="7" customWidth="1"/>
    <col min="540" max="540" width="22.6666666666667" style="7" customWidth="1"/>
    <col min="541" max="541" width="12.4" style="7" customWidth="1"/>
    <col min="542" max="542" width="14" style="7" customWidth="1"/>
    <col min="543" max="543" width="11.8" style="7" customWidth="1"/>
    <col min="544" max="544" width="8.06666666666667" style="7" customWidth="1"/>
    <col min="545" max="545" width="21" style="7" customWidth="1"/>
    <col min="546" max="546" width="15.8" style="7" customWidth="1"/>
    <col min="547" max="547" width="14" style="7" customWidth="1"/>
    <col min="548" max="548" width="15.5333333333333" style="7" customWidth="1"/>
    <col min="549" max="549" width="13.1333333333333" style="7" customWidth="1"/>
    <col min="550" max="550" width="14.8666666666667" style="7" customWidth="1"/>
    <col min="551" max="551" width="18.8666666666667" style="7" customWidth="1"/>
    <col min="552" max="552" width="15.4666666666667" style="7" customWidth="1"/>
    <col min="553" max="553" width="10.8666666666667" style="7" customWidth="1"/>
    <col min="554" max="554" width="13.9333333333333" style="7" customWidth="1"/>
    <col min="555" max="555" width="18.9333333333333" style="7" customWidth="1"/>
    <col min="556" max="556" width="16.3333333333333" style="7" customWidth="1"/>
    <col min="557" max="557" width="22.4666666666667" style="7" customWidth="1"/>
    <col min="558" max="558" width="16.2" style="7" customWidth="1"/>
    <col min="559" max="559" width="22.4666666666667" style="7" customWidth="1"/>
    <col min="560" max="560" width="10.8666666666667" style="7" customWidth="1"/>
    <col min="561" max="561" width="12.5333333333333" style="7" customWidth="1"/>
    <col min="562" max="562" width="14.2" style="7" customWidth="1"/>
    <col min="563" max="563" width="8.93333333333333" style="7" customWidth="1"/>
    <col min="564" max="564" width="20.4" style="7" customWidth="1"/>
    <col min="565" max="565" width="15.4666666666667" style="7" customWidth="1"/>
    <col min="566" max="566" width="12.4666666666667" style="7" customWidth="1"/>
    <col min="567" max="567" width="10.5333333333333" style="7" customWidth="1"/>
    <col min="568" max="568" width="13.5333333333333" style="7" customWidth="1"/>
    <col min="569" max="569" width="14.5333333333333" style="7" customWidth="1"/>
    <col min="570" max="570" width="15.3333333333333" style="7" customWidth="1"/>
    <col min="571" max="571" width="21.6666666666667" style="7" customWidth="1"/>
    <col min="572" max="572" width="21" style="7" customWidth="1"/>
    <col min="573" max="573" width="12.5333333333333" style="7" customWidth="1"/>
    <col min="574" max="574" width="18" style="7" customWidth="1"/>
    <col min="575" max="575" width="13.4666666666667" style="7" customWidth="1"/>
    <col min="576" max="576" width="19.5333333333333" style="7" customWidth="1"/>
    <col min="577" max="577" width="16.6666666666667" style="7" customWidth="1"/>
    <col min="578" max="578" width="8.26666666666667" style="7" customWidth="1"/>
    <col min="579" max="579" width="20.8666666666667" style="7" customWidth="1"/>
    <col min="580" max="580" width="4.73333333333333" style="7" customWidth="1"/>
    <col min="581" max="581" width="17.1333333333333" style="7" customWidth="1"/>
    <col min="582" max="582" width="8.46666666666667" style="7" customWidth="1"/>
    <col min="583" max="583" width="11.4" style="7" customWidth="1"/>
    <col min="584" max="584" width="15.4" style="7" customWidth="1"/>
    <col min="585" max="585" width="14.5333333333333" style="7" customWidth="1"/>
    <col min="586" max="586" width="8.6" style="7" customWidth="1"/>
    <col min="587" max="587" width="16.7333333333333" style="7" customWidth="1"/>
    <col min="588" max="588" width="6.46666666666667" style="7" customWidth="1"/>
    <col min="589" max="589" width="11.4" style="7" customWidth="1"/>
    <col min="590" max="590" width="14.5333333333333" style="7" customWidth="1"/>
    <col min="591" max="591" width="17.8666666666667" style="7" customWidth="1"/>
    <col min="592" max="592" width="9.33333333333333" style="7" customWidth="1"/>
    <col min="593" max="593" width="13.3333333333333" style="7" customWidth="1"/>
    <col min="594" max="594" width="4.73333333333333" style="7" customWidth="1"/>
    <col min="595" max="595" width="7.6" style="7" customWidth="1"/>
    <col min="596" max="596" width="8.46666666666667" style="7" customWidth="1"/>
    <col min="597" max="597" width="14.6" style="7" customWidth="1"/>
    <col min="598" max="598" width="11.2666666666667" style="7" customWidth="1"/>
    <col min="599" max="599" width="10.5333333333333" style="7" customWidth="1"/>
    <col min="600" max="600" width="17.8" style="7" customWidth="1"/>
    <col min="601" max="601" width="12.0666666666667" style="7" customWidth="1"/>
    <col min="602" max="602" width="21.0666666666667" style="7" customWidth="1"/>
    <col min="603" max="603" width="16.6" style="7" customWidth="1"/>
    <col min="604" max="604" width="12.8666666666667" style="7" customWidth="1"/>
    <col min="605" max="605" width="16.5333333333333" style="7" customWidth="1"/>
    <col min="606" max="606" width="11.8666666666667" style="7" customWidth="1"/>
    <col min="607" max="607" width="6.2" style="7" customWidth="1"/>
    <col min="608" max="608" width="8.33333333333333" style="7" customWidth="1"/>
    <col min="609" max="609" width="18" style="7" customWidth="1"/>
    <col min="610" max="610" width="10.0666666666667" style="7" customWidth="1"/>
    <col min="611" max="611" width="14.0666666666667" style="7" customWidth="1"/>
    <col min="612" max="612" width="13.1333333333333" style="7" customWidth="1"/>
    <col min="613" max="613" width="9.2" style="7" customWidth="1"/>
    <col min="614" max="614" width="11.1333333333333" style="7" customWidth="1"/>
    <col min="615" max="615" width="14.8" style="7" customWidth="1"/>
    <col min="616" max="616" width="15.9333333333333" style="7" customWidth="1"/>
    <col min="617" max="617" width="12.2666666666667" style="7" customWidth="1"/>
    <col min="618" max="618" width="8.06666666666667" style="7" customWidth="1"/>
    <col min="619" max="619" width="15.9333333333333" style="7" customWidth="1"/>
    <col min="620" max="620" width="14.4666666666667" style="7" customWidth="1"/>
    <col min="621" max="621" width="13.9333333333333" style="7" customWidth="1"/>
    <col min="622" max="622" width="11" style="7" customWidth="1"/>
    <col min="623" max="623" width="15.6666666666667" style="7" customWidth="1"/>
    <col min="624" max="624" width="7.6" style="7" customWidth="1"/>
    <col min="625" max="625" width="14.7333333333333" style="7" customWidth="1"/>
    <col min="626" max="626" width="13.1333333333333" style="7" customWidth="1"/>
    <col min="627" max="627" width="10.8666666666667" style="7" customWidth="1"/>
    <col min="628" max="628" width="16" style="7" customWidth="1"/>
    <col min="629" max="629" width="14.9333333333333" style="7" customWidth="1"/>
    <col min="630" max="630" width="13.2" style="7" customWidth="1"/>
    <col min="631" max="631" width="13" style="7" customWidth="1"/>
    <col min="632" max="632" width="14" style="7" customWidth="1"/>
    <col min="633" max="633" width="13.4" style="7" customWidth="1"/>
    <col min="634" max="634" width="16.4666666666667" style="7" customWidth="1"/>
    <col min="635" max="635" width="17" style="7" customWidth="1"/>
    <col min="636" max="636" width="22.6666666666667" style="7" customWidth="1"/>
    <col min="637" max="637" width="12.4" style="7" customWidth="1"/>
    <col min="638" max="638" width="14" style="7" customWidth="1"/>
    <col min="639" max="639" width="11.8" style="7" customWidth="1"/>
    <col min="640" max="640" width="8.06666666666667" style="7" customWidth="1"/>
    <col min="641" max="641" width="21" style="7" customWidth="1"/>
    <col min="642" max="642" width="15.8" style="7" customWidth="1"/>
    <col min="643" max="643" width="14" style="7" customWidth="1"/>
    <col min="644" max="644" width="15.5333333333333" style="7" customWidth="1"/>
    <col min="645" max="645" width="13.1333333333333" style="7" customWidth="1"/>
    <col min="646" max="646" width="14.8666666666667" style="7" customWidth="1"/>
    <col min="647" max="647" width="18.8666666666667" style="7" customWidth="1"/>
    <col min="648" max="648" width="15.4666666666667" style="7" customWidth="1"/>
    <col min="649" max="649" width="10.8666666666667" style="7" customWidth="1"/>
    <col min="650" max="650" width="13.9333333333333" style="7" customWidth="1"/>
    <col min="651" max="651" width="18.9333333333333" style="7" customWidth="1"/>
    <col min="652" max="652" width="16.3333333333333" style="7" customWidth="1"/>
    <col min="653" max="653" width="22.4666666666667" style="7" customWidth="1"/>
    <col min="654" max="654" width="16.2" style="7" customWidth="1"/>
    <col min="655" max="655" width="22.4666666666667" style="7" customWidth="1"/>
    <col min="656" max="656" width="10.8666666666667" style="7" customWidth="1"/>
    <col min="657" max="657" width="12.5333333333333" style="7" customWidth="1"/>
    <col min="658" max="658" width="14.2" style="7" customWidth="1"/>
    <col min="659" max="659" width="8.93333333333333" style="7" customWidth="1"/>
    <col min="660" max="660" width="20.4" style="7" customWidth="1"/>
    <col min="661" max="661" width="15.4666666666667" style="7" customWidth="1"/>
    <col min="662" max="662" width="12.4666666666667" style="7" customWidth="1"/>
    <col min="663" max="663" width="10.5333333333333" style="7" customWidth="1"/>
    <col min="664" max="664" width="13.5333333333333" style="7" customWidth="1"/>
    <col min="665" max="665" width="14.5333333333333" style="7" customWidth="1"/>
    <col min="666" max="666" width="15.3333333333333" style="7" customWidth="1"/>
    <col min="667" max="667" width="21.6666666666667" style="7" customWidth="1"/>
    <col min="668" max="668" width="21" style="7" customWidth="1"/>
    <col min="669" max="669" width="12.5333333333333" style="7" customWidth="1"/>
    <col min="670" max="670" width="18" style="7" customWidth="1"/>
    <col min="671" max="671" width="13.4666666666667" style="7" customWidth="1"/>
    <col min="672" max="672" width="19.5333333333333" style="7" customWidth="1"/>
    <col min="673" max="673" width="16.6666666666667" style="7" customWidth="1"/>
    <col min="674" max="674" width="6.53333333333333" style="7" customWidth="1"/>
    <col min="675" max="675" width="20.8666666666667" style="7" customWidth="1"/>
    <col min="676" max="676" width="5.66666666666667" style="7" customWidth="1"/>
    <col min="677" max="677" width="17.1333333333333" style="7" customWidth="1"/>
    <col min="678" max="678" width="8.46666666666667" style="7" customWidth="1"/>
    <col min="679" max="679" width="11.4" style="7" customWidth="1"/>
    <col min="680" max="680" width="15.4" style="7" customWidth="1"/>
    <col min="681" max="681" width="14.5333333333333" style="7" customWidth="1"/>
    <col min="682" max="682" width="8.6" style="7" customWidth="1"/>
    <col min="683" max="683" width="16.7333333333333" style="7" customWidth="1"/>
    <col min="684" max="684" width="6.46666666666667" style="7" customWidth="1"/>
    <col min="685" max="685" width="11.4" style="7" customWidth="1"/>
    <col min="686" max="686" width="14.5333333333333" style="7" customWidth="1"/>
    <col min="687" max="687" width="17.8666666666667" style="7" customWidth="1"/>
    <col min="688" max="688" width="9.33333333333333" style="7" customWidth="1"/>
    <col min="689" max="689" width="13.3333333333333" style="7" customWidth="1"/>
    <col min="690" max="690" width="5.66666666666667" style="7" customWidth="1"/>
    <col min="691" max="691" width="7.6" style="7" customWidth="1"/>
    <col min="692" max="692" width="8.46666666666667" style="7" customWidth="1"/>
    <col min="693" max="693" width="14.6" style="7" customWidth="1"/>
    <col min="694" max="694" width="11.2666666666667" style="7" customWidth="1"/>
    <col min="695" max="695" width="10.5333333333333" style="7" customWidth="1"/>
    <col min="696" max="696" width="17.8" style="7" customWidth="1"/>
    <col min="697" max="697" width="12.0666666666667" style="7" customWidth="1"/>
    <col min="698" max="698" width="21.0666666666667" style="7" customWidth="1"/>
    <col min="699" max="699" width="16.6" style="7" customWidth="1"/>
    <col min="700" max="700" width="12.8666666666667" style="7" customWidth="1"/>
    <col min="701" max="701" width="16.5333333333333" style="7" customWidth="1"/>
    <col min="702" max="702" width="11.8666666666667" style="7" customWidth="1"/>
    <col min="703" max="703" width="6.2" style="7" customWidth="1"/>
    <col min="704" max="704" width="8.33333333333333" style="7" customWidth="1"/>
    <col min="705" max="705" width="18" style="7" customWidth="1"/>
    <col min="706" max="706" width="10.0666666666667" style="7" customWidth="1"/>
    <col min="707" max="707" width="14.0666666666667" style="7" customWidth="1"/>
    <col min="708" max="708" width="13.1333333333333" style="7" customWidth="1"/>
    <col min="709" max="709" width="9.2" style="7" customWidth="1"/>
    <col min="710" max="710" width="11.1333333333333" style="7" customWidth="1"/>
    <col min="711" max="711" width="14.8" style="7" customWidth="1"/>
    <col min="712" max="712" width="15.9333333333333" style="7" customWidth="1"/>
    <col min="713" max="713" width="12.2666666666667" style="7" customWidth="1"/>
    <col min="714" max="714" width="8.06666666666667" style="7" customWidth="1"/>
    <col min="715" max="715" width="15.9333333333333" style="7" customWidth="1"/>
    <col min="716" max="716" width="14.4666666666667" style="7" customWidth="1"/>
    <col min="717" max="717" width="13.9333333333333" style="7" customWidth="1"/>
    <col min="718" max="718" width="11" style="7" customWidth="1"/>
    <col min="719" max="719" width="15.6666666666667" style="7" customWidth="1"/>
    <col min="720" max="720" width="7.6" style="7" customWidth="1"/>
    <col min="721" max="721" width="14.7333333333333" style="7" customWidth="1"/>
    <col min="722" max="722" width="13.1333333333333" style="7" customWidth="1"/>
    <col min="723" max="723" width="10.8666666666667" style="7" customWidth="1"/>
    <col min="724" max="724" width="16" style="7" customWidth="1"/>
    <col min="725" max="725" width="14.9333333333333" style="7" customWidth="1"/>
    <col min="726" max="726" width="13.2" style="7" customWidth="1"/>
    <col min="727" max="727" width="13" style="7" customWidth="1"/>
    <col min="728" max="728" width="14" style="7" customWidth="1"/>
    <col min="729" max="729" width="13.4" style="7" customWidth="1"/>
    <col min="730" max="730" width="16.4666666666667" style="7" customWidth="1"/>
    <col min="731" max="731" width="17" style="7" customWidth="1"/>
    <col min="732" max="732" width="22.6666666666667" style="7" customWidth="1"/>
    <col min="733" max="733" width="12.4" style="7" customWidth="1"/>
    <col min="734" max="734" width="14" style="7" customWidth="1"/>
    <col min="735" max="735" width="11.8" style="7" customWidth="1"/>
    <col min="736" max="736" width="8.06666666666667" style="7" customWidth="1"/>
    <col min="737" max="737" width="21" style="7" customWidth="1"/>
    <col min="738" max="738" width="15.8" style="7" customWidth="1"/>
    <col min="739" max="739" width="14" style="7" customWidth="1"/>
    <col min="740" max="740" width="15.5333333333333" style="7" customWidth="1"/>
    <col min="741" max="741" width="13.1333333333333" style="7" customWidth="1"/>
    <col min="742" max="742" width="14.8666666666667" style="7" customWidth="1"/>
    <col min="743" max="743" width="18.8666666666667" style="7" customWidth="1"/>
    <col min="744" max="744" width="15.4666666666667" style="7" customWidth="1"/>
    <col min="745" max="745" width="10.8666666666667" style="7" customWidth="1"/>
    <col min="746" max="746" width="13.9333333333333" style="7" customWidth="1"/>
    <col min="747" max="747" width="18.9333333333333" style="7" customWidth="1"/>
    <col min="748" max="748" width="16.3333333333333" style="7" customWidth="1"/>
    <col min="749" max="749" width="22.4666666666667" style="7" customWidth="1"/>
    <col min="750" max="750" width="16.2" style="7" customWidth="1"/>
    <col min="751" max="751" width="22.4666666666667" style="7" customWidth="1"/>
    <col min="752" max="752" width="10.8666666666667" style="7" customWidth="1"/>
    <col min="753" max="753" width="12.5333333333333" style="7" customWidth="1"/>
    <col min="754" max="754" width="14.2" style="7" customWidth="1"/>
    <col min="755" max="755" width="8.93333333333333" style="7" customWidth="1"/>
    <col min="756" max="756" width="20.4" style="7" customWidth="1"/>
    <col min="757" max="757" width="15.4666666666667" style="7" customWidth="1"/>
    <col min="758" max="758" width="12.4666666666667" style="7" customWidth="1"/>
    <col min="759" max="759" width="10.5333333333333" style="7" customWidth="1"/>
    <col min="760" max="760" width="13.5333333333333" style="7" customWidth="1"/>
    <col min="761" max="761" width="14.5333333333333" style="7" customWidth="1"/>
    <col min="762" max="762" width="15.3333333333333" style="7" customWidth="1"/>
    <col min="763" max="763" width="21.6666666666667" style="7" customWidth="1"/>
    <col min="764" max="764" width="21" style="7" customWidth="1"/>
    <col min="765" max="765" width="12.5333333333333" style="7" customWidth="1"/>
    <col min="766" max="766" width="18" style="7" customWidth="1"/>
    <col min="767" max="767" width="13.4666666666667" style="7" customWidth="1"/>
    <col min="768" max="768" width="19.5333333333333" style="7" customWidth="1"/>
    <col min="769" max="769" width="16.6666666666667" style="7" customWidth="1"/>
    <col min="770" max="770" width="8.13333333333333" style="7" customWidth="1"/>
    <col min="771" max="771" width="20.8666666666667" style="7" customWidth="1"/>
    <col min="772" max="772" width="4.73333333333333" style="7" customWidth="1"/>
    <col min="773" max="773" width="17.1333333333333" style="7" customWidth="1"/>
    <col min="774" max="774" width="8.46666666666667" style="7" customWidth="1"/>
    <col min="775" max="775" width="11.4" style="7" customWidth="1"/>
    <col min="776" max="776" width="15.4" style="7" customWidth="1"/>
    <col min="777" max="777" width="14.5333333333333" style="7" customWidth="1"/>
    <col min="778" max="778" width="8.6" style="7" customWidth="1"/>
    <col min="779" max="779" width="16.7333333333333" style="7" customWidth="1"/>
    <col min="780" max="780" width="6.46666666666667" style="7" customWidth="1"/>
    <col min="781" max="781" width="11.4" style="7" customWidth="1"/>
    <col min="782" max="782" width="14.5333333333333" style="7" customWidth="1"/>
    <col min="783" max="783" width="17.8666666666667" style="7" customWidth="1"/>
    <col min="784" max="784" width="9.33333333333333" style="7" customWidth="1"/>
    <col min="785" max="785" width="13.3333333333333" style="7" customWidth="1"/>
    <col min="786" max="786" width="4.73333333333333" style="7" customWidth="1"/>
    <col min="787" max="787" width="7.6" style="7" customWidth="1"/>
    <col min="788" max="788" width="8.46666666666667" style="7" customWidth="1"/>
    <col min="789" max="789" width="14.6" style="7" customWidth="1"/>
    <col min="790" max="790" width="11.2666666666667" style="7" customWidth="1"/>
    <col min="791" max="791" width="10.5333333333333" style="7" customWidth="1"/>
    <col min="792" max="792" width="17.8" style="7" customWidth="1"/>
    <col min="793" max="793" width="12.0666666666667" style="7" customWidth="1"/>
    <col min="794" max="794" width="21.0666666666667" style="7" customWidth="1"/>
    <col min="795" max="795" width="16.6" style="7" customWidth="1"/>
    <col min="796" max="796" width="12.8666666666667" style="7" customWidth="1"/>
    <col min="797" max="797" width="16.5333333333333" style="7" customWidth="1"/>
    <col min="798" max="798" width="11.8666666666667" style="7" customWidth="1"/>
    <col min="799" max="799" width="6.2" style="7" customWidth="1"/>
    <col min="800" max="800" width="8.33333333333333" style="7" customWidth="1"/>
    <col min="801" max="801" width="18" style="7" customWidth="1"/>
    <col min="802" max="802" width="10.0666666666667" style="7" customWidth="1"/>
    <col min="803" max="803" width="14.0666666666667" style="7" customWidth="1"/>
    <col min="804" max="804" width="13.1333333333333" style="7" customWidth="1"/>
    <col min="805" max="805" width="9.2" style="7" customWidth="1"/>
    <col min="806" max="806" width="11.1333333333333" style="7" customWidth="1"/>
    <col min="807" max="807" width="14.8" style="7" customWidth="1"/>
    <col min="808" max="808" width="15.9333333333333" style="7" customWidth="1"/>
    <col min="809" max="809" width="12.2666666666667" style="7" customWidth="1"/>
    <col min="810" max="810" width="8.06666666666667" style="7" customWidth="1"/>
    <col min="811" max="811" width="15.9333333333333" style="7" customWidth="1"/>
    <col min="812" max="812" width="14.4666666666667" style="7" customWidth="1"/>
    <col min="813" max="813" width="13.9333333333333" style="7" customWidth="1"/>
    <col min="814" max="814" width="11" style="7" customWidth="1"/>
    <col min="815" max="815" width="15.6666666666667" style="7" customWidth="1"/>
    <col min="816" max="816" width="7.6" style="7" customWidth="1"/>
    <col min="817" max="817" width="14.7333333333333" style="7" customWidth="1"/>
    <col min="818" max="818" width="13.1333333333333" style="7" customWidth="1"/>
    <col min="819" max="819" width="10.8666666666667" style="7" customWidth="1"/>
    <col min="820" max="820" width="16" style="7" customWidth="1"/>
    <col min="821" max="821" width="14.9333333333333" style="7" customWidth="1"/>
    <col min="822" max="822" width="13.2" style="7" customWidth="1"/>
    <col min="823" max="823" width="13" style="7" customWidth="1"/>
    <col min="824" max="824" width="14" style="7" customWidth="1"/>
    <col min="825" max="825" width="13.4" style="7" customWidth="1"/>
    <col min="826" max="826" width="16.4666666666667" style="7" customWidth="1"/>
    <col min="827" max="827" width="17" style="7" customWidth="1"/>
    <col min="828" max="828" width="22.6666666666667" style="7" customWidth="1"/>
    <col min="829" max="829" width="12.4" style="7" customWidth="1"/>
    <col min="830" max="830" width="14" style="7" customWidth="1"/>
    <col min="831" max="831" width="11.8" style="7" customWidth="1"/>
    <col min="832" max="832" width="8.06666666666667" style="7" customWidth="1"/>
    <col min="833" max="833" width="21" style="7" customWidth="1"/>
    <col min="834" max="834" width="15.8" style="7" customWidth="1"/>
    <col min="835" max="835" width="14" style="7" customWidth="1"/>
    <col min="836" max="836" width="15.5333333333333" style="7" customWidth="1"/>
    <col min="837" max="837" width="13.1333333333333" style="7" customWidth="1"/>
    <col min="838" max="838" width="14.8666666666667" style="7" customWidth="1"/>
    <col min="839" max="839" width="18.8666666666667" style="7" customWidth="1"/>
    <col min="840" max="840" width="15.4666666666667" style="7" customWidth="1"/>
    <col min="841" max="841" width="10.8666666666667" style="7" customWidth="1"/>
    <col min="842" max="842" width="13.9333333333333" style="7" customWidth="1"/>
    <col min="843" max="843" width="18.9333333333333" style="7" customWidth="1"/>
    <col min="844" max="844" width="16.3333333333333" style="7" customWidth="1"/>
    <col min="845" max="845" width="22.4666666666667" style="7" customWidth="1"/>
    <col min="846" max="846" width="16.2" style="7" customWidth="1"/>
    <col min="847" max="847" width="22.4666666666667" style="7" customWidth="1"/>
    <col min="848" max="848" width="10.8666666666667" style="7" customWidth="1"/>
    <col min="849" max="849" width="12.5333333333333" style="7" customWidth="1"/>
    <col min="850" max="850" width="14.2" style="7" customWidth="1"/>
    <col min="851" max="851" width="8.93333333333333" style="7" customWidth="1"/>
    <col min="852" max="852" width="20.4" style="7" customWidth="1"/>
    <col min="853" max="853" width="15.4666666666667" style="7" customWidth="1"/>
    <col min="854" max="854" width="12.4666666666667" style="7" customWidth="1"/>
    <col min="855" max="855" width="10.5333333333333" style="7" customWidth="1"/>
    <col min="856" max="856" width="13.5333333333333" style="7" customWidth="1"/>
    <col min="857" max="857" width="14.5333333333333" style="7" customWidth="1"/>
    <col min="858" max="858" width="15.3333333333333" style="7" customWidth="1"/>
    <col min="859" max="859" width="21.6666666666667" style="7" customWidth="1"/>
    <col min="860" max="860" width="21" style="7" customWidth="1"/>
    <col min="861" max="861" width="12.5333333333333" style="7" customWidth="1"/>
    <col min="862" max="862" width="18" style="7" customWidth="1"/>
    <col min="863" max="863" width="13.4666666666667" style="7" customWidth="1"/>
    <col min="864" max="864" width="19.5333333333333" style="7" customWidth="1"/>
    <col min="865" max="865" width="16.6666666666667" style="7" customWidth="1"/>
    <col min="866" max="866" width="8.13333333333333" style="7" customWidth="1"/>
    <col min="867" max="867" width="20.8666666666667" style="7" customWidth="1"/>
    <col min="868" max="868" width="4.73333333333333" style="7" customWidth="1"/>
    <col min="869" max="869" width="17.1333333333333" style="7" customWidth="1"/>
    <col min="870" max="870" width="8.46666666666667" style="7" customWidth="1"/>
    <col min="871" max="871" width="11.4" style="7" customWidth="1"/>
    <col min="872" max="872" width="15.4" style="7" customWidth="1"/>
    <col min="873" max="873" width="14.5333333333333" style="7" customWidth="1"/>
    <col min="874" max="874" width="8.6" style="7" customWidth="1"/>
    <col min="875" max="875" width="16.7333333333333" style="7" customWidth="1"/>
    <col min="876" max="876" width="6.46666666666667" style="7" customWidth="1"/>
    <col min="877" max="877" width="11.4" style="7" customWidth="1"/>
    <col min="878" max="878" width="14.5333333333333" style="7" customWidth="1"/>
    <col min="879" max="879" width="17.8666666666667" style="7" customWidth="1"/>
    <col min="880" max="880" width="9.33333333333333" style="7" customWidth="1"/>
    <col min="881" max="881" width="13.3333333333333" style="7" customWidth="1"/>
    <col min="882" max="882" width="4.73333333333333" style="7" customWidth="1"/>
    <col min="883" max="883" width="7.6" style="7" customWidth="1"/>
    <col min="884" max="884" width="8.46666666666667" style="7" customWidth="1"/>
    <col min="885" max="885" width="14.6" style="7" customWidth="1"/>
    <col min="886" max="886" width="11.2666666666667" style="7" customWidth="1"/>
    <col min="887" max="887" width="10.5333333333333" style="7" customWidth="1"/>
    <col min="888" max="888" width="17.8" style="7" customWidth="1"/>
    <col min="889" max="889" width="12.0666666666667" style="7" customWidth="1"/>
    <col min="890" max="890" width="21.0666666666667" style="7" customWidth="1"/>
    <col min="891" max="891" width="16.6" style="7" customWidth="1"/>
    <col min="892" max="892" width="12.8666666666667" style="7" customWidth="1"/>
    <col min="893" max="893" width="16.5333333333333" style="7" customWidth="1"/>
    <col min="894" max="894" width="11.8666666666667" style="7" customWidth="1"/>
    <col min="895" max="895" width="6.2" style="7" customWidth="1"/>
    <col min="896" max="896" width="8.33333333333333" style="7" customWidth="1"/>
    <col min="897" max="897" width="18" style="7" customWidth="1"/>
    <col min="898" max="898" width="10.0666666666667" style="7" customWidth="1"/>
    <col min="899" max="899" width="14.0666666666667" style="7" customWidth="1"/>
    <col min="900" max="900" width="13.1333333333333" style="7" customWidth="1"/>
    <col min="901" max="901" width="9.2" style="7" customWidth="1"/>
    <col min="902" max="902" width="11.1333333333333" style="7" customWidth="1"/>
    <col min="903" max="903" width="14.8" style="7" customWidth="1"/>
    <col min="904" max="904" width="15.9333333333333" style="7" customWidth="1"/>
    <col min="905" max="905" width="12.2666666666667" style="7" customWidth="1"/>
    <col min="906" max="906" width="8.06666666666667" style="7" customWidth="1"/>
    <col min="907" max="907" width="15.9333333333333" style="7" customWidth="1"/>
    <col min="908" max="908" width="14.4666666666667" style="7" customWidth="1"/>
    <col min="909" max="909" width="13.9333333333333" style="7" customWidth="1"/>
    <col min="910" max="910" width="11" style="7" customWidth="1"/>
    <col min="911" max="911" width="15.6666666666667" style="7" customWidth="1"/>
    <col min="912" max="912" width="7.6" style="7" customWidth="1"/>
    <col min="913" max="913" width="14.7333333333333" style="7" customWidth="1"/>
    <col min="914" max="914" width="13.1333333333333" style="7" customWidth="1"/>
    <col min="915" max="915" width="10.8666666666667" style="7" customWidth="1"/>
    <col min="916" max="916" width="16" style="7" customWidth="1"/>
    <col min="917" max="917" width="14.9333333333333" style="7" customWidth="1"/>
    <col min="918" max="918" width="13.2" style="7" customWidth="1"/>
    <col min="919" max="919" width="13" style="7" customWidth="1"/>
    <col min="920" max="920" width="14" style="7" customWidth="1"/>
    <col min="921" max="921" width="13.4" style="7" customWidth="1"/>
    <col min="922" max="922" width="16.4666666666667" style="7" customWidth="1"/>
    <col min="923" max="923" width="17" style="7" customWidth="1"/>
    <col min="924" max="924" width="22.6666666666667" style="7" customWidth="1"/>
    <col min="925" max="925" width="12.4" style="7" customWidth="1"/>
    <col min="926" max="926" width="14" style="7" customWidth="1"/>
    <col min="927" max="927" width="11.8" style="7" customWidth="1"/>
    <col min="928" max="928" width="8.06666666666667" style="7" customWidth="1"/>
    <col min="929" max="929" width="21" style="7" customWidth="1"/>
    <col min="930" max="930" width="15.8" style="7" customWidth="1"/>
    <col min="931" max="931" width="14" style="7" customWidth="1"/>
    <col min="932" max="932" width="15.5333333333333" style="7" customWidth="1"/>
    <col min="933" max="933" width="13.1333333333333" style="7" customWidth="1"/>
    <col min="934" max="934" width="14.8666666666667" style="7" customWidth="1"/>
    <col min="935" max="935" width="18.8666666666667" style="7" customWidth="1"/>
    <col min="936" max="936" width="15.4666666666667" style="7" customWidth="1"/>
    <col min="937" max="937" width="10.8666666666667" style="7" customWidth="1"/>
    <col min="938" max="938" width="13.9333333333333" style="7" customWidth="1"/>
    <col min="939" max="939" width="18.9333333333333" style="7" customWidth="1"/>
    <col min="940" max="940" width="16.3333333333333" style="7" customWidth="1"/>
    <col min="941" max="941" width="22.4666666666667" style="7" customWidth="1"/>
    <col min="942" max="942" width="16.2" style="7" customWidth="1"/>
    <col min="943" max="943" width="22.4666666666667" style="7" customWidth="1"/>
    <col min="944" max="944" width="10.8666666666667" style="7" customWidth="1"/>
    <col min="945" max="945" width="12.5333333333333" style="7" customWidth="1"/>
    <col min="946" max="946" width="14.2" style="7" customWidth="1"/>
    <col min="947" max="947" width="8.93333333333333" style="7" customWidth="1"/>
    <col min="948" max="948" width="20.4" style="7" customWidth="1"/>
    <col min="949" max="949" width="15.4666666666667" style="7" customWidth="1"/>
    <col min="950" max="950" width="12.4666666666667" style="7" customWidth="1"/>
    <col min="951" max="951" width="10.5333333333333" style="7" customWidth="1"/>
    <col min="952" max="952" width="13.5333333333333" style="7" customWidth="1"/>
    <col min="953" max="953" width="14.5333333333333" style="7" customWidth="1"/>
    <col min="954" max="954" width="15.3333333333333" style="7" customWidth="1"/>
    <col min="955" max="955" width="21.6666666666667" style="7" customWidth="1"/>
    <col min="956" max="956" width="21" style="7" customWidth="1"/>
    <col min="957" max="957" width="12.5333333333333" style="7" customWidth="1"/>
    <col min="958" max="958" width="18" style="7" customWidth="1"/>
    <col min="959" max="959" width="13.4666666666667" style="7" customWidth="1"/>
    <col min="960" max="960" width="19.5333333333333" style="7" customWidth="1"/>
    <col min="961" max="961" width="16.6666666666667" style="7" customWidth="1"/>
    <col min="962" max="962" width="8.26666666666667" style="7" customWidth="1"/>
    <col min="963" max="963" width="20.8666666666667" style="7" customWidth="1"/>
    <col min="964" max="964" width="4.73333333333333" style="7" customWidth="1"/>
    <col min="965" max="965" width="17.1333333333333" style="7" customWidth="1"/>
    <col min="966" max="966" width="8.46666666666667" style="7" customWidth="1"/>
    <col min="967" max="967" width="11.4" style="7" customWidth="1"/>
    <col min="968" max="968" width="15.4" style="7" customWidth="1"/>
    <col min="969" max="969" width="14.5333333333333" style="7" customWidth="1"/>
    <col min="970" max="970" width="8.6" style="7" customWidth="1"/>
    <col min="971" max="971" width="16.7333333333333" style="7" customWidth="1"/>
    <col min="972" max="972" width="6.46666666666667" style="7" customWidth="1"/>
    <col min="973" max="973" width="11.4" style="7" customWidth="1"/>
    <col min="974" max="974" width="14.5333333333333" style="7" customWidth="1"/>
    <col min="975" max="975" width="17.8666666666667" style="7" customWidth="1"/>
    <col min="976" max="976" width="9.33333333333333" style="7" customWidth="1"/>
    <col min="977" max="977" width="13.3333333333333" style="7" customWidth="1"/>
    <col min="978" max="978" width="4.73333333333333" style="7" customWidth="1"/>
    <col min="979" max="979" width="7.6" style="7" customWidth="1"/>
    <col min="980" max="980" width="8.46666666666667" style="7" customWidth="1"/>
    <col min="981" max="981" width="14.6" style="7" customWidth="1"/>
    <col min="982" max="982" width="11.2666666666667" style="7" customWidth="1"/>
    <col min="983" max="983" width="10.5333333333333" style="7" customWidth="1"/>
    <col min="984" max="984" width="17.8" style="7" customWidth="1"/>
    <col min="985" max="985" width="12.0666666666667" style="7" customWidth="1"/>
    <col min="986" max="986" width="21.0666666666667" style="7" customWidth="1"/>
    <col min="987" max="987" width="16.6" style="7" customWidth="1"/>
    <col min="988" max="988" width="12.8666666666667" style="7" customWidth="1"/>
    <col min="989" max="989" width="16.5333333333333" style="7" customWidth="1"/>
    <col min="990" max="990" width="11.8666666666667" style="7" customWidth="1"/>
    <col min="991" max="991" width="6.2" style="7" customWidth="1"/>
    <col min="992" max="992" width="8.33333333333333" style="7" customWidth="1"/>
    <col min="993" max="993" width="18" style="7" customWidth="1"/>
    <col min="994" max="994" width="10.0666666666667" style="7" customWidth="1"/>
    <col min="995" max="995" width="14.0666666666667" style="7" customWidth="1"/>
    <col min="996" max="996" width="13.1333333333333" style="7" customWidth="1"/>
    <col min="997" max="997" width="9.2" style="7" customWidth="1"/>
    <col min="998" max="998" width="11.1333333333333" style="7" customWidth="1"/>
    <col min="999" max="999" width="14.8" style="7" customWidth="1"/>
    <col min="1000" max="1000" width="15.9333333333333" style="7" customWidth="1"/>
    <col min="1001" max="1001" width="12.2666666666667" style="7" customWidth="1"/>
    <col min="1002" max="1002" width="8.06666666666667" style="7" customWidth="1"/>
    <col min="1003" max="1003" width="15.9333333333333" style="7" customWidth="1"/>
    <col min="1004" max="1004" width="14.4666666666667" style="7" customWidth="1"/>
    <col min="1005" max="1005" width="13.9333333333333" style="7" customWidth="1"/>
    <col min="1006" max="1006" width="11" style="7" customWidth="1"/>
    <col min="1007" max="1007" width="15.6666666666667" style="7" customWidth="1"/>
    <col min="1008" max="1008" width="7.6" style="7" customWidth="1"/>
    <col min="1009" max="1009" width="14.7333333333333" style="7" customWidth="1"/>
    <col min="1010" max="1010" width="13.1333333333333" style="7" customWidth="1"/>
    <col min="1011" max="1011" width="10.8666666666667" style="7" customWidth="1"/>
    <col min="1012" max="1012" width="16" style="7" customWidth="1"/>
    <col min="1013" max="1013" width="14.9333333333333" style="7" customWidth="1"/>
    <col min="1014" max="1014" width="13.2" style="7" customWidth="1"/>
    <col min="1015" max="1015" width="13" style="7" customWidth="1"/>
    <col min="1016" max="1016" width="14" style="7" customWidth="1"/>
    <col min="1017" max="1017" width="13.4" style="7" customWidth="1"/>
    <col min="1018" max="1018" width="16.4666666666667" style="7" customWidth="1"/>
    <col min="1019" max="1019" width="17" style="7" customWidth="1"/>
    <col min="1020" max="1020" width="22.6666666666667" style="7" customWidth="1"/>
    <col min="1021" max="1021" width="12.4" style="7" customWidth="1"/>
    <col min="1022" max="1022" width="14" style="7" customWidth="1"/>
    <col min="1023" max="1023" width="11.8" style="7" customWidth="1"/>
    <col min="1024" max="1024" width="8.06666666666667" style="7" customWidth="1"/>
    <col min="1025" max="1025" width="21" style="7" customWidth="1"/>
    <col min="1026" max="1026" width="15.8" style="7" customWidth="1"/>
    <col min="1027" max="1027" width="14" style="7" customWidth="1"/>
    <col min="1028" max="1028" width="15.5333333333333" style="7" customWidth="1"/>
    <col min="1029" max="1029" width="13.1333333333333" style="7" customWidth="1"/>
    <col min="1030" max="1030" width="14.8666666666667" style="7" customWidth="1"/>
    <col min="1031" max="1031" width="18.8666666666667" style="7" customWidth="1"/>
    <col min="1032" max="1032" width="15.4666666666667" style="7" customWidth="1"/>
    <col min="1033" max="1033" width="10.8666666666667" style="7" customWidth="1"/>
    <col min="1034" max="1034" width="13.9333333333333" style="7" customWidth="1"/>
    <col min="1035" max="1035" width="18.9333333333333" style="7" customWidth="1"/>
    <col min="1036" max="1036" width="16.3333333333333" style="7" customWidth="1"/>
    <col min="1037" max="1037" width="22.4666666666667" style="7" customWidth="1"/>
    <col min="1038" max="1038" width="16.2" style="7" customWidth="1"/>
    <col min="1039" max="1039" width="22.4666666666667" style="7" customWidth="1"/>
    <col min="1040" max="1040" width="10.8666666666667" style="7" customWidth="1"/>
    <col min="1041" max="1041" width="12.5333333333333" style="7" customWidth="1"/>
    <col min="1042" max="1042" width="14.2" style="7" customWidth="1"/>
    <col min="1043" max="1043" width="8.93333333333333" style="7" customWidth="1"/>
    <col min="1044" max="1044" width="20.4" style="7" customWidth="1"/>
    <col min="1045" max="1045" width="15.4666666666667" style="7" customWidth="1"/>
    <col min="1046" max="1046" width="12.4666666666667" style="7" customWidth="1"/>
    <col min="1047" max="1047" width="10.5333333333333" style="7" customWidth="1"/>
    <col min="1048" max="1048" width="13.5333333333333" style="7" customWidth="1"/>
    <col min="1049" max="1049" width="14.5333333333333" style="7" customWidth="1"/>
    <col min="1050" max="1050" width="15.3333333333333" style="7" customWidth="1"/>
    <col min="1051" max="1051" width="21.6666666666667" style="7" customWidth="1"/>
    <col min="1052" max="1052" width="21" style="7" customWidth="1"/>
    <col min="1053" max="1053" width="12.5333333333333" style="7" customWidth="1"/>
    <col min="1054" max="1054" width="18" style="7" customWidth="1"/>
    <col min="1055" max="1055" width="13.4666666666667" style="7" customWidth="1"/>
    <col min="1056" max="1056" width="19.5333333333333" style="7" customWidth="1"/>
    <col min="1057" max="1057" width="16.6666666666667" style="7" customWidth="1"/>
    <col min="1058" max="1058" width="8.26666666666667" style="7" customWidth="1"/>
    <col min="1059" max="1059" width="20.8666666666667" style="7" customWidth="1"/>
    <col min="1060" max="1060" width="4.73333333333333" style="7" customWidth="1"/>
    <col min="1061" max="1061" width="17.1333333333333" style="7" customWidth="1"/>
    <col min="1062" max="1062" width="8.46666666666667" style="7" customWidth="1"/>
    <col min="1063" max="1063" width="11.4" style="7" customWidth="1"/>
    <col min="1064" max="1064" width="15.4" style="7" customWidth="1"/>
    <col min="1065" max="1065" width="14.5333333333333" style="7" customWidth="1"/>
    <col min="1066" max="1066" width="8.6" style="7" customWidth="1"/>
    <col min="1067" max="1067" width="16.7333333333333" style="7" customWidth="1"/>
    <col min="1068" max="1068" width="6.46666666666667" style="7" customWidth="1"/>
    <col min="1069" max="1069" width="11.4" style="7" customWidth="1"/>
    <col min="1070" max="1070" width="14.5333333333333" style="7" customWidth="1"/>
    <col min="1071" max="1071" width="17.8666666666667" style="7" customWidth="1"/>
    <col min="1072" max="1072" width="9.33333333333333" style="7" customWidth="1"/>
    <col min="1073" max="1073" width="13.3333333333333" style="7" customWidth="1"/>
    <col min="1074" max="1074" width="4.73333333333333" style="7" customWidth="1"/>
    <col min="1075" max="1075" width="7.6" style="7" customWidth="1"/>
    <col min="1076" max="1076" width="8.46666666666667" style="7" customWidth="1"/>
    <col min="1077" max="1077" width="14.6" style="7" customWidth="1"/>
    <col min="1078" max="1078" width="11.2666666666667" style="7" customWidth="1"/>
    <col min="1079" max="1079" width="10.5333333333333" style="7" customWidth="1"/>
    <col min="1080" max="1080" width="17.8" style="7" customWidth="1"/>
    <col min="1081" max="1081" width="12.0666666666667" style="7" customWidth="1"/>
    <col min="1082" max="1082" width="21.0666666666667" style="7" customWidth="1"/>
    <col min="1083" max="1083" width="16.6" style="7" customWidth="1"/>
    <col min="1084" max="1084" width="12.8666666666667" style="7" customWidth="1"/>
    <col min="1085" max="1085" width="16.5333333333333" style="7" customWidth="1"/>
    <col min="1086" max="1086" width="11.8666666666667" style="7" customWidth="1"/>
    <col min="1087" max="1087" width="6.2" style="7" customWidth="1"/>
    <col min="1088" max="1088" width="8.33333333333333" style="7" customWidth="1"/>
    <col min="1089" max="1089" width="18" style="7" customWidth="1"/>
    <col min="1090" max="1090" width="10.0666666666667" style="7" customWidth="1"/>
    <col min="1091" max="1091" width="14.0666666666667" style="7" customWidth="1"/>
    <col min="1092" max="1092" width="13.1333333333333" style="7" customWidth="1"/>
    <col min="1093" max="1093" width="9.2" style="7" customWidth="1"/>
    <col min="1094" max="1094" width="11.1333333333333" style="7" customWidth="1"/>
    <col min="1095" max="1095" width="14.8" style="7" customWidth="1"/>
    <col min="1096" max="1096" width="15.9333333333333" style="7" customWidth="1"/>
    <col min="1097" max="1097" width="12.2666666666667" style="7" customWidth="1"/>
    <col min="1098" max="1098" width="8.06666666666667" style="7" customWidth="1"/>
    <col min="1099" max="1099" width="15.9333333333333" style="7" customWidth="1"/>
    <col min="1100" max="1100" width="14.4666666666667" style="7" customWidth="1"/>
    <col min="1101" max="1101" width="13.9333333333333" style="7" customWidth="1"/>
    <col min="1102" max="1102" width="11" style="7" customWidth="1"/>
    <col min="1103" max="1103" width="15.6666666666667" style="7" customWidth="1"/>
    <col min="1104" max="1104" width="7.6" style="7" customWidth="1"/>
    <col min="1105" max="1105" width="14.7333333333333" style="7" customWidth="1"/>
    <col min="1106" max="1106" width="13.1333333333333" style="7" customWidth="1"/>
    <col min="1107" max="1107" width="10.8666666666667" style="7" customWidth="1"/>
    <col min="1108" max="1108" width="16" style="7" customWidth="1"/>
    <col min="1109" max="1109" width="14.9333333333333" style="7" customWidth="1"/>
    <col min="1110" max="1110" width="13.2" style="7" customWidth="1"/>
    <col min="1111" max="1111" width="13" style="7" customWidth="1"/>
    <col min="1112" max="1112" width="14" style="7" customWidth="1"/>
    <col min="1113" max="1113" width="13.4" style="7" customWidth="1"/>
    <col min="1114" max="1114" width="16.4666666666667" style="7" customWidth="1"/>
    <col min="1115" max="1115" width="17" style="7" customWidth="1"/>
    <col min="1116" max="1116" width="22.6666666666667" style="7" customWidth="1"/>
    <col min="1117" max="1117" width="12.4" style="7" customWidth="1"/>
    <col min="1118" max="1118" width="14" style="7" customWidth="1"/>
    <col min="1119" max="1119" width="11.8" style="7" customWidth="1"/>
    <col min="1120" max="1120" width="8.06666666666667" style="7" customWidth="1"/>
    <col min="1121" max="1121" width="21" style="7" customWidth="1"/>
    <col min="1122" max="1122" width="15.8" style="7" customWidth="1"/>
    <col min="1123" max="1123" width="14" style="7" customWidth="1"/>
    <col min="1124" max="1124" width="15.5333333333333" style="7" customWidth="1"/>
    <col min="1125" max="1125" width="13.1333333333333" style="7" customWidth="1"/>
    <col min="1126" max="1126" width="14.8666666666667" style="7" customWidth="1"/>
    <col min="1127" max="1127" width="18.8666666666667" style="7" customWidth="1"/>
    <col min="1128" max="1128" width="15.4666666666667" style="7" customWidth="1"/>
    <col min="1129" max="1129" width="10.8666666666667" style="7" customWidth="1"/>
    <col min="1130" max="1130" width="13.9333333333333" style="7" customWidth="1"/>
    <col min="1131" max="1131" width="18.9333333333333" style="7" customWidth="1"/>
    <col min="1132" max="1132" width="16.3333333333333" style="7" customWidth="1"/>
    <col min="1133" max="1133" width="22.4666666666667" style="7" customWidth="1"/>
    <col min="1134" max="1134" width="16.2" style="7" customWidth="1"/>
    <col min="1135" max="1135" width="22.4666666666667" style="7" customWidth="1"/>
    <col min="1136" max="1136" width="10.8666666666667" style="7" customWidth="1"/>
    <col min="1137" max="1137" width="12.5333333333333" style="7" customWidth="1"/>
    <col min="1138" max="1138" width="14.2" style="7" customWidth="1"/>
    <col min="1139" max="1139" width="8.93333333333333" style="7" customWidth="1"/>
    <col min="1140" max="1140" width="20.4" style="7" customWidth="1"/>
    <col min="1141" max="1141" width="15.4666666666667" style="7" customWidth="1"/>
    <col min="1142" max="1142" width="12.4666666666667" style="7" customWidth="1"/>
    <col min="1143" max="1143" width="10.5333333333333" style="7" customWidth="1"/>
    <col min="1144" max="1144" width="13.5333333333333" style="7" customWidth="1"/>
    <col min="1145" max="1145" width="14.5333333333333" style="7" customWidth="1"/>
    <col min="1146" max="1146" width="15.3333333333333" style="7" customWidth="1"/>
    <col min="1147" max="1147" width="21.6666666666667" style="7" customWidth="1"/>
    <col min="1148" max="1148" width="21" style="7" customWidth="1"/>
    <col min="1149" max="1149" width="12.5333333333333" style="7" customWidth="1"/>
    <col min="1150" max="1150" width="18" style="7" customWidth="1"/>
    <col min="1151" max="1151" width="13.4666666666667" style="7" customWidth="1"/>
    <col min="1152" max="1152" width="19.5333333333333" style="7" customWidth="1"/>
    <col min="1153" max="1153" width="16.6666666666667" style="7" customWidth="1"/>
    <col min="1154" max="1155" width="8.26666666666667" style="7" customWidth="1"/>
    <col min="1156" max="1156" width="10.0666666666667" style="7" customWidth="1"/>
    <col min="1157" max="1157" width="8.26666666666667" style="7" customWidth="1"/>
    <col min="1158" max="1158" width="12" style="7" customWidth="1"/>
    <col min="1159" max="1159" width="10.0666666666667" style="7" customWidth="1"/>
    <col min="1160" max="1160" width="13.9333333333333" style="7" customWidth="1"/>
    <col min="1161" max="1161" width="10.0666666666667" style="7" customWidth="1"/>
    <col min="1162" max="1162" width="17.6" style="7" customWidth="1"/>
    <col min="1163" max="1164" width="19.4666666666667" style="7" customWidth="1"/>
    <col min="1165" max="1165" width="21.4" style="7" customWidth="1"/>
    <col min="1166" max="16384" width="9.06666666666667" style="7"/>
  </cols>
  <sheetData>
    <row r="1" spans="1:2">
      <c r="A1" s="8"/>
      <c r="B1" s="8"/>
    </row>
    <row r="2" spans="1:2">
      <c r="A2" s="8"/>
      <c r="B2" s="8"/>
    </row>
    <row r="3" spans="1:13">
      <c r="A3" s="6" t="s">
        <v>69</v>
      </c>
      <c r="B3" s="6" t="s">
        <v>70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ht="71.25" customHeight="1" spans="1:21">
      <c r="A4" s="10" t="s">
        <v>71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61.5" spans="1:21">
      <c r="A5" s="12" t="s">
        <v>72</v>
      </c>
      <c r="B5" s="13" t="s">
        <v>73</v>
      </c>
      <c r="C5" s="13" t="s">
        <v>74</v>
      </c>
      <c r="D5" s="13" t="s">
        <v>75</v>
      </c>
      <c r="E5" s="13" t="s">
        <v>76</v>
      </c>
      <c r="F5" s="13" t="s">
        <v>77</v>
      </c>
      <c r="G5" s="18" t="s">
        <v>78</v>
      </c>
      <c r="H5" s="18" t="s">
        <v>79</v>
      </c>
      <c r="I5" s="18" t="s">
        <v>80</v>
      </c>
      <c r="J5" s="13" t="s">
        <v>81</v>
      </c>
      <c r="K5" s="13" t="s">
        <v>82</v>
      </c>
      <c r="L5" s="13" t="s">
        <v>83</v>
      </c>
      <c r="M5" s="13" t="s">
        <v>84</v>
      </c>
      <c r="N5" s="12" t="s">
        <v>85</v>
      </c>
      <c r="O5" s="13" t="s">
        <v>86</v>
      </c>
      <c r="P5" s="13" t="s">
        <v>87</v>
      </c>
      <c r="Q5" s="13" t="s">
        <v>88</v>
      </c>
      <c r="R5" s="13" t="s">
        <v>89</v>
      </c>
      <c r="S5" s="13" t="s">
        <v>90</v>
      </c>
      <c r="T5" s="13" t="s">
        <v>91</v>
      </c>
      <c r="U5" s="13" t="s">
        <v>92</v>
      </c>
    </row>
    <row r="6" spans="1:21">
      <c r="A6" s="14" t="s">
        <v>93</v>
      </c>
      <c r="B6" s="15"/>
      <c r="C6" s="15"/>
      <c r="D6" s="16"/>
      <c r="E6" s="19"/>
      <c r="F6" s="19"/>
      <c r="G6" s="15"/>
      <c r="H6" s="19"/>
      <c r="I6" s="16"/>
      <c r="J6" s="15"/>
      <c r="K6" s="19"/>
      <c r="L6" s="15"/>
      <c r="M6" s="19"/>
      <c r="N6" s="16"/>
      <c r="O6" s="15"/>
      <c r="P6" s="19"/>
      <c r="Q6" s="20"/>
      <c r="R6" s="19"/>
      <c r="S6" s="16"/>
      <c r="T6" s="20"/>
      <c r="U6" s="19"/>
    </row>
    <row r="7" spans="1:21">
      <c r="A7" s="17" t="s">
        <v>50</v>
      </c>
      <c r="B7" s="15">
        <v>3000</v>
      </c>
      <c r="C7" s="15">
        <v>30</v>
      </c>
      <c r="D7" s="16">
        <v>0.01</v>
      </c>
      <c r="E7" s="19">
        <v>41</v>
      </c>
      <c r="F7" s="19">
        <v>1.4</v>
      </c>
      <c r="G7" s="15">
        <v>6</v>
      </c>
      <c r="H7" s="19">
        <v>60</v>
      </c>
      <c r="I7" s="16">
        <v>0.2</v>
      </c>
      <c r="J7" s="15">
        <v>0</v>
      </c>
      <c r="K7" s="19">
        <v>0</v>
      </c>
      <c r="L7" s="15">
        <v>8</v>
      </c>
      <c r="M7" s="19">
        <v>80</v>
      </c>
      <c r="N7" s="16">
        <v>0.25</v>
      </c>
      <c r="O7" s="15">
        <v>0</v>
      </c>
      <c r="P7" s="19">
        <v>0</v>
      </c>
      <c r="Q7" s="20">
        <v>9</v>
      </c>
      <c r="R7" s="19">
        <v>90</v>
      </c>
      <c r="S7" s="16">
        <v>0.3</v>
      </c>
      <c r="T7" s="20">
        <v>0</v>
      </c>
      <c r="U7" s="19">
        <v>0</v>
      </c>
    </row>
    <row r="8" spans="1:21">
      <c r="A8" s="17" t="s">
        <v>56</v>
      </c>
      <c r="B8" s="15">
        <v>12000</v>
      </c>
      <c r="C8" s="15">
        <v>120</v>
      </c>
      <c r="D8" s="16">
        <v>0.01</v>
      </c>
      <c r="E8" s="19">
        <v>175</v>
      </c>
      <c r="F8" s="19">
        <v>1.53333333333333</v>
      </c>
      <c r="G8" s="15">
        <v>24</v>
      </c>
      <c r="H8" s="19">
        <v>240</v>
      </c>
      <c r="I8" s="16">
        <v>0.2</v>
      </c>
      <c r="J8" s="15">
        <v>0</v>
      </c>
      <c r="K8" s="19">
        <v>0</v>
      </c>
      <c r="L8" s="15">
        <v>31</v>
      </c>
      <c r="M8" s="19">
        <v>310</v>
      </c>
      <c r="N8" s="16">
        <v>0.25</v>
      </c>
      <c r="O8" s="15">
        <v>0</v>
      </c>
      <c r="P8" s="19">
        <v>0</v>
      </c>
      <c r="Q8" s="20">
        <v>36</v>
      </c>
      <c r="R8" s="19">
        <v>360</v>
      </c>
      <c r="S8" s="16">
        <v>0.3</v>
      </c>
      <c r="T8" s="20">
        <v>0</v>
      </c>
      <c r="U8" s="19">
        <v>0</v>
      </c>
    </row>
    <row r="9" spans="1:21">
      <c r="A9" s="17" t="s">
        <v>58</v>
      </c>
      <c r="B9" s="15">
        <v>13000</v>
      </c>
      <c r="C9" s="15">
        <v>130</v>
      </c>
      <c r="D9" s="16">
        <v>0.01</v>
      </c>
      <c r="E9" s="19">
        <v>154</v>
      </c>
      <c r="F9" s="19">
        <v>1.15</v>
      </c>
      <c r="G9" s="15">
        <v>26</v>
      </c>
      <c r="H9" s="19">
        <v>260</v>
      </c>
      <c r="I9" s="16">
        <v>0.2</v>
      </c>
      <c r="J9" s="15">
        <v>0</v>
      </c>
      <c r="K9" s="19">
        <v>0</v>
      </c>
      <c r="L9" s="15">
        <v>33</v>
      </c>
      <c r="M9" s="19">
        <v>330</v>
      </c>
      <c r="N9" s="16">
        <v>0.25</v>
      </c>
      <c r="O9" s="15">
        <v>0</v>
      </c>
      <c r="P9" s="19">
        <v>0</v>
      </c>
      <c r="Q9" s="20">
        <v>39</v>
      </c>
      <c r="R9" s="19">
        <v>390</v>
      </c>
      <c r="S9" s="16">
        <v>0.3</v>
      </c>
      <c r="T9" s="20">
        <v>0</v>
      </c>
      <c r="U9" s="19">
        <v>0</v>
      </c>
    </row>
    <row r="10" spans="1:21">
      <c r="A10" s="14" t="s">
        <v>94</v>
      </c>
      <c r="B10" s="15">
        <v>28000</v>
      </c>
      <c r="C10" s="15">
        <v>280</v>
      </c>
      <c r="D10" s="16">
        <v>0.01</v>
      </c>
      <c r="E10" s="19">
        <v>370</v>
      </c>
      <c r="F10" s="19">
        <v>1.38571428571429</v>
      </c>
      <c r="G10" s="15">
        <v>56</v>
      </c>
      <c r="H10" s="19">
        <v>560</v>
      </c>
      <c r="I10" s="16">
        <v>0.2</v>
      </c>
      <c r="J10" s="15">
        <v>0</v>
      </c>
      <c r="K10" s="19">
        <v>0</v>
      </c>
      <c r="L10" s="15">
        <v>72</v>
      </c>
      <c r="M10" s="19">
        <v>720</v>
      </c>
      <c r="N10" s="16">
        <v>0.25</v>
      </c>
      <c r="O10" s="15">
        <v>0</v>
      </c>
      <c r="P10" s="19">
        <v>0</v>
      </c>
      <c r="Q10" s="20">
        <v>84</v>
      </c>
      <c r="R10" s="19">
        <v>840</v>
      </c>
      <c r="S10" s="16">
        <v>0.3</v>
      </c>
      <c r="T10" s="20">
        <v>0</v>
      </c>
      <c r="U10" s="19">
        <v>0</v>
      </c>
    </row>
    <row r="11" spans="1:21">
      <c r="A11" s="14" t="s">
        <v>95</v>
      </c>
      <c r="B11" s="15"/>
      <c r="C11" s="15"/>
      <c r="D11" s="16"/>
      <c r="E11" s="19"/>
      <c r="F11" s="19"/>
      <c r="G11" s="15"/>
      <c r="H11" s="19"/>
      <c r="I11" s="16"/>
      <c r="J11" s="15"/>
      <c r="K11" s="19"/>
      <c r="L11" s="15"/>
      <c r="M11" s="19"/>
      <c r="N11" s="16"/>
      <c r="O11" s="15"/>
      <c r="P11" s="19"/>
      <c r="Q11" s="20"/>
      <c r="R11" s="19"/>
      <c r="S11" s="16"/>
      <c r="T11" s="20"/>
      <c r="U11" s="19"/>
    </row>
    <row r="12" spans="1:21">
      <c r="A12" s="17" t="s">
        <v>50</v>
      </c>
      <c r="B12" s="15">
        <v>48900</v>
      </c>
      <c r="C12" s="15">
        <v>489</v>
      </c>
      <c r="D12" s="16">
        <v>0.01</v>
      </c>
      <c r="E12" s="19">
        <v>686.3</v>
      </c>
      <c r="F12" s="19">
        <v>1.38571428571429</v>
      </c>
      <c r="G12" s="15">
        <v>97</v>
      </c>
      <c r="H12" s="19">
        <v>970</v>
      </c>
      <c r="I12" s="16">
        <v>0.2</v>
      </c>
      <c r="J12" s="15">
        <v>0</v>
      </c>
      <c r="K12" s="19">
        <v>0</v>
      </c>
      <c r="L12" s="15">
        <v>125</v>
      </c>
      <c r="M12" s="19">
        <v>1250</v>
      </c>
      <c r="N12" s="16">
        <v>0.25</v>
      </c>
      <c r="O12" s="15">
        <v>0</v>
      </c>
      <c r="P12" s="19">
        <v>0</v>
      </c>
      <c r="Q12" s="20">
        <v>147</v>
      </c>
      <c r="R12" s="19">
        <v>1470</v>
      </c>
      <c r="S12" s="16">
        <v>0.3</v>
      </c>
      <c r="T12" s="20">
        <v>0</v>
      </c>
      <c r="U12" s="19">
        <v>0</v>
      </c>
    </row>
    <row r="13" spans="1:21">
      <c r="A13" s="17" t="s">
        <v>56</v>
      </c>
      <c r="B13" s="15">
        <v>45500</v>
      </c>
      <c r="C13" s="15">
        <v>455</v>
      </c>
      <c r="D13" s="16">
        <v>0.01</v>
      </c>
      <c r="E13" s="19">
        <v>634.4</v>
      </c>
      <c r="F13" s="19">
        <v>1.38571428571429</v>
      </c>
      <c r="G13" s="15">
        <v>90</v>
      </c>
      <c r="H13" s="19">
        <v>900</v>
      </c>
      <c r="I13" s="16">
        <v>0.2</v>
      </c>
      <c r="J13" s="15">
        <v>0</v>
      </c>
      <c r="K13" s="19">
        <v>0</v>
      </c>
      <c r="L13" s="15">
        <v>117</v>
      </c>
      <c r="M13" s="19">
        <v>1170</v>
      </c>
      <c r="N13" s="16">
        <v>0.25</v>
      </c>
      <c r="O13" s="15">
        <v>0</v>
      </c>
      <c r="P13" s="19">
        <v>0</v>
      </c>
      <c r="Q13" s="20">
        <v>137</v>
      </c>
      <c r="R13" s="19">
        <v>1370</v>
      </c>
      <c r="S13" s="16">
        <v>0.3</v>
      </c>
      <c r="T13" s="20">
        <v>0</v>
      </c>
      <c r="U13" s="19">
        <v>0</v>
      </c>
    </row>
    <row r="14" spans="1:21">
      <c r="A14" s="17" t="s">
        <v>58</v>
      </c>
      <c r="B14" s="15">
        <v>48300</v>
      </c>
      <c r="C14" s="15">
        <v>483</v>
      </c>
      <c r="D14" s="16">
        <v>0.01</v>
      </c>
      <c r="E14" s="19">
        <v>663.5</v>
      </c>
      <c r="F14" s="19">
        <v>1.38571428571429</v>
      </c>
      <c r="G14" s="15">
        <v>96</v>
      </c>
      <c r="H14" s="19">
        <v>960</v>
      </c>
      <c r="I14" s="16">
        <v>0.2</v>
      </c>
      <c r="J14" s="15">
        <v>0</v>
      </c>
      <c r="K14" s="19">
        <v>0</v>
      </c>
      <c r="L14" s="15">
        <v>124</v>
      </c>
      <c r="M14" s="19">
        <v>1240</v>
      </c>
      <c r="N14" s="16">
        <v>0.25</v>
      </c>
      <c r="O14" s="15">
        <v>0</v>
      </c>
      <c r="P14" s="19">
        <v>0</v>
      </c>
      <c r="Q14" s="20">
        <v>146</v>
      </c>
      <c r="R14" s="19">
        <v>1460</v>
      </c>
      <c r="S14" s="16">
        <v>0.3</v>
      </c>
      <c r="T14" s="20">
        <v>0</v>
      </c>
      <c r="U14" s="19">
        <v>0</v>
      </c>
    </row>
    <row r="15" spans="1:21">
      <c r="A15" s="17" t="s">
        <v>62</v>
      </c>
      <c r="B15" s="15">
        <v>41000</v>
      </c>
      <c r="C15" s="15">
        <v>410</v>
      </c>
      <c r="D15" s="16">
        <v>0.01</v>
      </c>
      <c r="E15" s="19">
        <v>585.8</v>
      </c>
      <c r="F15" s="19">
        <v>1.5</v>
      </c>
      <c r="G15" s="15">
        <v>81</v>
      </c>
      <c r="H15" s="19">
        <v>810</v>
      </c>
      <c r="I15" s="16">
        <v>0.2</v>
      </c>
      <c r="J15" s="15">
        <v>0</v>
      </c>
      <c r="K15" s="19">
        <v>0</v>
      </c>
      <c r="L15" s="15">
        <v>105</v>
      </c>
      <c r="M15" s="19">
        <v>1050</v>
      </c>
      <c r="N15" s="16">
        <v>0.25</v>
      </c>
      <c r="O15" s="15">
        <v>0</v>
      </c>
      <c r="P15" s="19">
        <v>0</v>
      </c>
      <c r="Q15" s="20">
        <v>124</v>
      </c>
      <c r="R15" s="19">
        <v>1240</v>
      </c>
      <c r="S15" s="16">
        <v>0.3</v>
      </c>
      <c r="T15" s="20">
        <v>0</v>
      </c>
      <c r="U15" s="19">
        <v>0</v>
      </c>
    </row>
    <row r="16" spans="1:21">
      <c r="A16" s="17" t="s">
        <v>63</v>
      </c>
      <c r="B16" s="15">
        <v>38200</v>
      </c>
      <c r="C16" s="15">
        <v>382</v>
      </c>
      <c r="D16" s="16">
        <v>0.01</v>
      </c>
      <c r="E16" s="19">
        <v>527.6</v>
      </c>
      <c r="F16" s="19">
        <v>1.35</v>
      </c>
      <c r="G16" s="15">
        <v>76</v>
      </c>
      <c r="H16" s="19">
        <v>760</v>
      </c>
      <c r="I16" s="16">
        <v>0.2</v>
      </c>
      <c r="J16" s="15">
        <v>0</v>
      </c>
      <c r="K16" s="19">
        <v>0</v>
      </c>
      <c r="L16" s="15">
        <v>98</v>
      </c>
      <c r="M16" s="19">
        <v>980</v>
      </c>
      <c r="N16" s="16">
        <v>0.25</v>
      </c>
      <c r="O16" s="15">
        <v>0</v>
      </c>
      <c r="P16" s="19">
        <v>0</v>
      </c>
      <c r="Q16" s="20">
        <v>115</v>
      </c>
      <c r="R16" s="19">
        <v>1150</v>
      </c>
      <c r="S16" s="16">
        <v>0.3</v>
      </c>
      <c r="T16" s="20">
        <v>0</v>
      </c>
      <c r="U16" s="19">
        <v>0</v>
      </c>
    </row>
    <row r="17" spans="1:21">
      <c r="A17" s="14" t="s">
        <v>96</v>
      </c>
      <c r="B17" s="15">
        <v>221900</v>
      </c>
      <c r="C17" s="15">
        <v>2219</v>
      </c>
      <c r="D17" s="16">
        <v>0.01</v>
      </c>
      <c r="E17" s="19">
        <v>3097.6</v>
      </c>
      <c r="F17" s="19">
        <v>1.4</v>
      </c>
      <c r="G17" s="15">
        <v>440</v>
      </c>
      <c r="H17" s="19">
        <v>4400</v>
      </c>
      <c r="I17" s="16">
        <v>0.2</v>
      </c>
      <c r="J17" s="15">
        <v>0</v>
      </c>
      <c r="K17" s="19">
        <v>0</v>
      </c>
      <c r="L17" s="15">
        <v>569</v>
      </c>
      <c r="M17" s="19">
        <v>5690</v>
      </c>
      <c r="N17" s="16">
        <v>0.25</v>
      </c>
      <c r="O17" s="15">
        <v>0</v>
      </c>
      <c r="P17" s="19">
        <v>0</v>
      </c>
      <c r="Q17" s="20">
        <v>669</v>
      </c>
      <c r="R17" s="19">
        <v>6690</v>
      </c>
      <c r="S17" s="16">
        <v>0.3</v>
      </c>
      <c r="T17" s="20">
        <v>0</v>
      </c>
      <c r="U17" s="19">
        <v>0</v>
      </c>
    </row>
    <row r="18" spans="1:21">
      <c r="A18" s="14" t="s">
        <v>97</v>
      </c>
      <c r="B18" s="15">
        <v>249900</v>
      </c>
      <c r="C18" s="15">
        <v>2499</v>
      </c>
      <c r="D18" s="16">
        <v>0.01</v>
      </c>
      <c r="E18" s="19">
        <v>3467.6</v>
      </c>
      <c r="F18" s="19">
        <v>1.3975</v>
      </c>
      <c r="G18" s="15">
        <v>496</v>
      </c>
      <c r="H18" s="19">
        <v>4960</v>
      </c>
      <c r="I18" s="16">
        <v>0.2</v>
      </c>
      <c r="J18" s="15">
        <v>0</v>
      </c>
      <c r="K18" s="19">
        <v>0</v>
      </c>
      <c r="L18" s="15">
        <v>641</v>
      </c>
      <c r="M18" s="19">
        <v>6410</v>
      </c>
      <c r="N18" s="16">
        <v>0.25</v>
      </c>
      <c r="O18" s="15">
        <v>0</v>
      </c>
      <c r="P18" s="19">
        <v>0</v>
      </c>
      <c r="Q18" s="20">
        <v>753</v>
      </c>
      <c r="R18" s="19">
        <v>7530</v>
      </c>
      <c r="S18" s="16">
        <v>0.3</v>
      </c>
      <c r="T18" s="20">
        <v>0</v>
      </c>
      <c r="U18" s="19">
        <v>0</v>
      </c>
    </row>
  </sheetData>
  <sheetProtection formatCells="0" insertHyperlinks="0" autoFilter="0"/>
  <mergeCells count="1">
    <mergeCell ref="A4:U4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3" sqref="C3"/>
    </sheetView>
  </sheetViews>
  <sheetFormatPr defaultColWidth="9" defaultRowHeight="12.75" outlineLevelRow="5" outlineLevelCol="3"/>
  <cols>
    <col min="1" max="2" width="18.6666666666667" customWidth="1"/>
    <col min="3" max="3" width="27.7333333333333" customWidth="1"/>
    <col min="4" max="4" width="71.0666666666667" customWidth="1"/>
    <col min="5" max="5" width="61" customWidth="1"/>
    <col min="6" max="6" width="141.866666666667" customWidth="1"/>
  </cols>
  <sheetData>
    <row r="1" spans="1:4">
      <c r="A1" s="1" t="s">
        <v>98</v>
      </c>
      <c r="B1" s="1" t="s">
        <v>99</v>
      </c>
      <c r="C1" s="1" t="s">
        <v>100</v>
      </c>
      <c r="D1" s="1" t="s">
        <v>101</v>
      </c>
    </row>
    <row r="2" ht="24" spans="1:4">
      <c r="A2" s="2" t="s">
        <v>102</v>
      </c>
      <c r="B2" s="2">
        <v>1</v>
      </c>
      <c r="C2" s="3" t="s">
        <v>103</v>
      </c>
      <c r="D2" s="4" t="s">
        <v>104</v>
      </c>
    </row>
    <row r="3" ht="132.75" spans="1:4">
      <c r="A3" s="5" t="s">
        <v>105</v>
      </c>
      <c r="B3" s="2">
        <v>2</v>
      </c>
      <c r="C3" s="3" t="s">
        <v>106</v>
      </c>
      <c r="D3" s="4" t="s">
        <v>107</v>
      </c>
    </row>
    <row r="4" ht="48.75" spans="1:4">
      <c r="A4" s="5" t="s">
        <v>108</v>
      </c>
      <c r="B4" s="2">
        <v>3</v>
      </c>
      <c r="C4" s="3" t="s">
        <v>109</v>
      </c>
      <c r="D4" s="4" t="s">
        <v>110</v>
      </c>
    </row>
    <row r="6" spans="4:4">
      <c r="D6" t="s">
        <v>111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>
  <commentList sheetStid="25">
    <comment s:ref="AI2" rgbClr="FF0000">
      <item id="{8f0c7487-d723-45e9-92b5-53aa8cc3bfa2}" isNormal="1">
        <s:text>
          <s:r>
            <s:t xml:space="preserve">自动生成：
产品名称</s:t>
          </s:r>
        </s:text>
      </item>
    </comment>
    <comment s:ref="AJ2" rgbClr="FF0000">
      <item id="{0f107764-a460-4515-b960-a7e8193b5149}" isNormal="1">
        <s:text>
          <s:r>
            <s:t xml:space="preserve">自动生成：
产品ASIN</s:t>
          </s:r>
        </s:text>
      </item>
    </comment>
    <comment s:ref="AK2" rgbClr="FF0000">
      <item id="{9b362c49-0c26-43e7-987b-2e9e13a28217}" isNormal="1">
        <s:text>
          <s:r>
            <s:t xml:space="preserve">自动生成：
广告日期</s:t>
          </s:r>
        </s:text>
      </item>
    </comment>
    <comment s:ref="AL2" rgbClr="FF0000">
      <item id="{6a93e64a-62d7-42aa-ab69-d9a693e3e0af}" isNormal="1">
        <s:text>
          <s:r>
            <s:t xml:space="preserve">自动生成：
广告年月</s:t>
          </s:r>
        </s:text>
      </item>
    </comment>
  </commentList>
</comments>
</file>

<file path=customXml/item2.xml><?xml version="1.0" encoding="utf-8"?>
<woProps xmlns="https://web.wps.cn/et/2018/main" xmlns:s="http://schemas.openxmlformats.org/spreadsheetml/2006/main">
  <woSheetsProps>
    <woSheetProps sheetStid="14" interlineOnOff="0" interlineColor="0" isDbSheet="0" isDashBoardSheet="0"/>
    <woSheetProps sheetStid="25" interlineOnOff="0" interlineColor="0" isDbSheet="0" isDashBoardSheet="0"/>
    <woSheetProps sheetStid="42" interlineOnOff="0" interlineColor="0" isDbSheet="0" isDashBoardSheet="0">
      <pivotTables>
        <pivotTable pivotTableName="数据透视表1" sourceDataDirty="1"/>
      </pivotTables>
    </woSheetProps>
    <woSheetProps sheetStid="36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4" master=""/>
  <rangeList sheetStid="25" master=""/>
  <rangeList sheetStid="42" master=""/>
  <rangeList sheetStid="36" master=""/>
</allowEditUser>
</file>

<file path=customXml/item4.xml><?xml version="1.0" encoding="utf-8"?>
<pixelators xmlns="https://web.wps.cn/et/2018/main" xmlns:s="http://schemas.openxmlformats.org/spreadsheetml/2006/main">
  <pixelatorList sheetStid="14"/>
  <pixelatorList sheetStid="25"/>
  <pixelatorList sheetStid="42"/>
  <pixelatorList sheetStid="36"/>
  <pixelatorList sheetStid="4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SKU表</vt:lpstr>
      <vt:lpstr>广告数据报表</vt:lpstr>
      <vt:lpstr>广告透视表</vt:lpstr>
      <vt:lpstr>用法说明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10038</dc:creator>
  <cp:lastModifiedBy>Champions</cp:lastModifiedBy>
  <dcterms:created xsi:type="dcterms:W3CDTF">2017-07-27T15:58:00Z</dcterms:created>
  <cp:lastPrinted>2017-11-01T23:41:00Z</cp:lastPrinted>
  <dcterms:modified xsi:type="dcterms:W3CDTF">2019-09-05T12:01:00Z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TC034580729991</vt:lpwstr>
  </property>
  <property fmtid="{D5CDD505-2E9C-101B-9397-08002B2CF9AE}" pid="3" name="KSORubyTemplateID" linkTarget="0">
    <vt:lpwstr>9</vt:lpwstr>
  </property>
  <property fmtid="{D5CDD505-2E9C-101B-9397-08002B2CF9AE}" pid="4" name="KSOProductBuildVer">
    <vt:lpwstr>2052-0.0.0.0</vt:lpwstr>
  </property>
</Properties>
</file>