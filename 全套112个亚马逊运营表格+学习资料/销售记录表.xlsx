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770" windowHeight="8370"/>
  </bookViews>
  <sheets>
    <sheet name="销售记录" sheetId="1" r:id="rId1"/>
    <sheet name="重点产品数据跟踪" sheetId="5" r:id="rId2"/>
    <sheet name="FBA库存" sheetId="7" r:id="rId3"/>
    <sheet name="业务报表" sheetId="6" r:id="rId4"/>
    <sheet name="广告费用" sheetId="8" r:id="rId5"/>
    <sheet name="排名+评分" sheetId="9" r:id="rId6"/>
  </sheets>
  <externalReferences>
    <externalReference r:id="rId8"/>
  </externalReferences>
  <definedNames>
    <definedName name="ATTRIBUTEPTDMAP">[1]attributePTDMap!$A$1:$B$83</definedName>
    <definedName name="item_type_">'[1]Dropdown Lists'!$A$4</definedName>
    <definedName name="_xlnm._FilterDatabase" localSheetId="2" hidden="1">FBA库存!$A$1:$AU$2</definedName>
  </definedNames>
  <calcPr calcId="144525" concurrentCalc="0"/>
  <pivotCaches>
    <pivotCache cacheId="0" r:id="rId7"/>
  </pivotCaches>
</workbook>
</file>

<file path=xl/sharedStrings.xml><?xml version="1.0" encoding="utf-8"?>
<sst xmlns="http://schemas.openxmlformats.org/spreadsheetml/2006/main" count="157">
  <si>
    <r>
      <rPr>
        <b/>
        <sz val="11"/>
        <rFont val="Calibri"/>
        <charset val="134"/>
      </rPr>
      <t>201803</t>
    </r>
    <r>
      <rPr>
        <b/>
        <sz val="11"/>
        <rFont val="宋体"/>
        <charset val="134"/>
      </rPr>
      <t>月份销售明细</t>
    </r>
  </si>
  <si>
    <t>三月销量</t>
  </si>
  <si>
    <t>三月销售额</t>
  </si>
  <si>
    <r>
      <rPr>
        <b/>
        <sz val="11"/>
        <rFont val="Calibri"/>
        <charset val="134"/>
      </rPr>
      <t>201804</t>
    </r>
    <r>
      <rPr>
        <b/>
        <sz val="11"/>
        <rFont val="宋体"/>
        <charset val="134"/>
      </rPr>
      <t>月份销售明细</t>
    </r>
  </si>
  <si>
    <t>四月销量</t>
  </si>
  <si>
    <t>四月销售</t>
  </si>
  <si>
    <r>
      <rPr>
        <b/>
        <sz val="11"/>
        <rFont val="Calibri"/>
        <charset val="134"/>
      </rPr>
      <t>201805</t>
    </r>
    <r>
      <rPr>
        <b/>
        <sz val="11"/>
        <rFont val="宋体"/>
        <charset val="134"/>
      </rPr>
      <t>月份销售明细</t>
    </r>
  </si>
  <si>
    <t>ASIN</t>
  </si>
  <si>
    <t>SKU</t>
  </si>
  <si>
    <r>
      <rPr>
        <b/>
        <sz val="12"/>
        <rFont val="宋体"/>
        <charset val="134"/>
      </rPr>
      <t>产品</t>
    </r>
  </si>
  <si>
    <t>客单价</t>
  </si>
  <si>
    <t>超链</t>
  </si>
  <si>
    <r>
      <rPr>
        <b/>
        <sz val="12"/>
        <color theme="1"/>
        <rFont val="Calibri"/>
        <charset val="134"/>
      </rPr>
      <t>FBA</t>
    </r>
    <r>
      <rPr>
        <b/>
        <sz val="12"/>
        <color theme="1"/>
        <rFont val="宋体"/>
        <charset val="134"/>
      </rPr>
      <t>在途</t>
    </r>
  </si>
  <si>
    <r>
      <rPr>
        <b/>
        <sz val="11"/>
        <color theme="1"/>
        <rFont val="Calibri"/>
        <charset val="134"/>
      </rPr>
      <t>FBA</t>
    </r>
    <r>
      <rPr>
        <b/>
        <sz val="11"/>
        <color theme="1"/>
        <rFont val="宋体"/>
        <charset val="134"/>
      </rPr>
      <t>库存</t>
    </r>
  </si>
  <si>
    <r>
      <rPr>
        <b/>
        <sz val="11"/>
        <color rgb="FFFF0000"/>
        <rFont val="宋体"/>
        <charset val="134"/>
      </rPr>
      <t>下月目标</t>
    </r>
  </si>
  <si>
    <r>
      <rPr>
        <b/>
        <sz val="11"/>
        <color theme="1"/>
        <rFont val="Arial"/>
        <charset val="134"/>
      </rPr>
      <t>总计</t>
    </r>
  </si>
  <si>
    <r>
      <rPr>
        <b/>
        <sz val="11"/>
        <color theme="1"/>
        <rFont val="宋体"/>
        <charset val="134"/>
      </rPr>
      <t>完成比例</t>
    </r>
  </si>
  <si>
    <r>
      <rPr>
        <b/>
        <sz val="11"/>
        <color theme="1"/>
        <rFont val="Arial"/>
        <charset val="134"/>
      </rPr>
      <t>加权平均</t>
    </r>
  </si>
  <si>
    <r>
      <rPr>
        <b/>
        <sz val="11"/>
        <color theme="1"/>
        <rFont val="Arial"/>
        <charset val="134"/>
      </rPr>
      <t>预计下月</t>
    </r>
  </si>
  <si>
    <t>4月目标</t>
  </si>
  <si>
    <t>总计</t>
  </si>
  <si>
    <t>5月目标</t>
  </si>
  <si>
    <r>
      <rPr>
        <sz val="11"/>
        <color theme="1"/>
        <rFont val="Arial"/>
        <charset val="134"/>
      </rPr>
      <t>合计</t>
    </r>
  </si>
  <si>
    <t>B01M72VYXM</t>
  </si>
  <si>
    <t>宠物梳</t>
  </si>
  <si>
    <r>
      <rPr>
        <b/>
        <sz val="12"/>
        <color theme="1"/>
        <rFont val="宋体"/>
        <charset val="134"/>
      </rPr>
      <t>产品</t>
    </r>
  </si>
  <si>
    <t>指标</t>
  </si>
  <si>
    <t>4.2-4.8</t>
  </si>
  <si>
    <t>4.9-4.15</t>
  </si>
  <si>
    <t>4.16-4.22</t>
  </si>
  <si>
    <t>4.23-4.30</t>
  </si>
  <si>
    <t>5.1-5.6</t>
  </si>
  <si>
    <t>5.7-5.13</t>
  </si>
  <si>
    <t>5.14-5.20</t>
  </si>
  <si>
    <t>周销量</t>
  </si>
  <si>
    <t>日均销量</t>
  </si>
  <si>
    <t>销售额</t>
  </si>
  <si>
    <t>广告销售额</t>
  </si>
  <si>
    <t>流量</t>
  </si>
  <si>
    <t>转化率</t>
  </si>
  <si>
    <t>排名</t>
  </si>
  <si>
    <t>7/1767</t>
  </si>
  <si>
    <t>8/2020</t>
  </si>
  <si>
    <t>3/1109</t>
  </si>
  <si>
    <t>9/1626</t>
  </si>
  <si>
    <t>5./1458</t>
  </si>
  <si>
    <t>评论数</t>
  </si>
  <si>
    <t>评分</t>
  </si>
  <si>
    <t>推广费用</t>
  </si>
  <si>
    <t>推广费用占比</t>
  </si>
  <si>
    <t>snapshot-date</t>
  </si>
  <si>
    <t>sku</t>
  </si>
  <si>
    <t>fnsku</t>
  </si>
  <si>
    <t>asin</t>
  </si>
  <si>
    <t>product-name</t>
  </si>
  <si>
    <t>condition</t>
  </si>
  <si>
    <t>sales-rank</t>
  </si>
  <si>
    <t>product-group</t>
  </si>
  <si>
    <t>total-quantity</t>
  </si>
  <si>
    <t>sellable-quantity</t>
  </si>
  <si>
    <t>unsellable-quantity</t>
  </si>
  <si>
    <t>inv-age-0-to-90-days</t>
  </si>
  <si>
    <t>inv-age-91-to-180-days</t>
  </si>
  <si>
    <t>inv-age-181-to-270-days</t>
  </si>
  <si>
    <t>inv-age-271-to-365-days</t>
  </si>
  <si>
    <t>inv-age-365-plus-days</t>
  </si>
  <si>
    <t>units-shipped-last-24-hrs</t>
  </si>
  <si>
    <t>units-shipped-last-7-days</t>
  </si>
  <si>
    <t>units-shipped-last-30-days</t>
  </si>
  <si>
    <t>units-shipped-last-90-days</t>
  </si>
  <si>
    <t>units-shipped-last-180-days</t>
  </si>
  <si>
    <t>units-shipped-last-365-days</t>
  </si>
  <si>
    <t>weeks-of-cover-t7</t>
  </si>
  <si>
    <t>weeks-of-cover-t30</t>
  </si>
  <si>
    <t>weeks-of-cover-t90</t>
  </si>
  <si>
    <t>weeks-of-cover-t180</t>
  </si>
  <si>
    <t>weeks-of-cover-t365</t>
  </si>
  <si>
    <t>num-afn-new-sellers</t>
  </si>
  <si>
    <t>num-afn-used-sellers</t>
  </si>
  <si>
    <t>currency</t>
  </si>
  <si>
    <t>your-price</t>
  </si>
  <si>
    <t>sales-price</t>
  </si>
  <si>
    <t>lowest-afn-new-price</t>
  </si>
  <si>
    <t>lowest-afn-used-price</t>
  </si>
  <si>
    <t>lowest-mfn-new-price</t>
  </si>
  <si>
    <t>lowest-mfn-used-price</t>
  </si>
  <si>
    <t>qty-to-be-charged-ltsf-12-mo</t>
  </si>
  <si>
    <t>qty-in-long-term-storage-program</t>
  </si>
  <si>
    <t>qty-with-removals-in-progress</t>
  </si>
  <si>
    <t>projected-ltsf-12-mo</t>
  </si>
  <si>
    <t>per-unit-volume</t>
  </si>
  <si>
    <t>is-hazmat</t>
  </si>
  <si>
    <t>in-bound-quantity</t>
  </si>
  <si>
    <t>asin-limit</t>
  </si>
  <si>
    <t>inbound-recommend-quantity</t>
  </si>
  <si>
    <t>qty-to-be-charged-ltsf-6-mo</t>
  </si>
  <si>
    <t>projected-ltsf-6-mo</t>
  </si>
  <si>
    <t>2018-05-19T23:00:00+00:00</t>
  </si>
  <si>
    <t>Pet Grooming Undercoat Rake Comb Tool Kit, Double Sided Blade Rake Comb and Grooming Comb, Morpilot Pet Dematting Stripping Comb for Dogs and Cats-Removes Loose Undercoat, Knots, Mats and Tangled Hair</t>
  </si>
  <si>
    <t>New</t>
  </si>
  <si>
    <t>pet_products_display_on_website</t>
  </si>
  <si>
    <t>GBP</t>
  </si>
  <si>
    <t>N</t>
  </si>
  <si>
    <t>(Parent) ASIN</t>
  </si>
  <si>
    <t>(Child) ASIN</t>
  </si>
  <si>
    <t>Title</t>
  </si>
  <si>
    <t>Sessions</t>
  </si>
  <si>
    <t>Session Percentage</t>
  </si>
  <si>
    <t>Page Views</t>
  </si>
  <si>
    <t>Page Views Percentage</t>
  </si>
  <si>
    <t>Buy Box Percentage</t>
  </si>
  <si>
    <t>Units Ordered</t>
  </si>
  <si>
    <t>Units Ordered – B2B</t>
  </si>
  <si>
    <t>Unit Session Percentage</t>
  </si>
  <si>
    <t>Unit Session Percentage – B2B</t>
  </si>
  <si>
    <t>Ordered Product Sales</t>
  </si>
  <si>
    <t>Ordered Product Sales – B2B</t>
  </si>
  <si>
    <t>Total Order Items</t>
  </si>
  <si>
    <t>Total Order Items – B2B</t>
  </si>
  <si>
    <t>B076B27ZRD</t>
  </si>
  <si>
    <t>求和项:Spend</t>
  </si>
  <si>
    <t>求和项:Sales</t>
  </si>
  <si>
    <t>1011028-1</t>
  </si>
  <si>
    <t>2041015-2</t>
  </si>
  <si>
    <t>2051005-2</t>
  </si>
  <si>
    <t>2081001-1</t>
  </si>
  <si>
    <t>2100002-1</t>
  </si>
  <si>
    <t>2100003-1</t>
  </si>
  <si>
    <t>2100004-1</t>
  </si>
  <si>
    <t>2100008-2</t>
  </si>
  <si>
    <t>2100009-1</t>
  </si>
  <si>
    <t>2300006-1</t>
  </si>
  <si>
    <t>2371039-1</t>
  </si>
  <si>
    <t>#</t>
  </si>
  <si>
    <t>商品名称</t>
  </si>
  <si>
    <t>品牌</t>
  </si>
  <si>
    <t>价格</t>
  </si>
  <si>
    <t>最低售价</t>
  </si>
  <si>
    <t>净利</t>
  </si>
  <si>
    <t>FBA费用</t>
  </si>
  <si>
    <t>LQS</t>
  </si>
  <si>
    <t>品类</t>
  </si>
  <si>
    <t>卖家</t>
  </si>
  <si>
    <t>预计销量</t>
  </si>
  <si>
    <t>预估收入</t>
  </si>
  <si>
    <t>第#条评论</t>
  </si>
  <si>
    <t>RPR</t>
  </si>
  <si>
    <t>生效日期</t>
  </si>
  <si>
    <t>重量</t>
  </si>
  <si>
    <t>变体</t>
  </si>
  <si>
    <t>链接</t>
  </si>
  <si>
    <t>morpilot</t>
  </si>
  <si>
    <t>Pet Supplies</t>
  </si>
  <si>
    <t>7/23/2016</t>
  </si>
  <si>
    <t>FBA</t>
  </si>
  <si>
    <t>https://www.amazon.co.uk/dp/B01M72VYXM</t>
  </si>
  <si>
    <t>Saved from URL https://www.amazon.co.uk/s/ref=sr_pg_1?me=A1UV2AENXGRF1A&amp;rh=i%3Amerchant-items&amp;ie=UTF8&amp;qid=1527491491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</si>
</sst>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 "/>
  </numFmts>
  <fonts count="4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Calibri"/>
      <charset val="134"/>
    </font>
    <font>
      <b/>
      <sz val="12"/>
      <color theme="1"/>
      <name val="宋体"/>
      <charset val="134"/>
    </font>
    <font>
      <sz val="11"/>
      <name val="宋体"/>
      <charset val="134"/>
      <scheme val="minor"/>
    </font>
    <font>
      <sz val="11"/>
      <name val="Calibri"/>
      <charset val="134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  <scheme val="minor"/>
    </font>
    <font>
      <b/>
      <sz val="11"/>
      <name val="Calibri"/>
      <charset val="134"/>
    </font>
    <font>
      <b/>
      <sz val="11"/>
      <color theme="1"/>
      <name val="Calibri"/>
      <charset val="134"/>
    </font>
    <font>
      <b/>
      <sz val="12"/>
      <name val="Calibri"/>
      <charset val="134"/>
    </font>
    <font>
      <b/>
      <sz val="11"/>
      <color rgb="FFFF0000"/>
      <name val="Calibri"/>
      <charset val="134"/>
    </font>
    <font>
      <sz val="12"/>
      <color theme="1"/>
      <name val="Calibri"/>
      <charset val="134"/>
    </font>
    <font>
      <sz val="11"/>
      <color theme="1"/>
      <name val="宋体"/>
      <charset val="134"/>
    </font>
    <font>
      <b/>
      <sz val="11"/>
      <name val="宋体"/>
      <charset val="134"/>
    </font>
    <font>
      <b/>
      <sz val="11"/>
      <color rgb="FFFF0000"/>
      <name val="宋体"/>
      <charset val="134"/>
    </font>
    <font>
      <b/>
      <sz val="11"/>
      <color theme="1"/>
      <name val="宋体"/>
      <charset val="134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2"/>
      <name val="宋体"/>
      <charset val="134"/>
    </font>
    <font>
      <b/>
      <sz val="11"/>
      <color theme="1"/>
      <name val="Arial"/>
      <charset val="134"/>
    </font>
    <font>
      <sz val="11"/>
      <color theme="1"/>
      <name val="Arial"/>
      <charset val="134"/>
    </font>
  </fonts>
  <fills count="4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85961485641"/>
        <bgColor indexed="64"/>
      </patternFill>
    </fill>
    <fill>
      <patternFill patternType="solid">
        <fgColor theme="9" tint="0.79985961485641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737540818506"/>
        <bgColor indexed="64"/>
      </patternFill>
    </fill>
    <fill>
      <patternFill patternType="solid">
        <fgColor theme="9" tint="0.799737540818506"/>
        <bgColor indexed="64"/>
      </patternFill>
    </fill>
    <fill>
      <patternFill patternType="solid">
        <fgColor theme="9" tint="0.799676503799554"/>
        <bgColor indexed="64"/>
      </patternFill>
    </fill>
    <fill>
      <patternFill patternType="solid">
        <fgColor theme="4" tint="0.79967650379955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676503799554"/>
        <bgColor indexed="64"/>
      </patternFill>
    </fill>
    <fill>
      <patternFill patternType="solid">
        <fgColor theme="5" tint="0.399670400097659"/>
        <bgColor indexed="64"/>
      </patternFill>
    </fill>
    <fill>
      <patternFill patternType="solid">
        <fgColor theme="5" tint="0.79973754081850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33" fillId="25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28" borderId="15" applyNumberFormat="0" applyFont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5" fillId="18" borderId="11" applyNumberFormat="0" applyAlignment="0" applyProtection="0">
      <alignment vertical="center"/>
    </xf>
    <xf numFmtId="0" fontId="32" fillId="18" borderId="14" applyNumberFormat="0" applyAlignment="0" applyProtection="0">
      <alignment vertical="center"/>
    </xf>
    <xf numFmtId="0" fontId="24" fillId="17" borderId="10" applyNumberFormat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8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10" fontId="2" fillId="0" borderId="0" xfId="0" applyNumberFormat="1" applyFont="1" applyFill="1" applyAlignment="1">
      <alignment vertical="center"/>
    </xf>
    <xf numFmtId="9" fontId="2" fillId="0" borderId="0" xfId="0" applyNumberFormat="1" applyFont="1" applyFill="1" applyAlignment="1">
      <alignment vertical="center"/>
    </xf>
    <xf numFmtId="0" fontId="0" fillId="0" borderId="0" xfId="0" applyAlignment="1">
      <alignment vertical="center" wrapText="1"/>
    </xf>
    <xf numFmtId="10" fontId="0" fillId="0" borderId="0" xfId="0" applyNumberFormat="1">
      <alignment vertical="center"/>
    </xf>
    <xf numFmtId="0" fontId="0" fillId="2" borderId="0" xfId="0" applyFill="1" applyBorder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3" fillId="3" borderId="3" xfId="0" applyNumberFormat="1" applyFont="1" applyFill="1" applyBorder="1" applyAlignment="1">
      <alignment horizontal="center" vertical="center" wrapText="1"/>
    </xf>
    <xf numFmtId="0" fontId="3" fillId="3" borderId="4" xfId="0" applyNumberFormat="1" applyFont="1" applyFill="1" applyBorder="1" applyAlignment="1">
      <alignment horizontal="center" vertical="center" wrapText="1"/>
    </xf>
    <xf numFmtId="0" fontId="3" fillId="3" borderId="5" xfId="0" applyNumberFormat="1" applyFont="1" applyFill="1" applyBorder="1" applyAlignment="1">
      <alignment horizontal="center" vertical="center" wrapText="1"/>
    </xf>
    <xf numFmtId="0" fontId="4" fillId="3" borderId="4" xfId="0" applyNumberFormat="1" applyFont="1" applyFill="1" applyBorder="1" applyAlignment="1">
      <alignment horizontal="center" vertical="center" wrapText="1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 applyAlignment="1">
      <alignment vertical="center" wrapText="1"/>
    </xf>
    <xf numFmtId="0" fontId="0" fillId="4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6" fillId="2" borderId="9" xfId="0" applyNumberFormat="1" applyFont="1" applyFill="1" applyBorder="1" applyAlignment="1">
      <alignment horizontal="center" vertical="center"/>
    </xf>
    <xf numFmtId="0" fontId="7" fillId="2" borderId="1" xfId="0" applyNumberFormat="1" applyFont="1" applyFill="1" applyBorder="1" applyAlignment="1">
      <alignment horizontal="center" vertical="center"/>
    </xf>
    <xf numFmtId="0" fontId="6" fillId="2" borderId="2" xfId="0" applyNumberFormat="1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2" borderId="9" xfId="0" applyFill="1" applyBorder="1">
      <alignment vertical="center"/>
    </xf>
    <xf numFmtId="0" fontId="8" fillId="0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10" fontId="5" fillId="0" borderId="4" xfId="0" applyNumberFormat="1" applyFont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10" fontId="6" fillId="2" borderId="9" xfId="0" applyNumberFormat="1" applyFont="1" applyFill="1" applyBorder="1" applyAlignment="1">
      <alignment horizontal="center" vertical="center"/>
    </xf>
    <xf numFmtId="10" fontId="7" fillId="2" borderId="1" xfId="0" applyNumberFormat="1" applyFont="1" applyFill="1" applyBorder="1" applyAlignment="1">
      <alignment horizontal="center" vertical="center"/>
    </xf>
    <xf numFmtId="10" fontId="6" fillId="2" borderId="2" xfId="0" applyNumberFormat="1" applyFont="1" applyFill="1" applyBorder="1" applyAlignment="1">
      <alignment horizontal="center" vertical="center" wrapText="1"/>
    </xf>
    <xf numFmtId="10" fontId="0" fillId="0" borderId="4" xfId="0" applyNumberFormat="1" applyFont="1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0" fontId="10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vertical="center" wrapText="1"/>
    </xf>
    <xf numFmtId="0" fontId="7" fillId="5" borderId="4" xfId="0" applyFont="1" applyFill="1" applyBorder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0" fontId="7" fillId="0" borderId="4" xfId="0" applyFont="1" applyBorder="1">
      <alignment vertical="center"/>
    </xf>
    <xf numFmtId="0" fontId="7" fillId="6" borderId="4" xfId="0" applyFont="1" applyFill="1" applyBorder="1">
      <alignment vertical="center"/>
    </xf>
    <xf numFmtId="0" fontId="7" fillId="7" borderId="4" xfId="0" applyFont="1" applyFill="1" applyBorder="1" applyAlignment="1">
      <alignment horizontal="center" vertical="center"/>
    </xf>
    <xf numFmtId="10" fontId="7" fillId="8" borderId="4" xfId="0" applyNumberFormat="1" applyFont="1" applyFill="1" applyBorder="1" applyAlignment="1">
      <alignment horizontal="center" vertical="center"/>
    </xf>
    <xf numFmtId="0" fontId="7" fillId="0" borderId="4" xfId="0" applyFont="1" applyFill="1" applyBorder="1">
      <alignment vertical="center"/>
    </xf>
    <xf numFmtId="0" fontId="7" fillId="6" borderId="4" xfId="0" applyFont="1" applyFill="1" applyBorder="1" applyAlignment="1">
      <alignment horizontal="center" vertical="center"/>
    </xf>
    <xf numFmtId="10" fontId="7" fillId="0" borderId="4" xfId="0" applyNumberFormat="1" applyFont="1" applyBorder="1">
      <alignment vertical="center"/>
    </xf>
    <xf numFmtId="0" fontId="11" fillId="0" borderId="4" xfId="0" applyNumberFormat="1" applyFont="1" applyFill="1" applyBorder="1" applyAlignment="1">
      <alignment vertical="center"/>
    </xf>
    <xf numFmtId="0" fontId="11" fillId="0" borderId="4" xfId="0" applyNumberFormat="1" applyFont="1" applyFill="1" applyBorder="1" applyAlignment="1">
      <alignment horizontal="center" vertical="center"/>
    </xf>
    <xf numFmtId="0" fontId="11" fillId="0" borderId="4" xfId="0" applyNumberFormat="1" applyFont="1" applyFill="1" applyBorder="1" applyAlignment="1">
      <alignment horizontal="right" vertical="center"/>
    </xf>
    <xf numFmtId="14" fontId="11" fillId="0" borderId="4" xfId="0" applyNumberFormat="1" applyFont="1" applyFill="1" applyBorder="1" applyAlignment="1">
      <alignment horizontal="center" vertical="center"/>
    </xf>
    <xf numFmtId="0" fontId="11" fillId="0" borderId="4" xfId="0" applyNumberFormat="1" applyFont="1" applyFill="1" applyBorder="1" applyAlignment="1">
      <alignment horizontal="center" vertical="center" wrapText="1"/>
    </xf>
    <xf numFmtId="0" fontId="12" fillId="6" borderId="4" xfId="0" applyNumberFormat="1" applyFont="1" applyFill="1" applyBorder="1" applyAlignment="1">
      <alignment vertical="center" wrapText="1"/>
    </xf>
    <xf numFmtId="0" fontId="3" fillId="9" borderId="4" xfId="0" applyNumberFormat="1" applyFont="1" applyFill="1" applyBorder="1" applyAlignment="1">
      <alignment horizontal="center" vertical="center" wrapText="1"/>
    </xf>
    <xf numFmtId="0" fontId="13" fillId="9" borderId="4" xfId="0" applyNumberFormat="1" applyFont="1" applyFill="1" applyBorder="1" applyAlignment="1">
      <alignment horizontal="center" vertical="center" wrapText="1"/>
    </xf>
    <xf numFmtId="0" fontId="4" fillId="9" borderId="4" xfId="0" applyNumberFormat="1" applyFont="1" applyFill="1" applyBorder="1" applyAlignment="1">
      <alignment horizontal="center" vertical="center" wrapText="1"/>
    </xf>
    <xf numFmtId="0" fontId="12" fillId="10" borderId="4" xfId="0" applyNumberFormat="1" applyFont="1" applyFill="1" applyBorder="1" applyAlignment="1">
      <alignment horizontal="center" vertical="center" wrapText="1"/>
    </xf>
    <xf numFmtId="0" fontId="14" fillId="6" borderId="4" xfId="0" applyNumberFormat="1" applyFont="1" applyFill="1" applyBorder="1" applyAlignment="1">
      <alignment horizontal="center" vertical="center" wrapText="1"/>
    </xf>
    <xf numFmtId="0" fontId="15" fillId="5" borderId="4" xfId="0" applyNumberFormat="1" applyFont="1" applyFill="1" applyBorder="1" applyAlignment="1">
      <alignment horizontal="center" vertical="center" wrapText="1"/>
    </xf>
    <xf numFmtId="0" fontId="7" fillId="5" borderId="4" xfId="0" applyNumberFormat="1" applyFont="1" applyFill="1" applyBorder="1" applyAlignment="1">
      <alignment horizontal="center" vertical="center" wrapText="1"/>
    </xf>
    <xf numFmtId="0" fontId="7" fillId="6" borderId="4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/>
    </xf>
    <xf numFmtId="0" fontId="15" fillId="0" borderId="4" xfId="0" applyNumberFormat="1" applyFont="1" applyFill="1" applyBorder="1" applyAlignment="1">
      <alignment horizontal="center" vertical="center" wrapText="1"/>
    </xf>
    <xf numFmtId="0" fontId="11" fillId="11" borderId="4" xfId="0" applyNumberFormat="1" applyFont="1" applyFill="1" applyBorder="1" applyAlignment="1">
      <alignment vertical="center"/>
    </xf>
    <xf numFmtId="0" fontId="11" fillId="11" borderId="4" xfId="0" applyNumberFormat="1" applyFont="1" applyFill="1" applyBorder="1" applyAlignment="1">
      <alignment vertical="center" wrapText="1"/>
    </xf>
    <xf numFmtId="0" fontId="12" fillId="9" borderId="4" xfId="0" applyNumberFormat="1" applyFont="1" applyFill="1" applyBorder="1" applyAlignment="1">
      <alignment horizontal="center" vertical="center" wrapText="1"/>
    </xf>
    <xf numFmtId="0" fontId="12" fillId="12" borderId="4" xfId="0" applyNumberFormat="1" applyFont="1" applyFill="1" applyBorder="1" applyAlignment="1">
      <alignment horizontal="center" vertical="center" wrapText="1"/>
    </xf>
    <xf numFmtId="0" fontId="7" fillId="2" borderId="4" xfId="0" applyFont="1" applyFill="1" applyBorder="1">
      <alignment vertical="center"/>
    </xf>
    <xf numFmtId="0" fontId="17" fillId="7" borderId="4" xfId="0" applyNumberFormat="1" applyFont="1" applyFill="1" applyBorder="1" applyAlignment="1">
      <alignment horizontal="center" vertical="center" wrapText="1"/>
    </xf>
    <xf numFmtId="0" fontId="12" fillId="6" borderId="4" xfId="0" applyNumberFormat="1" applyFont="1" applyFill="1" applyBorder="1" applyAlignment="1">
      <alignment horizontal="center" vertical="center" wrapText="1"/>
    </xf>
    <xf numFmtId="0" fontId="12" fillId="7" borderId="4" xfId="0" applyNumberFormat="1" applyFont="1" applyFill="1" applyBorder="1" applyAlignment="1">
      <alignment horizontal="center" vertical="center" wrapText="1"/>
    </xf>
    <xf numFmtId="10" fontId="11" fillId="13" borderId="4" xfId="0" applyNumberFormat="1" applyFont="1" applyFill="1" applyBorder="1" applyAlignment="1">
      <alignment horizontal="center" vertical="center" wrapText="1"/>
    </xf>
    <xf numFmtId="0" fontId="7" fillId="11" borderId="4" xfId="0" applyNumberFormat="1" applyFont="1" applyFill="1" applyBorder="1">
      <alignment vertical="center"/>
    </xf>
    <xf numFmtId="0" fontId="7" fillId="13" borderId="4" xfId="0" applyNumberFormat="1" applyFont="1" applyFill="1" applyBorder="1">
      <alignment vertical="center"/>
    </xf>
    <xf numFmtId="10" fontId="12" fillId="8" borderId="4" xfId="0" applyNumberFormat="1" applyFont="1" applyFill="1" applyBorder="1" applyAlignment="1">
      <alignment horizontal="center" vertical="center" wrapText="1"/>
    </xf>
    <xf numFmtId="176" fontId="12" fillId="9" borderId="4" xfId="0" applyNumberFormat="1" applyFont="1" applyFill="1" applyBorder="1" applyAlignment="1">
      <alignment horizontal="center" vertical="center" wrapText="1"/>
    </xf>
    <xf numFmtId="0" fontId="18" fillId="6" borderId="4" xfId="0" applyNumberFormat="1" applyFont="1" applyFill="1" applyBorder="1" applyAlignment="1">
      <alignment horizontal="center" vertical="center" wrapText="1"/>
    </xf>
    <xf numFmtId="10" fontId="7" fillId="6" borderId="4" xfId="0" applyNumberFormat="1" applyFont="1" applyFill="1" applyBorder="1" applyAlignment="1">
      <alignment horizontal="center" vertical="center"/>
    </xf>
    <xf numFmtId="0" fontId="19" fillId="7" borderId="4" xfId="0" applyNumberFormat="1" applyFont="1" applyFill="1" applyBorder="1" applyAlignment="1">
      <alignment horizontal="center" vertical="center" wrapText="1"/>
    </xf>
    <xf numFmtId="0" fontId="7" fillId="14" borderId="4" xfId="0" applyFont="1" applyFill="1" applyBorder="1" applyAlignment="1">
      <alignment vertical="center" wrapText="1"/>
    </xf>
    <xf numFmtId="10" fontId="7" fillId="5" borderId="4" xfId="0" applyNumberFormat="1" applyFont="1" applyFill="1" applyBorder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dxfs count="2">
    <dxf>
      <fill>
        <patternFill patternType="solid">
          <bgColor rgb="FFFF9900"/>
        </patternFill>
      </fill>
    </dxf>
    <dxf>
      <font>
        <color rgb="FF9C0006"/>
      </font>
    </dxf>
  </dxfs>
  <tableStyles count="0" defaultTableStyle="TableStyleMedium2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see1\Documents\Tencent%20Files\798136393\FileRecv\Chemises%20f0033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Data Definitions"/>
      <sheetName val="Template"/>
      <sheetName val="icons"/>
      <sheetName val="International URLs"/>
      <sheetName val="International Settings"/>
      <sheetName val="Valid Values"/>
      <sheetName val="DropdownSizer"/>
      <sheetName val="International Translations"/>
      <sheetName val="Data Validation"/>
      <sheetName val="International Data"/>
      <sheetName val="Example"/>
      <sheetName val="Dropdown Lists"/>
      <sheetName val="attributePTDM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\Users\hasee\Downloads\Sponsored Products Bulk File 14-05-2018 - 20-05-2018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3242.4984490741" refreshedBy="hasee" recordCount="137">
  <cacheSource type="worksheet">
    <worksheetSource ref="A1:C138" sheet="Sheet3" r:id="rId2"/>
  </cacheSource>
  <cacheFields count="3">
    <cacheField name="SKU" numFmtId="0">
      <sharedItems containsNumber="1" containsInteger="1" containsMixedTypes="1" count="66">
        <n v="2061043"/>
        <s v="2100003-1"/>
        <n v="2051008"/>
        <n v="2391021"/>
        <n v="2271040"/>
        <s v="2041015-2"/>
        <n v="2041005"/>
        <n v="2371038"/>
        <n v="2091012"/>
        <s v="2371039-1"/>
        <n v="1071004"/>
        <n v="2041001"/>
        <n v="2091017"/>
        <n v="2300011"/>
        <n v="2041002"/>
        <n v="1071008"/>
        <n v="2100013"/>
        <n v="2062009"/>
        <n v="2091010"/>
        <n v="2071037"/>
        <n v="2062010"/>
        <n v="2100014"/>
        <n v="1051019"/>
        <n v="1051025"/>
        <n v="2042012"/>
        <n v="2042018"/>
        <n v="1071001"/>
        <n v="2100012"/>
        <s v="2100002-1"/>
        <n v="2041010"/>
        <n v="2041006"/>
        <n v="1011013"/>
        <s v="2100009-1"/>
        <n v="1051001"/>
        <n v="1051007"/>
        <n v="2291016"/>
        <s v="2100004-1"/>
        <n v="1011002"/>
        <n v="2071024"/>
        <s v="2100008-2"/>
        <s v="1011028-1"/>
        <n v="1071005"/>
        <n v="2310002"/>
        <n v="2211036"/>
        <n v="1012010"/>
        <n v="2091005"/>
        <n v="2362004"/>
        <n v="2011029"/>
        <n v="1051028"/>
        <n v="2011004"/>
        <n v="2011015"/>
        <n v="1041001"/>
        <n v="2361001"/>
        <n v="2100001"/>
        <n v="2031008"/>
        <s v="2081001-1"/>
        <n v="2031009"/>
        <s v="2051005-2"/>
        <s v="2300006-1"/>
        <n v="1071006"/>
        <n v="1051003"/>
        <n v="1071002"/>
        <n v="1071003"/>
        <n v="1051002"/>
        <n v="2091014"/>
        <n v="1071007"/>
      </sharedItems>
    </cacheField>
    <cacheField name="Spend" numFmtId="0">
      <sharedItems containsSemiMixedTypes="0" containsString="0" containsNumber="1" minValue="0" maxValue="191.81" count="107">
        <n v="0"/>
        <n v="0.87"/>
        <n v="1.66"/>
        <n v="2.43"/>
        <n v="0.97"/>
        <n v="5.32"/>
        <n v="2.48"/>
        <n v="1.54"/>
        <n v="28.54"/>
        <n v="5.78"/>
        <n v="0.33"/>
        <n v="2.6"/>
        <n v="0.82"/>
        <n v="1.48"/>
        <n v="29"/>
        <n v="1.88"/>
        <n v="7.34"/>
        <n v="14.54"/>
        <n v="2.91"/>
        <n v="4.74"/>
        <n v="1.64"/>
        <n v="0.69"/>
        <n v="11.81"/>
        <n v="1.35"/>
        <n v="21.7"/>
        <n v="15.92"/>
        <n v="0.49"/>
        <n v="9.03"/>
        <n v="0.42"/>
        <n v="0.98"/>
        <n v="12.02"/>
        <n v="1.8"/>
        <n v="10.66"/>
        <n v="2"/>
        <n v="1.47"/>
        <n v="0.48"/>
        <n v="3.9"/>
        <n v="0.14"/>
        <n v="5.56"/>
        <n v="11.05"/>
        <n v="5"/>
        <n v="8.91"/>
        <n v="45.68"/>
        <n v="0.35"/>
        <n v="2.97"/>
        <n v="19.04"/>
        <n v="15.59"/>
        <n v="5.96"/>
        <n v="10.77"/>
        <n v="11.33"/>
        <n v="0.88"/>
        <n v="2.24"/>
        <n v="1.12"/>
        <n v="5.11"/>
        <n v="2.89"/>
        <n v="2.04"/>
        <n v="0.62"/>
        <n v="23.81"/>
        <n v="0.93"/>
        <n v="3.77"/>
        <n v="0.5"/>
        <n v="2.4"/>
        <n v="0.72"/>
        <n v="2.74"/>
        <n v="1.2"/>
        <n v="1.03"/>
        <n v="1.22"/>
        <n v="1.68"/>
        <n v="4.53"/>
        <n v="0.19"/>
        <n v="26.58"/>
        <n v="24.28"/>
        <n v="23.23"/>
        <n v="2.06"/>
        <n v="1.81"/>
        <n v="0.75"/>
        <n v="1.25"/>
        <n v="1.77"/>
        <n v="2.58"/>
        <n v="41.27"/>
        <n v="2.45"/>
        <n v="0.56"/>
        <n v="14.43"/>
        <n v="20.04"/>
        <n v="45.5"/>
        <n v="4.63"/>
        <n v="101.46"/>
        <n v="5.66"/>
        <n v="191.81"/>
        <n v="21"/>
        <n v="15.1"/>
        <n v="16.06"/>
        <n v="16.21"/>
        <n v="5.82"/>
        <n v="26.78"/>
        <n v="20.74"/>
        <n v="2.7"/>
        <n v="0.6"/>
        <n v="3.94"/>
        <n v="0.17"/>
        <n v="1.26"/>
        <n v="38.87"/>
        <n v="4.28"/>
        <n v="15.2"/>
        <n v="0.95"/>
        <n v="3.37"/>
        <n v="135.63"/>
      </sharedItems>
    </cacheField>
    <cacheField name="Sales" numFmtId="0">
      <sharedItems containsSemiMixedTypes="0" containsString="0" containsNumber="1" minValue="0" maxValue="907.4" count="49">
        <n v="0"/>
        <n v="25.99"/>
        <n v="97.93"/>
        <n v="8.99"/>
        <n v="153.93"/>
        <n v="39.98"/>
        <n v="35.99"/>
        <n v="107.94"/>
        <n v="18.49"/>
        <n v="39.96"/>
        <n v="45.98"/>
        <n v="44.48"/>
        <n v="127.97"/>
        <n v="39.99"/>
        <n v="19.99"/>
        <n v="80.97"/>
        <n v="124.94"/>
        <n v="53.98"/>
        <n v="132.92"/>
        <n v="152.91"/>
        <n v="24.99"/>
        <n v="17.98"/>
        <n v="22.99"/>
        <n v="65.97"/>
        <n v="158.97"/>
        <n v="17.99"/>
        <n v="104.45"/>
        <n v="53.94"/>
        <n v="89.9"/>
        <n v="188.94"/>
        <n v="223.91"/>
        <n v="19.89"/>
        <n v="45.58"/>
        <n v="276.92"/>
        <n v="43.98"/>
        <n v="21.99"/>
        <n v="131.94"/>
        <n v="517.65"/>
        <n v="758.5"/>
        <n v="60.96"/>
        <n v="83.94"/>
        <n v="50.97"/>
        <n v="19.49"/>
        <n v="91.96"/>
        <n v="59.97"/>
        <n v="107.96"/>
        <n v="47.97"/>
        <n v="68.97"/>
        <n v="907.4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7">
  <r>
    <x v="0"/>
    <x v="0"/>
    <x v="0"/>
  </r>
  <r>
    <x v="1"/>
    <x v="1"/>
    <x v="0"/>
  </r>
  <r>
    <x v="2"/>
    <x v="0"/>
    <x v="0"/>
  </r>
  <r>
    <x v="3"/>
    <x v="2"/>
    <x v="0"/>
  </r>
  <r>
    <x v="4"/>
    <x v="3"/>
    <x v="0"/>
  </r>
  <r>
    <x v="5"/>
    <x v="0"/>
    <x v="0"/>
  </r>
  <r>
    <x v="6"/>
    <x v="4"/>
    <x v="1"/>
  </r>
  <r>
    <x v="7"/>
    <x v="5"/>
    <x v="2"/>
  </r>
  <r>
    <x v="8"/>
    <x v="0"/>
    <x v="0"/>
  </r>
  <r>
    <x v="8"/>
    <x v="6"/>
    <x v="3"/>
  </r>
  <r>
    <x v="9"/>
    <x v="7"/>
    <x v="0"/>
  </r>
  <r>
    <x v="10"/>
    <x v="8"/>
    <x v="4"/>
  </r>
  <r>
    <x v="11"/>
    <x v="9"/>
    <x v="5"/>
  </r>
  <r>
    <x v="11"/>
    <x v="0"/>
    <x v="0"/>
  </r>
  <r>
    <x v="11"/>
    <x v="10"/>
    <x v="0"/>
  </r>
  <r>
    <x v="12"/>
    <x v="11"/>
    <x v="3"/>
  </r>
  <r>
    <x v="9"/>
    <x v="12"/>
    <x v="0"/>
  </r>
  <r>
    <x v="13"/>
    <x v="0"/>
    <x v="0"/>
  </r>
  <r>
    <x v="13"/>
    <x v="0"/>
    <x v="0"/>
  </r>
  <r>
    <x v="13"/>
    <x v="0"/>
    <x v="0"/>
  </r>
  <r>
    <x v="14"/>
    <x v="13"/>
    <x v="6"/>
  </r>
  <r>
    <x v="3"/>
    <x v="0"/>
    <x v="0"/>
  </r>
  <r>
    <x v="15"/>
    <x v="14"/>
    <x v="7"/>
  </r>
  <r>
    <x v="16"/>
    <x v="0"/>
    <x v="0"/>
  </r>
  <r>
    <x v="17"/>
    <x v="15"/>
    <x v="8"/>
  </r>
  <r>
    <x v="18"/>
    <x v="16"/>
    <x v="9"/>
  </r>
  <r>
    <x v="19"/>
    <x v="17"/>
    <x v="10"/>
  </r>
  <r>
    <x v="20"/>
    <x v="18"/>
    <x v="8"/>
  </r>
  <r>
    <x v="21"/>
    <x v="19"/>
    <x v="0"/>
  </r>
  <r>
    <x v="22"/>
    <x v="0"/>
    <x v="0"/>
  </r>
  <r>
    <x v="23"/>
    <x v="20"/>
    <x v="0"/>
  </r>
  <r>
    <x v="23"/>
    <x v="0"/>
    <x v="0"/>
  </r>
  <r>
    <x v="17"/>
    <x v="21"/>
    <x v="0"/>
  </r>
  <r>
    <x v="17"/>
    <x v="22"/>
    <x v="11"/>
  </r>
  <r>
    <x v="24"/>
    <x v="23"/>
    <x v="0"/>
  </r>
  <r>
    <x v="25"/>
    <x v="24"/>
    <x v="12"/>
  </r>
  <r>
    <x v="24"/>
    <x v="0"/>
    <x v="0"/>
  </r>
  <r>
    <x v="25"/>
    <x v="0"/>
    <x v="0"/>
  </r>
  <r>
    <x v="25"/>
    <x v="25"/>
    <x v="13"/>
  </r>
  <r>
    <x v="24"/>
    <x v="26"/>
    <x v="0"/>
  </r>
  <r>
    <x v="25"/>
    <x v="27"/>
    <x v="13"/>
  </r>
  <r>
    <x v="24"/>
    <x v="28"/>
    <x v="0"/>
  </r>
  <r>
    <x v="24"/>
    <x v="0"/>
    <x v="0"/>
  </r>
  <r>
    <x v="25"/>
    <x v="29"/>
    <x v="0"/>
  </r>
  <r>
    <x v="26"/>
    <x v="30"/>
    <x v="0"/>
  </r>
  <r>
    <x v="27"/>
    <x v="12"/>
    <x v="3"/>
  </r>
  <r>
    <x v="28"/>
    <x v="31"/>
    <x v="0"/>
  </r>
  <r>
    <x v="28"/>
    <x v="32"/>
    <x v="5"/>
  </r>
  <r>
    <x v="28"/>
    <x v="33"/>
    <x v="0"/>
  </r>
  <r>
    <x v="28"/>
    <x v="34"/>
    <x v="14"/>
  </r>
  <r>
    <x v="29"/>
    <x v="35"/>
    <x v="0"/>
  </r>
  <r>
    <x v="30"/>
    <x v="35"/>
    <x v="0"/>
  </r>
  <r>
    <x v="31"/>
    <x v="28"/>
    <x v="0"/>
  </r>
  <r>
    <x v="32"/>
    <x v="36"/>
    <x v="15"/>
  </r>
  <r>
    <x v="1"/>
    <x v="37"/>
    <x v="0"/>
  </r>
  <r>
    <x v="1"/>
    <x v="38"/>
    <x v="0"/>
  </r>
  <r>
    <x v="1"/>
    <x v="0"/>
    <x v="0"/>
  </r>
  <r>
    <x v="13"/>
    <x v="0"/>
    <x v="0"/>
  </r>
  <r>
    <x v="33"/>
    <x v="39"/>
    <x v="16"/>
  </r>
  <r>
    <x v="34"/>
    <x v="40"/>
    <x v="17"/>
  </r>
  <r>
    <x v="33"/>
    <x v="41"/>
    <x v="16"/>
  </r>
  <r>
    <x v="35"/>
    <x v="42"/>
    <x v="18"/>
  </r>
  <r>
    <x v="36"/>
    <x v="43"/>
    <x v="0"/>
  </r>
  <r>
    <x v="36"/>
    <x v="0"/>
    <x v="0"/>
  </r>
  <r>
    <x v="36"/>
    <x v="44"/>
    <x v="0"/>
  </r>
  <r>
    <x v="37"/>
    <x v="4"/>
    <x v="0"/>
  </r>
  <r>
    <x v="38"/>
    <x v="45"/>
    <x v="5"/>
  </r>
  <r>
    <x v="39"/>
    <x v="0"/>
    <x v="0"/>
  </r>
  <r>
    <x v="40"/>
    <x v="46"/>
    <x v="19"/>
  </r>
  <r>
    <x v="41"/>
    <x v="47"/>
    <x v="20"/>
  </r>
  <r>
    <x v="42"/>
    <x v="48"/>
    <x v="21"/>
  </r>
  <r>
    <x v="43"/>
    <x v="49"/>
    <x v="0"/>
  </r>
  <r>
    <x v="44"/>
    <x v="50"/>
    <x v="0"/>
  </r>
  <r>
    <x v="44"/>
    <x v="0"/>
    <x v="0"/>
  </r>
  <r>
    <x v="44"/>
    <x v="51"/>
    <x v="0"/>
  </r>
  <r>
    <x v="44"/>
    <x v="1"/>
    <x v="0"/>
  </r>
  <r>
    <x v="44"/>
    <x v="52"/>
    <x v="0"/>
  </r>
  <r>
    <x v="45"/>
    <x v="53"/>
    <x v="0"/>
  </r>
  <r>
    <x v="46"/>
    <x v="0"/>
    <x v="0"/>
  </r>
  <r>
    <x v="47"/>
    <x v="54"/>
    <x v="10"/>
  </r>
  <r>
    <x v="47"/>
    <x v="55"/>
    <x v="22"/>
  </r>
  <r>
    <x v="16"/>
    <x v="56"/>
    <x v="0"/>
  </r>
  <r>
    <x v="48"/>
    <x v="57"/>
    <x v="23"/>
  </r>
  <r>
    <x v="49"/>
    <x v="58"/>
    <x v="24"/>
  </r>
  <r>
    <x v="32"/>
    <x v="59"/>
    <x v="17"/>
  </r>
  <r>
    <x v="32"/>
    <x v="60"/>
    <x v="0"/>
  </r>
  <r>
    <x v="32"/>
    <x v="61"/>
    <x v="0"/>
  </r>
  <r>
    <x v="50"/>
    <x v="62"/>
    <x v="25"/>
  </r>
  <r>
    <x v="51"/>
    <x v="63"/>
    <x v="26"/>
  </r>
  <r>
    <x v="52"/>
    <x v="64"/>
    <x v="0"/>
  </r>
  <r>
    <x v="52"/>
    <x v="65"/>
    <x v="0"/>
  </r>
  <r>
    <x v="53"/>
    <x v="52"/>
    <x v="0"/>
  </r>
  <r>
    <x v="27"/>
    <x v="66"/>
    <x v="0"/>
  </r>
  <r>
    <x v="27"/>
    <x v="0"/>
    <x v="0"/>
  </r>
  <r>
    <x v="27"/>
    <x v="67"/>
    <x v="0"/>
  </r>
  <r>
    <x v="54"/>
    <x v="68"/>
    <x v="0"/>
  </r>
  <r>
    <x v="55"/>
    <x v="69"/>
    <x v="0"/>
  </r>
  <r>
    <x v="42"/>
    <x v="29"/>
    <x v="3"/>
  </r>
  <r>
    <x v="42"/>
    <x v="70"/>
    <x v="27"/>
  </r>
  <r>
    <x v="42"/>
    <x v="71"/>
    <x v="28"/>
  </r>
  <r>
    <x v="22"/>
    <x v="72"/>
    <x v="29"/>
  </r>
  <r>
    <x v="22"/>
    <x v="73"/>
    <x v="30"/>
  </r>
  <r>
    <x v="52"/>
    <x v="74"/>
    <x v="0"/>
  </r>
  <r>
    <x v="52"/>
    <x v="75"/>
    <x v="31"/>
  </r>
  <r>
    <x v="56"/>
    <x v="76"/>
    <x v="0"/>
  </r>
  <r>
    <x v="45"/>
    <x v="77"/>
    <x v="32"/>
  </r>
  <r>
    <x v="48"/>
    <x v="78"/>
    <x v="0"/>
  </r>
  <r>
    <x v="23"/>
    <x v="79"/>
    <x v="33"/>
  </r>
  <r>
    <x v="36"/>
    <x v="80"/>
    <x v="0"/>
  </r>
  <r>
    <x v="57"/>
    <x v="81"/>
    <x v="0"/>
  </r>
  <r>
    <x v="21"/>
    <x v="82"/>
    <x v="34"/>
  </r>
  <r>
    <x v="21"/>
    <x v="83"/>
    <x v="35"/>
  </r>
  <r>
    <x v="21"/>
    <x v="84"/>
    <x v="36"/>
  </r>
  <r>
    <x v="58"/>
    <x v="85"/>
    <x v="0"/>
  </r>
  <r>
    <x v="58"/>
    <x v="86"/>
    <x v="37"/>
  </r>
  <r>
    <x v="58"/>
    <x v="87"/>
    <x v="0"/>
  </r>
  <r>
    <x v="58"/>
    <x v="88"/>
    <x v="38"/>
  </r>
  <r>
    <x v="58"/>
    <x v="89"/>
    <x v="39"/>
  </r>
  <r>
    <x v="58"/>
    <x v="90"/>
    <x v="39"/>
  </r>
  <r>
    <x v="34"/>
    <x v="91"/>
    <x v="40"/>
  </r>
  <r>
    <x v="33"/>
    <x v="92"/>
    <x v="41"/>
  </r>
  <r>
    <x v="7"/>
    <x v="93"/>
    <x v="42"/>
  </r>
  <r>
    <x v="19"/>
    <x v="0"/>
    <x v="0"/>
  </r>
  <r>
    <x v="19"/>
    <x v="94"/>
    <x v="43"/>
  </r>
  <r>
    <x v="59"/>
    <x v="95"/>
    <x v="44"/>
  </r>
  <r>
    <x v="28"/>
    <x v="96"/>
    <x v="0"/>
  </r>
  <r>
    <x v="20"/>
    <x v="97"/>
    <x v="0"/>
  </r>
  <r>
    <x v="20"/>
    <x v="98"/>
    <x v="0"/>
  </r>
  <r>
    <x v="60"/>
    <x v="0"/>
    <x v="0"/>
  </r>
  <r>
    <x v="61"/>
    <x v="99"/>
    <x v="0"/>
  </r>
  <r>
    <x v="26"/>
    <x v="100"/>
    <x v="0"/>
  </r>
  <r>
    <x v="43"/>
    <x v="101"/>
    <x v="45"/>
  </r>
  <r>
    <x v="62"/>
    <x v="102"/>
    <x v="20"/>
  </r>
  <r>
    <x v="63"/>
    <x v="103"/>
    <x v="46"/>
  </r>
  <r>
    <x v="64"/>
    <x v="104"/>
    <x v="0"/>
  </r>
  <r>
    <x v="65"/>
    <x v="105"/>
    <x v="47"/>
  </r>
  <r>
    <x v="58"/>
    <x v="106"/>
    <x v="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4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C70" firstHeaderRow="0" firstDataRow="1" firstDataCol="1"/>
  <pivotFields count="3">
    <pivotField axis="axisRow" compact="0" showAll="0">
      <items count="67">
        <item x="37"/>
        <item x="31"/>
        <item x="44"/>
        <item x="51"/>
        <item x="33"/>
        <item x="63"/>
        <item x="60"/>
        <item x="34"/>
        <item x="22"/>
        <item x="23"/>
        <item x="48"/>
        <item x="26"/>
        <item x="61"/>
        <item x="62"/>
        <item x="10"/>
        <item x="41"/>
        <item x="59"/>
        <item x="65"/>
        <item x="15"/>
        <item x="49"/>
        <item x="50"/>
        <item x="47"/>
        <item x="54"/>
        <item x="56"/>
        <item x="11"/>
        <item x="14"/>
        <item x="6"/>
        <item x="30"/>
        <item x="29"/>
        <item x="24"/>
        <item x="25"/>
        <item x="2"/>
        <item x="0"/>
        <item x="17"/>
        <item x="20"/>
        <item x="38"/>
        <item x="19"/>
        <item x="45"/>
        <item x="18"/>
        <item x="8"/>
        <item x="64"/>
        <item x="12"/>
        <item x="53"/>
        <item x="27"/>
        <item x="16"/>
        <item x="21"/>
        <item x="43"/>
        <item x="4"/>
        <item x="35"/>
        <item x="13"/>
        <item x="42"/>
        <item x="52"/>
        <item x="46"/>
        <item x="7"/>
        <item x="3"/>
        <item x="40"/>
        <item x="5"/>
        <item x="57"/>
        <item x="55"/>
        <item x="28"/>
        <item x="1"/>
        <item x="36"/>
        <item x="39"/>
        <item x="32"/>
        <item x="58"/>
        <item x="9"/>
        <item t="default"/>
      </items>
    </pivotField>
    <pivotField dataField="1" compact="0" showAll="0">
      <items count="108">
        <item x="0"/>
        <item x="37"/>
        <item x="99"/>
        <item x="69"/>
        <item x="10"/>
        <item x="43"/>
        <item x="28"/>
        <item x="35"/>
        <item x="26"/>
        <item x="60"/>
        <item x="81"/>
        <item x="97"/>
        <item x="56"/>
        <item x="21"/>
        <item x="62"/>
        <item x="75"/>
        <item x="12"/>
        <item x="1"/>
        <item x="50"/>
        <item x="58"/>
        <item x="104"/>
        <item x="4"/>
        <item x="29"/>
        <item x="65"/>
        <item x="52"/>
        <item x="64"/>
        <item x="66"/>
        <item x="76"/>
        <item x="100"/>
        <item x="23"/>
        <item x="34"/>
        <item x="13"/>
        <item x="7"/>
        <item x="20"/>
        <item x="2"/>
        <item x="67"/>
        <item x="77"/>
        <item x="31"/>
        <item x="74"/>
        <item x="15"/>
        <item x="33"/>
        <item x="55"/>
        <item x="73"/>
        <item x="51"/>
        <item x="61"/>
        <item x="3"/>
        <item x="80"/>
        <item x="6"/>
        <item x="78"/>
        <item x="11"/>
        <item x="96"/>
        <item x="63"/>
        <item x="54"/>
        <item x="18"/>
        <item x="44"/>
        <item x="105"/>
        <item x="59"/>
        <item x="36"/>
        <item x="98"/>
        <item x="102"/>
        <item x="68"/>
        <item x="85"/>
        <item x="19"/>
        <item x="40"/>
        <item x="53"/>
        <item x="5"/>
        <item x="38"/>
        <item x="87"/>
        <item x="9"/>
        <item x="93"/>
        <item x="47"/>
        <item x="16"/>
        <item x="41"/>
        <item x="27"/>
        <item x="32"/>
        <item x="48"/>
        <item x="39"/>
        <item x="49"/>
        <item x="22"/>
        <item x="30"/>
        <item x="82"/>
        <item x="17"/>
        <item x="90"/>
        <item x="103"/>
        <item x="46"/>
        <item x="25"/>
        <item x="91"/>
        <item x="92"/>
        <item x="45"/>
        <item x="83"/>
        <item x="95"/>
        <item x="89"/>
        <item x="24"/>
        <item x="72"/>
        <item x="57"/>
        <item x="71"/>
        <item x="70"/>
        <item x="94"/>
        <item x="8"/>
        <item x="14"/>
        <item x="101"/>
        <item x="79"/>
        <item x="84"/>
        <item x="42"/>
        <item x="86"/>
        <item x="106"/>
        <item x="88"/>
        <item t="default"/>
      </items>
    </pivotField>
    <pivotField dataField="1" compact="0" showAll="0">
      <items count="50">
        <item x="0"/>
        <item x="3"/>
        <item x="21"/>
        <item x="25"/>
        <item x="8"/>
        <item x="42"/>
        <item x="31"/>
        <item x="14"/>
        <item x="35"/>
        <item x="22"/>
        <item x="20"/>
        <item x="1"/>
        <item x="6"/>
        <item x="9"/>
        <item x="5"/>
        <item x="13"/>
        <item x="34"/>
        <item x="11"/>
        <item x="32"/>
        <item x="10"/>
        <item x="46"/>
        <item x="41"/>
        <item x="27"/>
        <item x="17"/>
        <item x="44"/>
        <item x="39"/>
        <item x="23"/>
        <item x="47"/>
        <item x="15"/>
        <item x="40"/>
        <item x="28"/>
        <item x="43"/>
        <item x="2"/>
        <item x="26"/>
        <item x="7"/>
        <item x="45"/>
        <item x="16"/>
        <item x="12"/>
        <item x="36"/>
        <item x="18"/>
        <item x="19"/>
        <item x="4"/>
        <item x="24"/>
        <item x="29"/>
        <item x="30"/>
        <item x="33"/>
        <item x="37"/>
        <item x="38"/>
        <item x="48"/>
        <item t="default"/>
      </items>
    </pivotField>
  </pivotFields>
  <rowFields count="1">
    <field x="0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Spend" fld="1" baseField="0" baseItem="0"/>
    <dataField name="求和项:Sales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M4"/>
  <sheetViews>
    <sheetView tabSelected="1" workbookViewId="0">
      <pane xSplit="7" ySplit="2" topLeftCell="BQ3" activePane="bottomRight" state="frozen"/>
      <selection/>
      <selection pane="topRight"/>
      <selection pane="bottomLeft"/>
      <selection pane="bottomRight" activeCell="E8" sqref="E8"/>
    </sheetView>
  </sheetViews>
  <sheetFormatPr defaultColWidth="4.225" defaultRowHeight="15" outlineLevelRow="3"/>
  <cols>
    <col min="1" max="1" width="12.8916666666667" style="42" customWidth="1"/>
    <col min="2" max="2" width="9.10833333333333" style="43" customWidth="1"/>
    <col min="3" max="3" width="17.5583333333333" style="44" customWidth="1"/>
    <col min="4" max="4" width="8.10833333333333" style="42" customWidth="1"/>
    <col min="5" max="5" width="7.10833333333333" style="45" customWidth="1"/>
    <col min="6" max="6" width="6.775" style="46" customWidth="1"/>
    <col min="7" max="7" width="6.225" style="46" customWidth="1"/>
    <col min="8" max="8" width="6.225" style="47" customWidth="1"/>
    <col min="9" max="39" width="4.225" style="46" customWidth="1"/>
    <col min="40" max="40" width="5.44166666666667" style="48" customWidth="1"/>
    <col min="41" max="41" width="6.625" style="48" customWidth="1"/>
    <col min="42" max="42" width="9.225" style="49" hidden="1" customWidth="1"/>
    <col min="43" max="43" width="5.10833333333333" style="46" customWidth="1"/>
    <col min="44" max="44" width="5.89166666666667" style="50" customWidth="1"/>
    <col min="45" max="45" width="7.33333333333333" style="51" customWidth="1"/>
    <col min="46" max="75" width="4.225" style="46" customWidth="1"/>
    <col min="76" max="76" width="5.44166666666667" style="48" customWidth="1"/>
    <col min="77" max="77" width="6.45833333333333" style="48" customWidth="1"/>
    <col min="78" max="78" width="9.225" style="49" customWidth="1"/>
    <col min="79" max="79" width="5.10833333333333" style="46" customWidth="1"/>
    <col min="80" max="80" width="5.89166666666667" style="50" customWidth="1"/>
    <col min="81" max="81" width="6.36666666666667" style="47" customWidth="1"/>
    <col min="82" max="112" width="4.225" style="46" customWidth="1"/>
    <col min="113" max="113" width="5.81666666666667" style="46" customWidth="1"/>
    <col min="114" max="114" width="6.81666666666667" style="46" customWidth="1"/>
    <col min="115" max="115" width="9.45833333333333" style="52" customWidth="1"/>
    <col min="116" max="116" width="6.63333333333333" style="46" customWidth="1"/>
    <col min="117" max="117" width="5.81666666666667" style="46" customWidth="1"/>
    <col min="118" max="16384" width="4.225" style="46"/>
  </cols>
  <sheetData>
    <row r="1" s="40" customFormat="1" ht="31.05" customHeight="1" spans="1:117">
      <c r="A1" s="53"/>
      <c r="B1" s="53"/>
      <c r="C1" s="54"/>
      <c r="D1" s="54"/>
      <c r="E1" s="55"/>
      <c r="F1" s="56"/>
      <c r="G1" s="57"/>
      <c r="H1" s="58"/>
      <c r="I1" s="71" t="s">
        <v>0</v>
      </c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6" t="s">
        <v>1</v>
      </c>
      <c r="AO1" s="76" t="s">
        <v>2</v>
      </c>
      <c r="AP1" s="79"/>
      <c r="AQ1" s="80"/>
      <c r="AR1" s="81"/>
      <c r="AS1" s="77">
        <v>28400</v>
      </c>
      <c r="AT1" s="71" t="s">
        <v>3</v>
      </c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  <c r="BS1" s="72"/>
      <c r="BT1" s="72"/>
      <c r="BU1" s="72"/>
      <c r="BV1" s="72"/>
      <c r="BW1" s="72"/>
      <c r="BX1" s="76" t="s">
        <v>4</v>
      </c>
      <c r="BY1" s="76" t="s">
        <v>5</v>
      </c>
      <c r="BZ1" s="79"/>
      <c r="CA1" s="80"/>
      <c r="CB1" s="81"/>
      <c r="CC1" s="58">
        <v>40700</v>
      </c>
      <c r="CD1" s="71" t="s">
        <v>6</v>
      </c>
      <c r="CE1" s="72"/>
      <c r="CF1" s="72"/>
      <c r="CG1" s="72"/>
      <c r="CH1" s="72"/>
      <c r="CI1" s="87"/>
      <c r="CJ1" s="87"/>
      <c r="CK1" s="87"/>
      <c r="CL1" s="87"/>
      <c r="CM1" s="87"/>
      <c r="CN1" s="87"/>
      <c r="CO1" s="87"/>
      <c r="CP1" s="87"/>
      <c r="CQ1" s="87"/>
      <c r="CR1" s="87"/>
      <c r="CS1" s="87"/>
      <c r="CT1" s="87"/>
      <c r="CU1" s="87"/>
      <c r="CV1" s="87"/>
      <c r="CW1" s="87"/>
      <c r="CX1" s="87"/>
      <c r="CY1" s="87"/>
      <c r="CZ1" s="87"/>
      <c r="DA1" s="87"/>
      <c r="DB1" s="87"/>
      <c r="DC1" s="87"/>
      <c r="DD1" s="87"/>
      <c r="DE1" s="87"/>
      <c r="DF1" s="87"/>
      <c r="DG1" s="87"/>
      <c r="DH1" s="87"/>
      <c r="DI1" s="76" t="s">
        <v>4</v>
      </c>
      <c r="DJ1" s="76" t="s">
        <v>5</v>
      </c>
      <c r="DK1" s="79"/>
      <c r="DL1" s="80"/>
      <c r="DM1" s="81"/>
    </row>
    <row r="2" ht="31.05" customHeight="1" spans="1:117">
      <c r="A2" s="59" t="s">
        <v>7</v>
      </c>
      <c r="B2" s="59" t="s">
        <v>8</v>
      </c>
      <c r="C2" s="60" t="s">
        <v>9</v>
      </c>
      <c r="D2" s="61" t="s">
        <v>10</v>
      </c>
      <c r="E2" s="61" t="s">
        <v>11</v>
      </c>
      <c r="F2" s="59" t="s">
        <v>12</v>
      </c>
      <c r="G2" s="62" t="s">
        <v>13</v>
      </c>
      <c r="H2" s="63" t="s">
        <v>14</v>
      </c>
      <c r="I2" s="73">
        <v>1</v>
      </c>
      <c r="J2" s="73">
        <v>2</v>
      </c>
      <c r="K2" s="73">
        <v>3</v>
      </c>
      <c r="L2" s="73">
        <v>4</v>
      </c>
      <c r="M2" s="73">
        <v>5</v>
      </c>
      <c r="N2" s="73">
        <v>6</v>
      </c>
      <c r="O2" s="74">
        <v>7</v>
      </c>
      <c r="P2" s="73">
        <v>8</v>
      </c>
      <c r="Q2" s="73">
        <v>9</v>
      </c>
      <c r="R2" s="73">
        <v>10</v>
      </c>
      <c r="S2" s="73">
        <v>11</v>
      </c>
      <c r="T2" s="73">
        <v>12</v>
      </c>
      <c r="U2" s="73">
        <v>13</v>
      </c>
      <c r="V2" s="74">
        <v>14</v>
      </c>
      <c r="W2" s="73">
        <v>15</v>
      </c>
      <c r="X2" s="73">
        <v>16</v>
      </c>
      <c r="Y2" s="73">
        <v>17</v>
      </c>
      <c r="Z2" s="73">
        <v>18</v>
      </c>
      <c r="AA2" s="73">
        <v>19</v>
      </c>
      <c r="AB2" s="73">
        <v>20</v>
      </c>
      <c r="AC2" s="74">
        <v>21</v>
      </c>
      <c r="AD2" s="73">
        <v>22</v>
      </c>
      <c r="AE2" s="73">
        <v>23</v>
      </c>
      <c r="AF2" s="73">
        <v>24</v>
      </c>
      <c r="AG2" s="73">
        <v>25</v>
      </c>
      <c r="AH2" s="73">
        <v>26</v>
      </c>
      <c r="AI2" s="73">
        <v>27</v>
      </c>
      <c r="AJ2" s="74">
        <v>28</v>
      </c>
      <c r="AK2" s="77">
        <v>29</v>
      </c>
      <c r="AL2" s="77">
        <v>30</v>
      </c>
      <c r="AM2" s="77">
        <v>31</v>
      </c>
      <c r="AN2" s="78" t="s">
        <v>15</v>
      </c>
      <c r="AO2" s="78" t="s">
        <v>15</v>
      </c>
      <c r="AP2" s="82" t="s">
        <v>16</v>
      </c>
      <c r="AQ2" s="83" t="s">
        <v>17</v>
      </c>
      <c r="AR2" s="77" t="s">
        <v>18</v>
      </c>
      <c r="AS2" s="84" t="s">
        <v>19</v>
      </c>
      <c r="AT2" s="73">
        <v>1</v>
      </c>
      <c r="AU2" s="73">
        <v>2</v>
      </c>
      <c r="AV2" s="73">
        <v>3</v>
      </c>
      <c r="AW2" s="73">
        <v>4</v>
      </c>
      <c r="AX2" s="73">
        <v>5</v>
      </c>
      <c r="AY2" s="73">
        <v>6</v>
      </c>
      <c r="AZ2" s="74">
        <v>7</v>
      </c>
      <c r="BA2" s="73">
        <v>8</v>
      </c>
      <c r="BB2" s="73">
        <v>9</v>
      </c>
      <c r="BC2" s="73">
        <v>10</v>
      </c>
      <c r="BD2" s="73">
        <v>11</v>
      </c>
      <c r="BE2" s="73">
        <v>12</v>
      </c>
      <c r="BF2" s="73">
        <v>13</v>
      </c>
      <c r="BG2" s="74">
        <v>14</v>
      </c>
      <c r="BH2" s="73">
        <v>15</v>
      </c>
      <c r="BI2" s="73">
        <v>16</v>
      </c>
      <c r="BJ2" s="73">
        <v>17</v>
      </c>
      <c r="BK2" s="73">
        <v>18</v>
      </c>
      <c r="BL2" s="73">
        <v>19</v>
      </c>
      <c r="BM2" s="73">
        <v>20</v>
      </c>
      <c r="BN2" s="74">
        <v>21</v>
      </c>
      <c r="BO2" s="73">
        <v>22</v>
      </c>
      <c r="BP2" s="73">
        <v>23</v>
      </c>
      <c r="BQ2" s="73">
        <v>24</v>
      </c>
      <c r="BR2" s="73">
        <v>25</v>
      </c>
      <c r="BS2" s="73">
        <v>26</v>
      </c>
      <c r="BT2" s="73">
        <v>27</v>
      </c>
      <c r="BU2" s="74">
        <v>28</v>
      </c>
      <c r="BV2" s="77">
        <v>29</v>
      </c>
      <c r="BW2" s="77">
        <v>30</v>
      </c>
      <c r="BX2" s="78" t="s">
        <v>15</v>
      </c>
      <c r="BY2" s="86" t="s">
        <v>20</v>
      </c>
      <c r="BZ2" s="82" t="s">
        <v>16</v>
      </c>
      <c r="CA2" s="83" t="s">
        <v>17</v>
      </c>
      <c r="CB2" s="77" t="s">
        <v>18</v>
      </c>
      <c r="CC2" s="84" t="s">
        <v>21</v>
      </c>
      <c r="CD2" s="73">
        <v>1</v>
      </c>
      <c r="CE2" s="73">
        <v>2</v>
      </c>
      <c r="CF2" s="73">
        <v>3</v>
      </c>
      <c r="CG2" s="73">
        <v>4</v>
      </c>
      <c r="CH2" s="73">
        <v>5</v>
      </c>
      <c r="CI2" s="73">
        <v>6</v>
      </c>
      <c r="CJ2" s="74">
        <v>7</v>
      </c>
      <c r="CK2" s="73">
        <v>8</v>
      </c>
      <c r="CL2" s="73">
        <v>9</v>
      </c>
      <c r="CM2" s="73">
        <v>10</v>
      </c>
      <c r="CN2" s="73">
        <v>11</v>
      </c>
      <c r="CO2" s="73">
        <v>12</v>
      </c>
      <c r="CP2" s="73">
        <v>13</v>
      </c>
      <c r="CQ2" s="74">
        <v>14</v>
      </c>
      <c r="CR2" s="73">
        <v>15</v>
      </c>
      <c r="CS2" s="73">
        <v>16</v>
      </c>
      <c r="CT2" s="73">
        <v>17</v>
      </c>
      <c r="CU2" s="73">
        <v>18</v>
      </c>
      <c r="CV2" s="73">
        <v>19</v>
      </c>
      <c r="CW2" s="73">
        <v>20</v>
      </c>
      <c r="CX2" s="74">
        <v>21</v>
      </c>
      <c r="CY2" s="73">
        <v>22</v>
      </c>
      <c r="CZ2" s="73">
        <v>23</v>
      </c>
      <c r="DA2" s="73">
        <v>24</v>
      </c>
      <c r="DB2" s="73">
        <v>25</v>
      </c>
      <c r="DC2" s="73">
        <v>26</v>
      </c>
      <c r="DD2" s="73">
        <v>27</v>
      </c>
      <c r="DE2" s="74">
        <v>28</v>
      </c>
      <c r="DF2" s="77">
        <v>29</v>
      </c>
      <c r="DG2" s="77">
        <v>30</v>
      </c>
      <c r="DH2" s="77">
        <v>31</v>
      </c>
      <c r="DI2" s="78" t="s">
        <v>15</v>
      </c>
      <c r="DJ2" s="86" t="s">
        <v>20</v>
      </c>
      <c r="DK2" s="82" t="s">
        <v>16</v>
      </c>
      <c r="DL2" s="83" t="s">
        <v>17</v>
      </c>
      <c r="DM2" s="77" t="s">
        <v>18</v>
      </c>
    </row>
    <row r="3" s="41" customFormat="1" ht="19.05" customHeight="1" spans="1:115">
      <c r="A3" s="64"/>
      <c r="B3" s="64"/>
      <c r="C3" s="64"/>
      <c r="D3" s="65" t="s">
        <v>22</v>
      </c>
      <c r="F3" s="66">
        <f>SUM(F4:F4)</f>
        <v>1100</v>
      </c>
      <c r="G3" s="66">
        <f>SUM(G4:G4)</f>
        <v>1184</v>
      </c>
      <c r="H3" s="66">
        <f>SUM(H4:H4)</f>
        <v>0</v>
      </c>
      <c r="I3" s="66">
        <f>SUM(I4:I4)</f>
        <v>6</v>
      </c>
      <c r="J3" s="66">
        <f t="shared" ref="J3:AM3" si="0">SUM(J4:J4)</f>
        <v>3</v>
      </c>
      <c r="K3" s="66">
        <f t="shared" si="0"/>
        <v>11</v>
      </c>
      <c r="L3" s="66">
        <f t="shared" si="0"/>
        <v>10</v>
      </c>
      <c r="M3" s="66">
        <f t="shared" si="0"/>
        <v>12</v>
      </c>
      <c r="N3" s="66">
        <f t="shared" si="0"/>
        <v>5</v>
      </c>
      <c r="O3" s="66">
        <f t="shared" si="0"/>
        <v>5</v>
      </c>
      <c r="P3" s="66">
        <f t="shared" si="0"/>
        <v>5</v>
      </c>
      <c r="Q3" s="66">
        <f t="shared" si="0"/>
        <v>5</v>
      </c>
      <c r="R3" s="66">
        <f t="shared" si="0"/>
        <v>2</v>
      </c>
      <c r="S3" s="66">
        <f t="shared" si="0"/>
        <v>0</v>
      </c>
      <c r="T3" s="66">
        <f t="shared" si="0"/>
        <v>0</v>
      </c>
      <c r="U3" s="66">
        <f t="shared" si="0"/>
        <v>0</v>
      </c>
      <c r="V3" s="66">
        <f t="shared" si="0"/>
        <v>0</v>
      </c>
      <c r="W3" s="66">
        <f t="shared" si="0"/>
        <v>0</v>
      </c>
      <c r="X3" s="66">
        <f t="shared" si="0"/>
        <v>2</v>
      </c>
      <c r="Y3" s="66">
        <f t="shared" si="0"/>
        <v>7</v>
      </c>
      <c r="Z3" s="66">
        <f t="shared" si="0"/>
        <v>10</v>
      </c>
      <c r="AA3" s="66">
        <f t="shared" si="0"/>
        <v>7</v>
      </c>
      <c r="AB3" s="66">
        <f t="shared" si="0"/>
        <v>6</v>
      </c>
      <c r="AC3" s="66">
        <f t="shared" si="0"/>
        <v>6</v>
      </c>
      <c r="AD3" s="66">
        <f t="shared" si="0"/>
        <v>9</v>
      </c>
      <c r="AE3" s="66">
        <f t="shared" si="0"/>
        <v>10</v>
      </c>
      <c r="AF3" s="66">
        <f t="shared" si="0"/>
        <v>9</v>
      </c>
      <c r="AG3" s="66">
        <f t="shared" si="0"/>
        <v>10</v>
      </c>
      <c r="AH3" s="66">
        <f t="shared" si="0"/>
        <v>10</v>
      </c>
      <c r="AI3" s="66">
        <f t="shared" si="0"/>
        <v>2</v>
      </c>
      <c r="AJ3" s="66">
        <f t="shared" si="0"/>
        <v>6</v>
      </c>
      <c r="AK3" s="66">
        <f t="shared" si="0"/>
        <v>4</v>
      </c>
      <c r="AL3" s="66">
        <f t="shared" si="0"/>
        <v>1</v>
      </c>
      <c r="AM3" s="66">
        <f t="shared" si="0"/>
        <v>0</v>
      </c>
      <c r="AN3" s="66">
        <f>SUM(I3:AM3)</f>
        <v>163</v>
      </c>
      <c r="AO3" s="66">
        <f>SUM(AO4:AO4)</f>
        <v>1483.77</v>
      </c>
      <c r="AP3" s="85"/>
      <c r="AQ3" s="66"/>
      <c r="AR3" s="66"/>
      <c r="AS3" s="66">
        <f>SUM(AS4:AS4)</f>
        <v>160</v>
      </c>
      <c r="AT3" s="66">
        <f>SUM(AT4:AT4)</f>
        <v>0</v>
      </c>
      <c r="AU3" s="66">
        <f t="shared" ref="AU3:BW3" si="1">SUM(AU4:AU4)</f>
        <v>0</v>
      </c>
      <c r="AV3" s="66">
        <f t="shared" si="1"/>
        <v>0</v>
      </c>
      <c r="AW3" s="66">
        <f t="shared" si="1"/>
        <v>0</v>
      </c>
      <c r="AX3" s="66">
        <f t="shared" si="1"/>
        <v>1</v>
      </c>
      <c r="AY3" s="66">
        <f t="shared" si="1"/>
        <v>0</v>
      </c>
      <c r="AZ3" s="66">
        <f t="shared" si="1"/>
        <v>4</v>
      </c>
      <c r="BA3" s="66">
        <f t="shared" si="1"/>
        <v>7</v>
      </c>
      <c r="BB3" s="66">
        <f t="shared" si="1"/>
        <v>6</v>
      </c>
      <c r="BC3" s="66">
        <f t="shared" si="1"/>
        <v>9</v>
      </c>
      <c r="BD3" s="66">
        <f t="shared" si="1"/>
        <v>9</v>
      </c>
      <c r="BE3" s="66">
        <f t="shared" si="1"/>
        <v>8</v>
      </c>
      <c r="BF3" s="66">
        <f t="shared" si="1"/>
        <v>8</v>
      </c>
      <c r="BG3" s="66">
        <f t="shared" si="1"/>
        <v>5</v>
      </c>
      <c r="BH3" s="66">
        <f t="shared" si="1"/>
        <v>6</v>
      </c>
      <c r="BI3" s="66">
        <f t="shared" si="1"/>
        <v>5</v>
      </c>
      <c r="BJ3" s="66">
        <f t="shared" si="1"/>
        <v>8</v>
      </c>
      <c r="BK3" s="66">
        <f t="shared" si="1"/>
        <v>4</v>
      </c>
      <c r="BL3" s="66">
        <f t="shared" si="1"/>
        <v>6</v>
      </c>
      <c r="BM3" s="66">
        <f t="shared" si="1"/>
        <v>4</v>
      </c>
      <c r="BN3" s="66">
        <f t="shared" si="1"/>
        <v>11</v>
      </c>
      <c r="BO3" s="66">
        <f t="shared" si="1"/>
        <v>10</v>
      </c>
      <c r="BP3" s="66">
        <f t="shared" si="1"/>
        <v>12</v>
      </c>
      <c r="BQ3" s="66">
        <f t="shared" si="1"/>
        <v>10</v>
      </c>
      <c r="BR3" s="66">
        <f t="shared" si="1"/>
        <v>7</v>
      </c>
      <c r="BS3" s="66">
        <f t="shared" si="1"/>
        <v>5</v>
      </c>
      <c r="BT3" s="66">
        <f t="shared" si="1"/>
        <v>7</v>
      </c>
      <c r="BU3" s="66">
        <f t="shared" si="1"/>
        <v>10</v>
      </c>
      <c r="BV3" s="66">
        <f t="shared" si="1"/>
        <v>2</v>
      </c>
      <c r="BW3" s="66">
        <f t="shared" si="1"/>
        <v>8</v>
      </c>
      <c r="BX3" s="66">
        <f>SUM(AT3:BW3)</f>
        <v>172</v>
      </c>
      <c r="BY3" s="66">
        <f>SUM(BY4:BY4)</f>
        <v>1718.28</v>
      </c>
      <c r="BZ3" s="85">
        <f>BY3/AS1</f>
        <v>0.0605028169014084</v>
      </c>
      <c r="CA3" s="66"/>
      <c r="CB3" s="66"/>
      <c r="CC3" s="66">
        <f>SUM(CC4:CC4)</f>
        <v>250</v>
      </c>
      <c r="CD3" s="41">
        <f>SUM(CD4:CD4)</f>
        <v>7</v>
      </c>
      <c r="CE3" s="41">
        <f t="shared" ref="CE3:DJ3" si="2">SUM(CE4:CE4)</f>
        <v>8</v>
      </c>
      <c r="CF3" s="41">
        <f t="shared" si="2"/>
        <v>6</v>
      </c>
      <c r="CG3" s="41">
        <f t="shared" si="2"/>
        <v>11</v>
      </c>
      <c r="CH3" s="41">
        <f t="shared" si="2"/>
        <v>8</v>
      </c>
      <c r="CI3" s="41">
        <f t="shared" si="2"/>
        <v>8</v>
      </c>
      <c r="CJ3" s="41">
        <f t="shared" si="2"/>
        <v>7</v>
      </c>
      <c r="CK3" s="41">
        <f t="shared" si="2"/>
        <v>3</v>
      </c>
      <c r="CL3" s="41">
        <f t="shared" si="2"/>
        <v>5</v>
      </c>
      <c r="CM3" s="41">
        <f t="shared" si="2"/>
        <v>7</v>
      </c>
      <c r="CN3" s="41">
        <f t="shared" si="2"/>
        <v>8</v>
      </c>
      <c r="CO3" s="41">
        <f t="shared" si="2"/>
        <v>8</v>
      </c>
      <c r="CP3" s="41">
        <f t="shared" si="2"/>
        <v>8</v>
      </c>
      <c r="CQ3" s="41">
        <f t="shared" si="2"/>
        <v>6</v>
      </c>
      <c r="CR3" s="41">
        <f t="shared" si="2"/>
        <v>12</v>
      </c>
      <c r="CS3" s="41">
        <f t="shared" si="2"/>
        <v>12</v>
      </c>
      <c r="CT3" s="41">
        <f t="shared" si="2"/>
        <v>13</v>
      </c>
      <c r="CU3" s="41">
        <f t="shared" si="2"/>
        <v>11</v>
      </c>
      <c r="CV3" s="41">
        <f t="shared" si="2"/>
        <v>9</v>
      </c>
      <c r="CW3" s="41">
        <f t="shared" si="2"/>
        <v>14</v>
      </c>
      <c r="CX3" s="41">
        <f t="shared" si="2"/>
        <v>0</v>
      </c>
      <c r="CY3" s="41">
        <f t="shared" si="2"/>
        <v>0</v>
      </c>
      <c r="CZ3" s="41">
        <f t="shared" si="2"/>
        <v>0</v>
      </c>
      <c r="DA3" s="41">
        <f t="shared" si="2"/>
        <v>0</v>
      </c>
      <c r="DB3" s="41">
        <f t="shared" si="2"/>
        <v>0</v>
      </c>
      <c r="DC3" s="41">
        <f t="shared" si="2"/>
        <v>0</v>
      </c>
      <c r="DD3" s="41">
        <f t="shared" si="2"/>
        <v>0</v>
      </c>
      <c r="DE3" s="41">
        <f t="shared" si="2"/>
        <v>0</v>
      </c>
      <c r="DF3" s="41">
        <f t="shared" si="2"/>
        <v>0</v>
      </c>
      <c r="DG3" s="41">
        <f t="shared" si="2"/>
        <v>0</v>
      </c>
      <c r="DH3" s="41">
        <f t="shared" si="2"/>
        <v>0</v>
      </c>
      <c r="DI3" s="41">
        <f t="shared" si="2"/>
        <v>171</v>
      </c>
      <c r="DJ3" s="41">
        <f t="shared" si="2"/>
        <v>1708.29</v>
      </c>
      <c r="DK3" s="88">
        <f>DJ3/CC1</f>
        <v>0.0419727272727273</v>
      </c>
    </row>
    <row r="4" ht="15.75" spans="1:115">
      <c r="A4" s="67" t="s">
        <v>23</v>
      </c>
      <c r="B4" s="68">
        <v>2091010</v>
      </c>
      <c r="C4" s="69" t="s">
        <v>24</v>
      </c>
      <c r="D4" s="42">
        <v>9.99</v>
      </c>
      <c r="F4" s="70">
        <f>VLOOKUP(A4,FBA库存!D:AQ,40,0)</f>
        <v>1100</v>
      </c>
      <c r="G4" s="70">
        <f>VLOOKUP(A4,FBA库存!D:J,7,0)</f>
        <v>1184</v>
      </c>
      <c r="I4" s="75">
        <v>6</v>
      </c>
      <c r="J4" s="75">
        <v>3</v>
      </c>
      <c r="K4" s="75">
        <v>11</v>
      </c>
      <c r="L4" s="75">
        <v>10</v>
      </c>
      <c r="M4" s="75">
        <v>12</v>
      </c>
      <c r="N4" s="75">
        <v>5</v>
      </c>
      <c r="O4" s="75">
        <v>5</v>
      </c>
      <c r="P4" s="75">
        <v>5</v>
      </c>
      <c r="Q4" s="75">
        <v>5</v>
      </c>
      <c r="R4" s="75">
        <v>2</v>
      </c>
      <c r="S4" s="75">
        <v>0</v>
      </c>
      <c r="T4" s="75">
        <v>0</v>
      </c>
      <c r="U4" s="75">
        <v>0</v>
      </c>
      <c r="V4" s="75">
        <v>0</v>
      </c>
      <c r="W4" s="75">
        <v>0</v>
      </c>
      <c r="X4" s="75">
        <v>2</v>
      </c>
      <c r="Y4" s="75">
        <v>7</v>
      </c>
      <c r="Z4" s="75">
        <v>10</v>
      </c>
      <c r="AA4" s="75">
        <v>7</v>
      </c>
      <c r="AB4" s="75">
        <v>6</v>
      </c>
      <c r="AC4" s="75">
        <v>6</v>
      </c>
      <c r="AD4" s="75">
        <v>9</v>
      </c>
      <c r="AE4" s="75">
        <v>10</v>
      </c>
      <c r="AF4" s="75">
        <v>9</v>
      </c>
      <c r="AG4" s="75">
        <v>10</v>
      </c>
      <c r="AH4" s="75">
        <v>10</v>
      </c>
      <c r="AI4" s="75">
        <v>2</v>
      </c>
      <c r="AJ4" s="75">
        <v>6</v>
      </c>
      <c r="AK4" s="75">
        <v>4</v>
      </c>
      <c r="AL4" s="75">
        <v>1</v>
      </c>
      <c r="AM4" s="75">
        <v>0</v>
      </c>
      <c r="AN4" s="66">
        <f>SUM(I4:AM4)</f>
        <v>163</v>
      </c>
      <c r="AO4" s="48">
        <v>1483.77</v>
      </c>
      <c r="AQ4" s="46">
        <f>ROUNDUP((((SUM(AF4:AL4)*0.6+SUM(Y4:AE4)*0.25+SUM(R4:X4)*0.15))/7),1)</f>
        <v>5.7</v>
      </c>
      <c r="AR4" s="50">
        <f>AQ4*30</f>
        <v>171</v>
      </c>
      <c r="AS4" s="51">
        <v>160</v>
      </c>
      <c r="AT4" s="75">
        <v>0</v>
      </c>
      <c r="AU4" s="75">
        <v>0</v>
      </c>
      <c r="AV4" s="75">
        <v>0</v>
      </c>
      <c r="AW4" s="75">
        <v>0</v>
      </c>
      <c r="AX4" s="75">
        <v>1</v>
      </c>
      <c r="AY4" s="75">
        <v>0</v>
      </c>
      <c r="AZ4" s="75">
        <v>4</v>
      </c>
      <c r="BA4" s="75">
        <v>7</v>
      </c>
      <c r="BB4" s="75">
        <v>6</v>
      </c>
      <c r="BC4" s="75">
        <v>9</v>
      </c>
      <c r="BD4" s="75">
        <v>9</v>
      </c>
      <c r="BE4" s="75">
        <v>8</v>
      </c>
      <c r="BF4" s="75">
        <v>8</v>
      </c>
      <c r="BG4" s="75">
        <v>5</v>
      </c>
      <c r="BH4" s="75">
        <v>6</v>
      </c>
      <c r="BI4" s="75">
        <v>5</v>
      </c>
      <c r="BJ4" s="75">
        <v>8</v>
      </c>
      <c r="BK4" s="75">
        <v>4</v>
      </c>
      <c r="BL4" s="75">
        <v>6</v>
      </c>
      <c r="BM4" s="75">
        <v>4</v>
      </c>
      <c r="BN4" s="75">
        <v>11</v>
      </c>
      <c r="BO4" s="75">
        <v>10</v>
      </c>
      <c r="BP4" s="75">
        <v>12</v>
      </c>
      <c r="BQ4" s="75">
        <v>10</v>
      </c>
      <c r="BR4" s="75">
        <v>7</v>
      </c>
      <c r="BS4" s="75">
        <v>5</v>
      </c>
      <c r="BT4" s="75">
        <v>7</v>
      </c>
      <c r="BU4" s="75">
        <v>10</v>
      </c>
      <c r="BV4" s="75">
        <v>2</v>
      </c>
      <c r="BW4" s="75">
        <v>8</v>
      </c>
      <c r="BX4" s="48">
        <f>SUM(AT4:BW4)</f>
        <v>172</v>
      </c>
      <c r="BY4" s="48">
        <f>BX4*D4</f>
        <v>1718.28</v>
      </c>
      <c r="BZ4" s="49">
        <f>BX4/AS4</f>
        <v>1.075</v>
      </c>
      <c r="CA4" s="46">
        <f>ROUNDUP((((SUM(BP4:BW4)*0.6+SUM(BI4:BO4)*0.25+SUM(BB4:BH4)*0.15))/7),1)</f>
        <v>8.1</v>
      </c>
      <c r="CB4" s="50">
        <f>CA4*30</f>
        <v>243</v>
      </c>
      <c r="CC4" s="51">
        <v>250</v>
      </c>
      <c r="CD4" s="46">
        <v>7</v>
      </c>
      <c r="CE4" s="46">
        <v>8</v>
      </c>
      <c r="CF4" s="46">
        <v>6</v>
      </c>
      <c r="CG4" s="46">
        <v>11</v>
      </c>
      <c r="CH4" s="46">
        <v>8</v>
      </c>
      <c r="CI4" s="46">
        <v>8</v>
      </c>
      <c r="CJ4" s="46">
        <v>7</v>
      </c>
      <c r="CK4" s="46">
        <v>3</v>
      </c>
      <c r="CL4" s="46">
        <v>5</v>
      </c>
      <c r="CM4" s="46">
        <v>7</v>
      </c>
      <c r="CN4" s="46">
        <v>8</v>
      </c>
      <c r="CO4" s="46">
        <v>8</v>
      </c>
      <c r="CP4" s="46">
        <v>8</v>
      </c>
      <c r="CQ4" s="46">
        <v>6</v>
      </c>
      <c r="CR4" s="46">
        <v>12</v>
      </c>
      <c r="CS4" s="46">
        <v>12</v>
      </c>
      <c r="CT4" s="46">
        <v>13</v>
      </c>
      <c r="CU4" s="46">
        <v>11</v>
      </c>
      <c r="CV4" s="46">
        <v>9</v>
      </c>
      <c r="CW4" s="46">
        <v>14</v>
      </c>
      <c r="DI4" s="46">
        <f>SUM(CD4:DH4)</f>
        <v>171</v>
      </c>
      <c r="DJ4" s="46">
        <f>DI4*D4</f>
        <v>1708.29</v>
      </c>
      <c r="DK4" s="52">
        <f>DI4/CC4</f>
        <v>0.684</v>
      </c>
    </row>
  </sheetData>
  <sortState ref="A3:DM42">
    <sortCondition ref="BY3" descending="1"/>
  </sortState>
  <conditionalFormatting sqref="A4">
    <cfRule type="duplicateValues" dxfId="0" priority="3"/>
  </conditionalFormatting>
  <conditionalFormatting sqref="I4:AM4">
    <cfRule type="cellIs" dxfId="1" priority="5" operator="greaterThan">
      <formula>10</formula>
    </cfRule>
  </conditionalFormatting>
  <pageMargins left="0.75" right="0.75" top="1" bottom="1" header="0.511805555555556" footer="0.51180555555555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workbookViewId="0">
      <pane xSplit="4" ySplit="1" topLeftCell="E2" activePane="bottomRight" state="frozen"/>
      <selection/>
      <selection pane="topRight"/>
      <selection pane="bottomLeft"/>
      <selection pane="bottomRight" activeCell="G17" sqref="G17"/>
    </sheetView>
  </sheetViews>
  <sheetFormatPr defaultColWidth="9" defaultRowHeight="13.5"/>
  <cols>
    <col min="1" max="1" width="13" style="8" customWidth="1"/>
    <col min="2" max="2" width="9.125" style="9" customWidth="1"/>
    <col min="3" max="3" width="13" style="10" customWidth="1"/>
    <col min="4" max="4" width="11.7583333333333" style="11" customWidth="1"/>
    <col min="5" max="11" width="9.225" style="11" customWidth="1"/>
  </cols>
  <sheetData>
    <row r="1" s="6" customFormat="1" ht="15.75" spans="1:11">
      <c r="A1" s="12" t="s">
        <v>7</v>
      </c>
      <c r="B1" s="13" t="s">
        <v>8</v>
      </c>
      <c r="C1" s="14" t="s">
        <v>25</v>
      </c>
      <c r="D1" s="15" t="s">
        <v>26</v>
      </c>
      <c r="E1" s="13" t="s">
        <v>27</v>
      </c>
      <c r="F1" s="13" t="s">
        <v>28</v>
      </c>
      <c r="G1" s="13" t="s">
        <v>29</v>
      </c>
      <c r="H1" s="13" t="s">
        <v>30</v>
      </c>
      <c r="I1" s="13" t="s">
        <v>31</v>
      </c>
      <c r="J1" s="13" t="s">
        <v>32</v>
      </c>
      <c r="K1" s="13" t="s">
        <v>33</v>
      </c>
    </row>
    <row r="2" ht="19" customHeight="1" spans="1:11">
      <c r="A2" s="16"/>
      <c r="B2" s="17"/>
      <c r="C2" s="18"/>
      <c r="D2" s="19" t="s">
        <v>34</v>
      </c>
      <c r="E2" s="20">
        <v>12</v>
      </c>
      <c r="F2" s="20">
        <v>52</v>
      </c>
      <c r="G2" s="20">
        <v>48</v>
      </c>
      <c r="H2" s="20">
        <v>61</v>
      </c>
      <c r="I2" s="20">
        <v>49</v>
      </c>
      <c r="J2" s="20">
        <v>46</v>
      </c>
      <c r="K2" s="20">
        <f>VLOOKUP($A7,业务报表!$B:$J,9,0)+VLOOKUP($A7,业务报表!$B:$K,10,0)</f>
        <v>80</v>
      </c>
    </row>
    <row r="3" ht="15" spans="1:11">
      <c r="A3" s="21"/>
      <c r="B3" s="22"/>
      <c r="C3" s="23"/>
      <c r="D3" s="24" t="s">
        <v>35</v>
      </c>
      <c r="E3" s="25">
        <v>1.71428571428571</v>
      </c>
      <c r="F3" s="25">
        <v>7.42857142857143</v>
      </c>
      <c r="G3" s="25">
        <v>6.85714285714286</v>
      </c>
      <c r="H3" s="25">
        <v>8.71428571428571</v>
      </c>
      <c r="I3" s="25">
        <v>7</v>
      </c>
      <c r="J3" s="25">
        <v>6.57142857142857</v>
      </c>
      <c r="K3" s="25">
        <f>K2/7</f>
        <v>11.4285714285714</v>
      </c>
    </row>
    <row r="4" ht="15" spans="1:11">
      <c r="A4" s="21"/>
      <c r="B4" s="22"/>
      <c r="C4" s="23"/>
      <c r="D4" s="24" t="s">
        <v>36</v>
      </c>
      <c r="E4" s="26">
        <v>119.88</v>
      </c>
      <c r="F4" s="26">
        <v>519.14</v>
      </c>
      <c r="G4" s="26">
        <v>479.47</v>
      </c>
      <c r="H4" s="26">
        <v>609.39</v>
      </c>
      <c r="I4" s="26">
        <v>489.51</v>
      </c>
      <c r="J4" s="26">
        <v>459.54</v>
      </c>
      <c r="K4" s="26">
        <f>VLOOKUP($A7,业务报表!$B:$N,13,0)+VLOOKUP($A7,业务报表!$B:$O,14,0)</f>
        <v>799.2</v>
      </c>
    </row>
    <row r="5" ht="15" spans="1:11">
      <c r="A5" s="21"/>
      <c r="B5" s="22"/>
      <c r="C5" s="23"/>
      <c r="D5" s="24" t="s">
        <v>37</v>
      </c>
      <c r="E5" s="27">
        <v>19.98</v>
      </c>
      <c r="F5" s="26">
        <v>59.91</v>
      </c>
      <c r="G5" s="26">
        <v>39.95</v>
      </c>
      <c r="H5" s="26">
        <v>39.96</v>
      </c>
      <c r="I5" s="26">
        <v>49.95</v>
      </c>
      <c r="J5" s="26">
        <v>79.92</v>
      </c>
      <c r="K5" s="26">
        <f>VLOOKUP($B7,广告费用!$A:$C,3,0)</f>
        <v>39.96</v>
      </c>
    </row>
    <row r="6" spans="1:11">
      <c r="A6" s="28"/>
      <c r="D6" s="24" t="s">
        <v>38</v>
      </c>
      <c r="E6" s="27">
        <v>66</v>
      </c>
      <c r="F6" s="27">
        <v>158</v>
      </c>
      <c r="G6" s="27">
        <v>153</v>
      </c>
      <c r="H6" s="27">
        <v>344</v>
      </c>
      <c r="I6" s="38">
        <v>114</v>
      </c>
      <c r="J6" s="27">
        <v>216</v>
      </c>
      <c r="K6" s="27">
        <f>VLOOKUP($A7,业务报表!$B:$E,4,0)</f>
        <v>223</v>
      </c>
    </row>
    <row r="7" customHeight="1" spans="1:11">
      <c r="A7" s="29" t="s">
        <v>23</v>
      </c>
      <c r="B7" s="29">
        <v>2091010</v>
      </c>
      <c r="C7" s="30" t="s">
        <v>24</v>
      </c>
      <c r="D7" s="24" t="s">
        <v>39</v>
      </c>
      <c r="E7" s="31">
        <v>0.1818</v>
      </c>
      <c r="F7" s="31">
        <v>0.3291</v>
      </c>
      <c r="G7" s="31">
        <v>0.3137</v>
      </c>
      <c r="H7" s="31">
        <v>0.1773</v>
      </c>
      <c r="I7" s="31">
        <v>0.4211</v>
      </c>
      <c r="J7" s="39">
        <v>0.213</v>
      </c>
      <c r="K7" s="31">
        <f>VLOOKUP($A7,业务报表!$B:$L,11,0)</f>
        <v>0.3453</v>
      </c>
    </row>
    <row r="8" customFormat="1" ht="15" spans="1:11">
      <c r="A8" s="21"/>
      <c r="B8" s="22"/>
      <c r="C8" s="23"/>
      <c r="D8" s="32" t="s">
        <v>40</v>
      </c>
      <c r="E8" s="26" t="s">
        <v>41</v>
      </c>
      <c r="F8" s="26" t="s">
        <v>42</v>
      </c>
      <c r="G8" s="26" t="s">
        <v>43</v>
      </c>
      <c r="H8" s="26" t="s">
        <v>44</v>
      </c>
      <c r="I8" s="26" t="s">
        <v>45</v>
      </c>
      <c r="J8" s="26">
        <v>1683</v>
      </c>
      <c r="K8" s="26">
        <f>VLOOKUP(A7,'排名+评分'!A:L,12,0)</f>
        <v>985</v>
      </c>
    </row>
    <row r="9" customFormat="1" ht="15" spans="1:11">
      <c r="A9" s="21"/>
      <c r="B9" s="22"/>
      <c r="C9" s="23"/>
      <c r="D9" s="32" t="s">
        <v>46</v>
      </c>
      <c r="E9" s="26">
        <v>63</v>
      </c>
      <c r="F9" s="26">
        <v>64</v>
      </c>
      <c r="G9" s="26">
        <v>67</v>
      </c>
      <c r="H9" s="26">
        <v>69</v>
      </c>
      <c r="I9" s="26">
        <v>70</v>
      </c>
      <c r="J9" s="26">
        <v>72</v>
      </c>
      <c r="K9" s="26">
        <f>VLOOKUP(A7,'排名+评分'!A:O,15,0)</f>
        <v>73</v>
      </c>
    </row>
    <row r="10" customFormat="1" ht="15" spans="1:11">
      <c r="A10" s="21"/>
      <c r="B10" s="22"/>
      <c r="C10" s="23"/>
      <c r="D10" s="24" t="s">
        <v>47</v>
      </c>
      <c r="E10" s="26">
        <v>4.8</v>
      </c>
      <c r="F10" s="26">
        <v>4.8</v>
      </c>
      <c r="G10" s="26">
        <v>4.8</v>
      </c>
      <c r="H10" s="26">
        <v>4.8</v>
      </c>
      <c r="I10" s="26">
        <v>4.8</v>
      </c>
      <c r="J10" s="26">
        <v>5</v>
      </c>
      <c r="K10" s="26">
        <f>VLOOKUP(A7,'排名+评分'!A:R,18,0)</f>
        <v>4.8</v>
      </c>
    </row>
    <row r="11" ht="15" spans="1:11">
      <c r="A11" s="21"/>
      <c r="B11" s="22"/>
      <c r="C11" s="23"/>
      <c r="D11" s="24" t="s">
        <v>48</v>
      </c>
      <c r="E11" s="26">
        <v>7.63</v>
      </c>
      <c r="F11" s="26">
        <v>16.29</v>
      </c>
      <c r="G11" s="26">
        <v>7.93</v>
      </c>
      <c r="H11" s="26">
        <v>7.63</v>
      </c>
      <c r="I11" s="26">
        <v>5.27</v>
      </c>
      <c r="J11" s="26">
        <v>7.97</v>
      </c>
      <c r="K11" s="26">
        <f>VLOOKUP($B7,广告费用!$A:$B,2,0)</f>
        <v>7.34</v>
      </c>
    </row>
    <row r="12" s="7" customFormat="1" ht="15" spans="1:11">
      <c r="A12" s="33"/>
      <c r="B12" s="34"/>
      <c r="C12" s="35"/>
      <c r="D12" s="36" t="s">
        <v>49</v>
      </c>
      <c r="E12" s="37">
        <v>0.063646980313647</v>
      </c>
      <c r="F12" s="37">
        <v>0.0313788188157337</v>
      </c>
      <c r="G12" s="37">
        <v>0.0165390952510063</v>
      </c>
      <c r="H12" s="37">
        <v>0.0125207174387502</v>
      </c>
      <c r="I12" s="37">
        <v>0.0107658679087251</v>
      </c>
      <c r="J12" s="37">
        <v>0.0173434303869086</v>
      </c>
      <c r="K12" s="37">
        <f>K11/K4</f>
        <v>0.00918418418418418</v>
      </c>
    </row>
  </sheetData>
  <conditionalFormatting sqref="A7">
    <cfRule type="duplicateValues" dxfId="0" priority="9"/>
  </conditionalFormatting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2"/>
  <sheetViews>
    <sheetView workbookViewId="0">
      <selection activeCell="A3" sqref="$A3:$XFD153"/>
    </sheetView>
  </sheetViews>
  <sheetFormatPr defaultColWidth="9.45833333333333" defaultRowHeight="14.25" outlineLevelRow="1"/>
  <cols>
    <col min="1" max="22" width="9.45833333333333" style="3"/>
    <col min="23" max="27" width="12.625" style="3"/>
    <col min="28" max="40" width="9.45833333333333" style="3"/>
    <col min="41" max="41" width="12.625" style="3"/>
    <col min="42" max="16384" width="9.45833333333333" style="3"/>
  </cols>
  <sheetData>
    <row r="1" s="3" customFormat="1" spans="1:47">
      <c r="A1" s="3" t="s">
        <v>50</v>
      </c>
      <c r="B1" s="3" t="s">
        <v>51</v>
      </c>
      <c r="C1" s="3" t="s">
        <v>52</v>
      </c>
      <c r="D1" s="3" t="s">
        <v>53</v>
      </c>
      <c r="E1" s="3" t="s">
        <v>54</v>
      </c>
      <c r="F1" s="3" t="s">
        <v>55</v>
      </c>
      <c r="G1" s="3" t="s">
        <v>56</v>
      </c>
      <c r="H1" s="3" t="s">
        <v>57</v>
      </c>
      <c r="I1" s="3" t="s">
        <v>58</v>
      </c>
      <c r="J1" s="3" t="s">
        <v>59</v>
      </c>
      <c r="K1" s="3" t="s">
        <v>60</v>
      </c>
      <c r="L1" s="3" t="s">
        <v>61</v>
      </c>
      <c r="M1" s="3" t="s">
        <v>62</v>
      </c>
      <c r="N1" s="3" t="s">
        <v>63</v>
      </c>
      <c r="O1" s="3" t="s">
        <v>64</v>
      </c>
      <c r="P1" s="3" t="s">
        <v>65</v>
      </c>
      <c r="Q1" s="3" t="s">
        <v>66</v>
      </c>
      <c r="R1" s="3" t="s">
        <v>67</v>
      </c>
      <c r="S1" s="3" t="s">
        <v>68</v>
      </c>
      <c r="T1" s="3" t="s">
        <v>69</v>
      </c>
      <c r="U1" s="3" t="s">
        <v>70</v>
      </c>
      <c r="V1" s="3" t="s">
        <v>71</v>
      </c>
      <c r="W1" s="3" t="s">
        <v>72</v>
      </c>
      <c r="X1" s="3" t="s">
        <v>73</v>
      </c>
      <c r="Y1" s="3" t="s">
        <v>74</v>
      </c>
      <c r="Z1" s="3" t="s">
        <v>75</v>
      </c>
      <c r="AA1" s="3" t="s">
        <v>76</v>
      </c>
      <c r="AB1" s="3" t="s">
        <v>77</v>
      </c>
      <c r="AC1" s="3" t="s">
        <v>78</v>
      </c>
      <c r="AD1" s="3" t="s">
        <v>79</v>
      </c>
      <c r="AE1" s="3" t="s">
        <v>80</v>
      </c>
      <c r="AF1" s="3" t="s">
        <v>81</v>
      </c>
      <c r="AG1" s="3" t="s">
        <v>82</v>
      </c>
      <c r="AH1" s="3" t="s">
        <v>83</v>
      </c>
      <c r="AI1" s="3" t="s">
        <v>84</v>
      </c>
      <c r="AJ1" s="3" t="s">
        <v>85</v>
      </c>
      <c r="AK1" s="3" t="s">
        <v>86</v>
      </c>
      <c r="AL1" s="3" t="s">
        <v>87</v>
      </c>
      <c r="AM1" s="3" t="s">
        <v>88</v>
      </c>
      <c r="AN1" s="3" t="s">
        <v>89</v>
      </c>
      <c r="AO1" s="3" t="s">
        <v>90</v>
      </c>
      <c r="AP1" s="3" t="s">
        <v>91</v>
      </c>
      <c r="AQ1" s="3" t="s">
        <v>92</v>
      </c>
      <c r="AR1" s="3" t="s">
        <v>93</v>
      </c>
      <c r="AS1" s="3" t="s">
        <v>94</v>
      </c>
      <c r="AT1" s="3" t="s">
        <v>95</v>
      </c>
      <c r="AU1" s="3" t="s">
        <v>96</v>
      </c>
    </row>
    <row r="2" s="3" customFormat="1" spans="1:47">
      <c r="A2" s="3" t="s">
        <v>97</v>
      </c>
      <c r="B2" s="3">
        <v>2091010</v>
      </c>
      <c r="C2" s="3" t="s">
        <v>23</v>
      </c>
      <c r="D2" s="3" t="s">
        <v>23</v>
      </c>
      <c r="E2" s="3" t="s">
        <v>98</v>
      </c>
      <c r="F2" s="3" t="s">
        <v>99</v>
      </c>
      <c r="G2" s="3">
        <v>701</v>
      </c>
      <c r="H2" s="3" t="s">
        <v>100</v>
      </c>
      <c r="I2" s="3">
        <v>1193</v>
      </c>
      <c r="J2" s="3">
        <v>1184</v>
      </c>
      <c r="K2" s="3">
        <v>9</v>
      </c>
      <c r="L2" s="3">
        <v>1184</v>
      </c>
      <c r="M2" s="3">
        <v>0</v>
      </c>
      <c r="N2" s="3">
        <v>0</v>
      </c>
      <c r="O2" s="3">
        <v>0</v>
      </c>
      <c r="P2" s="3">
        <v>0</v>
      </c>
      <c r="Q2" s="3">
        <v>31</v>
      </c>
      <c r="R2" s="3">
        <v>247</v>
      </c>
      <c r="S2" s="3">
        <v>1028</v>
      </c>
      <c r="T2" s="3">
        <v>2288</v>
      </c>
      <c r="U2" s="3">
        <v>3492</v>
      </c>
      <c r="V2" s="3">
        <v>5850</v>
      </c>
      <c r="W2" s="3">
        <v>9.24696356275303</v>
      </c>
      <c r="X2" s="3">
        <v>8.88715953307393</v>
      </c>
      <c r="Y2" s="3">
        <v>12.9772727272727</v>
      </c>
      <c r="Z2" s="3">
        <v>17.0057273768614</v>
      </c>
      <c r="AA2" s="3">
        <v>20.3022222222222</v>
      </c>
      <c r="AB2" s="3">
        <v>1</v>
      </c>
      <c r="AC2" s="3">
        <v>0</v>
      </c>
      <c r="AD2" s="3" t="s">
        <v>101</v>
      </c>
      <c r="AE2" s="3">
        <v>15.99</v>
      </c>
      <c r="AF2" s="3">
        <v>9.99</v>
      </c>
      <c r="AG2" s="3">
        <v>9.99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N2" s="3">
        <v>0</v>
      </c>
      <c r="AO2" s="3">
        <v>0</v>
      </c>
      <c r="AP2" s="3" t="s">
        <v>102</v>
      </c>
      <c r="AQ2" s="3">
        <v>1100</v>
      </c>
      <c r="AR2" s="3">
        <v>0</v>
      </c>
      <c r="AS2" s="3">
        <v>0</v>
      </c>
      <c r="AT2" s="3">
        <v>0</v>
      </c>
      <c r="AU2" s="3">
        <v>0</v>
      </c>
    </row>
  </sheetData>
  <pageMargins left="0.75" right="0.75" top="1" bottom="1" header="0.511805555555556" footer="0.511805555555556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workbookViewId="0">
      <selection activeCell="A3" sqref="$A3:$XFD73"/>
    </sheetView>
  </sheetViews>
  <sheetFormatPr defaultColWidth="9.81666666666667" defaultRowHeight="14.25" outlineLevelRow="1"/>
  <cols>
    <col min="1" max="13" width="9.81666666666667" style="3"/>
    <col min="14" max="14" width="10.275" style="3"/>
    <col min="15" max="16384" width="9.81666666666667" style="3"/>
  </cols>
  <sheetData>
    <row r="1" s="3" customFormat="1" spans="1:17">
      <c r="A1" s="3" t="s">
        <v>103</v>
      </c>
      <c r="B1" s="3" t="s">
        <v>104</v>
      </c>
      <c r="C1" s="3" t="s">
        <v>105</v>
      </c>
      <c r="D1" s="3" t="s">
        <v>8</v>
      </c>
      <c r="E1" s="3" t="s">
        <v>106</v>
      </c>
      <c r="F1" s="3" t="s">
        <v>107</v>
      </c>
      <c r="G1" s="3" t="s">
        <v>108</v>
      </c>
      <c r="H1" s="3" t="s">
        <v>109</v>
      </c>
      <c r="I1" s="3" t="s">
        <v>110</v>
      </c>
      <c r="J1" s="3" t="s">
        <v>111</v>
      </c>
      <c r="K1" s="3" t="s">
        <v>112</v>
      </c>
      <c r="L1" s="3" t="s">
        <v>113</v>
      </c>
      <c r="M1" s="3" t="s">
        <v>114</v>
      </c>
      <c r="N1" s="3" t="s">
        <v>115</v>
      </c>
      <c r="O1" s="3" t="s">
        <v>116</v>
      </c>
      <c r="P1" s="3" t="s">
        <v>117</v>
      </c>
      <c r="Q1" s="3" t="s">
        <v>118</v>
      </c>
    </row>
    <row r="2" s="3" customFormat="1" spans="1:17">
      <c r="A2" s="3" t="s">
        <v>119</v>
      </c>
      <c r="B2" s="3" t="s">
        <v>23</v>
      </c>
      <c r="C2" s="3" t="s">
        <v>98</v>
      </c>
      <c r="D2" s="3">
        <v>2091010</v>
      </c>
      <c r="E2" s="3">
        <v>223</v>
      </c>
      <c r="F2" s="4">
        <v>0.0418</v>
      </c>
      <c r="G2" s="3">
        <v>310</v>
      </c>
      <c r="H2" s="4">
        <v>0.0409</v>
      </c>
      <c r="I2" s="5">
        <v>1</v>
      </c>
      <c r="J2" s="3">
        <v>77</v>
      </c>
      <c r="K2" s="3">
        <v>3</v>
      </c>
      <c r="L2" s="4">
        <v>0.3453</v>
      </c>
      <c r="M2" s="4">
        <v>0.0135</v>
      </c>
      <c r="N2" s="3">
        <v>769.23</v>
      </c>
      <c r="O2" s="3">
        <v>29.97</v>
      </c>
      <c r="P2" s="3">
        <v>76</v>
      </c>
      <c r="Q2" s="3">
        <v>3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70"/>
  <sheetViews>
    <sheetView workbookViewId="0">
      <selection activeCell="A1" sqref="$A1:$XFD1048576"/>
    </sheetView>
  </sheetViews>
  <sheetFormatPr defaultColWidth="9.45833333333333" defaultRowHeight="13.5" outlineLevelCol="2"/>
  <cols>
    <col min="1" max="1" width="10.6333333333333" style="2"/>
    <col min="2" max="3" width="14" style="2"/>
    <col min="4" max="16384" width="9.45833333333333" style="2"/>
  </cols>
  <sheetData>
    <row r="3" s="2" customFormat="1" spans="1:3">
      <c r="A3" s="2" t="s">
        <v>8</v>
      </c>
      <c r="B3" s="2" t="s">
        <v>120</v>
      </c>
      <c r="C3" s="2" t="s">
        <v>121</v>
      </c>
    </row>
    <row r="4" s="2" customFormat="1" spans="1:3">
      <c r="A4" s="2">
        <v>1011002</v>
      </c>
      <c r="B4" s="2">
        <v>0.97</v>
      </c>
      <c r="C4" s="2">
        <v>0</v>
      </c>
    </row>
    <row r="5" s="2" customFormat="1" spans="1:3">
      <c r="A5" s="2">
        <v>1011013</v>
      </c>
      <c r="B5" s="2">
        <v>0.42</v>
      </c>
      <c r="C5" s="2">
        <v>0</v>
      </c>
    </row>
    <row r="6" s="2" customFormat="1" spans="1:3">
      <c r="A6" s="2">
        <v>1012010</v>
      </c>
      <c r="B6" s="2">
        <v>5.11</v>
      </c>
      <c r="C6" s="2">
        <v>0</v>
      </c>
    </row>
    <row r="7" s="2" customFormat="1" spans="1:3">
      <c r="A7" s="2">
        <v>1041001</v>
      </c>
      <c r="B7" s="2">
        <v>2.74</v>
      </c>
      <c r="C7" s="2">
        <v>104.45</v>
      </c>
    </row>
    <row r="8" s="2" customFormat="1" spans="1:3">
      <c r="A8" s="2">
        <v>1051001</v>
      </c>
      <c r="B8" s="2">
        <v>36.17</v>
      </c>
      <c r="C8" s="2">
        <v>300.85</v>
      </c>
    </row>
    <row r="9" s="2" customFormat="1" spans="1:3">
      <c r="A9" s="2">
        <v>1051002</v>
      </c>
      <c r="B9" s="2">
        <v>15.2</v>
      </c>
      <c r="C9" s="2">
        <v>47.97</v>
      </c>
    </row>
    <row r="10" s="2" customFormat="1" spans="1:3">
      <c r="A10" s="2">
        <v>1051003</v>
      </c>
      <c r="B10" s="2">
        <v>0</v>
      </c>
      <c r="C10" s="2">
        <v>0</v>
      </c>
    </row>
    <row r="11" s="2" customFormat="1" spans="1:3">
      <c r="A11" s="2">
        <v>1051007</v>
      </c>
      <c r="B11" s="2">
        <v>21.06</v>
      </c>
      <c r="C11" s="2">
        <v>137.92</v>
      </c>
    </row>
    <row r="12" s="2" customFormat="1" spans="1:3">
      <c r="A12" s="2">
        <v>1051019</v>
      </c>
      <c r="B12" s="2">
        <v>25.29</v>
      </c>
      <c r="C12" s="2">
        <v>412.85</v>
      </c>
    </row>
    <row r="13" s="2" customFormat="1" spans="1:3">
      <c r="A13" s="2">
        <v>1051025</v>
      </c>
      <c r="B13" s="2">
        <v>42.91</v>
      </c>
      <c r="C13" s="2">
        <v>276.92</v>
      </c>
    </row>
    <row r="14" s="2" customFormat="1" spans="1:3">
      <c r="A14" s="2">
        <v>1051028</v>
      </c>
      <c r="B14" s="2">
        <v>26.39</v>
      </c>
      <c r="C14" s="2">
        <v>65.97</v>
      </c>
    </row>
    <row r="15" s="2" customFormat="1" spans="1:3">
      <c r="A15" s="2">
        <v>1071001</v>
      </c>
      <c r="B15" s="2">
        <v>13.28</v>
      </c>
      <c r="C15" s="2">
        <v>0</v>
      </c>
    </row>
    <row r="16" s="2" customFormat="1" spans="1:3">
      <c r="A16" s="2">
        <v>1071002</v>
      </c>
      <c r="B16" s="2">
        <v>0.17</v>
      </c>
      <c r="C16" s="2">
        <v>0</v>
      </c>
    </row>
    <row r="17" s="2" customFormat="1" spans="1:3">
      <c r="A17" s="2">
        <v>1071003</v>
      </c>
      <c r="B17" s="2">
        <v>4.28</v>
      </c>
      <c r="C17" s="2">
        <v>24.99</v>
      </c>
    </row>
    <row r="18" s="2" customFormat="1" spans="1:3">
      <c r="A18" s="2">
        <v>1071004</v>
      </c>
      <c r="B18" s="2">
        <v>28.54</v>
      </c>
      <c r="C18" s="2">
        <v>153.93</v>
      </c>
    </row>
    <row r="19" s="2" customFormat="1" spans="1:3">
      <c r="A19" s="2">
        <v>1071005</v>
      </c>
      <c r="B19" s="2">
        <v>5.96</v>
      </c>
      <c r="C19" s="2">
        <v>24.99</v>
      </c>
    </row>
    <row r="20" s="2" customFormat="1" spans="1:3">
      <c r="A20" s="2">
        <v>1071006</v>
      </c>
      <c r="B20" s="2">
        <v>20.74</v>
      </c>
      <c r="C20" s="2">
        <v>59.97</v>
      </c>
    </row>
    <row r="21" s="2" customFormat="1" spans="1:3">
      <c r="A21" s="2">
        <v>1071007</v>
      </c>
      <c r="B21" s="2">
        <v>3.37</v>
      </c>
      <c r="C21" s="2">
        <v>68.97</v>
      </c>
    </row>
    <row r="22" s="2" customFormat="1" spans="1:3">
      <c r="A22" s="2">
        <v>1071008</v>
      </c>
      <c r="B22" s="2">
        <v>29</v>
      </c>
      <c r="C22" s="2">
        <v>107.94</v>
      </c>
    </row>
    <row r="23" s="2" customFormat="1" spans="1:3">
      <c r="A23" s="2">
        <v>2011004</v>
      </c>
      <c r="B23" s="2">
        <v>0.93</v>
      </c>
      <c r="C23" s="2">
        <v>158.97</v>
      </c>
    </row>
    <row r="24" s="2" customFormat="1" spans="1:3">
      <c r="A24" s="2">
        <v>2011015</v>
      </c>
      <c r="B24" s="2">
        <v>0.72</v>
      </c>
      <c r="C24" s="2">
        <v>17.99</v>
      </c>
    </row>
    <row r="25" s="2" customFormat="1" spans="1:3">
      <c r="A25" s="2">
        <v>2011029</v>
      </c>
      <c r="B25" s="2">
        <v>4.93</v>
      </c>
      <c r="C25" s="2">
        <v>68.97</v>
      </c>
    </row>
    <row r="26" s="2" customFormat="1" spans="1:3">
      <c r="A26" s="2">
        <v>2031008</v>
      </c>
      <c r="B26" s="2">
        <v>4.53</v>
      </c>
      <c r="C26" s="2">
        <v>0</v>
      </c>
    </row>
    <row r="27" s="2" customFormat="1" spans="1:3">
      <c r="A27" s="2">
        <v>2031009</v>
      </c>
      <c r="B27" s="2">
        <v>1.25</v>
      </c>
      <c r="C27" s="2">
        <v>0</v>
      </c>
    </row>
    <row r="28" s="2" customFormat="1" spans="1:3">
      <c r="A28" s="2">
        <v>2041001</v>
      </c>
      <c r="B28" s="2">
        <v>6.11</v>
      </c>
      <c r="C28" s="2">
        <v>39.98</v>
      </c>
    </row>
    <row r="29" s="2" customFormat="1" spans="1:3">
      <c r="A29" s="2">
        <v>2041002</v>
      </c>
      <c r="B29" s="2">
        <v>1.48</v>
      </c>
      <c r="C29" s="2">
        <v>35.99</v>
      </c>
    </row>
    <row r="30" s="2" customFormat="1" spans="1:3">
      <c r="A30" s="2">
        <v>2041005</v>
      </c>
      <c r="B30" s="2">
        <v>0.97</v>
      </c>
      <c r="C30" s="2">
        <v>25.99</v>
      </c>
    </row>
    <row r="31" s="2" customFormat="1" spans="1:3">
      <c r="A31" s="2">
        <v>2041006</v>
      </c>
      <c r="B31" s="2">
        <v>0.48</v>
      </c>
      <c r="C31" s="2">
        <v>0</v>
      </c>
    </row>
    <row r="32" s="2" customFormat="1" spans="1:3">
      <c r="A32" s="2">
        <v>2041010</v>
      </c>
      <c r="B32" s="2">
        <v>0.48</v>
      </c>
      <c r="C32" s="2">
        <v>0</v>
      </c>
    </row>
    <row r="33" s="2" customFormat="1" spans="1:3">
      <c r="A33" s="2">
        <v>2042012</v>
      </c>
      <c r="B33" s="2">
        <v>2.26</v>
      </c>
      <c r="C33" s="2">
        <v>0</v>
      </c>
    </row>
    <row r="34" s="2" customFormat="1" spans="1:3">
      <c r="A34" s="2">
        <v>2042018</v>
      </c>
      <c r="B34" s="2">
        <v>47.63</v>
      </c>
      <c r="C34" s="2">
        <v>207.95</v>
      </c>
    </row>
    <row r="35" s="2" customFormat="1" spans="1:3">
      <c r="A35" s="2">
        <v>2051008</v>
      </c>
      <c r="B35" s="2">
        <v>0</v>
      </c>
      <c r="C35" s="2">
        <v>0</v>
      </c>
    </row>
    <row r="36" s="2" customFormat="1" spans="1:3">
      <c r="A36" s="2">
        <v>2061043</v>
      </c>
      <c r="B36" s="2">
        <v>0</v>
      </c>
      <c r="C36" s="2">
        <v>0</v>
      </c>
    </row>
    <row r="37" s="2" customFormat="1" spans="1:3">
      <c r="A37" s="2">
        <v>2062009</v>
      </c>
      <c r="B37" s="2">
        <v>14.38</v>
      </c>
      <c r="C37" s="2">
        <v>62.97</v>
      </c>
    </row>
    <row r="38" s="2" customFormat="1" spans="1:3">
      <c r="A38" s="2">
        <v>2062010</v>
      </c>
      <c r="B38" s="2">
        <v>7.45</v>
      </c>
      <c r="C38" s="2">
        <v>18.49</v>
      </c>
    </row>
    <row r="39" s="2" customFormat="1" spans="1:3">
      <c r="A39" s="2">
        <v>2071024</v>
      </c>
      <c r="B39" s="2">
        <v>19.04</v>
      </c>
      <c r="C39" s="2">
        <v>39.98</v>
      </c>
    </row>
    <row r="40" s="2" customFormat="1" spans="1:3">
      <c r="A40" s="2">
        <v>2071037</v>
      </c>
      <c r="B40" s="2">
        <v>41.32</v>
      </c>
      <c r="C40" s="2">
        <v>137.94</v>
      </c>
    </row>
    <row r="41" s="2" customFormat="1" spans="1:3">
      <c r="A41" s="2">
        <v>2091005</v>
      </c>
      <c r="B41" s="2">
        <v>6.88</v>
      </c>
      <c r="C41" s="2">
        <v>45.58</v>
      </c>
    </row>
    <row r="42" s="2" customFormat="1" spans="1:3">
      <c r="A42" s="2">
        <v>2091010</v>
      </c>
      <c r="B42" s="2">
        <v>7.34</v>
      </c>
      <c r="C42" s="2">
        <v>39.96</v>
      </c>
    </row>
    <row r="43" s="2" customFormat="1" spans="1:3">
      <c r="A43" s="2">
        <v>2091012</v>
      </c>
      <c r="B43" s="2">
        <v>2.48</v>
      </c>
      <c r="C43" s="2">
        <v>8.99</v>
      </c>
    </row>
    <row r="44" s="2" customFormat="1" spans="1:3">
      <c r="A44" s="2">
        <v>2091014</v>
      </c>
      <c r="B44" s="2">
        <v>0.95</v>
      </c>
      <c r="C44" s="2">
        <v>0</v>
      </c>
    </row>
    <row r="45" s="2" customFormat="1" spans="1:3">
      <c r="A45" s="2">
        <v>2091017</v>
      </c>
      <c r="B45" s="2">
        <v>2.6</v>
      </c>
      <c r="C45" s="2">
        <v>8.99</v>
      </c>
    </row>
    <row r="46" s="2" customFormat="1" spans="1:3">
      <c r="A46" s="2">
        <v>2100001</v>
      </c>
      <c r="B46" s="2">
        <v>1.12</v>
      </c>
      <c r="C46" s="2">
        <v>0</v>
      </c>
    </row>
    <row r="47" s="2" customFormat="1" spans="1:3">
      <c r="A47" s="2">
        <v>2100012</v>
      </c>
      <c r="B47" s="2">
        <v>3.72</v>
      </c>
      <c r="C47" s="2">
        <v>8.99</v>
      </c>
    </row>
    <row r="48" s="2" customFormat="1" spans="1:3">
      <c r="A48" s="2">
        <v>2100013</v>
      </c>
      <c r="B48" s="2">
        <v>0.62</v>
      </c>
      <c r="C48" s="2">
        <v>0</v>
      </c>
    </row>
    <row r="49" s="2" customFormat="1" spans="1:3">
      <c r="A49" s="2">
        <v>2100014</v>
      </c>
      <c r="B49" s="2">
        <v>84.71</v>
      </c>
      <c r="C49" s="2">
        <v>197.91</v>
      </c>
    </row>
    <row r="50" s="2" customFormat="1" spans="1:3">
      <c r="A50" s="2">
        <v>2211036</v>
      </c>
      <c r="B50" s="2">
        <v>50.2</v>
      </c>
      <c r="C50" s="2">
        <v>107.96</v>
      </c>
    </row>
    <row r="51" s="2" customFormat="1" spans="1:3">
      <c r="A51" s="2">
        <v>2271040</v>
      </c>
      <c r="B51" s="2">
        <v>2.43</v>
      </c>
      <c r="C51" s="2">
        <v>0</v>
      </c>
    </row>
    <row r="52" s="2" customFormat="1" spans="1:3">
      <c r="A52" s="2">
        <v>2291016</v>
      </c>
      <c r="B52" s="2">
        <v>45.68</v>
      </c>
      <c r="C52" s="2">
        <v>132.92</v>
      </c>
    </row>
    <row r="53" s="2" customFormat="1" spans="1:3">
      <c r="A53" s="2">
        <v>2300011</v>
      </c>
      <c r="B53" s="2">
        <v>0</v>
      </c>
      <c r="C53" s="2">
        <v>0</v>
      </c>
    </row>
    <row r="54" s="2" customFormat="1" spans="1:3">
      <c r="A54" s="2">
        <v>2310002</v>
      </c>
      <c r="B54" s="2">
        <v>62.61</v>
      </c>
      <c r="C54" s="2">
        <v>170.81</v>
      </c>
    </row>
    <row r="55" s="2" customFormat="1" spans="1:3">
      <c r="A55" s="2">
        <v>2361001</v>
      </c>
      <c r="B55" s="2">
        <v>4.79</v>
      </c>
      <c r="C55" s="2">
        <v>19.89</v>
      </c>
    </row>
    <row r="56" s="2" customFormat="1" spans="1:3">
      <c r="A56" s="2">
        <v>2362004</v>
      </c>
      <c r="B56" s="2">
        <v>0</v>
      </c>
      <c r="C56" s="2">
        <v>0</v>
      </c>
    </row>
    <row r="57" s="2" customFormat="1" spans="1:3">
      <c r="A57" s="2">
        <v>2371038</v>
      </c>
      <c r="B57" s="2">
        <v>11.14</v>
      </c>
      <c r="C57" s="2">
        <v>117.42</v>
      </c>
    </row>
    <row r="58" s="2" customFormat="1" spans="1:3">
      <c r="A58" s="2">
        <v>2391021</v>
      </c>
      <c r="B58" s="2">
        <v>1.66</v>
      </c>
      <c r="C58" s="2">
        <v>0</v>
      </c>
    </row>
    <row r="59" s="2" customFormat="1" spans="1:3">
      <c r="A59" s="2" t="s">
        <v>122</v>
      </c>
      <c r="B59" s="2">
        <v>15.59</v>
      </c>
      <c r="C59" s="2">
        <v>152.91</v>
      </c>
    </row>
    <row r="60" s="2" customFormat="1" spans="1:3">
      <c r="A60" s="2" t="s">
        <v>123</v>
      </c>
      <c r="B60" s="2">
        <v>0</v>
      </c>
      <c r="C60" s="2">
        <v>0</v>
      </c>
    </row>
    <row r="61" s="2" customFormat="1" spans="1:3">
      <c r="A61" s="2" t="s">
        <v>124</v>
      </c>
      <c r="B61" s="2">
        <v>0.56</v>
      </c>
      <c r="C61" s="2">
        <v>0</v>
      </c>
    </row>
    <row r="62" s="2" customFormat="1" spans="1:3">
      <c r="A62" s="2" t="s">
        <v>125</v>
      </c>
      <c r="B62" s="2">
        <v>0.19</v>
      </c>
      <c r="C62" s="2">
        <v>0</v>
      </c>
    </row>
    <row r="63" s="2" customFormat="1" spans="1:3">
      <c r="A63" s="2" t="s">
        <v>126</v>
      </c>
      <c r="B63" s="2">
        <v>18.63</v>
      </c>
      <c r="C63" s="2">
        <v>59.97</v>
      </c>
    </row>
    <row r="64" s="2" customFormat="1" spans="1:3">
      <c r="A64" s="2" t="s">
        <v>127</v>
      </c>
      <c r="B64" s="2">
        <v>6.57</v>
      </c>
      <c r="C64" s="2">
        <v>0</v>
      </c>
    </row>
    <row r="65" s="2" customFormat="1" spans="1:3">
      <c r="A65" s="2" t="s">
        <v>128</v>
      </c>
      <c r="B65" s="2">
        <v>5.77</v>
      </c>
      <c r="C65" s="2">
        <v>0</v>
      </c>
    </row>
    <row r="66" s="2" customFormat="1" spans="1:3">
      <c r="A66" s="2" t="s">
        <v>129</v>
      </c>
      <c r="B66" s="2">
        <v>0</v>
      </c>
      <c r="C66" s="2">
        <v>0</v>
      </c>
    </row>
    <row r="67" s="2" customFormat="1" spans="1:3">
      <c r="A67" s="2" t="s">
        <v>130</v>
      </c>
      <c r="B67" s="2">
        <v>10.57</v>
      </c>
      <c r="C67" s="2">
        <v>134.95</v>
      </c>
    </row>
    <row r="68" s="2" customFormat="1" spans="1:3">
      <c r="A68" s="2" t="s">
        <v>131</v>
      </c>
      <c r="B68" s="2">
        <v>475.29</v>
      </c>
      <c r="C68" s="2">
        <v>2305.47</v>
      </c>
    </row>
    <row r="69" s="2" customFormat="1" spans="1:3">
      <c r="A69" s="2" t="s">
        <v>132</v>
      </c>
      <c r="B69" s="2">
        <v>2.36</v>
      </c>
      <c r="C69" s="2">
        <v>0</v>
      </c>
    </row>
    <row r="70" s="2" customFormat="1" spans="1:3">
      <c r="A70" s="2" t="s">
        <v>20</v>
      </c>
      <c r="B70" s="2">
        <v>1260.02</v>
      </c>
      <c r="C70" s="2">
        <v>6115.66</v>
      </c>
    </row>
  </sheetData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"/>
  <sheetViews>
    <sheetView topLeftCell="D1" workbookViewId="0">
      <selection activeCell="A1" sqref="A$1:A$1048576"/>
    </sheetView>
  </sheetViews>
  <sheetFormatPr defaultColWidth="9" defaultRowHeight="13.5" outlineLevelRow="3"/>
  <cols>
    <col min="1" max="13" width="9" style="1"/>
    <col min="14" max="14" width="9.375" style="1"/>
    <col min="15" max="16384" width="9" style="1"/>
  </cols>
  <sheetData>
    <row r="1" s="1" customFormat="1" spans="1:22">
      <c r="A1" s="1" t="s">
        <v>7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40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47</v>
      </c>
      <c r="S1" s="1" t="s">
        <v>148</v>
      </c>
      <c r="T1" s="1" t="s">
        <v>142</v>
      </c>
      <c r="U1" s="1" t="s">
        <v>149</v>
      </c>
      <c r="V1" s="1" t="s">
        <v>150</v>
      </c>
    </row>
    <row r="2" s="1" customFormat="1" spans="1:22">
      <c r="A2" s="1" t="s">
        <v>23</v>
      </c>
      <c r="B2" s="1">
        <v>3</v>
      </c>
      <c r="C2" s="1" t="s">
        <v>98</v>
      </c>
      <c r="D2" s="1" t="s">
        <v>151</v>
      </c>
      <c r="E2" s="1">
        <v>9.99</v>
      </c>
      <c r="F2" s="1">
        <v>9.99</v>
      </c>
      <c r="G2" s="1">
        <v>6.7</v>
      </c>
      <c r="H2" s="1">
        <v>3.29</v>
      </c>
      <c r="I2" s="1">
        <v>86</v>
      </c>
      <c r="J2" s="1" t="s">
        <v>152</v>
      </c>
      <c r="K2" s="1">
        <v>1</v>
      </c>
      <c r="L2" s="1">
        <v>985</v>
      </c>
      <c r="M2" s="1">
        <v>248</v>
      </c>
      <c r="N2" s="1">
        <v>2477.52</v>
      </c>
      <c r="O2" s="1">
        <v>73</v>
      </c>
      <c r="P2" s="1">
        <v>34</v>
      </c>
      <c r="Q2" s="1" t="s">
        <v>153</v>
      </c>
      <c r="R2" s="1">
        <v>4.8</v>
      </c>
      <c r="S2" s="1">
        <v>0.44</v>
      </c>
      <c r="T2" s="1" t="s">
        <v>154</v>
      </c>
      <c r="U2" s="1">
        <v>2</v>
      </c>
      <c r="V2" s="1" t="s">
        <v>155</v>
      </c>
    </row>
    <row r="4" s="1" customFormat="1" spans="3:3">
      <c r="C4" s="1" t="s">
        <v>156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销售记录</vt:lpstr>
      <vt:lpstr>重点产品数据跟踪</vt:lpstr>
      <vt:lpstr>FBA库存</vt:lpstr>
      <vt:lpstr>业务报表</vt:lpstr>
      <vt:lpstr>广告费用</vt:lpstr>
      <vt:lpstr>排名+评分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hasee1</dc:creator>
  <cp:lastModifiedBy>Sophie</cp:lastModifiedBy>
  <dcterms:created xsi:type="dcterms:W3CDTF">2017-04-08T07:02:00Z</dcterms:created>
  <dcterms:modified xsi:type="dcterms:W3CDTF">2018-05-28T07:46:08Z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2052-10.1.0.7346</vt:lpwstr>
  </property>
</Properties>
</file>