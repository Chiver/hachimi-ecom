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低仓预警" sheetId="1" r:id="rId1"/>
  </sheets>
  <calcPr calcId="144525" concurrentCalc="0"/>
</workbook>
</file>

<file path=xl/sharedStrings.xml><?xml version="1.0" encoding="utf-8"?>
<sst xmlns="http://schemas.openxmlformats.org/spreadsheetml/2006/main" count="23" uniqueCount="18">
  <si>
    <t>A产品</t>
  </si>
  <si>
    <t>B产品</t>
  </si>
  <si>
    <t>C产品</t>
  </si>
  <si>
    <t>UPS</t>
  </si>
  <si>
    <t>专线</t>
  </si>
  <si>
    <t>海运</t>
  </si>
  <si>
    <t>DHL</t>
  </si>
  <si>
    <t>每日销量</t>
  </si>
  <si>
    <t>预计月销量</t>
  </si>
  <si>
    <t>日期-日期</t>
  </si>
  <si>
    <t>预计秒杀量</t>
  </si>
  <si>
    <t>日期</t>
  </si>
  <si>
    <t>本月总销量</t>
  </si>
  <si>
    <t>低仓预警</t>
  </si>
  <si>
    <t>现有库存</t>
  </si>
  <si>
    <t>需采购数量</t>
  </si>
  <si>
    <t>运输方式</t>
  </si>
  <si>
    <t>快递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</si>
</sst>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0" borderId="5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" fillId="5" borderId="8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20" borderId="11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zoomScale="130" zoomScaleNormal="130" workbookViewId="0">
      <selection activeCell="G6" sqref="G6"/>
    </sheetView>
  </sheetViews>
  <sheetFormatPr defaultColWidth="9" defaultRowHeight="13.5"/>
  <cols>
    <col min="1" max="1" width="10.4833333333333" style="1" customWidth="1"/>
    <col min="2" max="2" width="9.875" style="1" customWidth="1"/>
    <col min="3" max="3" width="9.375" style="2" customWidth="1"/>
    <col min="4" max="4" width="9.375" style="3" customWidth="1"/>
    <col min="5" max="5" width="7.125" style="2" customWidth="1"/>
    <col min="6" max="6" width="7.125" style="1" customWidth="1"/>
    <col min="7" max="16384" width="9" style="1"/>
  </cols>
  <sheetData>
    <row r="1" ht="20" customHeight="1" spans="1:11">
      <c r="A1" s="4"/>
      <c r="B1" s="4"/>
      <c r="C1" s="5" t="s">
        <v>0</v>
      </c>
      <c r="D1" s="6" t="s">
        <v>1</v>
      </c>
      <c r="E1" s="5" t="s">
        <v>2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6</v>
      </c>
    </row>
    <row r="2" ht="20" customHeight="1" spans="1:11">
      <c r="A2" s="4" t="s">
        <v>7</v>
      </c>
      <c r="B2" s="4"/>
      <c r="C2" s="5">
        <v>5</v>
      </c>
      <c r="D2" s="6">
        <v>10</v>
      </c>
      <c r="E2" s="5">
        <v>15</v>
      </c>
      <c r="G2" s="1">
        <v>7</v>
      </c>
      <c r="H2" s="1">
        <v>16</v>
      </c>
      <c r="I2" s="1">
        <v>26</v>
      </c>
      <c r="J2" s="1">
        <v>26</v>
      </c>
      <c r="K2" s="1">
        <v>7</v>
      </c>
    </row>
    <row r="3" ht="20" customHeight="1" spans="1:5">
      <c r="A3" s="7" t="s">
        <v>8</v>
      </c>
      <c r="B3" s="7" t="s">
        <v>9</v>
      </c>
      <c r="C3" s="5">
        <f>C2*30*1.5</f>
        <v>225</v>
      </c>
      <c r="D3" s="6">
        <f>D2*30*1.5</f>
        <v>450</v>
      </c>
      <c r="E3" s="5">
        <f>E2*30*1.5</f>
        <v>675</v>
      </c>
    </row>
    <row r="4" ht="20" customHeight="1" spans="1:5">
      <c r="A4" s="8" t="s">
        <v>10</v>
      </c>
      <c r="B4" s="9" t="s">
        <v>11</v>
      </c>
      <c r="C4" s="5">
        <f>C2*2</f>
        <v>10</v>
      </c>
      <c r="D4" s="6">
        <f>D2*3</f>
        <v>30</v>
      </c>
      <c r="E4" s="5">
        <f>E2*3</f>
        <v>45</v>
      </c>
    </row>
    <row r="5" ht="20" customHeight="1" spans="1:5">
      <c r="A5" s="4"/>
      <c r="B5" s="9" t="s">
        <v>11</v>
      </c>
      <c r="C5" s="5">
        <f>C2*2</f>
        <v>10</v>
      </c>
      <c r="D5" s="6">
        <f>D2*3</f>
        <v>30</v>
      </c>
      <c r="E5" s="5">
        <f>E2*3</f>
        <v>45</v>
      </c>
    </row>
    <row r="6" ht="20" customHeight="1" spans="1:5">
      <c r="A6" s="4"/>
      <c r="B6" s="9" t="s">
        <v>11</v>
      </c>
      <c r="C6" s="5">
        <f>C2*2</f>
        <v>10</v>
      </c>
      <c r="D6" s="6">
        <f>D2*3</f>
        <v>30</v>
      </c>
      <c r="E6" s="5">
        <f>E2*3</f>
        <v>45</v>
      </c>
    </row>
    <row r="7" ht="20" customHeight="1" spans="1:5">
      <c r="A7" s="10" t="s">
        <v>12</v>
      </c>
      <c r="B7" s="4"/>
      <c r="C7" s="5">
        <f>SUM(C3:C6)</f>
        <v>255</v>
      </c>
      <c r="D7" s="5">
        <f>SUM(D3:D6)</f>
        <v>540</v>
      </c>
      <c r="E7" s="5">
        <f>SUM(E3:E6)</f>
        <v>810</v>
      </c>
    </row>
    <row r="8" ht="20" customHeight="1" spans="1:5">
      <c r="A8" s="11" t="s">
        <v>13</v>
      </c>
      <c r="B8" s="11"/>
      <c r="C8" s="12">
        <f>C7/2</f>
        <v>127.5</v>
      </c>
      <c r="D8" s="12">
        <f>D7/2</f>
        <v>270</v>
      </c>
      <c r="E8" s="12">
        <f>E7/2</f>
        <v>405</v>
      </c>
    </row>
    <row r="9" ht="20" customHeight="1" spans="1:5">
      <c r="A9" s="13" t="s">
        <v>14</v>
      </c>
      <c r="B9" s="14"/>
      <c r="C9" s="5">
        <v>200</v>
      </c>
      <c r="D9" s="6">
        <v>200</v>
      </c>
      <c r="E9" s="5">
        <v>300</v>
      </c>
    </row>
    <row r="10" ht="20" customHeight="1" spans="1:5">
      <c r="A10" s="13" t="s">
        <v>15</v>
      </c>
      <c r="B10" s="14"/>
      <c r="C10" s="5"/>
      <c r="E10" s="6"/>
    </row>
    <row r="11" ht="20" customHeight="1" spans="1:5">
      <c r="A11" s="13" t="s">
        <v>16</v>
      </c>
      <c r="B11" s="14"/>
      <c r="C11" s="5" t="s">
        <v>17</v>
      </c>
      <c r="D11" s="6" t="s">
        <v>4</v>
      </c>
      <c r="E11" s="5" t="s">
        <v>5</v>
      </c>
    </row>
  </sheetData>
  <mergeCells count="8">
    <mergeCell ref="A1:B1"/>
    <mergeCell ref="A2:B2"/>
    <mergeCell ref="A7:B7"/>
    <mergeCell ref="A8:B8"/>
    <mergeCell ref="A9:B9"/>
    <mergeCell ref="A10:B10"/>
    <mergeCell ref="A11:B11"/>
    <mergeCell ref="A4:A6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低仓预警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2017-09-27T05:11:00Z</dcterms:created>
  <dcterms:modified xsi:type="dcterms:W3CDTF">2020-12-10T09:13:21Z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