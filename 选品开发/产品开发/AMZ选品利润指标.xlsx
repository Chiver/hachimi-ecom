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F3" authorId="0">
      <text>
        <r>
          <rPr>
            <sz val="9"/>
            <rFont val="宋体"/>
            <charset val="134"/>
          </rPr>
          <t xml:space="preserve">最快速度50元/kg
</t>
        </r>
      </text>
    </comment>
    <comment ref="I3" authorId="0">
      <text>
        <r>
          <rPr>
            <sz val="9"/>
            <rFont val="宋体"/>
            <charset val="134"/>
          </rPr>
          <t>举例：产出比等于1
（说明利润和成本是1：1，以此次类推）</t>
        </r>
      </text>
    </comment>
    <comment ref="P3" authorId="0">
      <text>
        <r>
          <rPr>
            <sz val="9"/>
            <rFont val="宋体"/>
            <charset val="134"/>
          </rPr>
          <t>会根据重量等来变，暂定20</t>
        </r>
      </text>
    </comment>
    <comment ref="B9" authorId="0">
      <text>
        <r>
          <rPr>
            <sz val="9"/>
            <rFont val="宋体"/>
            <charset val="134"/>
          </rPr>
          <t xml:space="preserve">日销量预估：
4000-5000：2-4单 
3000-2000：6-8单
500：10-20单
</t>
        </r>
      </text>
    </comment>
  </commentList>
</comments>
</file>

<file path=xl/sharedStrings.xml><?xml version="1.0" encoding="utf-8"?>
<sst xmlns="http://schemas.openxmlformats.org/spreadsheetml/2006/main" count="37" uniqueCount="37">
  <si>
    <t>产品利润核算表</t>
  </si>
  <si>
    <r>
      <rPr>
        <b/>
        <sz val="14"/>
        <rFont val="黑体"/>
        <charset val="134"/>
      </rPr>
      <t>提示：</t>
    </r>
    <r>
      <rPr>
        <b/>
        <sz val="14"/>
        <color indexed="8"/>
        <rFont val="黑体"/>
        <charset val="134"/>
      </rPr>
      <t>橙色区域</t>
    </r>
    <r>
      <rPr>
        <b/>
        <sz val="14"/>
        <rFont val="黑体"/>
        <charset val="134"/>
      </rPr>
      <t>可以根据情况更改即可，灰色区域不可更改。</t>
    </r>
  </si>
  <si>
    <t>渠道</t>
  </si>
  <si>
    <t>货币</t>
  </si>
  <si>
    <t>商品售价</t>
  </si>
  <si>
    <t>单个重量/g</t>
  </si>
  <si>
    <t>货代/1g</t>
  </si>
  <si>
    <t>头程FBA运费/RMB</t>
  </si>
  <si>
    <t>商品成本/RMB</t>
  </si>
  <si>
    <t>利润/RMB</t>
  </si>
  <si>
    <t>利润比</t>
  </si>
  <si>
    <t>汇率</t>
  </si>
  <si>
    <t>兑换后售价
/RMB</t>
  </si>
  <si>
    <t>税/RMB</t>
  </si>
  <si>
    <t>抽点/RMB</t>
  </si>
  <si>
    <t>预扣
（广告7%+退货5%）</t>
  </si>
  <si>
    <t>AMZ后台到账</t>
  </si>
  <si>
    <t>亚马逊
配送费/RMB</t>
  </si>
  <si>
    <t>汇损</t>
  </si>
  <si>
    <t>空运</t>
  </si>
  <si>
    <t>美元</t>
  </si>
  <si>
    <t>英镑</t>
  </si>
  <si>
    <t xml:space="preserve">
</t>
  </si>
  <si>
    <t>欧元</t>
  </si>
  <si>
    <t>加元</t>
  </si>
  <si>
    <t>墨西哥</t>
  </si>
  <si>
    <t>日元</t>
  </si>
  <si>
    <t>专线</t>
  </si>
  <si>
    <t>产品体积</t>
  </si>
  <si>
    <t>长</t>
  </si>
  <si>
    <t>宽</t>
  </si>
  <si>
    <t>高</t>
  </si>
  <si>
    <t>体积重/kg</t>
  </si>
  <si>
    <t>数量</t>
  </si>
  <si>
    <t>单个重量</t>
  </si>
  <si>
    <t>铁运</t>
  </si>
  <si>
    <t>海运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</si>
</sst>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_-\$* #,##0_ ;_-\$* \-#,##0\ ;_-\$* &quot;-&quot;_ ;_-@_ "/>
    <numFmt numFmtId="178" formatCode="_-[$£-809]* #,##0_-;\-[$£-809]* #,##0_-;_-[$£-809]* &quot;-&quot;_-;_-@_-"/>
    <numFmt numFmtId="179" formatCode="_ &quot;€&quot;* #,##0_ ;_ &quot;€&quot;* \-#,##0_ ;_ &quot;€&quot;* &quot;-&quot;_ ;_ @_ "/>
    <numFmt numFmtId="180" formatCode="_-[$￥-411]* #,##0_-;\-[$￥-411]* #,##0_-;_-[$￥-411]* &quot;-&quot;_-;_-@_-"/>
    <numFmt numFmtId="181" formatCode="0.00_ "/>
  </numFmts>
  <fonts count="27">
    <font>
      <sz val="11"/>
      <color theme="1"/>
      <name val="宋体"/>
      <charset val="134"/>
      <scheme val="minor"/>
    </font>
    <font>
      <b/>
      <sz val="14"/>
      <name val="黑体"/>
      <charset val="134"/>
    </font>
    <font>
      <sz val="12"/>
      <color theme="0"/>
      <name val="黑体"/>
      <charset val="134"/>
    </font>
    <font>
      <sz val="11"/>
      <name val="黑体"/>
      <charset val="134"/>
    </font>
    <font>
      <b/>
      <sz val="1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indexed="8"/>
      <name val="黑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1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11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51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77" fontId="3" fillId="5" borderId="4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176" fontId="3" fillId="5" borderId="4" xfId="0" applyNumberFormat="1" applyFont="1" applyFill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 wrapText="1"/>
    </xf>
    <xf numFmtId="178" fontId="3" fillId="5" borderId="4" xfId="0" applyNumberFormat="1" applyFont="1" applyFill="1" applyBorder="1" applyAlignment="1">
      <alignment horizontal="left" vertical="center"/>
    </xf>
    <xf numFmtId="179" fontId="3" fillId="5" borderId="4" xfId="0" applyNumberFormat="1" applyFont="1" applyFill="1" applyBorder="1" applyAlignment="1">
      <alignment horizontal="left" vertical="center" wrapText="1"/>
    </xf>
    <xf numFmtId="180" fontId="3" fillId="5" borderId="4" xfId="0" applyNumberFormat="1" applyFont="1" applyFill="1" applyBorder="1" applyAlignment="1">
      <alignment horizontal="left" vertical="center" wrapText="1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77" fontId="3" fillId="4" borderId="4" xfId="0" applyNumberFormat="1" applyFont="1" applyFill="1" applyBorder="1" applyAlignment="1">
      <alignment horizontal="left" vertical="center"/>
    </xf>
    <xf numFmtId="176" fontId="3" fillId="4" borderId="4" xfId="0" applyNumberFormat="1" applyFont="1" applyFill="1" applyBorder="1" applyAlignment="1">
      <alignment horizontal="center" vertical="center"/>
    </xf>
    <xf numFmtId="178" fontId="3" fillId="4" borderId="4" xfId="0" applyNumberFormat="1" applyFont="1" applyFill="1" applyBorder="1" applyAlignment="1">
      <alignment horizontal="left" vertical="center"/>
    </xf>
    <xf numFmtId="179" fontId="3" fillId="4" borderId="4" xfId="0" applyNumberFormat="1" applyFont="1" applyFill="1" applyBorder="1" applyAlignment="1">
      <alignment horizontal="left" vertical="center" wrapText="1"/>
    </xf>
    <xf numFmtId="180" fontId="3" fillId="4" borderId="4" xfId="0" applyNumberFormat="1" applyFont="1" applyFill="1" applyBorder="1" applyAlignment="1">
      <alignment horizontal="left" vertical="center" wrapText="1"/>
    </xf>
    <xf numFmtId="0" fontId="3" fillId="4" borderId="4" xfId="0" applyFont="1" applyFill="1" applyBorder="1" applyAlignment="1" applyProtection="1">
      <alignment horizontal="center" vertical="center" wrapText="1"/>
      <protection locked="0"/>
    </xf>
    <xf numFmtId="10" fontId="2" fillId="3" borderId="3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 wrapText="1"/>
    </xf>
    <xf numFmtId="10" fontId="3" fillId="4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181" fontId="3" fillId="0" borderId="4" xfId="0" applyNumberFormat="1" applyFont="1" applyBorder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6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2" fontId="3" fillId="0" borderId="0" xfId="0" applyNumberFormat="1" applyFont="1" applyAlignment="1">
      <alignment vertical="center"/>
    </xf>
    <xf numFmtId="0" fontId="3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"/>
  <sheetViews>
    <sheetView tabSelected="1" workbookViewId="0">
      <selection activeCell="O22" sqref="K16:O22"/>
    </sheetView>
  </sheetViews>
  <sheetFormatPr defaultColWidth="9" defaultRowHeight="13.5"/>
  <cols>
    <col min="1" max="1" width="8" customWidth="1"/>
    <col min="4" max="4" width="11.6666666666667" customWidth="1"/>
    <col min="6" max="6" width="16.5" customWidth="1"/>
    <col min="7" max="7" width="12.6666666666667" customWidth="1"/>
    <col min="9" max="9" width="12.3333333333333" customWidth="1"/>
    <col min="11" max="11" width="12.5" customWidth="1"/>
    <col min="13" max="13" width="10.8333333333333" customWidth="1"/>
    <col min="14" max="14" width="13.3333333333333" customWidth="1"/>
    <col min="15" max="15" width="14.8333333333333" customWidth="1"/>
    <col min="16" max="16" width="11.3333333333333" customWidth="1"/>
  </cols>
  <sheetData>
    <row r="1" s="1" customFormat="1" ht="28" customHeight="1" spans="1:2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5"/>
      <c r="R1" s="46"/>
      <c r="S1" s="46"/>
      <c r="T1" s="46"/>
      <c r="U1" s="46"/>
      <c r="V1" s="47"/>
    </row>
    <row r="2" s="1" customFormat="1" ht="28" customHeight="1" spans="1:2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46"/>
      <c r="S2" s="46"/>
      <c r="T2" s="46"/>
      <c r="U2" s="46"/>
      <c r="V2" s="47"/>
    </row>
    <row r="3" s="1" customFormat="1" ht="36" customHeight="1" spans="1:22">
      <c r="A3" s="6" t="s">
        <v>2</v>
      </c>
      <c r="B3" s="7" t="s">
        <v>3</v>
      </c>
      <c r="C3" s="7" t="s">
        <v>4</v>
      </c>
      <c r="D3" s="8" t="s">
        <v>5</v>
      </c>
      <c r="E3" s="9" t="s">
        <v>6</v>
      </c>
      <c r="F3" s="8" t="s">
        <v>7</v>
      </c>
      <c r="G3" s="8" t="s">
        <v>8</v>
      </c>
      <c r="H3" s="8" t="s">
        <v>9</v>
      </c>
      <c r="I3" s="27" t="s">
        <v>10</v>
      </c>
      <c r="J3" s="28" t="s">
        <v>11</v>
      </c>
      <c r="K3" s="29" t="s">
        <v>12</v>
      </c>
      <c r="L3" s="30" t="s">
        <v>13</v>
      </c>
      <c r="M3" s="30" t="s">
        <v>14</v>
      </c>
      <c r="N3" s="31" t="s">
        <v>15</v>
      </c>
      <c r="O3" s="30" t="s">
        <v>16</v>
      </c>
      <c r="P3" s="31" t="s">
        <v>17</v>
      </c>
      <c r="Q3" s="30" t="s">
        <v>18</v>
      </c>
      <c r="R3" s="46"/>
      <c r="S3" s="46"/>
      <c r="T3" s="46"/>
      <c r="U3" s="46"/>
      <c r="V3" s="47"/>
    </row>
    <row r="4" s="1" customFormat="1" ht="24" customHeight="1" spans="1:22">
      <c r="A4" s="10" t="s">
        <v>19</v>
      </c>
      <c r="B4" s="11" t="s">
        <v>20</v>
      </c>
      <c r="C4" s="12">
        <v>20</v>
      </c>
      <c r="D4" s="13">
        <v>300</v>
      </c>
      <c r="E4" s="14">
        <v>0.036</v>
      </c>
      <c r="F4" s="15">
        <f>E4*D4</f>
        <v>10.8</v>
      </c>
      <c r="G4" s="13">
        <v>10</v>
      </c>
      <c r="H4" s="16">
        <f>K4-L4-M4-N4-F4-P4-G4-Q4</f>
        <v>57.902</v>
      </c>
      <c r="I4" s="32">
        <f t="shared" ref="I4:I9" si="0">H4/K4</f>
        <v>0.42575</v>
      </c>
      <c r="J4" s="12">
        <v>6.8</v>
      </c>
      <c r="K4" s="33">
        <f t="shared" ref="K4:K9" si="1">C4*J4</f>
        <v>136</v>
      </c>
      <c r="L4" s="13">
        <f>K4*0%</f>
        <v>0</v>
      </c>
      <c r="M4" s="13">
        <f t="shared" ref="M4:M9" si="2">K4*15%</f>
        <v>20.4</v>
      </c>
      <c r="N4" s="13">
        <f t="shared" ref="N4:N9" si="3">K4*12%</f>
        <v>16.32</v>
      </c>
      <c r="O4" s="34">
        <f t="shared" ref="O4:O9" si="4">K4-M4</f>
        <v>115.6</v>
      </c>
      <c r="P4" s="13">
        <v>20</v>
      </c>
      <c r="Q4" s="13">
        <f t="shared" ref="Q4:Q9" si="5">O4*0.5%</f>
        <v>0.578</v>
      </c>
      <c r="R4" s="46"/>
      <c r="S4" s="46"/>
      <c r="T4" s="46"/>
      <c r="U4" s="46"/>
      <c r="V4" s="47"/>
    </row>
    <row r="5" s="1" customFormat="1" ht="24" customHeight="1" spans="1:23">
      <c r="A5" s="10"/>
      <c r="B5" s="17" t="s">
        <v>21</v>
      </c>
      <c r="C5" s="12">
        <v>20</v>
      </c>
      <c r="D5" s="13"/>
      <c r="E5" s="14">
        <v>0.05</v>
      </c>
      <c r="F5" s="15">
        <f>E5*D4</f>
        <v>15</v>
      </c>
      <c r="G5" s="13"/>
      <c r="H5" s="16">
        <f>K5-L5-M5-N5-F5-P5-G4-Q5</f>
        <v>91.2805</v>
      </c>
      <c r="I5" s="32">
        <f t="shared" si="0"/>
        <v>0.524600574712644</v>
      </c>
      <c r="J5" s="12">
        <v>8.7</v>
      </c>
      <c r="K5" s="33">
        <f t="shared" si="1"/>
        <v>174</v>
      </c>
      <c r="L5" s="13">
        <f>K5*0%</f>
        <v>0</v>
      </c>
      <c r="M5" s="13">
        <f t="shared" si="2"/>
        <v>26.1</v>
      </c>
      <c r="N5" s="13">
        <f t="shared" si="3"/>
        <v>20.88</v>
      </c>
      <c r="O5" s="34">
        <f t="shared" si="4"/>
        <v>147.9</v>
      </c>
      <c r="P5" s="13">
        <v>10</v>
      </c>
      <c r="Q5" s="13">
        <f t="shared" si="5"/>
        <v>0.7395</v>
      </c>
      <c r="R5" s="46"/>
      <c r="S5" s="46"/>
      <c r="T5" s="46"/>
      <c r="U5" s="46"/>
      <c r="V5" s="47"/>
      <c r="W5" s="48" t="s">
        <v>22</v>
      </c>
    </row>
    <row r="6" s="1" customFormat="1" ht="24" customHeight="1" spans="1:22">
      <c r="A6" s="10"/>
      <c r="B6" s="18" t="s">
        <v>23</v>
      </c>
      <c r="C6" s="12">
        <v>20</v>
      </c>
      <c r="D6" s="13"/>
      <c r="E6" s="14">
        <v>0.038</v>
      </c>
      <c r="F6" s="15">
        <f>E6*D4</f>
        <v>11.4</v>
      </c>
      <c r="G6" s="13"/>
      <c r="H6" s="16">
        <f>K6-L6-M6-N6-F6-P6-G4-Q6</f>
        <v>56.72</v>
      </c>
      <c r="I6" s="32">
        <f t="shared" si="0"/>
        <v>0.3545</v>
      </c>
      <c r="J6" s="12">
        <v>8</v>
      </c>
      <c r="K6" s="33">
        <f t="shared" si="1"/>
        <v>160</v>
      </c>
      <c r="L6" s="13">
        <f>K6*0%</f>
        <v>0</v>
      </c>
      <c r="M6" s="13">
        <f t="shared" si="2"/>
        <v>24</v>
      </c>
      <c r="N6" s="13">
        <f t="shared" si="3"/>
        <v>19.2</v>
      </c>
      <c r="O6" s="34">
        <f t="shared" si="4"/>
        <v>136</v>
      </c>
      <c r="P6" s="13">
        <v>38</v>
      </c>
      <c r="Q6" s="13">
        <f t="shared" si="5"/>
        <v>0.68</v>
      </c>
      <c r="R6" s="46"/>
      <c r="S6" s="46"/>
      <c r="T6" s="46"/>
      <c r="U6" s="46"/>
      <c r="V6" s="47"/>
    </row>
    <row r="7" s="1" customFormat="1" ht="24" customHeight="1" spans="1:22">
      <c r="A7" s="10"/>
      <c r="B7" s="18" t="s">
        <v>24</v>
      </c>
      <c r="C7" s="12">
        <v>20</v>
      </c>
      <c r="D7" s="13"/>
      <c r="E7" s="14">
        <v>0.038</v>
      </c>
      <c r="F7" s="15">
        <f>E7*D4</f>
        <v>11.4</v>
      </c>
      <c r="G7" s="13"/>
      <c r="H7" s="16">
        <f>K7-L7-M7-N7-F7-P7-G4-Q7</f>
        <v>23.3474</v>
      </c>
      <c r="I7" s="32">
        <f t="shared" si="0"/>
        <v>0.225361003861004</v>
      </c>
      <c r="J7" s="12">
        <v>5.18</v>
      </c>
      <c r="K7" s="33">
        <f t="shared" si="1"/>
        <v>103.6</v>
      </c>
      <c r="L7" s="13">
        <v>0</v>
      </c>
      <c r="M7" s="13">
        <f t="shared" si="2"/>
        <v>15.54</v>
      </c>
      <c r="N7" s="13">
        <f t="shared" si="3"/>
        <v>12.432</v>
      </c>
      <c r="O7" s="34">
        <f t="shared" si="4"/>
        <v>88.06</v>
      </c>
      <c r="P7" s="13">
        <v>30</v>
      </c>
      <c r="Q7" s="13">
        <f>O7*1%</f>
        <v>0.8806</v>
      </c>
      <c r="R7" s="46"/>
      <c r="S7" s="46"/>
      <c r="T7" s="46"/>
      <c r="U7" s="46"/>
      <c r="V7" s="47"/>
    </row>
    <row r="8" s="1" customFormat="1" ht="24" customHeight="1" spans="1:22">
      <c r="A8" s="10"/>
      <c r="B8" s="18" t="s">
        <v>25</v>
      </c>
      <c r="C8" s="12">
        <v>20</v>
      </c>
      <c r="D8" s="13"/>
      <c r="E8" s="14">
        <v>0.045</v>
      </c>
      <c r="F8" s="15">
        <f>E8*D4</f>
        <v>13.5</v>
      </c>
      <c r="G8" s="13"/>
      <c r="H8" s="16">
        <f>K8-L8-M8-N8-F8-P8-G4-Q8</f>
        <v>-48.376205</v>
      </c>
      <c r="I8" s="32">
        <f t="shared" si="0"/>
        <v>-6.85215368271955</v>
      </c>
      <c r="J8" s="12">
        <v>0.353</v>
      </c>
      <c r="K8" s="33">
        <f t="shared" si="1"/>
        <v>7.06</v>
      </c>
      <c r="L8" s="13">
        <f>K8*0%</f>
        <v>0</v>
      </c>
      <c r="M8" s="13">
        <f t="shared" si="2"/>
        <v>1.059</v>
      </c>
      <c r="N8" s="13">
        <f t="shared" si="3"/>
        <v>0.8472</v>
      </c>
      <c r="O8" s="34">
        <f t="shared" si="4"/>
        <v>6.001</v>
      </c>
      <c r="P8" s="13">
        <v>30</v>
      </c>
      <c r="Q8" s="13">
        <f t="shared" si="5"/>
        <v>0.030005</v>
      </c>
      <c r="R8" s="46"/>
      <c r="S8" s="46"/>
      <c r="T8" s="46"/>
      <c r="U8" s="46"/>
      <c r="V8" s="47"/>
    </row>
    <row r="9" s="1" customFormat="1" ht="24" customHeight="1" spans="1:22">
      <c r="A9" s="10"/>
      <c r="B9" s="19" t="s">
        <v>26</v>
      </c>
      <c r="C9" s="12">
        <v>20</v>
      </c>
      <c r="D9" s="13"/>
      <c r="E9" s="14">
        <v>0.018</v>
      </c>
      <c r="F9" s="15">
        <f>E9*D4</f>
        <v>5.4</v>
      </c>
      <c r="G9" s="13"/>
      <c r="H9" s="16">
        <f>K9-L9-M9-N9-F9-P9-G4-Q9</f>
        <v>-52.511682</v>
      </c>
      <c r="I9" s="32">
        <f t="shared" si="0"/>
        <v>-42.9017009803921</v>
      </c>
      <c r="J9" s="12">
        <v>0.0612</v>
      </c>
      <c r="K9" s="33">
        <f t="shared" si="1"/>
        <v>1.224</v>
      </c>
      <c r="L9" s="13">
        <f>K9*0</f>
        <v>0</v>
      </c>
      <c r="M9" s="13">
        <f t="shared" si="2"/>
        <v>0.1836</v>
      </c>
      <c r="N9" s="13">
        <f t="shared" si="3"/>
        <v>0.14688</v>
      </c>
      <c r="O9" s="34">
        <f t="shared" si="4"/>
        <v>1.0404</v>
      </c>
      <c r="P9" s="13">
        <v>38</v>
      </c>
      <c r="Q9" s="13">
        <f t="shared" si="5"/>
        <v>0.005202</v>
      </c>
      <c r="R9" s="46"/>
      <c r="S9" s="46"/>
      <c r="T9" s="46"/>
      <c r="U9" s="46"/>
      <c r="V9" s="47"/>
    </row>
    <row r="10" s="1" customFormat="1" ht="24" customHeight="1" spans="1:22">
      <c r="A10" s="20" t="s">
        <v>27</v>
      </c>
      <c r="B10" s="21" t="str">
        <f t="shared" ref="B10:C15" si="6">B4</f>
        <v>美元</v>
      </c>
      <c r="C10" s="10">
        <f t="shared" si="6"/>
        <v>20</v>
      </c>
      <c r="D10" s="13">
        <v>200</v>
      </c>
      <c r="E10" s="22">
        <v>0.03</v>
      </c>
      <c r="F10" s="15">
        <f>E10*D10</f>
        <v>6</v>
      </c>
      <c r="G10" s="13"/>
      <c r="H10" s="16">
        <f>K4-L4-M4-F10-P4-G4-Q4-N4</f>
        <v>62.702</v>
      </c>
      <c r="I10" s="32">
        <f t="shared" ref="I10:I15" si="7">H10/K4</f>
        <v>0.461044117647059</v>
      </c>
      <c r="J10" s="35"/>
      <c r="K10" s="35"/>
      <c r="L10" s="35"/>
      <c r="M10" s="36"/>
      <c r="N10" s="36"/>
      <c r="O10" s="36"/>
      <c r="P10" s="36"/>
      <c r="Q10" s="36"/>
      <c r="R10" s="46"/>
      <c r="S10" s="46"/>
      <c r="T10" s="46"/>
      <c r="U10" s="46"/>
      <c r="V10" s="47"/>
    </row>
    <row r="11" s="1" customFormat="1" ht="24" customHeight="1" spans="1:23">
      <c r="A11" s="20"/>
      <c r="B11" s="23" t="str">
        <f t="shared" si="6"/>
        <v>英镑</v>
      </c>
      <c r="C11" s="10">
        <f t="shared" si="6"/>
        <v>20</v>
      </c>
      <c r="D11" s="13"/>
      <c r="E11" s="22">
        <v>0.036</v>
      </c>
      <c r="F11" s="15">
        <f>E11*D10</f>
        <v>7.2</v>
      </c>
      <c r="G11" s="13"/>
      <c r="H11" s="16">
        <f>K5-L5-M5-N5-F11-P5-G4-Q5</f>
        <v>99.0805</v>
      </c>
      <c r="I11" s="32">
        <f t="shared" si="7"/>
        <v>0.56942816091954</v>
      </c>
      <c r="J11" s="35"/>
      <c r="K11" s="37" t="s">
        <v>28</v>
      </c>
      <c r="L11" s="37"/>
      <c r="M11" s="37"/>
      <c r="N11" s="37"/>
      <c r="O11" s="37"/>
      <c r="P11" s="37"/>
      <c r="Q11" s="36"/>
      <c r="R11" s="46"/>
      <c r="S11" s="46"/>
      <c r="T11" s="46"/>
      <c r="U11" s="46"/>
      <c r="V11" s="47"/>
      <c r="W11" s="1">
        <f>320*5</f>
        <v>1600</v>
      </c>
    </row>
    <row r="12" s="1" customFormat="1" ht="23" customHeight="1" spans="1:22">
      <c r="A12" s="20"/>
      <c r="B12" s="24" t="str">
        <f t="shared" si="6"/>
        <v>欧元</v>
      </c>
      <c r="C12" s="10">
        <f t="shared" si="6"/>
        <v>20</v>
      </c>
      <c r="D12" s="13"/>
      <c r="E12" s="22">
        <v>0.03</v>
      </c>
      <c r="F12" s="15">
        <f>E12*D10</f>
        <v>6</v>
      </c>
      <c r="G12" s="13"/>
      <c r="H12" s="16">
        <f>K6-L6-M6-N6-F12-P6-G4-Q6</f>
        <v>62.12</v>
      </c>
      <c r="I12" s="32">
        <f t="shared" si="7"/>
        <v>0.38825</v>
      </c>
      <c r="J12" s="35"/>
      <c r="K12" s="38" t="s">
        <v>29</v>
      </c>
      <c r="L12" s="38" t="s">
        <v>30</v>
      </c>
      <c r="M12" s="38" t="s">
        <v>31</v>
      </c>
      <c r="N12" s="38" t="s">
        <v>32</v>
      </c>
      <c r="O12" s="38" t="s">
        <v>33</v>
      </c>
      <c r="P12" s="38" t="s">
        <v>34</v>
      </c>
      <c r="Q12" s="49"/>
      <c r="R12" s="46"/>
      <c r="S12" s="46"/>
      <c r="T12" s="46"/>
      <c r="U12" s="46"/>
      <c r="V12" s="47"/>
    </row>
    <row r="13" s="1" customFormat="1" ht="24" customHeight="1" spans="1:22">
      <c r="A13" s="20"/>
      <c r="B13" s="24" t="str">
        <f t="shared" si="6"/>
        <v>加元</v>
      </c>
      <c r="C13" s="10">
        <f t="shared" si="6"/>
        <v>20</v>
      </c>
      <c r="D13" s="13"/>
      <c r="E13" s="22">
        <v>0.032</v>
      </c>
      <c r="F13" s="15">
        <f>E13*D10</f>
        <v>6.4</v>
      </c>
      <c r="G13" s="13"/>
      <c r="H13" s="16">
        <f>K7-L7-M7-N7-F13-P7-G4-Q7</f>
        <v>28.3474</v>
      </c>
      <c r="I13" s="32">
        <f t="shared" si="7"/>
        <v>0.273623552123552</v>
      </c>
      <c r="J13" s="35"/>
      <c r="K13" s="33">
        <v>23.5</v>
      </c>
      <c r="L13" s="33">
        <v>23.5</v>
      </c>
      <c r="M13" s="33">
        <v>21.5</v>
      </c>
      <c r="N13" s="39">
        <f>(K13*L13*M13)/5000</f>
        <v>2.374675</v>
      </c>
      <c r="O13" s="33">
        <v>1</v>
      </c>
      <c r="P13" s="39">
        <f>N13/O13</f>
        <v>2.374675</v>
      </c>
      <c r="Q13" s="49"/>
      <c r="R13" s="46"/>
      <c r="S13" s="46"/>
      <c r="T13" s="46"/>
      <c r="U13" s="46"/>
      <c r="V13" s="47"/>
    </row>
    <row r="14" s="1" customFormat="1" ht="24" customHeight="1" spans="1:22">
      <c r="A14" s="20"/>
      <c r="B14" s="24" t="str">
        <f t="shared" si="6"/>
        <v>墨西哥</v>
      </c>
      <c r="C14" s="10">
        <f t="shared" si="6"/>
        <v>20</v>
      </c>
      <c r="D14" s="13"/>
      <c r="E14" s="22">
        <v>0.07</v>
      </c>
      <c r="F14" s="15">
        <f>E14*D10</f>
        <v>14</v>
      </c>
      <c r="G14" s="13"/>
      <c r="H14" s="16">
        <f>K8-L8-M8-N8-F14-P8-G4-Q8</f>
        <v>-48.876205</v>
      </c>
      <c r="I14" s="32">
        <f t="shared" si="7"/>
        <v>-6.92297521246459</v>
      </c>
      <c r="J14" s="35"/>
      <c r="K14" s="33"/>
      <c r="L14" s="33"/>
      <c r="M14" s="33"/>
      <c r="N14" s="39">
        <f>(K13*L13*M13)/6000</f>
        <v>1.97889583333333</v>
      </c>
      <c r="O14" s="33">
        <v>1</v>
      </c>
      <c r="P14" s="39">
        <f>N14/O14</f>
        <v>1.97889583333333</v>
      </c>
      <c r="Q14" s="49"/>
      <c r="R14" s="46"/>
      <c r="S14" s="46"/>
      <c r="T14" s="46"/>
      <c r="U14" s="46"/>
      <c r="V14" s="47"/>
    </row>
    <row r="15" s="1" customFormat="1" ht="24" customHeight="1" spans="1:22">
      <c r="A15" s="20"/>
      <c r="B15" s="25" t="str">
        <f t="shared" si="6"/>
        <v>日元</v>
      </c>
      <c r="C15" s="10">
        <f t="shared" si="6"/>
        <v>20</v>
      </c>
      <c r="D15" s="13"/>
      <c r="E15" s="22">
        <v>0.016</v>
      </c>
      <c r="F15" s="15">
        <f>E15*D10</f>
        <v>3.2</v>
      </c>
      <c r="G15" s="13"/>
      <c r="H15" s="16">
        <f>K9-L9-M9-N9-F15-P9-G4-Q9</f>
        <v>-50.311682</v>
      </c>
      <c r="I15" s="32">
        <f t="shared" si="7"/>
        <v>-41.1043153594771</v>
      </c>
      <c r="J15" s="35"/>
      <c r="K15" s="35"/>
      <c r="L15" s="35"/>
      <c r="M15" s="35"/>
      <c r="N15" s="35"/>
      <c r="O15" s="35"/>
      <c r="P15" s="35"/>
      <c r="Q15" s="50"/>
      <c r="R15" s="46"/>
      <c r="S15" s="46"/>
      <c r="T15" s="46"/>
      <c r="U15" s="46"/>
      <c r="V15" s="47"/>
    </row>
    <row r="16" s="1" customFormat="1" ht="24" customHeight="1" spans="1:22">
      <c r="A16" s="26" t="s">
        <v>35</v>
      </c>
      <c r="B16" s="21" t="str">
        <f t="shared" ref="B16:C21" si="8">B4</f>
        <v>美元</v>
      </c>
      <c r="C16" s="10">
        <f t="shared" si="8"/>
        <v>20</v>
      </c>
      <c r="D16" s="15">
        <f>D10</f>
        <v>200</v>
      </c>
      <c r="E16" s="22">
        <v>0.015</v>
      </c>
      <c r="F16" s="15">
        <f>E16*D16</f>
        <v>3</v>
      </c>
      <c r="G16" s="13"/>
      <c r="H16" s="16">
        <f>K4-L4-M4-N4-F16-P4-G4-Q4</f>
        <v>65.702</v>
      </c>
      <c r="I16" s="32">
        <f t="shared" ref="I16:I21" si="9">H16/K4</f>
        <v>0.483102941176471</v>
      </c>
      <c r="J16" s="35"/>
      <c r="K16" s="40"/>
      <c r="L16" s="35"/>
      <c r="M16" s="40"/>
      <c r="N16" s="40"/>
      <c r="O16" s="35"/>
      <c r="P16" s="35"/>
      <c r="Q16" s="50"/>
      <c r="R16" s="46"/>
      <c r="S16" s="46"/>
      <c r="T16" s="46"/>
      <c r="U16" s="46"/>
      <c r="V16" s="47"/>
    </row>
    <row r="17" s="1" customFormat="1" ht="24" customHeight="1" spans="1:23">
      <c r="A17" s="20"/>
      <c r="B17" s="23" t="str">
        <f t="shared" si="8"/>
        <v>英镑</v>
      </c>
      <c r="C17" s="10">
        <f t="shared" si="8"/>
        <v>20</v>
      </c>
      <c r="D17" s="15"/>
      <c r="E17" s="22">
        <v>0.015</v>
      </c>
      <c r="F17" s="15">
        <f>E17*D16</f>
        <v>3</v>
      </c>
      <c r="G17" s="13"/>
      <c r="H17" s="16">
        <f>K5-L5-M5-N5-F17-P5-G4-Q5</f>
        <v>103.2805</v>
      </c>
      <c r="I17" s="32">
        <f t="shared" si="9"/>
        <v>0.593566091954023</v>
      </c>
      <c r="J17" s="35"/>
      <c r="K17" s="41"/>
      <c r="L17" s="35"/>
      <c r="M17" s="40"/>
      <c r="N17" s="40"/>
      <c r="O17" s="35"/>
      <c r="P17" s="35"/>
      <c r="Q17" s="50"/>
      <c r="R17" s="46"/>
      <c r="S17" s="46"/>
      <c r="T17" s="46"/>
      <c r="U17" s="46"/>
      <c r="V17" s="47"/>
      <c r="W17" s="1">
        <f>320*5</f>
        <v>1600</v>
      </c>
    </row>
    <row r="18" s="1" customFormat="1" ht="24" customHeight="1" spans="1:22">
      <c r="A18" s="20"/>
      <c r="B18" s="24" t="str">
        <f t="shared" si="8"/>
        <v>欧元</v>
      </c>
      <c r="C18" s="10">
        <f t="shared" si="8"/>
        <v>20</v>
      </c>
      <c r="D18" s="15"/>
      <c r="E18" s="22">
        <v>0.015</v>
      </c>
      <c r="F18" s="15">
        <f>D16*E18</f>
        <v>3</v>
      </c>
      <c r="G18" s="13"/>
      <c r="H18" s="16">
        <f>K6-L6-M6-N6-F18-P6-G4-Q6</f>
        <v>65.12</v>
      </c>
      <c r="I18" s="32">
        <f t="shared" si="9"/>
        <v>0.407</v>
      </c>
      <c r="J18" s="42"/>
      <c r="K18" s="43"/>
      <c r="L18" s="36"/>
      <c r="M18" s="36"/>
      <c r="N18" s="36"/>
      <c r="O18" s="36"/>
      <c r="P18" s="36"/>
      <c r="Q18" s="36"/>
      <c r="R18" s="46"/>
      <c r="S18" s="46"/>
      <c r="T18" s="46"/>
      <c r="U18" s="46"/>
      <c r="V18" s="47"/>
    </row>
    <row r="19" s="1" customFormat="1" ht="24" customHeight="1" spans="1:22">
      <c r="A19" s="20"/>
      <c r="B19" s="24" t="str">
        <f t="shared" si="8"/>
        <v>加元</v>
      </c>
      <c r="C19" s="10">
        <f t="shared" si="8"/>
        <v>20</v>
      </c>
      <c r="D19" s="15"/>
      <c r="E19" s="22">
        <v>0.015</v>
      </c>
      <c r="F19" s="15">
        <f>E19*D16</f>
        <v>3</v>
      </c>
      <c r="G19" s="13"/>
      <c r="H19" s="16">
        <f>K7-L7-M7-N7-F19-P7-G4-Q7</f>
        <v>31.7474</v>
      </c>
      <c r="I19" s="32">
        <f t="shared" si="9"/>
        <v>0.306442084942085</v>
      </c>
      <c r="J19" s="35"/>
      <c r="K19" s="44"/>
      <c r="L19" s="35"/>
      <c r="M19" s="35"/>
      <c r="N19" s="35"/>
      <c r="O19" s="36"/>
      <c r="P19" s="36"/>
      <c r="Q19" s="36"/>
      <c r="R19" s="46"/>
      <c r="S19" s="46"/>
      <c r="T19" s="46"/>
      <c r="U19" s="46"/>
      <c r="V19" s="47"/>
    </row>
    <row r="20" s="1" customFormat="1" ht="16" customHeight="1" spans="1:22">
      <c r="A20" s="20"/>
      <c r="B20" s="24" t="str">
        <f t="shared" si="8"/>
        <v>墨西哥</v>
      </c>
      <c r="C20" s="10">
        <f t="shared" si="8"/>
        <v>20</v>
      </c>
      <c r="D20" s="15"/>
      <c r="E20" s="22">
        <v>0.04</v>
      </c>
      <c r="F20" s="15">
        <f>E20*D16</f>
        <v>8</v>
      </c>
      <c r="G20" s="13"/>
      <c r="H20" s="16">
        <f>K8-L8-M8-N8-F20-P8-G4-Q8</f>
        <v>-42.876205</v>
      </c>
      <c r="I20" s="32">
        <f t="shared" si="9"/>
        <v>-6.07311685552408</v>
      </c>
      <c r="J20" s="35"/>
      <c r="K20" s="35"/>
      <c r="L20" s="35"/>
      <c r="M20" s="35"/>
      <c r="N20" s="35"/>
      <c r="O20" s="36"/>
      <c r="P20" s="36"/>
      <c r="Q20" s="36"/>
      <c r="R20" s="46"/>
      <c r="S20" s="46"/>
      <c r="T20" s="46"/>
      <c r="U20" s="46"/>
      <c r="V20" s="47"/>
    </row>
    <row r="21" s="1" customFormat="1" ht="24" customHeight="1" spans="1:22">
      <c r="A21" s="20"/>
      <c r="B21" s="25" t="str">
        <f t="shared" si="8"/>
        <v>日元</v>
      </c>
      <c r="C21" s="10">
        <f t="shared" si="8"/>
        <v>20</v>
      </c>
      <c r="D21" s="15"/>
      <c r="E21" s="22">
        <v>0.012</v>
      </c>
      <c r="F21" s="15">
        <f>E21*D16</f>
        <v>2.4</v>
      </c>
      <c r="G21" s="13"/>
      <c r="H21" s="16">
        <f>K9-L9-M9-N9-F21-P9-G4-Q9</f>
        <v>-49.511682</v>
      </c>
      <c r="I21" s="32">
        <f t="shared" si="9"/>
        <v>-40.4507205882353</v>
      </c>
      <c r="J21" s="35"/>
      <c r="K21" s="35"/>
      <c r="L21" s="36"/>
      <c r="M21" s="35"/>
      <c r="N21" s="35"/>
      <c r="O21" s="36"/>
      <c r="P21" s="36"/>
      <c r="Q21" s="36"/>
      <c r="R21" s="46"/>
      <c r="S21" s="46"/>
      <c r="T21" s="46"/>
      <c r="U21" s="46"/>
      <c r="V21" s="47"/>
    </row>
    <row r="22" s="1" customFormat="1" ht="24" customHeight="1" spans="1:22">
      <c r="A22" s="26" t="s">
        <v>36</v>
      </c>
      <c r="B22" s="21" t="str">
        <f>B4</f>
        <v>美元</v>
      </c>
      <c r="C22" s="10">
        <f t="shared" ref="C22:C27" si="10">C4</f>
        <v>20</v>
      </c>
      <c r="D22" s="15">
        <f>D16</f>
        <v>200</v>
      </c>
      <c r="E22" s="22">
        <f>0.012</f>
        <v>0.012</v>
      </c>
      <c r="F22" s="15">
        <f>0.01*D22</f>
        <v>2</v>
      </c>
      <c r="G22" s="13"/>
      <c r="H22" s="16">
        <f>K4-L4-M4-N4-F22-P4-G4-Q4</f>
        <v>66.702</v>
      </c>
      <c r="I22" s="32">
        <f t="shared" ref="I22:I27" si="11">H22/K4</f>
        <v>0.490455882352941</v>
      </c>
      <c r="J22" s="35"/>
      <c r="K22" s="35"/>
      <c r="L22" s="36"/>
      <c r="M22" s="35"/>
      <c r="N22" s="35"/>
      <c r="O22" s="36"/>
      <c r="P22" s="36"/>
      <c r="Q22" s="36"/>
      <c r="R22" s="46"/>
      <c r="S22" s="46"/>
      <c r="T22" s="46"/>
      <c r="U22" s="46"/>
      <c r="V22" s="47"/>
    </row>
    <row r="23" s="1" customFormat="1" ht="24" customHeight="1" spans="1:23">
      <c r="A23" s="20"/>
      <c r="B23" s="23" t="str">
        <f>B5</f>
        <v>英镑</v>
      </c>
      <c r="C23" s="10">
        <f t="shared" si="10"/>
        <v>20</v>
      </c>
      <c r="D23" s="15"/>
      <c r="E23" s="22">
        <v>0.012</v>
      </c>
      <c r="F23" s="15">
        <f>0.01*D22</f>
        <v>2</v>
      </c>
      <c r="G23" s="13"/>
      <c r="H23" s="16">
        <f>K5-L5-M5-N5-F23-P5-G4-Q5</f>
        <v>104.2805</v>
      </c>
      <c r="I23" s="32">
        <f t="shared" si="11"/>
        <v>0.599313218390805</v>
      </c>
      <c r="J23" s="35"/>
      <c r="K23" s="35"/>
      <c r="L23" s="35"/>
      <c r="M23" s="35"/>
      <c r="N23" s="35"/>
      <c r="O23" s="36"/>
      <c r="P23" s="36"/>
      <c r="Q23" s="36"/>
      <c r="R23" s="46"/>
      <c r="S23" s="46"/>
      <c r="T23" s="46"/>
      <c r="U23" s="46"/>
      <c r="V23" s="47"/>
      <c r="W23" s="1">
        <f>320*5</f>
        <v>1600</v>
      </c>
    </row>
    <row r="24" s="1" customFormat="1" ht="23" customHeight="1" spans="1:22">
      <c r="A24" s="20"/>
      <c r="B24" s="24" t="str">
        <f>B12</f>
        <v>欧元</v>
      </c>
      <c r="C24" s="10">
        <f t="shared" si="10"/>
        <v>20</v>
      </c>
      <c r="D24" s="15"/>
      <c r="E24" s="22">
        <f>0.012</f>
        <v>0.012</v>
      </c>
      <c r="F24" s="15">
        <f>0.01*D22</f>
        <v>2</v>
      </c>
      <c r="G24" s="13"/>
      <c r="H24" s="16">
        <f>K6-L6-M6-N6--F24-P6-G4-Q6</f>
        <v>70.12</v>
      </c>
      <c r="I24" s="32">
        <f t="shared" si="11"/>
        <v>0.43825</v>
      </c>
      <c r="J24" s="35"/>
      <c r="K24" s="35"/>
      <c r="L24" s="35"/>
      <c r="M24" s="35"/>
      <c r="N24" s="35"/>
      <c r="O24" s="36"/>
      <c r="P24" s="36"/>
      <c r="Q24" s="36"/>
      <c r="R24" s="46"/>
      <c r="S24" s="46"/>
      <c r="T24" s="46"/>
      <c r="U24" s="46"/>
      <c r="V24" s="47"/>
    </row>
    <row r="25" s="1" customFormat="1" ht="24" customHeight="1" spans="1:22">
      <c r="A25" s="20"/>
      <c r="B25" s="24" t="str">
        <f>B19</f>
        <v>加元</v>
      </c>
      <c r="C25" s="10">
        <f t="shared" si="10"/>
        <v>20</v>
      </c>
      <c r="D25" s="15"/>
      <c r="E25" s="22">
        <v>0.012</v>
      </c>
      <c r="F25" s="15">
        <f>0.01*D22</f>
        <v>2</v>
      </c>
      <c r="G25" s="13"/>
      <c r="H25" s="16">
        <f>K7-L7-M7-N7-F25-P7-G4-Q7</f>
        <v>32.7474</v>
      </c>
      <c r="I25" s="32">
        <f t="shared" si="11"/>
        <v>0.316094594594595</v>
      </c>
      <c r="J25" s="35"/>
      <c r="K25" s="35"/>
      <c r="L25" s="36"/>
      <c r="M25" s="36"/>
      <c r="N25" s="36"/>
      <c r="O25" s="36"/>
      <c r="P25" s="36"/>
      <c r="Q25" s="36"/>
      <c r="R25" s="46"/>
      <c r="S25" s="46"/>
      <c r="T25" s="46"/>
      <c r="U25" s="46"/>
      <c r="V25" s="47"/>
    </row>
    <row r="26" s="1" customFormat="1" ht="24" customHeight="1" spans="1:22">
      <c r="A26" s="20"/>
      <c r="B26" s="24" t="str">
        <f>B8</f>
        <v>墨西哥</v>
      </c>
      <c r="C26" s="10">
        <f t="shared" si="10"/>
        <v>20</v>
      </c>
      <c r="D26" s="15"/>
      <c r="E26" s="22">
        <f>0.012</f>
        <v>0.012</v>
      </c>
      <c r="F26" s="15">
        <f>0.02*D22</f>
        <v>4</v>
      </c>
      <c r="G26" s="13"/>
      <c r="H26" s="16">
        <f>K8-L8-M8-N8-F26-P8-G4-Q8</f>
        <v>-38.876205</v>
      </c>
      <c r="I26" s="32">
        <f t="shared" si="11"/>
        <v>-5.50654461756374</v>
      </c>
      <c r="J26" s="35"/>
      <c r="K26" s="35"/>
      <c r="L26" s="36"/>
      <c r="M26" s="36"/>
      <c r="N26" s="36"/>
      <c r="O26" s="36"/>
      <c r="P26" s="36"/>
      <c r="Q26" s="36"/>
      <c r="R26" s="46"/>
      <c r="S26" s="46"/>
      <c r="T26" s="46"/>
      <c r="U26" s="46"/>
      <c r="V26" s="47"/>
    </row>
    <row r="27" s="1" customFormat="1" ht="24" customHeight="1" spans="1:22">
      <c r="A27" s="20"/>
      <c r="B27" s="25" t="str">
        <f>B9</f>
        <v>日元</v>
      </c>
      <c r="C27" s="10">
        <f t="shared" si="10"/>
        <v>20</v>
      </c>
      <c r="D27" s="15"/>
      <c r="E27" s="22">
        <v>0.005</v>
      </c>
      <c r="F27" s="15">
        <f>E27*D22</f>
        <v>1</v>
      </c>
      <c r="G27" s="13"/>
      <c r="H27" s="16">
        <f>K9-L9-M9-N9-F27-P9-G4-Q9</f>
        <v>-48.111682</v>
      </c>
      <c r="I27" s="32">
        <f t="shared" si="11"/>
        <v>-39.3069297385621</v>
      </c>
      <c r="J27" s="35"/>
      <c r="K27" s="35"/>
      <c r="L27" s="36"/>
      <c r="M27" s="36"/>
      <c r="N27" s="36"/>
      <c r="O27" s="36"/>
      <c r="P27" s="36"/>
      <c r="Q27" s="36"/>
      <c r="R27" s="46"/>
      <c r="S27" s="46"/>
      <c r="T27" s="46"/>
      <c r="U27" s="46"/>
      <c r="V27" s="47"/>
    </row>
  </sheetData>
  <mergeCells count="15">
    <mergeCell ref="A1:Q1"/>
    <mergeCell ref="A2:Q2"/>
    <mergeCell ref="K11:P11"/>
    <mergeCell ref="A4:A9"/>
    <mergeCell ref="A10:A15"/>
    <mergeCell ref="A16:A21"/>
    <mergeCell ref="A22:A27"/>
    <mergeCell ref="D4:D9"/>
    <mergeCell ref="D10:D15"/>
    <mergeCell ref="D16:D21"/>
    <mergeCell ref="D22:D27"/>
    <mergeCell ref="G4:G27"/>
    <mergeCell ref="K13:K14"/>
    <mergeCell ref="L13:L14"/>
    <mergeCell ref="M13:M14"/>
  </mergeCells>
  <dataValidations count="1">
    <dataValidation allowBlank="1" showInputMessage="1" showErrorMessage="1" sqref="J3:J11 J19:J22 J26:J27 JF3:JF11 JF19:JF22 JF26:JF27 TB3:TB11 TB19:TB22 TB26:TB27 ACX3:ACX11 ACX19:ACX22 ACX26:ACX27 AMT3:AMT11 AMT19:AMT22 AMT26:AMT27 AWP3:AWP11 AWP19:AWP22 AWP26:AWP27 BGL3:BGL11 BGL19:BGL22 BGL26:BGL27 BQH3:BQH11 BQH19:BQH22 BQH26:BQH27 CAD3:CAD11 CAD19:CAD22 CAD26:CAD27 CJZ3:CJZ11 CJZ19:CJZ22 CJZ26:CJZ27 CTV3:CTV11 CTV19:CTV22 CTV26:CTV27 DDR3:DDR11 DDR19:DDR22 DDR26:DDR27 DNN3:DNN11 DNN19:DNN22 DNN26:DNN27 DXJ3:DXJ11 DXJ19:DXJ22 DXJ26:DXJ27 EHF3:EHF11 EHF19:EHF22 EHF26:EHF27 ERB3:ERB11 ERB19:ERB22 ERB26:ERB27 FAX3:FAX11 FAX19:FAX22 FAX26:FAX27 FKT3:FKT11 FKT19:FKT22 FKT26:FKT27 FUP3:FUP11 FUP19:FUP22 FUP26:FUP27 GEL3:GEL11 GEL19:GEL22 GEL26:GEL27 GOH3:GOH11 GOH19:GOH22 GOH26:GOH27 GYD3:GYD11 GYD19:GYD22 GYD26:GYD27 HHZ3:HHZ11 HHZ19:HHZ22 HHZ26:HHZ27 HRV3:HRV11 HRV19:HRV22 HRV26:HRV27 IBR3:IBR11 IBR19:IBR22 IBR26:IBR27 ILN3:ILN11 ILN19:ILN22 ILN26:ILN27 IVJ3:IVJ11 IVJ19:IVJ22 IVJ26:IVJ27 JFF3:JFF11 JFF19:JFF22 JFF26:JFF27 JPB3:JPB11 JPB19:JPB22 JPB26:JPB27 JYX3:JYX11 JYX19:JYX22 JYX26:JYX27 KIT3:KIT11 KIT19:KIT22 KIT26:KIT27 KSP3:KSP11 KSP19:KSP22 KSP26:KSP27 LCL3:LCL11 LCL19:LCL22 LCL26:LCL27 LMH3:LMH11 LMH19:LMH22 LMH26:LMH27 LWD3:LWD11 LWD19:LWD22 LWD26:LWD27 MFZ3:MFZ11 MFZ19:MFZ22 MFZ26:MFZ27 MPV3:MPV11 MPV19:MPV22 MPV26:MPV27 MZR3:MZR11 MZR19:MZR22 MZR26:MZR27 NJN3:NJN11 NJN19:NJN22 NJN26:NJN27 NTJ3:NTJ11 NTJ19:NTJ22 NTJ26:NTJ27 ODF3:ODF11 ODF19:ODF22 ODF26:ODF27 ONB3:ONB11 ONB19:ONB22 ONB26:ONB27 OWX3:OWX11 OWX19:OWX22 OWX26:OWX27 PGT3:PGT11 PGT19:PGT22 PGT26:PGT27 PQP3:PQP11 PQP19:PQP22 PQP26:PQP27 QAL3:QAL11 QAL19:QAL22 QAL26:QAL27 QKH3:QKH11 QKH19:QKH22 QKH26:QKH27 QUD3:QUD11 QUD19:QUD22 QUD26:QUD27 RDZ3:RDZ11 RDZ19:RDZ22 RDZ26:RDZ27 RNV3:RNV11 RNV19:RNV22 RNV26:RNV27 RXR3:RXR11 RXR19:RXR22 RXR26:RXR27 SHN3:SHN11 SHN19:SHN22 SHN26:SHN27 SRJ3:SRJ11 SRJ19:SRJ22 SRJ26:SRJ27 TBF3:TBF11 TBF19:TBF22 TBF26:TBF27 TLB3:TLB11 TLB19:TLB22 TLB26:TLB27 TUX3:TUX11 TUX19:TUX22 TUX26:TUX27 UET3:UET11 UET19:UET22 UET26:UET27 UOP3:UOP11 UOP19:UOP22 UOP26:UOP27 UYL3:UYL11 UYL19:UYL22 UYL26:UYL27 VIH3:VIH11 VIH19:VIH22 VIH26:VIH27 VSD3:VSD11 VSD19:VSD22 VSD26:VSD27 WBZ3:WBZ11 WBZ19:WBZ22 WBZ26:WBZ27 WLV3:WLV11 WLV19:WLV22 WLV26:WLV27 WVR3:WVR11 WVR19:WVR22 WVR26:WVR27"/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WPS_1664800949</cp:lastModifiedBy>
  <dcterms:created xsi:type="dcterms:W3CDTF">2006-09-16T00:00:00Z</dcterms:created>
  <dcterms:modified xsi:type="dcterms:W3CDTF">2025-03-29T02:14:11Z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B012F73D343145A7B98EF52840EF598C</vt:lpwstr>
  </property>
</Properties>
</file>