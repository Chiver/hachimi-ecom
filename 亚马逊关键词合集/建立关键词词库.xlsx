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7"/>
  </bookViews>
  <sheets>
    <sheet name="库存规划" sheetId="9" r:id="rId1"/>
    <sheet name="ROI预算" sheetId="8" r:id="rId2"/>
    <sheet name="汇总" sheetId="5" r:id="rId3"/>
    <sheet name="ABA" sheetId="1" r:id="rId4"/>
    <sheet name="第三方软件" sheetId="2" r:id="rId5"/>
    <sheet name="广告报告" sheetId="4" r:id="rId6"/>
    <sheet name="商业探测器" sheetId="3" r:id="rId7"/>
    <sheet name="广告规划" sheetId="7" r:id="rId8"/>
  </sheets>
  <calcPr calcId="144525"/>
</workbook>
</file>

<file path=xl/comments1.xml><?xml version="1.0" encoding="utf-8"?>
<comments xmlns="http://schemas.openxmlformats.org/spreadsheetml/2006/main">
  <authors>
    <author>Unknown User</author>
  </authors>
  <commentList>
    <comment ref="F2" authorId="0">
      <text>
        <r>
          <rPr>
            <sz val="9"/>
            <color rgb="FF000000"/>
            <rFont val="宋体"/>
            <charset val="134"/>
          </rPr>
          <t>seamoon ao:
定价目标，由运营人员根据阶段定价策划确定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  <comment ref="N3" authorId="0">
      <text>
        <r>
          <rPr>
            <b/>
            <sz val="9"/>
            <color rgb="FF000000"/>
            <rFont val="宋体"/>
            <charset val="134"/>
          </rPr>
          <t>zbird:</t>
        </r>
        <r>
          <rPr>
            <sz val="9"/>
            <color rgb="FF000000"/>
            <rFont val="宋体"/>
            <charset val="134"/>
          </rPr>
          <t xml:space="preserve">
有两周的实际销量后，对应的日销需要填写实际的日销，同时后续的日销需要重新预估</t>
        </r>
        <r>
          <rPr>
            <sz val="10"/>
            <color rgb="FF000000"/>
            <rFont val="宋体"/>
            <charset val="134"/>
          </rPr>
          <t xml:space="preserve">
  - 林爱敏</t>
        </r>
        <r>
          <rPr>
            <sz val="10"/>
            <rFont val="宋体"/>
            <charset val="134"/>
          </rPr>
          <t xml:space="preserve">
  - 林婉玲</t>
        </r>
      </text>
    </comment>
  </commentList>
</comments>
</file>

<file path=xl/sharedStrings.xml><?xml version="1.0" encoding="utf-8"?>
<sst xmlns="http://schemas.openxmlformats.org/spreadsheetml/2006/main" count="437" uniqueCount="186">
  <si>
    <t>日期</t>
  </si>
  <si>
    <t>月份</t>
  </si>
  <si>
    <t>周</t>
  </si>
  <si>
    <t>天数</t>
  </si>
  <si>
    <t>客单价</t>
  </si>
  <si>
    <t>日总单量
（预计）</t>
  </si>
  <si>
    <t>当前库存</t>
  </si>
  <si>
    <t>预计剩余库存</t>
  </si>
  <si>
    <t>到货库存</t>
  </si>
  <si>
    <t>13周销量计划</t>
  </si>
  <si>
    <t>第一月</t>
  </si>
  <si>
    <t>第一周</t>
  </si>
  <si>
    <t>销售时间</t>
  </si>
  <si>
    <t>预计达到小排名</t>
  </si>
  <si>
    <t>日销</t>
  </si>
  <si>
    <t>下单总量</t>
  </si>
  <si>
    <t>第二周</t>
  </si>
  <si>
    <t>第三周</t>
  </si>
  <si>
    <t>第四周</t>
  </si>
  <si>
    <t>第五周</t>
  </si>
  <si>
    <t>第六周</t>
  </si>
  <si>
    <t>第七周</t>
  </si>
  <si>
    <t>第八周</t>
  </si>
  <si>
    <t>第九周</t>
  </si>
  <si>
    <t>第十周</t>
  </si>
  <si>
    <t>第十一周</t>
  </si>
  <si>
    <t>第十二周</t>
  </si>
  <si>
    <t>第十三周</t>
  </si>
  <si>
    <t>汇总</t>
  </si>
  <si>
    <t>首批+返单下单计划</t>
  </si>
  <si>
    <t>批次</t>
  </si>
  <si>
    <t>下单量</t>
  </si>
  <si>
    <t>物流时效</t>
  </si>
  <si>
    <t>物流渠道</t>
  </si>
  <si>
    <t>产品交期</t>
  </si>
  <si>
    <t>下单时间</t>
  </si>
  <si>
    <t>付款金额</t>
  </si>
  <si>
    <t>交货时间</t>
  </si>
  <si>
    <t>国内离港时间</t>
  </si>
  <si>
    <t>到货时间</t>
  </si>
  <si>
    <t>首批</t>
  </si>
  <si>
    <t>慢船时效</t>
  </si>
  <si>
    <t>返单</t>
  </si>
  <si>
    <t>第三批</t>
  </si>
  <si>
    <t>第四批</t>
  </si>
  <si>
    <t>基础信息</t>
  </si>
  <si>
    <t>产品交期/天</t>
  </si>
  <si>
    <t>天</t>
  </si>
  <si>
    <t>成本</t>
  </si>
  <si>
    <t>人民币</t>
  </si>
  <si>
    <t>快递时效</t>
  </si>
  <si>
    <t>快船时效</t>
  </si>
  <si>
    <t>空运时效</t>
  </si>
  <si>
    <t>第二月</t>
  </si>
  <si>
    <t>卡航</t>
  </si>
  <si>
    <t>单次补货维持天数</t>
  </si>
  <si>
    <t>交货后国内处理时间</t>
  </si>
  <si>
    <t>第三月</t>
  </si>
  <si>
    <t>ROI估算表</t>
  </si>
  <si>
    <t>上架月份</t>
  </si>
  <si>
    <t>市场平均</t>
  </si>
  <si>
    <t>一年汇总</t>
  </si>
  <si>
    <t>1月</t>
  </si>
  <si>
    <t>2月</t>
  </si>
  <si>
    <t>3月</t>
  </si>
  <si>
    <t>4月</t>
  </si>
  <si>
    <t>5月</t>
  </si>
  <si>
    <t>6月</t>
  </si>
  <si>
    <t>增长比例</t>
  </si>
  <si>
    <t>/</t>
  </si>
  <si>
    <t>订单走势</t>
  </si>
  <si>
    <t>广告单比例</t>
  </si>
  <si>
    <t>主打价格</t>
  </si>
  <si>
    <t>折扣汇总</t>
  </si>
  <si>
    <t>货物成本</t>
  </si>
  <si>
    <t>单件头程费用</t>
  </si>
  <si>
    <t>平台佣金</t>
  </si>
  <si>
    <t>FBA配送</t>
  </si>
  <si>
    <t>其他费用</t>
  </si>
  <si>
    <t>净毛利率</t>
  </si>
  <si>
    <t>退货率</t>
  </si>
  <si>
    <t>实际毛利率</t>
  </si>
  <si>
    <t>预估纯利</t>
  </si>
  <si>
    <t>推广成本</t>
  </si>
  <si>
    <t>营业额</t>
  </si>
  <si>
    <t>实收回款</t>
  </si>
  <si>
    <t>回款纯利润</t>
  </si>
  <si>
    <t>投入总货值</t>
  </si>
  <si>
    <t>投入总运费</t>
  </si>
  <si>
    <t>投入总资金</t>
  </si>
  <si>
    <t>亚马逊比例</t>
  </si>
  <si>
    <t>推广比例</t>
  </si>
  <si>
    <t>成本比例</t>
  </si>
  <si>
    <t>32%%</t>
  </si>
  <si>
    <t>ROI</t>
  </si>
  <si>
    <t>投入回款比</t>
  </si>
  <si>
    <t>实际投入</t>
  </si>
  <si>
    <t>回正周期</t>
  </si>
  <si>
    <t>资金周转数</t>
  </si>
  <si>
    <t>首年资金盘</t>
  </si>
  <si>
    <t>首次投入</t>
  </si>
  <si>
    <t>第二次投入</t>
  </si>
  <si>
    <t>Q1毛利后追投</t>
  </si>
  <si>
    <t>回款比</t>
  </si>
  <si>
    <t>实际投入比</t>
  </si>
  <si>
    <t>1个月</t>
  </si>
  <si>
    <t>关键词词库</t>
  </si>
  <si>
    <t>广告关键词</t>
  </si>
  <si>
    <t>搜索词定义</t>
  </si>
  <si>
    <t>竞价策略</t>
  </si>
  <si>
    <t>广告位</t>
  </si>
  <si>
    <t>匹配方式</t>
  </si>
  <si>
    <t>出价</t>
  </si>
  <si>
    <t>目标</t>
  </si>
  <si>
    <t>调整频率</t>
  </si>
  <si>
    <t>iphone 13 pro max case</t>
  </si>
  <si>
    <t>大流量词</t>
  </si>
  <si>
    <t>固定竞价</t>
  </si>
  <si>
    <t>搜索词首页</t>
  </si>
  <si>
    <t>精准</t>
  </si>
  <si>
    <t>建议竞价</t>
  </si>
  <si>
    <t>要订单</t>
  </si>
  <si>
    <t>每天出价，到广告位值靠前，才能获得更多的订单，但是成本会高</t>
  </si>
  <si>
    <t>iphone 13 pro max case magsafe</t>
  </si>
  <si>
    <t>核心关键词</t>
  </si>
  <si>
    <t>词组</t>
  </si>
  <si>
    <t>要效益</t>
  </si>
  <si>
    <t>设置转化目标，点击目标，。当不能达到标准关闭，重新寻找</t>
  </si>
  <si>
    <t>13 pro max iphone case</t>
  </si>
  <si>
    <t>phone case iphone 13 pro max</t>
  </si>
  <si>
    <t>iphone 13 pro max phone case</t>
  </si>
  <si>
    <t>iphone 13 pro max case clear</t>
  </si>
  <si>
    <t>长尾词</t>
  </si>
  <si>
    <t>仅降低</t>
  </si>
  <si>
    <t>低价</t>
  </si>
  <si>
    <t>测试</t>
  </si>
  <si>
    <t>表现好久拿出来放到腰部词</t>
  </si>
  <si>
    <t>100美金预算</t>
  </si>
  <si>
    <t>第一月广告活动规划：快速检测出我们的转化率水平，是否高于类目的平均水准，可以接受较高的ACOS</t>
  </si>
  <si>
    <t>广告工具</t>
  </si>
  <si>
    <t>广告活动命名</t>
  </si>
  <si>
    <t>预算分配</t>
  </si>
  <si>
    <t>总预算分配
比例</t>
  </si>
  <si>
    <t>ASIN售价</t>
  </si>
  <si>
    <t>广告活动目的</t>
  </si>
  <si>
    <t>定向投放</t>
  </si>
  <si>
    <t>bid出价</t>
  </si>
  <si>
    <t>备注</t>
  </si>
  <si>
    <t>目标转化率</t>
  </si>
  <si>
    <t>可接受CPC</t>
  </si>
  <si>
    <t>ACOS</t>
  </si>
  <si>
    <t>SP-自动广告</t>
  </si>
  <si>
    <t>用来跑词，选词。</t>
  </si>
  <si>
    <t>首页+20%</t>
  </si>
  <si>
    <t xml:space="preserve">宽泛
紧密
同类
关联 </t>
  </si>
  <si>
    <t>宽泛：低于建议
紧密：建议
同类：低于建议
关联 ：低于建议</t>
  </si>
  <si>
    <t>第一个月不考虑否定</t>
  </si>
  <si>
    <t>暂不考虑</t>
  </si>
  <si>
    <t>SP-商品投放</t>
  </si>
  <si>
    <t>价格优势，产品优势，要转化</t>
  </si>
  <si>
    <t>商品详情页+20%</t>
  </si>
  <si>
    <t>类目-细化
对手ASIN</t>
  </si>
  <si>
    <t>建议</t>
  </si>
  <si>
    <t>第一个月可以考虑否定确实打不过的</t>
  </si>
  <si>
    <t>SP-关键词投放</t>
  </si>
  <si>
    <t>低价引流</t>
  </si>
  <si>
    <t>顶部词和核心关键词+广泛</t>
  </si>
  <si>
    <t>低于建议竞价</t>
  </si>
  <si>
    <t>引流，转化</t>
  </si>
  <si>
    <t>中长尾关键词+自动广告转化+广泛表现好的词+词组</t>
  </si>
  <si>
    <t>长尾词+精准</t>
  </si>
  <si>
    <t>根据关键词与匹配方式给出bid</t>
  </si>
  <si>
    <t>SB-品牌投放</t>
  </si>
  <si>
    <t>SP中表现好的词+精准</t>
  </si>
  <si>
    <t>高于建议竞价</t>
  </si>
  <si>
    <t>SB-视频投放</t>
  </si>
  <si>
    <t>建议货较小幅度低于建议</t>
  </si>
  <si>
    <t>SD-商品投放1</t>
  </si>
  <si>
    <t>转化</t>
  </si>
  <si>
    <t>我们有优势的ASIN</t>
  </si>
  <si>
    <t>SD-商品投放2</t>
  </si>
  <si>
    <t>自己要保护的ASIN</t>
  </si>
  <si>
    <t>SD-受众投放</t>
  </si>
  <si>
    <t>选择浏览，购买过我们产品的受众</t>
  </si>
  <si>
    <t>第二月广告活动规划：兼顾转化率与cpc</t>
  </si>
  <si>
    <t>第三月广告活动规划：ACOAS为第一核心指标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</si>
</sst>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);[Red]\(0\)"/>
    <numFmt numFmtId="178" formatCode="0_ "/>
    <numFmt numFmtId="179" formatCode="yyyy/m/d;@"/>
  </numFmts>
  <fonts count="39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8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微软雅黑"/>
      <charset val="134"/>
    </font>
    <font>
      <sz val="12"/>
      <color theme="1"/>
      <name val="等线"/>
      <charset val="134"/>
      <scheme val="minor"/>
    </font>
    <font>
      <sz val="12"/>
      <color rgb="FF000000"/>
      <name val="微软雅黑"/>
      <charset val="134"/>
    </font>
    <font>
      <b/>
      <sz val="14"/>
      <color rgb="FF000000"/>
      <name val="微软雅黑"/>
      <charset val="134"/>
    </font>
    <font>
      <b/>
      <sz val="14"/>
      <color rgb="FFFFFFFF"/>
      <name val="微软雅黑"/>
      <charset val="134"/>
    </font>
    <font>
      <sz val="14"/>
      <color rgb="FF000000"/>
      <name val="微软雅黑"/>
      <charset val="134"/>
    </font>
    <font>
      <b/>
      <sz val="12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b/>
      <sz val="9"/>
      <color rgb="FF00000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1E4E79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0" borderId="15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11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9" fontId="4" fillId="0" borderId="2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9" fontId="4" fillId="0" borderId="3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9" fontId="4" fillId="0" borderId="4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9" fontId="5" fillId="0" borderId="1" xfId="3" applyFont="1" applyBorder="1" applyAlignment="1">
      <alignment horizontal="left" vertical="center"/>
    </xf>
    <xf numFmtId="9" fontId="1" fillId="0" borderId="1" xfId="0" applyNumberFormat="1" applyFont="1" applyBorder="1" applyAlignment="1">
      <alignment horizontal="left" vertical="center"/>
    </xf>
    <xf numFmtId="9" fontId="1" fillId="0" borderId="1" xfId="3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7" fillId="0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8" fillId="4" borderId="1" xfId="0" applyFont="1" applyFill="1" applyBorder="1">
      <alignment vertical="center"/>
    </xf>
    <xf numFmtId="9" fontId="0" fillId="0" borderId="1" xfId="0" applyNumberFormat="1" applyBorder="1">
      <alignment vertical="center"/>
    </xf>
    <xf numFmtId="9" fontId="8" fillId="0" borderId="1" xfId="0" applyNumberFormat="1" applyFont="1" applyBorder="1">
      <alignment vertical="center"/>
    </xf>
    <xf numFmtId="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2" fillId="5" borderId="8" xfId="0" applyFont="1" applyFill="1" applyBorder="1" applyAlignment="1" applyProtection="1">
      <alignment horizontal="center" vertical="center"/>
      <protection hidden="1"/>
    </xf>
    <xf numFmtId="176" fontId="12" fillId="5" borderId="8" xfId="0" applyNumberFormat="1" applyFont="1" applyFill="1" applyBorder="1" applyAlignment="1" applyProtection="1">
      <alignment horizontal="center" vertical="center"/>
      <protection hidden="1"/>
    </xf>
    <xf numFmtId="0" fontId="12" fillId="5" borderId="8" xfId="0" applyFont="1" applyFill="1" applyBorder="1" applyAlignment="1" applyProtection="1">
      <alignment horizontal="center" vertical="center" wrapText="1"/>
      <protection hidden="1"/>
    </xf>
    <xf numFmtId="14" fontId="9" fillId="6" borderId="8" xfId="0" applyNumberFormat="1" applyFont="1" applyFill="1" applyBorder="1" applyAlignment="1" applyProtection="1">
      <alignment horizontal="center" vertical="center"/>
      <protection hidden="1"/>
    </xf>
    <xf numFmtId="14" fontId="9" fillId="0" borderId="8" xfId="0" applyNumberFormat="1" applyFont="1" applyFill="1" applyBorder="1" applyAlignment="1" applyProtection="1">
      <alignment horizontal="center" vertical="center"/>
      <protection hidden="1"/>
    </xf>
    <xf numFmtId="177" fontId="9" fillId="0" borderId="8" xfId="0" applyNumberFormat="1" applyFont="1" applyFill="1" applyBorder="1" applyAlignment="1" applyProtection="1">
      <alignment horizontal="center" vertical="center"/>
      <protection hidden="1"/>
    </xf>
    <xf numFmtId="176" fontId="9" fillId="0" borderId="8" xfId="0" applyNumberFormat="1" applyFont="1" applyFill="1" applyBorder="1" applyAlignment="1" applyProtection="1">
      <alignment horizontal="center" vertical="center"/>
      <protection hidden="1"/>
    </xf>
    <xf numFmtId="178" fontId="9" fillId="0" borderId="8" xfId="0" applyNumberFormat="1" applyFont="1" applyFill="1" applyBorder="1" applyAlignment="1" applyProtection="1">
      <alignment horizontal="center" vertical="center"/>
      <protection hidden="1"/>
    </xf>
    <xf numFmtId="0" fontId="13" fillId="7" borderId="9" xfId="0" applyFont="1" applyFill="1" applyBorder="1" applyAlignment="1" applyProtection="1">
      <alignment horizontal="center" vertical="center"/>
      <protection hidden="1"/>
    </xf>
    <xf numFmtId="0" fontId="13" fillId="7" borderId="10" xfId="0" applyFont="1" applyFill="1" applyBorder="1" applyAlignment="1" applyProtection="1">
      <alignment horizontal="center" vertical="center"/>
      <protection hidden="1"/>
    </xf>
    <xf numFmtId="0" fontId="13" fillId="7" borderId="11" xfId="0" applyFont="1" applyFill="1" applyBorder="1" applyAlignment="1" applyProtection="1">
      <alignment horizontal="center" vertical="center"/>
      <protection hidden="1"/>
    </xf>
    <xf numFmtId="178" fontId="9" fillId="6" borderId="8" xfId="0" applyNumberFormat="1" applyFont="1" applyFill="1" applyBorder="1" applyAlignment="1" applyProtection="1">
      <alignment horizontal="center" vertical="center"/>
    </xf>
    <xf numFmtId="0" fontId="14" fillId="8" borderId="8" xfId="0" applyFont="1" applyFill="1" applyBorder="1" applyAlignment="1" applyProtection="1">
      <alignment horizontal="center" vertical="center"/>
    </xf>
    <xf numFmtId="178" fontId="9" fillId="6" borderId="8" xfId="0" applyNumberFormat="1" applyFont="1" applyFill="1" applyBorder="1" applyAlignment="1" applyProtection="1">
      <alignment horizontal="center" vertical="center"/>
      <protection hidden="1"/>
    </xf>
    <xf numFmtId="0" fontId="11" fillId="0" borderId="8" xfId="0" applyFont="1" applyFill="1" applyBorder="1" applyAlignment="1" applyProtection="1">
      <alignment horizontal="center" vertical="center"/>
    </xf>
    <xf numFmtId="0" fontId="11" fillId="6" borderId="8" xfId="0" applyFont="1" applyFill="1" applyBorder="1" applyAlignment="1" applyProtection="1">
      <alignment horizontal="center" vertical="center" wrapText="1"/>
    </xf>
    <xf numFmtId="178" fontId="11" fillId="6" borderId="8" xfId="0" applyNumberFormat="1" applyFont="1" applyFill="1" applyBorder="1" applyAlignment="1" applyProtection="1">
      <alignment horizontal="center" vertical="center"/>
    </xf>
    <xf numFmtId="178" fontId="11" fillId="0" borderId="8" xfId="0" applyNumberFormat="1" applyFont="1" applyFill="1" applyBorder="1" applyAlignment="1" applyProtection="1">
      <alignment horizontal="center" vertical="center" wrapText="1"/>
    </xf>
    <xf numFmtId="0" fontId="11" fillId="0" borderId="8" xfId="0" applyFont="1" applyFill="1" applyBorder="1" applyAlignment="1" applyProtection="1">
      <alignment horizontal="center" vertical="center" wrapText="1"/>
    </xf>
    <xf numFmtId="178" fontId="11" fillId="0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178" fontId="12" fillId="5" borderId="8" xfId="0" applyNumberFormat="1" applyFont="1" applyFill="1" applyBorder="1" applyAlignment="1" applyProtection="1">
      <alignment horizontal="center" vertical="center"/>
      <protection hidden="1"/>
    </xf>
    <xf numFmtId="0" fontId="11" fillId="6" borderId="8" xfId="0" applyFont="1" applyFill="1" applyBorder="1" applyAlignment="1" applyProtection="1">
      <alignment horizontal="center" vertical="center"/>
    </xf>
    <xf numFmtId="0" fontId="15" fillId="6" borderId="8" xfId="0" applyFont="1" applyFill="1" applyBorder="1" applyAlignment="1" applyProtection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8" xfId="0" applyFont="1" applyFill="1" applyBorder="1" applyAlignment="1" applyProtection="1">
      <alignment horizontal="center" vertical="center"/>
    </xf>
    <xf numFmtId="178" fontId="9" fillId="5" borderId="8" xfId="0" applyNumberFormat="1" applyFont="1" applyFill="1" applyBorder="1" applyAlignment="1" applyProtection="1">
      <alignment horizontal="center" vertical="center"/>
      <protection hidden="1"/>
    </xf>
    <xf numFmtId="14" fontId="11" fillId="6" borderId="8" xfId="0" applyNumberFormat="1" applyFont="1" applyFill="1" applyBorder="1" applyAlignment="1" applyProtection="1">
      <alignment horizontal="center" vertical="center"/>
    </xf>
    <xf numFmtId="179" fontId="11" fillId="0" borderId="8" xfId="0" applyNumberFormat="1" applyFont="1" applyFill="1" applyBorder="1" applyAlignment="1" applyProtection="1">
      <alignment horizontal="center" vertical="center"/>
    </xf>
    <xf numFmtId="14" fontId="11" fillId="0" borderId="8" xfId="0" applyNumberFormat="1" applyFont="1" applyFill="1" applyBorder="1" applyAlignment="1" applyProtection="1">
      <alignment horizontal="center" vertical="center"/>
    </xf>
    <xf numFmtId="179" fontId="15" fillId="6" borderId="8" xfId="0" applyNumberFormat="1" applyFont="1" applyFill="1" applyBorder="1" applyAlignment="1" applyProtection="1">
      <alignment horizontal="center" vertical="center"/>
    </xf>
    <xf numFmtId="179" fontId="11" fillId="6" borderId="8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28575</xdr:rowOff>
    </xdr:from>
    <xdr:to>
      <xdr:col>15</xdr:col>
      <xdr:colOff>229235</xdr:colOff>
      <xdr:row>21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8575"/>
          <a:ext cx="10515600" cy="3943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22</xdr:row>
      <xdr:rowOff>9525</xdr:rowOff>
    </xdr:from>
    <xdr:to>
      <xdr:col>17</xdr:col>
      <xdr:colOff>105410</xdr:colOff>
      <xdr:row>50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990975"/>
          <a:ext cx="11763375" cy="5162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10795</xdr:colOff>
      <xdr:row>18</xdr:row>
      <xdr:rowOff>76200</xdr:rowOff>
    </xdr:from>
    <xdr:to>
      <xdr:col>16</xdr:col>
      <xdr:colOff>163195</xdr:colOff>
      <xdr:row>44</xdr:row>
      <xdr:rowOff>67310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95" y="3333750"/>
          <a:ext cx="11125200" cy="4696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0</xdr:row>
      <xdr:rowOff>47625</xdr:rowOff>
    </xdr:from>
    <xdr:to>
      <xdr:col>17</xdr:col>
      <xdr:colOff>76835</xdr:colOff>
      <xdr:row>16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7625"/>
          <a:ext cx="11734800" cy="285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42</xdr:row>
      <xdr:rowOff>47625</xdr:rowOff>
    </xdr:from>
    <xdr:to>
      <xdr:col>21</xdr:col>
      <xdr:colOff>429260</xdr:colOff>
      <xdr:row>47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7648575"/>
          <a:ext cx="1483042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38100</xdr:rowOff>
    </xdr:from>
    <xdr:to>
      <xdr:col>15</xdr:col>
      <xdr:colOff>257810</xdr:colOff>
      <xdr:row>15</xdr:row>
      <xdr:rowOff>76200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581025"/>
          <a:ext cx="10544175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15</xdr:row>
      <xdr:rowOff>161925</xdr:rowOff>
    </xdr:from>
    <xdr:to>
      <xdr:col>21</xdr:col>
      <xdr:colOff>676910</xdr:colOff>
      <xdr:row>20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876550"/>
          <a:ext cx="15078075" cy="895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24</xdr:row>
      <xdr:rowOff>105410</xdr:rowOff>
    </xdr:from>
    <xdr:to>
      <xdr:col>21</xdr:col>
      <xdr:colOff>238760</xdr:colOff>
      <xdr:row>60</xdr:row>
      <xdr:rowOff>76835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448810"/>
          <a:ext cx="14639925" cy="6486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</xdr:row>
      <xdr:rowOff>57150</xdr:rowOff>
    </xdr:from>
    <xdr:to>
      <xdr:col>12</xdr:col>
      <xdr:colOff>105410</xdr:colOff>
      <xdr:row>14</xdr:row>
      <xdr:rowOff>9525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419100"/>
          <a:ext cx="8334375" cy="2124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92"/>
  <sheetViews>
    <sheetView workbookViewId="0">
      <selection activeCell="M27" sqref="M27:M35"/>
    </sheetView>
  </sheetViews>
  <sheetFormatPr defaultColWidth="9" defaultRowHeight="16.5" customHeight="1"/>
  <cols>
    <col min="1" max="1" width="4.5" style="63" customWidth="1"/>
    <col min="2" max="2" width="12.1666666666667" style="63" customWidth="1"/>
    <col min="3" max="6" width="11.1666666666667" style="63" customWidth="1"/>
    <col min="7" max="7" width="10.3333333333333" style="63" customWidth="1"/>
    <col min="8" max="8" width="17.1666666666667" style="63" customWidth="1"/>
    <col min="9" max="9" width="16.5" style="63" customWidth="1"/>
    <col min="10" max="10" width="11.1666666666667" style="63" customWidth="1"/>
    <col min="11" max="11" width="2.16666666666667" style="63" customWidth="1"/>
    <col min="12" max="12" width="24.5" style="63" customWidth="1"/>
    <col min="13" max="13" width="19.1666666666667" style="63" customWidth="1"/>
    <col min="14" max="15" width="11.1666666666667" style="63" customWidth="1"/>
    <col min="16" max="16" width="15.1666666666667" style="63" customWidth="1"/>
    <col min="17" max="17" width="12.375" style="63" customWidth="1"/>
    <col min="18" max="18" width="11.1666666666667" style="63" customWidth="1"/>
    <col min="19" max="19" width="12.3333333333333" style="63" customWidth="1"/>
    <col min="20" max="20" width="16.5" style="63" customWidth="1"/>
    <col min="21" max="21" width="12.3333333333333" style="63" customWidth="1"/>
    <col min="22" max="40" width="9" style="63"/>
    <col min="41" max="16384" width="9" style="64"/>
  </cols>
  <sheetData>
    <row r="1" ht="17.25" customHeight="1" spans="2:10">
      <c r="B1" s="65"/>
      <c r="C1" s="65"/>
      <c r="D1" s="65"/>
      <c r="E1" s="65"/>
      <c r="F1" s="65"/>
      <c r="G1" s="65"/>
      <c r="H1" s="65"/>
      <c r="I1" s="65"/>
      <c r="J1" s="65"/>
    </row>
    <row r="2" ht="42" customHeight="1" spans="2:15">
      <c r="B2" s="66" t="s">
        <v>0</v>
      </c>
      <c r="C2" s="66" t="s">
        <v>1</v>
      </c>
      <c r="D2" s="66" t="s">
        <v>2</v>
      </c>
      <c r="E2" s="66" t="s">
        <v>3</v>
      </c>
      <c r="F2" s="67" t="s">
        <v>4</v>
      </c>
      <c r="G2" s="68" t="s">
        <v>5</v>
      </c>
      <c r="H2" s="66" t="s">
        <v>6</v>
      </c>
      <c r="I2" s="66" t="s">
        <v>7</v>
      </c>
      <c r="J2" s="66" t="s">
        <v>8</v>
      </c>
      <c r="L2" s="74" t="s">
        <v>9</v>
      </c>
      <c r="M2" s="75"/>
      <c r="N2" s="75"/>
      <c r="O2" s="76"/>
    </row>
    <row r="3" ht="20.25" customHeight="1" spans="2:15">
      <c r="B3" s="69">
        <v>44622</v>
      </c>
      <c r="C3" s="70" t="s">
        <v>10</v>
      </c>
      <c r="D3" s="70" t="s">
        <v>11</v>
      </c>
      <c r="E3" s="71">
        <v>1</v>
      </c>
      <c r="F3" s="72">
        <v>39.97</v>
      </c>
      <c r="G3" s="73">
        <f>VLOOKUP(D3,L:N,3,0)</f>
        <v>2</v>
      </c>
      <c r="H3" s="73">
        <f>M21</f>
        <v>400</v>
      </c>
      <c r="I3" s="73">
        <f>H3-G3</f>
        <v>398</v>
      </c>
      <c r="J3" s="77"/>
      <c r="L3" s="78" t="s">
        <v>12</v>
      </c>
      <c r="M3" s="78" t="s">
        <v>13</v>
      </c>
      <c r="N3" s="78" t="s">
        <v>14</v>
      </c>
      <c r="O3" s="78" t="s">
        <v>15</v>
      </c>
    </row>
    <row r="4" ht="17.25" customHeight="1" spans="2:15">
      <c r="B4" s="69">
        <v>44623</v>
      </c>
      <c r="C4" s="70" t="s">
        <v>10</v>
      </c>
      <c r="D4" s="70" t="s">
        <v>11</v>
      </c>
      <c r="E4" s="71">
        <v>2</v>
      </c>
      <c r="F4" s="72">
        <v>39.97</v>
      </c>
      <c r="G4" s="73">
        <f>VLOOKUP(D4,L:N,3,0)</f>
        <v>2</v>
      </c>
      <c r="H4" s="73">
        <f t="shared" ref="H4:H67" si="0">IF(I3&lt;0,0,I3)</f>
        <v>398</v>
      </c>
      <c r="I4" s="73">
        <f t="shared" ref="I4:I67" si="1">IF(H4-G4+J4&lt;0,0,H4-G4+J4)</f>
        <v>396</v>
      </c>
      <c r="J4" s="79"/>
      <c r="L4" s="80" t="s">
        <v>11</v>
      </c>
      <c r="M4" s="81">
        <v>600</v>
      </c>
      <c r="N4" s="82">
        <v>2</v>
      </c>
      <c r="O4" s="83">
        <f t="shared" ref="O4:O16" si="2">N4*7</f>
        <v>14</v>
      </c>
    </row>
    <row r="5" ht="17.25" customHeight="1" spans="2:15">
      <c r="B5" s="69">
        <v>44624</v>
      </c>
      <c r="C5" s="70" t="s">
        <v>10</v>
      </c>
      <c r="D5" s="70" t="s">
        <v>11</v>
      </c>
      <c r="E5" s="71">
        <v>3</v>
      </c>
      <c r="F5" s="72">
        <v>39.97</v>
      </c>
      <c r="G5" s="73">
        <f>VLOOKUP(D5,L:N,3,0)</f>
        <v>2</v>
      </c>
      <c r="H5" s="73">
        <f t="shared" si="0"/>
        <v>396</v>
      </c>
      <c r="I5" s="73">
        <f t="shared" si="1"/>
        <v>394</v>
      </c>
      <c r="J5" s="77"/>
      <c r="L5" s="80" t="s">
        <v>16</v>
      </c>
      <c r="M5" s="81">
        <v>520</v>
      </c>
      <c r="N5" s="82">
        <v>4</v>
      </c>
      <c r="O5" s="83">
        <f t="shared" si="2"/>
        <v>28</v>
      </c>
    </row>
    <row r="6" ht="17.25" customHeight="1" spans="2:15">
      <c r="B6" s="69">
        <v>44625</v>
      </c>
      <c r="C6" s="70" t="s">
        <v>10</v>
      </c>
      <c r="D6" s="70" t="s">
        <v>11</v>
      </c>
      <c r="E6" s="71">
        <v>4</v>
      </c>
      <c r="F6" s="72">
        <v>39.97</v>
      </c>
      <c r="G6" s="73">
        <f>VLOOKUP(D6,L:N,3,0)</f>
        <v>2</v>
      </c>
      <c r="H6" s="73">
        <f t="shared" si="0"/>
        <v>394</v>
      </c>
      <c r="I6" s="73">
        <f t="shared" si="1"/>
        <v>392</v>
      </c>
      <c r="J6" s="79"/>
      <c r="L6" s="80" t="s">
        <v>17</v>
      </c>
      <c r="M6" s="81">
        <v>460</v>
      </c>
      <c r="N6" s="82">
        <v>4</v>
      </c>
      <c r="O6" s="83">
        <f t="shared" si="2"/>
        <v>28</v>
      </c>
    </row>
    <row r="7" ht="17.25" customHeight="1" spans="2:15">
      <c r="B7" s="69">
        <v>44626</v>
      </c>
      <c r="C7" s="70" t="s">
        <v>10</v>
      </c>
      <c r="D7" s="70" t="s">
        <v>11</v>
      </c>
      <c r="E7" s="71">
        <v>5</v>
      </c>
      <c r="F7" s="72">
        <v>39.97</v>
      </c>
      <c r="G7" s="73">
        <f>VLOOKUP(D7,L:N,3,0)</f>
        <v>2</v>
      </c>
      <c r="H7" s="73">
        <f t="shared" si="0"/>
        <v>392</v>
      </c>
      <c r="I7" s="73">
        <f t="shared" si="1"/>
        <v>390</v>
      </c>
      <c r="J7" s="77"/>
      <c r="L7" s="80" t="s">
        <v>18</v>
      </c>
      <c r="M7" s="81">
        <v>410</v>
      </c>
      <c r="N7" s="82">
        <v>5</v>
      </c>
      <c r="O7" s="83">
        <f t="shared" si="2"/>
        <v>35</v>
      </c>
    </row>
    <row r="8" ht="17.25" customHeight="1" spans="2:15">
      <c r="B8" s="69">
        <v>44627</v>
      </c>
      <c r="C8" s="70" t="s">
        <v>10</v>
      </c>
      <c r="D8" s="70" t="s">
        <v>11</v>
      </c>
      <c r="E8" s="71">
        <v>6</v>
      </c>
      <c r="F8" s="72">
        <v>39.97</v>
      </c>
      <c r="G8" s="73">
        <f>VLOOKUP(D8,L:N,3,0)</f>
        <v>2</v>
      </c>
      <c r="H8" s="73">
        <f t="shared" si="0"/>
        <v>390</v>
      </c>
      <c r="I8" s="73">
        <f t="shared" si="1"/>
        <v>388</v>
      </c>
      <c r="J8" s="79"/>
      <c r="L8" s="80" t="s">
        <v>19</v>
      </c>
      <c r="M8" s="81">
        <v>380</v>
      </c>
      <c r="N8" s="82">
        <v>5</v>
      </c>
      <c r="O8" s="83">
        <f t="shared" si="2"/>
        <v>35</v>
      </c>
    </row>
    <row r="9" ht="17.25" customHeight="1" spans="2:15">
      <c r="B9" s="69">
        <v>44628</v>
      </c>
      <c r="C9" s="70" t="s">
        <v>10</v>
      </c>
      <c r="D9" s="70" t="s">
        <v>11</v>
      </c>
      <c r="E9" s="71">
        <v>7</v>
      </c>
      <c r="F9" s="72">
        <v>39.97</v>
      </c>
      <c r="G9" s="73">
        <f>VLOOKUP(D9,L:N,3,0)</f>
        <v>2</v>
      </c>
      <c r="H9" s="73">
        <f t="shared" si="0"/>
        <v>388</v>
      </c>
      <c r="I9" s="73">
        <f t="shared" si="1"/>
        <v>386</v>
      </c>
      <c r="J9" s="77"/>
      <c r="L9" s="80" t="s">
        <v>20</v>
      </c>
      <c r="M9" s="81">
        <v>350</v>
      </c>
      <c r="N9" s="82">
        <v>7</v>
      </c>
      <c r="O9" s="83">
        <f t="shared" si="2"/>
        <v>49</v>
      </c>
    </row>
    <row r="10" ht="17.25" customHeight="1" spans="2:15">
      <c r="B10" s="69">
        <v>44629</v>
      </c>
      <c r="C10" s="70" t="s">
        <v>10</v>
      </c>
      <c r="D10" s="70" t="s">
        <v>16</v>
      </c>
      <c r="E10" s="71">
        <v>8</v>
      </c>
      <c r="F10" s="72">
        <v>39.97</v>
      </c>
      <c r="G10" s="73">
        <f>VLOOKUP(D10,L:N,3,0)</f>
        <v>4</v>
      </c>
      <c r="H10" s="73">
        <f t="shared" si="0"/>
        <v>386</v>
      </c>
      <c r="I10" s="73">
        <f t="shared" si="1"/>
        <v>382</v>
      </c>
      <c r="J10" s="79"/>
      <c r="L10" s="80" t="s">
        <v>21</v>
      </c>
      <c r="M10" s="81">
        <v>300</v>
      </c>
      <c r="N10" s="82">
        <v>9</v>
      </c>
      <c r="O10" s="83">
        <f t="shared" si="2"/>
        <v>63</v>
      </c>
    </row>
    <row r="11" ht="17.25" customHeight="1" spans="2:15">
      <c r="B11" s="69">
        <v>44630</v>
      </c>
      <c r="C11" s="70" t="s">
        <v>10</v>
      </c>
      <c r="D11" s="70" t="s">
        <v>16</v>
      </c>
      <c r="E11" s="71">
        <v>9</v>
      </c>
      <c r="F11" s="72">
        <v>39.97</v>
      </c>
      <c r="G11" s="73">
        <f>VLOOKUP(D11,L:N,3,0)</f>
        <v>4</v>
      </c>
      <c r="H11" s="73">
        <f t="shared" si="0"/>
        <v>382</v>
      </c>
      <c r="I11" s="73">
        <f t="shared" si="1"/>
        <v>378</v>
      </c>
      <c r="J11" s="77"/>
      <c r="L11" s="80" t="s">
        <v>22</v>
      </c>
      <c r="M11" s="81">
        <v>280</v>
      </c>
      <c r="N11" s="82">
        <v>11</v>
      </c>
      <c r="O11" s="83">
        <f t="shared" si="2"/>
        <v>77</v>
      </c>
    </row>
    <row r="12" ht="17.25" customHeight="1" spans="2:15">
      <c r="B12" s="69">
        <v>44631</v>
      </c>
      <c r="C12" s="70" t="s">
        <v>10</v>
      </c>
      <c r="D12" s="70" t="s">
        <v>16</v>
      </c>
      <c r="E12" s="71">
        <v>10</v>
      </c>
      <c r="F12" s="72">
        <v>39.97</v>
      </c>
      <c r="G12" s="73">
        <f>VLOOKUP(D12,L:N,3,0)</f>
        <v>4</v>
      </c>
      <c r="H12" s="73">
        <f t="shared" si="0"/>
        <v>378</v>
      </c>
      <c r="I12" s="73">
        <f t="shared" si="1"/>
        <v>374</v>
      </c>
      <c r="J12" s="79"/>
      <c r="L12" s="80" t="s">
        <v>23</v>
      </c>
      <c r="M12" s="81">
        <v>210</v>
      </c>
      <c r="N12" s="82">
        <v>13</v>
      </c>
      <c r="O12" s="83">
        <f t="shared" si="2"/>
        <v>91</v>
      </c>
    </row>
    <row r="13" ht="17.25" customHeight="1" spans="2:15">
      <c r="B13" s="69">
        <v>44632</v>
      </c>
      <c r="C13" s="70" t="s">
        <v>10</v>
      </c>
      <c r="D13" s="70" t="s">
        <v>16</v>
      </c>
      <c r="E13" s="71">
        <v>11</v>
      </c>
      <c r="F13" s="72">
        <v>39.97</v>
      </c>
      <c r="G13" s="73">
        <f>VLOOKUP(D13,L:N,3,0)</f>
        <v>4</v>
      </c>
      <c r="H13" s="73">
        <f t="shared" si="0"/>
        <v>374</v>
      </c>
      <c r="I13" s="73">
        <f t="shared" si="1"/>
        <v>370</v>
      </c>
      <c r="J13" s="77"/>
      <c r="L13" s="80" t="s">
        <v>24</v>
      </c>
      <c r="M13" s="81">
        <v>180</v>
      </c>
      <c r="N13" s="82">
        <v>15</v>
      </c>
      <c r="O13" s="83">
        <f t="shared" si="2"/>
        <v>105</v>
      </c>
    </row>
    <row r="14" ht="17.25" customHeight="1" spans="2:15">
      <c r="B14" s="69">
        <v>44633</v>
      </c>
      <c r="C14" s="70" t="s">
        <v>10</v>
      </c>
      <c r="D14" s="70" t="s">
        <v>16</v>
      </c>
      <c r="E14" s="71">
        <v>12</v>
      </c>
      <c r="F14" s="72">
        <v>39.97</v>
      </c>
      <c r="G14" s="73">
        <f>VLOOKUP(D14,L:N,3,0)</f>
        <v>4</v>
      </c>
      <c r="H14" s="73">
        <f t="shared" si="0"/>
        <v>370</v>
      </c>
      <c r="I14" s="73">
        <f t="shared" si="1"/>
        <v>366</v>
      </c>
      <c r="J14" s="79"/>
      <c r="L14" s="80" t="s">
        <v>25</v>
      </c>
      <c r="M14" s="81">
        <v>150</v>
      </c>
      <c r="N14" s="82">
        <v>16</v>
      </c>
      <c r="O14" s="83">
        <f t="shared" si="2"/>
        <v>112</v>
      </c>
    </row>
    <row r="15" ht="17.25" customHeight="1" spans="2:15">
      <c r="B15" s="69">
        <v>44634</v>
      </c>
      <c r="C15" s="70" t="s">
        <v>10</v>
      </c>
      <c r="D15" s="70" t="s">
        <v>16</v>
      </c>
      <c r="E15" s="71">
        <v>13</v>
      </c>
      <c r="F15" s="72">
        <v>39.97</v>
      </c>
      <c r="G15" s="73">
        <f>VLOOKUP(D15,L:N,3,0)</f>
        <v>4</v>
      </c>
      <c r="H15" s="73">
        <f t="shared" si="0"/>
        <v>366</v>
      </c>
      <c r="I15" s="73">
        <f t="shared" si="1"/>
        <v>362</v>
      </c>
      <c r="J15" s="77"/>
      <c r="L15" s="80" t="s">
        <v>26</v>
      </c>
      <c r="M15" s="81">
        <v>150</v>
      </c>
      <c r="N15" s="82">
        <v>16</v>
      </c>
      <c r="O15" s="83">
        <f t="shared" si="2"/>
        <v>112</v>
      </c>
    </row>
    <row r="16" ht="17.25" customHeight="1" spans="2:15">
      <c r="B16" s="69">
        <v>44635</v>
      </c>
      <c r="C16" s="70" t="s">
        <v>10</v>
      </c>
      <c r="D16" s="70" t="s">
        <v>16</v>
      </c>
      <c r="E16" s="71">
        <v>14</v>
      </c>
      <c r="F16" s="72">
        <v>39.97</v>
      </c>
      <c r="G16" s="73">
        <f>VLOOKUP(D16,L:N,3,0)</f>
        <v>4</v>
      </c>
      <c r="H16" s="73">
        <f t="shared" si="0"/>
        <v>362</v>
      </c>
      <c r="I16" s="73">
        <f t="shared" si="1"/>
        <v>358</v>
      </c>
      <c r="J16" s="79"/>
      <c r="L16" s="80" t="s">
        <v>27</v>
      </c>
      <c r="M16" s="81">
        <v>120</v>
      </c>
      <c r="N16" s="82">
        <v>20</v>
      </c>
      <c r="O16" s="83">
        <f t="shared" si="2"/>
        <v>140</v>
      </c>
    </row>
    <row r="17" ht="17.25" customHeight="1" spans="2:15">
      <c r="B17" s="69">
        <v>44636</v>
      </c>
      <c r="C17" s="70" t="s">
        <v>10</v>
      </c>
      <c r="D17" s="70" t="s">
        <v>17</v>
      </c>
      <c r="E17" s="71">
        <v>15</v>
      </c>
      <c r="F17" s="72">
        <v>39.97</v>
      </c>
      <c r="G17" s="73">
        <f>VLOOKUP(D17,L:N,3,0)</f>
        <v>4</v>
      </c>
      <c r="H17" s="73">
        <f t="shared" si="0"/>
        <v>358</v>
      </c>
      <c r="I17" s="73">
        <f t="shared" si="1"/>
        <v>354</v>
      </c>
      <c r="J17" s="77"/>
      <c r="L17" s="80" t="s">
        <v>28</v>
      </c>
      <c r="M17" s="84"/>
      <c r="N17" s="85"/>
      <c r="O17" s="83">
        <f>SUM(O4:O16)</f>
        <v>889</v>
      </c>
    </row>
    <row r="18" customHeight="1" spans="2:10">
      <c r="B18" s="69">
        <v>44637</v>
      </c>
      <c r="C18" s="70" t="s">
        <v>10</v>
      </c>
      <c r="D18" s="70" t="s">
        <v>17</v>
      </c>
      <c r="E18" s="71">
        <v>16</v>
      </c>
      <c r="F18" s="72">
        <v>39.97</v>
      </c>
      <c r="G18" s="73">
        <f>VLOOKUP(D18,L:N,3,0)</f>
        <v>4</v>
      </c>
      <c r="H18" s="73">
        <f t="shared" si="0"/>
        <v>354</v>
      </c>
      <c r="I18" s="73">
        <f t="shared" si="1"/>
        <v>350</v>
      </c>
      <c r="J18" s="79"/>
    </row>
    <row r="19" ht="21" customHeight="1" spans="2:21">
      <c r="B19" s="69">
        <v>44638</v>
      </c>
      <c r="C19" s="70" t="s">
        <v>10</v>
      </c>
      <c r="D19" s="70" t="s">
        <v>17</v>
      </c>
      <c r="E19" s="71">
        <v>17</v>
      </c>
      <c r="F19" s="72">
        <v>39.97</v>
      </c>
      <c r="G19" s="73">
        <f>VLOOKUP(D19,L:N,3,0)</f>
        <v>4</v>
      </c>
      <c r="H19" s="73">
        <f t="shared" si="0"/>
        <v>350</v>
      </c>
      <c r="I19" s="73">
        <f t="shared" si="1"/>
        <v>346</v>
      </c>
      <c r="J19" s="77"/>
      <c r="L19" s="86" t="s">
        <v>29</v>
      </c>
      <c r="M19" s="86"/>
      <c r="N19" s="86"/>
      <c r="O19" s="86"/>
      <c r="P19" s="86"/>
      <c r="Q19" s="86"/>
      <c r="R19" s="86"/>
      <c r="S19" s="86"/>
      <c r="T19" s="86"/>
      <c r="U19" s="86"/>
    </row>
    <row r="20" ht="21" customHeight="1" spans="2:21">
      <c r="B20" s="69">
        <v>44639</v>
      </c>
      <c r="C20" s="70" t="s">
        <v>10</v>
      </c>
      <c r="D20" s="70" t="s">
        <v>17</v>
      </c>
      <c r="E20" s="71">
        <v>18</v>
      </c>
      <c r="F20" s="72">
        <v>39.97</v>
      </c>
      <c r="G20" s="73">
        <f>VLOOKUP(D20,L:N,3,0)</f>
        <v>4</v>
      </c>
      <c r="H20" s="73">
        <f t="shared" si="0"/>
        <v>346</v>
      </c>
      <c r="I20" s="73">
        <f t="shared" si="1"/>
        <v>342</v>
      </c>
      <c r="J20" s="79"/>
      <c r="L20" s="87" t="s">
        <v>30</v>
      </c>
      <c r="M20" s="87" t="s">
        <v>31</v>
      </c>
      <c r="N20" s="87" t="s">
        <v>32</v>
      </c>
      <c r="O20" s="87" t="s">
        <v>33</v>
      </c>
      <c r="P20" s="87" t="s">
        <v>34</v>
      </c>
      <c r="Q20" s="87" t="s">
        <v>35</v>
      </c>
      <c r="R20" s="87" t="s">
        <v>36</v>
      </c>
      <c r="S20" s="87" t="s">
        <v>37</v>
      </c>
      <c r="T20" s="87" t="s">
        <v>38</v>
      </c>
      <c r="U20" s="87" t="s">
        <v>39</v>
      </c>
    </row>
    <row r="21" ht="17.25" customHeight="1" spans="2:21">
      <c r="B21" s="69">
        <v>44640</v>
      </c>
      <c r="C21" s="70" t="s">
        <v>10</v>
      </c>
      <c r="D21" s="70" t="s">
        <v>17</v>
      </c>
      <c r="E21" s="71">
        <v>19</v>
      </c>
      <c r="F21" s="72">
        <v>39.97</v>
      </c>
      <c r="G21" s="73">
        <f>VLOOKUP(D21,L:N,3,0)</f>
        <v>4</v>
      </c>
      <c r="H21" s="73">
        <f t="shared" si="0"/>
        <v>342</v>
      </c>
      <c r="I21" s="73">
        <f t="shared" si="1"/>
        <v>338</v>
      </c>
      <c r="J21" s="77"/>
      <c r="L21" s="80" t="s">
        <v>40</v>
      </c>
      <c r="M21" s="88">
        <v>400</v>
      </c>
      <c r="N21" s="80">
        <f t="shared" ref="N21:N24" si="3">_xlfn.IFS(O21=$L$29,$M$29,O21=$L$30,$M$30,O21=$L$31,$M$31,O21=$L$32,$M$32,O21=$L$33,$M$33)</f>
        <v>40</v>
      </c>
      <c r="O21" s="88" t="s">
        <v>41</v>
      </c>
      <c r="P21" s="80">
        <f t="shared" ref="P21:P24" si="4">$M$27</f>
        <v>30</v>
      </c>
      <c r="Q21" s="93">
        <v>44910</v>
      </c>
      <c r="R21" s="80">
        <f t="shared" ref="R21:R24" si="5">M21*$M$28</f>
        <v>27600</v>
      </c>
      <c r="S21" s="94">
        <f>P21+Q21</f>
        <v>44940</v>
      </c>
      <c r="T21" s="94">
        <f>S21+M35</f>
        <v>44947</v>
      </c>
      <c r="U21" s="94">
        <f>T21+N21</f>
        <v>44987</v>
      </c>
    </row>
    <row r="22" ht="18" customHeight="1" spans="2:21">
      <c r="B22" s="69">
        <v>44641</v>
      </c>
      <c r="C22" s="70" t="s">
        <v>10</v>
      </c>
      <c r="D22" s="70" t="s">
        <v>17</v>
      </c>
      <c r="E22" s="71">
        <v>20</v>
      </c>
      <c r="F22" s="72">
        <v>39.97</v>
      </c>
      <c r="G22" s="73">
        <f>VLOOKUP(D22,L:N,3,0)</f>
        <v>4</v>
      </c>
      <c r="H22" s="73">
        <f t="shared" si="0"/>
        <v>338</v>
      </c>
      <c r="I22" s="73">
        <f t="shared" si="1"/>
        <v>334</v>
      </c>
      <c r="J22" s="79"/>
      <c r="L22" s="80" t="s">
        <v>42</v>
      </c>
      <c r="M22" s="89">
        <v>200</v>
      </c>
      <c r="N22" s="80">
        <f t="shared" si="3"/>
        <v>40</v>
      </c>
      <c r="O22" s="88" t="s">
        <v>41</v>
      </c>
      <c r="P22" s="80">
        <f t="shared" si="4"/>
        <v>30</v>
      </c>
      <c r="Q22" s="95">
        <f t="shared" ref="Q22:Q24" si="6">S22-P22</f>
        <v>44606</v>
      </c>
      <c r="R22" s="80">
        <f t="shared" si="5"/>
        <v>13800</v>
      </c>
      <c r="S22" s="94">
        <f>T22-M35</f>
        <v>44636</v>
      </c>
      <c r="T22" s="94">
        <f t="shared" ref="T22:T24" si="7">U22-N22</f>
        <v>44643</v>
      </c>
      <c r="U22" s="96">
        <f>B64</f>
        <v>44683</v>
      </c>
    </row>
    <row r="23" ht="17.25" customHeight="1" spans="2:21">
      <c r="B23" s="69">
        <v>44642</v>
      </c>
      <c r="C23" s="70" t="s">
        <v>10</v>
      </c>
      <c r="D23" s="70" t="s">
        <v>17</v>
      </c>
      <c r="E23" s="71">
        <v>21</v>
      </c>
      <c r="F23" s="72">
        <v>39.97</v>
      </c>
      <c r="G23" s="73">
        <f>VLOOKUP(D23,L:N,3,0)</f>
        <v>4</v>
      </c>
      <c r="H23" s="73">
        <f t="shared" si="0"/>
        <v>334</v>
      </c>
      <c r="I23" s="73">
        <f t="shared" si="1"/>
        <v>330</v>
      </c>
      <c r="J23" s="77"/>
      <c r="L23" s="80" t="s">
        <v>43</v>
      </c>
      <c r="M23" s="88">
        <v>300</v>
      </c>
      <c r="N23" s="80">
        <f t="shared" si="3"/>
        <v>40</v>
      </c>
      <c r="O23" s="88" t="s">
        <v>41</v>
      </c>
      <c r="P23" s="80">
        <f t="shared" si="4"/>
        <v>30</v>
      </c>
      <c r="Q23" s="95">
        <f t="shared" si="6"/>
        <v>44626</v>
      </c>
      <c r="R23" s="80">
        <f t="shared" si="5"/>
        <v>20700</v>
      </c>
      <c r="S23" s="94">
        <f>T23-M38</f>
        <v>44656</v>
      </c>
      <c r="T23" s="94">
        <f t="shared" si="7"/>
        <v>44656</v>
      </c>
      <c r="U23" s="96">
        <f>B77</f>
        <v>44696</v>
      </c>
    </row>
    <row r="24" ht="17.25" customHeight="1" spans="2:21">
      <c r="B24" s="69">
        <v>44643</v>
      </c>
      <c r="C24" s="70" t="s">
        <v>10</v>
      </c>
      <c r="D24" s="70" t="s">
        <v>18</v>
      </c>
      <c r="E24" s="71">
        <v>22</v>
      </c>
      <c r="F24" s="72">
        <v>39.97</v>
      </c>
      <c r="G24" s="73">
        <f>VLOOKUP(D24,L:N,3,0)</f>
        <v>5</v>
      </c>
      <c r="H24" s="73">
        <f t="shared" si="0"/>
        <v>330</v>
      </c>
      <c r="I24" s="73">
        <f t="shared" si="1"/>
        <v>325</v>
      </c>
      <c r="J24" s="79"/>
      <c r="L24" s="80" t="s">
        <v>44</v>
      </c>
      <c r="M24" s="88"/>
      <c r="N24" s="80">
        <f t="shared" si="3"/>
        <v>40</v>
      </c>
      <c r="O24" s="88" t="s">
        <v>41</v>
      </c>
      <c r="P24" s="80">
        <f t="shared" si="4"/>
        <v>30</v>
      </c>
      <c r="Q24" s="95">
        <f t="shared" si="6"/>
        <v>-70</v>
      </c>
      <c r="R24" s="80">
        <f t="shared" si="5"/>
        <v>0</v>
      </c>
      <c r="S24" s="94">
        <f>T24-M39</f>
        <v>-40</v>
      </c>
      <c r="T24" s="94">
        <f t="shared" si="7"/>
        <v>-40</v>
      </c>
      <c r="U24" s="97"/>
    </row>
    <row r="25" customHeight="1" spans="2:20">
      <c r="B25" s="69">
        <v>44644</v>
      </c>
      <c r="C25" s="70" t="s">
        <v>10</v>
      </c>
      <c r="D25" s="70" t="s">
        <v>18</v>
      </c>
      <c r="E25" s="71">
        <v>23</v>
      </c>
      <c r="F25" s="72">
        <v>39.97</v>
      </c>
      <c r="G25" s="73">
        <f>VLOOKUP(D25,L:N,3,0)</f>
        <v>5</v>
      </c>
      <c r="H25" s="73">
        <f t="shared" si="0"/>
        <v>325</v>
      </c>
      <c r="I25" s="73">
        <f t="shared" si="1"/>
        <v>320</v>
      </c>
      <c r="J25" s="77"/>
      <c r="Q25" s="90"/>
      <c r="R25" s="90"/>
      <c r="S25" s="90"/>
      <c r="T25" s="90"/>
    </row>
    <row r="26" ht="21" customHeight="1" spans="2:20">
      <c r="B26" s="69">
        <v>44645</v>
      </c>
      <c r="C26" s="70" t="s">
        <v>10</v>
      </c>
      <c r="D26" s="70" t="s">
        <v>18</v>
      </c>
      <c r="E26" s="71">
        <v>24</v>
      </c>
      <c r="F26" s="72">
        <v>39.97</v>
      </c>
      <c r="G26" s="73">
        <f>VLOOKUP(D26,L:N,3,0)</f>
        <v>5</v>
      </c>
      <c r="H26" s="73">
        <f t="shared" si="0"/>
        <v>320</v>
      </c>
      <c r="I26" s="73">
        <f t="shared" si="1"/>
        <v>315</v>
      </c>
      <c r="J26" s="79"/>
      <c r="L26" s="86" t="s">
        <v>45</v>
      </c>
      <c r="M26" s="86"/>
      <c r="N26" s="86"/>
      <c r="O26" s="90"/>
      <c r="P26" s="90"/>
      <c r="Q26" s="90"/>
      <c r="R26" s="90"/>
      <c r="S26" s="90"/>
      <c r="T26" s="90"/>
    </row>
    <row r="27" ht="21" customHeight="1" spans="2:20">
      <c r="B27" s="69">
        <v>44646</v>
      </c>
      <c r="C27" s="70" t="s">
        <v>10</v>
      </c>
      <c r="D27" s="70" t="s">
        <v>18</v>
      </c>
      <c r="E27" s="71">
        <v>25</v>
      </c>
      <c r="F27" s="72">
        <v>39.97</v>
      </c>
      <c r="G27" s="73">
        <f>VLOOKUP(D27,L:N,3,0)</f>
        <v>5</v>
      </c>
      <c r="H27" s="73">
        <f t="shared" si="0"/>
        <v>315</v>
      </c>
      <c r="I27" s="73">
        <f t="shared" si="1"/>
        <v>310</v>
      </c>
      <c r="J27" s="77"/>
      <c r="L27" s="87" t="s">
        <v>46</v>
      </c>
      <c r="M27" s="88">
        <v>30</v>
      </c>
      <c r="N27" s="91" t="s">
        <v>47</v>
      </c>
      <c r="O27" s="90"/>
      <c r="P27" s="90"/>
      <c r="Q27" s="90"/>
      <c r="R27" s="90"/>
      <c r="S27" s="90"/>
      <c r="T27" s="90"/>
    </row>
    <row r="28" ht="21" customHeight="1" spans="2:20">
      <c r="B28" s="69">
        <v>44647</v>
      </c>
      <c r="C28" s="70" t="s">
        <v>10</v>
      </c>
      <c r="D28" s="70" t="s">
        <v>18</v>
      </c>
      <c r="E28" s="71">
        <v>26</v>
      </c>
      <c r="F28" s="72">
        <v>39.97</v>
      </c>
      <c r="G28" s="73">
        <f>VLOOKUP(D28,L:N,3,0)</f>
        <v>5</v>
      </c>
      <c r="H28" s="73">
        <f t="shared" si="0"/>
        <v>310</v>
      </c>
      <c r="I28" s="73">
        <f t="shared" si="1"/>
        <v>305</v>
      </c>
      <c r="J28" s="79"/>
      <c r="L28" s="87" t="s">
        <v>48</v>
      </c>
      <c r="M28" s="88">
        <v>69</v>
      </c>
      <c r="N28" s="91" t="s">
        <v>49</v>
      </c>
      <c r="O28" s="90"/>
      <c r="P28" s="90"/>
      <c r="Q28" s="90"/>
      <c r="R28" s="90"/>
      <c r="S28" s="90"/>
      <c r="T28" s="90"/>
    </row>
    <row r="29" ht="21" customHeight="1" spans="2:14">
      <c r="B29" s="69">
        <v>44648</v>
      </c>
      <c r="C29" s="70" t="s">
        <v>10</v>
      </c>
      <c r="D29" s="70" t="s">
        <v>18</v>
      </c>
      <c r="E29" s="71">
        <v>27</v>
      </c>
      <c r="F29" s="72">
        <v>39.97</v>
      </c>
      <c r="G29" s="73">
        <f>VLOOKUP(D29,L:N,3,0)</f>
        <v>5</v>
      </c>
      <c r="H29" s="73">
        <f t="shared" si="0"/>
        <v>305</v>
      </c>
      <c r="I29" s="73">
        <f t="shared" si="1"/>
        <v>300</v>
      </c>
      <c r="J29" s="77"/>
      <c r="L29" s="87" t="s">
        <v>50</v>
      </c>
      <c r="M29" s="88">
        <v>20</v>
      </c>
      <c r="N29" s="91" t="s">
        <v>47</v>
      </c>
    </row>
    <row r="30" ht="21" customHeight="1" spans="2:14">
      <c r="B30" s="69">
        <v>44649</v>
      </c>
      <c r="C30" s="70" t="s">
        <v>10</v>
      </c>
      <c r="D30" s="70" t="s">
        <v>18</v>
      </c>
      <c r="E30" s="71">
        <v>28</v>
      </c>
      <c r="F30" s="72">
        <v>39.97</v>
      </c>
      <c r="G30" s="73">
        <f>VLOOKUP(D30,L:N,3,0)</f>
        <v>5</v>
      </c>
      <c r="H30" s="73">
        <f t="shared" si="0"/>
        <v>300</v>
      </c>
      <c r="I30" s="73">
        <f t="shared" si="1"/>
        <v>295</v>
      </c>
      <c r="J30" s="79"/>
      <c r="L30" s="87" t="s">
        <v>51</v>
      </c>
      <c r="M30" s="88">
        <v>30</v>
      </c>
      <c r="N30" s="91" t="s">
        <v>47</v>
      </c>
    </row>
    <row r="31" ht="21" customHeight="1" spans="2:14">
      <c r="B31" s="69">
        <v>44650</v>
      </c>
      <c r="C31" s="70" t="s">
        <v>10</v>
      </c>
      <c r="D31" s="70" t="s">
        <v>19</v>
      </c>
      <c r="E31" s="71">
        <v>29</v>
      </c>
      <c r="F31" s="72">
        <v>39.97</v>
      </c>
      <c r="G31" s="73">
        <f>VLOOKUP(D31,L:N,3,0)</f>
        <v>5</v>
      </c>
      <c r="H31" s="73">
        <f t="shared" si="0"/>
        <v>295</v>
      </c>
      <c r="I31" s="73">
        <f t="shared" si="1"/>
        <v>290</v>
      </c>
      <c r="J31" s="77"/>
      <c r="L31" s="87" t="s">
        <v>41</v>
      </c>
      <c r="M31" s="88">
        <v>40</v>
      </c>
      <c r="N31" s="91" t="s">
        <v>47</v>
      </c>
    </row>
    <row r="32" ht="21" customHeight="1" spans="2:14">
      <c r="B32" s="69">
        <v>44651</v>
      </c>
      <c r="C32" s="70" t="s">
        <v>10</v>
      </c>
      <c r="D32" s="70" t="s">
        <v>19</v>
      </c>
      <c r="E32" s="71">
        <v>30</v>
      </c>
      <c r="F32" s="72">
        <v>39.97</v>
      </c>
      <c r="G32" s="73">
        <f>VLOOKUP(D32,L:N,3,0)</f>
        <v>5</v>
      </c>
      <c r="H32" s="73">
        <f t="shared" si="0"/>
        <v>290</v>
      </c>
      <c r="I32" s="73">
        <f t="shared" si="1"/>
        <v>285</v>
      </c>
      <c r="J32" s="79"/>
      <c r="L32" s="87" t="s">
        <v>52</v>
      </c>
      <c r="M32" s="88">
        <v>20</v>
      </c>
      <c r="N32" s="91" t="s">
        <v>47</v>
      </c>
    </row>
    <row r="33" ht="21" customHeight="1" spans="2:14">
      <c r="B33" s="69">
        <v>44652</v>
      </c>
      <c r="C33" s="70" t="s">
        <v>53</v>
      </c>
      <c r="D33" s="70" t="s">
        <v>19</v>
      </c>
      <c r="E33" s="71">
        <v>31</v>
      </c>
      <c r="F33" s="72">
        <v>39.97</v>
      </c>
      <c r="G33" s="73">
        <f>VLOOKUP(D33,L:N,3,0)</f>
        <v>5</v>
      </c>
      <c r="H33" s="73">
        <f t="shared" si="0"/>
        <v>285</v>
      </c>
      <c r="I33" s="73">
        <f t="shared" si="1"/>
        <v>280</v>
      </c>
      <c r="J33" s="77"/>
      <c r="L33" s="87" t="s">
        <v>54</v>
      </c>
      <c r="M33" s="88">
        <v>40</v>
      </c>
      <c r="N33" s="91" t="s">
        <v>47</v>
      </c>
    </row>
    <row r="34" ht="21" customHeight="1" spans="2:14">
      <c r="B34" s="69">
        <v>44653</v>
      </c>
      <c r="C34" s="70" t="s">
        <v>53</v>
      </c>
      <c r="D34" s="70" t="s">
        <v>19</v>
      </c>
      <c r="E34" s="71">
        <v>32</v>
      </c>
      <c r="F34" s="72">
        <v>39.97</v>
      </c>
      <c r="G34" s="73">
        <f>VLOOKUP(D34,L:N,3,0)</f>
        <v>5</v>
      </c>
      <c r="H34" s="73">
        <f t="shared" si="0"/>
        <v>280</v>
      </c>
      <c r="I34" s="73">
        <f t="shared" si="1"/>
        <v>275</v>
      </c>
      <c r="J34" s="79"/>
      <c r="L34" s="87" t="s">
        <v>55</v>
      </c>
      <c r="M34" s="88">
        <v>60</v>
      </c>
      <c r="N34" s="91" t="s">
        <v>47</v>
      </c>
    </row>
    <row r="35" ht="21" customHeight="1" spans="2:14">
      <c r="B35" s="69">
        <v>44654</v>
      </c>
      <c r="C35" s="70" t="s">
        <v>53</v>
      </c>
      <c r="D35" s="70" t="s">
        <v>19</v>
      </c>
      <c r="E35" s="71">
        <v>33</v>
      </c>
      <c r="F35" s="72">
        <v>39.97</v>
      </c>
      <c r="G35" s="73">
        <f>VLOOKUP(D35,L:N,3,0)</f>
        <v>5</v>
      </c>
      <c r="H35" s="73">
        <f t="shared" si="0"/>
        <v>275</v>
      </c>
      <c r="I35" s="73">
        <f t="shared" si="1"/>
        <v>270</v>
      </c>
      <c r="J35" s="77"/>
      <c r="L35" s="87" t="s">
        <v>56</v>
      </c>
      <c r="M35" s="88">
        <v>7</v>
      </c>
      <c r="N35" s="91" t="s">
        <v>47</v>
      </c>
    </row>
    <row r="36" customHeight="1" spans="2:10">
      <c r="B36" s="69">
        <v>44655</v>
      </c>
      <c r="C36" s="70" t="s">
        <v>53</v>
      </c>
      <c r="D36" s="70" t="s">
        <v>19</v>
      </c>
      <c r="E36" s="71">
        <v>34</v>
      </c>
      <c r="F36" s="72">
        <v>39.97</v>
      </c>
      <c r="G36" s="73">
        <f>VLOOKUP(D36,L:N,3,0)</f>
        <v>5</v>
      </c>
      <c r="H36" s="73">
        <f t="shared" si="0"/>
        <v>270</v>
      </c>
      <c r="I36" s="73">
        <f t="shared" si="1"/>
        <v>265</v>
      </c>
      <c r="J36" s="79"/>
    </row>
    <row r="37" customHeight="1" spans="2:10">
      <c r="B37" s="69">
        <v>44656</v>
      </c>
      <c r="C37" s="70" t="s">
        <v>53</v>
      </c>
      <c r="D37" s="70" t="s">
        <v>19</v>
      </c>
      <c r="E37" s="71">
        <v>35</v>
      </c>
      <c r="F37" s="72">
        <v>39.97</v>
      </c>
      <c r="G37" s="73">
        <f>VLOOKUP(D37,L:N,3,0)</f>
        <v>5</v>
      </c>
      <c r="H37" s="73">
        <f t="shared" si="0"/>
        <v>265</v>
      </c>
      <c r="I37" s="73">
        <f t="shared" si="1"/>
        <v>260</v>
      </c>
      <c r="J37" s="77"/>
    </row>
    <row r="38" customHeight="1" spans="2:10">
      <c r="B38" s="69">
        <v>44657</v>
      </c>
      <c r="C38" s="70" t="s">
        <v>53</v>
      </c>
      <c r="D38" s="70" t="s">
        <v>20</v>
      </c>
      <c r="E38" s="71">
        <v>36</v>
      </c>
      <c r="F38" s="72">
        <v>39.97</v>
      </c>
      <c r="G38" s="73">
        <f>VLOOKUP(D38,L:N,3,0)</f>
        <v>7</v>
      </c>
      <c r="H38" s="73">
        <f t="shared" si="0"/>
        <v>260</v>
      </c>
      <c r="I38" s="73">
        <f t="shared" si="1"/>
        <v>253</v>
      </c>
      <c r="J38" s="79"/>
    </row>
    <row r="39" customHeight="1" spans="2:10">
      <c r="B39" s="69">
        <v>44658</v>
      </c>
      <c r="C39" s="70" t="s">
        <v>53</v>
      </c>
      <c r="D39" s="70" t="s">
        <v>20</v>
      </c>
      <c r="E39" s="71">
        <v>37</v>
      </c>
      <c r="F39" s="72">
        <v>39.97</v>
      </c>
      <c r="G39" s="73">
        <f>VLOOKUP(D39,L:N,3,0)</f>
        <v>7</v>
      </c>
      <c r="H39" s="73">
        <f t="shared" si="0"/>
        <v>253</v>
      </c>
      <c r="I39" s="73">
        <f t="shared" si="1"/>
        <v>246</v>
      </c>
      <c r="J39" s="77"/>
    </row>
    <row r="40" customHeight="1" spans="2:10">
      <c r="B40" s="69">
        <v>44659</v>
      </c>
      <c r="C40" s="70" t="s">
        <v>53</v>
      </c>
      <c r="D40" s="70" t="s">
        <v>20</v>
      </c>
      <c r="E40" s="71">
        <v>38</v>
      </c>
      <c r="F40" s="72">
        <v>39.97</v>
      </c>
      <c r="G40" s="73">
        <f>VLOOKUP(D40,L:N,3,0)</f>
        <v>7</v>
      </c>
      <c r="H40" s="73">
        <f t="shared" si="0"/>
        <v>246</v>
      </c>
      <c r="I40" s="73">
        <f t="shared" si="1"/>
        <v>239</v>
      </c>
      <c r="J40" s="79"/>
    </row>
    <row r="41" customHeight="1" spans="2:10">
      <c r="B41" s="69">
        <v>44660</v>
      </c>
      <c r="C41" s="70" t="s">
        <v>53</v>
      </c>
      <c r="D41" s="70" t="s">
        <v>20</v>
      </c>
      <c r="E41" s="71">
        <v>39</v>
      </c>
      <c r="F41" s="72">
        <v>39.97</v>
      </c>
      <c r="G41" s="73">
        <f>VLOOKUP(D41,L:N,3,0)</f>
        <v>7</v>
      </c>
      <c r="H41" s="73">
        <f t="shared" si="0"/>
        <v>239</v>
      </c>
      <c r="I41" s="73">
        <f t="shared" si="1"/>
        <v>232</v>
      </c>
      <c r="J41" s="77"/>
    </row>
    <row r="42" customHeight="1" spans="2:10">
      <c r="B42" s="69">
        <v>44661</v>
      </c>
      <c r="C42" s="70" t="s">
        <v>53</v>
      </c>
      <c r="D42" s="70" t="s">
        <v>20</v>
      </c>
      <c r="E42" s="71">
        <v>40</v>
      </c>
      <c r="F42" s="72">
        <v>39.97</v>
      </c>
      <c r="G42" s="73">
        <f>VLOOKUP(D42,L:N,3,0)</f>
        <v>7</v>
      </c>
      <c r="H42" s="73">
        <f t="shared" si="0"/>
        <v>232</v>
      </c>
      <c r="I42" s="73">
        <f t="shared" si="1"/>
        <v>225</v>
      </c>
      <c r="J42" s="79"/>
    </row>
    <row r="43" customHeight="1" spans="2:10">
      <c r="B43" s="69">
        <v>44662</v>
      </c>
      <c r="C43" s="70" t="s">
        <v>53</v>
      </c>
      <c r="D43" s="70" t="s">
        <v>20</v>
      </c>
      <c r="E43" s="71">
        <v>41</v>
      </c>
      <c r="F43" s="72">
        <v>39.97</v>
      </c>
      <c r="G43" s="73">
        <f>VLOOKUP(D43,L:N,3,0)</f>
        <v>7</v>
      </c>
      <c r="H43" s="73">
        <f t="shared" si="0"/>
        <v>225</v>
      </c>
      <c r="I43" s="73">
        <f t="shared" si="1"/>
        <v>218</v>
      </c>
      <c r="J43" s="77"/>
    </row>
    <row r="44" customHeight="1" spans="2:10">
      <c r="B44" s="69">
        <v>44663</v>
      </c>
      <c r="C44" s="70" t="s">
        <v>53</v>
      </c>
      <c r="D44" s="70" t="s">
        <v>20</v>
      </c>
      <c r="E44" s="71">
        <v>42</v>
      </c>
      <c r="F44" s="72">
        <v>39.97</v>
      </c>
      <c r="G44" s="73">
        <f>VLOOKUP(D44,L:N,3,0)</f>
        <v>7</v>
      </c>
      <c r="H44" s="73">
        <f t="shared" si="0"/>
        <v>218</v>
      </c>
      <c r="I44" s="73">
        <f t="shared" si="1"/>
        <v>211</v>
      </c>
      <c r="J44" s="79"/>
    </row>
    <row r="45" customHeight="1" spans="2:10">
      <c r="B45" s="69">
        <v>44664</v>
      </c>
      <c r="C45" s="70" t="s">
        <v>53</v>
      </c>
      <c r="D45" s="70" t="s">
        <v>21</v>
      </c>
      <c r="E45" s="71">
        <v>43</v>
      </c>
      <c r="F45" s="72">
        <v>39.97</v>
      </c>
      <c r="G45" s="73">
        <f>VLOOKUP(D45,L:N,3,0)</f>
        <v>9</v>
      </c>
      <c r="H45" s="73">
        <f t="shared" si="0"/>
        <v>211</v>
      </c>
      <c r="I45" s="73">
        <f t="shared" si="1"/>
        <v>202</v>
      </c>
      <c r="J45" s="77"/>
    </row>
    <row r="46" customHeight="1" spans="2:10">
      <c r="B46" s="69">
        <v>44665</v>
      </c>
      <c r="C46" s="70" t="s">
        <v>53</v>
      </c>
      <c r="D46" s="70" t="s">
        <v>21</v>
      </c>
      <c r="E46" s="71">
        <v>44</v>
      </c>
      <c r="F46" s="72">
        <v>39.97</v>
      </c>
      <c r="G46" s="73">
        <f>VLOOKUP(D46,L:N,3,0)</f>
        <v>9</v>
      </c>
      <c r="H46" s="73">
        <f t="shared" si="0"/>
        <v>202</v>
      </c>
      <c r="I46" s="73">
        <f t="shared" si="1"/>
        <v>193</v>
      </c>
      <c r="J46" s="79"/>
    </row>
    <row r="47" customHeight="1" spans="2:10">
      <c r="B47" s="69">
        <v>44666</v>
      </c>
      <c r="C47" s="70" t="s">
        <v>53</v>
      </c>
      <c r="D47" s="70" t="s">
        <v>21</v>
      </c>
      <c r="E47" s="71">
        <v>45</v>
      </c>
      <c r="F47" s="72">
        <v>39.97</v>
      </c>
      <c r="G47" s="73">
        <f>VLOOKUP(D47,L:N,3,0)</f>
        <v>9</v>
      </c>
      <c r="H47" s="73">
        <f t="shared" si="0"/>
        <v>193</v>
      </c>
      <c r="I47" s="73">
        <f t="shared" si="1"/>
        <v>184</v>
      </c>
      <c r="J47" s="77"/>
    </row>
    <row r="48" customHeight="1" spans="2:10">
      <c r="B48" s="69">
        <v>44667</v>
      </c>
      <c r="C48" s="70" t="s">
        <v>53</v>
      </c>
      <c r="D48" s="70" t="s">
        <v>21</v>
      </c>
      <c r="E48" s="71">
        <v>46</v>
      </c>
      <c r="F48" s="72">
        <v>39.97</v>
      </c>
      <c r="G48" s="73">
        <f>VLOOKUP(D48,L:N,3,0)</f>
        <v>9</v>
      </c>
      <c r="H48" s="73">
        <f t="shared" si="0"/>
        <v>184</v>
      </c>
      <c r="I48" s="73">
        <f t="shared" si="1"/>
        <v>175</v>
      </c>
      <c r="J48" s="79"/>
    </row>
    <row r="49" customHeight="1" spans="2:10">
      <c r="B49" s="69">
        <v>44668</v>
      </c>
      <c r="C49" s="70" t="s">
        <v>53</v>
      </c>
      <c r="D49" s="70" t="s">
        <v>21</v>
      </c>
      <c r="E49" s="71">
        <v>47</v>
      </c>
      <c r="F49" s="72">
        <v>39.97</v>
      </c>
      <c r="G49" s="73">
        <f>VLOOKUP(D49,L:N,3,0)</f>
        <v>9</v>
      </c>
      <c r="H49" s="73">
        <f t="shared" si="0"/>
        <v>175</v>
      </c>
      <c r="I49" s="73">
        <f t="shared" si="1"/>
        <v>166</v>
      </c>
      <c r="J49" s="77"/>
    </row>
    <row r="50" customHeight="1" spans="2:10">
      <c r="B50" s="69">
        <v>44669</v>
      </c>
      <c r="C50" s="70" t="s">
        <v>53</v>
      </c>
      <c r="D50" s="70" t="s">
        <v>21</v>
      </c>
      <c r="E50" s="71">
        <v>48</v>
      </c>
      <c r="F50" s="72">
        <v>39.97</v>
      </c>
      <c r="G50" s="73">
        <f>VLOOKUP(D50,L:N,3,0)</f>
        <v>9</v>
      </c>
      <c r="H50" s="73">
        <f t="shared" si="0"/>
        <v>166</v>
      </c>
      <c r="I50" s="73">
        <f t="shared" si="1"/>
        <v>157</v>
      </c>
      <c r="J50" s="79"/>
    </row>
    <row r="51" customHeight="1" spans="2:10">
      <c r="B51" s="69">
        <v>44670</v>
      </c>
      <c r="C51" s="70" t="s">
        <v>53</v>
      </c>
      <c r="D51" s="70" t="s">
        <v>21</v>
      </c>
      <c r="E51" s="71">
        <v>49</v>
      </c>
      <c r="F51" s="72">
        <v>39.97</v>
      </c>
      <c r="G51" s="73">
        <f>VLOOKUP(D51,L:N,3,0)</f>
        <v>9</v>
      </c>
      <c r="H51" s="73">
        <f t="shared" si="0"/>
        <v>157</v>
      </c>
      <c r="I51" s="73">
        <f t="shared" si="1"/>
        <v>148</v>
      </c>
      <c r="J51" s="77"/>
    </row>
    <row r="52" customHeight="1" spans="2:10">
      <c r="B52" s="69">
        <v>44671</v>
      </c>
      <c r="C52" s="70" t="s">
        <v>53</v>
      </c>
      <c r="D52" s="70" t="s">
        <v>22</v>
      </c>
      <c r="E52" s="71">
        <v>50</v>
      </c>
      <c r="F52" s="72">
        <v>39.97</v>
      </c>
      <c r="G52" s="73">
        <f>VLOOKUP(D52,L:N,3,0)</f>
        <v>11</v>
      </c>
      <c r="H52" s="73">
        <f t="shared" si="0"/>
        <v>148</v>
      </c>
      <c r="I52" s="73">
        <f t="shared" si="1"/>
        <v>137</v>
      </c>
      <c r="J52" s="77"/>
    </row>
    <row r="53" customHeight="1" spans="2:10">
      <c r="B53" s="69">
        <v>44672</v>
      </c>
      <c r="C53" s="70" t="s">
        <v>53</v>
      </c>
      <c r="D53" s="70" t="s">
        <v>22</v>
      </c>
      <c r="E53" s="71">
        <v>51</v>
      </c>
      <c r="F53" s="72">
        <v>39.97</v>
      </c>
      <c r="G53" s="73">
        <f>VLOOKUP(D53,L:N,3,0)</f>
        <v>11</v>
      </c>
      <c r="H53" s="73">
        <f t="shared" si="0"/>
        <v>137</v>
      </c>
      <c r="I53" s="73">
        <f t="shared" si="1"/>
        <v>126</v>
      </c>
      <c r="J53" s="77"/>
    </row>
    <row r="54" customHeight="1" spans="2:10">
      <c r="B54" s="69">
        <v>44673</v>
      </c>
      <c r="C54" s="70" t="s">
        <v>53</v>
      </c>
      <c r="D54" s="70" t="s">
        <v>22</v>
      </c>
      <c r="E54" s="71">
        <v>52</v>
      </c>
      <c r="F54" s="72">
        <v>39.97</v>
      </c>
      <c r="G54" s="73">
        <f>VLOOKUP(D54,L:N,3,0)</f>
        <v>11</v>
      </c>
      <c r="H54" s="73">
        <f t="shared" si="0"/>
        <v>126</v>
      </c>
      <c r="I54" s="73">
        <f t="shared" si="1"/>
        <v>115</v>
      </c>
      <c r="J54" s="79"/>
    </row>
    <row r="55" customHeight="1" spans="2:10">
      <c r="B55" s="69">
        <v>44674</v>
      </c>
      <c r="C55" s="70" t="s">
        <v>53</v>
      </c>
      <c r="D55" s="70" t="s">
        <v>22</v>
      </c>
      <c r="E55" s="71">
        <v>53</v>
      </c>
      <c r="F55" s="72">
        <v>39.97</v>
      </c>
      <c r="G55" s="73">
        <f>VLOOKUP(D55,L:N,3,0)</f>
        <v>11</v>
      </c>
      <c r="H55" s="73">
        <f t="shared" si="0"/>
        <v>115</v>
      </c>
      <c r="I55" s="73">
        <f t="shared" si="1"/>
        <v>104</v>
      </c>
      <c r="J55" s="77"/>
    </row>
    <row r="56" customHeight="1" spans="2:10">
      <c r="B56" s="69">
        <v>44675</v>
      </c>
      <c r="C56" s="70" t="s">
        <v>53</v>
      </c>
      <c r="D56" s="70" t="s">
        <v>22</v>
      </c>
      <c r="E56" s="71">
        <v>54</v>
      </c>
      <c r="F56" s="72">
        <v>39.97</v>
      </c>
      <c r="G56" s="73">
        <f>VLOOKUP(D56,L:N,3,0)</f>
        <v>11</v>
      </c>
      <c r="H56" s="73">
        <f t="shared" si="0"/>
        <v>104</v>
      </c>
      <c r="I56" s="92">
        <f t="shared" si="1"/>
        <v>93</v>
      </c>
      <c r="J56" s="79"/>
    </row>
    <row r="57" customHeight="1" spans="2:10">
      <c r="B57" s="69">
        <v>44676</v>
      </c>
      <c r="C57" s="70" t="s">
        <v>53</v>
      </c>
      <c r="D57" s="70" t="s">
        <v>22</v>
      </c>
      <c r="E57" s="71">
        <v>55</v>
      </c>
      <c r="F57" s="72">
        <v>39.97</v>
      </c>
      <c r="G57" s="73">
        <f>VLOOKUP(D57,L:N,3,0)</f>
        <v>11</v>
      </c>
      <c r="H57" s="73">
        <f t="shared" si="0"/>
        <v>93</v>
      </c>
      <c r="I57" s="73">
        <f t="shared" si="1"/>
        <v>82</v>
      </c>
      <c r="J57" s="77"/>
    </row>
    <row r="58" customHeight="1" spans="2:10">
      <c r="B58" s="69">
        <v>44677</v>
      </c>
      <c r="C58" s="70" t="s">
        <v>53</v>
      </c>
      <c r="D58" s="70" t="s">
        <v>22</v>
      </c>
      <c r="E58" s="71">
        <v>56</v>
      </c>
      <c r="F58" s="72">
        <v>39.97</v>
      </c>
      <c r="G58" s="73">
        <f>VLOOKUP(D58,L:N,3,0)</f>
        <v>11</v>
      </c>
      <c r="H58" s="73">
        <f t="shared" si="0"/>
        <v>82</v>
      </c>
      <c r="I58" s="73">
        <f t="shared" si="1"/>
        <v>71</v>
      </c>
      <c r="J58" s="79"/>
    </row>
    <row r="59" customHeight="1" spans="2:10">
      <c r="B59" s="69">
        <v>44678</v>
      </c>
      <c r="C59" s="70" t="s">
        <v>53</v>
      </c>
      <c r="D59" s="70" t="s">
        <v>23</v>
      </c>
      <c r="E59" s="71">
        <v>57</v>
      </c>
      <c r="F59" s="72">
        <v>39.97</v>
      </c>
      <c r="G59" s="73">
        <f>VLOOKUP(D59,L:N,3,0)</f>
        <v>13</v>
      </c>
      <c r="H59" s="73">
        <f t="shared" si="0"/>
        <v>71</v>
      </c>
      <c r="I59" s="73">
        <f t="shared" si="1"/>
        <v>58</v>
      </c>
      <c r="J59" s="77"/>
    </row>
    <row r="60" customHeight="1" spans="2:10">
      <c r="B60" s="69">
        <v>44679</v>
      </c>
      <c r="C60" s="70" t="s">
        <v>53</v>
      </c>
      <c r="D60" s="70" t="s">
        <v>23</v>
      </c>
      <c r="E60" s="71">
        <v>58</v>
      </c>
      <c r="F60" s="72">
        <v>39.97</v>
      </c>
      <c r="G60" s="73">
        <f>VLOOKUP(D60,L:N,3,0)</f>
        <v>13</v>
      </c>
      <c r="H60" s="73">
        <f t="shared" si="0"/>
        <v>58</v>
      </c>
      <c r="I60" s="73">
        <f t="shared" si="1"/>
        <v>45</v>
      </c>
      <c r="J60" s="79"/>
    </row>
    <row r="61" customHeight="1" spans="2:10">
      <c r="B61" s="69">
        <v>44680</v>
      </c>
      <c r="C61" s="70" t="s">
        <v>53</v>
      </c>
      <c r="D61" s="70" t="s">
        <v>23</v>
      </c>
      <c r="E61" s="71">
        <v>59</v>
      </c>
      <c r="F61" s="72">
        <v>39.97</v>
      </c>
      <c r="G61" s="73">
        <f>VLOOKUP(D61,L:N,3,0)</f>
        <v>13</v>
      </c>
      <c r="H61" s="73">
        <f t="shared" si="0"/>
        <v>45</v>
      </c>
      <c r="I61" s="73">
        <f t="shared" si="1"/>
        <v>32</v>
      </c>
      <c r="J61" s="77"/>
    </row>
    <row r="62" customHeight="1" spans="2:10">
      <c r="B62" s="69">
        <v>44681</v>
      </c>
      <c r="C62" s="70" t="s">
        <v>53</v>
      </c>
      <c r="D62" s="70" t="s">
        <v>23</v>
      </c>
      <c r="E62" s="71">
        <v>60</v>
      </c>
      <c r="F62" s="72">
        <v>39.97</v>
      </c>
      <c r="G62" s="73">
        <f>VLOOKUP(D62,L:N,3,0)</f>
        <v>13</v>
      </c>
      <c r="H62" s="73">
        <f t="shared" si="0"/>
        <v>32</v>
      </c>
      <c r="I62" s="73">
        <f t="shared" si="1"/>
        <v>19</v>
      </c>
      <c r="J62" s="79"/>
    </row>
    <row r="63" customHeight="1" spans="2:10">
      <c r="B63" s="69">
        <v>44682</v>
      </c>
      <c r="C63" s="70" t="s">
        <v>57</v>
      </c>
      <c r="D63" s="70" t="s">
        <v>23</v>
      </c>
      <c r="E63" s="71">
        <v>61</v>
      </c>
      <c r="F63" s="72">
        <v>39.97</v>
      </c>
      <c r="G63" s="73">
        <f>VLOOKUP(D63,L:N,3,0)</f>
        <v>13</v>
      </c>
      <c r="H63" s="73">
        <f t="shared" si="0"/>
        <v>19</v>
      </c>
      <c r="I63" s="73">
        <f t="shared" si="1"/>
        <v>6</v>
      </c>
      <c r="J63" s="79"/>
    </row>
    <row r="64" customHeight="1" spans="2:10">
      <c r="B64" s="69">
        <v>44683</v>
      </c>
      <c r="C64" s="70" t="s">
        <v>57</v>
      </c>
      <c r="D64" s="70" t="s">
        <v>23</v>
      </c>
      <c r="E64" s="71">
        <v>62</v>
      </c>
      <c r="F64" s="72">
        <v>39.97</v>
      </c>
      <c r="G64" s="73">
        <f>VLOOKUP(D64,L:N,3,0)</f>
        <v>13</v>
      </c>
      <c r="H64" s="73">
        <f t="shared" si="0"/>
        <v>6</v>
      </c>
      <c r="I64" s="73">
        <f t="shared" si="1"/>
        <v>193</v>
      </c>
      <c r="J64" s="79">
        <v>200</v>
      </c>
    </row>
    <row r="65" customHeight="1" spans="2:10">
      <c r="B65" s="69">
        <v>44684</v>
      </c>
      <c r="C65" s="70" t="s">
        <v>57</v>
      </c>
      <c r="D65" s="70" t="s">
        <v>23</v>
      </c>
      <c r="E65" s="71">
        <v>63</v>
      </c>
      <c r="F65" s="72">
        <v>39.97</v>
      </c>
      <c r="G65" s="73">
        <f>VLOOKUP(D65,L:N,3,0)</f>
        <v>13</v>
      </c>
      <c r="H65" s="73">
        <f t="shared" si="0"/>
        <v>193</v>
      </c>
      <c r="I65" s="73">
        <f t="shared" si="1"/>
        <v>180</v>
      </c>
      <c r="J65" s="77"/>
    </row>
    <row r="66" customHeight="1" spans="2:10">
      <c r="B66" s="69">
        <v>44685</v>
      </c>
      <c r="C66" s="70" t="s">
        <v>57</v>
      </c>
      <c r="D66" s="70" t="s">
        <v>24</v>
      </c>
      <c r="E66" s="71">
        <v>64</v>
      </c>
      <c r="F66" s="72">
        <v>39.97</v>
      </c>
      <c r="G66" s="73">
        <f>VLOOKUP(D66,L:N,3,0)</f>
        <v>15</v>
      </c>
      <c r="H66" s="73">
        <f t="shared" si="0"/>
        <v>180</v>
      </c>
      <c r="I66" s="73">
        <f t="shared" si="1"/>
        <v>165</v>
      </c>
      <c r="J66" s="79"/>
    </row>
    <row r="67" customHeight="1" spans="2:10">
      <c r="B67" s="69">
        <v>44686</v>
      </c>
      <c r="C67" s="70" t="s">
        <v>57</v>
      </c>
      <c r="D67" s="70" t="s">
        <v>24</v>
      </c>
      <c r="E67" s="71">
        <v>65</v>
      </c>
      <c r="F67" s="72">
        <v>39.97</v>
      </c>
      <c r="G67" s="73">
        <f>VLOOKUP(D67,L:N,3,0)</f>
        <v>15</v>
      </c>
      <c r="H67" s="73">
        <f t="shared" si="0"/>
        <v>165</v>
      </c>
      <c r="I67" s="73">
        <f t="shared" si="1"/>
        <v>150</v>
      </c>
      <c r="J67" s="77"/>
    </row>
    <row r="68" customHeight="1" spans="2:10">
      <c r="B68" s="69">
        <v>44687</v>
      </c>
      <c r="C68" s="70" t="s">
        <v>57</v>
      </c>
      <c r="D68" s="70" t="s">
        <v>24</v>
      </c>
      <c r="E68" s="71">
        <v>66</v>
      </c>
      <c r="F68" s="72">
        <v>39.97</v>
      </c>
      <c r="G68" s="73">
        <f>VLOOKUP(D68,L:N,3,0)</f>
        <v>15</v>
      </c>
      <c r="H68" s="73">
        <f t="shared" ref="H68:H92" si="8">IF(I67&lt;0,0,I67)</f>
        <v>150</v>
      </c>
      <c r="I68" s="73">
        <f t="shared" ref="I68:I92" si="9">IF(H68-G68+J68&lt;0,0,H68-G68+J68)</f>
        <v>135</v>
      </c>
      <c r="J68" s="79"/>
    </row>
    <row r="69" customHeight="1" spans="2:10">
      <c r="B69" s="69">
        <v>44688</v>
      </c>
      <c r="C69" s="70" t="s">
        <v>57</v>
      </c>
      <c r="D69" s="70" t="s">
        <v>24</v>
      </c>
      <c r="E69" s="71">
        <v>67</v>
      </c>
      <c r="F69" s="72">
        <v>39.97</v>
      </c>
      <c r="G69" s="73">
        <f>VLOOKUP(D69,L:N,3,0)</f>
        <v>15</v>
      </c>
      <c r="H69" s="73">
        <f t="shared" si="8"/>
        <v>135</v>
      </c>
      <c r="I69" s="73">
        <f t="shared" si="9"/>
        <v>120</v>
      </c>
      <c r="J69" s="77"/>
    </row>
    <row r="70" customHeight="1" spans="2:10">
      <c r="B70" s="69">
        <v>44689</v>
      </c>
      <c r="C70" s="70" t="s">
        <v>57</v>
      </c>
      <c r="D70" s="70" t="s">
        <v>24</v>
      </c>
      <c r="E70" s="71">
        <v>68</v>
      </c>
      <c r="F70" s="72">
        <v>39.97</v>
      </c>
      <c r="G70" s="73">
        <f>VLOOKUP(D70,L:N,3,0)</f>
        <v>15</v>
      </c>
      <c r="H70" s="73">
        <f t="shared" si="8"/>
        <v>120</v>
      </c>
      <c r="I70" s="73">
        <f t="shared" si="9"/>
        <v>105</v>
      </c>
      <c r="J70" s="79"/>
    </row>
    <row r="71" customHeight="1" spans="2:10">
      <c r="B71" s="69">
        <v>44690</v>
      </c>
      <c r="C71" s="70" t="s">
        <v>57</v>
      </c>
      <c r="D71" s="70" t="s">
        <v>24</v>
      </c>
      <c r="E71" s="71">
        <v>69</v>
      </c>
      <c r="F71" s="72">
        <v>39.97</v>
      </c>
      <c r="G71" s="73">
        <f>VLOOKUP(D71,L:N,3,0)</f>
        <v>15</v>
      </c>
      <c r="H71" s="73">
        <f t="shared" si="8"/>
        <v>105</v>
      </c>
      <c r="I71" s="73">
        <f t="shared" si="9"/>
        <v>90</v>
      </c>
      <c r="J71" s="77"/>
    </row>
    <row r="72" customHeight="1" spans="2:10">
      <c r="B72" s="69">
        <v>44691</v>
      </c>
      <c r="C72" s="70" t="s">
        <v>57</v>
      </c>
      <c r="D72" s="70" t="s">
        <v>24</v>
      </c>
      <c r="E72" s="71">
        <v>70</v>
      </c>
      <c r="F72" s="72">
        <v>39.97</v>
      </c>
      <c r="G72" s="73">
        <f>VLOOKUP(D72,L:N,3,0)</f>
        <v>15</v>
      </c>
      <c r="H72" s="73">
        <f t="shared" si="8"/>
        <v>90</v>
      </c>
      <c r="I72" s="73">
        <f t="shared" si="9"/>
        <v>75</v>
      </c>
      <c r="J72" s="79"/>
    </row>
    <row r="73" customHeight="1" spans="2:10">
      <c r="B73" s="69">
        <v>44692</v>
      </c>
      <c r="C73" s="70" t="s">
        <v>57</v>
      </c>
      <c r="D73" s="70" t="s">
        <v>25</v>
      </c>
      <c r="E73" s="71">
        <v>71</v>
      </c>
      <c r="F73" s="72">
        <v>39.97</v>
      </c>
      <c r="G73" s="73">
        <f>VLOOKUP(D73,L:N,3,0)</f>
        <v>16</v>
      </c>
      <c r="H73" s="73">
        <f t="shared" si="8"/>
        <v>75</v>
      </c>
      <c r="I73" s="73">
        <f t="shared" si="9"/>
        <v>59</v>
      </c>
      <c r="J73" s="77"/>
    </row>
    <row r="74" customHeight="1" spans="2:10">
      <c r="B74" s="69">
        <v>44693</v>
      </c>
      <c r="C74" s="70" t="s">
        <v>57</v>
      </c>
      <c r="D74" s="70" t="s">
        <v>25</v>
      </c>
      <c r="E74" s="71">
        <v>72</v>
      </c>
      <c r="F74" s="72">
        <v>39.97</v>
      </c>
      <c r="G74" s="73">
        <f>VLOOKUP(D74,L:N,3,0)</f>
        <v>16</v>
      </c>
      <c r="H74" s="73">
        <f t="shared" si="8"/>
        <v>59</v>
      </c>
      <c r="I74" s="73">
        <f t="shared" si="9"/>
        <v>43</v>
      </c>
      <c r="J74" s="79"/>
    </row>
    <row r="75" customHeight="1" spans="2:10">
      <c r="B75" s="69">
        <v>44694</v>
      </c>
      <c r="C75" s="70" t="s">
        <v>57</v>
      </c>
      <c r="D75" s="70" t="s">
        <v>25</v>
      </c>
      <c r="E75" s="71">
        <v>73</v>
      </c>
      <c r="F75" s="72">
        <v>39.97</v>
      </c>
      <c r="G75" s="73">
        <f>VLOOKUP(D75,L:N,3,0)</f>
        <v>16</v>
      </c>
      <c r="H75" s="73">
        <f t="shared" si="8"/>
        <v>43</v>
      </c>
      <c r="I75" s="73">
        <f t="shared" si="9"/>
        <v>27</v>
      </c>
      <c r="J75" s="77"/>
    </row>
    <row r="76" customHeight="1" spans="2:10">
      <c r="B76" s="69">
        <v>44695</v>
      </c>
      <c r="C76" s="70" t="s">
        <v>57</v>
      </c>
      <c r="D76" s="70" t="s">
        <v>25</v>
      </c>
      <c r="E76" s="71">
        <v>74</v>
      </c>
      <c r="F76" s="72">
        <v>39.97</v>
      </c>
      <c r="G76" s="73">
        <f>VLOOKUP(D76,L:N,3,0)</f>
        <v>16</v>
      </c>
      <c r="H76" s="73">
        <f t="shared" si="8"/>
        <v>27</v>
      </c>
      <c r="I76" s="73">
        <f t="shared" si="9"/>
        <v>11</v>
      </c>
      <c r="J76" s="79"/>
    </row>
    <row r="77" customHeight="1" spans="2:10">
      <c r="B77" s="69">
        <v>44696</v>
      </c>
      <c r="C77" s="70" t="s">
        <v>57</v>
      </c>
      <c r="D77" s="70" t="s">
        <v>25</v>
      </c>
      <c r="E77" s="71">
        <v>75</v>
      </c>
      <c r="F77" s="72">
        <v>39.97</v>
      </c>
      <c r="G77" s="73">
        <f>VLOOKUP(D77,L:N,3,0)</f>
        <v>16</v>
      </c>
      <c r="H77" s="73">
        <f t="shared" si="8"/>
        <v>11</v>
      </c>
      <c r="I77" s="73">
        <f t="shared" si="9"/>
        <v>295</v>
      </c>
      <c r="J77" s="77">
        <v>300</v>
      </c>
    </row>
    <row r="78" customHeight="1" spans="2:10">
      <c r="B78" s="69">
        <v>44697</v>
      </c>
      <c r="C78" s="70" t="s">
        <v>57</v>
      </c>
      <c r="D78" s="70" t="s">
        <v>25</v>
      </c>
      <c r="E78" s="71">
        <v>76</v>
      </c>
      <c r="F78" s="72">
        <v>39.97</v>
      </c>
      <c r="G78" s="73">
        <f>VLOOKUP(D78,L:N,3,0)</f>
        <v>16</v>
      </c>
      <c r="H78" s="73">
        <f t="shared" si="8"/>
        <v>295</v>
      </c>
      <c r="I78" s="73">
        <f t="shared" si="9"/>
        <v>279</v>
      </c>
      <c r="J78" s="79"/>
    </row>
    <row r="79" customHeight="1" spans="2:10">
      <c r="B79" s="69">
        <v>44698</v>
      </c>
      <c r="C79" s="70" t="s">
        <v>57</v>
      </c>
      <c r="D79" s="70" t="s">
        <v>25</v>
      </c>
      <c r="E79" s="71">
        <v>77</v>
      </c>
      <c r="F79" s="72">
        <v>39.97</v>
      </c>
      <c r="G79" s="73">
        <f>VLOOKUP(D79,L:N,3,0)</f>
        <v>16</v>
      </c>
      <c r="H79" s="73">
        <f t="shared" si="8"/>
        <v>279</v>
      </c>
      <c r="I79" s="73">
        <f t="shared" si="9"/>
        <v>263</v>
      </c>
      <c r="J79" s="77"/>
    </row>
    <row r="80" customHeight="1" spans="2:10">
      <c r="B80" s="69">
        <v>44699</v>
      </c>
      <c r="C80" s="70" t="s">
        <v>57</v>
      </c>
      <c r="D80" s="70" t="s">
        <v>26</v>
      </c>
      <c r="E80" s="71">
        <v>78</v>
      </c>
      <c r="F80" s="72">
        <v>39.97</v>
      </c>
      <c r="G80" s="73">
        <f>VLOOKUP(D80,L:N,3,0)</f>
        <v>16</v>
      </c>
      <c r="H80" s="73">
        <f t="shared" si="8"/>
        <v>263</v>
      </c>
      <c r="I80" s="73">
        <f t="shared" si="9"/>
        <v>247</v>
      </c>
      <c r="J80" s="79"/>
    </row>
    <row r="81" customHeight="1" spans="2:10">
      <c r="B81" s="69">
        <v>44700</v>
      </c>
      <c r="C81" s="70" t="s">
        <v>57</v>
      </c>
      <c r="D81" s="70" t="s">
        <v>26</v>
      </c>
      <c r="E81" s="71">
        <v>79</v>
      </c>
      <c r="F81" s="72">
        <v>39.97</v>
      </c>
      <c r="G81" s="73">
        <f>VLOOKUP(D81,L:N,3,0)</f>
        <v>16</v>
      </c>
      <c r="H81" s="73">
        <f t="shared" si="8"/>
        <v>247</v>
      </c>
      <c r="I81" s="73">
        <f t="shared" si="9"/>
        <v>231</v>
      </c>
      <c r="J81" s="77"/>
    </row>
    <row r="82" customHeight="1" spans="2:10">
      <c r="B82" s="69">
        <v>44701</v>
      </c>
      <c r="C82" s="70" t="s">
        <v>57</v>
      </c>
      <c r="D82" s="70" t="s">
        <v>26</v>
      </c>
      <c r="E82" s="71">
        <v>80</v>
      </c>
      <c r="F82" s="72">
        <v>39.97</v>
      </c>
      <c r="G82" s="73">
        <f>VLOOKUP(D82,L:N,3,0)</f>
        <v>16</v>
      </c>
      <c r="H82" s="73">
        <f t="shared" si="8"/>
        <v>231</v>
      </c>
      <c r="I82" s="73">
        <f t="shared" si="9"/>
        <v>215</v>
      </c>
      <c r="J82" s="79"/>
    </row>
    <row r="83" customHeight="1" spans="2:10">
      <c r="B83" s="69">
        <v>44702</v>
      </c>
      <c r="C83" s="70" t="s">
        <v>57</v>
      </c>
      <c r="D83" s="70" t="s">
        <v>26</v>
      </c>
      <c r="E83" s="71">
        <v>81</v>
      </c>
      <c r="F83" s="72">
        <v>39.97</v>
      </c>
      <c r="G83" s="73">
        <f>VLOOKUP(D83,L:N,3,0)</f>
        <v>16</v>
      </c>
      <c r="H83" s="73">
        <f t="shared" si="8"/>
        <v>215</v>
      </c>
      <c r="I83" s="73">
        <f t="shared" si="9"/>
        <v>199</v>
      </c>
      <c r="J83" s="77"/>
    </row>
    <row r="84" customHeight="1" spans="2:10">
      <c r="B84" s="69">
        <v>44703</v>
      </c>
      <c r="C84" s="70" t="s">
        <v>57</v>
      </c>
      <c r="D84" s="70" t="s">
        <v>26</v>
      </c>
      <c r="E84" s="71">
        <v>82</v>
      </c>
      <c r="F84" s="72">
        <v>39.97</v>
      </c>
      <c r="G84" s="73">
        <f>VLOOKUP(D84,L:N,3,0)</f>
        <v>16</v>
      </c>
      <c r="H84" s="73">
        <f t="shared" si="8"/>
        <v>199</v>
      </c>
      <c r="I84" s="73">
        <f t="shared" si="9"/>
        <v>183</v>
      </c>
      <c r="J84" s="79"/>
    </row>
    <row r="85" customHeight="1" spans="2:10">
      <c r="B85" s="69">
        <v>44704</v>
      </c>
      <c r="C85" s="70" t="s">
        <v>57</v>
      </c>
      <c r="D85" s="70" t="s">
        <v>26</v>
      </c>
      <c r="E85" s="71">
        <v>83</v>
      </c>
      <c r="F85" s="72">
        <v>39.97</v>
      </c>
      <c r="G85" s="73">
        <f>VLOOKUP(D85,L:N,3,0)</f>
        <v>16</v>
      </c>
      <c r="H85" s="73">
        <f t="shared" si="8"/>
        <v>183</v>
      </c>
      <c r="I85" s="73">
        <f t="shared" si="9"/>
        <v>167</v>
      </c>
      <c r="J85" s="77"/>
    </row>
    <row r="86" ht="17.25" customHeight="1" spans="2:10">
      <c r="B86" s="69">
        <v>44705</v>
      </c>
      <c r="C86" s="70" t="s">
        <v>57</v>
      </c>
      <c r="D86" s="70" t="s">
        <v>26</v>
      </c>
      <c r="E86" s="71">
        <v>84</v>
      </c>
      <c r="F86" s="72">
        <v>39.97</v>
      </c>
      <c r="G86" s="73">
        <f>VLOOKUP(D86,L:N,3,0)</f>
        <v>16</v>
      </c>
      <c r="H86" s="73">
        <f t="shared" si="8"/>
        <v>167</v>
      </c>
      <c r="I86" s="73">
        <f t="shared" si="9"/>
        <v>151</v>
      </c>
      <c r="J86" s="88"/>
    </row>
    <row r="87" ht="17.25" customHeight="1" spans="2:10">
      <c r="B87" s="69">
        <v>44706</v>
      </c>
      <c r="C87" s="70" t="s">
        <v>57</v>
      </c>
      <c r="D87" s="70" t="s">
        <v>27</v>
      </c>
      <c r="E87" s="71">
        <v>85</v>
      </c>
      <c r="F87" s="72">
        <v>39.97</v>
      </c>
      <c r="G87" s="73">
        <f>VLOOKUP(D87,L:N,3,0)</f>
        <v>20</v>
      </c>
      <c r="H87" s="73">
        <f t="shared" si="8"/>
        <v>151</v>
      </c>
      <c r="I87" s="73">
        <f t="shared" si="9"/>
        <v>131</v>
      </c>
      <c r="J87" s="88"/>
    </row>
    <row r="88" ht="17.25" customHeight="1" spans="2:10">
      <c r="B88" s="69">
        <v>44707</v>
      </c>
      <c r="C88" s="70" t="s">
        <v>57</v>
      </c>
      <c r="D88" s="70" t="s">
        <v>27</v>
      </c>
      <c r="E88" s="71">
        <v>86</v>
      </c>
      <c r="F88" s="72">
        <v>39.97</v>
      </c>
      <c r="G88" s="73">
        <f>VLOOKUP(D88,L:N,3,0)</f>
        <v>20</v>
      </c>
      <c r="H88" s="73">
        <f t="shared" si="8"/>
        <v>131</v>
      </c>
      <c r="I88" s="73">
        <f t="shared" si="9"/>
        <v>111</v>
      </c>
      <c r="J88" s="88"/>
    </row>
    <row r="89" ht="17.25" customHeight="1" spans="2:10">
      <c r="B89" s="69">
        <v>44708</v>
      </c>
      <c r="C89" s="70" t="s">
        <v>57</v>
      </c>
      <c r="D89" s="70" t="s">
        <v>27</v>
      </c>
      <c r="E89" s="71">
        <v>87</v>
      </c>
      <c r="F89" s="72">
        <v>39.97</v>
      </c>
      <c r="G89" s="73">
        <f>VLOOKUP(D89,L:N,3,0)</f>
        <v>20</v>
      </c>
      <c r="H89" s="73">
        <f t="shared" si="8"/>
        <v>111</v>
      </c>
      <c r="I89" s="73">
        <f t="shared" si="9"/>
        <v>91</v>
      </c>
      <c r="J89" s="88"/>
    </row>
    <row r="90" ht="17.25" customHeight="1" spans="2:10">
      <c r="B90" s="69">
        <v>44709</v>
      </c>
      <c r="C90" s="70" t="s">
        <v>57</v>
      </c>
      <c r="D90" s="70" t="s">
        <v>27</v>
      </c>
      <c r="E90" s="71">
        <v>88</v>
      </c>
      <c r="F90" s="72">
        <v>39.97</v>
      </c>
      <c r="G90" s="73">
        <f>VLOOKUP(D90,L:N,3,0)</f>
        <v>20</v>
      </c>
      <c r="H90" s="73">
        <f t="shared" si="8"/>
        <v>91</v>
      </c>
      <c r="I90" s="73">
        <f t="shared" si="9"/>
        <v>71</v>
      </c>
      <c r="J90" s="88"/>
    </row>
    <row r="91" ht="17.25" customHeight="1" spans="2:10">
      <c r="B91" s="69">
        <v>44710</v>
      </c>
      <c r="C91" s="70" t="s">
        <v>57</v>
      </c>
      <c r="D91" s="70" t="s">
        <v>27</v>
      </c>
      <c r="E91" s="71">
        <v>89</v>
      </c>
      <c r="F91" s="72">
        <v>39.97</v>
      </c>
      <c r="G91" s="73">
        <f>VLOOKUP(D91,L:N,3,0)</f>
        <v>20</v>
      </c>
      <c r="H91" s="73">
        <f t="shared" si="8"/>
        <v>71</v>
      </c>
      <c r="I91" s="73">
        <f t="shared" si="9"/>
        <v>51</v>
      </c>
      <c r="J91" s="88"/>
    </row>
    <row r="92" ht="17.25" customHeight="1" spans="2:10">
      <c r="B92" s="69">
        <v>44711</v>
      </c>
      <c r="C92" s="70" t="s">
        <v>57</v>
      </c>
      <c r="D92" s="70" t="s">
        <v>27</v>
      </c>
      <c r="E92" s="71">
        <v>90</v>
      </c>
      <c r="F92" s="72">
        <v>39.97</v>
      </c>
      <c r="G92" s="73">
        <f>VLOOKUP(D92,L:N,3,0)</f>
        <v>20</v>
      </c>
      <c r="H92" s="73">
        <f t="shared" si="8"/>
        <v>51</v>
      </c>
      <c r="I92" s="73">
        <f t="shared" si="9"/>
        <v>31</v>
      </c>
      <c r="J92" s="88"/>
    </row>
  </sheetData>
  <mergeCells count="3">
    <mergeCell ref="L2:O2"/>
    <mergeCell ref="L19:U19"/>
    <mergeCell ref="L26:N26"/>
  </mergeCells>
  <conditionalFormatting sqref="I3:I92">
    <cfRule type="cellIs" dxfId="0" priority="1" operator="lessThan">
      <formula>10</formula>
    </cfRule>
  </conditionalFormatting>
  <dataValidations count="1">
    <dataValidation type="list" allowBlank="1" showInputMessage="1" showErrorMessage="1" sqref="O21:O24">
      <formula1>$L$29:$L$33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workbookViewId="0">
      <selection activeCell="A29" sqref="$A29:$XFD29"/>
    </sheetView>
  </sheetViews>
  <sheetFormatPr defaultColWidth="9" defaultRowHeight="14.25"/>
  <cols>
    <col min="1" max="1" width="12.875" customWidth="1"/>
    <col min="2" max="3" width="8.875" customWidth="1"/>
    <col min="4" max="5" width="10.875" style="25" customWidth="1"/>
    <col min="6" max="6" width="8.875" style="25" customWidth="1"/>
    <col min="7" max="7" width="10.875" style="25" customWidth="1"/>
    <col min="8" max="8" width="13.5" style="25" customWidth="1"/>
    <col min="9" max="9" width="7" style="25" customWidth="1"/>
  </cols>
  <sheetData>
    <row r="1" spans="1:9">
      <c r="A1" s="52" t="s">
        <v>58</v>
      </c>
      <c r="B1" s="53"/>
      <c r="C1" s="53"/>
      <c r="D1" s="53"/>
      <c r="E1" s="53"/>
      <c r="F1" s="53"/>
      <c r="G1" s="53"/>
      <c r="H1" s="53"/>
      <c r="I1" s="62"/>
    </row>
    <row r="2" spans="1:9">
      <c r="A2" s="54" t="s">
        <v>59</v>
      </c>
      <c r="B2" s="54" t="s">
        <v>60</v>
      </c>
      <c r="C2" s="54" t="s">
        <v>61</v>
      </c>
      <c r="D2" s="55" t="s">
        <v>62</v>
      </c>
      <c r="E2" s="55" t="s">
        <v>63</v>
      </c>
      <c r="F2" s="55" t="s">
        <v>64</v>
      </c>
      <c r="G2" s="55" t="s">
        <v>65</v>
      </c>
      <c r="H2" s="55" t="s">
        <v>66</v>
      </c>
      <c r="I2" s="55" t="s">
        <v>67</v>
      </c>
    </row>
    <row r="3" spans="1:9">
      <c r="A3" s="54" t="s">
        <v>68</v>
      </c>
      <c r="B3" s="29" t="s">
        <v>69</v>
      </c>
      <c r="C3" s="29" t="s">
        <v>69</v>
      </c>
      <c r="D3" s="56">
        <v>0.5</v>
      </c>
      <c r="E3" s="56">
        <v>0.5</v>
      </c>
      <c r="F3" s="56">
        <v>0.5</v>
      </c>
      <c r="G3" s="31"/>
      <c r="H3" s="31"/>
      <c r="I3" s="31"/>
    </row>
    <row r="4" spans="1:9">
      <c r="A4" s="54" t="s">
        <v>70</v>
      </c>
      <c r="B4" s="29">
        <v>200</v>
      </c>
      <c r="C4" s="29">
        <v>2520</v>
      </c>
      <c r="D4" s="31">
        <v>100</v>
      </c>
      <c r="E4" s="31">
        <v>100</v>
      </c>
      <c r="F4" s="31">
        <v>100</v>
      </c>
      <c r="G4" s="31"/>
      <c r="H4" s="31"/>
      <c r="I4" s="31"/>
    </row>
    <row r="5" spans="1:9">
      <c r="A5" s="57" t="s">
        <v>71</v>
      </c>
      <c r="B5" s="29" t="s">
        <v>69</v>
      </c>
      <c r="C5" s="58">
        <v>0.64</v>
      </c>
      <c r="D5" s="56">
        <v>0.8</v>
      </c>
      <c r="E5" s="56">
        <v>0.8</v>
      </c>
      <c r="F5" s="56">
        <v>0.8</v>
      </c>
      <c r="G5" s="31"/>
      <c r="H5" s="31"/>
      <c r="I5" s="31"/>
    </row>
    <row r="6" spans="1:9">
      <c r="A6" s="54" t="s">
        <v>72</v>
      </c>
      <c r="B6" s="29">
        <v>119.9</v>
      </c>
      <c r="C6" s="29">
        <v>119.99</v>
      </c>
      <c r="D6" s="31">
        <v>119.99</v>
      </c>
      <c r="E6" s="31">
        <v>119.99</v>
      </c>
      <c r="F6" s="31">
        <v>119.99</v>
      </c>
      <c r="G6" s="31"/>
      <c r="H6" s="31"/>
      <c r="I6" s="31"/>
    </row>
    <row r="7" spans="1:9">
      <c r="A7" s="57" t="s">
        <v>73</v>
      </c>
      <c r="B7" s="58">
        <v>0.1</v>
      </c>
      <c r="C7" s="58">
        <v>0.1</v>
      </c>
      <c r="D7" s="56">
        <v>0.1</v>
      </c>
      <c r="E7" s="56">
        <v>0.1</v>
      </c>
      <c r="F7" s="56">
        <v>0.1</v>
      </c>
      <c r="G7" s="31"/>
      <c r="H7" s="31"/>
      <c r="I7" s="31"/>
    </row>
    <row r="8" spans="1:9">
      <c r="A8" s="54" t="s">
        <v>74</v>
      </c>
      <c r="B8" s="29">
        <v>21</v>
      </c>
      <c r="C8" s="31">
        <v>21</v>
      </c>
      <c r="D8" s="31">
        <v>21</v>
      </c>
      <c r="E8" s="31">
        <v>21</v>
      </c>
      <c r="F8" s="31">
        <v>21</v>
      </c>
      <c r="G8" s="31"/>
      <c r="H8" s="31"/>
      <c r="I8" s="31"/>
    </row>
    <row r="9" spans="1:9">
      <c r="A9" s="54" t="s">
        <v>75</v>
      </c>
      <c r="B9" s="29">
        <v>17</v>
      </c>
      <c r="C9" s="31">
        <v>17</v>
      </c>
      <c r="D9" s="31">
        <v>17</v>
      </c>
      <c r="E9" s="31">
        <v>17</v>
      </c>
      <c r="F9" s="31">
        <v>17</v>
      </c>
      <c r="G9" s="31"/>
      <c r="H9" s="31"/>
      <c r="I9" s="31"/>
    </row>
    <row r="10" spans="1:9">
      <c r="A10" s="54" t="s">
        <v>76</v>
      </c>
      <c r="B10" s="29">
        <v>16.2</v>
      </c>
      <c r="C10" s="31">
        <v>16</v>
      </c>
      <c r="D10" s="31">
        <v>16</v>
      </c>
      <c r="E10" s="31">
        <v>16</v>
      </c>
      <c r="F10" s="31">
        <v>16</v>
      </c>
      <c r="G10" s="31"/>
      <c r="H10" s="31"/>
      <c r="I10" s="31"/>
    </row>
    <row r="11" spans="1:9">
      <c r="A11" s="54" t="s">
        <v>77</v>
      </c>
      <c r="B11" s="29">
        <v>22</v>
      </c>
      <c r="C11" s="31">
        <v>22</v>
      </c>
      <c r="D11" s="31">
        <v>22</v>
      </c>
      <c r="E11" s="31">
        <v>22</v>
      </c>
      <c r="F11" s="31">
        <v>22</v>
      </c>
      <c r="G11" s="31"/>
      <c r="H11" s="31"/>
      <c r="I11" s="31"/>
    </row>
    <row r="12" spans="1:9">
      <c r="A12" s="54" t="s">
        <v>78</v>
      </c>
      <c r="B12" s="29">
        <v>0.78</v>
      </c>
      <c r="C12" s="31">
        <v>0.78</v>
      </c>
      <c r="D12" s="31">
        <v>0.78</v>
      </c>
      <c r="E12" s="31">
        <v>0.78</v>
      </c>
      <c r="F12" s="31">
        <v>0.78</v>
      </c>
      <c r="G12" s="31"/>
      <c r="H12" s="31"/>
      <c r="I12" s="31"/>
    </row>
    <row r="13" spans="1:9">
      <c r="A13" s="54" t="s">
        <v>79</v>
      </c>
      <c r="B13" s="58">
        <v>0.36</v>
      </c>
      <c r="C13" s="56">
        <v>0.26</v>
      </c>
      <c r="D13" s="56">
        <v>0.26</v>
      </c>
      <c r="E13" s="56">
        <v>0.26</v>
      </c>
      <c r="F13" s="56">
        <v>0.26</v>
      </c>
      <c r="G13" s="31"/>
      <c r="H13" s="31"/>
      <c r="I13" s="31"/>
    </row>
    <row r="14" spans="1:9">
      <c r="A14" s="57" t="s">
        <v>80</v>
      </c>
      <c r="B14" s="58">
        <v>0.19</v>
      </c>
      <c r="C14" s="56">
        <v>0.15</v>
      </c>
      <c r="D14" s="56">
        <v>0.15</v>
      </c>
      <c r="E14" s="56">
        <v>0.15</v>
      </c>
      <c r="F14" s="56">
        <v>0.15</v>
      </c>
      <c r="G14" s="31"/>
      <c r="H14" s="31"/>
      <c r="I14" s="31"/>
    </row>
    <row r="15" spans="1:9">
      <c r="A15" s="54" t="s">
        <v>81</v>
      </c>
      <c r="B15" s="58">
        <v>0.17</v>
      </c>
      <c r="C15" s="56">
        <v>0.11</v>
      </c>
      <c r="D15" s="56">
        <v>0.11</v>
      </c>
      <c r="E15" s="56">
        <v>0.11</v>
      </c>
      <c r="F15" s="56">
        <v>0.11</v>
      </c>
      <c r="G15" s="31"/>
      <c r="H15" s="31"/>
      <c r="I15" s="31"/>
    </row>
    <row r="16" spans="1:9">
      <c r="A16" s="54" t="s">
        <v>82</v>
      </c>
      <c r="B16" s="58">
        <v>0.17</v>
      </c>
      <c r="C16" s="58">
        <v>0.02</v>
      </c>
      <c r="D16" s="56">
        <v>0.01</v>
      </c>
      <c r="E16" s="56">
        <v>0.01</v>
      </c>
      <c r="F16" s="56">
        <v>0.01</v>
      </c>
      <c r="G16" s="31"/>
      <c r="H16" s="31"/>
      <c r="I16" s="31"/>
    </row>
    <row r="17" spans="1:9">
      <c r="A17" s="57" t="s">
        <v>83</v>
      </c>
      <c r="B17" s="29"/>
      <c r="C17" s="29">
        <v>25560</v>
      </c>
      <c r="D17" s="31">
        <v>1200</v>
      </c>
      <c r="E17" s="31">
        <v>1200</v>
      </c>
      <c r="F17" s="31">
        <v>1200</v>
      </c>
      <c r="G17" s="31"/>
      <c r="H17" s="31"/>
      <c r="I17" s="31"/>
    </row>
    <row r="18" spans="1:9">
      <c r="A18" s="54" t="s">
        <v>84</v>
      </c>
      <c r="B18" s="29">
        <v>23998</v>
      </c>
      <c r="C18" s="29">
        <v>302374</v>
      </c>
      <c r="D18" s="31">
        <v>11999</v>
      </c>
      <c r="E18" s="31">
        <v>11999</v>
      </c>
      <c r="F18" s="31">
        <v>11999</v>
      </c>
      <c r="G18" s="31"/>
      <c r="H18" s="31"/>
      <c r="I18" s="31"/>
    </row>
    <row r="19" spans="1:9">
      <c r="A19" s="54" t="s">
        <v>85</v>
      </c>
      <c r="B19" s="29">
        <v>16358.7</v>
      </c>
      <c r="C19" s="29">
        <v>148351</v>
      </c>
      <c r="D19" s="31">
        <v>5701</v>
      </c>
      <c r="E19" s="31">
        <v>5701</v>
      </c>
      <c r="F19" s="31">
        <v>5701</v>
      </c>
      <c r="G19" s="31"/>
      <c r="H19" s="31"/>
      <c r="I19" s="31"/>
    </row>
    <row r="20" spans="1:9">
      <c r="A20" s="54" t="s">
        <v>86</v>
      </c>
      <c r="B20" s="29">
        <v>4198.65</v>
      </c>
      <c r="C20" s="29">
        <v>7234.9</v>
      </c>
      <c r="D20" s="31">
        <v>101.38</v>
      </c>
      <c r="E20" s="31">
        <v>101.38</v>
      </c>
      <c r="F20" s="31">
        <v>101.38</v>
      </c>
      <c r="G20" s="31"/>
      <c r="H20" s="31"/>
      <c r="I20" s="31"/>
    </row>
    <row r="21" spans="1:9">
      <c r="A21" s="54" t="s">
        <v>87</v>
      </c>
      <c r="B21" s="29">
        <v>4200</v>
      </c>
      <c r="C21" s="29">
        <v>52920</v>
      </c>
      <c r="D21" s="25">
        <v>2100</v>
      </c>
      <c r="E21" s="25">
        <v>2100</v>
      </c>
      <c r="F21" s="25">
        <v>2100</v>
      </c>
      <c r="G21" s="31"/>
      <c r="H21" s="31"/>
      <c r="I21" s="31"/>
    </row>
    <row r="22" spans="1:9">
      <c r="A22" s="54" t="s">
        <v>88</v>
      </c>
      <c r="B22" s="29">
        <v>3400</v>
      </c>
      <c r="C22" s="31">
        <v>42840</v>
      </c>
      <c r="D22" s="31">
        <v>1700</v>
      </c>
      <c r="E22" s="31">
        <v>1700</v>
      </c>
      <c r="F22" s="31">
        <v>1700</v>
      </c>
      <c r="G22" s="31"/>
      <c r="H22" s="31"/>
      <c r="I22" s="31"/>
    </row>
    <row r="23" spans="1:9">
      <c r="A23" s="54" t="s">
        <v>89</v>
      </c>
      <c r="B23" s="29">
        <v>7600</v>
      </c>
      <c r="C23" s="29">
        <v>95760</v>
      </c>
      <c r="D23" s="31">
        <v>3800</v>
      </c>
      <c r="E23" s="31">
        <v>3800</v>
      </c>
      <c r="F23" s="31">
        <v>3800</v>
      </c>
      <c r="G23" s="31"/>
      <c r="H23" s="31"/>
      <c r="I23" s="31"/>
    </row>
    <row r="24" spans="1:9">
      <c r="A24" s="54" t="s">
        <v>90</v>
      </c>
      <c r="B24" s="58">
        <v>0.42</v>
      </c>
      <c r="C24" s="58">
        <v>0.42</v>
      </c>
      <c r="D24" s="56">
        <v>0.42</v>
      </c>
      <c r="E24" s="56">
        <v>0.42</v>
      </c>
      <c r="F24" s="56">
        <v>0.42</v>
      </c>
      <c r="G24" s="31"/>
      <c r="H24" s="31"/>
      <c r="I24" s="31"/>
    </row>
    <row r="25" spans="1:9">
      <c r="A25" s="54" t="s">
        <v>91</v>
      </c>
      <c r="B25" s="58">
        <v>0</v>
      </c>
      <c r="C25" s="58">
        <v>0.08</v>
      </c>
      <c r="D25" s="56">
        <v>0.1</v>
      </c>
      <c r="E25" s="56">
        <v>0.1</v>
      </c>
      <c r="F25" s="56">
        <v>0.1</v>
      </c>
      <c r="G25" s="31"/>
      <c r="H25" s="31"/>
      <c r="I25" s="31"/>
    </row>
    <row r="26" spans="1:9">
      <c r="A26" s="54" t="s">
        <v>92</v>
      </c>
      <c r="B26" s="58" t="s">
        <v>93</v>
      </c>
      <c r="C26" s="58">
        <v>0.32</v>
      </c>
      <c r="D26" s="56">
        <v>0.32</v>
      </c>
      <c r="E26" s="56">
        <v>0.32</v>
      </c>
      <c r="F26" s="56">
        <v>0.32</v>
      </c>
      <c r="G26" s="31"/>
      <c r="H26" s="31"/>
      <c r="I26" s="31"/>
    </row>
    <row r="27" spans="1:9">
      <c r="A27" s="57" t="s">
        <v>94</v>
      </c>
      <c r="B27" s="59">
        <v>0.55</v>
      </c>
      <c r="C27" s="59">
        <v>0.63</v>
      </c>
      <c r="D27" s="60">
        <v>0.03</v>
      </c>
      <c r="E27" s="60">
        <v>0.03</v>
      </c>
      <c r="F27" s="60">
        <v>0.03</v>
      </c>
      <c r="G27" s="31"/>
      <c r="H27" s="31"/>
      <c r="I27" s="31"/>
    </row>
    <row r="28" spans="1:9">
      <c r="A28" s="54" t="s">
        <v>95</v>
      </c>
      <c r="B28" s="54" t="s">
        <v>96</v>
      </c>
      <c r="C28" s="54" t="s">
        <v>97</v>
      </c>
      <c r="D28" s="55" t="s">
        <v>98</v>
      </c>
      <c r="E28" s="55" t="s">
        <v>99</v>
      </c>
      <c r="F28" s="55" t="s">
        <v>100</v>
      </c>
      <c r="G28" s="55" t="s">
        <v>101</v>
      </c>
      <c r="H28" s="55" t="s">
        <v>102</v>
      </c>
      <c r="I28" s="55" t="s">
        <v>103</v>
      </c>
    </row>
    <row r="29" spans="1:9">
      <c r="A29" s="54" t="s">
        <v>104</v>
      </c>
      <c r="B29" s="29">
        <v>114000</v>
      </c>
      <c r="C29" s="29" t="s">
        <v>105</v>
      </c>
      <c r="D29" s="31">
        <v>4.78</v>
      </c>
      <c r="E29" s="31">
        <v>9719</v>
      </c>
      <c r="F29" s="61">
        <v>2034</v>
      </c>
      <c r="G29" s="31">
        <v>2260</v>
      </c>
      <c r="H29" s="31">
        <v>-1149</v>
      </c>
      <c r="I29" s="56">
        <v>-0.51</v>
      </c>
    </row>
  </sheetData>
  <mergeCells count="1">
    <mergeCell ref="A1:I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B8" sqref="B8"/>
    </sheetView>
  </sheetViews>
  <sheetFormatPr defaultColWidth="9" defaultRowHeight="14.25" outlineLevelRow="7" outlineLevelCol="7"/>
  <cols>
    <col min="1" max="1" width="30.625" customWidth="1"/>
    <col min="2" max="4" width="10.875" customWidth="1"/>
    <col min="5" max="5" width="13.75" style="25" customWidth="1"/>
    <col min="6" max="6" width="8.125" customWidth="1"/>
    <col min="8" max="8" width="28.5" customWidth="1"/>
  </cols>
  <sheetData>
    <row r="1" ht="23.25" spans="1:8">
      <c r="A1" s="26" t="s">
        <v>106</v>
      </c>
      <c r="B1" s="27"/>
      <c r="C1" s="27"/>
      <c r="D1" s="27"/>
      <c r="E1" s="27"/>
      <c r="F1" s="27"/>
      <c r="G1" s="27"/>
      <c r="H1" s="27"/>
    </row>
    <row r="2" ht="16.5" spans="1:8">
      <c r="A2" s="21" t="s">
        <v>107</v>
      </c>
      <c r="B2" s="28" t="s">
        <v>108</v>
      </c>
      <c r="C2" s="28" t="s">
        <v>109</v>
      </c>
      <c r="D2" s="28" t="s">
        <v>110</v>
      </c>
      <c r="E2" s="28" t="s">
        <v>111</v>
      </c>
      <c r="F2" s="28" t="s">
        <v>112</v>
      </c>
      <c r="G2" s="29" t="s">
        <v>113</v>
      </c>
      <c r="H2" s="29" t="s">
        <v>114</v>
      </c>
    </row>
    <row r="3" ht="42.75" spans="1:8">
      <c r="A3" s="30" t="s">
        <v>115</v>
      </c>
      <c r="B3" s="21" t="s">
        <v>116</v>
      </c>
      <c r="C3" s="21" t="s">
        <v>117</v>
      </c>
      <c r="D3" s="21" t="s">
        <v>118</v>
      </c>
      <c r="E3" s="31" t="s">
        <v>119</v>
      </c>
      <c r="F3" s="32" t="s">
        <v>120</v>
      </c>
      <c r="G3" s="29" t="s">
        <v>121</v>
      </c>
      <c r="H3" s="32" t="s">
        <v>122</v>
      </c>
    </row>
    <row r="4" spans="1:8">
      <c r="A4" s="33" t="s">
        <v>123</v>
      </c>
      <c r="B4" s="34" t="s">
        <v>124</v>
      </c>
      <c r="C4" s="34" t="s">
        <v>117</v>
      </c>
      <c r="D4" s="35" t="s">
        <v>118</v>
      </c>
      <c r="E4" s="36" t="s">
        <v>125</v>
      </c>
      <c r="F4" s="37" t="s">
        <v>120</v>
      </c>
      <c r="G4" s="38" t="s">
        <v>126</v>
      </c>
      <c r="H4" s="39" t="s">
        <v>127</v>
      </c>
    </row>
    <row r="5" spans="1:8">
      <c r="A5" s="33" t="s">
        <v>128</v>
      </c>
      <c r="B5" s="40"/>
      <c r="C5" s="40"/>
      <c r="D5" s="41"/>
      <c r="E5" s="42"/>
      <c r="F5" s="43"/>
      <c r="G5" s="44"/>
      <c r="H5" s="45"/>
    </row>
    <row r="6" spans="1:8">
      <c r="A6" s="33" t="s">
        <v>129</v>
      </c>
      <c r="B6" s="40"/>
      <c r="C6" s="40"/>
      <c r="D6" s="41"/>
      <c r="E6" s="42"/>
      <c r="F6" s="43"/>
      <c r="G6" s="44"/>
      <c r="H6" s="45"/>
    </row>
    <row r="7" spans="1:8">
      <c r="A7" s="33" t="s">
        <v>130</v>
      </c>
      <c r="B7" s="46"/>
      <c r="C7" s="46"/>
      <c r="D7" s="47"/>
      <c r="E7" s="48"/>
      <c r="F7" s="49"/>
      <c r="G7" s="50"/>
      <c r="H7" s="51"/>
    </row>
    <row r="8" ht="16.5" spans="1:8">
      <c r="A8" s="33" t="s">
        <v>131</v>
      </c>
      <c r="B8" s="21" t="s">
        <v>132</v>
      </c>
      <c r="C8" s="21" t="s">
        <v>133</v>
      </c>
      <c r="D8" s="21"/>
      <c r="E8" s="31" t="s">
        <v>119</v>
      </c>
      <c r="F8" s="32" t="s">
        <v>134</v>
      </c>
      <c r="G8" s="29" t="s">
        <v>135</v>
      </c>
      <c r="H8" s="29" t="s">
        <v>136</v>
      </c>
    </row>
  </sheetData>
  <mergeCells count="8">
    <mergeCell ref="A1:H1"/>
    <mergeCell ref="B4:B7"/>
    <mergeCell ref="C4:C7"/>
    <mergeCell ref="D4:D7"/>
    <mergeCell ref="E4:E7"/>
    <mergeCell ref="F4:F7"/>
    <mergeCell ref="G4:G7"/>
    <mergeCell ref="H4:H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U19" sqref="U19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T17" sqref="T17"/>
    </sheetView>
  </sheetViews>
  <sheetFormatPr defaultColWidth="9" defaultRowHeight="14.2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7" sqref="I27"/>
    </sheetView>
  </sheetViews>
  <sheetFormatPr defaultColWidth="9" defaultRowHeight="14.2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L21" sqref="L21"/>
    </sheetView>
  </sheetViews>
  <sheetFormatPr defaultColWidth="9" defaultRowHeight="14.25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8"/>
  <sheetViews>
    <sheetView tabSelected="1" workbookViewId="0">
      <selection activeCell="A5" sqref="$A5:$XFD5"/>
    </sheetView>
  </sheetViews>
  <sheetFormatPr defaultColWidth="9" defaultRowHeight="16.5"/>
  <cols>
    <col min="1" max="1" width="2.23333333333333" style="1" customWidth="1"/>
    <col min="2" max="2" width="14.1333333333333" style="1" customWidth="1"/>
    <col min="3" max="3" width="25.7166666666667" style="1" hidden="1" customWidth="1"/>
    <col min="4" max="5" width="8.88333333333333" style="1" customWidth="1"/>
    <col min="6" max="6" width="9.13333333333333" style="1" customWidth="1"/>
    <col min="7" max="7" width="24.8833333333333" style="1" customWidth="1"/>
    <col min="8" max="8" width="8.88333333333333" style="1" customWidth="1"/>
    <col min="9" max="9" width="15.25" style="1" customWidth="1"/>
    <col min="10" max="10" width="25.5333333333333" style="1" customWidth="1"/>
    <col min="11" max="11" width="28.75" style="1" customWidth="1"/>
    <col min="12" max="12" width="24.2333333333333" style="1" customWidth="1"/>
    <col min="13" max="13" width="10.8833333333333" style="1" customWidth="1"/>
    <col min="14" max="14" width="11.5" style="1" customWidth="1"/>
    <col min="15" max="15" width="7.275" style="1" customWidth="1"/>
    <col min="16" max="16384" width="9" style="1"/>
  </cols>
  <sheetData>
    <row r="2" spans="2:2">
      <c r="B2" s="1" t="s">
        <v>137</v>
      </c>
    </row>
    <row r="3" s="1" customFormat="1" ht="31" customHeight="1" spans="2:15">
      <c r="B3" s="2" t="s">
        <v>138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="1" customFormat="1" ht="29" customHeight="1" spans="2:15">
      <c r="B4" s="3" t="s">
        <v>139</v>
      </c>
      <c r="C4" s="3" t="s">
        <v>140</v>
      </c>
      <c r="D4" s="3" t="s">
        <v>141</v>
      </c>
      <c r="E4" s="4" t="s">
        <v>142</v>
      </c>
      <c r="F4" s="3" t="s">
        <v>143</v>
      </c>
      <c r="G4" s="3" t="s">
        <v>144</v>
      </c>
      <c r="H4" s="3" t="s">
        <v>109</v>
      </c>
      <c r="I4" s="3" t="s">
        <v>110</v>
      </c>
      <c r="J4" s="3" t="s">
        <v>145</v>
      </c>
      <c r="K4" s="3" t="s">
        <v>146</v>
      </c>
      <c r="L4" s="3" t="s">
        <v>147</v>
      </c>
      <c r="M4" s="3" t="s">
        <v>148</v>
      </c>
      <c r="N4" s="3" t="s">
        <v>149</v>
      </c>
      <c r="O4" s="3" t="s">
        <v>150</v>
      </c>
    </row>
    <row r="5" s="1" customFormat="1" ht="66" spans="2:15">
      <c r="B5" s="5" t="s">
        <v>151</v>
      </c>
      <c r="C5" s="5"/>
      <c r="D5" s="6">
        <v>0.2</v>
      </c>
      <c r="E5" s="7">
        <v>0.6</v>
      </c>
      <c r="F5" s="8">
        <v>11</v>
      </c>
      <c r="G5" s="5" t="s">
        <v>152</v>
      </c>
      <c r="H5" s="8" t="s">
        <v>117</v>
      </c>
      <c r="I5" s="5" t="s">
        <v>153</v>
      </c>
      <c r="J5" s="10" t="s">
        <v>154</v>
      </c>
      <c r="K5" s="10" t="s">
        <v>155</v>
      </c>
      <c r="L5" s="10" t="s">
        <v>156</v>
      </c>
      <c r="M5" s="6">
        <v>0.1</v>
      </c>
      <c r="N5" s="5">
        <v>1.8</v>
      </c>
      <c r="O5" s="22" t="s">
        <v>157</v>
      </c>
    </row>
    <row r="6" s="1" customFormat="1" ht="33" spans="2:15">
      <c r="B6" s="5" t="s">
        <v>158</v>
      </c>
      <c r="C6" s="5"/>
      <c r="D6" s="6">
        <v>0.2</v>
      </c>
      <c r="E6" s="9"/>
      <c r="F6" s="9"/>
      <c r="G6" s="10" t="s">
        <v>159</v>
      </c>
      <c r="H6" s="9"/>
      <c r="I6" s="5" t="s">
        <v>160</v>
      </c>
      <c r="J6" s="10" t="s">
        <v>161</v>
      </c>
      <c r="K6" s="5" t="s">
        <v>162</v>
      </c>
      <c r="L6" s="10" t="s">
        <v>163</v>
      </c>
      <c r="M6" s="6">
        <v>0.08</v>
      </c>
      <c r="N6" s="5">
        <v>1.6</v>
      </c>
      <c r="O6" s="22" t="s">
        <v>157</v>
      </c>
    </row>
    <row r="7" s="1" customFormat="1" ht="33" spans="2:15">
      <c r="B7" s="11" t="s">
        <v>164</v>
      </c>
      <c r="C7" s="5"/>
      <c r="D7" s="12">
        <v>0.6</v>
      </c>
      <c r="E7" s="9"/>
      <c r="F7" s="9"/>
      <c r="G7" s="10" t="s">
        <v>165</v>
      </c>
      <c r="H7" s="9"/>
      <c r="I7" s="5" t="s">
        <v>69</v>
      </c>
      <c r="J7" s="10" t="s">
        <v>166</v>
      </c>
      <c r="K7" s="5" t="s">
        <v>167</v>
      </c>
      <c r="L7" s="10" t="s">
        <v>163</v>
      </c>
      <c r="M7" s="6">
        <v>0.1</v>
      </c>
      <c r="N7" s="5">
        <v>1.8</v>
      </c>
      <c r="O7" s="22" t="s">
        <v>157</v>
      </c>
    </row>
    <row r="8" s="1" customFormat="1" ht="33" spans="2:15">
      <c r="B8" s="13"/>
      <c r="C8" s="5"/>
      <c r="D8" s="14"/>
      <c r="E8" s="9"/>
      <c r="F8" s="9"/>
      <c r="G8" s="5" t="s">
        <v>168</v>
      </c>
      <c r="H8" s="9"/>
      <c r="I8" s="5" t="s">
        <v>69</v>
      </c>
      <c r="J8" s="10" t="s">
        <v>169</v>
      </c>
      <c r="K8" s="5" t="s">
        <v>162</v>
      </c>
      <c r="L8" s="10" t="s">
        <v>163</v>
      </c>
      <c r="M8" s="6">
        <v>0.12</v>
      </c>
      <c r="N8" s="5">
        <v>2</v>
      </c>
      <c r="O8" s="22" t="s">
        <v>157</v>
      </c>
    </row>
    <row r="9" s="1" customFormat="1" spans="2:15">
      <c r="B9" s="15"/>
      <c r="C9" s="5"/>
      <c r="D9" s="16"/>
      <c r="E9" s="17"/>
      <c r="F9" s="9"/>
      <c r="G9" s="5" t="s">
        <v>168</v>
      </c>
      <c r="H9" s="9"/>
      <c r="I9" s="5" t="s">
        <v>153</v>
      </c>
      <c r="J9" s="10" t="s">
        <v>170</v>
      </c>
      <c r="K9" s="5" t="s">
        <v>171</v>
      </c>
      <c r="L9" s="10"/>
      <c r="M9" s="6">
        <v>0.12</v>
      </c>
      <c r="N9" s="5">
        <v>2</v>
      </c>
      <c r="O9" s="22" t="s">
        <v>157</v>
      </c>
    </row>
    <row r="10" s="1" customFormat="1" spans="2:15">
      <c r="B10" s="5" t="s">
        <v>172</v>
      </c>
      <c r="C10" s="5"/>
      <c r="D10" s="6">
        <v>0.1</v>
      </c>
      <c r="E10" s="7">
        <v>0.2</v>
      </c>
      <c r="F10" s="9"/>
      <c r="G10" s="5" t="s">
        <v>168</v>
      </c>
      <c r="H10" s="9"/>
      <c r="I10" s="5" t="s">
        <v>69</v>
      </c>
      <c r="J10" s="10" t="s">
        <v>173</v>
      </c>
      <c r="K10" s="5" t="s">
        <v>174</v>
      </c>
      <c r="L10" s="10"/>
      <c r="M10" s="6">
        <v>0.1</v>
      </c>
      <c r="N10" s="5">
        <v>1.8</v>
      </c>
      <c r="O10" s="22" t="s">
        <v>157</v>
      </c>
    </row>
    <row r="11" s="1" customFormat="1" spans="2:15">
      <c r="B11" s="5" t="s">
        <v>175</v>
      </c>
      <c r="C11" s="5"/>
      <c r="D11" s="6">
        <v>0.1</v>
      </c>
      <c r="E11" s="17"/>
      <c r="F11" s="9"/>
      <c r="G11" s="5" t="s">
        <v>168</v>
      </c>
      <c r="H11" s="9"/>
      <c r="I11" s="5" t="s">
        <v>69</v>
      </c>
      <c r="J11" s="10" t="s">
        <v>173</v>
      </c>
      <c r="K11" s="5" t="s">
        <v>176</v>
      </c>
      <c r="L11" s="10"/>
      <c r="M11" s="6">
        <v>0.08</v>
      </c>
      <c r="N11" s="5">
        <v>1.6</v>
      </c>
      <c r="O11" s="22" t="s">
        <v>157</v>
      </c>
    </row>
    <row r="12" s="1" customFormat="1" spans="2:15">
      <c r="B12" s="5" t="s">
        <v>177</v>
      </c>
      <c r="C12" s="5"/>
      <c r="D12" s="6">
        <v>0.07</v>
      </c>
      <c r="E12" s="18">
        <v>0.2</v>
      </c>
      <c r="F12" s="9"/>
      <c r="G12" s="5" t="s">
        <v>178</v>
      </c>
      <c r="H12" s="9"/>
      <c r="I12" s="5" t="s">
        <v>69</v>
      </c>
      <c r="J12" s="10" t="s">
        <v>179</v>
      </c>
      <c r="K12" s="5" t="s">
        <v>174</v>
      </c>
      <c r="L12" s="10"/>
      <c r="M12" s="6">
        <v>0.08</v>
      </c>
      <c r="N12" s="5">
        <v>1.6</v>
      </c>
      <c r="O12" s="22" t="s">
        <v>157</v>
      </c>
    </row>
    <row r="13" s="1" customFormat="1" spans="2:15">
      <c r="B13" s="5" t="s">
        <v>180</v>
      </c>
      <c r="C13" s="5"/>
      <c r="D13" s="6">
        <v>0.07</v>
      </c>
      <c r="E13" s="18"/>
      <c r="F13" s="9"/>
      <c r="G13" s="5" t="s">
        <v>178</v>
      </c>
      <c r="H13" s="9"/>
      <c r="I13" s="5" t="s">
        <v>69</v>
      </c>
      <c r="J13" s="10" t="s">
        <v>181</v>
      </c>
      <c r="K13" s="5" t="s">
        <v>174</v>
      </c>
      <c r="L13" s="10"/>
      <c r="M13" s="6">
        <v>0.08</v>
      </c>
      <c r="N13" s="5">
        <v>1.6</v>
      </c>
      <c r="O13" s="22" t="s">
        <v>157</v>
      </c>
    </row>
    <row r="14" s="1" customFormat="1" spans="2:15">
      <c r="B14" s="5" t="s">
        <v>182</v>
      </c>
      <c r="C14" s="5"/>
      <c r="D14" s="6">
        <v>0.05</v>
      </c>
      <c r="E14" s="19"/>
      <c r="F14" s="17"/>
      <c r="G14" s="5" t="s">
        <v>178</v>
      </c>
      <c r="H14" s="17"/>
      <c r="I14" s="5" t="s">
        <v>69</v>
      </c>
      <c r="J14" s="10" t="s">
        <v>183</v>
      </c>
      <c r="K14" s="5" t="s">
        <v>162</v>
      </c>
      <c r="L14" s="10"/>
      <c r="M14" s="6">
        <v>0.08</v>
      </c>
      <c r="N14" s="5">
        <v>1.6</v>
      </c>
      <c r="O14" s="22" t="s">
        <v>157</v>
      </c>
    </row>
    <row r="16" s="1" customFormat="1" ht="17.25" spans="2:15">
      <c r="B16" s="20" t="s">
        <v>184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="1" customFormat="1" ht="51.75" spans="2:15">
      <c r="B17" s="21" t="s">
        <v>139</v>
      </c>
      <c r="C17" s="21" t="s">
        <v>140</v>
      </c>
      <c r="D17" s="21" t="s">
        <v>141</v>
      </c>
      <c r="E17" s="4" t="s">
        <v>142</v>
      </c>
      <c r="F17" s="21" t="s">
        <v>143</v>
      </c>
      <c r="G17" s="21" t="s">
        <v>144</v>
      </c>
      <c r="H17" s="21" t="s">
        <v>109</v>
      </c>
      <c r="I17" s="21" t="s">
        <v>110</v>
      </c>
      <c r="J17" s="21" t="s">
        <v>145</v>
      </c>
      <c r="K17" s="21" t="s">
        <v>146</v>
      </c>
      <c r="L17" s="21"/>
      <c r="M17" s="21" t="s">
        <v>148</v>
      </c>
      <c r="N17" s="21" t="s">
        <v>149</v>
      </c>
      <c r="O17" s="21" t="s">
        <v>150</v>
      </c>
    </row>
    <row r="18" s="1" customFormat="1" spans="2:15"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3"/>
      <c r="N18" s="21"/>
      <c r="O18" s="24" t="e">
        <f>1/M18*N18/F18</f>
        <v>#DIV/0!</v>
      </c>
    </row>
    <row r="19" s="1" customFormat="1" spans="2:15"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="1" customFormat="1" spans="2:15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="1" customFormat="1" spans="2:15"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="1" customFormat="1" spans="2:15"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="1" customFormat="1" spans="2:15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="1" customFormat="1" spans="2:15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="1" customFormat="1" spans="2:15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="1" customFormat="1" spans="2:15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8" s="1" customFormat="1" ht="17.25" spans="2:15">
      <c r="B28" s="20" t="s">
        <v>185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</row>
    <row r="29" s="1" customFormat="1" spans="2:15">
      <c r="B29" s="21" t="s">
        <v>139</v>
      </c>
      <c r="C29" s="21" t="s">
        <v>140</v>
      </c>
      <c r="D29" s="21" t="s">
        <v>141</v>
      </c>
      <c r="E29" s="21"/>
      <c r="F29" s="21" t="s">
        <v>143</v>
      </c>
      <c r="G29" s="21" t="s">
        <v>144</v>
      </c>
      <c r="H29" s="21" t="s">
        <v>109</v>
      </c>
      <c r="I29" s="21" t="s">
        <v>110</v>
      </c>
      <c r="J29" s="21" t="s">
        <v>145</v>
      </c>
      <c r="K29" s="21" t="s">
        <v>146</v>
      </c>
      <c r="L29" s="21"/>
      <c r="M29" s="21" t="s">
        <v>148</v>
      </c>
      <c r="N29" s="21" t="s">
        <v>149</v>
      </c>
      <c r="O29" s="21" t="s">
        <v>150</v>
      </c>
    </row>
    <row r="30" s="1" customFormat="1" spans="2:15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3"/>
      <c r="N30" s="21"/>
      <c r="O30" s="24" t="e">
        <f>1/M30*N30/F30</f>
        <v>#DIV/0!</v>
      </c>
    </row>
    <row r="31" s="1" customFormat="1" spans="2:15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="1" customFormat="1" spans="2:15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="1" customFormat="1" spans="2:15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="1" customFormat="1" spans="2:15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="1" customFormat="1" spans="2:15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="1" customFormat="1" spans="2:15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="1" customFormat="1" spans="2:15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="1" customFormat="1" spans="2:15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</sheetData>
  <mergeCells count="10">
    <mergeCell ref="B3:O3"/>
    <mergeCell ref="B16:O16"/>
    <mergeCell ref="B28:O28"/>
    <mergeCell ref="B7:B9"/>
    <mergeCell ref="D7:D9"/>
    <mergeCell ref="E5:E9"/>
    <mergeCell ref="E10:E11"/>
    <mergeCell ref="E12:E14"/>
    <mergeCell ref="F5:F14"/>
    <mergeCell ref="H5:H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库存规划</vt:lpstr>
      <vt:lpstr>ROI预算</vt:lpstr>
      <vt:lpstr>汇总</vt:lpstr>
      <vt:lpstr>ABA</vt:lpstr>
      <vt:lpstr>第三方软件</vt:lpstr>
      <vt:lpstr>广告报告</vt:lpstr>
      <vt:lpstr>商业探测器</vt:lpstr>
      <vt:lpstr>广告规划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2023-09-20T06:22:00Z</dcterms:created>
  <dcterms:modified xsi:type="dcterms:W3CDTF">2023-09-24T09:06:13Z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C7CE6300B1364520B1164EE580D9EF73_12</vt:lpwstr>
  </property>
  <property fmtid="{D5CDD505-2E9C-101B-9397-08002B2CF9AE}" pid="3" name="KSOProductBuildVer">
    <vt:lpwstr>2052-12.1.0.15374</vt:lpwstr>
  </property>
</Properties>
</file>