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2963195B-BFC1-3949-BC87-09D1D88A3D70}" xr6:coauthVersionLast="46" xr6:coauthVersionMax="46" xr10:uidLastSave="{00000000-0000-0000-0000-000000000000}"/>
  <bookViews>
    <workbookView xWindow="0" yWindow="460" windowWidth="25600" windowHeight="14180" xr2:uid="{00000000-000D-0000-FFFF-FFFF00000000}"/>
  </bookViews>
  <sheets>
    <sheet name="运营总表" sheetId="1" r:id="rId1"/>
    <sheet name="利润核算" sheetId="2" r:id="rId2"/>
    <sheet name="工作表7" sheetId="3" r:id="rId3"/>
    <sheet name="刷单计划表格" sheetId="4" r:id="rId4"/>
    <sheet name="其他费用" sheetId="5" r:id="rId5"/>
    <sheet name="备货逻辑" sheetId="6" r:id="rId6"/>
    <sheet name="竞争对手分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3" l="1"/>
  <c r="Y22" i="1"/>
  <c r="M22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L22" i="1" s="1"/>
  <c r="K19" i="1"/>
  <c r="K22" i="1" s="1"/>
  <c r="J19" i="1"/>
  <c r="J22" i="1" s="1"/>
  <c r="I19" i="1"/>
  <c r="I22" i="1" s="1"/>
  <c r="H19" i="1"/>
  <c r="H22" i="1" s="1"/>
  <c r="G19" i="1"/>
  <c r="G22" i="1" s="1"/>
  <c r="F19" i="1"/>
  <c r="F22" i="1" s="1"/>
  <c r="E19" i="1"/>
  <c r="E22" i="1" s="1"/>
  <c r="D19" i="1"/>
  <c r="D22" i="1" s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Q6" i="1"/>
  <c r="P6" i="1"/>
  <c r="O6" i="1"/>
  <c r="N6" i="1"/>
  <c r="M6" i="1"/>
  <c r="L6" i="1"/>
  <c r="K6" i="1"/>
  <c r="J6" i="1"/>
  <c r="I6" i="1"/>
  <c r="H6" i="1"/>
  <c r="G6" i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12000000}">
      <text>
        <r>
          <rPr>
            <sz val="10"/>
            <color rgb="FF000000"/>
            <rFont val="Arial"/>
          </rPr>
          <t>1单两个（买了两个）
	-娜姐聊跨境</t>
        </r>
      </text>
    </comment>
    <comment ref="G8" authorId="0" shapeId="0" xr:uid="{00000000-0006-0000-0000-000001000000}">
      <text>
        <r>
          <rPr>
            <sz val="10"/>
            <color rgb="FF000000"/>
            <rFont val="Arial"/>
          </rPr>
          <t xml:space="preserve">1单两个（买了两个)
</t>
        </r>
      </text>
    </comment>
    <comment ref="H8" authorId="0" shapeId="0" xr:uid="{00000000-0006-0000-0000-000002000000}">
      <text>
        <r>
          <rPr>
            <sz val="10"/>
            <color rgb="FF000000"/>
            <rFont val="Arial"/>
          </rPr>
          <t>3单四个（其中一单买了两个）</t>
        </r>
      </text>
    </comment>
    <comment ref="I8" authorId="0" shapeId="0" xr:uid="{00000000-0006-0000-0000-000003000000}">
      <text>
        <r>
          <rPr>
            <sz val="10"/>
            <color rgb="FF000000"/>
            <rFont val="Arial"/>
          </rPr>
          <t>刷了1个top单</t>
        </r>
      </text>
    </comment>
    <comment ref="M8" authorId="0" shapeId="0" xr:uid="{00000000-0006-0000-0000-000004000000}">
      <text>
        <r>
          <rPr>
            <sz val="10"/>
            <color rgb="FF000000"/>
            <rFont val="Arial"/>
          </rPr>
          <t>刷了一单rating</t>
        </r>
      </text>
    </comment>
    <comment ref="N8" authorId="0" shapeId="0" xr:uid="{00000000-0006-0000-0000-000005000000}">
      <text>
        <r>
          <rPr>
            <sz val="10"/>
            <color rgb="FF000000"/>
            <rFont val="Arial"/>
          </rPr>
          <t>1个客户下了两单，实际是4个客户下单</t>
        </r>
      </text>
    </comment>
    <comment ref="T8" authorId="0" shapeId="0" xr:uid="{00000000-0006-0000-0000-000006000000}">
      <text>
        <r>
          <rPr>
            <sz val="10"/>
            <color rgb="FF000000"/>
            <rFont val="Arial"/>
          </rPr>
          <t>一个人买了两个</t>
        </r>
      </text>
    </comment>
    <comment ref="W8" authorId="0" shapeId="0" xr:uid="{00000000-0006-0000-0000-000007000000}">
      <text>
        <r>
          <rPr>
            <sz val="10"/>
            <color rgb="FF000000"/>
            <rFont val="Arial"/>
          </rPr>
          <t>1人买了两个</t>
        </r>
      </text>
    </comment>
    <comment ref="AF8" authorId="0" shapeId="0" xr:uid="{00000000-0006-0000-0000-000008000000}">
      <text>
        <r>
          <rPr>
            <sz val="10"/>
            <color rgb="FF000000"/>
            <rFont val="Arial"/>
          </rPr>
          <t>刷一单rating，一单普通单</t>
        </r>
      </text>
    </comment>
    <comment ref="AG8" authorId="0" shapeId="0" xr:uid="{00000000-0006-0000-0000-000009000000}">
      <text>
        <r>
          <rPr>
            <sz val="10"/>
            <color rgb="FF000000"/>
            <rFont val="Arial"/>
          </rPr>
          <t>有一个买了2个</t>
        </r>
      </text>
    </comment>
    <comment ref="B23" authorId="0" shapeId="0" xr:uid="{00000000-0006-0000-0000-00000A000000}">
      <text>
        <r>
          <rPr>
            <sz val="10"/>
            <color rgb="FF000000"/>
            <rFont val="Arial"/>
          </rPr>
          <t xml:space="preserve">毛利 - 广告费用 - 刷单费用 - coupon 折扣 - 秒杀费用- 退货费用
</t>
        </r>
      </text>
    </comment>
    <comment ref="N37" authorId="0" shapeId="0" xr:uid="{00000000-0006-0000-0000-00000B000000}">
      <text>
        <r>
          <rPr>
            <sz val="10"/>
            <color rgb="FF000000"/>
            <rFont val="Arial"/>
          </rPr>
          <t>直评单</t>
        </r>
      </text>
    </comment>
    <comment ref="P37" authorId="0" shapeId="0" xr:uid="{00000000-0006-0000-0000-00000C000000}">
      <text>
        <r>
          <rPr>
            <sz val="10"/>
            <color rgb="FF000000"/>
            <rFont val="Arial"/>
          </rPr>
          <t>1个1星差评</t>
        </r>
      </text>
    </comment>
    <comment ref="R37" authorId="0" shapeId="0" xr:uid="{00000000-0006-0000-0000-00000D000000}">
      <text>
        <r>
          <rPr>
            <sz val="10"/>
            <color rgb="FF000000"/>
            <rFont val="Arial"/>
          </rPr>
          <t>1个top50；1个5星rating</t>
        </r>
      </text>
    </comment>
    <comment ref="V37" authorId="0" shapeId="0" xr:uid="{00000000-0006-0000-0000-00000E000000}">
      <text>
        <r>
          <rPr>
            <sz val="10"/>
            <color rgb="FF000000"/>
            <rFont val="Arial"/>
          </rPr>
          <t>2个直评，1个五星好评</t>
        </r>
      </text>
    </comment>
    <comment ref="AB37" authorId="0" shapeId="0" xr:uid="{00000000-0006-0000-0000-00000F000000}">
      <text>
        <r>
          <rPr>
            <sz val="10"/>
            <color rgb="FF000000"/>
            <rFont val="Arial"/>
          </rPr>
          <t>rating</t>
        </r>
      </text>
    </comment>
    <comment ref="P38" authorId="0" shapeId="0" xr:uid="{00000000-0006-0000-0000-000010000000}">
      <text>
        <r>
          <rPr>
            <sz val="10"/>
            <color rgb="FF000000"/>
            <rFont val="Arial"/>
          </rPr>
          <t>差评1星</t>
        </r>
      </text>
    </comment>
    <comment ref="V38" authorId="0" shapeId="0" xr:uid="{00000000-0006-0000-0000-000011000000}">
      <text>
        <r>
          <rPr>
            <sz val="10"/>
            <color rgb="FF000000"/>
            <rFont val="Arial"/>
          </rPr>
          <t>五星好评</t>
        </r>
      </text>
    </comment>
  </commentList>
</comments>
</file>

<file path=xl/sharedStrings.xml><?xml version="1.0" encoding="utf-8"?>
<sst xmlns="http://schemas.openxmlformats.org/spreadsheetml/2006/main" count="342" uniqueCount="112">
  <si>
    <t>SKU：</t>
  </si>
  <si>
    <t>W13</t>
  </si>
  <si>
    <t>W14</t>
  </si>
  <si>
    <t>W15</t>
  </si>
  <si>
    <t>W16</t>
  </si>
  <si>
    <t>W17</t>
  </si>
  <si>
    <t>W18</t>
  </si>
  <si>
    <t>销售数据表</t>
  </si>
  <si>
    <t>周一</t>
  </si>
  <si>
    <t>周二</t>
  </si>
  <si>
    <t>周三</t>
  </si>
  <si>
    <t>周四</t>
  </si>
  <si>
    <t>周五</t>
  </si>
  <si>
    <t>周六</t>
  </si>
  <si>
    <t>周日</t>
  </si>
  <si>
    <t>销售站点</t>
  </si>
  <si>
    <t>浏览量/Session</t>
  </si>
  <si>
    <t>美国站</t>
  </si>
  <si>
    <t>转化率/CR</t>
  </si>
  <si>
    <t>Base=10</t>
  </si>
  <si>
    <t>产品名</t>
  </si>
  <si>
    <t>目标销量</t>
  </si>
  <si>
    <t>胶合板</t>
  </si>
  <si>
    <t>实际销量</t>
  </si>
  <si>
    <t>库存监控</t>
  </si>
  <si>
    <t>在售库存</t>
  </si>
  <si>
    <t>库存预留（中转）</t>
  </si>
  <si>
    <t>可售时长</t>
  </si>
  <si>
    <t>在途库存（中-美）</t>
  </si>
  <si>
    <t>售价</t>
  </si>
  <si>
    <t>平台佣金（美元）</t>
  </si>
  <si>
    <t>海运均摊费（人民币）</t>
  </si>
  <si>
    <t>产品成本（人民币）</t>
  </si>
  <si>
    <t>FBA配送费（美元）</t>
  </si>
  <si>
    <t>Coupon</t>
  </si>
  <si>
    <t>毛利率</t>
  </si>
  <si>
    <t>毛利润</t>
  </si>
  <si>
    <t>bid出价</t>
  </si>
  <si>
    <t>毛利</t>
  </si>
  <si>
    <t>利润率</t>
  </si>
  <si>
    <t>名字小类排名</t>
  </si>
  <si>
    <t>广告监控（自动广告）</t>
  </si>
  <si>
    <t>广告曝光量</t>
  </si>
  <si>
    <t>点击量</t>
  </si>
  <si>
    <t>广告CTR（%）</t>
  </si>
  <si>
    <t>广告花费（美金）</t>
  </si>
  <si>
    <t>广告点击均价（美金）</t>
  </si>
  <si>
    <t>总ACOS（%）</t>
  </si>
  <si>
    <t>广告监控（手动广告）</t>
  </si>
  <si>
    <t>评论管理</t>
  </si>
  <si>
    <t>上评数量</t>
  </si>
  <si>
    <t>feedback</t>
  </si>
  <si>
    <t>关键词排名</t>
  </si>
  <si>
    <t>Birch Plywood</t>
  </si>
  <si>
    <t>广告位1： PC端</t>
  </si>
  <si>
    <t>入库成本 = 产品采购成本 + 头程运费均摊</t>
  </si>
  <si>
    <t>平台费用 = 佣金 + FBA配送费</t>
  </si>
  <si>
    <t xml:space="preserve">毛利 = 产品售价 - 入库成本 - 平台费用 </t>
  </si>
  <si>
    <t>刷单费用 = 入库成本 + 平台费用 + 刷单佣金</t>
  </si>
  <si>
    <t xml:space="preserve">利润 = 毛利 - 广告费用 - 促销/秒杀费用 -  刷单费用 - 退货费用 </t>
  </si>
  <si>
    <t xml:space="preserve">在亚马逊业内，常见的提成制度有3种：
1. 按销售额百分比提成
优势： 简单好算， 激励员工冲业绩 劣势： 没有计算利润的业绩都是虚的，无法控制推广预算，很容易亏损
2. 按毛利百分比提成
3. 按利润百分比提成 （B2C利润核算相对复杂）
</t>
  </si>
  <si>
    <t>销售额达成率 + 毛利率达成率</t>
  </si>
  <si>
    <t>前3个月新品期：</t>
  </si>
  <si>
    <t>销售额*5%，不考核利润率</t>
  </si>
  <si>
    <t>目标单量：</t>
  </si>
  <si>
    <t>12000美金</t>
  </si>
  <si>
    <t>3个月后稳定期：</t>
  </si>
  <si>
    <t>销售额*1% + 利润率</t>
  </si>
  <si>
    <t>日期</t>
  </si>
  <si>
    <t>产品</t>
  </si>
  <si>
    <t>类型</t>
  </si>
  <si>
    <t>老外FB</t>
  </si>
  <si>
    <t>关键词</t>
  </si>
  <si>
    <t>Paypal 账号</t>
  </si>
  <si>
    <t>订单号</t>
  </si>
  <si>
    <t>发票金额
（含税）</t>
  </si>
  <si>
    <t>PP手续费</t>
  </si>
  <si>
    <t>payment
状态</t>
  </si>
  <si>
    <t>服务商佣金</t>
  </si>
  <si>
    <t>是否上评</t>
  </si>
  <si>
    <t>测评成本支出</t>
  </si>
  <si>
    <t>TOP50</t>
  </si>
  <si>
    <t>/</t>
  </si>
  <si>
    <t>113-7613306-7455434</t>
  </si>
  <si>
    <t>完成</t>
  </si>
  <si>
    <t>已上评</t>
  </si>
  <si>
    <t>Q&amp;A</t>
  </si>
  <si>
    <t>ASIN</t>
  </si>
  <si>
    <t>定价</t>
  </si>
  <si>
    <t>日销</t>
  </si>
  <si>
    <t>月销</t>
  </si>
  <si>
    <t>review</t>
  </si>
  <si>
    <t>备注</t>
  </si>
  <si>
    <t>类目</t>
  </si>
  <si>
    <t>排名</t>
  </si>
  <si>
    <t>B07HBC8NQ9</t>
  </si>
  <si>
    <t>$18.24</t>
  </si>
  <si>
    <t>7个</t>
  </si>
  <si>
    <t>212个</t>
  </si>
  <si>
    <t>372个4.6星</t>
  </si>
  <si>
    <t>42个5星，包括1个直评2个vine</t>
  </si>
  <si>
    <t>Unfinished Wood</t>
  </si>
  <si>
    <t>B01NGTAWVV</t>
  </si>
  <si>
    <t>32.99（8pcs）</t>
  </si>
  <si>
    <t>30个</t>
  </si>
  <si>
    <t>899个</t>
  </si>
  <si>
    <t>1203个4.7星</t>
  </si>
  <si>
    <t>7个四星</t>
  </si>
  <si>
    <t>Plywood</t>
  </si>
  <si>
    <t>4个三星</t>
  </si>
  <si>
    <t>7个1星</t>
  </si>
  <si>
    <t>312个rating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</si>
</sst>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"/>
  </numFmts>
  <fonts count="22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Roboto"/>
    </font>
    <font>
      <sz val="24"/>
      <color rgb="FFFFFFFF"/>
      <name val="Arial"/>
      <family val="2"/>
    </font>
    <font>
      <sz val="10"/>
      <color rgb="FFFFFFFF"/>
      <name val="Arial"/>
      <family val="2"/>
    </font>
    <font>
      <sz val="8"/>
      <color rgb="FF000000"/>
      <name val="Verdana"/>
      <family val="2"/>
    </font>
    <font>
      <b/>
      <sz val="10"/>
      <color rgb="FFFF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宋体"/>
      <family val="3"/>
      <charset val="134"/>
    </font>
    <font>
      <sz val="10"/>
      <color rgb="FFFF0000"/>
      <name val="Arial"/>
      <family val="2"/>
    </font>
    <font>
      <sz val="10"/>
      <color rgb="FF0B5394"/>
      <name val="Arial"/>
      <family val="2"/>
    </font>
    <font>
      <u/>
      <sz val="10"/>
      <color rgb="FF1155CC"/>
      <name val="Arial"/>
      <family val="2"/>
    </font>
    <font>
      <sz val="10"/>
      <color rgb="FF9C65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2"/>
      <color rgb="FF000000"/>
      <name val="&quot;Microsoft Yahei&quot;"/>
    </font>
    <font>
      <b/>
      <sz val="12"/>
      <color theme="1"/>
      <name val="Arial"/>
      <family val="2"/>
    </font>
    <font>
      <b/>
      <sz val="14"/>
      <color rgb="FF7030A0"/>
      <name val="宋体"/>
      <family val="3"/>
      <charset val="134"/>
    </font>
    <font>
      <sz val="16"/>
      <color rgb="FF000000"/>
      <name val="宋体"/>
      <family val="3"/>
      <charset val="134"/>
    </font>
    <font>
      <sz val="14"/>
      <color rgb="FFB12704"/>
      <name val="Arial"/>
      <family val="2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8064A2"/>
        <bgColor rgb="FF8064A2"/>
      </patternFill>
    </fill>
    <fill>
      <patternFill patternType="solid">
        <fgColor rgb="FFFF9900"/>
        <bgColor rgb="FFFF9900"/>
      </patternFill>
    </fill>
    <fill>
      <patternFill patternType="solid">
        <fgColor rgb="FF31869B"/>
        <bgColor rgb="FF31869B"/>
      </patternFill>
    </fill>
    <fill>
      <patternFill patternType="solid">
        <fgColor rgb="FFFFEB9C"/>
        <bgColor rgb="FFFFEB9C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4" fontId="4" fillId="4" borderId="0" xfId="0" applyNumberFormat="1" applyFont="1" applyFill="1" applyAlignment="1">
      <alignment horizontal="center" wrapText="1"/>
    </xf>
    <xf numFmtId="14" fontId="4" fillId="4" borderId="0" xfId="0" applyNumberFormat="1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0" fontId="5" fillId="5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9" fontId="1" fillId="0" borderId="0" xfId="0" applyNumberFormat="1" applyFont="1" applyAlignment="1">
      <alignment horizontal="center" wrapText="1"/>
    </xf>
    <xf numFmtId="9" fontId="1" fillId="0" borderId="0" xfId="0" applyNumberFormat="1" applyFont="1" applyAlignment="1">
      <alignment horizontal="center" wrapText="1"/>
    </xf>
    <xf numFmtId="10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8" fillId="0" borderId="0" xfId="0" applyFont="1" applyAlignment="1"/>
    <xf numFmtId="0" fontId="1" fillId="0" borderId="0" xfId="0" applyFont="1" applyAlignment="1"/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4" fillId="10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14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/>
    <xf numFmtId="0" fontId="14" fillId="0" borderId="1" xfId="0" applyFont="1" applyBorder="1"/>
    <xf numFmtId="0" fontId="14" fillId="0" borderId="0" xfId="0" applyFont="1"/>
    <xf numFmtId="0" fontId="16" fillId="2" borderId="0" xfId="0" applyFont="1" applyFill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58" fontId="1" fillId="0" borderId="0" xfId="0" applyNumberFormat="1" applyFont="1" applyAlignment="1">
      <alignment horizontal="center"/>
    </xf>
    <xf numFmtId="0" fontId="2" fillId="3" borderId="0" xfId="0" applyFont="1" applyFill="1" applyAlignment="1"/>
    <xf numFmtId="14" fontId="4" fillId="12" borderId="0" xfId="0" applyNumberFormat="1" applyFont="1" applyFill="1" applyAlignment="1">
      <alignment horizontal="center" wrapText="1"/>
    </xf>
    <xf numFmtId="0" fontId="18" fillId="12" borderId="0" xfId="0" applyFont="1" applyFill="1" applyAlignment="1"/>
    <xf numFmtId="0" fontId="19" fillId="0" borderId="0" xfId="0" applyFont="1" applyAlignment="1"/>
    <xf numFmtId="176" fontId="19" fillId="0" borderId="0" xfId="0" applyNumberFormat="1" applyFont="1" applyAlignment="1">
      <alignment horizontal="right"/>
    </xf>
    <xf numFmtId="0" fontId="20" fillId="5" borderId="0" xfId="0" applyFont="1" applyFill="1" applyAlignment="1">
      <alignment horizontal="right" vertical="top"/>
    </xf>
    <xf numFmtId="0" fontId="20" fillId="5" borderId="0" xfId="0" applyFont="1" applyFill="1" applyAlignment="1">
      <alignment vertical="top"/>
    </xf>
    <xf numFmtId="0" fontId="8" fillId="0" borderId="0" xfId="0" applyFont="1" applyAlignment="1">
      <alignment horizontal="right"/>
    </xf>
    <xf numFmtId="0" fontId="19" fillId="0" borderId="0" xfId="0" applyFont="1" applyAlignment="1"/>
    <xf numFmtId="0" fontId="8" fillId="0" borderId="0" xfId="0" applyFont="1" applyAlignment="1"/>
    <xf numFmtId="0" fontId="3" fillId="4" borderId="0" xfId="0" applyFont="1" applyFill="1" applyAlignment="1">
      <alignment horizontal="center"/>
    </xf>
    <xf numFmtId="0" fontId="0" fillId="0" borderId="0" xfId="0" applyFont="1" applyAlignment="1"/>
    <xf numFmtId="0" fontId="1" fillId="5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4" fillId="0" borderId="2" xfId="0" applyFont="1" applyBorder="1" applyAlignment="1">
      <alignment horizontal="left"/>
    </xf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X995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Y52" sqref="Y52"/>
    </sheetView>
  </sheetViews>
  <sheetFormatPr baseColWidth="10" defaultColWidth="14.5" defaultRowHeight="15.75" customHeight="1" outlineLevelCol="1"/>
  <cols>
    <col min="1" max="1" width="22.33203125" customWidth="1"/>
    <col min="2" max="2" width="18.83203125" customWidth="1"/>
    <col min="3" max="3" width="10.1640625" customWidth="1" collapsed="1"/>
    <col min="4" max="23" width="10.1640625" hidden="1" customWidth="1" outlineLevel="1"/>
    <col min="24" max="35" width="10.1640625" customWidth="1"/>
  </cols>
  <sheetData>
    <row r="1" spans="1:102" ht="14">
      <c r="A1" s="1" t="s">
        <v>0</v>
      </c>
      <c r="B1" s="2"/>
      <c r="C1" s="3" t="s">
        <v>1</v>
      </c>
      <c r="D1" s="4" t="s">
        <v>1</v>
      </c>
      <c r="E1" s="4" t="s">
        <v>1</v>
      </c>
      <c r="F1" s="4" t="s">
        <v>1</v>
      </c>
      <c r="G1" s="3" t="s">
        <v>1</v>
      </c>
      <c r="H1" s="3" t="s">
        <v>1</v>
      </c>
      <c r="I1" s="3" t="s">
        <v>1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3</v>
      </c>
      <c r="R1" s="3" t="s">
        <v>3</v>
      </c>
      <c r="S1" s="3" t="s">
        <v>3</v>
      </c>
      <c r="T1" s="3" t="s">
        <v>3</v>
      </c>
      <c r="U1" s="3" t="s">
        <v>3</v>
      </c>
      <c r="V1" s="3" t="s">
        <v>3</v>
      </c>
      <c r="W1" s="3" t="s">
        <v>3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4</v>
      </c>
      <c r="AC1" s="3" t="s">
        <v>4</v>
      </c>
      <c r="AD1" s="3" t="s">
        <v>4</v>
      </c>
      <c r="AE1" s="3" t="s">
        <v>5</v>
      </c>
      <c r="AF1" s="3" t="s">
        <v>5</v>
      </c>
      <c r="AG1" s="3" t="s">
        <v>5</v>
      </c>
      <c r="AH1" s="3" t="s">
        <v>5</v>
      </c>
      <c r="AI1" s="3" t="s">
        <v>5</v>
      </c>
      <c r="AJ1" s="2"/>
      <c r="AK1" s="3" t="s">
        <v>5</v>
      </c>
      <c r="AL1" s="3" t="s">
        <v>5</v>
      </c>
      <c r="AM1" s="3" t="s">
        <v>6</v>
      </c>
      <c r="AN1" s="3" t="s">
        <v>6</v>
      </c>
      <c r="AO1" s="3" t="s">
        <v>6</v>
      </c>
      <c r="AP1" s="3" t="s">
        <v>6</v>
      </c>
      <c r="AQ1" s="3" t="s">
        <v>6</v>
      </c>
      <c r="AR1" s="3" t="s">
        <v>6</v>
      </c>
      <c r="AS1" s="3" t="s">
        <v>6</v>
      </c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 ht="13">
      <c r="A2" s="67" t="s">
        <v>7</v>
      </c>
      <c r="B2" s="68"/>
      <c r="C2" s="5">
        <v>44284</v>
      </c>
      <c r="D2" s="5">
        <v>44285</v>
      </c>
      <c r="E2" s="5">
        <v>44286</v>
      </c>
      <c r="F2" s="6">
        <v>44287</v>
      </c>
      <c r="G2" s="6">
        <v>44288</v>
      </c>
      <c r="H2" s="6">
        <v>44289</v>
      </c>
      <c r="I2" s="6">
        <v>44290</v>
      </c>
      <c r="J2" s="6">
        <v>44291</v>
      </c>
      <c r="K2" s="6">
        <v>44292</v>
      </c>
      <c r="L2" s="6">
        <v>44293</v>
      </c>
      <c r="M2" s="6">
        <v>44294</v>
      </c>
      <c r="N2" s="6">
        <v>44295</v>
      </c>
      <c r="O2" s="6">
        <v>44296</v>
      </c>
      <c r="P2" s="6">
        <v>44297</v>
      </c>
      <c r="Q2" s="6">
        <v>44298</v>
      </c>
      <c r="R2" s="6">
        <v>44299</v>
      </c>
      <c r="S2" s="6">
        <v>44300</v>
      </c>
      <c r="T2" s="6">
        <v>44301</v>
      </c>
      <c r="U2" s="6">
        <v>44302</v>
      </c>
      <c r="V2" s="6">
        <v>44303</v>
      </c>
      <c r="W2" s="6">
        <v>44304</v>
      </c>
      <c r="X2" s="6">
        <v>44305</v>
      </c>
      <c r="Y2" s="6">
        <v>44306</v>
      </c>
      <c r="Z2" s="6">
        <v>44307</v>
      </c>
      <c r="AA2" s="6">
        <v>44308</v>
      </c>
      <c r="AB2" s="6">
        <v>44309</v>
      </c>
      <c r="AC2" s="6">
        <v>44310</v>
      </c>
      <c r="AD2" s="6">
        <v>44311</v>
      </c>
      <c r="AE2" s="6">
        <v>44312</v>
      </c>
      <c r="AF2" s="6">
        <v>44313</v>
      </c>
      <c r="AG2" s="6">
        <v>44314</v>
      </c>
      <c r="AH2" s="6">
        <v>44315</v>
      </c>
      <c r="AI2" s="6">
        <v>44316</v>
      </c>
      <c r="AJ2" s="6"/>
      <c r="AK2" s="6">
        <v>44317</v>
      </c>
      <c r="AL2" s="6">
        <v>44318</v>
      </c>
      <c r="AM2" s="6">
        <v>44319</v>
      </c>
      <c r="AN2" s="6">
        <v>44320</v>
      </c>
      <c r="AO2" s="6">
        <v>44321</v>
      </c>
      <c r="AP2" s="6">
        <v>44322</v>
      </c>
      <c r="AQ2" s="6">
        <v>44323</v>
      </c>
      <c r="AR2" s="6">
        <v>44324</v>
      </c>
      <c r="AS2" s="6">
        <v>44325</v>
      </c>
      <c r="AT2" s="6">
        <v>44326</v>
      </c>
      <c r="AU2" s="6">
        <v>44327</v>
      </c>
      <c r="AV2" s="6">
        <v>44328</v>
      </c>
      <c r="AW2" s="6">
        <v>44329</v>
      </c>
      <c r="AX2" s="6">
        <v>44330</v>
      </c>
      <c r="AY2" s="6">
        <v>44331</v>
      </c>
      <c r="AZ2" s="6">
        <v>44332</v>
      </c>
      <c r="BA2" s="6">
        <v>44333</v>
      </c>
      <c r="BB2" s="6">
        <v>44334</v>
      </c>
      <c r="BC2" s="6">
        <v>44335</v>
      </c>
      <c r="BD2" s="6">
        <v>44336</v>
      </c>
      <c r="BE2" s="6">
        <v>44337</v>
      </c>
      <c r="BF2" s="6">
        <v>44338</v>
      </c>
      <c r="BG2" s="6">
        <v>44339</v>
      </c>
      <c r="BH2" s="6">
        <v>44340</v>
      </c>
      <c r="BI2" s="6">
        <v>44341</v>
      </c>
      <c r="BJ2" s="6">
        <v>44342</v>
      </c>
      <c r="BK2" s="6">
        <v>44343</v>
      </c>
      <c r="BL2" s="6">
        <v>44344</v>
      </c>
      <c r="BM2" s="6">
        <v>44345</v>
      </c>
      <c r="BN2" s="6">
        <v>44346</v>
      </c>
      <c r="BO2" s="6">
        <v>44347</v>
      </c>
      <c r="BP2" s="6">
        <v>44348</v>
      </c>
      <c r="BQ2" s="6">
        <v>44349</v>
      </c>
      <c r="BR2" s="6">
        <v>44350</v>
      </c>
      <c r="BS2" s="6">
        <v>44351</v>
      </c>
      <c r="BT2" s="6">
        <v>44352</v>
      </c>
      <c r="BU2" s="6">
        <v>44353</v>
      </c>
      <c r="BV2" s="6">
        <v>44354</v>
      </c>
      <c r="BW2" s="6">
        <v>44355</v>
      </c>
      <c r="BX2" s="6">
        <v>44356</v>
      </c>
      <c r="BY2" s="6">
        <v>44357</v>
      </c>
      <c r="BZ2" s="6">
        <v>44358</v>
      </c>
      <c r="CA2" s="6">
        <v>44359</v>
      </c>
      <c r="CB2" s="6">
        <v>44360</v>
      </c>
      <c r="CC2" s="6">
        <v>44361</v>
      </c>
      <c r="CD2" s="6">
        <v>44362</v>
      </c>
      <c r="CE2" s="6">
        <v>44363</v>
      </c>
      <c r="CF2" s="6">
        <v>44364</v>
      </c>
      <c r="CG2" s="6">
        <v>44365</v>
      </c>
      <c r="CH2" s="6">
        <v>44366</v>
      </c>
      <c r="CI2" s="6">
        <v>44367</v>
      </c>
      <c r="CJ2" s="6">
        <v>44368</v>
      </c>
      <c r="CK2" s="6">
        <v>44369</v>
      </c>
      <c r="CL2" s="6">
        <v>44370</v>
      </c>
      <c r="CM2" s="6">
        <v>44371</v>
      </c>
      <c r="CN2" s="6">
        <v>44372</v>
      </c>
      <c r="CO2" s="6">
        <v>44373</v>
      </c>
      <c r="CP2" s="6">
        <v>44374</v>
      </c>
      <c r="CQ2" s="6">
        <v>44375</v>
      </c>
      <c r="CR2" s="6">
        <v>44376</v>
      </c>
      <c r="CS2" s="6">
        <v>44377</v>
      </c>
      <c r="CT2" s="6">
        <v>44378</v>
      </c>
      <c r="CU2" s="6">
        <v>44379</v>
      </c>
      <c r="CV2" s="6">
        <v>44380</v>
      </c>
      <c r="CW2" s="6">
        <v>44381</v>
      </c>
      <c r="CX2" s="6">
        <v>44382</v>
      </c>
    </row>
    <row r="3" spans="1:102" ht="14">
      <c r="A3" s="68"/>
      <c r="B3" s="68"/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8</v>
      </c>
      <c r="R3" s="7" t="s">
        <v>9</v>
      </c>
      <c r="S3" s="7" t="s">
        <v>10</v>
      </c>
      <c r="T3" s="7" t="s">
        <v>11</v>
      </c>
      <c r="U3" s="7" t="s">
        <v>12</v>
      </c>
      <c r="V3" s="7" t="s">
        <v>13</v>
      </c>
      <c r="W3" s="7" t="s">
        <v>14</v>
      </c>
      <c r="X3" s="7" t="s">
        <v>8</v>
      </c>
      <c r="Y3" s="7" t="s">
        <v>9</v>
      </c>
      <c r="Z3" s="7" t="s">
        <v>10</v>
      </c>
      <c r="AA3" s="7" t="s">
        <v>11</v>
      </c>
      <c r="AB3" s="7" t="s">
        <v>12</v>
      </c>
      <c r="AC3" s="7" t="s">
        <v>13</v>
      </c>
      <c r="AD3" s="7" t="s">
        <v>14</v>
      </c>
      <c r="AE3" s="7" t="s">
        <v>8</v>
      </c>
      <c r="AF3" s="7" t="s">
        <v>9</v>
      </c>
      <c r="AG3" s="7" t="s">
        <v>10</v>
      </c>
      <c r="AH3" s="7" t="s">
        <v>11</v>
      </c>
      <c r="AI3" s="7" t="s">
        <v>12</v>
      </c>
      <c r="AJ3" s="8"/>
      <c r="AK3" s="8" t="s">
        <v>13</v>
      </c>
      <c r="AL3" s="8" t="s">
        <v>14</v>
      </c>
      <c r="AM3" s="8" t="s">
        <v>8</v>
      </c>
      <c r="AN3" s="8" t="s">
        <v>9</v>
      </c>
      <c r="AO3" s="8" t="s">
        <v>10</v>
      </c>
      <c r="AP3" s="8" t="s">
        <v>11</v>
      </c>
      <c r="AQ3" s="8" t="s">
        <v>12</v>
      </c>
      <c r="AR3" s="8" t="s">
        <v>13</v>
      </c>
      <c r="AS3" s="8" t="s">
        <v>14</v>
      </c>
      <c r="AT3" s="8" t="s">
        <v>8</v>
      </c>
      <c r="AU3" s="8" t="s">
        <v>9</v>
      </c>
      <c r="AV3" s="8" t="s">
        <v>10</v>
      </c>
      <c r="AW3" s="8" t="s">
        <v>11</v>
      </c>
      <c r="AX3" s="8" t="s">
        <v>12</v>
      </c>
      <c r="AY3" s="8" t="s">
        <v>13</v>
      </c>
      <c r="AZ3" s="8" t="s">
        <v>14</v>
      </c>
      <c r="BA3" s="8" t="s">
        <v>8</v>
      </c>
      <c r="BB3" s="8" t="s">
        <v>9</v>
      </c>
      <c r="BC3" s="8" t="s">
        <v>10</v>
      </c>
      <c r="BD3" s="8" t="s">
        <v>11</v>
      </c>
      <c r="BE3" s="8" t="s">
        <v>12</v>
      </c>
      <c r="BF3" s="8" t="s">
        <v>13</v>
      </c>
      <c r="BG3" s="8" t="s">
        <v>14</v>
      </c>
      <c r="BH3" s="8" t="s">
        <v>8</v>
      </c>
      <c r="BI3" s="8" t="s">
        <v>9</v>
      </c>
      <c r="BJ3" s="8" t="s">
        <v>10</v>
      </c>
      <c r="BK3" s="8" t="s">
        <v>11</v>
      </c>
      <c r="BL3" s="8" t="s">
        <v>12</v>
      </c>
      <c r="BM3" s="8" t="s">
        <v>13</v>
      </c>
      <c r="BN3" s="8" t="s">
        <v>14</v>
      </c>
      <c r="BO3" s="8" t="s">
        <v>8</v>
      </c>
      <c r="BP3" s="8" t="s">
        <v>9</v>
      </c>
      <c r="BQ3" s="8" t="s">
        <v>10</v>
      </c>
      <c r="BR3" s="8" t="s">
        <v>11</v>
      </c>
      <c r="BS3" s="8" t="s">
        <v>12</v>
      </c>
      <c r="BT3" s="8" t="s">
        <v>13</v>
      </c>
      <c r="BU3" s="8" t="s">
        <v>14</v>
      </c>
      <c r="BV3" s="8" t="s">
        <v>8</v>
      </c>
      <c r="BW3" s="8" t="s">
        <v>9</v>
      </c>
      <c r="BX3" s="8" t="s">
        <v>10</v>
      </c>
      <c r="BY3" s="8" t="s">
        <v>11</v>
      </c>
      <c r="BZ3" s="8" t="s">
        <v>12</v>
      </c>
      <c r="CA3" s="8" t="s">
        <v>13</v>
      </c>
      <c r="CB3" s="8" t="s">
        <v>14</v>
      </c>
      <c r="CC3" s="8" t="s">
        <v>8</v>
      </c>
      <c r="CD3" s="8" t="s">
        <v>9</v>
      </c>
      <c r="CE3" s="8" t="s">
        <v>10</v>
      </c>
      <c r="CF3" s="8" t="s">
        <v>11</v>
      </c>
      <c r="CG3" s="8" t="s">
        <v>12</v>
      </c>
      <c r="CH3" s="8" t="s">
        <v>13</v>
      </c>
      <c r="CI3" s="8" t="s">
        <v>14</v>
      </c>
      <c r="CJ3" s="8" t="s">
        <v>8</v>
      </c>
      <c r="CK3" s="8" t="s">
        <v>9</v>
      </c>
      <c r="CL3" s="8" t="s">
        <v>10</v>
      </c>
      <c r="CM3" s="8" t="s">
        <v>11</v>
      </c>
      <c r="CN3" s="8" t="s">
        <v>12</v>
      </c>
      <c r="CO3" s="8" t="s">
        <v>13</v>
      </c>
      <c r="CP3" s="8" t="s">
        <v>14</v>
      </c>
      <c r="CQ3" s="8" t="s">
        <v>8</v>
      </c>
      <c r="CR3" s="8" t="s">
        <v>9</v>
      </c>
      <c r="CS3" s="8" t="s">
        <v>10</v>
      </c>
      <c r="CT3" s="8" t="s">
        <v>11</v>
      </c>
      <c r="CU3" s="8" t="s">
        <v>12</v>
      </c>
      <c r="CV3" s="8" t="s">
        <v>13</v>
      </c>
      <c r="CW3" s="8" t="s">
        <v>14</v>
      </c>
      <c r="CX3" s="8" t="s">
        <v>8</v>
      </c>
    </row>
    <row r="4" spans="1:102" ht="13">
      <c r="A4" s="9" t="s">
        <v>15</v>
      </c>
      <c r="B4" s="10" t="s">
        <v>16</v>
      </c>
      <c r="D4" s="11">
        <v>19</v>
      </c>
      <c r="E4" s="11">
        <v>8</v>
      </c>
      <c r="F4" s="11">
        <v>11</v>
      </c>
      <c r="G4" s="11">
        <v>18</v>
      </c>
      <c r="H4" s="11">
        <v>13</v>
      </c>
      <c r="I4" s="12">
        <v>16</v>
      </c>
      <c r="J4" s="12">
        <v>20</v>
      </c>
      <c r="K4" s="12">
        <v>25</v>
      </c>
      <c r="L4" s="12">
        <v>14</v>
      </c>
      <c r="M4" s="12">
        <v>25</v>
      </c>
      <c r="N4" s="12">
        <v>23</v>
      </c>
      <c r="O4" s="12">
        <v>16</v>
      </c>
      <c r="P4" s="12">
        <v>20</v>
      </c>
      <c r="Q4" s="12">
        <v>19</v>
      </c>
      <c r="R4" s="12">
        <v>17</v>
      </c>
      <c r="S4" s="12">
        <v>14</v>
      </c>
      <c r="T4" s="12">
        <v>13</v>
      </c>
      <c r="U4" s="12">
        <v>15</v>
      </c>
      <c r="V4" s="12">
        <v>10</v>
      </c>
      <c r="W4" s="12">
        <v>12</v>
      </c>
      <c r="X4" s="12">
        <v>23</v>
      </c>
      <c r="Y4" s="12">
        <v>23</v>
      </c>
      <c r="Z4" s="12">
        <v>19</v>
      </c>
      <c r="AA4" s="12">
        <v>18</v>
      </c>
      <c r="AB4" s="12">
        <v>22</v>
      </c>
      <c r="AC4" s="12">
        <v>15</v>
      </c>
      <c r="AD4" s="12">
        <v>9</v>
      </c>
      <c r="AE4" s="12">
        <v>32</v>
      </c>
      <c r="AF4" s="12">
        <v>14</v>
      </c>
      <c r="AG4" s="12">
        <v>8</v>
      </c>
      <c r="AH4" s="12">
        <v>11</v>
      </c>
      <c r="AI4" s="12">
        <v>12</v>
      </c>
      <c r="AJ4" s="13"/>
      <c r="AK4" s="12">
        <v>15</v>
      </c>
      <c r="AL4" s="12">
        <v>11</v>
      </c>
      <c r="AM4" s="12">
        <v>26</v>
      </c>
      <c r="AN4" s="12">
        <v>22</v>
      </c>
      <c r="AO4" s="12">
        <v>23</v>
      </c>
      <c r="AP4" s="12">
        <v>21</v>
      </c>
      <c r="AQ4" s="12">
        <v>22</v>
      </c>
      <c r="AR4" s="12">
        <v>3</v>
      </c>
      <c r="AS4" s="12">
        <v>17</v>
      </c>
      <c r="AT4" s="12">
        <v>27</v>
      </c>
      <c r="AU4" s="12">
        <v>27</v>
      </c>
      <c r="AV4" s="12">
        <v>23</v>
      </c>
      <c r="AW4" s="12">
        <v>13</v>
      </c>
      <c r="AX4" s="12">
        <v>10</v>
      </c>
      <c r="AY4" s="12">
        <v>25</v>
      </c>
      <c r="AZ4" s="12">
        <v>12</v>
      </c>
      <c r="BA4" s="12">
        <v>3</v>
      </c>
      <c r="BB4" s="12">
        <v>12</v>
      </c>
      <c r="BC4" s="12">
        <v>17</v>
      </c>
      <c r="BD4" s="12">
        <v>16</v>
      </c>
      <c r="BE4" s="12">
        <v>24</v>
      </c>
      <c r="BF4" s="12">
        <v>15</v>
      </c>
      <c r="BG4" s="12">
        <v>15</v>
      </c>
      <c r="BH4" s="12">
        <v>8</v>
      </c>
      <c r="BI4" s="12">
        <v>22</v>
      </c>
      <c r="BJ4" s="12">
        <v>25</v>
      </c>
      <c r="BK4" s="12">
        <v>34</v>
      </c>
      <c r="BL4" s="12">
        <v>21</v>
      </c>
      <c r="BM4" s="12">
        <v>17</v>
      </c>
      <c r="BN4" s="12">
        <v>32</v>
      </c>
      <c r="BO4" s="12">
        <v>33</v>
      </c>
      <c r="BP4" s="12">
        <v>32</v>
      </c>
      <c r="BQ4" s="12">
        <v>25</v>
      </c>
      <c r="BR4" s="12">
        <v>18</v>
      </c>
      <c r="BS4" s="12">
        <v>18</v>
      </c>
      <c r="BT4" s="12">
        <v>14</v>
      </c>
      <c r="BU4" s="12">
        <v>17</v>
      </c>
      <c r="BV4" s="12">
        <v>22</v>
      </c>
      <c r="BW4" s="12">
        <v>24</v>
      </c>
      <c r="BX4" s="12">
        <v>17</v>
      </c>
      <c r="BY4" s="12">
        <v>25</v>
      </c>
      <c r="BZ4" s="12">
        <v>30</v>
      </c>
      <c r="CA4" s="12">
        <v>16</v>
      </c>
      <c r="CB4" s="12">
        <v>21</v>
      </c>
      <c r="CC4" s="12">
        <v>10</v>
      </c>
      <c r="CD4" s="12">
        <v>24</v>
      </c>
      <c r="CE4" s="12">
        <v>16</v>
      </c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</row>
    <row r="5" spans="1:102" ht="13">
      <c r="A5" s="14" t="s">
        <v>17</v>
      </c>
      <c r="B5" s="10" t="s">
        <v>18</v>
      </c>
      <c r="D5" s="15">
        <v>5.2600000000000001E-2</v>
      </c>
      <c r="E5" s="15">
        <v>0.125</v>
      </c>
      <c r="F5" s="15">
        <v>9.0899999999999995E-2</v>
      </c>
      <c r="G5" s="15">
        <v>0.1111</v>
      </c>
      <c r="H5" s="15">
        <v>0.30769999999999997</v>
      </c>
      <c r="I5" s="15">
        <v>0.125</v>
      </c>
      <c r="J5" s="16">
        <v>0</v>
      </c>
      <c r="K5" s="16">
        <v>0.12</v>
      </c>
      <c r="L5" s="15">
        <v>7.1400000000000005E-2</v>
      </c>
      <c r="M5" s="16">
        <v>0.15</v>
      </c>
      <c r="N5" s="17">
        <v>0.21740000000000001</v>
      </c>
      <c r="O5" s="12">
        <v>23.08</v>
      </c>
      <c r="P5" s="12">
        <v>11.76</v>
      </c>
      <c r="Q5" s="12">
        <v>41.18</v>
      </c>
      <c r="R5" s="12">
        <v>0</v>
      </c>
      <c r="S5" s="12">
        <v>0</v>
      </c>
      <c r="T5" s="12">
        <v>16.670000000000002</v>
      </c>
      <c r="U5" s="12">
        <v>21.43</v>
      </c>
      <c r="V5" s="12">
        <v>0</v>
      </c>
      <c r="W5" s="12">
        <v>27.27</v>
      </c>
      <c r="X5" s="12">
        <v>5.26</v>
      </c>
      <c r="Y5" s="12">
        <v>0</v>
      </c>
      <c r="Z5" s="12">
        <v>13.33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15.38</v>
      </c>
      <c r="AG5" s="12">
        <v>50</v>
      </c>
      <c r="AH5" s="12">
        <v>18.18</v>
      </c>
      <c r="AI5" s="12">
        <v>9.09</v>
      </c>
      <c r="AJ5" s="13"/>
      <c r="AK5" s="12">
        <v>7.14</v>
      </c>
      <c r="AL5" s="12">
        <v>0</v>
      </c>
      <c r="AM5" s="12">
        <v>29.41</v>
      </c>
      <c r="AN5" s="12">
        <v>0</v>
      </c>
      <c r="AO5" s="12">
        <v>5.26</v>
      </c>
      <c r="AP5" s="12">
        <v>22.22</v>
      </c>
      <c r="AQ5" s="12">
        <v>20</v>
      </c>
      <c r="AR5" s="12">
        <v>100</v>
      </c>
      <c r="AS5" s="12">
        <v>0</v>
      </c>
      <c r="AT5" s="12">
        <v>15.79</v>
      </c>
      <c r="AU5" s="12">
        <v>0</v>
      </c>
      <c r="AV5" s="12">
        <v>0</v>
      </c>
      <c r="AW5" s="12">
        <v>0</v>
      </c>
      <c r="AX5" s="12">
        <v>0</v>
      </c>
      <c r="AY5" s="12">
        <v>16.670000000000002</v>
      </c>
      <c r="AZ5" s="12">
        <v>9.09</v>
      </c>
      <c r="BA5" s="12">
        <v>100</v>
      </c>
      <c r="BB5" s="12">
        <v>10</v>
      </c>
      <c r="BC5" s="12">
        <v>7.1440000000000001</v>
      </c>
      <c r="BD5" s="12">
        <v>0</v>
      </c>
      <c r="BE5" s="12">
        <v>5.88</v>
      </c>
      <c r="BF5" s="12">
        <v>7.69</v>
      </c>
      <c r="BG5" s="12">
        <v>0</v>
      </c>
      <c r="BH5" s="12">
        <v>28.57</v>
      </c>
      <c r="BI5" s="12">
        <v>10.53</v>
      </c>
      <c r="BJ5" s="12">
        <v>5.56</v>
      </c>
      <c r="BK5" s="12">
        <v>14.29</v>
      </c>
      <c r="BL5" s="12">
        <v>50</v>
      </c>
      <c r="BM5" s="12">
        <v>18.75</v>
      </c>
      <c r="BN5" s="12">
        <v>10.34</v>
      </c>
      <c r="BO5" s="12">
        <v>30.77</v>
      </c>
      <c r="BP5" s="12">
        <v>8.33</v>
      </c>
      <c r="BQ5" s="12">
        <v>0</v>
      </c>
      <c r="BR5" s="12">
        <v>26.67</v>
      </c>
      <c r="BS5" s="12">
        <v>0</v>
      </c>
      <c r="BT5" s="12">
        <v>7.69</v>
      </c>
      <c r="BU5" s="12">
        <v>8.33</v>
      </c>
      <c r="BV5" s="12">
        <v>5.88</v>
      </c>
      <c r="BW5" s="12">
        <v>10.53</v>
      </c>
      <c r="BX5" s="12">
        <v>14.29</v>
      </c>
      <c r="BY5" s="12">
        <v>20</v>
      </c>
      <c r="BZ5" s="12">
        <v>13.64</v>
      </c>
      <c r="CA5" s="12">
        <v>6.67</v>
      </c>
      <c r="CB5" s="12">
        <v>21.05</v>
      </c>
      <c r="CC5" s="12">
        <v>11.11</v>
      </c>
      <c r="CD5" s="12">
        <v>4.55</v>
      </c>
      <c r="CE5" s="12">
        <v>16.670000000000002</v>
      </c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</row>
    <row r="6" spans="1:102" ht="13">
      <c r="A6" s="9"/>
      <c r="B6" s="18" t="s">
        <v>19</v>
      </c>
      <c r="D6" s="11">
        <v>0.1</v>
      </c>
      <c r="E6" s="11">
        <v>0.1</v>
      </c>
      <c r="F6" s="11">
        <f t="shared" ref="F6:Q6" si="0">F8/10</f>
        <v>0.1</v>
      </c>
      <c r="G6" s="11">
        <f t="shared" si="0"/>
        <v>0.2</v>
      </c>
      <c r="H6" s="11">
        <f t="shared" si="0"/>
        <v>0.4</v>
      </c>
      <c r="I6" s="11">
        <f t="shared" si="0"/>
        <v>0.2</v>
      </c>
      <c r="J6" s="11">
        <f t="shared" si="0"/>
        <v>0</v>
      </c>
      <c r="K6" s="11">
        <f t="shared" si="0"/>
        <v>0.3</v>
      </c>
      <c r="L6" s="11">
        <f t="shared" si="0"/>
        <v>0.1</v>
      </c>
      <c r="M6" s="11">
        <f t="shared" si="0"/>
        <v>0.3</v>
      </c>
      <c r="N6" s="11">
        <f t="shared" si="0"/>
        <v>0.5</v>
      </c>
      <c r="O6" s="11">
        <f t="shared" si="0"/>
        <v>0.1</v>
      </c>
      <c r="P6" s="11">
        <f t="shared" si="0"/>
        <v>0.3</v>
      </c>
      <c r="Q6" s="11">
        <f t="shared" si="0"/>
        <v>0.2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3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</row>
    <row r="7" spans="1:102" ht="13">
      <c r="A7" s="9" t="s">
        <v>20</v>
      </c>
      <c r="B7" s="19" t="s">
        <v>21</v>
      </c>
      <c r="D7" s="11">
        <v>1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1">
        <v>1</v>
      </c>
      <c r="AG7" s="11">
        <v>1</v>
      </c>
      <c r="AH7" s="11">
        <v>1</v>
      </c>
      <c r="AI7" s="11">
        <v>1</v>
      </c>
      <c r="AJ7" s="13"/>
      <c r="AK7" s="12">
        <v>2</v>
      </c>
      <c r="AL7" s="12">
        <v>2</v>
      </c>
      <c r="AM7" s="12">
        <v>2</v>
      </c>
      <c r="AN7" s="12">
        <v>2</v>
      </c>
      <c r="AO7" s="12">
        <v>2</v>
      </c>
      <c r="AP7" s="12">
        <v>2</v>
      </c>
      <c r="AQ7" s="12">
        <v>2</v>
      </c>
      <c r="AR7" s="12">
        <v>2</v>
      </c>
      <c r="AS7" s="12">
        <v>2</v>
      </c>
      <c r="AT7" s="12">
        <v>2</v>
      </c>
      <c r="AU7" s="12">
        <v>3</v>
      </c>
      <c r="AV7" s="12">
        <v>3</v>
      </c>
      <c r="AW7" s="12">
        <v>3</v>
      </c>
      <c r="AX7" s="12">
        <v>3</v>
      </c>
      <c r="AY7" s="12">
        <v>3</v>
      </c>
      <c r="AZ7" s="12">
        <v>5</v>
      </c>
      <c r="BA7" s="12">
        <v>5</v>
      </c>
      <c r="BB7" s="12">
        <v>5</v>
      </c>
      <c r="BC7" s="12">
        <v>5</v>
      </c>
      <c r="BD7" s="12">
        <v>5</v>
      </c>
      <c r="BE7" s="12">
        <v>5</v>
      </c>
      <c r="BF7" s="12">
        <v>5</v>
      </c>
      <c r="BG7" s="12">
        <v>5</v>
      </c>
      <c r="BH7" s="12">
        <v>5</v>
      </c>
      <c r="BI7" s="12">
        <v>5</v>
      </c>
      <c r="BJ7" s="12">
        <v>5</v>
      </c>
      <c r="BK7" s="12">
        <v>5</v>
      </c>
      <c r="BL7" s="12">
        <v>5</v>
      </c>
      <c r="BM7" s="12">
        <v>5</v>
      </c>
      <c r="BN7" s="12">
        <v>5</v>
      </c>
      <c r="BO7" s="12">
        <v>5</v>
      </c>
      <c r="BP7" s="12">
        <v>5</v>
      </c>
      <c r="BQ7" s="12">
        <v>5</v>
      </c>
      <c r="BR7" s="12">
        <v>5</v>
      </c>
      <c r="BS7" s="12">
        <v>5</v>
      </c>
      <c r="BT7" s="12">
        <v>5</v>
      </c>
      <c r="BU7" s="12">
        <v>5</v>
      </c>
      <c r="BV7" s="12">
        <v>5</v>
      </c>
      <c r="BW7" s="12">
        <v>5</v>
      </c>
      <c r="BX7" s="12">
        <v>5</v>
      </c>
      <c r="BY7" s="12">
        <v>5</v>
      </c>
      <c r="BZ7" s="12">
        <v>5</v>
      </c>
      <c r="CA7" s="12">
        <v>5</v>
      </c>
      <c r="CB7" s="12">
        <v>5</v>
      </c>
      <c r="CC7" s="12">
        <v>5</v>
      </c>
      <c r="CD7" s="12">
        <v>5</v>
      </c>
      <c r="CE7" s="12">
        <v>5</v>
      </c>
      <c r="CF7" s="12">
        <v>5</v>
      </c>
      <c r="CG7" s="12">
        <v>5</v>
      </c>
      <c r="CH7" s="12">
        <v>5</v>
      </c>
      <c r="CI7" s="12">
        <v>5</v>
      </c>
      <c r="CJ7" s="12">
        <v>5</v>
      </c>
      <c r="CK7" s="12">
        <v>5</v>
      </c>
      <c r="CL7" s="12">
        <v>5</v>
      </c>
      <c r="CM7" s="12">
        <v>5</v>
      </c>
      <c r="CN7" s="12">
        <v>5</v>
      </c>
      <c r="CO7" s="12">
        <v>5</v>
      </c>
      <c r="CP7" s="12">
        <v>5</v>
      </c>
      <c r="CQ7" s="12">
        <v>5</v>
      </c>
      <c r="CR7" s="12">
        <v>5</v>
      </c>
      <c r="CS7" s="12">
        <v>5</v>
      </c>
      <c r="CT7" s="12">
        <v>5</v>
      </c>
      <c r="CU7" s="12"/>
      <c r="CV7" s="12"/>
      <c r="CW7" s="12"/>
      <c r="CX7" s="12"/>
    </row>
    <row r="8" spans="1:102" ht="13">
      <c r="A8" s="20" t="s">
        <v>22</v>
      </c>
      <c r="B8" s="21" t="s">
        <v>23</v>
      </c>
      <c r="D8" s="22">
        <v>1</v>
      </c>
      <c r="E8" s="22">
        <v>1</v>
      </c>
      <c r="F8" s="22">
        <v>1</v>
      </c>
      <c r="G8" s="22">
        <v>2</v>
      </c>
      <c r="H8" s="22">
        <v>4</v>
      </c>
      <c r="I8" s="22">
        <v>2</v>
      </c>
      <c r="J8" s="22">
        <v>0</v>
      </c>
      <c r="K8" s="22">
        <v>3</v>
      </c>
      <c r="L8" s="23">
        <v>1</v>
      </c>
      <c r="M8" s="23">
        <v>3</v>
      </c>
      <c r="N8" s="23">
        <v>5</v>
      </c>
      <c r="O8" s="23">
        <v>1</v>
      </c>
      <c r="P8" s="23">
        <v>3</v>
      </c>
      <c r="Q8" s="23">
        <v>2</v>
      </c>
      <c r="R8" s="23">
        <v>0</v>
      </c>
      <c r="S8" s="23">
        <v>0</v>
      </c>
      <c r="T8" s="23">
        <v>1</v>
      </c>
      <c r="U8" s="23">
        <v>3</v>
      </c>
      <c r="V8" s="23">
        <v>0</v>
      </c>
      <c r="W8" s="23">
        <v>2</v>
      </c>
      <c r="X8" s="23">
        <v>1</v>
      </c>
      <c r="Y8" s="23">
        <v>0</v>
      </c>
      <c r="Z8" s="23">
        <v>1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2</v>
      </c>
      <c r="AG8" s="23">
        <v>3</v>
      </c>
      <c r="AH8" s="23">
        <v>2</v>
      </c>
      <c r="AI8" s="23">
        <v>1</v>
      </c>
      <c r="AJ8" s="24"/>
      <c r="AK8" s="23">
        <v>1</v>
      </c>
      <c r="AL8" s="23">
        <v>0</v>
      </c>
      <c r="AM8" s="23">
        <v>5</v>
      </c>
      <c r="AN8" s="23">
        <v>0</v>
      </c>
      <c r="AO8" s="23">
        <v>1</v>
      </c>
      <c r="AP8" s="23">
        <v>4</v>
      </c>
      <c r="AQ8" s="23">
        <v>3</v>
      </c>
      <c r="AR8" s="23">
        <v>1</v>
      </c>
      <c r="AS8" s="23">
        <v>0</v>
      </c>
      <c r="AT8" s="23">
        <v>3</v>
      </c>
      <c r="AU8" s="23">
        <v>0</v>
      </c>
      <c r="AV8" s="23">
        <v>0</v>
      </c>
      <c r="AW8" s="23">
        <v>0</v>
      </c>
      <c r="AX8" s="23">
        <v>0</v>
      </c>
      <c r="AY8" s="23">
        <v>3</v>
      </c>
      <c r="AZ8" s="23">
        <v>1</v>
      </c>
      <c r="BA8" s="23">
        <v>1</v>
      </c>
      <c r="BB8" s="23">
        <v>1</v>
      </c>
      <c r="BC8" s="23">
        <v>1</v>
      </c>
      <c r="BD8" s="23">
        <v>0</v>
      </c>
      <c r="BE8" s="23">
        <v>1</v>
      </c>
      <c r="BF8" s="23">
        <v>1</v>
      </c>
      <c r="BG8" s="23">
        <v>1</v>
      </c>
      <c r="BH8" s="23">
        <v>2</v>
      </c>
      <c r="BI8" s="23">
        <v>2</v>
      </c>
      <c r="BJ8" s="23">
        <v>1</v>
      </c>
      <c r="BK8" s="23">
        <v>4</v>
      </c>
      <c r="BL8" s="23">
        <v>8</v>
      </c>
      <c r="BM8" s="23">
        <v>2</v>
      </c>
      <c r="BN8" s="23">
        <v>3</v>
      </c>
      <c r="BO8" s="23">
        <v>8</v>
      </c>
      <c r="BP8" s="23">
        <v>2</v>
      </c>
      <c r="BQ8" s="23">
        <v>0</v>
      </c>
      <c r="BR8" s="23">
        <v>4</v>
      </c>
      <c r="BS8" s="23">
        <v>1</v>
      </c>
      <c r="BT8" s="23">
        <v>1</v>
      </c>
      <c r="BU8" s="23">
        <v>1</v>
      </c>
      <c r="BV8" s="23">
        <v>1</v>
      </c>
      <c r="BW8" s="23">
        <v>2</v>
      </c>
      <c r="BX8" s="23">
        <v>2</v>
      </c>
      <c r="BY8" s="23">
        <v>4</v>
      </c>
      <c r="BZ8" s="23">
        <v>3</v>
      </c>
      <c r="CA8" s="23">
        <v>1</v>
      </c>
      <c r="CB8" s="23">
        <v>4</v>
      </c>
      <c r="CC8" s="23">
        <v>1</v>
      </c>
      <c r="CD8" s="23">
        <v>1</v>
      </c>
      <c r="CE8" s="23">
        <v>2</v>
      </c>
      <c r="CF8" s="23">
        <v>2</v>
      </c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</row>
    <row r="9" spans="1:102" ht="13">
      <c r="A9" s="69" t="s">
        <v>24</v>
      </c>
      <c r="B9" s="10" t="s">
        <v>25</v>
      </c>
      <c r="D9" s="11">
        <v>5</v>
      </c>
      <c r="E9" s="11">
        <v>4</v>
      </c>
      <c r="F9" s="11">
        <v>18</v>
      </c>
      <c r="G9" s="25"/>
      <c r="H9" s="11">
        <v>16</v>
      </c>
      <c r="I9" s="25"/>
      <c r="J9" s="12"/>
      <c r="K9" s="12">
        <v>41</v>
      </c>
      <c r="L9" s="12">
        <v>38</v>
      </c>
      <c r="M9" s="12">
        <v>47</v>
      </c>
      <c r="N9" s="12">
        <v>56</v>
      </c>
      <c r="O9" s="12">
        <v>39</v>
      </c>
      <c r="P9" s="12">
        <v>41</v>
      </c>
      <c r="Q9" s="12">
        <v>51</v>
      </c>
      <c r="R9" s="12">
        <v>44</v>
      </c>
      <c r="S9" s="12">
        <v>44</v>
      </c>
      <c r="T9" s="12">
        <v>55</v>
      </c>
      <c r="U9" s="12">
        <v>52</v>
      </c>
      <c r="V9" s="12">
        <v>52</v>
      </c>
      <c r="W9" s="12">
        <v>50</v>
      </c>
      <c r="X9" s="12">
        <v>52</v>
      </c>
      <c r="Y9" s="12">
        <v>49</v>
      </c>
      <c r="Z9" s="12">
        <v>50</v>
      </c>
      <c r="AA9" s="12">
        <v>49</v>
      </c>
      <c r="AB9" s="12">
        <v>48</v>
      </c>
      <c r="AC9" s="12">
        <v>48</v>
      </c>
      <c r="AD9" s="12">
        <v>48</v>
      </c>
      <c r="AE9" s="12">
        <v>48</v>
      </c>
      <c r="AF9" s="12">
        <v>46</v>
      </c>
      <c r="AG9" s="12">
        <v>43</v>
      </c>
      <c r="AH9" s="12">
        <v>42</v>
      </c>
      <c r="AI9" s="12">
        <v>41</v>
      </c>
      <c r="AJ9" s="13"/>
      <c r="AK9" s="12">
        <v>40</v>
      </c>
      <c r="AL9" s="12">
        <v>40</v>
      </c>
      <c r="AM9" s="12">
        <v>35</v>
      </c>
      <c r="AN9" s="12">
        <v>35</v>
      </c>
      <c r="AO9" s="12">
        <v>34</v>
      </c>
      <c r="AP9" s="12">
        <v>29</v>
      </c>
      <c r="AQ9" s="12">
        <v>26</v>
      </c>
      <c r="AR9" s="12">
        <v>26</v>
      </c>
      <c r="AS9" s="12">
        <v>26</v>
      </c>
      <c r="AT9" s="12">
        <v>24</v>
      </c>
      <c r="AU9" s="12">
        <v>24</v>
      </c>
      <c r="AV9" s="12">
        <v>24</v>
      </c>
      <c r="AW9" s="12">
        <v>24</v>
      </c>
      <c r="AX9" s="12">
        <v>24</v>
      </c>
      <c r="AY9" s="12">
        <v>21</v>
      </c>
      <c r="AZ9" s="12">
        <v>179</v>
      </c>
      <c r="BA9" s="12">
        <v>178</v>
      </c>
      <c r="BB9" s="12">
        <v>177</v>
      </c>
      <c r="BC9" s="12">
        <v>176</v>
      </c>
      <c r="BD9" s="12">
        <v>175</v>
      </c>
      <c r="BE9" s="12">
        <v>175</v>
      </c>
      <c r="BF9" s="12">
        <v>174</v>
      </c>
      <c r="BG9" s="12">
        <v>174</v>
      </c>
      <c r="BH9" s="12">
        <v>176</v>
      </c>
      <c r="BI9" s="12">
        <v>174</v>
      </c>
      <c r="BJ9" s="12">
        <v>172</v>
      </c>
      <c r="BK9" s="12">
        <v>171</v>
      </c>
      <c r="BL9" s="12">
        <v>167</v>
      </c>
      <c r="BM9" s="12">
        <v>159</v>
      </c>
      <c r="BN9" s="12">
        <v>157</v>
      </c>
      <c r="BO9" s="12">
        <v>154</v>
      </c>
      <c r="BP9" s="12">
        <v>152</v>
      </c>
      <c r="BQ9" s="12">
        <v>152</v>
      </c>
      <c r="BR9" s="12">
        <v>148</v>
      </c>
      <c r="BS9" s="12">
        <v>147</v>
      </c>
      <c r="BT9" s="12">
        <v>146</v>
      </c>
      <c r="BU9" s="12">
        <v>145</v>
      </c>
      <c r="BV9" s="12">
        <v>144</v>
      </c>
      <c r="BW9" s="12">
        <v>142</v>
      </c>
      <c r="BX9" s="12">
        <v>140</v>
      </c>
      <c r="BY9" s="12">
        <v>140</v>
      </c>
      <c r="BZ9" s="12">
        <v>170</v>
      </c>
      <c r="CA9" s="12">
        <v>169</v>
      </c>
      <c r="CB9" s="12">
        <v>165</v>
      </c>
      <c r="CC9" s="12">
        <v>164</v>
      </c>
      <c r="CD9" s="12">
        <v>163</v>
      </c>
      <c r="CE9" s="12">
        <v>162</v>
      </c>
      <c r="CF9" s="12">
        <v>144</v>
      </c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</row>
    <row r="10" spans="1:102" ht="13">
      <c r="A10" s="68"/>
      <c r="B10" s="10" t="s">
        <v>26</v>
      </c>
      <c r="D10" s="11">
        <v>60</v>
      </c>
      <c r="E10" s="11">
        <v>76</v>
      </c>
      <c r="F10" s="11">
        <v>76</v>
      </c>
      <c r="G10" s="25"/>
      <c r="H10" s="13">
        <v>76</v>
      </c>
      <c r="I10" s="13"/>
      <c r="J10" s="13"/>
      <c r="K10" s="12">
        <v>45</v>
      </c>
      <c r="L10" s="12">
        <v>45</v>
      </c>
      <c r="M10" s="12">
        <v>35</v>
      </c>
      <c r="N10" s="12">
        <v>20</v>
      </c>
      <c r="O10" s="12">
        <v>33</v>
      </c>
      <c r="P10" s="12">
        <v>32</v>
      </c>
      <c r="Q10" s="12">
        <v>17</v>
      </c>
      <c r="R10" s="12">
        <v>24</v>
      </c>
      <c r="S10" s="12">
        <v>24</v>
      </c>
      <c r="T10" s="12">
        <v>4</v>
      </c>
      <c r="U10" s="12">
        <v>4</v>
      </c>
      <c r="V10" s="12">
        <v>4</v>
      </c>
      <c r="W10" s="12">
        <v>4</v>
      </c>
      <c r="X10" s="12">
        <v>2</v>
      </c>
      <c r="Y10" s="12">
        <v>4</v>
      </c>
      <c r="Z10" s="12">
        <v>0</v>
      </c>
      <c r="AA10" s="12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6</v>
      </c>
      <c r="AI10" s="12">
        <v>5</v>
      </c>
      <c r="AJ10" s="13"/>
      <c r="AK10" s="12">
        <v>5</v>
      </c>
      <c r="AL10" s="12">
        <v>5</v>
      </c>
      <c r="AM10" s="12">
        <v>5</v>
      </c>
      <c r="AN10" s="12">
        <v>5</v>
      </c>
      <c r="AO10" s="12">
        <v>5</v>
      </c>
      <c r="AP10" s="12">
        <v>4</v>
      </c>
      <c r="AQ10" s="12">
        <v>4</v>
      </c>
      <c r="AR10" s="12">
        <v>3</v>
      </c>
      <c r="AS10" s="12">
        <v>3</v>
      </c>
      <c r="AT10" s="12">
        <v>2</v>
      </c>
      <c r="AU10" s="12">
        <v>2</v>
      </c>
      <c r="AV10" s="12">
        <v>2</v>
      </c>
      <c r="AW10" s="12">
        <v>2</v>
      </c>
      <c r="AX10" s="12">
        <v>2</v>
      </c>
      <c r="AY10" s="12">
        <v>2</v>
      </c>
      <c r="AZ10" s="12">
        <v>41</v>
      </c>
      <c r="BA10" s="12">
        <v>41</v>
      </c>
      <c r="BB10" s="12">
        <v>41</v>
      </c>
      <c r="BC10" s="12">
        <v>41</v>
      </c>
      <c r="BD10" s="12">
        <v>41</v>
      </c>
      <c r="BE10" s="12">
        <v>41</v>
      </c>
      <c r="BF10" s="12">
        <v>41</v>
      </c>
      <c r="BG10" s="12">
        <v>40</v>
      </c>
      <c r="BH10" s="12">
        <v>37</v>
      </c>
      <c r="BI10" s="12">
        <v>37</v>
      </c>
      <c r="BJ10" s="12">
        <v>37</v>
      </c>
      <c r="BK10" s="12">
        <v>37</v>
      </c>
      <c r="BL10" s="12">
        <v>37</v>
      </c>
      <c r="BM10" s="12">
        <v>37</v>
      </c>
      <c r="BN10" s="12">
        <v>37</v>
      </c>
      <c r="BO10" s="12">
        <v>37</v>
      </c>
      <c r="BP10" s="12">
        <v>37</v>
      </c>
      <c r="BQ10" s="12">
        <v>37</v>
      </c>
      <c r="BR10" s="12">
        <v>37</v>
      </c>
      <c r="BS10" s="12">
        <v>37</v>
      </c>
      <c r="BT10" s="12">
        <v>37</v>
      </c>
      <c r="BU10" s="12">
        <v>37</v>
      </c>
      <c r="BV10" s="12">
        <v>37</v>
      </c>
      <c r="BW10" s="12">
        <v>37</v>
      </c>
      <c r="BX10" s="12">
        <v>37</v>
      </c>
      <c r="BY10" s="12">
        <v>33</v>
      </c>
      <c r="BZ10" s="12">
        <v>3</v>
      </c>
      <c r="CA10" s="12">
        <v>3</v>
      </c>
      <c r="CB10" s="12">
        <v>3</v>
      </c>
      <c r="CC10" s="12">
        <v>3</v>
      </c>
      <c r="CD10" s="12">
        <v>3</v>
      </c>
      <c r="CE10" s="12">
        <v>3</v>
      </c>
      <c r="CF10" s="12">
        <v>3</v>
      </c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</row>
    <row r="11" spans="1:102" ht="13">
      <c r="A11" s="68"/>
      <c r="B11" s="10" t="s">
        <v>27</v>
      </c>
      <c r="D11" s="13">
        <f t="shared" ref="D11:AI11" si="1">D9/D8</f>
        <v>5</v>
      </c>
      <c r="E11" s="13">
        <f t="shared" si="1"/>
        <v>4</v>
      </c>
      <c r="F11" s="13">
        <f t="shared" si="1"/>
        <v>18</v>
      </c>
      <c r="G11" s="13">
        <f t="shared" si="1"/>
        <v>0</v>
      </c>
      <c r="H11" s="13">
        <f t="shared" si="1"/>
        <v>4</v>
      </c>
      <c r="I11" s="13">
        <f t="shared" si="1"/>
        <v>0</v>
      </c>
      <c r="J11" s="13" t="e">
        <f t="shared" si="1"/>
        <v>#DIV/0!</v>
      </c>
      <c r="K11" s="13">
        <f t="shared" si="1"/>
        <v>13.666666666666666</v>
      </c>
      <c r="L11" s="13">
        <f t="shared" si="1"/>
        <v>38</v>
      </c>
      <c r="M11" s="13">
        <f t="shared" si="1"/>
        <v>15.666666666666666</v>
      </c>
      <c r="N11" s="13">
        <f t="shared" si="1"/>
        <v>11.2</v>
      </c>
      <c r="O11" s="13">
        <f t="shared" si="1"/>
        <v>39</v>
      </c>
      <c r="P11" s="13">
        <f t="shared" si="1"/>
        <v>13.666666666666666</v>
      </c>
      <c r="Q11" s="13">
        <f t="shared" si="1"/>
        <v>25.5</v>
      </c>
      <c r="R11" s="13" t="e">
        <f t="shared" si="1"/>
        <v>#DIV/0!</v>
      </c>
      <c r="S11" s="13" t="e">
        <f t="shared" si="1"/>
        <v>#DIV/0!</v>
      </c>
      <c r="T11" s="13">
        <f t="shared" si="1"/>
        <v>55</v>
      </c>
      <c r="U11" s="13">
        <f t="shared" si="1"/>
        <v>17.333333333333332</v>
      </c>
      <c r="V11" s="13" t="e">
        <f t="shared" si="1"/>
        <v>#DIV/0!</v>
      </c>
      <c r="W11" s="13">
        <f t="shared" si="1"/>
        <v>25</v>
      </c>
      <c r="X11" s="13">
        <f t="shared" si="1"/>
        <v>52</v>
      </c>
      <c r="Y11" s="13" t="e">
        <f t="shared" si="1"/>
        <v>#DIV/0!</v>
      </c>
      <c r="Z11" s="13">
        <f t="shared" si="1"/>
        <v>50</v>
      </c>
      <c r="AA11" s="13" t="e">
        <f t="shared" si="1"/>
        <v>#DIV/0!</v>
      </c>
      <c r="AB11" s="13" t="e">
        <f t="shared" si="1"/>
        <v>#DIV/0!</v>
      </c>
      <c r="AC11" s="13" t="e">
        <f t="shared" si="1"/>
        <v>#DIV/0!</v>
      </c>
      <c r="AD11" s="13" t="e">
        <f t="shared" si="1"/>
        <v>#DIV/0!</v>
      </c>
      <c r="AE11" s="13" t="e">
        <f t="shared" si="1"/>
        <v>#DIV/0!</v>
      </c>
      <c r="AF11" s="13">
        <f t="shared" si="1"/>
        <v>23</v>
      </c>
      <c r="AG11" s="13">
        <f t="shared" si="1"/>
        <v>14.333333333333334</v>
      </c>
      <c r="AH11" s="13">
        <f t="shared" si="1"/>
        <v>21</v>
      </c>
      <c r="AI11" s="13">
        <f t="shared" si="1"/>
        <v>41</v>
      </c>
      <c r="AJ11" s="13"/>
      <c r="AK11" s="13">
        <f t="shared" ref="AK11:CF11" si="2">AK9/AK8</f>
        <v>40</v>
      </c>
      <c r="AL11" s="13" t="e">
        <f t="shared" si="2"/>
        <v>#DIV/0!</v>
      </c>
      <c r="AM11" s="13">
        <f t="shared" si="2"/>
        <v>7</v>
      </c>
      <c r="AN11" s="13" t="e">
        <f t="shared" si="2"/>
        <v>#DIV/0!</v>
      </c>
      <c r="AO11" s="13">
        <f t="shared" si="2"/>
        <v>34</v>
      </c>
      <c r="AP11" s="13">
        <f t="shared" si="2"/>
        <v>7.25</v>
      </c>
      <c r="AQ11" s="13">
        <f t="shared" si="2"/>
        <v>8.6666666666666661</v>
      </c>
      <c r="AR11" s="13">
        <f t="shared" si="2"/>
        <v>26</v>
      </c>
      <c r="AS11" s="13" t="e">
        <f t="shared" si="2"/>
        <v>#DIV/0!</v>
      </c>
      <c r="AT11" s="13">
        <f t="shared" si="2"/>
        <v>8</v>
      </c>
      <c r="AU11" s="13" t="e">
        <f t="shared" si="2"/>
        <v>#DIV/0!</v>
      </c>
      <c r="AV11" s="13" t="e">
        <f t="shared" si="2"/>
        <v>#DIV/0!</v>
      </c>
      <c r="AW11" s="13" t="e">
        <f t="shared" si="2"/>
        <v>#DIV/0!</v>
      </c>
      <c r="AX11" s="13" t="e">
        <f t="shared" si="2"/>
        <v>#DIV/0!</v>
      </c>
      <c r="AY11" s="13">
        <f t="shared" si="2"/>
        <v>7</v>
      </c>
      <c r="AZ11" s="13">
        <f t="shared" si="2"/>
        <v>179</v>
      </c>
      <c r="BA11" s="13">
        <f t="shared" si="2"/>
        <v>178</v>
      </c>
      <c r="BB11" s="13">
        <f t="shared" si="2"/>
        <v>177</v>
      </c>
      <c r="BC11" s="13">
        <f t="shared" si="2"/>
        <v>176</v>
      </c>
      <c r="BD11" s="13" t="e">
        <f t="shared" si="2"/>
        <v>#DIV/0!</v>
      </c>
      <c r="BE11" s="13">
        <f t="shared" si="2"/>
        <v>175</v>
      </c>
      <c r="BF11" s="13">
        <f t="shared" si="2"/>
        <v>174</v>
      </c>
      <c r="BG11" s="13">
        <f t="shared" si="2"/>
        <v>174</v>
      </c>
      <c r="BH11" s="13">
        <f t="shared" si="2"/>
        <v>88</v>
      </c>
      <c r="BI11" s="13">
        <f t="shared" si="2"/>
        <v>87</v>
      </c>
      <c r="BJ11" s="13">
        <f t="shared" si="2"/>
        <v>172</v>
      </c>
      <c r="BK11" s="13">
        <f t="shared" si="2"/>
        <v>42.75</v>
      </c>
      <c r="BL11" s="13">
        <f t="shared" si="2"/>
        <v>20.875</v>
      </c>
      <c r="BM11" s="13">
        <f t="shared" si="2"/>
        <v>79.5</v>
      </c>
      <c r="BN11" s="13">
        <f t="shared" si="2"/>
        <v>52.333333333333336</v>
      </c>
      <c r="BO11" s="13">
        <f t="shared" si="2"/>
        <v>19.25</v>
      </c>
      <c r="BP11" s="13">
        <f t="shared" si="2"/>
        <v>76</v>
      </c>
      <c r="BQ11" s="13" t="e">
        <f t="shared" si="2"/>
        <v>#DIV/0!</v>
      </c>
      <c r="BR11" s="13">
        <f t="shared" si="2"/>
        <v>37</v>
      </c>
      <c r="BS11" s="13">
        <f t="shared" si="2"/>
        <v>147</v>
      </c>
      <c r="BT11" s="13">
        <f t="shared" si="2"/>
        <v>146</v>
      </c>
      <c r="BU11" s="13">
        <f t="shared" si="2"/>
        <v>145</v>
      </c>
      <c r="BV11" s="13">
        <f t="shared" si="2"/>
        <v>144</v>
      </c>
      <c r="BW11" s="13">
        <f t="shared" si="2"/>
        <v>71</v>
      </c>
      <c r="BX11" s="13">
        <f t="shared" si="2"/>
        <v>70</v>
      </c>
      <c r="BY11" s="13">
        <f t="shared" si="2"/>
        <v>35</v>
      </c>
      <c r="BZ11" s="13">
        <f t="shared" si="2"/>
        <v>56.666666666666664</v>
      </c>
      <c r="CA11" s="13">
        <f t="shared" si="2"/>
        <v>169</v>
      </c>
      <c r="CB11" s="13">
        <f t="shared" si="2"/>
        <v>41.25</v>
      </c>
      <c r="CC11" s="13">
        <f t="shared" si="2"/>
        <v>164</v>
      </c>
      <c r="CD11" s="13">
        <f t="shared" si="2"/>
        <v>163</v>
      </c>
      <c r="CE11" s="13">
        <f t="shared" si="2"/>
        <v>81</v>
      </c>
      <c r="CF11" s="13">
        <f t="shared" si="2"/>
        <v>72</v>
      </c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</row>
    <row r="12" spans="1:102" ht="13">
      <c r="A12" s="68"/>
      <c r="B12" s="10" t="s">
        <v>28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200</v>
      </c>
      <c r="T12" s="12">
        <v>200</v>
      </c>
      <c r="U12" s="12">
        <v>200</v>
      </c>
      <c r="V12" s="12">
        <v>200</v>
      </c>
      <c r="W12" s="12">
        <v>200</v>
      </c>
      <c r="X12" s="12">
        <v>200</v>
      </c>
      <c r="Y12" s="12">
        <v>200</v>
      </c>
      <c r="Z12" s="12">
        <v>200</v>
      </c>
      <c r="AA12" s="12">
        <v>200</v>
      </c>
      <c r="AB12" s="12">
        <v>200</v>
      </c>
      <c r="AC12" s="12">
        <v>200</v>
      </c>
      <c r="AD12" s="12">
        <v>200</v>
      </c>
      <c r="AE12" s="12">
        <v>200</v>
      </c>
      <c r="AF12" s="12">
        <v>200</v>
      </c>
      <c r="AG12" s="12">
        <v>200</v>
      </c>
      <c r="AH12" s="12">
        <v>200</v>
      </c>
      <c r="AI12" s="12">
        <v>200</v>
      </c>
      <c r="AJ12" s="13"/>
      <c r="AK12" s="12">
        <v>200</v>
      </c>
      <c r="AL12" s="12">
        <v>200</v>
      </c>
      <c r="AM12" s="12">
        <v>200</v>
      </c>
      <c r="AN12" s="12">
        <v>200</v>
      </c>
      <c r="AO12" s="12">
        <v>200</v>
      </c>
      <c r="AP12" s="12">
        <v>200</v>
      </c>
      <c r="AQ12" s="12">
        <v>200</v>
      </c>
      <c r="AR12" s="12">
        <v>200</v>
      </c>
      <c r="AS12" s="12">
        <v>200</v>
      </c>
      <c r="AT12" s="12">
        <v>200</v>
      </c>
      <c r="AU12" s="12">
        <v>200</v>
      </c>
      <c r="AV12" s="12">
        <v>200</v>
      </c>
      <c r="AW12" s="12">
        <v>200</v>
      </c>
      <c r="AX12" s="12">
        <v>200</v>
      </c>
      <c r="AY12" s="12">
        <v>200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</row>
    <row r="13" spans="1:102" ht="13">
      <c r="A13" s="26"/>
      <c r="B13" s="27" t="s">
        <v>29</v>
      </c>
      <c r="D13" s="25">
        <v>20.99</v>
      </c>
      <c r="E13" s="25">
        <v>20.99</v>
      </c>
      <c r="F13" s="25">
        <v>20.99</v>
      </c>
      <c r="G13" s="25">
        <v>20.99</v>
      </c>
      <c r="H13" s="25">
        <v>20.99</v>
      </c>
      <c r="I13" s="25">
        <v>20.99</v>
      </c>
      <c r="J13" s="25">
        <v>20.99</v>
      </c>
      <c r="K13" s="25">
        <v>20.99</v>
      </c>
      <c r="L13" s="11">
        <v>20.99</v>
      </c>
      <c r="M13" s="11">
        <v>20.99</v>
      </c>
      <c r="N13" s="11">
        <v>20.99</v>
      </c>
      <c r="O13" s="11">
        <v>21.99</v>
      </c>
      <c r="P13" s="11">
        <v>21.99</v>
      </c>
      <c r="Q13" s="11">
        <v>21.99</v>
      </c>
      <c r="R13" s="11">
        <v>21.99</v>
      </c>
      <c r="S13" s="11">
        <v>21.99</v>
      </c>
      <c r="T13" s="11">
        <v>21.99</v>
      </c>
      <c r="U13" s="11">
        <v>21.99</v>
      </c>
      <c r="V13" s="11">
        <v>21.99</v>
      </c>
      <c r="W13" s="11">
        <v>21.99</v>
      </c>
      <c r="X13" s="11">
        <v>21.99</v>
      </c>
      <c r="Y13" s="11">
        <v>21.99</v>
      </c>
      <c r="Z13" s="11">
        <v>21.99</v>
      </c>
      <c r="AA13" s="11">
        <v>21.99</v>
      </c>
      <c r="AB13" s="11">
        <v>21.99</v>
      </c>
      <c r="AC13" s="11">
        <v>21.99</v>
      </c>
      <c r="AD13" s="11">
        <v>21.99</v>
      </c>
      <c r="AE13" s="11">
        <v>21.99</v>
      </c>
      <c r="AF13" s="11">
        <v>21.99</v>
      </c>
      <c r="AG13" s="11">
        <v>21.99</v>
      </c>
      <c r="AH13" s="11">
        <v>21.99</v>
      </c>
      <c r="AI13" s="11">
        <v>21.99</v>
      </c>
      <c r="AJ13" s="11"/>
      <c r="AK13" s="11">
        <v>21.99</v>
      </c>
      <c r="AL13" s="11">
        <v>21.99</v>
      </c>
      <c r="AM13" s="11">
        <v>21.99</v>
      </c>
      <c r="AN13" s="11">
        <v>21.99</v>
      </c>
      <c r="AO13" s="11">
        <v>21.99</v>
      </c>
      <c r="AP13" s="11">
        <v>21.99</v>
      </c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2">
        <v>20.99</v>
      </c>
      <c r="BM13" s="12">
        <v>20.99</v>
      </c>
      <c r="BN13" s="12">
        <v>20.99</v>
      </c>
      <c r="BO13" s="12">
        <v>20.99</v>
      </c>
      <c r="BP13" s="12">
        <v>20.99</v>
      </c>
      <c r="BQ13" s="12">
        <v>20.99</v>
      </c>
      <c r="BR13" s="12">
        <v>20.99</v>
      </c>
      <c r="BS13" s="12">
        <v>20.99</v>
      </c>
      <c r="BT13" s="12">
        <v>20.99</v>
      </c>
      <c r="BU13" s="12">
        <v>20.99</v>
      </c>
      <c r="BV13" s="12">
        <v>20.99</v>
      </c>
      <c r="BW13" s="12">
        <v>20.99</v>
      </c>
      <c r="BX13" s="12">
        <v>20.99</v>
      </c>
      <c r="BY13" s="12">
        <v>20.99</v>
      </c>
      <c r="BZ13" s="12">
        <v>20.99</v>
      </c>
      <c r="CA13" s="12">
        <v>20.99</v>
      </c>
      <c r="CB13" s="12">
        <v>20.99</v>
      </c>
      <c r="CC13" s="12">
        <v>20.99</v>
      </c>
      <c r="CD13" s="12">
        <v>20.99</v>
      </c>
      <c r="CE13" s="12">
        <v>20.99</v>
      </c>
      <c r="CF13" s="12">
        <v>20.99</v>
      </c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</row>
    <row r="14" spans="1:102" ht="13">
      <c r="A14" s="26"/>
      <c r="B14" s="10" t="s">
        <v>30</v>
      </c>
      <c r="D14" s="11">
        <v>3.15</v>
      </c>
      <c r="E14" s="11">
        <v>3.15</v>
      </c>
      <c r="F14" s="11">
        <v>3.15</v>
      </c>
      <c r="G14" s="11">
        <v>3.15</v>
      </c>
      <c r="H14" s="11">
        <v>3.15</v>
      </c>
      <c r="I14" s="11">
        <v>3.15</v>
      </c>
      <c r="J14" s="11">
        <v>3.15</v>
      </c>
      <c r="K14" s="11">
        <v>3.15</v>
      </c>
      <c r="L14" s="11">
        <v>3.15</v>
      </c>
      <c r="M14" s="11">
        <v>3.15</v>
      </c>
      <c r="N14" s="11">
        <v>3.15</v>
      </c>
      <c r="O14" s="11">
        <v>3.15</v>
      </c>
      <c r="P14" s="11">
        <v>3.15</v>
      </c>
      <c r="Q14" s="11">
        <v>3.15</v>
      </c>
      <c r="R14" s="11">
        <v>3.15</v>
      </c>
      <c r="S14" s="11">
        <v>3.15</v>
      </c>
      <c r="T14" s="11">
        <v>3.15</v>
      </c>
      <c r="U14" s="11">
        <v>3.15</v>
      </c>
      <c r="V14" s="11">
        <v>3.15</v>
      </c>
      <c r="W14" s="11">
        <v>3.15</v>
      </c>
      <c r="X14" s="11">
        <v>3.15</v>
      </c>
      <c r="Y14" s="11">
        <v>3.15</v>
      </c>
      <c r="Z14" s="11">
        <v>3.15</v>
      </c>
      <c r="AA14" s="11">
        <v>3.15</v>
      </c>
      <c r="AB14" s="11">
        <v>3.15</v>
      </c>
      <c r="AC14" s="11">
        <v>3.15</v>
      </c>
      <c r="AD14" s="11">
        <v>3.15</v>
      </c>
      <c r="AE14" s="11">
        <v>3.15</v>
      </c>
      <c r="AF14" s="11">
        <v>3.15</v>
      </c>
      <c r="AG14" s="11">
        <v>3.15</v>
      </c>
      <c r="AH14" s="11">
        <v>3.15</v>
      </c>
      <c r="AI14" s="11">
        <v>3.15</v>
      </c>
      <c r="AJ14" s="11"/>
      <c r="AK14" s="11">
        <v>3.15</v>
      </c>
      <c r="AL14" s="11">
        <v>3.15</v>
      </c>
      <c r="AM14" s="11">
        <v>3.15</v>
      </c>
      <c r="AN14" s="11">
        <v>3.15</v>
      </c>
      <c r="AO14" s="11">
        <v>3.15</v>
      </c>
      <c r="AP14" s="11">
        <v>3.15</v>
      </c>
      <c r="AQ14" s="11">
        <v>3.15</v>
      </c>
      <c r="AR14" s="11">
        <v>3.15</v>
      </c>
      <c r="AS14" s="11">
        <v>3.15</v>
      </c>
      <c r="AT14" s="11">
        <v>3.15</v>
      </c>
      <c r="AU14" s="11">
        <v>3.15</v>
      </c>
      <c r="AV14" s="11">
        <v>3.15</v>
      </c>
      <c r="AW14" s="11">
        <v>3.15</v>
      </c>
      <c r="AX14" s="11">
        <v>3.15</v>
      </c>
      <c r="AY14" s="11">
        <v>3.15</v>
      </c>
      <c r="AZ14" s="11">
        <v>3.15</v>
      </c>
      <c r="BA14" s="11">
        <v>3.15</v>
      </c>
      <c r="BB14" s="11">
        <v>3.15</v>
      </c>
      <c r="BC14" s="11">
        <v>3.15</v>
      </c>
      <c r="BD14" s="11">
        <v>3.15</v>
      </c>
      <c r="BE14" s="11">
        <v>3.15</v>
      </c>
      <c r="BF14" s="11">
        <v>3.15</v>
      </c>
      <c r="BG14" s="11">
        <v>3.15</v>
      </c>
      <c r="BH14" s="11">
        <v>3.15</v>
      </c>
      <c r="BI14" s="11">
        <v>3.15</v>
      </c>
      <c r="BJ14" s="11">
        <v>3.15</v>
      </c>
      <c r="BK14" s="11">
        <v>3.15</v>
      </c>
      <c r="BL14" s="11">
        <v>3.15</v>
      </c>
      <c r="BM14" s="11">
        <v>3.15</v>
      </c>
      <c r="BN14" s="11">
        <v>3.15</v>
      </c>
      <c r="BO14" s="11">
        <v>3.15</v>
      </c>
      <c r="BP14" s="11">
        <v>3.15</v>
      </c>
      <c r="BQ14" s="11">
        <v>3.15</v>
      </c>
      <c r="BR14" s="11">
        <v>3.15</v>
      </c>
      <c r="BS14" s="11">
        <v>3.15</v>
      </c>
      <c r="BT14" s="11">
        <v>3.15</v>
      </c>
      <c r="BU14" s="11">
        <v>3.15</v>
      </c>
      <c r="BV14" s="11">
        <v>3.15</v>
      </c>
      <c r="BW14" s="11">
        <v>3.15</v>
      </c>
      <c r="BX14" s="11">
        <v>3.15</v>
      </c>
      <c r="BY14" s="11">
        <v>3.15</v>
      </c>
      <c r="BZ14" s="11">
        <v>3.15</v>
      </c>
      <c r="CA14" s="11">
        <v>3.15</v>
      </c>
      <c r="CB14" s="11">
        <v>3.15</v>
      </c>
      <c r="CC14" s="11">
        <v>3.15</v>
      </c>
      <c r="CD14" s="11">
        <v>3.15</v>
      </c>
      <c r="CE14" s="11">
        <v>3.15</v>
      </c>
      <c r="CF14" s="11">
        <v>3.15</v>
      </c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</row>
    <row r="15" spans="1:102" ht="13">
      <c r="A15" s="26"/>
      <c r="B15" s="10" t="s">
        <v>31</v>
      </c>
      <c r="D15" s="11">
        <v>19.600000000000001</v>
      </c>
      <c r="E15" s="11">
        <v>19.600000000000001</v>
      </c>
      <c r="F15" s="11">
        <v>19.600000000000001</v>
      </c>
      <c r="G15" s="11">
        <v>19.600000000000001</v>
      </c>
      <c r="H15" s="11">
        <v>19.600000000000001</v>
      </c>
      <c r="I15" s="11">
        <v>19.600000000000001</v>
      </c>
      <c r="J15" s="11">
        <v>19.600000000000001</v>
      </c>
      <c r="K15" s="11">
        <v>19.600000000000001</v>
      </c>
      <c r="L15" s="11">
        <v>19.600000000000001</v>
      </c>
      <c r="M15" s="11">
        <v>19.600000000000001</v>
      </c>
      <c r="N15" s="11">
        <v>19.600000000000001</v>
      </c>
      <c r="O15" s="11">
        <v>19.600000000000001</v>
      </c>
      <c r="P15" s="11">
        <v>19.600000000000001</v>
      </c>
      <c r="Q15" s="11">
        <v>19.600000000000001</v>
      </c>
      <c r="R15" s="11">
        <v>19.600000000000001</v>
      </c>
      <c r="S15" s="11">
        <v>19.600000000000001</v>
      </c>
      <c r="T15" s="11">
        <v>19.600000000000001</v>
      </c>
      <c r="U15" s="11">
        <v>19.600000000000001</v>
      </c>
      <c r="V15" s="11">
        <v>19.600000000000001</v>
      </c>
      <c r="W15" s="11">
        <v>19.600000000000001</v>
      </c>
      <c r="X15" s="11">
        <v>19.600000000000001</v>
      </c>
      <c r="Y15" s="11">
        <v>19.600000000000001</v>
      </c>
      <c r="Z15" s="11">
        <v>19.600000000000001</v>
      </c>
      <c r="AA15" s="11">
        <v>19.600000000000001</v>
      </c>
      <c r="AB15" s="11">
        <v>19.600000000000001</v>
      </c>
      <c r="AC15" s="11">
        <v>19.600000000000001</v>
      </c>
      <c r="AD15" s="11">
        <v>19.600000000000001</v>
      </c>
      <c r="AE15" s="11">
        <v>19.600000000000001</v>
      </c>
      <c r="AF15" s="11">
        <v>19.600000000000001</v>
      </c>
      <c r="AG15" s="11">
        <v>19.600000000000001</v>
      </c>
      <c r="AH15" s="11">
        <v>19.600000000000001</v>
      </c>
      <c r="AI15" s="11">
        <v>19.600000000000001</v>
      </c>
      <c r="AJ15" s="11"/>
      <c r="AK15" s="11">
        <v>19.600000000000001</v>
      </c>
      <c r="AL15" s="11">
        <v>19.600000000000001</v>
      </c>
      <c r="AM15" s="11">
        <v>19.600000000000001</v>
      </c>
      <c r="AN15" s="11">
        <v>19.600000000000001</v>
      </c>
      <c r="AO15" s="11">
        <v>19.600000000000001</v>
      </c>
      <c r="AP15" s="11">
        <v>19.600000000000001</v>
      </c>
      <c r="AQ15" s="11">
        <v>19.600000000000001</v>
      </c>
      <c r="AR15" s="11">
        <v>19.600000000000001</v>
      </c>
      <c r="AS15" s="11">
        <v>19.600000000000001</v>
      </c>
      <c r="AT15" s="11">
        <v>19.600000000000001</v>
      </c>
      <c r="AU15" s="11">
        <v>19.600000000000001</v>
      </c>
      <c r="AV15" s="11">
        <v>19.600000000000001</v>
      </c>
      <c r="AW15" s="11">
        <v>19.600000000000001</v>
      </c>
      <c r="AX15" s="11">
        <v>19.600000000000001</v>
      </c>
      <c r="AY15" s="11">
        <v>19.600000000000001</v>
      </c>
      <c r="AZ15" s="11">
        <v>19.600000000000001</v>
      </c>
      <c r="BA15" s="11">
        <v>19.600000000000001</v>
      </c>
      <c r="BB15" s="11">
        <v>19.600000000000001</v>
      </c>
      <c r="BC15" s="11">
        <v>19.600000000000001</v>
      </c>
      <c r="BD15" s="11">
        <v>19.600000000000001</v>
      </c>
      <c r="BE15" s="11">
        <v>19.600000000000001</v>
      </c>
      <c r="BF15" s="11">
        <v>19.600000000000001</v>
      </c>
      <c r="BG15" s="11">
        <v>19.600000000000001</v>
      </c>
      <c r="BH15" s="11">
        <v>19.600000000000001</v>
      </c>
      <c r="BI15" s="11">
        <v>19.600000000000001</v>
      </c>
      <c r="BJ15" s="11">
        <v>19.600000000000001</v>
      </c>
      <c r="BK15" s="11">
        <v>19.600000000000001</v>
      </c>
      <c r="BL15" s="11">
        <v>19.600000000000001</v>
      </c>
      <c r="BM15" s="11">
        <v>19.600000000000001</v>
      </c>
      <c r="BN15" s="11">
        <v>19.600000000000001</v>
      </c>
      <c r="BO15" s="11">
        <v>19.600000000000001</v>
      </c>
      <c r="BP15" s="11">
        <v>19.600000000000001</v>
      </c>
      <c r="BQ15" s="11">
        <v>19.600000000000001</v>
      </c>
      <c r="BR15" s="11">
        <v>19.600000000000001</v>
      </c>
      <c r="BS15" s="11">
        <v>19.600000000000001</v>
      </c>
      <c r="BT15" s="11">
        <v>19.600000000000001</v>
      </c>
      <c r="BU15" s="11">
        <v>19.600000000000001</v>
      </c>
      <c r="BV15" s="11">
        <v>19.600000000000001</v>
      </c>
      <c r="BW15" s="11">
        <v>19.600000000000001</v>
      </c>
      <c r="BX15" s="11">
        <v>19.600000000000001</v>
      </c>
      <c r="BY15" s="11">
        <v>19.600000000000001</v>
      </c>
      <c r="BZ15" s="11">
        <v>19.600000000000001</v>
      </c>
      <c r="CA15" s="11">
        <v>19.600000000000001</v>
      </c>
      <c r="CB15" s="11">
        <v>19.600000000000001</v>
      </c>
      <c r="CC15" s="11">
        <v>19.600000000000001</v>
      </c>
      <c r="CD15" s="11">
        <v>19.600000000000001</v>
      </c>
      <c r="CE15" s="11">
        <v>19.600000000000001</v>
      </c>
      <c r="CF15" s="11">
        <v>19.600000000000001</v>
      </c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</row>
    <row r="16" spans="1:102" ht="13">
      <c r="A16" s="26"/>
      <c r="B16" s="10" t="s">
        <v>32</v>
      </c>
      <c r="D16" s="11">
        <v>11.25</v>
      </c>
      <c r="E16" s="11">
        <v>11.25</v>
      </c>
      <c r="F16" s="11">
        <v>11.25</v>
      </c>
      <c r="G16" s="11">
        <v>11.25</v>
      </c>
      <c r="H16" s="11">
        <v>11.25</v>
      </c>
      <c r="I16" s="11">
        <v>11.25</v>
      </c>
      <c r="J16" s="11">
        <v>11.25</v>
      </c>
      <c r="K16" s="11">
        <v>11.25</v>
      </c>
      <c r="L16" s="11">
        <v>11.25</v>
      </c>
      <c r="M16" s="11">
        <v>11.25</v>
      </c>
      <c r="N16" s="11">
        <v>11.25</v>
      </c>
      <c r="O16" s="11">
        <v>11.25</v>
      </c>
      <c r="P16" s="11">
        <v>11.25</v>
      </c>
      <c r="Q16" s="11">
        <v>11.25</v>
      </c>
      <c r="R16" s="11">
        <v>11.25</v>
      </c>
      <c r="S16" s="11">
        <v>11.25</v>
      </c>
      <c r="T16" s="11">
        <v>11.25</v>
      </c>
      <c r="U16" s="11">
        <v>11.25</v>
      </c>
      <c r="V16" s="11">
        <v>11.25</v>
      </c>
      <c r="W16" s="11">
        <v>11.25</v>
      </c>
      <c r="X16" s="11">
        <v>11.25</v>
      </c>
      <c r="Y16" s="11">
        <v>11.25</v>
      </c>
      <c r="Z16" s="11">
        <v>11.25</v>
      </c>
      <c r="AA16" s="11">
        <v>11.25</v>
      </c>
      <c r="AB16" s="11">
        <v>11.25</v>
      </c>
      <c r="AC16" s="11">
        <v>11.25</v>
      </c>
      <c r="AD16" s="11">
        <v>11.25</v>
      </c>
      <c r="AE16" s="11">
        <v>11.25</v>
      </c>
      <c r="AF16" s="11">
        <v>11.25</v>
      </c>
      <c r="AG16" s="11">
        <v>11.25</v>
      </c>
      <c r="AH16" s="11">
        <v>11.25</v>
      </c>
      <c r="AI16" s="11">
        <v>11.25</v>
      </c>
      <c r="AJ16" s="11"/>
      <c r="AK16" s="11">
        <v>11.25</v>
      </c>
      <c r="AL16" s="11">
        <v>11.25</v>
      </c>
      <c r="AM16" s="11">
        <v>11.25</v>
      </c>
      <c r="AN16" s="11">
        <v>11.25</v>
      </c>
      <c r="AO16" s="11">
        <v>11.25</v>
      </c>
      <c r="AP16" s="11">
        <v>11.25</v>
      </c>
      <c r="AQ16" s="11">
        <v>11.25</v>
      </c>
      <c r="AR16" s="11">
        <v>11.25</v>
      </c>
      <c r="AS16" s="11">
        <v>11.25</v>
      </c>
      <c r="AT16" s="11">
        <v>11.25</v>
      </c>
      <c r="AU16" s="11">
        <v>11.25</v>
      </c>
      <c r="AV16" s="11">
        <v>11.25</v>
      </c>
      <c r="AW16" s="11">
        <v>11.25</v>
      </c>
      <c r="AX16" s="11">
        <v>11.25</v>
      </c>
      <c r="AY16" s="11">
        <v>11.25</v>
      </c>
      <c r="AZ16" s="11">
        <v>11.25</v>
      </c>
      <c r="BA16" s="11">
        <v>11.25</v>
      </c>
      <c r="BB16" s="11">
        <v>11.25</v>
      </c>
      <c r="BC16" s="11">
        <v>11.25</v>
      </c>
      <c r="BD16" s="11">
        <v>11.25</v>
      </c>
      <c r="BE16" s="11">
        <v>11.25</v>
      </c>
      <c r="BF16" s="11">
        <v>11.25</v>
      </c>
      <c r="BG16" s="11">
        <v>11.25</v>
      </c>
      <c r="BH16" s="11">
        <v>11.25</v>
      </c>
      <c r="BI16" s="11">
        <v>11.25</v>
      </c>
      <c r="BJ16" s="11">
        <v>11.25</v>
      </c>
      <c r="BK16" s="11">
        <v>11.25</v>
      </c>
      <c r="BL16" s="11">
        <v>11.25</v>
      </c>
      <c r="BM16" s="11">
        <v>11.25</v>
      </c>
      <c r="BN16" s="11">
        <v>11.25</v>
      </c>
      <c r="BO16" s="11">
        <v>11.25</v>
      </c>
      <c r="BP16" s="11">
        <v>11.25</v>
      </c>
      <c r="BQ16" s="11">
        <v>11.25</v>
      </c>
      <c r="BR16" s="11">
        <v>11.25</v>
      </c>
      <c r="BS16" s="11">
        <v>11.25</v>
      </c>
      <c r="BT16" s="11">
        <v>11.25</v>
      </c>
      <c r="BU16" s="11">
        <v>11.25</v>
      </c>
      <c r="BV16" s="11">
        <v>11.25</v>
      </c>
      <c r="BW16" s="11">
        <v>11.25</v>
      </c>
      <c r="BX16" s="11">
        <v>11.25</v>
      </c>
      <c r="BY16" s="11">
        <v>11.25</v>
      </c>
      <c r="BZ16" s="11">
        <v>11.25</v>
      </c>
      <c r="CA16" s="11">
        <v>11.25</v>
      </c>
      <c r="CB16" s="11">
        <v>11.25</v>
      </c>
      <c r="CC16" s="11">
        <v>11.25</v>
      </c>
      <c r="CD16" s="11">
        <v>11.25</v>
      </c>
      <c r="CE16" s="11">
        <v>11.25</v>
      </c>
      <c r="CF16" s="11">
        <v>11.25</v>
      </c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</row>
    <row r="17" spans="1:102" ht="13">
      <c r="A17" s="26"/>
      <c r="B17" s="10" t="s">
        <v>33</v>
      </c>
      <c r="D17" s="11">
        <v>5.8</v>
      </c>
      <c r="E17" s="11">
        <v>5.8</v>
      </c>
      <c r="F17" s="11">
        <v>5.8</v>
      </c>
      <c r="G17" s="11">
        <v>5.8</v>
      </c>
      <c r="H17" s="11">
        <v>5.8</v>
      </c>
      <c r="I17" s="11">
        <v>5.8</v>
      </c>
      <c r="J17" s="11">
        <v>5.8</v>
      </c>
      <c r="K17" s="11">
        <v>5.8</v>
      </c>
      <c r="L17" s="11">
        <v>5.8</v>
      </c>
      <c r="M17" s="11">
        <v>5.8</v>
      </c>
      <c r="N17" s="11">
        <v>5.8</v>
      </c>
      <c r="O17" s="11">
        <v>5.8</v>
      </c>
      <c r="P17" s="11">
        <v>5.8</v>
      </c>
      <c r="Q17" s="11">
        <v>5.8</v>
      </c>
      <c r="R17" s="11">
        <v>5.8</v>
      </c>
      <c r="S17" s="11">
        <v>5.8</v>
      </c>
      <c r="T17" s="11">
        <v>5.8</v>
      </c>
      <c r="U17" s="11">
        <v>5.8</v>
      </c>
      <c r="V17" s="11">
        <v>5.8</v>
      </c>
      <c r="W17" s="11">
        <v>5.8</v>
      </c>
      <c r="X17" s="11">
        <v>5.8</v>
      </c>
      <c r="Y17" s="11">
        <v>5.8</v>
      </c>
      <c r="Z17" s="11">
        <v>5.8</v>
      </c>
      <c r="AA17" s="11">
        <v>5.8</v>
      </c>
      <c r="AB17" s="11">
        <v>5.8</v>
      </c>
      <c r="AC17" s="11">
        <v>5.8</v>
      </c>
      <c r="AD17" s="11">
        <v>5.8</v>
      </c>
      <c r="AE17" s="11">
        <v>5.8</v>
      </c>
      <c r="AF17" s="11">
        <v>5.8</v>
      </c>
      <c r="AG17" s="11">
        <v>5.8</v>
      </c>
      <c r="AH17" s="11">
        <v>5.8</v>
      </c>
      <c r="AI17" s="11">
        <v>5.8</v>
      </c>
      <c r="AJ17" s="11"/>
      <c r="AK17" s="11">
        <v>5.8</v>
      </c>
      <c r="AL17" s="11">
        <v>5.8</v>
      </c>
      <c r="AM17" s="11">
        <v>5.8</v>
      </c>
      <c r="AN17" s="11">
        <v>5.8</v>
      </c>
      <c r="AO17" s="11">
        <v>5.8</v>
      </c>
      <c r="AP17" s="11">
        <v>5.8</v>
      </c>
      <c r="AQ17" s="11">
        <v>5.8</v>
      </c>
      <c r="AR17" s="11">
        <v>5.8</v>
      </c>
      <c r="AS17" s="11">
        <v>5.8</v>
      </c>
      <c r="AT17" s="11">
        <v>5.8</v>
      </c>
      <c r="AU17" s="11">
        <v>5.8</v>
      </c>
      <c r="AV17" s="11">
        <v>5.8</v>
      </c>
      <c r="AW17" s="11">
        <v>5.8</v>
      </c>
      <c r="AX17" s="11">
        <v>5.8</v>
      </c>
      <c r="AY17" s="11">
        <v>5.8</v>
      </c>
      <c r="AZ17" s="11">
        <v>5.8</v>
      </c>
      <c r="BA17" s="11">
        <v>5.8</v>
      </c>
      <c r="BB17" s="11">
        <v>5.8</v>
      </c>
      <c r="BC17" s="11">
        <v>5.8</v>
      </c>
      <c r="BD17" s="11">
        <v>5.8</v>
      </c>
      <c r="BE17" s="11">
        <v>5.8</v>
      </c>
      <c r="BF17" s="11">
        <v>5.8</v>
      </c>
      <c r="BG17" s="11">
        <v>5.8</v>
      </c>
      <c r="BH17" s="11">
        <v>5.8</v>
      </c>
      <c r="BI17" s="11">
        <v>5.8</v>
      </c>
      <c r="BJ17" s="11">
        <v>5.8</v>
      </c>
      <c r="BK17" s="11">
        <v>5.8</v>
      </c>
      <c r="BL17" s="11">
        <v>5.8</v>
      </c>
      <c r="BM17" s="11">
        <v>5.8</v>
      </c>
      <c r="BN17" s="11">
        <v>5.8</v>
      </c>
      <c r="BO17" s="11">
        <v>5.8</v>
      </c>
      <c r="BP17" s="11">
        <v>5.8</v>
      </c>
      <c r="BQ17" s="11">
        <v>5.8</v>
      </c>
      <c r="BR17" s="11">
        <v>5.8</v>
      </c>
      <c r="BS17" s="11">
        <v>5.8</v>
      </c>
      <c r="BT17" s="11">
        <v>5.8</v>
      </c>
      <c r="BU17" s="11">
        <v>5.8</v>
      </c>
      <c r="BV17" s="11">
        <v>5.8</v>
      </c>
      <c r="BW17" s="11">
        <v>5.8</v>
      </c>
      <c r="BX17" s="11">
        <v>5.8</v>
      </c>
      <c r="BY17" s="11">
        <v>5.8</v>
      </c>
      <c r="BZ17" s="11">
        <v>5.8</v>
      </c>
      <c r="CA17" s="11">
        <v>5.8</v>
      </c>
      <c r="CB17" s="11">
        <v>5.8</v>
      </c>
      <c r="CC17" s="11">
        <v>5.8</v>
      </c>
      <c r="CD17" s="11">
        <v>5.8</v>
      </c>
      <c r="CE17" s="11">
        <v>5.8</v>
      </c>
      <c r="CF17" s="11">
        <v>5.8</v>
      </c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</row>
    <row r="18" spans="1:102" ht="13">
      <c r="A18" s="26"/>
      <c r="B18" s="27" t="s">
        <v>34</v>
      </c>
      <c r="D18" s="28">
        <v>0.08</v>
      </c>
      <c r="E18" s="28">
        <v>0.08</v>
      </c>
      <c r="F18" s="28">
        <v>0.08</v>
      </c>
      <c r="G18" s="28">
        <v>0.08</v>
      </c>
      <c r="H18" s="28">
        <v>0.08</v>
      </c>
      <c r="I18" s="28">
        <v>0.08</v>
      </c>
      <c r="J18" s="28">
        <v>0.08</v>
      </c>
      <c r="K18" s="28">
        <v>0.08</v>
      </c>
      <c r="L18" s="28">
        <v>0.08</v>
      </c>
      <c r="M18" s="28">
        <v>0.08</v>
      </c>
      <c r="N18" s="29">
        <v>0.05</v>
      </c>
      <c r="O18" s="29">
        <v>0.05</v>
      </c>
      <c r="P18" s="29">
        <v>0.05</v>
      </c>
      <c r="Q18" s="29">
        <v>0.05</v>
      </c>
      <c r="R18" s="29">
        <v>0.05</v>
      </c>
      <c r="S18" s="28">
        <v>0.08</v>
      </c>
      <c r="T18" s="28">
        <v>0.08</v>
      </c>
      <c r="U18" s="28">
        <v>0.08</v>
      </c>
      <c r="V18" s="28">
        <v>0.08</v>
      </c>
      <c r="W18" s="28">
        <v>0.08</v>
      </c>
      <c r="X18" s="28">
        <v>0.08</v>
      </c>
      <c r="Y18" s="28">
        <v>0.08</v>
      </c>
      <c r="Z18" s="28">
        <v>0.08</v>
      </c>
      <c r="AA18" s="28">
        <v>0.08</v>
      </c>
      <c r="AB18" s="28">
        <v>0.08</v>
      </c>
      <c r="AC18" s="28">
        <v>0.08</v>
      </c>
      <c r="AD18" s="16">
        <v>0.2</v>
      </c>
      <c r="AE18" s="16">
        <v>0.2</v>
      </c>
      <c r="AF18" s="16">
        <v>0.2</v>
      </c>
      <c r="AG18" s="16">
        <v>0.2</v>
      </c>
      <c r="AH18" s="16">
        <v>0.2</v>
      </c>
      <c r="AI18" s="16">
        <v>0.2</v>
      </c>
      <c r="AJ18" s="16"/>
      <c r="AK18" s="16">
        <v>0.2</v>
      </c>
      <c r="AL18" s="16">
        <v>0.2</v>
      </c>
      <c r="AM18" s="16">
        <v>0.2</v>
      </c>
      <c r="AN18" s="16">
        <v>0.2</v>
      </c>
      <c r="AO18" s="16">
        <v>0.2</v>
      </c>
      <c r="AP18" s="16">
        <v>0.2</v>
      </c>
      <c r="AQ18" s="16">
        <v>0.2</v>
      </c>
      <c r="AR18" s="16">
        <v>0.2</v>
      </c>
      <c r="AS18" s="16">
        <v>0.2</v>
      </c>
      <c r="AT18" s="16">
        <v>0.2</v>
      </c>
      <c r="AU18" s="16">
        <v>0.2</v>
      </c>
      <c r="AV18" s="16">
        <v>0.2</v>
      </c>
      <c r="AW18" s="16">
        <v>0.2</v>
      </c>
      <c r="AX18" s="16">
        <v>0.2</v>
      </c>
      <c r="AY18" s="16">
        <v>0.2</v>
      </c>
      <c r="AZ18" s="16">
        <v>0.2</v>
      </c>
      <c r="BA18" s="16">
        <v>0.2</v>
      </c>
      <c r="BB18" s="16">
        <v>0.2</v>
      </c>
      <c r="BC18" s="16">
        <v>0.2</v>
      </c>
      <c r="BD18" s="16">
        <v>0.2</v>
      </c>
      <c r="BE18" s="16">
        <v>0.2</v>
      </c>
      <c r="BF18" s="16">
        <v>0.2</v>
      </c>
      <c r="BG18" s="16">
        <v>0.2</v>
      </c>
      <c r="BH18" s="16">
        <v>0.2</v>
      </c>
      <c r="BI18" s="16">
        <v>0.2</v>
      </c>
      <c r="BJ18" s="16">
        <v>0.2</v>
      </c>
      <c r="BK18" s="16">
        <v>0.2</v>
      </c>
      <c r="BL18" s="16">
        <v>0.2</v>
      </c>
      <c r="BM18" s="16">
        <v>0.2</v>
      </c>
      <c r="BN18" s="16">
        <v>0.2</v>
      </c>
      <c r="BO18" s="16">
        <v>0.2</v>
      </c>
      <c r="BP18" s="16">
        <v>0.05</v>
      </c>
      <c r="BQ18" s="16">
        <v>0.05</v>
      </c>
      <c r="BR18" s="16">
        <v>0.05</v>
      </c>
      <c r="BS18" s="16">
        <v>0.05</v>
      </c>
      <c r="BT18" s="16">
        <v>0.05</v>
      </c>
      <c r="BU18" s="16">
        <v>0.08</v>
      </c>
      <c r="BV18" s="16">
        <v>0.08</v>
      </c>
      <c r="BW18" s="16">
        <v>0.08</v>
      </c>
      <c r="BX18" s="16">
        <v>0.08</v>
      </c>
      <c r="BY18" s="16">
        <v>0.08</v>
      </c>
      <c r="BZ18" s="16">
        <v>0.08</v>
      </c>
      <c r="CA18" s="16">
        <v>0.08</v>
      </c>
      <c r="CB18" s="16">
        <v>0.08</v>
      </c>
      <c r="CC18" s="16">
        <v>0.08</v>
      </c>
      <c r="CD18" s="16">
        <v>0.08</v>
      </c>
      <c r="CE18" s="16">
        <v>0.08</v>
      </c>
      <c r="CF18" s="16">
        <v>0.08</v>
      </c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</row>
    <row r="19" spans="1:102" ht="14">
      <c r="A19" s="26"/>
      <c r="B19" s="27" t="s">
        <v>35</v>
      </c>
      <c r="D19" s="30">
        <f t="shared" ref="D19:AI19" si="3">(D13*6.5-D14*6.5-D17*6.5-D15-D16)/(D13*6.5)</f>
        <v>0.34749147945908321</v>
      </c>
      <c r="E19" s="30">
        <f t="shared" si="3"/>
        <v>0.34749147945908321</v>
      </c>
      <c r="F19" s="30">
        <f t="shared" si="3"/>
        <v>0.34749147945908321</v>
      </c>
      <c r="G19" s="30">
        <f t="shared" si="3"/>
        <v>0.34749147945908321</v>
      </c>
      <c r="H19" s="30">
        <f t="shared" si="3"/>
        <v>0.34749147945908321</v>
      </c>
      <c r="I19" s="30">
        <f t="shared" si="3"/>
        <v>0.34749147945908321</v>
      </c>
      <c r="J19" s="30">
        <f t="shared" si="3"/>
        <v>0.34749147945908321</v>
      </c>
      <c r="K19" s="30">
        <f t="shared" si="3"/>
        <v>0.34749147945908321</v>
      </c>
      <c r="L19" s="30">
        <f t="shared" si="3"/>
        <v>0.34749147945908321</v>
      </c>
      <c r="M19" s="30">
        <f t="shared" si="3"/>
        <v>0.34749147945908321</v>
      </c>
      <c r="N19" s="30">
        <f t="shared" si="3"/>
        <v>0.34749147945908321</v>
      </c>
      <c r="O19" s="30">
        <f t="shared" si="3"/>
        <v>0.37716444537726956</v>
      </c>
      <c r="P19" s="30">
        <f t="shared" si="3"/>
        <v>0.37716444537726956</v>
      </c>
      <c r="Q19" s="30">
        <f t="shared" si="3"/>
        <v>0.37716444537726956</v>
      </c>
      <c r="R19" s="30">
        <f t="shared" si="3"/>
        <v>0.37716444537726956</v>
      </c>
      <c r="S19" s="30">
        <f t="shared" si="3"/>
        <v>0.37716444537726956</v>
      </c>
      <c r="T19" s="30">
        <f t="shared" si="3"/>
        <v>0.37716444537726956</v>
      </c>
      <c r="U19" s="30">
        <f t="shared" si="3"/>
        <v>0.37716444537726956</v>
      </c>
      <c r="V19" s="30">
        <f t="shared" si="3"/>
        <v>0.37716444537726956</v>
      </c>
      <c r="W19" s="30">
        <f t="shared" si="3"/>
        <v>0.37716444537726956</v>
      </c>
      <c r="X19" s="30">
        <f t="shared" si="3"/>
        <v>0.37716444537726956</v>
      </c>
      <c r="Y19" s="30">
        <f t="shared" si="3"/>
        <v>0.37716444537726956</v>
      </c>
      <c r="Z19" s="30">
        <f t="shared" si="3"/>
        <v>0.37716444537726956</v>
      </c>
      <c r="AA19" s="30">
        <f t="shared" si="3"/>
        <v>0.37716444537726956</v>
      </c>
      <c r="AB19" s="30">
        <f t="shared" si="3"/>
        <v>0.37716444537726956</v>
      </c>
      <c r="AC19" s="30">
        <f t="shared" si="3"/>
        <v>0.37716444537726956</v>
      </c>
      <c r="AD19" s="30">
        <f t="shared" si="3"/>
        <v>0.37716444537726956</v>
      </c>
      <c r="AE19" s="30">
        <f t="shared" si="3"/>
        <v>0.37716444537726956</v>
      </c>
      <c r="AF19" s="30">
        <f t="shared" si="3"/>
        <v>0.37716444537726956</v>
      </c>
      <c r="AG19" s="30">
        <f t="shared" si="3"/>
        <v>0.37716444537726956</v>
      </c>
      <c r="AH19" s="30">
        <f t="shared" si="3"/>
        <v>0.37716444537726956</v>
      </c>
      <c r="AI19" s="30">
        <f t="shared" si="3"/>
        <v>0.37716444537726956</v>
      </c>
      <c r="AJ19" s="30"/>
      <c r="AK19" s="30">
        <f t="shared" ref="AK19:CF19" si="4">(AK13*6.5-AK14*6.5-AK17*6.5-AK15-AK16)/(AK13*6.5)</f>
        <v>0.37716444537726956</v>
      </c>
      <c r="AL19" s="30">
        <f t="shared" si="4"/>
        <v>0.37716444537726956</v>
      </c>
      <c r="AM19" s="30">
        <f t="shared" si="4"/>
        <v>0.37716444537726956</v>
      </c>
      <c r="AN19" s="30">
        <f t="shared" si="4"/>
        <v>0.37716444537726956</v>
      </c>
      <c r="AO19" s="30">
        <f t="shared" si="4"/>
        <v>0.37716444537726956</v>
      </c>
      <c r="AP19" s="30">
        <f t="shared" si="4"/>
        <v>0.37716444537726956</v>
      </c>
      <c r="AQ19" s="30" t="e">
        <f t="shared" si="4"/>
        <v>#DIV/0!</v>
      </c>
      <c r="AR19" s="30" t="e">
        <f t="shared" si="4"/>
        <v>#DIV/0!</v>
      </c>
      <c r="AS19" s="30" t="e">
        <f t="shared" si="4"/>
        <v>#DIV/0!</v>
      </c>
      <c r="AT19" s="30" t="e">
        <f t="shared" si="4"/>
        <v>#DIV/0!</v>
      </c>
      <c r="AU19" s="30" t="e">
        <f t="shared" si="4"/>
        <v>#DIV/0!</v>
      </c>
      <c r="AV19" s="30" t="e">
        <f t="shared" si="4"/>
        <v>#DIV/0!</v>
      </c>
      <c r="AW19" s="30" t="e">
        <f t="shared" si="4"/>
        <v>#DIV/0!</v>
      </c>
      <c r="AX19" s="30" t="e">
        <f t="shared" si="4"/>
        <v>#DIV/0!</v>
      </c>
      <c r="AY19" s="30" t="e">
        <f t="shared" si="4"/>
        <v>#DIV/0!</v>
      </c>
      <c r="AZ19" s="30" t="e">
        <f t="shared" si="4"/>
        <v>#DIV/0!</v>
      </c>
      <c r="BA19" s="30" t="e">
        <f t="shared" si="4"/>
        <v>#DIV/0!</v>
      </c>
      <c r="BB19" s="30" t="e">
        <f t="shared" si="4"/>
        <v>#DIV/0!</v>
      </c>
      <c r="BC19" s="30" t="e">
        <f t="shared" si="4"/>
        <v>#DIV/0!</v>
      </c>
      <c r="BD19" s="30" t="e">
        <f t="shared" si="4"/>
        <v>#DIV/0!</v>
      </c>
      <c r="BE19" s="30" t="e">
        <f t="shared" si="4"/>
        <v>#DIV/0!</v>
      </c>
      <c r="BF19" s="30" t="e">
        <f t="shared" si="4"/>
        <v>#DIV/0!</v>
      </c>
      <c r="BG19" s="30" t="e">
        <f t="shared" si="4"/>
        <v>#DIV/0!</v>
      </c>
      <c r="BH19" s="30" t="e">
        <f t="shared" si="4"/>
        <v>#DIV/0!</v>
      </c>
      <c r="BI19" s="30" t="e">
        <f t="shared" si="4"/>
        <v>#DIV/0!</v>
      </c>
      <c r="BJ19" s="30" t="e">
        <f t="shared" si="4"/>
        <v>#DIV/0!</v>
      </c>
      <c r="BK19" s="30" t="e">
        <f t="shared" si="4"/>
        <v>#DIV/0!</v>
      </c>
      <c r="BL19" s="30">
        <f t="shared" si="4"/>
        <v>0.34749147945908321</v>
      </c>
      <c r="BM19" s="30">
        <f t="shared" si="4"/>
        <v>0.34749147945908321</v>
      </c>
      <c r="BN19" s="30">
        <f t="shared" si="4"/>
        <v>0.34749147945908321</v>
      </c>
      <c r="BO19" s="30">
        <f t="shared" si="4"/>
        <v>0.34749147945908321</v>
      </c>
      <c r="BP19" s="30">
        <f t="shared" si="4"/>
        <v>0.34749147945908321</v>
      </c>
      <c r="BQ19" s="30">
        <f t="shared" si="4"/>
        <v>0.34749147945908321</v>
      </c>
      <c r="BR19" s="30">
        <f t="shared" si="4"/>
        <v>0.34749147945908321</v>
      </c>
      <c r="BS19" s="30">
        <f t="shared" si="4"/>
        <v>0.34749147945908321</v>
      </c>
      <c r="BT19" s="30">
        <f t="shared" si="4"/>
        <v>0.34749147945908321</v>
      </c>
      <c r="BU19" s="30">
        <f t="shared" si="4"/>
        <v>0.34749147945908321</v>
      </c>
      <c r="BV19" s="30">
        <f t="shared" si="4"/>
        <v>0.34749147945908321</v>
      </c>
      <c r="BW19" s="30">
        <f t="shared" si="4"/>
        <v>0.34749147945908321</v>
      </c>
      <c r="BX19" s="30">
        <f t="shared" si="4"/>
        <v>0.34749147945908321</v>
      </c>
      <c r="BY19" s="30">
        <f t="shared" si="4"/>
        <v>0.34749147945908321</v>
      </c>
      <c r="BZ19" s="30">
        <f t="shared" si="4"/>
        <v>0.34749147945908321</v>
      </c>
      <c r="CA19" s="30">
        <f t="shared" si="4"/>
        <v>0.34749147945908321</v>
      </c>
      <c r="CB19" s="30">
        <f t="shared" si="4"/>
        <v>0.34749147945908321</v>
      </c>
      <c r="CC19" s="30">
        <f t="shared" si="4"/>
        <v>0.34749147945908321</v>
      </c>
      <c r="CD19" s="30">
        <f t="shared" si="4"/>
        <v>0.34749147945908321</v>
      </c>
      <c r="CE19" s="30">
        <f t="shared" si="4"/>
        <v>0.34749147945908321</v>
      </c>
      <c r="CF19" s="30">
        <f t="shared" si="4"/>
        <v>0.34749147945908321</v>
      </c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</row>
    <row r="20" spans="1:102" ht="13">
      <c r="A20" s="26"/>
      <c r="B20" s="10" t="s">
        <v>36</v>
      </c>
      <c r="D20" s="11">
        <v>34.75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</row>
    <row r="21" spans="1:102" ht="13">
      <c r="A21" s="26"/>
      <c r="B21" s="10" t="s">
        <v>37</v>
      </c>
      <c r="D21" s="11">
        <v>3.47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</row>
    <row r="22" spans="1:102" ht="13" hidden="1">
      <c r="A22" s="26"/>
      <c r="B22" s="10" t="s">
        <v>38</v>
      </c>
      <c r="D22" s="31">
        <f t="shared" ref="D22:L22" si="5">D13*D19*6.5</f>
        <v>47.410000000000011</v>
      </c>
      <c r="E22" s="31">
        <f t="shared" si="5"/>
        <v>47.410000000000011</v>
      </c>
      <c r="F22" s="31">
        <f t="shared" si="5"/>
        <v>47.410000000000011</v>
      </c>
      <c r="G22" s="31">
        <f t="shared" si="5"/>
        <v>47.410000000000011</v>
      </c>
      <c r="H22" s="31">
        <f t="shared" si="5"/>
        <v>47.410000000000011</v>
      </c>
      <c r="I22" s="31">
        <f t="shared" si="5"/>
        <v>47.410000000000011</v>
      </c>
      <c r="J22" s="31">
        <f t="shared" si="5"/>
        <v>47.410000000000011</v>
      </c>
      <c r="K22" s="31">
        <f t="shared" si="5"/>
        <v>47.410000000000011</v>
      </c>
      <c r="L22" s="31">
        <f t="shared" si="5"/>
        <v>47.410000000000011</v>
      </c>
      <c r="M22" s="30">
        <f>(M14*6.5-M15*6.5-M18*6.5-M16-M17)/(M14*6.5)</f>
        <v>-6.0803418803418809</v>
      </c>
      <c r="N22" s="11"/>
      <c r="O22" s="25"/>
      <c r="P22" s="13"/>
      <c r="Q22" s="13"/>
      <c r="R22" s="13"/>
      <c r="S22" s="13"/>
      <c r="T22" s="13"/>
      <c r="U22" s="13"/>
      <c r="V22" s="13"/>
      <c r="W22" s="13"/>
      <c r="X22" s="13"/>
      <c r="Y22" s="30">
        <f>(Y14*6.5-Y15*6.5-Y18*6.5-Y16-Y17)/(Y14*6.5)</f>
        <v>-6.0803418803418809</v>
      </c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</row>
    <row r="23" spans="1:102" ht="13">
      <c r="A23" s="26"/>
      <c r="B23" s="10" t="s">
        <v>39</v>
      </c>
      <c r="D23" s="11"/>
      <c r="E23" s="11"/>
      <c r="F23" s="11"/>
      <c r="G23" s="11"/>
      <c r="H23" s="25"/>
      <c r="I23" s="25"/>
      <c r="J23" s="25"/>
      <c r="K23" s="25"/>
      <c r="L23" s="25"/>
      <c r="M23" s="30"/>
      <c r="N23" s="11"/>
      <c r="O23" s="25"/>
      <c r="P23" s="13"/>
      <c r="Q23" s="13"/>
      <c r="R23" s="13"/>
      <c r="S23" s="13"/>
      <c r="T23" s="13"/>
      <c r="U23" s="13"/>
      <c r="V23" s="13"/>
      <c r="W23" s="13"/>
      <c r="X23" s="13"/>
      <c r="Y23" s="30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</row>
    <row r="24" spans="1:102" ht="14">
      <c r="A24" s="26"/>
      <c r="B24" s="10" t="s">
        <v>40</v>
      </c>
      <c r="D24" s="12">
        <v>0</v>
      </c>
      <c r="E24" s="12">
        <v>0</v>
      </c>
      <c r="F24" s="32">
        <v>0</v>
      </c>
      <c r="G24" s="32">
        <v>2934</v>
      </c>
      <c r="H24" s="32">
        <v>2653</v>
      </c>
      <c r="I24" s="33">
        <v>1030</v>
      </c>
      <c r="J24" s="12">
        <v>1240</v>
      </c>
      <c r="K24" s="12">
        <v>1120</v>
      </c>
      <c r="L24" s="11">
        <v>1103</v>
      </c>
      <c r="M24" s="11">
        <v>687</v>
      </c>
      <c r="N24" s="12">
        <v>583</v>
      </c>
      <c r="O24" s="12">
        <v>1614</v>
      </c>
      <c r="P24" s="12">
        <v>1681</v>
      </c>
      <c r="Q24" s="12">
        <v>908</v>
      </c>
      <c r="R24" s="12">
        <v>1984</v>
      </c>
      <c r="S24" s="12">
        <v>2816</v>
      </c>
      <c r="T24" s="12">
        <v>1630</v>
      </c>
      <c r="U24" s="12">
        <v>1010</v>
      </c>
      <c r="V24" s="12">
        <v>2412</v>
      </c>
      <c r="W24" s="12">
        <v>1542</v>
      </c>
      <c r="X24" s="12">
        <v>1476</v>
      </c>
      <c r="Y24" s="12">
        <v>1461</v>
      </c>
      <c r="Z24" s="12">
        <v>2188</v>
      </c>
      <c r="AA24" s="12">
        <v>2770</v>
      </c>
      <c r="AB24" s="12">
        <v>1843</v>
      </c>
      <c r="AC24" s="12">
        <v>2102</v>
      </c>
      <c r="AD24" s="12">
        <v>2546</v>
      </c>
      <c r="AE24" s="12">
        <v>3397</v>
      </c>
      <c r="AF24" s="12">
        <v>3672</v>
      </c>
      <c r="AG24" s="12">
        <v>1331</v>
      </c>
      <c r="AH24" s="12">
        <v>1221</v>
      </c>
      <c r="AI24" s="12">
        <v>1456</v>
      </c>
      <c r="AJ24" s="13"/>
      <c r="AK24" s="12">
        <v>1554</v>
      </c>
      <c r="AL24" s="12">
        <v>1325</v>
      </c>
      <c r="AM24" s="33">
        <v>1421</v>
      </c>
      <c r="AN24" s="12">
        <v>1500</v>
      </c>
      <c r="AO24" s="12">
        <v>2086</v>
      </c>
      <c r="AP24" s="12">
        <v>1090</v>
      </c>
      <c r="AQ24" s="12">
        <v>1324</v>
      </c>
      <c r="AR24" s="12">
        <v>1212</v>
      </c>
      <c r="AS24" s="12">
        <v>1321</v>
      </c>
      <c r="AT24" s="12">
        <v>1481</v>
      </c>
      <c r="AU24" s="12">
        <v>1978</v>
      </c>
      <c r="AV24" s="12">
        <v>1675</v>
      </c>
      <c r="AW24" s="12">
        <v>2104</v>
      </c>
      <c r="AX24" s="12">
        <v>1514</v>
      </c>
      <c r="AY24" s="12">
        <v>1521</v>
      </c>
      <c r="AZ24" s="12">
        <v>1051</v>
      </c>
      <c r="BA24" s="12">
        <v>2013</v>
      </c>
      <c r="BB24" s="12">
        <v>1116</v>
      </c>
      <c r="BC24" s="12">
        <v>2013</v>
      </c>
      <c r="BD24" s="12">
        <v>1116</v>
      </c>
      <c r="BE24" s="12">
        <v>1807</v>
      </c>
      <c r="BF24" s="12">
        <v>2111</v>
      </c>
      <c r="BG24" s="12">
        <v>2101</v>
      </c>
      <c r="BH24" s="12">
        <v>1974</v>
      </c>
      <c r="BI24" s="12">
        <v>1517</v>
      </c>
      <c r="BJ24" s="12">
        <v>1474</v>
      </c>
      <c r="BK24" s="12">
        <v>655</v>
      </c>
      <c r="BL24" s="12">
        <v>527</v>
      </c>
      <c r="BM24" s="12">
        <v>336</v>
      </c>
      <c r="BN24" s="12">
        <v>523</v>
      </c>
      <c r="BO24" s="12">
        <v>636</v>
      </c>
      <c r="BP24" s="12">
        <v>636</v>
      </c>
      <c r="BQ24" s="12">
        <v>820</v>
      </c>
      <c r="BR24" s="12">
        <v>1070</v>
      </c>
      <c r="BS24" s="12">
        <v>607</v>
      </c>
      <c r="BT24" s="12">
        <v>1172</v>
      </c>
      <c r="BU24" s="12">
        <v>980</v>
      </c>
      <c r="BV24" s="12">
        <v>888</v>
      </c>
      <c r="BW24" s="12">
        <v>1094</v>
      </c>
      <c r="BX24" s="12">
        <v>850</v>
      </c>
      <c r="BY24" s="12">
        <v>1015</v>
      </c>
      <c r="BZ24" s="12">
        <v>965</v>
      </c>
      <c r="CA24" s="12">
        <v>1201</v>
      </c>
      <c r="CB24" s="12">
        <v>856</v>
      </c>
      <c r="CC24" s="12">
        <v>956</v>
      </c>
      <c r="CD24" s="12">
        <v>948</v>
      </c>
      <c r="CE24" s="12">
        <v>759</v>
      </c>
      <c r="CF24" s="12">
        <v>628</v>
      </c>
      <c r="CG24" s="12">
        <v>949</v>
      </c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</row>
    <row r="25" spans="1:102" ht="13">
      <c r="A25" s="70" t="s">
        <v>41</v>
      </c>
      <c r="B25" s="34" t="s">
        <v>42</v>
      </c>
      <c r="C25" s="12">
        <v>4502</v>
      </c>
      <c r="D25" s="12">
        <v>2971</v>
      </c>
      <c r="E25" s="12">
        <v>3807</v>
      </c>
      <c r="F25" s="12">
        <v>4994</v>
      </c>
      <c r="G25" s="12">
        <v>1854</v>
      </c>
      <c r="H25" s="12">
        <v>2324</v>
      </c>
      <c r="I25" s="12">
        <v>3214</v>
      </c>
      <c r="J25" s="12">
        <v>2249</v>
      </c>
      <c r="K25" s="12">
        <v>1550</v>
      </c>
      <c r="L25" s="12">
        <v>2819</v>
      </c>
      <c r="M25" s="12">
        <v>2194</v>
      </c>
      <c r="N25" s="12">
        <v>4034</v>
      </c>
      <c r="O25" s="12">
        <v>3819</v>
      </c>
      <c r="P25" s="12">
        <v>1687</v>
      </c>
      <c r="Q25" s="12">
        <v>2752</v>
      </c>
      <c r="R25" s="12">
        <v>2111</v>
      </c>
      <c r="S25" s="12">
        <v>1888</v>
      </c>
      <c r="T25" s="12">
        <v>1865</v>
      </c>
      <c r="U25" s="12">
        <v>2702</v>
      </c>
      <c r="V25" s="12">
        <v>6028</v>
      </c>
      <c r="W25" s="12">
        <v>5912</v>
      </c>
      <c r="X25" s="12">
        <v>7049</v>
      </c>
      <c r="Y25" s="12">
        <v>7661</v>
      </c>
      <c r="Z25" s="12">
        <v>9577</v>
      </c>
      <c r="AA25" s="12">
        <v>4109</v>
      </c>
      <c r="AB25" s="12">
        <v>7607</v>
      </c>
      <c r="AC25" s="12">
        <v>4208</v>
      </c>
      <c r="AD25" s="12">
        <v>5292</v>
      </c>
      <c r="AE25" s="12">
        <v>11841</v>
      </c>
      <c r="AF25" s="12">
        <v>7208</v>
      </c>
      <c r="AG25" s="12">
        <v>6474</v>
      </c>
      <c r="AH25" s="12">
        <v>6185</v>
      </c>
      <c r="AI25" s="12">
        <v>5929</v>
      </c>
      <c r="AJ25" s="13"/>
      <c r="AK25" s="12">
        <v>5528</v>
      </c>
      <c r="AL25" s="12">
        <v>5615</v>
      </c>
      <c r="AM25" s="12">
        <v>11813</v>
      </c>
      <c r="AN25" s="12">
        <v>9840</v>
      </c>
      <c r="AO25" s="12">
        <v>5150</v>
      </c>
      <c r="AP25" s="12">
        <v>2847</v>
      </c>
      <c r="AQ25" s="12">
        <v>3882</v>
      </c>
      <c r="AR25" s="12">
        <v>2916</v>
      </c>
      <c r="AS25" s="12">
        <v>3666</v>
      </c>
      <c r="AT25" s="12">
        <v>9032</v>
      </c>
      <c r="AU25" s="12">
        <v>12383</v>
      </c>
      <c r="AV25" s="12">
        <v>5964</v>
      </c>
      <c r="AW25" s="12">
        <v>470</v>
      </c>
      <c r="AX25" s="12">
        <v>0</v>
      </c>
      <c r="AY25" s="12">
        <v>0</v>
      </c>
      <c r="AZ25" s="12">
        <v>0</v>
      </c>
      <c r="BA25" s="12">
        <v>0</v>
      </c>
      <c r="BB25" s="12">
        <v>274</v>
      </c>
      <c r="BC25" s="12">
        <v>3799</v>
      </c>
      <c r="BD25" s="12">
        <v>4796</v>
      </c>
      <c r="BE25" s="12">
        <v>5197</v>
      </c>
      <c r="BF25" s="12">
        <v>3286</v>
      </c>
      <c r="BG25" s="12">
        <v>4107</v>
      </c>
      <c r="BH25" s="12">
        <v>894</v>
      </c>
      <c r="BI25" s="12">
        <v>1272</v>
      </c>
      <c r="BJ25" s="12">
        <v>3537</v>
      </c>
      <c r="BK25" s="12">
        <v>3756</v>
      </c>
      <c r="BL25" s="12">
        <v>2245</v>
      </c>
      <c r="BM25" s="12">
        <v>2228</v>
      </c>
      <c r="BN25" s="12">
        <v>4151</v>
      </c>
      <c r="BO25" s="12">
        <v>4252</v>
      </c>
      <c r="BP25" s="12">
        <v>2490</v>
      </c>
      <c r="BQ25" s="12">
        <v>2210</v>
      </c>
      <c r="BR25" s="12">
        <v>1210</v>
      </c>
      <c r="BS25" s="12">
        <v>1656</v>
      </c>
      <c r="BT25" s="12">
        <v>1349</v>
      </c>
      <c r="BU25" s="12">
        <v>1601</v>
      </c>
      <c r="BV25" s="12">
        <v>1258</v>
      </c>
      <c r="BW25" s="12">
        <v>3431</v>
      </c>
      <c r="BX25" s="12">
        <v>4962</v>
      </c>
      <c r="BY25" s="12">
        <v>5154</v>
      </c>
      <c r="BZ25" s="12">
        <v>3994</v>
      </c>
      <c r="CA25" s="12">
        <v>7818</v>
      </c>
      <c r="CB25" s="12">
        <v>3976</v>
      </c>
      <c r="CC25" s="12">
        <v>5487</v>
      </c>
      <c r="CD25" s="12">
        <v>7477</v>
      </c>
      <c r="CE25" s="12">
        <v>7797</v>
      </c>
      <c r="CF25" s="12">
        <v>3398</v>
      </c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</row>
    <row r="26" spans="1:102" ht="13">
      <c r="A26" s="68"/>
      <c r="B26" s="34" t="s">
        <v>43</v>
      </c>
      <c r="C26" s="12">
        <v>28</v>
      </c>
      <c r="D26" s="12">
        <v>15</v>
      </c>
      <c r="E26" s="12">
        <v>14</v>
      </c>
      <c r="F26" s="12">
        <v>16</v>
      </c>
      <c r="G26" s="12">
        <v>16</v>
      </c>
      <c r="H26" s="12">
        <v>13</v>
      </c>
      <c r="I26" s="12">
        <v>21</v>
      </c>
      <c r="J26" s="12">
        <v>17</v>
      </c>
      <c r="K26" s="12">
        <v>14</v>
      </c>
      <c r="L26" s="12">
        <v>15</v>
      </c>
      <c r="M26" s="12">
        <v>13</v>
      </c>
      <c r="N26" s="12">
        <v>11</v>
      </c>
      <c r="O26" s="12">
        <v>15</v>
      </c>
      <c r="P26" s="12">
        <v>15</v>
      </c>
      <c r="Q26" s="12">
        <v>7</v>
      </c>
      <c r="R26" s="12">
        <v>4</v>
      </c>
      <c r="S26" s="12">
        <v>13</v>
      </c>
      <c r="T26" s="12">
        <v>10</v>
      </c>
      <c r="U26" s="12">
        <v>6</v>
      </c>
      <c r="V26" s="12">
        <v>14</v>
      </c>
      <c r="W26" s="12">
        <v>16</v>
      </c>
      <c r="X26" s="12">
        <v>16</v>
      </c>
      <c r="Y26" s="12">
        <v>17</v>
      </c>
      <c r="Z26" s="12">
        <v>9</v>
      </c>
      <c r="AA26" s="12">
        <v>9</v>
      </c>
      <c r="AB26" s="12">
        <v>16</v>
      </c>
      <c r="AC26" s="12">
        <v>9</v>
      </c>
      <c r="AD26" s="12">
        <v>8</v>
      </c>
      <c r="AE26" s="12">
        <v>18</v>
      </c>
      <c r="AF26" s="12">
        <v>18</v>
      </c>
      <c r="AG26" s="12">
        <v>6</v>
      </c>
      <c r="AH26" s="12">
        <v>8</v>
      </c>
      <c r="AI26" s="12">
        <v>8</v>
      </c>
      <c r="AJ26" s="13"/>
      <c r="AK26" s="12">
        <v>15</v>
      </c>
      <c r="AL26" s="12">
        <v>15</v>
      </c>
      <c r="AM26" s="12">
        <v>16</v>
      </c>
      <c r="AN26" s="12">
        <v>15</v>
      </c>
      <c r="AO26" s="12">
        <v>16</v>
      </c>
      <c r="AP26" s="12">
        <v>15</v>
      </c>
      <c r="AQ26" s="12">
        <v>14</v>
      </c>
      <c r="AR26" s="12">
        <v>13</v>
      </c>
      <c r="AS26" s="12">
        <v>14</v>
      </c>
      <c r="AT26" s="12">
        <v>24</v>
      </c>
      <c r="AU26" s="12">
        <v>22</v>
      </c>
      <c r="AV26" s="12">
        <v>20</v>
      </c>
      <c r="AW26" s="12">
        <v>1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13</v>
      </c>
      <c r="BD26" s="12">
        <v>7</v>
      </c>
      <c r="BE26" s="12">
        <v>8</v>
      </c>
      <c r="BF26" s="12">
        <v>7</v>
      </c>
      <c r="BG26" s="12">
        <v>9</v>
      </c>
      <c r="BH26" s="12">
        <v>7</v>
      </c>
      <c r="BI26" s="12">
        <v>7</v>
      </c>
      <c r="BJ26" s="12">
        <v>13</v>
      </c>
      <c r="BK26" s="12">
        <v>12</v>
      </c>
      <c r="BL26" s="12">
        <v>11</v>
      </c>
      <c r="BM26" s="12">
        <v>12</v>
      </c>
      <c r="BN26" s="12">
        <v>12</v>
      </c>
      <c r="BO26" s="12">
        <v>12</v>
      </c>
      <c r="BP26" s="12">
        <v>8</v>
      </c>
      <c r="BQ26" s="12">
        <v>8</v>
      </c>
      <c r="BR26" s="12">
        <v>7</v>
      </c>
      <c r="BS26" s="12">
        <v>7</v>
      </c>
      <c r="BT26" s="12">
        <v>8</v>
      </c>
      <c r="BU26" s="12">
        <v>7</v>
      </c>
      <c r="BV26" s="12">
        <v>7</v>
      </c>
      <c r="BW26" s="12">
        <v>12</v>
      </c>
      <c r="BX26" s="12">
        <v>11</v>
      </c>
      <c r="BY26" s="12">
        <v>11</v>
      </c>
      <c r="BZ26" s="12">
        <v>10</v>
      </c>
      <c r="CA26" s="12">
        <v>14</v>
      </c>
      <c r="CB26" s="12">
        <v>11</v>
      </c>
      <c r="CC26" s="12">
        <v>17</v>
      </c>
      <c r="CD26" s="12">
        <v>14</v>
      </c>
      <c r="CE26" s="12">
        <v>14</v>
      </c>
      <c r="CF26" s="12">
        <v>7</v>
      </c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</row>
    <row r="27" spans="1:102" ht="13">
      <c r="A27" s="68"/>
      <c r="B27" s="35" t="s">
        <v>44</v>
      </c>
      <c r="C27" s="12">
        <v>0.62</v>
      </c>
      <c r="D27" s="12">
        <v>0.5</v>
      </c>
      <c r="E27" s="12">
        <v>0.37</v>
      </c>
      <c r="F27" s="12">
        <v>0.32</v>
      </c>
      <c r="G27" s="12">
        <v>0.86</v>
      </c>
      <c r="H27" s="12">
        <v>0.56000000000000005</v>
      </c>
      <c r="I27" s="12">
        <v>0.65</v>
      </c>
      <c r="J27" s="12">
        <v>0.76</v>
      </c>
      <c r="K27" s="12">
        <v>0.9</v>
      </c>
      <c r="L27" s="12">
        <v>0.53</v>
      </c>
      <c r="M27" s="12">
        <v>0.59</v>
      </c>
      <c r="N27" s="12">
        <v>0.27</v>
      </c>
      <c r="O27" s="12">
        <v>0.39</v>
      </c>
      <c r="P27" s="12">
        <v>0.89</v>
      </c>
      <c r="Q27" s="12">
        <v>0.25</v>
      </c>
      <c r="R27" s="12">
        <v>0.19</v>
      </c>
      <c r="S27" s="12">
        <v>0.69</v>
      </c>
      <c r="T27" s="12">
        <v>0.76</v>
      </c>
      <c r="U27" s="12">
        <v>0.78</v>
      </c>
      <c r="V27" s="12">
        <v>0.76</v>
      </c>
      <c r="W27" s="12">
        <v>0.64</v>
      </c>
      <c r="X27" s="12">
        <v>0.23</v>
      </c>
      <c r="Y27" s="12">
        <v>0.22</v>
      </c>
      <c r="Z27" s="12">
        <v>9.4E-2</v>
      </c>
      <c r="AA27" s="12">
        <v>0.22</v>
      </c>
      <c r="AB27" s="12">
        <v>0.21</v>
      </c>
      <c r="AC27" s="12">
        <v>0.21</v>
      </c>
      <c r="AD27" s="12">
        <v>0.15</v>
      </c>
      <c r="AE27" s="12">
        <v>0.15</v>
      </c>
      <c r="AF27" s="12">
        <v>0.25</v>
      </c>
      <c r="AG27" s="12">
        <v>9.2999999999999999E-2</v>
      </c>
      <c r="AH27" s="12">
        <v>0.13</v>
      </c>
      <c r="AI27" s="12">
        <v>0.13</v>
      </c>
      <c r="AJ27" s="13"/>
      <c r="AK27" s="12">
        <v>0.27</v>
      </c>
      <c r="AL27" s="12">
        <v>0.27</v>
      </c>
      <c r="AM27" s="12">
        <v>0.14000000000000001</v>
      </c>
      <c r="AN27" s="12">
        <v>0.15</v>
      </c>
      <c r="AO27" s="12">
        <v>0.31</v>
      </c>
      <c r="AP27" s="12">
        <v>0.53</v>
      </c>
      <c r="AQ27" s="12">
        <v>0.36</v>
      </c>
      <c r="AR27" s="12">
        <v>0.45</v>
      </c>
      <c r="AS27" s="12">
        <v>0.38</v>
      </c>
      <c r="AT27" s="12">
        <v>0.27</v>
      </c>
      <c r="AU27" s="12">
        <v>0.18</v>
      </c>
      <c r="AV27" s="12">
        <v>0.34</v>
      </c>
      <c r="AW27" s="12">
        <v>0.21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0.34</v>
      </c>
      <c r="BD27" s="12">
        <v>0.15</v>
      </c>
      <c r="BE27" s="12">
        <v>0.15</v>
      </c>
      <c r="BF27" s="12">
        <v>0.21</v>
      </c>
      <c r="BG27" s="12">
        <v>0.22</v>
      </c>
      <c r="BH27" s="12">
        <v>0.78</v>
      </c>
      <c r="BI27" s="12">
        <v>0.55000000000000004</v>
      </c>
      <c r="BJ27" s="12">
        <v>0.37</v>
      </c>
      <c r="BK27" s="12">
        <v>0.32</v>
      </c>
      <c r="BL27" s="12">
        <v>0.49</v>
      </c>
      <c r="BM27" s="12">
        <v>0.54</v>
      </c>
      <c r="BN27" s="12">
        <v>0.28999999999999998</v>
      </c>
      <c r="BO27" s="12">
        <v>0.28000000000000003</v>
      </c>
      <c r="BP27" s="12">
        <v>0.32</v>
      </c>
      <c r="BQ27" s="12">
        <v>0.36</v>
      </c>
      <c r="BR27" s="12">
        <v>0.57999999999999996</v>
      </c>
      <c r="BS27" s="12">
        <v>0.42</v>
      </c>
      <c r="BT27" s="12">
        <v>0.59</v>
      </c>
      <c r="BU27" s="12">
        <v>0.44</v>
      </c>
      <c r="BV27" s="12">
        <v>0.56000000000000005</v>
      </c>
      <c r="BW27" s="12">
        <v>0.35</v>
      </c>
      <c r="BX27" s="12">
        <v>0.22</v>
      </c>
      <c r="BY27" s="12">
        <v>0.21</v>
      </c>
      <c r="BZ27" s="12">
        <v>0.25</v>
      </c>
      <c r="CA27" s="12">
        <v>0.18</v>
      </c>
      <c r="CB27" s="12">
        <v>0.28000000000000003</v>
      </c>
      <c r="CC27" s="12">
        <v>0.31</v>
      </c>
      <c r="CD27" s="12">
        <v>0.19</v>
      </c>
      <c r="CE27" s="12">
        <v>0.18</v>
      </c>
      <c r="CF27" s="12">
        <v>0.21</v>
      </c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</row>
    <row r="28" spans="1:102" ht="13">
      <c r="A28" s="68"/>
      <c r="B28" s="35" t="s">
        <v>45</v>
      </c>
      <c r="C28" s="12">
        <v>20.61</v>
      </c>
      <c r="D28" s="12">
        <v>11.08</v>
      </c>
      <c r="E28" s="12">
        <v>10.86</v>
      </c>
      <c r="F28" s="12">
        <v>10.27</v>
      </c>
      <c r="G28" s="12">
        <v>11.06</v>
      </c>
      <c r="H28" s="12">
        <v>9.07</v>
      </c>
      <c r="I28" s="12">
        <v>15.46</v>
      </c>
      <c r="J28" s="12">
        <v>10.35</v>
      </c>
      <c r="K28" s="12">
        <v>9.4499999999999993</v>
      </c>
      <c r="L28" s="12">
        <v>9.15</v>
      </c>
      <c r="M28" s="12">
        <v>9.48</v>
      </c>
      <c r="N28" s="12">
        <v>7.47</v>
      </c>
      <c r="O28" s="12">
        <v>10.59</v>
      </c>
      <c r="P28" s="12">
        <v>10.43</v>
      </c>
      <c r="Q28" s="12">
        <v>5.49</v>
      </c>
      <c r="R28" s="12">
        <v>3.27</v>
      </c>
      <c r="S28" s="12">
        <v>9.31</v>
      </c>
      <c r="T28" s="12">
        <v>7.61</v>
      </c>
      <c r="U28" s="12">
        <v>4.66</v>
      </c>
      <c r="V28" s="12">
        <v>10.7</v>
      </c>
      <c r="W28" s="12">
        <v>10.199999999999999</v>
      </c>
      <c r="X28" s="12">
        <v>9.81</v>
      </c>
      <c r="Y28" s="12">
        <v>10.1</v>
      </c>
      <c r="Z28" s="12">
        <v>5.55</v>
      </c>
      <c r="AA28" s="12">
        <v>5.3</v>
      </c>
      <c r="AB28" s="12">
        <v>10.029999999999999</v>
      </c>
      <c r="AC28" s="12">
        <v>5.41</v>
      </c>
      <c r="AD28" s="12">
        <v>5.32</v>
      </c>
      <c r="AE28" s="12">
        <v>10.199999999999999</v>
      </c>
      <c r="AF28" s="12">
        <v>10.44</v>
      </c>
      <c r="AG28" s="12">
        <v>3.57</v>
      </c>
      <c r="AH28" s="12">
        <v>4.4400000000000004</v>
      </c>
      <c r="AI28" s="12">
        <v>6.44</v>
      </c>
      <c r="AJ28" s="13"/>
      <c r="AK28" s="12">
        <v>10.01</v>
      </c>
      <c r="AL28" s="12">
        <v>9.57</v>
      </c>
      <c r="AM28" s="12">
        <v>10.08</v>
      </c>
      <c r="AN28" s="12">
        <v>10.14</v>
      </c>
      <c r="AO28" s="12">
        <v>10.43</v>
      </c>
      <c r="AP28" s="12">
        <v>9.25</v>
      </c>
      <c r="AQ28" s="12">
        <v>9.16</v>
      </c>
      <c r="AR28" s="12">
        <v>9</v>
      </c>
      <c r="AS28" s="12">
        <v>9.2200000000000006</v>
      </c>
      <c r="AT28" s="12">
        <v>15.01</v>
      </c>
      <c r="AU28" s="12">
        <v>14</v>
      </c>
      <c r="AV28" s="12">
        <v>13.96</v>
      </c>
      <c r="AW28" s="12">
        <v>0.65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8.44</v>
      </c>
      <c r="BD28" s="12">
        <v>4.22</v>
      </c>
      <c r="BE28" s="12">
        <v>5.08</v>
      </c>
      <c r="BF28" s="12">
        <v>5.17</v>
      </c>
      <c r="BG28" s="12">
        <v>5.42</v>
      </c>
      <c r="BH28" s="12">
        <v>4.59</v>
      </c>
      <c r="BI28" s="12">
        <v>5.01</v>
      </c>
      <c r="BJ28" s="12">
        <v>8.4700000000000006</v>
      </c>
      <c r="BK28" s="12">
        <v>8.09</v>
      </c>
      <c r="BL28" s="12">
        <v>803</v>
      </c>
      <c r="BM28" s="12">
        <v>7.91</v>
      </c>
      <c r="BN28" s="12">
        <v>8.01</v>
      </c>
      <c r="BO28" s="12">
        <v>8</v>
      </c>
      <c r="BP28" s="12">
        <v>5.19</v>
      </c>
      <c r="BQ28" s="12">
        <v>5.73</v>
      </c>
      <c r="BR28" s="12">
        <v>4.76</v>
      </c>
      <c r="BS28" s="12">
        <v>5.5</v>
      </c>
      <c r="BT28" s="12">
        <v>5.46</v>
      </c>
      <c r="BU28" s="12">
        <v>5.04</v>
      </c>
      <c r="BV28" s="12">
        <v>4.78</v>
      </c>
      <c r="BW28" s="12">
        <v>8.17</v>
      </c>
      <c r="BX28" s="12">
        <v>7.65</v>
      </c>
      <c r="BY28" s="12">
        <v>7.59</v>
      </c>
      <c r="BZ28" s="12">
        <v>7.38</v>
      </c>
      <c r="CA28" s="12">
        <v>8.6</v>
      </c>
      <c r="CB28" s="12">
        <v>7.67</v>
      </c>
      <c r="CC28" s="12">
        <v>10.64</v>
      </c>
      <c r="CD28" s="12">
        <v>9.8000000000000007</v>
      </c>
      <c r="CE28" s="12">
        <v>9.5399999999999991</v>
      </c>
      <c r="CF28" s="12">
        <v>4.71</v>
      </c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</row>
    <row r="29" spans="1:102" ht="13">
      <c r="A29" s="68"/>
      <c r="B29" s="35" t="s">
        <v>46</v>
      </c>
      <c r="C29" s="12">
        <v>0.74</v>
      </c>
      <c r="D29" s="12">
        <v>0.74</v>
      </c>
      <c r="E29" s="12">
        <v>0.78</v>
      </c>
      <c r="F29" s="12">
        <v>0.64</v>
      </c>
      <c r="G29" s="12">
        <v>0.69</v>
      </c>
      <c r="H29" s="12">
        <v>0.7</v>
      </c>
      <c r="I29" s="12">
        <v>0.74</v>
      </c>
      <c r="J29" s="12">
        <v>0.61</v>
      </c>
      <c r="K29" s="12">
        <v>0.68</v>
      </c>
      <c r="L29" s="12">
        <v>0.61</v>
      </c>
      <c r="M29" s="12">
        <v>0.73</v>
      </c>
      <c r="N29" s="12">
        <v>0.68</v>
      </c>
      <c r="O29" s="12">
        <v>0.71</v>
      </c>
      <c r="P29" s="12">
        <v>0.7</v>
      </c>
      <c r="Q29" s="12">
        <v>0.78</v>
      </c>
      <c r="R29" s="12">
        <v>0.82</v>
      </c>
      <c r="S29" s="12">
        <v>0.72</v>
      </c>
      <c r="T29" s="12">
        <v>0.54</v>
      </c>
      <c r="U29" s="12">
        <v>0.22</v>
      </c>
      <c r="V29" s="12">
        <v>0.23</v>
      </c>
      <c r="W29" s="12">
        <v>0.27</v>
      </c>
      <c r="X29" s="12">
        <v>0.61</v>
      </c>
      <c r="Y29" s="12">
        <v>0.59</v>
      </c>
      <c r="Z29" s="12">
        <v>0.62</v>
      </c>
      <c r="AA29" s="12">
        <v>0.59</v>
      </c>
      <c r="AB29" s="12">
        <v>0.63</v>
      </c>
      <c r="AC29" s="12">
        <v>0.6</v>
      </c>
      <c r="AD29" s="12">
        <v>0.67</v>
      </c>
      <c r="AE29" s="12">
        <v>0.56999999999999995</v>
      </c>
      <c r="AF29" s="12">
        <v>0.57999999999999996</v>
      </c>
      <c r="AG29" s="12">
        <v>0.6</v>
      </c>
      <c r="AH29" s="12">
        <v>0.56000000000000005</v>
      </c>
      <c r="AI29" s="12">
        <v>0.81</v>
      </c>
      <c r="AJ29" s="13"/>
      <c r="AK29" s="12">
        <v>0.67</v>
      </c>
      <c r="AL29" s="12">
        <v>0.64</v>
      </c>
      <c r="AM29" s="12">
        <v>0.63</v>
      </c>
      <c r="AN29" s="12">
        <v>0.68</v>
      </c>
      <c r="AO29" s="12">
        <v>0.65</v>
      </c>
      <c r="AP29" s="12">
        <v>0.62</v>
      </c>
      <c r="AQ29" s="12">
        <v>0.65</v>
      </c>
      <c r="AR29" s="12">
        <v>0.69</v>
      </c>
      <c r="AS29" s="12">
        <v>0.66</v>
      </c>
      <c r="AT29" s="12">
        <v>0.63</v>
      </c>
      <c r="AU29" s="12">
        <v>0.64</v>
      </c>
      <c r="AV29" s="12">
        <v>0.7</v>
      </c>
      <c r="AW29" s="12">
        <v>0.65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0.65</v>
      </c>
      <c r="BD29" s="12">
        <v>0.6</v>
      </c>
      <c r="BE29" s="12">
        <v>0.64</v>
      </c>
      <c r="BF29" s="12">
        <v>0.74</v>
      </c>
      <c r="BG29" s="12">
        <v>0.6</v>
      </c>
      <c r="BH29" s="12">
        <v>0.66</v>
      </c>
      <c r="BI29" s="12">
        <v>0.72</v>
      </c>
      <c r="BJ29" s="12">
        <v>0.65</v>
      </c>
      <c r="BK29" s="12">
        <v>0.67</v>
      </c>
      <c r="BL29" s="12">
        <v>0.75</v>
      </c>
      <c r="BM29" s="12">
        <v>0.66</v>
      </c>
      <c r="BN29" s="12">
        <v>0.67</v>
      </c>
      <c r="BO29" s="12">
        <v>0.67</v>
      </c>
      <c r="BP29" s="12">
        <v>0.65</v>
      </c>
      <c r="BQ29" s="12">
        <v>0.72</v>
      </c>
      <c r="BR29" s="12">
        <v>0.68</v>
      </c>
      <c r="BS29" s="12">
        <v>0.72</v>
      </c>
      <c r="BT29" s="12">
        <v>0.68</v>
      </c>
      <c r="BU29" s="12">
        <v>0.72</v>
      </c>
      <c r="BV29" s="12">
        <v>0.68</v>
      </c>
      <c r="BW29" s="12">
        <v>0.68</v>
      </c>
      <c r="BX29" s="12">
        <v>0.7</v>
      </c>
      <c r="BY29" s="12">
        <v>0.69</v>
      </c>
      <c r="BZ29" s="12">
        <v>0.74</v>
      </c>
      <c r="CA29" s="12">
        <v>0.61</v>
      </c>
      <c r="CB29" s="12">
        <v>0.7</v>
      </c>
      <c r="CC29" s="12">
        <v>0.63</v>
      </c>
      <c r="CD29" s="12">
        <v>0.7</v>
      </c>
      <c r="CE29" s="12">
        <v>0.68</v>
      </c>
      <c r="CF29" s="12">
        <v>0.67</v>
      </c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</row>
    <row r="30" spans="1:102" ht="13">
      <c r="A30" s="68"/>
      <c r="B30" s="35" t="s">
        <v>47</v>
      </c>
      <c r="C30" s="12">
        <v>0</v>
      </c>
      <c r="D30" s="12">
        <v>52.79</v>
      </c>
      <c r="E30" s="12">
        <v>0</v>
      </c>
      <c r="F30" s="12">
        <v>0</v>
      </c>
      <c r="G30" s="12">
        <v>52.69</v>
      </c>
      <c r="H30" s="12">
        <v>21.61</v>
      </c>
      <c r="I30" s="12">
        <v>0</v>
      </c>
      <c r="J30" s="12">
        <v>24.65</v>
      </c>
      <c r="K30" s="12">
        <v>22.51</v>
      </c>
      <c r="L30" s="12">
        <v>0</v>
      </c>
      <c r="M30" s="12">
        <v>15.05</v>
      </c>
      <c r="N30" s="33">
        <v>33.97</v>
      </c>
      <c r="O30" s="12">
        <v>0</v>
      </c>
      <c r="P30" s="12">
        <v>47.43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23.19</v>
      </c>
      <c r="X30" s="12">
        <v>0</v>
      </c>
      <c r="Y30" s="12">
        <v>0</v>
      </c>
      <c r="Z30" s="12">
        <v>25.24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29.29</v>
      </c>
      <c r="AJ30" s="13"/>
      <c r="AK30" s="12">
        <v>45.52</v>
      </c>
      <c r="AL30" s="12">
        <v>0</v>
      </c>
      <c r="AM30" s="12">
        <v>45.84</v>
      </c>
      <c r="AN30" s="12">
        <v>0</v>
      </c>
      <c r="AO30" s="12">
        <v>0</v>
      </c>
      <c r="AP30" s="12">
        <v>14.02</v>
      </c>
      <c r="AQ30" s="12">
        <v>0</v>
      </c>
      <c r="AR30" s="12">
        <v>0</v>
      </c>
      <c r="AS30" s="12">
        <v>0</v>
      </c>
      <c r="AT30" s="12">
        <v>68.260000000000005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38.380000000000003</v>
      </c>
      <c r="BD30" s="12">
        <v>0</v>
      </c>
      <c r="BE30" s="12">
        <v>0</v>
      </c>
      <c r="BF30" s="12">
        <v>23.51</v>
      </c>
      <c r="BG30" s="12">
        <v>0</v>
      </c>
      <c r="BH30" s="12">
        <v>0</v>
      </c>
      <c r="BI30" s="12">
        <v>0</v>
      </c>
      <c r="BJ30" s="12">
        <v>0</v>
      </c>
      <c r="BK30" s="12">
        <v>38.54</v>
      </c>
      <c r="BL30" s="12">
        <v>19.77</v>
      </c>
      <c r="BM30" s="12">
        <v>18.84</v>
      </c>
      <c r="BN30" s="12">
        <v>0</v>
      </c>
      <c r="BO30" s="12">
        <v>38.11</v>
      </c>
      <c r="BP30" s="12">
        <v>24.73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38.92</v>
      </c>
      <c r="BX30" s="12">
        <v>0</v>
      </c>
      <c r="BY30" s="12">
        <v>0</v>
      </c>
      <c r="BZ30" s="12">
        <v>35.159999999999997</v>
      </c>
      <c r="CA30" s="12">
        <v>0</v>
      </c>
      <c r="CB30" s="12">
        <v>18.27</v>
      </c>
      <c r="CC30" s="12">
        <v>0</v>
      </c>
      <c r="CD30" s="12">
        <v>0</v>
      </c>
      <c r="CE30" s="12">
        <v>0</v>
      </c>
      <c r="CF30" s="12">
        <v>0</v>
      </c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</row>
    <row r="31" spans="1:102" ht="13">
      <c r="A31" s="71" t="s">
        <v>48</v>
      </c>
      <c r="B31" s="36" t="s">
        <v>42</v>
      </c>
      <c r="C31" s="12"/>
      <c r="D31" s="12"/>
      <c r="E31" s="12"/>
      <c r="F31" s="12">
        <v>1037</v>
      </c>
      <c r="G31" s="12">
        <v>1120</v>
      </c>
      <c r="H31" s="12">
        <v>1022</v>
      </c>
      <c r="I31" s="12">
        <v>1223</v>
      </c>
      <c r="J31" s="12">
        <v>4145</v>
      </c>
      <c r="K31" s="12">
        <v>3329</v>
      </c>
      <c r="L31" s="12">
        <v>1955</v>
      </c>
      <c r="M31" s="12">
        <v>2081</v>
      </c>
      <c r="N31" s="33">
        <v>1616</v>
      </c>
      <c r="O31" s="12">
        <v>2104</v>
      </c>
      <c r="P31" s="12">
        <v>2346</v>
      </c>
      <c r="Q31" s="12">
        <v>2874</v>
      </c>
      <c r="R31" s="12">
        <v>1772</v>
      </c>
      <c r="S31" s="12">
        <v>1147</v>
      </c>
      <c r="T31" s="12">
        <v>1279</v>
      </c>
      <c r="U31" s="12">
        <v>1236</v>
      </c>
      <c r="V31" s="12">
        <v>1488</v>
      </c>
      <c r="W31" s="12">
        <v>1020</v>
      </c>
      <c r="X31" s="12">
        <v>1557</v>
      </c>
      <c r="Y31" s="12">
        <v>1323</v>
      </c>
      <c r="Z31" s="12">
        <v>1148</v>
      </c>
      <c r="AA31" s="12">
        <v>1175</v>
      </c>
      <c r="AB31" s="12">
        <v>1174</v>
      </c>
      <c r="AC31" s="12">
        <v>1026</v>
      </c>
      <c r="AD31" s="12">
        <v>1562</v>
      </c>
      <c r="AE31" s="12">
        <v>1237</v>
      </c>
      <c r="AF31" s="12">
        <v>1223</v>
      </c>
      <c r="AG31" s="12">
        <v>606</v>
      </c>
      <c r="AH31" s="12">
        <v>1352</v>
      </c>
      <c r="AI31" s="12">
        <v>1054</v>
      </c>
      <c r="AJ31" s="13"/>
      <c r="AK31" s="12">
        <v>886</v>
      </c>
      <c r="AL31" s="12">
        <v>1428</v>
      </c>
      <c r="AM31" s="12">
        <v>1448</v>
      </c>
      <c r="AN31" s="12">
        <v>1443</v>
      </c>
      <c r="AO31" s="12">
        <v>1503</v>
      </c>
      <c r="AP31" s="12">
        <v>1025</v>
      </c>
      <c r="AQ31" s="12">
        <v>1128</v>
      </c>
      <c r="AR31" s="12">
        <v>880</v>
      </c>
      <c r="AS31" s="12">
        <v>1299</v>
      </c>
      <c r="AT31" s="12">
        <v>1477</v>
      </c>
      <c r="AU31" s="12">
        <v>1124</v>
      </c>
      <c r="AV31" s="12">
        <v>1334</v>
      </c>
      <c r="AW31" s="12">
        <v>1691</v>
      </c>
      <c r="AX31" s="12">
        <v>1321</v>
      </c>
      <c r="AY31" s="12">
        <v>1289</v>
      </c>
      <c r="AZ31" s="12">
        <v>1915</v>
      </c>
      <c r="BA31" s="12">
        <v>1803</v>
      </c>
      <c r="BB31" s="12">
        <v>2553</v>
      </c>
      <c r="BC31" s="12">
        <v>3907</v>
      </c>
      <c r="BD31" s="12">
        <v>1806</v>
      </c>
      <c r="BE31" s="12">
        <v>1827</v>
      </c>
      <c r="BF31" s="12">
        <v>1642</v>
      </c>
      <c r="BG31" s="12">
        <v>2315</v>
      </c>
      <c r="BH31" s="12">
        <v>2829</v>
      </c>
      <c r="BI31" s="12">
        <v>2167</v>
      </c>
      <c r="BJ31" s="12">
        <v>1879</v>
      </c>
      <c r="BK31" s="12">
        <v>1780</v>
      </c>
      <c r="BL31" s="12">
        <v>1562</v>
      </c>
      <c r="BM31" s="12">
        <v>1823</v>
      </c>
      <c r="BN31" s="12">
        <v>1559</v>
      </c>
      <c r="BO31" s="12">
        <v>1589</v>
      </c>
      <c r="BP31" s="12">
        <v>1746</v>
      </c>
      <c r="BQ31" s="12">
        <v>1813</v>
      </c>
      <c r="BR31" s="12">
        <v>1051</v>
      </c>
      <c r="BS31" s="12">
        <v>1555</v>
      </c>
      <c r="BT31" s="12">
        <v>1814</v>
      </c>
      <c r="BU31" s="12">
        <v>1158</v>
      </c>
      <c r="BV31" s="12">
        <v>1342</v>
      </c>
      <c r="BW31" s="12">
        <v>1686</v>
      </c>
      <c r="BX31" s="12">
        <v>1900</v>
      </c>
      <c r="BY31" s="12">
        <v>1473</v>
      </c>
      <c r="BZ31" s="12">
        <v>1533</v>
      </c>
      <c r="CA31" s="12">
        <v>1059</v>
      </c>
      <c r="CB31" s="12">
        <v>1637</v>
      </c>
      <c r="CC31" s="12">
        <v>1616</v>
      </c>
      <c r="CD31" s="12">
        <v>1406</v>
      </c>
      <c r="CE31" s="12">
        <v>1363</v>
      </c>
      <c r="CF31" s="12">
        <v>1531</v>
      </c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</row>
    <row r="32" spans="1:102" ht="13">
      <c r="A32" s="68"/>
      <c r="B32" s="36" t="s">
        <v>43</v>
      </c>
      <c r="C32" s="12"/>
      <c r="D32" s="12"/>
      <c r="E32" s="12"/>
      <c r="F32" s="12">
        <v>7</v>
      </c>
      <c r="G32" s="33">
        <v>8</v>
      </c>
      <c r="H32" s="12">
        <v>5</v>
      </c>
      <c r="I32" s="12">
        <v>6</v>
      </c>
      <c r="J32" s="12">
        <v>18</v>
      </c>
      <c r="K32" s="12">
        <v>18</v>
      </c>
      <c r="L32" s="12">
        <v>11</v>
      </c>
      <c r="M32" s="12">
        <v>11</v>
      </c>
      <c r="N32" s="33">
        <v>5</v>
      </c>
      <c r="O32" s="12">
        <v>9</v>
      </c>
      <c r="P32" s="12">
        <v>10</v>
      </c>
      <c r="Q32" s="12">
        <v>8</v>
      </c>
      <c r="R32" s="12">
        <v>9</v>
      </c>
      <c r="S32" s="12">
        <v>2</v>
      </c>
      <c r="T32" s="12">
        <v>7</v>
      </c>
      <c r="U32" s="12">
        <v>7</v>
      </c>
      <c r="V32" s="12">
        <v>2</v>
      </c>
      <c r="W32" s="12">
        <v>3</v>
      </c>
      <c r="X32" s="12">
        <v>3</v>
      </c>
      <c r="Y32" s="12">
        <v>7</v>
      </c>
      <c r="Z32" s="12">
        <v>7</v>
      </c>
      <c r="AA32" s="12">
        <v>2</v>
      </c>
      <c r="AB32" s="12">
        <v>4</v>
      </c>
      <c r="AC32" s="12">
        <v>2</v>
      </c>
      <c r="AD32" s="12">
        <v>7</v>
      </c>
      <c r="AE32" s="12">
        <v>4</v>
      </c>
      <c r="AF32" s="12">
        <v>8</v>
      </c>
      <c r="AG32" s="12">
        <v>1</v>
      </c>
      <c r="AH32" s="12">
        <v>2</v>
      </c>
      <c r="AI32" s="12">
        <v>1</v>
      </c>
      <c r="AJ32" s="13"/>
      <c r="AK32" s="12">
        <v>3</v>
      </c>
      <c r="AL32" s="12">
        <v>4</v>
      </c>
      <c r="AM32" s="12">
        <v>3</v>
      </c>
      <c r="AN32" s="12">
        <v>4</v>
      </c>
      <c r="AO32" s="12">
        <v>3</v>
      </c>
      <c r="AP32" s="12">
        <v>3</v>
      </c>
      <c r="AQ32" s="12">
        <v>4</v>
      </c>
      <c r="AR32" s="12">
        <v>4</v>
      </c>
      <c r="AS32" s="12">
        <v>3</v>
      </c>
      <c r="AT32" s="12">
        <v>5</v>
      </c>
      <c r="AU32" s="12">
        <v>7</v>
      </c>
      <c r="AV32" s="12">
        <v>7</v>
      </c>
      <c r="AW32" s="12">
        <v>3</v>
      </c>
      <c r="AX32" s="12">
        <v>1</v>
      </c>
      <c r="AY32" s="12">
        <v>8</v>
      </c>
      <c r="AZ32" s="12">
        <v>9</v>
      </c>
      <c r="BA32" s="12">
        <v>6</v>
      </c>
      <c r="BB32" s="12">
        <v>9</v>
      </c>
      <c r="BC32" s="12">
        <v>12</v>
      </c>
      <c r="BD32" s="12">
        <v>5</v>
      </c>
      <c r="BE32" s="12">
        <v>7</v>
      </c>
      <c r="BF32" s="12">
        <v>7</v>
      </c>
      <c r="BG32" s="12">
        <v>11</v>
      </c>
      <c r="BH32" s="12">
        <v>8</v>
      </c>
      <c r="BI32" s="12">
        <v>9</v>
      </c>
      <c r="BJ32" s="12">
        <v>19</v>
      </c>
      <c r="BK32" s="12">
        <v>9</v>
      </c>
      <c r="BL32" s="12">
        <v>8</v>
      </c>
      <c r="BM32" s="12">
        <v>4</v>
      </c>
      <c r="BN32" s="12">
        <v>11</v>
      </c>
      <c r="BO32" s="12">
        <v>6</v>
      </c>
      <c r="BP32" s="12">
        <v>11</v>
      </c>
      <c r="BQ32" s="12">
        <v>2</v>
      </c>
      <c r="BR32" s="12">
        <v>3</v>
      </c>
      <c r="BS32" s="12">
        <v>8</v>
      </c>
      <c r="BT32" s="12">
        <v>8</v>
      </c>
      <c r="BU32" s="12">
        <v>8</v>
      </c>
      <c r="BV32" s="12">
        <v>5</v>
      </c>
      <c r="BW32" s="12">
        <v>5</v>
      </c>
      <c r="BX32" s="12">
        <v>6</v>
      </c>
      <c r="BY32" s="12">
        <v>6</v>
      </c>
      <c r="BZ32" s="12">
        <v>10</v>
      </c>
      <c r="CA32" s="12">
        <v>5</v>
      </c>
      <c r="CB32" s="12">
        <v>13</v>
      </c>
      <c r="CC32" s="12">
        <v>3</v>
      </c>
      <c r="CD32" s="12">
        <v>2</v>
      </c>
      <c r="CE32" s="12">
        <v>11</v>
      </c>
      <c r="CF32" s="12">
        <v>6</v>
      </c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</row>
    <row r="33" spans="1:102" ht="13">
      <c r="A33" s="68"/>
      <c r="B33" s="37" t="s">
        <v>44</v>
      </c>
      <c r="C33" s="12"/>
      <c r="D33" s="12"/>
      <c r="E33" s="12"/>
      <c r="F33" s="12">
        <v>0.68</v>
      </c>
      <c r="G33" s="12">
        <v>0.71</v>
      </c>
      <c r="H33" s="12">
        <v>0.49</v>
      </c>
      <c r="I33" s="12">
        <v>0.49</v>
      </c>
      <c r="J33" s="12">
        <v>0.43</v>
      </c>
      <c r="K33" s="12">
        <v>0.54</v>
      </c>
      <c r="L33" s="12">
        <v>0.56000000000000005</v>
      </c>
      <c r="M33" s="12">
        <v>0.53</v>
      </c>
      <c r="N33" s="33">
        <v>0.31</v>
      </c>
      <c r="O33" s="12">
        <v>0.43</v>
      </c>
      <c r="P33" s="12">
        <v>0.43</v>
      </c>
      <c r="Q33" s="12">
        <v>0.28000000000000003</v>
      </c>
      <c r="R33" s="12">
        <v>0.51</v>
      </c>
      <c r="S33" s="12">
        <v>0.17</v>
      </c>
      <c r="T33" s="12">
        <v>0.55000000000000004</v>
      </c>
      <c r="U33" s="12">
        <v>0.56999999999999995</v>
      </c>
      <c r="V33" s="12">
        <v>0.13</v>
      </c>
      <c r="W33" s="12">
        <v>0.28999999999999998</v>
      </c>
      <c r="X33" s="12">
        <v>0.19</v>
      </c>
      <c r="Y33" s="12">
        <v>0.53</v>
      </c>
      <c r="Z33" s="12">
        <v>0.61</v>
      </c>
      <c r="AA33" s="12">
        <v>0.17</v>
      </c>
      <c r="AB33" s="12">
        <v>0.34</v>
      </c>
      <c r="AC33" s="12">
        <v>0.19</v>
      </c>
      <c r="AD33" s="12">
        <v>0.45</v>
      </c>
      <c r="AE33" s="12">
        <v>0.32</v>
      </c>
      <c r="AF33" s="12">
        <v>0.65</v>
      </c>
      <c r="AG33" s="12">
        <v>0.17</v>
      </c>
      <c r="AH33" s="12">
        <v>0.15</v>
      </c>
      <c r="AI33" s="12">
        <v>0.19</v>
      </c>
      <c r="AJ33" s="13"/>
      <c r="AK33" s="12">
        <v>0.34</v>
      </c>
      <c r="AL33" s="12">
        <v>0.28000000000000003</v>
      </c>
      <c r="AM33" s="12">
        <v>0.21</v>
      </c>
      <c r="AN33" s="12">
        <v>0.28000000000000003</v>
      </c>
      <c r="AO33" s="12">
        <v>0.2</v>
      </c>
      <c r="AP33" s="12">
        <v>0.28999999999999998</v>
      </c>
      <c r="AQ33" s="12">
        <v>0.35</v>
      </c>
      <c r="AR33" s="12">
        <v>0.45</v>
      </c>
      <c r="AS33" s="12">
        <v>0.23</v>
      </c>
      <c r="AT33" s="12">
        <v>0.34</v>
      </c>
      <c r="AU33" s="12">
        <v>0.62</v>
      </c>
      <c r="AV33" s="12">
        <v>0.52</v>
      </c>
      <c r="AW33" s="12">
        <v>0.18</v>
      </c>
      <c r="AX33" s="12">
        <v>7.5999999999999998E-2</v>
      </c>
      <c r="AY33" s="12">
        <v>0.62</v>
      </c>
      <c r="AZ33" s="12">
        <v>0.47</v>
      </c>
      <c r="BA33" s="12">
        <v>0.33</v>
      </c>
      <c r="BB33" s="12">
        <v>0.35</v>
      </c>
      <c r="BC33" s="12">
        <v>0.31</v>
      </c>
      <c r="BD33" s="12">
        <v>0.28000000000000003</v>
      </c>
      <c r="BE33" s="12">
        <v>0.38</v>
      </c>
      <c r="BF33" s="12">
        <v>0.43</v>
      </c>
      <c r="BG33" s="12">
        <v>0.48</v>
      </c>
      <c r="BH33" s="12">
        <v>0.28000000000000003</v>
      </c>
      <c r="BI33" s="12">
        <v>0.42</v>
      </c>
      <c r="BJ33" s="12">
        <v>1.01</v>
      </c>
      <c r="BK33" s="12">
        <v>0.51</v>
      </c>
      <c r="BL33" s="12">
        <v>0.51</v>
      </c>
      <c r="BM33" s="12">
        <v>0.22</v>
      </c>
      <c r="BN33" s="12">
        <v>0.71</v>
      </c>
      <c r="BO33" s="12">
        <v>0.38</v>
      </c>
      <c r="BP33" s="12">
        <v>0.63</v>
      </c>
      <c r="BQ33" s="12">
        <v>0.11</v>
      </c>
      <c r="BR33" s="12">
        <v>0.28999999999999998</v>
      </c>
      <c r="BS33" s="12">
        <v>0.51</v>
      </c>
      <c r="BT33" s="12">
        <v>0.44</v>
      </c>
      <c r="BU33" s="12">
        <v>0.69</v>
      </c>
      <c r="BV33" s="12">
        <v>0.37</v>
      </c>
      <c r="BW33" s="12">
        <v>0.3</v>
      </c>
      <c r="BX33" s="12">
        <v>0.32</v>
      </c>
      <c r="BY33" s="12">
        <v>0.41</v>
      </c>
      <c r="BZ33" s="12">
        <v>0.65</v>
      </c>
      <c r="CA33" s="12">
        <v>0.47</v>
      </c>
      <c r="CB33" s="12">
        <v>0.79</v>
      </c>
      <c r="CC33" s="12">
        <v>0.19</v>
      </c>
      <c r="CD33" s="12">
        <v>0.14000000000000001</v>
      </c>
      <c r="CE33" s="12">
        <v>0.81</v>
      </c>
      <c r="CF33" s="12">
        <v>0.39</v>
      </c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</row>
    <row r="34" spans="1:102" ht="13">
      <c r="A34" s="68"/>
      <c r="B34" s="37" t="s">
        <v>45</v>
      </c>
      <c r="C34" s="12"/>
      <c r="D34" s="12"/>
      <c r="E34" s="12"/>
      <c r="F34" s="12">
        <v>4.07</v>
      </c>
      <c r="G34" s="12">
        <v>3.58</v>
      </c>
      <c r="H34" s="12">
        <v>2.88</v>
      </c>
      <c r="I34" s="12">
        <v>3.08</v>
      </c>
      <c r="J34" s="12">
        <v>11.79</v>
      </c>
      <c r="K34" s="12">
        <v>11.09</v>
      </c>
      <c r="L34" s="12">
        <v>4.87</v>
      </c>
      <c r="M34" s="12">
        <v>5.21</v>
      </c>
      <c r="N34" s="33">
        <v>2.12</v>
      </c>
      <c r="O34" s="12">
        <v>4.4000000000000004</v>
      </c>
      <c r="P34" s="12">
        <v>5.57</v>
      </c>
      <c r="Q34" s="12">
        <v>5.42</v>
      </c>
      <c r="R34" s="12">
        <v>6.15</v>
      </c>
      <c r="S34" s="12">
        <v>0.84</v>
      </c>
      <c r="T34" s="12">
        <v>3.51</v>
      </c>
      <c r="U34" s="12">
        <v>4.09</v>
      </c>
      <c r="V34" s="12">
        <v>0.74</v>
      </c>
      <c r="W34" s="12">
        <v>1.58</v>
      </c>
      <c r="X34" s="12">
        <v>1.89</v>
      </c>
      <c r="Y34" s="12">
        <v>4.0599999999999996</v>
      </c>
      <c r="Z34" s="12">
        <v>3.55</v>
      </c>
      <c r="AA34" s="12">
        <v>1.28</v>
      </c>
      <c r="AB34" s="12">
        <v>2.14</v>
      </c>
      <c r="AC34" s="12">
        <v>1.25</v>
      </c>
      <c r="AD34" s="12">
        <v>4.26</v>
      </c>
      <c r="AE34" s="12">
        <v>2.31</v>
      </c>
      <c r="AF34" s="12">
        <v>4.96</v>
      </c>
      <c r="AG34" s="12">
        <v>0.56000000000000005</v>
      </c>
      <c r="AH34" s="12">
        <v>1.36</v>
      </c>
      <c r="AI34" s="12">
        <v>1.1000000000000001</v>
      </c>
      <c r="AJ34" s="13"/>
      <c r="AK34" s="12">
        <v>1.98</v>
      </c>
      <c r="AL34" s="12">
        <v>2.19</v>
      </c>
      <c r="AM34" s="12">
        <v>1.58</v>
      </c>
      <c r="AN34" s="12">
        <v>2.33</v>
      </c>
      <c r="AO34" s="12">
        <v>1.43</v>
      </c>
      <c r="AP34" s="12">
        <v>2.27</v>
      </c>
      <c r="AQ34" s="12">
        <v>2.74</v>
      </c>
      <c r="AR34" s="12">
        <v>2.6</v>
      </c>
      <c r="AS34" s="12">
        <v>2.06</v>
      </c>
      <c r="AT34" s="12">
        <v>3.25</v>
      </c>
      <c r="AU34" s="12">
        <v>4.71</v>
      </c>
      <c r="AV34" s="12">
        <v>4.05</v>
      </c>
      <c r="AW34" s="12">
        <v>1.73</v>
      </c>
      <c r="AX34" s="12">
        <v>0.4</v>
      </c>
      <c r="AY34" s="12">
        <v>5.24</v>
      </c>
      <c r="AZ34" s="12">
        <v>4.97</v>
      </c>
      <c r="BA34" s="12">
        <v>2.81</v>
      </c>
      <c r="BB34" s="12">
        <v>5.57</v>
      </c>
      <c r="BC34" s="12">
        <v>8.99</v>
      </c>
      <c r="BD34" s="12">
        <v>4.09</v>
      </c>
      <c r="BE34" s="12">
        <v>5.74</v>
      </c>
      <c r="BF34" s="12">
        <v>6.12</v>
      </c>
      <c r="BG34" s="12">
        <v>8.76</v>
      </c>
      <c r="BH34" s="12">
        <v>6.2</v>
      </c>
      <c r="BI34" s="12">
        <v>7.51</v>
      </c>
      <c r="BJ34" s="12">
        <v>14.71</v>
      </c>
      <c r="BK34" s="12">
        <v>6.39</v>
      </c>
      <c r="BL34" s="12">
        <v>5.79</v>
      </c>
      <c r="BM34" s="12">
        <v>1.86</v>
      </c>
      <c r="BN34" s="12">
        <v>8.7899999999999991</v>
      </c>
      <c r="BO34" s="12">
        <v>4.4800000000000004</v>
      </c>
      <c r="BP34" s="12">
        <v>7.71</v>
      </c>
      <c r="BQ34" s="12">
        <v>1.63</v>
      </c>
      <c r="BR34" s="12">
        <v>1.83</v>
      </c>
      <c r="BS34" s="12">
        <v>6.33</v>
      </c>
      <c r="BT34" s="12">
        <v>5.81</v>
      </c>
      <c r="BU34" s="12">
        <v>4.91</v>
      </c>
      <c r="BV34" s="12">
        <v>3.38</v>
      </c>
      <c r="BW34" s="12">
        <v>3.26</v>
      </c>
      <c r="BX34" s="12">
        <v>3.57</v>
      </c>
      <c r="BY34" s="12">
        <v>3.99</v>
      </c>
      <c r="BZ34" s="12">
        <v>5.78</v>
      </c>
      <c r="CA34" s="12">
        <v>3.42</v>
      </c>
      <c r="CB34" s="12">
        <v>8.0500000000000007</v>
      </c>
      <c r="CC34" s="12">
        <v>1.95</v>
      </c>
      <c r="CD34" s="12">
        <v>0.99</v>
      </c>
      <c r="CE34" s="12">
        <v>6.99</v>
      </c>
      <c r="CF34" s="12">
        <v>3.96</v>
      </c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</row>
    <row r="35" spans="1:102" ht="13">
      <c r="A35" s="68"/>
      <c r="B35" s="37" t="s">
        <v>46</v>
      </c>
      <c r="C35" s="12"/>
      <c r="D35" s="12"/>
      <c r="E35" s="12"/>
      <c r="F35" s="12">
        <v>0.57999999999999996</v>
      </c>
      <c r="G35" s="12">
        <v>0.45</v>
      </c>
      <c r="H35" s="12">
        <v>0.57999999999999996</v>
      </c>
      <c r="I35" s="12">
        <v>0.51</v>
      </c>
      <c r="J35" s="12">
        <v>0.66</v>
      </c>
      <c r="K35" s="12">
        <v>0.62</v>
      </c>
      <c r="L35" s="12">
        <v>0.44</v>
      </c>
      <c r="M35" s="12">
        <v>0.47</v>
      </c>
      <c r="N35" s="33">
        <v>0.42</v>
      </c>
      <c r="O35" s="12">
        <v>0.49</v>
      </c>
      <c r="P35" s="12">
        <v>0.56000000000000005</v>
      </c>
      <c r="Q35" s="12">
        <v>0.68</v>
      </c>
      <c r="R35" s="12">
        <v>0.68</v>
      </c>
      <c r="S35" s="12">
        <v>0.42</v>
      </c>
      <c r="T35" s="12">
        <v>0.5</v>
      </c>
      <c r="U35" s="12">
        <v>0.57999999999999996</v>
      </c>
      <c r="V35" s="12">
        <v>0.37</v>
      </c>
      <c r="W35" s="12">
        <v>0.53</v>
      </c>
      <c r="X35" s="12">
        <v>0.63</v>
      </c>
      <c r="Y35" s="12">
        <v>0.57999999999999996</v>
      </c>
      <c r="Z35" s="12">
        <v>0.51</v>
      </c>
      <c r="AA35" s="12">
        <v>0.64</v>
      </c>
      <c r="AB35" s="12">
        <v>0.54</v>
      </c>
      <c r="AC35" s="12">
        <v>0.63</v>
      </c>
      <c r="AD35" s="12">
        <v>0.61</v>
      </c>
      <c r="AE35" s="12">
        <v>0.53</v>
      </c>
      <c r="AF35" s="12">
        <v>0.62</v>
      </c>
      <c r="AG35" s="12">
        <v>0.56000000000000005</v>
      </c>
      <c r="AH35" s="12">
        <v>0.68</v>
      </c>
      <c r="AI35" s="12">
        <v>0.55000000000000004</v>
      </c>
      <c r="AJ35" s="13"/>
      <c r="AK35" s="12">
        <v>0.66</v>
      </c>
      <c r="AL35" s="12">
        <v>0.55000000000000004</v>
      </c>
      <c r="AM35" s="12">
        <v>0.53</v>
      </c>
      <c r="AN35" s="12">
        <v>0.57999999999999996</v>
      </c>
      <c r="AO35" s="12">
        <v>0.48</v>
      </c>
      <c r="AP35" s="12">
        <v>0.76</v>
      </c>
      <c r="AQ35" s="12">
        <v>0.69</v>
      </c>
      <c r="AR35" s="12">
        <v>0.65</v>
      </c>
      <c r="AS35" s="12">
        <v>0.69</v>
      </c>
      <c r="AT35" s="12">
        <v>0.65</v>
      </c>
      <c r="AU35" s="12">
        <v>0.67</v>
      </c>
      <c r="AV35" s="12">
        <v>0.57999999999999996</v>
      </c>
      <c r="AW35" s="12">
        <v>0.57999999999999996</v>
      </c>
      <c r="AX35" s="12">
        <v>0.4</v>
      </c>
      <c r="AY35" s="12">
        <v>0.66</v>
      </c>
      <c r="AZ35" s="12">
        <v>0.55000000000000004</v>
      </c>
      <c r="BA35" s="12">
        <v>0.47</v>
      </c>
      <c r="BB35" s="12">
        <v>0.62</v>
      </c>
      <c r="BC35" s="12">
        <v>0.75</v>
      </c>
      <c r="BD35" s="12">
        <v>0.82</v>
      </c>
      <c r="BE35" s="12">
        <v>0.82</v>
      </c>
      <c r="BF35" s="12">
        <v>0.87</v>
      </c>
      <c r="BG35" s="12">
        <v>0.8</v>
      </c>
      <c r="BH35" s="12">
        <v>0.78</v>
      </c>
      <c r="BI35" s="12">
        <v>0.83</v>
      </c>
      <c r="BJ35" s="12">
        <v>0.77</v>
      </c>
      <c r="BK35" s="12">
        <v>0.71</v>
      </c>
      <c r="BL35" s="12">
        <v>0.72</v>
      </c>
      <c r="BM35" s="12">
        <v>0.47</v>
      </c>
      <c r="BN35" s="12">
        <v>0.8</v>
      </c>
      <c r="BO35" s="12">
        <v>0.75</v>
      </c>
      <c r="BP35" s="12">
        <v>0.7</v>
      </c>
      <c r="BQ35" s="12">
        <v>0.82</v>
      </c>
      <c r="BR35" s="12">
        <v>0.61</v>
      </c>
      <c r="BS35" s="12">
        <v>0.79</v>
      </c>
      <c r="BT35" s="12">
        <v>0.73</v>
      </c>
      <c r="BU35" s="12">
        <v>0.61</v>
      </c>
      <c r="BV35" s="12">
        <v>0.68</v>
      </c>
      <c r="BW35" s="12">
        <v>0.65</v>
      </c>
      <c r="BX35" s="12">
        <v>0.59</v>
      </c>
      <c r="BY35" s="12">
        <v>0.67</v>
      </c>
      <c r="BZ35" s="12">
        <v>0.57999999999999996</v>
      </c>
      <c r="CA35" s="12">
        <v>0.68</v>
      </c>
      <c r="CB35" s="12">
        <v>0.62</v>
      </c>
      <c r="CC35" s="12">
        <v>0.65</v>
      </c>
      <c r="CD35" s="12">
        <v>0.5</v>
      </c>
      <c r="CE35" s="12">
        <v>0.64</v>
      </c>
      <c r="CF35" s="12">
        <v>0.66</v>
      </c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</row>
    <row r="36" spans="1:102" ht="13">
      <c r="A36" s="68"/>
      <c r="B36" s="37" t="s">
        <v>47</v>
      </c>
      <c r="C36" s="12"/>
      <c r="D36" s="12"/>
      <c r="E36" s="12"/>
      <c r="F36" s="12">
        <v>0</v>
      </c>
      <c r="G36" s="12">
        <v>0</v>
      </c>
      <c r="H36" s="12">
        <v>0</v>
      </c>
      <c r="I36" s="12">
        <v>0</v>
      </c>
      <c r="J36" s="12">
        <v>56.17</v>
      </c>
      <c r="K36" s="12">
        <v>0</v>
      </c>
      <c r="L36" s="12">
        <v>0</v>
      </c>
      <c r="M36" s="12">
        <v>0</v>
      </c>
      <c r="N36" s="33">
        <v>0</v>
      </c>
      <c r="O36" s="12">
        <v>0</v>
      </c>
      <c r="P36" s="12">
        <v>25.33</v>
      </c>
      <c r="Q36" s="12">
        <v>0</v>
      </c>
      <c r="R36" s="12">
        <v>0</v>
      </c>
      <c r="S36" s="12">
        <v>0</v>
      </c>
      <c r="T36" s="12">
        <v>0</v>
      </c>
      <c r="U36" s="12">
        <v>18.600000000000001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4.43</v>
      </c>
      <c r="AG36" s="12">
        <v>0</v>
      </c>
      <c r="AH36" s="12">
        <v>0</v>
      </c>
      <c r="AI36" s="12">
        <v>0</v>
      </c>
      <c r="AJ36" s="13"/>
      <c r="AK36" s="12">
        <v>0</v>
      </c>
      <c r="AL36" s="12">
        <v>0</v>
      </c>
      <c r="AM36" s="12">
        <v>0</v>
      </c>
      <c r="AN36" s="12">
        <v>0</v>
      </c>
      <c r="AO36" s="12">
        <v>6.5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23.83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70.08</v>
      </c>
      <c r="BK36" s="12">
        <v>30.44</v>
      </c>
      <c r="BL36" s="12">
        <v>27.58</v>
      </c>
      <c r="BM36" s="12">
        <v>0</v>
      </c>
      <c r="BN36" s="12">
        <v>8.3800000000000008</v>
      </c>
      <c r="BO36" s="12">
        <v>0</v>
      </c>
      <c r="BP36" s="12">
        <v>0</v>
      </c>
      <c r="BQ36" s="12">
        <v>0</v>
      </c>
      <c r="BR36" s="12">
        <v>8.7200000000000006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19.010000000000002</v>
      </c>
      <c r="BZ36" s="12">
        <v>0</v>
      </c>
      <c r="CA36" s="12">
        <v>0</v>
      </c>
      <c r="CB36" s="12">
        <v>38.35</v>
      </c>
      <c r="CC36" s="12">
        <v>0</v>
      </c>
      <c r="CD36" s="12">
        <v>0</v>
      </c>
      <c r="CE36" s="12">
        <v>11.4</v>
      </c>
      <c r="CF36" s="12">
        <v>0</v>
      </c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</row>
    <row r="37" spans="1:102" ht="13">
      <c r="A37" s="38" t="s">
        <v>49</v>
      </c>
      <c r="B37" s="39" t="s">
        <v>50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1</v>
      </c>
      <c r="O37" s="12">
        <v>0</v>
      </c>
      <c r="P37" s="12">
        <v>1</v>
      </c>
      <c r="Q37" s="12">
        <v>0</v>
      </c>
      <c r="R37" s="12">
        <v>2</v>
      </c>
      <c r="S37" s="12">
        <v>0</v>
      </c>
      <c r="T37" s="12">
        <v>0</v>
      </c>
      <c r="U37" s="12">
        <v>0</v>
      </c>
      <c r="V37" s="12">
        <v>3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1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3"/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1</v>
      </c>
      <c r="BQ37" s="12">
        <v>0</v>
      </c>
      <c r="BR37" s="12">
        <v>1</v>
      </c>
      <c r="BS37" s="12">
        <v>0</v>
      </c>
      <c r="BT37" s="12">
        <v>0</v>
      </c>
      <c r="BU37" s="12">
        <v>0</v>
      </c>
      <c r="BV37" s="12">
        <v>10</v>
      </c>
      <c r="BW37" s="12">
        <v>11</v>
      </c>
      <c r="BX37" s="12">
        <v>13</v>
      </c>
      <c r="BY37" s="12">
        <v>13</v>
      </c>
      <c r="BZ37" s="12">
        <v>13</v>
      </c>
      <c r="CA37" s="12">
        <v>14</v>
      </c>
      <c r="CB37" s="12">
        <v>14</v>
      </c>
      <c r="CC37" s="12">
        <v>14</v>
      </c>
      <c r="CD37" s="12">
        <v>15</v>
      </c>
      <c r="CE37" s="12">
        <v>15</v>
      </c>
      <c r="CF37" s="12">
        <v>15</v>
      </c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</row>
    <row r="38" spans="1:102" ht="13">
      <c r="A38" s="14"/>
      <c r="B38" s="39" t="s">
        <v>51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1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3"/>
      <c r="AK38" s="12">
        <v>1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</row>
    <row r="39" spans="1:102" ht="13">
      <c r="A39" s="72" t="s">
        <v>52</v>
      </c>
      <c r="B39" s="40" t="s">
        <v>53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</row>
    <row r="40" spans="1:102" ht="13">
      <c r="A40" s="68"/>
      <c r="B40" s="41"/>
      <c r="C40" s="13"/>
      <c r="D40" s="13"/>
      <c r="E40" s="13"/>
      <c r="F40" s="13"/>
      <c r="G40" s="25"/>
      <c r="H40" s="25"/>
      <c r="I40" s="25"/>
      <c r="J40" s="25"/>
      <c r="K40" s="25"/>
      <c r="L40" s="13"/>
      <c r="M40" s="13"/>
      <c r="N40" s="25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</row>
    <row r="41" spans="1:102" ht="13">
      <c r="A41" s="68"/>
      <c r="B41" s="42" t="s">
        <v>54</v>
      </c>
      <c r="K41" s="13"/>
      <c r="L41" s="13"/>
      <c r="M41" s="13"/>
      <c r="N41" s="25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</row>
    <row r="42" spans="1:102" ht="13">
      <c r="A42" s="2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</row>
    <row r="43" spans="1:102" ht="13">
      <c r="A43" s="2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</row>
    <row r="44" spans="1:102" ht="13">
      <c r="A44" s="2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</row>
    <row r="45" spans="1:102" ht="13">
      <c r="A45" s="2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</row>
    <row r="46" spans="1:102" ht="13">
      <c r="A46" s="2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</row>
    <row r="47" spans="1:102" ht="13">
      <c r="A47" s="2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</row>
    <row r="48" spans="1:102" ht="13">
      <c r="A48" s="2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</row>
    <row r="49" spans="1:102" ht="13">
      <c r="A49" s="2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</row>
    <row r="50" spans="1:102" ht="13">
      <c r="A50" s="2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</row>
    <row r="51" spans="1:102" ht="13">
      <c r="A51" s="2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</row>
    <row r="52" spans="1:102" ht="13">
      <c r="A52" s="2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</row>
    <row r="53" spans="1:102" ht="13">
      <c r="A53" s="2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</row>
    <row r="54" spans="1:102" ht="13">
      <c r="A54" s="2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</row>
    <row r="55" spans="1:102" ht="13">
      <c r="A55" s="26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</row>
    <row r="56" spans="1:102" ht="13">
      <c r="A56" s="26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</row>
    <row r="57" spans="1:102" ht="13">
      <c r="A57" s="26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</row>
    <row r="58" spans="1:102" ht="13">
      <c r="A58" s="26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</row>
    <row r="59" spans="1:102" ht="13">
      <c r="A59" s="26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</row>
    <row r="60" spans="1:102" ht="13">
      <c r="A60" s="26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</row>
    <row r="61" spans="1:102" ht="13">
      <c r="A61" s="26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</row>
    <row r="62" spans="1:102" ht="13">
      <c r="A62" s="26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</row>
    <row r="63" spans="1:102" ht="13">
      <c r="A63" s="26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</row>
    <row r="64" spans="1:102" ht="13">
      <c r="A64" s="26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</row>
    <row r="65" spans="1:102" ht="13">
      <c r="A65" s="26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</row>
    <row r="66" spans="1:102" ht="13">
      <c r="A66" s="26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</row>
    <row r="67" spans="1:102" ht="13">
      <c r="A67" s="26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</row>
    <row r="68" spans="1:102" ht="13">
      <c r="A68" s="26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</row>
    <row r="69" spans="1:102" ht="13">
      <c r="A69" s="26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</row>
    <row r="70" spans="1:102" ht="13">
      <c r="A70" s="26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</row>
    <row r="71" spans="1:102" ht="13">
      <c r="A71" s="26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</row>
    <row r="72" spans="1:102" ht="13">
      <c r="A72" s="26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</row>
    <row r="73" spans="1:102" ht="13">
      <c r="A73" s="26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</row>
    <row r="74" spans="1:102" ht="13">
      <c r="A74" s="26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</row>
    <row r="75" spans="1:102" ht="13">
      <c r="A75" s="26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</row>
    <row r="76" spans="1:102" ht="13">
      <c r="A76" s="26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</row>
    <row r="77" spans="1:102" ht="13">
      <c r="A77" s="26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</row>
    <row r="78" spans="1:102" ht="13">
      <c r="A78" s="26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</row>
    <row r="79" spans="1:102" ht="13">
      <c r="A79" s="26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</row>
    <row r="80" spans="1:102" ht="13">
      <c r="A80" s="26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</row>
    <row r="81" spans="1:102" ht="13">
      <c r="A81" s="26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</row>
    <row r="82" spans="1:102" ht="13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</row>
    <row r="83" spans="1:102" ht="13">
      <c r="A83" s="26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</row>
    <row r="84" spans="1:102" ht="13">
      <c r="A84" s="26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</row>
    <row r="85" spans="1:102" ht="13">
      <c r="A85" s="26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</row>
    <row r="86" spans="1:102" ht="13">
      <c r="A86" s="26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</row>
    <row r="87" spans="1:102" ht="13">
      <c r="A87" s="26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</row>
    <row r="88" spans="1:102" ht="13">
      <c r="A88" s="26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</row>
    <row r="89" spans="1:102" ht="13">
      <c r="A89" s="26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</row>
    <row r="90" spans="1:102" ht="13">
      <c r="A90" s="26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</row>
    <row r="91" spans="1:102" ht="13">
      <c r="A91" s="26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</row>
    <row r="92" spans="1:102" ht="13">
      <c r="A92" s="26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</row>
    <row r="93" spans="1:102" ht="13">
      <c r="A93" s="26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</row>
    <row r="94" spans="1:102" ht="13">
      <c r="A94" s="26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</row>
    <row r="95" spans="1:102" ht="13">
      <c r="A95" s="26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</row>
    <row r="96" spans="1:102" ht="13">
      <c r="A96" s="26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</row>
    <row r="97" spans="1:102" ht="13">
      <c r="A97" s="26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</row>
    <row r="98" spans="1:102" ht="13">
      <c r="A98" s="26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</row>
    <row r="99" spans="1:102" ht="13">
      <c r="A99" s="26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</row>
    <row r="100" spans="1:102" ht="13">
      <c r="A100" s="26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</row>
    <row r="101" spans="1:102" ht="13">
      <c r="A101" s="26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</row>
    <row r="102" spans="1:102" ht="13">
      <c r="A102" s="26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</row>
    <row r="103" spans="1:102" ht="13">
      <c r="A103" s="26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</row>
    <row r="104" spans="1:102" ht="13">
      <c r="A104" s="26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</row>
    <row r="105" spans="1:102" ht="13">
      <c r="A105" s="26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</row>
    <row r="106" spans="1:102" ht="13">
      <c r="A106" s="26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</row>
    <row r="107" spans="1:102" ht="13">
      <c r="A107" s="26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</row>
    <row r="108" spans="1:102" ht="13">
      <c r="A108" s="26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</row>
    <row r="109" spans="1:102" ht="13">
      <c r="A109" s="26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</row>
    <row r="110" spans="1:102" ht="13">
      <c r="A110" s="26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</row>
    <row r="111" spans="1:102" ht="13">
      <c r="A111" s="26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</row>
    <row r="112" spans="1:102" ht="13">
      <c r="A112" s="26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</row>
    <row r="113" spans="1:102" ht="13">
      <c r="A113" s="26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</row>
    <row r="114" spans="1:102" ht="13">
      <c r="A114" s="26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</row>
    <row r="115" spans="1:102" ht="13">
      <c r="A115" s="26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</row>
    <row r="116" spans="1:102" ht="13">
      <c r="A116" s="26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</row>
    <row r="117" spans="1:102" ht="13">
      <c r="A117" s="26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</row>
    <row r="118" spans="1:102" ht="13">
      <c r="A118" s="26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</row>
    <row r="119" spans="1:102" ht="13">
      <c r="A119" s="26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</row>
    <row r="120" spans="1:102" ht="13">
      <c r="A120" s="26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</row>
    <row r="121" spans="1:102" ht="13">
      <c r="A121" s="26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</row>
    <row r="122" spans="1:102" ht="13">
      <c r="A122" s="26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</row>
    <row r="123" spans="1:102" ht="13">
      <c r="A123" s="26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</row>
    <row r="124" spans="1:102" ht="13">
      <c r="A124" s="26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</row>
    <row r="125" spans="1:102" ht="13">
      <c r="A125" s="26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</row>
    <row r="126" spans="1:102" ht="13">
      <c r="A126" s="26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</row>
    <row r="127" spans="1:102" ht="13">
      <c r="A127" s="26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</row>
    <row r="128" spans="1:102" ht="13">
      <c r="A128" s="26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</row>
    <row r="129" spans="1:102" ht="13">
      <c r="A129" s="26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</row>
    <row r="130" spans="1:102" ht="13">
      <c r="A130" s="26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</row>
    <row r="131" spans="1:102" ht="13">
      <c r="A131" s="26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</row>
    <row r="132" spans="1:102" ht="13">
      <c r="A132" s="26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</row>
    <row r="133" spans="1:102" ht="13">
      <c r="A133" s="26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</row>
    <row r="134" spans="1:102" ht="13">
      <c r="A134" s="26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</row>
    <row r="135" spans="1:102" ht="13">
      <c r="A135" s="26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</row>
    <row r="136" spans="1:102" ht="13">
      <c r="A136" s="26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</row>
    <row r="137" spans="1:102" ht="13">
      <c r="A137" s="26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</row>
    <row r="138" spans="1:102" ht="13">
      <c r="A138" s="26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</row>
    <row r="139" spans="1:102" ht="13">
      <c r="A139" s="26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</row>
    <row r="140" spans="1:102" ht="13">
      <c r="A140" s="26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</row>
    <row r="141" spans="1:102" ht="13">
      <c r="A141" s="26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</row>
    <row r="142" spans="1:102" ht="13">
      <c r="A142" s="26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</row>
    <row r="143" spans="1:102" ht="13">
      <c r="A143" s="26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</row>
    <row r="144" spans="1:102" ht="13">
      <c r="A144" s="26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</row>
    <row r="145" spans="1:102" ht="13">
      <c r="A145" s="26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</row>
    <row r="146" spans="1:102" ht="13">
      <c r="A146" s="26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</row>
    <row r="147" spans="1:102" ht="13">
      <c r="A147" s="26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</row>
    <row r="148" spans="1:102" ht="13">
      <c r="A148" s="26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</row>
    <row r="149" spans="1:102" ht="13">
      <c r="A149" s="26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</row>
    <row r="150" spans="1:102" ht="13">
      <c r="A150" s="26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</row>
    <row r="151" spans="1:102" ht="13">
      <c r="A151" s="26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</row>
    <row r="152" spans="1:102" ht="13">
      <c r="A152" s="26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</row>
    <row r="153" spans="1:102" ht="13">
      <c r="A153" s="26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</row>
    <row r="154" spans="1:102" ht="13">
      <c r="A154" s="26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</row>
    <row r="155" spans="1:102" ht="13">
      <c r="A155" s="26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</row>
    <row r="156" spans="1:102" ht="13">
      <c r="A156" s="26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</row>
    <row r="157" spans="1:102" ht="13">
      <c r="A157" s="26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</row>
    <row r="158" spans="1:102" ht="13">
      <c r="A158" s="26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</row>
    <row r="159" spans="1:102" ht="13">
      <c r="A159" s="26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</row>
    <row r="160" spans="1:102" ht="13">
      <c r="A160" s="26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</row>
    <row r="161" spans="1:102" ht="13">
      <c r="A161" s="26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</row>
    <row r="162" spans="1:102" ht="13">
      <c r="A162" s="26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</row>
    <row r="163" spans="1:102" ht="13">
      <c r="A163" s="26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</row>
    <row r="164" spans="1:102" ht="13">
      <c r="A164" s="26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</row>
    <row r="165" spans="1:102" ht="13">
      <c r="A165" s="26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</row>
    <row r="166" spans="1:102" ht="13">
      <c r="A166" s="26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</row>
    <row r="167" spans="1:102" ht="13">
      <c r="A167" s="26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</row>
    <row r="168" spans="1:102" ht="13">
      <c r="A168" s="26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</row>
    <row r="169" spans="1:102" ht="13">
      <c r="A169" s="26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</row>
    <row r="170" spans="1:102" ht="13">
      <c r="A170" s="26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</row>
    <row r="171" spans="1:102" ht="13">
      <c r="A171" s="26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</row>
    <row r="172" spans="1:102" ht="13">
      <c r="A172" s="26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</row>
    <row r="173" spans="1:102" ht="13">
      <c r="A173" s="26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</row>
    <row r="174" spans="1:102" ht="13">
      <c r="A174" s="26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</row>
    <row r="175" spans="1:102" ht="13">
      <c r="A175" s="26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</row>
    <row r="176" spans="1:102" ht="13">
      <c r="A176" s="26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</row>
    <row r="177" spans="1:102" ht="13">
      <c r="A177" s="26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</row>
    <row r="178" spans="1:102" ht="13">
      <c r="A178" s="26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</row>
    <row r="179" spans="1:102" ht="13">
      <c r="A179" s="26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</row>
    <row r="180" spans="1:102" ht="13">
      <c r="A180" s="26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</row>
    <row r="181" spans="1:102" ht="13">
      <c r="A181" s="26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</row>
    <row r="182" spans="1:102" ht="13">
      <c r="A182" s="26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</row>
    <row r="183" spans="1:102" ht="13">
      <c r="A183" s="26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</row>
    <row r="184" spans="1:102" ht="13">
      <c r="A184" s="26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</row>
    <row r="185" spans="1:102" ht="13">
      <c r="A185" s="26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</row>
    <row r="186" spans="1:102" ht="13">
      <c r="A186" s="26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</row>
    <row r="187" spans="1:102" ht="13">
      <c r="A187" s="26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</row>
    <row r="188" spans="1:102" ht="13">
      <c r="A188" s="26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</row>
    <row r="189" spans="1:102" ht="13">
      <c r="A189" s="26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</row>
    <row r="190" spans="1:102" ht="13">
      <c r="A190" s="26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</row>
    <row r="191" spans="1:102" ht="13">
      <c r="A191" s="26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</row>
    <row r="192" spans="1:102" ht="13">
      <c r="A192" s="26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</row>
    <row r="193" spans="1:102" ht="13">
      <c r="A193" s="26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</row>
    <row r="194" spans="1:102" ht="13">
      <c r="A194" s="26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</row>
    <row r="195" spans="1:102" ht="13">
      <c r="A195" s="26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</row>
    <row r="196" spans="1:102" ht="13">
      <c r="A196" s="26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</row>
    <row r="197" spans="1:102" ht="13">
      <c r="A197" s="26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</row>
    <row r="198" spans="1:102" ht="13">
      <c r="A198" s="26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</row>
    <row r="199" spans="1:102" ht="13">
      <c r="A199" s="26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</row>
    <row r="200" spans="1:102" ht="13">
      <c r="A200" s="26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</row>
    <row r="201" spans="1:102" ht="13">
      <c r="A201" s="26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</row>
    <row r="202" spans="1:102" ht="13">
      <c r="A202" s="26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</row>
    <row r="203" spans="1:102" ht="13">
      <c r="A203" s="26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</row>
    <row r="204" spans="1:102" ht="13">
      <c r="A204" s="26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</row>
    <row r="205" spans="1:102" ht="13">
      <c r="A205" s="26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</row>
    <row r="206" spans="1:102" ht="13">
      <c r="A206" s="26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</row>
    <row r="207" spans="1:102" ht="13">
      <c r="A207" s="26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</row>
    <row r="208" spans="1:102" ht="13">
      <c r="A208" s="26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</row>
    <row r="209" spans="1:102" ht="13">
      <c r="A209" s="26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</row>
    <row r="210" spans="1:102" ht="13">
      <c r="A210" s="26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</row>
    <row r="211" spans="1:102" ht="13">
      <c r="A211" s="26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</row>
    <row r="212" spans="1:102" ht="13">
      <c r="A212" s="26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</row>
    <row r="213" spans="1:102" ht="13">
      <c r="A213" s="26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</row>
    <row r="214" spans="1:102" ht="13">
      <c r="A214" s="26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</row>
    <row r="215" spans="1:102" ht="13">
      <c r="A215" s="26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</row>
    <row r="216" spans="1:102" ht="13">
      <c r="A216" s="26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</row>
    <row r="217" spans="1:102" ht="13">
      <c r="A217" s="26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</row>
    <row r="218" spans="1:102" ht="13">
      <c r="A218" s="26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</row>
    <row r="219" spans="1:102" ht="13">
      <c r="A219" s="26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</row>
    <row r="220" spans="1:102" ht="13">
      <c r="A220" s="26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</row>
    <row r="221" spans="1:102" ht="13">
      <c r="A221" s="26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</row>
    <row r="222" spans="1:102" ht="13">
      <c r="A222" s="26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</row>
    <row r="223" spans="1:102" ht="13">
      <c r="A223" s="26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</row>
    <row r="224" spans="1:102" ht="13">
      <c r="A224" s="26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</row>
    <row r="225" spans="1:102" ht="13">
      <c r="A225" s="26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</row>
    <row r="226" spans="1:102" ht="13">
      <c r="A226" s="26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</row>
    <row r="227" spans="1:102" ht="13">
      <c r="A227" s="26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</row>
    <row r="228" spans="1:102" ht="13">
      <c r="A228" s="26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</row>
    <row r="229" spans="1:102" ht="13">
      <c r="A229" s="26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</row>
    <row r="230" spans="1:102" ht="13">
      <c r="A230" s="26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</row>
    <row r="231" spans="1:102" ht="13">
      <c r="A231" s="26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</row>
    <row r="232" spans="1:102" ht="13">
      <c r="A232" s="26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</row>
    <row r="233" spans="1:102" ht="13">
      <c r="A233" s="26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</row>
    <row r="234" spans="1:102" ht="13">
      <c r="A234" s="26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</row>
    <row r="235" spans="1:102" ht="13">
      <c r="A235" s="26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</row>
    <row r="236" spans="1:102" ht="13">
      <c r="A236" s="26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</row>
    <row r="237" spans="1:102" ht="13">
      <c r="A237" s="26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</row>
    <row r="238" spans="1:102" ht="13">
      <c r="A238" s="26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</row>
    <row r="239" spans="1:102" ht="13">
      <c r="A239" s="26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</row>
    <row r="240" spans="1:102" ht="13">
      <c r="A240" s="26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</row>
    <row r="241" spans="1:102" ht="13">
      <c r="A241" s="26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</row>
    <row r="242" spans="1:102" ht="13">
      <c r="A242" s="26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</row>
    <row r="243" spans="1:102" ht="13">
      <c r="A243" s="26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</row>
    <row r="244" spans="1:102" ht="13">
      <c r="A244" s="26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</row>
    <row r="245" spans="1:102" ht="13">
      <c r="A245" s="26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</row>
    <row r="246" spans="1:102" ht="13">
      <c r="A246" s="26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</row>
    <row r="247" spans="1:102" ht="13">
      <c r="A247" s="26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</row>
    <row r="248" spans="1:102" ht="13">
      <c r="A248" s="26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</row>
    <row r="249" spans="1:102" ht="13">
      <c r="A249" s="26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</row>
    <row r="250" spans="1:102" ht="13">
      <c r="A250" s="26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</row>
    <row r="251" spans="1:102" ht="13">
      <c r="A251" s="26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</row>
    <row r="252" spans="1:102" ht="13">
      <c r="A252" s="26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</row>
    <row r="253" spans="1:102" ht="13">
      <c r="A253" s="26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</row>
    <row r="254" spans="1:102" ht="13">
      <c r="A254" s="26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</row>
    <row r="255" spans="1:102" ht="13">
      <c r="A255" s="26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</row>
    <row r="256" spans="1:102" ht="13">
      <c r="A256" s="26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</row>
    <row r="257" spans="1:102" ht="13">
      <c r="A257" s="26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</row>
    <row r="258" spans="1:102" ht="13">
      <c r="A258" s="26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</row>
    <row r="259" spans="1:102" ht="13">
      <c r="A259" s="26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</row>
    <row r="260" spans="1:102" ht="13">
      <c r="A260" s="26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</row>
    <row r="261" spans="1:102" ht="13">
      <c r="A261" s="26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</row>
    <row r="262" spans="1:102" ht="13">
      <c r="A262" s="26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</row>
    <row r="263" spans="1:102" ht="13">
      <c r="A263" s="26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</row>
    <row r="264" spans="1:102" ht="13">
      <c r="A264" s="26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</row>
    <row r="265" spans="1:102" ht="13">
      <c r="A265" s="26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</row>
    <row r="266" spans="1:102" ht="13">
      <c r="A266" s="26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</row>
    <row r="267" spans="1:102" ht="13">
      <c r="A267" s="26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</row>
    <row r="268" spans="1:102" ht="13">
      <c r="A268" s="26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</row>
    <row r="269" spans="1:102" ht="13">
      <c r="A269" s="26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</row>
    <row r="270" spans="1:102" ht="13">
      <c r="A270" s="26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</row>
    <row r="271" spans="1:102" ht="13">
      <c r="A271" s="26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</row>
    <row r="272" spans="1:102" ht="13">
      <c r="A272" s="26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</row>
    <row r="273" spans="1:102" ht="13">
      <c r="A273" s="26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</row>
    <row r="274" spans="1:102" ht="13">
      <c r="A274" s="26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</row>
    <row r="275" spans="1:102" ht="13">
      <c r="A275" s="26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</row>
    <row r="276" spans="1:102" ht="13">
      <c r="A276" s="26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</row>
    <row r="277" spans="1:102" ht="13">
      <c r="A277" s="26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</row>
    <row r="278" spans="1:102" ht="13">
      <c r="A278" s="26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</row>
    <row r="279" spans="1:102" ht="13">
      <c r="A279" s="26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</row>
    <row r="280" spans="1:102" ht="13">
      <c r="A280" s="26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</row>
    <row r="281" spans="1:102" ht="13">
      <c r="A281" s="26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</row>
    <row r="282" spans="1:102" ht="13">
      <c r="A282" s="26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</row>
    <row r="283" spans="1:102" ht="13">
      <c r="A283" s="26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</row>
    <row r="284" spans="1:102" ht="13">
      <c r="A284" s="26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</row>
    <row r="285" spans="1:102" ht="13">
      <c r="A285" s="26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</row>
    <row r="286" spans="1:102" ht="13">
      <c r="A286" s="26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</row>
    <row r="287" spans="1:102" ht="13">
      <c r="A287" s="26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</row>
    <row r="288" spans="1:102" ht="13">
      <c r="A288" s="26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</row>
    <row r="289" spans="1:102" ht="13">
      <c r="A289" s="26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</row>
    <row r="290" spans="1:102" ht="13">
      <c r="A290" s="26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</row>
    <row r="291" spans="1:102" ht="13">
      <c r="A291" s="26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</row>
    <row r="292" spans="1:102" ht="13">
      <c r="A292" s="26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</row>
    <row r="293" spans="1:102" ht="13">
      <c r="A293" s="26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</row>
    <row r="294" spans="1:102" ht="13">
      <c r="A294" s="26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</row>
    <row r="295" spans="1:102" ht="13">
      <c r="A295" s="26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</row>
    <row r="296" spans="1:102" ht="13">
      <c r="A296" s="26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</row>
    <row r="297" spans="1:102" ht="13">
      <c r="A297" s="26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</row>
    <row r="298" spans="1:102" ht="13">
      <c r="A298" s="26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</row>
    <row r="299" spans="1:102" ht="13">
      <c r="A299" s="26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</row>
    <row r="300" spans="1:102" ht="13">
      <c r="A300" s="26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</row>
    <row r="301" spans="1:102" ht="13">
      <c r="A301" s="26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</row>
    <row r="302" spans="1:102" ht="13">
      <c r="A302" s="26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</row>
    <row r="303" spans="1:102" ht="13">
      <c r="A303" s="26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</row>
    <row r="304" spans="1:102" ht="13">
      <c r="A304" s="26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</row>
    <row r="305" spans="1:102" ht="13">
      <c r="A305" s="26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</row>
    <row r="306" spans="1:102" ht="13">
      <c r="A306" s="26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</row>
    <row r="307" spans="1:102" ht="13">
      <c r="A307" s="26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</row>
    <row r="308" spans="1:102" ht="13">
      <c r="A308" s="26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</row>
    <row r="309" spans="1:102" ht="13">
      <c r="A309" s="26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</row>
    <row r="310" spans="1:102" ht="13">
      <c r="A310" s="26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</row>
    <row r="311" spans="1:102" ht="13">
      <c r="A311" s="26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</row>
    <row r="312" spans="1:102" ht="13">
      <c r="A312" s="26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</row>
    <row r="313" spans="1:102" ht="13">
      <c r="A313" s="26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</row>
    <row r="314" spans="1:102" ht="13">
      <c r="A314" s="26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</row>
    <row r="315" spans="1:102" ht="13">
      <c r="A315" s="26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</row>
    <row r="316" spans="1:102" ht="13">
      <c r="A316" s="26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</row>
    <row r="317" spans="1:102" ht="13">
      <c r="A317" s="26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</row>
    <row r="318" spans="1:102" ht="13">
      <c r="A318" s="26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</row>
    <row r="319" spans="1:102" ht="13">
      <c r="A319" s="26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</row>
    <row r="320" spans="1:102" ht="13">
      <c r="A320" s="26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</row>
    <row r="321" spans="1:102" ht="13">
      <c r="A321" s="26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</row>
    <row r="322" spans="1:102" ht="13">
      <c r="A322" s="26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</row>
    <row r="323" spans="1:102" ht="13">
      <c r="A323" s="26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</row>
    <row r="324" spans="1:102" ht="13">
      <c r="A324" s="26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</row>
    <row r="325" spans="1:102" ht="13">
      <c r="A325" s="26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</row>
    <row r="326" spans="1:102" ht="13">
      <c r="A326" s="26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</row>
    <row r="327" spans="1:102" ht="13">
      <c r="A327" s="26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</row>
    <row r="328" spans="1:102" ht="13">
      <c r="A328" s="26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</row>
    <row r="329" spans="1:102" ht="13">
      <c r="A329" s="26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</row>
    <row r="330" spans="1:102" ht="13">
      <c r="A330" s="26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</row>
    <row r="331" spans="1:102" ht="13">
      <c r="A331" s="26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</row>
    <row r="332" spans="1:102" ht="13">
      <c r="A332" s="26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</row>
    <row r="333" spans="1:102" ht="13">
      <c r="A333" s="26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</row>
    <row r="334" spans="1:102" ht="13">
      <c r="A334" s="26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</row>
    <row r="335" spans="1:102" ht="13">
      <c r="A335" s="26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</row>
    <row r="336" spans="1:102" ht="13">
      <c r="A336" s="26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</row>
    <row r="337" spans="1:102" ht="13">
      <c r="A337" s="26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</row>
    <row r="338" spans="1:102" ht="13">
      <c r="A338" s="26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</row>
    <row r="339" spans="1:102" ht="13">
      <c r="A339" s="26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</row>
    <row r="340" spans="1:102" ht="13">
      <c r="A340" s="26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</row>
    <row r="341" spans="1:102" ht="13">
      <c r="A341" s="26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</row>
    <row r="342" spans="1:102" ht="13">
      <c r="A342" s="26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</row>
    <row r="343" spans="1:102" ht="13">
      <c r="A343" s="26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</row>
    <row r="344" spans="1:102" ht="13">
      <c r="A344" s="26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</row>
    <row r="345" spans="1:102" ht="13">
      <c r="A345" s="26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</row>
    <row r="346" spans="1:102" ht="13">
      <c r="A346" s="26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</row>
    <row r="347" spans="1:102" ht="13">
      <c r="A347" s="26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</row>
    <row r="348" spans="1:102" ht="13">
      <c r="A348" s="26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</row>
    <row r="349" spans="1:102" ht="13">
      <c r="A349" s="26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</row>
    <row r="350" spans="1:102" ht="13">
      <c r="A350" s="26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</row>
    <row r="351" spans="1:102" ht="13">
      <c r="A351" s="26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</row>
    <row r="352" spans="1:102" ht="13">
      <c r="A352" s="26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</row>
    <row r="353" spans="1:102" ht="13">
      <c r="A353" s="26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</row>
    <row r="354" spans="1:102" ht="13">
      <c r="A354" s="26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</row>
    <row r="355" spans="1:102" ht="13">
      <c r="A355" s="26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</row>
    <row r="356" spans="1:102" ht="13">
      <c r="A356" s="26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</row>
    <row r="357" spans="1:102" ht="13">
      <c r="A357" s="26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</row>
    <row r="358" spans="1:102" ht="13">
      <c r="A358" s="26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</row>
    <row r="359" spans="1:102" ht="13">
      <c r="A359" s="26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</row>
    <row r="360" spans="1:102" ht="13">
      <c r="A360" s="26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</row>
    <row r="361" spans="1:102" ht="13">
      <c r="A361" s="26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</row>
    <row r="362" spans="1:102" ht="13">
      <c r="A362" s="26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</row>
    <row r="363" spans="1:102" ht="13">
      <c r="A363" s="26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</row>
    <row r="364" spans="1:102" ht="13">
      <c r="A364" s="26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</row>
    <row r="365" spans="1:102" ht="13">
      <c r="A365" s="26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</row>
    <row r="366" spans="1:102" ht="13">
      <c r="A366" s="26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</row>
    <row r="367" spans="1:102" ht="13">
      <c r="A367" s="26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</row>
    <row r="368" spans="1:102" ht="13">
      <c r="A368" s="26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</row>
    <row r="369" spans="1:102" ht="13">
      <c r="A369" s="26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</row>
    <row r="370" spans="1:102" ht="13">
      <c r="A370" s="26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</row>
    <row r="371" spans="1:102" ht="13">
      <c r="A371" s="26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</row>
    <row r="372" spans="1:102" ht="13">
      <c r="A372" s="26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</row>
    <row r="373" spans="1:102" ht="13">
      <c r="A373" s="26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</row>
    <row r="374" spans="1:102" ht="13">
      <c r="A374" s="26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</row>
    <row r="375" spans="1:102" ht="13">
      <c r="A375" s="26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</row>
    <row r="376" spans="1:102" ht="13">
      <c r="A376" s="26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</row>
    <row r="377" spans="1:102" ht="13">
      <c r="A377" s="26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</row>
    <row r="378" spans="1:102" ht="13">
      <c r="A378" s="26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</row>
    <row r="379" spans="1:102" ht="13">
      <c r="A379" s="26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</row>
    <row r="380" spans="1:102" ht="13">
      <c r="A380" s="26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</row>
    <row r="381" spans="1:102" ht="13">
      <c r="A381" s="26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</row>
    <row r="382" spans="1:102" ht="13">
      <c r="A382" s="26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</row>
    <row r="383" spans="1:102" ht="13">
      <c r="A383" s="26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</row>
    <row r="384" spans="1:102" ht="13">
      <c r="A384" s="26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</row>
    <row r="385" spans="1:102" ht="13">
      <c r="A385" s="26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</row>
    <row r="386" spans="1:102" ht="13">
      <c r="A386" s="26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</row>
    <row r="387" spans="1:102" ht="13">
      <c r="A387" s="26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</row>
    <row r="388" spans="1:102" ht="13">
      <c r="A388" s="26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</row>
    <row r="389" spans="1:102" ht="13">
      <c r="A389" s="26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</row>
    <row r="390" spans="1:102" ht="13">
      <c r="A390" s="26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</row>
    <row r="391" spans="1:102" ht="13">
      <c r="A391" s="26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</row>
    <row r="392" spans="1:102" ht="13">
      <c r="A392" s="26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</row>
    <row r="393" spans="1:102" ht="13">
      <c r="A393" s="26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</row>
    <row r="394" spans="1:102" ht="13">
      <c r="A394" s="26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</row>
    <row r="395" spans="1:102" ht="13">
      <c r="A395" s="26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</row>
    <row r="396" spans="1:102" ht="13">
      <c r="A396" s="26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</row>
    <row r="397" spans="1:102" ht="13">
      <c r="A397" s="26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</row>
    <row r="398" spans="1:102" ht="13">
      <c r="A398" s="26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</row>
    <row r="399" spans="1:102" ht="13">
      <c r="A399" s="26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</row>
    <row r="400" spans="1:102" ht="13">
      <c r="A400" s="26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</row>
    <row r="401" spans="1:102" ht="13">
      <c r="A401" s="26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</row>
    <row r="402" spans="1:102" ht="13">
      <c r="A402" s="26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</row>
    <row r="403" spans="1:102" ht="13">
      <c r="A403" s="26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</row>
    <row r="404" spans="1:102" ht="13">
      <c r="A404" s="26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</row>
    <row r="405" spans="1:102" ht="13">
      <c r="A405" s="26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</row>
    <row r="406" spans="1:102" ht="13">
      <c r="A406" s="26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</row>
    <row r="407" spans="1:102" ht="13">
      <c r="A407" s="26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</row>
    <row r="408" spans="1:102" ht="13">
      <c r="A408" s="26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</row>
    <row r="409" spans="1:102" ht="13">
      <c r="A409" s="26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</row>
    <row r="410" spans="1:102" ht="13">
      <c r="A410" s="26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</row>
    <row r="411" spans="1:102" ht="13">
      <c r="A411" s="26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</row>
    <row r="412" spans="1:102" ht="13">
      <c r="A412" s="26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</row>
    <row r="413" spans="1:102" ht="13">
      <c r="A413" s="26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</row>
    <row r="414" spans="1:102" ht="13">
      <c r="A414" s="26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</row>
    <row r="415" spans="1:102" ht="13">
      <c r="A415" s="26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</row>
    <row r="416" spans="1:102" ht="13">
      <c r="A416" s="26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</row>
    <row r="417" spans="1:102" ht="13">
      <c r="A417" s="26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</row>
    <row r="418" spans="1:102" ht="13">
      <c r="A418" s="26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</row>
    <row r="419" spans="1:102" ht="13">
      <c r="A419" s="26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</row>
    <row r="420" spans="1:102" ht="13">
      <c r="A420" s="26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</row>
    <row r="421" spans="1:102" ht="13">
      <c r="A421" s="26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</row>
    <row r="422" spans="1:102" ht="13">
      <c r="A422" s="26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</row>
    <row r="423" spans="1:102" ht="13">
      <c r="A423" s="26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</row>
    <row r="424" spans="1:102" ht="13">
      <c r="A424" s="26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</row>
    <row r="425" spans="1:102" ht="13">
      <c r="A425" s="26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</row>
    <row r="426" spans="1:102" ht="13">
      <c r="A426" s="26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</row>
    <row r="427" spans="1:102" ht="13">
      <c r="A427" s="26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</row>
    <row r="428" spans="1:102" ht="13">
      <c r="A428" s="26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</row>
    <row r="429" spans="1:102" ht="13">
      <c r="A429" s="26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</row>
    <row r="430" spans="1:102" ht="13">
      <c r="A430" s="26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</row>
    <row r="431" spans="1:102" ht="13">
      <c r="A431" s="26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</row>
    <row r="432" spans="1:102" ht="13">
      <c r="A432" s="26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</row>
    <row r="433" spans="1:102" ht="13">
      <c r="A433" s="26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</row>
    <row r="434" spans="1:102" ht="13">
      <c r="A434" s="26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</row>
    <row r="435" spans="1:102" ht="13">
      <c r="A435" s="26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</row>
    <row r="436" spans="1:102" ht="13">
      <c r="A436" s="26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</row>
    <row r="437" spans="1:102" ht="13">
      <c r="A437" s="26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</row>
    <row r="438" spans="1:102" ht="13">
      <c r="A438" s="26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</row>
    <row r="439" spans="1:102" ht="13">
      <c r="A439" s="26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</row>
    <row r="440" spans="1:102" ht="13">
      <c r="A440" s="26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</row>
    <row r="441" spans="1:102" ht="13">
      <c r="A441" s="26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</row>
    <row r="442" spans="1:102" ht="13">
      <c r="A442" s="26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</row>
    <row r="443" spans="1:102" ht="13">
      <c r="A443" s="26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</row>
    <row r="444" spans="1:102" ht="13">
      <c r="A444" s="26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</row>
    <row r="445" spans="1:102" ht="13">
      <c r="A445" s="26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</row>
    <row r="446" spans="1:102" ht="13">
      <c r="A446" s="26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</row>
    <row r="447" spans="1:102" ht="13">
      <c r="A447" s="26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</row>
    <row r="448" spans="1:102" ht="13">
      <c r="A448" s="26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</row>
    <row r="449" spans="1:102" ht="13">
      <c r="A449" s="26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</row>
    <row r="450" spans="1:102" ht="13">
      <c r="A450" s="26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</row>
    <row r="451" spans="1:102" ht="13">
      <c r="A451" s="26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</row>
    <row r="452" spans="1:102" ht="13">
      <c r="A452" s="26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</row>
    <row r="453" spans="1:102" ht="13">
      <c r="A453" s="26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</row>
    <row r="454" spans="1:102" ht="13">
      <c r="A454" s="26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</row>
    <row r="455" spans="1:102" ht="13">
      <c r="A455" s="26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</row>
    <row r="456" spans="1:102" ht="13">
      <c r="A456" s="26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</row>
    <row r="457" spans="1:102" ht="13">
      <c r="A457" s="26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</row>
    <row r="458" spans="1:102" ht="13">
      <c r="A458" s="26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</row>
    <row r="459" spans="1:102" ht="13">
      <c r="A459" s="26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</row>
    <row r="460" spans="1:102" ht="13">
      <c r="A460" s="26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</row>
    <row r="461" spans="1:102" ht="13">
      <c r="A461" s="26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</row>
    <row r="462" spans="1:102" ht="13">
      <c r="A462" s="26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</row>
    <row r="463" spans="1:102" ht="13">
      <c r="A463" s="26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</row>
    <row r="464" spans="1:102" ht="13">
      <c r="A464" s="26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</row>
    <row r="465" spans="1:102" ht="13">
      <c r="A465" s="26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</row>
    <row r="466" spans="1:102" ht="13">
      <c r="A466" s="26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</row>
    <row r="467" spans="1:102" ht="13">
      <c r="A467" s="26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</row>
    <row r="468" spans="1:102" ht="13">
      <c r="A468" s="26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</row>
    <row r="469" spans="1:102" ht="13">
      <c r="A469" s="26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</row>
    <row r="470" spans="1:102" ht="13">
      <c r="A470" s="26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</row>
    <row r="471" spans="1:102" ht="13">
      <c r="A471" s="26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</row>
    <row r="472" spans="1:102" ht="13">
      <c r="A472" s="26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</row>
    <row r="473" spans="1:102" ht="13">
      <c r="A473" s="26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</row>
    <row r="474" spans="1:102" ht="13">
      <c r="A474" s="26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</row>
    <row r="475" spans="1:102" ht="13">
      <c r="A475" s="26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</row>
    <row r="476" spans="1:102" ht="13">
      <c r="A476" s="26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</row>
    <row r="477" spans="1:102" ht="13">
      <c r="A477" s="26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</row>
    <row r="478" spans="1:102" ht="13">
      <c r="A478" s="26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</row>
    <row r="479" spans="1:102" ht="13">
      <c r="A479" s="26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</row>
    <row r="480" spans="1:102" ht="13">
      <c r="A480" s="26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</row>
    <row r="481" spans="1:102" ht="13">
      <c r="A481" s="26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</row>
    <row r="482" spans="1:102" ht="13">
      <c r="A482" s="26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</row>
    <row r="483" spans="1:102" ht="13">
      <c r="A483" s="26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</row>
    <row r="484" spans="1:102" ht="13">
      <c r="A484" s="26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</row>
    <row r="485" spans="1:102" ht="13">
      <c r="A485" s="26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</row>
    <row r="486" spans="1:102" ht="13">
      <c r="A486" s="26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</row>
    <row r="487" spans="1:102" ht="13">
      <c r="A487" s="26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</row>
    <row r="488" spans="1:102" ht="13">
      <c r="A488" s="26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</row>
    <row r="489" spans="1:102" ht="13">
      <c r="A489" s="26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</row>
    <row r="490" spans="1:102" ht="13">
      <c r="A490" s="26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</row>
    <row r="491" spans="1:102" ht="13">
      <c r="A491" s="26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</row>
    <row r="492" spans="1:102" ht="13">
      <c r="A492" s="26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</row>
    <row r="493" spans="1:102" ht="13">
      <c r="A493" s="26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</row>
    <row r="494" spans="1:102" ht="13">
      <c r="A494" s="26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</row>
    <row r="495" spans="1:102" ht="13">
      <c r="A495" s="26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</row>
    <row r="496" spans="1:102" ht="13">
      <c r="A496" s="26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</row>
    <row r="497" spans="1:102" ht="13">
      <c r="A497" s="26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</row>
    <row r="498" spans="1:102" ht="13">
      <c r="A498" s="26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</row>
    <row r="499" spans="1:102" ht="13">
      <c r="A499" s="26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</row>
    <row r="500" spans="1:102" ht="13">
      <c r="A500" s="26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</row>
    <row r="501" spans="1:102" ht="13">
      <c r="A501" s="26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</row>
    <row r="502" spans="1:102" ht="13">
      <c r="A502" s="26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</row>
    <row r="503" spans="1:102" ht="13">
      <c r="A503" s="26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</row>
    <row r="504" spans="1:102" ht="13">
      <c r="A504" s="26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</row>
    <row r="505" spans="1:102" ht="13">
      <c r="A505" s="26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</row>
    <row r="506" spans="1:102" ht="13">
      <c r="A506" s="26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</row>
    <row r="507" spans="1:102" ht="13">
      <c r="A507" s="26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</row>
    <row r="508" spans="1:102" ht="13">
      <c r="A508" s="26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</row>
    <row r="509" spans="1:102" ht="13">
      <c r="A509" s="26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</row>
    <row r="510" spans="1:102" ht="13">
      <c r="A510" s="26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</row>
    <row r="511" spans="1:102" ht="13">
      <c r="A511" s="26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</row>
    <row r="512" spans="1:102" ht="13">
      <c r="A512" s="26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</row>
    <row r="513" spans="1:102" ht="13">
      <c r="A513" s="26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</row>
    <row r="514" spans="1:102" ht="13">
      <c r="A514" s="26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</row>
    <row r="515" spans="1:102" ht="13">
      <c r="A515" s="26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</row>
    <row r="516" spans="1:102" ht="13">
      <c r="A516" s="26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</row>
    <row r="517" spans="1:102" ht="13">
      <c r="A517" s="26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</row>
    <row r="518" spans="1:102" ht="13">
      <c r="A518" s="26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</row>
    <row r="519" spans="1:102" ht="13">
      <c r="A519" s="26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</row>
    <row r="520" spans="1:102" ht="13">
      <c r="A520" s="26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</row>
    <row r="521" spans="1:102" ht="13">
      <c r="A521" s="26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</row>
    <row r="522" spans="1:102" ht="13">
      <c r="A522" s="26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</row>
    <row r="523" spans="1:102" ht="13">
      <c r="A523" s="26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</row>
    <row r="524" spans="1:102" ht="13">
      <c r="A524" s="26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</row>
    <row r="525" spans="1:102" ht="13">
      <c r="A525" s="26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</row>
    <row r="526" spans="1:102" ht="13">
      <c r="A526" s="26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</row>
    <row r="527" spans="1:102" ht="13">
      <c r="A527" s="26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</row>
    <row r="528" spans="1:102" ht="13">
      <c r="A528" s="26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</row>
    <row r="529" spans="1:102" ht="13">
      <c r="A529" s="26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</row>
    <row r="530" spans="1:102" ht="13">
      <c r="A530" s="26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</row>
    <row r="531" spans="1:102" ht="13">
      <c r="A531" s="26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</row>
    <row r="532" spans="1:102" ht="13">
      <c r="A532" s="26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</row>
    <row r="533" spans="1:102" ht="13">
      <c r="A533" s="26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</row>
    <row r="534" spans="1:102" ht="13">
      <c r="A534" s="26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</row>
    <row r="535" spans="1:102" ht="13">
      <c r="A535" s="26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</row>
    <row r="536" spans="1:102" ht="13">
      <c r="A536" s="26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</row>
    <row r="537" spans="1:102" ht="13">
      <c r="A537" s="26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</row>
    <row r="538" spans="1:102" ht="13">
      <c r="A538" s="26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</row>
    <row r="539" spans="1:102" ht="13">
      <c r="A539" s="26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</row>
    <row r="540" spans="1:102" ht="13">
      <c r="A540" s="26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</row>
    <row r="541" spans="1:102" ht="13">
      <c r="A541" s="26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</row>
    <row r="542" spans="1:102" ht="13">
      <c r="A542" s="26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</row>
    <row r="543" spans="1:102" ht="13">
      <c r="A543" s="26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</row>
    <row r="544" spans="1:102" ht="13">
      <c r="A544" s="26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</row>
    <row r="545" spans="1:102" ht="13">
      <c r="A545" s="26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</row>
    <row r="546" spans="1:102" ht="13">
      <c r="A546" s="26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</row>
    <row r="547" spans="1:102" ht="13">
      <c r="A547" s="26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</row>
    <row r="548" spans="1:102" ht="13">
      <c r="A548" s="26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</row>
    <row r="549" spans="1:102" ht="13">
      <c r="A549" s="26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</row>
    <row r="550" spans="1:102" ht="13">
      <c r="A550" s="26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</row>
    <row r="551" spans="1:102" ht="13">
      <c r="A551" s="26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</row>
    <row r="552" spans="1:102" ht="13">
      <c r="A552" s="26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</row>
    <row r="553" spans="1:102" ht="13">
      <c r="A553" s="26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</row>
    <row r="554" spans="1:102" ht="13">
      <c r="A554" s="26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</row>
    <row r="555" spans="1:102" ht="13">
      <c r="A555" s="26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</row>
    <row r="556" spans="1:102" ht="13">
      <c r="A556" s="26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</row>
    <row r="557" spans="1:102" ht="13">
      <c r="A557" s="26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</row>
    <row r="558" spans="1:102" ht="13">
      <c r="A558" s="26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</row>
    <row r="559" spans="1:102" ht="13">
      <c r="A559" s="26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</row>
    <row r="560" spans="1:102" ht="13">
      <c r="A560" s="26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</row>
    <row r="561" spans="1:102" ht="13">
      <c r="A561" s="26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</row>
    <row r="562" spans="1:102" ht="13">
      <c r="A562" s="26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</row>
    <row r="563" spans="1:102" ht="13">
      <c r="A563" s="26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</row>
    <row r="564" spans="1:102" ht="13">
      <c r="A564" s="26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</row>
    <row r="565" spans="1:102" ht="13">
      <c r="A565" s="26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</row>
    <row r="566" spans="1:102" ht="13">
      <c r="A566" s="26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</row>
    <row r="567" spans="1:102" ht="13">
      <c r="A567" s="26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</row>
    <row r="568" spans="1:102" ht="13">
      <c r="A568" s="26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</row>
    <row r="569" spans="1:102" ht="13">
      <c r="A569" s="26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</row>
    <row r="570" spans="1:102" ht="13">
      <c r="A570" s="26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</row>
    <row r="571" spans="1:102" ht="13">
      <c r="A571" s="26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</row>
    <row r="572" spans="1:102" ht="13">
      <c r="A572" s="26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</row>
    <row r="573" spans="1:102" ht="13">
      <c r="A573" s="26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</row>
    <row r="574" spans="1:102" ht="13">
      <c r="A574" s="26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</row>
    <row r="575" spans="1:102" ht="13">
      <c r="A575" s="26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</row>
    <row r="576" spans="1:102" ht="13">
      <c r="A576" s="26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</row>
    <row r="577" spans="1:102" ht="13">
      <c r="A577" s="26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</row>
    <row r="578" spans="1:102" ht="13">
      <c r="A578" s="26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</row>
    <row r="579" spans="1:102" ht="13">
      <c r="A579" s="26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</row>
    <row r="580" spans="1:102" ht="13">
      <c r="A580" s="26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</row>
    <row r="581" spans="1:102" ht="13">
      <c r="A581" s="26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</row>
    <row r="582" spans="1:102" ht="13">
      <c r="A582" s="26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</row>
    <row r="583" spans="1:102" ht="13">
      <c r="A583" s="26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</row>
    <row r="584" spans="1:102" ht="13">
      <c r="A584" s="26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</row>
    <row r="585" spans="1:102" ht="13">
      <c r="A585" s="26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</row>
    <row r="586" spans="1:102" ht="13">
      <c r="A586" s="26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</row>
    <row r="587" spans="1:102" ht="13">
      <c r="A587" s="26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</row>
    <row r="588" spans="1:102" ht="13">
      <c r="A588" s="26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</row>
    <row r="589" spans="1:102" ht="13">
      <c r="A589" s="26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</row>
    <row r="590" spans="1:102" ht="13">
      <c r="A590" s="26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</row>
    <row r="591" spans="1:102" ht="13">
      <c r="A591" s="26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</row>
    <row r="592" spans="1:102" ht="13">
      <c r="A592" s="26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</row>
    <row r="593" spans="1:102" ht="13">
      <c r="A593" s="26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</row>
    <row r="594" spans="1:102" ht="13">
      <c r="A594" s="26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</row>
    <row r="595" spans="1:102" ht="13">
      <c r="A595" s="26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</row>
    <row r="596" spans="1:102" ht="13">
      <c r="A596" s="26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</row>
    <row r="597" spans="1:102" ht="13">
      <c r="A597" s="26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</row>
    <row r="598" spans="1:102" ht="13">
      <c r="A598" s="26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</row>
    <row r="599" spans="1:102" ht="13">
      <c r="A599" s="26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</row>
    <row r="600" spans="1:102" ht="13">
      <c r="A600" s="26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</row>
    <row r="601" spans="1:102" ht="13">
      <c r="A601" s="26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</row>
    <row r="602" spans="1:102" ht="13">
      <c r="A602" s="26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</row>
    <row r="603" spans="1:102" ht="13">
      <c r="A603" s="26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</row>
    <row r="604" spans="1:102" ht="13">
      <c r="A604" s="26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</row>
    <row r="605" spans="1:102" ht="13">
      <c r="A605" s="26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</row>
    <row r="606" spans="1:102" ht="13">
      <c r="A606" s="26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</row>
    <row r="607" spans="1:102" ht="13">
      <c r="A607" s="26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</row>
    <row r="608" spans="1:102" ht="13">
      <c r="A608" s="26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</row>
    <row r="609" spans="1:102" ht="13">
      <c r="A609" s="26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</row>
    <row r="610" spans="1:102" ht="13">
      <c r="A610" s="26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</row>
    <row r="611" spans="1:102" ht="13">
      <c r="A611" s="26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</row>
    <row r="612" spans="1:102" ht="13">
      <c r="A612" s="26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</row>
    <row r="613" spans="1:102" ht="13">
      <c r="A613" s="26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</row>
    <row r="614" spans="1:102" ht="13">
      <c r="A614" s="26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</row>
    <row r="615" spans="1:102" ht="13">
      <c r="A615" s="26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</row>
    <row r="616" spans="1:102" ht="13">
      <c r="A616" s="26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</row>
    <row r="617" spans="1:102" ht="13">
      <c r="A617" s="26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</row>
    <row r="618" spans="1:102" ht="13">
      <c r="A618" s="26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</row>
    <row r="619" spans="1:102" ht="13">
      <c r="A619" s="26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</row>
    <row r="620" spans="1:102" ht="13">
      <c r="A620" s="26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</row>
    <row r="621" spans="1:102" ht="13">
      <c r="A621" s="26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</row>
    <row r="622" spans="1:102" ht="13">
      <c r="A622" s="26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</row>
    <row r="623" spans="1:102" ht="13">
      <c r="A623" s="26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</row>
    <row r="624" spans="1:102" ht="13">
      <c r="A624" s="26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</row>
    <row r="625" spans="1:102" ht="13">
      <c r="A625" s="26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</row>
    <row r="626" spans="1:102" ht="13">
      <c r="A626" s="26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</row>
    <row r="627" spans="1:102" ht="13">
      <c r="A627" s="26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</row>
    <row r="628" spans="1:102" ht="13">
      <c r="A628" s="26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</row>
    <row r="629" spans="1:102" ht="13">
      <c r="A629" s="26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</row>
    <row r="630" spans="1:102" ht="13">
      <c r="A630" s="26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</row>
    <row r="631" spans="1:102" ht="13">
      <c r="A631" s="26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</row>
    <row r="632" spans="1:102" ht="13">
      <c r="A632" s="26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</row>
    <row r="633" spans="1:102" ht="13">
      <c r="A633" s="26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</row>
    <row r="634" spans="1:102" ht="13">
      <c r="A634" s="26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</row>
    <row r="635" spans="1:102" ht="13">
      <c r="A635" s="26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</row>
    <row r="636" spans="1:102" ht="13">
      <c r="A636" s="26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</row>
    <row r="637" spans="1:102" ht="13">
      <c r="A637" s="26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</row>
    <row r="638" spans="1:102" ht="13">
      <c r="A638" s="26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</row>
    <row r="639" spans="1:102" ht="13">
      <c r="A639" s="26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</row>
    <row r="640" spans="1:102" ht="13">
      <c r="A640" s="26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</row>
    <row r="641" spans="1:102" ht="13">
      <c r="A641" s="26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</row>
    <row r="642" spans="1:102" ht="13">
      <c r="A642" s="26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</row>
    <row r="643" spans="1:102" ht="13">
      <c r="A643" s="26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</row>
    <row r="644" spans="1:102" ht="13">
      <c r="A644" s="26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</row>
    <row r="645" spans="1:102" ht="13">
      <c r="A645" s="26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</row>
    <row r="646" spans="1:102" ht="13">
      <c r="A646" s="26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</row>
    <row r="647" spans="1:102" ht="13">
      <c r="A647" s="26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</row>
    <row r="648" spans="1:102" ht="13">
      <c r="A648" s="26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</row>
    <row r="649" spans="1:102" ht="13">
      <c r="A649" s="26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</row>
    <row r="650" spans="1:102" ht="13">
      <c r="A650" s="26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</row>
    <row r="651" spans="1:102" ht="13">
      <c r="A651" s="26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</row>
    <row r="652" spans="1:102" ht="13">
      <c r="A652" s="26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</row>
    <row r="653" spans="1:102" ht="13">
      <c r="A653" s="26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</row>
    <row r="654" spans="1:102" ht="13">
      <c r="A654" s="26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</row>
    <row r="655" spans="1:102" ht="13">
      <c r="A655" s="26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</row>
    <row r="656" spans="1:102" ht="13">
      <c r="A656" s="26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</row>
    <row r="657" spans="1:102" ht="13">
      <c r="A657" s="26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</row>
    <row r="658" spans="1:102" ht="13">
      <c r="A658" s="26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</row>
    <row r="659" spans="1:102" ht="13">
      <c r="A659" s="26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</row>
    <row r="660" spans="1:102" ht="13">
      <c r="A660" s="26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</row>
    <row r="661" spans="1:102" ht="13">
      <c r="A661" s="26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</row>
    <row r="662" spans="1:102" ht="13">
      <c r="A662" s="26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</row>
    <row r="663" spans="1:102" ht="13">
      <c r="A663" s="26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</row>
    <row r="664" spans="1:102" ht="13">
      <c r="A664" s="26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</row>
    <row r="665" spans="1:102" ht="13">
      <c r="A665" s="26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</row>
    <row r="666" spans="1:102" ht="13">
      <c r="A666" s="26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</row>
    <row r="667" spans="1:102" ht="13">
      <c r="A667" s="26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</row>
    <row r="668" spans="1:102" ht="13">
      <c r="A668" s="26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</row>
    <row r="669" spans="1:102" ht="13">
      <c r="A669" s="26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</row>
    <row r="670" spans="1:102" ht="13">
      <c r="A670" s="26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</row>
    <row r="671" spans="1:102" ht="13">
      <c r="A671" s="26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</row>
    <row r="672" spans="1:102" ht="13">
      <c r="A672" s="26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</row>
    <row r="673" spans="1:102" ht="13">
      <c r="A673" s="26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</row>
    <row r="674" spans="1:102" ht="13">
      <c r="A674" s="26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</row>
    <row r="675" spans="1:102" ht="13">
      <c r="A675" s="26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</row>
    <row r="676" spans="1:102" ht="13">
      <c r="A676" s="26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</row>
    <row r="677" spans="1:102" ht="13">
      <c r="A677" s="26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</row>
    <row r="678" spans="1:102" ht="13">
      <c r="A678" s="26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</row>
    <row r="679" spans="1:102" ht="13">
      <c r="A679" s="26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</row>
    <row r="680" spans="1:102" ht="13">
      <c r="A680" s="26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</row>
    <row r="681" spans="1:102" ht="13">
      <c r="A681" s="26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</row>
    <row r="682" spans="1:102" ht="13">
      <c r="A682" s="26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</row>
    <row r="683" spans="1:102" ht="13">
      <c r="A683" s="26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</row>
    <row r="684" spans="1:102" ht="13">
      <c r="A684" s="26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</row>
    <row r="685" spans="1:102" ht="13">
      <c r="A685" s="26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</row>
    <row r="686" spans="1:102" ht="13">
      <c r="A686" s="26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</row>
    <row r="687" spans="1:102" ht="13">
      <c r="A687" s="26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</row>
    <row r="688" spans="1:102" ht="13">
      <c r="A688" s="26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</row>
    <row r="689" spans="1:102" ht="13">
      <c r="A689" s="26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</row>
    <row r="690" spans="1:102" ht="13">
      <c r="A690" s="26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</row>
    <row r="691" spans="1:102" ht="13">
      <c r="A691" s="26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</row>
    <row r="692" spans="1:102" ht="13">
      <c r="A692" s="26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</row>
    <row r="693" spans="1:102" ht="13">
      <c r="A693" s="26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</row>
    <row r="694" spans="1:102" ht="13">
      <c r="A694" s="26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</row>
    <row r="695" spans="1:102" ht="13">
      <c r="A695" s="26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</row>
    <row r="696" spans="1:102" ht="13">
      <c r="A696" s="26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</row>
    <row r="697" spans="1:102" ht="13">
      <c r="A697" s="26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</row>
    <row r="698" spans="1:102" ht="13">
      <c r="A698" s="26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</row>
    <row r="699" spans="1:102" ht="13">
      <c r="A699" s="26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</row>
    <row r="700" spans="1:102" ht="13">
      <c r="A700" s="26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</row>
    <row r="701" spans="1:102" ht="13">
      <c r="A701" s="26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</row>
    <row r="702" spans="1:102" ht="13">
      <c r="A702" s="26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</row>
    <row r="703" spans="1:102" ht="13">
      <c r="A703" s="26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</row>
    <row r="704" spans="1:102" ht="13">
      <c r="A704" s="26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</row>
    <row r="705" spans="1:102" ht="13">
      <c r="A705" s="26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</row>
    <row r="706" spans="1:102" ht="13">
      <c r="A706" s="26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</row>
    <row r="707" spans="1:102" ht="13">
      <c r="A707" s="26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</row>
    <row r="708" spans="1:102" ht="13">
      <c r="A708" s="26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</row>
    <row r="709" spans="1:102" ht="13">
      <c r="A709" s="26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</row>
    <row r="710" spans="1:102" ht="13">
      <c r="A710" s="26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</row>
    <row r="711" spans="1:102" ht="13">
      <c r="A711" s="26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</row>
    <row r="712" spans="1:102" ht="13">
      <c r="A712" s="26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</row>
    <row r="713" spans="1:102" ht="13">
      <c r="A713" s="26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</row>
    <row r="714" spans="1:102" ht="13">
      <c r="A714" s="26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</row>
    <row r="715" spans="1:102" ht="13">
      <c r="A715" s="26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</row>
    <row r="716" spans="1:102" ht="13">
      <c r="A716" s="26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</row>
    <row r="717" spans="1:102" ht="13">
      <c r="A717" s="26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</row>
    <row r="718" spans="1:102" ht="13">
      <c r="A718" s="26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</row>
    <row r="719" spans="1:102" ht="13">
      <c r="A719" s="26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</row>
    <row r="720" spans="1:102" ht="13">
      <c r="A720" s="26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</row>
    <row r="721" spans="1:102" ht="13">
      <c r="A721" s="26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</row>
    <row r="722" spans="1:102" ht="13">
      <c r="A722" s="26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</row>
    <row r="723" spans="1:102" ht="13">
      <c r="A723" s="26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</row>
    <row r="724" spans="1:102" ht="13">
      <c r="A724" s="26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</row>
    <row r="725" spans="1:102" ht="13">
      <c r="A725" s="26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</row>
    <row r="726" spans="1:102" ht="13">
      <c r="A726" s="26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</row>
    <row r="727" spans="1:102" ht="13">
      <c r="A727" s="26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</row>
    <row r="728" spans="1:102" ht="13">
      <c r="A728" s="26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</row>
    <row r="729" spans="1:102" ht="13">
      <c r="A729" s="26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</row>
    <row r="730" spans="1:102" ht="13">
      <c r="A730" s="26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</row>
    <row r="731" spans="1:102" ht="13">
      <c r="A731" s="26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</row>
    <row r="732" spans="1:102" ht="13">
      <c r="A732" s="26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</row>
    <row r="733" spans="1:102" ht="13">
      <c r="A733" s="26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</row>
    <row r="734" spans="1:102" ht="13">
      <c r="A734" s="26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</row>
    <row r="735" spans="1:102" ht="13">
      <c r="A735" s="26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</row>
    <row r="736" spans="1:102" ht="13">
      <c r="A736" s="26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</row>
    <row r="737" spans="1:102" ht="13">
      <c r="A737" s="26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</row>
    <row r="738" spans="1:102" ht="13">
      <c r="A738" s="26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</row>
    <row r="739" spans="1:102" ht="13">
      <c r="A739" s="26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</row>
    <row r="740" spans="1:102" ht="13">
      <c r="A740" s="26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</row>
    <row r="741" spans="1:102" ht="13">
      <c r="A741" s="26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</row>
    <row r="742" spans="1:102" ht="13">
      <c r="A742" s="26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</row>
    <row r="743" spans="1:102" ht="13">
      <c r="A743" s="26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</row>
    <row r="744" spans="1:102" ht="13">
      <c r="A744" s="26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</row>
    <row r="745" spans="1:102" ht="13">
      <c r="A745" s="26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</row>
    <row r="746" spans="1:102" ht="13">
      <c r="A746" s="26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</row>
    <row r="747" spans="1:102" ht="13">
      <c r="A747" s="26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</row>
    <row r="748" spans="1:102" ht="13">
      <c r="A748" s="26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</row>
    <row r="749" spans="1:102" ht="13">
      <c r="A749" s="26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</row>
    <row r="750" spans="1:102" ht="13">
      <c r="A750" s="26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</row>
    <row r="751" spans="1:102" ht="13">
      <c r="A751" s="26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</row>
    <row r="752" spans="1:102" ht="13">
      <c r="A752" s="26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</row>
    <row r="753" spans="1:102" ht="13">
      <c r="A753" s="26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</row>
    <row r="754" spans="1:102" ht="13">
      <c r="A754" s="26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</row>
    <row r="755" spans="1:102" ht="13">
      <c r="A755" s="26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</row>
    <row r="756" spans="1:102" ht="13">
      <c r="A756" s="26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</row>
    <row r="757" spans="1:102" ht="13">
      <c r="A757" s="26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</row>
    <row r="758" spans="1:102" ht="13">
      <c r="A758" s="26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</row>
    <row r="759" spans="1:102" ht="13">
      <c r="A759" s="26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</row>
    <row r="760" spans="1:102" ht="13">
      <c r="A760" s="26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</row>
    <row r="761" spans="1:102" ht="13">
      <c r="A761" s="26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</row>
    <row r="762" spans="1:102" ht="13">
      <c r="A762" s="26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</row>
    <row r="763" spans="1:102" ht="13">
      <c r="A763" s="26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</row>
    <row r="764" spans="1:102" ht="13">
      <c r="A764" s="26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</row>
    <row r="765" spans="1:102" ht="13">
      <c r="A765" s="26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</row>
    <row r="766" spans="1:102" ht="13">
      <c r="A766" s="26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</row>
    <row r="767" spans="1:102" ht="13">
      <c r="A767" s="26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</row>
    <row r="768" spans="1:102" ht="13">
      <c r="A768" s="26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</row>
    <row r="769" spans="1:102" ht="13">
      <c r="A769" s="26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</row>
    <row r="770" spans="1:102" ht="13">
      <c r="A770" s="26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</row>
    <row r="771" spans="1:102" ht="13">
      <c r="A771" s="26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</row>
    <row r="772" spans="1:102" ht="13">
      <c r="A772" s="26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</row>
    <row r="773" spans="1:102" ht="13">
      <c r="A773" s="26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</row>
    <row r="774" spans="1:102" ht="13">
      <c r="A774" s="26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</row>
    <row r="775" spans="1:102" ht="13">
      <c r="A775" s="26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</row>
    <row r="776" spans="1:102" ht="13">
      <c r="A776" s="26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</row>
    <row r="777" spans="1:102" ht="13">
      <c r="A777" s="26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</row>
    <row r="778" spans="1:102" ht="13">
      <c r="A778" s="26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</row>
    <row r="779" spans="1:102" ht="13">
      <c r="A779" s="26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</row>
    <row r="780" spans="1:102" ht="13">
      <c r="A780" s="26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</row>
    <row r="781" spans="1:102" ht="13">
      <c r="A781" s="26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</row>
    <row r="782" spans="1:102" ht="13">
      <c r="A782" s="26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</row>
    <row r="783" spans="1:102" ht="13">
      <c r="A783" s="26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</row>
    <row r="784" spans="1:102" ht="13">
      <c r="A784" s="26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</row>
    <row r="785" spans="1:102" ht="13">
      <c r="A785" s="26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</row>
    <row r="786" spans="1:102" ht="13">
      <c r="A786" s="26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</row>
    <row r="787" spans="1:102" ht="13">
      <c r="A787" s="26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</row>
    <row r="788" spans="1:102" ht="13">
      <c r="A788" s="26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</row>
    <row r="789" spans="1:102" ht="13">
      <c r="A789" s="26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</row>
    <row r="790" spans="1:102" ht="13">
      <c r="A790" s="26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</row>
    <row r="791" spans="1:102" ht="13">
      <c r="A791" s="26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</row>
    <row r="792" spans="1:102" ht="13">
      <c r="A792" s="26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</row>
    <row r="793" spans="1:102" ht="13">
      <c r="A793" s="26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</row>
    <row r="794" spans="1:102" ht="13">
      <c r="A794" s="26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</row>
    <row r="795" spans="1:102" ht="13">
      <c r="A795" s="26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</row>
    <row r="796" spans="1:102" ht="13">
      <c r="A796" s="26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</row>
    <row r="797" spans="1:102" ht="13">
      <c r="A797" s="26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</row>
    <row r="798" spans="1:102" ht="13">
      <c r="A798" s="26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</row>
    <row r="799" spans="1:102" ht="13">
      <c r="A799" s="26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</row>
    <row r="800" spans="1:102" ht="13">
      <c r="A800" s="26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</row>
    <row r="801" spans="1:102" ht="13">
      <c r="A801" s="26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</row>
    <row r="802" spans="1:102" ht="13">
      <c r="A802" s="26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</row>
    <row r="803" spans="1:102" ht="13">
      <c r="A803" s="26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</row>
    <row r="804" spans="1:102" ht="13">
      <c r="A804" s="26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</row>
    <row r="805" spans="1:102" ht="13">
      <c r="A805" s="26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</row>
    <row r="806" spans="1:102" ht="13">
      <c r="A806" s="26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</row>
    <row r="807" spans="1:102" ht="13">
      <c r="A807" s="26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</row>
    <row r="808" spans="1:102" ht="13">
      <c r="A808" s="26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</row>
    <row r="809" spans="1:102" ht="13">
      <c r="A809" s="26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</row>
    <row r="810" spans="1:102" ht="13">
      <c r="A810" s="26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</row>
    <row r="811" spans="1:102" ht="13">
      <c r="A811" s="26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</row>
    <row r="812" spans="1:102" ht="13">
      <c r="A812" s="26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</row>
    <row r="813" spans="1:102" ht="13">
      <c r="A813" s="26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</row>
    <row r="814" spans="1:102" ht="13">
      <c r="A814" s="26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</row>
    <row r="815" spans="1:102" ht="13">
      <c r="A815" s="26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</row>
    <row r="816" spans="1:102" ht="13">
      <c r="A816" s="26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</row>
    <row r="817" spans="1:102" ht="13">
      <c r="A817" s="26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</row>
    <row r="818" spans="1:102" ht="13">
      <c r="A818" s="26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</row>
    <row r="819" spans="1:102" ht="13">
      <c r="A819" s="26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</row>
    <row r="820" spans="1:102" ht="13">
      <c r="A820" s="26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</row>
    <row r="821" spans="1:102" ht="13">
      <c r="A821" s="26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</row>
    <row r="822" spans="1:102" ht="13">
      <c r="A822" s="26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</row>
    <row r="823" spans="1:102" ht="13">
      <c r="A823" s="26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</row>
    <row r="824" spans="1:102" ht="13">
      <c r="A824" s="26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</row>
    <row r="825" spans="1:102" ht="13">
      <c r="A825" s="26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</row>
    <row r="826" spans="1:102" ht="13">
      <c r="A826" s="26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</row>
    <row r="827" spans="1:102" ht="13">
      <c r="A827" s="26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</row>
    <row r="828" spans="1:102" ht="13">
      <c r="A828" s="26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</row>
    <row r="829" spans="1:102" ht="13">
      <c r="A829" s="26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</row>
    <row r="830" spans="1:102" ht="13">
      <c r="A830" s="26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</row>
    <row r="831" spans="1:102" ht="13">
      <c r="A831" s="26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</row>
    <row r="832" spans="1:102" ht="13">
      <c r="A832" s="26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</row>
    <row r="833" spans="1:102" ht="13">
      <c r="A833" s="26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</row>
    <row r="834" spans="1:102" ht="13">
      <c r="A834" s="26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</row>
    <row r="835" spans="1:102" ht="13">
      <c r="A835" s="26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</row>
    <row r="836" spans="1:102" ht="13">
      <c r="A836" s="26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</row>
    <row r="837" spans="1:102" ht="13">
      <c r="A837" s="26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</row>
    <row r="838" spans="1:102" ht="13">
      <c r="A838" s="26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</row>
    <row r="839" spans="1:102" ht="13">
      <c r="A839" s="26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</row>
    <row r="840" spans="1:102" ht="13">
      <c r="A840" s="26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</row>
    <row r="841" spans="1:102" ht="13">
      <c r="A841" s="26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</row>
    <row r="842" spans="1:102" ht="13">
      <c r="A842" s="26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</row>
    <row r="843" spans="1:102" ht="13">
      <c r="A843" s="26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</row>
    <row r="844" spans="1:102" ht="13">
      <c r="A844" s="26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</row>
    <row r="845" spans="1:102" ht="13">
      <c r="A845" s="26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</row>
    <row r="846" spans="1:102" ht="13">
      <c r="A846" s="26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</row>
    <row r="847" spans="1:102" ht="13">
      <c r="A847" s="26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</row>
    <row r="848" spans="1:102" ht="13">
      <c r="A848" s="26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</row>
    <row r="849" spans="1:102" ht="13">
      <c r="A849" s="26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</row>
    <row r="850" spans="1:102" ht="13">
      <c r="A850" s="26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</row>
    <row r="851" spans="1:102" ht="13">
      <c r="A851" s="26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</row>
    <row r="852" spans="1:102" ht="13">
      <c r="A852" s="26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</row>
    <row r="853" spans="1:102" ht="13">
      <c r="A853" s="26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</row>
    <row r="854" spans="1:102" ht="13">
      <c r="A854" s="26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</row>
    <row r="855" spans="1:102" ht="13">
      <c r="A855" s="26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</row>
    <row r="856" spans="1:102" ht="13">
      <c r="A856" s="26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</row>
    <row r="857" spans="1:102" ht="13">
      <c r="A857" s="26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</row>
    <row r="858" spans="1:102" ht="13">
      <c r="A858" s="26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</row>
    <row r="859" spans="1:102" ht="13">
      <c r="A859" s="26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</row>
    <row r="860" spans="1:102" ht="13">
      <c r="A860" s="26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</row>
    <row r="861" spans="1:102" ht="13">
      <c r="A861" s="26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</row>
    <row r="862" spans="1:102" ht="13">
      <c r="A862" s="26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</row>
    <row r="863" spans="1:102" ht="13">
      <c r="A863" s="26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</row>
    <row r="864" spans="1:102" ht="13">
      <c r="A864" s="26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</row>
    <row r="865" spans="1:102" ht="13">
      <c r="A865" s="26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</row>
    <row r="866" spans="1:102" ht="13">
      <c r="A866" s="26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</row>
    <row r="867" spans="1:102" ht="13">
      <c r="A867" s="26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</row>
    <row r="868" spans="1:102" ht="13">
      <c r="A868" s="26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</row>
    <row r="869" spans="1:102" ht="13">
      <c r="A869" s="26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</row>
    <row r="870" spans="1:102" ht="13">
      <c r="A870" s="26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</row>
    <row r="871" spans="1:102" ht="13">
      <c r="A871" s="26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</row>
    <row r="872" spans="1:102" ht="13">
      <c r="A872" s="26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</row>
    <row r="873" spans="1:102" ht="13">
      <c r="A873" s="26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</row>
    <row r="874" spans="1:102" ht="13">
      <c r="A874" s="26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</row>
    <row r="875" spans="1:102" ht="13">
      <c r="A875" s="26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</row>
    <row r="876" spans="1:102" ht="13">
      <c r="A876" s="26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</row>
    <row r="877" spans="1:102" ht="13">
      <c r="A877" s="26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</row>
    <row r="878" spans="1:102" ht="13">
      <c r="A878" s="26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</row>
    <row r="879" spans="1:102" ht="13">
      <c r="A879" s="26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</row>
    <row r="880" spans="1:102" ht="13">
      <c r="A880" s="26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</row>
    <row r="881" spans="1:102" ht="13">
      <c r="A881" s="26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</row>
    <row r="882" spans="1:102" ht="13">
      <c r="A882" s="26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</row>
    <row r="883" spans="1:102" ht="13">
      <c r="A883" s="26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</row>
    <row r="884" spans="1:102" ht="13">
      <c r="A884" s="26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</row>
    <row r="885" spans="1:102" ht="13">
      <c r="A885" s="26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</row>
    <row r="886" spans="1:102" ht="13">
      <c r="A886" s="26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</row>
    <row r="887" spans="1:102" ht="13">
      <c r="A887" s="26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</row>
    <row r="888" spans="1:102" ht="13">
      <c r="A888" s="26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</row>
    <row r="889" spans="1:102" ht="13">
      <c r="A889" s="26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</row>
    <row r="890" spans="1:102" ht="13">
      <c r="A890" s="26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</row>
    <row r="891" spans="1:102" ht="13">
      <c r="A891" s="26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</row>
    <row r="892" spans="1:102" ht="13">
      <c r="A892" s="26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</row>
    <row r="893" spans="1:102" ht="13">
      <c r="A893" s="26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</row>
    <row r="894" spans="1:102" ht="13">
      <c r="A894" s="26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</row>
    <row r="895" spans="1:102" ht="13">
      <c r="A895" s="26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</row>
    <row r="896" spans="1:102" ht="13">
      <c r="A896" s="26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</row>
    <row r="897" spans="1:102" ht="13">
      <c r="A897" s="26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</row>
    <row r="898" spans="1:102" ht="13">
      <c r="A898" s="26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</row>
    <row r="899" spans="1:102" ht="13">
      <c r="A899" s="26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</row>
    <row r="900" spans="1:102" ht="13">
      <c r="A900" s="26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</row>
    <row r="901" spans="1:102" ht="13">
      <c r="A901" s="26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</row>
    <row r="902" spans="1:102" ht="13">
      <c r="A902" s="26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</row>
    <row r="903" spans="1:102" ht="13">
      <c r="A903" s="26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</row>
    <row r="904" spans="1:102" ht="13">
      <c r="A904" s="26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</row>
    <row r="905" spans="1:102" ht="13">
      <c r="A905" s="26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</row>
    <row r="906" spans="1:102" ht="13">
      <c r="A906" s="26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</row>
    <row r="907" spans="1:102" ht="13">
      <c r="A907" s="26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</row>
    <row r="908" spans="1:102" ht="13">
      <c r="A908" s="26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</row>
    <row r="909" spans="1:102" ht="13">
      <c r="A909" s="26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</row>
    <row r="910" spans="1:102" ht="13">
      <c r="A910" s="26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</row>
    <row r="911" spans="1:102" ht="13">
      <c r="A911" s="26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</row>
    <row r="912" spans="1:102" ht="13">
      <c r="A912" s="26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</row>
    <row r="913" spans="1:102" ht="13">
      <c r="A913" s="26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</row>
    <row r="914" spans="1:102" ht="13">
      <c r="A914" s="26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</row>
    <row r="915" spans="1:102" ht="13">
      <c r="A915" s="26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</row>
    <row r="916" spans="1:102" ht="13">
      <c r="A916" s="26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</row>
    <row r="917" spans="1:102" ht="13">
      <c r="A917" s="26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</row>
    <row r="918" spans="1:102" ht="13">
      <c r="A918" s="26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</row>
    <row r="919" spans="1:102" ht="13">
      <c r="A919" s="26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</row>
    <row r="920" spans="1:102" ht="13">
      <c r="A920" s="26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</row>
    <row r="921" spans="1:102" ht="13">
      <c r="A921" s="26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</row>
    <row r="922" spans="1:102" ht="13">
      <c r="A922" s="26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</row>
    <row r="923" spans="1:102" ht="13">
      <c r="A923" s="26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</row>
    <row r="924" spans="1:102" ht="13">
      <c r="A924" s="26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</row>
    <row r="925" spans="1:102" ht="13">
      <c r="A925" s="26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</row>
    <row r="926" spans="1:102" ht="13">
      <c r="A926" s="26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</row>
    <row r="927" spans="1:102" ht="13">
      <c r="A927" s="26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</row>
    <row r="928" spans="1:102" ht="13">
      <c r="A928" s="26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</row>
    <row r="929" spans="1:102" ht="13">
      <c r="A929" s="26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</row>
    <row r="930" spans="1:102" ht="13">
      <c r="A930" s="26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</row>
    <row r="931" spans="1:102" ht="13">
      <c r="A931" s="26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</row>
    <row r="932" spans="1:102" ht="13">
      <c r="A932" s="26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</row>
    <row r="933" spans="1:102" ht="13">
      <c r="A933" s="26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</row>
    <row r="934" spans="1:102" ht="13">
      <c r="A934" s="26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</row>
    <row r="935" spans="1:102" ht="13">
      <c r="A935" s="26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</row>
    <row r="936" spans="1:102" ht="13">
      <c r="A936" s="26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</row>
    <row r="937" spans="1:102" ht="13">
      <c r="A937" s="26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</row>
    <row r="938" spans="1:102" ht="13">
      <c r="A938" s="26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</row>
    <row r="939" spans="1:102" ht="13">
      <c r="A939" s="26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</row>
    <row r="940" spans="1:102" ht="13">
      <c r="A940" s="26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</row>
    <row r="941" spans="1:102" ht="13">
      <c r="A941" s="26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</row>
    <row r="942" spans="1:102" ht="13">
      <c r="A942" s="26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</row>
    <row r="943" spans="1:102" ht="13">
      <c r="A943" s="26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</row>
    <row r="944" spans="1:102" ht="13">
      <c r="A944" s="26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</row>
    <row r="945" spans="1:102" ht="13">
      <c r="A945" s="26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</row>
    <row r="946" spans="1:102" ht="13">
      <c r="A946" s="26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</row>
    <row r="947" spans="1:102" ht="13">
      <c r="A947" s="26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</row>
    <row r="948" spans="1:102" ht="13">
      <c r="A948" s="26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</row>
    <row r="949" spans="1:102" ht="13">
      <c r="A949" s="26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</row>
    <row r="950" spans="1:102" ht="13">
      <c r="A950" s="26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</row>
    <row r="951" spans="1:102" ht="13">
      <c r="A951" s="26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</row>
    <row r="952" spans="1:102" ht="13">
      <c r="A952" s="26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</row>
    <row r="953" spans="1:102" ht="13">
      <c r="A953" s="26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</row>
    <row r="954" spans="1:102" ht="13">
      <c r="A954" s="26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</row>
    <row r="955" spans="1:102" ht="13">
      <c r="A955" s="26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</row>
    <row r="956" spans="1:102" ht="13">
      <c r="A956" s="26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</row>
    <row r="957" spans="1:102" ht="13">
      <c r="A957" s="26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</row>
    <row r="958" spans="1:102" ht="13">
      <c r="A958" s="26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</row>
    <row r="959" spans="1:102" ht="13">
      <c r="A959" s="26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</row>
    <row r="960" spans="1:102" ht="13">
      <c r="A960" s="26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</row>
    <row r="961" spans="1:102" ht="13">
      <c r="A961" s="26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</row>
    <row r="962" spans="1:102" ht="13">
      <c r="A962" s="26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</row>
    <row r="963" spans="1:102" ht="13">
      <c r="A963" s="26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</row>
    <row r="964" spans="1:102" ht="13">
      <c r="A964" s="26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</row>
    <row r="965" spans="1:102" ht="13">
      <c r="A965" s="26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</row>
    <row r="966" spans="1:102" ht="13">
      <c r="A966" s="26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</row>
    <row r="967" spans="1:102" ht="13">
      <c r="A967" s="26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</row>
    <row r="968" spans="1:102" ht="13">
      <c r="A968" s="26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</row>
    <row r="969" spans="1:102" ht="13">
      <c r="A969" s="26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</row>
    <row r="970" spans="1:102" ht="13">
      <c r="A970" s="26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</row>
    <row r="971" spans="1:102" ht="13">
      <c r="A971" s="26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</row>
    <row r="972" spans="1:102" ht="13">
      <c r="A972" s="26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</row>
    <row r="973" spans="1:102" ht="13">
      <c r="A973" s="26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</row>
    <row r="974" spans="1:102" ht="13">
      <c r="A974" s="26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</row>
    <row r="975" spans="1:102" ht="13">
      <c r="A975" s="26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</row>
    <row r="976" spans="1:102" ht="13">
      <c r="A976" s="26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</row>
    <row r="977" spans="1:102" ht="13">
      <c r="A977" s="26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</row>
    <row r="978" spans="1:102" ht="13">
      <c r="A978" s="26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</row>
    <row r="979" spans="1:102" ht="13">
      <c r="A979" s="26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</row>
    <row r="980" spans="1:102" ht="13">
      <c r="A980" s="26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</row>
    <row r="981" spans="1:102" ht="13">
      <c r="A981" s="26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</row>
    <row r="982" spans="1:102" ht="13">
      <c r="A982" s="26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</row>
    <row r="983" spans="1:102" ht="13">
      <c r="A983" s="26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</row>
    <row r="984" spans="1:102" ht="13">
      <c r="A984" s="26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</row>
    <row r="985" spans="1:102" ht="13">
      <c r="A985" s="26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</row>
    <row r="986" spans="1:102" ht="13">
      <c r="A986" s="26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</row>
    <row r="987" spans="1:102" ht="13">
      <c r="A987" s="26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</row>
    <row r="988" spans="1:102" ht="13">
      <c r="A988" s="26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</row>
    <row r="989" spans="1:102" ht="13">
      <c r="A989" s="26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</row>
    <row r="990" spans="1:102" ht="13">
      <c r="A990" s="26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</row>
    <row r="991" spans="1:102" ht="13">
      <c r="A991" s="26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</row>
    <row r="992" spans="1:102" ht="13">
      <c r="A992" s="26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</row>
    <row r="993" spans="1:102" ht="13">
      <c r="A993" s="26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</row>
    <row r="994" spans="1:102" ht="13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  <c r="BL994" s="26"/>
      <c r="BM994" s="26"/>
      <c r="BN994" s="26"/>
      <c r="BO994" s="26"/>
      <c r="BP994" s="26"/>
      <c r="BQ994" s="26"/>
      <c r="BR994" s="26"/>
      <c r="BS994" s="26"/>
      <c r="BT994" s="26"/>
      <c r="BU994" s="26"/>
      <c r="BV994" s="26"/>
      <c r="BW994" s="26"/>
      <c r="BX994" s="26"/>
      <c r="BY994" s="26"/>
      <c r="BZ994" s="26"/>
      <c r="CA994" s="26"/>
      <c r="CB994" s="26"/>
      <c r="CC994" s="26"/>
      <c r="CD994" s="26"/>
      <c r="CE994" s="26"/>
      <c r="CF994" s="26"/>
      <c r="CG994" s="26"/>
      <c r="CH994" s="26"/>
      <c r="CI994" s="26"/>
      <c r="CJ994" s="26"/>
      <c r="CK994" s="26"/>
      <c r="CL994" s="26"/>
      <c r="CM994" s="26"/>
      <c r="CN994" s="26"/>
      <c r="CO994" s="26"/>
      <c r="CP994" s="26"/>
      <c r="CQ994" s="26"/>
      <c r="CR994" s="26"/>
      <c r="CS994" s="26"/>
      <c r="CT994" s="26"/>
      <c r="CU994" s="26"/>
      <c r="CV994" s="26"/>
      <c r="CW994" s="26"/>
      <c r="CX994" s="26"/>
    </row>
    <row r="995" spans="1:102" ht="13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  <c r="BL995" s="26"/>
      <c r="BM995" s="26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  <c r="CB995" s="26"/>
      <c r="CC995" s="26"/>
      <c r="CD995" s="26"/>
      <c r="CE995" s="26"/>
      <c r="CF995" s="26"/>
      <c r="CG995" s="26"/>
      <c r="CH995" s="26"/>
      <c r="CI995" s="26"/>
      <c r="CJ995" s="26"/>
      <c r="CK995" s="26"/>
      <c r="CL995" s="26"/>
      <c r="CM995" s="26"/>
      <c r="CN995" s="26"/>
      <c r="CO995" s="26"/>
      <c r="CP995" s="26"/>
      <c r="CQ995" s="26"/>
      <c r="CR995" s="26"/>
      <c r="CS995" s="26"/>
      <c r="CT995" s="26"/>
      <c r="CU995" s="26"/>
      <c r="CV995" s="26"/>
      <c r="CW995" s="26"/>
      <c r="CX995" s="26"/>
    </row>
  </sheetData>
  <mergeCells count="5">
    <mergeCell ref="A2:B3"/>
    <mergeCell ref="A9:A12"/>
    <mergeCell ref="A25:A30"/>
    <mergeCell ref="A31:A36"/>
    <mergeCell ref="A39:A41"/>
  </mergeCells>
  <phoneticPr fontId="21" type="noConversion"/>
  <hyperlinks>
    <hyperlink ref="A37" location="刷单计划表格!A1" display="评论管理" xr:uid="{00000000-0004-0000-0000-000000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7"/>
  <sheetViews>
    <sheetView workbookViewId="0"/>
  </sheetViews>
  <sheetFormatPr baseColWidth="10" defaultColWidth="14.5" defaultRowHeight="15.75" customHeight="1"/>
  <cols>
    <col min="1" max="1" width="85.1640625" customWidth="1"/>
  </cols>
  <sheetData>
    <row r="2" spans="1:1" ht="15.75" customHeight="1">
      <c r="A2" s="33" t="s">
        <v>55</v>
      </c>
    </row>
    <row r="3" spans="1:1" ht="15.75" customHeight="1">
      <c r="A3" s="33" t="s">
        <v>56</v>
      </c>
    </row>
    <row r="4" spans="1:1" ht="15.75" customHeight="1">
      <c r="A4" s="33" t="s">
        <v>57</v>
      </c>
    </row>
    <row r="5" spans="1:1" ht="15.75" customHeight="1">
      <c r="A5" s="33"/>
    </row>
    <row r="6" spans="1:1" ht="15.75" customHeight="1">
      <c r="A6" s="33" t="s">
        <v>58</v>
      </c>
    </row>
    <row r="7" spans="1:1" ht="15.75" customHeight="1">
      <c r="A7" s="33" t="s">
        <v>59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4"/>
  <sheetViews>
    <sheetView workbookViewId="0"/>
  </sheetViews>
  <sheetFormatPr baseColWidth="10" defaultColWidth="14.5" defaultRowHeight="15.75" customHeight="1"/>
  <cols>
    <col min="1" max="1" width="18.83203125" customWidth="1"/>
    <col min="2" max="2" width="21.5" customWidth="1"/>
  </cols>
  <sheetData>
    <row r="1" spans="1:6" ht="13">
      <c r="A1" s="73" t="s">
        <v>60</v>
      </c>
      <c r="B1" s="74"/>
      <c r="C1" s="74"/>
      <c r="D1" s="74"/>
      <c r="E1" s="74"/>
      <c r="F1" s="75"/>
    </row>
    <row r="2" spans="1:6" ht="13">
      <c r="A2" s="76"/>
      <c r="B2" s="68"/>
      <c r="C2" s="68"/>
      <c r="D2" s="68"/>
      <c r="E2" s="68"/>
      <c r="F2" s="77"/>
    </row>
    <row r="3" spans="1:6" ht="46.5" customHeight="1">
      <c r="A3" s="78"/>
      <c r="B3" s="79"/>
      <c r="C3" s="79"/>
      <c r="D3" s="79"/>
      <c r="E3" s="79"/>
      <c r="F3" s="80"/>
    </row>
    <row r="4" spans="1:6" ht="13">
      <c r="A4" s="43" t="s">
        <v>61</v>
      </c>
      <c r="B4" s="44"/>
      <c r="C4" s="44"/>
      <c r="D4" s="44"/>
      <c r="E4" s="44"/>
      <c r="F4" s="44"/>
    </row>
    <row r="5" spans="1:6" ht="13">
      <c r="A5" s="43" t="s">
        <v>62</v>
      </c>
      <c r="B5" s="45" t="s">
        <v>63</v>
      </c>
      <c r="C5" s="44"/>
      <c r="D5" s="44"/>
      <c r="E5" s="44"/>
      <c r="F5" s="44"/>
    </row>
    <row r="6" spans="1:6" ht="13">
      <c r="A6" s="43" t="s">
        <v>64</v>
      </c>
      <c r="B6" s="45">
        <v>80</v>
      </c>
      <c r="C6" s="45">
        <v>160</v>
      </c>
      <c r="D6" s="45">
        <v>360</v>
      </c>
      <c r="E6" s="44">
        <f>B6+C6+D6</f>
        <v>600</v>
      </c>
      <c r="F6" s="44"/>
    </row>
    <row r="7" spans="1:6" ht="13">
      <c r="A7" s="43"/>
      <c r="B7" s="45"/>
      <c r="C7" s="44"/>
      <c r="D7" s="44"/>
      <c r="E7" s="45" t="s">
        <v>65</v>
      </c>
      <c r="F7" s="44"/>
    </row>
    <row r="8" spans="1:6" ht="13">
      <c r="A8" s="43" t="s">
        <v>66</v>
      </c>
      <c r="B8" s="45" t="s">
        <v>67</v>
      </c>
      <c r="C8" s="44"/>
      <c r="D8" s="44"/>
      <c r="E8" s="44"/>
      <c r="F8" s="44"/>
    </row>
    <row r="9" spans="1:6" ht="13">
      <c r="A9" s="43" t="s">
        <v>64</v>
      </c>
      <c r="B9" s="45">
        <v>400</v>
      </c>
      <c r="C9" s="45">
        <v>500</v>
      </c>
      <c r="D9" s="45">
        <v>600</v>
      </c>
      <c r="E9" s="44"/>
      <c r="F9" s="44"/>
    </row>
    <row r="10" spans="1:6" ht="13">
      <c r="A10" s="46"/>
      <c r="B10" s="44"/>
      <c r="C10" s="44"/>
      <c r="D10" s="44"/>
      <c r="E10" s="44"/>
      <c r="F10" s="44"/>
    </row>
    <row r="11" spans="1:6" ht="13">
      <c r="A11" s="46"/>
      <c r="B11" s="44"/>
      <c r="C11" s="44"/>
      <c r="D11" s="44"/>
      <c r="E11" s="44"/>
      <c r="F11" s="44"/>
    </row>
    <row r="12" spans="1:6" ht="13">
      <c r="A12" s="46"/>
      <c r="B12" s="44"/>
      <c r="C12" s="44"/>
      <c r="D12" s="44"/>
      <c r="E12" s="44"/>
      <c r="F12" s="44"/>
    </row>
    <row r="13" spans="1:6" ht="13">
      <c r="A13" s="46"/>
      <c r="B13" s="44"/>
      <c r="C13" s="44"/>
      <c r="D13" s="44"/>
      <c r="E13" s="44"/>
      <c r="F13" s="44"/>
    </row>
    <row r="14" spans="1:6" ht="13">
      <c r="A14" s="46"/>
      <c r="B14" s="44"/>
      <c r="C14" s="44"/>
      <c r="D14" s="44"/>
      <c r="E14" s="44"/>
      <c r="F14" s="44"/>
    </row>
    <row r="15" spans="1:6" ht="13">
      <c r="A15" s="46"/>
      <c r="B15" s="44"/>
      <c r="C15" s="44"/>
      <c r="D15" s="44"/>
      <c r="E15" s="44"/>
      <c r="F15" s="44"/>
    </row>
    <row r="16" spans="1:6" ht="13">
      <c r="A16" s="46"/>
      <c r="B16" s="44"/>
      <c r="C16" s="44"/>
      <c r="D16" s="44"/>
      <c r="E16" s="44"/>
      <c r="F16" s="44"/>
    </row>
    <row r="17" spans="1:6" ht="13">
      <c r="A17" s="46"/>
      <c r="B17" s="44"/>
      <c r="C17" s="44"/>
      <c r="D17" s="44"/>
      <c r="E17" s="44"/>
      <c r="F17" s="44"/>
    </row>
    <row r="18" spans="1:6" ht="13">
      <c r="A18" s="46"/>
      <c r="B18" s="44"/>
      <c r="C18" s="44"/>
      <c r="D18" s="44"/>
      <c r="E18" s="44"/>
      <c r="F18" s="44"/>
    </row>
    <row r="19" spans="1:6" ht="13">
      <c r="A19" s="47"/>
    </row>
    <row r="20" spans="1:6" ht="13">
      <c r="A20" s="47"/>
    </row>
    <row r="21" spans="1:6" ht="13">
      <c r="A21" s="47"/>
    </row>
    <row r="22" spans="1:6" ht="13">
      <c r="A22" s="47"/>
    </row>
    <row r="23" spans="1:6" ht="13">
      <c r="A23" s="47"/>
    </row>
    <row r="24" spans="1:6" ht="13">
      <c r="A24" s="47"/>
    </row>
    <row r="25" spans="1:6" ht="13">
      <c r="A25" s="47"/>
    </row>
    <row r="26" spans="1:6" ht="13">
      <c r="A26" s="47"/>
    </row>
    <row r="27" spans="1:6" ht="13">
      <c r="A27" s="47"/>
    </row>
    <row r="28" spans="1:6" ht="13">
      <c r="A28" s="47"/>
    </row>
    <row r="29" spans="1:6" ht="13">
      <c r="A29" s="47"/>
    </row>
    <row r="30" spans="1:6" ht="13">
      <c r="A30" s="47"/>
    </row>
    <row r="31" spans="1:6" ht="13">
      <c r="A31" s="47"/>
    </row>
    <row r="32" spans="1:6" ht="13">
      <c r="A32" s="47"/>
    </row>
    <row r="33" spans="1:1" ht="13">
      <c r="A33" s="47"/>
    </row>
    <row r="34" spans="1:1" ht="13">
      <c r="A34" s="47"/>
    </row>
    <row r="35" spans="1:1" ht="13">
      <c r="A35" s="47"/>
    </row>
    <row r="36" spans="1:1" ht="13">
      <c r="A36" s="47"/>
    </row>
    <row r="37" spans="1:1" ht="13">
      <c r="A37" s="47"/>
    </row>
    <row r="38" spans="1:1" ht="13">
      <c r="A38" s="47"/>
    </row>
    <row r="39" spans="1:1" ht="13">
      <c r="A39" s="47"/>
    </row>
    <row r="40" spans="1:1" ht="13">
      <c r="A40" s="47"/>
    </row>
    <row r="41" spans="1:1" ht="13">
      <c r="A41" s="47"/>
    </row>
    <row r="42" spans="1:1" ht="13">
      <c r="A42" s="47"/>
    </row>
    <row r="43" spans="1:1" ht="13">
      <c r="A43" s="47"/>
    </row>
    <row r="44" spans="1:1" ht="13">
      <c r="A44" s="47"/>
    </row>
    <row r="45" spans="1:1" ht="13">
      <c r="A45" s="47"/>
    </row>
    <row r="46" spans="1:1" ht="13">
      <c r="A46" s="47"/>
    </row>
    <row r="47" spans="1:1" ht="13">
      <c r="A47" s="47"/>
    </row>
    <row r="48" spans="1:1" ht="13">
      <c r="A48" s="47"/>
    </row>
    <row r="49" spans="1:1" ht="13">
      <c r="A49" s="47"/>
    </row>
    <row r="50" spans="1:1" ht="13">
      <c r="A50" s="47"/>
    </row>
    <row r="51" spans="1:1" ht="13">
      <c r="A51" s="47"/>
    </row>
    <row r="52" spans="1:1" ht="13">
      <c r="A52" s="47"/>
    </row>
    <row r="53" spans="1:1" ht="13">
      <c r="A53" s="47"/>
    </row>
    <row r="54" spans="1:1" ht="13">
      <c r="A54" s="47"/>
    </row>
    <row r="55" spans="1:1" ht="13">
      <c r="A55" s="47"/>
    </row>
    <row r="56" spans="1:1" ht="13">
      <c r="A56" s="47"/>
    </row>
    <row r="57" spans="1:1" ht="13">
      <c r="A57" s="47"/>
    </row>
    <row r="58" spans="1:1" ht="13">
      <c r="A58" s="47"/>
    </row>
    <row r="59" spans="1:1" ht="13">
      <c r="A59" s="47"/>
    </row>
    <row r="60" spans="1:1" ht="13">
      <c r="A60" s="47"/>
    </row>
    <row r="61" spans="1:1" ht="13">
      <c r="A61" s="47"/>
    </row>
    <row r="62" spans="1:1" ht="13">
      <c r="A62" s="47"/>
    </row>
    <row r="63" spans="1:1" ht="13">
      <c r="A63" s="47"/>
    </row>
    <row r="64" spans="1:1" ht="13">
      <c r="A64" s="47"/>
    </row>
    <row r="65" spans="1:1" ht="13">
      <c r="A65" s="47"/>
    </row>
    <row r="66" spans="1:1" ht="13">
      <c r="A66" s="47"/>
    </row>
    <row r="67" spans="1:1" ht="13">
      <c r="A67" s="47"/>
    </row>
    <row r="68" spans="1:1" ht="13">
      <c r="A68" s="47"/>
    </row>
    <row r="69" spans="1:1" ht="13">
      <c r="A69" s="47"/>
    </row>
    <row r="70" spans="1:1" ht="13">
      <c r="A70" s="47"/>
    </row>
    <row r="71" spans="1:1" ht="13">
      <c r="A71" s="47"/>
    </row>
    <row r="72" spans="1:1" ht="13">
      <c r="A72" s="47"/>
    </row>
    <row r="73" spans="1:1" ht="13">
      <c r="A73" s="47"/>
    </row>
    <row r="74" spans="1:1" ht="13">
      <c r="A74" s="47"/>
    </row>
    <row r="75" spans="1:1" ht="13">
      <c r="A75" s="47"/>
    </row>
    <row r="76" spans="1:1" ht="13">
      <c r="A76" s="47"/>
    </row>
    <row r="77" spans="1:1" ht="13">
      <c r="A77" s="47"/>
    </row>
    <row r="78" spans="1:1" ht="13">
      <c r="A78" s="47"/>
    </row>
    <row r="79" spans="1:1" ht="13">
      <c r="A79" s="47"/>
    </row>
    <row r="80" spans="1:1" ht="13">
      <c r="A80" s="47"/>
    </row>
    <row r="81" spans="1:1" ht="13">
      <c r="A81" s="47"/>
    </row>
    <row r="82" spans="1:1" ht="13">
      <c r="A82" s="47"/>
    </row>
    <row r="83" spans="1:1" ht="13">
      <c r="A83" s="47"/>
    </row>
    <row r="84" spans="1:1" ht="13">
      <c r="A84" s="47"/>
    </row>
    <row r="85" spans="1:1" ht="13">
      <c r="A85" s="47"/>
    </row>
    <row r="86" spans="1:1" ht="13">
      <c r="A86" s="47"/>
    </row>
    <row r="87" spans="1:1" ht="13">
      <c r="A87" s="47"/>
    </row>
    <row r="88" spans="1:1" ht="13">
      <c r="A88" s="47"/>
    </row>
    <row r="89" spans="1:1" ht="13">
      <c r="A89" s="47"/>
    </row>
    <row r="90" spans="1:1" ht="13">
      <c r="A90" s="47"/>
    </row>
    <row r="91" spans="1:1" ht="13">
      <c r="A91" s="47"/>
    </row>
    <row r="92" spans="1:1" ht="13">
      <c r="A92" s="47"/>
    </row>
    <row r="93" spans="1:1" ht="13">
      <c r="A93" s="47"/>
    </row>
    <row r="94" spans="1:1" ht="13">
      <c r="A94" s="47"/>
    </row>
    <row r="95" spans="1:1" ht="13">
      <c r="A95" s="47"/>
    </row>
    <row r="96" spans="1:1" ht="13">
      <c r="A96" s="47"/>
    </row>
    <row r="97" spans="1:1" ht="13">
      <c r="A97" s="47"/>
    </row>
    <row r="98" spans="1:1" ht="13">
      <c r="A98" s="47"/>
    </row>
    <row r="99" spans="1:1" ht="13">
      <c r="A99" s="47"/>
    </row>
    <row r="100" spans="1:1" ht="13">
      <c r="A100" s="47"/>
    </row>
    <row r="101" spans="1:1" ht="13">
      <c r="A101" s="47"/>
    </row>
    <row r="102" spans="1:1" ht="13">
      <c r="A102" s="47"/>
    </row>
    <row r="103" spans="1:1" ht="13">
      <c r="A103" s="47"/>
    </row>
    <row r="104" spans="1:1" ht="13">
      <c r="A104" s="47"/>
    </row>
    <row r="105" spans="1:1" ht="13">
      <c r="A105" s="47"/>
    </row>
    <row r="106" spans="1:1" ht="13">
      <c r="A106" s="47"/>
    </row>
    <row r="107" spans="1:1" ht="13">
      <c r="A107" s="47"/>
    </row>
    <row r="108" spans="1:1" ht="13">
      <c r="A108" s="47"/>
    </row>
    <row r="109" spans="1:1" ht="13">
      <c r="A109" s="47"/>
    </row>
    <row r="110" spans="1:1" ht="13">
      <c r="A110" s="47"/>
    </row>
    <row r="111" spans="1:1" ht="13">
      <c r="A111" s="47"/>
    </row>
    <row r="112" spans="1:1" ht="13">
      <c r="A112" s="47"/>
    </row>
    <row r="113" spans="1:1" ht="13">
      <c r="A113" s="47"/>
    </row>
    <row r="114" spans="1:1" ht="13">
      <c r="A114" s="47"/>
    </row>
    <row r="115" spans="1:1" ht="13">
      <c r="A115" s="47"/>
    </row>
    <row r="116" spans="1:1" ht="13">
      <c r="A116" s="47"/>
    </row>
    <row r="117" spans="1:1" ht="13">
      <c r="A117" s="47"/>
    </row>
    <row r="118" spans="1:1" ht="13">
      <c r="A118" s="47"/>
    </row>
    <row r="119" spans="1:1" ht="13">
      <c r="A119" s="47"/>
    </row>
    <row r="120" spans="1:1" ht="13">
      <c r="A120" s="47"/>
    </row>
    <row r="121" spans="1:1" ht="13">
      <c r="A121" s="47"/>
    </row>
    <row r="122" spans="1:1" ht="13">
      <c r="A122" s="47"/>
    </row>
    <row r="123" spans="1:1" ht="13">
      <c r="A123" s="47"/>
    </row>
    <row r="124" spans="1:1" ht="13">
      <c r="A124" s="47"/>
    </row>
    <row r="125" spans="1:1" ht="13">
      <c r="A125" s="47"/>
    </row>
    <row r="126" spans="1:1" ht="13">
      <c r="A126" s="47"/>
    </row>
    <row r="127" spans="1:1" ht="13">
      <c r="A127" s="47"/>
    </row>
    <row r="128" spans="1:1" ht="13">
      <c r="A128" s="47"/>
    </row>
    <row r="129" spans="1:1" ht="13">
      <c r="A129" s="47"/>
    </row>
    <row r="130" spans="1:1" ht="13">
      <c r="A130" s="47"/>
    </row>
    <row r="131" spans="1:1" ht="13">
      <c r="A131" s="47"/>
    </row>
    <row r="132" spans="1:1" ht="13">
      <c r="A132" s="47"/>
    </row>
    <row r="133" spans="1:1" ht="13">
      <c r="A133" s="47"/>
    </row>
    <row r="134" spans="1:1" ht="13">
      <c r="A134" s="47"/>
    </row>
    <row r="135" spans="1:1" ht="13">
      <c r="A135" s="47"/>
    </row>
    <row r="136" spans="1:1" ht="13">
      <c r="A136" s="47"/>
    </row>
    <row r="137" spans="1:1" ht="13">
      <c r="A137" s="47"/>
    </row>
    <row r="138" spans="1:1" ht="13">
      <c r="A138" s="47"/>
    </row>
    <row r="139" spans="1:1" ht="13">
      <c r="A139" s="47"/>
    </row>
    <row r="140" spans="1:1" ht="13">
      <c r="A140" s="47"/>
    </row>
    <row r="141" spans="1:1" ht="13">
      <c r="A141" s="47"/>
    </row>
    <row r="142" spans="1:1" ht="13">
      <c r="A142" s="47"/>
    </row>
    <row r="143" spans="1:1" ht="13">
      <c r="A143" s="47"/>
    </row>
    <row r="144" spans="1:1" ht="13">
      <c r="A144" s="47"/>
    </row>
    <row r="145" spans="1:1" ht="13">
      <c r="A145" s="47"/>
    </row>
    <row r="146" spans="1:1" ht="13">
      <c r="A146" s="47"/>
    </row>
    <row r="147" spans="1:1" ht="13">
      <c r="A147" s="47"/>
    </row>
    <row r="148" spans="1:1" ht="13">
      <c r="A148" s="47"/>
    </row>
    <row r="149" spans="1:1" ht="13">
      <c r="A149" s="47"/>
    </row>
    <row r="150" spans="1:1" ht="13">
      <c r="A150" s="47"/>
    </row>
    <row r="151" spans="1:1" ht="13">
      <c r="A151" s="47"/>
    </row>
    <row r="152" spans="1:1" ht="13">
      <c r="A152" s="47"/>
    </row>
    <row r="153" spans="1:1" ht="13">
      <c r="A153" s="47"/>
    </row>
    <row r="154" spans="1:1" ht="13">
      <c r="A154" s="47"/>
    </row>
    <row r="155" spans="1:1" ht="13">
      <c r="A155" s="47"/>
    </row>
    <row r="156" spans="1:1" ht="13">
      <c r="A156" s="47"/>
    </row>
    <row r="157" spans="1:1" ht="13">
      <c r="A157" s="47"/>
    </row>
    <row r="158" spans="1:1" ht="13">
      <c r="A158" s="47"/>
    </row>
    <row r="159" spans="1:1" ht="13">
      <c r="A159" s="47"/>
    </row>
    <row r="160" spans="1:1" ht="13">
      <c r="A160" s="47"/>
    </row>
    <row r="161" spans="1:1" ht="13">
      <c r="A161" s="47"/>
    </row>
    <row r="162" spans="1:1" ht="13">
      <c r="A162" s="47"/>
    </row>
    <row r="163" spans="1:1" ht="13">
      <c r="A163" s="47"/>
    </row>
    <row r="164" spans="1:1" ht="13">
      <c r="A164" s="47"/>
    </row>
    <row r="165" spans="1:1" ht="13">
      <c r="A165" s="47"/>
    </row>
    <row r="166" spans="1:1" ht="13">
      <c r="A166" s="47"/>
    </row>
    <row r="167" spans="1:1" ht="13">
      <c r="A167" s="47"/>
    </row>
    <row r="168" spans="1:1" ht="13">
      <c r="A168" s="47"/>
    </row>
    <row r="169" spans="1:1" ht="13">
      <c r="A169" s="47"/>
    </row>
    <row r="170" spans="1:1" ht="13">
      <c r="A170" s="47"/>
    </row>
    <row r="171" spans="1:1" ht="13">
      <c r="A171" s="47"/>
    </row>
    <row r="172" spans="1:1" ht="13">
      <c r="A172" s="47"/>
    </row>
    <row r="173" spans="1:1" ht="13">
      <c r="A173" s="47"/>
    </row>
    <row r="174" spans="1:1" ht="13">
      <c r="A174" s="47"/>
    </row>
    <row r="175" spans="1:1" ht="13">
      <c r="A175" s="47"/>
    </row>
    <row r="176" spans="1:1" ht="13">
      <c r="A176" s="47"/>
    </row>
    <row r="177" spans="1:1" ht="13">
      <c r="A177" s="47"/>
    </row>
    <row r="178" spans="1:1" ht="13">
      <c r="A178" s="47"/>
    </row>
    <row r="179" spans="1:1" ht="13">
      <c r="A179" s="47"/>
    </row>
    <row r="180" spans="1:1" ht="13">
      <c r="A180" s="47"/>
    </row>
    <row r="181" spans="1:1" ht="13">
      <c r="A181" s="47"/>
    </row>
    <row r="182" spans="1:1" ht="13">
      <c r="A182" s="47"/>
    </row>
    <row r="183" spans="1:1" ht="13">
      <c r="A183" s="47"/>
    </row>
    <row r="184" spans="1:1" ht="13">
      <c r="A184" s="47"/>
    </row>
    <row r="185" spans="1:1" ht="13">
      <c r="A185" s="47"/>
    </row>
    <row r="186" spans="1:1" ht="13">
      <c r="A186" s="47"/>
    </row>
    <row r="187" spans="1:1" ht="13">
      <c r="A187" s="47"/>
    </row>
    <row r="188" spans="1:1" ht="13">
      <c r="A188" s="47"/>
    </row>
    <row r="189" spans="1:1" ht="13">
      <c r="A189" s="47"/>
    </row>
    <row r="190" spans="1:1" ht="13">
      <c r="A190" s="47"/>
    </row>
    <row r="191" spans="1:1" ht="13">
      <c r="A191" s="47"/>
    </row>
    <row r="192" spans="1:1" ht="13">
      <c r="A192" s="47"/>
    </row>
    <row r="193" spans="1:1" ht="13">
      <c r="A193" s="47"/>
    </row>
    <row r="194" spans="1:1" ht="13">
      <c r="A194" s="47"/>
    </row>
    <row r="195" spans="1:1" ht="13">
      <c r="A195" s="47"/>
    </row>
    <row r="196" spans="1:1" ht="13">
      <c r="A196" s="47"/>
    </row>
    <row r="197" spans="1:1" ht="13">
      <c r="A197" s="47"/>
    </row>
    <row r="198" spans="1:1" ht="13">
      <c r="A198" s="47"/>
    </row>
    <row r="199" spans="1:1" ht="13">
      <c r="A199" s="47"/>
    </row>
    <row r="200" spans="1:1" ht="13">
      <c r="A200" s="47"/>
    </row>
    <row r="201" spans="1:1" ht="13">
      <c r="A201" s="47"/>
    </row>
    <row r="202" spans="1:1" ht="13">
      <c r="A202" s="47"/>
    </row>
    <row r="203" spans="1:1" ht="13">
      <c r="A203" s="47"/>
    </row>
    <row r="204" spans="1:1" ht="13">
      <c r="A204" s="47"/>
    </row>
    <row r="205" spans="1:1" ht="13">
      <c r="A205" s="47"/>
    </row>
    <row r="206" spans="1:1" ht="13">
      <c r="A206" s="47"/>
    </row>
    <row r="207" spans="1:1" ht="13">
      <c r="A207" s="47"/>
    </row>
    <row r="208" spans="1:1" ht="13">
      <c r="A208" s="47"/>
    </row>
    <row r="209" spans="1:1" ht="13">
      <c r="A209" s="47"/>
    </row>
    <row r="210" spans="1:1" ht="13">
      <c r="A210" s="47"/>
    </row>
    <row r="211" spans="1:1" ht="13">
      <c r="A211" s="47"/>
    </row>
    <row r="212" spans="1:1" ht="13">
      <c r="A212" s="47"/>
    </row>
    <row r="213" spans="1:1" ht="13">
      <c r="A213" s="47"/>
    </row>
    <row r="214" spans="1:1" ht="13">
      <c r="A214" s="47"/>
    </row>
    <row r="215" spans="1:1" ht="13">
      <c r="A215" s="47"/>
    </row>
    <row r="216" spans="1:1" ht="13">
      <c r="A216" s="47"/>
    </row>
    <row r="217" spans="1:1" ht="13">
      <c r="A217" s="47"/>
    </row>
    <row r="218" spans="1:1" ht="13">
      <c r="A218" s="47"/>
    </row>
    <row r="219" spans="1:1" ht="13">
      <c r="A219" s="47"/>
    </row>
    <row r="220" spans="1:1" ht="13">
      <c r="A220" s="47"/>
    </row>
    <row r="221" spans="1:1" ht="13">
      <c r="A221" s="47"/>
    </row>
    <row r="222" spans="1:1" ht="13">
      <c r="A222" s="47"/>
    </row>
    <row r="223" spans="1:1" ht="13">
      <c r="A223" s="47"/>
    </row>
    <row r="224" spans="1:1" ht="13">
      <c r="A224" s="47"/>
    </row>
    <row r="225" spans="1:1" ht="13">
      <c r="A225" s="47"/>
    </row>
    <row r="226" spans="1:1" ht="13">
      <c r="A226" s="47"/>
    </row>
    <row r="227" spans="1:1" ht="13">
      <c r="A227" s="47"/>
    </row>
    <row r="228" spans="1:1" ht="13">
      <c r="A228" s="47"/>
    </row>
    <row r="229" spans="1:1" ht="13">
      <c r="A229" s="47"/>
    </row>
    <row r="230" spans="1:1" ht="13">
      <c r="A230" s="47"/>
    </row>
    <row r="231" spans="1:1" ht="13">
      <c r="A231" s="47"/>
    </row>
    <row r="232" spans="1:1" ht="13">
      <c r="A232" s="47"/>
    </row>
    <row r="233" spans="1:1" ht="13">
      <c r="A233" s="47"/>
    </row>
    <row r="234" spans="1:1" ht="13">
      <c r="A234" s="47"/>
    </row>
    <row r="235" spans="1:1" ht="13">
      <c r="A235" s="47"/>
    </row>
    <row r="236" spans="1:1" ht="13">
      <c r="A236" s="47"/>
    </row>
    <row r="237" spans="1:1" ht="13">
      <c r="A237" s="47"/>
    </row>
    <row r="238" spans="1:1" ht="13">
      <c r="A238" s="47"/>
    </row>
    <row r="239" spans="1:1" ht="13">
      <c r="A239" s="47"/>
    </row>
    <row r="240" spans="1:1" ht="13">
      <c r="A240" s="47"/>
    </row>
    <row r="241" spans="1:1" ht="13">
      <c r="A241" s="47"/>
    </row>
    <row r="242" spans="1:1" ht="13">
      <c r="A242" s="47"/>
    </row>
    <row r="243" spans="1:1" ht="13">
      <c r="A243" s="47"/>
    </row>
    <row r="244" spans="1:1" ht="13">
      <c r="A244" s="47"/>
    </row>
    <row r="245" spans="1:1" ht="13">
      <c r="A245" s="47"/>
    </row>
    <row r="246" spans="1:1" ht="13">
      <c r="A246" s="47"/>
    </row>
    <row r="247" spans="1:1" ht="13">
      <c r="A247" s="47"/>
    </row>
    <row r="248" spans="1:1" ht="13">
      <c r="A248" s="47"/>
    </row>
    <row r="249" spans="1:1" ht="13">
      <c r="A249" s="47"/>
    </row>
    <row r="250" spans="1:1" ht="13">
      <c r="A250" s="47"/>
    </row>
    <row r="251" spans="1:1" ht="13">
      <c r="A251" s="47"/>
    </row>
    <row r="252" spans="1:1" ht="13">
      <c r="A252" s="47"/>
    </row>
    <row r="253" spans="1:1" ht="13">
      <c r="A253" s="47"/>
    </row>
    <row r="254" spans="1:1" ht="13">
      <c r="A254" s="47"/>
    </row>
    <row r="255" spans="1:1" ht="13">
      <c r="A255" s="47"/>
    </row>
    <row r="256" spans="1:1" ht="13">
      <c r="A256" s="47"/>
    </row>
    <row r="257" spans="1:1" ht="13">
      <c r="A257" s="47"/>
    </row>
    <row r="258" spans="1:1" ht="13">
      <c r="A258" s="47"/>
    </row>
    <row r="259" spans="1:1" ht="13">
      <c r="A259" s="47"/>
    </row>
    <row r="260" spans="1:1" ht="13">
      <c r="A260" s="47"/>
    </row>
    <row r="261" spans="1:1" ht="13">
      <c r="A261" s="47"/>
    </row>
    <row r="262" spans="1:1" ht="13">
      <c r="A262" s="47"/>
    </row>
    <row r="263" spans="1:1" ht="13">
      <c r="A263" s="47"/>
    </row>
    <row r="264" spans="1:1" ht="13">
      <c r="A264" s="47"/>
    </row>
    <row r="265" spans="1:1" ht="13">
      <c r="A265" s="47"/>
    </row>
    <row r="266" spans="1:1" ht="13">
      <c r="A266" s="47"/>
    </row>
    <row r="267" spans="1:1" ht="13">
      <c r="A267" s="47"/>
    </row>
    <row r="268" spans="1:1" ht="13">
      <c r="A268" s="47"/>
    </row>
    <row r="269" spans="1:1" ht="13">
      <c r="A269" s="47"/>
    </row>
    <row r="270" spans="1:1" ht="13">
      <c r="A270" s="47"/>
    </row>
    <row r="271" spans="1:1" ht="13">
      <c r="A271" s="47"/>
    </row>
    <row r="272" spans="1:1" ht="13">
      <c r="A272" s="47"/>
    </row>
    <row r="273" spans="1:1" ht="13">
      <c r="A273" s="47"/>
    </row>
    <row r="274" spans="1:1" ht="13">
      <c r="A274" s="47"/>
    </row>
    <row r="275" spans="1:1" ht="13">
      <c r="A275" s="47"/>
    </row>
    <row r="276" spans="1:1" ht="13">
      <c r="A276" s="47"/>
    </row>
    <row r="277" spans="1:1" ht="13">
      <c r="A277" s="47"/>
    </row>
    <row r="278" spans="1:1" ht="13">
      <c r="A278" s="47"/>
    </row>
    <row r="279" spans="1:1" ht="13">
      <c r="A279" s="47"/>
    </row>
    <row r="280" spans="1:1" ht="13">
      <c r="A280" s="47"/>
    </row>
    <row r="281" spans="1:1" ht="13">
      <c r="A281" s="47"/>
    </row>
    <row r="282" spans="1:1" ht="13">
      <c r="A282" s="47"/>
    </row>
    <row r="283" spans="1:1" ht="13">
      <c r="A283" s="47"/>
    </row>
    <row r="284" spans="1:1" ht="13">
      <c r="A284" s="47"/>
    </row>
    <row r="285" spans="1:1" ht="13">
      <c r="A285" s="47"/>
    </row>
    <row r="286" spans="1:1" ht="13">
      <c r="A286" s="47"/>
    </row>
    <row r="287" spans="1:1" ht="13">
      <c r="A287" s="47"/>
    </row>
    <row r="288" spans="1:1" ht="13">
      <c r="A288" s="47"/>
    </row>
    <row r="289" spans="1:1" ht="13">
      <c r="A289" s="47"/>
    </row>
    <row r="290" spans="1:1" ht="13">
      <c r="A290" s="47"/>
    </row>
    <row r="291" spans="1:1" ht="13">
      <c r="A291" s="47"/>
    </row>
    <row r="292" spans="1:1" ht="13">
      <c r="A292" s="47"/>
    </row>
    <row r="293" spans="1:1" ht="13">
      <c r="A293" s="47"/>
    </row>
    <row r="294" spans="1:1" ht="13">
      <c r="A294" s="47"/>
    </row>
    <row r="295" spans="1:1" ht="13">
      <c r="A295" s="47"/>
    </row>
    <row r="296" spans="1:1" ht="13">
      <c r="A296" s="47"/>
    </row>
    <row r="297" spans="1:1" ht="13">
      <c r="A297" s="47"/>
    </row>
    <row r="298" spans="1:1" ht="13">
      <c r="A298" s="47"/>
    </row>
    <row r="299" spans="1:1" ht="13">
      <c r="A299" s="47"/>
    </row>
    <row r="300" spans="1:1" ht="13">
      <c r="A300" s="47"/>
    </row>
    <row r="301" spans="1:1" ht="13">
      <c r="A301" s="47"/>
    </row>
    <row r="302" spans="1:1" ht="13">
      <c r="A302" s="47"/>
    </row>
    <row r="303" spans="1:1" ht="13">
      <c r="A303" s="47"/>
    </row>
    <row r="304" spans="1:1" ht="13">
      <c r="A304" s="47"/>
    </row>
    <row r="305" spans="1:1" ht="13">
      <c r="A305" s="47"/>
    </row>
    <row r="306" spans="1:1" ht="13">
      <c r="A306" s="47"/>
    </row>
    <row r="307" spans="1:1" ht="13">
      <c r="A307" s="47"/>
    </row>
    <row r="308" spans="1:1" ht="13">
      <c r="A308" s="47"/>
    </row>
    <row r="309" spans="1:1" ht="13">
      <c r="A309" s="47"/>
    </row>
    <row r="310" spans="1:1" ht="13">
      <c r="A310" s="47"/>
    </row>
    <row r="311" spans="1:1" ht="13">
      <c r="A311" s="47"/>
    </row>
    <row r="312" spans="1:1" ht="13">
      <c r="A312" s="47"/>
    </row>
    <row r="313" spans="1:1" ht="13">
      <c r="A313" s="47"/>
    </row>
    <row r="314" spans="1:1" ht="13">
      <c r="A314" s="47"/>
    </row>
    <row r="315" spans="1:1" ht="13">
      <c r="A315" s="47"/>
    </row>
    <row r="316" spans="1:1" ht="13">
      <c r="A316" s="47"/>
    </row>
    <row r="317" spans="1:1" ht="13">
      <c r="A317" s="47"/>
    </row>
    <row r="318" spans="1:1" ht="13">
      <c r="A318" s="47"/>
    </row>
    <row r="319" spans="1:1" ht="13">
      <c r="A319" s="47"/>
    </row>
    <row r="320" spans="1:1" ht="13">
      <c r="A320" s="47"/>
    </row>
    <row r="321" spans="1:1" ht="13">
      <c r="A321" s="47"/>
    </row>
    <row r="322" spans="1:1" ht="13">
      <c r="A322" s="47"/>
    </row>
    <row r="323" spans="1:1" ht="13">
      <c r="A323" s="47"/>
    </row>
    <row r="324" spans="1:1" ht="13">
      <c r="A324" s="47"/>
    </row>
    <row r="325" spans="1:1" ht="13">
      <c r="A325" s="47"/>
    </row>
    <row r="326" spans="1:1" ht="13">
      <c r="A326" s="47"/>
    </row>
    <row r="327" spans="1:1" ht="13">
      <c r="A327" s="47"/>
    </row>
    <row r="328" spans="1:1" ht="13">
      <c r="A328" s="47"/>
    </row>
    <row r="329" spans="1:1" ht="13">
      <c r="A329" s="47"/>
    </row>
    <row r="330" spans="1:1" ht="13">
      <c r="A330" s="47"/>
    </row>
    <row r="331" spans="1:1" ht="13">
      <c r="A331" s="47"/>
    </row>
    <row r="332" spans="1:1" ht="13">
      <c r="A332" s="47"/>
    </row>
    <row r="333" spans="1:1" ht="13">
      <c r="A333" s="47"/>
    </row>
    <row r="334" spans="1:1" ht="13">
      <c r="A334" s="47"/>
    </row>
    <row r="335" spans="1:1" ht="13">
      <c r="A335" s="47"/>
    </row>
    <row r="336" spans="1:1" ht="13">
      <c r="A336" s="47"/>
    </row>
    <row r="337" spans="1:1" ht="13">
      <c r="A337" s="47"/>
    </row>
    <row r="338" spans="1:1" ht="13">
      <c r="A338" s="47"/>
    </row>
    <row r="339" spans="1:1" ht="13">
      <c r="A339" s="47"/>
    </row>
    <row r="340" spans="1:1" ht="13">
      <c r="A340" s="47"/>
    </row>
    <row r="341" spans="1:1" ht="13">
      <c r="A341" s="47"/>
    </row>
    <row r="342" spans="1:1" ht="13">
      <c r="A342" s="47"/>
    </row>
    <row r="343" spans="1:1" ht="13">
      <c r="A343" s="47"/>
    </row>
    <row r="344" spans="1:1" ht="13">
      <c r="A344" s="47"/>
    </row>
    <row r="345" spans="1:1" ht="13">
      <c r="A345" s="47"/>
    </row>
    <row r="346" spans="1:1" ht="13">
      <c r="A346" s="47"/>
    </row>
    <row r="347" spans="1:1" ht="13">
      <c r="A347" s="47"/>
    </row>
    <row r="348" spans="1:1" ht="13">
      <c r="A348" s="47"/>
    </row>
    <row r="349" spans="1:1" ht="13">
      <c r="A349" s="47"/>
    </row>
    <row r="350" spans="1:1" ht="13">
      <c r="A350" s="47"/>
    </row>
    <row r="351" spans="1:1" ht="13">
      <c r="A351" s="47"/>
    </row>
    <row r="352" spans="1:1" ht="13">
      <c r="A352" s="47"/>
    </row>
    <row r="353" spans="1:1" ht="13">
      <c r="A353" s="47"/>
    </row>
    <row r="354" spans="1:1" ht="13">
      <c r="A354" s="47"/>
    </row>
    <row r="355" spans="1:1" ht="13">
      <c r="A355" s="47"/>
    </row>
    <row r="356" spans="1:1" ht="13">
      <c r="A356" s="47"/>
    </row>
    <row r="357" spans="1:1" ht="13">
      <c r="A357" s="47"/>
    </row>
    <row r="358" spans="1:1" ht="13">
      <c r="A358" s="47"/>
    </row>
    <row r="359" spans="1:1" ht="13">
      <c r="A359" s="47"/>
    </row>
    <row r="360" spans="1:1" ht="13">
      <c r="A360" s="47"/>
    </row>
    <row r="361" spans="1:1" ht="13">
      <c r="A361" s="47"/>
    </row>
    <row r="362" spans="1:1" ht="13">
      <c r="A362" s="47"/>
    </row>
    <row r="363" spans="1:1" ht="13">
      <c r="A363" s="47"/>
    </row>
    <row r="364" spans="1:1" ht="13">
      <c r="A364" s="47"/>
    </row>
    <row r="365" spans="1:1" ht="13">
      <c r="A365" s="47"/>
    </row>
    <row r="366" spans="1:1" ht="13">
      <c r="A366" s="47"/>
    </row>
    <row r="367" spans="1:1" ht="13">
      <c r="A367" s="47"/>
    </row>
    <row r="368" spans="1:1" ht="13">
      <c r="A368" s="47"/>
    </row>
    <row r="369" spans="1:1" ht="13">
      <c r="A369" s="47"/>
    </row>
    <row r="370" spans="1:1" ht="13">
      <c r="A370" s="47"/>
    </row>
    <row r="371" spans="1:1" ht="13">
      <c r="A371" s="47"/>
    </row>
    <row r="372" spans="1:1" ht="13">
      <c r="A372" s="47"/>
    </row>
    <row r="373" spans="1:1" ht="13">
      <c r="A373" s="47"/>
    </row>
    <row r="374" spans="1:1" ht="13">
      <c r="A374" s="47"/>
    </row>
    <row r="375" spans="1:1" ht="13">
      <c r="A375" s="47"/>
    </row>
    <row r="376" spans="1:1" ht="13">
      <c r="A376" s="47"/>
    </row>
    <row r="377" spans="1:1" ht="13">
      <c r="A377" s="47"/>
    </row>
    <row r="378" spans="1:1" ht="13">
      <c r="A378" s="47"/>
    </row>
    <row r="379" spans="1:1" ht="13">
      <c r="A379" s="47"/>
    </row>
    <row r="380" spans="1:1" ht="13">
      <c r="A380" s="47"/>
    </row>
    <row r="381" spans="1:1" ht="13">
      <c r="A381" s="47"/>
    </row>
    <row r="382" spans="1:1" ht="13">
      <c r="A382" s="47"/>
    </row>
    <row r="383" spans="1:1" ht="13">
      <c r="A383" s="47"/>
    </row>
    <row r="384" spans="1:1" ht="13">
      <c r="A384" s="47"/>
    </row>
    <row r="385" spans="1:1" ht="13">
      <c r="A385" s="47"/>
    </row>
    <row r="386" spans="1:1" ht="13">
      <c r="A386" s="47"/>
    </row>
    <row r="387" spans="1:1" ht="13">
      <c r="A387" s="47"/>
    </row>
    <row r="388" spans="1:1" ht="13">
      <c r="A388" s="47"/>
    </row>
    <row r="389" spans="1:1" ht="13">
      <c r="A389" s="47"/>
    </row>
    <row r="390" spans="1:1" ht="13">
      <c r="A390" s="47"/>
    </row>
    <row r="391" spans="1:1" ht="13">
      <c r="A391" s="47"/>
    </row>
    <row r="392" spans="1:1" ht="13">
      <c r="A392" s="47"/>
    </row>
    <row r="393" spans="1:1" ht="13">
      <c r="A393" s="47"/>
    </row>
    <row r="394" spans="1:1" ht="13">
      <c r="A394" s="47"/>
    </row>
    <row r="395" spans="1:1" ht="13">
      <c r="A395" s="47"/>
    </row>
    <row r="396" spans="1:1" ht="13">
      <c r="A396" s="47"/>
    </row>
    <row r="397" spans="1:1" ht="13">
      <c r="A397" s="47"/>
    </row>
    <row r="398" spans="1:1" ht="13">
      <c r="A398" s="47"/>
    </row>
    <row r="399" spans="1:1" ht="13">
      <c r="A399" s="47"/>
    </row>
    <row r="400" spans="1:1" ht="13">
      <c r="A400" s="47"/>
    </row>
    <row r="401" spans="1:1" ht="13">
      <c r="A401" s="47"/>
    </row>
    <row r="402" spans="1:1" ht="13">
      <c r="A402" s="47"/>
    </row>
    <row r="403" spans="1:1" ht="13">
      <c r="A403" s="47"/>
    </row>
    <row r="404" spans="1:1" ht="13">
      <c r="A404" s="47"/>
    </row>
    <row r="405" spans="1:1" ht="13">
      <c r="A405" s="47"/>
    </row>
    <row r="406" spans="1:1" ht="13">
      <c r="A406" s="47"/>
    </row>
    <row r="407" spans="1:1" ht="13">
      <c r="A407" s="47"/>
    </row>
    <row r="408" spans="1:1" ht="13">
      <c r="A408" s="47"/>
    </row>
    <row r="409" spans="1:1" ht="13">
      <c r="A409" s="47"/>
    </row>
    <row r="410" spans="1:1" ht="13">
      <c r="A410" s="47"/>
    </row>
    <row r="411" spans="1:1" ht="13">
      <c r="A411" s="47"/>
    </row>
    <row r="412" spans="1:1" ht="13">
      <c r="A412" s="47"/>
    </row>
    <row r="413" spans="1:1" ht="13">
      <c r="A413" s="47"/>
    </row>
    <row r="414" spans="1:1" ht="13">
      <c r="A414" s="47"/>
    </row>
    <row r="415" spans="1:1" ht="13">
      <c r="A415" s="47"/>
    </row>
    <row r="416" spans="1:1" ht="13">
      <c r="A416" s="47"/>
    </row>
    <row r="417" spans="1:1" ht="13">
      <c r="A417" s="47"/>
    </row>
    <row r="418" spans="1:1" ht="13">
      <c r="A418" s="47"/>
    </row>
    <row r="419" spans="1:1" ht="13">
      <c r="A419" s="47"/>
    </row>
    <row r="420" spans="1:1" ht="13">
      <c r="A420" s="47"/>
    </row>
    <row r="421" spans="1:1" ht="13">
      <c r="A421" s="47"/>
    </row>
    <row r="422" spans="1:1" ht="13">
      <c r="A422" s="47"/>
    </row>
    <row r="423" spans="1:1" ht="13">
      <c r="A423" s="47"/>
    </row>
    <row r="424" spans="1:1" ht="13">
      <c r="A424" s="47"/>
    </row>
    <row r="425" spans="1:1" ht="13">
      <c r="A425" s="47"/>
    </row>
    <row r="426" spans="1:1" ht="13">
      <c r="A426" s="47"/>
    </row>
    <row r="427" spans="1:1" ht="13">
      <c r="A427" s="47"/>
    </row>
    <row r="428" spans="1:1" ht="13">
      <c r="A428" s="47"/>
    </row>
    <row r="429" spans="1:1" ht="13">
      <c r="A429" s="47"/>
    </row>
    <row r="430" spans="1:1" ht="13">
      <c r="A430" s="47"/>
    </row>
    <row r="431" spans="1:1" ht="13">
      <c r="A431" s="47"/>
    </row>
    <row r="432" spans="1:1" ht="13">
      <c r="A432" s="47"/>
    </row>
    <row r="433" spans="1:1" ht="13">
      <c r="A433" s="47"/>
    </row>
    <row r="434" spans="1:1" ht="13">
      <c r="A434" s="47"/>
    </row>
    <row r="435" spans="1:1" ht="13">
      <c r="A435" s="47"/>
    </row>
    <row r="436" spans="1:1" ht="13">
      <c r="A436" s="47"/>
    </row>
    <row r="437" spans="1:1" ht="13">
      <c r="A437" s="47"/>
    </row>
    <row r="438" spans="1:1" ht="13">
      <c r="A438" s="47"/>
    </row>
    <row r="439" spans="1:1" ht="13">
      <c r="A439" s="47"/>
    </row>
    <row r="440" spans="1:1" ht="13">
      <c r="A440" s="47"/>
    </row>
    <row r="441" spans="1:1" ht="13">
      <c r="A441" s="47"/>
    </row>
    <row r="442" spans="1:1" ht="13">
      <c r="A442" s="47"/>
    </row>
    <row r="443" spans="1:1" ht="13">
      <c r="A443" s="47"/>
    </row>
    <row r="444" spans="1:1" ht="13">
      <c r="A444" s="47"/>
    </row>
    <row r="445" spans="1:1" ht="13">
      <c r="A445" s="47"/>
    </row>
    <row r="446" spans="1:1" ht="13">
      <c r="A446" s="47"/>
    </row>
    <row r="447" spans="1:1" ht="13">
      <c r="A447" s="47"/>
    </row>
    <row r="448" spans="1:1" ht="13">
      <c r="A448" s="47"/>
    </row>
    <row r="449" spans="1:1" ht="13">
      <c r="A449" s="47"/>
    </row>
    <row r="450" spans="1:1" ht="13">
      <c r="A450" s="47"/>
    </row>
    <row r="451" spans="1:1" ht="13">
      <c r="A451" s="47"/>
    </row>
    <row r="452" spans="1:1" ht="13">
      <c r="A452" s="47"/>
    </row>
    <row r="453" spans="1:1" ht="13">
      <c r="A453" s="47"/>
    </row>
    <row r="454" spans="1:1" ht="13">
      <c r="A454" s="47"/>
    </row>
    <row r="455" spans="1:1" ht="13">
      <c r="A455" s="47"/>
    </row>
    <row r="456" spans="1:1" ht="13">
      <c r="A456" s="47"/>
    </row>
    <row r="457" spans="1:1" ht="13">
      <c r="A457" s="47"/>
    </row>
    <row r="458" spans="1:1" ht="13">
      <c r="A458" s="47"/>
    </row>
    <row r="459" spans="1:1" ht="13">
      <c r="A459" s="47"/>
    </row>
    <row r="460" spans="1:1" ht="13">
      <c r="A460" s="47"/>
    </row>
    <row r="461" spans="1:1" ht="13">
      <c r="A461" s="47"/>
    </row>
    <row r="462" spans="1:1" ht="13">
      <c r="A462" s="47"/>
    </row>
    <row r="463" spans="1:1" ht="13">
      <c r="A463" s="47"/>
    </row>
    <row r="464" spans="1:1" ht="13">
      <c r="A464" s="47"/>
    </row>
    <row r="465" spans="1:1" ht="13">
      <c r="A465" s="47"/>
    </row>
    <row r="466" spans="1:1" ht="13">
      <c r="A466" s="47"/>
    </row>
    <row r="467" spans="1:1" ht="13">
      <c r="A467" s="47"/>
    </row>
    <row r="468" spans="1:1" ht="13">
      <c r="A468" s="47"/>
    </row>
    <row r="469" spans="1:1" ht="13">
      <c r="A469" s="47"/>
    </row>
    <row r="470" spans="1:1" ht="13">
      <c r="A470" s="47"/>
    </row>
    <row r="471" spans="1:1" ht="13">
      <c r="A471" s="47"/>
    </row>
    <row r="472" spans="1:1" ht="13">
      <c r="A472" s="47"/>
    </row>
    <row r="473" spans="1:1" ht="13">
      <c r="A473" s="47"/>
    </row>
    <row r="474" spans="1:1" ht="13">
      <c r="A474" s="47"/>
    </row>
    <row r="475" spans="1:1" ht="13">
      <c r="A475" s="47"/>
    </row>
    <row r="476" spans="1:1" ht="13">
      <c r="A476" s="47"/>
    </row>
    <row r="477" spans="1:1" ht="13">
      <c r="A477" s="47"/>
    </row>
    <row r="478" spans="1:1" ht="13">
      <c r="A478" s="47"/>
    </row>
    <row r="479" spans="1:1" ht="13">
      <c r="A479" s="47"/>
    </row>
    <row r="480" spans="1:1" ht="13">
      <c r="A480" s="47"/>
    </row>
    <row r="481" spans="1:1" ht="13">
      <c r="A481" s="47"/>
    </row>
    <row r="482" spans="1:1" ht="13">
      <c r="A482" s="47"/>
    </row>
    <row r="483" spans="1:1" ht="13">
      <c r="A483" s="47"/>
    </row>
    <row r="484" spans="1:1" ht="13">
      <c r="A484" s="47"/>
    </row>
    <row r="485" spans="1:1" ht="13">
      <c r="A485" s="47"/>
    </row>
    <row r="486" spans="1:1" ht="13">
      <c r="A486" s="47"/>
    </row>
    <row r="487" spans="1:1" ht="13">
      <c r="A487" s="47"/>
    </row>
    <row r="488" spans="1:1" ht="13">
      <c r="A488" s="47"/>
    </row>
    <row r="489" spans="1:1" ht="13">
      <c r="A489" s="47"/>
    </row>
    <row r="490" spans="1:1" ht="13">
      <c r="A490" s="47"/>
    </row>
    <row r="491" spans="1:1" ht="13">
      <c r="A491" s="47"/>
    </row>
    <row r="492" spans="1:1" ht="13">
      <c r="A492" s="47"/>
    </row>
    <row r="493" spans="1:1" ht="13">
      <c r="A493" s="47"/>
    </row>
    <row r="494" spans="1:1" ht="13">
      <c r="A494" s="47"/>
    </row>
    <row r="495" spans="1:1" ht="13">
      <c r="A495" s="47"/>
    </row>
    <row r="496" spans="1:1" ht="13">
      <c r="A496" s="47"/>
    </row>
    <row r="497" spans="1:1" ht="13">
      <c r="A497" s="47"/>
    </row>
    <row r="498" spans="1:1" ht="13">
      <c r="A498" s="47"/>
    </row>
    <row r="499" spans="1:1" ht="13">
      <c r="A499" s="47"/>
    </row>
    <row r="500" spans="1:1" ht="13">
      <c r="A500" s="47"/>
    </row>
    <row r="501" spans="1:1" ht="13">
      <c r="A501" s="47"/>
    </row>
    <row r="502" spans="1:1" ht="13">
      <c r="A502" s="47"/>
    </row>
    <row r="503" spans="1:1" ht="13">
      <c r="A503" s="47"/>
    </row>
    <row r="504" spans="1:1" ht="13">
      <c r="A504" s="47"/>
    </row>
    <row r="505" spans="1:1" ht="13">
      <c r="A505" s="47"/>
    </row>
    <row r="506" spans="1:1" ht="13">
      <c r="A506" s="47"/>
    </row>
    <row r="507" spans="1:1" ht="13">
      <c r="A507" s="47"/>
    </row>
    <row r="508" spans="1:1" ht="13">
      <c r="A508" s="47"/>
    </row>
    <row r="509" spans="1:1" ht="13">
      <c r="A509" s="47"/>
    </row>
    <row r="510" spans="1:1" ht="13">
      <c r="A510" s="47"/>
    </row>
    <row r="511" spans="1:1" ht="13">
      <c r="A511" s="47"/>
    </row>
    <row r="512" spans="1:1" ht="13">
      <c r="A512" s="47"/>
    </row>
    <row r="513" spans="1:1" ht="13">
      <c r="A513" s="47"/>
    </row>
    <row r="514" spans="1:1" ht="13">
      <c r="A514" s="47"/>
    </row>
    <row r="515" spans="1:1" ht="13">
      <c r="A515" s="47"/>
    </row>
    <row r="516" spans="1:1" ht="13">
      <c r="A516" s="47"/>
    </row>
    <row r="517" spans="1:1" ht="13">
      <c r="A517" s="47"/>
    </row>
    <row r="518" spans="1:1" ht="13">
      <c r="A518" s="47"/>
    </row>
    <row r="519" spans="1:1" ht="13">
      <c r="A519" s="47"/>
    </row>
    <row r="520" spans="1:1" ht="13">
      <c r="A520" s="47"/>
    </row>
    <row r="521" spans="1:1" ht="13">
      <c r="A521" s="47"/>
    </row>
    <row r="522" spans="1:1" ht="13">
      <c r="A522" s="47"/>
    </row>
    <row r="523" spans="1:1" ht="13">
      <c r="A523" s="47"/>
    </row>
    <row r="524" spans="1:1" ht="13">
      <c r="A524" s="47"/>
    </row>
    <row r="525" spans="1:1" ht="13">
      <c r="A525" s="47"/>
    </row>
    <row r="526" spans="1:1" ht="13">
      <c r="A526" s="47"/>
    </row>
    <row r="527" spans="1:1" ht="13">
      <c r="A527" s="47"/>
    </row>
    <row r="528" spans="1:1" ht="13">
      <c r="A528" s="47"/>
    </row>
    <row r="529" spans="1:1" ht="13">
      <c r="A529" s="47"/>
    </row>
    <row r="530" spans="1:1" ht="13">
      <c r="A530" s="47"/>
    </row>
    <row r="531" spans="1:1" ht="13">
      <c r="A531" s="47"/>
    </row>
    <row r="532" spans="1:1" ht="13">
      <c r="A532" s="47"/>
    </row>
    <row r="533" spans="1:1" ht="13">
      <c r="A533" s="47"/>
    </row>
    <row r="534" spans="1:1" ht="13">
      <c r="A534" s="47"/>
    </row>
    <row r="535" spans="1:1" ht="13">
      <c r="A535" s="47"/>
    </row>
    <row r="536" spans="1:1" ht="13">
      <c r="A536" s="47"/>
    </row>
    <row r="537" spans="1:1" ht="13">
      <c r="A537" s="47"/>
    </row>
    <row r="538" spans="1:1" ht="13">
      <c r="A538" s="47"/>
    </row>
    <row r="539" spans="1:1" ht="13">
      <c r="A539" s="47"/>
    </row>
    <row r="540" spans="1:1" ht="13">
      <c r="A540" s="47"/>
    </row>
    <row r="541" spans="1:1" ht="13">
      <c r="A541" s="47"/>
    </row>
    <row r="542" spans="1:1" ht="13">
      <c r="A542" s="47"/>
    </row>
    <row r="543" spans="1:1" ht="13">
      <c r="A543" s="47"/>
    </row>
    <row r="544" spans="1:1" ht="13">
      <c r="A544" s="47"/>
    </row>
    <row r="545" spans="1:1" ht="13">
      <c r="A545" s="47"/>
    </row>
    <row r="546" spans="1:1" ht="13">
      <c r="A546" s="47"/>
    </row>
    <row r="547" spans="1:1" ht="13">
      <c r="A547" s="47"/>
    </row>
    <row r="548" spans="1:1" ht="13">
      <c r="A548" s="47"/>
    </row>
    <row r="549" spans="1:1" ht="13">
      <c r="A549" s="47"/>
    </row>
    <row r="550" spans="1:1" ht="13">
      <c r="A550" s="47"/>
    </row>
    <row r="551" spans="1:1" ht="13">
      <c r="A551" s="47"/>
    </row>
    <row r="552" spans="1:1" ht="13">
      <c r="A552" s="47"/>
    </row>
    <row r="553" spans="1:1" ht="13">
      <c r="A553" s="47"/>
    </row>
    <row r="554" spans="1:1" ht="13">
      <c r="A554" s="47"/>
    </row>
    <row r="555" spans="1:1" ht="13">
      <c r="A555" s="47"/>
    </row>
    <row r="556" spans="1:1" ht="13">
      <c r="A556" s="47"/>
    </row>
    <row r="557" spans="1:1" ht="13">
      <c r="A557" s="47"/>
    </row>
    <row r="558" spans="1:1" ht="13">
      <c r="A558" s="47"/>
    </row>
    <row r="559" spans="1:1" ht="13">
      <c r="A559" s="47"/>
    </row>
    <row r="560" spans="1:1" ht="13">
      <c r="A560" s="47"/>
    </row>
    <row r="561" spans="1:1" ht="13">
      <c r="A561" s="47"/>
    </row>
    <row r="562" spans="1:1" ht="13">
      <c r="A562" s="47"/>
    </row>
    <row r="563" spans="1:1" ht="13">
      <c r="A563" s="47"/>
    </row>
    <row r="564" spans="1:1" ht="13">
      <c r="A564" s="47"/>
    </row>
    <row r="565" spans="1:1" ht="13">
      <c r="A565" s="47"/>
    </row>
    <row r="566" spans="1:1" ht="13">
      <c r="A566" s="47"/>
    </row>
    <row r="567" spans="1:1" ht="13">
      <c r="A567" s="47"/>
    </row>
    <row r="568" spans="1:1" ht="13">
      <c r="A568" s="47"/>
    </row>
    <row r="569" spans="1:1" ht="13">
      <c r="A569" s="47"/>
    </row>
    <row r="570" spans="1:1" ht="13">
      <c r="A570" s="47"/>
    </row>
    <row r="571" spans="1:1" ht="13">
      <c r="A571" s="47"/>
    </row>
    <row r="572" spans="1:1" ht="13">
      <c r="A572" s="47"/>
    </row>
    <row r="573" spans="1:1" ht="13">
      <c r="A573" s="47"/>
    </row>
    <row r="574" spans="1:1" ht="13">
      <c r="A574" s="47"/>
    </row>
    <row r="575" spans="1:1" ht="13">
      <c r="A575" s="47"/>
    </row>
    <row r="576" spans="1:1" ht="13">
      <c r="A576" s="47"/>
    </row>
    <row r="577" spans="1:1" ht="13">
      <c r="A577" s="47"/>
    </row>
    <row r="578" spans="1:1" ht="13">
      <c r="A578" s="47"/>
    </row>
    <row r="579" spans="1:1" ht="13">
      <c r="A579" s="47"/>
    </row>
    <row r="580" spans="1:1" ht="13">
      <c r="A580" s="47"/>
    </row>
    <row r="581" spans="1:1" ht="13">
      <c r="A581" s="47"/>
    </row>
    <row r="582" spans="1:1" ht="13">
      <c r="A582" s="47"/>
    </row>
    <row r="583" spans="1:1" ht="13">
      <c r="A583" s="47"/>
    </row>
    <row r="584" spans="1:1" ht="13">
      <c r="A584" s="47"/>
    </row>
    <row r="585" spans="1:1" ht="13">
      <c r="A585" s="47"/>
    </row>
    <row r="586" spans="1:1" ht="13">
      <c r="A586" s="47"/>
    </row>
    <row r="587" spans="1:1" ht="13">
      <c r="A587" s="47"/>
    </row>
    <row r="588" spans="1:1" ht="13">
      <c r="A588" s="47"/>
    </row>
    <row r="589" spans="1:1" ht="13">
      <c r="A589" s="47"/>
    </row>
    <row r="590" spans="1:1" ht="13">
      <c r="A590" s="47"/>
    </row>
    <row r="591" spans="1:1" ht="13">
      <c r="A591" s="47"/>
    </row>
    <row r="592" spans="1:1" ht="13">
      <c r="A592" s="47"/>
    </row>
    <row r="593" spans="1:1" ht="13">
      <c r="A593" s="47"/>
    </row>
    <row r="594" spans="1:1" ht="13">
      <c r="A594" s="47"/>
    </row>
    <row r="595" spans="1:1" ht="13">
      <c r="A595" s="47"/>
    </row>
    <row r="596" spans="1:1" ht="13">
      <c r="A596" s="47"/>
    </row>
    <row r="597" spans="1:1" ht="13">
      <c r="A597" s="47"/>
    </row>
    <row r="598" spans="1:1" ht="13">
      <c r="A598" s="47"/>
    </row>
    <row r="599" spans="1:1" ht="13">
      <c r="A599" s="47"/>
    </row>
    <row r="600" spans="1:1" ht="13">
      <c r="A600" s="47"/>
    </row>
    <row r="601" spans="1:1" ht="13">
      <c r="A601" s="47"/>
    </row>
    <row r="602" spans="1:1" ht="13">
      <c r="A602" s="47"/>
    </row>
    <row r="603" spans="1:1" ht="13">
      <c r="A603" s="47"/>
    </row>
    <row r="604" spans="1:1" ht="13">
      <c r="A604" s="47"/>
    </row>
    <row r="605" spans="1:1" ht="13">
      <c r="A605" s="47"/>
    </row>
    <row r="606" spans="1:1" ht="13">
      <c r="A606" s="47"/>
    </row>
    <row r="607" spans="1:1" ht="13">
      <c r="A607" s="47"/>
    </row>
    <row r="608" spans="1:1" ht="13">
      <c r="A608" s="47"/>
    </row>
    <row r="609" spans="1:1" ht="13">
      <c r="A609" s="47"/>
    </row>
    <row r="610" spans="1:1" ht="13">
      <c r="A610" s="47"/>
    </row>
    <row r="611" spans="1:1" ht="13">
      <c r="A611" s="47"/>
    </row>
    <row r="612" spans="1:1" ht="13">
      <c r="A612" s="47"/>
    </row>
    <row r="613" spans="1:1" ht="13">
      <c r="A613" s="47"/>
    </row>
    <row r="614" spans="1:1" ht="13">
      <c r="A614" s="47"/>
    </row>
    <row r="615" spans="1:1" ht="13">
      <c r="A615" s="47"/>
    </row>
    <row r="616" spans="1:1" ht="13">
      <c r="A616" s="47"/>
    </row>
    <row r="617" spans="1:1" ht="13">
      <c r="A617" s="47"/>
    </row>
    <row r="618" spans="1:1" ht="13">
      <c r="A618" s="47"/>
    </row>
    <row r="619" spans="1:1" ht="13">
      <c r="A619" s="47"/>
    </row>
    <row r="620" spans="1:1" ht="13">
      <c r="A620" s="47"/>
    </row>
    <row r="621" spans="1:1" ht="13">
      <c r="A621" s="47"/>
    </row>
    <row r="622" spans="1:1" ht="13">
      <c r="A622" s="47"/>
    </row>
    <row r="623" spans="1:1" ht="13">
      <c r="A623" s="47"/>
    </row>
    <row r="624" spans="1:1" ht="13">
      <c r="A624" s="47"/>
    </row>
    <row r="625" spans="1:1" ht="13">
      <c r="A625" s="47"/>
    </row>
    <row r="626" spans="1:1" ht="13">
      <c r="A626" s="47"/>
    </row>
    <row r="627" spans="1:1" ht="13">
      <c r="A627" s="47"/>
    </row>
    <row r="628" spans="1:1" ht="13">
      <c r="A628" s="47"/>
    </row>
    <row r="629" spans="1:1" ht="13">
      <c r="A629" s="47"/>
    </row>
    <row r="630" spans="1:1" ht="13">
      <c r="A630" s="47"/>
    </row>
    <row r="631" spans="1:1" ht="13">
      <c r="A631" s="47"/>
    </row>
    <row r="632" spans="1:1" ht="13">
      <c r="A632" s="47"/>
    </row>
    <row r="633" spans="1:1" ht="13">
      <c r="A633" s="47"/>
    </row>
    <row r="634" spans="1:1" ht="13">
      <c r="A634" s="47"/>
    </row>
    <row r="635" spans="1:1" ht="13">
      <c r="A635" s="47"/>
    </row>
    <row r="636" spans="1:1" ht="13">
      <c r="A636" s="47"/>
    </row>
    <row r="637" spans="1:1" ht="13">
      <c r="A637" s="47"/>
    </row>
    <row r="638" spans="1:1" ht="13">
      <c r="A638" s="47"/>
    </row>
    <row r="639" spans="1:1" ht="13">
      <c r="A639" s="47"/>
    </row>
    <row r="640" spans="1:1" ht="13">
      <c r="A640" s="47"/>
    </row>
    <row r="641" spans="1:1" ht="13">
      <c r="A641" s="47"/>
    </row>
    <row r="642" spans="1:1" ht="13">
      <c r="A642" s="47"/>
    </row>
    <row r="643" spans="1:1" ht="13">
      <c r="A643" s="47"/>
    </row>
    <row r="644" spans="1:1" ht="13">
      <c r="A644" s="47"/>
    </row>
    <row r="645" spans="1:1" ht="13">
      <c r="A645" s="47"/>
    </row>
    <row r="646" spans="1:1" ht="13">
      <c r="A646" s="47"/>
    </row>
    <row r="647" spans="1:1" ht="13">
      <c r="A647" s="47"/>
    </row>
    <row r="648" spans="1:1" ht="13">
      <c r="A648" s="47"/>
    </row>
    <row r="649" spans="1:1" ht="13">
      <c r="A649" s="47"/>
    </row>
    <row r="650" spans="1:1" ht="13">
      <c r="A650" s="47"/>
    </row>
    <row r="651" spans="1:1" ht="13">
      <c r="A651" s="47"/>
    </row>
    <row r="652" spans="1:1" ht="13">
      <c r="A652" s="47"/>
    </row>
    <row r="653" spans="1:1" ht="13">
      <c r="A653" s="47"/>
    </row>
    <row r="654" spans="1:1" ht="13">
      <c r="A654" s="47"/>
    </row>
    <row r="655" spans="1:1" ht="13">
      <c r="A655" s="47"/>
    </row>
    <row r="656" spans="1:1" ht="13">
      <c r="A656" s="47"/>
    </row>
    <row r="657" spans="1:1" ht="13">
      <c r="A657" s="47"/>
    </row>
    <row r="658" spans="1:1" ht="13">
      <c r="A658" s="47"/>
    </row>
    <row r="659" spans="1:1" ht="13">
      <c r="A659" s="47"/>
    </row>
    <row r="660" spans="1:1" ht="13">
      <c r="A660" s="47"/>
    </row>
    <row r="661" spans="1:1" ht="13">
      <c r="A661" s="47"/>
    </row>
    <row r="662" spans="1:1" ht="13">
      <c r="A662" s="47"/>
    </row>
    <row r="663" spans="1:1" ht="13">
      <c r="A663" s="47"/>
    </row>
    <row r="664" spans="1:1" ht="13">
      <c r="A664" s="47"/>
    </row>
    <row r="665" spans="1:1" ht="13">
      <c r="A665" s="47"/>
    </row>
    <row r="666" spans="1:1" ht="13">
      <c r="A666" s="47"/>
    </row>
    <row r="667" spans="1:1" ht="13">
      <c r="A667" s="47"/>
    </row>
    <row r="668" spans="1:1" ht="13">
      <c r="A668" s="47"/>
    </row>
    <row r="669" spans="1:1" ht="13">
      <c r="A669" s="47"/>
    </row>
    <row r="670" spans="1:1" ht="13">
      <c r="A670" s="47"/>
    </row>
    <row r="671" spans="1:1" ht="13">
      <c r="A671" s="47"/>
    </row>
    <row r="672" spans="1:1" ht="13">
      <c r="A672" s="47"/>
    </row>
    <row r="673" spans="1:1" ht="13">
      <c r="A673" s="47"/>
    </row>
    <row r="674" spans="1:1" ht="13">
      <c r="A674" s="47"/>
    </row>
    <row r="675" spans="1:1" ht="13">
      <c r="A675" s="47"/>
    </row>
    <row r="676" spans="1:1" ht="13">
      <c r="A676" s="47"/>
    </row>
    <row r="677" spans="1:1" ht="13">
      <c r="A677" s="47"/>
    </row>
    <row r="678" spans="1:1" ht="13">
      <c r="A678" s="47"/>
    </row>
    <row r="679" spans="1:1" ht="13">
      <c r="A679" s="47"/>
    </row>
    <row r="680" spans="1:1" ht="13">
      <c r="A680" s="47"/>
    </row>
    <row r="681" spans="1:1" ht="13">
      <c r="A681" s="47"/>
    </row>
    <row r="682" spans="1:1" ht="13">
      <c r="A682" s="47"/>
    </row>
    <row r="683" spans="1:1" ht="13">
      <c r="A683" s="47"/>
    </row>
    <row r="684" spans="1:1" ht="13">
      <c r="A684" s="47"/>
    </row>
    <row r="685" spans="1:1" ht="13">
      <c r="A685" s="47"/>
    </row>
    <row r="686" spans="1:1" ht="13">
      <c r="A686" s="47"/>
    </row>
    <row r="687" spans="1:1" ht="13">
      <c r="A687" s="47"/>
    </row>
    <row r="688" spans="1:1" ht="13">
      <c r="A688" s="47"/>
    </row>
    <row r="689" spans="1:1" ht="13">
      <c r="A689" s="47"/>
    </row>
    <row r="690" spans="1:1" ht="13">
      <c r="A690" s="47"/>
    </row>
    <row r="691" spans="1:1" ht="13">
      <c r="A691" s="47"/>
    </row>
    <row r="692" spans="1:1" ht="13">
      <c r="A692" s="47"/>
    </row>
    <row r="693" spans="1:1" ht="13">
      <c r="A693" s="47"/>
    </row>
    <row r="694" spans="1:1" ht="13">
      <c r="A694" s="47"/>
    </row>
    <row r="695" spans="1:1" ht="13">
      <c r="A695" s="47"/>
    </row>
    <row r="696" spans="1:1" ht="13">
      <c r="A696" s="47"/>
    </row>
    <row r="697" spans="1:1" ht="13">
      <c r="A697" s="47"/>
    </row>
    <row r="698" spans="1:1" ht="13">
      <c r="A698" s="47"/>
    </row>
    <row r="699" spans="1:1" ht="13">
      <c r="A699" s="47"/>
    </row>
    <row r="700" spans="1:1" ht="13">
      <c r="A700" s="47"/>
    </row>
    <row r="701" spans="1:1" ht="13">
      <c r="A701" s="47"/>
    </row>
    <row r="702" spans="1:1" ht="13">
      <c r="A702" s="47"/>
    </row>
    <row r="703" spans="1:1" ht="13">
      <c r="A703" s="47"/>
    </row>
    <row r="704" spans="1:1" ht="13">
      <c r="A704" s="47"/>
    </row>
    <row r="705" spans="1:1" ht="13">
      <c r="A705" s="47"/>
    </row>
    <row r="706" spans="1:1" ht="13">
      <c r="A706" s="47"/>
    </row>
    <row r="707" spans="1:1" ht="13">
      <c r="A707" s="47"/>
    </row>
    <row r="708" spans="1:1" ht="13">
      <c r="A708" s="47"/>
    </row>
    <row r="709" spans="1:1" ht="13">
      <c r="A709" s="47"/>
    </row>
    <row r="710" spans="1:1" ht="13">
      <c r="A710" s="47"/>
    </row>
    <row r="711" spans="1:1" ht="13">
      <c r="A711" s="47"/>
    </row>
    <row r="712" spans="1:1" ht="13">
      <c r="A712" s="47"/>
    </row>
    <row r="713" spans="1:1" ht="13">
      <c r="A713" s="47"/>
    </row>
    <row r="714" spans="1:1" ht="13">
      <c r="A714" s="47"/>
    </row>
    <row r="715" spans="1:1" ht="13">
      <c r="A715" s="47"/>
    </row>
    <row r="716" spans="1:1" ht="13">
      <c r="A716" s="47"/>
    </row>
    <row r="717" spans="1:1" ht="13">
      <c r="A717" s="47"/>
    </row>
    <row r="718" spans="1:1" ht="13">
      <c r="A718" s="47"/>
    </row>
    <row r="719" spans="1:1" ht="13">
      <c r="A719" s="47"/>
    </row>
    <row r="720" spans="1:1" ht="13">
      <c r="A720" s="47"/>
    </row>
    <row r="721" spans="1:1" ht="13">
      <c r="A721" s="47"/>
    </row>
    <row r="722" spans="1:1" ht="13">
      <c r="A722" s="47"/>
    </row>
    <row r="723" spans="1:1" ht="13">
      <c r="A723" s="47"/>
    </row>
    <row r="724" spans="1:1" ht="13">
      <c r="A724" s="47"/>
    </row>
    <row r="725" spans="1:1" ht="13">
      <c r="A725" s="47"/>
    </row>
    <row r="726" spans="1:1" ht="13">
      <c r="A726" s="47"/>
    </row>
    <row r="727" spans="1:1" ht="13">
      <c r="A727" s="47"/>
    </row>
    <row r="728" spans="1:1" ht="13">
      <c r="A728" s="47"/>
    </row>
    <row r="729" spans="1:1" ht="13">
      <c r="A729" s="47"/>
    </row>
    <row r="730" spans="1:1" ht="13">
      <c r="A730" s="47"/>
    </row>
    <row r="731" spans="1:1" ht="13">
      <c r="A731" s="47"/>
    </row>
    <row r="732" spans="1:1" ht="13">
      <c r="A732" s="47"/>
    </row>
    <row r="733" spans="1:1" ht="13">
      <c r="A733" s="47"/>
    </row>
    <row r="734" spans="1:1" ht="13">
      <c r="A734" s="47"/>
    </row>
    <row r="735" spans="1:1" ht="13">
      <c r="A735" s="47"/>
    </row>
    <row r="736" spans="1:1" ht="13">
      <c r="A736" s="47"/>
    </row>
    <row r="737" spans="1:1" ht="13">
      <c r="A737" s="47"/>
    </row>
    <row r="738" spans="1:1" ht="13">
      <c r="A738" s="47"/>
    </row>
    <row r="739" spans="1:1" ht="13">
      <c r="A739" s="47"/>
    </row>
    <row r="740" spans="1:1" ht="13">
      <c r="A740" s="47"/>
    </row>
    <row r="741" spans="1:1" ht="13">
      <c r="A741" s="47"/>
    </row>
    <row r="742" spans="1:1" ht="13">
      <c r="A742" s="47"/>
    </row>
    <row r="743" spans="1:1" ht="13">
      <c r="A743" s="47"/>
    </row>
    <row r="744" spans="1:1" ht="13">
      <c r="A744" s="47"/>
    </row>
    <row r="745" spans="1:1" ht="13">
      <c r="A745" s="47"/>
    </row>
    <row r="746" spans="1:1" ht="13">
      <c r="A746" s="47"/>
    </row>
    <row r="747" spans="1:1" ht="13">
      <c r="A747" s="47"/>
    </row>
    <row r="748" spans="1:1" ht="13">
      <c r="A748" s="47"/>
    </row>
    <row r="749" spans="1:1" ht="13">
      <c r="A749" s="47"/>
    </row>
    <row r="750" spans="1:1" ht="13">
      <c r="A750" s="47"/>
    </row>
    <row r="751" spans="1:1" ht="13">
      <c r="A751" s="47"/>
    </row>
    <row r="752" spans="1:1" ht="13">
      <c r="A752" s="47"/>
    </row>
    <row r="753" spans="1:1" ht="13">
      <c r="A753" s="47"/>
    </row>
    <row r="754" spans="1:1" ht="13">
      <c r="A754" s="47"/>
    </row>
    <row r="755" spans="1:1" ht="13">
      <c r="A755" s="47"/>
    </row>
    <row r="756" spans="1:1" ht="13">
      <c r="A756" s="47"/>
    </row>
    <row r="757" spans="1:1" ht="13">
      <c r="A757" s="47"/>
    </row>
    <row r="758" spans="1:1" ht="13">
      <c r="A758" s="47"/>
    </row>
    <row r="759" spans="1:1" ht="13">
      <c r="A759" s="47"/>
    </row>
    <row r="760" spans="1:1" ht="13">
      <c r="A760" s="47"/>
    </row>
    <row r="761" spans="1:1" ht="13">
      <c r="A761" s="47"/>
    </row>
    <row r="762" spans="1:1" ht="13">
      <c r="A762" s="47"/>
    </row>
    <row r="763" spans="1:1" ht="13">
      <c r="A763" s="47"/>
    </row>
    <row r="764" spans="1:1" ht="13">
      <c r="A764" s="47"/>
    </row>
    <row r="765" spans="1:1" ht="13">
      <c r="A765" s="47"/>
    </row>
    <row r="766" spans="1:1" ht="13">
      <c r="A766" s="47"/>
    </row>
    <row r="767" spans="1:1" ht="13">
      <c r="A767" s="47"/>
    </row>
    <row r="768" spans="1:1" ht="13">
      <c r="A768" s="47"/>
    </row>
    <row r="769" spans="1:1" ht="13">
      <c r="A769" s="47"/>
    </row>
    <row r="770" spans="1:1" ht="13">
      <c r="A770" s="47"/>
    </row>
    <row r="771" spans="1:1" ht="13">
      <c r="A771" s="47"/>
    </row>
    <row r="772" spans="1:1" ht="13">
      <c r="A772" s="47"/>
    </row>
    <row r="773" spans="1:1" ht="13">
      <c r="A773" s="47"/>
    </row>
    <row r="774" spans="1:1" ht="13">
      <c r="A774" s="47"/>
    </row>
    <row r="775" spans="1:1" ht="13">
      <c r="A775" s="47"/>
    </row>
    <row r="776" spans="1:1" ht="13">
      <c r="A776" s="47"/>
    </row>
    <row r="777" spans="1:1" ht="13">
      <c r="A777" s="47"/>
    </row>
    <row r="778" spans="1:1" ht="13">
      <c r="A778" s="47"/>
    </row>
    <row r="779" spans="1:1" ht="13">
      <c r="A779" s="47"/>
    </row>
    <row r="780" spans="1:1" ht="13">
      <c r="A780" s="47"/>
    </row>
    <row r="781" spans="1:1" ht="13">
      <c r="A781" s="47"/>
    </row>
    <row r="782" spans="1:1" ht="13">
      <c r="A782" s="47"/>
    </row>
    <row r="783" spans="1:1" ht="13">
      <c r="A783" s="47"/>
    </row>
    <row r="784" spans="1:1" ht="13">
      <c r="A784" s="47"/>
    </row>
    <row r="785" spans="1:1" ht="13">
      <c r="A785" s="47"/>
    </row>
    <row r="786" spans="1:1" ht="13">
      <c r="A786" s="47"/>
    </row>
    <row r="787" spans="1:1" ht="13">
      <c r="A787" s="47"/>
    </row>
    <row r="788" spans="1:1" ht="13">
      <c r="A788" s="47"/>
    </row>
    <row r="789" spans="1:1" ht="13">
      <c r="A789" s="47"/>
    </row>
    <row r="790" spans="1:1" ht="13">
      <c r="A790" s="47"/>
    </row>
    <row r="791" spans="1:1" ht="13">
      <c r="A791" s="47"/>
    </row>
    <row r="792" spans="1:1" ht="13">
      <c r="A792" s="47"/>
    </row>
    <row r="793" spans="1:1" ht="13">
      <c r="A793" s="47"/>
    </row>
    <row r="794" spans="1:1" ht="13">
      <c r="A794" s="47"/>
    </row>
    <row r="795" spans="1:1" ht="13">
      <c r="A795" s="47"/>
    </row>
    <row r="796" spans="1:1" ht="13">
      <c r="A796" s="47"/>
    </row>
    <row r="797" spans="1:1" ht="13">
      <c r="A797" s="47"/>
    </row>
    <row r="798" spans="1:1" ht="13">
      <c r="A798" s="47"/>
    </row>
    <row r="799" spans="1:1" ht="13">
      <c r="A799" s="47"/>
    </row>
    <row r="800" spans="1:1" ht="13">
      <c r="A800" s="47"/>
    </row>
    <row r="801" spans="1:1" ht="13">
      <c r="A801" s="47"/>
    </row>
    <row r="802" spans="1:1" ht="13">
      <c r="A802" s="47"/>
    </row>
    <row r="803" spans="1:1" ht="13">
      <c r="A803" s="47"/>
    </row>
    <row r="804" spans="1:1" ht="13">
      <c r="A804" s="47"/>
    </row>
    <row r="805" spans="1:1" ht="13">
      <c r="A805" s="47"/>
    </row>
    <row r="806" spans="1:1" ht="13">
      <c r="A806" s="47"/>
    </row>
    <row r="807" spans="1:1" ht="13">
      <c r="A807" s="47"/>
    </row>
    <row r="808" spans="1:1" ht="13">
      <c r="A808" s="47"/>
    </row>
    <row r="809" spans="1:1" ht="13">
      <c r="A809" s="47"/>
    </row>
    <row r="810" spans="1:1" ht="13">
      <c r="A810" s="47"/>
    </row>
    <row r="811" spans="1:1" ht="13">
      <c r="A811" s="47"/>
    </row>
    <row r="812" spans="1:1" ht="13">
      <c r="A812" s="47"/>
    </row>
    <row r="813" spans="1:1" ht="13">
      <c r="A813" s="47"/>
    </row>
    <row r="814" spans="1:1" ht="13">
      <c r="A814" s="47"/>
    </row>
    <row r="815" spans="1:1" ht="13">
      <c r="A815" s="47"/>
    </row>
    <row r="816" spans="1:1" ht="13">
      <c r="A816" s="47"/>
    </row>
    <row r="817" spans="1:1" ht="13">
      <c r="A817" s="47"/>
    </row>
    <row r="818" spans="1:1" ht="13">
      <c r="A818" s="47"/>
    </row>
    <row r="819" spans="1:1" ht="13">
      <c r="A819" s="47"/>
    </row>
    <row r="820" spans="1:1" ht="13">
      <c r="A820" s="47"/>
    </row>
    <row r="821" spans="1:1" ht="13">
      <c r="A821" s="47"/>
    </row>
    <row r="822" spans="1:1" ht="13">
      <c r="A822" s="47"/>
    </row>
    <row r="823" spans="1:1" ht="13">
      <c r="A823" s="47"/>
    </row>
    <row r="824" spans="1:1" ht="13">
      <c r="A824" s="47"/>
    </row>
    <row r="825" spans="1:1" ht="13">
      <c r="A825" s="47"/>
    </row>
    <row r="826" spans="1:1" ht="13">
      <c r="A826" s="47"/>
    </row>
    <row r="827" spans="1:1" ht="13">
      <c r="A827" s="47"/>
    </row>
    <row r="828" spans="1:1" ht="13">
      <c r="A828" s="47"/>
    </row>
    <row r="829" spans="1:1" ht="13">
      <c r="A829" s="47"/>
    </row>
    <row r="830" spans="1:1" ht="13">
      <c r="A830" s="47"/>
    </row>
    <row r="831" spans="1:1" ht="13">
      <c r="A831" s="47"/>
    </row>
    <row r="832" spans="1:1" ht="13">
      <c r="A832" s="47"/>
    </row>
    <row r="833" spans="1:1" ht="13">
      <c r="A833" s="47"/>
    </row>
    <row r="834" spans="1:1" ht="13">
      <c r="A834" s="47"/>
    </row>
    <row r="835" spans="1:1" ht="13">
      <c r="A835" s="47"/>
    </row>
    <row r="836" spans="1:1" ht="13">
      <c r="A836" s="47"/>
    </row>
    <row r="837" spans="1:1" ht="13">
      <c r="A837" s="47"/>
    </row>
    <row r="838" spans="1:1" ht="13">
      <c r="A838" s="47"/>
    </row>
    <row r="839" spans="1:1" ht="13">
      <c r="A839" s="47"/>
    </row>
    <row r="840" spans="1:1" ht="13">
      <c r="A840" s="47"/>
    </row>
    <row r="841" spans="1:1" ht="13">
      <c r="A841" s="47"/>
    </row>
    <row r="842" spans="1:1" ht="13">
      <c r="A842" s="47"/>
    </row>
    <row r="843" spans="1:1" ht="13">
      <c r="A843" s="47"/>
    </row>
    <row r="844" spans="1:1" ht="13">
      <c r="A844" s="47"/>
    </row>
    <row r="845" spans="1:1" ht="13">
      <c r="A845" s="47"/>
    </row>
    <row r="846" spans="1:1" ht="13">
      <c r="A846" s="47"/>
    </row>
    <row r="847" spans="1:1" ht="13">
      <c r="A847" s="47"/>
    </row>
    <row r="848" spans="1:1" ht="13">
      <c r="A848" s="47"/>
    </row>
    <row r="849" spans="1:1" ht="13">
      <c r="A849" s="47"/>
    </row>
    <row r="850" spans="1:1" ht="13">
      <c r="A850" s="47"/>
    </row>
    <row r="851" spans="1:1" ht="13">
      <c r="A851" s="47"/>
    </row>
    <row r="852" spans="1:1" ht="13">
      <c r="A852" s="47"/>
    </row>
    <row r="853" spans="1:1" ht="13">
      <c r="A853" s="47"/>
    </row>
    <row r="854" spans="1:1" ht="13">
      <c r="A854" s="47"/>
    </row>
    <row r="855" spans="1:1" ht="13">
      <c r="A855" s="47"/>
    </row>
    <row r="856" spans="1:1" ht="13">
      <c r="A856" s="47"/>
    </row>
    <row r="857" spans="1:1" ht="13">
      <c r="A857" s="47"/>
    </row>
    <row r="858" spans="1:1" ht="13">
      <c r="A858" s="47"/>
    </row>
    <row r="859" spans="1:1" ht="13">
      <c r="A859" s="47"/>
    </row>
    <row r="860" spans="1:1" ht="13">
      <c r="A860" s="47"/>
    </row>
    <row r="861" spans="1:1" ht="13">
      <c r="A861" s="47"/>
    </row>
    <row r="862" spans="1:1" ht="13">
      <c r="A862" s="47"/>
    </row>
    <row r="863" spans="1:1" ht="13">
      <c r="A863" s="47"/>
    </row>
    <row r="864" spans="1:1" ht="13">
      <c r="A864" s="47"/>
    </row>
    <row r="865" spans="1:1" ht="13">
      <c r="A865" s="47"/>
    </row>
    <row r="866" spans="1:1" ht="13">
      <c r="A866" s="47"/>
    </row>
    <row r="867" spans="1:1" ht="13">
      <c r="A867" s="47"/>
    </row>
    <row r="868" spans="1:1" ht="13">
      <c r="A868" s="47"/>
    </row>
    <row r="869" spans="1:1" ht="13">
      <c r="A869" s="47"/>
    </row>
    <row r="870" spans="1:1" ht="13">
      <c r="A870" s="47"/>
    </row>
    <row r="871" spans="1:1" ht="13">
      <c r="A871" s="47"/>
    </row>
    <row r="872" spans="1:1" ht="13">
      <c r="A872" s="47"/>
    </row>
    <row r="873" spans="1:1" ht="13">
      <c r="A873" s="47"/>
    </row>
    <row r="874" spans="1:1" ht="13">
      <c r="A874" s="47"/>
    </row>
    <row r="875" spans="1:1" ht="13">
      <c r="A875" s="47"/>
    </row>
    <row r="876" spans="1:1" ht="13">
      <c r="A876" s="47"/>
    </row>
    <row r="877" spans="1:1" ht="13">
      <c r="A877" s="47"/>
    </row>
    <row r="878" spans="1:1" ht="13">
      <c r="A878" s="47"/>
    </row>
    <row r="879" spans="1:1" ht="13">
      <c r="A879" s="47"/>
    </row>
    <row r="880" spans="1:1" ht="13">
      <c r="A880" s="47"/>
    </row>
    <row r="881" spans="1:1" ht="13">
      <c r="A881" s="47"/>
    </row>
    <row r="882" spans="1:1" ht="13">
      <c r="A882" s="47"/>
    </row>
    <row r="883" spans="1:1" ht="13">
      <c r="A883" s="47"/>
    </row>
    <row r="884" spans="1:1" ht="13">
      <c r="A884" s="47"/>
    </row>
    <row r="885" spans="1:1" ht="13">
      <c r="A885" s="47"/>
    </row>
    <row r="886" spans="1:1" ht="13">
      <c r="A886" s="47"/>
    </row>
    <row r="887" spans="1:1" ht="13">
      <c r="A887" s="47"/>
    </row>
    <row r="888" spans="1:1" ht="13">
      <c r="A888" s="47"/>
    </row>
    <row r="889" spans="1:1" ht="13">
      <c r="A889" s="47"/>
    </row>
    <row r="890" spans="1:1" ht="13">
      <c r="A890" s="47"/>
    </row>
    <row r="891" spans="1:1" ht="13">
      <c r="A891" s="47"/>
    </row>
    <row r="892" spans="1:1" ht="13">
      <c r="A892" s="47"/>
    </row>
    <row r="893" spans="1:1" ht="13">
      <c r="A893" s="47"/>
    </row>
    <row r="894" spans="1:1" ht="13">
      <c r="A894" s="47"/>
    </row>
    <row r="895" spans="1:1" ht="13">
      <c r="A895" s="47"/>
    </row>
    <row r="896" spans="1:1" ht="13">
      <c r="A896" s="47"/>
    </row>
    <row r="897" spans="1:1" ht="13">
      <c r="A897" s="47"/>
    </row>
    <row r="898" spans="1:1" ht="13">
      <c r="A898" s="47"/>
    </row>
    <row r="899" spans="1:1" ht="13">
      <c r="A899" s="47"/>
    </row>
    <row r="900" spans="1:1" ht="13">
      <c r="A900" s="47"/>
    </row>
    <row r="901" spans="1:1" ht="13">
      <c r="A901" s="47"/>
    </row>
    <row r="902" spans="1:1" ht="13">
      <c r="A902" s="47"/>
    </row>
    <row r="903" spans="1:1" ht="13">
      <c r="A903" s="47"/>
    </row>
    <row r="904" spans="1:1" ht="13">
      <c r="A904" s="47"/>
    </row>
    <row r="905" spans="1:1" ht="13">
      <c r="A905" s="47"/>
    </row>
    <row r="906" spans="1:1" ht="13">
      <c r="A906" s="47"/>
    </row>
    <row r="907" spans="1:1" ht="13">
      <c r="A907" s="47"/>
    </row>
    <row r="908" spans="1:1" ht="13">
      <c r="A908" s="47"/>
    </row>
    <row r="909" spans="1:1" ht="13">
      <c r="A909" s="47"/>
    </row>
    <row r="910" spans="1:1" ht="13">
      <c r="A910" s="47"/>
    </row>
    <row r="911" spans="1:1" ht="13">
      <c r="A911" s="47"/>
    </row>
    <row r="912" spans="1:1" ht="13">
      <c r="A912" s="47"/>
    </row>
    <row r="913" spans="1:1" ht="13">
      <c r="A913" s="47"/>
    </row>
    <row r="914" spans="1:1" ht="13">
      <c r="A914" s="47"/>
    </row>
    <row r="915" spans="1:1" ht="13">
      <c r="A915" s="47"/>
    </row>
    <row r="916" spans="1:1" ht="13">
      <c r="A916" s="47"/>
    </row>
    <row r="917" spans="1:1" ht="13">
      <c r="A917" s="47"/>
    </row>
    <row r="918" spans="1:1" ht="13">
      <c r="A918" s="47"/>
    </row>
    <row r="919" spans="1:1" ht="13">
      <c r="A919" s="47"/>
    </row>
    <row r="920" spans="1:1" ht="13">
      <c r="A920" s="47"/>
    </row>
    <row r="921" spans="1:1" ht="13">
      <c r="A921" s="47"/>
    </row>
    <row r="922" spans="1:1" ht="13">
      <c r="A922" s="47"/>
    </row>
    <row r="923" spans="1:1" ht="13">
      <c r="A923" s="47"/>
    </row>
    <row r="924" spans="1:1" ht="13">
      <c r="A924" s="47"/>
    </row>
    <row r="925" spans="1:1" ht="13">
      <c r="A925" s="47"/>
    </row>
    <row r="926" spans="1:1" ht="13">
      <c r="A926" s="47"/>
    </row>
    <row r="927" spans="1:1" ht="13">
      <c r="A927" s="47"/>
    </row>
    <row r="928" spans="1:1" ht="13">
      <c r="A928" s="47"/>
    </row>
    <row r="929" spans="1:1" ht="13">
      <c r="A929" s="47"/>
    </row>
    <row r="930" spans="1:1" ht="13">
      <c r="A930" s="47"/>
    </row>
    <row r="931" spans="1:1" ht="13">
      <c r="A931" s="47"/>
    </row>
    <row r="932" spans="1:1" ht="13">
      <c r="A932" s="47"/>
    </row>
    <row r="933" spans="1:1" ht="13">
      <c r="A933" s="47"/>
    </row>
    <row r="934" spans="1:1" ht="13">
      <c r="A934" s="47"/>
    </row>
    <row r="935" spans="1:1" ht="13">
      <c r="A935" s="47"/>
    </row>
    <row r="936" spans="1:1" ht="13">
      <c r="A936" s="47"/>
    </row>
    <row r="937" spans="1:1" ht="13">
      <c r="A937" s="47"/>
    </row>
    <row r="938" spans="1:1" ht="13">
      <c r="A938" s="47"/>
    </row>
    <row r="939" spans="1:1" ht="13">
      <c r="A939" s="47"/>
    </row>
    <row r="940" spans="1:1" ht="13">
      <c r="A940" s="47"/>
    </row>
    <row r="941" spans="1:1" ht="13">
      <c r="A941" s="47"/>
    </row>
    <row r="942" spans="1:1" ht="13">
      <c r="A942" s="47"/>
    </row>
    <row r="943" spans="1:1" ht="13">
      <c r="A943" s="47"/>
    </row>
    <row r="944" spans="1:1" ht="13">
      <c r="A944" s="47"/>
    </row>
    <row r="945" spans="1:1" ht="13">
      <c r="A945" s="47"/>
    </row>
    <row r="946" spans="1:1" ht="13">
      <c r="A946" s="47"/>
    </row>
    <row r="947" spans="1:1" ht="13">
      <c r="A947" s="47"/>
    </row>
    <row r="948" spans="1:1" ht="13">
      <c r="A948" s="47"/>
    </row>
    <row r="949" spans="1:1" ht="13">
      <c r="A949" s="47"/>
    </row>
    <row r="950" spans="1:1" ht="13">
      <c r="A950" s="47"/>
    </row>
    <row r="951" spans="1:1" ht="13">
      <c r="A951" s="47"/>
    </row>
    <row r="952" spans="1:1" ht="13">
      <c r="A952" s="47"/>
    </row>
    <row r="953" spans="1:1" ht="13">
      <c r="A953" s="47"/>
    </row>
    <row r="954" spans="1:1" ht="13">
      <c r="A954" s="47"/>
    </row>
    <row r="955" spans="1:1" ht="13">
      <c r="A955" s="47"/>
    </row>
    <row r="956" spans="1:1" ht="13">
      <c r="A956" s="47"/>
    </row>
    <row r="957" spans="1:1" ht="13">
      <c r="A957" s="47"/>
    </row>
    <row r="958" spans="1:1" ht="13">
      <c r="A958" s="47"/>
    </row>
    <row r="959" spans="1:1" ht="13">
      <c r="A959" s="47"/>
    </row>
    <row r="960" spans="1:1" ht="13">
      <c r="A960" s="47"/>
    </row>
    <row r="961" spans="1:1" ht="13">
      <c r="A961" s="47"/>
    </row>
    <row r="962" spans="1:1" ht="13">
      <c r="A962" s="47"/>
    </row>
    <row r="963" spans="1:1" ht="13">
      <c r="A963" s="47"/>
    </row>
    <row r="964" spans="1:1" ht="13">
      <c r="A964" s="47"/>
    </row>
    <row r="965" spans="1:1" ht="13">
      <c r="A965" s="47"/>
    </row>
    <row r="966" spans="1:1" ht="13">
      <c r="A966" s="47"/>
    </row>
    <row r="967" spans="1:1" ht="13">
      <c r="A967" s="47"/>
    </row>
    <row r="968" spans="1:1" ht="13">
      <c r="A968" s="47"/>
    </row>
    <row r="969" spans="1:1" ht="13">
      <c r="A969" s="47"/>
    </row>
    <row r="970" spans="1:1" ht="13">
      <c r="A970" s="47"/>
    </row>
    <row r="971" spans="1:1" ht="13">
      <c r="A971" s="47"/>
    </row>
    <row r="972" spans="1:1" ht="13">
      <c r="A972" s="47"/>
    </row>
    <row r="973" spans="1:1" ht="13">
      <c r="A973" s="47"/>
    </row>
    <row r="974" spans="1:1" ht="13">
      <c r="A974" s="47"/>
    </row>
    <row r="975" spans="1:1" ht="13">
      <c r="A975" s="47"/>
    </row>
    <row r="976" spans="1:1" ht="13">
      <c r="A976" s="47"/>
    </row>
    <row r="977" spans="1:1" ht="13">
      <c r="A977" s="47"/>
    </row>
    <row r="978" spans="1:1" ht="13">
      <c r="A978" s="47"/>
    </row>
    <row r="979" spans="1:1" ht="13">
      <c r="A979" s="47"/>
    </row>
    <row r="980" spans="1:1" ht="13">
      <c r="A980" s="47"/>
    </row>
    <row r="981" spans="1:1" ht="13">
      <c r="A981" s="47"/>
    </row>
    <row r="982" spans="1:1" ht="13">
      <c r="A982" s="47"/>
    </row>
    <row r="983" spans="1:1" ht="13">
      <c r="A983" s="47"/>
    </row>
    <row r="984" spans="1:1" ht="13">
      <c r="A984" s="47"/>
    </row>
    <row r="985" spans="1:1" ht="13">
      <c r="A985" s="47"/>
    </row>
    <row r="986" spans="1:1" ht="13">
      <c r="A986" s="47"/>
    </row>
    <row r="987" spans="1:1" ht="13">
      <c r="A987" s="47"/>
    </row>
    <row r="988" spans="1:1" ht="13">
      <c r="A988" s="47"/>
    </row>
    <row r="989" spans="1:1" ht="13">
      <c r="A989" s="47"/>
    </row>
    <row r="990" spans="1:1" ht="13">
      <c r="A990" s="47"/>
    </row>
    <row r="991" spans="1:1" ht="13">
      <c r="A991" s="47"/>
    </row>
    <row r="992" spans="1:1" ht="13">
      <c r="A992" s="47"/>
    </row>
    <row r="993" spans="1:1" ht="13">
      <c r="A993" s="47"/>
    </row>
    <row r="994" spans="1:1" ht="13">
      <c r="A994" s="47"/>
    </row>
    <row r="995" spans="1:1" ht="13">
      <c r="A995" s="47"/>
    </row>
    <row r="996" spans="1:1" ht="13">
      <c r="A996" s="47"/>
    </row>
    <row r="997" spans="1:1" ht="13">
      <c r="A997" s="47"/>
    </row>
    <row r="998" spans="1:1" ht="13">
      <c r="A998" s="47"/>
    </row>
    <row r="999" spans="1:1" ht="13">
      <c r="A999" s="47"/>
    </row>
    <row r="1000" spans="1:1" ht="13">
      <c r="A1000" s="47"/>
    </row>
    <row r="1001" spans="1:1" ht="13">
      <c r="A1001" s="47"/>
    </row>
    <row r="1002" spans="1:1" ht="13">
      <c r="A1002" s="47"/>
    </row>
    <row r="1003" spans="1:1" ht="13">
      <c r="A1003" s="47"/>
    </row>
    <row r="1004" spans="1:1" ht="13">
      <c r="A1004" s="47"/>
    </row>
  </sheetData>
  <mergeCells count="1">
    <mergeCell ref="A1:F3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0"/>
  <sheetViews>
    <sheetView workbookViewId="0"/>
  </sheetViews>
  <sheetFormatPr baseColWidth="10" defaultColWidth="14.5" defaultRowHeight="15.75" customHeight="1"/>
  <cols>
    <col min="1" max="1" width="7" customWidth="1"/>
    <col min="2" max="2" width="10.5" customWidth="1"/>
    <col min="3" max="3" width="9.6640625" customWidth="1"/>
    <col min="7" max="7" width="22.5" customWidth="1"/>
  </cols>
  <sheetData>
    <row r="1" spans="1:22">
      <c r="A1" s="48" t="s">
        <v>68</v>
      </c>
      <c r="B1" s="49" t="s">
        <v>69</v>
      </c>
      <c r="C1" s="49" t="s">
        <v>70</v>
      </c>
      <c r="D1" s="49" t="s">
        <v>71</v>
      </c>
      <c r="E1" s="49" t="s">
        <v>72</v>
      </c>
      <c r="F1" s="50" t="s">
        <v>73</v>
      </c>
      <c r="G1" s="49" t="s">
        <v>74</v>
      </c>
      <c r="H1" s="51" t="s">
        <v>75</v>
      </c>
      <c r="I1" s="52" t="s">
        <v>76</v>
      </c>
      <c r="J1" s="52" t="s">
        <v>77</v>
      </c>
      <c r="K1" s="53" t="s">
        <v>78</v>
      </c>
      <c r="L1" s="53" t="s">
        <v>79</v>
      </c>
      <c r="M1" s="54" t="s">
        <v>80</v>
      </c>
      <c r="N1" s="55"/>
      <c r="O1" s="55"/>
      <c r="P1" s="55"/>
      <c r="Q1" s="55"/>
      <c r="R1" s="55"/>
      <c r="S1" s="55"/>
      <c r="T1" s="55"/>
      <c r="U1" s="55"/>
      <c r="V1" s="55"/>
    </row>
    <row r="2" spans="1:22" ht="15.75" customHeight="1">
      <c r="A2" s="56">
        <v>44289</v>
      </c>
      <c r="B2" s="14" t="s">
        <v>22</v>
      </c>
      <c r="C2" s="14" t="s">
        <v>81</v>
      </c>
      <c r="D2" s="14" t="s">
        <v>82</v>
      </c>
      <c r="E2" s="26"/>
      <c r="F2" s="26"/>
      <c r="G2" s="14" t="s">
        <v>83</v>
      </c>
      <c r="H2" s="14">
        <v>21.05</v>
      </c>
      <c r="I2" s="14">
        <v>22.33</v>
      </c>
      <c r="J2" s="14" t="s">
        <v>84</v>
      </c>
      <c r="K2" s="14">
        <v>250</v>
      </c>
      <c r="L2" s="14" t="s">
        <v>85</v>
      </c>
    </row>
    <row r="3" spans="1:22" ht="15.7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22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22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22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22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22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22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22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22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spans="1:2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spans="1:22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spans="1:22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22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22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1:12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1:12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1:12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1:12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1:1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12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1:12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12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spans="1:12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spans="1:12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spans="1:12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 spans="1:12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 spans="1:12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 spans="1:12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spans="1:1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 spans="1:12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 spans="1:12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spans="1:12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spans="1:12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 spans="1:12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1:12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spans="1:12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spans="1:12" ht="13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1:12" ht="13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ht="13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 spans="1:12" ht="1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</row>
    <row r="44" spans="1:12" ht="1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</row>
    <row r="45" spans="1:12" ht="1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spans="1:12" ht="13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ht="13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1:12" ht="13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</row>
    <row r="49" spans="1:12" ht="13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spans="1:12" ht="1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</row>
    <row r="51" spans="1:12" ht="1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  <row r="52" spans="1:12" ht="1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spans="1:12" ht="1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 spans="1:12" ht="1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spans="1:12" ht="1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spans="1:12" ht="1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1:12" ht="1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spans="1:12" ht="1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ht="1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</row>
    <row r="60" spans="1:12" ht="1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ht="1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 spans="1:12" ht="1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spans="1:12" ht="1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spans="1:12" ht="1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 spans="1:12" ht="1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 spans="1:12" ht="1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 spans="1:12" ht="1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 spans="1:12" ht="13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spans="1:12" ht="13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spans="1:12" ht="13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spans="1:12" ht="13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 spans="1:12" ht="13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spans="1:12" ht="1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</row>
    <row r="74" spans="1:12" ht="1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 spans="1:12" ht="1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</row>
    <row r="76" spans="1:12" ht="1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</row>
    <row r="77" spans="1:12" ht="1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 spans="1:12" ht="1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</row>
    <row r="79" spans="1:12" ht="1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</row>
    <row r="80" spans="1:12" ht="1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</row>
    <row r="81" spans="1:12" ht="1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 spans="1:12" ht="1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 spans="1:12" ht="1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</row>
    <row r="84" spans="1:12" ht="1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</row>
    <row r="85" spans="1:12" ht="1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</row>
    <row r="86" spans="1:12" ht="1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</row>
    <row r="87" spans="1:12" ht="1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 spans="1:12" ht="1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</row>
    <row r="89" spans="1:12" ht="1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 spans="1:12" ht="1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</row>
    <row r="91" spans="1:12" ht="1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 spans="1:12" ht="1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</row>
    <row r="93" spans="1:12" ht="1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</row>
    <row r="94" spans="1:12" ht="13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 spans="1:12" ht="13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 spans="1:12" ht="1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</row>
    <row r="97" spans="1:12" ht="1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</row>
    <row r="98" spans="1:12" ht="1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 spans="1:12" ht="1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</row>
    <row r="100" spans="1:12" ht="1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</row>
    <row r="101" spans="1:12" ht="13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</row>
    <row r="102" spans="1:12" ht="1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</row>
    <row r="103" spans="1:12" ht="1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</row>
    <row r="104" spans="1:12" ht="1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</row>
    <row r="105" spans="1:12" ht="1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</row>
    <row r="106" spans="1:12" ht="13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</row>
    <row r="107" spans="1:12" ht="13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</row>
    <row r="108" spans="1:12" ht="13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</row>
    <row r="109" spans="1:12" ht="13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</row>
    <row r="110" spans="1:12" ht="13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</row>
    <row r="111" spans="1:12" ht="13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</row>
    <row r="112" spans="1:12" ht="1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</row>
    <row r="113" spans="1:12" ht="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</row>
    <row r="114" spans="1:12" ht="13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</row>
    <row r="115" spans="1:12" ht="13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</row>
    <row r="116" spans="1:12" ht="13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</row>
    <row r="117" spans="1:12" ht="13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</row>
    <row r="118" spans="1:12" ht="13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</row>
    <row r="119" spans="1:12" ht="13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</row>
    <row r="120" spans="1:12" ht="13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</row>
    <row r="121" spans="1:12" ht="13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</row>
    <row r="122" spans="1:12" ht="13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</row>
    <row r="123" spans="1:12" ht="1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</row>
    <row r="124" spans="1:12" ht="13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</row>
    <row r="125" spans="1:12" ht="13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</row>
    <row r="126" spans="1:12" ht="13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</row>
    <row r="127" spans="1:12" ht="13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</row>
    <row r="128" spans="1:12" ht="13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</row>
    <row r="129" spans="1:12" ht="13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</row>
    <row r="130" spans="1:12" ht="1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</row>
    <row r="131" spans="1:12" ht="1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</row>
    <row r="132" spans="1:12" ht="1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</row>
    <row r="133" spans="1:12" ht="1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</row>
    <row r="134" spans="1:12" ht="13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</row>
    <row r="135" spans="1:12" ht="13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</row>
    <row r="136" spans="1:12" ht="13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</row>
    <row r="137" spans="1:12" ht="13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</row>
    <row r="138" spans="1:12" ht="13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</row>
    <row r="139" spans="1:12" ht="13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</row>
    <row r="140" spans="1:12" ht="1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</row>
    <row r="141" spans="1:12" ht="13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</row>
    <row r="142" spans="1:12" ht="13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</row>
    <row r="143" spans="1:12" ht="1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</row>
    <row r="144" spans="1:12" ht="13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</row>
    <row r="145" spans="1:12" ht="13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</row>
    <row r="146" spans="1:12" ht="1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</row>
    <row r="147" spans="1:12" ht="1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</row>
    <row r="148" spans="1:12" ht="1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</row>
    <row r="149" spans="1:12" ht="1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</row>
    <row r="150" spans="1:12" ht="1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</row>
    <row r="151" spans="1:12" ht="1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</row>
    <row r="152" spans="1:12" ht="1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</row>
    <row r="153" spans="1:12" ht="1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</row>
    <row r="154" spans="1:12" ht="1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</row>
    <row r="155" spans="1:12" ht="1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</row>
    <row r="156" spans="1:12" ht="1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</row>
    <row r="157" spans="1:12" ht="1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</row>
    <row r="158" spans="1:12" ht="1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</row>
    <row r="159" spans="1:12" ht="1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</row>
    <row r="160" spans="1:12" ht="1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</row>
    <row r="161" spans="1:12" ht="1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</row>
    <row r="162" spans="1:12" ht="1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</row>
    <row r="163" spans="1:12" ht="1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</row>
    <row r="164" spans="1:12" ht="1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</row>
    <row r="165" spans="1:12" ht="1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</row>
    <row r="166" spans="1:12" ht="1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</row>
    <row r="167" spans="1:12" ht="1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</row>
    <row r="168" spans="1:12" ht="1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</row>
    <row r="169" spans="1:12" ht="1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</row>
    <row r="170" spans="1:12" ht="1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</row>
    <row r="171" spans="1:12" ht="1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</row>
    <row r="172" spans="1:12" ht="1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</row>
    <row r="173" spans="1:12" ht="1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</row>
    <row r="174" spans="1:12" ht="1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</row>
    <row r="175" spans="1:12" ht="1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</row>
    <row r="176" spans="1:12" ht="1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</row>
    <row r="177" spans="1:12" ht="1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</row>
    <row r="178" spans="1:12" ht="1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</row>
    <row r="179" spans="1:12" ht="1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</row>
    <row r="180" spans="1:12" ht="1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</row>
    <row r="181" spans="1:12" ht="1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</row>
    <row r="182" spans="1:12" ht="1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</row>
    <row r="183" spans="1:12" ht="1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</row>
    <row r="184" spans="1:12" ht="1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</row>
    <row r="185" spans="1:12" ht="1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</row>
    <row r="186" spans="1:12" ht="1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</row>
    <row r="187" spans="1:12" ht="1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</row>
    <row r="188" spans="1:12" ht="1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</row>
    <row r="189" spans="1:12" ht="1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</row>
    <row r="190" spans="1:12" ht="1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</row>
    <row r="191" spans="1:12" ht="1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</row>
    <row r="192" spans="1:12" ht="1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</row>
    <row r="193" spans="1:12" ht="1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</row>
    <row r="194" spans="1:12" ht="1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</row>
    <row r="195" spans="1:12" ht="1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</row>
    <row r="196" spans="1:12" ht="1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</row>
    <row r="197" spans="1:12" ht="1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</row>
    <row r="198" spans="1:12" ht="1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</row>
    <row r="199" spans="1:12" ht="1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</row>
    <row r="200" spans="1:12" ht="1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</row>
    <row r="201" spans="1:12" ht="1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</row>
    <row r="202" spans="1:12" ht="1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</row>
    <row r="203" spans="1:12" ht="1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</row>
    <row r="204" spans="1:12" ht="1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</row>
    <row r="205" spans="1:12" ht="1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</row>
    <row r="206" spans="1:12" ht="13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</row>
    <row r="207" spans="1:12" ht="1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</row>
    <row r="208" spans="1:12" ht="13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</row>
    <row r="209" spans="1:12" ht="1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</row>
    <row r="210" spans="1:12" ht="13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</row>
    <row r="211" spans="1:12" ht="13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</row>
    <row r="212" spans="1:12" ht="13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</row>
    <row r="213" spans="1:12" ht="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</row>
    <row r="214" spans="1:12" ht="13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</row>
    <row r="215" spans="1:12" ht="13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</row>
    <row r="216" spans="1:12" ht="13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</row>
    <row r="217" spans="1:12" ht="13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</row>
    <row r="218" spans="1:12" ht="13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</row>
    <row r="219" spans="1:12" ht="13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</row>
    <row r="220" spans="1:12" ht="13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</row>
    <row r="221" spans="1:12" ht="13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</row>
    <row r="222" spans="1:12" ht="13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</row>
    <row r="223" spans="1:12" ht="1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</row>
    <row r="224" spans="1:12" ht="13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</row>
    <row r="225" spans="1:12" ht="13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</row>
    <row r="226" spans="1:12" ht="13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</row>
    <row r="227" spans="1:12" ht="13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</row>
    <row r="228" spans="1:12" ht="13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</row>
    <row r="229" spans="1:12" ht="13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</row>
    <row r="230" spans="1:12" ht="13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</row>
    <row r="231" spans="1:12" ht="13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</row>
    <row r="232" spans="1:12" ht="13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</row>
    <row r="233" spans="1:12" ht="1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</row>
    <row r="234" spans="1:12" ht="13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</row>
    <row r="235" spans="1:12" ht="13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</row>
    <row r="236" spans="1:12" ht="13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</row>
    <row r="237" spans="1:12" ht="13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</row>
    <row r="238" spans="1:12" ht="13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</row>
    <row r="239" spans="1:12" ht="13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</row>
    <row r="240" spans="1:12" ht="13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</row>
    <row r="241" spans="1:12" ht="13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</row>
    <row r="242" spans="1:12" ht="13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</row>
    <row r="243" spans="1:12" ht="1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</row>
    <row r="244" spans="1:12" ht="13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</row>
    <row r="245" spans="1:12" ht="13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</row>
    <row r="246" spans="1:12" ht="13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</row>
    <row r="247" spans="1:12" ht="13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</row>
    <row r="248" spans="1:12" ht="13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</row>
    <row r="249" spans="1:12" ht="13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</row>
    <row r="250" spans="1:12" ht="13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</row>
    <row r="251" spans="1:12" ht="13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</row>
    <row r="252" spans="1:12" ht="13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</row>
    <row r="253" spans="1:12" ht="1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</row>
    <row r="254" spans="1:12" ht="13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</row>
    <row r="255" spans="1:12" ht="13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</row>
    <row r="256" spans="1:12" ht="13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</row>
    <row r="257" spans="1:12" ht="13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</row>
    <row r="258" spans="1:12" ht="13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</row>
    <row r="259" spans="1:12" ht="13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</row>
    <row r="260" spans="1:12" ht="13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  <row r="261" spans="1:12" ht="13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</row>
    <row r="262" spans="1:12" ht="13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</row>
    <row r="263" spans="1:12" ht="1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</row>
    <row r="264" spans="1:12" ht="13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</row>
    <row r="265" spans="1:12" ht="13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</row>
    <row r="266" spans="1:12" ht="13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</row>
    <row r="267" spans="1:12" ht="13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</row>
    <row r="268" spans="1:12" ht="13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</row>
    <row r="269" spans="1:12" ht="13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</row>
    <row r="270" spans="1:12" ht="13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</row>
    <row r="271" spans="1:12" ht="13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</row>
    <row r="272" spans="1:12" ht="13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</row>
    <row r="273" spans="1:12" ht="1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</row>
    <row r="274" spans="1:12" ht="13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</row>
    <row r="275" spans="1:12" ht="13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</row>
    <row r="276" spans="1:12" ht="13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</row>
    <row r="277" spans="1:12" ht="13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</row>
    <row r="278" spans="1:12" ht="13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</row>
    <row r="279" spans="1:12" ht="13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</row>
    <row r="280" spans="1:12" ht="13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</row>
    <row r="281" spans="1:12" ht="13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</row>
    <row r="282" spans="1:12" ht="13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</row>
    <row r="283" spans="1:12" ht="1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</row>
    <row r="284" spans="1:12" ht="13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</row>
    <row r="285" spans="1:12" ht="13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</row>
    <row r="286" spans="1:12" ht="13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</row>
    <row r="287" spans="1:12" ht="13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</row>
    <row r="288" spans="1:12" ht="13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</row>
    <row r="289" spans="1:12" ht="13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</row>
    <row r="290" spans="1:12" ht="13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</row>
    <row r="291" spans="1:12" ht="13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</row>
    <row r="292" spans="1:12" ht="13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</row>
    <row r="293" spans="1:12" ht="1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</row>
    <row r="294" spans="1:12" ht="13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</row>
    <row r="295" spans="1:12" ht="13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</row>
    <row r="296" spans="1:12" ht="13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</row>
    <row r="297" spans="1:12" ht="13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</row>
    <row r="298" spans="1:12" ht="13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</row>
    <row r="299" spans="1:12" ht="13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</row>
    <row r="300" spans="1:12" ht="13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</row>
    <row r="301" spans="1:12" ht="13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</row>
    <row r="302" spans="1:12" ht="13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</row>
    <row r="303" spans="1:12" ht="1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</row>
    <row r="304" spans="1:12" ht="13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</row>
    <row r="305" spans="1:12" ht="13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</row>
    <row r="306" spans="1:12" ht="13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</row>
    <row r="307" spans="1:12" ht="13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</row>
    <row r="308" spans="1:12" ht="13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</row>
    <row r="309" spans="1:12" ht="13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</row>
    <row r="310" spans="1:12" ht="13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</row>
    <row r="311" spans="1:12" ht="13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</row>
    <row r="312" spans="1:12" ht="13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</row>
    <row r="313" spans="1:12" ht="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</row>
    <row r="314" spans="1:12" ht="13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</row>
    <row r="315" spans="1:12" ht="13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</row>
    <row r="316" spans="1:12" ht="13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</row>
    <row r="317" spans="1:12" ht="13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</row>
    <row r="318" spans="1:12" ht="13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</row>
    <row r="319" spans="1:12" ht="13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</row>
    <row r="320" spans="1:12" ht="13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</row>
    <row r="321" spans="1:12" ht="13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</row>
    <row r="322" spans="1:12" ht="13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</row>
    <row r="323" spans="1:12" ht="1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</row>
    <row r="324" spans="1:12" ht="13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</row>
    <row r="325" spans="1:12" ht="13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</row>
    <row r="326" spans="1:12" ht="13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</row>
    <row r="327" spans="1:12" ht="13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</row>
    <row r="328" spans="1:12" ht="13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</row>
    <row r="329" spans="1:12" ht="13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</row>
    <row r="330" spans="1:12" ht="13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</row>
    <row r="331" spans="1:12" ht="13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</row>
    <row r="332" spans="1:12" ht="13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</row>
    <row r="333" spans="1:12" ht="1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</row>
    <row r="334" spans="1:12" ht="13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</row>
    <row r="335" spans="1:12" ht="13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</row>
    <row r="336" spans="1:12" ht="13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</row>
    <row r="337" spans="1:12" ht="13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</row>
    <row r="338" spans="1:12" ht="13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</row>
    <row r="339" spans="1:12" ht="13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</row>
    <row r="340" spans="1:12" ht="13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</row>
    <row r="341" spans="1:12" ht="13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</row>
    <row r="342" spans="1:12" ht="13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</row>
    <row r="343" spans="1:12" ht="1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</row>
    <row r="344" spans="1:12" ht="13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</row>
    <row r="345" spans="1:12" ht="13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</row>
    <row r="346" spans="1:12" ht="13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</row>
    <row r="347" spans="1:12" ht="13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</row>
    <row r="348" spans="1:12" ht="13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</row>
    <row r="349" spans="1:12" ht="13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</row>
    <row r="350" spans="1:12" ht="13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</row>
    <row r="351" spans="1:12" ht="13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</row>
    <row r="352" spans="1:12" ht="13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</row>
    <row r="353" spans="1:12" ht="1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</row>
    <row r="354" spans="1:12" ht="13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</row>
    <row r="355" spans="1:12" ht="13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</row>
    <row r="356" spans="1:12" ht="13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</row>
    <row r="357" spans="1:12" ht="13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</row>
    <row r="358" spans="1:12" ht="13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</row>
    <row r="359" spans="1:12" ht="13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</row>
    <row r="360" spans="1:12" ht="13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</row>
    <row r="361" spans="1:12" ht="13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</row>
    <row r="362" spans="1:12" ht="13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</row>
    <row r="363" spans="1:12" ht="1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</row>
    <row r="364" spans="1:12" ht="13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</row>
    <row r="365" spans="1:12" ht="13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</row>
    <row r="366" spans="1:12" ht="13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</row>
    <row r="367" spans="1:12" ht="13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</row>
    <row r="368" spans="1:12" ht="13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2" ht="13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2" ht="13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</row>
    <row r="371" spans="1:12" ht="13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2" ht="13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2" ht="1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2" ht="13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2" ht="13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</row>
    <row r="376" spans="1:12" ht="13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2" ht="13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2" ht="13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2" ht="13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2" ht="13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2" ht="13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2" ht="13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2" ht="1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2" ht="13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2" ht="13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2" ht="13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2" ht="13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2" ht="13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</row>
    <row r="389" spans="1:12" ht="13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</row>
    <row r="390" spans="1:12" ht="13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</row>
    <row r="391" spans="1:12" ht="13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</row>
    <row r="392" spans="1:12" ht="13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</row>
    <row r="393" spans="1:12" ht="1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</row>
    <row r="394" spans="1:12" ht="13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</row>
    <row r="395" spans="1:12" ht="13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</row>
    <row r="396" spans="1:12" ht="13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</row>
    <row r="397" spans="1:12" ht="13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</row>
    <row r="398" spans="1:12" ht="13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</row>
    <row r="399" spans="1:12" ht="13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</row>
    <row r="400" spans="1:12" ht="13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</row>
    <row r="401" spans="1:12" ht="13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</row>
    <row r="402" spans="1:12" ht="13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</row>
    <row r="403" spans="1:12" ht="1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</row>
    <row r="404" spans="1:12" ht="13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</row>
    <row r="405" spans="1:12" ht="13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</row>
    <row r="406" spans="1:12" ht="13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</row>
    <row r="407" spans="1:12" ht="13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</row>
    <row r="408" spans="1:12" ht="13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</row>
    <row r="409" spans="1:12" ht="13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</row>
    <row r="410" spans="1:12" ht="13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</row>
    <row r="411" spans="1:12" ht="13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</row>
    <row r="412" spans="1:12" ht="13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</row>
    <row r="413" spans="1:12" ht="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</row>
    <row r="414" spans="1:12" ht="13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</row>
    <row r="415" spans="1:12" ht="13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</row>
    <row r="416" spans="1:12" ht="13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</row>
    <row r="417" spans="1:12" ht="13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</row>
    <row r="418" spans="1:12" ht="13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</row>
    <row r="419" spans="1:12" ht="13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</row>
    <row r="420" spans="1:12" ht="13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</row>
    <row r="421" spans="1:12" ht="13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</row>
    <row r="422" spans="1:12" ht="13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</row>
    <row r="423" spans="1:12" ht="1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</row>
    <row r="424" spans="1:12" ht="13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</row>
    <row r="425" spans="1:12" ht="13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</row>
    <row r="426" spans="1:12" ht="13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</row>
    <row r="427" spans="1:12" ht="13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</row>
    <row r="428" spans="1:12" ht="13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</row>
    <row r="429" spans="1:12" ht="13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</row>
    <row r="430" spans="1:12" ht="13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</row>
    <row r="431" spans="1:12" ht="13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</row>
    <row r="432" spans="1:12" ht="13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</row>
    <row r="433" spans="1:12" ht="1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</row>
    <row r="434" spans="1:12" ht="13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</row>
    <row r="435" spans="1:12" ht="13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</row>
    <row r="436" spans="1:12" ht="13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</row>
    <row r="437" spans="1:12" ht="13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</row>
    <row r="438" spans="1:12" ht="13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</row>
    <row r="439" spans="1:12" ht="13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</row>
    <row r="440" spans="1:12" ht="13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</row>
    <row r="441" spans="1:12" ht="13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</row>
    <row r="442" spans="1:12" ht="13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</row>
    <row r="443" spans="1:12" ht="1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</row>
    <row r="444" spans="1:12" ht="13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</row>
    <row r="445" spans="1:12" ht="13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</row>
    <row r="446" spans="1:12" ht="13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</row>
    <row r="447" spans="1:12" ht="13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</row>
    <row r="448" spans="1:12" ht="13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</row>
    <row r="449" spans="1:12" ht="13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</row>
    <row r="450" spans="1:12" ht="13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</row>
    <row r="451" spans="1:12" ht="13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</row>
    <row r="452" spans="1:12" ht="13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</row>
    <row r="453" spans="1:12" ht="1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</row>
    <row r="454" spans="1:12" ht="13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</row>
    <row r="455" spans="1:12" ht="13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</row>
    <row r="456" spans="1:12" ht="13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</row>
    <row r="457" spans="1:12" ht="13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</row>
    <row r="458" spans="1:12" ht="13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</row>
    <row r="459" spans="1:12" ht="13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</row>
    <row r="460" spans="1:12" ht="13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</row>
    <row r="461" spans="1:12" ht="13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</row>
    <row r="462" spans="1:12" ht="13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</row>
    <row r="463" spans="1:12" ht="1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</row>
    <row r="464" spans="1:12" ht="13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</row>
    <row r="465" spans="1:12" ht="13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</row>
    <row r="466" spans="1:12" ht="13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</row>
    <row r="467" spans="1:12" ht="13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</row>
    <row r="468" spans="1:12" ht="13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</row>
    <row r="469" spans="1:12" ht="13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</row>
    <row r="470" spans="1:12" ht="13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</row>
    <row r="471" spans="1:12" ht="13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</row>
    <row r="472" spans="1:12" ht="13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</row>
    <row r="473" spans="1:12" ht="1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</row>
    <row r="474" spans="1:12" ht="13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</row>
    <row r="475" spans="1:12" ht="13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</row>
    <row r="476" spans="1:12" ht="13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</row>
    <row r="477" spans="1:12" ht="13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</row>
    <row r="478" spans="1:12" ht="13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</row>
    <row r="479" spans="1:12" ht="13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</row>
    <row r="480" spans="1:12" ht="13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</row>
    <row r="481" spans="1:12" ht="13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</row>
    <row r="482" spans="1:12" ht="13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</row>
    <row r="483" spans="1:12" ht="1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</row>
    <row r="484" spans="1:12" ht="13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</row>
    <row r="485" spans="1:12" ht="13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</row>
    <row r="486" spans="1:12" ht="13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</row>
    <row r="487" spans="1:12" ht="13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</row>
    <row r="488" spans="1:12" ht="13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</row>
    <row r="489" spans="1:12" ht="13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</row>
    <row r="490" spans="1:12" ht="13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</row>
    <row r="491" spans="1:12" ht="13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</row>
    <row r="492" spans="1:12" ht="13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</row>
    <row r="493" spans="1:12" ht="1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</row>
    <row r="494" spans="1:12" ht="13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</row>
    <row r="495" spans="1:12" ht="13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</row>
    <row r="496" spans="1:12" ht="13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</row>
    <row r="497" spans="1:12" ht="13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</row>
    <row r="498" spans="1:12" ht="13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</row>
    <row r="499" spans="1:12" ht="13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</row>
    <row r="500" spans="1:12" ht="13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</row>
    <row r="501" spans="1:12" ht="13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</row>
    <row r="502" spans="1:12" ht="13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</row>
    <row r="503" spans="1:12" ht="1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</row>
    <row r="504" spans="1:12" ht="13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</row>
    <row r="505" spans="1:12" ht="13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</row>
    <row r="506" spans="1:12" ht="13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</row>
    <row r="507" spans="1:12" ht="13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</row>
    <row r="508" spans="1:12" ht="13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</row>
    <row r="509" spans="1:12" ht="13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</row>
    <row r="510" spans="1:12" ht="13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</row>
    <row r="511" spans="1:12" ht="13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</row>
    <row r="512" spans="1:12" ht="13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</row>
    <row r="513" spans="1:12" ht="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</row>
    <row r="514" spans="1:12" ht="13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</row>
    <row r="515" spans="1:12" ht="13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</row>
    <row r="516" spans="1:12" ht="13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</row>
    <row r="517" spans="1:12" ht="13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</row>
    <row r="518" spans="1:12" ht="13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</row>
    <row r="519" spans="1:12" ht="13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</row>
    <row r="520" spans="1:12" ht="13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</row>
    <row r="521" spans="1:12" ht="13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</row>
    <row r="522" spans="1:12" ht="13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</row>
    <row r="523" spans="1:12" ht="1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</row>
    <row r="524" spans="1:12" ht="13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</row>
    <row r="525" spans="1:12" ht="13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</row>
    <row r="526" spans="1:12" ht="13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</row>
    <row r="527" spans="1:12" ht="13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</row>
    <row r="528" spans="1:12" ht="13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</row>
    <row r="529" spans="1:12" ht="13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</row>
    <row r="530" spans="1:12" ht="13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</row>
    <row r="531" spans="1:12" ht="13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</row>
    <row r="532" spans="1:12" ht="13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</row>
    <row r="533" spans="1:12" ht="1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</row>
    <row r="534" spans="1:12" ht="13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</row>
    <row r="535" spans="1:12" ht="13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</row>
    <row r="536" spans="1:12" ht="13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</row>
    <row r="537" spans="1:12" ht="13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</row>
    <row r="538" spans="1:12" ht="13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</row>
    <row r="539" spans="1:12" ht="13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</row>
    <row r="540" spans="1:12" ht="13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</row>
    <row r="541" spans="1:12" ht="13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</row>
    <row r="542" spans="1:12" ht="13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</row>
    <row r="543" spans="1:12" ht="1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</row>
    <row r="544" spans="1:12" ht="13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</row>
    <row r="545" spans="1:12" ht="13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</row>
    <row r="546" spans="1:12" ht="13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</row>
    <row r="547" spans="1:12" ht="13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</row>
    <row r="548" spans="1:12" ht="13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</row>
    <row r="549" spans="1:12" ht="13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</row>
    <row r="550" spans="1:12" ht="13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</row>
    <row r="551" spans="1:12" ht="13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</row>
    <row r="552" spans="1:12" ht="13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</row>
    <row r="553" spans="1:12" ht="1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</row>
    <row r="554" spans="1:12" ht="13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</row>
    <row r="555" spans="1:12" ht="13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</row>
    <row r="556" spans="1:12" ht="13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</row>
    <row r="557" spans="1:12" ht="13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</row>
    <row r="558" spans="1:12" ht="13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</row>
    <row r="559" spans="1:12" ht="13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</row>
    <row r="560" spans="1:12" ht="13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</row>
    <row r="561" spans="1:12" ht="13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</row>
    <row r="562" spans="1:12" ht="13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</row>
    <row r="563" spans="1:12" ht="1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</row>
    <row r="564" spans="1:12" ht="13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</row>
    <row r="565" spans="1:12" ht="13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</row>
    <row r="566" spans="1:12" ht="13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</row>
    <row r="567" spans="1:12" ht="13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</row>
    <row r="568" spans="1:12" ht="13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</row>
    <row r="569" spans="1:12" ht="13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</row>
    <row r="570" spans="1:12" ht="13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</row>
    <row r="571" spans="1:12" ht="13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</row>
    <row r="572" spans="1:12" ht="13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</row>
    <row r="573" spans="1:12" ht="1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</row>
    <row r="574" spans="1:12" ht="13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</row>
    <row r="575" spans="1:12" ht="13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</row>
    <row r="576" spans="1:12" ht="13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</row>
    <row r="577" spans="1:12" ht="13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</row>
    <row r="578" spans="1:12" ht="13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</row>
    <row r="579" spans="1:12" ht="13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</row>
    <row r="580" spans="1:12" ht="13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</row>
    <row r="581" spans="1:12" ht="13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</row>
    <row r="582" spans="1:12" ht="13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</row>
    <row r="583" spans="1:12" ht="1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</row>
    <row r="584" spans="1:12" ht="13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</row>
    <row r="585" spans="1:12" ht="13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</row>
    <row r="586" spans="1:12" ht="13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</row>
    <row r="587" spans="1:12" ht="13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</row>
    <row r="588" spans="1:12" ht="13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</row>
    <row r="589" spans="1:12" ht="13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</row>
    <row r="590" spans="1:12" ht="13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</row>
    <row r="591" spans="1:12" ht="13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</row>
    <row r="592" spans="1:12" ht="13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</row>
    <row r="593" spans="1:12" ht="1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</row>
    <row r="594" spans="1:12" ht="13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</row>
    <row r="595" spans="1:12" ht="13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</row>
    <row r="596" spans="1:12" ht="13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</row>
    <row r="597" spans="1:12" ht="13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</row>
    <row r="598" spans="1:12" ht="13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</row>
    <row r="599" spans="1:12" ht="13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</row>
    <row r="600" spans="1:12" ht="13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</row>
    <row r="601" spans="1:12" ht="13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</row>
    <row r="602" spans="1:12" ht="13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</row>
    <row r="603" spans="1:12" ht="1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</row>
    <row r="604" spans="1:12" ht="13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</row>
    <row r="605" spans="1:12" ht="13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</row>
    <row r="606" spans="1:12" ht="13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</row>
    <row r="607" spans="1:12" ht="13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</row>
    <row r="608" spans="1:12" ht="13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</row>
    <row r="609" spans="1:12" ht="13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</row>
    <row r="610" spans="1:12" ht="13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</row>
    <row r="611" spans="1:12" ht="13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</row>
    <row r="612" spans="1:12" ht="13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</row>
    <row r="613" spans="1:12" ht="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</row>
    <row r="614" spans="1:12" ht="13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</row>
    <row r="615" spans="1:12" ht="13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</row>
    <row r="616" spans="1:12" ht="13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</row>
    <row r="617" spans="1:12" ht="13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</row>
    <row r="618" spans="1:12" ht="13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</row>
    <row r="619" spans="1:12" ht="13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</row>
    <row r="620" spans="1:12" ht="13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</row>
    <row r="621" spans="1:12" ht="13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</row>
    <row r="622" spans="1:12" ht="13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</row>
    <row r="623" spans="1:12" ht="1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</row>
    <row r="624" spans="1:12" ht="13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</row>
    <row r="625" spans="1:12" ht="13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</row>
    <row r="626" spans="1:12" ht="13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</row>
    <row r="627" spans="1:12" ht="13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</row>
    <row r="628" spans="1:12" ht="13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</row>
    <row r="629" spans="1:12" ht="13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</row>
    <row r="630" spans="1:12" ht="13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</row>
    <row r="631" spans="1:12" ht="13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</row>
    <row r="632" spans="1:12" ht="13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</row>
    <row r="633" spans="1:12" ht="1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</row>
    <row r="634" spans="1:12" ht="13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</row>
    <row r="635" spans="1:12" ht="13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</row>
    <row r="636" spans="1:12" ht="13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</row>
    <row r="637" spans="1:12" ht="13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</row>
    <row r="638" spans="1:12" ht="13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</row>
    <row r="639" spans="1:12" ht="13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</row>
    <row r="640" spans="1:12" ht="13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</row>
    <row r="641" spans="1:12" ht="13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</row>
    <row r="642" spans="1:12" ht="13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</row>
    <row r="643" spans="1:12" ht="1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</row>
    <row r="644" spans="1:12" ht="13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</row>
    <row r="645" spans="1:12" ht="13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</row>
    <row r="646" spans="1:12" ht="13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</row>
    <row r="647" spans="1:12" ht="13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</row>
    <row r="648" spans="1:12" ht="13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</row>
    <row r="649" spans="1:12" ht="13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</row>
    <row r="650" spans="1:12" ht="13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</row>
    <row r="651" spans="1:12" ht="13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</row>
    <row r="652" spans="1:12" ht="13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</row>
    <row r="653" spans="1:12" ht="1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</row>
    <row r="654" spans="1:12" ht="13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</row>
    <row r="655" spans="1:12" ht="13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</row>
    <row r="656" spans="1:12" ht="13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</row>
    <row r="657" spans="1:12" ht="13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</row>
    <row r="658" spans="1:12" ht="13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</row>
    <row r="659" spans="1:12" ht="13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</row>
    <row r="660" spans="1:12" ht="13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</row>
    <row r="661" spans="1:12" ht="13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</row>
    <row r="662" spans="1:12" ht="13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</row>
    <row r="663" spans="1:12" ht="1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</row>
    <row r="664" spans="1:12" ht="13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</row>
    <row r="665" spans="1:12" ht="13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</row>
    <row r="666" spans="1:12" ht="13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</row>
    <row r="667" spans="1:12" ht="13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</row>
    <row r="668" spans="1:12" ht="13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</row>
    <row r="669" spans="1:12" ht="13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</row>
    <row r="670" spans="1:12" ht="13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</row>
    <row r="671" spans="1:12" ht="13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</row>
    <row r="672" spans="1:12" ht="13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</row>
    <row r="673" spans="1:12" ht="1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</row>
    <row r="674" spans="1:12" ht="13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</row>
    <row r="675" spans="1:12" ht="13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</row>
    <row r="676" spans="1:12" ht="13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</row>
    <row r="677" spans="1:12" ht="13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</row>
    <row r="678" spans="1:12" ht="13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</row>
    <row r="679" spans="1:12" ht="13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</row>
    <row r="680" spans="1:12" ht="13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</row>
    <row r="681" spans="1:12" ht="13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</row>
    <row r="682" spans="1:12" ht="13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</row>
    <row r="683" spans="1:12" ht="1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</row>
    <row r="684" spans="1:12" ht="13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</row>
    <row r="685" spans="1:12" ht="13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</row>
    <row r="686" spans="1:12" ht="13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</row>
    <row r="687" spans="1:12" ht="13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</row>
    <row r="688" spans="1:12" ht="13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</row>
    <row r="689" spans="1:12" ht="13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</row>
    <row r="690" spans="1:12" ht="13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</row>
    <row r="691" spans="1:12" ht="13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</row>
    <row r="692" spans="1:12" ht="13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</row>
    <row r="693" spans="1:12" ht="1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</row>
    <row r="694" spans="1:12" ht="13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</row>
    <row r="695" spans="1:12" ht="13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</row>
    <row r="696" spans="1:12" ht="13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</row>
    <row r="697" spans="1:12" ht="13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</row>
    <row r="698" spans="1:12" ht="13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</row>
    <row r="699" spans="1:12" ht="13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</row>
    <row r="700" spans="1:12" ht="13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</row>
    <row r="701" spans="1:12" ht="13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</row>
    <row r="702" spans="1:12" ht="13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</row>
    <row r="703" spans="1:12" ht="1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</row>
    <row r="704" spans="1:12" ht="13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</row>
    <row r="705" spans="1:12" ht="13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</row>
    <row r="706" spans="1:12" ht="13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</row>
    <row r="707" spans="1:12" ht="13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</row>
    <row r="708" spans="1:12" ht="13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</row>
    <row r="709" spans="1:12" ht="13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</row>
    <row r="710" spans="1:12" ht="13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</row>
    <row r="711" spans="1:12" ht="13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</row>
    <row r="712" spans="1:12" ht="13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</row>
    <row r="713" spans="1:12" ht="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</row>
    <row r="714" spans="1:12" ht="13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</row>
    <row r="715" spans="1:12" ht="13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</row>
    <row r="716" spans="1:12" ht="13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</row>
    <row r="717" spans="1:12" ht="13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</row>
    <row r="718" spans="1:12" ht="13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</row>
    <row r="719" spans="1:12" ht="13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</row>
    <row r="720" spans="1:12" ht="13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</row>
    <row r="721" spans="1:12" ht="13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</row>
    <row r="722" spans="1:12" ht="13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</row>
    <row r="723" spans="1:12" ht="1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</row>
    <row r="724" spans="1:12" ht="13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</row>
    <row r="725" spans="1:12" ht="13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</row>
    <row r="726" spans="1:12" ht="13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</row>
    <row r="727" spans="1:12" ht="13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</row>
    <row r="728" spans="1:12" ht="13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</row>
    <row r="729" spans="1:12" ht="13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</row>
    <row r="730" spans="1:12" ht="13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</row>
    <row r="731" spans="1:12" ht="13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</row>
    <row r="732" spans="1:12" ht="13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</row>
    <row r="733" spans="1:12" ht="1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</row>
    <row r="734" spans="1:12" ht="13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</row>
    <row r="735" spans="1:12" ht="13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</row>
    <row r="736" spans="1:12" ht="13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</row>
    <row r="737" spans="1:12" ht="13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</row>
    <row r="738" spans="1:12" ht="13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</row>
    <row r="739" spans="1:12" ht="13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</row>
    <row r="740" spans="1:12" ht="13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</row>
    <row r="741" spans="1:12" ht="13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</row>
    <row r="742" spans="1:12" ht="13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</row>
    <row r="743" spans="1:12" ht="1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</row>
    <row r="744" spans="1:12" ht="13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</row>
    <row r="745" spans="1:12" ht="13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</row>
    <row r="746" spans="1:12" ht="13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</row>
    <row r="747" spans="1:12" ht="13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</row>
    <row r="748" spans="1:12" ht="13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</row>
    <row r="749" spans="1:12" ht="13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</row>
    <row r="750" spans="1:12" ht="13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</row>
    <row r="751" spans="1:12" ht="13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</row>
    <row r="752" spans="1:12" ht="13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</row>
    <row r="753" spans="1:12" ht="1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</row>
    <row r="754" spans="1:12" ht="13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</row>
    <row r="755" spans="1:12" ht="13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</row>
    <row r="756" spans="1:12" ht="13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</row>
    <row r="757" spans="1:12" ht="13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</row>
    <row r="758" spans="1:12" ht="13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</row>
    <row r="759" spans="1:12" ht="13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</row>
    <row r="760" spans="1:12" ht="13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</row>
    <row r="761" spans="1:12" ht="13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</row>
    <row r="762" spans="1:12" ht="13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</row>
    <row r="763" spans="1:12" ht="1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</row>
    <row r="764" spans="1:12" ht="13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</row>
    <row r="765" spans="1:12" ht="13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</row>
    <row r="766" spans="1:12" ht="13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</row>
    <row r="767" spans="1:12" ht="13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</row>
    <row r="768" spans="1:12" ht="13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</row>
    <row r="769" spans="1:12" ht="13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</row>
    <row r="770" spans="1:12" ht="13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</row>
    <row r="771" spans="1:12" ht="13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</row>
    <row r="772" spans="1:12" ht="13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</row>
    <row r="773" spans="1:12" ht="1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</row>
    <row r="774" spans="1:12" ht="13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</row>
    <row r="775" spans="1:12" ht="13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</row>
    <row r="776" spans="1:12" ht="13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</row>
    <row r="777" spans="1:12" ht="13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</row>
    <row r="778" spans="1:12" ht="13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</row>
    <row r="779" spans="1:12" ht="13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</row>
    <row r="780" spans="1:12" ht="13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</row>
    <row r="781" spans="1:12" ht="13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</row>
    <row r="782" spans="1:12" ht="13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</row>
    <row r="783" spans="1:12" ht="1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</row>
    <row r="784" spans="1:12" ht="13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</row>
    <row r="785" spans="1:12" ht="13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</row>
    <row r="786" spans="1:12" ht="13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</row>
    <row r="787" spans="1:12" ht="13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</row>
    <row r="788" spans="1:12" ht="13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</row>
    <row r="789" spans="1:12" ht="13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</row>
    <row r="790" spans="1:12" ht="13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</row>
    <row r="791" spans="1:12" ht="13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</row>
    <row r="792" spans="1:12" ht="13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</row>
    <row r="793" spans="1:12" ht="1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</row>
    <row r="794" spans="1:12" ht="13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</row>
    <row r="795" spans="1:12" ht="13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</row>
    <row r="796" spans="1:12" ht="13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</row>
    <row r="797" spans="1:12" ht="13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</row>
    <row r="798" spans="1:12" ht="13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</row>
    <row r="799" spans="1:12" ht="13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</row>
    <row r="800" spans="1:12" ht="13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</row>
    <row r="801" spans="1:12" ht="13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</row>
    <row r="802" spans="1:12" ht="13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</row>
    <row r="803" spans="1:12" ht="1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</row>
    <row r="804" spans="1:12" ht="13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</row>
    <row r="805" spans="1:12" ht="13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</row>
    <row r="806" spans="1:12" ht="13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</row>
    <row r="807" spans="1:12" ht="13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</row>
    <row r="808" spans="1:12" ht="13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</row>
    <row r="809" spans="1:12" ht="13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</row>
    <row r="810" spans="1:12" ht="13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</row>
    <row r="811" spans="1:12" ht="13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</row>
    <row r="812" spans="1:12" ht="13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</row>
    <row r="813" spans="1:12" ht="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</row>
    <row r="814" spans="1:12" ht="13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</row>
    <row r="815" spans="1:12" ht="13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</row>
    <row r="816" spans="1:12" ht="13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</row>
    <row r="817" spans="1:12" ht="13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</row>
    <row r="818" spans="1:12" ht="13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</row>
    <row r="819" spans="1:12" ht="13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</row>
    <row r="820" spans="1:12" ht="13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</row>
    <row r="821" spans="1:12" ht="13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</row>
    <row r="822" spans="1:12" ht="13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</row>
    <row r="823" spans="1:12" ht="1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</row>
    <row r="824" spans="1:12" ht="13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</row>
    <row r="825" spans="1:12" ht="13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</row>
    <row r="826" spans="1:12" ht="13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</row>
    <row r="827" spans="1:12" ht="13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</row>
    <row r="828" spans="1:12" ht="13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</row>
    <row r="829" spans="1:12" ht="13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</row>
    <row r="830" spans="1:12" ht="13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</row>
    <row r="831" spans="1:12" ht="13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</row>
    <row r="832" spans="1:12" ht="13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</row>
    <row r="833" spans="1:12" ht="1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</row>
    <row r="834" spans="1:12" ht="13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</row>
    <row r="835" spans="1:12" ht="13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</row>
    <row r="836" spans="1:12" ht="13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</row>
    <row r="837" spans="1:12" ht="13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</row>
    <row r="838" spans="1:12" ht="13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</row>
    <row r="839" spans="1:12" ht="13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</row>
    <row r="840" spans="1:12" ht="13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</row>
    <row r="841" spans="1:12" ht="13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</row>
    <row r="842" spans="1:12" ht="13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</row>
    <row r="843" spans="1:12" ht="1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</row>
    <row r="844" spans="1:12" ht="13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</row>
    <row r="845" spans="1:12" ht="13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</row>
    <row r="846" spans="1:12" ht="13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</row>
    <row r="847" spans="1:12" ht="13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</row>
    <row r="848" spans="1:12" ht="13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</row>
    <row r="849" spans="1:12" ht="13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</row>
    <row r="850" spans="1:12" ht="13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</row>
    <row r="851" spans="1:12" ht="13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</row>
    <row r="852" spans="1:12" ht="13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</row>
    <row r="853" spans="1:12" ht="1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</row>
    <row r="854" spans="1:12" ht="13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</row>
    <row r="855" spans="1:12" ht="13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</row>
    <row r="856" spans="1:12" ht="13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</row>
    <row r="857" spans="1:12" ht="13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</row>
    <row r="858" spans="1:12" ht="13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</row>
    <row r="859" spans="1:12" ht="13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</row>
    <row r="860" spans="1:12" ht="13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</row>
    <row r="861" spans="1:12" ht="13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</row>
    <row r="862" spans="1:12" ht="13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</row>
    <row r="863" spans="1:12" ht="1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</row>
    <row r="864" spans="1:12" ht="13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</row>
    <row r="865" spans="1:12" ht="13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</row>
    <row r="866" spans="1:12" ht="13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</row>
    <row r="867" spans="1:12" ht="13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</row>
    <row r="868" spans="1:12" ht="13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</row>
    <row r="869" spans="1:12" ht="13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</row>
    <row r="870" spans="1:12" ht="13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</row>
    <row r="871" spans="1:12" ht="13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</row>
    <row r="872" spans="1:12" ht="13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</row>
    <row r="873" spans="1:12" ht="1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</row>
    <row r="874" spans="1:12" ht="13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</row>
    <row r="875" spans="1:12" ht="13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</row>
    <row r="876" spans="1:12" ht="13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</row>
    <row r="877" spans="1:12" ht="13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</row>
    <row r="878" spans="1:12" ht="13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</row>
    <row r="879" spans="1:12" ht="13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</row>
    <row r="880" spans="1:12" ht="13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</row>
    <row r="881" spans="1:12" ht="13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</row>
    <row r="882" spans="1:12" ht="13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</row>
    <row r="883" spans="1:12" ht="1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</row>
    <row r="884" spans="1:12" ht="13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</row>
    <row r="885" spans="1:12" ht="13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</row>
    <row r="886" spans="1:12" ht="13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</row>
    <row r="887" spans="1:12" ht="13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</row>
    <row r="888" spans="1:12" ht="13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</row>
    <row r="889" spans="1:12" ht="13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</row>
    <row r="890" spans="1:12" ht="13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</row>
    <row r="891" spans="1:12" ht="13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</row>
    <row r="892" spans="1:12" ht="13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</row>
    <row r="893" spans="1:12" ht="1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</row>
    <row r="894" spans="1:12" ht="13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</row>
    <row r="895" spans="1:12" ht="13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</row>
    <row r="896" spans="1:12" ht="13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</row>
    <row r="897" spans="1:12" ht="13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</row>
    <row r="898" spans="1:12" ht="13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</row>
    <row r="899" spans="1:12" ht="13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</row>
    <row r="900" spans="1:12" ht="13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</row>
    <row r="901" spans="1:12" ht="13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</row>
    <row r="902" spans="1:12" ht="13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</row>
    <row r="903" spans="1:12" ht="1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</row>
    <row r="904" spans="1:12" ht="13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</row>
    <row r="905" spans="1:12" ht="13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</row>
    <row r="906" spans="1:12" ht="13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</row>
    <row r="907" spans="1:12" ht="13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</row>
    <row r="908" spans="1:12" ht="13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</row>
    <row r="909" spans="1:12" ht="13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</row>
    <row r="910" spans="1:12" ht="13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</row>
    <row r="911" spans="1:12" ht="13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</row>
    <row r="912" spans="1:12" ht="13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</row>
    <row r="913" spans="1:12" ht="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</row>
    <row r="914" spans="1:12" ht="13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</row>
    <row r="915" spans="1:12" ht="13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</row>
    <row r="916" spans="1:12" ht="13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</row>
    <row r="917" spans="1:12" ht="13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</row>
    <row r="918" spans="1:12" ht="13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</row>
    <row r="919" spans="1:12" ht="13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</row>
    <row r="920" spans="1:12" ht="13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</row>
    <row r="921" spans="1:12" ht="13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</row>
    <row r="922" spans="1:12" ht="13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</row>
    <row r="923" spans="1:12" ht="1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</row>
    <row r="924" spans="1:12" ht="13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</row>
    <row r="925" spans="1:12" ht="13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</row>
    <row r="926" spans="1:12" ht="13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</row>
    <row r="927" spans="1:12" ht="13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</row>
    <row r="928" spans="1:12" ht="13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</row>
    <row r="929" spans="1:12" ht="13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</row>
    <row r="930" spans="1:12" ht="13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</row>
    <row r="931" spans="1:12" ht="13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</row>
    <row r="932" spans="1:12" ht="13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</row>
    <row r="933" spans="1:12" ht="1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</row>
    <row r="934" spans="1:12" ht="13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</row>
    <row r="935" spans="1:12" ht="13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</row>
    <row r="936" spans="1:12" ht="13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</row>
    <row r="937" spans="1:12" ht="13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</row>
    <row r="938" spans="1:12" ht="13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</row>
    <row r="939" spans="1:12" ht="13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</row>
    <row r="940" spans="1:12" ht="13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</row>
    <row r="941" spans="1:12" ht="13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</row>
    <row r="942" spans="1:12" ht="13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</row>
    <row r="943" spans="1:12" ht="1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</row>
    <row r="944" spans="1:12" ht="13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</row>
    <row r="945" spans="1:12" ht="13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</row>
    <row r="946" spans="1:12" ht="13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</row>
    <row r="947" spans="1:12" ht="13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</row>
    <row r="948" spans="1:12" ht="13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</row>
    <row r="949" spans="1:12" ht="13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</row>
    <row r="950" spans="1:12" ht="13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</row>
    <row r="951" spans="1:12" ht="13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</row>
    <row r="952" spans="1:12" ht="13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</row>
    <row r="953" spans="1:12" ht="1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</row>
    <row r="954" spans="1:12" ht="13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</row>
    <row r="955" spans="1:12" ht="13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</row>
    <row r="956" spans="1:12" ht="13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</row>
    <row r="957" spans="1:12" ht="13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</row>
    <row r="958" spans="1:12" ht="13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</row>
    <row r="959" spans="1:12" ht="13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</row>
    <row r="960" spans="1:12" ht="13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</row>
    <row r="961" spans="1:12" ht="13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</row>
    <row r="962" spans="1:12" ht="13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</row>
    <row r="963" spans="1:12" ht="1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</row>
    <row r="964" spans="1:12" ht="13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</row>
    <row r="965" spans="1:12" ht="13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</row>
    <row r="966" spans="1:12" ht="13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</row>
    <row r="967" spans="1:12" ht="13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</row>
    <row r="968" spans="1:12" ht="13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</row>
    <row r="969" spans="1:12" ht="13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</row>
    <row r="970" spans="1:12" ht="13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</row>
    <row r="971" spans="1:12" ht="13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</row>
    <row r="972" spans="1:12" ht="13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</row>
    <row r="973" spans="1:12" ht="1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</row>
    <row r="974" spans="1:12" ht="13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</row>
    <row r="975" spans="1:12" ht="13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</row>
    <row r="976" spans="1:12" ht="13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</row>
    <row r="977" spans="1:12" ht="13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</row>
    <row r="978" spans="1:12" ht="13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</row>
    <row r="979" spans="1:12" ht="13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</row>
    <row r="980" spans="1:12" ht="13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</row>
    <row r="981" spans="1:12" ht="13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</row>
    <row r="982" spans="1:12" ht="13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</row>
    <row r="983" spans="1:12" ht="1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</row>
    <row r="984" spans="1:12" ht="13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</row>
    <row r="985" spans="1:12" ht="13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</row>
    <row r="986" spans="1:12" ht="13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</row>
    <row r="987" spans="1:12" ht="13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</row>
    <row r="988" spans="1:12" ht="13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</row>
    <row r="989" spans="1:12" ht="13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</row>
    <row r="990" spans="1:12" ht="13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</row>
    <row r="991" spans="1:12" ht="13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</row>
    <row r="992" spans="1:12" ht="13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</row>
    <row r="993" spans="1:12" ht="1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</row>
    <row r="994" spans="1:12" ht="13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</row>
    <row r="995" spans="1:12" ht="13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</row>
    <row r="996" spans="1:12" ht="13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</row>
    <row r="997" spans="1:12" ht="13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</row>
    <row r="998" spans="1:12" ht="13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</row>
    <row r="999" spans="1:12" ht="13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</row>
    <row r="1000" spans="1:12" ht="13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baseColWidth="10" defaultColWidth="14.5" defaultRowHeight="15.75" customHeight="1"/>
  <sheetData>
    <row r="1" spans="1:1" ht="15.75" customHeight="1">
      <c r="A1" s="33" t="s">
        <v>86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W3"/>
  <sheetViews>
    <sheetView workbookViewId="0"/>
  </sheetViews>
  <sheetFormatPr baseColWidth="10" defaultColWidth="14.5" defaultRowHeight="15.75" customHeight="1"/>
  <sheetData>
    <row r="1" spans="1:49">
      <c r="A1" s="3" t="s">
        <v>1</v>
      </c>
      <c r="B1" s="57" t="s">
        <v>1</v>
      </c>
      <c r="C1" s="57" t="s">
        <v>1</v>
      </c>
      <c r="D1" s="57" t="s">
        <v>1</v>
      </c>
      <c r="E1" s="3" t="s">
        <v>1</v>
      </c>
      <c r="F1" s="3" t="s">
        <v>1</v>
      </c>
      <c r="G1" s="3" t="s">
        <v>1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3</v>
      </c>
      <c r="P1" s="3" t="s">
        <v>3</v>
      </c>
      <c r="Q1" s="3" t="s">
        <v>3</v>
      </c>
      <c r="R1" s="3" t="s">
        <v>3</v>
      </c>
      <c r="S1" s="3" t="s">
        <v>3</v>
      </c>
      <c r="T1" s="3" t="s">
        <v>3</v>
      </c>
      <c r="U1" s="3" t="s">
        <v>3</v>
      </c>
      <c r="V1" s="3" t="s">
        <v>4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4</v>
      </c>
      <c r="AC1" s="3" t="s">
        <v>5</v>
      </c>
      <c r="AD1" s="3" t="s">
        <v>5</v>
      </c>
      <c r="AE1" s="3" t="s">
        <v>5</v>
      </c>
      <c r="AF1" s="3" t="s">
        <v>5</v>
      </c>
      <c r="AG1" s="3" t="s">
        <v>5</v>
      </c>
      <c r="AH1" s="2"/>
      <c r="AI1" s="3" t="s">
        <v>5</v>
      </c>
      <c r="AJ1" s="3" t="s">
        <v>5</v>
      </c>
      <c r="AK1" s="3" t="s">
        <v>6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ht="15.75" customHeight="1">
      <c r="A2" s="5">
        <v>44284</v>
      </c>
      <c r="B2" s="5">
        <v>44285</v>
      </c>
      <c r="C2" s="5">
        <v>44286</v>
      </c>
      <c r="D2" s="6">
        <v>44287</v>
      </c>
      <c r="E2" s="6">
        <v>44288</v>
      </c>
      <c r="F2" s="6">
        <v>44289</v>
      </c>
      <c r="G2" s="6">
        <v>44290</v>
      </c>
      <c r="H2" s="58">
        <v>44291</v>
      </c>
      <c r="I2" s="6">
        <v>44292</v>
      </c>
      <c r="J2" s="6">
        <v>44293</v>
      </c>
      <c r="K2" s="6">
        <v>44294</v>
      </c>
      <c r="L2" s="6">
        <v>44295</v>
      </c>
      <c r="M2" s="6">
        <v>44296</v>
      </c>
      <c r="N2" s="6">
        <v>44297</v>
      </c>
      <c r="O2" s="6">
        <v>44298</v>
      </c>
      <c r="P2" s="6">
        <v>44299</v>
      </c>
      <c r="Q2" s="6">
        <v>44300</v>
      </c>
      <c r="R2" s="6">
        <v>44301</v>
      </c>
      <c r="S2" s="6">
        <v>44302</v>
      </c>
      <c r="T2" s="6">
        <v>44303</v>
      </c>
      <c r="U2" s="6">
        <v>44304</v>
      </c>
      <c r="V2" s="6">
        <v>44305</v>
      </c>
      <c r="W2" s="6">
        <v>44306</v>
      </c>
      <c r="X2" s="6">
        <v>44307</v>
      </c>
      <c r="Y2" s="6">
        <v>44308</v>
      </c>
      <c r="Z2" s="6">
        <v>44309</v>
      </c>
      <c r="AA2" s="6">
        <v>44310</v>
      </c>
      <c r="AB2" s="6">
        <v>44311</v>
      </c>
      <c r="AC2" s="6">
        <v>44312</v>
      </c>
      <c r="AD2" s="6">
        <v>44313</v>
      </c>
      <c r="AE2" s="6">
        <v>44314</v>
      </c>
      <c r="AF2" s="6">
        <v>44315</v>
      </c>
      <c r="AG2" s="6">
        <v>44316</v>
      </c>
      <c r="AH2" s="6"/>
      <c r="AI2" s="6">
        <v>44317</v>
      </c>
      <c r="AJ2" s="6">
        <v>44318</v>
      </c>
      <c r="AK2" s="6">
        <v>44319</v>
      </c>
      <c r="AL2" s="6">
        <v>44320</v>
      </c>
      <c r="AM2" s="6">
        <v>44321</v>
      </c>
      <c r="AN2" s="6">
        <v>44322</v>
      </c>
      <c r="AO2" s="6">
        <v>44323</v>
      </c>
      <c r="AP2" s="6">
        <v>44324</v>
      </c>
      <c r="AQ2" s="6">
        <v>44325</v>
      </c>
      <c r="AR2" s="6">
        <v>44326</v>
      </c>
      <c r="AS2" s="6">
        <v>44327</v>
      </c>
      <c r="AT2" s="6">
        <v>44328</v>
      </c>
      <c r="AU2" s="6">
        <v>44329</v>
      </c>
      <c r="AV2" s="6">
        <v>44330</v>
      </c>
      <c r="AW2" s="6">
        <v>44331</v>
      </c>
    </row>
    <row r="3" spans="1:49" ht="15.75" customHeigh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8</v>
      </c>
      <c r="P3" s="7" t="s">
        <v>9</v>
      </c>
      <c r="Q3" s="7" t="s">
        <v>10</v>
      </c>
      <c r="R3" s="7" t="s">
        <v>11</v>
      </c>
      <c r="S3" s="7" t="s">
        <v>12</v>
      </c>
      <c r="T3" s="7" t="s">
        <v>13</v>
      </c>
      <c r="U3" s="7" t="s">
        <v>14</v>
      </c>
      <c r="V3" s="7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8</v>
      </c>
      <c r="AD3" s="7" t="s">
        <v>9</v>
      </c>
      <c r="AE3" s="7" t="s">
        <v>10</v>
      </c>
      <c r="AF3" s="7" t="s">
        <v>11</v>
      </c>
      <c r="AG3" s="7" t="s">
        <v>12</v>
      </c>
      <c r="AH3" s="8"/>
      <c r="AI3" s="8" t="s">
        <v>8</v>
      </c>
      <c r="AJ3" s="8" t="s">
        <v>9</v>
      </c>
      <c r="AK3" s="8" t="s">
        <v>10</v>
      </c>
      <c r="AL3" s="8" t="s">
        <v>11</v>
      </c>
      <c r="AM3" s="8" t="s">
        <v>12</v>
      </c>
      <c r="AN3" s="8" t="s">
        <v>13</v>
      </c>
      <c r="AO3" s="8" t="s">
        <v>14</v>
      </c>
      <c r="AP3" s="8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8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6"/>
  <sheetViews>
    <sheetView workbookViewId="0"/>
  </sheetViews>
  <sheetFormatPr baseColWidth="10" defaultColWidth="14.5" defaultRowHeight="15.75" customHeight="1"/>
  <cols>
    <col min="1" max="1" width="21.5" customWidth="1"/>
    <col min="6" max="6" width="19.1640625" customWidth="1"/>
    <col min="8" max="8" width="26.33203125" customWidth="1"/>
  </cols>
  <sheetData>
    <row r="1" spans="1:19" ht="15.75" customHeight="1">
      <c r="A1" s="59" t="s">
        <v>87</v>
      </c>
      <c r="B1" s="59" t="s">
        <v>68</v>
      </c>
      <c r="C1" s="59" t="s">
        <v>88</v>
      </c>
      <c r="D1" s="59" t="s">
        <v>89</v>
      </c>
      <c r="E1" s="59" t="s">
        <v>90</v>
      </c>
      <c r="F1" s="59" t="s">
        <v>91</v>
      </c>
      <c r="G1" s="59" t="s">
        <v>92</v>
      </c>
      <c r="H1" s="59" t="s">
        <v>93</v>
      </c>
      <c r="I1" s="59" t="s">
        <v>94</v>
      </c>
      <c r="L1" s="59" t="s">
        <v>87</v>
      </c>
      <c r="M1" s="59" t="s">
        <v>68</v>
      </c>
      <c r="N1" s="59" t="s">
        <v>88</v>
      </c>
      <c r="O1" s="59" t="s">
        <v>89</v>
      </c>
      <c r="P1" s="59" t="s">
        <v>90</v>
      </c>
      <c r="Q1" s="59" t="s">
        <v>91</v>
      </c>
      <c r="R1" s="59" t="s">
        <v>93</v>
      </c>
      <c r="S1" s="59" t="s">
        <v>94</v>
      </c>
    </row>
    <row r="2" spans="1:19" ht="15.75" customHeight="1">
      <c r="A2" s="60" t="s">
        <v>95</v>
      </c>
      <c r="B2" s="61">
        <v>44323</v>
      </c>
      <c r="C2" s="62" t="s">
        <v>96</v>
      </c>
      <c r="D2" s="60" t="s">
        <v>97</v>
      </c>
      <c r="E2" s="60" t="s">
        <v>98</v>
      </c>
      <c r="F2" s="60" t="s">
        <v>99</v>
      </c>
      <c r="G2" s="60" t="s">
        <v>100</v>
      </c>
      <c r="H2" s="60" t="s">
        <v>101</v>
      </c>
      <c r="I2" s="60">
        <v>145</v>
      </c>
      <c r="L2" s="60" t="s">
        <v>102</v>
      </c>
      <c r="M2" s="61">
        <v>44323</v>
      </c>
      <c r="N2" s="63" t="s">
        <v>103</v>
      </c>
      <c r="O2" s="60" t="s">
        <v>104</v>
      </c>
      <c r="P2" s="60" t="s">
        <v>105</v>
      </c>
      <c r="Q2" s="60" t="s">
        <v>106</v>
      </c>
      <c r="R2" s="60" t="s">
        <v>101</v>
      </c>
      <c r="S2" s="64">
        <v>45</v>
      </c>
    </row>
    <row r="3" spans="1:19" ht="15.75" customHeight="1">
      <c r="A3" s="65"/>
      <c r="B3" s="65"/>
      <c r="C3" s="65"/>
      <c r="D3" s="65"/>
      <c r="E3" s="65"/>
      <c r="F3" s="65"/>
      <c r="G3" s="60" t="s">
        <v>107</v>
      </c>
      <c r="H3" s="66"/>
      <c r="L3" s="65"/>
      <c r="M3" s="65"/>
      <c r="N3" s="65"/>
      <c r="O3" s="65"/>
      <c r="P3" s="65"/>
      <c r="Q3" s="65"/>
      <c r="R3" s="60" t="s">
        <v>108</v>
      </c>
      <c r="S3" s="64">
        <v>2</v>
      </c>
    </row>
    <row r="4" spans="1:19" ht="15.75" customHeight="1">
      <c r="A4" s="65"/>
      <c r="B4" s="65"/>
      <c r="C4" s="65"/>
      <c r="D4" s="65"/>
      <c r="E4" s="65"/>
      <c r="F4" s="65"/>
      <c r="G4" s="60" t="s">
        <v>109</v>
      </c>
      <c r="H4" s="66"/>
    </row>
    <row r="5" spans="1:19" ht="15.75" customHeight="1">
      <c r="A5" s="65"/>
      <c r="B5" s="65"/>
      <c r="C5" s="65"/>
      <c r="D5" s="65"/>
      <c r="E5" s="65"/>
      <c r="F5" s="65"/>
      <c r="G5" s="60" t="s">
        <v>110</v>
      </c>
      <c r="H5" s="66"/>
    </row>
    <row r="6" spans="1:19" ht="15.75" customHeight="1">
      <c r="A6" s="65"/>
      <c r="B6" s="65"/>
      <c r="C6" s="65"/>
      <c r="D6" s="65"/>
      <c r="E6" s="65"/>
      <c r="F6" s="65"/>
      <c r="G6" s="60" t="s">
        <v>111</v>
      </c>
      <c r="H6" s="66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运营总表</vt:lpstr>
      <vt:lpstr>利润核算</vt:lpstr>
      <vt:lpstr>工作表7</vt:lpstr>
      <vt:lpstr>刷单计划表格</vt:lpstr>
      <vt:lpstr>其他费用</vt:lpstr>
      <vt:lpstr>备货逻辑</vt:lpstr>
      <vt:lpstr>竞争对手分析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2021-12-13T02:14:36Z</dcterms:created>
  <dcterms:modified xsi:type="dcterms:W3CDTF">2021-12-13T02:14:36Z</dcterms:modified>
</cp:coreProperties>
</file>