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数据源全景" sheetId="2" state="visible" r:id="rId4"/>
    <sheet name="采购物流" sheetId="3" state="visible" r:id="rId5"/>
    <sheet name="Meta+独立站" sheetId="4" state="visible" r:id="rId6"/>
    <sheet name="Amazon广告" sheetId="5" state="visible" r:id="rId7"/>
    <sheet name="TikTok Shop" sheetId="6" state="visible" r:id="rId8"/>
    <sheet name="Benchmark" sheetId="7" state="visible" r:id="rId9"/>
    <sheet name="家居家具数字" sheetId="8" state="visible" r:id="rId10"/>
    <sheet name="ROI公式" sheetId="9" state="visible" r:id="rId11"/>
    <sheet name="起步组合" sheetId="10" state="visible" r:id="rId12"/>
    <sheet name="5-Gate选品框架" sheetId="11" state="visible" r:id="rId13"/>
    <sheet name="公式映射" sheetId="12" state="visible" r:id="rId14"/>
    <sheet name="T0-T2预算分层" sheetId="13" state="visible" r:id="rId15"/>
    <sheet name="国产替代对比" sheetId="14" state="visible" r:id="rId16"/>
    <sheet name="API I-O 规格" sheetId="15" state="visible" r:id="rId17"/>
  </sheets>
  <definedNames>
    <definedName function="false" hidden="true" localSheetId="1" name="_xlnm._FilterDatabase" vbProcedure="false">数据源全景!$A$3:$K$69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<sst xmlns="http://schemas.openxmlformats.org/spreadsheetml/2006/main" count="3970" uniqueCount="2525">
  <si>
    <r>
      <rPr>
        <b val="true"/>
        <sz val="18"/>
        <color rgb="FF1F4E78"/>
        <rFont val="DejaVu Sans"/>
        <family val="2"/>
      </rPr>
      <t xml:space="preserve">哈奇米实时 </t>
    </r>
    <r>
      <rPr>
        <b val="true"/>
        <sz val="18"/>
        <color rgb="FF1F4E78"/>
        <rFont val="DejaVu Sans"/>
        <family val="2"/>
        <charset val="1"/>
      </rPr>
      <t xml:space="preserve">ROI </t>
    </r>
    <r>
      <rPr>
        <b val="true"/>
        <sz val="18"/>
        <color rgb="FF1F4E78"/>
        <rFont val="DejaVu Sans"/>
        <family val="2"/>
      </rPr>
      <t xml:space="preserve">核算系统 </t>
    </r>
    <r>
      <rPr>
        <b val="true"/>
        <sz val="18"/>
        <color rgb="FF1F4E78"/>
        <rFont val="DejaVu Sans"/>
        <family val="2"/>
        <charset val="1"/>
      </rPr>
      <t xml:space="preserve">- </t>
    </r>
    <r>
      <rPr>
        <b val="true"/>
        <sz val="18"/>
        <color rgb="FF1F4E78"/>
        <rFont val="DejaVu Sans"/>
        <family val="2"/>
      </rPr>
      <t xml:space="preserve">数据源对照表</t>
    </r>
  </si>
  <si>
    <t xml:space="preserve">版本</t>
  </si>
  <si>
    <t xml:space="preserve">v1.0</t>
  </si>
  <si>
    <t xml:space="preserve">发布日期</t>
  </si>
  <si>
    <t xml:space="preserve">2026-05-18</t>
  </si>
  <si>
    <t xml:space="preserve">目标市场</t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</si>
  <si>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32 </t>
    </r>
    <r>
      <rPr>
        <sz val="10"/>
        <color rgb="FF000000"/>
        <rFont val="DejaVu Sans"/>
        <family val="2"/>
      </rPr>
      <t xml:space="preserve">国（北美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欧洲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东南亚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日本）</t>
    </r>
  </si>
  <si>
    <t xml:space="preserve">覆盖品类</t>
  </si>
  <si>
    <r>
      <rPr>
        <sz val="10"/>
        <color rgb="FF000000"/>
        <rFont val="DejaVu Sans"/>
        <family val="2"/>
      </rPr>
      <t xml:space="preserve">家居家具 </t>
    </r>
    <r>
      <rPr>
        <sz val="10"/>
        <color rgb="FF000000"/>
        <rFont val="DejaVu Sans"/>
        <family val="2"/>
        <charset val="1"/>
      </rPr>
      <t xml:space="preserve">(Home &amp; Furniture)</t>
    </r>
  </si>
  <si>
    <t xml:space="preserve">主要交付平台</t>
  </si>
  <si>
    <r>
      <rPr>
        <sz val="10"/>
        <color rgb="FF000000"/>
        <rFont val="DejaVu Sans"/>
        <family val="2"/>
      </rPr>
      <t xml:space="preserve">独立站 </t>
    </r>
    <r>
      <rPr>
        <sz val="10"/>
        <color rgb="FF000000"/>
        <rFont val="DejaVu Sans"/>
        <family val="2"/>
        <charset val="1"/>
      </rPr>
      <t xml:space="preserve">(Shopify + Meta) / Amazon / TikTok Shop</t>
    </r>
  </si>
  <si>
    <t xml:space="preserve">数据来源</t>
  </si>
  <si>
    <r>
      <rPr>
        <sz val="10"/>
        <color rgb="FF000000"/>
        <rFont val="DejaVu Sans"/>
        <family val="2"/>
      </rPr>
      <t xml:space="preserve">各源官网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DejaVu Sans"/>
        <family val="2"/>
        <charset val="1"/>
      </rPr>
      <t xml:space="preserve">benchmark </t>
    </r>
    <r>
      <rPr>
        <sz val="10"/>
        <color rgb="FF000000"/>
        <rFont val="DejaVu Sans"/>
        <family val="2"/>
      </rPr>
      <t xml:space="preserve">报告 </t>
    </r>
    <r>
      <rPr>
        <sz val="10"/>
        <color rgb="FF000000"/>
        <rFont val="DejaVu Sans"/>
        <family val="2"/>
        <charset val="1"/>
      </rPr>
      <t xml:space="preserve">(2025-2026)</t>
    </r>
  </si>
  <si>
    <t xml:space="preserve">更新策略</t>
  </si>
  <si>
    <r>
      <rPr>
        <sz val="10"/>
        <color rgb="FF000000"/>
        <rFont val="DejaVu Sans"/>
        <family val="2"/>
      </rPr>
      <t xml:space="preserve">季度复盘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关键政策变更时即时同步</t>
    </r>
  </si>
  <si>
    <r>
      <rPr>
        <b val="true"/>
        <sz val="14"/>
        <rFont val="Arial"/>
        <family val="0"/>
        <charset val="1"/>
      </rPr>
      <t xml:space="preserve">Sheet </t>
    </r>
    <r>
      <rPr>
        <b val="true"/>
        <sz val="14"/>
        <rFont val="DejaVu Sans"/>
        <family val="2"/>
      </rPr>
      <t xml:space="preserve">导航</t>
    </r>
  </si>
  <si>
    <t xml:space="preserve">数据源全景</t>
  </si>
  <si>
    <r>
      <rPr>
        <sz val="10"/>
        <color rgb="FF000000"/>
        <rFont val="DejaVu Sans"/>
        <family val="2"/>
      </rPr>
      <t xml:space="preserve">所有 </t>
    </r>
    <r>
      <rPr>
        <sz val="10"/>
        <color rgb="FF000000"/>
        <rFont val="DejaVu Sans"/>
        <family val="2"/>
        <charset val="1"/>
      </rPr>
      <t xml:space="preserve">50+ </t>
    </r>
    <r>
      <rPr>
        <sz val="10"/>
        <color rgb="FF000000"/>
        <rFont val="DejaVu Sans"/>
        <family val="2"/>
      </rPr>
      <t xml:space="preserve">数据源一表对比，可按类别筛选</t>
    </r>
  </si>
  <si>
    <t xml:space="preserve">采购物流</t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</si>
  <si>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采购成本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跨境物流费率（小包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整柜）</t>
    </r>
  </si>
  <si>
    <r>
      <rPr>
        <b val="true"/>
        <sz val="11"/>
        <color rgb="FF1F4E78"/>
        <rFont val="Arial"/>
        <family val="0"/>
        <charset val="1"/>
      </rPr>
      <t xml:space="preserve">Meta+</t>
    </r>
    <r>
      <rPr>
        <b val="true"/>
        <sz val="11"/>
        <color rgb="FF1F4E78"/>
        <rFont val="DejaVu Sans"/>
        <family val="2"/>
      </rPr>
      <t xml:space="preserve">独立站</t>
    </r>
  </si>
  <si>
    <r>
      <rPr>
        <sz val="10"/>
        <color rgb="FF000000"/>
        <rFont val="Arial"/>
        <family val="0"/>
        <charset val="1"/>
      </rPr>
      <t xml:space="preserve">Meta Ads / Shopify / GA4 / Klaviyo / </t>
    </r>
    <r>
      <rPr>
        <sz val="10"/>
        <color rgb="FF000000"/>
        <rFont val="DejaVu Sans"/>
        <family val="2"/>
      </rPr>
      <t xml:space="preserve">竞品 </t>
    </r>
    <r>
      <rPr>
        <sz val="10"/>
        <color rgb="FF000000"/>
        <rFont val="Arial"/>
        <family val="0"/>
        <charset val="1"/>
      </rPr>
      <t xml:space="preserve">spy</t>
    </r>
  </si>
  <si>
    <r>
      <rPr>
        <b val="true"/>
        <sz val="11"/>
        <color rgb="FF1F4E78"/>
        <rFont val="Arial"/>
        <family val="0"/>
        <charset val="1"/>
      </rPr>
      <t xml:space="preserve">Amazon</t>
    </r>
    <r>
      <rPr>
        <b val="true"/>
        <sz val="11"/>
        <color rgb="FF1F4E78"/>
        <rFont val="DejaVu Sans"/>
        <family val="2"/>
      </rPr>
      <t xml:space="preserve">广告</t>
    </r>
  </si>
  <si>
    <r>
      <rPr>
        <sz val="10"/>
        <color rgb="FF000000"/>
        <rFont val="Arial"/>
        <family val="0"/>
        <charset val="1"/>
      </rPr>
      <t xml:space="preserve">Amazon Ads API + Helium10 / Jungle Scout / Keepa </t>
    </r>
    <r>
      <rPr>
        <sz val="10"/>
        <color rgb="FF000000"/>
        <rFont val="DejaVu Sans"/>
        <family val="2"/>
      </rPr>
      <t xml:space="preserve">等</t>
    </r>
  </si>
  <si>
    <t xml:space="preserve">TikTok Shop</t>
  </si>
  <si>
    <t xml:space="preserve">TikTok Marketing API + Kalodata / FastMoss / EchoTik</t>
  </si>
  <si>
    <t xml:space="preserve">Benchmark</t>
  </si>
  <si>
    <r>
      <rPr>
        <sz val="10"/>
        <color rgb="FF000000"/>
        <rFont val="DejaVu Sans"/>
        <family val="2"/>
      </rPr>
      <t xml:space="preserve">退货率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平台佣金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各国税率 </t>
    </r>
    <r>
      <rPr>
        <sz val="10"/>
        <color rgb="FF000000"/>
        <rFont val="DejaVu Sans"/>
        <family val="2"/>
        <charset val="1"/>
      </rPr>
      <t xml:space="preserve">+ de minimis </t>
    </r>
    <r>
      <rPr>
        <sz val="10"/>
        <color rgb="FF000000"/>
        <rFont val="DejaVu Sans"/>
        <family val="2"/>
      </rPr>
      <t xml:space="preserve">最新</t>
    </r>
  </si>
  <si>
    <t xml:space="preserve">家居家具数字</t>
  </si>
  <si>
    <r>
      <rPr>
        <sz val="10"/>
        <color rgb="FF000000"/>
        <rFont val="DejaVu Sans"/>
        <family val="2"/>
      </rPr>
      <t xml:space="preserve">分市场分平台的 </t>
    </r>
    <r>
      <rPr>
        <sz val="10"/>
        <color rgb="FF000000"/>
        <rFont val="DejaVu Sans"/>
        <family val="2"/>
        <charset val="1"/>
      </rPr>
      <t xml:space="preserve">CPM / CTR / CVR / AOV </t>
    </r>
    <r>
      <rPr>
        <sz val="10"/>
        <color rgb="FF000000"/>
        <rFont val="DejaVu Sans"/>
        <family val="2"/>
      </rPr>
      <t xml:space="preserve">实际数字</t>
    </r>
  </si>
  <si>
    <r>
      <rPr>
        <b val="true"/>
        <sz val="11"/>
        <color rgb="FF1F4E78"/>
        <rFont val="Arial"/>
        <family val="0"/>
        <charset val="1"/>
      </rPr>
      <t xml:space="preserve">ROI</t>
    </r>
    <r>
      <rPr>
        <b val="true"/>
        <sz val="11"/>
        <color rgb="FF1F4E78"/>
        <rFont val="DejaVu Sans"/>
        <family val="2"/>
      </rPr>
      <t xml:space="preserve">公式</t>
    </r>
  </si>
  <si>
    <r>
      <rPr>
        <sz val="10"/>
        <color rgb="FF000000"/>
        <rFont val="DejaVu Sans"/>
        <family val="2"/>
      </rPr>
      <t xml:space="preserve">完整 </t>
    </r>
    <r>
      <rPr>
        <sz val="10"/>
        <color rgb="FF000000"/>
        <rFont val="DejaVu Sans"/>
        <family val="2"/>
        <charset val="1"/>
      </rPr>
      <t xml:space="preserve">ROI / </t>
    </r>
    <r>
      <rPr>
        <sz val="10"/>
        <color rgb="FF000000"/>
        <rFont val="DejaVu Sans"/>
        <family val="2"/>
      </rPr>
      <t xml:space="preserve">毛利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净利公式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数据源映射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可改输入</t>
    </r>
    <r>
      <rPr>
        <sz val="10"/>
        <color rgb="FF000000"/>
        <rFont val="DejaVu Sans"/>
        <family val="2"/>
        <charset val="1"/>
      </rPr>
      <t xml:space="preserve">)</t>
    </r>
  </si>
  <si>
    <t xml:space="preserve">起步组合</t>
  </si>
  <si>
    <r>
      <rPr>
        <sz val="10"/>
        <color rgb="FF000000"/>
        <rFont val="DejaVu Sans"/>
        <family val="2"/>
      </rPr>
      <t xml:space="preserve">早期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成长期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成熟期三阶段推荐数据源组合</t>
    </r>
  </si>
  <si>
    <r>
      <rPr>
        <b val="true"/>
        <sz val="11"/>
        <color rgb="FF1F4E78"/>
        <rFont val="Arial"/>
        <family val="0"/>
        <charset val="1"/>
      </rPr>
      <t xml:space="preserve">5-Gate</t>
    </r>
    <r>
      <rPr>
        <b val="true"/>
        <sz val="11"/>
        <color rgb="FF1F4E78"/>
        <rFont val="DejaVu Sans"/>
        <family val="2"/>
      </rPr>
      <t xml:space="preserve">选品框架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</si>
  <si>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关卡选品决策框架 → 每关数据维度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源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阈值</t>
    </r>
  </si>
  <si>
    <t xml:space="preserve">公式映射</t>
  </si>
  <si>
    <r>
      <rPr>
        <sz val="10"/>
        <color rgb="FF000000"/>
        <rFont val="Arial"/>
        <family val="0"/>
        <charset val="1"/>
      </rPr>
      <t xml:space="preserve">ROI </t>
    </r>
    <r>
      <rPr>
        <sz val="10"/>
        <color rgb="FF000000"/>
        <rFont val="DejaVu Sans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DejaVu Sans"/>
        <family val="2"/>
      </rPr>
      <t xml:space="preserve">个变量 → 主推源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国产替代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可靠性</t>
    </r>
  </si>
  <si>
    <r>
      <rPr>
        <b val="true"/>
        <sz val="11"/>
        <color rgb="FF1F4E78"/>
        <rFont val="Arial"/>
        <family val="0"/>
        <charset val="1"/>
      </rPr>
      <t xml:space="preserve">T0-T2</t>
    </r>
    <r>
      <rPr>
        <b val="true"/>
        <sz val="11"/>
        <color rgb="FF1F4E78"/>
        <rFont val="DejaVu Sans"/>
        <family val="2"/>
      </rPr>
      <t xml:space="preserve">预算分层</t>
    </r>
  </si>
  <si>
    <r>
      <rPr>
        <sz val="10"/>
        <color rgb="FF000000"/>
        <rFont val="DejaVu Sans"/>
        <family val="2"/>
      </rPr>
      <t xml:space="preserve">三档预算包：必接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推荐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规模化</t>
    </r>
  </si>
  <si>
    <t xml:space="preserve">国产替代对比</t>
  </si>
  <si>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DejaVu Sans"/>
        <family val="2"/>
      </rPr>
      <t xml:space="preserve">组国产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DejaVu Sans"/>
        <family val="2"/>
      </rPr>
      <t xml:space="preserve">西方深度对比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避坑清单</t>
    </r>
  </si>
  <si>
    <r>
      <rPr>
        <b val="true"/>
        <sz val="11"/>
        <color rgb="FFC00000"/>
        <rFont val="Arial"/>
        <family val="0"/>
        <charset val="1"/>
      </rPr>
      <t xml:space="preserve">API I-O </t>
    </r>
    <r>
      <rPr>
        <b val="true"/>
        <sz val="11"/>
        <color rgb="FFC00000"/>
        <rFont val="DejaVu Sans"/>
        <family val="2"/>
      </rPr>
      <t xml:space="preserve">规格</t>
    </r>
  </si>
  <si>
    <r>
      <rPr>
        <sz val="10"/>
        <color rgb="FF000000"/>
        <rFont val="DejaVu Sans"/>
        <family val="2"/>
      </rPr>
      <t xml:space="preserve">🆕 每个数据源真实 </t>
    </r>
    <r>
      <rPr>
        <sz val="10"/>
        <color rgb="FF000000"/>
        <rFont val="Arial"/>
        <family val="0"/>
        <charset val="1"/>
      </rPr>
      <t xml:space="preserve">endpoint / </t>
    </r>
    <r>
      <rPr>
        <sz val="10"/>
        <color rgb="FF000000"/>
        <rFont val="DejaVu Sans"/>
        <family val="2"/>
      </rPr>
      <t xml:space="preserve">输入字段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输出字段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信号灯（</t>
    </r>
    <r>
      <rPr>
        <sz val="10"/>
        <color rgb="FF000000"/>
        <rFont val="Arial"/>
        <family val="0"/>
        <charset val="1"/>
      </rPr>
      <t xml:space="preserve">self-serve / </t>
    </r>
    <r>
      <rPr>
        <sz val="10"/>
        <color rgb="FF000000"/>
        <rFont val="DejaVu Sans"/>
        <family val="2"/>
      </rPr>
      <t xml:space="preserve">需申请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仅 </t>
    </r>
    <r>
      <rPr>
        <sz val="10"/>
        <color rgb="FF000000"/>
        <rFont val="Arial"/>
        <family val="0"/>
        <charset val="1"/>
      </rPr>
      <t xml:space="preserve">Enterprise / </t>
    </r>
    <r>
      <rPr>
        <sz val="10"/>
        <color rgb="FF000000"/>
        <rFont val="DejaVu Sans"/>
        <family val="2"/>
      </rPr>
      <t xml:space="preserve">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）</t>
    </r>
  </si>
  <si>
    <t xml:space="preserve">黄色底色</t>
  </si>
  <si>
    <r>
      <rPr>
        <sz val="10"/>
        <color rgb="FF000000"/>
        <rFont val="DejaVu Sans"/>
        <family val="2"/>
      </rPr>
      <t xml:space="preserve">关键假设 </t>
    </r>
    <r>
      <rPr>
        <sz val="10"/>
        <color rgb="FF000000"/>
        <rFont val="DejaVu Sans"/>
        <family val="2"/>
        <charset val="1"/>
      </rPr>
      <t xml:space="preserve">- </t>
    </r>
    <r>
      <rPr>
        <sz val="10"/>
        <color rgb="FF000000"/>
        <rFont val="DejaVu Sans"/>
        <family val="2"/>
      </rPr>
      <t xml:space="preserve">需要逐市场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逐 </t>
    </r>
    <r>
      <rPr>
        <sz val="10"/>
        <color rgb="FF000000"/>
        <rFont val="DejaVu Sans"/>
        <family val="2"/>
        <charset val="1"/>
      </rPr>
      <t xml:space="preserve">SKU </t>
    </r>
    <r>
      <rPr>
        <sz val="10"/>
        <color rgb="FF000000"/>
        <rFont val="DejaVu Sans"/>
        <family val="2"/>
      </rPr>
      <t xml:space="preserve">更新</t>
    </r>
  </si>
  <si>
    <r>
      <rPr>
        <b val="true"/>
        <sz val="13"/>
        <color rgb="FFC00000"/>
        <rFont val="Arial"/>
        <family val="0"/>
        <charset val="1"/>
      </rPr>
      <t xml:space="preserve">v1.1 </t>
    </r>
    <r>
      <rPr>
        <b val="true"/>
        <sz val="13"/>
        <color rgb="FFC00000"/>
        <rFont val="DejaVu Sans"/>
        <family val="2"/>
      </rPr>
      <t xml:space="preserve">更新内容</t>
    </r>
  </si>
  <si>
    <r>
      <rPr>
        <sz val="10"/>
        <color rgb="FF000000"/>
        <rFont val="DejaVu Sans"/>
        <family val="2"/>
      </rPr>
      <t xml:space="preserve">基于「预算有限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优先国产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选品决策框架」需求新增 </t>
    </r>
    <r>
      <rPr>
        <sz val="10"/>
        <color rgb="FF000000"/>
        <rFont val="DejaVu Sans"/>
        <family val="2"/>
        <charset val="1"/>
      </rPr>
      <t xml:space="preserve">4 </t>
    </r>
    <r>
      <rPr>
        <sz val="10"/>
        <color rgb="FF000000"/>
        <rFont val="DejaVu Sans"/>
        <family val="2"/>
      </rPr>
      <t xml:space="preserve">个 </t>
    </r>
    <r>
      <rPr>
        <sz val="10"/>
        <color rgb="FF000000"/>
        <rFont val="DejaVu Sans"/>
        <family val="2"/>
        <charset val="1"/>
      </rPr>
      <t xml:space="preserve">sheet</t>
    </r>
  </si>
  <si>
    <r>
      <rPr>
        <b val="true"/>
        <sz val="13"/>
        <color rgb="FFC00000"/>
        <rFont val="Arial"/>
        <family val="0"/>
        <charset val="1"/>
      </rPr>
      <t xml:space="preserve">v1.2 </t>
    </r>
    <r>
      <rPr>
        <b val="true"/>
        <sz val="13"/>
        <color rgb="FFC00000"/>
        <rFont val="DejaVu Sans"/>
        <family val="2"/>
      </rPr>
      <t xml:space="preserve">更新内容</t>
    </r>
  </si>
  <si>
    <r>
      <rPr>
        <sz val="10"/>
        <color rgb="FF000000"/>
        <rFont val="DejaVu Sans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'API I-O </t>
    </r>
    <r>
      <rPr>
        <sz val="10"/>
        <color rgb="FF000000"/>
        <rFont val="DejaVu Sans"/>
        <family val="2"/>
      </rPr>
      <t xml:space="preserve">规格</t>
    </r>
    <r>
      <rPr>
        <sz val="10"/>
        <color rgb="FF000000"/>
        <rFont val="Arial"/>
        <family val="0"/>
        <charset val="1"/>
      </rPr>
      <t xml:space="preserve">' sheet</t>
    </r>
    <r>
      <rPr>
        <sz val="10"/>
        <color rgb="FF000000"/>
        <rFont val="DejaVu Sans"/>
        <family val="2"/>
      </rPr>
      <t xml:space="preserve">：核查 </t>
    </r>
    <r>
      <rPr>
        <sz val="10"/>
        <color rgb="FF000000"/>
        <rFont val="Arial"/>
        <family val="0"/>
        <charset val="1"/>
      </rPr>
      <t xml:space="preserve">Easyship </t>
    </r>
    <r>
      <rPr>
        <sz val="10"/>
        <color rgb="FF000000"/>
        <rFont val="DejaVu Sans"/>
        <family val="2"/>
      </rPr>
      <t xml:space="preserve">等 </t>
    </r>
    <r>
      <rPr>
        <sz val="10"/>
        <color rgb="FF000000"/>
        <rFont val="Arial"/>
        <family val="0"/>
        <charset val="1"/>
      </rPr>
      <t xml:space="preserve">50+ </t>
    </r>
    <r>
      <rPr>
        <sz val="10"/>
        <color rgb="FF000000"/>
        <rFont val="DejaVu Sans"/>
        <family val="2"/>
      </rPr>
      <t xml:space="preserve">源的真实可调用性，明确哪些能输入参数直接返回结果</t>
    </r>
  </si>
  <si>
    <r>
      <rPr>
        <b val="true"/>
        <sz val="14"/>
        <color rgb="FF1F4E78"/>
        <rFont val="DejaVu Sans"/>
        <family val="2"/>
      </rPr>
      <t xml:space="preserve">全数据源对照表 </t>
    </r>
    <r>
      <rPr>
        <b val="true"/>
        <sz val="14"/>
        <color rgb="FF1F4E78"/>
        <rFont val="DejaVu Sans"/>
        <family val="2"/>
        <charset val="1"/>
      </rPr>
      <t xml:space="preserve">- 50+ </t>
    </r>
    <r>
      <rPr>
        <b val="true"/>
        <sz val="14"/>
        <color rgb="FF1F4E78"/>
        <rFont val="DejaVu Sans"/>
        <family val="2"/>
      </rPr>
      <t xml:space="preserve">个源汇总</t>
    </r>
  </si>
  <si>
    <t xml:space="preserve">#</t>
  </si>
  <si>
    <t xml:space="preserve">数据源</t>
  </si>
  <si>
    <t xml:space="preserve">类别</t>
  </si>
  <si>
    <t xml:space="preserve">数据类型</t>
  </si>
  <si>
    <t xml:space="preserve">覆盖地区</t>
  </si>
  <si>
    <t xml:space="preserve">品类粒度</t>
  </si>
  <si>
    <r>
      <rPr>
        <b val="true"/>
        <sz val="11"/>
        <color rgb="FFFFFFFF"/>
        <rFont val="DejaVu Sans"/>
        <family val="2"/>
      </rPr>
      <t xml:space="preserve">价格档位 </t>
    </r>
    <r>
      <rPr>
        <b val="true"/>
        <sz val="11"/>
        <color rgb="FFFFFFFF"/>
        <rFont val="DejaVu Sans"/>
        <family val="2"/>
        <charset val="1"/>
      </rPr>
      <t xml:space="preserve">(2026)</t>
    </r>
  </si>
  <si>
    <t xml:space="preserve">API</t>
  </si>
  <si>
    <t xml:space="preserve">数据时效</t>
  </si>
  <si>
    <t xml:space="preserve">推荐用途</t>
  </si>
  <si>
    <t xml:space="preserve">早期推荐</t>
  </si>
  <si>
    <t xml:space="preserve">1688 Open Platform</t>
  </si>
  <si>
    <r>
      <rPr>
        <sz val="10"/>
        <color rgb="FF000000"/>
        <rFont val="DejaVu Sans"/>
        <family val="2"/>
      </rPr>
      <t xml:space="preserve">采购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官方</t>
    </r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</si>
  <si>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商品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价格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图搜</t>
    </r>
  </si>
  <si>
    <t xml:space="preserve">中国境内（货源）</t>
  </si>
  <si>
    <r>
      <rPr>
        <sz val="10"/>
        <color rgb="FF000000"/>
        <rFont val="Arial"/>
        <family val="0"/>
        <charset val="1"/>
      </rPr>
      <t xml:space="preserve">SPU/</t>
    </r>
    <r>
      <rPr>
        <sz val="10"/>
        <color rgb="FF000000"/>
        <rFont val="DejaVu Sans"/>
        <family val="2"/>
      </rPr>
      <t xml:space="preserve">类目</t>
    </r>
  </si>
  <si>
    <r>
      <rPr>
        <sz val="10"/>
        <color rgb="FF000000"/>
        <rFont val="DejaVu Sans"/>
        <family val="2"/>
      </rPr>
      <t xml:space="preserve">诚信通 </t>
    </r>
    <r>
      <rPr>
        <sz val="10"/>
        <color rgb="FF000000"/>
        <rFont val="DejaVu Sans"/>
        <family val="2"/>
        <charset val="1"/>
      </rPr>
      <t xml:space="preserve">¥3,688/¥6,688/</t>
    </r>
    <r>
      <rPr>
        <sz val="10"/>
        <color rgb="FF000000"/>
        <rFont val="DejaVu Sans"/>
        <family val="2"/>
      </rPr>
      <t xml:space="preserve">年 </t>
    </r>
    <r>
      <rPr>
        <sz val="10"/>
        <color rgb="FF000000"/>
        <rFont val="DejaVu Sans"/>
        <family val="2"/>
        <charset val="1"/>
      </rPr>
      <t xml:space="preserve">+ ISV </t>
    </r>
    <r>
      <rPr>
        <sz val="10"/>
        <color rgb="FF000000"/>
        <rFont val="DejaVu Sans"/>
        <family val="2"/>
      </rPr>
      <t xml:space="preserve">审核</t>
    </r>
  </si>
  <si>
    <t xml:space="preserve">REST</t>
  </si>
  <si>
    <t xml:space="preserve">实时</t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</si>
  <si>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采购成本核算（高门槛）</t>
    </r>
  </si>
  <si>
    <t xml:space="preserve">OneBound API</t>
  </si>
  <si>
    <r>
      <rPr>
        <sz val="10"/>
        <color rgb="FF000000"/>
        <rFont val="DejaVu Sans"/>
        <family val="2"/>
      </rPr>
      <t xml:space="preserve">采购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第三方</t>
    </r>
  </si>
  <si>
    <r>
      <rPr>
        <sz val="10"/>
        <color rgb="FF000000"/>
        <rFont val="Arial"/>
        <family val="0"/>
        <charset val="1"/>
      </rPr>
      <t xml:space="preserve">1688 + </t>
    </r>
    <r>
      <rPr>
        <sz val="10"/>
        <color rgb="FF000000"/>
        <rFont val="DejaVu Sans"/>
        <family val="2"/>
      </rPr>
      <t xml:space="preserve">淘宝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拍立淘图搜</t>
    </r>
  </si>
  <si>
    <t xml:space="preserve">中国货源</t>
  </si>
  <si>
    <t xml:space="preserve">SPU</t>
  </si>
  <si>
    <r>
      <rPr>
        <sz val="10"/>
        <color rgb="FF000000"/>
        <rFont val="Arial"/>
        <family val="0"/>
        <charset val="1"/>
      </rPr>
      <t xml:space="preserve">$0.005-$0.02/</t>
    </r>
    <r>
      <rPr>
        <sz val="10"/>
        <color rgb="FF000000"/>
        <rFont val="DejaVu Sans"/>
        <family val="2"/>
      </rPr>
      <t xml:space="preserve">次，月起 </t>
    </r>
    <r>
      <rPr>
        <sz val="10"/>
        <color rgb="FF000000"/>
        <rFont val="Arial"/>
        <family val="0"/>
        <charset val="1"/>
      </rPr>
      <t xml:space="preserve">¥99</t>
    </r>
  </si>
  <si>
    <r>
      <rPr>
        <sz val="10"/>
        <color rgb="FF000000"/>
        <rFont val="Arial"/>
        <family val="0"/>
        <charset val="1"/>
      </rPr>
      <t xml:space="preserve">MVP </t>
    </r>
    <r>
      <rPr>
        <sz val="10"/>
        <color rgb="FF000000"/>
        <rFont val="DejaVu Sans"/>
        <family val="2"/>
      </rPr>
      <t xml:space="preserve">阶段 </t>
    </r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接入首选</t>
    </r>
  </si>
  <si>
    <t xml:space="preserve">✓</t>
  </si>
  <si>
    <t xml:space="preserve">TMAPI 1688</t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</si>
  <si>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商品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拍立淘</t>
    </r>
  </si>
  <si>
    <r>
      <rPr>
        <sz val="10"/>
        <color rgb="FF000000"/>
        <rFont val="Arial"/>
        <family val="0"/>
        <charset val="1"/>
      </rPr>
      <t xml:space="preserve">¥0.01-$0.03/</t>
    </r>
    <r>
      <rPr>
        <sz val="10"/>
        <color rgb="FF000000"/>
        <rFont val="DejaVu Sans"/>
        <family val="2"/>
      </rPr>
      <t xml:space="preserve">次</t>
    </r>
  </si>
  <si>
    <r>
      <rPr>
        <sz val="10"/>
        <color rgb="FF000000"/>
        <rFont val="Arial"/>
        <family val="0"/>
        <charset val="1"/>
      </rPr>
      <t xml:space="preserve">OneBound </t>
    </r>
    <r>
      <rPr>
        <sz val="10"/>
        <color rgb="FF000000"/>
        <rFont val="DejaVu Sans"/>
        <family val="2"/>
      </rPr>
      <t xml:space="preserve">备选</t>
    </r>
  </si>
  <si>
    <t xml:space="preserve">Apify 1688 actors</t>
  </si>
  <si>
    <r>
      <rPr>
        <sz val="10"/>
        <color rgb="FF000000"/>
        <rFont val="DejaVu Sans"/>
        <family val="2"/>
      </rPr>
      <t xml:space="preserve">采购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爬虫</t>
    </r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</si>
  <si>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列表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详情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图搜</t>
    </r>
  </si>
  <si>
    <r>
      <rPr>
        <sz val="10"/>
        <color rgb="FF000000"/>
        <rFont val="Arial"/>
        <family val="0"/>
        <charset val="1"/>
      </rPr>
      <t xml:space="preserve">$0.5-$2/1k </t>
    </r>
    <r>
      <rPr>
        <sz val="10"/>
        <color rgb="FF000000"/>
        <rFont val="DejaVu Sans"/>
        <family val="2"/>
      </rPr>
      <t xml:space="preserve">条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月费 </t>
    </r>
    <r>
      <rPr>
        <sz val="10"/>
        <color rgb="FF000000"/>
        <rFont val="Arial"/>
        <family val="0"/>
        <charset val="1"/>
      </rPr>
      <t xml:space="preserve">$49 </t>
    </r>
    <r>
      <rPr>
        <sz val="10"/>
        <color rgb="FF000000"/>
        <rFont val="DejaVu Sans"/>
        <family val="2"/>
      </rPr>
      <t xml:space="preserve">起</t>
    </r>
  </si>
  <si>
    <t xml:space="preserve">REST/SDK</t>
  </si>
  <si>
    <t xml:space="preserve">按需运行</t>
  </si>
  <si>
    <r>
      <rPr>
        <sz val="10"/>
        <color rgb="FF000000"/>
        <rFont val="DejaVu Sans"/>
        <family val="2"/>
      </rPr>
      <t xml:space="preserve">图搜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扩量数据兜底</t>
    </r>
  </si>
  <si>
    <t xml:space="preserve">Oxylabs 1688 Scraper</t>
  </si>
  <si>
    <t xml:space="preserve">高难度反爬数据采集</t>
  </si>
  <si>
    <r>
      <rPr>
        <sz val="10"/>
        <color rgb="FF000000"/>
        <rFont val="Arial"/>
        <family val="0"/>
        <charset val="1"/>
      </rPr>
      <t xml:space="preserve">$49-$299/</t>
    </r>
    <r>
      <rPr>
        <sz val="10"/>
        <color rgb="FF000000"/>
        <rFont val="DejaVu Sans"/>
        <family val="2"/>
      </rPr>
      <t xml:space="preserve">月</t>
    </r>
  </si>
  <si>
    <t xml:space="preserve">按需</t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</si>
  <si>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防爬严重时使用</t>
    </r>
  </si>
  <si>
    <t xml:space="preserve">Google Cloud Vision Product Search</t>
  </si>
  <si>
    <r>
      <rPr>
        <sz val="10"/>
        <color rgb="FF000000"/>
        <rFont val="DejaVu Sans"/>
        <family val="2"/>
      </rPr>
      <t xml:space="preserve">图搜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官方</t>
    </r>
  </si>
  <si>
    <t xml:space="preserve">以图搜款（自建库）</t>
  </si>
  <si>
    <t xml:space="preserve">全球</t>
  </si>
  <si>
    <r>
      <rPr>
        <sz val="10"/>
        <color rgb="FF000000"/>
        <rFont val="Arial"/>
        <family val="0"/>
        <charset val="1"/>
      </rPr>
      <t xml:space="preserve">$2/1k </t>
    </r>
    <r>
      <rPr>
        <sz val="10"/>
        <color rgb="FF000000"/>
        <rFont val="DejaVu Sans"/>
        <family val="2"/>
      </rPr>
      <t xml:space="preserve">次（前 </t>
    </r>
    <r>
      <rPr>
        <sz val="10"/>
        <color rgb="FF000000"/>
        <rFont val="Arial"/>
        <family val="0"/>
        <charset val="1"/>
      </rPr>
      <t xml:space="preserve">1k </t>
    </r>
    <r>
      <rPr>
        <sz val="10"/>
        <color rgb="FF000000"/>
        <rFont val="DejaVu Sans"/>
        <family val="2"/>
      </rPr>
      <t xml:space="preserve">免费）</t>
    </r>
  </si>
  <si>
    <t xml:space="preserve">高准确度图搜，需自建产品库</t>
  </si>
  <si>
    <t xml:space="preserve">Easyship</t>
  </si>
  <si>
    <r>
      <rPr>
        <sz val="10"/>
        <color rgb="FF000000"/>
        <rFont val="DejaVu Sans"/>
        <family val="2"/>
      </rPr>
      <t xml:space="preserve">物流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聚合</t>
    </r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</si>
  <si>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220+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DejaVu Sans"/>
        <family val="2"/>
        <charset val="1"/>
      </rPr>
      <t xml:space="preserve">550+ </t>
    </r>
    <r>
      <rPr>
        <sz val="10"/>
        <color rgb="FF000000"/>
        <rFont val="DejaVu Sans"/>
        <family val="2"/>
      </rPr>
      <t xml:space="preserve">承运商比价</t>
    </r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</si>
  <si>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32 </t>
    </r>
    <r>
      <rPr>
        <sz val="10"/>
        <color rgb="FF000000"/>
        <rFont val="DejaVu Sans"/>
        <family val="2"/>
      </rPr>
      <t xml:space="preserve">国全覆盖</t>
    </r>
  </si>
  <si>
    <r>
      <rPr>
        <sz val="10"/>
        <color rgb="FF000000"/>
        <rFont val="DejaVu Sans"/>
        <family val="2"/>
      </rPr>
      <t xml:space="preserve">重量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体积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</si>
  <si>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50 </t>
    </r>
    <r>
      <rPr>
        <sz val="10"/>
        <color rgb="FF000000"/>
        <rFont val="DejaVu Sans"/>
        <family val="2"/>
      </rPr>
      <t xml:space="preserve">单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月；</t>
    </r>
    <r>
      <rPr>
        <sz val="10"/>
        <color rgb="FF000000"/>
        <rFont val="DejaVu Sans"/>
        <family val="2"/>
        <charset val="1"/>
      </rPr>
      <t xml:space="preserve">$29-$99/</t>
    </r>
    <r>
      <rPr>
        <sz val="10"/>
        <color rgb="FF000000"/>
        <rFont val="DejaVu Sans"/>
        <family val="2"/>
      </rPr>
      <t xml:space="preserve">月起</t>
    </r>
  </si>
  <si>
    <t xml:space="preserve">实时报价</t>
  </si>
  <si>
    <r>
      <rPr>
        <sz val="10"/>
        <color rgb="FF000000"/>
        <rFont val="DejaVu Sans"/>
        <family val="2"/>
      </rPr>
      <t xml:space="preserve">小包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一件代发全球比价（首选）</t>
    </r>
  </si>
  <si>
    <t xml:space="preserve">Shippo API</t>
  </si>
  <si>
    <r>
      <rPr>
        <sz val="10"/>
        <color rgb="FF000000"/>
        <rFont val="DejaVu Sans"/>
        <family val="2"/>
      </rPr>
      <t xml:space="preserve">美国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欧洲主流承运商</t>
    </r>
  </si>
  <si>
    <r>
      <rPr>
        <sz val="10"/>
        <color rgb="FF000000"/>
        <rFont val="DejaVu Sans"/>
        <family val="2"/>
      </rPr>
      <t xml:space="preserve">重点 </t>
    </r>
    <r>
      <rPr>
        <sz val="10"/>
        <color rgb="FF000000"/>
        <rFont val="DejaVu Sans"/>
        <family val="2"/>
        <charset val="1"/>
      </rPr>
      <t xml:space="preserve">US/EU</t>
    </r>
  </si>
  <si>
    <r>
      <rPr>
        <sz val="10"/>
        <color rgb="FF000000"/>
        <rFont val="Arial"/>
        <family val="0"/>
        <charset val="1"/>
      </rPr>
      <t xml:space="preserve">$10/</t>
    </r>
    <r>
      <rPr>
        <sz val="10"/>
        <color rgb="FF000000"/>
        <rFont val="DejaVu Sans"/>
        <family val="2"/>
      </rPr>
      <t xml:space="preserve">月起 </t>
    </r>
    <r>
      <rPr>
        <sz val="10"/>
        <color rgb="FF000000"/>
        <rFont val="Arial"/>
        <family val="0"/>
        <charset val="1"/>
      </rPr>
      <t xml:space="preserve">+ per-label</t>
    </r>
  </si>
  <si>
    <t xml:space="preserve">美国市场性价比高</t>
  </si>
  <si>
    <t xml:space="preserve">EasyPost</t>
  </si>
  <si>
    <r>
      <rPr>
        <sz val="10"/>
        <color rgb="FF000000"/>
        <rFont val="Arial"/>
        <family val="0"/>
        <charset val="1"/>
      </rPr>
      <t xml:space="preserve">USPS/UPS/FedEx/DHL </t>
    </r>
    <r>
      <rPr>
        <sz val="10"/>
        <color rgb="FF000000"/>
        <rFont val="DejaVu Sans"/>
        <family val="2"/>
      </rPr>
      <t xml:space="preserve">等</t>
    </r>
  </si>
  <si>
    <t xml:space="preserve">重点北美</t>
  </si>
  <si>
    <r>
      <rPr>
        <sz val="10"/>
        <color rgb="FF000000"/>
        <rFont val="Arial"/>
        <family val="0"/>
        <charset val="1"/>
      </rPr>
      <t xml:space="preserve">$0.01/</t>
    </r>
    <r>
      <rPr>
        <sz val="10"/>
        <color rgb="FF000000"/>
        <rFont val="DejaVu Sans"/>
        <family val="2"/>
      </rPr>
      <t xml:space="preserve">每查询</t>
    </r>
  </si>
  <si>
    <t xml:space="preserve">高量级美国市场</t>
  </si>
  <si>
    <t xml:space="preserve">17TRACK API</t>
  </si>
  <si>
    <r>
      <rPr>
        <sz val="10"/>
        <color rgb="FF000000"/>
        <rFont val="DejaVu Sans"/>
        <family val="2"/>
      </rPr>
      <t xml:space="preserve">物流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追踪</t>
    </r>
  </si>
  <si>
    <r>
      <rPr>
        <sz val="10"/>
        <color rgb="FF000000"/>
        <rFont val="Arial"/>
        <family val="0"/>
        <charset val="1"/>
      </rPr>
      <t xml:space="preserve">1500+ </t>
    </r>
    <r>
      <rPr>
        <sz val="10"/>
        <color rgb="FF000000"/>
        <rFont val="DejaVu Sans"/>
        <family val="2"/>
      </rPr>
      <t xml:space="preserve">承运商追踪</t>
    </r>
  </si>
  <si>
    <t xml:space="preserve">运单号</t>
  </si>
  <si>
    <r>
      <rPr>
        <sz val="10"/>
        <color rgb="FF000000"/>
        <rFont val="Arial"/>
        <family val="0"/>
        <charset val="1"/>
      </rPr>
      <t xml:space="preserve">$0.005-$0.02/</t>
    </r>
    <r>
      <rPr>
        <sz val="10"/>
        <color rgb="FF000000"/>
        <rFont val="DejaVu Sans"/>
        <family val="2"/>
      </rPr>
      <t xml:space="preserve">查询，起 </t>
    </r>
    <r>
      <rPr>
        <sz val="10"/>
        <color rgb="FF000000"/>
        <rFont val="Arial"/>
        <family val="0"/>
        <charset val="1"/>
      </rPr>
      <t xml:space="preserve">$50/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</si>
  <si>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订单追踪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逆向物流监控</t>
    </r>
  </si>
  <si>
    <t xml:space="preserve">Maersk SpotOn API</t>
  </si>
  <si>
    <r>
      <rPr>
        <sz val="10"/>
        <color rgb="FF000000"/>
        <rFont val="DejaVu Sans"/>
        <family val="2"/>
      </rPr>
      <t xml:space="preserve">物流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整柜</t>
    </r>
  </si>
  <si>
    <r>
      <rPr>
        <sz val="10"/>
        <color rgb="FF000000"/>
        <rFont val="DejaVu Sans"/>
        <family val="2"/>
      </rPr>
      <t xml:space="preserve">整柜实时 </t>
    </r>
    <r>
      <rPr>
        <sz val="10"/>
        <color rgb="FF000000"/>
        <rFont val="DejaVu Sans"/>
        <family val="2"/>
        <charset val="1"/>
      </rPr>
      <t xml:space="preserve">spot </t>
    </r>
    <r>
      <rPr>
        <sz val="10"/>
        <color rgb="FF000000"/>
        <rFont val="DejaVu Sans"/>
        <family val="2"/>
      </rPr>
      <t xml:space="preserve">报价</t>
    </r>
  </si>
  <si>
    <t xml:space="preserve">全球主要港口</t>
  </si>
  <si>
    <r>
      <rPr>
        <sz val="10"/>
        <color rgb="FF000000"/>
        <rFont val="Arial"/>
        <family val="0"/>
        <charset val="1"/>
      </rPr>
      <t xml:space="preserve">FCL </t>
    </r>
    <r>
      <rPr>
        <sz val="10"/>
        <color rgb="FF000000"/>
        <rFont val="DejaVu Sans"/>
        <family val="2"/>
      </rPr>
      <t xml:space="preserve">整柜</t>
    </r>
  </si>
  <si>
    <t xml:space="preserve">免费</t>
  </si>
  <si>
    <r>
      <rPr>
        <sz val="10"/>
        <color rgb="FF000000"/>
        <rFont val="Arial"/>
        <family val="0"/>
        <charset val="1"/>
      </rPr>
      <t xml:space="preserve">FBA </t>
    </r>
    <r>
      <rPr>
        <sz val="10"/>
        <color rgb="FF000000"/>
        <rFont val="DejaVu Sans"/>
        <family val="2"/>
      </rPr>
      <t xml:space="preserve">入仓比价（被低估）</t>
    </r>
  </si>
  <si>
    <t xml:space="preserve">Freightos shippingCalculator</t>
  </si>
  <si>
    <r>
      <rPr>
        <sz val="10"/>
        <color rgb="FF000000"/>
        <rFont val="DejaVu Sans"/>
        <family val="2"/>
      </rPr>
      <t xml:space="preserve">整柜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散货报价聚合</t>
    </r>
  </si>
  <si>
    <t xml:space="preserve">FCL/LCL</t>
  </si>
  <si>
    <t xml:space="preserve">免费基础查询</t>
  </si>
  <si>
    <r>
      <rPr>
        <sz val="10"/>
        <color rgb="FF000000"/>
        <rFont val="DejaVu Sans"/>
        <family val="2"/>
      </rPr>
      <t xml:space="preserve">和 </t>
    </r>
    <r>
      <rPr>
        <sz val="10"/>
        <color rgb="FF000000"/>
        <rFont val="DejaVu Sans"/>
        <family val="2"/>
        <charset val="1"/>
      </rPr>
      <t xml:space="preserve">Maersk </t>
    </r>
    <r>
      <rPr>
        <sz val="10"/>
        <color rgb="FF000000"/>
        <rFont val="DejaVu Sans"/>
        <family val="2"/>
      </rPr>
      <t xml:space="preserve">交叉验证</t>
    </r>
  </si>
  <si>
    <t xml:space="preserve">Xeneta API</t>
  </si>
  <si>
    <r>
      <rPr>
        <sz val="10"/>
        <color rgb="FF000000"/>
        <rFont val="DejaVu Sans"/>
        <family val="2"/>
      </rPr>
      <t xml:space="preserve">海运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空运基准价</t>
    </r>
  </si>
  <si>
    <r>
      <rPr>
        <sz val="10"/>
        <color rgb="FF000000"/>
        <rFont val="Arial"/>
        <family val="0"/>
        <charset val="1"/>
      </rPr>
      <t xml:space="preserve">FCL/</t>
    </r>
    <r>
      <rPr>
        <sz val="10"/>
        <color rgb="FF000000"/>
        <rFont val="DejaVu Sans"/>
        <family val="2"/>
      </rPr>
      <t xml:space="preserve">航空</t>
    </r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</si>
  <si>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DejaVu Sans"/>
        <family val="2"/>
      </rPr>
      <t xml:space="preserve">询价（要求 </t>
    </r>
    <r>
      <rPr>
        <sz val="10"/>
        <color rgb="FF000000"/>
        <rFont val="Arial"/>
        <family val="0"/>
        <charset val="1"/>
      </rPr>
      <t xml:space="preserve">BCO ≥10k TEU/</t>
    </r>
    <r>
      <rPr>
        <sz val="10"/>
        <color rgb="FF000000"/>
        <rFont val="DejaVu Sans"/>
        <family val="2"/>
      </rPr>
      <t xml:space="preserve">年）</t>
    </r>
  </si>
  <si>
    <t xml:space="preserve">日级</t>
  </si>
  <si>
    <t xml:space="preserve">大量级才划算</t>
  </si>
  <si>
    <t xml:space="preserve">Flexport</t>
  </si>
  <si>
    <r>
      <rPr>
        <sz val="10"/>
        <color rgb="FF000000"/>
        <rFont val="DejaVu Sans"/>
        <family val="2"/>
      </rPr>
      <t xml:space="preserve">物流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数字货代</t>
    </r>
  </si>
  <si>
    <r>
      <rPr>
        <sz val="10"/>
        <color rgb="FF000000"/>
        <rFont val="DejaVu Sans"/>
        <family val="2"/>
      </rPr>
      <t xml:space="preserve">整柜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跨境清关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仓储</t>
    </r>
  </si>
  <si>
    <r>
      <rPr>
        <sz val="10"/>
        <color rgb="FF000000"/>
        <rFont val="Arial"/>
        <family val="0"/>
        <charset val="1"/>
      </rPr>
      <t xml:space="preserve">FCL/LCL/</t>
    </r>
    <r>
      <rPr>
        <sz val="10"/>
        <color rgb="FF000000"/>
        <rFont val="DejaVu Sans"/>
        <family val="2"/>
      </rPr>
      <t xml:space="preserve">空运</t>
    </r>
  </si>
  <si>
    <r>
      <rPr>
        <sz val="10"/>
        <color rgb="FF000000"/>
        <rFont val="DejaVu Sans"/>
        <family val="2"/>
      </rPr>
      <t xml:space="preserve">成本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加成（无 </t>
    </r>
    <r>
      <rPr>
        <sz val="10"/>
        <color rgb="FF000000"/>
        <rFont val="DejaVu Sans"/>
        <family val="2"/>
        <charset val="1"/>
      </rPr>
      <t xml:space="preserve">SaaS </t>
    </r>
    <r>
      <rPr>
        <sz val="10"/>
        <color rgb="FF000000"/>
        <rFont val="DejaVu Sans"/>
        <family val="2"/>
      </rPr>
      <t xml:space="preserve">费）</t>
    </r>
  </si>
  <si>
    <t xml:space="preserve">需要数字化货代时</t>
  </si>
  <si>
    <t xml:space="preserve">ShipBob Developer API</t>
  </si>
  <si>
    <r>
      <rPr>
        <sz val="10"/>
        <color rgb="FF000000"/>
        <rFont val="DejaVu Sans"/>
        <family val="2"/>
      </rPr>
      <t xml:space="preserve">物流</t>
    </r>
    <r>
      <rPr>
        <sz val="10"/>
        <color rgb="FF000000"/>
        <rFont val="DejaVu Sans"/>
        <family val="2"/>
        <charset val="1"/>
      </rPr>
      <t xml:space="preserve">-3PL</t>
    </r>
  </si>
  <si>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全球海外仓履约</t>
    </r>
  </si>
  <si>
    <r>
      <rPr>
        <sz val="10"/>
        <color rgb="FF000000"/>
        <rFont val="Arial"/>
        <family val="0"/>
        <charset val="1"/>
      </rPr>
      <t xml:space="preserve">30+ </t>
    </r>
    <r>
      <rPr>
        <sz val="10"/>
        <color rgb="FF000000"/>
        <rFont val="DejaVu Sans"/>
        <family val="2"/>
      </rPr>
      <t xml:space="preserve">国</t>
    </r>
  </si>
  <si>
    <t xml:space="preserve">SKU</t>
  </si>
  <si>
    <t xml:space="preserve">履约成本（按件）</t>
  </si>
  <si>
    <r>
      <rPr>
        <sz val="10"/>
        <color rgb="FF000000"/>
        <rFont val="Arial"/>
        <family val="0"/>
        <charset val="1"/>
      </rPr>
      <t xml:space="preserve">DTC </t>
    </r>
    <r>
      <rPr>
        <sz val="10"/>
        <color rgb="FF000000"/>
        <rFont val="DejaVu Sans"/>
        <family val="2"/>
      </rPr>
      <t xml:space="preserve">多仓履约</t>
    </r>
  </si>
  <si>
    <t xml:space="preserve">Meta Marketing API</t>
  </si>
  <si>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官方</t>
    </r>
    <r>
      <rPr>
        <sz val="10"/>
        <color rgb="FF000000"/>
        <rFont val="DejaVu Sans"/>
        <family val="2"/>
        <charset val="1"/>
      </rPr>
      <t xml:space="preserve">-Meta</t>
    </r>
  </si>
  <si>
    <r>
      <rPr>
        <sz val="10"/>
        <color rgb="FF000000"/>
        <rFont val="Arial"/>
        <family val="0"/>
        <charset val="1"/>
      </rPr>
      <t xml:space="preserve">CPM/CTR/CVR/ROAS </t>
    </r>
    <r>
      <rPr>
        <sz val="10"/>
        <color rgb="FF000000"/>
        <rFont val="DejaVu Sans"/>
        <family val="2"/>
      </rPr>
      <t xml:space="preserve">自有账号</t>
    </r>
  </si>
  <si>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DejaVu Sans"/>
        <family val="2"/>
      </rPr>
      <t xml:space="preserve">国全覆盖</t>
    </r>
  </si>
  <si>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广告组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受众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国家</t>
    </r>
  </si>
  <si>
    <r>
      <rPr>
        <sz val="10"/>
        <color rgb="FF000000"/>
        <rFont val="DejaVu Sans"/>
        <family val="2"/>
      </rPr>
      <t xml:space="preserve">近实时（延迟 </t>
    </r>
    <r>
      <rPr>
        <sz val="10"/>
        <color rgb="FF000000"/>
        <rFont val="DejaVu Sans"/>
        <family val="2"/>
        <charset val="1"/>
      </rPr>
      <t xml:space="preserve">15min-24h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</si>
  <si>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Meta ROI </t>
    </r>
    <r>
      <rPr>
        <sz val="10"/>
        <color rgb="FF000000"/>
        <rFont val="DejaVu Sans"/>
        <family val="2"/>
      </rPr>
      <t xml:space="preserve">核算底座（必接）</t>
    </r>
  </si>
  <si>
    <t xml:space="preserve">Meta Ads Library API</t>
  </si>
  <si>
    <r>
      <rPr>
        <sz val="10"/>
        <color rgb="FF000000"/>
        <rFont val="DejaVu Sans"/>
        <family val="2"/>
      </rPr>
      <t xml:space="preserve">竞品广告创意 </t>
    </r>
    <r>
      <rPr>
        <sz val="10"/>
        <color rgb="FF000000"/>
        <rFont val="DejaVu Sans"/>
        <family val="2"/>
        <charset val="1"/>
      </rPr>
      <t xml:space="preserve">+ EU </t>
    </r>
    <r>
      <rPr>
        <sz val="10"/>
        <color rgb="FF000000"/>
        <rFont val="DejaVu Sans"/>
        <family val="2"/>
      </rPr>
      <t xml:space="preserve">投放数据</t>
    </r>
  </si>
  <si>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商业广告完整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其他仅政治议题</t>
    </r>
  </si>
  <si>
    <t xml:space="preserve">广告主级</t>
  </si>
  <si>
    <t xml:space="preserve">近实时</t>
  </si>
  <si>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竞品创意 </t>
    </r>
    <r>
      <rPr>
        <sz val="10"/>
        <color rgb="FF000000"/>
        <rFont val="Arial"/>
        <family val="0"/>
        <charset val="1"/>
      </rPr>
      <t xml:space="preserve">scan</t>
    </r>
  </si>
  <si>
    <t xml:space="preserve">Shopify Admin GraphQL + ShopifyQL</t>
  </si>
  <si>
    <r>
      <rPr>
        <sz val="10"/>
        <color rgb="FF000000"/>
        <rFont val="DejaVu Sans"/>
        <family val="2"/>
      </rPr>
      <t xml:space="preserve">独立站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官方</t>
    </r>
  </si>
  <si>
    <t xml:space="preserve">CVR/AOV/cohort/funnel</t>
  </si>
  <si>
    <r>
      <rPr>
        <sz val="10"/>
        <color rgb="FF000000"/>
        <rFont val="DejaVu Sans"/>
        <family val="2"/>
      </rPr>
      <t xml:space="preserve">自家店铺 </t>
    </r>
    <r>
      <rPr>
        <sz val="10"/>
        <color rgb="FF000000"/>
        <rFont val="DejaVu Sans"/>
        <family val="2"/>
        <charset val="1"/>
      </rPr>
      <t xml:space="preserve">32 </t>
    </r>
    <r>
      <rPr>
        <sz val="10"/>
        <color rgb="FF000000"/>
        <rFont val="DejaVu Sans"/>
        <family val="2"/>
      </rPr>
      <t xml:space="preserve">国</t>
    </r>
  </si>
  <si>
    <r>
      <rPr>
        <sz val="10"/>
        <color rgb="FF000000"/>
        <rFont val="Arial"/>
        <family val="0"/>
        <charset val="1"/>
      </rPr>
      <t xml:space="preserve">SKU/Collection/</t>
    </r>
    <r>
      <rPr>
        <sz val="10"/>
        <color rgb="FF000000"/>
        <rFont val="DejaVu Sans"/>
        <family val="2"/>
      </rPr>
      <t xml:space="preserve">地区</t>
    </r>
  </si>
  <si>
    <r>
      <rPr>
        <sz val="10"/>
        <color rgb="FF000000"/>
        <rFont val="DejaVu Sans"/>
        <family val="2"/>
      </rPr>
      <t xml:space="preserve">免费（</t>
    </r>
    <r>
      <rPr>
        <sz val="10"/>
        <color rgb="FF000000"/>
        <rFont val="DejaVu Sans"/>
        <family val="2"/>
        <charset val="1"/>
      </rPr>
      <t xml:space="preserve">Plus Notebooks $2,300/</t>
    </r>
    <r>
      <rPr>
        <sz val="10"/>
        <color rgb="FF000000"/>
        <rFont val="DejaVu Sans"/>
        <family val="2"/>
      </rPr>
      <t xml:space="preserve">月）</t>
    </r>
  </si>
  <si>
    <t xml:space="preserve">GraphQL</t>
  </si>
  <si>
    <r>
      <rPr>
        <sz val="10"/>
        <color rgb="FF000000"/>
        <rFont val="DejaVu Sans"/>
        <family val="2"/>
      </rPr>
      <t xml:space="preserve">独立站 </t>
    </r>
    <r>
      <rPr>
        <sz val="10"/>
        <color rgb="FF000000"/>
        <rFont val="DejaVu Sans"/>
        <family val="2"/>
        <charset val="1"/>
      </rPr>
      <t xml:space="preserve">ROI </t>
    </r>
    <r>
      <rPr>
        <sz val="10"/>
        <color rgb="FF000000"/>
        <rFont val="DejaVu Sans"/>
        <family val="2"/>
      </rPr>
      <t xml:space="preserve">核算底座（必接）</t>
    </r>
  </si>
  <si>
    <t xml:space="preserve">Google Analytics 4 Data API</t>
  </si>
  <si>
    <r>
      <rPr>
        <sz val="10"/>
        <color rgb="FF000000"/>
        <rFont val="DejaVu Sans"/>
        <family val="2"/>
      </rPr>
      <t xml:space="preserve">归因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官方</t>
    </r>
  </si>
  <si>
    <r>
      <rPr>
        <sz val="10"/>
        <color rgb="FF000000"/>
        <rFont val="Arial"/>
        <family val="0"/>
        <charset val="1"/>
      </rPr>
      <t xml:space="preserve">session/conversion </t>
    </r>
    <r>
      <rPr>
        <sz val="10"/>
        <color rgb="FF000000"/>
        <rFont val="DejaVu Sans"/>
        <family val="2"/>
      </rPr>
      <t xml:space="preserve">跨渠道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</si>
  <si>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DejaVu Sans"/>
        <family val="2"/>
      </rPr>
      <t xml:space="preserve">行业含 </t>
    </r>
    <r>
      <rPr>
        <sz val="10"/>
        <color rgb="FF000000"/>
        <rFont val="Arial"/>
        <family val="0"/>
        <charset val="1"/>
      </rPr>
      <t xml:space="preserve">Home &amp; Garden</t>
    </r>
  </si>
  <si>
    <r>
      <rPr>
        <sz val="10"/>
        <color rgb="FF000000"/>
        <rFont val="DejaVu Sans"/>
        <family val="2"/>
      </rPr>
      <t xml:space="preserve">归因校验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DejaVu Sans"/>
        <family val="2"/>
        <charset val="1"/>
      </rPr>
      <t xml:space="preserve">baseline</t>
    </r>
    <r>
      <rPr>
        <sz val="10"/>
        <color rgb="FF000000"/>
        <rFont val="DejaVu Sans"/>
        <family val="2"/>
      </rPr>
      <t xml:space="preserve">（必接）</t>
    </r>
  </si>
  <si>
    <t xml:space="preserve">Klaviyo Benchmarks + API</t>
  </si>
  <si>
    <r>
      <rPr>
        <sz val="10"/>
        <color rgb="FF000000"/>
        <rFont val="Arial"/>
        <family val="0"/>
        <charset val="1"/>
      </rPr>
      <t xml:space="preserve">EDM-</t>
    </r>
    <r>
      <rPr>
        <sz val="10"/>
        <color rgb="FF000000"/>
        <rFont val="DejaVu Sans"/>
        <family val="2"/>
      </rPr>
      <t xml:space="preserve">官方</t>
    </r>
  </si>
  <si>
    <t xml:space="preserve">Email open/CTR/CVR/revenue</t>
  </si>
  <si>
    <r>
      <rPr>
        <sz val="10"/>
        <color rgb="FF000000"/>
        <rFont val="Arial"/>
        <family val="0"/>
        <charset val="1"/>
      </rPr>
      <t xml:space="preserve">AMER/EMEA/APAC </t>
    </r>
    <r>
      <rPr>
        <sz val="10"/>
        <color rgb="FF000000"/>
        <rFont val="DejaVu Sans"/>
        <family val="2"/>
      </rPr>
      <t xml:space="preserve">分版</t>
    </r>
  </si>
  <si>
    <r>
      <rPr>
        <sz val="10"/>
        <color rgb="FF000000"/>
        <rFont val="Arial"/>
        <family val="0"/>
        <charset val="1"/>
      </rPr>
      <t xml:space="preserve">Home &amp; Garden </t>
    </r>
    <r>
      <rPr>
        <sz val="10"/>
        <color rgb="FF000000"/>
        <rFont val="DejaVu Sans"/>
        <family val="2"/>
      </rPr>
      <t xml:space="preserve">单列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</si>
  <si>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benchmark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DejaVu Sans"/>
        <family val="2"/>
        <charset val="1"/>
      </rPr>
      <t xml:space="preserve">API </t>
    </r>
    <r>
      <rPr>
        <sz val="10"/>
        <color rgb="FF000000"/>
        <rFont val="DejaVu Sans"/>
        <family val="2"/>
      </rPr>
      <t xml:space="preserve">含在 </t>
    </r>
    <r>
      <rPr>
        <sz val="10"/>
        <color rgb="FF000000"/>
        <rFont val="DejaVu Sans"/>
        <family val="2"/>
        <charset val="1"/>
      </rPr>
      <t xml:space="preserve">$45+/</t>
    </r>
    <r>
      <rPr>
        <sz val="10"/>
        <color rgb="FF000000"/>
        <rFont val="DejaVu Sans"/>
        <family val="2"/>
      </rPr>
      <t xml:space="preserve">月</t>
    </r>
  </si>
  <si>
    <t xml:space="preserve">季度更新</t>
  </si>
  <si>
    <r>
      <rPr>
        <sz val="10"/>
        <color rgb="FF000000"/>
        <rFont val="DejaVu Sans"/>
        <family val="2"/>
      </rPr>
      <t xml:space="preserve">若用 </t>
    </r>
    <r>
      <rPr>
        <sz val="10"/>
        <color rgb="FF000000"/>
        <rFont val="DejaVu Sans"/>
        <family val="2"/>
        <charset val="1"/>
      </rPr>
      <t xml:space="preserve">Klaviyo </t>
    </r>
    <r>
      <rPr>
        <sz val="10"/>
        <color rgb="FF000000"/>
        <rFont val="DejaVu Sans"/>
        <family val="2"/>
      </rPr>
      <t xml:space="preserve">发邮件则必接</t>
    </r>
  </si>
  <si>
    <t xml:space="preserve">WordStream / LocaliQ Benchmark</t>
  </si>
  <si>
    <r>
      <rPr>
        <sz val="10"/>
        <color rgb="FF000000"/>
        <rFont val="Arial"/>
        <family val="0"/>
        <charset val="1"/>
      </rPr>
      <t xml:space="preserve">Benchmark-</t>
    </r>
    <r>
      <rPr>
        <sz val="10"/>
        <color rgb="FF000000"/>
        <rFont val="DejaVu Sans"/>
        <family val="2"/>
      </rPr>
      <t xml:space="preserve">公开</t>
    </r>
  </si>
  <si>
    <t xml:space="preserve">Meta CPC/CTR by industry</t>
  </si>
  <si>
    <r>
      <rPr>
        <sz val="10"/>
        <color rgb="FF000000"/>
        <rFont val="DejaVu Sans"/>
        <family val="2"/>
      </rPr>
      <t xml:space="preserve">主 </t>
    </r>
    <r>
      <rPr>
        <sz val="10"/>
        <color rgb="FF000000"/>
        <rFont val="DejaVu Sans"/>
        <family val="2"/>
        <charset val="1"/>
      </rPr>
      <t xml:space="preserve">US</t>
    </r>
  </si>
  <si>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DejaVu Sans"/>
        <family val="2"/>
        <charset val="1"/>
      </rPr>
      <t xml:space="preserve">Furniture </t>
    </r>
    <r>
      <rPr>
        <sz val="10"/>
        <color rgb="FF000000"/>
        <rFont val="DejaVu Sans"/>
        <family val="2"/>
      </rPr>
      <t xml:space="preserve">单类</t>
    </r>
  </si>
  <si>
    <t xml:space="preserve">免费博客</t>
  </si>
  <si>
    <t xml:space="preserve">无</t>
  </si>
  <si>
    <t xml:space="preserve">年度</t>
  </si>
  <si>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DejaVu Sans"/>
        <family val="2"/>
        <charset val="1"/>
      </rPr>
      <t xml:space="preserve">baseline </t>
    </r>
    <r>
      <rPr>
        <sz val="10"/>
        <color rgb="FF000000"/>
        <rFont val="DejaVu Sans"/>
        <family val="2"/>
      </rPr>
      <t xml:space="preserve">引用</t>
    </r>
  </si>
  <si>
    <t xml:space="preserve">Statista</t>
  </si>
  <si>
    <r>
      <rPr>
        <sz val="10"/>
        <color rgb="FF000000"/>
        <rFont val="Arial"/>
        <family val="0"/>
        <charset val="1"/>
      </rPr>
      <t xml:space="preserve">Benchmark-</t>
    </r>
    <r>
      <rPr>
        <sz val="10"/>
        <color rgb="FF000000"/>
        <rFont val="DejaVu Sans"/>
        <family val="2"/>
      </rPr>
      <t xml:space="preserve">付费</t>
    </r>
  </si>
  <si>
    <r>
      <rPr>
        <sz val="10"/>
        <color rgb="FF000000"/>
        <rFont val="DejaVu Sans"/>
        <family val="2"/>
      </rPr>
      <t xml:space="preserve">市场规模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国家级 </t>
    </r>
    <r>
      <rPr>
        <sz val="10"/>
        <color rgb="FF000000"/>
        <rFont val="DejaVu Sans"/>
        <family val="2"/>
        <charset val="1"/>
      </rPr>
      <t xml:space="preserve">CPM</t>
    </r>
  </si>
  <si>
    <r>
      <rPr>
        <sz val="10"/>
        <color rgb="FF000000"/>
        <rFont val="Arial"/>
        <family val="0"/>
        <charset val="1"/>
      </rPr>
      <t xml:space="preserve">Home Decor/Furniture </t>
    </r>
    <r>
      <rPr>
        <sz val="10"/>
        <color rgb="FF000000"/>
        <rFont val="DejaVu Sans"/>
        <family val="2"/>
      </rPr>
      <t xml:space="preserve">细分</t>
    </r>
  </si>
  <si>
    <r>
      <rPr>
        <sz val="10"/>
        <color rgb="FF000000"/>
        <rFont val="Arial"/>
        <family val="0"/>
        <charset val="1"/>
      </rPr>
      <t xml:space="preserve">$2,388/</t>
    </r>
    <r>
      <rPr>
        <sz val="10"/>
        <color rgb="FF000000"/>
        <rFont val="DejaVu Sans"/>
        <family val="2"/>
      </rPr>
      <t xml:space="preserve">年起；单份报告 </t>
    </r>
    <r>
      <rPr>
        <sz val="10"/>
        <color rgb="FF000000"/>
        <rFont val="Arial"/>
        <family val="0"/>
        <charset val="1"/>
      </rPr>
      <t xml:space="preserve">$495</t>
    </r>
  </si>
  <si>
    <r>
      <rPr>
        <sz val="10"/>
        <color rgb="FF000000"/>
        <rFont val="Arial"/>
        <family val="0"/>
        <charset val="1"/>
      </rPr>
      <t xml:space="preserve">Connect API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Ent</t>
    </r>
    <r>
      <rPr>
        <sz val="10"/>
        <color rgb="FF000000"/>
        <rFont val="DejaVu Sans"/>
        <family val="2"/>
      </rPr>
      <t xml:space="preserve">）</t>
    </r>
  </si>
  <si>
    <t xml:space="preserve">季度</t>
  </si>
  <si>
    <r>
      <rPr>
        <sz val="10"/>
        <color rgb="FF000000"/>
        <rFont val="DejaVu Sans"/>
        <family val="2"/>
      </rPr>
      <t xml:space="preserve">投资人材料 </t>
    </r>
    <r>
      <rPr>
        <sz val="10"/>
        <color rgb="FF000000"/>
        <rFont val="DejaVu Sans"/>
        <family val="2"/>
        <charset val="1"/>
      </rPr>
      <t xml:space="preserve">/ TAM</t>
    </r>
  </si>
  <si>
    <t xml:space="preserve">Hootsuite Social Benchmark</t>
  </si>
  <si>
    <r>
      <rPr>
        <sz val="10"/>
        <color rgb="FF000000"/>
        <rFont val="DejaVu Sans"/>
        <family val="2"/>
      </rPr>
      <t xml:space="preserve">各平台 </t>
    </r>
    <r>
      <rPr>
        <sz val="10"/>
        <color rgb="FF000000"/>
        <rFont val="DejaVu Sans"/>
        <family val="2"/>
        <charset val="1"/>
      </rPr>
      <t xml:space="preserve">CPM/CPC/CTR</t>
    </r>
  </si>
  <si>
    <r>
      <rPr>
        <sz val="10"/>
        <color rgb="FF000000"/>
        <rFont val="DejaVu Sans"/>
        <family val="2"/>
      </rPr>
      <t xml:space="preserve">行业聚合（含 </t>
    </r>
    <r>
      <rPr>
        <sz val="10"/>
        <color rgb="FF000000"/>
        <rFont val="DejaVu Sans"/>
        <family val="2"/>
        <charset val="1"/>
      </rPr>
      <t xml:space="preserve">Retail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</si>
  <si>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PDF</t>
    </r>
  </si>
  <si>
    <t xml:space="preserve">跨平台对比</t>
  </si>
  <si>
    <t xml:space="preserve">Klaviyo 2025 AMER Report</t>
  </si>
  <si>
    <t xml:space="preserve">EDM benchmark</t>
  </si>
  <si>
    <t xml:space="preserve">AMER</t>
  </si>
  <si>
    <t xml:space="preserve">Home &amp; Garden</t>
  </si>
  <si>
    <t xml:space="preserve">免费下载</t>
  </si>
  <si>
    <r>
      <rPr>
        <sz val="10"/>
        <color rgb="FF000000"/>
        <rFont val="Arial"/>
        <family val="0"/>
        <charset val="1"/>
      </rPr>
      <t xml:space="preserve">EDM </t>
    </r>
    <r>
      <rPr>
        <sz val="10"/>
        <color rgb="FF000000"/>
        <rFont val="DejaVu Sans"/>
        <family val="2"/>
      </rPr>
      <t xml:space="preserve">渠道 </t>
    </r>
    <r>
      <rPr>
        <sz val="10"/>
        <color rgb="FF000000"/>
        <rFont val="Arial"/>
        <family val="0"/>
        <charset val="1"/>
      </rPr>
      <t xml:space="preserve">baseline</t>
    </r>
  </si>
  <si>
    <t xml:space="preserve">Triple Whale</t>
  </si>
  <si>
    <r>
      <rPr>
        <sz val="10"/>
        <color rgb="FF000000"/>
        <rFont val="DejaVu Sans"/>
        <family val="2"/>
      </rPr>
      <t xml:space="preserve">归因</t>
    </r>
    <r>
      <rPr>
        <sz val="10"/>
        <color rgb="FF000000"/>
        <rFont val="DejaVu Sans"/>
        <family val="2"/>
        <charset val="1"/>
      </rPr>
      <t xml:space="preserve">-SaaS</t>
    </r>
  </si>
  <si>
    <r>
      <rPr>
        <sz val="10"/>
        <color rgb="FF000000"/>
        <rFont val="Arial"/>
        <family val="0"/>
        <charset val="1"/>
      </rPr>
      <t xml:space="preserve">Meta/TikTok/Google </t>
    </r>
    <r>
      <rPr>
        <sz val="10"/>
        <color rgb="FF000000"/>
        <rFont val="DejaVu Sans"/>
        <family val="2"/>
      </rPr>
      <t xml:space="preserve">多触点归因</t>
    </r>
  </si>
  <si>
    <r>
      <rPr>
        <sz val="10"/>
        <color rgb="FF000000"/>
        <rFont val="DejaVu Sans"/>
        <family val="2"/>
      </rPr>
      <t xml:space="preserve">行业聚合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自有</t>
    </r>
  </si>
  <si>
    <r>
      <rPr>
        <sz val="10"/>
        <color rgb="FF000000"/>
        <rFont val="Arial"/>
        <family val="0"/>
        <charset val="1"/>
      </rPr>
      <t xml:space="preserve">$129-$3,599/</t>
    </r>
    <r>
      <rPr>
        <sz val="10"/>
        <color rgb="FF000000"/>
        <rFont val="DejaVu Sans"/>
        <family val="2"/>
      </rPr>
      <t xml:space="preserve">月（按 </t>
    </r>
    <r>
      <rPr>
        <sz val="10"/>
        <color rgb="FF000000"/>
        <rFont val="Arial"/>
        <family val="0"/>
        <charset val="1"/>
      </rPr>
      <t xml:space="preserve">GMV </t>
    </r>
    <r>
      <rPr>
        <sz val="10"/>
        <color rgb="FF000000"/>
        <rFont val="DejaVu Sans"/>
        <family val="2"/>
      </rPr>
      <t xml:space="preserve">阶梯）</t>
    </r>
  </si>
  <si>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GMV &gt;$50k </t>
    </r>
    <r>
      <rPr>
        <sz val="10"/>
        <color rgb="FF000000"/>
        <rFont val="DejaVu Sans"/>
        <family val="2"/>
      </rPr>
      <t xml:space="preserve">升级</t>
    </r>
  </si>
  <si>
    <t xml:space="preserve">Northbeam</t>
  </si>
  <si>
    <r>
      <rPr>
        <sz val="10"/>
        <color rgb="FF000000"/>
        <rFont val="Arial"/>
        <family val="0"/>
        <charset val="1"/>
      </rPr>
      <t xml:space="preserve">MMM + </t>
    </r>
    <r>
      <rPr>
        <sz val="10"/>
        <color rgb="FF000000"/>
        <rFont val="DejaVu Sans"/>
        <family val="2"/>
      </rPr>
      <t xml:space="preserve">增量测试</t>
    </r>
  </si>
  <si>
    <t xml:space="preserve">自定义</t>
  </si>
  <si>
    <r>
      <rPr>
        <sz val="10"/>
        <color rgb="FF000000"/>
        <rFont val="Arial"/>
        <family val="0"/>
        <charset val="1"/>
      </rPr>
      <t xml:space="preserve">$1,500/</t>
    </r>
    <r>
      <rPr>
        <sz val="10"/>
        <color rgb="FF000000"/>
        <rFont val="DejaVu Sans"/>
        <family val="2"/>
      </rPr>
      <t xml:space="preserve">月起</t>
    </r>
  </si>
  <si>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GMV &gt;$500k </t>
    </r>
    <r>
      <rPr>
        <sz val="10"/>
        <color rgb="FF000000"/>
        <rFont val="DejaVu Sans"/>
        <family val="2"/>
      </rPr>
      <t xml:space="preserve">高阶团队</t>
    </r>
  </si>
  <si>
    <t xml:space="preserve">SimilarWeb</t>
  </si>
  <si>
    <r>
      <rPr>
        <sz val="10"/>
        <color rgb="FF000000"/>
        <rFont val="DejaVu Sans"/>
        <family val="2"/>
      </rPr>
      <t xml:space="preserve">竞品</t>
    </r>
    <r>
      <rPr>
        <sz val="10"/>
        <color rgb="FF000000"/>
        <rFont val="DejaVu Sans"/>
        <family val="2"/>
        <charset val="1"/>
      </rPr>
      <t xml:space="preserve">-SaaS</t>
    </r>
  </si>
  <si>
    <t xml:space="preserve">竞品独立站流量</t>
  </si>
  <si>
    <t xml:space="preserve">全球国家级</t>
  </si>
  <si>
    <t xml:space="preserve">网站级</t>
  </si>
  <si>
    <r>
      <rPr>
        <sz val="10"/>
        <color rgb="FF000000"/>
        <rFont val="Arial"/>
        <family val="0"/>
        <charset val="1"/>
      </rPr>
      <t xml:space="preserve">$125-$542/</t>
    </r>
    <r>
      <rPr>
        <sz val="10"/>
        <color rgb="FF000000"/>
        <rFont val="DejaVu Sans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API Enterprise</t>
    </r>
  </si>
  <si>
    <t xml:space="preserve">REST(Ent)</t>
  </si>
  <si>
    <t xml:space="preserve">月度</t>
  </si>
  <si>
    <t xml:space="preserve">竞品流量结构反推</t>
  </si>
  <si>
    <t xml:space="preserve">AdSpy</t>
  </si>
  <si>
    <r>
      <rPr>
        <sz val="10"/>
        <color rgb="FF000000"/>
        <rFont val="Arial"/>
        <family val="0"/>
        <charset val="1"/>
      </rPr>
      <t xml:space="preserve">Meta + IG </t>
    </r>
    <r>
      <rPr>
        <sz val="10"/>
        <color rgb="FF000000"/>
        <rFont val="DejaVu Sans"/>
        <family val="2"/>
      </rPr>
      <t xml:space="preserve">广告创意库</t>
    </r>
  </si>
  <si>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DejaVu Sans"/>
        <family val="2"/>
      </rPr>
      <t xml:space="preserve">国</t>
    </r>
  </si>
  <si>
    <r>
      <rPr>
        <sz val="10"/>
        <color rgb="FF000000"/>
        <rFont val="DejaVu Sans"/>
        <family val="2"/>
      </rPr>
      <t xml:space="preserve">关键词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国家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投放时长</t>
    </r>
  </si>
  <si>
    <r>
      <rPr>
        <sz val="10"/>
        <color rgb="FF000000"/>
        <rFont val="Arial"/>
        <family val="0"/>
        <charset val="1"/>
      </rPr>
      <t xml:space="preserve">$149/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flat</t>
    </r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</si>
  <si>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Meta </t>
    </r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DejaVu Sans"/>
        <family val="2"/>
        <charset val="1"/>
      </rPr>
      <t xml:space="preserve">scan </t>
    </r>
    <r>
      <rPr>
        <sz val="10"/>
        <color rgb="FF000000"/>
        <rFont val="DejaVu Sans"/>
        <family val="2"/>
      </rPr>
      <t xml:space="preserve">性价比之王</t>
    </r>
  </si>
  <si>
    <t xml:space="preserve">BigSpy</t>
  </si>
  <si>
    <t xml:space="preserve">Meta/IG/TikTok/YouTube ads</t>
  </si>
  <si>
    <r>
      <rPr>
        <sz val="10"/>
        <color rgb="FF000000"/>
        <rFont val="Arial"/>
        <family val="0"/>
        <charset val="1"/>
      </rPr>
      <t xml:space="preserve">70+ </t>
    </r>
    <r>
      <rPr>
        <sz val="10"/>
        <color rgb="FF000000"/>
        <rFont val="DejaVu Sans"/>
        <family val="2"/>
      </rPr>
      <t xml:space="preserve">国</t>
    </r>
  </si>
  <si>
    <t xml:space="preserve">关键词</t>
  </si>
  <si>
    <r>
      <rPr>
        <sz val="10"/>
        <color rgb="FF000000"/>
        <rFont val="Arial"/>
        <family val="0"/>
        <charset val="1"/>
      </rPr>
      <t xml:space="preserve">$9-$249/</t>
    </r>
    <r>
      <rPr>
        <sz val="10"/>
        <color rgb="FF000000"/>
        <rFont val="DejaVu Sans"/>
        <family val="2"/>
      </rPr>
      <t xml:space="preserve">月</t>
    </r>
  </si>
  <si>
    <t xml:space="preserve">预算少时入门</t>
  </si>
  <si>
    <t xml:space="preserve">Minea</t>
  </si>
  <si>
    <t xml:space="preserve">Meta + TikTok + Pinterest + Shopify spy</t>
  </si>
  <si>
    <t xml:space="preserve">商品级</t>
  </si>
  <si>
    <r>
      <rPr>
        <sz val="10"/>
        <color rgb="FF000000"/>
        <rFont val="Arial"/>
        <family val="0"/>
        <charset val="1"/>
      </rPr>
      <t xml:space="preserve">$49-$399/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</si>
  <si>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家居选品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创意双用</t>
    </r>
  </si>
  <si>
    <t xml:space="preserve">Foreplay</t>
  </si>
  <si>
    <t xml:space="preserve">Meta+TikTok creative swipe + AI brief</t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</si>
  <si>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500k+</t>
    </r>
  </si>
  <si>
    <t xml:space="preserve">tag/brand</t>
  </si>
  <si>
    <r>
      <rPr>
        <sz val="10"/>
        <color rgb="FF000000"/>
        <rFont val="Arial"/>
        <family val="0"/>
        <charset val="1"/>
      </rPr>
      <t xml:space="preserve">$49-$99/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</si>
  <si>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DejaVu Sans"/>
        <family val="2"/>
        <charset val="1"/>
      </rPr>
      <t xml:space="preserve">brief </t>
    </r>
    <r>
      <rPr>
        <sz val="10"/>
        <color rgb="FF000000"/>
        <rFont val="DejaVu Sans"/>
        <family val="2"/>
      </rPr>
      <t xml:space="preserve">生产线</t>
    </r>
  </si>
  <si>
    <t xml:space="preserve">Amazon Ads API v3</t>
  </si>
  <si>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官方</t>
    </r>
    <r>
      <rPr>
        <sz val="10"/>
        <color rgb="FF000000"/>
        <rFont val="DejaVu Sans"/>
        <family val="2"/>
        <charset val="1"/>
      </rPr>
      <t xml:space="preserve">-Amazon</t>
    </r>
  </si>
  <si>
    <t xml:space="preserve">CPC/ACoS/CR/SP+SB+SD</t>
  </si>
  <si>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站点</t>
    </r>
  </si>
  <si>
    <r>
      <rPr>
        <sz val="10"/>
        <color rgb="FF000000"/>
        <rFont val="Arial"/>
        <family val="0"/>
        <charset val="1"/>
      </rPr>
      <t xml:space="preserve">ASIN + </t>
    </r>
    <r>
      <rPr>
        <sz val="10"/>
        <color rgb="FF000000"/>
        <rFont val="DejaVu Sans"/>
        <family val="2"/>
      </rPr>
      <t xml:space="preserve">关键词</t>
    </r>
  </si>
  <si>
    <t xml:space="preserve">REST + OAuth2</t>
  </si>
  <si>
    <r>
      <rPr>
        <sz val="10"/>
        <color rgb="FF000000"/>
        <rFont val="DejaVu Sans"/>
        <family val="2"/>
      </rPr>
      <t xml:space="preserve">报告 </t>
    </r>
    <r>
      <rPr>
        <sz val="10"/>
        <color rgb="FF000000"/>
        <rFont val="DejaVu Sans"/>
        <family val="2"/>
        <charset val="1"/>
      </rPr>
      <t xml:space="preserve">T+1</t>
    </r>
  </si>
  <si>
    <r>
      <rPr>
        <sz val="10"/>
        <color rgb="FF000000"/>
        <rFont val="Arial"/>
        <family val="0"/>
        <charset val="1"/>
      </rPr>
      <t xml:space="preserve">Amazon ROI </t>
    </r>
    <r>
      <rPr>
        <sz val="10"/>
        <color rgb="FF000000"/>
        <rFont val="DejaVu Sans"/>
        <family val="2"/>
      </rPr>
      <t xml:space="preserve">系统基座（必接）</t>
    </r>
  </si>
  <si>
    <t xml:space="preserve">Amazon Marketing Stream</t>
  </si>
  <si>
    <r>
      <rPr>
        <sz val="10"/>
        <color rgb="FF000000"/>
        <rFont val="DejaVu Sans"/>
        <family val="2"/>
      </rPr>
      <t xml:space="preserve">小时级 </t>
    </r>
    <r>
      <rPr>
        <sz val="10"/>
        <color rgb="FF000000"/>
        <rFont val="DejaVu Sans"/>
        <family val="2"/>
        <charset val="1"/>
      </rPr>
      <t xml:space="preserve">SP/SB/SD </t>
    </r>
    <r>
      <rPr>
        <sz val="10"/>
        <color rgb="FF000000"/>
        <rFont val="DejaVu Sans"/>
        <family val="2"/>
      </rPr>
      <t xml:space="preserve">数据流</t>
    </r>
  </si>
  <si>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DejaVu Sans"/>
        <family val="2"/>
      </rPr>
      <t xml:space="preserve">国</t>
    </r>
  </si>
  <si>
    <r>
      <rPr>
        <sz val="10"/>
        <color rgb="FF000000"/>
        <rFont val="DejaVu Sans"/>
        <family val="2"/>
      </rPr>
      <t xml:space="preserve">免费（</t>
    </r>
    <r>
      <rPr>
        <sz val="10"/>
        <color rgb="FF000000"/>
        <rFont val="DejaVu Sans"/>
        <family val="2"/>
        <charset val="1"/>
      </rPr>
      <t xml:space="preserve">AWS SQS $20-50/</t>
    </r>
    <r>
      <rPr>
        <sz val="10"/>
        <color rgb="FF000000"/>
        <rFont val="DejaVu Sans"/>
        <family val="2"/>
      </rPr>
      <t xml:space="preserve">月）</t>
    </r>
  </si>
  <si>
    <t xml:space="preserve">Push JSON</t>
  </si>
  <si>
    <t xml:space="preserve">小时级</t>
  </si>
  <si>
    <t xml:space="preserve">实时调价的关键拼图（必接）</t>
  </si>
  <si>
    <t xml:space="preserve">Amazon Brand Analytics</t>
  </si>
  <si>
    <t xml:space="preserve">Search Query Performance</t>
  </si>
  <si>
    <r>
      <rPr>
        <sz val="10"/>
        <color rgb="FF000000"/>
        <rFont val="DejaVu Sans"/>
        <family val="2"/>
      </rPr>
      <t xml:space="preserve">各站点 </t>
    </r>
    <r>
      <rPr>
        <sz val="10"/>
        <color rgb="FF000000"/>
        <rFont val="DejaVu Sans"/>
        <family val="2"/>
        <charset val="1"/>
      </rPr>
      <t xml:space="preserve">Brand Registry</t>
    </r>
  </si>
  <si>
    <r>
      <rPr>
        <sz val="10"/>
        <color rgb="FF000000"/>
        <rFont val="DejaVu Sans"/>
        <family val="2"/>
      </rPr>
      <t xml:space="preserve">关键词 </t>
    </r>
    <r>
      <rPr>
        <sz val="10"/>
        <color rgb="FF000000"/>
        <rFont val="DejaVu Sans"/>
        <family val="2"/>
        <charset val="1"/>
      </rPr>
      <t xml:space="preserve">+ ASIN</t>
    </r>
  </si>
  <si>
    <r>
      <rPr>
        <sz val="10"/>
        <color rgb="FF000000"/>
        <rFont val="DejaVu Sans"/>
        <family val="2"/>
      </rPr>
      <t xml:space="preserve">免费（需 </t>
    </r>
    <r>
      <rPr>
        <sz val="10"/>
        <color rgb="FF000000"/>
        <rFont val="DejaVu Sans"/>
        <family val="2"/>
        <charset val="1"/>
      </rPr>
      <t xml:space="preserve">Brand Registry</t>
    </r>
    <r>
      <rPr>
        <sz val="10"/>
        <color rgb="FF000000"/>
        <rFont val="DejaVu Sans"/>
        <family val="2"/>
      </rPr>
      <t xml:space="preserve">）</t>
    </r>
  </si>
  <si>
    <t xml:space="preserve">Ads API</t>
  </si>
  <si>
    <r>
      <rPr>
        <sz val="10"/>
        <color rgb="FF000000"/>
        <rFont val="DejaVu Sans"/>
        <family val="2"/>
      </rPr>
      <t xml:space="preserve">周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月度</t>
    </r>
  </si>
  <si>
    <r>
      <rPr>
        <sz val="10"/>
        <color rgb="FF000000"/>
        <rFont val="DejaVu Sans"/>
        <family val="2"/>
      </rPr>
      <t xml:space="preserve">竞品 </t>
    </r>
    <r>
      <rPr>
        <sz val="10"/>
        <color rgb="FF000000"/>
        <rFont val="DejaVu Sans"/>
        <family val="2"/>
        <charset val="1"/>
      </rPr>
      <t xml:space="preserve">SQP </t>
    </r>
    <r>
      <rPr>
        <sz val="10"/>
        <color rgb="FF000000"/>
        <rFont val="DejaVu Sans"/>
        <family val="2"/>
      </rPr>
      <t xml:space="preserve">流量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转化漏斗</t>
    </r>
  </si>
  <si>
    <t xml:space="preserve">Helium 10 Diamond</t>
  </si>
  <si>
    <r>
      <rPr>
        <sz val="10"/>
        <color rgb="FF000000"/>
        <rFont val="DejaVu Sans"/>
        <family val="2"/>
      </rPr>
      <t xml:space="preserve">竞品</t>
    </r>
    <r>
      <rPr>
        <sz val="10"/>
        <color rgb="FF000000"/>
        <rFont val="DejaVu Sans"/>
        <family val="2"/>
        <charset val="1"/>
      </rPr>
      <t xml:space="preserve">-Amazon-SaaS</t>
    </r>
  </si>
  <si>
    <r>
      <rPr>
        <sz val="10"/>
        <color rgb="FF000000"/>
        <rFont val="Arial"/>
        <family val="0"/>
        <charset val="1"/>
      </rPr>
      <t xml:space="preserve">Cerebro/Magnet/Adtomic </t>
    </r>
    <r>
      <rPr>
        <sz val="10"/>
        <color rgb="FF000000"/>
        <rFont val="DejaVu Sans"/>
        <family val="2"/>
      </rPr>
      <t xml:space="preserve">反查</t>
    </r>
    <r>
      <rPr>
        <sz val="10"/>
        <color rgb="FF000000"/>
        <rFont val="Arial"/>
        <family val="0"/>
        <charset val="1"/>
      </rPr>
      <t xml:space="preserve">+PPC</t>
    </r>
  </si>
  <si>
    <r>
      <rPr>
        <sz val="10"/>
        <color rgb="FF000000"/>
        <rFont val="Arial"/>
        <family val="0"/>
        <charset val="1"/>
      </rPr>
      <t xml:space="preserve">14+ </t>
    </r>
    <r>
      <rPr>
        <sz val="10"/>
        <color rgb="FF000000"/>
        <rFont val="DejaVu Sans"/>
        <family val="2"/>
      </rPr>
      <t xml:space="preserve">站点</t>
    </r>
  </si>
  <si>
    <r>
      <rPr>
        <sz val="10"/>
        <color rgb="FF000000"/>
        <rFont val="Arial"/>
        <family val="0"/>
        <charset val="1"/>
      </rPr>
      <t xml:space="preserve">ASIN+</t>
    </r>
    <r>
      <rPr>
        <sz val="10"/>
        <color rgb="FF000000"/>
        <rFont val="DejaVu Sans"/>
        <family val="2"/>
      </rPr>
      <t xml:space="preserve">关键词</t>
    </r>
  </si>
  <si>
    <r>
      <rPr>
        <sz val="10"/>
        <color rgb="FF000000"/>
        <rFont val="Arial"/>
        <family val="0"/>
        <charset val="1"/>
      </rPr>
      <t xml:space="preserve">$129-$359/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</si>
  <si>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REST</t>
    </r>
    <r>
      <rPr>
        <sz val="10"/>
        <color rgb="FF000000"/>
        <rFont val="DejaVu Sans"/>
        <family val="2"/>
      </rPr>
      <t xml:space="preserve">（高阶）</t>
    </r>
  </si>
  <si>
    <r>
      <rPr>
        <sz val="10"/>
        <color rgb="FF000000"/>
        <rFont val="Arial"/>
        <family val="0"/>
        <charset val="1"/>
      </rPr>
      <t xml:space="preserve">T+1 </t>
    </r>
    <r>
      <rPr>
        <sz val="10"/>
        <color rgb="FF000000"/>
        <rFont val="DejaVu Sans"/>
        <family val="2"/>
      </rPr>
      <t xml:space="preserve">到 </t>
    </r>
    <r>
      <rPr>
        <sz val="10"/>
        <color rgb="FF000000"/>
        <rFont val="Arial"/>
        <family val="0"/>
        <charset val="1"/>
      </rPr>
      <t xml:space="preserve">T+7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</si>
  <si>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选品</t>
    </r>
    <r>
      <rPr>
        <sz val="10"/>
        <color rgb="FF000000"/>
        <rFont val="Arial"/>
        <family val="0"/>
        <charset val="1"/>
      </rPr>
      <t xml:space="preserve">+PPC </t>
    </r>
    <r>
      <rPr>
        <sz val="10"/>
        <color rgb="FF000000"/>
        <rFont val="DejaVu Sans"/>
        <family val="2"/>
      </rPr>
      <t xml:space="preserve">自动化（推荐）</t>
    </r>
  </si>
  <si>
    <t xml:space="preserve">Jungle Scout</t>
  </si>
  <si>
    <r>
      <rPr>
        <sz val="10"/>
        <color rgb="FF000000"/>
        <rFont val="Arial"/>
        <family val="0"/>
        <charset val="1"/>
      </rPr>
      <t xml:space="preserve">SV/</t>
    </r>
    <r>
      <rPr>
        <sz val="10"/>
        <color rgb="FF000000"/>
        <rFont val="DejaVu Sans"/>
        <family val="2"/>
      </rPr>
      <t xml:space="preserve">销量</t>
    </r>
    <r>
      <rPr>
        <sz val="10"/>
        <color rgb="FF000000"/>
        <rFont val="Arial"/>
        <family val="0"/>
        <charset val="1"/>
      </rPr>
      <t xml:space="preserve">/Share of Voice</t>
    </r>
  </si>
  <si>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DejaVu Sans"/>
        <family val="2"/>
      </rPr>
      <t xml:space="preserve">主流站点</t>
    </r>
  </si>
  <si>
    <r>
      <rPr>
        <sz val="10"/>
        <color rgb="FF000000"/>
        <rFont val="DejaVu Sans"/>
        <family val="2"/>
      </rPr>
      <t xml:space="preserve">关键词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类目</t>
    </r>
  </si>
  <si>
    <r>
      <rPr>
        <sz val="10"/>
        <color rgb="FF000000"/>
        <rFont val="Arial"/>
        <family val="0"/>
        <charset val="1"/>
      </rPr>
      <t xml:space="preserve">$49-$149/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+ API $29-$199</t>
    </r>
  </si>
  <si>
    <t xml:space="preserve">T+1</t>
  </si>
  <si>
    <r>
      <rPr>
        <sz val="10"/>
        <color rgb="FF000000"/>
        <rFont val="DejaVu Sans"/>
        <family val="2"/>
      </rPr>
      <t xml:space="preserve">选品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销量预估</t>
    </r>
  </si>
  <si>
    <t xml:space="preserve">DataDive</t>
  </si>
  <si>
    <r>
      <rPr>
        <sz val="10"/>
        <color rgb="FF000000"/>
        <rFont val="DejaVu Sans"/>
        <family val="2"/>
      </rPr>
      <t xml:space="preserve">关键词聚合 </t>
    </r>
    <r>
      <rPr>
        <sz val="10"/>
        <color rgb="FF000000"/>
        <rFont val="DejaVu Sans"/>
        <family val="2"/>
        <charset val="1"/>
      </rPr>
      <t xml:space="preserve">cluster</t>
    </r>
  </si>
  <si>
    <r>
      <rPr>
        <sz val="10"/>
        <color rgb="FF000000"/>
        <rFont val="Arial"/>
        <family val="0"/>
        <charset val="1"/>
      </rPr>
      <t xml:space="preserve">9+ </t>
    </r>
    <r>
      <rPr>
        <sz val="10"/>
        <color rgb="FF000000"/>
        <rFont val="DejaVu Sans"/>
        <family val="2"/>
      </rPr>
      <t xml:space="preserve">站点</t>
    </r>
  </si>
  <si>
    <r>
      <rPr>
        <sz val="10"/>
        <color rgb="FF000000"/>
        <rFont val="Arial"/>
        <family val="0"/>
        <charset val="1"/>
      </rPr>
      <t xml:space="preserve">$39-$490/</t>
    </r>
    <r>
      <rPr>
        <sz val="10"/>
        <color rgb="FF000000"/>
        <rFont val="DejaVu Sans"/>
        <family val="2"/>
      </rPr>
      <t xml:space="preserve">月（年付 </t>
    </r>
    <r>
      <rPr>
        <sz val="10"/>
        <color rgb="FF000000"/>
        <rFont val="Arial"/>
        <family val="0"/>
        <charset val="1"/>
      </rPr>
      <t xml:space="preserve">-16%</t>
    </r>
    <r>
      <rPr>
        <sz val="10"/>
        <color rgb="FF000000"/>
        <rFont val="DejaVu Sans"/>
        <family val="2"/>
      </rPr>
      <t xml:space="preserve">）</t>
    </r>
  </si>
  <si>
    <t xml:space="preserve">部分</t>
  </si>
  <si>
    <t xml:space="preserve">关键词性价比高</t>
  </si>
  <si>
    <t xml:space="preserve">Sellerise</t>
  </si>
  <si>
    <r>
      <rPr>
        <sz val="10"/>
        <color rgb="FF000000"/>
        <rFont val="DejaVu Sans"/>
        <family val="2"/>
      </rPr>
      <t xml:space="preserve">关键词追踪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利润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退款</t>
    </r>
  </si>
  <si>
    <t xml:space="preserve">主流站点</t>
  </si>
  <si>
    <r>
      <rPr>
        <sz val="10"/>
        <color rgb="FF000000"/>
        <rFont val="Arial"/>
        <family val="0"/>
        <charset val="1"/>
      </rPr>
      <t xml:space="preserve">$19.99-$599.99/</t>
    </r>
    <r>
      <rPr>
        <sz val="10"/>
        <color rgb="FF000000"/>
        <rFont val="DejaVu Sans"/>
        <family val="2"/>
      </rPr>
      <t xml:space="preserve">月</t>
    </r>
  </si>
  <si>
    <t xml:space="preserve">有限</t>
  </si>
  <si>
    <r>
      <rPr>
        <sz val="10"/>
        <color rgb="FF000000"/>
        <rFont val="DejaVu Sans"/>
        <family val="2"/>
      </rPr>
      <t xml:space="preserve">低预算 </t>
    </r>
    <r>
      <rPr>
        <sz val="10"/>
        <color rgb="FF000000"/>
        <rFont val="DejaVu Sans"/>
        <family val="2"/>
        <charset val="1"/>
      </rPr>
      <t xml:space="preserve">Helium 10 </t>
    </r>
    <r>
      <rPr>
        <sz val="10"/>
        <color rgb="FF000000"/>
        <rFont val="DejaVu Sans"/>
        <family val="2"/>
      </rPr>
      <t xml:space="preserve">替代</t>
    </r>
  </si>
  <si>
    <t xml:space="preserve">Keepa API</t>
  </si>
  <si>
    <r>
      <rPr>
        <sz val="10"/>
        <color rgb="FF000000"/>
        <rFont val="DejaVu Sans"/>
        <family val="2"/>
      </rPr>
      <t xml:space="preserve">历史价</t>
    </r>
    <r>
      <rPr>
        <sz val="10"/>
        <color rgb="FF000000"/>
        <rFont val="DejaVu Sans"/>
        <family val="2"/>
        <charset val="1"/>
      </rPr>
      <t xml:space="preserve">/BSR/Buy Box/</t>
    </r>
    <r>
      <rPr>
        <sz val="10"/>
        <color rgb="FF000000"/>
        <rFont val="DejaVu Sans"/>
        <family val="2"/>
      </rPr>
      <t xml:space="preserve">库存</t>
    </r>
  </si>
  <si>
    <r>
      <rPr>
        <sz val="10"/>
        <color rgb="FF000000"/>
        <rFont val="DejaVu Sans"/>
        <family val="2"/>
      </rPr>
      <t xml:space="preserve">全 </t>
    </r>
    <r>
      <rPr>
        <sz val="10"/>
        <color rgb="FF000000"/>
        <rFont val="DejaVu Sans"/>
        <family val="2"/>
        <charset val="1"/>
      </rPr>
      <t xml:space="preserve">Amazon </t>
    </r>
    <r>
      <rPr>
        <sz val="10"/>
        <color rgb="FF000000"/>
        <rFont val="DejaVu Sans"/>
        <family val="2"/>
      </rPr>
      <t xml:space="preserve">站点</t>
    </r>
  </si>
  <si>
    <t xml:space="preserve">ASIN</t>
  </si>
  <si>
    <r>
      <rPr>
        <sz val="10"/>
        <color rgb="FF000000"/>
        <rFont val="Arial"/>
        <family val="0"/>
        <charset val="1"/>
      </rPr>
      <t xml:space="preserve">Web €19/</t>
    </r>
    <r>
      <rPr>
        <sz val="10"/>
        <color rgb="FF000000"/>
        <rFont val="DejaVu Sans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API €49-€53,500/</t>
    </r>
    <r>
      <rPr>
        <sz val="10"/>
        <color rgb="FF000000"/>
        <rFont val="DejaVu Sans"/>
        <family val="2"/>
      </rPr>
      <t xml:space="preserve">月</t>
    </r>
  </si>
  <si>
    <t xml:space="preserve">REST + Token</t>
  </si>
  <si>
    <r>
      <rPr>
        <sz val="10"/>
        <color rgb="FF000000"/>
        <rFont val="DejaVu Sans"/>
        <family val="2"/>
      </rPr>
      <t xml:space="preserve">竞品价格 </t>
    </r>
    <r>
      <rPr>
        <sz val="10"/>
        <color rgb="FF000000"/>
        <rFont val="DejaVu Sans"/>
        <family val="2"/>
        <charset val="1"/>
      </rPr>
      <t xml:space="preserve">BSR </t>
    </r>
    <r>
      <rPr>
        <sz val="10"/>
        <color rgb="FF000000"/>
        <rFont val="DejaVu Sans"/>
        <family val="2"/>
      </rPr>
      <t xml:space="preserve">历史（推荐）</t>
    </r>
  </si>
  <si>
    <t xml:space="preserve">SmartScout</t>
  </si>
  <si>
    <r>
      <rPr>
        <sz val="10"/>
        <color rgb="FF000000"/>
        <rFont val="DejaVu Sans"/>
        <family val="2"/>
      </rPr>
      <t xml:space="preserve">品牌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子类目份额 </t>
    </r>
    <r>
      <rPr>
        <sz val="10"/>
        <color rgb="FF000000"/>
        <rFont val="DejaVu Sans"/>
        <family val="2"/>
        <charset val="1"/>
      </rPr>
      <t xml:space="preserve">43k+</t>
    </r>
  </si>
  <si>
    <r>
      <rPr>
        <sz val="10"/>
        <color rgb="FF000000"/>
        <rFont val="Arial"/>
        <family val="0"/>
        <charset val="1"/>
      </rPr>
      <t xml:space="preserve">US </t>
    </r>
    <r>
      <rPr>
        <sz val="10"/>
        <color rgb="FF000000"/>
        <rFont val="DejaVu Sans"/>
        <family val="2"/>
      </rPr>
      <t xml:space="preserve">最强 </t>
    </r>
    <r>
      <rPr>
        <sz val="10"/>
        <color rgb="FF000000"/>
        <rFont val="Arial"/>
        <family val="0"/>
        <charset val="1"/>
      </rPr>
      <t xml:space="preserve">/ UK/DE/CA</t>
    </r>
  </si>
  <si>
    <t xml:space="preserve">子类目（家居家具强）</t>
  </si>
  <si>
    <r>
      <rPr>
        <sz val="10"/>
        <color rgb="FF000000"/>
        <rFont val="Arial"/>
        <family val="0"/>
        <charset val="1"/>
      </rPr>
      <t xml:space="preserve">$75-$399/</t>
    </r>
    <r>
      <rPr>
        <sz val="10"/>
        <color rgb="FF000000"/>
        <rFont val="DejaVu Sans"/>
        <family val="2"/>
      </rPr>
      <t xml:space="preserve">月</t>
    </r>
  </si>
  <si>
    <t xml:space="preserve">Ent</t>
  </si>
  <si>
    <t xml:space="preserve">家居家具子类目竞品定位</t>
  </si>
  <si>
    <t xml:space="preserve">Pacvue</t>
  </si>
  <si>
    <r>
      <rPr>
        <sz val="10"/>
        <color rgb="FF000000"/>
        <rFont val="Arial"/>
        <family val="0"/>
        <charset val="1"/>
      </rPr>
      <t xml:space="preserve">PPC </t>
    </r>
    <r>
      <rPr>
        <sz val="10"/>
        <color rgb="FF000000"/>
        <rFont val="DejaVu Sans"/>
        <family val="2"/>
      </rPr>
      <t xml:space="preserve">管理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DejaVu Sans"/>
        <family val="2"/>
      </rPr>
      <t xml:space="preserve">企业</t>
    </r>
  </si>
  <si>
    <r>
      <rPr>
        <sz val="10"/>
        <color rgb="FF000000"/>
        <rFont val="DejaVu Sans"/>
        <family val="2"/>
      </rPr>
      <t xml:space="preserve">跨平台广告 </t>
    </r>
    <r>
      <rPr>
        <sz val="10"/>
        <color rgb="FF000000"/>
        <rFont val="DejaVu Sans"/>
        <family val="2"/>
        <charset val="1"/>
      </rPr>
      <t xml:space="preserve">+ DSP</t>
    </r>
  </si>
  <si>
    <r>
      <rPr>
        <sz val="10"/>
        <color rgb="FF000000"/>
        <rFont val="Arial"/>
        <family val="0"/>
        <charset val="1"/>
      </rPr>
      <t xml:space="preserve">Amazon 36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+ Walmart </t>
    </r>
    <r>
      <rPr>
        <sz val="10"/>
        <color rgb="FF000000"/>
        <rFont val="DejaVu Sans"/>
        <family val="2"/>
      </rPr>
      <t xml:space="preserve">等</t>
    </r>
  </si>
  <si>
    <t xml:space="preserve">全粒度</t>
  </si>
  <si>
    <r>
      <rPr>
        <sz val="10"/>
        <color rgb="FF000000"/>
        <rFont val="Arial"/>
        <family val="0"/>
        <charset val="1"/>
      </rPr>
      <t xml:space="preserve">$500+/</t>
    </r>
    <r>
      <rPr>
        <sz val="10"/>
        <color rgb="FF000000"/>
        <rFont val="DejaVu Sans"/>
        <family val="2"/>
      </rPr>
      <t xml:space="preserve">月或 </t>
    </r>
    <r>
      <rPr>
        <sz val="10"/>
        <color rgb="FF000000"/>
        <rFont val="Arial"/>
        <family val="0"/>
        <charset val="1"/>
      </rPr>
      <t xml:space="preserve">3-4% ad spend</t>
    </r>
  </si>
  <si>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ad spend $50k+ </t>
    </r>
    <r>
      <rPr>
        <sz val="10"/>
        <color rgb="FF000000"/>
        <rFont val="DejaVu Sans"/>
        <family val="2"/>
      </rPr>
      <t xml:space="preserve">适用</t>
    </r>
  </si>
  <si>
    <t xml:space="preserve">Perpetua</t>
  </si>
  <si>
    <r>
      <rPr>
        <sz val="10"/>
        <color rgb="FF000000"/>
        <rFont val="Arial"/>
        <family val="0"/>
        <charset val="1"/>
      </rPr>
      <t xml:space="preserve">PPC </t>
    </r>
    <r>
      <rPr>
        <sz val="10"/>
        <color rgb="FF000000"/>
        <rFont val="DejaVu Sans"/>
        <family val="2"/>
      </rPr>
      <t xml:space="preserve">管理</t>
    </r>
    <r>
      <rPr>
        <sz val="10"/>
        <color rgb="FF000000"/>
        <rFont val="Arial"/>
        <family val="0"/>
        <charset val="1"/>
      </rPr>
      <t xml:space="preserve">-SaaS</t>
    </r>
  </si>
  <si>
    <r>
      <rPr>
        <sz val="10"/>
        <color rgb="FF000000"/>
        <rFont val="Arial"/>
        <family val="0"/>
        <charset val="1"/>
      </rPr>
      <t xml:space="preserve">PPC </t>
    </r>
    <r>
      <rPr>
        <sz val="10"/>
        <color rgb="FF000000"/>
        <rFont val="DejaVu Sans"/>
        <family val="2"/>
      </rPr>
      <t xml:space="preserve">自动化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创意优化</t>
    </r>
  </si>
  <si>
    <t xml:space="preserve">Amazon + Walmart + Instacart</t>
  </si>
  <si>
    <r>
      <rPr>
        <sz val="10"/>
        <color rgb="FF000000"/>
        <rFont val="Arial"/>
        <family val="0"/>
        <charset val="1"/>
      </rPr>
      <t xml:space="preserve">$250-$550+/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</si>
  <si>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中型卖家 </t>
    </r>
    <r>
      <rPr>
        <sz val="10"/>
        <color rgb="FF000000"/>
        <rFont val="DejaVu Sans"/>
        <family val="2"/>
        <charset val="1"/>
      </rPr>
      <t xml:space="preserve">AI </t>
    </r>
    <r>
      <rPr>
        <sz val="10"/>
        <color rgb="FF000000"/>
        <rFont val="DejaVu Sans"/>
        <family val="2"/>
      </rPr>
      <t xml:space="preserve">自动化</t>
    </r>
  </si>
  <si>
    <t xml:space="preserve">Teikametrics</t>
  </si>
  <si>
    <r>
      <rPr>
        <sz val="10"/>
        <color rgb="FF000000"/>
        <rFont val="Arial"/>
        <family val="0"/>
        <charset val="1"/>
      </rPr>
      <t xml:space="preserve">AI PPC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Amazon+Walmart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</si>
  <si>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主流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</si>
  <si>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&lt;$10k </t>
    </r>
    <r>
      <rPr>
        <sz val="10"/>
        <color rgb="FF000000"/>
        <rFont val="DejaVu Sans"/>
        <family val="2"/>
      </rPr>
      <t xml:space="preserve">投放；</t>
    </r>
    <r>
      <rPr>
        <sz val="10"/>
        <color rgb="FF000000"/>
        <rFont val="DejaVu Sans"/>
        <family val="2"/>
        <charset val="1"/>
      </rPr>
      <t xml:space="preserve">$199/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DejaVu Sans"/>
        <family val="2"/>
        <charset val="1"/>
      </rPr>
      <t xml:space="preserve">+3%</t>
    </r>
  </si>
  <si>
    <t xml:space="preserve">中小卖家免费门槛最友好</t>
  </si>
  <si>
    <t xml:space="preserve">Shopee Open Platform</t>
  </si>
  <si>
    <r>
      <rPr>
        <sz val="10"/>
        <color rgb="FF000000"/>
        <rFont val="DejaVu Sans"/>
        <family val="2"/>
      </rPr>
      <t xml:space="preserve">电商</t>
    </r>
    <r>
      <rPr>
        <sz val="10"/>
        <color rgb="FF000000"/>
        <rFont val="DejaVu Sans"/>
        <family val="2"/>
        <charset val="1"/>
      </rPr>
      <t xml:space="preserve">-SEA</t>
    </r>
  </si>
  <si>
    <r>
      <rPr>
        <sz val="10"/>
        <color rgb="FF000000"/>
        <rFont val="Arial"/>
        <family val="0"/>
        <charset val="1"/>
      </rPr>
      <t xml:space="preserve">Shopee </t>
    </r>
    <r>
      <rPr>
        <sz val="10"/>
        <color rgb="FF000000"/>
        <rFont val="DejaVu Sans"/>
        <family val="2"/>
      </rPr>
      <t xml:space="preserve">自家店铺数据</t>
    </r>
  </si>
  <si>
    <t xml:space="preserve">SG/MY/TH/VN/PH/ID</t>
  </si>
  <si>
    <t xml:space="preserve">免费（需注册）</t>
  </si>
  <si>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必备（无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替代）</t>
    </r>
  </si>
  <si>
    <t xml:space="preserve">Lazada Open Platform</t>
  </si>
  <si>
    <r>
      <rPr>
        <sz val="10"/>
        <color rgb="FF000000"/>
        <rFont val="Arial"/>
        <family val="0"/>
        <charset val="1"/>
      </rPr>
      <t xml:space="preserve">Lazada </t>
    </r>
    <r>
      <rPr>
        <sz val="10"/>
        <color rgb="FF000000"/>
        <rFont val="DejaVu Sans"/>
        <family val="2"/>
      </rPr>
      <t xml:space="preserve">店铺数据</t>
    </r>
  </si>
  <si>
    <r>
      <rPr>
        <sz val="10"/>
        <color rgb="FF000000"/>
        <rFont val="Arial"/>
        <family val="0"/>
        <charset val="1"/>
      </rPr>
      <t xml:space="preserve">SEA 6 </t>
    </r>
    <r>
      <rPr>
        <sz val="10"/>
        <color rgb="FF000000"/>
        <rFont val="DejaVu Sans"/>
        <family val="2"/>
      </rPr>
      <t xml:space="preserve">国</t>
    </r>
  </si>
  <si>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替代源（成熟度高）</t>
    </r>
  </si>
  <si>
    <t xml:space="preserve">Epsilo</t>
  </si>
  <si>
    <r>
      <rPr>
        <sz val="10"/>
        <color rgb="FF000000"/>
        <rFont val="DejaVu Sans"/>
        <family val="2"/>
      </rPr>
      <t xml:space="preserve">电商</t>
    </r>
    <r>
      <rPr>
        <sz val="10"/>
        <color rgb="FF000000"/>
        <rFont val="DejaVu Sans"/>
        <family val="2"/>
        <charset val="1"/>
      </rPr>
      <t xml:space="preserve">-SEA-SaaS</t>
    </r>
  </si>
  <si>
    <r>
      <rPr>
        <sz val="10"/>
        <color rgb="FF000000"/>
        <rFont val="DejaVu Sans"/>
        <family val="2"/>
      </rPr>
      <t xml:space="preserve">跨平台广告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关键词 </t>
    </r>
    <r>
      <rPr>
        <sz val="10"/>
        <color rgb="FF000000"/>
        <rFont val="DejaVu Sans"/>
        <family val="2"/>
        <charset val="1"/>
      </rPr>
      <t xml:space="preserve">SEA</t>
    </r>
  </si>
  <si>
    <t xml:space="preserve">Shopee/Lazada/TikTok SEA</t>
  </si>
  <si>
    <r>
      <rPr>
        <sz val="10"/>
        <color rgb="FF000000"/>
        <rFont val="Arial"/>
        <family val="0"/>
        <charset val="1"/>
      </rPr>
      <t xml:space="preserve">Custom </t>
    </r>
    <r>
      <rPr>
        <sz val="10"/>
        <color rgb="FF000000"/>
        <rFont val="DejaVu Sans"/>
        <family val="2"/>
      </rPr>
      <t xml:space="preserve">定价</t>
    </r>
  </si>
  <si>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跨平台广告分析</t>
    </r>
  </si>
  <si>
    <t xml:space="preserve">Graas</t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</si>
  <si>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DejaVu Sans"/>
        <family val="2"/>
      </rPr>
      <t xml:space="preserve">营销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数据聚合</t>
    </r>
  </si>
  <si>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高阶分析</t>
    </r>
  </si>
  <si>
    <t xml:space="preserve">TikTok Marketing API</t>
  </si>
  <si>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官方</t>
    </r>
    <r>
      <rPr>
        <sz val="10"/>
        <color rgb="FF000000"/>
        <rFont val="DejaVu Sans"/>
        <family val="2"/>
        <charset val="1"/>
      </rPr>
      <t xml:space="preserve">-TikTok</t>
    </r>
  </si>
  <si>
    <t xml:space="preserve">CPM/CTR/CVR/ROAS</t>
  </si>
  <si>
    <r>
      <rPr>
        <sz val="10"/>
        <color rgb="FF000000"/>
        <rFont val="DejaVu Sans"/>
        <family val="2"/>
      </rPr>
      <t xml:space="preserve">全部（含 </t>
    </r>
    <r>
      <rPr>
        <sz val="10"/>
        <color rgb="FF000000"/>
        <rFont val="DejaVu Sans"/>
        <family val="2"/>
        <charset val="1"/>
      </rPr>
      <t xml:space="preserve">CA/JP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</si>
  <si>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广告组</t>
    </r>
    <r>
      <rPr>
        <sz val="10"/>
        <color rgb="FF000000"/>
        <rFont val="DejaVu Sans"/>
        <family val="2"/>
        <charset val="1"/>
      </rPr>
      <t xml:space="preserve">/SKU</t>
    </r>
  </si>
  <si>
    <r>
      <rPr>
        <sz val="10"/>
        <color rgb="FF000000"/>
        <rFont val="DejaVu Sans"/>
        <family val="2"/>
      </rPr>
      <t xml:space="preserve">近实时（</t>
    </r>
    <r>
      <rPr>
        <sz val="10"/>
        <color rgb="FF000000"/>
        <rFont val="DejaVu Sans"/>
        <family val="2"/>
        <charset val="1"/>
      </rPr>
      <t xml:space="preserve">1-3h </t>
    </r>
    <r>
      <rPr>
        <sz val="10"/>
        <color rgb="FF000000"/>
        <rFont val="DejaVu Sans"/>
        <family val="2"/>
      </rPr>
      <t xml:space="preserve">延迟）</t>
    </r>
  </si>
  <si>
    <r>
      <rPr>
        <sz val="10"/>
        <color rgb="FF000000"/>
        <rFont val="Arial"/>
        <family val="0"/>
        <charset val="1"/>
      </rPr>
      <t xml:space="preserve">TikTok ROI </t>
    </r>
    <r>
      <rPr>
        <sz val="10"/>
        <color rgb="FF000000"/>
        <rFont val="DejaVu Sans"/>
        <family val="2"/>
      </rPr>
      <t xml:space="preserve">底座（必接）</t>
    </r>
  </si>
  <si>
    <t xml:space="preserve">TikTok Creative Center</t>
  </si>
  <si>
    <t xml:space="preserve">Top Ads/Hashtags/Products</t>
  </si>
  <si>
    <t xml:space="preserve">全站点</t>
  </si>
  <si>
    <t xml:space="preserve">一二级类目</t>
  </si>
  <si>
    <t xml:space="preserve">UI only</t>
  </si>
  <si>
    <r>
      <rPr>
        <sz val="10"/>
        <color rgb="FF000000"/>
        <rFont val="Arial"/>
        <family val="0"/>
        <charset val="1"/>
      </rPr>
      <t xml:space="preserve">7d </t>
    </r>
    <r>
      <rPr>
        <sz val="10"/>
        <color rgb="FF000000"/>
        <rFont val="DejaVu Sans"/>
        <family val="2"/>
      </rPr>
      <t xml:space="preserve">滚动</t>
    </r>
  </si>
  <si>
    <r>
      <rPr>
        <sz val="10"/>
        <color rgb="FF000000"/>
        <rFont val="DejaVu Sans"/>
        <family val="2"/>
      </rPr>
      <t xml:space="preserve">找爆品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创意灵感</t>
    </r>
  </si>
  <si>
    <t xml:space="preserve">TikTok Shop Open Platform API</t>
  </si>
  <si>
    <r>
      <rPr>
        <sz val="10"/>
        <color rgb="FF000000"/>
        <rFont val="DejaVu Sans"/>
        <family val="2"/>
      </rPr>
      <t xml:space="preserve">电商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官方</t>
    </r>
    <r>
      <rPr>
        <sz val="10"/>
        <color rgb="FF000000"/>
        <rFont val="DejaVu Sans"/>
        <family val="2"/>
        <charset val="1"/>
      </rPr>
      <t xml:space="preserve">-TikTok</t>
    </r>
  </si>
  <si>
    <r>
      <rPr>
        <sz val="10"/>
        <color rgb="FF000000"/>
        <rFont val="DejaVu Sans"/>
        <family val="2"/>
      </rPr>
      <t xml:space="preserve">订单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库存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物流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财务</t>
    </r>
  </si>
  <si>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DejaVu Sans"/>
        <family val="2"/>
      </rPr>
      <t xml:space="preserve">已开站点（</t>
    </r>
    <r>
      <rPr>
        <sz val="10"/>
        <color rgb="FF000000"/>
        <rFont val="Arial"/>
        <family val="0"/>
        <charset val="1"/>
      </rPr>
      <t xml:space="preserve">US/UK/EU/SEA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</si>
  <si>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免费（</t>
    </r>
    <r>
      <rPr>
        <sz val="10"/>
        <color rgb="FF000000"/>
        <rFont val="DejaVu Sans"/>
        <family val="2"/>
        <charset val="1"/>
      </rPr>
      <t xml:space="preserve">2 </t>
    </r>
    <r>
      <rPr>
        <sz val="10"/>
        <color rgb="FF000000"/>
        <rFont val="DejaVu Sans"/>
        <family val="2"/>
      </rPr>
      <t xml:space="preserve">工作日审核）</t>
    </r>
  </si>
  <si>
    <t xml:space="preserve">OAuth 2.0</t>
  </si>
  <si>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DejaVu Sans"/>
        <family val="2"/>
      </rPr>
      <t xml:space="preserve">实时 </t>
    </r>
    <r>
      <rPr>
        <sz val="10"/>
        <color rgb="FF000000"/>
        <rFont val="Arial"/>
        <family val="0"/>
        <charset val="1"/>
      </rPr>
      <t xml:space="preserve">ROI</t>
    </r>
    <r>
      <rPr>
        <sz val="10"/>
        <color rgb="FF000000"/>
        <rFont val="DejaVu Sans"/>
        <family val="2"/>
      </rPr>
      <t xml:space="preserve">（必接）</t>
    </r>
  </si>
  <si>
    <t xml:space="preserve">Kalodata</t>
  </si>
  <si>
    <r>
      <rPr>
        <sz val="10"/>
        <color rgb="FF000000"/>
        <rFont val="DejaVu Sans"/>
        <family val="2"/>
      </rPr>
      <t xml:space="preserve">电商</t>
    </r>
    <r>
      <rPr>
        <sz val="10"/>
        <color rgb="FF000000"/>
        <rFont val="DejaVu Sans"/>
        <family val="2"/>
        <charset val="1"/>
      </rPr>
      <t xml:space="preserve">-TikTok-SaaS</t>
    </r>
  </si>
  <si>
    <r>
      <rPr>
        <sz val="10"/>
        <color rgb="FF000000"/>
        <rFont val="DejaVu Sans"/>
        <family val="2"/>
      </rPr>
      <t xml:space="preserve">电商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达人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广告</t>
    </r>
  </si>
  <si>
    <r>
      <rPr>
        <sz val="10"/>
        <color rgb="FF000000"/>
        <rFont val="Arial"/>
        <family val="0"/>
        <charset val="1"/>
      </rPr>
      <t xml:space="preserve">US/UK/DE/</t>
    </r>
    <r>
      <rPr>
        <sz val="10"/>
        <color rgb="FF000000"/>
        <rFont val="DejaVu Sans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SEA</t>
    </r>
    <r>
      <rPr>
        <sz val="10"/>
        <color rgb="FF000000"/>
        <rFont val="DejaVu Sans"/>
        <family val="2"/>
      </rPr>
      <t xml:space="preserve">（不含 </t>
    </r>
    <r>
      <rPr>
        <sz val="10"/>
        <color rgb="FF000000"/>
        <rFont val="Arial"/>
        <family val="0"/>
        <charset val="1"/>
      </rPr>
      <t xml:space="preserve">JP</t>
    </r>
    <r>
      <rPr>
        <sz val="10"/>
        <color rgb="FF000000"/>
        <rFont val="DejaVu Sans"/>
        <family val="2"/>
      </rPr>
      <t xml:space="preserve">）</t>
    </r>
  </si>
  <si>
    <t xml:space="preserve">三级类目</t>
  </si>
  <si>
    <r>
      <rPr>
        <sz val="10"/>
        <color rgb="FF000000"/>
        <rFont val="Arial"/>
        <family val="0"/>
        <charset val="1"/>
      </rPr>
      <t xml:space="preserve">$45.9-$109.99/</t>
    </r>
    <r>
      <rPr>
        <sz val="10"/>
        <color rgb="FF000000"/>
        <rFont val="DejaVu Sans"/>
        <family val="2"/>
      </rPr>
      <t xml:space="preserve">月（年付 </t>
    </r>
    <r>
      <rPr>
        <sz val="10"/>
        <color rgb="FF000000"/>
        <rFont val="Arial"/>
        <family val="0"/>
        <charset val="1"/>
      </rPr>
      <t xml:space="preserve">-30%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</si>
  <si>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选品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对标店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达人（强推）</t>
    </r>
  </si>
  <si>
    <t xml:space="preserve">FastMoss</t>
  </si>
  <si>
    <r>
      <rPr>
        <sz val="10"/>
        <color rgb="FF000000"/>
        <rFont val="DejaVu Sans"/>
        <family val="2"/>
      </rPr>
      <t xml:space="preserve">电商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达人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直播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广告</t>
    </r>
  </si>
  <si>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DejaVu Sans"/>
        <family val="2"/>
      </rPr>
      <t xml:space="preserve">国（含 </t>
    </r>
    <r>
      <rPr>
        <sz val="10"/>
        <color rgb="FF000000"/>
        <rFont val="Arial"/>
        <family val="0"/>
        <charset val="1"/>
      </rPr>
      <t xml:space="preserve">JP/CA </t>
    </r>
    <r>
      <rPr>
        <sz val="10"/>
        <color rgb="FF000000"/>
        <rFont val="DejaVu Sans"/>
        <family val="2"/>
      </rPr>
      <t xml:space="preserve">预热）</t>
    </r>
  </si>
  <si>
    <r>
      <rPr>
        <sz val="10"/>
        <color rgb="FF000000"/>
        <rFont val="Arial"/>
        <family val="0"/>
        <charset val="1"/>
      </rPr>
      <t xml:space="preserve">$59-$199/</t>
    </r>
    <r>
      <rPr>
        <sz val="10"/>
        <color rgb="FF000000"/>
        <rFont val="DejaVu Sans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API $500-5000/</t>
    </r>
    <r>
      <rPr>
        <sz val="10"/>
        <color rgb="FF000000"/>
        <rFont val="DejaVu Sans"/>
        <family val="2"/>
      </rPr>
      <t xml:space="preserve">年</t>
    </r>
  </si>
  <si>
    <t xml:space="preserve">实时（小时级）</t>
  </si>
  <si>
    <r>
      <rPr>
        <sz val="10"/>
        <color rgb="FF000000"/>
        <rFont val="DejaVu Sans"/>
        <family val="2"/>
      </rPr>
      <t xml:space="preserve">全球覆盖最广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达人导出</t>
    </r>
  </si>
  <si>
    <t xml:space="preserve">EchoTik</t>
  </si>
  <si>
    <r>
      <rPr>
        <sz val="10"/>
        <color rgb="FF000000"/>
        <rFont val="DejaVu Sans"/>
        <family val="2"/>
      </rPr>
      <t xml:space="preserve">电商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达人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直播</t>
    </r>
  </si>
  <si>
    <r>
      <rPr>
        <sz val="10"/>
        <color rgb="FF000000"/>
        <rFont val="Arial"/>
        <family val="0"/>
        <charset val="1"/>
      </rPr>
      <t xml:space="preserve">US/UK + </t>
    </r>
    <r>
      <rPr>
        <sz val="10"/>
        <color rgb="FF000000"/>
        <rFont val="DejaVu Sans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SEA</t>
    </r>
  </si>
  <si>
    <t xml:space="preserve">二级类目</t>
  </si>
  <si>
    <r>
      <rPr>
        <sz val="10"/>
        <color rgb="FF000000"/>
        <rFont val="Arial"/>
        <family val="0"/>
        <charset val="1"/>
      </rPr>
      <t xml:space="preserve">Free / $9.9-$19+/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</si>
  <si>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性价比 </t>
    </r>
    <r>
      <rPr>
        <sz val="10"/>
        <color rgb="FF000000"/>
        <rFont val="DejaVu Sans"/>
        <family val="2"/>
        <charset val="1"/>
      </rPr>
      <t xml:space="preserve">SEA </t>
    </r>
    <r>
      <rPr>
        <sz val="10"/>
        <color rgb="FF000000"/>
        <rFont val="DejaVu Sans"/>
        <family val="2"/>
      </rPr>
      <t xml:space="preserve">首选</t>
    </r>
  </si>
  <si>
    <t xml:space="preserve">Shoplus</t>
  </si>
  <si>
    <r>
      <rPr>
        <sz val="10"/>
        <color rgb="FF000000"/>
        <rFont val="DejaVu Sans"/>
        <family val="2"/>
      </rPr>
      <t xml:space="preserve">电商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达人</t>
    </r>
  </si>
  <si>
    <r>
      <rPr>
        <sz val="10"/>
        <color rgb="FF000000"/>
        <rFont val="Arial"/>
        <family val="0"/>
        <charset val="1"/>
      </rPr>
      <t xml:space="preserve">UK + </t>
    </r>
    <r>
      <rPr>
        <sz val="10"/>
        <color rgb="FF000000"/>
        <rFont val="DejaVu Sans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SEA</t>
    </r>
    <r>
      <rPr>
        <sz val="10"/>
        <color rgb="FF000000"/>
        <rFont val="DejaVu Sans"/>
        <family val="2"/>
      </rPr>
      <t xml:space="preserve">（不含 </t>
    </r>
    <r>
      <rPr>
        <sz val="10"/>
        <color rgb="FF000000"/>
        <rFont val="Arial"/>
        <family val="0"/>
        <charset val="1"/>
      </rPr>
      <t xml:space="preserve">US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</si>
  <si>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$49+/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</si>
  <si>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纯 </t>
    </r>
    <r>
      <rPr>
        <sz val="10"/>
        <color rgb="FF000000"/>
        <rFont val="DejaVu Sans"/>
        <family val="2"/>
        <charset val="1"/>
      </rPr>
      <t xml:space="preserve">SEA </t>
    </r>
    <r>
      <rPr>
        <sz val="10"/>
        <color rgb="FF000000"/>
        <rFont val="DejaVu Sans"/>
        <family val="2"/>
      </rPr>
      <t xml:space="preserve">选品</t>
    </r>
  </si>
  <si>
    <t xml:space="preserve">PiPiADS</t>
  </si>
  <si>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DejaVu Sans"/>
        <family val="2"/>
        <charset val="1"/>
      </rPr>
      <t xml:space="preserve">-TikTok-SaaS</t>
    </r>
  </si>
  <si>
    <r>
      <rPr>
        <sz val="10"/>
        <color rgb="FF000000"/>
        <rFont val="Arial"/>
        <family val="0"/>
        <charset val="1"/>
      </rPr>
      <t xml:space="preserve">TikTok </t>
    </r>
    <r>
      <rPr>
        <sz val="10"/>
        <color rgb="FF000000"/>
        <rFont val="DejaVu Sans"/>
        <family val="2"/>
      </rPr>
      <t xml:space="preserve">广告创意 </t>
    </r>
    <r>
      <rPr>
        <sz val="10"/>
        <color rgb="FF000000"/>
        <rFont val="Arial"/>
        <family val="0"/>
        <charset val="1"/>
      </rPr>
      <t xml:space="preserve">spy</t>
    </r>
  </si>
  <si>
    <r>
      <rPr>
        <sz val="10"/>
        <color rgb="FF000000"/>
        <rFont val="DejaVu Sans"/>
        <family val="2"/>
      </rPr>
      <t xml:space="preserve">类目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地区</t>
    </r>
  </si>
  <si>
    <r>
      <rPr>
        <sz val="10"/>
        <color rgb="FF000000"/>
        <rFont val="Arial"/>
        <family val="0"/>
        <charset val="1"/>
      </rPr>
      <t xml:space="preserve">Free/Basic $49+/</t>
    </r>
    <r>
      <rPr>
        <sz val="10"/>
        <color rgb="FF000000"/>
        <rFont val="DejaVu Sans"/>
        <family val="2"/>
      </rPr>
      <t xml:space="preserve">月</t>
    </r>
  </si>
  <si>
    <t xml:space="preserve">扒爆款创意（必备）</t>
  </si>
  <si>
    <t xml:space="preserve">Modash</t>
  </si>
  <si>
    <r>
      <rPr>
        <sz val="10"/>
        <color rgb="FF000000"/>
        <rFont val="DejaVu Sans"/>
        <family val="2"/>
      </rPr>
      <t xml:space="preserve">达人</t>
    </r>
    <r>
      <rPr>
        <sz val="10"/>
        <color rgb="FF000000"/>
        <rFont val="DejaVu Sans"/>
        <family val="2"/>
        <charset val="1"/>
      </rPr>
      <t xml:space="preserve">-SaaS</t>
    </r>
  </si>
  <si>
    <r>
      <rPr>
        <sz val="10"/>
        <color rgb="FF000000"/>
        <rFont val="DejaVu Sans"/>
        <family val="2"/>
      </rPr>
      <t xml:space="preserve">达人发现 </t>
    </r>
    <r>
      <rPr>
        <sz val="10"/>
        <color rgb="FF000000"/>
        <rFont val="DejaVu Sans"/>
        <family val="2"/>
        <charset val="1"/>
      </rPr>
      <t xml:space="preserve">350M </t>
    </r>
    <r>
      <rPr>
        <sz val="10"/>
        <color rgb="FF000000"/>
        <rFont val="DejaVu Sans"/>
        <family val="2"/>
      </rPr>
      <t xml:space="preserve">创作者</t>
    </r>
  </si>
  <si>
    <t xml:space="preserve">弱品类</t>
  </si>
  <si>
    <r>
      <rPr>
        <sz val="10"/>
        <color rgb="FF000000"/>
        <rFont val="Arial"/>
        <family val="0"/>
        <charset val="1"/>
      </rPr>
      <t xml:space="preserve">$199-$499/</t>
    </r>
    <r>
      <rPr>
        <sz val="10"/>
        <color rgb="FF000000"/>
        <rFont val="DejaVu Sans"/>
        <family val="2"/>
      </rPr>
      <t xml:space="preserve">月</t>
    </r>
  </si>
  <si>
    <t xml:space="preserve">海外达人主力库</t>
  </si>
  <si>
    <t xml:space="preserve">Insense</t>
  </si>
  <si>
    <r>
      <rPr>
        <sz val="10"/>
        <color rgb="FF000000"/>
        <rFont val="DejaVu Sans"/>
        <family val="2"/>
      </rPr>
      <t xml:space="preserve">达人 </t>
    </r>
    <r>
      <rPr>
        <sz val="10"/>
        <color rgb="FF000000"/>
        <rFont val="DejaVu Sans"/>
        <family val="2"/>
        <charset val="1"/>
      </rPr>
      <t xml:space="preserve">UGC </t>
    </r>
    <r>
      <rPr>
        <sz val="10"/>
        <color rgb="FF000000"/>
        <rFont val="DejaVu Sans"/>
        <family val="2"/>
      </rPr>
      <t xml:space="preserve">合作平台</t>
    </r>
  </si>
  <si>
    <r>
      <rPr>
        <sz val="10"/>
        <color rgb="FF000000"/>
        <rFont val="DejaVu Sans"/>
        <family val="2"/>
      </rPr>
      <t xml:space="preserve">全球重 </t>
    </r>
    <r>
      <rPr>
        <sz val="10"/>
        <color rgb="FF000000"/>
        <rFont val="DejaVu Sans"/>
        <family val="2"/>
        <charset val="1"/>
      </rPr>
      <t xml:space="preserve">US/UK</t>
    </r>
  </si>
  <si>
    <t xml:space="preserve">弱</t>
  </si>
  <si>
    <r>
      <rPr>
        <sz val="10"/>
        <color rgb="FF000000"/>
        <rFont val="Arial"/>
        <family val="0"/>
        <charset val="1"/>
      </rPr>
      <t xml:space="preserve">$500-$1800/</t>
    </r>
    <r>
      <rPr>
        <sz val="10"/>
        <color rgb="FF000000"/>
        <rFont val="DejaVu Sans"/>
        <family val="2"/>
      </rPr>
      <t xml:space="preserve">月</t>
    </r>
  </si>
  <si>
    <t xml:space="preserve">Spark Ads + UGC</t>
  </si>
  <si>
    <r>
      <rPr>
        <sz val="10"/>
        <color rgb="FF000000"/>
        <rFont val="DejaVu Sans"/>
        <family val="2"/>
      </rPr>
      <t xml:space="preserve">蝉妈妈 </t>
    </r>
    <r>
      <rPr>
        <sz val="10"/>
        <color rgb="FF000000"/>
        <rFont val="DejaVu Sans"/>
        <family val="2"/>
        <charset val="1"/>
      </rPr>
      <t xml:space="preserve">(Chanmama)</t>
    </r>
  </si>
  <si>
    <r>
      <rPr>
        <sz val="10"/>
        <color rgb="FF000000"/>
        <rFont val="DejaVu Sans"/>
        <family val="2"/>
      </rPr>
      <t xml:space="preserve">电商</t>
    </r>
    <r>
      <rPr>
        <sz val="10"/>
        <color rgb="FF000000"/>
        <rFont val="DejaVu Sans"/>
        <family val="2"/>
        <charset val="1"/>
      </rPr>
      <t xml:space="preserve">-TikTok-CN</t>
    </r>
  </si>
  <si>
    <r>
      <rPr>
        <sz val="10"/>
        <color rgb="FF000000"/>
        <rFont val="DejaVu Sans"/>
        <family val="2"/>
      </rPr>
      <t xml:space="preserve">国内抖音 </t>
    </r>
    <r>
      <rPr>
        <sz val="10"/>
        <color rgb="FF000000"/>
        <rFont val="DejaVu Sans"/>
        <family val="2"/>
        <charset val="1"/>
      </rPr>
      <t xml:space="preserve">+ TikTok </t>
    </r>
    <r>
      <rPr>
        <sz val="10"/>
        <color rgb="FF000000"/>
        <rFont val="DejaVu Sans"/>
        <family val="2"/>
      </rPr>
      <t xml:space="preserve">跨境</t>
    </r>
  </si>
  <si>
    <r>
      <rPr>
        <sz val="10"/>
        <color rgb="FF000000"/>
        <rFont val="DejaVu Sans"/>
        <family val="2"/>
      </rPr>
      <t xml:space="preserve">国内强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跨境 </t>
    </r>
    <r>
      <rPr>
        <sz val="10"/>
        <color rgb="FF000000"/>
        <rFont val="DejaVu Sans"/>
        <family val="2"/>
        <charset val="1"/>
      </rPr>
      <t xml:space="preserve">US/UK/SEA</t>
    </r>
  </si>
  <si>
    <r>
      <rPr>
        <sz val="10"/>
        <color rgb="FF000000"/>
        <rFont val="Arial"/>
        <family val="0"/>
        <charset val="1"/>
      </rPr>
      <t xml:space="preserve">¥568-¥1398/</t>
    </r>
    <r>
      <rPr>
        <sz val="10"/>
        <color rgb="FF000000"/>
        <rFont val="DejaVu Sans"/>
        <family val="2"/>
      </rPr>
      <t xml:space="preserve">年起；企业 </t>
    </r>
    <r>
      <rPr>
        <sz val="10"/>
        <color rgb="FF000000"/>
        <rFont val="Arial"/>
        <family val="0"/>
        <charset val="1"/>
      </rPr>
      <t xml:space="preserve">¥2-5w</t>
    </r>
  </si>
  <si>
    <r>
      <rPr>
        <sz val="10"/>
        <color rgb="FF000000"/>
        <rFont val="DejaVu Sans"/>
        <family val="2"/>
      </rPr>
      <t xml:space="preserve">中国团队最熟，但跨境弱于 </t>
    </r>
    <r>
      <rPr>
        <sz val="10"/>
        <color rgb="FF000000"/>
        <rFont val="DejaVu Sans"/>
        <family val="2"/>
        <charset val="1"/>
      </rPr>
      <t xml:space="preserve">Kalodata</t>
    </r>
  </si>
  <si>
    <t xml:space="preserve">NRF Returns Report</t>
  </si>
  <si>
    <r>
      <rPr>
        <sz val="10"/>
        <color rgb="FF000000"/>
        <rFont val="Arial"/>
        <family val="0"/>
        <charset val="1"/>
      </rPr>
      <t xml:space="preserve">Benchmark-</t>
    </r>
    <r>
      <rPr>
        <sz val="10"/>
        <color rgb="FF000000"/>
        <rFont val="DejaVu Sans"/>
        <family val="2"/>
      </rPr>
      <t xml:space="preserve">退货</t>
    </r>
  </si>
  <si>
    <t xml:space="preserve">美国退货率年度报告</t>
  </si>
  <si>
    <t xml:space="preserve">美国</t>
  </si>
  <si>
    <t xml:space="preserve">全品类</t>
  </si>
  <si>
    <r>
      <rPr>
        <sz val="10"/>
        <color rgb="FF000000"/>
        <rFont val="DejaVu Sans"/>
        <family val="2"/>
      </rPr>
      <t xml:space="preserve">退货 </t>
    </r>
    <r>
      <rPr>
        <sz val="10"/>
        <color rgb="FF000000"/>
        <rFont val="DejaVu Sans"/>
        <family val="2"/>
        <charset val="1"/>
      </rPr>
      <t xml:space="preserve">benchmark </t>
    </r>
    <r>
      <rPr>
        <sz val="10"/>
        <color rgb="FF000000"/>
        <rFont val="DejaVu Sans"/>
        <family val="2"/>
      </rPr>
      <t xml:space="preserve">引用</t>
    </r>
  </si>
  <si>
    <t xml:space="preserve">Optoro Returns Data</t>
  </si>
  <si>
    <r>
      <rPr>
        <sz val="10"/>
        <color rgb="FF000000"/>
        <rFont val="DejaVu Sans"/>
        <family val="2"/>
      </rPr>
      <t xml:space="preserve">电商退货成本 </t>
    </r>
    <r>
      <rPr>
        <sz val="10"/>
        <color rgb="FF000000"/>
        <rFont val="DejaVu Sans"/>
        <family val="2"/>
        <charset val="1"/>
      </rPr>
      <t xml:space="preserve">27-30%</t>
    </r>
  </si>
  <si>
    <t xml:space="preserve">分品类</t>
  </si>
  <si>
    <t xml:space="preserve">免费报告</t>
  </si>
  <si>
    <t xml:space="preserve">退货成本折算</t>
  </si>
  <si>
    <t xml:space="preserve">Avalara AvaTax</t>
  </si>
  <si>
    <r>
      <rPr>
        <sz val="10"/>
        <color rgb="FF000000"/>
        <rFont val="DejaVu Sans"/>
        <family val="2"/>
      </rPr>
      <t xml:space="preserve">税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合规</t>
    </r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</si>
  <si>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190+ </t>
    </r>
    <r>
      <rPr>
        <sz val="10"/>
        <color rgb="FF000000"/>
        <rFont val="DejaVu Sans"/>
        <family val="2"/>
      </rPr>
      <t xml:space="preserve">国销售税</t>
    </r>
    <r>
      <rPr>
        <sz val="10"/>
        <color rgb="FF000000"/>
        <rFont val="DejaVu Sans"/>
        <family val="2"/>
        <charset val="1"/>
      </rPr>
      <t xml:space="preserve">/VAT</t>
    </r>
  </si>
  <si>
    <t xml:space="preserve">国家级</t>
  </si>
  <si>
    <r>
      <rPr>
        <sz val="10"/>
        <color rgb="FF000000"/>
        <rFont val="Arial"/>
        <family val="0"/>
        <charset val="1"/>
      </rPr>
      <t xml:space="preserve">$50/</t>
    </r>
    <r>
      <rPr>
        <sz val="10"/>
        <color rgb="FF000000"/>
        <rFont val="DejaVu Sans"/>
        <family val="2"/>
      </rPr>
      <t xml:space="preserve">月起；中型 </t>
    </r>
    <r>
      <rPr>
        <sz val="10"/>
        <color rgb="FF000000"/>
        <rFont val="Arial"/>
        <family val="0"/>
        <charset val="1"/>
      </rPr>
      <t xml:space="preserve">$5k-$30k/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</si>
  <si>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sales tax + </t>
    </r>
    <r>
      <rPr>
        <sz val="10"/>
        <color rgb="FF000000"/>
        <rFont val="DejaVu Sans"/>
        <family val="2"/>
      </rPr>
      <t xml:space="preserve">多国 </t>
    </r>
    <r>
      <rPr>
        <sz val="10"/>
        <color rgb="FF000000"/>
        <rFont val="DejaVu Sans"/>
        <family val="2"/>
        <charset val="1"/>
      </rPr>
      <t xml:space="preserve">VAT</t>
    </r>
  </si>
  <si>
    <t xml:space="preserve">Avalara Cross-Border</t>
  </si>
  <si>
    <r>
      <rPr>
        <sz val="10"/>
        <color rgb="FF000000"/>
        <rFont val="Arial"/>
        <family val="0"/>
        <charset val="1"/>
      </rPr>
      <t xml:space="preserve">217 </t>
    </r>
    <r>
      <rPr>
        <sz val="10"/>
        <color rgb="FF000000"/>
        <rFont val="DejaVu Sans"/>
        <family val="2"/>
      </rPr>
      <t xml:space="preserve">国关税 </t>
    </r>
    <r>
      <rPr>
        <sz val="10"/>
        <color rgb="FF000000"/>
        <rFont val="Arial"/>
        <family val="0"/>
        <charset val="1"/>
      </rPr>
      <t xml:space="preserve">+ DDP </t>
    </r>
    <r>
      <rPr>
        <sz val="10"/>
        <color rgb="FF000000"/>
        <rFont val="DejaVu Sans"/>
        <family val="2"/>
      </rPr>
      <t xml:space="preserve">预估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</si>
  <si>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DejaVu Sans"/>
        <family val="2"/>
      </rPr>
      <t xml:space="preserve">位 </t>
    </r>
    <r>
      <rPr>
        <sz val="10"/>
        <color rgb="FF000000"/>
        <rFont val="Arial"/>
        <family val="0"/>
        <charset val="1"/>
      </rPr>
      <t xml:space="preserve">HS</t>
    </r>
  </si>
  <si>
    <r>
      <rPr>
        <sz val="10"/>
        <color rgb="FF000000"/>
        <rFont val="Arial"/>
        <family val="0"/>
        <charset val="1"/>
      </rPr>
      <t xml:space="preserve">$0.05-$0.30/</t>
    </r>
    <r>
      <rPr>
        <sz val="10"/>
        <color rgb="FF000000"/>
        <rFont val="DejaVu Sans"/>
        <family val="2"/>
      </rPr>
      <t xml:space="preserve">单（</t>
    </r>
    <r>
      <rPr>
        <sz val="10"/>
        <color rgb="FF000000"/>
        <rFont val="Arial"/>
        <family val="0"/>
        <charset val="1"/>
      </rPr>
      <t xml:space="preserve">custom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</si>
  <si>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DDP checkout </t>
    </r>
    <r>
      <rPr>
        <sz val="10"/>
        <color rgb="FF000000"/>
        <rFont val="DejaVu Sans"/>
        <family val="2"/>
      </rPr>
      <t xml:space="preserve">显示（推荐）</t>
    </r>
  </si>
  <si>
    <t xml:space="preserve">TaxJar (Stripe)</t>
  </si>
  <si>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sales tax </t>
    </r>
    <r>
      <rPr>
        <sz val="10"/>
        <color rgb="FF000000"/>
        <rFont val="DejaVu Sans"/>
        <family val="2"/>
      </rPr>
      <t xml:space="preserve">为主</t>
    </r>
  </si>
  <si>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50 </t>
    </r>
    <r>
      <rPr>
        <sz val="10"/>
        <color rgb="FF000000"/>
        <rFont val="DejaVu Sans"/>
        <family val="2"/>
      </rPr>
      <t xml:space="preserve">州</t>
    </r>
  </si>
  <si>
    <t xml:space="preserve">ZIP+4</t>
  </si>
  <si>
    <r>
      <rPr>
        <sz val="10"/>
        <color rgb="FF000000"/>
        <rFont val="Arial"/>
        <family val="0"/>
        <charset val="1"/>
      </rPr>
      <t xml:space="preserve">$19-$99/</t>
    </r>
    <r>
      <rPr>
        <sz val="10"/>
        <color rgb="FF000000"/>
        <rFont val="DejaVu Sans"/>
        <family val="2"/>
      </rPr>
      <t xml:space="preserve">月起</t>
    </r>
  </si>
  <si>
    <t xml:space="preserve">仅美国时性价比最高</t>
  </si>
  <si>
    <t xml:space="preserve">Zonos Landed Cost</t>
  </si>
  <si>
    <r>
      <rPr>
        <sz val="10"/>
        <color rgb="FF000000"/>
        <rFont val="Arial"/>
        <family val="0"/>
        <charset val="1"/>
      </rPr>
      <t xml:space="preserve">217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landed cost</t>
    </r>
  </si>
  <si>
    <r>
      <rPr>
        <sz val="10"/>
        <color rgb="FF000000"/>
        <rFont val="Arial"/>
        <family val="0"/>
        <charset val="1"/>
      </rPr>
      <t xml:space="preserve">$0.20-$0.50/</t>
    </r>
    <r>
      <rPr>
        <sz val="10"/>
        <color rgb="FF000000"/>
        <rFont val="DejaVu Sans"/>
        <family val="2"/>
      </rPr>
      <t xml:space="preserve">单或 </t>
    </r>
    <r>
      <rPr>
        <sz val="10"/>
        <color rgb="FF000000"/>
        <rFont val="Arial"/>
        <family val="0"/>
        <charset val="1"/>
      </rPr>
      <t xml:space="preserve">$208/</t>
    </r>
    <r>
      <rPr>
        <sz val="10"/>
        <color rgb="FF000000"/>
        <rFont val="DejaVu Sans"/>
        <family val="2"/>
      </rPr>
      <t xml:space="preserve">月起</t>
    </r>
  </si>
  <si>
    <r>
      <rPr>
        <sz val="10"/>
        <color rgb="FF000000"/>
        <rFont val="DejaVu Sans"/>
        <family val="2"/>
      </rPr>
      <t xml:space="preserve">独立站 </t>
    </r>
    <r>
      <rPr>
        <sz val="10"/>
        <color rgb="FF000000"/>
        <rFont val="DejaVu Sans"/>
        <family val="2"/>
        <charset val="1"/>
      </rPr>
      <t xml:space="preserve">checkout DDP</t>
    </r>
    <r>
      <rPr>
        <sz val="10"/>
        <color rgb="FF000000"/>
        <rFont val="DejaVu Sans"/>
        <family val="2"/>
      </rPr>
      <t xml:space="preserve">（推荐）</t>
    </r>
  </si>
  <si>
    <t xml:space="preserve">EU TARIC</t>
  </si>
  <si>
    <r>
      <rPr>
        <sz val="10"/>
        <color rgb="FF000000"/>
        <rFont val="DejaVu Sans"/>
        <family val="2"/>
      </rPr>
      <t xml:space="preserve">税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官方</t>
    </r>
  </si>
  <si>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关税权威</t>
    </r>
  </si>
  <si>
    <r>
      <rPr>
        <sz val="10"/>
        <color rgb="FF000000"/>
        <rFont val="Arial"/>
        <family val="0"/>
        <charset val="1"/>
      </rPr>
      <t xml:space="preserve">EU 27 </t>
    </r>
    <r>
      <rPr>
        <sz val="10"/>
        <color rgb="FF000000"/>
        <rFont val="DejaVu Sans"/>
        <family val="2"/>
      </rPr>
      <t xml:space="preserve">国</t>
    </r>
  </si>
  <si>
    <t xml:space="preserve">周更</t>
  </si>
  <si>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关税 </t>
    </r>
    <r>
      <rPr>
        <sz val="10"/>
        <color rgb="FF000000"/>
        <rFont val="Arial"/>
        <family val="0"/>
        <charset val="1"/>
      </rPr>
      <t xml:space="preserve">fallback</t>
    </r>
  </si>
  <si>
    <t xml:space="preserve">WTO Tariff Download</t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</si>
  <si>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HS </t>
    </r>
    <r>
      <rPr>
        <sz val="10"/>
        <color rgb="FF000000"/>
        <rFont val="DejaVu Sans"/>
        <family val="2"/>
      </rPr>
      <t xml:space="preserve">关税表</t>
    </r>
  </si>
  <si>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DejaVu Sans"/>
        <family val="2"/>
      </rPr>
      <t xml:space="preserve">位 </t>
    </r>
    <r>
      <rPr>
        <sz val="10"/>
        <color rgb="FF000000"/>
        <rFont val="Arial"/>
        <family val="0"/>
        <charset val="1"/>
      </rPr>
      <t xml:space="preserve">HS</t>
    </r>
  </si>
  <si>
    <t xml:space="preserve">下载</t>
  </si>
  <si>
    <t xml:space="preserve">建静态查表层</t>
  </si>
  <si>
    <r>
      <rPr>
        <b val="true"/>
        <sz val="14"/>
        <color rgb="FF1F4E78"/>
        <rFont val="Arial"/>
        <family val="0"/>
        <charset val="1"/>
      </rPr>
      <t xml:space="preserve">1688 </t>
    </r>
    <r>
      <rPr>
        <b val="true"/>
        <sz val="14"/>
        <color rgb="FF1F4E78"/>
        <rFont val="DejaVu Sans"/>
        <family val="2"/>
      </rPr>
      <t xml:space="preserve">采购 </t>
    </r>
    <r>
      <rPr>
        <b val="true"/>
        <sz val="14"/>
        <color rgb="FF1F4E78"/>
        <rFont val="Arial"/>
        <family val="0"/>
        <charset val="1"/>
      </rPr>
      <t xml:space="preserve">+ </t>
    </r>
    <r>
      <rPr>
        <b val="true"/>
        <sz val="14"/>
        <color rgb="FF1F4E78"/>
        <rFont val="DejaVu Sans"/>
        <family val="2"/>
      </rPr>
      <t xml:space="preserve">跨境物流数据源详情</t>
    </r>
  </si>
  <si>
    <r>
      <rPr>
        <b val="true"/>
        <sz val="11"/>
        <color rgb="FF000000"/>
        <rFont val="Arial"/>
        <family val="0"/>
        <charset val="1"/>
      </rPr>
      <t xml:space="preserve">▶ 1688 </t>
    </r>
    <r>
      <rPr>
        <b val="true"/>
        <sz val="11"/>
        <color rgb="FF000000"/>
        <rFont val="DejaVu Sans"/>
        <family val="2"/>
      </rPr>
      <t xml:space="preserve">采购成本数据源</t>
    </r>
  </si>
  <si>
    <t xml:space="preserve">类型</t>
  </si>
  <si>
    <t xml:space="preserve">覆盖</t>
  </si>
  <si>
    <t xml:space="preserve">图搜支持</t>
  </si>
  <si>
    <r>
      <rPr>
        <b val="true"/>
        <sz val="11"/>
        <color rgb="FFFFFFFF"/>
        <rFont val="DejaVu Sans"/>
        <family val="2"/>
      </rPr>
      <t xml:space="preserve">定价 </t>
    </r>
    <r>
      <rPr>
        <b val="true"/>
        <sz val="11"/>
        <color rgb="FFFFFFFF"/>
        <rFont val="DejaVu Sans"/>
        <family val="2"/>
        <charset val="1"/>
      </rPr>
      <t xml:space="preserve">(2026)</t>
    </r>
  </si>
  <si>
    <r>
      <rPr>
        <b val="true"/>
        <sz val="11"/>
        <color rgb="FFFFFFFF"/>
        <rFont val="Arial"/>
        <family val="0"/>
        <charset val="1"/>
      </rPr>
      <t xml:space="preserve">QPS/</t>
    </r>
    <r>
      <rPr>
        <b val="true"/>
        <sz val="11"/>
        <color rgb="FFFFFFFF"/>
        <rFont val="DejaVu Sans"/>
        <family val="2"/>
      </rPr>
      <t xml:space="preserve">限制</t>
    </r>
  </si>
  <si>
    <t xml:space="preserve">合规风险</t>
  </si>
  <si>
    <r>
      <rPr>
        <b val="true"/>
        <sz val="11"/>
        <color rgb="FFFFFFFF"/>
        <rFont val="DejaVu Sans"/>
        <family val="2"/>
      </rPr>
      <t xml:space="preserve">官网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文档</t>
    </r>
  </si>
  <si>
    <t xml:space="preserve">官方</t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</si>
  <si>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全站</t>
    </r>
  </si>
  <si>
    <t xml:space="preserve">拍立淘需类目评审</t>
  </si>
  <si>
    <r>
      <rPr>
        <sz val="10"/>
        <color rgb="FF000000"/>
        <rFont val="DejaVu Sans"/>
        <family val="2"/>
      </rPr>
      <t xml:space="preserve">诚信通会员 </t>
    </r>
    <r>
      <rPr>
        <sz val="10"/>
        <color rgb="FF000000"/>
        <rFont val="DejaVu Sans"/>
        <family val="2"/>
        <charset val="1"/>
      </rPr>
      <t xml:space="preserve">¥3,688/¥6,688 + ISV </t>
    </r>
    <r>
      <rPr>
        <sz val="10"/>
        <color rgb="FF000000"/>
        <rFont val="DejaVu Sans"/>
        <family val="2"/>
      </rPr>
      <t xml:space="preserve">评审</t>
    </r>
  </si>
  <si>
    <r>
      <rPr>
        <sz val="10"/>
        <color rgb="FF000000"/>
        <rFont val="DejaVu Sans"/>
        <family val="2"/>
      </rPr>
      <t xml:space="preserve">按 </t>
    </r>
    <r>
      <rPr>
        <sz val="10"/>
        <color rgb="FF000000"/>
        <rFont val="DejaVu Sans"/>
        <family val="2"/>
        <charset val="1"/>
      </rPr>
      <t xml:space="preserve">API </t>
    </r>
    <r>
      <rPr>
        <sz val="10"/>
        <color rgb="FF000000"/>
        <rFont val="DejaVu Sans"/>
        <family val="2"/>
      </rPr>
      <t xml:space="preserve">等级</t>
    </r>
  </si>
  <si>
    <t xml:space="preserve">低（官方）</t>
  </si>
  <si>
    <t xml:space="preserve">稳定大批量采购数据；门槛高</t>
  </si>
  <si>
    <t xml:space="preserve">open.1688.com</t>
  </si>
  <si>
    <t xml:space="preserve">第三方反代</t>
  </si>
  <si>
    <r>
      <rPr>
        <sz val="10"/>
        <color rgb="FF000000"/>
        <rFont val="Arial"/>
        <family val="0"/>
        <charset val="1"/>
      </rPr>
      <t xml:space="preserve">1688/</t>
    </r>
    <r>
      <rPr>
        <sz val="10"/>
        <color rgb="FF000000"/>
        <rFont val="DejaVu Sans"/>
        <family val="2"/>
      </rPr>
      <t xml:space="preserve">淘宝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天猫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拍立淘</t>
    </r>
  </si>
  <si>
    <t xml:space="preserve">✓（一手图搜端点）</t>
  </si>
  <si>
    <r>
      <rPr>
        <sz val="10"/>
        <color rgb="FF000000"/>
        <rFont val="DejaVu Sans"/>
        <family val="2"/>
      </rPr>
      <t xml:space="preserve">起 </t>
    </r>
    <r>
      <rPr>
        <sz val="10"/>
        <color rgb="FF000000"/>
        <rFont val="DejaVu Sans"/>
        <family val="2"/>
        <charset val="1"/>
      </rPr>
      <t xml:space="preserve">¥99/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+ $0.005-$0.02/</t>
    </r>
    <r>
      <rPr>
        <sz val="10"/>
        <color rgb="FF000000"/>
        <rFont val="DejaVu Sans"/>
        <family val="2"/>
      </rPr>
      <t xml:space="preserve">次</t>
    </r>
  </si>
  <si>
    <t xml:space="preserve">可定制</t>
  </si>
  <si>
    <t xml:space="preserve">中（爬虫合规）</t>
  </si>
  <si>
    <r>
      <rPr>
        <sz val="10"/>
        <color rgb="FF000000"/>
        <rFont val="Arial"/>
        <family val="0"/>
        <charset val="1"/>
      </rPr>
      <t xml:space="preserve">MVP / </t>
    </r>
    <r>
      <rPr>
        <sz val="10"/>
        <color rgb="FF000000"/>
        <rFont val="DejaVu Sans"/>
        <family val="2"/>
      </rPr>
      <t xml:space="preserve">中国团队首选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中文工单</t>
    </r>
  </si>
  <si>
    <t xml:space="preserve">onebound.net</t>
  </si>
  <si>
    <t xml:space="preserve">TMAPI</t>
  </si>
  <si>
    <r>
      <rPr>
        <sz val="10"/>
        <color rgb="FF000000"/>
        <rFont val="Arial"/>
        <family val="0"/>
        <charset val="1"/>
      </rPr>
      <t xml:space="preserve">1688 + </t>
    </r>
    <r>
      <rPr>
        <sz val="10"/>
        <color rgb="FF000000"/>
        <rFont val="DejaVu Sans"/>
        <family val="2"/>
      </rPr>
      <t xml:space="preserve">拍立淘</t>
    </r>
  </si>
  <si>
    <t xml:space="preserve">中等</t>
  </si>
  <si>
    <t xml:space="preserve">中</t>
  </si>
  <si>
    <t xml:space="preserve">tmapi.top</t>
  </si>
  <si>
    <t xml:space="preserve">Apify 1688 Actors</t>
  </si>
  <si>
    <t xml:space="preserve">爬虫平台</t>
  </si>
  <si>
    <r>
      <rPr>
        <sz val="10"/>
        <color rgb="FF000000"/>
        <rFont val="DejaVu Sans"/>
        <family val="2"/>
      </rPr>
      <t xml:space="preserve">✓（部分 </t>
    </r>
    <r>
      <rPr>
        <sz val="10"/>
        <color rgb="FF000000"/>
        <rFont val="DejaVu Sans"/>
        <family val="2"/>
        <charset val="1"/>
      </rPr>
      <t xml:space="preserve">actors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</si>
  <si>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$0.5-$2/1k </t>
    </r>
    <r>
      <rPr>
        <sz val="10"/>
        <color rgb="FF000000"/>
        <rFont val="DejaVu Sans"/>
        <family val="2"/>
      </rPr>
      <t xml:space="preserve">条 </t>
    </r>
    <r>
      <rPr>
        <sz val="10"/>
        <color rgb="FF000000"/>
        <rFont val="Arial"/>
        <family val="0"/>
        <charset val="1"/>
      </rPr>
      <t xml:space="preserve">+ Apify </t>
    </r>
    <r>
      <rPr>
        <sz val="10"/>
        <color rgb="FF000000"/>
        <rFont val="DejaVu Sans"/>
        <family val="2"/>
      </rPr>
      <t xml:space="preserve">月费 </t>
    </r>
    <r>
      <rPr>
        <sz val="10"/>
        <color rgb="FF000000"/>
        <rFont val="Arial"/>
        <family val="0"/>
        <charset val="1"/>
      </rPr>
      <t xml:space="preserve">$49 </t>
    </r>
    <r>
      <rPr>
        <sz val="10"/>
        <color rgb="FF000000"/>
        <rFont val="DejaVu Sans"/>
        <family val="2"/>
      </rPr>
      <t xml:space="preserve">起</t>
    </r>
  </si>
  <si>
    <t xml:space="preserve">按运行时长</t>
  </si>
  <si>
    <r>
      <rPr>
        <sz val="10"/>
        <color rgb="FF000000"/>
        <rFont val="DejaVu Sans"/>
        <family val="2"/>
      </rPr>
      <t xml:space="preserve">图搜兜底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扩量</t>
    </r>
  </si>
  <si>
    <t xml:space="preserve">apify.com/store</t>
  </si>
  <si>
    <r>
      <rPr>
        <sz val="10"/>
        <color rgb="FF000000"/>
        <rFont val="DejaVu Sans"/>
        <family val="2"/>
      </rPr>
      <t xml:space="preserve">爬虫 </t>
    </r>
    <r>
      <rPr>
        <sz val="10"/>
        <color rgb="FF000000"/>
        <rFont val="DejaVu Sans"/>
        <family val="2"/>
        <charset val="1"/>
      </rPr>
      <t xml:space="preserve">SaaS</t>
    </r>
  </si>
  <si>
    <r>
      <rPr>
        <sz val="10"/>
        <color rgb="FF000000"/>
        <rFont val="Arial"/>
        <family val="0"/>
        <charset val="1"/>
      </rPr>
      <t xml:space="preserve">1688 + </t>
    </r>
    <r>
      <rPr>
        <sz val="10"/>
        <color rgb="FF000000"/>
        <rFont val="DejaVu Sans"/>
        <family val="2"/>
      </rPr>
      <t xml:space="preserve">反爬突破</t>
    </r>
  </si>
  <si>
    <t xml:space="preserve">—</t>
  </si>
  <si>
    <t xml:space="preserve">并发数定价</t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</si>
  <si>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风控严格时使用</t>
    </r>
  </si>
  <si>
    <t xml:space="preserve">oxylabs.io</t>
  </si>
  <si>
    <t xml:space="preserve">需自建产品库</t>
  </si>
  <si>
    <t xml:space="preserve">✓（自建库）</t>
  </si>
  <si>
    <t xml:space="preserve">无明显限制</t>
  </si>
  <si>
    <t xml:space="preserve">图搜准确度高，要自己上传商品库</t>
  </si>
  <si>
    <t xml:space="preserve">cloud.google.com/vision/product-search</t>
  </si>
  <si>
    <t xml:space="preserve">Bing Visual Search</t>
  </si>
  <si>
    <t xml:space="preserve">已退役</t>
  </si>
  <si>
    <t xml:space="preserve">✗</t>
  </si>
  <si>
    <r>
      <rPr>
        <sz val="10"/>
        <color rgb="FF000000"/>
        <rFont val="DejaVu Sans"/>
        <family val="2"/>
      </rPr>
      <t xml:space="preserve">—（</t>
    </r>
    <r>
      <rPr>
        <sz val="10"/>
        <color rgb="FF000000"/>
        <rFont val="DejaVu Sans"/>
        <family val="2"/>
        <charset val="1"/>
      </rPr>
      <t xml:space="preserve">2025-08-11 EOL</t>
    </r>
    <r>
      <rPr>
        <sz val="10"/>
        <color rgb="FF000000"/>
        <rFont val="DejaVu Sans"/>
        <family val="2"/>
      </rPr>
      <t xml:space="preserve">）</t>
    </r>
  </si>
  <si>
    <t xml:space="preserve">❌ 已不可用</t>
  </si>
  <si>
    <t xml:space="preserve">Google Lens via Apify/SearchAPI</t>
  </si>
  <si>
    <r>
      <rPr>
        <sz val="10"/>
        <color rgb="FF000000"/>
        <rFont val="DejaVu Sans"/>
        <family val="2"/>
      </rPr>
      <t xml:space="preserve">图搜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代理</t>
    </r>
  </si>
  <si>
    <r>
      <rPr>
        <sz val="10"/>
        <color rgb="FF000000"/>
        <rFont val="Arial"/>
        <family val="0"/>
        <charset val="1"/>
      </rPr>
      <t xml:space="preserve">Lens </t>
    </r>
    <r>
      <rPr>
        <sz val="10"/>
        <color rgb="FF000000"/>
        <rFont val="DejaVu Sans"/>
        <family val="2"/>
      </rPr>
      <t xml:space="preserve">反代</t>
    </r>
  </si>
  <si>
    <r>
      <rPr>
        <sz val="10"/>
        <color rgb="FF000000"/>
        <rFont val="Arial"/>
        <family val="0"/>
        <charset val="1"/>
      </rPr>
      <t xml:space="preserve">$6/1k </t>
    </r>
    <r>
      <rPr>
        <sz val="10"/>
        <color rgb="FF000000"/>
        <rFont val="DejaVu Sans"/>
        <family val="2"/>
      </rPr>
      <t xml:space="preserve">张</t>
    </r>
  </si>
  <si>
    <t xml:space="preserve">无官方限制</t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</si>
  <si>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之外同款兜底</t>
    </r>
  </si>
  <si>
    <t xml:space="preserve">apify.com / searchapi.io</t>
  </si>
  <si>
    <r>
      <rPr>
        <b val="true"/>
        <sz val="11"/>
        <color rgb="FF000000"/>
        <rFont val="DejaVu Sans"/>
        <family val="2"/>
      </rPr>
      <t xml:space="preserve">▶ 跨境小包 </t>
    </r>
    <r>
      <rPr>
        <b val="true"/>
        <sz val="11"/>
        <color rgb="FF000000"/>
        <rFont val="DejaVu Sans"/>
        <family val="2"/>
        <charset val="1"/>
      </rPr>
      <t xml:space="preserve">/ </t>
    </r>
    <r>
      <rPr>
        <b val="true"/>
        <sz val="11"/>
        <color rgb="FF000000"/>
        <rFont val="DejaVu Sans"/>
        <family val="2"/>
      </rPr>
      <t xml:space="preserve">一件代发数据源</t>
    </r>
  </si>
  <si>
    <t xml:space="preserve">覆盖国家数</t>
  </si>
  <si>
    <t xml:space="preserve">承运商数</t>
  </si>
  <si>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实时报价</t>
    </r>
  </si>
  <si>
    <r>
      <rPr>
        <b val="true"/>
        <sz val="11"/>
        <color rgb="FFFFFFFF"/>
        <rFont val="Arial"/>
        <family val="0"/>
        <charset val="1"/>
      </rPr>
      <t xml:space="preserve">DDP/</t>
    </r>
    <r>
      <rPr>
        <b val="true"/>
        <sz val="11"/>
        <color rgb="FFFFFFFF"/>
        <rFont val="DejaVu Sans"/>
        <family val="2"/>
      </rPr>
      <t xml:space="preserve">税费</t>
    </r>
  </si>
  <si>
    <t xml:space="preserve">官网</t>
  </si>
  <si>
    <t xml:space="preserve">聚合</t>
  </si>
  <si>
    <t xml:space="preserve">220+</t>
  </si>
  <si>
    <t xml:space="preserve">550+</t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</si>
  <si>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50 </t>
    </r>
    <r>
      <rPr>
        <sz val="10"/>
        <color rgb="FF000000"/>
        <rFont val="DejaVu Sans"/>
        <family val="2"/>
      </rPr>
      <t xml:space="preserve">单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月；</t>
    </r>
    <r>
      <rPr>
        <sz val="10"/>
        <color rgb="FF000000"/>
        <rFont val="DejaVu Sans"/>
        <family val="2"/>
        <charset val="1"/>
      </rPr>
      <t xml:space="preserve">$29 (Plus) / $69 (Premier) / $99 (Scale) / 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</si>
  <si>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✓ DDP </t>
    </r>
    <r>
      <rPr>
        <sz val="10"/>
        <color rgb="FF000000"/>
        <rFont val="DejaVu Sans"/>
        <family val="2"/>
      </rPr>
      <t xml:space="preserve">完整</t>
    </r>
  </si>
  <si>
    <r>
      <rPr>
        <sz val="10"/>
        <color rgb="FF000000"/>
        <rFont val="DejaVu Sans"/>
        <family val="2"/>
      </rPr>
      <t xml:space="preserve">全球比价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中国头部承运商（首选）</t>
    </r>
  </si>
  <si>
    <t xml:space="preserve">easyship.com</t>
  </si>
  <si>
    <t xml:space="preserve">Shippo</t>
  </si>
  <si>
    <r>
      <rPr>
        <sz val="10"/>
        <color rgb="FF000000"/>
        <rFont val="DejaVu Sans"/>
        <family val="2"/>
      </rPr>
      <t xml:space="preserve">主 </t>
    </r>
    <r>
      <rPr>
        <sz val="10"/>
        <color rgb="FF000000"/>
        <rFont val="DejaVu Sans"/>
        <family val="2"/>
        <charset val="1"/>
      </rPr>
      <t xml:space="preserve">US/EU</t>
    </r>
  </si>
  <si>
    <t xml:space="preserve">85+</t>
  </si>
  <si>
    <t xml:space="preserve">美国电商性价比</t>
  </si>
  <si>
    <t xml:space="preserve">goshippo.com</t>
  </si>
  <si>
    <t xml:space="preserve">全球（重北美）</t>
  </si>
  <si>
    <t xml:space="preserve">100+</t>
  </si>
  <si>
    <r>
      <rPr>
        <sz val="10"/>
        <color rgb="FF000000"/>
        <rFont val="Arial"/>
        <family val="0"/>
        <charset val="1"/>
      </rPr>
      <t xml:space="preserve">$0.01/</t>
    </r>
    <r>
      <rPr>
        <sz val="10"/>
        <color rgb="FF000000"/>
        <rFont val="DejaVu Sans"/>
        <family val="2"/>
      </rPr>
      <t xml:space="preserve">查询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包月可选</t>
    </r>
  </si>
  <si>
    <t xml:space="preserve">easypost.com</t>
  </si>
  <si>
    <t xml:space="preserve">ShipStation Shipping API</t>
  </si>
  <si>
    <r>
      <rPr>
        <sz val="10"/>
        <color rgb="FF000000"/>
        <rFont val="Arial"/>
        <family val="0"/>
        <charset val="1"/>
      </rPr>
      <t xml:space="preserve">$9.99-$229.99/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</si>
  <si>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Shopify </t>
    </r>
    <r>
      <rPr>
        <sz val="10"/>
        <color rgb="FF000000"/>
        <rFont val="DejaVu Sans"/>
        <family val="2"/>
      </rPr>
      <t xml:space="preserve">卖家无缝集成</t>
    </r>
  </si>
  <si>
    <t xml:space="preserve">shipstation.com/shipping-api</t>
  </si>
  <si>
    <t xml:space="preserve">ShipBob Developer</t>
  </si>
  <si>
    <t xml:space="preserve">3PL+API</t>
  </si>
  <si>
    <t xml:space="preserve">30+</t>
  </si>
  <si>
    <r>
      <rPr>
        <sz val="10"/>
        <color rgb="FF000000"/>
        <rFont val="DejaVu Sans"/>
        <family val="2"/>
      </rPr>
      <t xml:space="preserve">履约成本按件（无 </t>
    </r>
    <r>
      <rPr>
        <sz val="10"/>
        <color rgb="FF000000"/>
        <rFont val="DejaVu Sans"/>
        <family val="2"/>
        <charset val="1"/>
      </rPr>
      <t xml:space="preserve">SaaS </t>
    </r>
    <r>
      <rPr>
        <sz val="10"/>
        <color rgb="FF000000"/>
        <rFont val="DejaVu Sans"/>
        <family val="2"/>
      </rPr>
      <t xml:space="preserve">费）</t>
    </r>
  </si>
  <si>
    <r>
      <rPr>
        <sz val="10"/>
        <color rgb="FF000000"/>
        <rFont val="Arial"/>
        <family val="0"/>
        <charset val="1"/>
      </rPr>
      <t xml:space="preserve">DTC </t>
    </r>
    <r>
      <rPr>
        <sz val="10"/>
        <color rgb="FF000000"/>
        <rFont val="DejaVu Sans"/>
        <family val="2"/>
      </rPr>
      <t xml:space="preserve">多仓海外履约</t>
    </r>
  </si>
  <si>
    <t xml:space="preserve">developer.shipbob.com</t>
  </si>
  <si>
    <t xml:space="preserve">追踪</t>
  </si>
  <si>
    <r>
      <rPr>
        <sz val="10"/>
        <color rgb="FF000000"/>
        <rFont val="Arial"/>
        <family val="0"/>
        <charset val="1"/>
      </rPr>
      <t xml:space="preserve">1500+ </t>
    </r>
    <r>
      <rPr>
        <sz val="10"/>
        <color rgb="FF000000"/>
        <rFont val="DejaVu Sans"/>
        <family val="2"/>
      </rPr>
      <t xml:space="preserve">承运商</t>
    </r>
  </si>
  <si>
    <r>
      <rPr>
        <sz val="10"/>
        <color rgb="FF000000"/>
        <rFont val="Arial"/>
        <family val="0"/>
        <charset val="1"/>
      </rPr>
      <t xml:space="preserve">$50/</t>
    </r>
    <r>
      <rPr>
        <sz val="10"/>
        <color rgb="FF000000"/>
        <rFont val="DejaVu Sans"/>
        <family val="2"/>
      </rPr>
      <t xml:space="preserve">月起 </t>
    </r>
    <r>
      <rPr>
        <sz val="10"/>
        <color rgb="FF000000"/>
        <rFont val="Arial"/>
        <family val="0"/>
        <charset val="1"/>
      </rPr>
      <t xml:space="preserve">+ $0.005-$0.02/</t>
    </r>
    <r>
      <rPr>
        <sz val="10"/>
        <color rgb="FF000000"/>
        <rFont val="DejaVu Sans"/>
        <family val="2"/>
      </rPr>
      <t xml:space="preserve">查询</t>
    </r>
  </si>
  <si>
    <t xml:space="preserve">✓ 追踪</t>
  </si>
  <si>
    <r>
      <rPr>
        <sz val="10"/>
        <color rgb="FF000000"/>
        <rFont val="DejaVu Sans"/>
        <family val="2"/>
      </rPr>
      <t xml:space="preserve">订单追踪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异常预警</t>
    </r>
  </si>
  <si>
    <t xml:space="preserve">17track.net/en/api</t>
  </si>
  <si>
    <r>
      <rPr>
        <sz val="10"/>
        <color rgb="FF000000"/>
        <rFont val="DejaVu Sans"/>
        <family val="2"/>
      </rPr>
      <t xml:space="preserve">燕文 </t>
    </r>
    <r>
      <rPr>
        <sz val="10"/>
        <color rgb="FF000000"/>
        <rFont val="DejaVu Sans"/>
        <family val="2"/>
        <charset val="1"/>
      </rPr>
      <t xml:space="preserve">API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DejaVu Sans"/>
        <family val="2"/>
        <charset val="1"/>
      </rPr>
      <t xml:space="preserve">Yanwen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</si>
  <si>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承运商</t>
    </r>
    <r>
      <rPr>
        <sz val="10"/>
        <color rgb="FF000000"/>
        <rFont val="DejaVu Sans"/>
        <family val="2"/>
        <charset val="1"/>
      </rPr>
      <t xml:space="preserve">-</t>
    </r>
    <r>
      <rPr>
        <sz val="10"/>
        <color rgb="FF000000"/>
        <rFont val="DejaVu Sans"/>
        <family val="2"/>
      </rPr>
      <t xml:space="preserve">直连</t>
    </r>
  </si>
  <si>
    <t xml:space="preserve">1</t>
  </si>
  <si>
    <t xml:space="preserve">需签约获取费率</t>
  </si>
  <si>
    <t xml:space="preserve">✗（须签约）</t>
  </si>
  <si>
    <t xml:space="preserve">中国小包专线，签约后用</t>
  </si>
  <si>
    <t xml:space="preserve">yanwen.com</t>
  </si>
  <si>
    <r>
      <rPr>
        <sz val="10"/>
        <color rgb="FF000000"/>
        <rFont val="Arial"/>
        <family val="0"/>
        <charset val="1"/>
      </rPr>
      <t xml:space="preserve">4PX </t>
    </r>
    <r>
      <rPr>
        <sz val="10"/>
        <color rgb="FF000000"/>
        <rFont val="DejaVu Sans"/>
        <family val="2"/>
      </rPr>
      <t xml:space="preserve">递四方</t>
    </r>
  </si>
  <si>
    <t xml:space="preserve">需签约</t>
  </si>
  <si>
    <t xml:space="preserve">中国大件专线</t>
  </si>
  <si>
    <t xml:space="preserve">4px.com</t>
  </si>
  <si>
    <t xml:space="preserve">云途物流</t>
  </si>
  <si>
    <t xml:space="preserve">性价比小包</t>
  </si>
  <si>
    <t xml:space="preserve">yunexpress.com</t>
  </si>
  <si>
    <t xml:space="preserve">SF Express International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</si>
  <si>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需企业账号</t>
    </r>
  </si>
  <si>
    <t xml:space="preserve">时效优先大件</t>
  </si>
  <si>
    <t xml:space="preserve">sf-express.com</t>
  </si>
  <si>
    <r>
      <rPr>
        <b val="true"/>
        <sz val="11"/>
        <color rgb="FF000000"/>
        <rFont val="DejaVu Sans"/>
        <family val="2"/>
      </rPr>
      <t xml:space="preserve">▶ 整柜 </t>
    </r>
    <r>
      <rPr>
        <b val="true"/>
        <sz val="11"/>
        <color rgb="FF000000"/>
        <rFont val="DejaVu Sans"/>
        <family val="2"/>
        <charset val="1"/>
      </rPr>
      <t xml:space="preserve">/ FBA </t>
    </r>
    <r>
      <rPr>
        <b val="true"/>
        <sz val="11"/>
        <color rgb="FF000000"/>
        <rFont val="DejaVu Sans"/>
        <family val="2"/>
      </rPr>
      <t xml:space="preserve">入仓 </t>
    </r>
    <r>
      <rPr>
        <b val="true"/>
        <sz val="11"/>
        <color rgb="FF000000"/>
        <rFont val="DejaVu Sans"/>
        <family val="2"/>
        <charset val="1"/>
      </rPr>
      <t xml:space="preserve">/ </t>
    </r>
    <r>
      <rPr>
        <b val="true"/>
        <sz val="11"/>
        <color rgb="FF000000"/>
        <rFont val="DejaVu Sans"/>
        <family val="2"/>
      </rPr>
      <t xml:space="preserve">整托运输数据源</t>
    </r>
  </si>
  <si>
    <r>
      <rPr>
        <b val="true"/>
        <sz val="11"/>
        <color rgb="FFFFFFFF"/>
        <rFont val="DejaVu Sans"/>
        <family val="2"/>
      </rPr>
      <t xml:space="preserve">模式 </t>
    </r>
    <r>
      <rPr>
        <b val="true"/>
        <sz val="11"/>
        <color rgb="FFFFFFFF"/>
        <rFont val="DejaVu Sans"/>
        <family val="2"/>
        <charset val="1"/>
      </rPr>
      <t xml:space="preserve">(FCL/LCL/</t>
    </r>
    <r>
      <rPr>
        <b val="true"/>
        <sz val="11"/>
        <color rgb="FFFFFFFF"/>
        <rFont val="DejaVu Sans"/>
        <family val="2"/>
      </rPr>
      <t xml:space="preserve">空运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</si>
  <si>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API </t>
    </r>
    <r>
      <rPr>
        <b val="true"/>
        <sz val="11"/>
        <color rgb="FFFFFFFF"/>
        <rFont val="DejaVu Sans"/>
        <family val="2"/>
      </rPr>
      <t xml:space="preserve">实时</t>
    </r>
  </si>
  <si>
    <t xml:space="preserve">门槛</t>
  </si>
  <si>
    <t xml:space="preserve">Maersk Developer Portal</t>
  </si>
  <si>
    <t xml:space="preserve">船公司</t>
  </si>
  <si>
    <r>
      <rPr>
        <sz val="10"/>
        <color rgb="FF000000"/>
        <rFont val="Arial"/>
        <family val="0"/>
        <charset val="1"/>
      </rPr>
      <t xml:space="preserve">✓ SpotOn </t>
    </r>
    <r>
      <rPr>
        <sz val="10"/>
        <color rgb="FF000000"/>
        <rFont val="DejaVu Sans"/>
        <family val="2"/>
      </rPr>
      <t xml:space="preserve">即时</t>
    </r>
  </si>
  <si>
    <t xml:space="preserve">无（注册即用）</t>
  </si>
  <si>
    <t xml:space="preserve">整柜比价（被低估的免费源）</t>
  </si>
  <si>
    <t xml:space="preserve">developer.maersk.com</t>
  </si>
  <si>
    <t xml:space="preserve">CMA CGM SpotOn</t>
  </si>
  <si>
    <t xml:space="preserve">FCL</t>
  </si>
  <si>
    <t xml:space="preserve">✓ 即时</t>
  </si>
  <si>
    <t xml:space="preserve">注册</t>
  </si>
  <si>
    <r>
      <rPr>
        <sz val="10"/>
        <color rgb="FF000000"/>
        <rFont val="Arial"/>
        <family val="0"/>
        <charset val="1"/>
      </rPr>
      <t xml:space="preserve">Maersk </t>
    </r>
    <r>
      <rPr>
        <sz val="10"/>
        <color rgb="FF000000"/>
        <rFont val="DejaVu Sans"/>
        <family val="2"/>
      </rPr>
      <t xml:space="preserve">交叉验证</t>
    </r>
  </si>
  <si>
    <t xml:space="preserve">cma-cgm.com</t>
  </si>
  <si>
    <t xml:space="preserve">免费基础</t>
  </si>
  <si>
    <r>
      <rPr>
        <sz val="10"/>
        <color rgb="FF000000"/>
        <rFont val="DejaVu Sans"/>
        <family val="2"/>
      </rPr>
      <t xml:space="preserve">多承运商比价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公开报价</t>
    </r>
  </si>
  <si>
    <t xml:space="preserve">ship.freightos.com</t>
  </si>
  <si>
    <t xml:space="preserve">Freightos Baltic Index (FBX)</t>
  </si>
  <si>
    <t xml:space="preserve">指数</t>
  </si>
  <si>
    <t xml:space="preserve">全球主要航线</t>
  </si>
  <si>
    <r>
      <rPr>
        <sz val="10"/>
        <color rgb="FF000000"/>
        <rFont val="Arial"/>
        <family val="0"/>
        <charset val="1"/>
      </rPr>
      <t xml:space="preserve">FCL </t>
    </r>
    <r>
      <rPr>
        <sz val="10"/>
        <color rgb="FF000000"/>
        <rFont val="DejaVu Sans"/>
        <family val="2"/>
      </rPr>
      <t xml:space="preserve">指数</t>
    </r>
  </si>
  <si>
    <t xml:space="preserve">免费查询</t>
  </si>
  <si>
    <t xml:space="preserve">市场价基准对标</t>
  </si>
  <si>
    <t xml:space="preserve">fbx.freightos.com</t>
  </si>
  <si>
    <t xml:space="preserve">情报数据</t>
  </si>
  <si>
    <r>
      <rPr>
        <sz val="10"/>
        <color rgb="FF000000"/>
        <rFont val="Arial"/>
        <family val="0"/>
        <charset val="1"/>
      </rPr>
      <t xml:space="preserve">FCL + </t>
    </r>
    <r>
      <rPr>
        <sz val="10"/>
        <color rgb="FF000000"/>
        <rFont val="DejaVu Sans"/>
        <family val="2"/>
      </rPr>
      <t xml:space="preserve">空运</t>
    </r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</si>
  <si>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DejaVu Sans"/>
        <family val="2"/>
      </rPr>
      <t xml:space="preserve">询价</t>
    </r>
  </si>
  <si>
    <r>
      <rPr>
        <sz val="10"/>
        <color rgb="FF000000"/>
        <rFont val="Arial"/>
        <family val="0"/>
        <charset val="1"/>
      </rPr>
      <t xml:space="preserve">BCO ≥10k TEU/</t>
    </r>
    <r>
      <rPr>
        <sz val="10"/>
        <color rgb="FF000000"/>
        <rFont val="DejaVu Sans"/>
        <family val="2"/>
      </rPr>
      <t xml:space="preserve">年</t>
    </r>
  </si>
  <si>
    <t xml:space="preserve">大型品牌才划算</t>
  </si>
  <si>
    <t xml:space="preserve">xeneta.com/products/api</t>
  </si>
  <si>
    <t xml:space="preserve">Flexport Developers</t>
  </si>
  <si>
    <t xml:space="preserve">数字货代</t>
  </si>
  <si>
    <r>
      <rPr>
        <sz val="10"/>
        <color rgb="FF000000"/>
        <rFont val="DejaVu Sans"/>
        <family val="2"/>
      </rPr>
      <t xml:space="preserve">成本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加成</t>
    </r>
  </si>
  <si>
    <t xml:space="preserve">签约客户</t>
  </si>
  <si>
    <t xml:space="preserve">需数字化货代时</t>
  </si>
  <si>
    <t xml:space="preserve">developers.flexport.com</t>
  </si>
  <si>
    <t xml:space="preserve">DHL Trade Automation</t>
  </si>
  <si>
    <r>
      <rPr>
        <sz val="10"/>
        <color rgb="FF000000"/>
        <rFont val="Arial"/>
        <family val="0"/>
        <charset val="1"/>
      </rPr>
      <t xml:space="preserve">DDP + </t>
    </r>
    <r>
      <rPr>
        <sz val="10"/>
        <color rgb="FF000000"/>
        <rFont val="DejaVu Sans"/>
        <family val="2"/>
      </rPr>
      <t xml:space="preserve">税费</t>
    </r>
  </si>
  <si>
    <t xml:space="preserve">空运为主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</si>
  <si>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询价</t>
    </r>
  </si>
  <si>
    <t xml:space="preserve">签约</t>
  </si>
  <si>
    <r>
      <rPr>
        <sz val="10"/>
        <color rgb="FF000000"/>
        <rFont val="DejaVu Sans"/>
        <family val="2"/>
      </rPr>
      <t xml:space="preserve">高值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紧急 </t>
    </r>
    <r>
      <rPr>
        <sz val="10"/>
        <color rgb="FF000000"/>
        <rFont val="DejaVu Sans"/>
        <family val="2"/>
        <charset val="1"/>
      </rPr>
      <t xml:space="preserve">DDP</t>
    </r>
  </si>
  <si>
    <t xml:space="preserve">developer.dhl.com</t>
  </si>
  <si>
    <r>
      <rPr>
        <b val="true"/>
        <sz val="11"/>
        <color rgb="FF000000"/>
        <rFont val="DejaVu Sans"/>
        <family val="2"/>
      </rPr>
      <t xml:space="preserve">▶ 三选一推荐组合（</t>
    </r>
    <r>
      <rPr>
        <b val="true"/>
        <sz val="11"/>
        <color rgb="FF000000"/>
        <rFont val="DejaVu Sans"/>
        <family val="2"/>
        <charset val="1"/>
      </rPr>
      <t xml:space="preserve">MVP </t>
    </r>
    <r>
      <rPr>
        <b val="true"/>
        <sz val="11"/>
        <color rgb="FF000000"/>
        <rFont val="DejaVu Sans"/>
        <family val="2"/>
      </rPr>
      <t xml:space="preserve">阶段，</t>
    </r>
    <r>
      <rPr>
        <b val="true"/>
        <sz val="11"/>
        <color rgb="FF000000"/>
        <rFont val="DejaVu Sans"/>
        <family val="2"/>
        <charset val="1"/>
      </rPr>
      <t xml:space="preserve">2-4 </t>
    </r>
    <r>
      <rPr>
        <b val="true"/>
        <sz val="11"/>
        <color rgb="FF000000"/>
        <rFont val="DejaVu Sans"/>
        <family val="2"/>
      </rPr>
      <t xml:space="preserve">周可上线）</t>
    </r>
  </si>
  <si>
    <t xml:space="preserve">模块</t>
  </si>
  <si>
    <t xml:space="preserve">推荐组合</t>
  </si>
  <si>
    <t xml:space="preserve">理由</t>
  </si>
  <si>
    <t xml:space="preserve">采购成本</t>
  </si>
  <si>
    <r>
      <rPr>
        <sz val="10"/>
        <color rgb="FF000000"/>
        <rFont val="Arial"/>
        <family val="0"/>
        <charset val="1"/>
      </rPr>
      <t xml:space="preserve">OneBound + Apify Lens </t>
    </r>
    <r>
      <rPr>
        <sz val="10"/>
        <color rgb="FF000000"/>
        <rFont val="DejaVu Sans"/>
        <family val="2"/>
      </rPr>
      <t xml:space="preserve">兜底</t>
    </r>
  </si>
  <si>
    <r>
      <rPr>
        <sz val="10"/>
        <color rgb="FF000000"/>
        <rFont val="DejaVu Sans"/>
        <family val="2"/>
      </rPr>
      <t xml:space="preserve">中文工单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拍立淘图搜端点齐全；月费 </t>
    </r>
    <r>
      <rPr>
        <sz val="10"/>
        <color rgb="FF000000"/>
        <rFont val="DejaVu Sans"/>
        <family val="2"/>
        <charset val="1"/>
      </rPr>
      <t xml:space="preserve">¥200-¥500</t>
    </r>
  </si>
  <si>
    <r>
      <rPr>
        <sz val="10"/>
        <color rgb="FF000000"/>
        <rFont val="DejaVu Sans"/>
        <family val="2"/>
      </rPr>
      <t xml:space="preserve">小包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一件代发</t>
    </r>
  </si>
  <si>
    <r>
      <rPr>
        <sz val="10"/>
        <color rgb="FF000000"/>
        <rFont val="Arial"/>
        <family val="0"/>
        <charset val="1"/>
      </rPr>
      <t xml:space="preserve">220+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中国头部承运商 </t>
    </r>
    <r>
      <rPr>
        <sz val="10"/>
        <color rgb="FF000000"/>
        <rFont val="Arial"/>
        <family val="0"/>
        <charset val="1"/>
      </rPr>
      <t xml:space="preserve">+ DDP </t>
    </r>
    <r>
      <rPr>
        <sz val="10"/>
        <color rgb="FF000000"/>
        <rFont val="DejaVu Sans"/>
        <family val="2"/>
      </rPr>
      <t xml:space="preserve">完整；</t>
    </r>
    <r>
      <rPr>
        <sz val="10"/>
        <color rgb="FF000000"/>
        <rFont val="Arial"/>
        <family val="0"/>
        <charset val="1"/>
      </rPr>
      <t xml:space="preserve">$99/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5000 </t>
    </r>
    <r>
      <rPr>
        <sz val="10"/>
        <color rgb="FF000000"/>
        <rFont val="DejaVu Sans"/>
        <family val="2"/>
      </rPr>
      <t xml:space="preserve">单</t>
    </r>
  </si>
  <si>
    <r>
      <rPr>
        <sz val="10"/>
        <color rgb="FF000000"/>
        <rFont val="DejaVu Sans"/>
        <family val="2"/>
      </rPr>
      <t xml:space="preserve">整柜</t>
    </r>
    <r>
      <rPr>
        <sz val="10"/>
        <color rgb="FF000000"/>
        <rFont val="DejaVu Sans"/>
        <family val="2"/>
        <charset val="1"/>
      </rPr>
      <t xml:space="preserve">/FBA </t>
    </r>
    <r>
      <rPr>
        <sz val="10"/>
        <color rgb="FF000000"/>
        <rFont val="DejaVu Sans"/>
        <family val="2"/>
      </rPr>
      <t xml:space="preserve">入仓</t>
    </r>
  </si>
  <si>
    <t xml:space="preserve">Maersk + Freightos shippingCalculator</t>
  </si>
  <si>
    <r>
      <rPr>
        <sz val="10"/>
        <color rgb="FF000000"/>
        <rFont val="DejaVu Sans"/>
        <family val="2"/>
      </rPr>
      <t xml:space="preserve">全免费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两家交叉验证 </t>
    </r>
    <r>
      <rPr>
        <sz val="10"/>
        <color rgb="FF000000"/>
        <rFont val="DejaVu Sans"/>
        <family val="2"/>
        <charset val="1"/>
      </rPr>
      <t xml:space="preserve">spot </t>
    </r>
    <r>
      <rPr>
        <sz val="10"/>
        <color rgb="FF000000"/>
        <rFont val="DejaVu Sans"/>
        <family val="2"/>
      </rPr>
      <t xml:space="preserve">价</t>
    </r>
  </si>
  <si>
    <r>
      <rPr>
        <sz val="10"/>
        <color rgb="FF000000"/>
        <rFont val="DejaVu Sans"/>
        <family val="2"/>
      </rPr>
      <t xml:space="preserve">追踪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逆向</t>
    </r>
  </si>
  <si>
    <r>
      <rPr>
        <sz val="10"/>
        <color rgb="FF000000"/>
        <rFont val="Arial"/>
        <family val="0"/>
        <charset val="1"/>
      </rPr>
      <t xml:space="preserve">1500+ </t>
    </r>
    <r>
      <rPr>
        <sz val="10"/>
        <color rgb="FF000000"/>
        <rFont val="DejaVu Sans"/>
        <family val="2"/>
      </rPr>
      <t xml:space="preserve">承运商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异常预警；</t>
    </r>
    <r>
      <rPr>
        <sz val="10"/>
        <color rgb="FF000000"/>
        <rFont val="Arial"/>
        <family val="0"/>
        <charset val="1"/>
      </rPr>
      <t xml:space="preserve">$50/</t>
    </r>
    <r>
      <rPr>
        <sz val="10"/>
        <color rgb="FF000000"/>
        <rFont val="DejaVu Sans"/>
        <family val="2"/>
      </rPr>
      <t xml:space="preserve">月起</t>
    </r>
  </si>
  <si>
    <t xml:space="preserve">月度总预算</t>
  </si>
  <si>
    <r>
      <rPr>
        <sz val="10"/>
        <color rgb="FF000000"/>
        <rFont val="DejaVu Sans"/>
        <family val="2"/>
      </rPr>
      <t xml:space="preserve">约 </t>
    </r>
    <r>
      <rPr>
        <sz val="10"/>
        <color rgb="FF000000"/>
        <rFont val="DejaVu Sans"/>
        <family val="2"/>
        <charset val="1"/>
      </rPr>
      <t xml:space="preserve">$200-$400 </t>
    </r>
    <r>
      <rPr>
        <sz val="10"/>
        <color rgb="FF000000"/>
        <rFont val="DejaVu Sans"/>
        <family val="2"/>
      </rPr>
      <t xml:space="preserve">即可全套覆盖</t>
    </r>
  </si>
  <si>
    <r>
      <rPr>
        <b val="true"/>
        <sz val="14"/>
        <color rgb="FF1F4E78"/>
        <rFont val="Arial"/>
        <family val="0"/>
        <charset val="1"/>
      </rPr>
      <t xml:space="preserve">Meta </t>
    </r>
    <r>
      <rPr>
        <b val="true"/>
        <sz val="14"/>
        <color rgb="FF1F4E78"/>
        <rFont val="DejaVu Sans"/>
        <family val="2"/>
      </rPr>
      <t xml:space="preserve">广告 </t>
    </r>
    <r>
      <rPr>
        <b val="true"/>
        <sz val="14"/>
        <color rgb="FF1F4E78"/>
        <rFont val="Arial"/>
        <family val="0"/>
        <charset val="1"/>
      </rPr>
      <t xml:space="preserve">+ </t>
    </r>
    <r>
      <rPr>
        <b val="true"/>
        <sz val="14"/>
        <color rgb="FF1F4E78"/>
        <rFont val="DejaVu Sans"/>
        <family val="2"/>
      </rPr>
      <t xml:space="preserve">独立站 </t>
    </r>
    <r>
      <rPr>
        <b val="true"/>
        <sz val="14"/>
        <color rgb="FF1F4E78"/>
        <rFont val="Arial"/>
        <family val="0"/>
        <charset val="1"/>
      </rPr>
      <t xml:space="preserve">(Shopify) ROI </t>
    </r>
    <r>
      <rPr>
        <b val="true"/>
        <sz val="14"/>
        <color rgb="FF1F4E78"/>
        <rFont val="DejaVu Sans"/>
        <family val="2"/>
      </rPr>
      <t xml:space="preserve">数据源详情</t>
    </r>
  </si>
  <si>
    <r>
      <rPr>
        <b val="true"/>
        <sz val="11"/>
        <color rgb="FF000000"/>
        <rFont val="Arial"/>
        <family val="0"/>
        <charset val="1"/>
      </rPr>
      <t xml:space="preserve">▶ A. </t>
    </r>
    <r>
      <rPr>
        <b val="true"/>
        <sz val="11"/>
        <color rgb="FF000000"/>
        <rFont val="DejaVu Sans"/>
        <family val="2"/>
      </rPr>
      <t xml:space="preserve">官方一手数据源（自己跑数据）</t>
    </r>
  </si>
  <si>
    <t xml:space="preserve">地区覆盖</t>
  </si>
  <si>
    <r>
      <rPr>
        <b val="true"/>
        <sz val="11"/>
        <color rgb="FFFFFFFF"/>
        <rFont val="DejaVu Sans"/>
        <family val="2"/>
      </rPr>
      <t xml:space="preserve">价格 </t>
    </r>
    <r>
      <rPr>
        <b val="true"/>
        <sz val="11"/>
        <color rgb="FFFFFFFF"/>
        <rFont val="DejaVu Sans"/>
        <family val="2"/>
        <charset val="1"/>
      </rPr>
      <t xml:space="preserve">(2026)</t>
    </r>
  </si>
  <si>
    <t xml:space="preserve">时效</t>
  </si>
  <si>
    <t xml:space="preserve">Meta Marketing API / Ads Insights</t>
  </si>
  <si>
    <r>
      <rPr>
        <sz val="10"/>
        <color rgb="FF000000"/>
        <rFont val="Arial"/>
        <family val="0"/>
        <charset val="1"/>
      </rPr>
      <t xml:space="preserve">CPM/CTR/CVR/ROAS </t>
    </r>
    <r>
      <rPr>
        <sz val="10"/>
        <color rgb="FF000000"/>
        <rFont val="DejaVu Sans"/>
        <family val="2"/>
      </rPr>
      <t xml:space="preserve">全字段</t>
    </r>
  </si>
  <si>
    <t xml:space="preserve">ad-set × country × age × placement</t>
  </si>
  <si>
    <r>
      <rPr>
        <sz val="10"/>
        <color rgb="FF000000"/>
        <rFont val="Arial"/>
        <family val="0"/>
        <charset val="1"/>
      </rPr>
      <t xml:space="preserve">REST (300 req/h </t>
    </r>
    <r>
      <rPr>
        <sz val="10"/>
        <color rgb="FF000000"/>
        <rFont val="DejaVu Sans"/>
        <family val="2"/>
      </rPr>
      <t xml:space="preserve">标准；</t>
    </r>
    <r>
      <rPr>
        <sz val="10"/>
        <color rgb="FF000000"/>
        <rFont val="Arial"/>
        <family val="0"/>
        <charset val="1"/>
      </rPr>
      <t xml:space="preserve">100k/h Advanced)</t>
    </r>
  </si>
  <si>
    <r>
      <rPr>
        <sz val="10"/>
        <color rgb="FF000000"/>
        <rFont val="DejaVu Sans"/>
        <family val="2"/>
      </rPr>
      <t xml:space="preserve">自家广告 </t>
    </r>
    <r>
      <rPr>
        <sz val="10"/>
        <color rgb="FF000000"/>
        <rFont val="DejaVu Sans"/>
        <family val="2"/>
        <charset val="1"/>
      </rPr>
      <t xml:space="preserve">ROI </t>
    </r>
    <r>
      <rPr>
        <sz val="10"/>
        <color rgb="FF000000"/>
        <rFont val="DejaVu Sans"/>
        <family val="2"/>
      </rPr>
      <t xml:space="preserve">必接</t>
    </r>
  </si>
  <si>
    <r>
      <rPr>
        <sz val="10"/>
        <color rgb="FF000000"/>
        <rFont val="DejaVu Sans"/>
        <family val="2"/>
      </rPr>
      <t xml:space="preserve">竞品广告 </t>
    </r>
    <r>
      <rPr>
        <sz val="10"/>
        <color rgb="FF000000"/>
        <rFont val="DejaVu Sans"/>
        <family val="2"/>
        <charset val="1"/>
      </rPr>
      <t xml:space="preserve">+ EU </t>
    </r>
    <r>
      <rPr>
        <sz val="10"/>
        <color rgb="FF000000"/>
        <rFont val="DejaVu Sans"/>
        <family val="2"/>
      </rPr>
      <t xml:space="preserve">投放数据</t>
    </r>
  </si>
  <si>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完整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其他仅政治议题</t>
    </r>
  </si>
  <si>
    <r>
      <rPr>
        <sz val="10"/>
        <color rgb="FF000000"/>
        <rFont val="Arial"/>
        <family val="0"/>
        <charset val="1"/>
      </rPr>
      <t xml:space="preserve">REST + </t>
    </r>
    <r>
      <rPr>
        <sz val="10"/>
        <color rgb="FF000000"/>
        <rFont val="DejaVu Sans"/>
        <family val="2"/>
      </rPr>
      <t xml:space="preserve">开发者审核</t>
    </r>
  </si>
  <si>
    <r>
      <rPr>
        <sz val="10"/>
        <color rgb="FF000000"/>
        <rFont val="DejaVu Sans"/>
        <family val="2"/>
      </rPr>
      <t xml:space="preserve">仅 </t>
    </r>
    <r>
      <rPr>
        <sz val="10"/>
        <color rgb="FF000000"/>
        <rFont val="DejaVu Sans"/>
        <family val="2"/>
        <charset val="1"/>
      </rPr>
      <t xml:space="preserve">EU </t>
    </r>
    <r>
      <rPr>
        <sz val="10"/>
        <color rgb="FF000000"/>
        <rFont val="DejaVu Sans"/>
        <family val="2"/>
      </rPr>
      <t xml:space="preserve">商业广告可用</t>
    </r>
  </si>
  <si>
    <t xml:space="preserve">Meta Audience Insights</t>
  </si>
  <si>
    <r>
      <rPr>
        <sz val="10"/>
        <color rgb="FF000000"/>
        <rFont val="DejaVu Sans"/>
        <family val="2"/>
      </rPr>
      <t xml:space="preserve">受众画像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兴趣</t>
    </r>
  </si>
  <si>
    <t xml:space="preserve">兴趣标签</t>
  </si>
  <si>
    <t xml:space="preserve">早期受众探索</t>
  </si>
  <si>
    <r>
      <rPr>
        <sz val="10"/>
        <color rgb="FF000000"/>
        <rFont val="DejaVu Sans"/>
        <family val="2"/>
      </rPr>
      <t xml:space="preserve">自家 </t>
    </r>
    <r>
      <rPr>
        <sz val="10"/>
        <color rgb="FF000000"/>
        <rFont val="DejaVu Sans"/>
        <family val="2"/>
        <charset val="1"/>
      </rPr>
      <t xml:space="preserve">32 </t>
    </r>
    <r>
      <rPr>
        <sz val="10"/>
        <color rgb="FF000000"/>
        <rFont val="DejaVu Sans"/>
        <family val="2"/>
      </rPr>
      <t xml:space="preserve">国</t>
    </r>
  </si>
  <si>
    <r>
      <rPr>
        <sz val="10"/>
        <color rgb="FF000000"/>
        <rFont val="Arial"/>
        <family val="0"/>
        <charset val="1"/>
      </rPr>
      <t xml:space="preserve">SKU/</t>
    </r>
    <r>
      <rPr>
        <sz val="10"/>
        <color rgb="FF000000"/>
        <rFont val="DejaVu Sans"/>
        <family val="2"/>
      </rPr>
      <t xml:space="preserve">地区</t>
    </r>
  </si>
  <si>
    <r>
      <rPr>
        <sz val="10"/>
        <color rgb="FF000000"/>
        <rFont val="DejaVu Sans"/>
        <family val="2"/>
      </rPr>
      <t xml:space="preserve">独立站 </t>
    </r>
    <r>
      <rPr>
        <sz val="10"/>
        <color rgb="FF000000"/>
        <rFont val="DejaVu Sans"/>
        <family val="2"/>
        <charset val="1"/>
      </rPr>
      <t xml:space="preserve">ROI </t>
    </r>
    <r>
      <rPr>
        <sz val="10"/>
        <color rgb="FF000000"/>
        <rFont val="DejaVu Sans"/>
        <family val="2"/>
      </rPr>
      <t xml:space="preserve">必接</t>
    </r>
  </si>
  <si>
    <t xml:space="preserve">session/conv/revenue</t>
  </si>
  <si>
    <t xml:space="preserve">日更</t>
  </si>
  <si>
    <t xml:space="preserve">跨渠道归因校验 必接</t>
  </si>
  <si>
    <r>
      <rPr>
        <b val="true"/>
        <sz val="11"/>
        <color rgb="FF000000"/>
        <rFont val="Arial"/>
        <family val="0"/>
        <charset val="1"/>
      </rPr>
      <t xml:space="preserve">▶ B. </t>
    </r>
    <r>
      <rPr>
        <b val="true"/>
        <sz val="11"/>
        <color rgb="FF000000"/>
        <rFont val="DejaVu Sans"/>
        <family val="2"/>
      </rPr>
      <t xml:space="preserve">第三方行业 </t>
    </r>
    <r>
      <rPr>
        <b val="true"/>
        <sz val="11"/>
        <color rgb="FF000000"/>
        <rFont val="Arial"/>
        <family val="0"/>
        <charset val="1"/>
      </rPr>
      <t xml:space="preserve">Benchmark</t>
    </r>
  </si>
  <si>
    <t xml:space="preserve">WordStream / LocaliQ Benchmarks</t>
  </si>
  <si>
    <t xml:space="preserve">FB CPC/CTR/CPM by industry</t>
  </si>
  <si>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DejaVu Sans"/>
        <family val="2"/>
        <charset val="1"/>
      </rPr>
      <t xml:space="preserve">Furniture</t>
    </r>
  </si>
  <si>
    <r>
      <rPr>
        <sz val="10"/>
        <color rgb="FF000000"/>
        <rFont val="DejaVu Sans"/>
        <family val="2"/>
      </rPr>
      <t xml:space="preserve">市场规模 </t>
    </r>
    <r>
      <rPr>
        <sz val="10"/>
        <color rgb="FF000000"/>
        <rFont val="DejaVu Sans"/>
        <family val="2"/>
        <charset val="1"/>
      </rPr>
      <t xml:space="preserve">+ CPM by country</t>
    </r>
  </si>
  <si>
    <r>
      <rPr>
        <sz val="10"/>
        <color rgb="FF000000"/>
        <rFont val="Arial"/>
        <family val="0"/>
        <charset val="1"/>
      </rPr>
      <t xml:space="preserve">Home Décor/Furniture </t>
    </r>
    <r>
      <rPr>
        <sz val="10"/>
        <color rgb="FF000000"/>
        <rFont val="DejaVu Sans"/>
        <family val="2"/>
      </rPr>
      <t xml:space="preserve">细分</t>
    </r>
  </si>
  <si>
    <r>
      <rPr>
        <sz val="10"/>
        <color rgb="FF000000"/>
        <rFont val="Arial"/>
        <family val="0"/>
        <charset val="1"/>
      </rPr>
      <t xml:space="preserve">$2,388/</t>
    </r>
    <r>
      <rPr>
        <sz val="10"/>
        <color rgb="FF000000"/>
        <rFont val="DejaVu Sans"/>
        <family val="2"/>
      </rPr>
      <t xml:space="preserve">年；单份 </t>
    </r>
    <r>
      <rPr>
        <sz val="10"/>
        <color rgb="FF000000"/>
        <rFont val="Arial"/>
        <family val="0"/>
        <charset val="1"/>
      </rPr>
      <t xml:space="preserve">$495</t>
    </r>
  </si>
  <si>
    <t xml:space="preserve">Connect API (Ent)</t>
  </si>
  <si>
    <r>
      <rPr>
        <sz val="10"/>
        <color rgb="FF000000"/>
        <rFont val="DejaVu Sans"/>
        <family val="2"/>
      </rPr>
      <t xml:space="preserve">投资人材料 </t>
    </r>
    <r>
      <rPr>
        <sz val="10"/>
        <color rgb="FF000000"/>
        <rFont val="DejaVu Sans"/>
        <family val="2"/>
        <charset val="1"/>
      </rPr>
      <t xml:space="preserve">+ TAM</t>
    </r>
  </si>
  <si>
    <t xml:space="preserve">AdEspresso Benchmark</t>
  </si>
  <si>
    <r>
      <rPr>
        <sz val="10"/>
        <color rgb="FF000000"/>
        <rFont val="Arial"/>
        <family val="0"/>
        <charset val="1"/>
      </rPr>
      <t xml:space="preserve">FB ads A/B </t>
    </r>
    <r>
      <rPr>
        <sz val="10"/>
        <color rgb="FF000000"/>
        <rFont val="DejaVu Sans"/>
        <family val="2"/>
      </rPr>
      <t xml:space="preserve">趋势</t>
    </r>
  </si>
  <si>
    <t xml:space="preserve">跨行业聚合</t>
  </si>
  <si>
    <r>
      <rPr>
        <sz val="10"/>
        <color rgb="FF000000"/>
        <rFont val="DejaVu Sans"/>
        <family val="2"/>
      </rPr>
      <t xml:space="preserve">季度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年度</t>
    </r>
  </si>
  <si>
    <t xml:space="preserve">创意优化参考</t>
  </si>
  <si>
    <r>
      <rPr>
        <sz val="10"/>
        <color rgb="FF000000"/>
        <rFont val="DejaVu Sans"/>
        <family val="2"/>
      </rPr>
      <t xml:space="preserve">行业聚合（</t>
    </r>
    <r>
      <rPr>
        <sz val="10"/>
        <color rgb="FF000000"/>
        <rFont val="DejaVu Sans"/>
        <family val="2"/>
        <charset val="1"/>
      </rPr>
      <t xml:space="preserve">Retail</t>
    </r>
    <r>
      <rPr>
        <sz val="10"/>
        <color rgb="FF000000"/>
        <rFont val="DejaVu Sans"/>
        <family val="2"/>
      </rPr>
      <t xml:space="preserve">）</t>
    </r>
  </si>
  <si>
    <t xml:space="preserve">Shopify Plus Reports</t>
  </si>
  <si>
    <r>
      <rPr>
        <sz val="10"/>
        <color rgb="FF000000"/>
        <rFont val="Arial"/>
        <family val="0"/>
        <charset val="1"/>
      </rPr>
      <t xml:space="preserve">DTC + Home Furnishing </t>
    </r>
    <r>
      <rPr>
        <sz val="10"/>
        <color rgb="FF000000"/>
        <rFont val="DejaVu Sans"/>
        <family val="2"/>
      </rPr>
      <t xml:space="preserve">趋势</t>
    </r>
  </si>
  <si>
    <t xml:space="preserve">Home Furnishing</t>
  </si>
  <si>
    <r>
      <rPr>
        <sz val="10"/>
        <color rgb="FF000000"/>
        <rFont val="DejaVu Sans"/>
        <family val="2"/>
      </rPr>
      <t xml:space="preserve">选品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策略</t>
    </r>
  </si>
  <si>
    <t xml:space="preserve">Email open/CTR/conv/AOV</t>
  </si>
  <si>
    <t xml:space="preserve">AMER/EMEA/APAC</t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</si>
  <si>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PDF + Klaviyo API $45+/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</si>
  <si>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EDM </t>
    </r>
    <r>
      <rPr>
        <sz val="10"/>
        <color rgb="FF000000"/>
        <rFont val="DejaVu Sans"/>
        <family val="2"/>
      </rPr>
      <t xml:space="preserve">渠道核算</t>
    </r>
  </si>
  <si>
    <r>
      <rPr>
        <sz val="10"/>
        <color rgb="FF000000"/>
        <rFont val="DejaVu Sans"/>
        <family val="2"/>
      </rPr>
      <t xml:space="preserve">多触点归因 </t>
    </r>
    <r>
      <rPr>
        <sz val="10"/>
        <color rgb="FF000000"/>
        <rFont val="DejaVu Sans"/>
        <family val="2"/>
        <charset val="1"/>
      </rPr>
      <t xml:space="preserve">+ DTC benchmark</t>
    </r>
  </si>
  <si>
    <t xml:space="preserve">行业聚合</t>
  </si>
  <si>
    <r>
      <rPr>
        <sz val="10"/>
        <color rgb="FF000000"/>
        <rFont val="Arial"/>
        <family val="0"/>
        <charset val="1"/>
      </rPr>
      <t xml:space="preserve">$129-$3,599/</t>
    </r>
    <r>
      <rPr>
        <sz val="10"/>
        <color rgb="FF000000"/>
        <rFont val="DejaVu Sans"/>
        <family val="2"/>
      </rPr>
      <t xml:space="preserve">月（按 </t>
    </r>
    <r>
      <rPr>
        <sz val="10"/>
        <color rgb="FF000000"/>
        <rFont val="Arial"/>
        <family val="0"/>
        <charset val="1"/>
      </rPr>
      <t xml:space="preserve">GMV</t>
    </r>
    <r>
      <rPr>
        <sz val="10"/>
        <color rgb="FF000000"/>
        <rFont val="DejaVu Sans"/>
        <family val="2"/>
      </rPr>
      <t xml:space="preserve">）</t>
    </r>
  </si>
  <si>
    <t xml:space="preserve">成熟期专用</t>
  </si>
  <si>
    <t xml:space="preserve">AdRoll Benchmark</t>
  </si>
  <si>
    <t xml:space="preserve">CPM/CTR by campaign type</t>
  </si>
  <si>
    <t xml:space="preserve">跨行业</t>
  </si>
  <si>
    <r>
      <rPr>
        <sz val="10"/>
        <color rgb="FF000000"/>
        <rFont val="Arial"/>
        <family val="0"/>
        <charset val="1"/>
      </rPr>
      <t xml:space="preserve">Retargeting </t>
    </r>
    <r>
      <rPr>
        <sz val="10"/>
        <color rgb="FF000000"/>
        <rFont val="DejaVu Sans"/>
        <family val="2"/>
      </rPr>
      <t xml:space="preserve">参考</t>
    </r>
  </si>
  <si>
    <r>
      <rPr>
        <b val="true"/>
        <sz val="11"/>
        <color rgb="FF000000"/>
        <rFont val="Arial"/>
        <family val="0"/>
        <charset val="1"/>
      </rPr>
      <t xml:space="preserve">▶ C. </t>
    </r>
    <r>
      <rPr>
        <b val="true"/>
        <sz val="11"/>
        <color rgb="FF000000"/>
        <rFont val="DejaVu Sans"/>
        <family val="2"/>
      </rPr>
      <t xml:space="preserve">爬虫 </t>
    </r>
    <r>
      <rPr>
        <b val="true"/>
        <sz val="11"/>
        <color rgb="FF000000"/>
        <rFont val="Arial"/>
        <family val="0"/>
        <charset val="1"/>
      </rPr>
      <t xml:space="preserve">/ </t>
    </r>
    <r>
      <rPr>
        <b val="true"/>
        <sz val="11"/>
        <color rgb="FF000000"/>
        <rFont val="DejaVu Sans"/>
        <family val="2"/>
      </rPr>
      <t xml:space="preserve">竞品扫描 </t>
    </r>
    <r>
      <rPr>
        <b val="true"/>
        <sz val="11"/>
        <color rgb="FF000000"/>
        <rFont val="Arial"/>
        <family val="0"/>
        <charset val="1"/>
      </rPr>
      <t xml:space="preserve">SaaS</t>
    </r>
  </si>
  <si>
    <r>
      <rPr>
        <sz val="10"/>
        <color rgb="FF000000"/>
        <rFont val="DejaVu Sans"/>
        <family val="2"/>
      </rPr>
      <t xml:space="preserve">竞品独立站流量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漏斗</t>
    </r>
  </si>
  <si>
    <r>
      <rPr>
        <sz val="10"/>
        <color rgb="FF000000"/>
        <rFont val="Arial"/>
        <family val="0"/>
        <charset val="1"/>
      </rPr>
      <t xml:space="preserve">$125-$542/</t>
    </r>
    <r>
      <rPr>
        <sz val="10"/>
        <color rgb="FF000000"/>
        <rFont val="DejaVu Sans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API Ent</t>
    </r>
  </si>
  <si>
    <t xml:space="preserve">REST (Ent)</t>
  </si>
  <si>
    <t xml:space="preserve">竞品流量结构</t>
  </si>
  <si>
    <t xml:space="preserve">Semrush + .Trends</t>
  </si>
  <si>
    <r>
      <rPr>
        <sz val="10"/>
        <color rgb="FF000000"/>
        <rFont val="DejaVu Sans"/>
        <family val="2"/>
      </rPr>
      <t xml:space="preserve">关键词广告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竞品 </t>
    </r>
    <r>
      <rPr>
        <sz val="10"/>
        <color rgb="FF000000"/>
        <rFont val="DejaVu Sans"/>
        <family val="2"/>
        <charset val="1"/>
      </rPr>
      <t xml:space="preserve">ad copy</t>
    </r>
  </si>
  <si>
    <t xml:space="preserve">全球部分</t>
  </si>
  <si>
    <r>
      <rPr>
        <sz val="10"/>
        <color rgb="FF000000"/>
        <rFont val="Arial"/>
        <family val="0"/>
        <charset val="1"/>
      </rPr>
      <t xml:space="preserve">$139.95 + $289 = $428.95/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</si>
  <si>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SEM </t>
    </r>
    <r>
      <rPr>
        <sz val="10"/>
        <color rgb="FF000000"/>
        <rFont val="DejaVu Sans"/>
        <family val="2"/>
      </rPr>
      <t xml:space="preserve">优先级低</t>
    </r>
  </si>
  <si>
    <r>
      <rPr>
        <sz val="10"/>
        <color rgb="FF000000"/>
        <rFont val="Arial"/>
        <family val="0"/>
        <charset val="1"/>
      </rPr>
      <t xml:space="preserve">Meta+IG </t>
    </r>
    <r>
      <rPr>
        <sz val="10"/>
        <color rgb="FF000000"/>
        <rFont val="DejaVu Sans"/>
        <family val="2"/>
      </rPr>
      <t xml:space="preserve">广告库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DejaVu Sans"/>
        <family val="2"/>
      </rPr>
      <t xml:space="preserve">国</t>
    </r>
  </si>
  <si>
    <r>
      <rPr>
        <sz val="10"/>
        <color rgb="FF000000"/>
        <rFont val="DejaVu Sans"/>
        <family val="2"/>
      </rPr>
      <t xml:space="preserve">关键词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国家</t>
    </r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</si>
  <si>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Meta scan </t>
    </r>
    <r>
      <rPr>
        <sz val="10"/>
        <color rgb="FF000000"/>
        <rFont val="DejaVu Sans"/>
        <family val="2"/>
      </rPr>
      <t xml:space="preserve">性价比之王</t>
    </r>
  </si>
  <si>
    <t xml:space="preserve">Meta+TikTok+Shopify product spy</t>
  </si>
  <si>
    <r>
      <rPr>
        <sz val="10"/>
        <color rgb="FF000000"/>
        <rFont val="DejaVu Sans"/>
        <family val="2"/>
      </rPr>
      <t xml:space="preserve">家居选品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创意</t>
    </r>
  </si>
  <si>
    <t xml:space="preserve">PiPiAds</t>
  </si>
  <si>
    <r>
      <rPr>
        <sz val="10"/>
        <color rgb="FF000000"/>
        <rFont val="Arial"/>
        <family val="0"/>
        <charset val="1"/>
      </rPr>
      <t xml:space="preserve">TikTok </t>
    </r>
    <r>
      <rPr>
        <sz val="10"/>
        <color rgb="FF000000"/>
        <rFont val="DejaVu Sans"/>
        <family val="2"/>
      </rPr>
      <t xml:space="preserve">为主 </t>
    </r>
    <r>
      <rPr>
        <sz val="10"/>
        <color rgb="FF000000"/>
        <rFont val="Arial"/>
        <family val="0"/>
        <charset val="1"/>
      </rPr>
      <t xml:space="preserve">+ Meta</t>
    </r>
  </si>
  <si>
    <t xml:space="preserve">视频级</t>
  </si>
  <si>
    <r>
      <rPr>
        <sz val="10"/>
        <color rgb="FF000000"/>
        <rFont val="Arial"/>
        <family val="0"/>
        <charset val="1"/>
      </rPr>
      <t xml:space="preserve">$77-$263/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</si>
  <si>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TikTok </t>
    </r>
    <r>
      <rPr>
        <sz val="10"/>
        <color rgb="FF000000"/>
        <rFont val="DejaVu Sans"/>
        <family val="2"/>
      </rPr>
      <t xml:space="preserve">重点用</t>
    </r>
  </si>
  <si>
    <r>
      <rPr>
        <sz val="10"/>
        <color rgb="FF000000"/>
        <rFont val="Arial"/>
        <family val="0"/>
        <charset val="1"/>
      </rPr>
      <t xml:space="preserve">500k+ </t>
    </r>
    <r>
      <rPr>
        <sz val="10"/>
        <color rgb="FF000000"/>
        <rFont val="DejaVu Sans"/>
        <family val="2"/>
      </rPr>
      <t xml:space="preserve">广告库</t>
    </r>
  </si>
  <si>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DejaVu Sans"/>
        <family val="2"/>
        <charset val="1"/>
      </rPr>
      <t xml:space="preserve">brief </t>
    </r>
    <r>
      <rPr>
        <sz val="10"/>
        <color rgb="FF000000"/>
        <rFont val="DejaVu Sans"/>
        <family val="2"/>
      </rPr>
      <t xml:space="preserve">流水线</t>
    </r>
  </si>
  <si>
    <t xml:space="preserve">Magic Brief</t>
  </si>
  <si>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DejaVu Sans"/>
        <family val="2"/>
        <charset val="1"/>
      </rPr>
      <t xml:space="preserve">brief </t>
    </r>
    <r>
      <rPr>
        <sz val="10"/>
        <color rgb="FF000000"/>
        <rFont val="DejaVu Sans"/>
        <family val="2"/>
      </rPr>
      <t xml:space="preserve">工作流 </t>
    </r>
    <r>
      <rPr>
        <sz val="10"/>
        <color rgb="FF000000"/>
        <rFont val="DejaVu Sans"/>
        <family val="2"/>
        <charset val="1"/>
      </rPr>
      <t xml:space="preserve">+ spy</t>
    </r>
  </si>
  <si>
    <r>
      <rPr>
        <sz val="10"/>
        <color rgb="FF000000"/>
        <rFont val="Arial"/>
        <family val="0"/>
        <charset val="1"/>
      </rPr>
      <t xml:space="preserve">Custom</t>
    </r>
    <r>
      <rPr>
        <sz val="10"/>
        <color rgb="FF000000"/>
        <rFont val="DejaVu Sans"/>
        <family val="2"/>
      </rPr>
      <t xml:space="preserve">（联系销售）</t>
    </r>
  </si>
  <si>
    <r>
      <rPr>
        <sz val="10"/>
        <color rgb="FF000000"/>
        <rFont val="Arial"/>
        <family val="0"/>
        <charset val="1"/>
      </rPr>
      <t xml:space="preserve">Foreplay </t>
    </r>
    <r>
      <rPr>
        <sz val="10"/>
        <color rgb="FF000000"/>
        <rFont val="DejaVu Sans"/>
        <family val="2"/>
      </rPr>
      <t xml:space="preserve">替代</t>
    </r>
  </si>
  <si>
    <r>
      <rPr>
        <b val="true"/>
        <sz val="11"/>
        <color rgb="FF000000"/>
        <rFont val="DejaVu Sans"/>
        <family val="2"/>
      </rPr>
      <t xml:space="preserve">▶ 哈奇米早期推荐接入（</t>
    </r>
    <r>
      <rPr>
        <b val="true"/>
        <sz val="11"/>
        <color rgb="FF000000"/>
        <rFont val="DejaVu Sans"/>
        <family val="2"/>
        <charset val="1"/>
      </rPr>
      <t xml:space="preserve">5 </t>
    </r>
    <r>
      <rPr>
        <b val="true"/>
        <sz val="11"/>
        <color rgb="FF000000"/>
        <rFont val="DejaVu Sans"/>
        <family val="2"/>
      </rPr>
      <t xml:space="preserve">个，按优先级）</t>
    </r>
  </si>
  <si>
    <t xml:space="preserve">优先级</t>
  </si>
  <si>
    <t xml:space="preserve">月成本</t>
  </si>
  <si>
    <t xml:space="preserve">解决什么</t>
  </si>
  <si>
    <t xml:space="preserve">Tier 1 - Week 1</t>
  </si>
  <si>
    <t xml:space="preserve">$0</t>
  </si>
  <si>
    <r>
      <rPr>
        <sz val="10"/>
        <color rgb="FF000000"/>
        <rFont val="DejaVu Sans"/>
        <family val="2"/>
      </rPr>
      <t xml:space="preserve">实时 </t>
    </r>
    <r>
      <rPr>
        <sz val="10"/>
        <color rgb="FF000000"/>
        <rFont val="DejaVu Sans"/>
        <family val="2"/>
        <charset val="1"/>
      </rPr>
      <t xml:space="preserve">ROAS/CPM/CTR </t>
    </r>
    <r>
      <rPr>
        <sz val="10"/>
        <color rgb="FF000000"/>
        <rFont val="DejaVu Sans"/>
        <family val="2"/>
      </rPr>
      <t xml:space="preserve">核算唯一一手源</t>
    </r>
  </si>
  <si>
    <t xml:space="preserve">Shopify Admin GraphQL</t>
  </si>
  <si>
    <r>
      <rPr>
        <sz val="10"/>
        <color rgb="FF000000"/>
        <rFont val="Arial"/>
        <family val="0"/>
        <charset val="1"/>
      </rPr>
      <t xml:space="preserve">$0</t>
    </r>
    <r>
      <rPr>
        <sz val="10"/>
        <color rgb="FF000000"/>
        <rFont val="DejaVu Sans"/>
        <family val="2"/>
      </rPr>
      <t xml:space="preserve">（含在 </t>
    </r>
    <r>
      <rPr>
        <sz val="10"/>
        <color rgb="FF000000"/>
        <rFont val="Arial"/>
        <family val="0"/>
        <charset val="1"/>
      </rPr>
      <t xml:space="preserve">Shopify </t>
    </r>
    <r>
      <rPr>
        <sz val="10"/>
        <color rgb="FF000000"/>
        <rFont val="DejaVu Sans"/>
        <family val="2"/>
      </rPr>
      <t xml:space="preserve">套餐）</t>
    </r>
  </si>
  <si>
    <r>
      <rPr>
        <sz val="10"/>
        <color rgb="FF000000"/>
        <rFont val="Arial"/>
        <family val="0"/>
        <charset val="1"/>
      </rPr>
      <t xml:space="preserve">CVR/AOV/cohort </t>
    </r>
    <r>
      <rPr>
        <sz val="10"/>
        <color rgb="FF000000"/>
        <rFont val="DejaVu Sans"/>
        <family val="2"/>
      </rPr>
      <t xml:space="preserve">拉取</t>
    </r>
  </si>
  <si>
    <t xml:space="preserve">GA4 Data API</t>
  </si>
  <si>
    <r>
      <rPr>
        <sz val="10"/>
        <color rgb="FF000000"/>
        <rFont val="DejaVu Sans"/>
        <family val="2"/>
      </rPr>
      <t xml:space="preserve">跨渠道归因校验 </t>
    </r>
    <r>
      <rPr>
        <sz val="10"/>
        <color rgb="FF000000"/>
        <rFont val="DejaVu Sans"/>
        <family val="2"/>
        <charset val="1"/>
      </rPr>
      <t xml:space="preserve">+ Home &amp; Garden </t>
    </r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DejaVu Sans"/>
        <family val="2"/>
        <charset val="1"/>
      </rPr>
      <t xml:space="preserve">baseline</t>
    </r>
  </si>
  <si>
    <t xml:space="preserve">Tier 2 - Month 1</t>
  </si>
  <si>
    <r>
      <rPr>
        <sz val="10"/>
        <color rgb="FF000000"/>
        <rFont val="Arial"/>
        <family val="0"/>
        <charset val="1"/>
      </rPr>
      <t xml:space="preserve">$149/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</si>
  <si>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DejaVu Sans"/>
        <family val="2"/>
      </rPr>
      <t xml:space="preserve">商业广告 </t>
    </r>
    <r>
      <rPr>
        <sz val="10"/>
        <color rgb="FF000000"/>
        <rFont val="Arial"/>
        <family val="0"/>
        <charset val="1"/>
      </rPr>
      <t xml:space="preserve">spy</t>
    </r>
  </si>
  <si>
    <t xml:space="preserve">Tier 3 - Month 2</t>
  </si>
  <si>
    <r>
      <rPr>
        <sz val="10"/>
        <color rgb="FF000000"/>
        <rFont val="Arial"/>
        <family val="0"/>
        <charset val="1"/>
      </rPr>
      <t xml:space="preserve">Klaviyo Benchmark </t>
    </r>
    <r>
      <rPr>
        <sz val="10"/>
        <color rgb="FF000000"/>
        <rFont val="DejaVu Sans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Foreplay</t>
    </r>
  </si>
  <si>
    <r>
      <rPr>
        <sz val="10"/>
        <color rgb="FF000000"/>
        <rFont val="Arial"/>
        <family val="0"/>
        <charset val="1"/>
      </rPr>
      <t xml:space="preserve">$0-$49/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</si>
  <si>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二选一（</t>
    </r>
    <r>
      <rPr>
        <sz val="10"/>
        <color rgb="FF000000"/>
        <rFont val="DejaVu Sans"/>
        <family val="2"/>
        <charset val="1"/>
      </rPr>
      <t xml:space="preserve">EDM </t>
    </r>
    <r>
      <rPr>
        <sz val="10"/>
        <color rgb="FF000000"/>
        <rFont val="DejaVu Sans"/>
        <family val="2"/>
      </rPr>
      <t xml:space="preserve">或 创意 </t>
    </r>
    <r>
      <rPr>
        <sz val="10"/>
        <color rgb="FF000000"/>
        <rFont val="DejaVu Sans"/>
        <family val="2"/>
        <charset val="1"/>
      </rPr>
      <t xml:space="preserve">brief</t>
    </r>
    <r>
      <rPr>
        <sz val="10"/>
        <color rgb="FF000000"/>
        <rFont val="DejaVu Sans"/>
        <family val="2"/>
      </rPr>
      <t xml:space="preserve">）</t>
    </r>
  </si>
  <si>
    <t xml:space="preserve">总月度预算</t>
  </si>
  <si>
    <r>
      <rPr>
        <sz val="10"/>
        <color rgb="FF000000"/>
        <rFont val="DejaVu Sans"/>
        <family val="2"/>
      </rPr>
      <t xml:space="preserve">约 </t>
    </r>
    <r>
      <rPr>
        <sz val="10"/>
        <color rgb="FF000000"/>
        <rFont val="DejaVu Sans"/>
        <family val="2"/>
        <charset val="1"/>
      </rPr>
      <t xml:space="preserve">$150-$250/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</si>
  <si>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覆盖 </t>
    </r>
    <r>
      <rPr>
        <sz val="10"/>
        <color rgb="FF000000"/>
        <rFont val="DejaVu Sans"/>
        <family val="2"/>
        <charset val="1"/>
      </rPr>
      <t xml:space="preserve">32 </t>
    </r>
    <r>
      <rPr>
        <sz val="10"/>
        <color rgb="FF000000"/>
        <rFont val="DejaVu Sans"/>
        <family val="2"/>
      </rPr>
      <t xml:space="preserve">国实时核算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创意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竞品 </t>
    </r>
    <r>
      <rPr>
        <sz val="10"/>
        <color rgb="FF000000"/>
        <rFont val="DejaVu Sans"/>
        <family val="2"/>
        <charset val="1"/>
      </rPr>
      <t xml:space="preserve">scan</t>
    </r>
  </si>
  <si>
    <r>
      <rPr>
        <b val="true"/>
        <sz val="14"/>
        <color rgb="FF1F4E78"/>
        <rFont val="Arial"/>
        <family val="0"/>
        <charset val="1"/>
      </rPr>
      <t xml:space="preserve">Amazon </t>
    </r>
    <r>
      <rPr>
        <b val="true"/>
        <sz val="14"/>
        <color rgb="FF1F4E78"/>
        <rFont val="DejaVu Sans"/>
        <family val="2"/>
      </rPr>
      <t xml:space="preserve">广告与关键词数据源详情</t>
    </r>
  </si>
  <si>
    <r>
      <rPr>
        <b val="true"/>
        <sz val="11"/>
        <color rgb="FF000000"/>
        <rFont val="Arial"/>
        <family val="0"/>
        <charset val="1"/>
      </rPr>
      <t xml:space="preserve">▶ Amazon </t>
    </r>
    <r>
      <rPr>
        <b val="true"/>
        <sz val="11"/>
        <color rgb="FF000000"/>
        <rFont val="DejaVu Sans"/>
        <family val="2"/>
      </rPr>
      <t xml:space="preserve">全球站点覆盖（</t>
    </r>
    <r>
      <rPr>
        <b val="true"/>
        <sz val="11"/>
        <color rgb="FF000000"/>
        <rFont val="Arial"/>
        <family val="0"/>
        <charset val="1"/>
      </rPr>
      <t xml:space="preserve">2026-05</t>
    </r>
    <r>
      <rPr>
        <b val="true"/>
        <sz val="11"/>
        <color rgb="FF000000"/>
        <rFont val="DejaVu Sans"/>
        <family val="2"/>
      </rPr>
      <t xml:space="preserve">）— </t>
    </r>
    <r>
      <rPr>
        <b val="true"/>
        <sz val="11"/>
        <color rgb="FF000000"/>
        <rFont val="Arial"/>
        <family val="0"/>
        <charset val="1"/>
      </rPr>
      <t xml:space="preserve">Ads API </t>
    </r>
    <r>
      <rPr>
        <b val="true"/>
        <sz val="11"/>
        <color rgb="FF000000"/>
        <rFont val="DejaVu Sans"/>
        <family val="2"/>
      </rPr>
      <t xml:space="preserve">支持 </t>
    </r>
    <r>
      <rPr>
        <b val="true"/>
        <sz val="11"/>
        <color rgb="FF000000"/>
        <rFont val="Arial"/>
        <family val="0"/>
        <charset val="1"/>
      </rPr>
      <t xml:space="preserve">36 </t>
    </r>
    <r>
      <rPr>
        <b val="true"/>
        <sz val="11"/>
        <color rgb="FF000000"/>
        <rFont val="DejaVu Sans"/>
        <family val="2"/>
      </rPr>
      <t xml:space="preserve">国</t>
    </r>
  </si>
  <si>
    <t xml:space="preserve">区域</t>
  </si>
  <si>
    <t xml:space="preserve">国家</t>
  </si>
  <si>
    <r>
      <rPr>
        <b val="true"/>
        <sz val="11"/>
        <color rgb="FFFFFFFF"/>
        <rFont val="Arial"/>
        <family val="0"/>
        <charset val="1"/>
      </rPr>
      <t xml:space="preserve">Amazon </t>
    </r>
    <r>
      <rPr>
        <b val="true"/>
        <sz val="11"/>
        <color rgb="FFFFFFFF"/>
        <rFont val="DejaVu Sans"/>
        <family val="2"/>
      </rPr>
      <t xml:space="preserve">站点</t>
    </r>
  </si>
  <si>
    <r>
      <rPr>
        <b val="true"/>
        <sz val="11"/>
        <color rgb="FFFFFFFF"/>
        <rFont val="DejaVu Sans"/>
        <family val="2"/>
      </rPr>
      <t xml:space="preserve">替代平台（如无 </t>
    </r>
    <r>
      <rPr>
        <b val="true"/>
        <sz val="11"/>
        <color rgb="FFFFFFFF"/>
        <rFont val="DejaVu Sans"/>
        <family val="2"/>
        <charset val="1"/>
      </rPr>
      <t xml:space="preserve">Amazon</t>
    </r>
    <r>
      <rPr>
        <b val="true"/>
        <sz val="11"/>
        <color rgb="FFFFFFFF"/>
        <rFont val="DejaVu Sans"/>
        <family val="2"/>
      </rPr>
      <t xml:space="preserve">）</t>
    </r>
  </si>
  <si>
    <t xml:space="preserve">北美</t>
  </si>
  <si>
    <t xml:space="preserve">US, CA, MX</t>
  </si>
  <si>
    <t xml:space="preserve">amazon.com / .ca / .com.mx</t>
  </si>
  <si>
    <t xml:space="preserve">欧洲</t>
  </si>
  <si>
    <t xml:space="preserve">UK, DE, FR, IT, ES, NL, SE, PL, BE, IE</t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</si>
  <si>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DejaVu Sans"/>
        <family val="2"/>
      </rPr>
      <t xml:space="preserve">站点</t>
    </r>
  </si>
  <si>
    <t xml:space="preserve">中东</t>
  </si>
  <si>
    <t xml:space="preserve">AE, SA, TR, EG</t>
  </si>
  <si>
    <t xml:space="preserve">amazon.ae / .sa / .com.tr / .eg</t>
  </si>
  <si>
    <t xml:space="preserve">noon</t>
  </si>
  <si>
    <t xml:space="preserve">亚太</t>
  </si>
  <si>
    <t xml:space="preserve">JP, AU, IN, SG</t>
  </si>
  <si>
    <t xml:space="preserve">amazon.co.jp / .com.au / .in / .sg</t>
  </si>
  <si>
    <r>
      <rPr>
        <sz val="10"/>
        <color rgb="FF000000"/>
        <rFont val="DejaVu Sans"/>
        <family val="2"/>
      </rPr>
      <t xml:space="preserve">⚠ 东南亚（无 </t>
    </r>
    <r>
      <rPr>
        <sz val="10"/>
        <color rgb="FF000000"/>
        <rFont val="DejaVu Sans"/>
        <family val="2"/>
        <charset val="1"/>
      </rPr>
      <t xml:space="preserve">Amazon</t>
    </r>
    <r>
      <rPr>
        <sz val="10"/>
        <color rgb="FF000000"/>
        <rFont val="DejaVu Sans"/>
        <family val="2"/>
      </rPr>
      <t xml:space="preserve">）</t>
    </r>
  </si>
  <si>
    <t xml:space="preserve">TH, VN, ID, MY, PH</t>
  </si>
  <si>
    <r>
      <rPr>
        <sz val="10"/>
        <color rgb="FF000000"/>
        <rFont val="Arial"/>
        <family val="0"/>
        <charset val="1"/>
      </rPr>
      <t xml:space="preserve">Shopee</t>
    </r>
    <r>
      <rPr>
        <sz val="10"/>
        <color rgb="FF000000"/>
        <rFont val="DejaVu Sans"/>
        <family val="2"/>
      </rPr>
      <t xml:space="preserve">（市占第一）</t>
    </r>
    <r>
      <rPr>
        <sz val="10"/>
        <color rgb="FF000000"/>
        <rFont val="Arial"/>
        <family val="0"/>
        <charset val="1"/>
      </rPr>
      <t xml:space="preserve">+ Lazada</t>
    </r>
    <r>
      <rPr>
        <sz val="10"/>
        <color rgb="FF000000"/>
        <rFont val="DejaVu Sans"/>
        <family val="2"/>
      </rPr>
      <t xml:space="preserve">（阿里系）</t>
    </r>
    <r>
      <rPr>
        <sz val="10"/>
        <color rgb="FF000000"/>
        <rFont val="Arial"/>
        <family val="0"/>
        <charset val="1"/>
      </rPr>
      <t xml:space="preserve">+ TikTok Shop</t>
    </r>
  </si>
  <si>
    <r>
      <rPr>
        <b val="true"/>
        <sz val="11"/>
        <color rgb="FF000000"/>
        <rFont val="Arial"/>
        <family val="0"/>
        <charset val="1"/>
      </rPr>
      <t xml:space="preserve">▶ Amazon </t>
    </r>
    <r>
      <rPr>
        <b val="true"/>
        <sz val="11"/>
        <color rgb="FF000000"/>
        <rFont val="DejaVu Sans"/>
        <family val="2"/>
      </rPr>
      <t xml:space="preserve">数据源完整对照</t>
    </r>
  </si>
  <si>
    <t xml:space="preserve">数据维度</t>
  </si>
  <si>
    <t xml:space="preserve">站点覆盖</t>
  </si>
  <si>
    <t xml:space="preserve">推荐</t>
  </si>
  <si>
    <r>
      <rPr>
        <sz val="10"/>
        <color rgb="FF000000"/>
        <rFont val="DejaVu Sans"/>
        <family val="2"/>
      </rPr>
      <t xml:space="preserve">免费（</t>
    </r>
    <r>
      <rPr>
        <sz val="10"/>
        <color rgb="FF000000"/>
        <rFont val="DejaVu Sans"/>
        <family val="2"/>
        <charset val="1"/>
      </rPr>
      <t xml:space="preserve">SP-API 2026/1/31 </t>
    </r>
    <r>
      <rPr>
        <sz val="10"/>
        <color rgb="FF000000"/>
        <rFont val="DejaVu Sans"/>
        <family val="2"/>
      </rPr>
      <t xml:space="preserve">起 </t>
    </r>
    <r>
      <rPr>
        <sz val="10"/>
        <color rgb="FF000000"/>
        <rFont val="DejaVu Sans"/>
        <family val="2"/>
        <charset val="1"/>
      </rPr>
      <t xml:space="preserve">$1,400/</t>
    </r>
    <r>
      <rPr>
        <sz val="10"/>
        <color rgb="FF000000"/>
        <rFont val="DejaVu Sans"/>
        <family val="2"/>
      </rPr>
      <t xml:space="preserve">年；</t>
    </r>
    <r>
      <rPr>
        <sz val="10"/>
        <color rgb="FF000000"/>
        <rFont val="DejaVu Sans"/>
        <family val="2"/>
        <charset val="1"/>
      </rPr>
      <t xml:space="preserve">Ads </t>
    </r>
    <r>
      <rPr>
        <sz val="10"/>
        <color rgb="FF000000"/>
        <rFont val="DejaVu Sans"/>
        <family val="2"/>
      </rPr>
      <t xml:space="preserve">仍免费）</t>
    </r>
  </si>
  <si>
    <r>
      <rPr>
        <sz val="10"/>
        <color rgb="FF000000"/>
        <rFont val="Arial"/>
        <family val="0"/>
        <charset val="1"/>
      </rPr>
      <t xml:space="preserve">ROI </t>
    </r>
    <r>
      <rPr>
        <sz val="10"/>
        <color rgb="FF000000"/>
        <rFont val="DejaVu Sans"/>
        <family val="2"/>
      </rPr>
      <t xml:space="preserve">系统基座（必接）</t>
    </r>
  </si>
  <si>
    <r>
      <rPr>
        <sz val="10"/>
        <color rgb="FF000000"/>
        <rFont val="DejaVu Sans"/>
        <family val="2"/>
      </rPr>
      <t xml:space="preserve">小时级 </t>
    </r>
    <r>
      <rPr>
        <sz val="10"/>
        <color rgb="FF000000"/>
        <rFont val="DejaVu Sans"/>
        <family val="2"/>
        <charset val="1"/>
      </rPr>
      <t xml:space="preserve">SP/SB/SD imp/click/cost/conv</t>
    </r>
  </si>
  <si>
    <t xml:space="preserve">日内调价的关键（必接）</t>
  </si>
  <si>
    <r>
      <rPr>
        <sz val="10"/>
        <color rgb="FF000000"/>
        <rFont val="Arial"/>
        <family val="0"/>
        <charset val="1"/>
      </rPr>
      <t xml:space="preserve">Brand Registry </t>
    </r>
    <r>
      <rPr>
        <sz val="10"/>
        <color rgb="FF000000"/>
        <rFont val="DejaVu Sans"/>
        <family val="2"/>
      </rPr>
      <t xml:space="preserve">站点</t>
    </r>
  </si>
  <si>
    <r>
      <rPr>
        <sz val="10"/>
        <color rgb="FF000000"/>
        <rFont val="DejaVu Sans"/>
        <family val="2"/>
      </rPr>
      <t xml:space="preserve">关键词</t>
    </r>
    <r>
      <rPr>
        <sz val="10"/>
        <color rgb="FF000000"/>
        <rFont val="DejaVu Sans"/>
        <family val="2"/>
        <charset val="1"/>
      </rPr>
      <t xml:space="preserve">+ASIN</t>
    </r>
  </si>
  <si>
    <r>
      <rPr>
        <sz val="10"/>
        <color rgb="FF000000"/>
        <rFont val="DejaVu Sans"/>
        <family val="2"/>
      </rPr>
      <t xml:space="preserve">免费（需 </t>
    </r>
    <r>
      <rPr>
        <sz val="10"/>
        <color rgb="FF000000"/>
        <rFont val="DejaVu Sans"/>
        <family val="2"/>
        <charset val="1"/>
      </rPr>
      <t xml:space="preserve">BR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</si>
  <si>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周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</si>
  <si>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竞品 </t>
    </r>
    <r>
      <rPr>
        <sz val="10"/>
        <color rgb="FF000000"/>
        <rFont val="DejaVu Sans"/>
        <family val="2"/>
        <charset val="1"/>
      </rPr>
      <t xml:space="preserve">SQP </t>
    </r>
    <r>
      <rPr>
        <sz val="10"/>
        <color rgb="FF000000"/>
        <rFont val="DejaVu Sans"/>
        <family val="2"/>
      </rPr>
      <t xml:space="preserve">流量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漏斗（必接 </t>
    </r>
    <r>
      <rPr>
        <sz val="10"/>
        <color rgb="FF000000"/>
        <rFont val="DejaVu Sans"/>
        <family val="2"/>
        <charset val="1"/>
      </rPr>
      <t xml:space="preserve">BR </t>
    </r>
    <r>
      <rPr>
        <sz val="10"/>
        <color rgb="FF000000"/>
        <rFont val="DejaVu Sans"/>
        <family val="2"/>
      </rPr>
      <t xml:space="preserve">后）</t>
    </r>
  </si>
  <si>
    <t xml:space="preserve">Amazon Search Terms Report</t>
  </si>
  <si>
    <r>
      <rPr>
        <sz val="10"/>
        <color rgb="FF000000"/>
        <rFont val="DejaVu Sans"/>
        <family val="2"/>
      </rPr>
      <t xml:space="preserve">客户搜索词→</t>
    </r>
    <r>
      <rPr>
        <sz val="10"/>
        <color rgb="FF000000"/>
        <rFont val="DejaVu Sans"/>
        <family val="2"/>
        <charset val="1"/>
      </rPr>
      <t xml:space="preserve">ASIN </t>
    </r>
    <r>
      <rPr>
        <sz val="10"/>
        <color rgb="FF000000"/>
        <rFont val="DejaVu Sans"/>
        <family val="2"/>
      </rPr>
      <t xml:space="preserve">点击份额</t>
    </r>
  </si>
  <si>
    <t xml:space="preserve">各站点</t>
  </si>
  <si>
    <r>
      <rPr>
        <sz val="10"/>
        <color rgb="FF000000"/>
        <rFont val="DejaVu Sans"/>
        <family val="2"/>
      </rPr>
      <t xml:space="preserve">免费（含在 </t>
    </r>
    <r>
      <rPr>
        <sz val="10"/>
        <color rgb="FF000000"/>
        <rFont val="DejaVu Sans"/>
        <family val="2"/>
        <charset val="1"/>
      </rPr>
      <t xml:space="preserve">BA</t>
    </r>
    <r>
      <rPr>
        <sz val="10"/>
        <color rgb="FF000000"/>
        <rFont val="DejaVu Sans"/>
        <family val="2"/>
      </rPr>
      <t xml:space="preserve">）</t>
    </r>
  </si>
  <si>
    <t xml:space="preserve">周度</t>
  </si>
  <si>
    <r>
      <rPr>
        <sz val="10"/>
        <color rgb="FF000000"/>
        <rFont val="DejaVu Sans"/>
        <family val="2"/>
      </rPr>
      <t xml:space="preserve">找未投放高 </t>
    </r>
    <r>
      <rPr>
        <sz val="10"/>
        <color rgb="FF000000"/>
        <rFont val="DejaVu Sans"/>
        <family val="2"/>
        <charset val="1"/>
      </rPr>
      <t xml:space="preserve">CR </t>
    </r>
    <r>
      <rPr>
        <sz val="10"/>
        <color rgb="FF000000"/>
        <rFont val="DejaVu Sans"/>
        <family val="2"/>
      </rPr>
      <t xml:space="preserve">长尾</t>
    </r>
  </si>
  <si>
    <t xml:space="preserve">SaaS</t>
  </si>
  <si>
    <r>
      <rPr>
        <sz val="10"/>
        <color rgb="FF000000"/>
        <rFont val="Arial"/>
        <family val="0"/>
        <charset val="1"/>
      </rPr>
      <t xml:space="preserve">Cerebro/Magnet/Adtomic+ASIN </t>
    </r>
    <r>
      <rPr>
        <sz val="10"/>
        <color rgb="FF000000"/>
        <rFont val="DejaVu Sans"/>
        <family val="2"/>
      </rPr>
      <t xml:space="preserve">反查</t>
    </r>
  </si>
  <si>
    <r>
      <rPr>
        <sz val="10"/>
        <color rgb="FF000000"/>
        <rFont val="Arial"/>
        <family val="0"/>
        <charset val="1"/>
      </rPr>
      <t xml:space="preserve">$359/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(Diamond)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Adtomic </t>
    </r>
    <r>
      <rPr>
        <sz val="10"/>
        <color rgb="FF000000"/>
        <rFont val="DejaVu Sans"/>
        <family val="2"/>
      </rPr>
      <t xml:space="preserve">单买 </t>
    </r>
    <r>
      <rPr>
        <sz val="10"/>
        <color rgb="FF000000"/>
        <rFont val="Arial"/>
        <family val="0"/>
        <charset val="1"/>
      </rPr>
      <t xml:space="preserve">$199</t>
    </r>
  </si>
  <si>
    <r>
      <rPr>
        <sz val="10"/>
        <color rgb="FF000000"/>
        <rFont val="Arial"/>
        <family val="0"/>
        <charset val="1"/>
      </rPr>
      <t xml:space="preserve">REST (</t>
    </r>
    <r>
      <rPr>
        <sz val="10"/>
        <color rgb="FF000000"/>
        <rFont val="DejaVu Sans"/>
        <family val="2"/>
      </rPr>
      <t xml:space="preserve">高阶</t>
    </r>
    <r>
      <rPr>
        <sz val="10"/>
        <color rgb="FF000000"/>
        <rFont val="Arial"/>
        <family val="0"/>
        <charset val="1"/>
      </rPr>
      <t xml:space="preserve">)</t>
    </r>
  </si>
  <si>
    <t xml:space="preserve">T+1-T+7</t>
  </si>
  <si>
    <r>
      <rPr>
        <sz val="10"/>
        <color rgb="FF000000"/>
        <rFont val="Arial"/>
        <family val="0"/>
        <charset val="1"/>
      </rPr>
      <t xml:space="preserve">PPC </t>
    </r>
    <r>
      <rPr>
        <sz val="10"/>
        <color rgb="FF000000"/>
        <rFont val="DejaVu Sans"/>
        <family val="2"/>
      </rPr>
      <t xml:space="preserve">自动化首选</t>
    </r>
  </si>
  <si>
    <r>
      <rPr>
        <sz val="10"/>
        <color rgb="FF000000"/>
        <rFont val="DejaVu Sans"/>
        <family val="2"/>
      </rPr>
      <t xml:space="preserve">关键词矩阵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趋势</t>
    </r>
  </si>
  <si>
    <t xml:space="preserve">关键词级</t>
  </si>
  <si>
    <t xml:space="preserve">性价比关键词聚合</t>
  </si>
  <si>
    <r>
      <rPr>
        <sz val="10"/>
        <color rgb="FF000000"/>
        <rFont val="DejaVu Sans"/>
        <family val="2"/>
      </rPr>
      <t xml:space="preserve">低预算 </t>
    </r>
    <r>
      <rPr>
        <sz val="10"/>
        <color rgb="FF000000"/>
        <rFont val="DejaVu Sans"/>
        <family val="2"/>
        <charset val="1"/>
      </rPr>
      <t xml:space="preserve">Helium </t>
    </r>
    <r>
      <rPr>
        <sz val="10"/>
        <color rgb="FF000000"/>
        <rFont val="DejaVu Sans"/>
        <family val="2"/>
      </rPr>
      <t xml:space="preserve">替代</t>
    </r>
  </si>
  <si>
    <t xml:space="preserve">Sellzone (Semrush)</t>
  </si>
  <si>
    <r>
      <rPr>
        <sz val="10"/>
        <color rgb="FF000000"/>
        <rFont val="Arial"/>
        <family val="0"/>
        <charset val="1"/>
      </rPr>
      <t xml:space="preserve">Keyword Wizard + </t>
    </r>
    <r>
      <rPr>
        <sz val="10"/>
        <color rgb="FF000000"/>
        <rFont val="DejaVu Sans"/>
        <family val="2"/>
      </rPr>
      <t xml:space="preserve">流量来源</t>
    </r>
  </si>
  <si>
    <r>
      <rPr>
        <sz val="10"/>
        <color rgb="FF000000"/>
        <rFont val="Arial"/>
        <family val="0"/>
        <charset val="1"/>
      </rPr>
      <t xml:space="preserve">$50/</t>
    </r>
    <r>
      <rPr>
        <sz val="10"/>
        <color rgb="FF000000"/>
        <rFont val="DejaVu Sans"/>
        <family val="2"/>
      </rPr>
      <t xml:space="preserve">月起</t>
    </r>
  </si>
  <si>
    <r>
      <rPr>
        <sz val="10"/>
        <color rgb="FF000000"/>
        <rFont val="DejaVu Sans"/>
        <family val="2"/>
      </rPr>
      <t xml:space="preserve">仅 </t>
    </r>
    <r>
      <rPr>
        <sz val="10"/>
        <color rgb="FF000000"/>
        <rFont val="DejaVu Sans"/>
        <family val="2"/>
        <charset val="1"/>
      </rPr>
      <t xml:space="preserve">SEO </t>
    </r>
    <r>
      <rPr>
        <sz val="10"/>
        <color rgb="FF000000"/>
        <rFont val="DejaVu Sans"/>
        <family val="2"/>
      </rPr>
      <t xml:space="preserve">联动时考虑</t>
    </r>
  </si>
  <si>
    <r>
      <rPr>
        <sz val="10"/>
        <color rgb="FF000000"/>
        <rFont val="DejaVu Sans"/>
        <family val="2"/>
      </rPr>
      <t xml:space="preserve">竞品价格 </t>
    </r>
    <r>
      <rPr>
        <sz val="10"/>
        <color rgb="FF000000"/>
        <rFont val="DejaVu Sans"/>
        <family val="2"/>
        <charset val="1"/>
      </rPr>
      <t xml:space="preserve">BSR</t>
    </r>
    <r>
      <rPr>
        <sz val="10"/>
        <color rgb="FF000000"/>
        <rFont val="DejaVu Sans"/>
        <family val="2"/>
      </rPr>
      <t xml:space="preserve">（推荐）</t>
    </r>
  </si>
  <si>
    <t xml:space="preserve">AMZScout</t>
  </si>
  <si>
    <r>
      <rPr>
        <sz val="10"/>
        <color rgb="FF000000"/>
        <rFont val="Arial"/>
        <family val="0"/>
        <charset val="1"/>
      </rPr>
      <t xml:space="preserve">SV/</t>
    </r>
    <r>
      <rPr>
        <sz val="10"/>
        <color rgb="FF000000"/>
        <rFont val="DejaVu Sans"/>
        <family val="2"/>
      </rPr>
      <t xml:space="preserve">销量</t>
    </r>
    <r>
      <rPr>
        <sz val="10"/>
        <color rgb="FF000000"/>
        <rFont val="Arial"/>
        <family val="0"/>
        <charset val="1"/>
      </rPr>
      <t xml:space="preserve">/Niche Score</t>
    </r>
  </si>
  <si>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DejaVu Sans"/>
        <family val="2"/>
      </rPr>
      <t xml:space="preserve">主流站点</t>
    </r>
  </si>
  <si>
    <r>
      <rPr>
        <sz val="10"/>
        <color rgb="FF000000"/>
        <rFont val="DejaVu Sans"/>
        <family val="2"/>
      </rPr>
      <t xml:space="preserve">类目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关键词</t>
    </r>
  </si>
  <si>
    <r>
      <rPr>
        <sz val="10"/>
        <color rgb="FF000000"/>
        <rFont val="Arial"/>
        <family val="0"/>
        <charset val="1"/>
      </rPr>
      <t xml:space="preserve">$59.99-$399.99/</t>
    </r>
    <r>
      <rPr>
        <sz val="10"/>
        <color rgb="FF000000"/>
        <rFont val="DejaVu Sans"/>
        <family val="2"/>
      </rPr>
      <t xml:space="preserve">年</t>
    </r>
  </si>
  <si>
    <t xml:space="preserve">选品入门便宜</t>
  </si>
  <si>
    <r>
      <rPr>
        <sz val="10"/>
        <color rgb="FF000000"/>
        <rFont val="DejaVu Sans"/>
        <family val="2"/>
      </rPr>
      <t xml:space="preserve">品牌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子类目份额 </t>
    </r>
    <r>
      <rPr>
        <sz val="10"/>
        <color rgb="FF000000"/>
        <rFont val="DejaVu Sans"/>
        <family val="2"/>
        <charset val="1"/>
      </rPr>
      <t xml:space="preserve">43k+</t>
    </r>
  </si>
  <si>
    <r>
      <rPr>
        <sz val="10"/>
        <color rgb="FF000000"/>
        <rFont val="Arial"/>
        <family val="0"/>
        <charset val="1"/>
      </rPr>
      <t xml:space="preserve">US </t>
    </r>
    <r>
      <rPr>
        <sz val="10"/>
        <color rgb="FF000000"/>
        <rFont val="DejaVu Sans"/>
        <family val="2"/>
      </rPr>
      <t xml:space="preserve">最强</t>
    </r>
    <r>
      <rPr>
        <sz val="10"/>
        <color rgb="FF000000"/>
        <rFont val="Arial"/>
        <family val="0"/>
        <charset val="1"/>
      </rPr>
      <t xml:space="preserve">/UK/DE/CA</t>
    </r>
  </si>
  <si>
    <t xml:space="preserve">子类目</t>
  </si>
  <si>
    <r>
      <rPr>
        <sz val="10"/>
        <color rgb="FF000000"/>
        <rFont val="Arial"/>
        <family val="0"/>
        <charset val="1"/>
      </rPr>
      <t xml:space="preserve">PPC </t>
    </r>
    <r>
      <rPr>
        <sz val="10"/>
        <color rgb="FF000000"/>
        <rFont val="DejaVu Sans"/>
        <family val="2"/>
      </rPr>
      <t xml:space="preserve">管理</t>
    </r>
  </si>
  <si>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DejaVu Sans"/>
        <family val="2"/>
      </rPr>
      <t xml:space="preserve">国</t>
    </r>
    <r>
      <rPr>
        <sz val="10"/>
        <color rgb="FF000000"/>
        <rFont val="Arial"/>
        <family val="0"/>
        <charset val="1"/>
      </rPr>
      <t xml:space="preserve">+Walmart </t>
    </r>
    <r>
      <rPr>
        <sz val="10"/>
        <color rgb="FF000000"/>
        <rFont val="DejaVu Sans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</si>
  <si>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$500+/</t>
    </r>
    <r>
      <rPr>
        <sz val="10"/>
        <color rgb="FF000000"/>
        <rFont val="DejaVu Sans"/>
        <family val="2"/>
      </rPr>
      <t xml:space="preserve">月 或 </t>
    </r>
    <r>
      <rPr>
        <sz val="10"/>
        <color rgb="FF000000"/>
        <rFont val="Arial"/>
        <family val="0"/>
        <charset val="1"/>
      </rPr>
      <t xml:space="preserve">3-4% ad spend</t>
    </r>
  </si>
  <si>
    <r>
      <rPr>
        <sz val="10"/>
        <color rgb="FF000000"/>
        <rFont val="DejaVu Sans"/>
        <family val="2"/>
      </rPr>
      <t xml:space="preserve">实时（接 </t>
    </r>
    <r>
      <rPr>
        <sz val="10"/>
        <color rgb="FF000000"/>
        <rFont val="DejaVu Sans"/>
        <family val="2"/>
        <charset val="1"/>
      </rPr>
      <t xml:space="preserve">Stream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</si>
  <si>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Perpetua (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Sellics)</t>
    </r>
  </si>
  <si>
    <r>
      <rPr>
        <sz val="10"/>
        <color rgb="FF000000"/>
        <rFont val="Arial"/>
        <family val="0"/>
        <charset val="1"/>
      </rPr>
      <t xml:space="preserve">AI PPC </t>
    </r>
    <r>
      <rPr>
        <sz val="10"/>
        <color rgb="FF000000"/>
        <rFont val="DejaVu Sans"/>
        <family val="2"/>
      </rPr>
      <t xml:space="preserve">自动化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创意</t>
    </r>
  </si>
  <si>
    <t xml:space="preserve">Amazon+Walmart+Instacart</t>
  </si>
  <si>
    <t xml:space="preserve">中型卖家</t>
  </si>
  <si>
    <t xml:space="preserve">Quartile</t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</si>
  <si>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DejaVu Sans"/>
        <family val="2"/>
      </rPr>
      <t xml:space="preserve">跨渠道（</t>
    </r>
    <r>
      <rPr>
        <sz val="10"/>
        <color rgb="FF000000"/>
        <rFont val="Arial"/>
        <family val="0"/>
        <charset val="1"/>
      </rPr>
      <t xml:space="preserve">Amazon+Google+Meta</t>
    </r>
    <r>
      <rPr>
        <sz val="10"/>
        <color rgb="FF000000"/>
        <rFont val="DejaVu Sans"/>
        <family val="2"/>
      </rPr>
      <t xml:space="preserve">）</t>
    </r>
  </si>
  <si>
    <t xml:space="preserve">跨平台</t>
  </si>
  <si>
    <r>
      <rPr>
        <sz val="10"/>
        <color rgb="FF000000"/>
        <rFont val="Arial"/>
        <family val="0"/>
        <charset val="1"/>
      </rPr>
      <t xml:space="preserve">$895+/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</si>
  <si>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跨渠道归因 </t>
    </r>
    <r>
      <rPr>
        <sz val="10"/>
        <color rgb="FF000000"/>
        <rFont val="DejaVu Sans"/>
        <family val="2"/>
        <charset val="1"/>
      </rPr>
      <t xml:space="preserve">$10-50k/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spend</t>
    </r>
  </si>
  <si>
    <t xml:space="preserve">AI PPC (Amazon+Walmart)</t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</si>
  <si>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&lt;$10k </t>
    </r>
    <r>
      <rPr>
        <sz val="10"/>
        <color rgb="FF000000"/>
        <rFont val="DejaVu Sans"/>
        <family val="2"/>
      </rPr>
      <t xml:space="preserve">投放；</t>
    </r>
    <r>
      <rPr>
        <sz val="10"/>
        <color rgb="FF000000"/>
        <rFont val="DejaVu Sans"/>
        <family val="2"/>
        <charset val="1"/>
      </rPr>
      <t xml:space="preserve">$199+3% over</t>
    </r>
  </si>
  <si>
    <t xml:space="preserve">中小卖家免费门槛友好</t>
  </si>
  <si>
    <t xml:space="preserve">AdScale</t>
  </si>
  <si>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DejaVu Sans"/>
        <family val="2"/>
      </rPr>
      <t xml:space="preserve">广告（</t>
    </r>
    <r>
      <rPr>
        <sz val="10"/>
        <color rgb="FF000000"/>
        <rFont val="Arial"/>
        <family val="0"/>
        <charset val="1"/>
      </rPr>
      <t xml:space="preserve">Google/Meta </t>
    </r>
    <r>
      <rPr>
        <sz val="10"/>
        <color rgb="FF000000"/>
        <rFont val="DejaVu Sans"/>
        <family val="2"/>
      </rPr>
      <t xml:space="preserve">为主，非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主战场）</t>
    </r>
  </si>
  <si>
    <r>
      <rPr>
        <sz val="10"/>
        <color rgb="FF000000"/>
        <rFont val="Arial"/>
        <family val="0"/>
        <charset val="1"/>
      </rPr>
      <t xml:space="preserve">Shopify </t>
    </r>
    <r>
      <rPr>
        <sz val="10"/>
        <color rgb="FF000000"/>
        <rFont val="DejaVu Sans"/>
        <family val="2"/>
      </rPr>
      <t xml:space="preserve">商户</t>
    </r>
  </si>
  <si>
    <r>
      <rPr>
        <sz val="10"/>
        <color rgb="FF000000"/>
        <rFont val="Arial"/>
        <family val="0"/>
        <charset val="1"/>
      </rPr>
      <t xml:space="preserve">$150-$290/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</si>
  <si>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❌ 不适用 </t>
    </r>
    <r>
      <rPr>
        <sz val="10"/>
        <color rgb="FF000000"/>
        <rFont val="DejaVu Sans"/>
        <family val="2"/>
        <charset val="1"/>
      </rPr>
      <t xml:space="preserve">Amazon PPC</t>
    </r>
  </si>
  <si>
    <t xml:space="preserve">Sellics</t>
  </si>
  <si>
    <r>
      <rPr>
        <sz val="10"/>
        <color rgb="FF000000"/>
        <rFont val="DejaVu Sans"/>
        <family val="2"/>
      </rPr>
      <t xml:space="preserve">已被 </t>
    </r>
    <r>
      <rPr>
        <sz val="10"/>
        <color rgb="FF000000"/>
        <rFont val="DejaVu Sans"/>
        <family val="2"/>
        <charset val="1"/>
      </rPr>
      <t xml:space="preserve">Perpetua </t>
    </r>
    <r>
      <rPr>
        <sz val="10"/>
        <color rgb="FF000000"/>
        <rFont val="DejaVu Sans"/>
        <family val="2"/>
      </rPr>
      <t xml:space="preserve">收购停售</t>
    </r>
  </si>
  <si>
    <r>
      <rPr>
        <sz val="10"/>
        <color rgb="FF000000"/>
        <rFont val="DejaVu Sans"/>
        <family val="2"/>
      </rPr>
      <t xml:space="preserve">❌ 用 </t>
    </r>
    <r>
      <rPr>
        <sz val="10"/>
        <color rgb="FF000000"/>
        <rFont val="DejaVu Sans"/>
        <family val="2"/>
        <charset val="1"/>
      </rPr>
      <t xml:space="preserve">Perpetua </t>
    </r>
    <r>
      <rPr>
        <sz val="10"/>
        <color rgb="FF000000"/>
        <rFont val="DejaVu Sans"/>
        <family val="2"/>
      </rPr>
      <t xml:space="preserve">替代</t>
    </r>
  </si>
  <si>
    <r>
      <rPr>
        <b val="true"/>
        <sz val="11"/>
        <color rgb="FF000000"/>
        <rFont val="Arial"/>
        <family val="0"/>
        <charset val="1"/>
      </rPr>
      <t xml:space="preserve">▶ SEA </t>
    </r>
    <r>
      <rPr>
        <b val="true"/>
        <sz val="11"/>
        <color rgb="FF000000"/>
        <rFont val="DejaVu Sans"/>
        <family val="2"/>
      </rPr>
      <t xml:space="preserve">替代方案（</t>
    </r>
    <r>
      <rPr>
        <b val="true"/>
        <sz val="11"/>
        <color rgb="FF000000"/>
        <rFont val="Arial"/>
        <family val="0"/>
        <charset val="1"/>
      </rPr>
      <t xml:space="preserve">Amazon </t>
    </r>
    <r>
      <rPr>
        <b val="true"/>
        <sz val="11"/>
        <color rgb="FF000000"/>
        <rFont val="DejaVu Sans"/>
        <family val="2"/>
      </rPr>
      <t xml:space="preserve">不覆盖 </t>
    </r>
    <r>
      <rPr>
        <b val="true"/>
        <sz val="11"/>
        <color rgb="FF000000"/>
        <rFont val="Arial"/>
        <family val="0"/>
        <charset val="1"/>
      </rPr>
      <t xml:space="preserve">TH/VN/ID/MY/PH</t>
    </r>
    <r>
      <rPr>
        <b val="true"/>
        <sz val="11"/>
        <color rgb="FF000000"/>
        <rFont val="DejaVu Sans"/>
        <family val="2"/>
      </rPr>
      <t xml:space="preserve">）</t>
    </r>
  </si>
  <si>
    <t xml:space="preserve">平台</t>
  </si>
  <si>
    <r>
      <rPr>
        <b val="true"/>
        <sz val="11"/>
        <color rgb="FFFFFFFF"/>
        <rFont val="DejaVu Sans"/>
        <family val="2"/>
      </rPr>
      <t xml:space="preserve">官方 </t>
    </r>
    <r>
      <rPr>
        <b val="true"/>
        <sz val="11"/>
        <color rgb="FFFFFFFF"/>
        <rFont val="DejaVu Sans"/>
        <family val="2"/>
        <charset val="1"/>
      </rPr>
      <t xml:space="preserve">API</t>
    </r>
  </si>
  <si>
    <t xml:space="preserve">第三方聚合</t>
  </si>
  <si>
    <t xml:space="preserve">数据完整度</t>
  </si>
  <si>
    <t xml:space="preserve">建议</t>
  </si>
  <si>
    <t xml:space="preserve">Shopee (SG/MY/TH/VN/PH/ID)</t>
  </si>
  <si>
    <t xml:space="preserve">Shopee Open Platform (OAuth) + GMV Max</t>
  </si>
  <si>
    <t xml:space="preserve">Epsilo / Graas / Bigseller / Zetpy</t>
  </si>
  <si>
    <t xml:space="preserve">强</t>
  </si>
  <si>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出海必接</t>
    </r>
  </si>
  <si>
    <r>
      <rPr>
        <sz val="10"/>
        <color rgb="FF000000"/>
        <rFont val="Arial"/>
        <family val="0"/>
        <charset val="1"/>
      </rPr>
      <t xml:space="preserve">Lazada (</t>
    </r>
    <r>
      <rPr>
        <sz val="10"/>
        <color rgb="FF000000"/>
        <rFont val="DejaVu Sans"/>
        <family val="2"/>
      </rPr>
      <t xml:space="preserve">同上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DejaVu Sans"/>
        <family val="2"/>
      </rPr>
      <t xml:space="preserve">国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</si>
  <si>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Lazada Open Platform</t>
    </r>
    <r>
      <rPr>
        <sz val="10"/>
        <color rgb="FF000000"/>
        <rFont val="DejaVu Sans"/>
        <family val="2"/>
      </rPr>
      <t xml:space="preserve">（成熟度 </t>
    </r>
    <r>
      <rPr>
        <sz val="10"/>
        <color rgb="FF000000"/>
        <rFont val="Arial"/>
        <family val="0"/>
        <charset val="1"/>
      </rPr>
      <t xml:space="preserve">&gt; Shopee API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</si>
  <si>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同上 </t>
    </r>
    <r>
      <rPr>
        <sz val="10"/>
        <color rgb="FF000000"/>
        <rFont val="DejaVu Sans"/>
        <family val="2"/>
        <charset val="1"/>
      </rPr>
      <t xml:space="preserve">+ SellerApp Lazada Product API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</si>
  <si>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接入更稳</t>
    </r>
  </si>
  <si>
    <t xml:space="preserve">TikTok Shop SEA</t>
  </si>
  <si>
    <t xml:space="preserve">TikTok Shop Partner API</t>
  </si>
  <si>
    <r>
      <rPr>
        <sz val="10"/>
        <color rgb="FF000000"/>
        <rFont val="Arial"/>
        <family val="0"/>
        <charset val="1"/>
      </rPr>
      <t xml:space="preserve">Epsilo / Pacvue </t>
    </r>
    <r>
      <rPr>
        <sz val="10"/>
        <color rgb="FF000000"/>
        <rFont val="DejaVu Sans"/>
        <family val="2"/>
      </rPr>
      <t xml:space="preserve">已上线 </t>
    </r>
    <r>
      <rPr>
        <sz val="10"/>
        <color rgb="FF000000"/>
        <rFont val="Arial"/>
        <family val="0"/>
        <charset val="1"/>
      </rPr>
      <t xml:space="preserve">SEA TTS </t>
    </r>
    <r>
      <rPr>
        <sz val="10"/>
        <color rgb="FF000000"/>
        <rFont val="DejaVu Sans"/>
        <family val="2"/>
      </rPr>
      <t xml:space="preserve">模块</t>
    </r>
  </si>
  <si>
    <t xml:space="preserve">增长最快但关键词数据弱</t>
  </si>
  <si>
    <r>
      <rPr>
        <b val="true"/>
        <sz val="11"/>
        <color rgb="FF000000"/>
        <rFont val="DejaVu Sans"/>
        <family val="2"/>
      </rPr>
      <t xml:space="preserve">▶ 哈奇米早期推荐组合（月 </t>
    </r>
    <r>
      <rPr>
        <b val="true"/>
        <sz val="11"/>
        <color rgb="FF000000"/>
        <rFont val="DejaVu Sans"/>
        <family val="2"/>
        <charset val="1"/>
      </rPr>
      <t xml:space="preserve">&lt; $450</t>
    </r>
    <r>
      <rPr>
        <b val="true"/>
        <sz val="11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</si>
  <si>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#1 </t>
    </r>
    <r>
      <rPr>
        <sz val="10"/>
        <color rgb="FF000000"/>
        <rFont val="DejaVu Sans"/>
        <family val="2"/>
      </rPr>
      <t xml:space="preserve">必接</t>
    </r>
  </si>
  <si>
    <t xml:space="preserve">Amazon Ads API v3 + Marketing Stream + Brand Analytics</t>
  </si>
  <si>
    <t xml:space="preserve">$0 + AWS $20-50</t>
  </si>
  <si>
    <r>
      <rPr>
        <sz val="10"/>
        <color rgb="FF000000"/>
        <rFont val="DejaVu Sans"/>
        <family val="2"/>
      </rPr>
      <t xml:space="preserve">自有 </t>
    </r>
    <r>
      <rPr>
        <sz val="10"/>
        <color rgb="FF000000"/>
        <rFont val="DejaVu Sans"/>
        <family val="2"/>
        <charset val="1"/>
      </rPr>
      <t xml:space="preserve">CPC/ACoS/CR </t>
    </r>
    <r>
      <rPr>
        <sz val="10"/>
        <color rgb="FF000000"/>
        <rFont val="DejaVu Sans"/>
        <family val="2"/>
      </rPr>
      <t xml:space="preserve">实时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搜索词份额</t>
    </r>
  </si>
  <si>
    <r>
      <rPr>
        <sz val="10"/>
        <color rgb="FF000000"/>
        <rFont val="Arial"/>
        <family val="0"/>
        <charset val="1"/>
      </rPr>
      <t xml:space="preserve">#2 </t>
    </r>
    <r>
      <rPr>
        <sz val="10"/>
        <color rgb="FF000000"/>
        <rFont val="DejaVu Sans"/>
        <family val="2"/>
      </rPr>
      <t xml:space="preserve">必接</t>
    </r>
  </si>
  <si>
    <r>
      <rPr>
        <sz val="10"/>
        <color rgb="FF000000"/>
        <rFont val="Arial"/>
        <family val="0"/>
        <charset val="1"/>
      </rPr>
      <t xml:space="preserve">Helium 10 Diamond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Cerebro + Adtomic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</si>
  <si>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$359/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</si>
  <si>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分国家</t>
    </r>
    <r>
      <rPr>
        <sz val="10"/>
        <color rgb="FF000000"/>
        <rFont val="DejaVu Sans"/>
        <family val="2"/>
        <charset val="1"/>
      </rPr>
      <t xml:space="preserve">×</t>
    </r>
    <r>
      <rPr>
        <sz val="10"/>
        <color rgb="FF000000"/>
        <rFont val="DejaVu Sans"/>
        <family val="2"/>
      </rPr>
      <t xml:space="preserve">关键词 </t>
    </r>
    <r>
      <rPr>
        <sz val="10"/>
        <color rgb="FF000000"/>
        <rFont val="DejaVu Sans"/>
        <family val="2"/>
        <charset val="1"/>
      </rPr>
      <t xml:space="preserve">SV+CPC </t>
    </r>
    <r>
      <rPr>
        <sz val="10"/>
        <color rgb="FF000000"/>
        <rFont val="DejaVu Sans"/>
        <family val="2"/>
      </rPr>
      <t xml:space="preserve">估算 </t>
    </r>
    <r>
      <rPr>
        <sz val="10"/>
        <color rgb="FF000000"/>
        <rFont val="DejaVu Sans"/>
        <family val="2"/>
        <charset val="1"/>
      </rPr>
      <t xml:space="preserve">+ PPC </t>
    </r>
    <r>
      <rPr>
        <sz val="10"/>
        <color rgb="FF000000"/>
        <rFont val="DejaVu Sans"/>
        <family val="2"/>
      </rPr>
      <t xml:space="preserve">自动化</t>
    </r>
  </si>
  <si>
    <r>
      <rPr>
        <sz val="10"/>
        <color rgb="FF000000"/>
        <rFont val="Arial"/>
        <family val="0"/>
        <charset val="1"/>
      </rPr>
      <t xml:space="preserve">#3 </t>
    </r>
    <r>
      <rPr>
        <sz val="10"/>
        <color rgb="FF000000"/>
        <rFont val="DejaVu Sans"/>
        <family val="2"/>
      </rPr>
      <t xml:space="preserve">必接</t>
    </r>
  </si>
  <si>
    <r>
      <rPr>
        <sz val="10"/>
        <color rgb="FF000000"/>
        <rFont val="Arial"/>
        <family val="0"/>
        <charset val="1"/>
      </rPr>
      <t xml:space="preserve">Keepa API (€49 ~ $54/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</si>
  <si>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~$54/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</si>
  <si>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竞品历史价</t>
    </r>
    <r>
      <rPr>
        <sz val="10"/>
        <color rgb="FF000000"/>
        <rFont val="DejaVu Sans"/>
        <family val="2"/>
        <charset val="1"/>
      </rPr>
      <t xml:space="preserve">/BSR/Buy Box </t>
    </r>
    <r>
      <rPr>
        <sz val="10"/>
        <color rgb="FF000000"/>
        <rFont val="DejaVu Sans"/>
        <family val="2"/>
      </rPr>
      <t xml:space="preserve">跟踪</t>
    </r>
  </si>
  <si>
    <t xml:space="preserve">总计</t>
  </si>
  <si>
    <r>
      <rPr>
        <sz val="10"/>
        <color rgb="FF000000"/>
        <rFont val="DejaVu Sans"/>
        <family val="2"/>
      </rPr>
      <t xml:space="preserve">约 </t>
    </r>
    <r>
      <rPr>
        <sz val="10"/>
        <color rgb="FF000000"/>
        <rFont val="DejaVu Sans"/>
        <family val="2"/>
        <charset val="1"/>
      </rPr>
      <t xml:space="preserve">$430/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</si>
  <si>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覆盖自有数据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行业估算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历史时序</t>
    </r>
  </si>
  <si>
    <r>
      <rPr>
        <b val="true"/>
        <sz val="14"/>
        <color rgb="FF1F4E78"/>
        <rFont val="Arial"/>
        <family val="0"/>
        <charset val="1"/>
      </rPr>
      <t xml:space="preserve">TikTok Shop + TikTok Ads </t>
    </r>
    <r>
      <rPr>
        <b val="true"/>
        <sz val="14"/>
        <color rgb="FF1F4E78"/>
        <rFont val="DejaVu Sans"/>
        <family val="2"/>
      </rPr>
      <t xml:space="preserve">数据源详情</t>
    </r>
  </si>
  <si>
    <r>
      <rPr>
        <b val="true"/>
        <sz val="11"/>
        <color rgb="FF000000"/>
        <rFont val="Arial"/>
        <family val="0"/>
        <charset val="1"/>
      </rPr>
      <t xml:space="preserve">▶ TikTok Shop </t>
    </r>
    <r>
      <rPr>
        <b val="true"/>
        <sz val="11"/>
        <color rgb="FF000000"/>
        <rFont val="DejaVu Sans"/>
        <family val="2"/>
      </rPr>
      <t xml:space="preserve">全球站点覆盖（</t>
    </r>
    <r>
      <rPr>
        <b val="true"/>
        <sz val="11"/>
        <color rgb="FF000000"/>
        <rFont val="Arial"/>
        <family val="0"/>
        <charset val="1"/>
      </rPr>
      <t xml:space="preserve">2026-05</t>
    </r>
    <r>
      <rPr>
        <b val="true"/>
        <sz val="11"/>
        <color rgb="FF000000"/>
        <rFont val="DejaVu Sans"/>
        <family val="2"/>
      </rPr>
      <t xml:space="preserve">）</t>
    </r>
  </si>
  <si>
    <t xml:space="preserve">站点</t>
  </si>
  <si>
    <t xml:space="preserve">状态</t>
  </si>
  <si>
    <r>
      <rPr>
        <b val="true"/>
        <sz val="11"/>
        <color rgb="FFFFFFFF"/>
        <rFont val="Arial"/>
        <family val="0"/>
        <charset val="1"/>
      </rPr>
      <t xml:space="preserve">GMV/</t>
    </r>
    <r>
      <rPr>
        <b val="true"/>
        <sz val="11"/>
        <color rgb="FFFFFFFF"/>
        <rFont val="DejaVu Sans"/>
        <family val="2"/>
      </rPr>
      <t xml:space="preserve">规模</t>
    </r>
  </si>
  <si>
    <t xml:space="preserve">备注</t>
  </si>
  <si>
    <t xml:space="preserve">US</t>
  </si>
  <si>
    <t xml:space="preserve">✓ 已开</t>
  </si>
  <si>
    <t xml:space="preserve">$15.82B (2025)</t>
  </si>
  <si>
    <t xml:space="preserve">主战场</t>
  </si>
  <si>
    <t xml:space="preserve">CA</t>
  </si>
  <si>
    <t xml:space="preserve">✗ 未开</t>
  </si>
  <si>
    <r>
      <rPr>
        <sz val="10"/>
        <color rgb="FF000000"/>
        <rFont val="DejaVu Sans"/>
        <family val="2"/>
      </rPr>
      <t xml:space="preserve">仅 </t>
    </r>
    <r>
      <rPr>
        <sz val="10"/>
        <color rgb="FF000000"/>
        <rFont val="DejaVu Sans"/>
        <family val="2"/>
        <charset val="1"/>
      </rPr>
      <t xml:space="preserve">TikTok Ads</t>
    </r>
    <r>
      <rPr>
        <sz val="10"/>
        <color rgb="FF000000"/>
        <rFont val="DejaVu Sans"/>
        <family val="2"/>
      </rPr>
      <t xml:space="preserve">，独立站</t>
    </r>
    <r>
      <rPr>
        <sz val="10"/>
        <color rgb="FF000000"/>
        <rFont val="DejaVu Sans"/>
        <family val="2"/>
        <charset val="1"/>
      </rPr>
      <t xml:space="preserve">/Amazon </t>
    </r>
    <r>
      <rPr>
        <sz val="10"/>
        <color rgb="FF000000"/>
        <rFont val="DejaVu Sans"/>
        <family val="2"/>
      </rPr>
      <t xml:space="preserve">承接</t>
    </r>
  </si>
  <si>
    <t xml:space="preserve">UK</t>
  </si>
  <si>
    <r>
      <rPr>
        <sz val="10"/>
        <color rgb="FF000000"/>
        <rFont val="DejaVu Sans"/>
        <family val="2"/>
      </rPr>
      <t xml:space="preserve">✓ 已开 </t>
    </r>
    <r>
      <rPr>
        <sz val="10"/>
        <color rgb="FF000000"/>
        <rFont val="DejaVu Sans"/>
        <family val="2"/>
        <charset val="1"/>
      </rPr>
      <t xml:space="preserve">2021</t>
    </r>
  </si>
  <si>
    <t xml:space="preserve">欧洲最成熟</t>
  </si>
  <si>
    <t xml:space="preserve">IE/ES</t>
  </si>
  <si>
    <r>
      <rPr>
        <sz val="10"/>
        <color rgb="FF000000"/>
        <rFont val="DejaVu Sans"/>
        <family val="2"/>
      </rPr>
      <t xml:space="preserve">✓ 已开 </t>
    </r>
    <r>
      <rPr>
        <sz val="10"/>
        <color rgb="FF000000"/>
        <rFont val="DejaVu Sans"/>
        <family val="2"/>
        <charset val="1"/>
      </rPr>
      <t xml:space="preserve">2024 Q4</t>
    </r>
  </si>
  <si>
    <t xml:space="preserve">DE/FR/IT</t>
  </si>
  <si>
    <r>
      <rPr>
        <sz val="10"/>
        <color rgb="FF000000"/>
        <rFont val="DejaVu Sans"/>
        <family val="2"/>
      </rPr>
      <t xml:space="preserve">✓ 已开 </t>
    </r>
    <r>
      <rPr>
        <sz val="10"/>
        <color rgb="FF000000"/>
        <rFont val="DejaVu Sans"/>
        <family val="2"/>
        <charset val="1"/>
      </rPr>
      <t xml:space="preserve">2025-03-31</t>
    </r>
  </si>
  <si>
    <t xml:space="preserve">爬坡期</t>
  </si>
  <si>
    <t xml:space="preserve">家居增量市场</t>
  </si>
  <si>
    <t xml:space="preserve">NL/BE/PL/SE</t>
  </si>
  <si>
    <r>
      <rPr>
        <sz val="10"/>
        <color rgb="FF000000"/>
        <rFont val="DejaVu Sans"/>
        <family val="2"/>
      </rPr>
      <t xml:space="preserve">🕐 计划 </t>
    </r>
    <r>
      <rPr>
        <sz val="10"/>
        <color rgb="FF000000"/>
        <rFont val="DejaVu Sans"/>
        <family val="2"/>
        <charset val="1"/>
      </rPr>
      <t xml:space="preserve">2026 H2</t>
    </r>
  </si>
  <si>
    <t xml:space="preserve">待观察</t>
  </si>
  <si>
    <t xml:space="preserve">东南亚</t>
  </si>
  <si>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DejaVu Sans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Tokopedia</t>
    </r>
    <r>
      <rPr>
        <sz val="10"/>
        <color rgb="FF000000"/>
        <rFont val="DejaVu Sans"/>
        <family val="2"/>
      </rPr>
      <t xml:space="preserve">）</t>
    </r>
  </si>
  <si>
    <t xml:space="preserve">H1 2025 = $6B</t>
  </si>
  <si>
    <r>
      <rPr>
        <sz val="10"/>
        <color rgb="FF000000"/>
        <rFont val="Arial"/>
        <family val="0"/>
        <charset val="1"/>
      </rPr>
      <t xml:space="preserve">SEA GMV </t>
    </r>
    <r>
      <rPr>
        <sz val="10"/>
        <color rgb="FF000000"/>
        <rFont val="DejaVu Sans"/>
        <family val="2"/>
      </rPr>
      <t xml:space="preserve">第一</t>
    </r>
  </si>
  <si>
    <t xml:space="preserve">TH</t>
  </si>
  <si>
    <t xml:space="preserve">H1 2025 = $4.6B</t>
  </si>
  <si>
    <t xml:space="preserve">VN</t>
  </si>
  <si>
    <t xml:space="preserve">H1 2025 = $3.4B</t>
  </si>
  <si>
    <t xml:space="preserve">MY/PH/SG</t>
  </si>
  <si>
    <r>
      <rPr>
        <sz val="10"/>
        <color rgb="FF000000"/>
        <rFont val="Arial"/>
        <family val="0"/>
        <charset val="1"/>
      </rPr>
      <t xml:space="preserve">SG </t>
    </r>
    <r>
      <rPr>
        <sz val="10"/>
        <color rgb="FF000000"/>
        <rFont val="DejaVu Sans"/>
        <family val="2"/>
      </rPr>
      <t xml:space="preserve">客单价最高</t>
    </r>
  </si>
  <si>
    <t xml:space="preserve">日本</t>
  </si>
  <si>
    <t xml:space="preserve">JP</t>
  </si>
  <si>
    <r>
      <rPr>
        <sz val="10"/>
        <color rgb="FF000000"/>
        <rFont val="Arial"/>
        <family val="0"/>
        <charset val="1"/>
      </rPr>
      <t xml:space="preserve">✗ 2026 </t>
    </r>
    <r>
      <rPr>
        <sz val="10"/>
        <color rgb="FF000000"/>
        <rFont val="DejaVu Sans"/>
        <family val="2"/>
      </rPr>
      <t xml:space="preserve">内计划上线</t>
    </r>
  </si>
  <si>
    <r>
      <rPr>
        <sz val="10"/>
        <color rgb="FF000000"/>
        <rFont val="DejaVu Sans"/>
        <family val="2"/>
      </rPr>
      <t xml:space="preserve">目前只跑 </t>
    </r>
    <r>
      <rPr>
        <sz val="10"/>
        <color rgb="FF000000"/>
        <rFont val="DejaVu Sans"/>
        <family val="2"/>
        <charset val="1"/>
      </rPr>
      <t xml:space="preserve">TikTok Ads</t>
    </r>
  </si>
  <si>
    <r>
      <rPr>
        <b val="true"/>
        <sz val="11"/>
        <color rgb="FF000000"/>
        <rFont val="Arial"/>
        <family val="0"/>
        <charset val="1"/>
      </rPr>
      <t xml:space="preserve">▶ TikTok </t>
    </r>
    <r>
      <rPr>
        <b val="true"/>
        <sz val="11"/>
        <color rgb="FF000000"/>
        <rFont val="DejaVu Sans"/>
        <family val="2"/>
      </rPr>
      <t xml:space="preserve">数据源完整对照</t>
    </r>
  </si>
  <si>
    <t xml:space="preserve">TikTok Marketing API / Ads Manager</t>
  </si>
  <si>
    <r>
      <rPr>
        <sz val="10"/>
        <color rgb="FF000000"/>
        <rFont val="DejaVu Sans"/>
        <family val="2"/>
      </rPr>
      <t xml:space="preserve">广告组</t>
    </r>
    <r>
      <rPr>
        <sz val="10"/>
        <color rgb="FF000000"/>
        <rFont val="DejaVu Sans"/>
        <family val="2"/>
        <charset val="1"/>
      </rPr>
      <t xml:space="preserve">/SKU</t>
    </r>
  </si>
  <si>
    <r>
      <rPr>
        <sz val="10"/>
        <color rgb="FF000000"/>
        <rFont val="DejaVu Sans"/>
        <family val="2"/>
      </rPr>
      <t xml:space="preserve">近实时 </t>
    </r>
    <r>
      <rPr>
        <sz val="10"/>
        <color rgb="FF000000"/>
        <rFont val="DejaVu Sans"/>
        <family val="2"/>
        <charset val="1"/>
      </rPr>
      <t xml:space="preserve">1-3h</t>
    </r>
  </si>
  <si>
    <t xml:space="preserve">Top Ads/Hashtags/Products/Audience</t>
  </si>
  <si>
    <r>
      <rPr>
        <sz val="10"/>
        <color rgb="FF000000"/>
        <rFont val="DejaVu Sans"/>
        <family val="2"/>
      </rPr>
      <t xml:space="preserve">爆品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创意灵感</t>
    </r>
  </si>
  <si>
    <t xml:space="preserve">TikTok Shop Partner Center</t>
  </si>
  <si>
    <r>
      <rPr>
        <sz val="10"/>
        <color rgb="FF000000"/>
        <rFont val="Arial"/>
        <family val="0"/>
        <charset val="1"/>
      </rPr>
      <t xml:space="preserve">GMV/</t>
    </r>
    <r>
      <rPr>
        <sz val="10"/>
        <color rgb="FF000000"/>
        <rFont val="DejaVu Sans"/>
        <family val="2"/>
      </rPr>
      <t xml:space="preserve">订单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客单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退货</t>
    </r>
  </si>
  <si>
    <t xml:space="preserve">自家开店站点</t>
  </si>
  <si>
    <r>
      <rPr>
        <sz val="10"/>
        <color rgb="FF000000"/>
        <rFont val="DejaVu Sans"/>
        <family val="2"/>
      </rPr>
      <t xml:space="preserve">店铺 </t>
    </r>
    <r>
      <rPr>
        <sz val="10"/>
        <color rgb="FF000000"/>
        <rFont val="DejaVu Sans"/>
        <family val="2"/>
        <charset val="1"/>
      </rPr>
      <t xml:space="preserve">KPI </t>
    </r>
    <r>
      <rPr>
        <sz val="10"/>
        <color rgb="FF000000"/>
        <rFont val="DejaVu Sans"/>
        <family val="2"/>
      </rPr>
      <t xml:space="preserve">回流</t>
    </r>
  </si>
  <si>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DejaVu Sans"/>
        <family val="2"/>
      </rPr>
      <t xml:space="preserve">已开站点</t>
    </r>
  </si>
  <si>
    <r>
      <rPr>
        <sz val="10"/>
        <color rgb="FF000000"/>
        <rFont val="Arial"/>
        <family val="0"/>
        <charset val="1"/>
      </rPr>
      <t xml:space="preserve">ERP/ROI </t>
    </r>
    <r>
      <rPr>
        <sz val="10"/>
        <color rgb="FF000000"/>
        <rFont val="DejaVu Sans"/>
        <family val="2"/>
      </rPr>
      <t xml:space="preserve">直连（必接）</t>
    </r>
  </si>
  <si>
    <t xml:space="preserve">TikTok Business Center</t>
  </si>
  <si>
    <t xml:space="preserve">多账户聚合</t>
  </si>
  <si>
    <t xml:space="preserve">账户级</t>
  </si>
  <si>
    <t xml:space="preserve">跨市场账户管理</t>
  </si>
  <si>
    <r>
      <rPr>
        <sz val="10"/>
        <color rgb="FF000000"/>
        <rFont val="Arial"/>
        <family val="0"/>
        <charset val="1"/>
      </rPr>
      <t xml:space="preserve">US/UK/DE + </t>
    </r>
    <r>
      <rPr>
        <sz val="10"/>
        <color rgb="FF000000"/>
        <rFont val="DejaVu Sans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SEA</t>
    </r>
    <r>
      <rPr>
        <sz val="10"/>
        <color rgb="FF000000"/>
        <rFont val="DejaVu Sans"/>
        <family val="2"/>
      </rPr>
      <t xml:space="preserve">（不含 </t>
    </r>
    <r>
      <rPr>
        <sz val="10"/>
        <color rgb="FF000000"/>
        <rFont val="Arial"/>
        <family val="0"/>
        <charset val="1"/>
      </rPr>
      <t xml:space="preserve">JP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</si>
  <si>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全球覆盖最广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达人导出</t>
    </r>
  </si>
  <si>
    <r>
      <rPr>
        <sz val="10"/>
        <color rgb="FF000000"/>
        <rFont val="DejaVu Sans"/>
        <family val="2"/>
      </rPr>
      <t xml:space="preserve">广告 </t>
    </r>
    <r>
      <rPr>
        <sz val="10"/>
        <color rgb="FF000000"/>
        <rFont val="DejaVu Sans"/>
        <family val="2"/>
        <charset val="1"/>
      </rPr>
      <t xml:space="preserve">1h/</t>
    </r>
    <r>
      <rPr>
        <sz val="10"/>
        <color rgb="FF000000"/>
        <rFont val="DejaVu Sans"/>
        <family val="2"/>
      </rPr>
      <t xml:space="preserve">商品 </t>
    </r>
    <r>
      <rPr>
        <sz val="10"/>
        <color rgb="FF000000"/>
        <rFont val="DejaVu Sans"/>
        <family val="2"/>
        <charset val="1"/>
      </rPr>
      <t xml:space="preserve">6h</t>
    </r>
  </si>
  <si>
    <r>
      <rPr>
        <sz val="10"/>
        <color rgb="FF000000"/>
        <rFont val="Arial"/>
        <family val="0"/>
        <charset val="1"/>
      </rPr>
      <t xml:space="preserve">Free / $49/</t>
    </r>
    <r>
      <rPr>
        <sz val="10"/>
        <color rgb="FF000000"/>
        <rFont val="DejaVu Sans"/>
        <family val="2"/>
      </rPr>
      <t xml:space="preserve">月</t>
    </r>
  </si>
  <si>
    <t xml:space="preserve">Meta+TikTok+Pinterest+Shopify spy</t>
  </si>
  <si>
    <r>
      <rPr>
        <sz val="10"/>
        <color rgb="FF000000"/>
        <rFont val="DejaVu Sans"/>
        <family val="2"/>
      </rPr>
      <t xml:space="preserve">家居选品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创意双用</t>
    </r>
  </si>
  <si>
    <r>
      <rPr>
        <sz val="10"/>
        <color rgb="FF000000"/>
        <rFont val="Arial"/>
        <family val="0"/>
        <charset val="1"/>
      </rPr>
      <t xml:space="preserve">Meta/IG/TikTok/YouTube </t>
    </r>
    <r>
      <rPr>
        <sz val="10"/>
        <color rgb="FF000000"/>
        <rFont val="DejaVu Sans"/>
        <family val="2"/>
      </rPr>
      <t xml:space="preserve">全平台</t>
    </r>
  </si>
  <si>
    <t xml:space="preserve">类目</t>
  </si>
  <si>
    <t xml:space="preserve">Adheart</t>
  </si>
  <si>
    <r>
      <rPr>
        <sz val="10"/>
        <color rgb="FF000000"/>
        <rFont val="Arial"/>
        <family val="0"/>
        <charset val="1"/>
      </rPr>
      <t xml:space="preserve">Meta/CIS </t>
    </r>
    <r>
      <rPr>
        <sz val="10"/>
        <color rgb="FF000000"/>
        <rFont val="DejaVu Sans"/>
        <family val="2"/>
      </rPr>
      <t xml:space="preserve">市场 </t>
    </r>
    <r>
      <rPr>
        <sz val="10"/>
        <color rgb="FF000000"/>
        <rFont val="Arial"/>
        <family val="0"/>
        <charset val="1"/>
      </rPr>
      <t xml:space="preserve">ads spy</t>
    </r>
  </si>
  <si>
    <r>
      <rPr>
        <sz val="10"/>
        <color rgb="FF000000"/>
        <rFont val="DejaVu Sans"/>
        <family val="2"/>
      </rPr>
      <t xml:space="preserve">弱 </t>
    </r>
    <r>
      <rPr>
        <sz val="10"/>
        <color rgb="FF000000"/>
        <rFont val="DejaVu Sans"/>
        <family val="2"/>
        <charset val="1"/>
      </rPr>
      <t xml:space="preserve">SEA/US</t>
    </r>
  </si>
  <si>
    <r>
      <rPr>
        <sz val="10"/>
        <color rgb="FF000000"/>
        <rFont val="Arial"/>
        <family val="0"/>
        <charset val="1"/>
      </rPr>
      <t xml:space="preserve">$30-$80/</t>
    </r>
    <r>
      <rPr>
        <sz val="10"/>
        <color rgb="FF000000"/>
        <rFont val="DejaVu Sans"/>
        <family val="2"/>
      </rPr>
      <t xml:space="preserve">月</t>
    </r>
  </si>
  <si>
    <t xml:space="preserve">❌ 哈奇米跨境无用</t>
  </si>
  <si>
    <t xml:space="preserve">Pentos</t>
  </si>
  <si>
    <r>
      <rPr>
        <sz val="10"/>
        <color rgb="FF000000"/>
        <rFont val="Arial"/>
        <family val="0"/>
        <charset val="1"/>
      </rPr>
      <t xml:space="preserve">TikTok </t>
    </r>
    <r>
      <rPr>
        <sz val="10"/>
        <color rgb="FF000000"/>
        <rFont val="DejaVu Sans"/>
        <family val="2"/>
      </rPr>
      <t xml:space="preserve">自然趋势</t>
    </r>
    <r>
      <rPr>
        <sz val="10"/>
        <color rgb="FF000000"/>
        <rFont val="Arial"/>
        <family val="0"/>
        <charset val="1"/>
      </rPr>
      <t xml:space="preserve">/Hashtag</t>
    </r>
  </si>
  <si>
    <r>
      <rPr>
        <sz val="10"/>
        <color rgb="FF000000"/>
        <rFont val="DejaVu Sans"/>
        <family val="2"/>
      </rPr>
      <t xml:space="preserve">追 </t>
    </r>
    <r>
      <rPr>
        <sz val="10"/>
        <color rgb="FF000000"/>
        <rFont val="DejaVu Sans"/>
        <family val="2"/>
        <charset val="1"/>
      </rPr>
      <t xml:space="preserve">hashtag </t>
    </r>
    <r>
      <rPr>
        <sz val="10"/>
        <color rgb="FF000000"/>
        <rFont val="DejaVu Sans"/>
        <family val="2"/>
      </rPr>
      <t xml:space="preserve">趋势</t>
    </r>
  </si>
  <si>
    <t xml:space="preserve">Exolyt</t>
  </si>
  <si>
    <r>
      <rPr>
        <sz val="10"/>
        <color rgb="FF000000"/>
        <rFont val="DejaVu Sans"/>
        <family val="2"/>
      </rPr>
      <t xml:space="preserve">品牌社听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自然</t>
    </r>
  </si>
  <si>
    <r>
      <rPr>
        <sz val="10"/>
        <color rgb="FF000000"/>
        <rFont val="Arial"/>
        <family val="0"/>
        <charset val="1"/>
      </rPr>
      <t xml:space="preserve">20+ </t>
    </r>
    <r>
      <rPr>
        <sz val="10"/>
        <color rgb="FF000000"/>
        <rFont val="DejaVu Sans"/>
        <family val="2"/>
      </rPr>
      <t xml:space="preserve">国</t>
    </r>
  </si>
  <si>
    <r>
      <rPr>
        <sz val="10"/>
        <color rgb="FF000000"/>
        <rFont val="Arial"/>
        <family val="0"/>
        <charset val="1"/>
      </rPr>
      <t xml:space="preserve">Free/$400/$950 </t>
    </r>
    <r>
      <rPr>
        <sz val="10"/>
        <color rgb="FF000000"/>
        <rFont val="DejaVu Sans"/>
        <family val="2"/>
      </rPr>
      <t xml:space="preserve">月</t>
    </r>
  </si>
  <si>
    <t xml:space="preserve">REST (CSV+Sheets)</t>
  </si>
  <si>
    <t xml:space="preserve">代理用，对哈奇米偏贵</t>
  </si>
  <si>
    <r>
      <rPr>
        <sz val="10"/>
        <color rgb="FF000000"/>
        <rFont val="Arial"/>
        <family val="0"/>
        <charset val="1"/>
      </rPr>
      <t xml:space="preserve">350M </t>
    </r>
    <r>
      <rPr>
        <sz val="10"/>
        <color rgb="FF000000"/>
        <rFont val="DejaVu Sans"/>
        <family val="2"/>
      </rPr>
      <t xml:space="preserve">创作者发现</t>
    </r>
  </si>
  <si>
    <t xml:space="preserve">Saral</t>
  </si>
  <si>
    <r>
      <rPr>
        <sz val="10"/>
        <color rgb="FF000000"/>
        <rFont val="DejaVu Sans"/>
        <family val="2"/>
      </rPr>
      <t xml:space="preserve">达人发现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外联自动化</t>
    </r>
  </si>
  <si>
    <r>
      <rPr>
        <sz val="10"/>
        <color rgb="FF000000"/>
        <rFont val="Arial"/>
        <family val="0"/>
        <charset val="1"/>
      </rPr>
      <t xml:space="preserve">$12+ </t>
    </r>
    <r>
      <rPr>
        <sz val="10"/>
        <color rgb="FF000000"/>
        <rFont val="DejaVu Sans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$200+ </t>
    </r>
    <r>
      <rPr>
        <sz val="10"/>
        <color rgb="FF000000"/>
        <rFont val="DejaVu Sans"/>
        <family val="2"/>
      </rPr>
      <t xml:space="preserve">常规</t>
    </r>
  </si>
  <si>
    <r>
      <rPr>
        <sz val="10"/>
        <color rgb="FF000000"/>
        <rFont val="DejaVu Sans"/>
        <family val="2"/>
      </rPr>
      <t xml:space="preserve">小预算 </t>
    </r>
    <r>
      <rPr>
        <sz val="10"/>
        <color rgb="FF000000"/>
        <rFont val="DejaVu Sans"/>
        <family val="2"/>
        <charset val="1"/>
      </rPr>
      <t xml:space="preserve">Modash </t>
    </r>
    <r>
      <rPr>
        <sz val="10"/>
        <color rgb="FF000000"/>
        <rFont val="DejaVu Sans"/>
        <family val="2"/>
      </rPr>
      <t xml:space="preserve">替代</t>
    </r>
  </si>
  <si>
    <r>
      <rPr>
        <sz val="10"/>
        <color rgb="FF000000"/>
        <rFont val="DejaVu Sans"/>
        <family val="2"/>
      </rPr>
      <t xml:space="preserve">达人 </t>
    </r>
    <r>
      <rPr>
        <sz val="10"/>
        <color rgb="FF000000"/>
        <rFont val="DejaVu Sans"/>
        <family val="2"/>
        <charset val="1"/>
      </rPr>
      <t xml:space="preserve">UGC </t>
    </r>
    <r>
      <rPr>
        <sz val="10"/>
        <color rgb="FF000000"/>
        <rFont val="DejaVu Sans"/>
        <family val="2"/>
      </rPr>
      <t xml:space="preserve">合作</t>
    </r>
  </si>
  <si>
    <r>
      <rPr>
        <sz val="10"/>
        <color rgb="FF000000"/>
        <rFont val="DejaVu Sans"/>
        <family val="2"/>
      </rPr>
      <t xml:space="preserve">全球（重 </t>
    </r>
    <r>
      <rPr>
        <sz val="10"/>
        <color rgb="FF000000"/>
        <rFont val="DejaVu Sans"/>
        <family val="2"/>
        <charset val="1"/>
      </rPr>
      <t xml:space="preserve">US/UK</t>
    </r>
    <r>
      <rPr>
        <sz val="10"/>
        <color rgb="FF000000"/>
        <rFont val="DejaVu Sans"/>
        <family val="2"/>
      </rPr>
      <t xml:space="preserve">）</t>
    </r>
  </si>
  <si>
    <t xml:space="preserve">CN-SaaS</t>
  </si>
  <si>
    <r>
      <rPr>
        <sz val="10"/>
        <color rgb="FF000000"/>
        <rFont val="DejaVu Sans"/>
        <family val="2"/>
      </rPr>
      <t xml:space="preserve">国内强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跨境覆盖 </t>
    </r>
    <r>
      <rPr>
        <sz val="10"/>
        <color rgb="FF000000"/>
        <rFont val="DejaVu Sans"/>
        <family val="2"/>
        <charset val="1"/>
      </rPr>
      <t xml:space="preserve">US/UK/SEA</t>
    </r>
  </si>
  <si>
    <r>
      <rPr>
        <sz val="10"/>
        <color rgb="FF000000"/>
        <rFont val="Arial"/>
        <family val="0"/>
        <charset val="1"/>
      </rPr>
      <t xml:space="preserve">¥568-¥1398/</t>
    </r>
    <r>
      <rPr>
        <sz val="10"/>
        <color rgb="FF000000"/>
        <rFont val="DejaVu Sans"/>
        <family val="2"/>
      </rPr>
      <t xml:space="preserve">年；企业 </t>
    </r>
    <r>
      <rPr>
        <sz val="10"/>
        <color rgb="FF000000"/>
        <rFont val="Arial"/>
        <family val="0"/>
        <charset val="1"/>
      </rPr>
      <t xml:space="preserve">¥2-5w/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</si>
  <si>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DejaVu Sans"/>
        <family val="2"/>
      </rPr>
      <t xml:space="preserve">中国团队 </t>
    </r>
    <r>
      <rPr>
        <sz val="10"/>
        <color rgb="FF000000"/>
        <rFont val="DejaVu Sans"/>
        <family val="2"/>
        <charset val="1"/>
      </rPr>
      <t xml:space="preserve">UI </t>
    </r>
    <r>
      <rPr>
        <sz val="10"/>
        <color rgb="FF000000"/>
        <rFont val="DejaVu Sans"/>
        <family val="2"/>
      </rPr>
      <t xml:space="preserve">友好；跨境弱于 </t>
    </r>
    <r>
      <rPr>
        <sz val="10"/>
        <color rgb="FF000000"/>
        <rFont val="DejaVu Sans"/>
        <family val="2"/>
        <charset val="1"/>
      </rPr>
      <t xml:space="preserve">Kalodata</t>
    </r>
  </si>
  <si>
    <r>
      <rPr>
        <sz val="10"/>
        <color rgb="FF000000"/>
        <rFont val="DejaVu Sans"/>
        <family val="2"/>
      </rPr>
      <t xml:space="preserve">飞瓜数据 </t>
    </r>
    <r>
      <rPr>
        <sz val="10"/>
        <color rgb="FF000000"/>
        <rFont val="DejaVu Sans"/>
        <family val="2"/>
        <charset val="1"/>
      </rPr>
      <t xml:space="preserve">(Feigua)</t>
    </r>
  </si>
  <si>
    <r>
      <rPr>
        <sz val="10"/>
        <color rgb="FF000000"/>
        <rFont val="DejaVu Sans"/>
        <family val="2"/>
      </rPr>
      <t xml:space="preserve">抖音 </t>
    </r>
    <r>
      <rPr>
        <sz val="10"/>
        <color rgb="FF000000"/>
        <rFont val="DejaVu Sans"/>
        <family val="2"/>
        <charset val="1"/>
      </rPr>
      <t xml:space="preserve">+ TikTok</t>
    </r>
    <r>
      <rPr>
        <sz val="10"/>
        <color rgb="FF000000"/>
        <rFont val="DejaVu Sans"/>
        <family val="2"/>
      </rPr>
      <t xml:space="preserve">（弱）</t>
    </r>
  </si>
  <si>
    <t xml:space="preserve">国内为主</t>
  </si>
  <si>
    <r>
      <rPr>
        <sz val="10"/>
        <color rgb="FF000000"/>
        <rFont val="Arial"/>
        <family val="0"/>
        <charset val="1"/>
      </rPr>
      <t xml:space="preserve">¥1988-9800/</t>
    </r>
    <r>
      <rPr>
        <sz val="10"/>
        <color rgb="FF000000"/>
        <rFont val="DejaVu Sans"/>
        <family val="2"/>
      </rPr>
      <t xml:space="preserve">年</t>
    </r>
  </si>
  <si>
    <t xml:space="preserve">跨境弱，不优先</t>
  </si>
  <si>
    <r>
      <rPr>
        <sz val="10"/>
        <color rgb="FF000000"/>
        <rFont val="DejaVu Sans"/>
        <family val="2"/>
      </rPr>
      <t xml:space="preserve">抖查查 </t>
    </r>
    <r>
      <rPr>
        <sz val="10"/>
        <color rgb="FF000000"/>
        <rFont val="DejaVu Sans"/>
        <family val="2"/>
        <charset val="1"/>
      </rPr>
      <t xml:space="preserve">(Douchacha)</t>
    </r>
  </si>
  <si>
    <t xml:space="preserve">抖音</t>
  </si>
  <si>
    <t xml:space="preserve">国内</t>
  </si>
  <si>
    <r>
      <rPr>
        <sz val="10"/>
        <color rgb="FF000000"/>
        <rFont val="Arial"/>
        <family val="0"/>
        <charset val="1"/>
      </rPr>
      <t xml:space="preserve">¥998-4998/</t>
    </r>
    <r>
      <rPr>
        <sz val="10"/>
        <color rgb="FF000000"/>
        <rFont val="DejaVu Sans"/>
        <family val="2"/>
      </rPr>
      <t xml:space="preserve">年</t>
    </r>
  </si>
  <si>
    <t xml:space="preserve">❌ 与跨境无关 跳过</t>
  </si>
  <si>
    <r>
      <rPr>
        <b val="true"/>
        <sz val="11"/>
        <color rgb="FF000000"/>
        <rFont val="DejaVu Sans"/>
        <family val="2"/>
      </rPr>
      <t xml:space="preserve">▶ 东南亚 </t>
    </r>
    <r>
      <rPr>
        <b val="true"/>
        <sz val="11"/>
        <color rgb="FF000000"/>
        <rFont val="DejaVu Sans"/>
        <family val="2"/>
        <charset val="1"/>
      </rPr>
      <t xml:space="preserve">6 </t>
    </r>
    <r>
      <rPr>
        <b val="true"/>
        <sz val="11"/>
        <color rgb="FF000000"/>
        <rFont val="DejaVu Sans"/>
        <family val="2"/>
      </rPr>
      <t xml:space="preserve">国覆盖深度（很多西方 </t>
    </r>
    <r>
      <rPr>
        <b val="true"/>
        <sz val="11"/>
        <color rgb="FF000000"/>
        <rFont val="DejaVu Sans"/>
        <family val="2"/>
        <charset val="1"/>
      </rPr>
      <t xml:space="preserve">SaaS </t>
    </r>
    <r>
      <rPr>
        <b val="true"/>
        <sz val="11"/>
        <color rgb="FF000000"/>
        <rFont val="DejaVu Sans"/>
        <family val="2"/>
      </rPr>
      <t xml:space="preserve">不覆盖 </t>
    </r>
    <r>
      <rPr>
        <b val="true"/>
        <sz val="11"/>
        <color rgb="FF000000"/>
        <rFont val="DejaVu Sans"/>
        <family val="2"/>
        <charset val="1"/>
      </rPr>
      <t xml:space="preserve">SEA</t>
    </r>
    <r>
      <rPr>
        <b val="true"/>
        <sz val="11"/>
        <color rgb="FF000000"/>
        <rFont val="DejaVu Sans"/>
        <family val="2"/>
      </rPr>
      <t xml:space="preserve">）</t>
    </r>
  </si>
  <si>
    <t xml:space="preserve">工具</t>
  </si>
  <si>
    <t xml:space="preserve">ID</t>
  </si>
  <si>
    <t xml:space="preserve">MY</t>
  </si>
  <si>
    <t xml:space="preserve">PH</t>
  </si>
  <si>
    <t xml:space="preserve">SG</t>
  </si>
  <si>
    <t xml:space="preserve">评级</t>
  </si>
  <si>
    <t xml:space="preserve">★★★★★ 最细粒度</t>
  </si>
  <si>
    <t xml:space="preserve">★★★★★ 国家最多</t>
  </si>
  <si>
    <t xml:space="preserve">★★★★ 性价比首选</t>
  </si>
  <si>
    <r>
      <rPr>
        <sz val="10"/>
        <color rgb="FF000000"/>
        <rFont val="DejaVu Sans"/>
        <family val="2"/>
      </rPr>
      <t xml:space="preserve">★★★★ 纯 </t>
    </r>
    <r>
      <rPr>
        <sz val="10"/>
        <color rgb="FF000000"/>
        <rFont val="DejaVu Sans"/>
        <family val="2"/>
        <charset val="1"/>
      </rPr>
      <t xml:space="preserve">SEA</t>
    </r>
  </si>
  <si>
    <t xml:space="preserve">蝉妈妈跨境</t>
  </si>
  <si>
    <t xml:space="preserve">★★★ 中国团队体验</t>
  </si>
  <si>
    <t xml:space="preserve">Modash/Insense</t>
  </si>
  <si>
    <r>
      <rPr>
        <sz val="10"/>
        <color rgb="FF000000"/>
        <rFont val="DejaVu Sans"/>
        <family val="2"/>
      </rPr>
      <t xml:space="preserve">★ 几乎不可用 </t>
    </r>
    <r>
      <rPr>
        <sz val="10"/>
        <color rgb="FF000000"/>
        <rFont val="DejaVu Sans"/>
        <family val="2"/>
        <charset val="1"/>
      </rPr>
      <t xml:space="preserve">SEA</t>
    </r>
  </si>
  <si>
    <t xml:space="preserve">Minea/BigSpy</t>
  </si>
  <si>
    <r>
      <rPr>
        <sz val="10"/>
        <color rgb="FF000000"/>
        <rFont val="DejaVu Sans"/>
        <family val="2"/>
      </rPr>
      <t xml:space="preserve">★ 仅广告 </t>
    </r>
    <r>
      <rPr>
        <sz val="10"/>
        <color rgb="FF000000"/>
        <rFont val="DejaVu Sans"/>
        <family val="2"/>
        <charset val="1"/>
      </rPr>
      <t xml:space="preserve">spy</t>
    </r>
  </si>
  <si>
    <r>
      <rPr>
        <b val="true"/>
        <sz val="11"/>
        <color rgb="FF000000"/>
        <rFont val="DejaVu Sans"/>
        <family val="2"/>
      </rPr>
      <t xml:space="preserve">▶ 哈奇米早期推荐 </t>
    </r>
    <r>
      <rPr>
        <b val="true"/>
        <sz val="11"/>
        <color rgb="FF000000"/>
        <rFont val="DejaVu Sans"/>
        <family val="2"/>
        <charset val="1"/>
      </rPr>
      <t xml:space="preserve">3 </t>
    </r>
    <r>
      <rPr>
        <b val="true"/>
        <sz val="11"/>
        <color rgb="FF000000"/>
        <rFont val="DejaVu Sans"/>
        <family val="2"/>
      </rPr>
      <t xml:space="preserve">个数据源</t>
    </r>
  </si>
  <si>
    <t xml:space="preserve">TikTok Shop Open API + Marketing API</t>
  </si>
  <si>
    <r>
      <rPr>
        <sz val="10"/>
        <color rgb="FF000000"/>
        <rFont val="DejaVu Sans"/>
        <family val="2"/>
      </rPr>
      <t xml:space="preserve">订单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库存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DejaVu Sans"/>
        <family val="2"/>
        <charset val="1"/>
      </rPr>
      <t xml:space="preserve">/CPM/CTR </t>
    </r>
    <r>
      <rPr>
        <sz val="10"/>
        <color rgb="FF000000"/>
        <rFont val="DejaVu Sans"/>
        <family val="2"/>
      </rPr>
      <t xml:space="preserve">全字段，</t>
    </r>
    <r>
      <rPr>
        <sz val="10"/>
        <color rgb="FF000000"/>
        <rFont val="DejaVu Sans"/>
        <family val="2"/>
        <charset val="1"/>
      </rPr>
      <t xml:space="preserve">2 </t>
    </r>
    <r>
      <rPr>
        <sz val="10"/>
        <color rgb="FF000000"/>
        <rFont val="DejaVu Sans"/>
        <family val="2"/>
      </rPr>
      <t xml:space="preserve">工作日审核</t>
    </r>
  </si>
  <si>
    <r>
      <rPr>
        <sz val="10"/>
        <color rgb="FF000000"/>
        <rFont val="Arial"/>
        <family val="0"/>
        <charset val="1"/>
      </rPr>
      <t xml:space="preserve">Kalodata Pro</t>
    </r>
    <r>
      <rPr>
        <sz val="10"/>
        <color rgb="FF000000"/>
        <rFont val="DejaVu Sans"/>
        <family val="2"/>
      </rPr>
      <t xml:space="preserve">（年付 </t>
    </r>
    <r>
      <rPr>
        <sz val="10"/>
        <color rgb="FF000000"/>
        <rFont val="Arial"/>
        <family val="0"/>
        <charset val="1"/>
      </rPr>
      <t xml:space="preserve">$83.2/</t>
    </r>
    <r>
      <rPr>
        <sz val="10"/>
        <color rgb="FF000000"/>
        <rFont val="DejaVu Sans"/>
        <family val="2"/>
      </rPr>
      <t xml:space="preserve">月）或 </t>
    </r>
    <r>
      <rPr>
        <sz val="10"/>
        <color rgb="FF000000"/>
        <rFont val="Arial"/>
        <family val="0"/>
        <charset val="1"/>
      </rPr>
      <t xml:space="preserve">EchoTik Basic ($10/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DejaVu Sans"/>
        <family val="2"/>
      </rPr>
      <t xml:space="preserve">入门</t>
    </r>
  </si>
  <si>
    <r>
      <rPr>
        <sz val="10"/>
        <color rgb="FF000000"/>
        <rFont val="Arial"/>
        <family val="0"/>
        <charset val="1"/>
      </rPr>
      <t xml:space="preserve">$10-$100/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</si>
  <si>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东南亚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欧美选品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对标店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达人一站式</t>
    </r>
  </si>
  <si>
    <t xml:space="preserve">FastMoss Ultimate $199 + PiPiADS Basic $49</t>
  </si>
  <si>
    <r>
      <rPr>
        <sz val="10"/>
        <color rgb="FF000000"/>
        <rFont val="DejaVu Sans"/>
        <family val="2"/>
      </rPr>
      <t xml:space="preserve">约 </t>
    </r>
    <r>
      <rPr>
        <sz val="10"/>
        <color rgb="FF000000"/>
        <rFont val="DejaVu Sans"/>
        <family val="2"/>
        <charset val="1"/>
      </rPr>
      <t xml:space="preserve">$250/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</si>
  <si>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达人导出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广告创意 </t>
    </r>
    <r>
      <rPr>
        <sz val="10"/>
        <color rgb="FF000000"/>
        <rFont val="DejaVu Sans"/>
        <family val="2"/>
        <charset val="1"/>
      </rPr>
      <t xml:space="preserve">spy</t>
    </r>
  </si>
  <si>
    <r>
      <rPr>
        <sz val="10"/>
        <color rgb="FF000000"/>
        <rFont val="DejaVu Sans"/>
        <family val="2"/>
      </rPr>
      <t xml:space="preserve">起步 </t>
    </r>
    <r>
      <rPr>
        <sz val="10"/>
        <color rgb="FF000000"/>
        <rFont val="DejaVu Sans"/>
        <family val="2"/>
        <charset val="1"/>
      </rPr>
      <t xml:space="preserve">$150-$300</t>
    </r>
    <r>
      <rPr>
        <sz val="10"/>
        <color rgb="FF000000"/>
        <rFont val="DejaVu Sans"/>
        <family val="2"/>
      </rPr>
      <t xml:space="preserve">，成熟 </t>
    </r>
    <r>
      <rPr>
        <sz val="10"/>
        <color rgb="FF000000"/>
        <rFont val="DejaVu Sans"/>
        <family val="2"/>
        <charset val="1"/>
      </rPr>
      <t xml:space="preserve">$400-$600</t>
    </r>
  </si>
  <si>
    <r>
      <rPr>
        <sz val="10"/>
        <color rgb="FF000000"/>
        <rFont val="DejaVu Sans"/>
        <family val="2"/>
      </rPr>
      <t xml:space="preserve">覆盖电商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达人</t>
    </r>
  </si>
  <si>
    <r>
      <rPr>
        <sz val="10"/>
        <color rgb="FF000000"/>
        <rFont val="Arial"/>
        <family val="0"/>
        <charset val="1"/>
      </rPr>
      <t xml:space="preserve">⚠ CA/JP </t>
    </r>
    <r>
      <rPr>
        <sz val="10"/>
        <color rgb="FF000000"/>
        <rFont val="DejaVu Sans"/>
        <family val="2"/>
      </rPr>
      <t xml:space="preserve">特殊</t>
    </r>
  </si>
  <si>
    <r>
      <rPr>
        <sz val="10"/>
        <color rgb="FF000000"/>
        <rFont val="DejaVu Sans"/>
        <family val="2"/>
      </rPr>
      <t xml:space="preserve">无 </t>
    </r>
    <r>
      <rPr>
        <sz val="10"/>
        <color rgb="FF000000"/>
        <rFont val="DejaVu Sans"/>
        <family val="2"/>
        <charset val="1"/>
      </rPr>
      <t xml:space="preserve">TikTok Shop</t>
    </r>
  </si>
  <si>
    <r>
      <rPr>
        <sz val="10"/>
        <color rgb="FF000000"/>
        <rFont val="DejaVu Sans"/>
        <family val="2"/>
      </rPr>
      <t xml:space="preserve">只能用 </t>
    </r>
    <r>
      <rPr>
        <sz val="10"/>
        <color rgb="FF000000"/>
        <rFont val="DejaVu Sans"/>
        <family val="2"/>
        <charset val="1"/>
      </rPr>
      <t xml:space="preserve">TikTok Ads + </t>
    </r>
    <r>
      <rPr>
        <sz val="10"/>
        <color rgb="FF000000"/>
        <rFont val="DejaVu Sans"/>
        <family val="2"/>
      </rPr>
      <t xml:space="preserve">独立站</t>
    </r>
    <r>
      <rPr>
        <sz val="10"/>
        <color rgb="FF000000"/>
        <rFont val="DejaVu Sans"/>
        <family val="2"/>
        <charset val="1"/>
      </rPr>
      <t xml:space="preserve">/Amazon </t>
    </r>
    <r>
      <rPr>
        <sz val="10"/>
        <color rgb="FF000000"/>
        <rFont val="DejaVu Sans"/>
        <family val="2"/>
      </rPr>
      <t xml:space="preserve">后端 </t>
    </r>
    <r>
      <rPr>
        <sz val="10"/>
        <color rgb="FF000000"/>
        <rFont val="DejaVu Sans"/>
        <family val="2"/>
        <charset val="1"/>
      </rPr>
      <t xml:space="preserve">ROI </t>
    </r>
    <r>
      <rPr>
        <sz val="10"/>
        <color rgb="FF000000"/>
        <rFont val="DejaVu Sans"/>
        <family val="2"/>
      </rPr>
      <t xml:space="preserve">回归（公式单独建模）</t>
    </r>
  </si>
  <si>
    <r>
      <rPr>
        <b val="true"/>
        <sz val="14"/>
        <color rgb="FF1F4E78"/>
        <rFont val="DejaVu Sans"/>
        <family val="2"/>
      </rPr>
      <t xml:space="preserve">退货率 </t>
    </r>
    <r>
      <rPr>
        <b val="true"/>
        <sz val="14"/>
        <color rgb="FF1F4E78"/>
        <rFont val="DejaVu Sans"/>
        <family val="2"/>
        <charset val="1"/>
      </rPr>
      <t xml:space="preserve">+ </t>
    </r>
    <r>
      <rPr>
        <b val="true"/>
        <sz val="14"/>
        <color rgb="FF1F4E78"/>
        <rFont val="DejaVu Sans"/>
        <family val="2"/>
      </rPr>
      <t xml:space="preserve">平台佣金 </t>
    </r>
    <r>
      <rPr>
        <b val="true"/>
        <sz val="14"/>
        <color rgb="FF1F4E78"/>
        <rFont val="DejaVu Sans"/>
        <family val="2"/>
        <charset val="1"/>
      </rPr>
      <t xml:space="preserve">+ </t>
    </r>
    <r>
      <rPr>
        <b val="true"/>
        <sz val="14"/>
        <color rgb="FF1F4E78"/>
        <rFont val="DejaVu Sans"/>
        <family val="2"/>
      </rPr>
      <t xml:space="preserve">各国税率 </t>
    </r>
    <r>
      <rPr>
        <b val="true"/>
        <sz val="14"/>
        <color rgb="FF1F4E78"/>
        <rFont val="DejaVu Sans"/>
        <family val="2"/>
        <charset val="1"/>
      </rPr>
      <t xml:space="preserve">Benchmark (2026-05)</t>
    </r>
  </si>
  <si>
    <r>
      <rPr>
        <b val="true"/>
        <sz val="11"/>
        <color rgb="FF000000"/>
        <rFont val="Arial"/>
        <family val="0"/>
        <charset val="1"/>
      </rPr>
      <t xml:space="preserve">1️⃣ </t>
    </r>
    <r>
      <rPr>
        <b val="true"/>
        <sz val="11"/>
        <color rgb="FF000000"/>
        <rFont val="DejaVu Sans"/>
        <family val="2"/>
      </rPr>
      <t xml:space="preserve">家居家具品类退货率（分市场分渠道）</t>
    </r>
  </si>
  <si>
    <t xml:space="preserve">市场</t>
  </si>
  <si>
    <t xml:space="preserve">渠道</t>
  </si>
  <si>
    <t xml:space="preserve">退货率</t>
  </si>
  <si>
    <t xml:space="preserve">整体电商（线上）</t>
  </si>
  <si>
    <t xml:space="preserve">19.3%</t>
  </si>
  <si>
    <t xml:space="preserve">NRF 2025 Returns Landscape</t>
  </si>
  <si>
    <r>
      <rPr>
        <sz val="10"/>
        <color rgb="FF000000"/>
        <rFont val="DejaVu Sans"/>
        <family val="2"/>
      </rPr>
      <t xml:space="preserve">全品类线上；实体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线上合 </t>
    </r>
    <r>
      <rPr>
        <sz val="10"/>
        <color rgb="FF000000"/>
        <rFont val="DejaVu Sans"/>
        <family val="2"/>
        <charset val="1"/>
      </rPr>
      <t xml:space="preserve">15.8%</t>
    </r>
  </si>
  <si>
    <r>
      <rPr>
        <sz val="10"/>
        <color rgb="FF000000"/>
        <rFont val="DejaVu Sans"/>
        <family val="2"/>
      </rPr>
      <t xml:space="preserve">家居家具（</t>
    </r>
    <r>
      <rPr>
        <sz val="10"/>
        <color rgb="FF000000"/>
        <rFont val="DejaVu Sans"/>
        <family val="2"/>
        <charset val="1"/>
      </rPr>
      <t xml:space="preserve">NRF </t>
    </r>
    <r>
      <rPr>
        <sz val="10"/>
        <color rgb="FF000000"/>
        <rFont val="DejaVu Sans"/>
        <family val="2"/>
      </rPr>
      <t xml:space="preserve">分类）</t>
    </r>
  </si>
  <si>
    <t xml:space="preserve">5-10%</t>
  </si>
  <si>
    <t xml:space="preserve">NRF / Optoro 2024-2025</t>
  </si>
  <si>
    <t xml:space="preserve">大件低、小件高</t>
  </si>
  <si>
    <r>
      <rPr>
        <sz val="10"/>
        <color rgb="FF000000"/>
        <rFont val="Arial"/>
        <family val="0"/>
        <charset val="1"/>
      </rPr>
      <t xml:space="preserve">Shopify </t>
    </r>
    <r>
      <rPr>
        <sz val="10"/>
        <color rgb="FF000000"/>
        <rFont val="DejaVu Sans"/>
        <family val="2"/>
      </rPr>
      <t xml:space="preserve">独立站（家具）</t>
    </r>
  </si>
  <si>
    <r>
      <rPr>
        <sz val="10"/>
        <color rgb="FF000000"/>
        <rFont val="Arial"/>
        <family val="0"/>
        <charset val="1"/>
      </rPr>
      <t xml:space="preserve">3.9-6%</t>
    </r>
    <r>
      <rPr>
        <sz val="10"/>
        <color rgb="FF000000"/>
        <rFont val="DejaVu Sans"/>
        <family val="2"/>
      </rPr>
      <t xml:space="preserve">（中位 </t>
    </r>
    <r>
      <rPr>
        <sz val="10"/>
        <color rgb="FF000000"/>
        <rFont val="Arial"/>
        <family val="0"/>
        <charset val="1"/>
      </rPr>
      <t xml:space="preserve">~4%</t>
    </r>
    <r>
      <rPr>
        <sz val="10"/>
        <color rgb="FF000000"/>
        <rFont val="DejaVu Sans"/>
        <family val="2"/>
      </rPr>
      <t xml:space="preserve">）</t>
    </r>
  </si>
  <si>
    <t xml:space="preserve">ECDB 2024 / ReturnZap 2025</t>
  </si>
  <si>
    <r>
      <rPr>
        <sz val="10"/>
        <color rgb="FF000000"/>
        <rFont val="DejaVu Sans"/>
        <family val="2"/>
      </rPr>
      <t xml:space="preserve">独立站 </t>
    </r>
    <r>
      <rPr>
        <sz val="10"/>
        <color rgb="FF000000"/>
        <rFont val="DejaVu Sans"/>
        <family val="2"/>
        <charset val="1"/>
      </rPr>
      <t xml:space="preserve">&lt; </t>
    </r>
    <r>
      <rPr>
        <sz val="10"/>
        <color rgb="FF000000"/>
        <rFont val="DejaVu Sans"/>
        <family val="2"/>
      </rPr>
      <t xml:space="preserve">大平台</t>
    </r>
  </si>
  <si>
    <t xml:space="preserve">Amazon (Home &amp; Kitchen)</t>
  </si>
  <si>
    <t xml:space="preserve">8-12%</t>
  </si>
  <si>
    <r>
      <rPr>
        <sz val="10"/>
        <color rgb="FF000000"/>
        <rFont val="Arial"/>
        <family val="0"/>
        <charset val="1"/>
      </rPr>
      <t xml:space="preserve">Amazon Seller Central </t>
    </r>
    <r>
      <rPr>
        <sz val="10"/>
        <color rgb="FF000000"/>
        <rFont val="DejaVu Sans"/>
        <family val="2"/>
      </rPr>
      <t xml:space="preserve">估算</t>
    </r>
  </si>
  <si>
    <r>
      <rPr>
        <sz val="10"/>
        <color rgb="FF000000"/>
        <rFont val="Arial"/>
        <family val="0"/>
        <charset val="1"/>
      </rPr>
      <t xml:space="preserve">A-to-Z </t>
    </r>
    <r>
      <rPr>
        <sz val="10"/>
        <color rgb="FF000000"/>
        <rFont val="DejaVu Sans"/>
        <family val="2"/>
      </rPr>
      <t xml:space="preserve">担保推高</t>
    </r>
  </si>
  <si>
    <t xml:space="preserve">TikTok Shop (Home)</t>
  </si>
  <si>
    <t xml:space="preserve">10-15%</t>
  </si>
  <si>
    <r>
      <rPr>
        <sz val="10"/>
        <color rgb="FF000000"/>
        <rFont val="Arial"/>
        <family val="0"/>
        <charset val="1"/>
      </rPr>
      <t xml:space="preserve">TTS 2025 </t>
    </r>
    <r>
      <rPr>
        <sz val="10"/>
        <color rgb="FF000000"/>
        <rFont val="DejaVu Sans"/>
        <family val="2"/>
      </rPr>
      <t xml:space="preserve">政策</t>
    </r>
  </si>
  <si>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DejaVu Sans"/>
        <family val="2"/>
      </rPr>
      <t xml:space="preserve">天无理由</t>
    </r>
  </si>
  <si>
    <t xml:space="preserve">英国</t>
  </si>
  <si>
    <t xml:space="preserve">整体电商</t>
  </si>
  <si>
    <t xml:space="preserve">12-15%</t>
  </si>
  <si>
    <t xml:space="preserve">Statista 2025</t>
  </si>
  <si>
    <r>
      <rPr>
        <sz val="10"/>
        <color rgb="FF000000"/>
        <rFont val="DejaVu Sans"/>
        <family val="2"/>
      </rPr>
      <t xml:space="preserve">德国</t>
    </r>
    <r>
      <rPr>
        <sz val="10"/>
        <color rgb="FF000000"/>
        <rFont val="DejaVu Sans"/>
        <family val="2"/>
        <charset val="1"/>
      </rPr>
      <t xml:space="preserve">/EU</t>
    </r>
  </si>
  <si>
    <t xml:space="preserve">家居</t>
  </si>
  <si>
    <t xml:space="preserve">8-14%</t>
  </si>
  <si>
    <t xml:space="preserve">Statista 2024 / EHI</t>
  </si>
  <si>
    <t xml:space="preserve">德国全球最高</t>
  </si>
  <si>
    <r>
      <rPr>
        <sz val="10"/>
        <color rgb="FF000000"/>
        <rFont val="DejaVu Sans"/>
        <family val="2"/>
      </rPr>
      <t xml:space="preserve">整体（家居 </t>
    </r>
    <r>
      <rPr>
        <sz val="10"/>
        <color rgb="FF000000"/>
        <rFont val="DejaVu Sans"/>
        <family val="2"/>
        <charset val="1"/>
      </rPr>
      <t xml:space="preserve">~3%</t>
    </r>
    <r>
      <rPr>
        <sz val="10"/>
        <color rgb="FF000000"/>
        <rFont val="DejaVu Sans"/>
        <family val="2"/>
      </rPr>
      <t xml:space="preserve">）</t>
    </r>
  </si>
  <si>
    <t xml:space="preserve">2-5%</t>
  </si>
  <si>
    <t xml:space="preserve">METI / Rakuten 2024</t>
  </si>
  <si>
    <t xml:space="preserve">文化性低退货</t>
  </si>
  <si>
    <t xml:space="preserve">Shopee/Lazada</t>
  </si>
  <si>
    <t xml:space="preserve">3-8%</t>
  </si>
  <si>
    <t xml:space="preserve">Cube Asia 2025</t>
  </si>
  <si>
    <r>
      <rPr>
        <sz val="10"/>
        <color rgb="FF000000"/>
        <rFont val="Arial"/>
        <family val="0"/>
        <charset val="1"/>
      </rPr>
      <t xml:space="preserve">COD </t>
    </r>
    <r>
      <rPr>
        <sz val="10"/>
        <color rgb="FF000000"/>
        <rFont val="DejaVu Sans"/>
        <family val="2"/>
      </rPr>
      <t xml:space="preserve">推高未交付率</t>
    </r>
  </si>
  <si>
    <t xml:space="preserve">澳大利亚</t>
  </si>
  <si>
    <t xml:space="preserve">6-10%</t>
  </si>
  <si>
    <t xml:space="preserve">Power Retail 2024</t>
  </si>
  <si>
    <t xml:space="preserve">▶ 按价格带的退货率与单次成本</t>
  </si>
  <si>
    <t xml:space="preserve">商品类型</t>
  </si>
  <si>
    <t xml:space="preserve">价格带</t>
  </si>
  <si>
    <r>
      <rPr>
        <b val="true"/>
        <sz val="11"/>
        <color rgb="FFFFFFFF"/>
        <rFont val="DejaVu Sans"/>
        <family val="2"/>
      </rPr>
      <t xml:space="preserve">单次退货成本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售价</t>
    </r>
  </si>
  <si>
    <r>
      <rPr>
        <b val="true"/>
        <sz val="11"/>
        <color rgb="FFFFFFFF"/>
        <rFont val="Arial"/>
        <family val="0"/>
        <charset val="1"/>
      </rPr>
      <t xml:space="preserve">Optoro </t>
    </r>
    <r>
      <rPr>
        <b val="true"/>
        <sz val="11"/>
        <color rgb="FFFFFFFF"/>
        <rFont val="DejaVu Sans"/>
        <family val="2"/>
      </rPr>
      <t xml:space="preserve">经验值</t>
    </r>
  </si>
  <si>
    <t xml:space="preserve">小件家居装饰</t>
  </si>
  <si>
    <t xml:space="preserve">&lt;$50</t>
  </si>
  <si>
    <t xml:space="preserve">8-15%</t>
  </si>
  <si>
    <r>
      <rPr>
        <sz val="10"/>
        <color rgb="FF000000"/>
        <rFont val="Arial"/>
        <family val="0"/>
        <charset val="1"/>
      </rPr>
      <t xml:space="preserve">40-60%</t>
    </r>
    <r>
      <rPr>
        <sz val="10"/>
        <color rgb="FF000000"/>
        <rFont val="DejaVu Sans"/>
        <family val="2"/>
      </rPr>
      <t xml:space="preserve">（物流占比大）</t>
    </r>
  </si>
  <si>
    <t xml:space="preserve">中件家居</t>
  </si>
  <si>
    <t xml:space="preserve">$50-$300</t>
  </si>
  <si>
    <t xml:space="preserve">25-35%</t>
  </si>
  <si>
    <r>
      <rPr>
        <sz val="10"/>
        <color rgb="FF000000"/>
        <rFont val="DejaVu Sans"/>
        <family val="2"/>
      </rPr>
      <t xml:space="preserve">大件家具（需 </t>
    </r>
    <r>
      <rPr>
        <sz val="10"/>
        <color rgb="FF000000"/>
        <rFont val="DejaVu Sans"/>
        <family val="2"/>
        <charset val="1"/>
      </rPr>
      <t xml:space="preserve">LTL</t>
    </r>
    <r>
      <rPr>
        <sz val="10"/>
        <color rgb="FF000000"/>
        <rFont val="DejaVu Sans"/>
        <family val="2"/>
      </rPr>
      <t xml:space="preserve">）</t>
    </r>
  </si>
  <si>
    <t xml:space="preserve">&gt;$300</t>
  </si>
  <si>
    <t xml:space="preserve">3-7%</t>
  </si>
  <si>
    <r>
      <rPr>
        <sz val="10"/>
        <color rgb="FF000000"/>
        <rFont val="Arial"/>
        <family val="0"/>
        <charset val="1"/>
      </rPr>
      <t xml:space="preserve">30-50%</t>
    </r>
    <r>
      <rPr>
        <sz val="10"/>
        <color rgb="FF000000"/>
        <rFont val="DejaVu Sans"/>
        <family val="2"/>
      </rPr>
      <t xml:space="preserve">（逆向物流贵）</t>
    </r>
  </si>
  <si>
    <r>
      <rPr>
        <sz val="10"/>
        <color rgb="FF000000"/>
        <rFont val="Arial"/>
        <family val="0"/>
        <charset val="1"/>
      </rPr>
      <t xml:space="preserve">Optoro </t>
    </r>
    <r>
      <rPr>
        <sz val="10"/>
        <color rgb="FF000000"/>
        <rFont val="DejaVu Sans"/>
        <family val="2"/>
      </rPr>
      <t xml:space="preserve">经验值</t>
    </r>
  </si>
  <si>
    <r>
      <rPr>
        <sz val="10"/>
        <color rgb="FF000000"/>
        <rFont val="Arial"/>
        <family val="0"/>
        <charset val="1"/>
      </rPr>
      <t xml:space="preserve">27-30% </t>
    </r>
    <r>
      <rPr>
        <sz val="10"/>
        <color rgb="FF000000"/>
        <rFont val="DejaVu Sans"/>
        <family val="2"/>
      </rPr>
      <t xml:space="preserve">平均</t>
    </r>
  </si>
  <si>
    <r>
      <rPr>
        <sz val="10"/>
        <color rgb="FF000000"/>
        <rFont val="DejaVu Sans"/>
        <family val="2"/>
      </rPr>
      <t xml:space="preserve">退货拖累净 </t>
    </r>
    <r>
      <rPr>
        <sz val="10"/>
        <color rgb="FF000000"/>
        <rFont val="DejaVu Sans"/>
        <family val="2"/>
        <charset val="1"/>
      </rPr>
      <t xml:space="preserve">ROI 1.5-4.5%</t>
    </r>
  </si>
  <si>
    <r>
      <rPr>
        <b val="true"/>
        <sz val="11"/>
        <color rgb="FF000000"/>
        <rFont val="Arial"/>
        <family val="0"/>
        <charset val="1"/>
      </rPr>
      <t xml:space="preserve">2️⃣ </t>
    </r>
    <r>
      <rPr>
        <b val="true"/>
        <sz val="11"/>
        <color rgb="FF000000"/>
        <rFont val="DejaVu Sans"/>
        <family val="2"/>
      </rPr>
      <t xml:space="preserve">平台佣金 </t>
    </r>
    <r>
      <rPr>
        <b val="true"/>
        <sz val="11"/>
        <color rgb="FF000000"/>
        <rFont val="Arial"/>
        <family val="0"/>
        <charset val="1"/>
      </rPr>
      <t xml:space="preserve">Benchmark</t>
    </r>
    <r>
      <rPr>
        <b val="true"/>
        <sz val="11"/>
        <color rgb="FF000000"/>
        <rFont val="DejaVu Sans"/>
        <family val="2"/>
      </rPr>
      <t xml:space="preserve">（家居家具品类，</t>
    </r>
    <r>
      <rPr>
        <b val="true"/>
        <sz val="11"/>
        <color rgb="FF000000"/>
        <rFont val="Arial"/>
        <family val="0"/>
        <charset val="1"/>
      </rPr>
      <t xml:space="preserve">2026 </t>
    </r>
    <r>
      <rPr>
        <b val="true"/>
        <sz val="11"/>
        <color rgb="FF000000"/>
        <rFont val="DejaVu Sans"/>
        <family val="2"/>
      </rPr>
      <t xml:space="preserve">现行）</t>
    </r>
  </si>
  <si>
    <r>
      <rPr>
        <b val="true"/>
        <sz val="11"/>
        <color rgb="FFFFFFFF"/>
        <rFont val="DejaVu Sans"/>
        <family val="2"/>
      </rPr>
      <t xml:space="preserve">平台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渠道</t>
    </r>
  </si>
  <si>
    <r>
      <rPr>
        <b val="true"/>
        <sz val="11"/>
        <color rgb="FFFFFFFF"/>
        <rFont val="Arial"/>
        <family val="0"/>
        <charset val="1"/>
      </rPr>
      <t xml:space="preserve">Referral / </t>
    </r>
    <r>
      <rPr>
        <b val="true"/>
        <sz val="11"/>
        <color rgb="FFFFFFFF"/>
        <rFont val="DejaVu Sans"/>
        <family val="2"/>
      </rPr>
      <t xml:space="preserve">佣金</t>
    </r>
  </si>
  <si>
    <r>
      <rPr>
        <b val="true"/>
        <sz val="11"/>
        <color rgb="FFFFFFFF"/>
        <rFont val="DejaVu Sans"/>
        <family val="2"/>
      </rPr>
      <t xml:space="preserve">履约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仓储</t>
    </r>
  </si>
  <si>
    <t xml:space="preserve">支付手续费</t>
  </si>
  <si>
    <r>
      <rPr>
        <b val="true"/>
        <sz val="11"/>
        <color rgb="FFFFFFFF"/>
        <rFont val="DejaVu Sans"/>
        <family val="2"/>
      </rPr>
      <t xml:space="preserve">实际综合 </t>
    </r>
    <r>
      <rPr>
        <b val="true"/>
        <sz val="11"/>
        <color rgb="FFFFFFFF"/>
        <rFont val="DejaVu Sans"/>
        <family val="2"/>
        <charset val="1"/>
      </rPr>
      <t xml:space="preserve">take-rate</t>
    </r>
  </si>
  <si>
    <t xml:space="preserve">Amazon US (Home &amp; Kitchen)</t>
  </si>
  <si>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$0.30 </t>
    </r>
    <r>
      <rPr>
        <sz val="10"/>
        <color rgb="FF000000"/>
        <rFont val="DejaVu Sans"/>
        <family val="2"/>
      </rPr>
      <t xml:space="preserve">最低）</t>
    </r>
  </si>
  <si>
    <r>
      <rPr>
        <sz val="10"/>
        <color rgb="FF000000"/>
        <rFont val="Arial"/>
        <family val="0"/>
        <charset val="1"/>
      </rPr>
      <t xml:space="preserve">FBA size-tier $3.5-$25</t>
    </r>
    <r>
      <rPr>
        <sz val="10"/>
        <color rgb="FF000000"/>
        <rFont val="DejaVu Sans"/>
        <family val="2"/>
      </rPr>
      <t xml:space="preserve">；大件 </t>
    </r>
    <r>
      <rPr>
        <sz val="10"/>
        <color rgb="FF000000"/>
        <rFont val="Arial"/>
        <family val="0"/>
        <charset val="1"/>
      </rPr>
      <t xml:space="preserve">$30-$150 LTL</t>
    </r>
  </si>
  <si>
    <r>
      <rPr>
        <sz val="10"/>
        <color rgb="FF000000"/>
        <rFont val="DejaVu Sans"/>
        <family val="2"/>
      </rPr>
      <t xml:space="preserve">含在 </t>
    </r>
    <r>
      <rPr>
        <sz val="10"/>
        <color rgb="FF000000"/>
        <rFont val="DejaVu Sans"/>
        <family val="2"/>
        <charset val="1"/>
      </rPr>
      <t xml:space="preserve">referral</t>
    </r>
  </si>
  <si>
    <t xml:space="preserve">18-32%</t>
  </si>
  <si>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DejaVu Sans"/>
        <family val="2"/>
      </rPr>
      <t xml:space="preserve">仓储费 </t>
    </r>
    <r>
      <rPr>
        <sz val="10"/>
        <color rgb="FF000000"/>
        <rFont val="Arial"/>
        <family val="0"/>
        <charset val="1"/>
      </rPr>
      <t xml:space="preserve">3x</t>
    </r>
  </si>
  <si>
    <t xml:space="preserve">Amazon US (Furniture &gt;150lb)</t>
  </si>
  <si>
    <r>
      <rPr>
        <sz val="10"/>
        <color rgb="FF000000"/>
        <rFont val="Arial"/>
        <family val="0"/>
        <charset val="1"/>
      </rPr>
      <t xml:space="preserve">10% over $200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15% under</t>
    </r>
  </si>
  <si>
    <r>
      <rPr>
        <sz val="10"/>
        <color rgb="FF000000"/>
        <rFont val="Arial"/>
        <family val="0"/>
        <charset val="1"/>
      </rPr>
      <t xml:space="preserve">LTL </t>
    </r>
    <r>
      <rPr>
        <sz val="10"/>
        <color rgb="FF000000"/>
        <rFont val="DejaVu Sans"/>
        <family val="2"/>
      </rPr>
      <t xml:space="preserve">单算</t>
    </r>
  </si>
  <si>
    <t xml:space="preserve">12-25%</t>
  </si>
  <si>
    <r>
      <rPr>
        <sz val="10"/>
        <color rgb="FF000000"/>
        <rFont val="DejaVu Sans"/>
        <family val="2"/>
      </rPr>
      <t xml:space="preserve">重量分级 </t>
    </r>
    <r>
      <rPr>
        <sz val="10"/>
        <color rgb="FF000000"/>
        <rFont val="DejaVu Sans"/>
        <family val="2"/>
        <charset val="1"/>
      </rPr>
      <t xml:space="preserve">2026 </t>
    </r>
    <r>
      <rPr>
        <sz val="10"/>
        <color rgb="FF000000"/>
        <rFont val="DejaVu Sans"/>
        <family val="2"/>
      </rPr>
      <t xml:space="preserve">涨 </t>
    </r>
    <r>
      <rPr>
        <sz val="10"/>
        <color rgb="FF000000"/>
        <rFont val="DejaVu Sans"/>
        <family val="2"/>
        <charset val="1"/>
      </rPr>
      <t xml:space="preserve">5-8%</t>
    </r>
  </si>
  <si>
    <r>
      <rPr>
        <sz val="10"/>
        <color rgb="FF000000"/>
        <rFont val="Arial"/>
        <family val="0"/>
        <charset val="1"/>
      </rPr>
      <t xml:space="preserve">Amazon FBA </t>
    </r>
    <r>
      <rPr>
        <sz val="10"/>
        <color rgb="FF000000"/>
        <rFont val="DejaVu Sans"/>
        <family val="2"/>
      </rPr>
      <t xml:space="preserve">仓储</t>
    </r>
  </si>
  <si>
    <r>
      <rPr>
        <sz val="10"/>
        <color rgb="FF000000"/>
        <rFont val="Arial"/>
        <family val="0"/>
        <charset val="1"/>
      </rPr>
      <t xml:space="preserve">$0.78/ft³ </t>
    </r>
    <r>
      <rPr>
        <sz val="10"/>
        <color rgb="FF000000"/>
        <rFont val="DejaVu Sans"/>
        <family val="2"/>
      </rPr>
      <t xml:space="preserve">旺季 </t>
    </r>
    <r>
      <rPr>
        <sz val="10"/>
        <color rgb="FF000000"/>
        <rFont val="Arial"/>
        <family val="0"/>
        <charset val="1"/>
      </rPr>
      <t xml:space="preserve">$2.40</t>
    </r>
    <r>
      <rPr>
        <sz val="10"/>
        <color rgb="FF000000"/>
        <rFont val="DejaVu Sans"/>
        <family val="2"/>
      </rPr>
      <t xml:space="preserve">；长期 </t>
    </r>
    <r>
      <rPr>
        <sz val="10"/>
        <color rgb="FF000000"/>
        <rFont val="Arial"/>
        <family val="0"/>
        <charset val="1"/>
      </rPr>
      <t xml:space="preserve">$6.90/ft³ (365+)</t>
    </r>
  </si>
  <si>
    <t xml:space="preserve">取决于周转</t>
  </si>
  <si>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DejaVu Sans"/>
        <family val="2"/>
      </rPr>
      <t xml:space="preserve">旺季 </t>
    </r>
    <r>
      <rPr>
        <sz val="10"/>
        <color rgb="FF000000"/>
        <rFont val="Arial"/>
        <family val="0"/>
        <charset val="1"/>
      </rPr>
      <t xml:space="preserve">3x</t>
    </r>
  </si>
  <si>
    <t xml:space="preserve">TikTok Shop US</t>
  </si>
  <si>
    <r>
      <rPr>
        <sz val="10"/>
        <color rgb="FF000000"/>
        <rFont val="Arial"/>
        <family val="0"/>
        <charset val="1"/>
      </rPr>
      <t xml:space="preserve">6% + 1.02-3.78% </t>
    </r>
    <r>
      <rPr>
        <sz val="10"/>
        <color rgb="FF000000"/>
        <rFont val="DejaVu Sans"/>
        <family val="2"/>
      </rPr>
      <t xml:space="preserve">支付</t>
    </r>
  </si>
  <si>
    <r>
      <rPr>
        <sz val="10"/>
        <color rgb="FF000000"/>
        <rFont val="DejaVu Sans"/>
        <family val="2"/>
      </rPr>
      <t xml:space="preserve">自发 或 </t>
    </r>
    <r>
      <rPr>
        <sz val="10"/>
        <color rgb="FF000000"/>
        <rFont val="DejaVu Sans"/>
        <family val="2"/>
        <charset val="1"/>
      </rPr>
      <t xml:space="preserve">FBT</t>
    </r>
  </si>
  <si>
    <t xml:space="preserve">含</t>
  </si>
  <si>
    <r>
      <rPr>
        <sz val="10"/>
        <color rgb="FF000000"/>
        <rFont val="Arial"/>
        <family val="0"/>
        <charset val="1"/>
      </rPr>
      <t xml:space="preserve">7-10% + </t>
    </r>
    <r>
      <rPr>
        <sz val="10"/>
        <color rgb="FF000000"/>
        <rFont val="DejaVu Sans"/>
        <family val="2"/>
      </rPr>
      <t xml:space="preserve">达人 </t>
    </r>
    <r>
      <rPr>
        <sz val="10"/>
        <color rgb="FF000000"/>
        <rFont val="Arial"/>
        <family val="0"/>
        <charset val="1"/>
      </rPr>
      <t xml:space="preserve">15-25% affiliate</t>
    </r>
  </si>
  <si>
    <t xml:space="preserve">TikTok Shop UK</t>
  </si>
  <si>
    <r>
      <rPr>
        <sz val="10"/>
        <color rgb="FF000000"/>
        <rFont val="Arial"/>
        <family val="0"/>
        <charset val="1"/>
      </rPr>
      <t xml:space="preserve">5% + £0.50/</t>
    </r>
    <r>
      <rPr>
        <sz val="10"/>
        <color rgb="FF000000"/>
        <rFont val="DejaVu Sans"/>
        <family val="2"/>
      </rPr>
      <t xml:space="preserve">单</t>
    </r>
  </si>
  <si>
    <r>
      <rPr>
        <sz val="10"/>
        <color rgb="FF000000"/>
        <rFont val="Arial"/>
        <family val="0"/>
        <charset val="1"/>
      </rPr>
      <t xml:space="preserve">~9% </t>
    </r>
    <r>
      <rPr>
        <sz val="10"/>
        <color rgb="FF000000"/>
        <rFont val="DejaVu Sans"/>
        <family val="2"/>
      </rPr>
      <t xml:space="preserve">总成本</t>
    </r>
  </si>
  <si>
    <r>
      <rPr>
        <sz val="10"/>
        <color rgb="FF000000"/>
        <rFont val="Arial"/>
        <family val="0"/>
        <charset val="1"/>
      </rPr>
      <t xml:space="preserve">1-8% (</t>
    </r>
    <r>
      <rPr>
        <sz val="10"/>
        <color rgb="FF000000"/>
        <rFont val="DejaVu Sans"/>
        <family val="2"/>
      </rPr>
      <t xml:space="preserve">按国家分档</t>
    </r>
    <r>
      <rPr>
        <sz val="10"/>
        <color rgb="FF000000"/>
        <rFont val="Arial"/>
        <family val="0"/>
        <charset val="1"/>
      </rPr>
      <t xml:space="preserve">)</t>
    </r>
  </si>
  <si>
    <t xml:space="preserve">平台仓</t>
  </si>
  <si>
    <t xml:space="preserve">5-12%</t>
  </si>
  <si>
    <t xml:space="preserve">Shopify Payments US</t>
  </si>
  <si>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DejaVu Sans"/>
        <family val="2"/>
      </rPr>
      <t xml:space="preserve">（已订阅 </t>
    </r>
    <r>
      <rPr>
        <sz val="10"/>
        <color rgb="FF000000"/>
        <rFont val="Arial"/>
        <family val="0"/>
        <charset val="1"/>
      </rPr>
      <t xml:space="preserve">plan</t>
    </r>
    <r>
      <rPr>
        <sz val="10"/>
        <color rgb="FF000000"/>
        <rFont val="DejaVu Sans"/>
        <family val="2"/>
      </rPr>
      <t xml:space="preserve">）</t>
    </r>
  </si>
  <si>
    <t xml:space="preserve">2.9% + $0.30 (Basic) → 2.4% + $0.30 (Advanced)</t>
  </si>
  <si>
    <t xml:space="preserve">2.4-2.9%</t>
  </si>
  <si>
    <t xml:space="preserve">Shopify Payments UK</t>
  </si>
  <si>
    <t xml:space="preserve">2.0% + 25p → 1.5% + 25p</t>
  </si>
  <si>
    <t xml:space="preserve">1.5-2.0%</t>
  </si>
  <si>
    <t xml:space="preserve">Shopify Payments EU</t>
  </si>
  <si>
    <t xml:space="preserve">1.5% + €0.25 → 1.1% + €0.25</t>
  </si>
  <si>
    <t xml:space="preserve">1.1-1.5%</t>
  </si>
  <si>
    <r>
      <rPr>
        <sz val="10"/>
        <color rgb="FF000000"/>
        <rFont val="Arial"/>
        <family val="0"/>
        <charset val="1"/>
      </rPr>
      <t xml:space="preserve">Stripe</t>
    </r>
    <r>
      <rPr>
        <sz val="10"/>
        <color rgb="FF000000"/>
        <rFont val="DejaVu Sans"/>
        <family val="2"/>
      </rPr>
      <t xml:space="preserve">（独立站）</t>
    </r>
  </si>
  <si>
    <r>
      <rPr>
        <sz val="10"/>
        <color rgb="FF000000"/>
        <rFont val="Arial"/>
        <family val="0"/>
        <charset val="1"/>
      </rPr>
      <t xml:space="preserve">2.9% + $0.30 </t>
    </r>
    <r>
      <rPr>
        <sz val="10"/>
        <color rgb="FF000000"/>
        <rFont val="DejaVu Sans"/>
        <family val="2"/>
      </rPr>
      <t xml:space="preserve">国内；</t>
    </r>
    <r>
      <rPr>
        <sz val="10"/>
        <color rgb="FF000000"/>
        <rFont val="Arial"/>
        <family val="0"/>
        <charset val="1"/>
      </rPr>
      <t xml:space="preserve">+1% </t>
    </r>
    <r>
      <rPr>
        <sz val="10"/>
        <color rgb="FF000000"/>
        <rFont val="DejaVu Sans"/>
        <family val="2"/>
      </rPr>
      <t xml:space="preserve">国际；</t>
    </r>
    <r>
      <rPr>
        <sz val="10"/>
        <color rgb="FF000000"/>
        <rFont val="Arial"/>
        <family val="0"/>
        <charset val="1"/>
      </rPr>
      <t xml:space="preserve">+2% </t>
    </r>
    <r>
      <rPr>
        <sz val="10"/>
        <color rgb="FF000000"/>
        <rFont val="DejaVu Sans"/>
        <family val="2"/>
      </rPr>
      <t xml:space="preserve">换汇</t>
    </r>
  </si>
  <si>
    <t xml:space="preserve">2.9-5.9%</t>
  </si>
  <si>
    <t xml:space="preserve">PayPal</t>
  </si>
  <si>
    <r>
      <rPr>
        <sz val="10"/>
        <color rgb="FF000000"/>
        <rFont val="Arial"/>
        <family val="0"/>
        <charset val="1"/>
      </rPr>
      <t xml:space="preserve">3.49% + $0.49 </t>
    </r>
    <r>
      <rPr>
        <sz val="10"/>
        <color rgb="FF000000"/>
        <rFont val="DejaVu Sans"/>
        <family val="2"/>
      </rPr>
      <t xml:space="preserve">国内；</t>
    </r>
    <r>
      <rPr>
        <sz val="10"/>
        <color rgb="FF000000"/>
        <rFont val="Arial"/>
        <family val="0"/>
        <charset val="1"/>
      </rPr>
      <t xml:space="preserve">3.99% + 1.5% </t>
    </r>
    <r>
      <rPr>
        <sz val="10"/>
        <color rgb="FF000000"/>
        <rFont val="DejaVu Sans"/>
        <family val="2"/>
      </rPr>
      <t xml:space="preserve">跨境</t>
    </r>
  </si>
  <si>
    <t xml:space="preserve">4-6%</t>
  </si>
  <si>
    <t xml:space="preserve">eBay (Home &amp; Garden)</t>
  </si>
  <si>
    <r>
      <rPr>
        <sz val="10"/>
        <color rgb="FF000000"/>
        <rFont val="Arial"/>
        <family val="0"/>
        <charset val="1"/>
      </rPr>
      <t xml:space="preserve">13.25% final value (&lt;$7,500); 2.35% </t>
    </r>
    <r>
      <rPr>
        <sz val="10"/>
        <color rgb="FF000000"/>
        <rFont val="DejaVu Sans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+ $0.40/</t>
    </r>
    <r>
      <rPr>
        <sz val="10"/>
        <color rgb="FF000000"/>
        <rFont val="DejaVu Sans"/>
        <family val="2"/>
      </rPr>
      <t xml:space="preserve">单</t>
    </r>
  </si>
  <si>
    <t xml:space="preserve">~14%</t>
  </si>
  <si>
    <t xml:space="preserve">Etsy</t>
  </si>
  <si>
    <r>
      <rPr>
        <sz val="10"/>
        <color rgb="FF000000"/>
        <rFont val="Arial"/>
        <family val="0"/>
        <charset val="1"/>
      </rPr>
      <t xml:space="preserve">6.5% + $0.20 listing + 3% + $0.25 </t>
    </r>
    <r>
      <rPr>
        <sz val="10"/>
        <color rgb="FF000000"/>
        <rFont val="DejaVu Sans"/>
        <family val="2"/>
      </rPr>
      <t xml:space="preserve">支付 </t>
    </r>
    <r>
      <rPr>
        <sz val="10"/>
        <color rgb="FF000000"/>
        <rFont val="Arial"/>
        <family val="0"/>
        <charset val="1"/>
      </rPr>
      <t xml:space="preserve">+ 15% Ads(</t>
    </r>
    <r>
      <rPr>
        <sz val="10"/>
        <color rgb="FF000000"/>
        <rFont val="DejaVu Sans"/>
        <family val="2"/>
      </rPr>
      <t xml:space="preserve">可选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</si>
  <si>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10-14%</t>
    </r>
    <r>
      <rPr>
        <sz val="10"/>
        <color rgb="FF000000"/>
        <rFont val="DejaVu Sans"/>
        <family val="2"/>
      </rPr>
      <t xml:space="preserve">（不含广告）</t>
    </r>
  </si>
  <si>
    <t xml:space="preserve">Wayfair</t>
  </si>
  <si>
    <r>
      <rPr>
        <sz val="10"/>
        <color rgb="FF000000"/>
        <rFont val="DejaVu Sans"/>
        <family val="2"/>
      </rPr>
      <t xml:space="preserve">批发模式（无佣金）平台定零售价；隐含 </t>
    </r>
    <r>
      <rPr>
        <sz val="10"/>
        <color rgb="FF000000"/>
        <rFont val="DejaVu Sans"/>
        <family val="2"/>
        <charset val="1"/>
      </rPr>
      <t xml:space="preserve">25-40% margin</t>
    </r>
  </si>
  <si>
    <r>
      <rPr>
        <sz val="10"/>
        <color rgb="FF000000"/>
        <rFont val="Arial"/>
        <family val="0"/>
        <charset val="1"/>
      </rPr>
      <t xml:space="preserve">CastleGate </t>
    </r>
    <r>
      <rPr>
        <sz val="10"/>
        <color rgb="FF000000"/>
        <rFont val="DejaVu Sans"/>
        <family val="2"/>
      </rPr>
      <t xml:space="preserve">仓储另算</t>
    </r>
  </si>
  <si>
    <r>
      <rPr>
        <sz val="10"/>
        <color rgb="FF000000"/>
        <rFont val="Arial"/>
        <family val="0"/>
        <charset val="1"/>
      </rPr>
      <t xml:space="preserve">25-40%</t>
    </r>
    <r>
      <rPr>
        <sz val="10"/>
        <color rgb="FF000000"/>
        <rFont val="DejaVu Sans"/>
        <family val="2"/>
      </rPr>
      <t xml:space="preserve">（毛利让渡）</t>
    </r>
  </si>
  <si>
    <r>
      <rPr>
        <b val="true"/>
        <sz val="11"/>
        <color rgb="FF000000"/>
        <rFont val="Arial"/>
        <family val="0"/>
        <charset val="1"/>
      </rPr>
      <t xml:space="preserve">3️⃣ </t>
    </r>
    <r>
      <rPr>
        <b val="true"/>
        <sz val="11"/>
        <color rgb="FF000000"/>
        <rFont val="DejaVu Sans"/>
        <family val="2"/>
      </rPr>
      <t xml:space="preserve">各国税率 </t>
    </r>
    <r>
      <rPr>
        <b val="true"/>
        <sz val="11"/>
        <color rgb="FF000000"/>
        <rFont val="Arial"/>
        <family val="0"/>
        <charset val="1"/>
      </rPr>
      <t xml:space="preserve">/ VAT / </t>
    </r>
    <r>
      <rPr>
        <b val="true"/>
        <sz val="11"/>
        <color rgb="FF000000"/>
        <rFont val="DejaVu Sans"/>
        <family val="2"/>
      </rPr>
      <t xml:space="preserve">进口关税 </t>
    </r>
    <r>
      <rPr>
        <b val="true"/>
        <sz val="11"/>
        <color rgb="FF000000"/>
        <rFont val="Arial"/>
        <family val="0"/>
        <charset val="1"/>
      </rPr>
      <t xml:space="preserve">/ De Minimis</t>
    </r>
    <r>
      <rPr>
        <b val="true"/>
        <sz val="11"/>
        <color rgb="FF000000"/>
        <rFont val="DejaVu Sans"/>
        <family val="2"/>
      </rPr>
      <t xml:space="preserve">（</t>
    </r>
    <r>
      <rPr>
        <b val="true"/>
        <sz val="11"/>
        <color rgb="FF000000"/>
        <rFont val="Arial"/>
        <family val="0"/>
        <charset val="1"/>
      </rPr>
      <t xml:space="preserve">2026-05 </t>
    </r>
    <r>
      <rPr>
        <b val="true"/>
        <sz val="11"/>
        <color rgb="FF000000"/>
        <rFont val="DejaVu Sans"/>
        <family val="2"/>
      </rPr>
      <t xml:space="preserve">现行）</t>
    </r>
  </si>
  <si>
    <t xml:space="preserve">大区</t>
  </si>
  <si>
    <r>
      <rPr>
        <b val="true"/>
        <sz val="11"/>
        <color rgb="FFFFFFFF"/>
        <rFont val="DejaVu Sans"/>
        <family val="2"/>
      </rPr>
      <t xml:space="preserve">销售税</t>
    </r>
    <r>
      <rPr>
        <b val="true"/>
        <sz val="11"/>
        <color rgb="FFFFFFFF"/>
        <rFont val="DejaVu Sans"/>
        <family val="2"/>
        <charset val="1"/>
      </rPr>
      <t xml:space="preserve">/VAT</t>
    </r>
  </si>
  <si>
    <r>
      <rPr>
        <b val="true"/>
        <sz val="11"/>
        <color rgb="FFFFFFFF"/>
        <rFont val="Arial"/>
        <family val="0"/>
        <charset val="1"/>
      </rPr>
      <t xml:space="preserve">HS 94 </t>
    </r>
    <r>
      <rPr>
        <b val="true"/>
        <sz val="11"/>
        <color rgb="FFFFFFFF"/>
        <rFont val="DejaVu Sans"/>
        <family val="2"/>
      </rPr>
      <t xml:space="preserve">家具进口关税</t>
    </r>
  </si>
  <si>
    <r>
      <rPr>
        <b val="true"/>
        <sz val="11"/>
        <color rgb="FFFFFFFF"/>
        <rFont val="Arial"/>
        <family val="0"/>
        <charset val="1"/>
      </rPr>
      <t xml:space="preserve">De Minimis </t>
    </r>
    <r>
      <rPr>
        <b val="true"/>
        <sz val="11"/>
        <color rgb="FFFFFFFF"/>
        <rFont val="DejaVu Sans"/>
        <family val="2"/>
      </rPr>
      <t xml:space="preserve">现状</t>
    </r>
  </si>
  <si>
    <t xml:space="preserve">推荐数据源</t>
  </si>
  <si>
    <t xml:space="preserve">重要更新</t>
  </si>
  <si>
    <r>
      <rPr>
        <sz val="10"/>
        <color rgb="FF000000"/>
        <rFont val="DejaVu Sans"/>
        <family val="2"/>
      </rPr>
      <t xml:space="preserve">州税 </t>
    </r>
    <r>
      <rPr>
        <sz val="10"/>
        <color rgb="FF000000"/>
        <rFont val="DejaVu Sans"/>
        <family val="2"/>
        <charset val="1"/>
      </rPr>
      <t xml:space="preserve">0-7.25% + </t>
    </r>
    <r>
      <rPr>
        <sz val="10"/>
        <color rgb="FF000000"/>
        <rFont val="DejaVu Sans"/>
        <family val="2"/>
      </rPr>
      <t xml:space="preserve">地方 </t>
    </r>
    <r>
      <rPr>
        <sz val="10"/>
        <color rgb="FF000000"/>
        <rFont val="DejaVu Sans"/>
        <family val="2"/>
        <charset val="1"/>
      </rPr>
      <t xml:space="preserve">0-5%</t>
    </r>
    <r>
      <rPr>
        <sz val="10"/>
        <color rgb="FF000000"/>
        <rFont val="DejaVu Sans"/>
        <family val="2"/>
      </rPr>
      <t xml:space="preserve">（综合 </t>
    </r>
    <r>
      <rPr>
        <sz val="10"/>
        <color rgb="FF000000"/>
        <rFont val="DejaVu Sans"/>
        <family val="2"/>
        <charset val="1"/>
      </rPr>
      <t xml:space="preserve">4-10.75%</t>
    </r>
    <r>
      <rPr>
        <sz val="10"/>
        <color rgb="FF000000"/>
        <rFont val="DejaVu Sans"/>
        <family val="2"/>
      </rPr>
      <t xml:space="preserve">，</t>
    </r>
    <r>
      <rPr>
        <sz val="10"/>
        <color rgb="FF000000"/>
        <rFont val="DejaVu Sans"/>
        <family val="2"/>
        <charset val="1"/>
      </rPr>
      <t xml:space="preserve">CA </t>
    </r>
    <r>
      <rPr>
        <sz val="10"/>
        <color rgb="FF000000"/>
        <rFont val="DejaVu Sans"/>
        <family val="2"/>
      </rPr>
      <t xml:space="preserve">最高）</t>
    </r>
  </si>
  <si>
    <r>
      <rPr>
        <sz val="10"/>
        <color rgb="FF000000"/>
        <rFont val="Arial"/>
        <family val="0"/>
        <charset val="1"/>
      </rPr>
      <t xml:space="preserve">0-6.5%</t>
    </r>
    <r>
      <rPr>
        <sz val="10"/>
        <color rgb="FF000000"/>
        <rFont val="DejaVu Sans"/>
        <family val="2"/>
      </rPr>
      <t xml:space="preserve">（多数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DejaVu Sans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Section 301 </t>
    </r>
    <r>
      <rPr>
        <sz val="10"/>
        <color rgb="FF000000"/>
        <rFont val="DejaVu Sans"/>
        <family val="2"/>
      </rPr>
      <t xml:space="preserve">中国 </t>
    </r>
    <r>
      <rPr>
        <sz val="10"/>
        <color rgb="FF000000"/>
        <rFont val="Arial"/>
        <family val="0"/>
        <charset val="1"/>
      </rPr>
      <t xml:space="preserve">7.5-25% + IEEPA 10-30%</t>
    </r>
  </si>
  <si>
    <r>
      <rPr>
        <sz val="10"/>
        <color rgb="FF000000"/>
        <rFont val="DejaVu Sans"/>
        <family val="2"/>
      </rPr>
      <t xml:space="preserve">❌ 已取消（</t>
    </r>
    <r>
      <rPr>
        <sz val="10"/>
        <color rgb="FF000000"/>
        <rFont val="DejaVu Sans"/>
        <family val="2"/>
        <charset val="1"/>
      </rPr>
      <t xml:space="preserve">EO 14256 5/2/2025 </t>
    </r>
    <r>
      <rPr>
        <sz val="10"/>
        <color rgb="FF000000"/>
        <rFont val="DejaVu Sans"/>
        <family val="2"/>
      </rPr>
      <t xml:space="preserve">中国 </t>
    </r>
    <r>
      <rPr>
        <sz val="10"/>
        <color rgb="FF000000"/>
        <rFont val="DejaVu Sans"/>
        <family val="2"/>
        <charset val="1"/>
      </rPr>
      <t xml:space="preserve">$800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DejaVu Sans"/>
        <family val="2"/>
        <charset val="1"/>
      </rPr>
      <t xml:space="preserve">EO 14324 8/29/2025 </t>
    </r>
    <r>
      <rPr>
        <sz val="10"/>
        <color rgb="FF000000"/>
        <rFont val="DejaVu Sans"/>
        <family val="2"/>
      </rPr>
      <t xml:space="preserve">全球）；</t>
    </r>
    <r>
      <rPr>
        <sz val="10"/>
        <color rgb="FF000000"/>
        <rFont val="DejaVu Sans"/>
        <family val="2"/>
        <charset val="1"/>
      </rPr>
      <t xml:space="preserve">OBBBA 2027/7/1 </t>
    </r>
    <r>
      <rPr>
        <sz val="10"/>
        <color rgb="FF000000"/>
        <rFont val="DejaVu Sans"/>
        <family val="2"/>
      </rPr>
      <t xml:space="preserve">永久废除</t>
    </r>
  </si>
  <si>
    <t xml:space="preserve">TaxJar / Avalara / Zonos / CBP ACE</t>
  </si>
  <si>
    <t xml:space="preserve">⚠ 政策受最高院诉讼影响</t>
  </si>
  <si>
    <r>
      <rPr>
        <sz val="10"/>
        <color rgb="FF000000"/>
        <rFont val="DejaVu Sans"/>
        <family val="2"/>
      </rPr>
      <t xml:space="preserve">欧盟 </t>
    </r>
    <r>
      <rPr>
        <sz val="10"/>
        <color rgb="FF000000"/>
        <rFont val="DejaVu Sans"/>
        <family val="2"/>
        <charset val="1"/>
      </rPr>
      <t xml:space="preserve">27 </t>
    </r>
    <r>
      <rPr>
        <sz val="10"/>
        <color rgb="FF000000"/>
        <rFont val="DejaVu Sans"/>
        <family val="2"/>
      </rPr>
      <t xml:space="preserve">国</t>
    </r>
  </si>
  <si>
    <r>
      <rPr>
        <sz val="10"/>
        <color rgb="FF000000"/>
        <rFont val="Arial"/>
        <family val="0"/>
        <charset val="1"/>
      </rPr>
      <t xml:space="preserve">VAT 17%(LU) - 27%(HU)</t>
    </r>
    <r>
      <rPr>
        <sz val="10"/>
        <color rgb="FF000000"/>
        <rFont val="DejaVu Sans"/>
        <family val="2"/>
      </rPr>
      <t xml:space="preserve">；多数 </t>
    </r>
    <r>
      <rPr>
        <sz val="10"/>
        <color rgb="FF000000"/>
        <rFont val="Arial"/>
        <family val="0"/>
        <charset val="1"/>
      </rPr>
      <t xml:space="preserve">19-25%</t>
    </r>
  </si>
  <si>
    <r>
      <rPr>
        <sz val="10"/>
        <color rgb="FF000000"/>
        <rFont val="Arial"/>
        <family val="0"/>
        <charset val="1"/>
      </rPr>
      <t xml:space="preserve">HS 94 </t>
    </r>
    <r>
      <rPr>
        <sz val="10"/>
        <color rgb="FF000000"/>
        <rFont val="DejaVu Sans"/>
        <family val="2"/>
      </rPr>
      <t xml:space="preserve">家具 </t>
    </r>
    <r>
      <rPr>
        <sz val="10"/>
        <color rgb="FF000000"/>
        <rFont val="Arial"/>
        <family val="0"/>
        <charset val="1"/>
      </rPr>
      <t xml:space="preserve">0-2.7% </t>
    </r>
    <r>
      <rPr>
        <sz val="10"/>
        <color rgb="FF000000"/>
        <rFont val="DejaVu Sans"/>
        <family val="2"/>
      </rPr>
      <t xml:space="preserve">主流</t>
    </r>
  </si>
  <si>
    <r>
      <rPr>
        <sz val="10"/>
        <color rgb="FF000000"/>
        <rFont val="Arial"/>
        <family val="0"/>
        <charset val="1"/>
      </rPr>
      <t xml:space="preserve">🕐 €150 IOSS </t>
    </r>
    <r>
      <rPr>
        <sz val="10"/>
        <color rgb="FF000000"/>
        <rFont val="DejaVu Sans"/>
        <family val="2"/>
      </rPr>
      <t xml:space="preserve">免关税 → </t>
    </r>
    <r>
      <rPr>
        <sz val="10"/>
        <color rgb="FF000000"/>
        <rFont val="Arial"/>
        <family val="0"/>
        <charset val="1"/>
      </rPr>
      <t xml:space="preserve">2026/7/1 </t>
    </r>
    <r>
      <rPr>
        <sz val="10"/>
        <color rgb="FF000000"/>
        <rFont val="DejaVu Sans"/>
        <family val="2"/>
      </rPr>
      <t xml:space="preserve">取消，改 €</t>
    </r>
    <r>
      <rPr>
        <sz val="10"/>
        <color rgb="FF000000"/>
        <rFont val="Arial"/>
        <family val="0"/>
        <charset val="1"/>
      </rPr>
      <t xml:space="preserve">3/</t>
    </r>
    <r>
      <rPr>
        <sz val="10"/>
        <color rgb="FF000000"/>
        <rFont val="DejaVu Sans"/>
        <family val="2"/>
      </rPr>
      <t xml:space="preserve">件 </t>
    </r>
    <r>
      <rPr>
        <sz val="10"/>
        <color rgb="FF000000"/>
        <rFont val="Arial"/>
        <family val="0"/>
        <charset val="1"/>
      </rPr>
      <t xml:space="preserve">flat duty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IOSS VAT </t>
    </r>
    <r>
      <rPr>
        <sz val="10"/>
        <color rgb="FF000000"/>
        <rFont val="DejaVu Sans"/>
        <family val="2"/>
      </rPr>
      <t xml:space="preserve">继续</t>
    </r>
  </si>
  <si>
    <t xml:space="preserve">EU VIES / TARIC / vatcalc</t>
  </si>
  <si>
    <r>
      <rPr>
        <sz val="10"/>
        <color rgb="FF000000"/>
        <rFont val="Arial"/>
        <family val="0"/>
        <charset val="1"/>
      </rPr>
      <t xml:space="preserve">⚠ 2026-07 </t>
    </r>
    <r>
      <rPr>
        <sz val="10"/>
        <color rgb="FF000000"/>
        <rFont val="DejaVu Sans"/>
        <family val="2"/>
      </rPr>
      <t xml:space="preserve">新政</t>
    </r>
  </si>
  <si>
    <t xml:space="preserve">VAT 20%</t>
  </si>
  <si>
    <t xml:space="preserve">0-4%</t>
  </si>
  <si>
    <r>
      <rPr>
        <sz val="10"/>
        <color rgb="FF000000"/>
        <rFont val="Arial"/>
        <family val="0"/>
        <charset val="1"/>
      </rPr>
      <t xml:space="preserve">£135 </t>
    </r>
    <r>
      <rPr>
        <sz val="10"/>
        <color rgb="FF000000"/>
        <rFont val="DejaVu Sans"/>
        <family val="2"/>
      </rPr>
      <t xml:space="preserve">以下免关税 → 保留至 </t>
    </r>
    <r>
      <rPr>
        <sz val="10"/>
        <color rgb="FF000000"/>
        <rFont val="Arial"/>
        <family val="0"/>
        <charset val="1"/>
      </rPr>
      <t xml:space="preserve">2026/12/31</t>
    </r>
    <r>
      <rPr>
        <sz val="10"/>
        <color rgb="FF000000"/>
        <rFont val="DejaVu Sans"/>
        <family val="2"/>
      </rPr>
      <t xml:space="preserve">，最迟 </t>
    </r>
    <r>
      <rPr>
        <sz val="10"/>
        <color rgb="FF000000"/>
        <rFont val="Arial"/>
        <family val="0"/>
        <charset val="1"/>
      </rPr>
      <t xml:space="preserve">2029/3 </t>
    </r>
    <r>
      <rPr>
        <sz val="10"/>
        <color rgb="FF000000"/>
        <rFont val="DejaVu Sans"/>
        <family val="2"/>
      </rPr>
      <t xml:space="preserve">取消</t>
    </r>
  </si>
  <si>
    <t xml:space="preserve">HMRC / GOV.UK Trade Tariff</t>
  </si>
  <si>
    <r>
      <rPr>
        <sz val="10"/>
        <color rgb="FF000000"/>
        <rFont val="DejaVu Sans"/>
        <family val="2"/>
      </rPr>
      <t xml:space="preserve">消费税 </t>
    </r>
    <r>
      <rPr>
        <sz val="10"/>
        <color rgb="FF000000"/>
        <rFont val="DejaVu Sans"/>
        <family val="2"/>
        <charset val="1"/>
      </rPr>
      <t xml:space="preserve">10%</t>
    </r>
    <r>
      <rPr>
        <sz val="10"/>
        <color rgb="FF000000"/>
        <rFont val="DejaVu Sans"/>
        <family val="2"/>
      </rPr>
      <t xml:space="preserve">（食品 </t>
    </r>
    <r>
      <rPr>
        <sz val="10"/>
        <color rgb="FF000000"/>
        <rFont val="DejaVu Sans"/>
        <family val="2"/>
        <charset val="1"/>
      </rPr>
      <t xml:space="preserve">8%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</si>
  <si>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0-3.8%</t>
    </r>
    <r>
      <rPr>
        <sz val="10"/>
        <color rgb="FF000000"/>
        <rFont val="DejaVu Sans"/>
        <family val="2"/>
      </rPr>
      <t xml:space="preserve">（多数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</si>
  <si>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¥10,000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~$66</t>
    </r>
    <r>
      <rPr>
        <sz val="10"/>
        <color rgb="FF000000"/>
        <rFont val="DejaVu Sans"/>
        <family val="2"/>
      </rPr>
      <t xml:space="preserve">）以下免</t>
    </r>
  </si>
  <si>
    <r>
      <rPr>
        <sz val="10"/>
        <color rgb="FF000000"/>
        <rFont val="Arial"/>
        <family val="0"/>
        <charset val="1"/>
      </rPr>
      <t xml:space="preserve">NTA </t>
    </r>
    <r>
      <rPr>
        <sz val="10"/>
        <color rgb="FF000000"/>
        <rFont val="DejaVu Sans"/>
        <family val="2"/>
      </rPr>
      <t xml:space="preserve">国税厅 </t>
    </r>
    <r>
      <rPr>
        <sz val="10"/>
        <color rgb="FF000000"/>
        <rFont val="Arial"/>
        <family val="0"/>
        <charset val="1"/>
      </rPr>
      <t xml:space="preserve">/ JCT</t>
    </r>
  </si>
  <si>
    <r>
      <rPr>
        <sz val="10"/>
        <color rgb="FF000000"/>
        <rFont val="Arial"/>
        <family val="0"/>
        <charset val="1"/>
      </rPr>
      <t xml:space="preserve">SG 9% GST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MY 6% SST/10% sales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 7%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ID 11%(2025↑12% </t>
    </r>
    <r>
      <rPr>
        <sz val="10"/>
        <color rgb="FF000000"/>
        <rFont val="DejaVu Sans"/>
        <family val="2"/>
      </rPr>
      <t xml:space="preserve">部分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PH 12%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VN 8-10%</t>
    </r>
  </si>
  <si>
    <r>
      <rPr>
        <sz val="10"/>
        <color rgb="FF000000"/>
        <rFont val="Arial"/>
        <family val="0"/>
        <charset val="1"/>
      </rPr>
      <t xml:space="preserve">0-20%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VN/ID </t>
    </r>
    <r>
      <rPr>
        <sz val="10"/>
        <color rgb="FF000000"/>
        <rFont val="DejaVu Sans"/>
        <family val="2"/>
      </rPr>
      <t xml:space="preserve">较高 </t>
    </r>
    <r>
      <rPr>
        <sz val="10"/>
        <color rgb="FF000000"/>
        <rFont val="Arial"/>
        <family val="0"/>
        <charset val="1"/>
      </rPr>
      <t xml:space="preserve">10-20%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</si>
  <si>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SG: SGD 400 </t>
    </r>
    <r>
      <rPr>
        <sz val="10"/>
        <color rgb="FF000000"/>
        <rFont val="DejaVu Sans"/>
        <family val="2"/>
      </rPr>
      <t xml:space="preserve">已取消；</t>
    </r>
    <r>
      <rPr>
        <sz val="10"/>
        <color rgb="FF000000"/>
        <rFont val="Arial"/>
        <family val="0"/>
        <charset val="1"/>
      </rPr>
      <t xml:space="preserve">MY: LVG 10% </t>
    </r>
    <r>
      <rPr>
        <sz val="10"/>
        <color rgb="FF000000"/>
        <rFont val="DejaVu Sans"/>
        <family val="2"/>
      </rPr>
      <t xml:space="preserve">开征；</t>
    </r>
    <r>
      <rPr>
        <sz val="10"/>
        <color rgb="FF000000"/>
        <rFont val="Arial"/>
        <family val="0"/>
        <charset val="1"/>
      </rPr>
      <t xml:space="preserve">ID: </t>
    </r>
    <r>
      <rPr>
        <sz val="10"/>
        <color rgb="FF000000"/>
        <rFont val="DejaVu Sans"/>
        <family val="2"/>
      </rPr>
      <t xml:space="preserve">取消阈值全征</t>
    </r>
  </si>
  <si>
    <r>
      <rPr>
        <sz val="10"/>
        <color rgb="FF000000"/>
        <rFont val="DejaVu Sans"/>
        <family val="2"/>
      </rPr>
      <t xml:space="preserve">各国海关 </t>
    </r>
    <r>
      <rPr>
        <sz val="10"/>
        <color rgb="FF000000"/>
        <rFont val="DejaVu Sans"/>
        <family val="2"/>
        <charset val="1"/>
      </rPr>
      <t xml:space="preserve">+ Cube Asia</t>
    </r>
  </si>
  <si>
    <r>
      <rPr>
        <sz val="10"/>
        <color rgb="FF000000"/>
        <rFont val="Arial"/>
        <family val="0"/>
        <charset val="1"/>
      </rPr>
      <t xml:space="preserve">ID 12% / VN </t>
    </r>
    <r>
      <rPr>
        <sz val="10"/>
        <color rgb="FF000000"/>
        <rFont val="DejaVu Sans"/>
        <family val="2"/>
      </rPr>
      <t xml:space="preserve">平台代扣</t>
    </r>
  </si>
  <si>
    <t xml:space="preserve">加拿大</t>
  </si>
  <si>
    <r>
      <rPr>
        <sz val="10"/>
        <color rgb="FF000000"/>
        <rFont val="Arial"/>
        <family val="0"/>
        <charset val="1"/>
      </rPr>
      <t xml:space="preserve">GST 5% + PST/HST 5-15%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QC 14.975%</t>
    </r>
    <r>
      <rPr>
        <sz val="10"/>
        <color rgb="FF000000"/>
        <rFont val="DejaVu Sans"/>
        <family val="2"/>
      </rPr>
      <t xml:space="preserve">）</t>
    </r>
  </si>
  <si>
    <t xml:space="preserve">0-9.5%</t>
  </si>
  <si>
    <r>
      <rPr>
        <sz val="10"/>
        <color rgb="FF000000"/>
        <rFont val="Arial"/>
        <family val="0"/>
        <charset val="1"/>
      </rPr>
      <t xml:space="preserve">CAD $20 </t>
    </r>
    <r>
      <rPr>
        <sz val="10"/>
        <color rgb="FF000000"/>
        <rFont val="DejaVu Sans"/>
        <family val="2"/>
      </rPr>
      <t xml:space="preserve">邮政；</t>
    </r>
    <r>
      <rPr>
        <sz val="10"/>
        <color rgb="FF000000"/>
        <rFont val="Arial"/>
        <family val="0"/>
        <charset val="1"/>
      </rPr>
      <t xml:space="preserve">CAD $40 </t>
    </r>
    <r>
      <rPr>
        <sz val="10"/>
        <color rgb="FF000000"/>
        <rFont val="DejaVu Sans"/>
        <family val="2"/>
      </rPr>
      <t xml:space="preserve">快递</t>
    </r>
  </si>
  <si>
    <t xml:space="preserve">CRA / CBSA</t>
  </si>
  <si>
    <t xml:space="preserve">GST 10%</t>
  </si>
  <si>
    <t xml:space="preserve">0-5%</t>
  </si>
  <si>
    <r>
      <rPr>
        <sz val="10"/>
        <color rgb="FF000000"/>
        <rFont val="Arial"/>
        <family val="0"/>
        <charset val="1"/>
      </rPr>
      <t xml:space="preserve">AUD $1,000 </t>
    </r>
    <r>
      <rPr>
        <sz val="10"/>
        <color rgb="FF000000"/>
        <rFont val="DejaVu Sans"/>
        <family val="2"/>
      </rPr>
      <t xml:space="preserve">以下免关税但收 </t>
    </r>
    <r>
      <rPr>
        <sz val="10"/>
        <color rgb="FF000000"/>
        <rFont val="Arial"/>
        <family val="0"/>
        <charset val="1"/>
      </rPr>
      <t xml:space="preserve">GST</t>
    </r>
  </si>
  <si>
    <t xml:space="preserve">ATO</t>
  </si>
  <si>
    <t xml:space="preserve">GST on LVIG</t>
  </si>
  <si>
    <r>
      <rPr>
        <sz val="10"/>
        <color rgb="FF000000"/>
        <rFont val="DejaVu Sans"/>
        <family val="2"/>
      </rPr>
      <t xml:space="preserve">中东 </t>
    </r>
    <r>
      <rPr>
        <sz val="10"/>
        <color rgb="FF000000"/>
        <rFont val="DejaVu Sans"/>
        <family val="2"/>
        <charset val="1"/>
      </rPr>
      <t xml:space="preserve">UAE/KSA</t>
    </r>
  </si>
  <si>
    <t xml:space="preserve">UAE 5% / KSA 15% VAT</t>
  </si>
  <si>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GCC </t>
    </r>
    <r>
      <rPr>
        <sz val="10"/>
        <color rgb="FF000000"/>
        <rFont val="DejaVu Sans"/>
        <family val="2"/>
      </rPr>
      <t xml:space="preserve">统一）</t>
    </r>
  </si>
  <si>
    <t xml:space="preserve">AED 300 / SAR 1,000</t>
  </si>
  <si>
    <t xml:space="preserve">FTA UAE / ZATCA</t>
  </si>
  <si>
    <t xml:space="preserve">巴西</t>
  </si>
  <si>
    <t xml:space="preserve">ICMS 17-25% + IPI</t>
  </si>
  <si>
    <r>
      <rPr>
        <sz val="10"/>
        <color rgb="FF000000"/>
        <rFont val="Arial"/>
        <family val="0"/>
        <charset val="1"/>
      </rPr>
      <t xml:space="preserve">18-35%</t>
    </r>
    <r>
      <rPr>
        <sz val="10"/>
        <color rgb="FF000000"/>
        <rFont val="DejaVu Sans"/>
        <family val="2"/>
      </rPr>
      <t xml:space="preserve">（极高）</t>
    </r>
  </si>
  <si>
    <r>
      <rPr>
        <sz val="10"/>
        <color rgb="FF000000"/>
        <rFont val="DejaVu Sans"/>
        <family val="2"/>
      </rPr>
      <t xml:space="preserve">❌ 已取消（</t>
    </r>
    <r>
      <rPr>
        <sz val="10"/>
        <color rgb="FF000000"/>
        <rFont val="DejaVu Sans"/>
        <family val="2"/>
        <charset val="1"/>
      </rPr>
      <t xml:space="preserve">Remessa Conforme </t>
    </r>
    <r>
      <rPr>
        <sz val="10"/>
        <color rgb="FF000000"/>
        <rFont val="DejaVu Sans"/>
        <family val="2"/>
      </rPr>
      <t xml:space="preserve">全征）</t>
    </r>
  </si>
  <si>
    <t xml:space="preserve">Receita Federal</t>
  </si>
  <si>
    <t xml:space="preserve">墨西哥</t>
  </si>
  <si>
    <t xml:space="preserve">IVA 16%</t>
  </si>
  <si>
    <t xml:space="preserve">0-25%</t>
  </si>
  <si>
    <r>
      <rPr>
        <sz val="10"/>
        <color rgb="FF000000"/>
        <rFont val="Arial"/>
        <family val="0"/>
        <charset val="1"/>
      </rPr>
      <t xml:space="preserve">USD 50 </t>
    </r>
    <r>
      <rPr>
        <sz val="10"/>
        <color rgb="FF000000"/>
        <rFont val="DejaVu Sans"/>
        <family val="2"/>
      </rPr>
      <t xml:space="preserve">邮政</t>
    </r>
  </si>
  <si>
    <t xml:space="preserve">SAT</t>
  </si>
  <si>
    <r>
      <rPr>
        <b val="true"/>
        <sz val="11"/>
        <color rgb="FF000000"/>
        <rFont val="DejaVu Sans"/>
        <family val="2"/>
      </rPr>
      <t xml:space="preserve">▶ 推荐税率</t>
    </r>
    <r>
      <rPr>
        <b val="true"/>
        <sz val="11"/>
        <color rgb="FF000000"/>
        <rFont val="DejaVu Sans"/>
        <family val="2"/>
        <charset val="1"/>
      </rPr>
      <t xml:space="preserve">/</t>
    </r>
    <r>
      <rPr>
        <b val="true"/>
        <sz val="11"/>
        <color rgb="FF000000"/>
        <rFont val="DejaVu Sans"/>
        <family val="2"/>
      </rPr>
      <t xml:space="preserve">关税 </t>
    </r>
    <r>
      <rPr>
        <b val="true"/>
        <sz val="11"/>
        <color rgb="FF000000"/>
        <rFont val="DejaVu Sans"/>
        <family val="2"/>
        <charset val="1"/>
      </rPr>
      <t xml:space="preserve">API</t>
    </r>
    <r>
      <rPr>
        <b val="true"/>
        <sz val="11"/>
        <color rgb="FF000000"/>
        <rFont val="DejaVu Sans"/>
        <family val="2"/>
      </rPr>
      <t xml:space="preserve">（按使用场景）</t>
    </r>
  </si>
  <si>
    <t xml:space="preserve">服务</t>
  </si>
  <si>
    <t xml:space="preserve">适用场景</t>
  </si>
  <si>
    <t xml:space="preserve">推荐度</t>
  </si>
  <si>
    <r>
      <rPr>
        <sz val="10"/>
        <color rgb="FF000000"/>
        <rFont val="Arial"/>
        <family val="0"/>
        <charset val="1"/>
      </rPr>
      <t xml:space="preserve">190+ </t>
    </r>
    <r>
      <rPr>
        <sz val="10"/>
        <color rgb="FF000000"/>
        <rFont val="DejaVu Sans"/>
        <family val="2"/>
      </rPr>
      <t xml:space="preserve">国销售税</t>
    </r>
    <r>
      <rPr>
        <sz val="10"/>
        <color rgb="FF000000"/>
        <rFont val="Arial"/>
        <family val="0"/>
        <charset val="1"/>
      </rPr>
      <t xml:space="preserve">/VAT</t>
    </r>
  </si>
  <si>
    <r>
      <rPr>
        <sz val="10"/>
        <color rgb="FF000000"/>
        <rFont val="DejaVu Sans"/>
        <family val="2"/>
      </rPr>
      <t xml:space="preserve">起 </t>
    </r>
    <r>
      <rPr>
        <sz val="10"/>
        <color rgb="FF000000"/>
        <rFont val="DejaVu Sans"/>
        <family val="2"/>
        <charset val="1"/>
      </rPr>
      <t xml:space="preserve">$50/</t>
    </r>
    <r>
      <rPr>
        <sz val="10"/>
        <color rgb="FF000000"/>
        <rFont val="DejaVu Sans"/>
        <family val="2"/>
      </rPr>
      <t xml:space="preserve">月（</t>
    </r>
    <r>
      <rPr>
        <sz val="10"/>
        <color rgb="FF000000"/>
        <rFont val="DejaVu Sans"/>
        <family val="2"/>
        <charset val="1"/>
      </rPr>
      <t xml:space="preserve">1k </t>
    </r>
    <r>
      <rPr>
        <sz val="10"/>
        <color rgb="FF000000"/>
        <rFont val="DejaVu Sans"/>
        <family val="2"/>
      </rPr>
      <t xml:space="preserve">笔）；中型 </t>
    </r>
    <r>
      <rPr>
        <sz val="10"/>
        <color rgb="FF000000"/>
        <rFont val="DejaVu Sans"/>
        <family val="2"/>
        <charset val="1"/>
      </rPr>
      <t xml:space="preserve">$5k-$30k/</t>
    </r>
    <r>
      <rPr>
        <sz val="10"/>
        <color rgb="FF000000"/>
        <rFont val="DejaVu Sans"/>
        <family val="2"/>
      </rPr>
      <t xml:space="preserve">年；企业级 </t>
    </r>
    <r>
      <rPr>
        <sz val="10"/>
        <color rgb="FF000000"/>
        <rFont val="DejaVu Sans"/>
        <family val="2"/>
        <charset val="1"/>
      </rPr>
      <t xml:space="preserve">custom</t>
    </r>
  </si>
  <si>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sales tax + </t>
    </r>
    <r>
      <rPr>
        <sz val="10"/>
        <color rgb="FF000000"/>
        <rFont val="DejaVu Sans"/>
        <family val="2"/>
      </rPr>
      <t xml:space="preserve">多国 </t>
    </r>
    <r>
      <rPr>
        <sz val="10"/>
        <color rgb="FF000000"/>
        <rFont val="DejaVu Sans"/>
        <family val="2"/>
        <charset val="1"/>
      </rPr>
      <t xml:space="preserve">VAT </t>
    </r>
    <r>
      <rPr>
        <sz val="10"/>
        <color rgb="FF000000"/>
        <rFont val="DejaVu Sans"/>
        <family val="2"/>
      </rPr>
      <t xml:space="preserve">申报联动</t>
    </r>
  </si>
  <si>
    <t xml:space="preserve">★★★★</t>
  </si>
  <si>
    <r>
      <rPr>
        <sz val="10"/>
        <color rgb="FF000000"/>
        <rFont val="Arial"/>
        <family val="0"/>
        <charset val="1"/>
      </rPr>
      <t xml:space="preserve">217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关税预估</t>
    </r>
  </si>
  <si>
    <r>
      <rPr>
        <sz val="10"/>
        <color rgb="FF000000"/>
        <rFont val="Arial"/>
        <family val="0"/>
        <charset val="1"/>
      </rPr>
      <t xml:space="preserve">DDP checkout </t>
    </r>
    <r>
      <rPr>
        <sz val="10"/>
        <color rgb="FF000000"/>
        <rFont val="DejaVu Sans"/>
        <family val="2"/>
      </rPr>
      <t xml:space="preserve">显示</t>
    </r>
  </si>
  <si>
    <t xml:space="preserve">★★★★★</t>
  </si>
  <si>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50 </t>
    </r>
    <r>
      <rPr>
        <sz val="10"/>
        <color rgb="FF000000"/>
        <rFont val="DejaVu Sans"/>
        <family val="2"/>
      </rPr>
      <t xml:space="preserve">州为主</t>
    </r>
  </si>
  <si>
    <r>
      <rPr>
        <sz val="10"/>
        <color rgb="FF000000"/>
        <rFont val="Arial"/>
        <family val="0"/>
        <charset val="1"/>
      </rPr>
      <t xml:space="preserve">217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+ 10 </t>
    </r>
    <r>
      <rPr>
        <sz val="10"/>
        <color rgb="FF000000"/>
        <rFont val="DejaVu Sans"/>
        <family val="2"/>
      </rPr>
      <t xml:space="preserve">位 </t>
    </r>
    <r>
      <rPr>
        <sz val="10"/>
        <color rgb="FF000000"/>
        <rFont val="Arial"/>
        <family val="0"/>
        <charset val="1"/>
      </rPr>
      <t xml:space="preserve">HS</t>
    </r>
  </si>
  <si>
    <r>
      <rPr>
        <sz val="10"/>
        <color rgb="FF000000"/>
        <rFont val="Arial"/>
        <family val="0"/>
        <charset val="1"/>
      </rPr>
      <t xml:space="preserve">Pay-per-shipment $0.20-$0.50</t>
    </r>
    <r>
      <rPr>
        <sz val="10"/>
        <color rgb="FF000000"/>
        <rFont val="DejaVu Sans"/>
        <family val="2"/>
      </rPr>
      <t xml:space="preserve">；月费 </t>
    </r>
    <r>
      <rPr>
        <sz val="10"/>
        <color rgb="FF000000"/>
        <rFont val="Arial"/>
        <family val="0"/>
        <charset val="1"/>
      </rPr>
      <t xml:space="preserve">$208+</t>
    </r>
  </si>
  <si>
    <r>
      <rPr>
        <sz val="10"/>
        <color rgb="FF000000"/>
        <rFont val="Arial"/>
        <family val="0"/>
        <charset val="1"/>
      </rPr>
      <t xml:space="preserve">220+ </t>
    </r>
    <r>
      <rPr>
        <sz val="10"/>
        <color rgb="FF000000"/>
        <rFont val="DejaVu Sans"/>
        <family val="2"/>
      </rPr>
      <t xml:space="preserve">国（含税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物流）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</si>
  <si>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50 </t>
    </r>
    <r>
      <rPr>
        <sz val="10"/>
        <color rgb="FF000000"/>
        <rFont val="DejaVu Sans"/>
        <family val="2"/>
      </rPr>
      <t xml:space="preserve">单；</t>
    </r>
    <r>
      <rPr>
        <sz val="10"/>
        <color rgb="FF000000"/>
        <rFont val="DejaVu Sans"/>
        <family val="2"/>
        <charset val="1"/>
      </rPr>
      <t xml:space="preserve">$29-$99/</t>
    </r>
    <r>
      <rPr>
        <sz val="10"/>
        <color rgb="FF000000"/>
        <rFont val="DejaVu Sans"/>
        <family val="2"/>
      </rPr>
      <t xml:space="preserve">月起</t>
    </r>
  </si>
  <si>
    <r>
      <rPr>
        <sz val="10"/>
        <color rgb="FF000000"/>
        <rFont val="DejaVu Sans"/>
        <family val="2"/>
      </rPr>
      <t xml:space="preserve">中小卖家集成物流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税</t>
    </r>
  </si>
  <si>
    <t xml:space="preserve">Sovos</t>
  </si>
  <si>
    <r>
      <rPr>
        <sz val="10"/>
        <color rgb="FF000000"/>
        <rFont val="Arial"/>
        <family val="0"/>
        <charset val="1"/>
      </rPr>
      <t xml:space="preserve">60+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VAT + e-invoicing</t>
    </r>
  </si>
  <si>
    <r>
      <rPr>
        <sz val="10"/>
        <color rgb="FF000000"/>
        <rFont val="Arial"/>
        <family val="0"/>
        <charset val="1"/>
      </rPr>
      <t xml:space="preserve">Enterprise $30k+/</t>
    </r>
    <r>
      <rPr>
        <sz val="10"/>
        <color rgb="FF000000"/>
        <rFont val="DejaVu Sans"/>
        <family val="2"/>
      </rPr>
      <t xml:space="preserve">年</t>
    </r>
  </si>
  <si>
    <t xml:space="preserve">大型企业全球申报</t>
  </si>
  <si>
    <t xml:space="preserve">★★★</t>
  </si>
  <si>
    <t xml:space="preserve">VATCalc</t>
  </si>
  <si>
    <r>
      <rPr>
        <sz val="10"/>
        <color rgb="FF000000"/>
        <rFont val="Arial"/>
        <family val="0"/>
        <charset val="1"/>
      </rPr>
      <t xml:space="preserve">EU + 110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VAT</t>
    </r>
  </si>
  <si>
    <r>
      <rPr>
        <sz val="10"/>
        <color rgb="FF000000"/>
        <rFont val="Arial"/>
        <family val="0"/>
        <charset val="1"/>
      </rPr>
      <t xml:space="preserve">€500+/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</si>
  <si>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EU-first </t>
    </r>
    <r>
      <rPr>
        <sz val="10"/>
        <color rgb="FF000000"/>
        <rFont val="DejaVu Sans"/>
        <family val="2"/>
      </rPr>
      <t xml:space="preserve">卖家</t>
    </r>
  </si>
  <si>
    <r>
      <rPr>
        <b val="true"/>
        <sz val="11"/>
        <color rgb="FF000000"/>
        <rFont val="DejaVu Sans"/>
        <family val="2"/>
      </rPr>
      <t xml:space="preserve">▶ 哈奇米 </t>
    </r>
    <r>
      <rPr>
        <b val="true"/>
        <sz val="11"/>
        <color rgb="FF000000"/>
        <rFont val="DejaVu Sans"/>
        <family val="2"/>
        <charset val="1"/>
      </rPr>
      <t xml:space="preserve">32 </t>
    </r>
    <r>
      <rPr>
        <b val="true"/>
        <sz val="11"/>
        <color rgb="FF000000"/>
        <rFont val="DejaVu Sans"/>
        <family val="2"/>
      </rPr>
      <t xml:space="preserve">国推荐组合</t>
    </r>
  </si>
  <si>
    <t xml:space="preserve">场景</t>
  </si>
  <si>
    <t xml:space="preserve">推荐方案</t>
  </si>
  <si>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加拿大</t>
    </r>
  </si>
  <si>
    <r>
      <rPr>
        <sz val="10"/>
        <color rgb="FF000000"/>
        <rFont val="Arial"/>
        <family val="0"/>
        <charset val="1"/>
      </rPr>
      <t xml:space="preserve">TaxJar Pro $99+/</t>
    </r>
    <r>
      <rPr>
        <sz val="10"/>
        <color rgb="FF000000"/>
        <rFont val="DejaVu Sans"/>
        <family val="2"/>
      </rPr>
      <t xml:space="preserve">月 或 </t>
    </r>
    <r>
      <rPr>
        <sz val="10"/>
        <color rgb="FF000000"/>
        <rFont val="Arial"/>
        <family val="0"/>
        <charset val="1"/>
      </rPr>
      <t xml:space="preserve">Avalara AvaTax $500-2k/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</si>
  <si>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跨境关税 </t>
    </r>
    <r>
      <rPr>
        <sz val="10"/>
        <color rgb="FF000000"/>
        <rFont val="DejaVu Sans"/>
        <family val="2"/>
        <charset val="1"/>
      </rPr>
      <t xml:space="preserve">+ De Minimis</t>
    </r>
  </si>
  <si>
    <r>
      <rPr>
        <sz val="10"/>
        <color rgb="FF000000"/>
        <rFont val="Arial"/>
        <family val="0"/>
        <charset val="1"/>
      </rPr>
      <t xml:space="preserve">Zonos Landed Cost API $0.20-$0.50/</t>
    </r>
    <r>
      <rPr>
        <sz val="10"/>
        <color rgb="FF000000"/>
        <rFont val="DejaVu Sans"/>
        <family val="2"/>
      </rPr>
      <t xml:space="preserve">单（</t>
    </r>
    <r>
      <rPr>
        <sz val="10"/>
        <color rgb="FF000000"/>
        <rFont val="Arial"/>
        <family val="0"/>
        <charset val="1"/>
      </rPr>
      <t xml:space="preserve">1-2 </t>
    </r>
    <r>
      <rPr>
        <sz val="10"/>
        <color rgb="FF000000"/>
        <rFont val="DejaVu Sans"/>
        <family val="2"/>
      </rPr>
      <t xml:space="preserve">万件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月 ≈ </t>
    </r>
    <r>
      <rPr>
        <sz val="10"/>
        <color rgb="FF000000"/>
        <rFont val="Arial"/>
        <family val="0"/>
        <charset val="1"/>
      </rPr>
      <t xml:space="preserve">$3k-$10k/</t>
    </r>
    <r>
      <rPr>
        <sz val="10"/>
        <color rgb="FF000000"/>
        <rFont val="DejaVu Sans"/>
        <family val="2"/>
      </rPr>
      <t xml:space="preserve">月）</t>
    </r>
  </si>
  <si>
    <t xml:space="preserve">EU/UK VAT</t>
  </si>
  <si>
    <r>
      <rPr>
        <sz val="10"/>
        <color rgb="FF000000"/>
        <rFont val="Arial"/>
        <family val="0"/>
        <charset val="1"/>
      </rPr>
      <t xml:space="preserve">Avalara EU VAT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IOSS </t>
    </r>
    <r>
      <rPr>
        <sz val="10"/>
        <color rgb="FF000000"/>
        <rFont val="DejaVu Sans"/>
        <family val="2"/>
      </rPr>
      <t xml:space="preserve">申报 </t>
    </r>
    <r>
      <rPr>
        <sz val="10"/>
        <color rgb="FF000000"/>
        <rFont val="Arial"/>
        <family val="0"/>
        <charset val="1"/>
      </rPr>
      <t xml:space="preserve">~$8k-$20k/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</si>
  <si>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Fallback / </t>
    </r>
    <r>
      <rPr>
        <sz val="10"/>
        <color rgb="FF000000"/>
        <rFont val="DejaVu Sans"/>
        <family val="2"/>
      </rPr>
      <t xml:space="preserve">静态层</t>
    </r>
  </si>
  <si>
    <r>
      <rPr>
        <sz val="10"/>
        <color rgb="FF000000"/>
        <rFont val="Arial"/>
        <family val="0"/>
        <charset val="1"/>
      </rPr>
      <t xml:space="preserve">WTO + TARIC </t>
    </r>
    <r>
      <rPr>
        <sz val="10"/>
        <color rgb="FF000000"/>
        <rFont val="DejaVu Sans"/>
        <family val="2"/>
      </rPr>
      <t xml:space="preserve">免费下载</t>
    </r>
  </si>
  <si>
    <r>
      <rPr>
        <b val="true"/>
        <sz val="14"/>
        <color rgb="FF1F4E78"/>
        <rFont val="DejaVu Sans"/>
        <family val="2"/>
      </rPr>
      <t xml:space="preserve">家居家具品类 </t>
    </r>
    <r>
      <rPr>
        <b val="true"/>
        <sz val="14"/>
        <color rgb="FF1F4E78"/>
        <rFont val="DejaVu Sans"/>
        <family val="2"/>
        <charset val="1"/>
      </rPr>
      <t xml:space="preserve">- </t>
    </r>
    <r>
      <rPr>
        <b val="true"/>
        <sz val="14"/>
        <color rgb="FF1F4E78"/>
        <rFont val="DejaVu Sans"/>
        <family val="2"/>
      </rPr>
      <t xml:space="preserve">分市场分平台 </t>
    </r>
    <r>
      <rPr>
        <b val="true"/>
        <sz val="14"/>
        <color rgb="FF1F4E78"/>
        <rFont val="DejaVu Sans"/>
        <family val="2"/>
        <charset val="1"/>
      </rPr>
      <t xml:space="preserve">CPM / CTR / CVR / AOV </t>
    </r>
    <r>
      <rPr>
        <b val="true"/>
        <sz val="14"/>
        <color rgb="FF1F4E78"/>
        <rFont val="DejaVu Sans"/>
        <family val="2"/>
      </rPr>
      <t xml:space="preserve">数字 </t>
    </r>
    <r>
      <rPr>
        <b val="true"/>
        <sz val="14"/>
        <color rgb="FF1F4E78"/>
        <rFont val="DejaVu Sans"/>
        <family val="2"/>
        <charset val="1"/>
      </rPr>
      <t xml:space="preserve">(2025-2026)</t>
    </r>
  </si>
  <si>
    <r>
      <rPr>
        <b val="true"/>
        <sz val="11"/>
        <color rgb="FF000000"/>
        <rFont val="Arial"/>
        <family val="0"/>
        <charset val="1"/>
      </rPr>
      <t xml:space="preserve">1️⃣ Meta Ads (Facebook + Instagram) - 32 </t>
    </r>
    <r>
      <rPr>
        <b val="true"/>
        <sz val="11"/>
        <color rgb="FF000000"/>
        <rFont val="DejaVu Sans"/>
        <family val="2"/>
      </rPr>
      <t xml:space="preserve">国 </t>
    </r>
    <r>
      <rPr>
        <b val="true"/>
        <sz val="11"/>
        <color rgb="FF000000"/>
        <rFont val="Arial"/>
        <family val="0"/>
        <charset val="1"/>
      </rPr>
      <t xml:space="preserve">CPM/CTR/CVR/AOV</t>
    </r>
  </si>
  <si>
    <r>
      <rPr>
        <b val="true"/>
        <sz val="11"/>
        <color rgb="FFFFFFFF"/>
        <rFont val="Arial"/>
        <family val="0"/>
        <charset val="1"/>
      </rPr>
      <t xml:space="preserve">Tier </t>
    </r>
    <r>
      <rPr>
        <b val="true"/>
        <sz val="11"/>
        <color rgb="FFFFFFFF"/>
        <rFont val="DejaVu Sans"/>
        <family val="2"/>
      </rPr>
      <t xml:space="preserve">分层</t>
    </r>
  </si>
  <si>
    <t xml:space="preserve">CPM (USD)</t>
  </si>
  <si>
    <t xml:space="preserve">CTR (Furniture)</t>
  </si>
  <si>
    <r>
      <rPr>
        <b val="true"/>
        <sz val="11"/>
        <color rgb="FFFFFFFF"/>
        <rFont val="Arial"/>
        <family val="0"/>
        <charset val="1"/>
      </rPr>
      <t xml:space="preserve">CVR (</t>
    </r>
    <r>
      <rPr>
        <b val="true"/>
        <sz val="11"/>
        <color rgb="FFFFFFFF"/>
        <rFont val="DejaVu Sans"/>
        <family val="2"/>
      </rPr>
      <t xml:space="preserve">独立站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</si>
  <si>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AOV (USD)</t>
  </si>
  <si>
    <t xml:space="preserve">🇺🇸 US</t>
  </si>
  <si>
    <t xml:space="preserve">Tier 1</t>
  </si>
  <si>
    <r>
      <rPr>
        <sz val="10"/>
        <color rgb="FF000000"/>
        <rFont val="Arial"/>
        <family val="0"/>
        <charset val="1"/>
      </rPr>
      <t xml:space="preserve">$20.48 ($23 </t>
    </r>
    <r>
      <rPr>
        <sz val="10"/>
        <color rgb="FF000000"/>
        <rFont val="DejaVu Sans"/>
        <family val="2"/>
      </rPr>
      <t xml:space="preserve">峰值</t>
    </r>
    <r>
      <rPr>
        <sz val="10"/>
        <color rgb="FF000000"/>
        <rFont val="Arial"/>
        <family val="0"/>
        <charset val="1"/>
      </rPr>
      <t xml:space="preserve">)</t>
    </r>
  </si>
  <si>
    <t xml:space="preserve">1.48% (-46% YoY)</t>
  </si>
  <si>
    <t xml:space="preserve">0.8%-1.8%</t>
  </si>
  <si>
    <t xml:space="preserve">$200-$800+</t>
  </si>
  <si>
    <t xml:space="preserve">Adligator/WordStream 2025-2026</t>
  </si>
  <si>
    <r>
      <rPr>
        <sz val="10"/>
        <color rgb="FF000000"/>
        <rFont val="DejaVu Sans"/>
        <family val="2"/>
      </rPr>
      <t xml:space="preserve">贵但高 </t>
    </r>
    <r>
      <rPr>
        <sz val="10"/>
        <color rgb="FF000000"/>
        <rFont val="DejaVu Sans"/>
        <family val="2"/>
        <charset val="1"/>
      </rPr>
      <t xml:space="preserve">AOV</t>
    </r>
    <r>
      <rPr>
        <sz val="10"/>
        <color rgb="FF000000"/>
        <rFont val="DejaVu Sans"/>
        <family val="2"/>
      </rPr>
      <t xml:space="preserve">，主战场</t>
    </r>
  </si>
  <si>
    <t xml:space="preserve">🇬🇧 UK</t>
  </si>
  <si>
    <t xml:space="preserve">Tier 2</t>
  </si>
  <si>
    <t xml:space="preserve">$10.31-$11.81</t>
  </si>
  <si>
    <t xml:space="preserve">~1.5%</t>
  </si>
  <si>
    <t xml:space="preserve">1.0%-1.8%</t>
  </si>
  <si>
    <t xml:space="preserve">$150-$600</t>
  </si>
  <si>
    <t xml:space="preserve">Lebesgue 2026</t>
  </si>
  <si>
    <t xml:space="preserve">🇩🇪 DE</t>
  </si>
  <si>
    <t xml:space="preserve">$9.05-$10.05</t>
  </si>
  <si>
    <t xml:space="preserve">~1.4%</t>
  </si>
  <si>
    <t xml:space="preserve">0.9%-1.6%</t>
  </si>
  <si>
    <t xml:space="preserve">$180-$700</t>
  </si>
  <si>
    <t xml:space="preserve">AdAmigo 2026</t>
  </si>
  <si>
    <t xml:space="preserve">家居市场大</t>
  </si>
  <si>
    <t xml:space="preserve">🇫🇷 FR</t>
  </si>
  <si>
    <t xml:space="preserve">$8-$10</t>
  </si>
  <si>
    <t xml:space="preserve">~1.3%</t>
  </si>
  <si>
    <t xml:space="preserve">0.8%-1.5%</t>
  </si>
  <si>
    <t xml:space="preserve">推算</t>
  </si>
  <si>
    <t xml:space="preserve">🇯🇵 JP</t>
  </si>
  <si>
    <t xml:space="preserve">Tier 2.5</t>
  </si>
  <si>
    <t xml:space="preserve">$6.73</t>
  </si>
  <si>
    <t xml:space="preserve">~1.0%</t>
  </si>
  <si>
    <t xml:space="preserve">0.7%-1.2%</t>
  </si>
  <si>
    <t xml:space="preserve">$80-$300</t>
  </si>
  <si>
    <t xml:space="preserve">Dancing Chicken 2026</t>
  </si>
  <si>
    <t xml:space="preserve">🇸🇬 SG</t>
  </si>
  <si>
    <t xml:space="preserve">$7.21</t>
  </si>
  <si>
    <t xml:space="preserve">~1.2%</t>
  </si>
  <si>
    <t xml:space="preserve">1.0%-1.5%</t>
  </si>
  <si>
    <t xml:space="preserve">$100-$400</t>
  </si>
  <si>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客单最高</t>
    </r>
  </si>
  <si>
    <t xml:space="preserve">🇵🇭 PH</t>
  </si>
  <si>
    <t xml:space="preserve">Tier 3</t>
  </si>
  <si>
    <t xml:space="preserve">$3.50</t>
  </si>
  <si>
    <t xml:space="preserve">1.2%-2.0%</t>
  </si>
  <si>
    <t xml:space="preserve">$30-$120</t>
  </si>
  <si>
    <t xml:space="preserve">便宜</t>
  </si>
  <si>
    <t xml:space="preserve">🇮🇩 ID</t>
  </si>
  <si>
    <t xml:space="preserve">$2-$4</t>
  </si>
  <si>
    <t xml:space="preserve">1.5%-2.5%</t>
  </si>
  <si>
    <t xml:space="preserve">$15-$80</t>
  </si>
  <si>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整体</t>
    </r>
  </si>
  <si>
    <r>
      <rPr>
        <sz val="10"/>
        <color rgb="FF000000"/>
        <rFont val="DejaVu Sans"/>
        <family val="2"/>
      </rPr>
      <t xml:space="preserve">最低 </t>
    </r>
    <r>
      <rPr>
        <sz val="10"/>
        <color rgb="FF000000"/>
        <rFont val="DejaVu Sans"/>
        <family val="2"/>
        <charset val="1"/>
      </rPr>
      <t xml:space="preserve">CPM</t>
    </r>
  </si>
  <si>
    <t xml:space="preserve">🇹🇭 TH</t>
  </si>
  <si>
    <t xml:space="preserve">1.3%-2.2%</t>
  </si>
  <si>
    <t xml:space="preserve">$25-$100</t>
  </si>
  <si>
    <t xml:space="preserve">🇲🇾 MY / 🇻🇳 VN</t>
  </si>
  <si>
    <t xml:space="preserve">1.0%-2.0%</t>
  </si>
  <si>
    <t xml:space="preserve">$20-$100</t>
  </si>
  <si>
    <t xml:space="preserve">全球均值</t>
  </si>
  <si>
    <t xml:space="preserve">$6.59</t>
  </si>
  <si>
    <r>
      <rPr>
        <sz val="10"/>
        <color rgb="FF000000"/>
        <rFont val="DejaVu Sans"/>
        <family val="2"/>
      </rPr>
      <t xml:space="preserve">全行业中位数 </t>
    </r>
    <r>
      <rPr>
        <sz val="10"/>
        <color rgb="FF000000"/>
        <rFont val="DejaVu Sans"/>
        <family val="2"/>
        <charset val="1"/>
      </rPr>
      <t xml:space="preserve">(US heavy)</t>
    </r>
  </si>
  <si>
    <t xml:space="preserve">$13.48</t>
  </si>
  <si>
    <t xml:space="preserve">WordStream 2025</t>
  </si>
  <si>
    <r>
      <rPr>
        <b val="true"/>
        <sz val="11"/>
        <color rgb="FF000000"/>
        <rFont val="Arial"/>
        <family val="0"/>
        <charset val="1"/>
      </rPr>
      <t xml:space="preserve">2️⃣ Amazon PPC - </t>
    </r>
    <r>
      <rPr>
        <b val="true"/>
        <sz val="11"/>
        <color rgb="FF000000"/>
        <rFont val="DejaVu Sans"/>
        <family val="2"/>
      </rPr>
      <t xml:space="preserve">各广告类型 </t>
    </r>
    <r>
      <rPr>
        <b val="true"/>
        <sz val="11"/>
        <color rgb="FF000000"/>
        <rFont val="Arial"/>
        <family val="0"/>
        <charset val="1"/>
      </rPr>
      <t xml:space="preserve">CPC/ACoS/CR (Home &amp; Kitchen)</t>
    </r>
  </si>
  <si>
    <t xml:space="preserve">指标</t>
  </si>
  <si>
    <r>
      <rPr>
        <b val="true"/>
        <sz val="11"/>
        <color rgb="FFFFFFFF"/>
        <rFont val="DejaVu Sans"/>
        <family val="2"/>
      </rPr>
      <t xml:space="preserve">全 </t>
    </r>
    <r>
      <rPr>
        <b val="true"/>
        <sz val="11"/>
        <color rgb="FFFFFFFF"/>
        <rFont val="DejaVu Sans"/>
        <family val="2"/>
        <charset val="1"/>
      </rPr>
      <t xml:space="preserve">Amazon </t>
    </r>
    <r>
      <rPr>
        <b val="true"/>
        <sz val="11"/>
        <color rgb="FFFFFFFF"/>
        <rFont val="DejaVu Sans"/>
        <family val="2"/>
      </rPr>
      <t xml:space="preserve">均值</t>
    </r>
  </si>
  <si>
    <t xml:space="preserve">Home &amp; Kitchen</t>
  </si>
  <si>
    <t xml:space="preserve">顶尖水平</t>
  </si>
  <si>
    <r>
      <rPr>
        <sz val="10"/>
        <color rgb="FF000000"/>
        <rFont val="DejaVu Sans"/>
        <family val="2"/>
      </rPr>
      <t xml:space="preserve">平均 </t>
    </r>
    <r>
      <rPr>
        <sz val="10"/>
        <color rgb="FF000000"/>
        <rFont val="DejaVu Sans"/>
        <family val="2"/>
        <charset val="1"/>
      </rPr>
      <t xml:space="preserve">CPC (SP)</t>
    </r>
  </si>
  <si>
    <t xml:space="preserve">$1.04 (2025) → $1.18 (2026)</t>
  </si>
  <si>
    <t xml:space="preserve">$0.85-$1.10</t>
  </si>
  <si>
    <t xml:space="preserve">Ad Badger / Sellermetrics</t>
  </si>
  <si>
    <r>
      <rPr>
        <sz val="10"/>
        <color rgb="FF000000"/>
        <rFont val="Arial"/>
        <family val="0"/>
        <charset val="1"/>
      </rPr>
      <t xml:space="preserve">2026/2 </t>
    </r>
    <r>
      <rPr>
        <sz val="10"/>
        <color rgb="FF000000"/>
        <rFont val="DejaVu Sans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$1.21</t>
    </r>
  </si>
  <si>
    <r>
      <rPr>
        <sz val="10"/>
        <color rgb="FF000000"/>
        <rFont val="DejaVu Sans"/>
        <family val="2"/>
      </rPr>
      <t xml:space="preserve">平均 </t>
    </r>
    <r>
      <rPr>
        <sz val="10"/>
        <color rgb="FF000000"/>
        <rFont val="DejaVu Sans"/>
        <family val="2"/>
        <charset val="1"/>
      </rPr>
      <t xml:space="preserve">CPC (SB)</t>
    </r>
  </si>
  <si>
    <t xml:space="preserve">$1.10-$2.50</t>
  </si>
  <si>
    <r>
      <rPr>
        <sz val="10"/>
        <color rgb="FF000000"/>
        <rFont val="Arial"/>
        <family val="0"/>
        <charset val="1"/>
      </rPr>
      <t xml:space="preserve">Home Decor ~$1.20</t>
    </r>
    <r>
      <rPr>
        <sz val="10"/>
        <color rgb="FF000000"/>
        <rFont val="DejaVu Sans"/>
        <family val="2"/>
      </rPr>
      <t xml:space="preserve">；大件 </t>
    </r>
    <r>
      <rPr>
        <sz val="10"/>
        <color rgb="FF000000"/>
        <rFont val="Arial"/>
        <family val="0"/>
        <charset val="1"/>
      </rPr>
      <t xml:space="preserve">$2+</t>
    </r>
  </si>
  <si>
    <t xml:space="preserve">Trellis/OwlClaw</t>
  </si>
  <si>
    <t xml:space="preserve">高客单价拉竞价</t>
  </si>
  <si>
    <r>
      <rPr>
        <sz val="10"/>
        <color rgb="FF000000"/>
        <rFont val="DejaVu Sans"/>
        <family val="2"/>
      </rPr>
      <t xml:space="preserve">平均 </t>
    </r>
    <r>
      <rPr>
        <sz val="10"/>
        <color rgb="FF000000"/>
        <rFont val="DejaVu Sans"/>
        <family val="2"/>
        <charset val="1"/>
      </rPr>
      <t xml:space="preserve">CPC (SD)</t>
    </r>
  </si>
  <si>
    <t xml:space="preserve">$0.80-$1.60</t>
  </si>
  <si>
    <t xml:space="preserve">家居偏低端</t>
  </si>
  <si>
    <t xml:space="preserve">Sequence Commerce</t>
  </si>
  <si>
    <r>
      <rPr>
        <sz val="10"/>
        <color rgb="FF000000"/>
        <rFont val="DejaVu Sans"/>
        <family val="2"/>
      </rPr>
      <t xml:space="preserve">平均 </t>
    </r>
    <r>
      <rPr>
        <sz val="10"/>
        <color rgb="FF000000"/>
        <rFont val="DejaVu Sans"/>
        <family val="2"/>
        <charset val="1"/>
      </rPr>
      <t xml:space="preserve">ACoS</t>
    </r>
  </si>
  <si>
    <t xml:space="preserve">30.2% (2025) → 32-35% (2026)</t>
  </si>
  <si>
    <t xml:space="preserve">略高于均值</t>
  </si>
  <si>
    <t xml:space="preserve">22-25%</t>
  </si>
  <si>
    <t xml:space="preserve">salesduo / Ad Badger</t>
  </si>
  <si>
    <t xml:space="preserve">成熟期目标</t>
  </si>
  <si>
    <r>
      <rPr>
        <sz val="10"/>
        <color rgb="FF000000"/>
        <rFont val="DejaVu Sans"/>
        <family val="2"/>
      </rPr>
      <t xml:space="preserve">平均 </t>
    </r>
    <r>
      <rPr>
        <sz val="10"/>
        <color rgb="FF000000"/>
        <rFont val="DejaVu Sans"/>
        <family val="2"/>
        <charset val="1"/>
      </rPr>
      <t xml:space="preserve">CR</t>
    </r>
  </si>
  <si>
    <t xml:space="preserve">9.96%</t>
  </si>
  <si>
    <t xml:space="preserve">~6.5%</t>
  </si>
  <si>
    <t xml:space="preserve">Adverio / atom11</t>
  </si>
  <si>
    <r>
      <rPr>
        <sz val="10"/>
        <color rgb="FF000000"/>
        <rFont val="DejaVu Sans"/>
        <family val="2"/>
      </rPr>
      <t xml:space="preserve">决策周期长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高客单</t>
    </r>
  </si>
  <si>
    <r>
      <rPr>
        <sz val="10"/>
        <color rgb="FF000000"/>
        <rFont val="Arial"/>
        <family val="0"/>
        <charset val="1"/>
      </rPr>
      <t xml:space="preserve">TACoS </t>
    </r>
    <r>
      <rPr>
        <sz val="10"/>
        <color rgb="FF000000"/>
        <rFont val="DejaVu Sans"/>
        <family val="2"/>
      </rPr>
      <t xml:space="preserve">健康区间</t>
    </r>
  </si>
  <si>
    <r>
      <rPr>
        <sz val="10"/>
        <color rgb="FF000000"/>
        <rFont val="Arial"/>
        <family val="0"/>
        <charset val="1"/>
      </rPr>
      <t xml:space="preserve">12-18% </t>
    </r>
    <r>
      <rPr>
        <sz val="10"/>
        <color rgb="FF000000"/>
        <rFont val="DejaVu Sans"/>
        <family val="2"/>
      </rPr>
      <t xml:space="preserve">主流</t>
    </r>
  </si>
  <si>
    <r>
      <rPr>
        <sz val="10"/>
        <color rgb="FF000000"/>
        <rFont val="Arial"/>
        <family val="0"/>
        <charset val="1"/>
      </rPr>
      <t xml:space="preserve">8-10% </t>
    </r>
    <r>
      <rPr>
        <sz val="10"/>
        <color rgb="FF000000"/>
        <rFont val="DejaVu Sans"/>
        <family val="2"/>
      </rPr>
      <t xml:space="preserve">规模化后</t>
    </r>
  </si>
  <si>
    <t xml:space="preserve">Canopy Management</t>
  </si>
  <si>
    <t xml:space="preserve">UK/DE CPC</t>
  </si>
  <si>
    <r>
      <rPr>
        <sz val="10"/>
        <color rgb="FF000000"/>
        <rFont val="DejaVu Sans"/>
        <family val="2"/>
      </rPr>
      <t xml:space="preserve">为 </t>
    </r>
    <r>
      <rPr>
        <sz val="10"/>
        <color rgb="FF000000"/>
        <rFont val="DejaVu Sans"/>
        <family val="2"/>
        <charset val="1"/>
      </rPr>
      <t xml:space="preserve">US </t>
    </r>
    <r>
      <rPr>
        <sz val="10"/>
        <color rgb="FF000000"/>
        <rFont val="DejaVu Sans"/>
        <family val="2"/>
      </rPr>
      <t xml:space="preserve">的 </t>
    </r>
    <r>
      <rPr>
        <sz val="10"/>
        <color rgb="FF000000"/>
        <rFont val="DejaVu Sans"/>
        <family val="2"/>
        <charset val="1"/>
      </rPr>
      <t xml:space="preserve">70-85%</t>
    </r>
  </si>
  <si>
    <t xml:space="preserve">JP CPC</t>
  </si>
  <si>
    <r>
      <rPr>
        <sz val="10"/>
        <color rgb="FF000000"/>
        <rFont val="DejaVu Sans"/>
        <family val="2"/>
      </rPr>
      <t xml:space="preserve">为 </t>
    </r>
    <r>
      <rPr>
        <sz val="10"/>
        <color rgb="FF000000"/>
        <rFont val="DejaVu Sans"/>
        <family val="2"/>
        <charset val="1"/>
      </rPr>
      <t xml:space="preserve">US </t>
    </r>
    <r>
      <rPr>
        <sz val="10"/>
        <color rgb="FF000000"/>
        <rFont val="DejaVu Sans"/>
        <family val="2"/>
      </rPr>
      <t xml:space="preserve">的 </t>
    </r>
    <r>
      <rPr>
        <sz val="10"/>
        <color rgb="FF000000"/>
        <rFont val="DejaVu Sans"/>
        <family val="2"/>
        <charset val="1"/>
      </rPr>
      <t xml:space="preserve">50-65%</t>
    </r>
  </si>
  <si>
    <t xml:space="preserve">广告竞争近年加剧</t>
  </si>
  <si>
    <r>
      <rPr>
        <b val="true"/>
        <sz val="11"/>
        <color rgb="FF000000"/>
        <rFont val="Arial"/>
        <family val="0"/>
        <charset val="1"/>
      </rPr>
      <t xml:space="preserve">3️⃣ TikTok Ads + TikTok Shop - </t>
    </r>
    <r>
      <rPr>
        <b val="true"/>
        <sz val="11"/>
        <color rgb="FF000000"/>
        <rFont val="DejaVu Sans"/>
        <family val="2"/>
      </rPr>
      <t xml:space="preserve">分市场 </t>
    </r>
    <r>
      <rPr>
        <b val="true"/>
        <sz val="11"/>
        <color rgb="FF000000"/>
        <rFont val="Arial"/>
        <family val="0"/>
        <charset val="1"/>
      </rPr>
      <t xml:space="preserve">CPM/CTR/CVR/AOV/GPM</t>
    </r>
  </si>
  <si>
    <t xml:space="preserve">CPM</t>
  </si>
  <si>
    <t xml:space="preserve">CTR</t>
  </si>
  <si>
    <t xml:space="preserve">CVR</t>
  </si>
  <si>
    <t xml:space="preserve">CPC</t>
  </si>
  <si>
    <t xml:space="preserve">AOV/GPM</t>
  </si>
  <si>
    <r>
      <rPr>
        <sz val="10"/>
        <color rgb="FF000000"/>
        <rFont val="DejaVu Sans"/>
        <family val="2"/>
      </rPr>
      <t xml:space="preserve">全 </t>
    </r>
    <r>
      <rPr>
        <sz val="10"/>
        <color rgb="FF000000"/>
        <rFont val="DejaVu Sans"/>
        <family val="2"/>
        <charset val="1"/>
      </rPr>
      <t xml:space="preserve">TikTok </t>
    </r>
    <r>
      <rPr>
        <sz val="10"/>
        <color rgb="FF000000"/>
        <rFont val="DejaVu Sans"/>
        <family val="2"/>
      </rPr>
      <t xml:space="preserve">均值 </t>
    </r>
    <r>
      <rPr>
        <sz val="10"/>
        <color rgb="FF000000"/>
        <rFont val="DejaVu Sans"/>
        <family val="2"/>
        <charset val="1"/>
      </rPr>
      <t xml:space="preserve">(2025)</t>
    </r>
  </si>
  <si>
    <t xml:space="preserve">All</t>
  </si>
  <si>
    <t xml:space="preserve">$13.26 (+16% YoY)</t>
  </si>
  <si>
    <t xml:space="preserve">~1.0% (+13.7%)</t>
  </si>
  <si>
    <t xml:space="preserve">2.01% (-6.2%)</t>
  </si>
  <si>
    <t xml:space="preserve">$1.0-2.0</t>
  </si>
  <si>
    <t xml:space="preserve">Lebesgue/TripleWhale</t>
  </si>
  <si>
    <t xml:space="preserve">Home &amp; Garden / Furniture</t>
  </si>
  <si>
    <t xml:space="preserve">$10-14</t>
  </si>
  <si>
    <t xml:space="preserve">0.68%-1.2%</t>
  </si>
  <si>
    <r>
      <rPr>
        <sz val="10"/>
        <color rgb="FF000000"/>
        <rFont val="Arial"/>
        <family val="0"/>
        <charset val="1"/>
      </rPr>
      <t xml:space="preserve">$0.54 </t>
    </r>
    <r>
      <rPr>
        <sz val="10"/>
        <color rgb="FF000000"/>
        <rFont val="DejaVu Sans"/>
        <family val="2"/>
      </rPr>
      <t xml:space="preserve">中位</t>
    </r>
  </si>
  <si>
    <t xml:space="preserve">AOV $45-$95</t>
  </si>
  <si>
    <r>
      <rPr>
        <sz val="10"/>
        <color rgb="FF000000"/>
        <rFont val="Arial"/>
        <family val="0"/>
        <charset val="1"/>
      </rPr>
      <t xml:space="preserve">CTR top3 </t>
    </r>
    <r>
      <rPr>
        <sz val="10"/>
        <color rgb="FF000000"/>
        <rFont val="DejaVu Sans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MER 0.20 </t>
    </r>
    <r>
      <rPr>
        <sz val="10"/>
        <color rgb="FF000000"/>
        <rFont val="DejaVu Sans"/>
        <family val="2"/>
      </rPr>
      <t xml:space="preserve">垫底</t>
    </r>
  </si>
  <si>
    <t xml:space="preserve">Home Living</t>
  </si>
  <si>
    <t xml:space="preserve">$8-12</t>
  </si>
  <si>
    <t xml:space="preserve">0.7%-1.1%</t>
  </si>
  <si>
    <t xml:space="preserve">1.0%-1.6%</t>
  </si>
  <si>
    <t xml:space="preserve">$0.4-0.7</t>
  </si>
  <si>
    <t xml:space="preserve">AOV £40-£80</t>
  </si>
  <si>
    <r>
      <rPr>
        <sz val="10"/>
        <color rgb="FF000000"/>
        <rFont val="DejaVu Sans"/>
        <family val="2"/>
      </rPr>
      <t xml:space="preserve">比 </t>
    </r>
    <r>
      <rPr>
        <sz val="10"/>
        <color rgb="FF000000"/>
        <rFont val="DejaVu Sans"/>
        <family val="2"/>
        <charset val="1"/>
      </rPr>
      <t xml:space="preserve">US </t>
    </r>
    <r>
      <rPr>
        <sz val="10"/>
        <color rgb="FF000000"/>
        <rFont val="DejaVu Sans"/>
        <family val="2"/>
      </rPr>
      <t xml:space="preserve">便宜</t>
    </r>
  </si>
  <si>
    <t xml:space="preserve">🇩🇪/🇫🇷/🇮🇹 EU</t>
  </si>
  <si>
    <r>
      <rPr>
        <sz val="10"/>
        <color rgb="FF000000"/>
        <rFont val="Arial"/>
        <family val="0"/>
        <charset val="1"/>
      </rPr>
      <t xml:space="preserve">Home</t>
    </r>
    <r>
      <rPr>
        <sz val="10"/>
        <color rgb="FF000000"/>
        <rFont val="DejaVu Sans"/>
        <family val="2"/>
      </rPr>
      <t xml:space="preserve">（新站）</t>
    </r>
  </si>
  <si>
    <r>
      <rPr>
        <sz val="10"/>
        <color rgb="FF000000"/>
        <rFont val="Arial"/>
        <family val="0"/>
        <charset val="1"/>
      </rPr>
      <t xml:space="preserve">$4-8 (</t>
    </r>
    <r>
      <rPr>
        <sz val="10"/>
        <color rgb="FF000000"/>
        <rFont val="DejaVu Sans"/>
        <family val="2"/>
      </rPr>
      <t xml:space="preserve">红利期</t>
    </r>
    <r>
      <rPr>
        <sz val="10"/>
        <color rgb="FF000000"/>
        <rFont val="Arial"/>
        <family val="0"/>
        <charset val="1"/>
      </rPr>
      <t xml:space="preserve">)</t>
    </r>
  </si>
  <si>
    <t xml:space="preserve">0.8%-1.3%</t>
  </si>
  <si>
    <t xml:space="preserve">0.6%-1.2%</t>
  </si>
  <si>
    <t xml:space="preserve">$0.3-0.5</t>
  </si>
  <si>
    <t xml:space="preserve">AOV €30-€70</t>
  </si>
  <si>
    <r>
      <rPr>
        <sz val="10"/>
        <color rgb="FF000000"/>
        <rFont val="Arial"/>
        <family val="0"/>
        <charset val="1"/>
      </rPr>
      <t xml:space="preserve">2025 Q2 </t>
    </r>
    <r>
      <rPr>
        <sz val="10"/>
        <color rgb="FF000000"/>
        <rFont val="DejaVu Sans"/>
        <family val="2"/>
      </rPr>
      <t xml:space="preserve">新开站冷启动</t>
    </r>
  </si>
  <si>
    <t xml:space="preserve">Home Essentials</t>
  </si>
  <si>
    <t xml:space="preserve">$0.5-2</t>
  </si>
  <si>
    <t xml:space="preserve">$0.05-0.15</t>
  </si>
  <si>
    <t xml:space="preserve">AOV $8-15</t>
  </si>
  <si>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最低 </t>
    </r>
    <r>
      <rPr>
        <sz val="10"/>
        <color rgb="FF000000"/>
        <rFont val="Arial"/>
        <family val="0"/>
        <charset val="1"/>
      </rPr>
      <t xml:space="preserve">CPM </t>
    </r>
    <r>
      <rPr>
        <sz val="10"/>
        <color rgb="FF000000"/>
        <rFont val="DejaVu Sans"/>
        <family val="2"/>
      </rPr>
      <t xml:space="preserve">但客单低</t>
    </r>
  </si>
  <si>
    <t xml:space="preserve">🇹🇭 TH / 🇻🇳 VN</t>
  </si>
  <si>
    <t xml:space="preserve">$1-3</t>
  </si>
  <si>
    <t xml:space="preserve">$0.08-0.20</t>
  </si>
  <si>
    <t xml:space="preserve">AOV $10-18</t>
  </si>
  <si>
    <t xml:space="preserve">🇲🇾/🇵🇭/🇸🇬</t>
  </si>
  <si>
    <r>
      <rPr>
        <sz val="10"/>
        <color rgb="FF000000"/>
        <rFont val="Arial"/>
        <family val="0"/>
        <charset val="1"/>
      </rPr>
      <t xml:space="preserve">$2-5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 </t>
    </r>
    <r>
      <rPr>
        <sz val="10"/>
        <color rgb="FF000000"/>
        <rFont val="DejaVu Sans"/>
        <family val="2"/>
      </rPr>
      <t xml:space="preserve">偏高）</t>
    </r>
  </si>
  <si>
    <t xml:space="preserve">0.9%-1.5%</t>
  </si>
  <si>
    <t xml:space="preserve">$0.15-0.35</t>
  </si>
  <si>
    <t xml:space="preserve">AOV $15-25</t>
  </si>
  <si>
    <r>
      <rPr>
        <sz val="10"/>
        <color rgb="FF000000"/>
        <rFont val="Arial"/>
        <family val="0"/>
        <charset val="1"/>
      </rPr>
      <t xml:space="preserve">SG </t>
    </r>
    <r>
      <rPr>
        <sz val="10"/>
        <color rgb="FF000000"/>
        <rFont val="DejaVu Sans"/>
        <family val="2"/>
      </rPr>
      <t xml:space="preserve">客单最高</t>
    </r>
  </si>
  <si>
    <r>
      <rPr>
        <sz val="10"/>
        <color rgb="FF000000"/>
        <rFont val="Arial"/>
        <family val="0"/>
        <charset val="1"/>
      </rPr>
      <t xml:space="preserve">🇯🇵 JP</t>
    </r>
    <r>
      <rPr>
        <sz val="10"/>
        <color rgb="FF000000"/>
        <rFont val="DejaVu Sans"/>
        <family val="2"/>
      </rPr>
      <t xml:space="preserve">（仅 </t>
    </r>
    <r>
      <rPr>
        <sz val="10"/>
        <color rgb="FF000000"/>
        <rFont val="Arial"/>
        <family val="0"/>
        <charset val="1"/>
      </rPr>
      <t xml:space="preserve">Ads</t>
    </r>
    <r>
      <rPr>
        <sz val="10"/>
        <color rgb="FF000000"/>
        <rFont val="DejaVu Sans"/>
        <family val="2"/>
      </rPr>
      <t xml:space="preserve">）</t>
    </r>
  </si>
  <si>
    <t xml:space="preserve">Home</t>
  </si>
  <si>
    <t xml:space="preserve">$6-10</t>
  </si>
  <si>
    <t xml:space="preserve">0.5%-0.9%</t>
  </si>
  <si>
    <t xml:space="preserve">$0.3-0.6</t>
  </si>
  <si>
    <r>
      <rPr>
        <sz val="10"/>
        <color rgb="FF000000"/>
        <rFont val="Arial"/>
        <family val="0"/>
        <charset val="1"/>
      </rPr>
      <t xml:space="preserve">AOV $50-120 (</t>
    </r>
    <r>
      <rPr>
        <sz val="10"/>
        <color rgb="FF000000"/>
        <rFont val="DejaVu Sans"/>
        <family val="2"/>
      </rPr>
      <t xml:space="preserve">站外承接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</si>
  <si>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Shop </t>
    </r>
    <r>
      <rPr>
        <sz val="10"/>
        <color rgb="FF000000"/>
        <rFont val="DejaVu Sans"/>
        <family val="2"/>
      </rPr>
      <t xml:space="preserve">未开</t>
    </r>
  </si>
  <si>
    <r>
      <rPr>
        <sz val="10"/>
        <color rgb="FF000000"/>
        <rFont val="Arial"/>
        <family val="0"/>
        <charset val="1"/>
      </rPr>
      <t xml:space="preserve">🇨🇦 CA</t>
    </r>
    <r>
      <rPr>
        <sz val="10"/>
        <color rgb="FF000000"/>
        <rFont val="DejaVu Sans"/>
        <family val="2"/>
      </rPr>
      <t xml:space="preserve">（仅 </t>
    </r>
    <r>
      <rPr>
        <sz val="10"/>
        <color rgb="FF000000"/>
        <rFont val="Arial"/>
        <family val="0"/>
        <charset val="1"/>
      </rPr>
      <t xml:space="preserve">Ads</t>
    </r>
    <r>
      <rPr>
        <sz val="10"/>
        <color rgb="FF000000"/>
        <rFont val="DejaVu Sans"/>
        <family val="2"/>
      </rPr>
      <t xml:space="preserve">）</t>
    </r>
  </si>
  <si>
    <t xml:space="preserve">$10-13</t>
  </si>
  <si>
    <t xml:space="preserve">0.8%-1.4%</t>
  </si>
  <si>
    <t xml:space="preserve">$0.5-0.9</t>
  </si>
  <si>
    <r>
      <rPr>
        <sz val="10"/>
        <color rgb="FF000000"/>
        <rFont val="Arial"/>
        <family val="0"/>
        <charset val="1"/>
      </rPr>
      <t xml:space="preserve">AOV $80-200 (</t>
    </r>
    <r>
      <rPr>
        <sz val="10"/>
        <color rgb="FF000000"/>
        <rFont val="DejaVu Sans"/>
        <family val="2"/>
      </rPr>
      <t xml:space="preserve">站外承接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</si>
  <si>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▶ TikTok Shop </t>
    </r>
    <r>
      <rPr>
        <b val="true"/>
        <sz val="11"/>
        <color rgb="FF000000"/>
        <rFont val="DejaVu Sans"/>
        <family val="2"/>
      </rPr>
      <t xml:space="preserve">电商端关键数字</t>
    </r>
  </si>
  <si>
    <t xml:space="preserve">维度</t>
  </si>
  <si>
    <t xml:space="preserve">数值</t>
  </si>
  <si>
    <r>
      <rPr>
        <sz val="10"/>
        <color rgb="FF000000"/>
        <rFont val="DejaVu Sans"/>
        <family val="2"/>
      </rPr>
      <t xml:space="preserve">家居类目占 </t>
    </r>
    <r>
      <rPr>
        <sz val="10"/>
        <color rgb="FF000000"/>
        <rFont val="DejaVu Sans"/>
        <family val="2"/>
        <charset val="1"/>
      </rPr>
      <t xml:space="preserve">TTS </t>
    </r>
    <r>
      <rPr>
        <sz val="10"/>
        <color rgb="FF000000"/>
        <rFont val="DejaVu Sans"/>
        <family val="2"/>
      </rPr>
      <t xml:space="preserve">全站 </t>
    </r>
    <r>
      <rPr>
        <sz val="10"/>
        <color rgb="FF000000"/>
        <rFont val="DejaVu Sans"/>
        <family val="2"/>
        <charset val="1"/>
      </rPr>
      <t xml:space="preserve">GMV</t>
    </r>
  </si>
  <si>
    <r>
      <rPr>
        <sz val="10"/>
        <color rgb="FF000000"/>
        <rFont val="Arial"/>
        <family val="0"/>
        <charset val="1"/>
      </rPr>
      <t xml:space="preserve">~4.1% (Home Supplies $457.5M/</t>
    </r>
    <r>
      <rPr>
        <sz val="10"/>
        <color rgb="FF000000"/>
        <rFont val="DejaVu Sans"/>
        <family val="2"/>
      </rPr>
      <t xml:space="preserve">月级</t>
    </r>
    <r>
      <rPr>
        <sz val="10"/>
        <color rgb="FF000000"/>
        <rFont val="Arial"/>
        <family val="0"/>
        <charset val="1"/>
      </rPr>
      <t xml:space="preserve">)</t>
    </r>
  </si>
  <si>
    <t xml:space="preserve">Marketing LTB / Resourcera</t>
  </si>
  <si>
    <r>
      <rPr>
        <sz val="10"/>
        <color rgb="FF000000"/>
        <rFont val="Arial"/>
        <family val="0"/>
        <charset val="1"/>
      </rPr>
      <t xml:space="preserve">TTS US </t>
    </r>
    <r>
      <rPr>
        <sz val="10"/>
        <color rgb="FF000000"/>
        <rFont val="DejaVu Sans"/>
        <family val="2"/>
      </rPr>
      <t xml:space="preserve">用户年均消费</t>
    </r>
  </si>
  <si>
    <r>
      <rPr>
        <sz val="10"/>
        <color rgb="FF000000"/>
        <rFont val="Arial"/>
        <family val="0"/>
        <charset val="1"/>
      </rPr>
      <t xml:space="preserve">$708/</t>
    </r>
    <r>
      <rPr>
        <sz val="10"/>
        <color rgb="FF000000"/>
        <rFont val="DejaVu Sans"/>
        <family val="2"/>
      </rPr>
      <t xml:space="preserve">年</t>
    </r>
  </si>
  <si>
    <t xml:space="preserve">awisee 2024</t>
  </si>
  <si>
    <r>
      <rPr>
        <sz val="10"/>
        <color rgb="FF000000"/>
        <rFont val="Arial"/>
        <family val="0"/>
        <charset val="1"/>
      </rPr>
      <t xml:space="preserve">TTS US </t>
    </r>
    <r>
      <rPr>
        <sz val="10"/>
        <color rgb="FF000000"/>
        <rFont val="DejaVu Sans"/>
        <family val="2"/>
      </rPr>
      <t xml:space="preserve">单笔 </t>
    </r>
    <r>
      <rPr>
        <sz val="10"/>
        <color rgb="FF000000"/>
        <rFont val="Arial"/>
        <family val="0"/>
        <charset val="1"/>
      </rPr>
      <t xml:space="preserve">AOV</t>
    </r>
  </si>
  <si>
    <t xml:space="preserve">$59</t>
  </si>
  <si>
    <r>
      <rPr>
        <sz val="10"/>
        <color rgb="FF000000"/>
        <rFont val="DejaVu Sans"/>
        <family val="2"/>
      </rPr>
      <t xml:space="preserve">家居家具 </t>
    </r>
    <r>
      <rPr>
        <sz val="10"/>
        <color rgb="FF000000"/>
        <rFont val="DejaVu Sans"/>
        <family val="2"/>
        <charset val="1"/>
      </rPr>
      <t xml:space="preserve">AOV (US)</t>
    </r>
  </si>
  <si>
    <r>
      <rPr>
        <sz val="10"/>
        <color rgb="FF000000"/>
        <rFont val="Arial"/>
        <family val="0"/>
        <charset val="1"/>
      </rPr>
      <t xml:space="preserve">$45-$95</t>
    </r>
    <r>
      <rPr>
        <sz val="10"/>
        <color rgb="FF000000"/>
        <rFont val="DejaVu Sans"/>
        <family val="2"/>
      </rPr>
      <t xml:space="preserve">（小件 </t>
    </r>
    <r>
      <rPr>
        <sz val="10"/>
        <color rgb="FF000000"/>
        <rFont val="Arial"/>
        <family val="0"/>
        <charset val="1"/>
      </rPr>
      <t xml:space="preserve">$30-$60</t>
    </r>
    <r>
      <rPr>
        <sz val="10"/>
        <color rgb="FF000000"/>
        <rFont val="DejaVu Sans"/>
        <family val="2"/>
      </rPr>
      <t xml:space="preserve">；中件 </t>
    </r>
    <r>
      <rPr>
        <sz val="10"/>
        <color rgb="FF000000"/>
        <rFont val="Arial"/>
        <family val="0"/>
        <charset val="1"/>
      </rPr>
      <t xml:space="preserve">$60-$150</t>
    </r>
    <r>
      <rPr>
        <sz val="10"/>
        <color rgb="FF000000"/>
        <rFont val="DejaVu Sans"/>
        <family val="2"/>
      </rPr>
      <t xml:space="preserve">）</t>
    </r>
  </si>
  <si>
    <t xml:space="preserve">三方综合</t>
  </si>
  <si>
    <r>
      <rPr>
        <sz val="10"/>
        <color rgb="FF000000"/>
        <rFont val="DejaVu Sans"/>
        <family val="2"/>
      </rPr>
      <t xml:space="preserve">家居 </t>
    </r>
    <r>
      <rPr>
        <sz val="10"/>
        <color rgb="FF000000"/>
        <rFont val="DejaVu Sans"/>
        <family val="2"/>
        <charset val="1"/>
      </rPr>
      <t xml:space="preserve">AOV (SEA)</t>
    </r>
  </si>
  <si>
    <r>
      <rPr>
        <sz val="10"/>
        <color rgb="FF000000"/>
        <rFont val="Arial"/>
        <family val="0"/>
        <charset val="1"/>
      </rPr>
      <t xml:space="preserve">$8-$25 (ID/VN </t>
    </r>
    <r>
      <rPr>
        <sz val="10"/>
        <color rgb="FF000000"/>
        <rFont val="DejaVu Sans"/>
        <family val="2"/>
      </rPr>
      <t xml:space="preserve">低，</t>
    </r>
    <r>
      <rPr>
        <sz val="10"/>
        <color rgb="FF000000"/>
        <rFont val="Arial"/>
        <family val="0"/>
        <charset val="1"/>
      </rPr>
      <t xml:space="preserve">SG </t>
    </r>
    <r>
      <rPr>
        <sz val="10"/>
        <color rgb="FF000000"/>
        <rFont val="DejaVu Sans"/>
        <family val="2"/>
      </rPr>
      <t xml:space="preserve">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</si>
  <si>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直播 </t>
    </r>
    <r>
      <rPr>
        <sz val="10"/>
        <color rgb="FF000000"/>
        <rFont val="DejaVu Sans"/>
        <family val="2"/>
        <charset val="1"/>
      </rPr>
      <t xml:space="preserve">GPM (Home, US </t>
    </r>
    <r>
      <rPr>
        <sz val="10"/>
        <color rgb="FF000000"/>
        <rFont val="DejaVu Sans"/>
        <family val="2"/>
      </rPr>
      <t xml:space="preserve">头部达人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</si>
  <si>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$200-$800</t>
    </r>
    <r>
      <rPr>
        <sz val="10"/>
        <color rgb="FF000000"/>
        <rFont val="DejaVu Sans"/>
        <family val="2"/>
      </rPr>
      <t xml:space="preserve">（爆款 </t>
    </r>
    <r>
      <rPr>
        <sz val="10"/>
        <color rgb="FF000000"/>
        <rFont val="Arial"/>
        <family val="0"/>
        <charset val="1"/>
      </rPr>
      <t xml:space="preserve">$1000+</t>
    </r>
    <r>
      <rPr>
        <sz val="10"/>
        <color rgb="FF000000"/>
        <rFont val="DejaVu Sans"/>
        <family val="2"/>
      </rPr>
      <t xml:space="preserve">）</t>
    </r>
  </si>
  <si>
    <t xml:space="preserve">TikTok Seller U / Kalodata</t>
  </si>
  <si>
    <r>
      <rPr>
        <sz val="10"/>
        <color rgb="FF000000"/>
        <rFont val="DejaVu Sans"/>
        <family val="2"/>
      </rPr>
      <t xml:space="preserve">短视频 </t>
    </r>
    <r>
      <rPr>
        <sz val="10"/>
        <color rgb="FF000000"/>
        <rFont val="DejaVu Sans"/>
        <family val="2"/>
        <charset val="1"/>
      </rPr>
      <t xml:space="preserve">GPM (Home, US)</t>
    </r>
  </si>
  <si>
    <r>
      <rPr>
        <sz val="10"/>
        <color rgb="FF000000"/>
        <rFont val="DejaVu Sans"/>
        <family val="2"/>
      </rPr>
      <t xml:space="preserve">商城卡 </t>
    </r>
    <r>
      <rPr>
        <sz val="10"/>
        <color rgb="FF000000"/>
        <rFont val="DejaVu Sans"/>
        <family val="2"/>
        <charset val="1"/>
      </rPr>
      <t xml:space="preserve">(Shop Tab) GPM</t>
    </r>
  </si>
  <si>
    <t xml:space="preserve">$15-$60</t>
  </si>
  <si>
    <r>
      <rPr>
        <b val="true"/>
        <sz val="11"/>
        <color rgb="FF000000"/>
        <rFont val="Arial"/>
        <family val="0"/>
        <charset val="1"/>
      </rPr>
      <t xml:space="preserve">▶ TikTok </t>
    </r>
    <r>
      <rPr>
        <b val="true"/>
        <sz val="11"/>
        <color rgb="FF000000"/>
        <rFont val="DejaVu Sans"/>
        <family val="2"/>
      </rPr>
      <t xml:space="preserve">三种流量入口转化对比（全类目）</t>
    </r>
  </si>
  <si>
    <t xml:space="preserve">流量入口</t>
  </si>
  <si>
    <r>
      <rPr>
        <b val="true"/>
        <sz val="11"/>
        <color rgb="FFFFFFFF"/>
        <rFont val="Arial"/>
        <family val="0"/>
        <charset val="1"/>
      </rPr>
      <t xml:space="preserve">CVR </t>
    </r>
    <r>
      <rPr>
        <b val="true"/>
        <sz val="11"/>
        <color rgb="FFFFFFFF"/>
        <rFont val="DejaVu Sans"/>
        <family val="2"/>
      </rPr>
      <t xml:space="preserve">区间</t>
    </r>
  </si>
  <si>
    <r>
      <rPr>
        <b val="true"/>
        <sz val="11"/>
        <color rgb="FFFFFFFF"/>
        <rFont val="Arial"/>
        <family val="0"/>
        <charset val="1"/>
      </rPr>
      <t xml:space="preserve">US </t>
    </r>
    <r>
      <rPr>
        <b val="true"/>
        <sz val="11"/>
        <color rgb="FFFFFFFF"/>
        <rFont val="DejaVu Sans"/>
        <family val="2"/>
      </rPr>
      <t xml:space="preserve">销售占比</t>
    </r>
  </si>
  <si>
    <t xml:space="preserve">哈奇米打法</t>
  </si>
  <si>
    <r>
      <rPr>
        <sz val="10"/>
        <color rgb="FF000000"/>
        <rFont val="DejaVu Sans"/>
        <family val="2"/>
      </rPr>
      <t xml:space="preserve">直播 </t>
    </r>
    <r>
      <rPr>
        <sz val="10"/>
        <color rgb="FF000000"/>
        <rFont val="DejaVu Sans"/>
        <family val="2"/>
        <charset val="1"/>
      </rPr>
      <t xml:space="preserve">(LIVE)</t>
    </r>
  </si>
  <si>
    <t xml:space="preserve">8%-12%</t>
  </si>
  <si>
    <t xml:space="preserve">10%</t>
  </si>
  <si>
    <r>
      <rPr>
        <sz val="10"/>
        <color rgb="FF000000"/>
        <rFont val="DejaVu Sans"/>
        <family val="2"/>
      </rPr>
      <t xml:space="preserve">高客单家具最适合（沙发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床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餐桌）需要讲解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演示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紧迫感</t>
    </r>
  </si>
  <si>
    <r>
      <rPr>
        <sz val="10"/>
        <color rgb="FF000000"/>
        <rFont val="DejaVu Sans"/>
        <family val="2"/>
      </rPr>
      <t xml:space="preserve">短视频 </t>
    </r>
    <r>
      <rPr>
        <sz val="10"/>
        <color rgb="FF000000"/>
        <rFont val="DejaVu Sans"/>
        <family val="2"/>
        <charset val="1"/>
      </rPr>
      <t xml:space="preserve">(Video)</t>
    </r>
  </si>
  <si>
    <t xml:space="preserve">2%-4%</t>
  </si>
  <si>
    <t xml:space="preserve">58%</t>
  </si>
  <si>
    <r>
      <rPr>
        <sz val="10"/>
        <color rgb="FF000000"/>
        <rFont val="DejaVu Sans"/>
        <family val="2"/>
      </rPr>
      <t xml:space="preserve">主力流量，</t>
    </r>
    <r>
      <rPr>
        <sz val="10"/>
        <color rgb="FF000000"/>
        <rFont val="DejaVu Sans"/>
        <family val="2"/>
        <charset val="1"/>
      </rPr>
      <t xml:space="preserve">UGC+</t>
    </r>
    <r>
      <rPr>
        <sz val="10"/>
        <color rgb="FF000000"/>
        <rFont val="DejaVu Sans"/>
        <family val="2"/>
      </rPr>
      <t xml:space="preserve">达人短视频跑量</t>
    </r>
  </si>
  <si>
    <r>
      <rPr>
        <sz val="10"/>
        <color rgb="FF000000"/>
        <rFont val="DejaVu Sans"/>
        <family val="2"/>
      </rPr>
      <t xml:space="preserve">商城卡 </t>
    </r>
    <r>
      <rPr>
        <sz val="10"/>
        <color rgb="FF000000"/>
        <rFont val="DejaVu Sans"/>
        <family val="2"/>
        <charset val="1"/>
      </rPr>
      <t xml:space="preserve">(Shop Tab)</t>
    </r>
  </si>
  <si>
    <t xml:space="preserve">1.5%-3%</t>
  </si>
  <si>
    <t xml:space="preserve">32%</t>
  </si>
  <si>
    <r>
      <rPr>
        <sz val="10"/>
        <color rgb="FF000000"/>
        <rFont val="DejaVu Sans"/>
        <family val="2"/>
      </rPr>
      <t xml:space="preserve">兜底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复购，优化 </t>
    </r>
    <r>
      <rPr>
        <sz val="10"/>
        <color rgb="FF000000"/>
        <rFont val="DejaVu Sans"/>
        <family val="2"/>
        <charset val="1"/>
      </rPr>
      <t xml:space="preserve">SEO + </t>
    </r>
    <r>
      <rPr>
        <sz val="10"/>
        <color rgb="FF000000"/>
        <rFont val="DejaVu Sans"/>
        <family val="2"/>
      </rPr>
      <t xml:space="preserve">评分</t>
    </r>
  </si>
  <si>
    <r>
      <rPr>
        <b val="true"/>
        <sz val="11"/>
        <color rgb="FF000000"/>
        <rFont val="DejaVu Sans"/>
        <family val="2"/>
      </rPr>
      <t xml:space="preserve">💡 关键洞察 </t>
    </r>
    <r>
      <rPr>
        <b val="true"/>
        <sz val="11"/>
        <color rgb="FF000000"/>
        <rFont val="DejaVu Sans"/>
        <family val="2"/>
        <charset val="1"/>
      </rPr>
      <t xml:space="preserve">- </t>
    </r>
    <r>
      <rPr>
        <b val="true"/>
        <sz val="11"/>
        <color rgb="FF000000"/>
        <rFont val="DejaVu Sans"/>
        <family val="2"/>
      </rPr>
      <t xml:space="preserve">家居家具 </t>
    </r>
    <r>
      <rPr>
        <b val="true"/>
        <sz val="11"/>
        <color rgb="FF000000"/>
        <rFont val="DejaVu Sans"/>
        <family val="2"/>
        <charset val="1"/>
      </rPr>
      <t xml:space="preserve">ROI </t>
    </r>
    <r>
      <rPr>
        <b val="true"/>
        <sz val="11"/>
        <color rgb="FF000000"/>
        <rFont val="DejaVu Sans"/>
        <family val="2"/>
      </rPr>
      <t xml:space="preserve">建模</t>
    </r>
  </si>
  <si>
    <r>
      <rPr>
        <sz val="10"/>
        <color rgb="FF000000"/>
        <rFont val="DejaVu Sans"/>
        <family val="2"/>
      </rPr>
      <t xml:space="preserve">• 家居家具是「低 </t>
    </r>
    <r>
      <rPr>
        <sz val="10"/>
        <color rgb="FF000000"/>
        <rFont val="DejaVu Sans"/>
        <family val="2"/>
        <charset val="1"/>
      </rPr>
      <t xml:space="preserve">CVR + </t>
    </r>
    <r>
      <rPr>
        <sz val="10"/>
        <color rgb="FF000000"/>
        <rFont val="DejaVu Sans"/>
        <family val="2"/>
      </rPr>
      <t xml:space="preserve">高 </t>
    </r>
    <r>
      <rPr>
        <sz val="10"/>
        <color rgb="FF000000"/>
        <rFont val="DejaVu Sans"/>
        <family val="2"/>
        <charset val="1"/>
      </rPr>
      <t xml:space="preserve">AOV + </t>
    </r>
    <r>
      <rPr>
        <sz val="10"/>
        <color rgb="FF000000"/>
        <rFont val="DejaVu Sans"/>
        <family val="2"/>
      </rPr>
      <t xml:space="preserve">长决策」三连组合。</t>
    </r>
    <r>
      <rPr>
        <sz val="10"/>
        <color rgb="FF000000"/>
        <rFont val="DejaVu Sans"/>
        <family val="2"/>
        <charset val="1"/>
      </rPr>
      <t xml:space="preserve">ROI </t>
    </r>
    <r>
      <rPr>
        <sz val="10"/>
        <color rgb="FF000000"/>
        <rFont val="DejaVu Sans"/>
        <family val="2"/>
      </rPr>
      <t xml:space="preserve">公式应该用 </t>
    </r>
    <r>
      <rPr>
        <sz val="10"/>
        <color rgb="FF000000"/>
        <rFont val="DejaVu Sans"/>
        <family val="2"/>
        <charset val="1"/>
      </rPr>
      <t xml:space="preserve">Profit-per-Session </t>
    </r>
    <r>
      <rPr>
        <sz val="10"/>
        <color rgb="FF000000"/>
        <rFont val="DejaVu Sans"/>
        <family val="2"/>
      </rPr>
      <t xml:space="preserve">而不是 </t>
    </r>
    <r>
      <rPr>
        <sz val="10"/>
        <color rgb="FF000000"/>
        <rFont val="DejaVu Sans"/>
        <family val="2"/>
        <charset val="1"/>
      </rPr>
      <t xml:space="preserve">CVR </t>
    </r>
    <r>
      <rPr>
        <sz val="10"/>
        <color rgb="FF000000"/>
        <rFont val="DejaVu Sans"/>
        <family val="2"/>
      </rPr>
      <t xml:space="preserve">横向比，否则跟服装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快消打不过。</t>
    </r>
  </si>
  <si>
    <r>
      <rPr>
        <sz val="10"/>
        <color rgb="FF000000"/>
        <rFont val="DejaVu Sans"/>
        <family val="2"/>
      </rPr>
      <t xml:space="preserve">• 美国 </t>
    </r>
    <r>
      <rPr>
        <sz val="10"/>
        <color rgb="FF000000"/>
        <rFont val="DejaVu Sans"/>
        <family val="2"/>
        <charset val="1"/>
      </rPr>
      <t xml:space="preserve">Meta CPM </t>
    </r>
    <r>
      <rPr>
        <sz val="10"/>
        <color rgb="FF000000"/>
        <rFont val="DejaVu Sans"/>
        <family val="2"/>
      </rPr>
      <t xml:space="preserve">是 </t>
    </r>
    <r>
      <rPr>
        <sz val="10"/>
        <color rgb="FF000000"/>
        <rFont val="DejaVu Sans"/>
        <family val="2"/>
        <charset val="1"/>
      </rPr>
      <t xml:space="preserve">SEA </t>
    </r>
    <r>
      <rPr>
        <sz val="10"/>
        <color rgb="FF000000"/>
        <rFont val="DejaVu Sans"/>
        <family val="2"/>
      </rPr>
      <t xml:space="preserve">的 </t>
    </r>
    <r>
      <rPr>
        <sz val="10"/>
        <color rgb="FF000000"/>
        <rFont val="DejaVu Sans"/>
        <family val="2"/>
        <charset val="1"/>
      </rPr>
      <t xml:space="preserve">5-10 </t>
    </r>
    <r>
      <rPr>
        <sz val="10"/>
        <color rgb="FF000000"/>
        <rFont val="DejaVu Sans"/>
        <family val="2"/>
      </rPr>
      <t xml:space="preserve">倍，但 </t>
    </r>
    <r>
      <rPr>
        <sz val="10"/>
        <color rgb="FF000000"/>
        <rFont val="DejaVu Sans"/>
        <family val="2"/>
        <charset val="1"/>
      </rPr>
      <t xml:space="preserve">AOV </t>
    </r>
    <r>
      <rPr>
        <sz val="10"/>
        <color rgb="FF000000"/>
        <rFont val="DejaVu Sans"/>
        <family val="2"/>
      </rPr>
      <t xml:space="preserve">也高 </t>
    </r>
    <r>
      <rPr>
        <sz val="10"/>
        <color rgb="FF000000"/>
        <rFont val="DejaVu Sans"/>
        <family val="2"/>
        <charset val="1"/>
      </rPr>
      <t xml:space="preserve">10-30 </t>
    </r>
    <r>
      <rPr>
        <sz val="10"/>
        <color rgb="FF000000"/>
        <rFont val="DejaVu Sans"/>
        <family val="2"/>
      </rPr>
      <t xml:space="preserve">倍。</t>
    </r>
    <r>
      <rPr>
        <sz val="10"/>
        <color rgb="FF000000"/>
        <rFont val="DejaVu Sans"/>
        <family val="2"/>
        <charset val="1"/>
      </rPr>
      <t xml:space="preserve">Tier 1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DejaVu Sans"/>
        <family val="2"/>
        <charset val="1"/>
      </rPr>
      <t xml:space="preserve">US/UK/DE/JP</t>
    </r>
    <r>
      <rPr>
        <sz val="10"/>
        <color rgb="FF000000"/>
        <rFont val="DejaVu Sans"/>
        <family val="2"/>
      </rPr>
      <t xml:space="preserve">）和 </t>
    </r>
    <r>
      <rPr>
        <sz val="10"/>
        <color rgb="FF000000"/>
        <rFont val="DejaVu Sans"/>
        <family val="2"/>
        <charset val="1"/>
      </rPr>
      <t xml:space="preserve">Tier 3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DejaVu Sans"/>
        <family val="2"/>
        <charset val="1"/>
      </rPr>
      <t xml:space="preserve">SEA</t>
    </r>
    <r>
      <rPr>
        <sz val="10"/>
        <color rgb="FF000000"/>
        <rFont val="DejaVu Sans"/>
        <family val="2"/>
      </rPr>
      <t xml:space="preserve">）要用完全不同的 </t>
    </r>
    <r>
      <rPr>
        <sz val="10"/>
        <color rgb="FF000000"/>
        <rFont val="DejaVu Sans"/>
        <family val="2"/>
        <charset val="1"/>
      </rPr>
      <t xml:space="preserve">ROI </t>
    </r>
    <r>
      <rPr>
        <sz val="10"/>
        <color rgb="FF000000"/>
        <rFont val="DejaVu Sans"/>
        <family val="2"/>
      </rPr>
      <t xml:space="preserve">阈值。</t>
    </r>
  </si>
  <si>
    <r>
      <rPr>
        <sz val="10"/>
        <color rgb="FF000000"/>
        <rFont val="Arial"/>
        <family val="0"/>
        <charset val="1"/>
      </rPr>
      <t xml:space="preserve">• TikTok US </t>
    </r>
    <r>
      <rPr>
        <sz val="10"/>
        <color rgb="FF000000"/>
        <rFont val="DejaVu Sans"/>
        <family val="2"/>
      </rPr>
      <t xml:space="preserve">家居 </t>
    </r>
    <r>
      <rPr>
        <sz val="10"/>
        <color rgb="FF000000"/>
        <rFont val="Arial"/>
        <family val="0"/>
        <charset val="1"/>
      </rPr>
      <t xml:space="preserve">CTR top3 </t>
    </r>
    <r>
      <rPr>
        <sz val="10"/>
        <color rgb="FF000000"/>
        <rFont val="DejaVu Sans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MER </t>
    </r>
    <r>
      <rPr>
        <sz val="10"/>
        <color rgb="FF000000"/>
        <rFont val="DejaVu Sans"/>
        <family val="2"/>
      </rPr>
      <t xml:space="preserve">仅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DejaVu Sans"/>
        <family val="2"/>
      </rPr>
      <t xml:space="preserve">（垫底）—— 烧钱多但回报弱，要靠直播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高客单家具拉 </t>
    </r>
    <r>
      <rPr>
        <sz val="10"/>
        <color rgb="FF000000"/>
        <rFont val="Arial"/>
        <family val="0"/>
        <charset val="1"/>
      </rPr>
      <t xml:space="preserve">GPM</t>
    </r>
    <r>
      <rPr>
        <sz val="10"/>
        <color rgb="FF000000"/>
        <rFont val="DejaVu Sans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</si>
  <si>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• Amazon Home CR ~6.5% &lt; </t>
    </r>
    <r>
      <rPr>
        <sz val="10"/>
        <color rgb="FF000000"/>
        <rFont val="DejaVu Sans"/>
        <family val="2"/>
      </rPr>
      <t xml:space="preserve">全站 </t>
    </r>
    <r>
      <rPr>
        <sz val="10"/>
        <color rgb="FF000000"/>
        <rFont val="Arial"/>
        <family val="0"/>
        <charset val="1"/>
      </rPr>
      <t xml:space="preserve">9.96%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TACoS </t>
    </r>
    <r>
      <rPr>
        <sz val="10"/>
        <color rgb="FF000000"/>
        <rFont val="DejaVu Sans"/>
        <family val="2"/>
      </rPr>
      <t xml:space="preserve">主流 </t>
    </r>
    <r>
      <rPr>
        <sz val="10"/>
        <color rgb="FF000000"/>
        <rFont val="Arial"/>
        <family val="0"/>
        <charset val="1"/>
      </rPr>
      <t xml:space="preserve">12-18%</t>
    </r>
    <r>
      <rPr>
        <sz val="10"/>
        <color rgb="FF000000"/>
        <rFont val="DejaVu Sans"/>
        <family val="2"/>
      </rPr>
      <t xml:space="preserve">。规模化目标 </t>
    </r>
    <r>
      <rPr>
        <sz val="10"/>
        <color rgb="FF000000"/>
        <rFont val="Arial"/>
        <family val="0"/>
        <charset val="1"/>
      </rPr>
      <t xml:space="preserve">8-10%</t>
    </r>
    <r>
      <rPr>
        <sz val="10"/>
        <color rgb="FF000000"/>
        <rFont val="DejaVu Sans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</si>
  <si>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• Amazon JP CPC ~ US </t>
    </r>
    <r>
      <rPr>
        <sz val="10"/>
        <color rgb="FF000000"/>
        <rFont val="DejaVu Sans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50-65%</t>
    </r>
    <r>
      <rPr>
        <sz val="10"/>
        <color rgb="FF000000"/>
        <rFont val="DejaVu Sans"/>
        <family val="2"/>
      </rPr>
      <t xml:space="preserve">，但日本广告库存竞争近年加剧；</t>
    </r>
    <r>
      <rPr>
        <sz val="10"/>
        <color rgb="FF000000"/>
        <rFont val="Arial"/>
        <family val="0"/>
        <charset val="1"/>
      </rPr>
      <t xml:space="preserve">UK/DE ~ US 70-85%</t>
    </r>
    <r>
      <rPr>
        <sz val="10"/>
        <color rgb="FF000000"/>
        <rFont val="DejaVu Sans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</si>
  <si>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• TikTok Shop </t>
    </r>
    <r>
      <rPr>
        <sz val="10"/>
        <color rgb="FF000000"/>
        <rFont val="DejaVu Sans"/>
        <family val="2"/>
      </rPr>
      <t xml:space="preserve">短视频驱动 </t>
    </r>
    <r>
      <rPr>
        <sz val="10"/>
        <color rgb="FF000000"/>
        <rFont val="Arial"/>
        <family val="0"/>
        <charset val="1"/>
      </rPr>
      <t xml:space="preserve">58% </t>
    </r>
    <r>
      <rPr>
        <sz val="10"/>
        <color rgb="FF000000"/>
        <rFont val="DejaVu Sans"/>
        <family val="2"/>
      </rPr>
      <t xml:space="preserve">销量但 </t>
    </r>
    <r>
      <rPr>
        <sz val="10"/>
        <color rgb="FF000000"/>
        <rFont val="Arial"/>
        <family val="0"/>
        <charset val="1"/>
      </rPr>
      <t xml:space="preserve">CVR </t>
    </r>
    <r>
      <rPr>
        <sz val="10"/>
        <color rgb="FF000000"/>
        <rFont val="DejaVu Sans"/>
        <family val="2"/>
      </rPr>
      <t xml:space="preserve">低，直播 </t>
    </r>
    <r>
      <rPr>
        <sz val="10"/>
        <color rgb="FF000000"/>
        <rFont val="Arial"/>
        <family val="0"/>
        <charset val="1"/>
      </rPr>
      <t xml:space="preserve">CVR </t>
    </r>
    <r>
      <rPr>
        <sz val="10"/>
        <color rgb="FF000000"/>
        <rFont val="DejaVu Sans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3-8x</t>
    </r>
    <r>
      <rPr>
        <sz val="10"/>
        <color rgb="FF000000"/>
        <rFont val="DejaVu Sans"/>
        <family val="2"/>
      </rPr>
      <t xml:space="preserve">。三层叠加打法：短视频铺量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头部直播 </t>
    </r>
    <r>
      <rPr>
        <sz val="10"/>
        <color rgb="FF000000"/>
        <rFont val="Arial"/>
        <family val="0"/>
        <charset val="1"/>
      </rPr>
      <t xml:space="preserve">+ Shop Tab </t>
    </r>
    <r>
      <rPr>
        <sz val="10"/>
        <color rgb="FF000000"/>
        <rFont val="DejaVu Sans"/>
        <family val="2"/>
      </rPr>
      <t xml:space="preserve">复购。</t>
    </r>
  </si>
  <si>
    <r>
      <rPr>
        <b val="true"/>
        <sz val="14"/>
        <color rgb="FF1F4E78"/>
        <rFont val="Arial"/>
        <family val="0"/>
        <charset val="1"/>
      </rPr>
      <t xml:space="preserve">ROI / </t>
    </r>
    <r>
      <rPr>
        <b val="true"/>
        <sz val="14"/>
        <color rgb="FF1F4E78"/>
        <rFont val="DejaVu Sans"/>
        <family val="2"/>
      </rPr>
      <t xml:space="preserve">毛利 </t>
    </r>
    <r>
      <rPr>
        <b val="true"/>
        <sz val="14"/>
        <color rgb="FF1F4E78"/>
        <rFont val="Arial"/>
        <family val="0"/>
        <charset val="1"/>
      </rPr>
      <t xml:space="preserve">/ </t>
    </r>
    <r>
      <rPr>
        <b val="true"/>
        <sz val="14"/>
        <color rgb="FF1F4E78"/>
        <rFont val="DejaVu Sans"/>
        <family val="2"/>
      </rPr>
      <t xml:space="preserve">净利 完整核算公式 </t>
    </r>
    <r>
      <rPr>
        <b val="true"/>
        <sz val="14"/>
        <color rgb="FF1F4E78"/>
        <rFont val="Arial"/>
        <family val="0"/>
        <charset val="1"/>
      </rPr>
      <t xml:space="preserve">- </t>
    </r>
    <r>
      <rPr>
        <b val="true"/>
        <sz val="14"/>
        <color rgb="FF1F4E78"/>
        <rFont val="DejaVu Sans"/>
        <family val="2"/>
      </rPr>
      <t xml:space="preserve">哈奇米 </t>
    </r>
    <r>
      <rPr>
        <b val="true"/>
        <sz val="14"/>
        <color rgb="FF1F4E78"/>
        <rFont val="Arial"/>
        <family val="0"/>
        <charset val="1"/>
      </rPr>
      <t xml:space="preserve">v1.0</t>
    </r>
  </si>
  <si>
    <r>
      <rPr>
        <i val="true"/>
        <sz val="9"/>
        <color rgb="FF595959"/>
        <rFont val="DejaVu Sans"/>
        <family val="2"/>
      </rPr>
      <t xml:space="preserve">使用说明：蓝色单元格为可改输入，黑色为自动计算公式。默认值以「美国市场 </t>
    </r>
    <r>
      <rPr>
        <i val="true"/>
        <sz val="9"/>
        <color rgb="FF595959"/>
        <rFont val="DejaVu Sans"/>
        <family val="2"/>
        <charset val="1"/>
      </rPr>
      <t xml:space="preserve">/ Meta </t>
    </r>
    <r>
      <rPr>
        <i val="true"/>
        <sz val="9"/>
        <color rgb="FF595959"/>
        <rFont val="DejaVu Sans"/>
        <family val="2"/>
      </rPr>
      <t xml:space="preserve">渠道 </t>
    </r>
    <r>
      <rPr>
        <i val="true"/>
        <sz val="9"/>
        <color rgb="FF595959"/>
        <rFont val="DejaVu Sans"/>
        <family val="2"/>
        <charset val="1"/>
      </rPr>
      <t xml:space="preserve">/ </t>
    </r>
    <r>
      <rPr>
        <i val="true"/>
        <sz val="9"/>
        <color rgb="FF595959"/>
        <rFont val="DejaVu Sans"/>
        <family val="2"/>
      </rPr>
      <t xml:space="preserve">中件家居 </t>
    </r>
    <r>
      <rPr>
        <i val="true"/>
        <sz val="9"/>
        <color rgb="FF595959"/>
        <rFont val="DejaVu Sans"/>
        <family val="2"/>
        <charset val="1"/>
      </rPr>
      <t xml:space="preserve">($100 AOV)</t>
    </r>
    <r>
      <rPr>
        <i val="true"/>
        <sz val="9"/>
        <color rgb="FF595959"/>
        <rFont val="DejaVu Sans"/>
        <family val="2"/>
      </rPr>
      <t xml:space="preserve">」为例。切换市场</t>
    </r>
    <r>
      <rPr>
        <i val="true"/>
        <sz val="9"/>
        <color rgb="FF595959"/>
        <rFont val="DejaVu Sans"/>
        <family val="2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平台时请相应改 </t>
    </r>
    <r>
      <rPr>
        <i val="true"/>
        <sz val="9"/>
        <color rgb="FF595959"/>
        <rFont val="DejaVu Sans"/>
        <family val="2"/>
        <charset val="1"/>
      </rPr>
      <t xml:space="preserve">C5-C18 </t>
    </r>
    <r>
      <rPr>
        <i val="true"/>
        <sz val="9"/>
        <color rgb="FF595959"/>
        <rFont val="DejaVu Sans"/>
        <family val="2"/>
      </rPr>
      <t xml:space="preserve">输入值。</t>
    </r>
  </si>
  <si>
    <r>
      <rPr>
        <b val="true"/>
        <sz val="11"/>
        <color rgb="FF000000"/>
        <rFont val="DejaVu Sans"/>
        <family val="2"/>
      </rPr>
      <t xml:space="preserve">📥 输入变量（</t>
    </r>
    <r>
      <rPr>
        <b val="true"/>
        <sz val="11"/>
        <color rgb="FF000000"/>
        <rFont val="DejaVu Sans"/>
        <family val="2"/>
        <charset val="1"/>
      </rPr>
      <t xml:space="preserve">INPUTS</t>
    </r>
    <r>
      <rPr>
        <b val="true"/>
        <sz val="11"/>
        <color rgb="FF000000"/>
        <rFont val="DejaVu Sans"/>
        <family val="2"/>
      </rPr>
      <t xml:space="preserve">）</t>
    </r>
  </si>
  <si>
    <t xml:space="preserve">变量</t>
  </si>
  <si>
    <t xml:space="preserve">默认值</t>
  </si>
  <si>
    <t xml:space="preserve">单位</t>
  </si>
  <si>
    <t xml:space="preserve">更新频率</t>
  </si>
  <si>
    <r>
      <rPr>
        <sz val="10"/>
        <color rgb="FF000000"/>
        <rFont val="Arial"/>
        <family val="0"/>
        <charset val="1"/>
      </rPr>
      <t xml:space="preserve">AOV / </t>
    </r>
    <r>
      <rPr>
        <sz val="10"/>
        <color rgb="FF000000"/>
        <rFont val="DejaVu Sans"/>
        <family val="2"/>
      </rPr>
      <t xml:space="preserve">客单价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含税前 </t>
    </r>
    <r>
      <rPr>
        <sz val="10"/>
        <color rgb="FF000000"/>
        <rFont val="Arial"/>
        <family val="0"/>
        <charset val="1"/>
      </rPr>
      <t xml:space="preserve">Sales)</t>
    </r>
  </si>
  <si>
    <t xml:space="preserve">USD</t>
  </si>
  <si>
    <t xml:space="preserve">Shopify Admin GraphQL / Amazon Brand Analytics / TTS Partner Center</t>
  </si>
  <si>
    <r>
      <rPr>
        <sz val="10"/>
        <color rgb="FF000000"/>
        <rFont val="Arial"/>
        <family val="0"/>
        <charset val="1"/>
      </rPr>
      <t xml:space="preserve">Home &amp; Furniture </t>
    </r>
    <r>
      <rPr>
        <sz val="10"/>
        <color rgb="FF000000"/>
        <rFont val="DejaVu Sans"/>
        <family val="2"/>
      </rPr>
      <t xml:space="preserve">美国中件参考</t>
    </r>
  </si>
  <si>
    <r>
      <rPr>
        <sz val="10"/>
        <color rgb="FF000000"/>
        <rFont val="DejaVu Sans"/>
        <family val="2"/>
      </rPr>
      <t xml:space="preserve">折扣率 </t>
    </r>
    <r>
      <rPr>
        <sz val="10"/>
        <color rgb="FF000000"/>
        <rFont val="DejaVu Sans"/>
        <family val="2"/>
        <charset val="1"/>
      </rPr>
      <t xml:space="preserve">(Discount Rate)</t>
    </r>
  </si>
  <si>
    <t xml:space="preserve">%</t>
  </si>
  <si>
    <r>
      <rPr>
        <sz val="10"/>
        <color rgb="FF000000"/>
        <rFont val="Arial"/>
        <family val="0"/>
        <charset val="1"/>
      </rPr>
      <t xml:space="preserve">Shopify Discount Codes / </t>
    </r>
    <r>
      <rPr>
        <sz val="10"/>
        <color rgb="FF000000"/>
        <rFont val="DejaVu Sans"/>
        <family val="2"/>
      </rPr>
      <t xml:space="preserve">自家活动表</t>
    </r>
  </si>
  <si>
    <r>
      <rPr>
        <sz val="10"/>
        <color rgb="FF000000"/>
        <rFont val="DejaVu Sans"/>
        <family val="2"/>
      </rPr>
      <t xml:space="preserve">促销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优惠券综合</t>
    </r>
  </si>
  <si>
    <r>
      <rPr>
        <sz val="10"/>
        <color rgb="FF000000"/>
        <rFont val="DejaVu Sans"/>
        <family val="2"/>
      </rPr>
      <t xml:space="preserve">销售税 </t>
    </r>
    <r>
      <rPr>
        <sz val="10"/>
        <color rgb="FF000000"/>
        <rFont val="DejaVu Sans"/>
        <family val="2"/>
        <charset val="1"/>
      </rPr>
      <t xml:space="preserve">/ VAT </t>
    </r>
    <r>
      <rPr>
        <sz val="10"/>
        <color rgb="FF000000"/>
        <rFont val="DejaVu Sans"/>
        <family val="2"/>
      </rPr>
      <t xml:space="preserve">率</t>
    </r>
  </si>
  <si>
    <t xml:space="preserve">Avalara AvaTax / TaxJar / Zonos</t>
  </si>
  <si>
    <r>
      <rPr>
        <sz val="10"/>
        <color rgb="FF000000"/>
        <rFont val="DejaVu Sans"/>
        <family val="2"/>
      </rPr>
      <t xml:space="preserve">美国加州约 </t>
    </r>
    <r>
      <rPr>
        <sz val="10"/>
        <color rgb="FF000000"/>
        <rFont val="DejaVu Sans"/>
        <family val="2"/>
        <charset val="1"/>
      </rPr>
      <t xml:space="preserve">7-9%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DejaVu Sans"/>
        <family val="2"/>
        <charset val="1"/>
      </rPr>
      <t xml:space="preserve">EU 19-25%</t>
    </r>
  </si>
  <si>
    <r>
      <rPr>
        <sz val="10"/>
        <color rgb="FF000000"/>
        <rFont val="DejaVu Sans"/>
        <family val="2"/>
      </rPr>
      <t xml:space="preserve">平台抽成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含支付手续费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</si>
  <si>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Amazon Seller Central / TTS Partner / Shopify Payments </t>
    </r>
    <r>
      <rPr>
        <sz val="10"/>
        <color rgb="FF000000"/>
        <rFont val="DejaVu Sans"/>
        <family val="2"/>
      </rPr>
      <t xml:space="preserve">费率表</t>
    </r>
  </si>
  <si>
    <r>
      <rPr>
        <sz val="10"/>
        <color rgb="FF000000"/>
        <rFont val="Arial"/>
        <family val="0"/>
        <charset val="1"/>
      </rPr>
      <t xml:space="preserve">Amazon Home 15% + FBA </t>
    </r>
    <r>
      <rPr>
        <sz val="10"/>
        <color rgb="FF000000"/>
        <rFont val="DejaVu Sans"/>
        <family val="2"/>
      </rPr>
      <t xml:space="preserve">履约综合 </t>
    </r>
    <r>
      <rPr>
        <sz val="10"/>
        <color rgb="FF000000"/>
        <rFont val="Arial"/>
        <family val="0"/>
        <charset val="1"/>
      </rPr>
      <t xml:space="preserve">~18-22%</t>
    </r>
  </si>
  <si>
    <r>
      <rPr>
        <sz val="10"/>
        <color rgb="FF000000"/>
        <rFont val="DejaVu Sans"/>
        <family val="2"/>
      </rPr>
      <t xml:space="preserve">物流成本 </t>
    </r>
    <r>
      <rPr>
        <sz val="10"/>
        <color rgb="FF000000"/>
        <rFont val="DejaVu Sans"/>
        <family val="2"/>
        <charset val="1"/>
      </rPr>
      <t xml:space="preserve">(Per Order)</t>
    </r>
  </si>
  <si>
    <t xml:space="preserve">Easyship / Shippo / 17TRACK API</t>
  </si>
  <si>
    <r>
      <rPr>
        <sz val="10"/>
        <color rgb="FF000000"/>
        <rFont val="DejaVu Sans"/>
        <family val="2"/>
      </rPr>
      <t xml:space="preserve">美国中件家居参考 </t>
    </r>
    <r>
      <rPr>
        <sz val="10"/>
        <color rgb="FF000000"/>
        <rFont val="DejaVu Sans"/>
        <family val="2"/>
        <charset val="1"/>
      </rPr>
      <t xml:space="preserve">$5-12</t>
    </r>
  </si>
  <si>
    <r>
      <rPr>
        <sz val="10"/>
        <color rgb="FF000000"/>
        <rFont val="DejaVu Sans"/>
        <family val="2"/>
      </rPr>
      <t xml:space="preserve">退货率 </t>
    </r>
    <r>
      <rPr>
        <sz val="10"/>
        <color rgb="FF000000"/>
        <rFont val="DejaVu Sans"/>
        <family val="2"/>
        <charset val="1"/>
      </rPr>
      <t xml:space="preserve">(Return Rate)</t>
    </r>
  </si>
  <si>
    <t xml:space="preserve">Shopify Returns / NRF Report / Optoro</t>
  </si>
  <si>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Home Shopify 4-8%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DejaVu Sans"/>
        <family val="2"/>
        <charset val="1"/>
      </rPr>
      <t xml:space="preserve">Amazon 8-12%</t>
    </r>
  </si>
  <si>
    <r>
      <rPr>
        <sz val="10"/>
        <color rgb="FF000000"/>
        <rFont val="DejaVu Sans"/>
        <family val="2"/>
      </rPr>
      <t xml:space="preserve">退货成本因子 </t>
    </r>
    <r>
      <rPr>
        <sz val="10"/>
        <color rgb="FF000000"/>
        <rFont val="DejaVu Sans"/>
        <family val="2"/>
        <charset val="1"/>
      </rPr>
      <t xml:space="preserve">(×Sales)</t>
    </r>
  </si>
  <si>
    <r>
      <rPr>
        <sz val="10"/>
        <color rgb="FF000000"/>
        <rFont val="Arial"/>
        <family val="0"/>
        <charset val="1"/>
      </rPr>
      <t xml:space="preserve">Optoro 27-30% </t>
    </r>
    <r>
      <rPr>
        <sz val="10"/>
        <color rgb="FF000000"/>
        <rFont val="DejaVu Sans"/>
        <family val="2"/>
      </rPr>
      <t xml:space="preserve">经验值</t>
    </r>
  </si>
  <si>
    <r>
      <rPr>
        <sz val="10"/>
        <color rgb="FF000000"/>
        <rFont val="DejaVu Sans"/>
        <family val="2"/>
      </rPr>
      <t xml:space="preserve">单次退货损失 </t>
    </r>
    <r>
      <rPr>
        <sz val="10"/>
        <color rgb="FF000000"/>
        <rFont val="DejaVu Sans"/>
        <family val="2"/>
        <charset val="1"/>
      </rPr>
      <t xml:space="preserve">= </t>
    </r>
    <r>
      <rPr>
        <sz val="10"/>
        <color rgb="FF000000"/>
        <rFont val="DejaVu Sans"/>
        <family val="2"/>
      </rPr>
      <t xml:space="preserve">售价 </t>
    </r>
    <r>
      <rPr>
        <sz val="10"/>
        <color rgb="FF000000"/>
        <rFont val="DejaVu Sans"/>
        <family val="2"/>
        <charset val="1"/>
      </rPr>
      <t xml:space="preserve">× </t>
    </r>
    <r>
      <rPr>
        <sz val="10"/>
        <color rgb="FF000000"/>
        <rFont val="DejaVu Sans"/>
        <family val="2"/>
      </rPr>
      <t xml:space="preserve">该因子</t>
    </r>
  </si>
  <si>
    <r>
      <rPr>
        <sz val="10"/>
        <color rgb="FF000000"/>
        <rFont val="DejaVu Sans"/>
        <family val="2"/>
      </rPr>
      <t xml:space="preserve">货值 </t>
    </r>
    <r>
      <rPr>
        <sz val="10"/>
        <color rgb="FF000000"/>
        <rFont val="DejaVu Sans"/>
        <family val="2"/>
        <charset val="1"/>
      </rPr>
      <t xml:space="preserve">/ COGS (Per Unit)</t>
    </r>
  </si>
  <si>
    <r>
      <rPr>
        <sz val="10"/>
        <color rgb="FF000000"/>
        <rFont val="Arial"/>
        <family val="0"/>
        <charset val="1"/>
      </rPr>
      <t xml:space="preserve">1688 OneBound / </t>
    </r>
    <r>
      <rPr>
        <sz val="10"/>
        <color rgb="FF000000"/>
        <rFont val="DejaVu Sans"/>
        <family val="2"/>
      </rPr>
      <t xml:space="preserve">自家采购系统</t>
    </r>
  </si>
  <si>
    <r>
      <rPr>
        <sz val="10"/>
        <color rgb="FF000000"/>
        <rFont val="DejaVu Sans"/>
        <family val="2"/>
      </rPr>
      <t xml:space="preserve">中件家居 </t>
    </r>
    <r>
      <rPr>
        <sz val="10"/>
        <color rgb="FF000000"/>
        <rFont val="DejaVu Sans"/>
        <family val="2"/>
        <charset val="1"/>
      </rPr>
      <t xml:space="preserve">$20-40 </t>
    </r>
    <r>
      <rPr>
        <sz val="10"/>
        <color rgb="FF000000"/>
        <rFont val="DejaVu Sans"/>
        <family val="2"/>
      </rPr>
      <t xml:space="preserve">参考</t>
    </r>
  </si>
  <si>
    <r>
      <rPr>
        <sz val="10"/>
        <color rgb="FF000000"/>
        <rFont val="DejaVu Sans"/>
        <family val="2"/>
      </rPr>
      <t xml:space="preserve">入仓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头程物流分摊</t>
    </r>
  </si>
  <si>
    <t xml:space="preserve">Maersk / Freightos / Flexport</t>
  </si>
  <si>
    <t xml:space="preserve">整柜分摊到单件</t>
  </si>
  <si>
    <t xml:space="preserve">CPM (Cost per Mille)</t>
  </si>
  <si>
    <t xml:space="preserve">Meta Marketing API / TikTok Ads / Amazon Ads</t>
  </si>
  <si>
    <r>
      <rPr>
        <sz val="10"/>
        <color rgb="FF000000"/>
        <rFont val="Arial"/>
        <family val="0"/>
        <charset val="1"/>
      </rPr>
      <t xml:space="preserve">Meta US Home ~$20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TikTok US Home $10-14</t>
    </r>
  </si>
  <si>
    <t xml:space="preserve">CTR (Click-Through Rate)</t>
  </si>
  <si>
    <t xml:space="preserve">Meta Furniture 1.48%; TikTok 0.7-1.2%</t>
  </si>
  <si>
    <t xml:space="preserve">CVR (Click-to-Order)</t>
  </si>
  <si>
    <t xml:space="preserve">Shopify GA4 / Amazon Brand Analytics / TTS Partner</t>
  </si>
  <si>
    <r>
      <rPr>
        <sz val="10"/>
        <color rgb="FF000000"/>
        <rFont val="Arial"/>
        <family val="0"/>
        <charset val="1"/>
      </rPr>
      <t xml:space="preserve">Shopify Furniture 0.8-1.8%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6.5%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TTS 0.8-1.5%</t>
    </r>
  </si>
  <si>
    <r>
      <rPr>
        <sz val="10"/>
        <color rgb="FF000000"/>
        <rFont val="DejaVu Sans"/>
        <family val="2"/>
      </rPr>
      <t xml:space="preserve">达人 </t>
    </r>
    <r>
      <rPr>
        <sz val="10"/>
        <color rgb="FF000000"/>
        <rFont val="DejaVu Sans"/>
        <family val="2"/>
        <charset val="1"/>
      </rPr>
      <t xml:space="preserve">/ Affiliate </t>
    </r>
    <r>
      <rPr>
        <sz val="10"/>
        <color rgb="FF000000"/>
        <rFont val="DejaVu Sans"/>
        <family val="2"/>
      </rPr>
      <t xml:space="preserve">分成 </t>
    </r>
    <r>
      <rPr>
        <sz val="10"/>
        <color rgb="FF000000"/>
        <rFont val="DejaVu Sans"/>
        <family val="2"/>
        <charset val="1"/>
      </rPr>
      <t xml:space="preserve">(TTS </t>
    </r>
    <r>
      <rPr>
        <sz val="10"/>
        <color rgb="FF000000"/>
        <rFont val="DejaVu Sans"/>
        <family val="2"/>
      </rPr>
      <t xml:space="preserve">时</t>
    </r>
    <r>
      <rPr>
        <sz val="10"/>
        <color rgb="FF000000"/>
        <rFont val="DejaVu Sans"/>
        <family val="2"/>
        <charset val="1"/>
      </rPr>
      <t xml:space="preserve">)</t>
    </r>
  </si>
  <si>
    <t xml:space="preserve">TTS Affiliate Program / Insense</t>
  </si>
  <si>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DejaVu Sans"/>
        <family val="2"/>
      </rPr>
      <t xml:space="preserve">一般 </t>
    </r>
    <r>
      <rPr>
        <sz val="10"/>
        <color rgb="FF000000"/>
        <rFont val="Arial"/>
        <family val="0"/>
        <charset val="1"/>
      </rPr>
      <t xml:space="preserve">15-25%</t>
    </r>
    <r>
      <rPr>
        <sz val="10"/>
        <color rgb="FF000000"/>
        <rFont val="DejaVu Sans"/>
        <family val="2"/>
      </rPr>
      <t xml:space="preserve">；其他平台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</si>
  <si>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DejaVu Sans"/>
        <family val="2"/>
      </rPr>
      <t xml:space="preserve">退货物流 </t>
    </r>
    <r>
      <rPr>
        <sz val="10"/>
        <color rgb="FF000000"/>
        <rFont val="DejaVu Sans"/>
        <family val="2"/>
        <charset val="1"/>
      </rPr>
      <t xml:space="preserve">(Per Return)</t>
    </r>
  </si>
  <si>
    <r>
      <rPr>
        <sz val="10"/>
        <color rgb="FF000000"/>
        <rFont val="Arial"/>
        <family val="0"/>
        <charset val="1"/>
      </rPr>
      <t xml:space="preserve">17TRACK / Easyship </t>
    </r>
    <r>
      <rPr>
        <sz val="10"/>
        <color rgb="FF000000"/>
        <rFont val="DejaVu Sans"/>
        <family val="2"/>
      </rPr>
      <t xml:space="preserve">逆向</t>
    </r>
  </si>
  <si>
    <r>
      <rPr>
        <sz val="10"/>
        <color rgb="FF000000"/>
        <rFont val="DejaVu Sans"/>
        <family val="2"/>
      </rPr>
      <t xml:space="preserve">美国境内小件 </t>
    </r>
    <r>
      <rPr>
        <sz val="10"/>
        <color rgb="FF000000"/>
        <rFont val="DejaVu Sans"/>
        <family val="2"/>
        <charset val="1"/>
      </rPr>
      <t xml:space="preserve">$8-15</t>
    </r>
    <r>
      <rPr>
        <sz val="10"/>
        <color rgb="FF000000"/>
        <rFont val="DejaVu Sans"/>
        <family val="2"/>
      </rPr>
      <t xml:space="preserve">；大件 </t>
    </r>
    <r>
      <rPr>
        <sz val="10"/>
        <color rgb="FF000000"/>
        <rFont val="DejaVu Sans"/>
        <family val="2"/>
        <charset val="1"/>
      </rPr>
      <t xml:space="preserve">LTL $80-250</t>
    </r>
  </si>
  <si>
    <t xml:space="preserve">🧮 中间计算（单笔订单）</t>
  </si>
  <si>
    <t xml:space="preserve">公式</t>
  </si>
  <si>
    <t xml:space="preserve">结果</t>
  </si>
  <si>
    <t xml:space="preserve">说明</t>
  </si>
  <si>
    <r>
      <rPr>
        <sz val="10"/>
        <color rgb="FF000000"/>
        <rFont val="Arial"/>
        <family val="0"/>
        <charset val="1"/>
      </rPr>
      <t xml:space="preserve">Net Sales (</t>
    </r>
    <r>
      <rPr>
        <sz val="10"/>
        <color rgb="FF000000"/>
        <rFont val="DejaVu Sans"/>
        <family val="2"/>
      </rPr>
      <t xml:space="preserve">扣折扣 </t>
    </r>
    <r>
      <rPr>
        <sz val="10"/>
        <color rgb="FF000000"/>
        <rFont val="Arial"/>
        <family val="0"/>
        <charset val="1"/>
      </rPr>
      <t xml:space="preserve">&amp; </t>
    </r>
    <r>
      <rPr>
        <sz val="10"/>
        <color rgb="FF000000"/>
        <rFont val="DejaVu Sans"/>
        <family val="2"/>
      </rPr>
      <t xml:space="preserve">税后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</si>
  <si>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扣折扣后再除以 </t>
    </r>
    <r>
      <rPr>
        <sz val="10"/>
        <color rgb="FF000000"/>
        <rFont val="DejaVu Sans"/>
        <family val="2"/>
        <charset val="1"/>
      </rPr>
      <t xml:space="preserve">(1+</t>
    </r>
    <r>
      <rPr>
        <sz val="10"/>
        <color rgb="FF000000"/>
        <rFont val="DejaVu Sans"/>
        <family val="2"/>
      </rPr>
      <t xml:space="preserve">税率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 xml:space="preserve">得净销售（适用于含税价场景）</t>
    </r>
  </si>
  <si>
    <r>
      <rPr>
        <sz val="10"/>
        <color rgb="FF000000"/>
        <rFont val="DejaVu Sans"/>
        <family val="2"/>
      </rPr>
      <t xml:space="preserve">平台抽成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支付费</t>
    </r>
  </si>
  <si>
    <r>
      <rPr>
        <sz val="10"/>
        <color rgb="FF000000"/>
        <rFont val="DejaVu Sans"/>
        <family val="2"/>
      </rPr>
      <t xml:space="preserve">按 </t>
    </r>
    <r>
      <rPr>
        <sz val="10"/>
        <color rgb="FF000000"/>
        <rFont val="DejaVu Sans"/>
        <family val="2"/>
        <charset val="1"/>
      </rPr>
      <t xml:space="preserve">Gross-of-tax </t>
    </r>
    <r>
      <rPr>
        <sz val="10"/>
        <color rgb="FF000000"/>
        <rFont val="DejaVu Sans"/>
        <family val="2"/>
      </rPr>
      <t xml:space="preserve">折扣后销售额计算</t>
    </r>
  </si>
  <si>
    <r>
      <rPr>
        <sz val="10"/>
        <color rgb="FF000000"/>
        <rFont val="DejaVu Sans"/>
        <family val="2"/>
      </rPr>
      <t xml:space="preserve">达人 </t>
    </r>
    <r>
      <rPr>
        <sz val="10"/>
        <color rgb="FF000000"/>
        <rFont val="DejaVu Sans"/>
        <family val="2"/>
        <charset val="1"/>
      </rPr>
      <t xml:space="preserve">/ Affiliate </t>
    </r>
    <r>
      <rPr>
        <sz val="10"/>
        <color rgb="FF000000"/>
        <rFont val="DejaVu Sans"/>
        <family val="2"/>
      </rPr>
      <t xml:space="preserve">分成</t>
    </r>
  </si>
  <si>
    <r>
      <rPr>
        <sz val="10"/>
        <color rgb="FF000000"/>
        <rFont val="DejaVu Sans"/>
        <family val="2"/>
      </rPr>
      <t xml:space="preserve">仅 </t>
    </r>
    <r>
      <rPr>
        <sz val="10"/>
        <color rgb="FF000000"/>
        <rFont val="DejaVu Sans"/>
        <family val="2"/>
        <charset val="1"/>
      </rPr>
      <t xml:space="preserve">TTS </t>
    </r>
    <r>
      <rPr>
        <sz val="10"/>
        <color rgb="FF000000"/>
        <rFont val="DejaVu Sans"/>
        <family val="2"/>
      </rPr>
      <t xml:space="preserve">时 </t>
    </r>
    <r>
      <rPr>
        <sz val="10"/>
        <color rgb="FF000000"/>
        <rFont val="DejaVu Sans"/>
        <family val="2"/>
        <charset val="1"/>
      </rPr>
      <t xml:space="preserve">&gt; 0</t>
    </r>
  </si>
  <si>
    <r>
      <rPr>
        <sz val="10"/>
        <color rgb="FF000000"/>
        <rFont val="DejaVu Sans"/>
        <family val="2"/>
      </rPr>
      <t xml:space="preserve">货值 </t>
    </r>
    <r>
      <rPr>
        <sz val="10"/>
        <color rgb="FF000000"/>
        <rFont val="DejaVu Sans"/>
        <family val="2"/>
        <charset val="1"/>
      </rPr>
      <t xml:space="preserve">(COGS)</t>
    </r>
  </si>
  <si>
    <r>
      <rPr>
        <sz val="10"/>
        <color rgb="FF000000"/>
        <rFont val="DejaVu Sans"/>
        <family val="2"/>
      </rPr>
      <t xml:space="preserve">采购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入仓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头程分摊</t>
    </r>
  </si>
  <si>
    <r>
      <rPr>
        <sz val="10"/>
        <color rgb="FF000000"/>
        <rFont val="DejaVu Sans"/>
        <family val="2"/>
      </rPr>
      <t xml:space="preserve">正向物流 </t>
    </r>
    <r>
      <rPr>
        <sz val="10"/>
        <color rgb="FF000000"/>
        <rFont val="DejaVu Sans"/>
        <family val="2"/>
        <charset val="1"/>
      </rPr>
      <t xml:space="preserve">(Per Order)</t>
    </r>
  </si>
  <si>
    <t xml:space="preserve">退货折算成本</t>
  </si>
  <si>
    <r>
      <rPr>
        <sz val="10"/>
        <color rgb="FF000000"/>
        <rFont val="DejaVu Sans"/>
        <family val="2"/>
      </rPr>
      <t xml:space="preserve">退货率 </t>
    </r>
    <r>
      <rPr>
        <sz val="10"/>
        <color rgb="FF000000"/>
        <rFont val="DejaVu Sans"/>
        <family val="2"/>
        <charset val="1"/>
      </rPr>
      <t xml:space="preserve">× (</t>
    </r>
    <r>
      <rPr>
        <sz val="10"/>
        <color rgb="FF000000"/>
        <rFont val="DejaVu Sans"/>
        <family val="2"/>
      </rPr>
      <t xml:space="preserve">售价</t>
    </r>
    <r>
      <rPr>
        <sz val="10"/>
        <color rgb="FF000000"/>
        <rFont val="DejaVu Sans"/>
        <family val="2"/>
        <charset val="1"/>
      </rPr>
      <t xml:space="preserve">×30% </t>
    </r>
    <r>
      <rPr>
        <sz val="10"/>
        <color rgb="FF000000"/>
        <rFont val="DejaVu Sans"/>
        <family val="2"/>
      </rPr>
      <t xml:space="preserve">损失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退货物流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</si>
  <si>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贡献毛利 </t>
    </r>
    <r>
      <rPr>
        <sz val="10"/>
        <color rgb="FF000000"/>
        <rFont val="DejaVu Sans"/>
        <family val="2"/>
        <charset val="1"/>
      </rPr>
      <t xml:space="preserve">(Contribution Margin / </t>
    </r>
    <r>
      <rPr>
        <sz val="10"/>
        <color rgb="FF000000"/>
        <rFont val="DejaVu Sans"/>
        <family val="2"/>
      </rPr>
      <t xml:space="preserve">单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</si>
  <si>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Net Sales - </t>
    </r>
    <r>
      <rPr>
        <sz val="10"/>
        <color rgb="FF000000"/>
        <rFont val="DejaVu Sans"/>
        <family val="2"/>
      </rPr>
      <t xml:space="preserve">平台抽成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DejaVu Sans"/>
        <family val="2"/>
      </rPr>
      <t xml:space="preserve">达人分成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DejaVu Sans"/>
        <family val="2"/>
      </rPr>
      <t xml:space="preserve">货值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DejaVu Sans"/>
        <family val="2"/>
      </rPr>
      <t xml:space="preserve">正向物流 </t>
    </r>
    <r>
      <rPr>
        <sz val="10"/>
        <color rgb="FF000000"/>
        <rFont val="Arial"/>
        <family val="0"/>
        <charset val="1"/>
      </rPr>
      <t xml:space="preserve">- </t>
    </r>
    <r>
      <rPr>
        <sz val="10"/>
        <color rgb="FF000000"/>
        <rFont val="DejaVu Sans"/>
        <family val="2"/>
      </rPr>
      <t xml:space="preserve">退货折算</t>
    </r>
  </si>
  <si>
    <r>
      <rPr>
        <sz val="10"/>
        <color rgb="FF000000"/>
        <rFont val="DejaVu Sans"/>
        <family val="2"/>
      </rPr>
      <t xml:space="preserve">广告费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单 </t>
    </r>
    <r>
      <rPr>
        <sz val="10"/>
        <color rgb="FF000000"/>
        <rFont val="DejaVu Sans"/>
        <family val="2"/>
        <charset val="1"/>
      </rPr>
      <t xml:space="preserve">(Ad Cost per Order)</t>
    </r>
  </si>
  <si>
    <r>
      <rPr>
        <sz val="10"/>
        <color rgb="FF000000"/>
        <rFont val="DejaVu Sans"/>
        <family val="2"/>
      </rPr>
      <t xml:space="preserve">曝光成本 </t>
    </r>
    <r>
      <rPr>
        <sz val="10"/>
        <color rgb="FF000000"/>
        <rFont val="DejaVu Sans"/>
        <family val="2"/>
        <charset val="1"/>
      </rPr>
      <t xml:space="preserve">/ (</t>
    </r>
    <r>
      <rPr>
        <sz val="10"/>
        <color rgb="FF000000"/>
        <rFont val="DejaVu Sans"/>
        <family val="2"/>
      </rPr>
      <t xml:space="preserve">点击率 </t>
    </r>
    <r>
      <rPr>
        <sz val="10"/>
        <color rgb="FF000000"/>
        <rFont val="DejaVu Sans"/>
        <family val="2"/>
        <charset val="1"/>
      </rPr>
      <t xml:space="preserve">× </t>
    </r>
    <r>
      <rPr>
        <sz val="10"/>
        <color rgb="FF000000"/>
        <rFont val="DejaVu Sans"/>
        <family val="2"/>
      </rPr>
      <t xml:space="preserve">转化率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</si>
  <si>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净利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单 </t>
    </r>
    <r>
      <rPr>
        <sz val="10"/>
        <color rgb="FF000000"/>
        <rFont val="DejaVu Sans"/>
        <family val="2"/>
        <charset val="1"/>
      </rPr>
      <t xml:space="preserve">(Net Profit per Order)</t>
    </r>
  </si>
  <si>
    <r>
      <rPr>
        <sz val="10"/>
        <color rgb="FF000000"/>
        <rFont val="DejaVu Sans"/>
        <family val="2"/>
      </rPr>
      <t xml:space="preserve">贡献毛利 </t>
    </r>
    <r>
      <rPr>
        <sz val="10"/>
        <color rgb="FF000000"/>
        <rFont val="DejaVu Sans"/>
        <family val="2"/>
        <charset val="1"/>
      </rPr>
      <t xml:space="preserve">- </t>
    </r>
    <r>
      <rPr>
        <sz val="10"/>
        <color rgb="FF000000"/>
        <rFont val="DejaVu Sans"/>
        <family val="2"/>
      </rPr>
      <t xml:space="preserve">广告费</t>
    </r>
  </si>
  <si>
    <r>
      <rPr>
        <b val="true"/>
        <sz val="11"/>
        <color rgb="FF000000"/>
        <rFont val="DejaVu Sans"/>
        <family val="2"/>
      </rPr>
      <t xml:space="preserve">📊 关键产出指标（</t>
    </r>
    <r>
      <rPr>
        <b val="true"/>
        <sz val="11"/>
        <color rgb="FF000000"/>
        <rFont val="DejaVu Sans"/>
        <family val="2"/>
        <charset val="1"/>
      </rPr>
      <t xml:space="preserve">KPIs</t>
    </r>
    <r>
      <rPr>
        <b val="true"/>
        <sz val="11"/>
        <color rgb="FF000000"/>
        <rFont val="DejaVu Sans"/>
        <family val="2"/>
      </rPr>
      <t xml:space="preserve">）</t>
    </r>
  </si>
  <si>
    <t xml:space="preserve">判断标准</t>
  </si>
  <si>
    <r>
      <rPr>
        <sz val="10"/>
        <color rgb="FF000000"/>
        <rFont val="DejaVu Sans"/>
        <family val="2"/>
      </rPr>
      <t xml:space="preserve">毛利率 </t>
    </r>
    <r>
      <rPr>
        <sz val="10"/>
        <color rgb="FF000000"/>
        <rFont val="DejaVu Sans"/>
        <family val="2"/>
        <charset val="1"/>
      </rPr>
      <t xml:space="preserve">(Gross Margin %)</t>
    </r>
  </si>
  <si>
    <r>
      <rPr>
        <sz val="10"/>
        <color rgb="FF000000"/>
        <rFont val="DejaVu Sans"/>
        <family val="2"/>
      </rPr>
      <t xml:space="preserve">公式</t>
    </r>
    <r>
      <rPr>
        <sz val="10"/>
        <color rgb="FF000000"/>
        <rFont val="DejaVu Sans"/>
        <family val="2"/>
        <charset val="1"/>
      </rPr>
      <t xml:space="preserve">: (Net Sales − </t>
    </r>
    <r>
      <rPr>
        <sz val="10"/>
        <color rgb="FF000000"/>
        <rFont val="DejaVu Sans"/>
        <family val="2"/>
      </rPr>
      <t xml:space="preserve">货值</t>
    </r>
    <r>
      <rPr>
        <sz val="10"/>
        <color rgb="FF000000"/>
        <rFont val="DejaVu Sans"/>
        <family val="2"/>
        <charset val="1"/>
      </rPr>
      <t xml:space="preserve">) / Net Sales</t>
    </r>
    <r>
      <rPr>
        <sz val="10"/>
        <color rgb="FF000000"/>
        <rFont val="DejaVu Sans"/>
        <family val="2"/>
      </rPr>
      <t xml:space="preserve">。家居家具健康 </t>
    </r>
    <r>
      <rPr>
        <sz val="10"/>
        <color rgb="FF000000"/>
        <rFont val="DejaVu Sans"/>
        <family val="2"/>
        <charset val="1"/>
      </rPr>
      <t xml:space="preserve">50-70%</t>
    </r>
  </si>
  <si>
    <r>
      <rPr>
        <sz val="10"/>
        <color rgb="FF000000"/>
        <rFont val="DejaVu Sans"/>
        <family val="2"/>
      </rPr>
      <t xml:space="preserve">贡献毛利率 </t>
    </r>
    <r>
      <rPr>
        <sz val="10"/>
        <color rgb="FF000000"/>
        <rFont val="DejaVu Sans"/>
        <family val="2"/>
        <charset val="1"/>
      </rPr>
      <t xml:space="preserve">(Contribution Margin %)</t>
    </r>
  </si>
  <si>
    <r>
      <rPr>
        <sz val="10"/>
        <color rgb="FF000000"/>
        <rFont val="DejaVu Sans"/>
        <family val="2"/>
      </rPr>
      <t xml:space="preserve">公式</t>
    </r>
    <r>
      <rPr>
        <sz val="10"/>
        <color rgb="FF000000"/>
        <rFont val="DejaVu Sans"/>
        <family val="2"/>
        <charset val="1"/>
      </rPr>
      <t xml:space="preserve">: </t>
    </r>
    <r>
      <rPr>
        <sz val="10"/>
        <color rgb="FF000000"/>
        <rFont val="DejaVu Sans"/>
        <family val="2"/>
      </rPr>
      <t xml:space="preserve">贡献毛利 </t>
    </r>
    <r>
      <rPr>
        <sz val="10"/>
        <color rgb="FF000000"/>
        <rFont val="DejaVu Sans"/>
        <family val="2"/>
        <charset val="1"/>
      </rPr>
      <t xml:space="preserve">/ Net Sales</t>
    </r>
    <r>
      <rPr>
        <sz val="10"/>
        <color rgb="FF000000"/>
        <rFont val="DejaVu Sans"/>
        <family val="2"/>
      </rPr>
      <t xml:space="preserve">。健康 </t>
    </r>
    <r>
      <rPr>
        <sz val="10"/>
        <color rgb="FF000000"/>
        <rFont val="DejaVu Sans"/>
        <family val="2"/>
        <charset val="1"/>
      </rPr>
      <t xml:space="preserve">30-50%</t>
    </r>
  </si>
  <si>
    <r>
      <rPr>
        <sz val="10"/>
        <color rgb="FF000000"/>
        <rFont val="DejaVu Sans"/>
        <family val="2"/>
      </rPr>
      <t xml:space="preserve">净利率 </t>
    </r>
    <r>
      <rPr>
        <sz val="10"/>
        <color rgb="FF000000"/>
        <rFont val="DejaVu Sans"/>
        <family val="2"/>
        <charset val="1"/>
      </rPr>
      <t xml:space="preserve">(Net Profit Margin %)</t>
    </r>
  </si>
  <si>
    <r>
      <rPr>
        <sz val="10"/>
        <color rgb="FF000000"/>
        <rFont val="DejaVu Sans"/>
        <family val="2"/>
      </rPr>
      <t xml:space="preserve">公式</t>
    </r>
    <r>
      <rPr>
        <sz val="10"/>
        <color rgb="FF000000"/>
        <rFont val="DejaVu Sans"/>
        <family val="2"/>
        <charset val="1"/>
      </rPr>
      <t xml:space="preserve">: </t>
    </r>
    <r>
      <rPr>
        <sz val="10"/>
        <color rgb="FF000000"/>
        <rFont val="DejaVu Sans"/>
        <family val="2"/>
      </rPr>
      <t xml:space="preserve">净利 </t>
    </r>
    <r>
      <rPr>
        <sz val="10"/>
        <color rgb="FF000000"/>
        <rFont val="DejaVu Sans"/>
        <family val="2"/>
        <charset val="1"/>
      </rPr>
      <t xml:space="preserve">/ Net Sales</t>
    </r>
    <r>
      <rPr>
        <sz val="10"/>
        <color rgb="FF000000"/>
        <rFont val="DejaVu Sans"/>
        <family val="2"/>
      </rPr>
      <t xml:space="preserve">。家居家具盈亏线 </t>
    </r>
    <r>
      <rPr>
        <sz val="10"/>
        <color rgb="FF000000"/>
        <rFont val="DejaVu Sans"/>
        <family val="2"/>
        <charset val="1"/>
      </rPr>
      <t xml:space="preserve">5-15%</t>
    </r>
  </si>
  <si>
    <t xml:space="preserve">ROAS (Return on Ad Spend)</t>
  </si>
  <si>
    <r>
      <rPr>
        <sz val="10"/>
        <color rgb="FF000000"/>
        <rFont val="DejaVu Sans"/>
        <family val="2"/>
      </rPr>
      <t xml:space="preserve">公式</t>
    </r>
    <r>
      <rPr>
        <sz val="10"/>
        <color rgb="FF000000"/>
        <rFont val="DejaVu Sans"/>
        <family val="2"/>
        <charset val="1"/>
      </rPr>
      <t xml:space="preserve">: Net Sales / </t>
    </r>
    <r>
      <rPr>
        <sz val="10"/>
        <color rgb="FF000000"/>
        <rFont val="DejaVu Sans"/>
        <family val="2"/>
      </rPr>
      <t xml:space="preserve">广告费。仅看投放效率，不代表赚钱</t>
    </r>
  </si>
  <si>
    <r>
      <rPr>
        <sz val="10"/>
        <color rgb="FF000000"/>
        <rFont val="Arial"/>
        <family val="0"/>
        <charset val="1"/>
      </rPr>
      <t xml:space="preserve">ROI (</t>
    </r>
    <r>
      <rPr>
        <sz val="10"/>
        <color rgb="FF000000"/>
        <rFont val="DejaVu Sans"/>
        <family val="2"/>
      </rPr>
      <t xml:space="preserve">广告 </t>
    </r>
    <r>
      <rPr>
        <sz val="10"/>
        <color rgb="FF000000"/>
        <rFont val="Arial"/>
        <family val="0"/>
        <charset val="1"/>
      </rPr>
      <t xml:space="preserve">ROI / </t>
    </r>
    <r>
      <rPr>
        <sz val="10"/>
        <color rgb="FF000000"/>
        <rFont val="DejaVu Sans"/>
        <family val="2"/>
      </rPr>
      <t xml:space="preserve">边际 </t>
    </r>
    <r>
      <rPr>
        <sz val="10"/>
        <color rgb="FF000000"/>
        <rFont val="Arial"/>
        <family val="0"/>
        <charset val="1"/>
      </rPr>
      <t xml:space="preserve">ROI) ⭐</t>
    </r>
  </si>
  <si>
    <r>
      <rPr>
        <sz val="10"/>
        <color rgb="FF000000"/>
        <rFont val="DejaVu Sans"/>
        <family val="2"/>
      </rPr>
      <t xml:space="preserve">公式</t>
    </r>
    <r>
      <rPr>
        <sz val="10"/>
        <color rgb="FF000000"/>
        <rFont val="DejaVu Sans"/>
        <family val="2"/>
        <charset val="1"/>
      </rPr>
      <t xml:space="preserve">: </t>
    </r>
    <r>
      <rPr>
        <sz val="10"/>
        <color rgb="FF000000"/>
        <rFont val="DejaVu Sans"/>
        <family val="2"/>
      </rPr>
      <t xml:space="preserve">贡献毛利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广告费。</t>
    </r>
    <r>
      <rPr>
        <sz val="10"/>
        <color rgb="FF000000"/>
        <rFont val="DejaVu Sans"/>
        <family val="2"/>
        <charset val="1"/>
      </rPr>
      <t xml:space="preserve">&gt; 1 </t>
    </r>
    <r>
      <rPr>
        <sz val="10"/>
        <color rgb="FF000000"/>
        <rFont val="DejaVu Sans"/>
        <family val="2"/>
      </rPr>
      <t xml:space="preserve">才算有边际回报</t>
    </r>
  </si>
  <si>
    <t xml:space="preserve">MER (Marketing Efficiency Ratio)</t>
  </si>
  <si>
    <r>
      <rPr>
        <sz val="10"/>
        <color rgb="FF000000"/>
        <rFont val="DejaVu Sans"/>
        <family val="2"/>
      </rPr>
      <t xml:space="preserve">全渠道 </t>
    </r>
    <r>
      <rPr>
        <sz val="10"/>
        <color rgb="FF000000"/>
        <rFont val="DejaVu Sans"/>
        <family val="2"/>
        <charset val="1"/>
      </rPr>
      <t xml:space="preserve">ROAS </t>
    </r>
    <r>
      <rPr>
        <sz val="10"/>
        <color rgb="FF000000"/>
        <rFont val="DejaVu Sans"/>
        <family val="2"/>
      </rPr>
      <t xml:space="preserve">概念。家居 </t>
    </r>
    <r>
      <rPr>
        <sz val="10"/>
        <color rgb="FF000000"/>
        <rFont val="DejaVu Sans"/>
        <family val="2"/>
        <charset val="1"/>
      </rPr>
      <t xml:space="preserve">DTC </t>
    </r>
    <r>
      <rPr>
        <sz val="10"/>
        <color rgb="FF000000"/>
        <rFont val="DejaVu Sans"/>
        <family val="2"/>
      </rPr>
      <t xml:space="preserve">健康 </t>
    </r>
    <r>
      <rPr>
        <sz val="10"/>
        <color rgb="FF000000"/>
        <rFont val="DejaVu Sans"/>
        <family val="2"/>
        <charset val="1"/>
      </rPr>
      <t xml:space="preserve">2.5-4.0</t>
    </r>
  </si>
  <si>
    <t xml:space="preserve">CAC (Customer Acquisition Cost)</t>
  </si>
  <si>
    <r>
      <rPr>
        <sz val="10"/>
        <color rgb="FF000000"/>
        <rFont val="DejaVu Sans"/>
        <family val="2"/>
      </rPr>
      <t xml:space="preserve">广告 </t>
    </r>
    <r>
      <rPr>
        <sz val="10"/>
        <color rgb="FF000000"/>
        <rFont val="DejaVu Sans"/>
        <family val="2"/>
        <charset val="1"/>
      </rPr>
      <t xml:space="preserve">CAC = </t>
    </r>
    <r>
      <rPr>
        <sz val="10"/>
        <color rgb="FF000000"/>
        <rFont val="DejaVu Sans"/>
        <family val="2"/>
      </rPr>
      <t xml:space="preserve">广告费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单。要 </t>
    </r>
    <r>
      <rPr>
        <sz val="10"/>
        <color rgb="FF000000"/>
        <rFont val="DejaVu Sans"/>
        <family val="2"/>
        <charset val="1"/>
      </rPr>
      <t xml:space="preserve">&lt; LTV</t>
    </r>
  </si>
  <si>
    <r>
      <rPr>
        <sz val="10"/>
        <color rgb="FF000000"/>
        <rFont val="Arial"/>
        <family val="0"/>
        <charset val="1"/>
      </rPr>
      <t xml:space="preserve">Break-Even ROAS (</t>
    </r>
    <r>
      <rPr>
        <sz val="10"/>
        <color rgb="FF000000"/>
        <rFont val="DejaVu Sans"/>
        <family val="2"/>
      </rPr>
      <t xml:space="preserve">盈亏平衡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</si>
  <si>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ROAS </t>
    </r>
    <r>
      <rPr>
        <sz val="10"/>
        <color rgb="FF000000"/>
        <rFont val="DejaVu Sans"/>
        <family val="2"/>
      </rPr>
      <t xml:space="preserve">需高于这个值才赚钱</t>
    </r>
  </si>
  <si>
    <r>
      <rPr>
        <b val="true"/>
        <sz val="11"/>
        <color rgb="FF000000"/>
        <rFont val="DejaVu Sans"/>
        <family val="2"/>
      </rPr>
      <t xml:space="preserve">📖 核算逻辑说明 </t>
    </r>
    <r>
      <rPr>
        <b val="true"/>
        <sz val="11"/>
        <color rgb="FF000000"/>
        <rFont val="DejaVu Sans"/>
        <family val="2"/>
        <charset val="1"/>
      </rPr>
      <t xml:space="preserve">- ROI </t>
    </r>
    <r>
      <rPr>
        <b val="true"/>
        <sz val="11"/>
        <color rgb="FF000000"/>
        <rFont val="DejaVu Sans"/>
        <family val="2"/>
      </rPr>
      <t xml:space="preserve">里要不要扣货值</t>
    </r>
    <r>
      <rPr>
        <b val="true"/>
        <sz val="11"/>
        <color rgb="FF000000"/>
        <rFont val="DejaVu Sans"/>
        <family val="2"/>
        <charset val="1"/>
      </rPr>
      <t xml:space="preserve">/</t>
    </r>
    <r>
      <rPr>
        <b val="true"/>
        <sz val="11"/>
        <color rgb="FF000000"/>
        <rFont val="DejaVu Sans"/>
        <family val="2"/>
      </rPr>
      <t xml:space="preserve">物流？</t>
    </r>
  </si>
  <si>
    <r>
      <rPr>
        <sz val="10"/>
        <color rgb="FF000000"/>
        <rFont val="DejaVu Sans"/>
        <family val="2"/>
      </rPr>
      <t xml:space="preserve">• 答案：要扣。否则算出来的是 </t>
    </r>
    <r>
      <rPr>
        <sz val="10"/>
        <color rgb="FF000000"/>
        <rFont val="DejaVu Sans"/>
        <family val="2"/>
        <charset val="1"/>
      </rPr>
      <t xml:space="preserve">ROAS</t>
    </r>
    <r>
      <rPr>
        <sz val="10"/>
        <color rgb="FF000000"/>
        <rFont val="DejaVu Sans"/>
        <family val="2"/>
      </rPr>
      <t xml:space="preserve">（毛广告回报），不是真正的 </t>
    </r>
    <r>
      <rPr>
        <sz val="10"/>
        <color rgb="FF000000"/>
        <rFont val="DejaVu Sans"/>
        <family val="2"/>
        <charset val="1"/>
      </rPr>
      <t xml:space="preserve">ROI</t>
    </r>
    <r>
      <rPr>
        <sz val="10"/>
        <color rgb="FF000000"/>
        <rFont val="DejaVu Sans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</si>
  <si>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• ROAS &gt; 1 ≠ </t>
    </r>
    <r>
      <rPr>
        <sz val="10"/>
        <color rgb="FF000000"/>
        <rFont val="DejaVu Sans"/>
        <family val="2"/>
      </rPr>
      <t xml:space="preserve">赚钱。家居家具货值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物流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抽成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退货合计常占售价 </t>
    </r>
    <r>
      <rPr>
        <sz val="10"/>
        <color rgb="FF000000"/>
        <rFont val="Arial"/>
        <family val="0"/>
        <charset val="1"/>
      </rPr>
      <t xml:space="preserve">50-70%</t>
    </r>
    <r>
      <rPr>
        <sz val="10"/>
        <color rgb="FF000000"/>
        <rFont val="DejaVu Sans"/>
        <family val="2"/>
      </rPr>
      <t xml:space="preserve">，不扣会严重虚高。</t>
    </r>
  </si>
  <si>
    <r>
      <rPr>
        <sz val="10"/>
        <color rgb="FF000000"/>
        <rFont val="DejaVu Sans"/>
        <family val="2"/>
      </rPr>
      <t xml:space="preserve">• 本表实现的「</t>
    </r>
    <r>
      <rPr>
        <sz val="10"/>
        <color rgb="FF000000"/>
        <rFont val="DejaVu Sans"/>
        <family val="2"/>
        <charset val="1"/>
      </rPr>
      <t xml:space="preserve">ROI</t>
    </r>
    <r>
      <rPr>
        <sz val="10"/>
        <color rgb="FF000000"/>
        <rFont val="DejaVu Sans"/>
        <family val="2"/>
      </rPr>
      <t xml:space="preserve">」 </t>
    </r>
    <r>
      <rPr>
        <sz val="10"/>
        <color rgb="FF000000"/>
        <rFont val="DejaVu Sans"/>
        <family val="2"/>
        <charset val="1"/>
      </rPr>
      <t xml:space="preserve">= </t>
    </r>
    <r>
      <rPr>
        <sz val="10"/>
        <color rgb="FF000000"/>
        <rFont val="DejaVu Sans"/>
        <family val="2"/>
      </rPr>
      <t xml:space="preserve">贡献毛利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广告费，即「每 </t>
    </r>
    <r>
      <rPr>
        <sz val="10"/>
        <color rgb="FF000000"/>
        <rFont val="DejaVu Sans"/>
        <family val="2"/>
        <charset val="1"/>
      </rPr>
      <t xml:space="preserve">1 </t>
    </r>
    <r>
      <rPr>
        <sz val="10"/>
        <color rgb="FF000000"/>
        <rFont val="DejaVu Sans"/>
        <family val="2"/>
      </rPr>
      <t xml:space="preserve">块广告费换回多少边际利润」。这是产品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投放决策的核心指标。</t>
    </r>
  </si>
  <si>
    <r>
      <rPr>
        <sz val="10"/>
        <color rgb="FF000000"/>
        <rFont val="DejaVu Sans"/>
        <family val="2"/>
      </rPr>
      <t xml:space="preserve">• 广告费公式：</t>
    </r>
    <r>
      <rPr>
        <sz val="10"/>
        <color rgb="FF000000"/>
        <rFont val="DejaVu Sans"/>
        <family val="2"/>
        <charset val="1"/>
      </rPr>
      <t xml:space="preserve">Ad Cost per Order = (CPM/1000) / (CTR × CVR)</t>
    </r>
    <r>
      <rPr>
        <sz val="10"/>
        <color rgb="FF000000"/>
        <rFont val="DejaVu Sans"/>
        <family val="2"/>
      </rPr>
      <t xml:space="preserve">。即：拿到 </t>
    </r>
    <r>
      <rPr>
        <sz val="10"/>
        <color rgb="FF000000"/>
        <rFont val="DejaVu Sans"/>
        <family val="2"/>
        <charset val="1"/>
      </rPr>
      <t xml:space="preserve">1 </t>
    </r>
    <r>
      <rPr>
        <sz val="10"/>
        <color rgb="FF000000"/>
        <rFont val="DejaVu Sans"/>
        <family val="2"/>
      </rPr>
      <t xml:space="preserve">个订单需要 </t>
    </r>
    <r>
      <rPr>
        <sz val="10"/>
        <color rgb="FF000000"/>
        <rFont val="DejaVu Sans"/>
        <family val="2"/>
        <charset val="1"/>
      </rPr>
      <t xml:space="preserve">1/(CTR × CVR) </t>
    </r>
    <r>
      <rPr>
        <sz val="10"/>
        <color rgb="FF000000"/>
        <rFont val="DejaVu Sans"/>
        <family val="2"/>
      </rPr>
      <t xml:space="preserve">次曝光，乘以每次曝光成本。</t>
    </r>
  </si>
  <si>
    <r>
      <rPr>
        <sz val="10"/>
        <color rgb="FF000000"/>
        <rFont val="DejaVu Sans"/>
        <family val="2"/>
      </rPr>
      <t xml:space="preserve">• 用户原公式 </t>
    </r>
    <r>
      <rPr>
        <sz val="10"/>
        <color rgb="FF000000"/>
        <rFont val="DejaVu Sans"/>
        <family val="2"/>
        <charset val="1"/>
      </rPr>
      <t xml:space="preserve">(CPM/1000) × CTR × CVR × AOV </t>
    </r>
    <r>
      <rPr>
        <sz val="10"/>
        <color rgb="FF000000"/>
        <rFont val="DejaVu Sans"/>
        <family val="2"/>
      </rPr>
      <t xml:space="preserve">量纲不对——那是「每次曝光的预期收入」，不是广告投入。</t>
    </r>
  </si>
  <si>
    <r>
      <rPr>
        <sz val="10"/>
        <color rgb="FF000000"/>
        <rFont val="DejaVu Sans"/>
        <family val="2"/>
      </rPr>
      <t xml:space="preserve">• 税的处理：</t>
    </r>
    <r>
      <rPr>
        <sz val="10"/>
        <color rgb="FF000000"/>
        <rFont val="DejaVu Sans"/>
        <family val="2"/>
        <charset val="1"/>
      </rPr>
      <t xml:space="preserve">US sales tax </t>
    </r>
    <r>
      <rPr>
        <sz val="10"/>
        <color rgb="FF000000"/>
        <rFont val="DejaVu Sans"/>
        <family val="2"/>
      </rPr>
      <t xml:space="preserve">一般消费者额外付，可不扣；</t>
    </r>
    <r>
      <rPr>
        <sz val="10"/>
        <color rgb="FF000000"/>
        <rFont val="DejaVu Sans"/>
        <family val="2"/>
        <charset val="1"/>
      </rPr>
      <t xml:space="preserve">EU/UK VAT </t>
    </r>
    <r>
      <rPr>
        <sz val="10"/>
        <color rgb="FF000000"/>
        <rFont val="DejaVu Sans"/>
        <family val="2"/>
      </rPr>
      <t xml:space="preserve">含价需扣；</t>
    </r>
    <r>
      <rPr>
        <sz val="10"/>
        <color rgb="FF000000"/>
        <rFont val="DejaVu Sans"/>
        <family val="2"/>
        <charset val="1"/>
      </rPr>
      <t xml:space="preserve">JP </t>
    </r>
    <r>
      <rPr>
        <sz val="10"/>
        <color rgb="FF000000"/>
        <rFont val="DejaVu Sans"/>
        <family val="2"/>
      </rPr>
      <t xml:space="preserve">消费税含价。本表用 </t>
    </r>
    <r>
      <rPr>
        <sz val="10"/>
        <color rgb="FF000000"/>
        <rFont val="DejaVu Sans"/>
        <family val="2"/>
        <charset val="1"/>
      </rPr>
      <t xml:space="preserve">(1+TAX) </t>
    </r>
    <r>
      <rPr>
        <sz val="10"/>
        <color rgb="FF000000"/>
        <rFont val="DejaVu Sans"/>
        <family val="2"/>
      </rPr>
      <t xml:space="preserve">做含税还原，跑 </t>
    </r>
    <r>
      <rPr>
        <sz val="10"/>
        <color rgb="FF000000"/>
        <rFont val="DejaVu Sans"/>
        <family val="2"/>
        <charset val="1"/>
      </rPr>
      <t xml:space="preserve">US </t>
    </r>
    <r>
      <rPr>
        <sz val="10"/>
        <color rgb="FF000000"/>
        <rFont val="DejaVu Sans"/>
        <family val="2"/>
      </rPr>
      <t xml:space="preserve">时把 </t>
    </r>
    <r>
      <rPr>
        <sz val="10"/>
        <color rgb="FF000000"/>
        <rFont val="DejaVu Sans"/>
        <family val="2"/>
        <charset val="1"/>
      </rPr>
      <t xml:space="preserve">TAX </t>
    </r>
    <r>
      <rPr>
        <sz val="10"/>
        <color rgb="FF000000"/>
        <rFont val="DejaVu Sans"/>
        <family val="2"/>
      </rPr>
      <t xml:space="preserve">设为 </t>
    </r>
    <r>
      <rPr>
        <sz val="10"/>
        <color rgb="FF000000"/>
        <rFont val="DejaVu Sans"/>
        <family val="2"/>
        <charset val="1"/>
      </rPr>
      <t xml:space="preserve">0 </t>
    </r>
    <r>
      <rPr>
        <sz val="10"/>
        <color rgb="FF000000"/>
        <rFont val="DejaVu Sans"/>
        <family val="2"/>
      </rPr>
      <t xml:space="preserve">即可。</t>
    </r>
  </si>
  <si>
    <r>
      <rPr>
        <sz val="10"/>
        <color rgb="FF000000"/>
        <rFont val="DejaVu Sans"/>
        <family val="2"/>
      </rPr>
      <t xml:space="preserve">• 退货折算：单次退货损失 ≈ 售价 </t>
    </r>
    <r>
      <rPr>
        <sz val="10"/>
        <color rgb="FF000000"/>
        <rFont val="DejaVu Sans"/>
        <family val="2"/>
        <charset val="1"/>
      </rPr>
      <t xml:space="preserve">× 27-30%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DejaVu Sans"/>
        <family val="2"/>
        <charset val="1"/>
      </rPr>
      <t xml:space="preserve">Optoro </t>
    </r>
    <r>
      <rPr>
        <sz val="10"/>
        <color rgb="FF000000"/>
        <rFont val="DejaVu Sans"/>
        <family val="2"/>
      </rPr>
      <t xml:space="preserve">经验值）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退货物流。本表给可调输入，按品类调整。</t>
    </r>
  </si>
  <si>
    <r>
      <rPr>
        <sz val="10"/>
        <color rgb="FF000000"/>
        <rFont val="Arial"/>
        <family val="0"/>
        <charset val="1"/>
      </rPr>
      <t xml:space="preserve">• 32 </t>
    </r>
    <r>
      <rPr>
        <sz val="10"/>
        <color rgb="FF000000"/>
        <rFont val="DejaVu Sans"/>
        <family val="2"/>
      </rPr>
      <t xml:space="preserve">国统一公式：每个市场切换输入即可。建议在「家居家具数字」</t>
    </r>
    <r>
      <rPr>
        <sz val="10"/>
        <color rgb="FF000000"/>
        <rFont val="Arial"/>
        <family val="0"/>
        <charset val="1"/>
      </rPr>
      <t xml:space="preserve">sheet </t>
    </r>
    <r>
      <rPr>
        <sz val="10"/>
        <color rgb="FF000000"/>
        <rFont val="DejaVu Sans"/>
        <family val="2"/>
      </rPr>
      <t xml:space="preserve">找对应市场 </t>
    </r>
    <r>
      <rPr>
        <sz val="10"/>
        <color rgb="FF000000"/>
        <rFont val="Arial"/>
        <family val="0"/>
        <charset val="1"/>
      </rPr>
      <t xml:space="preserve">CPM/CTR/CVR/AOV </t>
    </r>
    <r>
      <rPr>
        <sz val="10"/>
        <color rgb="FF000000"/>
        <rFont val="DejaVu Sans"/>
        <family val="2"/>
      </rPr>
      <t xml:space="preserve">初始值，再用 </t>
    </r>
    <r>
      <rPr>
        <sz val="10"/>
        <color rgb="FF000000"/>
        <rFont val="Arial"/>
        <family val="0"/>
        <charset val="1"/>
      </rPr>
      <t xml:space="preserve">Marketing API </t>
    </r>
    <r>
      <rPr>
        <sz val="10"/>
        <color rgb="FF000000"/>
        <rFont val="DejaVu Sans"/>
        <family val="2"/>
      </rPr>
      <t xml:space="preserve">实时校准。</t>
    </r>
  </si>
  <si>
    <r>
      <rPr>
        <sz val="10"/>
        <color rgb="FF000000"/>
        <rFont val="Arial"/>
        <family val="0"/>
        <charset val="1"/>
      </rPr>
      <t xml:space="preserve">• CA/JP </t>
    </r>
    <r>
      <rPr>
        <sz val="10"/>
        <color rgb="FF000000"/>
        <rFont val="DejaVu Sans"/>
        <family val="2"/>
      </rPr>
      <t xml:space="preserve">这种 </t>
    </r>
    <r>
      <rPr>
        <sz val="10"/>
        <color rgb="FF000000"/>
        <rFont val="Arial"/>
        <family val="0"/>
        <charset val="1"/>
      </rPr>
      <t xml:space="preserve">TikTok Shop </t>
    </r>
    <r>
      <rPr>
        <sz val="10"/>
        <color rgb="FF000000"/>
        <rFont val="DejaVu Sans"/>
        <family val="2"/>
      </rPr>
      <t xml:space="preserve">未开市场：跑 </t>
    </r>
    <r>
      <rPr>
        <sz val="10"/>
        <color rgb="FF000000"/>
        <rFont val="Arial"/>
        <family val="0"/>
        <charset val="1"/>
      </rPr>
      <t xml:space="preserve">TikTok Ads → </t>
    </r>
    <r>
      <rPr>
        <sz val="10"/>
        <color rgb="FF000000"/>
        <rFont val="DejaVu Sans"/>
        <family val="2"/>
      </rPr>
      <t xml:space="preserve">用独立站</t>
    </r>
    <r>
      <rPr>
        <sz val="10"/>
        <color rgb="FF000000"/>
        <rFont val="Arial"/>
        <family val="0"/>
        <charset val="1"/>
      </rPr>
      <t xml:space="preserve">/Amazon </t>
    </r>
    <r>
      <rPr>
        <sz val="10"/>
        <color rgb="FF000000"/>
        <rFont val="DejaVu Sans"/>
        <family val="2"/>
      </rPr>
      <t xml:space="preserve">后端 </t>
    </r>
    <r>
      <rPr>
        <sz val="10"/>
        <color rgb="FF000000"/>
        <rFont val="Arial"/>
        <family val="0"/>
        <charset val="1"/>
      </rPr>
      <t xml:space="preserve">CVR/AOV </t>
    </r>
    <r>
      <rPr>
        <sz val="10"/>
        <color rgb="FF000000"/>
        <rFont val="DejaVu Sans"/>
        <family val="2"/>
      </rPr>
      <t xml:space="preserve">替换 </t>
    </r>
    <r>
      <rPr>
        <sz val="10"/>
        <color rgb="FF000000"/>
        <rFont val="Arial"/>
        <family val="0"/>
        <charset val="1"/>
      </rPr>
      <t xml:space="preserve">C17/C6 </t>
    </r>
    <r>
      <rPr>
        <sz val="10"/>
        <color rgb="FF000000"/>
        <rFont val="DejaVu Sans"/>
        <family val="2"/>
      </rPr>
      <t xml:space="preserve">即可，公式不变。</t>
    </r>
  </si>
  <si>
    <r>
      <rPr>
        <b val="true"/>
        <sz val="14"/>
        <color rgb="FF1F4E78"/>
        <rFont val="DejaVu Sans"/>
        <family val="2"/>
      </rPr>
      <t xml:space="preserve">数据源接入推荐 </t>
    </r>
    <r>
      <rPr>
        <b val="true"/>
        <sz val="14"/>
        <color rgb="FF1F4E78"/>
        <rFont val="DejaVu Sans"/>
        <family val="2"/>
        <charset val="1"/>
      </rPr>
      <t xml:space="preserve">- </t>
    </r>
    <r>
      <rPr>
        <b val="true"/>
        <sz val="14"/>
        <color rgb="FF1F4E78"/>
        <rFont val="DejaVu Sans"/>
        <family val="2"/>
      </rPr>
      <t xml:space="preserve">三阶段路线图</t>
    </r>
  </si>
  <si>
    <r>
      <rPr>
        <b val="true"/>
        <sz val="13"/>
        <color rgb="FF000000"/>
        <rFont val="Arial"/>
        <family val="0"/>
        <charset val="1"/>
      </rPr>
      <t xml:space="preserve">Stage 1: MVP (Week 1-4) — </t>
    </r>
    <r>
      <rPr>
        <b val="true"/>
        <sz val="13"/>
        <color rgb="FF000000"/>
        <rFont val="DejaVu Sans"/>
        <family val="2"/>
      </rPr>
      <t xml:space="preserve">月预算 </t>
    </r>
    <r>
      <rPr>
        <b val="true"/>
        <sz val="13"/>
        <color rgb="FF000000"/>
        <rFont val="Arial"/>
        <family val="0"/>
        <charset val="1"/>
      </rPr>
      <t xml:space="preserve">$500-$1,000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</si>
  <si>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DejaVu Sans"/>
        <family val="2"/>
      </rPr>
      <t xml:space="preserve">自家投放 </t>
    </r>
    <r>
      <rPr>
        <sz val="10"/>
        <color rgb="FF000000"/>
        <rFont val="Arial"/>
        <family val="0"/>
        <charset val="1"/>
      </rPr>
      <t xml:space="preserve">ROI </t>
    </r>
    <r>
      <rPr>
        <sz val="10"/>
        <color rgb="FF000000"/>
        <rFont val="DejaVu Sans"/>
        <family val="2"/>
      </rPr>
      <t xml:space="preserve">底座</t>
    </r>
  </si>
  <si>
    <r>
      <rPr>
        <sz val="10"/>
        <color rgb="FF000000"/>
        <rFont val="Arial"/>
        <family val="0"/>
        <charset val="1"/>
      </rPr>
      <t xml:space="preserve">$0</t>
    </r>
    <r>
      <rPr>
        <sz val="10"/>
        <color rgb="FF000000"/>
        <rFont val="DejaVu Sans"/>
        <family val="2"/>
      </rPr>
      <t xml:space="preserve">（含套餐）</t>
    </r>
  </si>
  <si>
    <r>
      <rPr>
        <sz val="10"/>
        <color rgb="FF000000"/>
        <rFont val="DejaVu Sans"/>
        <family val="2"/>
      </rPr>
      <t xml:space="preserve">独立站 </t>
    </r>
    <r>
      <rPr>
        <sz val="10"/>
        <color rgb="FF000000"/>
        <rFont val="DejaVu Sans"/>
        <family val="2"/>
        <charset val="1"/>
      </rPr>
      <t xml:space="preserve">CVR/AOV/funnel</t>
    </r>
  </si>
  <si>
    <r>
      <rPr>
        <sz val="10"/>
        <color rgb="FF000000"/>
        <rFont val="DejaVu Sans"/>
        <family val="2"/>
      </rPr>
      <t xml:space="preserve">归因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DejaVu Sans"/>
        <family val="2"/>
        <charset val="1"/>
      </rPr>
      <t xml:space="preserve">baseline</t>
    </r>
  </si>
  <si>
    <t xml:space="preserve">Amazon Ads API + Marketing Stream</t>
  </si>
  <si>
    <t xml:space="preserve">$0 + AWS $30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</si>
  <si>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自家 </t>
    </r>
    <r>
      <rPr>
        <sz val="10"/>
        <color rgb="FF000000"/>
        <rFont val="Arial"/>
        <family val="0"/>
        <charset val="1"/>
      </rPr>
      <t xml:space="preserve">PPC </t>
    </r>
    <r>
      <rPr>
        <sz val="10"/>
        <color rgb="FF000000"/>
        <rFont val="DejaVu Sans"/>
        <family val="2"/>
      </rPr>
      <t xml:space="preserve">实时</t>
    </r>
  </si>
  <si>
    <t xml:space="preserve">TikTok Marketing API + Shop Open Platform</t>
  </si>
  <si>
    <r>
      <rPr>
        <sz val="10"/>
        <color rgb="FF000000"/>
        <rFont val="Arial"/>
        <family val="0"/>
        <charset val="1"/>
      </rPr>
      <t xml:space="preserve">TTS + TikTok Ads </t>
    </r>
    <r>
      <rPr>
        <sz val="10"/>
        <color rgb="FF000000"/>
        <rFont val="DejaVu Sans"/>
        <family val="2"/>
      </rPr>
      <t xml:space="preserve">数据</t>
    </r>
  </si>
  <si>
    <t xml:space="preserve">OneBound 1688 API</t>
  </si>
  <si>
    <r>
      <rPr>
        <sz val="10"/>
        <color rgb="FF000000"/>
        <rFont val="Arial"/>
        <family val="0"/>
        <charset val="1"/>
      </rPr>
      <t xml:space="preserve">¥99-¥500/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</si>
  <si>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$29-$99/</t>
    </r>
    <r>
      <rPr>
        <sz val="10"/>
        <color rgb="FF000000"/>
        <rFont val="DejaVu Sans"/>
        <family val="2"/>
      </rPr>
      <t xml:space="preserve">月</t>
    </r>
  </si>
  <si>
    <t xml:space="preserve">全球小包比价</t>
  </si>
  <si>
    <t xml:space="preserve">Maersk + Freightos</t>
  </si>
  <si>
    <t xml:space="preserve">整柜比价</t>
  </si>
  <si>
    <r>
      <rPr>
        <sz val="10"/>
        <color rgb="FF000000"/>
        <rFont val="DejaVu Sans"/>
        <family val="2"/>
      </rPr>
      <t xml:space="preserve">追踪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逆向监控</t>
    </r>
  </si>
  <si>
    <r>
      <rPr>
        <sz val="10"/>
        <color rgb="FF000000"/>
        <rFont val="Arial"/>
        <family val="0"/>
        <charset val="1"/>
      </rPr>
      <t xml:space="preserve">WTO + TARIC </t>
    </r>
    <r>
      <rPr>
        <sz val="10"/>
        <color rgb="FF000000"/>
        <rFont val="DejaVu Sans"/>
        <family val="2"/>
      </rPr>
      <t xml:space="preserve">免费税表</t>
    </r>
  </si>
  <si>
    <t xml:space="preserve">静态税率层</t>
  </si>
  <si>
    <t xml:space="preserve">小计</t>
  </si>
  <si>
    <r>
      <rPr>
        <sz val="10"/>
        <color rgb="FF000000"/>
        <rFont val="DejaVu Sans"/>
        <family val="2"/>
      </rPr>
      <t xml:space="preserve">约 </t>
    </r>
    <r>
      <rPr>
        <sz val="10"/>
        <color rgb="FF000000"/>
        <rFont val="DejaVu Sans"/>
        <family val="2"/>
        <charset val="1"/>
      </rPr>
      <t xml:space="preserve">$200-$400/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</si>
  <si>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全自家数据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基础采购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物流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税</t>
    </r>
  </si>
  <si>
    <r>
      <rPr>
        <b val="true"/>
        <sz val="13"/>
        <color rgb="FF000000"/>
        <rFont val="Arial"/>
        <family val="0"/>
        <charset val="1"/>
      </rPr>
      <t xml:space="preserve">Stage 2: </t>
    </r>
    <r>
      <rPr>
        <b val="true"/>
        <sz val="13"/>
        <color rgb="FF000000"/>
        <rFont val="DejaVu Sans"/>
        <family val="2"/>
      </rPr>
      <t xml:space="preserve">起量 </t>
    </r>
    <r>
      <rPr>
        <b val="true"/>
        <sz val="13"/>
        <color rgb="FF000000"/>
        <rFont val="Arial"/>
        <family val="0"/>
        <charset val="1"/>
      </rPr>
      <t xml:space="preserve">(Month 2-6) — </t>
    </r>
    <r>
      <rPr>
        <b val="true"/>
        <sz val="13"/>
        <color rgb="FF000000"/>
        <rFont val="DejaVu Sans"/>
        <family val="2"/>
      </rPr>
      <t xml:space="preserve">月预算 </t>
    </r>
    <r>
      <rPr>
        <b val="true"/>
        <sz val="13"/>
        <color rgb="FF000000"/>
        <rFont val="Arial"/>
        <family val="0"/>
        <charset val="1"/>
      </rPr>
      <t xml:space="preserve">$1,500-$3,500</t>
    </r>
  </si>
  <si>
    <r>
      <rPr>
        <sz val="10"/>
        <color rgb="FF000000"/>
        <rFont val="DejaVu Sans"/>
        <family val="2"/>
      </rPr>
      <t xml:space="preserve">继承 </t>
    </r>
    <r>
      <rPr>
        <sz val="10"/>
        <color rgb="FF000000"/>
        <rFont val="DejaVu Sans"/>
        <family val="2"/>
        <charset val="1"/>
      </rPr>
      <t xml:space="preserve">Stage 1 </t>
    </r>
    <r>
      <rPr>
        <sz val="10"/>
        <color rgb="FF000000"/>
        <rFont val="DejaVu Sans"/>
        <family val="2"/>
      </rPr>
      <t xml:space="preserve">全部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</si>
  <si>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选品 </t>
    </r>
    <r>
      <rPr>
        <sz val="10"/>
        <color rgb="FF000000"/>
        <rFont val="Arial"/>
        <family val="0"/>
        <charset val="1"/>
      </rPr>
      <t xml:space="preserve">+ PPC </t>
    </r>
    <r>
      <rPr>
        <sz val="10"/>
        <color rgb="FF000000"/>
        <rFont val="DejaVu Sans"/>
        <family val="2"/>
      </rPr>
      <t xml:space="preserve">自动化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</si>
  <si>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竞品价</t>
    </r>
    <r>
      <rPr>
        <sz val="10"/>
        <color rgb="FF000000"/>
        <rFont val="Arial"/>
        <family val="0"/>
        <charset val="1"/>
      </rPr>
      <t xml:space="preserve">/BSR</t>
    </r>
  </si>
  <si>
    <r>
      <rPr>
        <sz val="10"/>
        <color rgb="FF000000"/>
        <rFont val="Arial"/>
        <family val="0"/>
        <charset val="1"/>
      </rPr>
      <t xml:space="preserve">Kalodata Pro</t>
    </r>
    <r>
      <rPr>
        <sz val="10"/>
        <color rgb="FF000000"/>
        <rFont val="DejaVu Sans"/>
        <family val="2"/>
      </rPr>
      <t xml:space="preserve">（年付）</t>
    </r>
  </si>
  <si>
    <r>
      <rPr>
        <sz val="10"/>
        <color rgb="FF000000"/>
        <rFont val="Arial"/>
        <family val="0"/>
        <charset val="1"/>
      </rPr>
      <t xml:space="preserve">$83/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</si>
  <si>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DejaVu Sans"/>
        <family val="2"/>
      </rPr>
      <t xml:space="preserve">选品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对标店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达人</t>
    </r>
  </si>
  <si>
    <t xml:space="preserve">PiPiADS Basic</t>
  </si>
  <si>
    <r>
      <rPr>
        <sz val="10"/>
        <color rgb="FF000000"/>
        <rFont val="Arial"/>
        <family val="0"/>
        <charset val="1"/>
      </rPr>
      <t xml:space="preserve">$49/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</si>
  <si>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TikTok </t>
    </r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Arial"/>
        <family val="0"/>
        <charset val="1"/>
      </rPr>
      <t xml:space="preserve">spy</t>
    </r>
  </si>
  <si>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Arial"/>
        <family val="0"/>
        <charset val="1"/>
      </rPr>
      <t xml:space="preserve">spy</t>
    </r>
  </si>
  <si>
    <t xml:space="preserve">Shopee + Lazada Open Platform</t>
  </si>
  <si>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必备</t>
    </r>
  </si>
  <si>
    <t xml:space="preserve">Zonos Landed Cost API</t>
  </si>
  <si>
    <r>
      <rPr>
        <sz val="10"/>
        <color rgb="FF000000"/>
        <rFont val="Arial"/>
        <family val="0"/>
        <charset val="1"/>
      </rPr>
      <t xml:space="preserve">$0.20-$0.50/</t>
    </r>
    <r>
      <rPr>
        <sz val="10"/>
        <color rgb="FF000000"/>
        <rFont val="DejaVu Sans"/>
        <family val="2"/>
      </rPr>
      <t xml:space="preserve">单（</t>
    </r>
    <r>
      <rPr>
        <sz val="10"/>
        <color rgb="FF000000"/>
        <rFont val="Arial"/>
        <family val="0"/>
        <charset val="1"/>
      </rPr>
      <t xml:space="preserve">~$1-3k</t>
    </r>
    <r>
      <rPr>
        <sz val="10"/>
        <color rgb="FF000000"/>
        <rFont val="DejaVu Sans"/>
        <family val="2"/>
      </rPr>
      <t xml:space="preserve">）</t>
    </r>
  </si>
  <si>
    <t xml:space="preserve">DDP checkout</t>
  </si>
  <si>
    <t xml:space="preserve">TaxJar Pro / Avalara AvaTax</t>
  </si>
  <si>
    <r>
      <rPr>
        <sz val="10"/>
        <color rgb="FF000000"/>
        <rFont val="Arial"/>
        <family val="0"/>
        <charset val="1"/>
      </rPr>
      <t xml:space="preserve">$99-$500/</t>
    </r>
    <r>
      <rPr>
        <sz val="10"/>
        <color rgb="FF000000"/>
        <rFont val="DejaVu Sans"/>
        <family val="2"/>
      </rPr>
      <t xml:space="preserve">月</t>
    </r>
  </si>
  <si>
    <t xml:space="preserve">美国销售税合规</t>
  </si>
  <si>
    <r>
      <rPr>
        <sz val="10"/>
        <color rgb="FF000000"/>
        <rFont val="DejaVu Sans"/>
        <family val="2"/>
      </rPr>
      <t xml:space="preserve">小计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含税 </t>
    </r>
    <r>
      <rPr>
        <sz val="10"/>
        <color rgb="FF000000"/>
        <rFont val="DejaVu Sans"/>
        <family val="2"/>
        <charset val="1"/>
      </rPr>
      <t xml:space="preserve">API)</t>
    </r>
  </si>
  <si>
    <r>
      <rPr>
        <sz val="10"/>
        <color rgb="FF000000"/>
        <rFont val="DejaVu Sans"/>
        <family val="2"/>
      </rPr>
      <t xml:space="preserve">约 </t>
    </r>
    <r>
      <rPr>
        <sz val="10"/>
        <color rgb="FF000000"/>
        <rFont val="DejaVu Sans"/>
        <family val="2"/>
        <charset val="1"/>
      </rPr>
      <t xml:space="preserve">$1,500-$3,500/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</si>
  <si>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覆盖三大平台选品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创意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合规</t>
    </r>
  </si>
  <si>
    <r>
      <rPr>
        <b val="true"/>
        <sz val="13"/>
        <color rgb="FF000000"/>
        <rFont val="Arial"/>
        <family val="0"/>
        <charset val="1"/>
      </rPr>
      <t xml:space="preserve">Stage 3: </t>
    </r>
    <r>
      <rPr>
        <b val="true"/>
        <sz val="13"/>
        <color rgb="FF000000"/>
        <rFont val="DejaVu Sans"/>
        <family val="2"/>
      </rPr>
      <t xml:space="preserve">规模化 </t>
    </r>
    <r>
      <rPr>
        <b val="true"/>
        <sz val="13"/>
        <color rgb="FF000000"/>
        <rFont val="Arial"/>
        <family val="0"/>
        <charset val="1"/>
      </rPr>
      <t xml:space="preserve">(Month 6+) — </t>
    </r>
    <r>
      <rPr>
        <b val="true"/>
        <sz val="13"/>
        <color rgb="FF000000"/>
        <rFont val="DejaVu Sans"/>
        <family val="2"/>
      </rPr>
      <t xml:space="preserve">月预算 </t>
    </r>
    <r>
      <rPr>
        <b val="true"/>
        <sz val="13"/>
        <color rgb="FF000000"/>
        <rFont val="Arial"/>
        <family val="0"/>
        <charset val="1"/>
      </rPr>
      <t xml:space="preserve">$5,000-$15,000</t>
    </r>
  </si>
  <si>
    <r>
      <rPr>
        <sz val="10"/>
        <color rgb="FF000000"/>
        <rFont val="DejaVu Sans"/>
        <family val="2"/>
      </rPr>
      <t xml:space="preserve">继承 </t>
    </r>
    <r>
      <rPr>
        <sz val="10"/>
        <color rgb="FF000000"/>
        <rFont val="DejaVu Sans"/>
        <family val="2"/>
        <charset val="1"/>
      </rPr>
      <t xml:space="preserve">Stage 2</t>
    </r>
  </si>
  <si>
    <t xml:space="preserve">FastMoss Ultimate + API</t>
  </si>
  <si>
    <r>
      <rPr>
        <sz val="10"/>
        <color rgb="FF000000"/>
        <rFont val="Arial"/>
        <family val="0"/>
        <charset val="1"/>
      </rPr>
      <t xml:space="preserve">$199 + $500-5000/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</si>
  <si>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15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DejaVu Sans"/>
        <family val="2"/>
        <charset val="1"/>
      </rPr>
      <t xml:space="preserve">TTS </t>
    </r>
    <r>
      <rPr>
        <sz val="10"/>
        <color rgb="FF000000"/>
        <rFont val="DejaVu Sans"/>
        <family val="2"/>
      </rPr>
      <t xml:space="preserve">数据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达人</t>
    </r>
  </si>
  <si>
    <r>
      <rPr>
        <sz val="10"/>
        <color rgb="FF000000"/>
        <rFont val="Arial"/>
        <family val="0"/>
        <charset val="1"/>
      </rPr>
      <t xml:space="preserve">SmartScout</t>
    </r>
    <r>
      <rPr>
        <sz val="10"/>
        <color rgb="FF000000"/>
        <rFont val="DejaVu Sans"/>
        <family val="2"/>
      </rPr>
      <t xml:space="preserve">（家居家具子类目）</t>
    </r>
  </si>
  <si>
    <r>
      <rPr>
        <sz val="10"/>
        <color rgb="FF000000"/>
        <rFont val="Arial"/>
        <family val="0"/>
        <charset val="1"/>
      </rPr>
      <t xml:space="preserve">$75/</t>
    </r>
    <r>
      <rPr>
        <sz val="10"/>
        <color rgb="FF000000"/>
        <rFont val="DejaVu Sans"/>
        <family val="2"/>
      </rPr>
      <t xml:space="preserve">月</t>
    </r>
  </si>
  <si>
    <t xml:space="preserve">美国家具竞品定位</t>
  </si>
  <si>
    <t xml:space="preserve">Modash / Saral</t>
  </si>
  <si>
    <r>
      <rPr>
        <sz val="10"/>
        <color rgb="FF000000"/>
        <rFont val="Arial"/>
        <family val="0"/>
        <charset val="1"/>
      </rPr>
      <t xml:space="preserve">Triple Whale </t>
    </r>
    <r>
      <rPr>
        <sz val="10"/>
        <color rgb="FF000000"/>
        <rFont val="DejaVu Sans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Northbeam</t>
    </r>
  </si>
  <si>
    <r>
      <rPr>
        <sz val="10"/>
        <color rgb="FF000000"/>
        <rFont val="Arial"/>
        <family val="0"/>
        <charset val="1"/>
      </rPr>
      <t xml:space="preserve">$129-$1,500/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</si>
  <si>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多触点归因（</t>
    </r>
    <r>
      <rPr>
        <sz val="10"/>
        <color rgb="FF000000"/>
        <rFont val="DejaVu Sans"/>
        <family val="2"/>
        <charset val="1"/>
      </rPr>
      <t xml:space="preserve">GMV </t>
    </r>
    <r>
      <rPr>
        <sz val="10"/>
        <color rgb="FF000000"/>
        <rFont val="DejaVu Sans"/>
        <family val="2"/>
      </rPr>
      <t xml:space="preserve">阶梯）</t>
    </r>
  </si>
  <si>
    <r>
      <rPr>
        <sz val="10"/>
        <color rgb="FF000000"/>
        <rFont val="Arial"/>
        <family val="0"/>
        <charset val="1"/>
      </rPr>
      <t xml:space="preserve">Pacvue </t>
    </r>
    <r>
      <rPr>
        <sz val="10"/>
        <color rgb="FF000000"/>
        <rFont val="DejaVu Sans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Perpetua</t>
    </r>
  </si>
  <si>
    <r>
      <rPr>
        <sz val="10"/>
        <color rgb="FF000000"/>
        <rFont val="Arial"/>
        <family val="0"/>
        <charset val="1"/>
      </rPr>
      <t xml:space="preserve">$500+/</t>
    </r>
    <r>
      <rPr>
        <sz val="10"/>
        <color rgb="FF000000"/>
        <rFont val="DejaVu Sans"/>
        <family val="2"/>
      </rPr>
      <t xml:space="preserve">月或 </t>
    </r>
    <r>
      <rPr>
        <sz val="10"/>
        <color rgb="FF000000"/>
        <rFont val="Arial"/>
        <family val="0"/>
        <charset val="1"/>
      </rPr>
      <t xml:space="preserve">% spend</t>
    </r>
  </si>
  <si>
    <r>
      <rPr>
        <sz val="10"/>
        <color rgb="FF000000"/>
        <rFont val="DejaVu Sans"/>
        <family val="2"/>
      </rPr>
      <t xml:space="preserve">企业级 </t>
    </r>
    <r>
      <rPr>
        <sz val="10"/>
        <color rgb="FF000000"/>
        <rFont val="DejaVu Sans"/>
        <family val="2"/>
        <charset val="1"/>
      </rPr>
      <t xml:space="preserve">PPC </t>
    </r>
    <r>
      <rPr>
        <sz val="10"/>
        <color rgb="FF000000"/>
        <rFont val="DejaVu Sans"/>
        <family val="2"/>
      </rPr>
      <t xml:space="preserve">自动化</t>
    </r>
  </si>
  <si>
    <r>
      <rPr>
        <sz val="10"/>
        <color rgb="FF000000"/>
        <rFont val="Arial"/>
        <family val="0"/>
        <charset val="1"/>
      </rPr>
      <t xml:space="preserve">$0.05-$0.30/</t>
    </r>
    <r>
      <rPr>
        <sz val="10"/>
        <color rgb="FF000000"/>
        <rFont val="DejaVu Sans"/>
        <family val="2"/>
      </rPr>
      <t xml:space="preserve">单</t>
    </r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</si>
  <si>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217 </t>
    </r>
    <r>
      <rPr>
        <sz val="10"/>
        <color rgb="FF000000"/>
        <rFont val="DejaVu Sans"/>
        <family val="2"/>
      </rPr>
      <t xml:space="preserve">国关税</t>
    </r>
  </si>
  <si>
    <r>
      <rPr>
        <sz val="10"/>
        <color rgb="FF000000"/>
        <rFont val="Arial"/>
        <family val="0"/>
        <charset val="1"/>
      </rPr>
      <t xml:space="preserve">Avalara EU VAT (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IOSS)</t>
    </r>
  </si>
  <si>
    <r>
      <rPr>
        <sz val="10"/>
        <color rgb="FF000000"/>
        <rFont val="Arial"/>
        <family val="0"/>
        <charset val="1"/>
      </rPr>
      <t xml:space="preserve">$8k-$20k/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</si>
  <si>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合规</t>
    </r>
  </si>
  <si>
    <t xml:space="preserve">Insense / Foreplay</t>
  </si>
  <si>
    <r>
      <rPr>
        <sz val="10"/>
        <color rgb="FF000000"/>
        <rFont val="Arial"/>
        <family val="0"/>
        <charset val="1"/>
      </rPr>
      <t xml:space="preserve">$49-$1800/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</si>
  <si>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达人 </t>
    </r>
    <r>
      <rPr>
        <sz val="10"/>
        <color rgb="FF000000"/>
        <rFont val="DejaVu Sans"/>
        <family val="2"/>
        <charset val="1"/>
      </rPr>
      <t xml:space="preserve">UGC + </t>
    </r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DejaVu Sans"/>
        <family val="2"/>
        <charset val="1"/>
      </rPr>
      <t xml:space="preserve">brief</t>
    </r>
  </si>
  <si>
    <r>
      <rPr>
        <sz val="10"/>
        <color rgb="FF000000"/>
        <rFont val="DejaVu Sans"/>
        <family val="2"/>
      </rPr>
      <t xml:space="preserve">约 </t>
    </r>
    <r>
      <rPr>
        <sz val="10"/>
        <color rgb="FF000000"/>
        <rFont val="DejaVu Sans"/>
        <family val="2"/>
        <charset val="1"/>
      </rPr>
      <t xml:space="preserve">$5,000-$15,000/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</si>
  <si>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全平台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全市场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合规企业级</t>
    </r>
  </si>
  <si>
    <t xml:space="preserve">🗓 落地时间表参考</t>
  </si>
  <si>
    <t xml:space="preserve">Week</t>
  </si>
  <si>
    <t xml:space="preserve">工作内容</t>
  </si>
  <si>
    <t xml:space="preserve">交付物</t>
  </si>
  <si>
    <t xml:space="preserve">W1</t>
  </si>
  <si>
    <r>
      <rPr>
        <sz val="10"/>
        <color rgb="FF000000"/>
        <rFont val="DejaVu Sans"/>
        <family val="2"/>
      </rPr>
      <t xml:space="preserve">申请 </t>
    </r>
    <r>
      <rPr>
        <sz val="10"/>
        <color rgb="FF000000"/>
        <rFont val="DejaVu Sans"/>
        <family val="2"/>
        <charset val="1"/>
      </rPr>
      <t xml:space="preserve">Meta Ads API Advanced Access + Shopify Plus / Admin App + GA4 Property</t>
    </r>
  </si>
  <si>
    <r>
      <rPr>
        <sz val="10"/>
        <color rgb="FF000000"/>
        <rFont val="DejaVu Sans"/>
        <family val="2"/>
      </rPr>
      <t xml:space="preserve">三个官方 </t>
    </r>
    <r>
      <rPr>
        <sz val="10"/>
        <color rgb="FF000000"/>
        <rFont val="DejaVu Sans"/>
        <family val="2"/>
        <charset val="1"/>
      </rPr>
      <t xml:space="preserve">API </t>
    </r>
    <r>
      <rPr>
        <sz val="10"/>
        <color rgb="FF000000"/>
        <rFont val="DejaVu Sans"/>
        <family val="2"/>
      </rPr>
      <t xml:space="preserve">开发者账号 </t>
    </r>
    <r>
      <rPr>
        <sz val="10"/>
        <color rgb="FF000000"/>
        <rFont val="DejaVu Sans"/>
        <family val="2"/>
        <charset val="1"/>
      </rPr>
      <t xml:space="preserve">ready</t>
    </r>
  </si>
  <si>
    <t xml:space="preserve">W2</t>
  </si>
  <si>
    <r>
      <rPr>
        <sz val="10"/>
        <color rgb="FF000000"/>
        <rFont val="DejaVu Sans"/>
        <family val="2"/>
      </rPr>
      <t xml:space="preserve">接 </t>
    </r>
    <r>
      <rPr>
        <sz val="10"/>
        <color rgb="FF000000"/>
        <rFont val="DejaVu Sans"/>
        <family val="2"/>
        <charset val="1"/>
      </rPr>
      <t xml:space="preserve">Meta Marketing API + Shopify GraphQL + GA4 Data API </t>
    </r>
    <r>
      <rPr>
        <sz val="10"/>
        <color rgb="FF000000"/>
        <rFont val="DejaVu Sans"/>
        <family val="2"/>
      </rPr>
      <t xml:space="preserve">三路数据进 </t>
    </r>
    <r>
      <rPr>
        <sz val="10"/>
        <color rgb="FF000000"/>
        <rFont val="DejaVu Sans"/>
        <family val="2"/>
        <charset val="1"/>
      </rPr>
      <t xml:space="preserve">BigQuery/Postgres</t>
    </r>
  </si>
  <si>
    <r>
      <rPr>
        <sz val="10"/>
        <color rgb="FF000000"/>
        <rFont val="DejaVu Sans"/>
        <family val="2"/>
      </rPr>
      <t xml:space="preserve">实时数据管道 </t>
    </r>
    <r>
      <rPr>
        <sz val="10"/>
        <color rgb="FF000000"/>
        <rFont val="DejaVu Sans"/>
        <family val="2"/>
        <charset val="1"/>
      </rPr>
      <t xml:space="preserve">v0.1</t>
    </r>
  </si>
  <si>
    <t xml:space="preserve">W3</t>
  </si>
  <si>
    <r>
      <rPr>
        <sz val="10"/>
        <color rgb="FF000000"/>
        <rFont val="DejaVu Sans"/>
        <family val="2"/>
      </rPr>
      <t xml:space="preserve">接 </t>
    </r>
    <r>
      <rPr>
        <sz val="10"/>
        <color rgb="FF000000"/>
        <rFont val="DejaVu Sans"/>
        <family val="2"/>
        <charset val="1"/>
      </rPr>
      <t xml:space="preserve">OneBound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DejaVu Sans"/>
        <family val="2"/>
        <charset val="1"/>
      </rPr>
      <t xml:space="preserve">1688</t>
    </r>
    <r>
      <rPr>
        <sz val="10"/>
        <color rgb="FF000000"/>
        <rFont val="DejaVu Sans"/>
        <family val="2"/>
      </rPr>
      <t xml:space="preserve">）</t>
    </r>
    <r>
      <rPr>
        <sz val="10"/>
        <color rgb="FF000000"/>
        <rFont val="DejaVu Sans"/>
        <family val="2"/>
        <charset val="1"/>
      </rPr>
      <t xml:space="preserve">+ Easyship + Maersk/Freightos</t>
    </r>
  </si>
  <si>
    <t xml:space="preserve">采购物流核算可用</t>
  </si>
  <si>
    <t xml:space="preserve">W4</t>
  </si>
  <si>
    <r>
      <rPr>
        <sz val="10"/>
        <color rgb="FF000000"/>
        <rFont val="DejaVu Sans"/>
        <family val="2"/>
      </rPr>
      <t xml:space="preserve">申请 </t>
    </r>
    <r>
      <rPr>
        <sz val="10"/>
        <color rgb="FF000000"/>
        <rFont val="DejaVu Sans"/>
        <family val="2"/>
        <charset val="1"/>
      </rPr>
      <t xml:space="preserve">Amazon Ads API + Brand Registry</t>
    </r>
    <r>
      <rPr>
        <sz val="10"/>
        <color rgb="FF000000"/>
        <rFont val="DejaVu Sans"/>
        <family val="2"/>
      </rPr>
      <t xml:space="preserve">；接 </t>
    </r>
    <r>
      <rPr>
        <sz val="10"/>
        <color rgb="FF000000"/>
        <rFont val="DejaVu Sans"/>
        <family val="2"/>
        <charset val="1"/>
      </rPr>
      <t xml:space="preserve">TikTok Marketing API + Shop Open API</t>
    </r>
  </si>
  <si>
    <r>
      <rPr>
        <sz val="10"/>
        <color rgb="FF000000"/>
        <rFont val="Arial"/>
        <family val="0"/>
        <charset val="1"/>
      </rPr>
      <t xml:space="preserve">Amazon + TikTok </t>
    </r>
    <r>
      <rPr>
        <sz val="10"/>
        <color rgb="FF000000"/>
        <rFont val="DejaVu Sans"/>
        <family val="2"/>
      </rPr>
      <t xml:space="preserve">数据接入</t>
    </r>
  </si>
  <si>
    <t xml:space="preserve">Month 2</t>
  </si>
  <si>
    <r>
      <rPr>
        <sz val="10"/>
        <color rgb="FF000000"/>
        <rFont val="DejaVu Sans"/>
        <family val="2"/>
      </rPr>
      <t xml:space="preserve">上 </t>
    </r>
    <r>
      <rPr>
        <sz val="10"/>
        <color rgb="FF000000"/>
        <rFont val="DejaVu Sans"/>
        <family val="2"/>
        <charset val="1"/>
      </rPr>
      <t xml:space="preserve">Kalodata + AdSpy + Helium 10 + PiPiADS</t>
    </r>
  </si>
  <si>
    <r>
      <rPr>
        <sz val="10"/>
        <color rgb="FF000000"/>
        <rFont val="DejaVu Sans"/>
        <family val="2"/>
      </rPr>
      <t xml:space="preserve">选品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竞品三大模块</t>
    </r>
  </si>
  <si>
    <t xml:space="preserve">Month 3</t>
  </si>
  <si>
    <r>
      <rPr>
        <sz val="10"/>
        <color rgb="FF000000"/>
        <rFont val="DejaVu Sans"/>
        <family val="2"/>
      </rPr>
      <t xml:space="preserve">接 </t>
    </r>
    <r>
      <rPr>
        <sz val="10"/>
        <color rgb="FF000000"/>
        <rFont val="DejaVu Sans"/>
        <family val="2"/>
        <charset val="1"/>
      </rPr>
      <t xml:space="preserve">Zonos + TaxJar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DejaVu Sans"/>
        <family val="2"/>
        <charset val="1"/>
      </rPr>
      <t xml:space="preserve">32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DejaVu Sans"/>
        <family val="2"/>
        <charset val="1"/>
      </rPr>
      <t xml:space="preserve">DDP checkout </t>
    </r>
    <r>
      <rPr>
        <sz val="10"/>
        <color rgb="FF000000"/>
        <rFont val="DejaVu Sans"/>
        <family val="2"/>
      </rPr>
      <t xml:space="preserve">上线</t>
    </r>
  </si>
  <si>
    <t xml:space="preserve">合规层完整</t>
  </si>
  <si>
    <t xml:space="preserve">Month 4-6</t>
  </si>
  <si>
    <r>
      <rPr>
        <sz val="10"/>
        <color rgb="FF000000"/>
        <rFont val="Arial"/>
        <family val="0"/>
        <charset val="1"/>
      </rPr>
      <t xml:space="preserve">ROI </t>
    </r>
    <r>
      <rPr>
        <sz val="10"/>
        <color rgb="FF000000"/>
        <rFont val="DejaVu Sans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sheet </t>
    </r>
    <r>
      <rPr>
        <sz val="10"/>
        <color rgb="FF000000"/>
        <rFont val="DejaVu Sans"/>
        <family val="2"/>
      </rPr>
      <t xml:space="preserve">接 </t>
    </r>
    <r>
      <rPr>
        <sz val="10"/>
        <color rgb="FF000000"/>
        <rFont val="Arial"/>
        <family val="0"/>
        <charset val="1"/>
      </rPr>
      <t xml:space="preserve">BI </t>
    </r>
    <r>
      <rPr>
        <sz val="10"/>
        <color rgb="FF000000"/>
        <rFont val="DejaVu Sans"/>
        <family val="2"/>
      </rPr>
      <t xml:space="preserve">看板；按市场分层校准</t>
    </r>
  </si>
  <si>
    <t xml:space="preserve">ROI Dashboard v1.0</t>
  </si>
  <si>
    <r>
      <rPr>
        <b val="true"/>
        <sz val="14"/>
        <color rgb="FF1F4E78"/>
        <rFont val="Arial"/>
        <family val="0"/>
        <charset val="1"/>
      </rPr>
      <t xml:space="preserve">5-Gate </t>
    </r>
    <r>
      <rPr>
        <b val="true"/>
        <sz val="14"/>
        <color rgb="FF1F4E78"/>
        <rFont val="DejaVu Sans"/>
        <family val="2"/>
      </rPr>
      <t xml:space="preserve">选品决策框架 — 哈奇米全面选品流程</t>
    </r>
  </si>
  <si>
    <r>
      <rPr>
        <i val="true"/>
        <sz val="9"/>
        <color rgb="FF595959"/>
        <rFont val="DejaVu Sans"/>
        <family val="2"/>
      </rPr>
      <t xml:space="preserve">逻辑：候选 </t>
    </r>
    <r>
      <rPr>
        <i val="true"/>
        <sz val="9"/>
        <color rgb="FF595959"/>
        <rFont val="DejaVu Sans"/>
        <family val="2"/>
        <charset val="1"/>
      </rPr>
      <t xml:space="preserve">SKU </t>
    </r>
    <r>
      <rPr>
        <i val="true"/>
        <sz val="9"/>
        <color rgb="FF595959"/>
        <rFont val="DejaVu Sans"/>
        <family val="2"/>
      </rPr>
      <t xml:space="preserve">必须依次通过 </t>
    </r>
    <r>
      <rPr>
        <i val="true"/>
        <sz val="9"/>
        <color rgb="FF595959"/>
        <rFont val="DejaVu Sans"/>
        <family val="2"/>
        <charset val="1"/>
      </rPr>
      <t xml:space="preserve">5 </t>
    </r>
    <r>
      <rPr>
        <i val="true"/>
        <sz val="9"/>
        <color rgb="FF595959"/>
        <rFont val="DejaVu Sans"/>
        <family val="2"/>
      </rPr>
      <t xml:space="preserve">个 </t>
    </r>
    <r>
      <rPr>
        <i val="true"/>
        <sz val="9"/>
        <color rgb="FF595959"/>
        <rFont val="DejaVu Sans"/>
        <family val="2"/>
        <charset val="1"/>
      </rPr>
      <t xml:space="preserve">Gate </t>
    </r>
    <r>
      <rPr>
        <i val="true"/>
        <sz val="9"/>
        <color rgb="FF595959"/>
        <rFont val="DejaVu Sans"/>
        <family val="2"/>
      </rPr>
      <t xml:space="preserve">才能进入测款投放。任何一个 </t>
    </r>
    <r>
      <rPr>
        <i val="true"/>
        <sz val="9"/>
        <color rgb="FF595959"/>
        <rFont val="DejaVu Sans"/>
        <family val="2"/>
        <charset val="1"/>
      </rPr>
      <t xml:space="preserve">Gate </t>
    </r>
    <r>
      <rPr>
        <i val="true"/>
        <sz val="9"/>
        <color rgb="FF595959"/>
        <rFont val="DejaVu Sans"/>
        <family val="2"/>
      </rPr>
      <t xml:space="preserve">不通过即淘汰。每个 </t>
    </r>
    <r>
      <rPr>
        <i val="true"/>
        <sz val="9"/>
        <color rgb="FF595959"/>
        <rFont val="DejaVu Sans"/>
        <family val="2"/>
        <charset val="1"/>
      </rPr>
      <t xml:space="preserve">Gate </t>
    </r>
    <r>
      <rPr>
        <i val="true"/>
        <sz val="9"/>
        <color rgb="FF595959"/>
        <rFont val="DejaVu Sans"/>
        <family val="2"/>
      </rPr>
      <t xml:space="preserve">都有：数据维度 → 数据源 → 判断阈值 → 通过</t>
    </r>
    <r>
      <rPr>
        <i val="true"/>
        <sz val="9"/>
        <color rgb="FF595959"/>
        <rFont val="DejaVu Sans"/>
        <family val="2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淘汰。</t>
    </r>
  </si>
  <si>
    <r>
      <rPr>
        <b val="true"/>
        <sz val="13"/>
        <color rgb="FF000000"/>
        <rFont val="Arial"/>
        <family val="0"/>
        <charset val="1"/>
      </rPr>
      <t xml:space="preserve">Gate 1 — </t>
    </r>
    <r>
      <rPr>
        <b val="true"/>
        <sz val="13"/>
        <color rgb="FF000000"/>
        <rFont val="DejaVu Sans"/>
        <family val="2"/>
      </rPr>
      <t xml:space="preserve">需求验证（</t>
    </r>
    <r>
      <rPr>
        <b val="true"/>
        <sz val="13"/>
        <color rgb="FF000000"/>
        <rFont val="Arial"/>
        <family val="0"/>
        <charset val="1"/>
      </rPr>
      <t xml:space="preserve">Demand</t>
    </r>
    <r>
      <rPr>
        <b val="true"/>
        <sz val="13"/>
        <color rgb="FF000000"/>
        <rFont val="DejaVu Sans"/>
        <family val="2"/>
      </rPr>
      <t xml:space="preserve">）</t>
    </r>
  </si>
  <si>
    <r>
      <rPr>
        <i val="true"/>
        <sz val="9"/>
        <color rgb="FF595959"/>
        <rFont val="DejaVu Sans"/>
        <family val="2"/>
      </rPr>
      <t xml:space="preserve">目的：确认这个品在目标市场有真实需求 </t>
    </r>
    <r>
      <rPr>
        <i val="true"/>
        <sz val="9"/>
        <color rgb="FF595959"/>
        <rFont val="DejaVu Sans"/>
        <family val="2"/>
        <charset val="1"/>
      </rPr>
      <t xml:space="preserve">+ </t>
    </r>
    <r>
      <rPr>
        <i val="true"/>
        <sz val="9"/>
        <color rgb="FF595959"/>
        <rFont val="DejaVu Sans"/>
        <family val="2"/>
      </rPr>
      <t xml:space="preserve">体量足够</t>
    </r>
  </si>
  <si>
    <t xml:space="preserve">评估问题</t>
  </si>
  <si>
    <r>
      <rPr>
        <b val="true"/>
        <sz val="11"/>
        <color rgb="FFFFFFFF"/>
        <rFont val="DejaVu Sans"/>
        <family val="2"/>
      </rPr>
      <t xml:space="preserve">数据源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主推→备选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</si>
  <si>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判断阈值（家居家具）</t>
  </si>
  <si>
    <t xml:space="preserve">市场规模</t>
  </si>
  <si>
    <r>
      <rPr>
        <sz val="10"/>
        <color rgb="FF000000"/>
        <rFont val="DejaVu Sans"/>
        <family val="2"/>
      </rPr>
      <t xml:space="preserve">目标市场家居子类年 </t>
    </r>
    <r>
      <rPr>
        <sz val="10"/>
        <color rgb="FF000000"/>
        <rFont val="DejaVu Sans"/>
        <family val="2"/>
        <charset val="1"/>
      </rPr>
      <t xml:space="preserve">GMV</t>
    </r>
  </si>
  <si>
    <r>
      <rPr>
        <sz val="10"/>
        <color rgb="FF000000"/>
        <rFont val="Arial"/>
        <family val="0"/>
        <charset val="1"/>
      </rPr>
      <t xml:space="preserve">Statista</t>
    </r>
    <r>
      <rPr>
        <sz val="10"/>
        <color rgb="FF000000"/>
        <rFont val="DejaVu Sans"/>
        <family val="2"/>
      </rPr>
      <t xml:space="preserve">（贵）</t>
    </r>
    <r>
      <rPr>
        <sz val="10"/>
        <color rgb="FF000000"/>
        <rFont val="Arial"/>
        <family val="0"/>
        <charset val="1"/>
      </rPr>
      <t xml:space="preserve">/ Kalodata </t>
    </r>
    <r>
      <rPr>
        <sz val="10"/>
        <color rgb="FF000000"/>
        <rFont val="DejaVu Sans"/>
        <family val="2"/>
      </rPr>
      <t xml:space="preserve">类目 </t>
    </r>
    <r>
      <rPr>
        <sz val="10"/>
        <color rgb="FF000000"/>
        <rFont val="Arial"/>
        <family val="0"/>
        <charset val="1"/>
      </rPr>
      <t xml:space="preserve">/ Helium10 </t>
    </r>
    <r>
      <rPr>
        <sz val="10"/>
        <color rgb="FF000000"/>
        <rFont val="DejaVu Sans"/>
        <family val="2"/>
      </rPr>
      <t xml:space="preserve">类目销量</t>
    </r>
  </si>
  <si>
    <r>
      <rPr>
        <sz val="10"/>
        <color rgb="FF000000"/>
        <rFont val="DejaVu Sans"/>
        <family val="2"/>
      </rPr>
      <t xml:space="preserve">全球家居 </t>
    </r>
    <r>
      <rPr>
        <sz val="10"/>
        <color rgb="FF000000"/>
        <rFont val="DejaVu Sans"/>
        <family val="2"/>
        <charset val="1"/>
      </rPr>
      <t xml:space="preserve">$765B</t>
    </r>
    <r>
      <rPr>
        <sz val="10"/>
        <color rgb="FF000000"/>
        <rFont val="DejaVu Sans"/>
        <family val="2"/>
      </rPr>
      <t xml:space="preserve">；月类目 </t>
    </r>
    <r>
      <rPr>
        <sz val="10"/>
        <color rgb="FF000000"/>
        <rFont val="DejaVu Sans"/>
        <family val="2"/>
        <charset val="1"/>
      </rPr>
      <t xml:space="preserve">GMV &gt; $5M </t>
    </r>
    <r>
      <rPr>
        <sz val="10"/>
        <color rgb="FF000000"/>
        <rFont val="DejaVu Sans"/>
        <family val="2"/>
      </rPr>
      <t xml:space="preserve">单市场</t>
    </r>
  </si>
  <si>
    <r>
      <rPr>
        <sz val="10"/>
        <color rgb="FF000000"/>
        <rFont val="DejaVu Sans"/>
        <family val="2"/>
      </rPr>
      <t xml:space="preserve">搜索量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热度</t>
    </r>
  </si>
  <si>
    <t xml:space="preserve">关键词月搜索量</t>
  </si>
  <si>
    <r>
      <rPr>
        <sz val="10"/>
        <color rgb="FF000000"/>
        <rFont val="DejaVu Sans"/>
        <family val="2"/>
      </rPr>
      <t xml:space="preserve">卖家精灵 反查（推荐）</t>
    </r>
    <r>
      <rPr>
        <sz val="10"/>
        <color rgb="FF000000"/>
        <rFont val="DejaVu Sans"/>
        <family val="2"/>
        <charset val="1"/>
      </rPr>
      <t xml:space="preserve">/ Helium10 Cerebro / Google Keyword Planner</t>
    </r>
    <r>
      <rPr>
        <sz val="10"/>
        <color rgb="FF000000"/>
        <rFont val="DejaVu Sans"/>
        <family val="2"/>
      </rPr>
      <t xml:space="preserve">（免费）</t>
    </r>
  </si>
  <si>
    <r>
      <rPr>
        <sz val="10"/>
        <color rgb="FF000000"/>
        <rFont val="Arial"/>
        <family val="0"/>
        <charset val="1"/>
      </rPr>
      <t xml:space="preserve">US </t>
    </r>
    <r>
      <rPr>
        <sz val="10"/>
        <color rgb="FF000000"/>
        <rFont val="DejaVu Sans"/>
        <family val="2"/>
      </rPr>
      <t xml:space="preserve">月搜 </t>
    </r>
    <r>
      <rPr>
        <sz val="10"/>
        <color rgb="FF000000"/>
        <rFont val="Arial"/>
        <family val="0"/>
        <charset val="1"/>
      </rPr>
      <t xml:space="preserve">&gt;10k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单国 </t>
    </r>
    <r>
      <rPr>
        <sz val="10"/>
        <color rgb="FF000000"/>
        <rFont val="Arial"/>
        <family val="0"/>
        <charset val="1"/>
      </rPr>
      <t xml:space="preserve">&gt;5k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SEA </t>
    </r>
    <r>
      <rPr>
        <sz val="10"/>
        <color rgb="FF000000"/>
        <rFont val="DejaVu Sans"/>
        <family val="2"/>
      </rPr>
      <t xml:space="preserve">单国 </t>
    </r>
    <r>
      <rPr>
        <sz val="10"/>
        <color rgb="FF000000"/>
        <rFont val="Arial"/>
        <family val="0"/>
        <charset val="1"/>
      </rPr>
      <t xml:space="preserve">&gt;3k</t>
    </r>
  </si>
  <si>
    <t xml:space="preserve">趋势方向</t>
  </si>
  <si>
    <r>
      <rPr>
        <sz val="10"/>
        <color rgb="FF000000"/>
        <rFont val="DejaVu Sans"/>
        <family val="2"/>
      </rPr>
      <t xml:space="preserve">近 </t>
    </r>
    <r>
      <rPr>
        <sz val="10"/>
        <color rgb="FF000000"/>
        <rFont val="DejaVu Sans"/>
        <family val="2"/>
        <charset val="1"/>
      </rPr>
      <t xml:space="preserve">12 </t>
    </r>
    <r>
      <rPr>
        <sz val="10"/>
        <color rgb="FF000000"/>
        <rFont val="DejaVu Sans"/>
        <family val="2"/>
      </rPr>
      <t xml:space="preserve">个月增长率</t>
    </r>
  </si>
  <si>
    <r>
      <rPr>
        <sz val="10"/>
        <color rgb="FF000000"/>
        <rFont val="Arial"/>
        <family val="0"/>
        <charset val="1"/>
      </rPr>
      <t xml:space="preserve">Google Trends</t>
    </r>
    <r>
      <rPr>
        <sz val="10"/>
        <color rgb="FF000000"/>
        <rFont val="DejaVu Sans"/>
        <family val="2"/>
      </rPr>
      <t xml:space="preserve">（免费）</t>
    </r>
    <r>
      <rPr>
        <sz val="10"/>
        <color rgb="FF000000"/>
        <rFont val="Arial"/>
        <family val="0"/>
        <charset val="1"/>
      </rPr>
      <t xml:space="preserve">/ Keepa BSR </t>
    </r>
    <r>
      <rPr>
        <sz val="10"/>
        <color rgb="FF000000"/>
        <rFont val="DejaVu Sans"/>
        <family val="2"/>
      </rPr>
      <t xml:space="preserve">历史</t>
    </r>
  </si>
  <si>
    <r>
      <rPr>
        <sz val="10"/>
        <color rgb="FF000000"/>
        <rFont val="Arial"/>
        <family val="0"/>
        <charset val="1"/>
      </rPr>
      <t xml:space="preserve">Trend &gt; 0</t>
    </r>
    <r>
      <rPr>
        <sz val="10"/>
        <color rgb="FF000000"/>
        <rFont val="DejaVu Sans"/>
        <family val="2"/>
      </rPr>
      <t xml:space="preserve">；非陡崖型季节性</t>
    </r>
  </si>
  <si>
    <t xml:space="preserve">季节性</t>
  </si>
  <si>
    <r>
      <rPr>
        <sz val="10"/>
        <color rgb="FF000000"/>
        <rFont val="Arial"/>
        <family val="0"/>
        <charset val="1"/>
      </rPr>
      <t xml:space="preserve">BSR 12 </t>
    </r>
    <r>
      <rPr>
        <sz val="10"/>
        <color rgb="FF000000"/>
        <rFont val="DejaVu Sans"/>
        <family val="2"/>
      </rPr>
      <t xml:space="preserve">月波动</t>
    </r>
  </si>
  <si>
    <r>
      <rPr>
        <sz val="10"/>
        <color rgb="FF000000"/>
        <rFont val="Arial"/>
        <family val="0"/>
        <charset val="1"/>
      </rPr>
      <t xml:space="preserve">Keepa</t>
    </r>
    <r>
      <rPr>
        <sz val="10"/>
        <color rgb="FF000000"/>
        <rFont val="DejaVu Sans"/>
        <family val="2"/>
      </rPr>
      <t xml:space="preserve">（推荐）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卖家精灵 历史</t>
    </r>
  </si>
  <si>
    <r>
      <rPr>
        <sz val="10"/>
        <color rgb="FF000000"/>
        <rFont val="DejaVu Sans"/>
        <family val="2"/>
      </rPr>
      <t xml:space="preserve">波峰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波谷比 </t>
    </r>
    <r>
      <rPr>
        <sz val="10"/>
        <color rgb="FF000000"/>
        <rFont val="DejaVu Sans"/>
        <family val="2"/>
        <charset val="1"/>
      </rPr>
      <t xml:space="preserve">&lt; 4x</t>
    </r>
    <r>
      <rPr>
        <sz val="10"/>
        <color rgb="FF000000"/>
        <rFont val="DejaVu Sans"/>
        <family val="2"/>
      </rPr>
      <t xml:space="preserve">；可错峰备货</t>
    </r>
  </si>
  <si>
    <r>
      <rPr>
        <sz val="10"/>
        <color rgb="FF000000"/>
        <rFont val="DejaVu Sans"/>
        <family val="2"/>
      </rPr>
      <t xml:space="preserve">平台真实 </t>
    </r>
    <r>
      <rPr>
        <sz val="10"/>
        <color rgb="FF000000"/>
        <rFont val="DejaVu Sans"/>
        <family val="2"/>
        <charset val="1"/>
      </rPr>
      <t xml:space="preserve">GMV</t>
    </r>
  </si>
  <si>
    <r>
      <rPr>
        <sz val="10"/>
        <color rgb="FF000000"/>
        <rFont val="Arial"/>
        <family val="0"/>
        <charset val="1"/>
      </rPr>
      <t xml:space="preserve">Top 10 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GMV</t>
    </r>
  </si>
  <si>
    <r>
      <rPr>
        <sz val="10"/>
        <color rgb="FF000000"/>
        <rFont val="Arial"/>
        <family val="0"/>
        <charset val="1"/>
      </rPr>
      <t xml:space="preserve">Kalodata </t>
    </r>
    <r>
      <rPr>
        <sz val="10"/>
        <color rgb="FF000000"/>
        <rFont val="DejaVu Sans"/>
        <family val="2"/>
      </rPr>
      <t xml:space="preserve">类目（</t>
    </r>
    <r>
      <rPr>
        <sz val="10"/>
        <color rgb="FF000000"/>
        <rFont val="Arial"/>
        <family val="0"/>
        <charset val="1"/>
      </rPr>
      <t xml:space="preserve">TTS</t>
    </r>
    <r>
      <rPr>
        <sz val="10"/>
        <color rgb="FF000000"/>
        <rFont val="DejaVu Sans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/ Helium10 </t>
    </r>
    <r>
      <rPr>
        <sz val="10"/>
        <color rgb="FF000000"/>
        <rFont val="DejaVu Sans"/>
        <family val="2"/>
      </rPr>
      <t xml:space="preserve">销量估算 </t>
    </r>
    <r>
      <rPr>
        <sz val="10"/>
        <color rgb="FF000000"/>
        <rFont val="Arial"/>
        <family val="0"/>
        <charset val="1"/>
      </rPr>
      <t xml:space="preserve">/ SmartScout </t>
    </r>
    <r>
      <rPr>
        <sz val="10"/>
        <color rgb="FF000000"/>
        <rFont val="DejaVu Sans"/>
        <family val="2"/>
      </rPr>
      <t xml:space="preserve">子类</t>
    </r>
  </si>
  <si>
    <r>
      <rPr>
        <sz val="10"/>
        <color rgb="FF000000"/>
        <rFont val="Arial"/>
        <family val="0"/>
        <charset val="1"/>
      </rPr>
      <t xml:space="preserve">Top 10 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GMV </t>
    </r>
    <r>
      <rPr>
        <sz val="10"/>
        <color rgb="FF000000"/>
        <rFont val="DejaVu Sans"/>
        <family val="2"/>
      </rPr>
      <t xml:space="preserve">中位数 </t>
    </r>
    <r>
      <rPr>
        <sz val="10"/>
        <color rgb="FF000000"/>
        <rFont val="Arial"/>
        <family val="0"/>
        <charset val="1"/>
      </rPr>
      <t xml:space="preserve">&gt; $50k</t>
    </r>
  </si>
  <si>
    <r>
      <rPr>
        <b val="true"/>
        <sz val="13"/>
        <color rgb="FF000000"/>
        <rFont val="Arial"/>
        <family val="0"/>
        <charset val="1"/>
      </rPr>
      <t xml:space="preserve">Gate 2 — </t>
    </r>
    <r>
      <rPr>
        <b val="true"/>
        <sz val="13"/>
        <color rgb="FF000000"/>
        <rFont val="DejaVu Sans"/>
        <family val="2"/>
      </rPr>
      <t xml:space="preserve">竞争分析（</t>
    </r>
    <r>
      <rPr>
        <b val="true"/>
        <sz val="13"/>
        <color rgb="FF000000"/>
        <rFont val="Arial"/>
        <family val="0"/>
        <charset val="1"/>
      </rPr>
      <t xml:space="preserve">Competition</t>
    </r>
    <r>
      <rPr>
        <b val="true"/>
        <sz val="13"/>
        <color rgb="FF000000"/>
        <rFont val="DejaVu Sans"/>
        <family val="2"/>
      </rPr>
      <t xml:space="preserve">）</t>
    </r>
  </si>
  <si>
    <r>
      <rPr>
        <i val="true"/>
        <sz val="9"/>
        <color rgb="FF595959"/>
        <rFont val="DejaVu Sans"/>
        <family val="2"/>
      </rPr>
      <t xml:space="preserve">目的：判断是红海</t>
    </r>
    <r>
      <rPr>
        <i val="true"/>
        <sz val="9"/>
        <color rgb="FF595959"/>
        <rFont val="DejaVu Sans"/>
        <family val="2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血海 还是 有进入机会</t>
    </r>
  </si>
  <si>
    <t xml:space="preserve">头部集中度</t>
  </si>
  <si>
    <r>
      <rPr>
        <sz val="10"/>
        <color rgb="FF000000"/>
        <rFont val="Arial"/>
        <family val="0"/>
        <charset val="1"/>
      </rPr>
      <t xml:space="preserve">Top 3 </t>
    </r>
    <r>
      <rPr>
        <sz val="10"/>
        <color rgb="FF000000"/>
        <rFont val="DejaVu Sans"/>
        <family val="2"/>
      </rPr>
      <t xml:space="preserve">卖家份额 </t>
    </r>
    <r>
      <rPr>
        <sz val="10"/>
        <color rgb="FF000000"/>
        <rFont val="Arial"/>
        <family val="0"/>
        <charset val="1"/>
      </rPr>
      <t xml:space="preserve">(CR3)</t>
    </r>
  </si>
  <si>
    <r>
      <rPr>
        <sz val="10"/>
        <color rgb="FF000000"/>
        <rFont val="Arial"/>
        <family val="0"/>
        <charset val="1"/>
      </rPr>
      <t xml:space="preserve">SmartScout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US </t>
    </r>
    <r>
      <rPr>
        <sz val="10"/>
        <color rgb="FF000000"/>
        <rFont val="DejaVu Sans"/>
        <family val="2"/>
      </rPr>
      <t xml:space="preserve">最强）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鸥鹭 </t>
    </r>
    <r>
      <rPr>
        <sz val="10"/>
        <color rgb="FF000000"/>
        <rFont val="Arial"/>
        <family val="0"/>
        <charset val="1"/>
      </rPr>
      <t xml:space="preserve">/ SimilarWeb</t>
    </r>
  </si>
  <si>
    <r>
      <rPr>
        <sz val="10"/>
        <color rgb="FF000000"/>
        <rFont val="Arial"/>
        <family val="0"/>
        <charset val="1"/>
      </rPr>
      <t xml:space="preserve">CR3 &lt; 60% </t>
    </r>
    <r>
      <rPr>
        <sz val="10"/>
        <color rgb="FF000000"/>
        <rFont val="DejaVu Sans"/>
        <family val="2"/>
      </rPr>
      <t xml:space="preserve">有机会；</t>
    </r>
    <r>
      <rPr>
        <sz val="10"/>
        <color rgb="FF000000"/>
        <rFont val="Arial"/>
        <family val="0"/>
        <charset val="1"/>
      </rPr>
      <t xml:space="preserve">&gt; 80% </t>
    </r>
    <r>
      <rPr>
        <sz val="10"/>
        <color rgb="FF000000"/>
        <rFont val="DejaVu Sans"/>
        <family val="2"/>
      </rPr>
      <t xml:space="preserve">弃</t>
    </r>
  </si>
  <si>
    <t xml:space="preserve">评论壁垒</t>
  </si>
  <si>
    <r>
      <rPr>
        <sz val="10"/>
        <color rgb="FF000000"/>
        <rFont val="Arial"/>
        <family val="0"/>
        <charset val="1"/>
      </rPr>
      <t xml:space="preserve">Top 10 </t>
    </r>
    <r>
      <rPr>
        <sz val="10"/>
        <color rgb="FF000000"/>
        <rFont val="DejaVu Sans"/>
        <family val="2"/>
      </rPr>
      <t xml:space="preserve">评论数中位数</t>
    </r>
  </si>
  <si>
    <r>
      <rPr>
        <sz val="10"/>
        <color rgb="FF000000"/>
        <rFont val="Arial"/>
        <family val="0"/>
        <charset val="1"/>
      </rPr>
      <t xml:space="preserve">Keepa</t>
    </r>
    <r>
      <rPr>
        <sz val="10"/>
        <color rgb="FF000000"/>
        <rFont val="DejaVu Sans"/>
        <family val="2"/>
      </rPr>
      <t xml:space="preserve">（推荐）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卖家精灵 插件免费版</t>
    </r>
  </si>
  <si>
    <r>
      <rPr>
        <sz val="10"/>
        <color rgb="FF000000"/>
        <rFont val="Arial"/>
        <family val="0"/>
        <charset val="1"/>
      </rPr>
      <t xml:space="preserve">&gt; 5000 </t>
    </r>
    <r>
      <rPr>
        <sz val="10"/>
        <color rgb="FF000000"/>
        <rFont val="DejaVu Sans"/>
        <family val="2"/>
      </rPr>
      <t xml:space="preserve">评论 → 慎入；</t>
    </r>
    <r>
      <rPr>
        <sz val="10"/>
        <color rgb="FF000000"/>
        <rFont val="Arial"/>
        <family val="0"/>
        <charset val="1"/>
      </rPr>
      <t xml:space="preserve">&lt; 1000 → </t>
    </r>
    <r>
      <rPr>
        <sz val="10"/>
        <color rgb="FF000000"/>
        <rFont val="DejaVu Sans"/>
        <family val="2"/>
      </rPr>
      <t xml:space="preserve">机会</t>
    </r>
  </si>
  <si>
    <t xml:space="preserve">品牌注册壁垒</t>
  </si>
  <si>
    <r>
      <rPr>
        <sz val="10"/>
        <color rgb="FF000000"/>
        <rFont val="Arial"/>
        <family val="0"/>
        <charset val="1"/>
      </rPr>
      <t xml:space="preserve">Top 10 BR / </t>
    </r>
    <r>
      <rPr>
        <sz val="10"/>
        <color rgb="FF000000"/>
        <rFont val="DejaVu Sans"/>
        <family val="2"/>
      </rPr>
      <t xml:space="preserve">独家品牌占比</t>
    </r>
  </si>
  <si>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DejaVu Sans"/>
        <family val="2"/>
        <charset val="1"/>
      </rPr>
      <t xml:space="preserve">/ Helium10 / </t>
    </r>
    <r>
      <rPr>
        <sz val="10"/>
        <color rgb="FF000000"/>
        <rFont val="DejaVu Sans"/>
        <family val="2"/>
      </rPr>
      <t xml:space="preserve">手动查 </t>
    </r>
    <r>
      <rPr>
        <sz val="10"/>
        <color rgb="FF000000"/>
        <rFont val="DejaVu Sans"/>
        <family val="2"/>
        <charset val="1"/>
      </rPr>
      <t xml:space="preserve">Brand Registry</t>
    </r>
  </si>
  <si>
    <r>
      <rPr>
        <sz val="10"/>
        <color rgb="FF000000"/>
        <rFont val="DejaVu Sans"/>
        <family val="2"/>
      </rPr>
      <t xml:space="preserve">白牌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品牌混合最佳；纯品牌格局弃</t>
    </r>
  </si>
  <si>
    <t xml:space="preserve">广告竞价烈度</t>
  </si>
  <si>
    <r>
      <rPr>
        <sz val="10"/>
        <color rgb="FF000000"/>
        <rFont val="DejaVu Sans"/>
        <family val="2"/>
      </rPr>
      <t xml:space="preserve">类目 </t>
    </r>
    <r>
      <rPr>
        <sz val="10"/>
        <color rgb="FF000000"/>
        <rFont val="DejaVu Sans"/>
        <family val="2"/>
        <charset val="1"/>
      </rPr>
      <t xml:space="preserve">SP CPC </t>
    </r>
    <r>
      <rPr>
        <sz val="10"/>
        <color rgb="FF000000"/>
        <rFont val="DejaVu Sans"/>
        <family val="2"/>
      </rPr>
      <t xml:space="preserve">中位数</t>
    </r>
  </si>
  <si>
    <r>
      <rPr>
        <sz val="10"/>
        <color rgb="FF000000"/>
        <rFont val="Arial"/>
        <family val="0"/>
        <charset val="1"/>
      </rPr>
      <t xml:space="preserve">Helium10 Adtomic / </t>
    </r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Arial"/>
        <family val="0"/>
        <charset val="1"/>
      </rPr>
      <t xml:space="preserve">/ Amazon Ads API</t>
    </r>
    <r>
      <rPr>
        <sz val="10"/>
        <color rgb="FF000000"/>
        <rFont val="DejaVu Sans"/>
        <family val="2"/>
      </rPr>
      <t xml:space="preserve">（自家）</t>
    </r>
  </si>
  <si>
    <r>
      <rPr>
        <sz val="10"/>
        <color rgb="FF000000"/>
        <rFont val="Arial"/>
        <family val="0"/>
        <charset val="1"/>
      </rPr>
      <t xml:space="preserve">Home </t>
    </r>
    <r>
      <rPr>
        <sz val="10"/>
        <color rgb="FF000000"/>
        <rFont val="DejaVu Sans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$1-1.5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 $2.5 </t>
    </r>
    <r>
      <rPr>
        <sz val="10"/>
        <color rgb="FF000000"/>
        <rFont val="DejaVu Sans"/>
        <family val="2"/>
      </rPr>
      <t xml:space="preserve">慎入</t>
    </r>
  </si>
  <si>
    <r>
      <rPr>
        <sz val="10"/>
        <color rgb="FF000000"/>
        <rFont val="DejaVu Sans"/>
        <family val="2"/>
      </rPr>
      <t xml:space="preserve">自然</t>
    </r>
    <r>
      <rPr>
        <sz val="10"/>
        <color rgb="FF000000"/>
        <rFont val="DejaVu Sans"/>
        <family val="2"/>
        <charset val="1"/>
      </rPr>
      <t xml:space="preserve">+</t>
    </r>
    <r>
      <rPr>
        <sz val="10"/>
        <color rgb="FF000000"/>
        <rFont val="DejaVu Sans"/>
        <family val="2"/>
      </rPr>
      <t xml:space="preserve">付费分布</t>
    </r>
  </si>
  <si>
    <r>
      <rPr>
        <sz val="10"/>
        <color rgb="FF000000"/>
        <rFont val="DejaVu Sans"/>
        <family val="2"/>
      </rPr>
      <t xml:space="preserve">新品上排名所需评论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时间</t>
    </r>
  </si>
  <si>
    <r>
      <rPr>
        <sz val="10"/>
        <color rgb="FF000000"/>
        <rFont val="Arial"/>
        <family val="0"/>
        <charset val="1"/>
      </rPr>
      <t xml:space="preserve">Brand Analytics SQP</t>
    </r>
    <r>
      <rPr>
        <sz val="10"/>
        <color rgb="FF000000"/>
        <rFont val="DejaVu Sans"/>
        <family val="2"/>
      </rPr>
      <t xml:space="preserve">（推荐）</t>
    </r>
    <r>
      <rPr>
        <sz val="10"/>
        <color rgb="FF000000"/>
        <rFont val="Arial"/>
        <family val="0"/>
        <charset val="1"/>
      </rPr>
      <t xml:space="preserve">/ SmartScout</t>
    </r>
  </si>
  <si>
    <r>
      <rPr>
        <sz val="10"/>
        <color rgb="FF000000"/>
        <rFont val="DejaVu Sans"/>
        <family val="2"/>
      </rPr>
      <t xml:space="preserve">新品 </t>
    </r>
    <r>
      <rPr>
        <sz val="10"/>
        <color rgb="FF000000"/>
        <rFont val="DejaVu Sans"/>
        <family val="2"/>
        <charset val="1"/>
      </rPr>
      <t xml:space="preserve">90 </t>
    </r>
    <r>
      <rPr>
        <sz val="10"/>
        <color rgb="FF000000"/>
        <rFont val="DejaVu Sans"/>
        <family val="2"/>
      </rPr>
      <t xml:space="preserve">天上首页可行性</t>
    </r>
  </si>
  <si>
    <r>
      <rPr>
        <b val="true"/>
        <sz val="13"/>
        <color rgb="FF000000"/>
        <rFont val="Arial"/>
        <family val="0"/>
        <charset val="1"/>
      </rPr>
      <t xml:space="preserve">Gate 3 — </t>
    </r>
    <r>
      <rPr>
        <b val="true"/>
        <sz val="13"/>
        <color rgb="FF000000"/>
        <rFont val="DejaVu Sans"/>
        <family val="2"/>
      </rPr>
      <t xml:space="preserve">差异化机会（</t>
    </r>
    <r>
      <rPr>
        <b val="true"/>
        <sz val="13"/>
        <color rgb="FF000000"/>
        <rFont val="Arial"/>
        <family val="0"/>
        <charset val="1"/>
      </rPr>
      <t xml:space="preserve">Differentiation</t>
    </r>
    <r>
      <rPr>
        <b val="true"/>
        <sz val="13"/>
        <color rgb="FF000000"/>
        <rFont val="DejaVu Sans"/>
        <family val="2"/>
      </rPr>
      <t xml:space="preserve">）</t>
    </r>
  </si>
  <si>
    <r>
      <rPr>
        <i val="true"/>
        <sz val="9"/>
        <color rgb="FF595959"/>
        <rFont val="DejaVu Sans"/>
        <family val="2"/>
      </rPr>
      <t xml:space="preserve">目的：找到 ≥</t>
    </r>
    <r>
      <rPr>
        <i val="true"/>
        <sz val="9"/>
        <color rgb="FF595959"/>
        <rFont val="DejaVu Sans"/>
        <family val="2"/>
        <charset val="1"/>
      </rPr>
      <t xml:space="preserve">2 </t>
    </r>
    <r>
      <rPr>
        <i val="true"/>
        <sz val="9"/>
        <color rgb="FF595959"/>
        <rFont val="DejaVu Sans"/>
        <family val="2"/>
      </rPr>
      <t xml:space="preserve">个明确差异点，否则不做</t>
    </r>
  </si>
  <si>
    <t xml:space="preserve">评论痛点</t>
  </si>
  <si>
    <r>
      <rPr>
        <sz val="10"/>
        <color rgb="FF000000"/>
        <rFont val="Arial"/>
        <family val="0"/>
        <charset val="1"/>
      </rPr>
      <t xml:space="preserve">Top 10 1-3 </t>
    </r>
    <r>
      <rPr>
        <sz val="10"/>
        <color rgb="FF000000"/>
        <rFont val="DejaVu Sans"/>
        <family val="2"/>
      </rPr>
      <t xml:space="preserve">星负评高频词</t>
    </r>
  </si>
  <si>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DejaVu Sans"/>
        <family val="2"/>
        <charset val="1"/>
      </rPr>
      <t xml:space="preserve">AI </t>
    </r>
    <r>
      <rPr>
        <sz val="10"/>
        <color rgb="FF000000"/>
        <rFont val="DejaVu Sans"/>
        <family val="2"/>
      </rPr>
      <t xml:space="preserve">评论分析（中文，推荐）</t>
    </r>
    <r>
      <rPr>
        <sz val="10"/>
        <color rgb="FF000000"/>
        <rFont val="DejaVu Sans"/>
        <family val="2"/>
        <charset val="1"/>
      </rPr>
      <t xml:space="preserve">/ Helium10 Review Insights</t>
    </r>
  </si>
  <si>
    <r>
      <rPr>
        <sz val="10"/>
        <color rgb="FF000000"/>
        <rFont val="Arial"/>
        <family val="0"/>
        <charset val="1"/>
      </rPr>
      <t xml:space="preserve">≥3 </t>
    </r>
    <r>
      <rPr>
        <sz val="10"/>
        <color rgb="FF000000"/>
        <rFont val="DejaVu Sans"/>
        <family val="2"/>
      </rPr>
      <t xml:space="preserve">个共性痛点未被解决</t>
    </r>
  </si>
  <si>
    <t xml:space="preserve">价格带空白</t>
  </si>
  <si>
    <t xml:space="preserve">价格分布直方图</t>
  </si>
  <si>
    <r>
      <rPr>
        <sz val="10"/>
        <color rgb="FF000000"/>
        <rFont val="Arial"/>
        <family val="0"/>
        <charset val="1"/>
      </rPr>
      <t xml:space="preserve">Keepa</t>
    </r>
    <r>
      <rPr>
        <sz val="10"/>
        <color rgb="FF000000"/>
        <rFont val="DejaVu Sans"/>
        <family val="2"/>
      </rPr>
      <t xml:space="preserve">（推荐）</t>
    </r>
    <r>
      <rPr>
        <sz val="10"/>
        <color rgb="FF000000"/>
        <rFont val="Arial"/>
        <family val="0"/>
        <charset val="1"/>
      </rPr>
      <t xml:space="preserve">/ SmartScout / 1688 </t>
    </r>
    <r>
      <rPr>
        <sz val="10"/>
        <color rgb="FF000000"/>
        <rFont val="DejaVu Sans"/>
        <family val="2"/>
      </rPr>
      <t xml:space="preserve">同款比价</t>
    </r>
  </si>
  <si>
    <r>
      <rPr>
        <sz val="10"/>
        <color rgb="FF000000"/>
        <rFont val="DejaVu Sans"/>
        <family val="2"/>
      </rPr>
      <t xml:space="preserve">有 </t>
    </r>
    <r>
      <rPr>
        <sz val="10"/>
        <color rgb="FF000000"/>
        <rFont val="DejaVu Sans"/>
        <family val="2"/>
        <charset val="1"/>
      </rPr>
      <t xml:space="preserve">$50-$80 / $200-$300 </t>
    </r>
    <r>
      <rPr>
        <sz val="10"/>
        <color rgb="FF000000"/>
        <rFont val="DejaVu Sans"/>
        <family val="2"/>
      </rPr>
      <t xml:space="preserve">等空白带</t>
    </r>
  </si>
  <si>
    <r>
      <rPr>
        <sz val="10"/>
        <color rgb="FF000000"/>
        <rFont val="DejaVu Sans"/>
        <family val="2"/>
      </rPr>
      <t xml:space="preserve">功能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材质差异</t>
    </r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</si>
  <si>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找新款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同款</t>
    </r>
  </si>
  <si>
    <r>
      <rPr>
        <sz val="10"/>
        <color rgb="FF000000"/>
        <rFont val="Arial"/>
        <family val="0"/>
        <charset val="1"/>
      </rPr>
      <t xml:space="preserve">OneBound 1688 API</t>
    </r>
    <r>
      <rPr>
        <sz val="10"/>
        <color rgb="FF000000"/>
        <rFont val="DejaVu Sans"/>
        <family val="2"/>
      </rPr>
      <t xml:space="preserve">（推荐）</t>
    </r>
    <r>
      <rPr>
        <sz val="10"/>
        <color rgb="FF000000"/>
        <rFont val="Arial"/>
        <family val="0"/>
        <charset val="1"/>
      </rPr>
      <t xml:space="preserve">/ Apify Lens </t>
    </r>
    <r>
      <rPr>
        <sz val="10"/>
        <color rgb="FF000000"/>
        <rFont val="DejaVu Sans"/>
        <family val="2"/>
      </rPr>
      <t xml:space="preserve">兜底</t>
    </r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</si>
  <si>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找到 </t>
    </r>
    <r>
      <rPr>
        <sz val="10"/>
        <color rgb="FF000000"/>
        <rFont val="Arial"/>
        <family val="0"/>
        <charset val="1"/>
      </rPr>
      <t xml:space="preserve">3+ </t>
    </r>
    <r>
      <rPr>
        <sz val="10"/>
        <color rgb="FF000000"/>
        <rFont val="DejaVu Sans"/>
        <family val="2"/>
      </rPr>
      <t xml:space="preserve">家工厂可改款</t>
    </r>
  </si>
  <si>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卖点</t>
    </r>
  </si>
  <si>
    <r>
      <rPr>
        <sz val="10"/>
        <color rgb="FF000000"/>
        <rFont val="Arial"/>
        <family val="0"/>
        <charset val="1"/>
      </rPr>
      <t xml:space="preserve">TikTok / Meta </t>
    </r>
    <r>
      <rPr>
        <sz val="10"/>
        <color rgb="FF000000"/>
        <rFont val="DejaVu Sans"/>
        <family val="2"/>
      </rPr>
      <t xml:space="preserve">爆款 </t>
    </r>
    <r>
      <rPr>
        <sz val="10"/>
        <color rgb="FF000000"/>
        <rFont val="Arial"/>
        <family val="0"/>
        <charset val="1"/>
      </rPr>
      <t xml:space="preserve">hook</t>
    </r>
  </si>
  <si>
    <r>
      <rPr>
        <sz val="10"/>
        <color rgb="FF000000"/>
        <rFont val="Arial"/>
        <family val="0"/>
        <charset val="1"/>
      </rPr>
      <t xml:space="preserve">PiPiADS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TT</t>
    </r>
    <r>
      <rPr>
        <sz val="10"/>
        <color rgb="FF000000"/>
        <rFont val="DejaVu Sans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/ AdSpy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DejaVu Sans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/ TikTok Creative Center</t>
    </r>
    <r>
      <rPr>
        <sz val="10"/>
        <color rgb="FF000000"/>
        <rFont val="DejaVu Sans"/>
        <family val="2"/>
      </rPr>
      <t xml:space="preserve">（免费）</t>
    </r>
  </si>
  <si>
    <r>
      <rPr>
        <sz val="10"/>
        <color rgb="FF000000"/>
        <rFont val="DejaVu Sans"/>
        <family val="2"/>
      </rPr>
      <t xml:space="preserve">找到 ≥</t>
    </r>
    <r>
      <rPr>
        <sz val="10"/>
        <color rgb="FF000000"/>
        <rFont val="DejaVu Sans"/>
        <family val="2"/>
        <charset val="1"/>
      </rPr>
      <t xml:space="preserve">2 </t>
    </r>
    <r>
      <rPr>
        <sz val="10"/>
        <color rgb="FF000000"/>
        <rFont val="DejaVu Sans"/>
        <family val="2"/>
      </rPr>
      <t xml:space="preserve">个可复用 </t>
    </r>
    <r>
      <rPr>
        <sz val="10"/>
        <color rgb="FF000000"/>
        <rFont val="DejaVu Sans"/>
        <family val="2"/>
        <charset val="1"/>
      </rPr>
      <t xml:space="preserve">hook</t>
    </r>
  </si>
  <si>
    <r>
      <rPr>
        <sz val="10"/>
        <color rgb="FF000000"/>
        <rFont val="Arial"/>
        <family val="0"/>
        <charset val="1"/>
      </rPr>
      <t xml:space="preserve">UGC </t>
    </r>
    <r>
      <rPr>
        <sz val="10"/>
        <color rgb="FF000000"/>
        <rFont val="DejaVu Sans"/>
        <family val="2"/>
      </rPr>
      <t xml:space="preserve">可塑性</t>
    </r>
  </si>
  <si>
    <t xml:space="preserve">短视频拍摄场景</t>
  </si>
  <si>
    <r>
      <rPr>
        <sz val="10"/>
        <color rgb="FF000000"/>
        <rFont val="Arial"/>
        <family val="0"/>
        <charset val="1"/>
      </rPr>
      <t xml:space="preserve">TikTok Creative Center</t>
    </r>
    <r>
      <rPr>
        <sz val="10"/>
        <color rgb="FF000000"/>
        <rFont val="DejaVu Sans"/>
        <family val="2"/>
      </rPr>
      <t xml:space="preserve">（免费）</t>
    </r>
    <r>
      <rPr>
        <sz val="10"/>
        <color rgb="FF000000"/>
        <rFont val="Arial"/>
        <family val="0"/>
        <charset val="1"/>
      </rPr>
      <t xml:space="preserve">/ Foreplay</t>
    </r>
  </si>
  <si>
    <r>
      <rPr>
        <sz val="10"/>
        <color rgb="FF000000"/>
        <rFont val="DejaVu Sans"/>
        <family val="2"/>
      </rPr>
      <t xml:space="preserve">至少 </t>
    </r>
    <r>
      <rPr>
        <sz val="10"/>
        <color rgb="FF000000"/>
        <rFont val="DejaVu Sans"/>
        <family val="2"/>
        <charset val="1"/>
      </rPr>
      <t xml:space="preserve">3 </t>
    </r>
    <r>
      <rPr>
        <sz val="10"/>
        <color rgb="FF000000"/>
        <rFont val="DejaVu Sans"/>
        <family val="2"/>
      </rPr>
      <t xml:space="preserve">种内容形式可拍</t>
    </r>
  </si>
  <si>
    <r>
      <rPr>
        <b val="true"/>
        <sz val="13"/>
        <color rgb="FF000000"/>
        <rFont val="Arial"/>
        <family val="0"/>
        <charset val="1"/>
      </rPr>
      <t xml:space="preserve">Gate 4 — </t>
    </r>
    <r>
      <rPr>
        <b val="true"/>
        <sz val="13"/>
        <color rgb="FF000000"/>
        <rFont val="DejaVu Sans"/>
        <family val="2"/>
      </rPr>
      <t xml:space="preserve">可执行性（</t>
    </r>
    <r>
      <rPr>
        <b val="true"/>
        <sz val="13"/>
        <color rgb="FF000000"/>
        <rFont val="Arial"/>
        <family val="0"/>
        <charset val="1"/>
      </rPr>
      <t xml:space="preserve">Feasibility</t>
    </r>
    <r>
      <rPr>
        <b val="true"/>
        <sz val="13"/>
        <color rgb="FF000000"/>
        <rFont val="DejaVu Sans"/>
        <family val="2"/>
      </rPr>
      <t xml:space="preserve">）</t>
    </r>
  </si>
  <si>
    <r>
      <rPr>
        <i val="true"/>
        <sz val="9"/>
        <color rgb="FF595959"/>
        <rFont val="DejaVu Sans"/>
        <family val="2"/>
      </rPr>
      <t xml:space="preserve">目的：验证供应链 </t>
    </r>
    <r>
      <rPr>
        <i val="true"/>
        <sz val="9"/>
        <color rgb="FF595959"/>
        <rFont val="DejaVu Sans"/>
        <family val="2"/>
        <charset val="1"/>
      </rPr>
      <t xml:space="preserve">/ </t>
    </r>
    <r>
      <rPr>
        <i val="true"/>
        <sz val="9"/>
        <color rgb="FF595959"/>
        <rFont val="DejaVu Sans"/>
        <family val="2"/>
      </rPr>
      <t xml:space="preserve">物流 </t>
    </r>
    <r>
      <rPr>
        <i val="true"/>
        <sz val="9"/>
        <color rgb="FF595959"/>
        <rFont val="DejaVu Sans"/>
        <family val="2"/>
        <charset val="1"/>
      </rPr>
      <t xml:space="preserve">/ </t>
    </r>
    <r>
      <rPr>
        <i val="true"/>
        <sz val="9"/>
        <color rgb="FF595959"/>
        <rFont val="DejaVu Sans"/>
        <family val="2"/>
      </rPr>
      <t xml:space="preserve">合规可控</t>
    </r>
  </si>
  <si>
    <t xml:space="preserve">货源稳定</t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</si>
  <si>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找到 ≥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DejaVu Sans"/>
        <family val="2"/>
      </rPr>
      <t xml:space="preserve">家工厂</t>
    </r>
  </si>
  <si>
    <r>
      <rPr>
        <sz val="10"/>
        <color rgb="FF000000"/>
        <rFont val="Arial"/>
        <family val="0"/>
        <charset val="1"/>
      </rPr>
      <t xml:space="preserve">OneBound 1688 API</t>
    </r>
    <r>
      <rPr>
        <sz val="10"/>
        <color rgb="FF000000"/>
        <rFont val="DejaVu Sans"/>
        <family val="2"/>
      </rPr>
      <t xml:space="preserve">（推荐）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手动 </t>
    </r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比价</t>
    </r>
  </si>
  <si>
    <r>
      <rPr>
        <sz val="10"/>
        <color rgb="FF000000"/>
        <rFont val="Arial"/>
        <family val="0"/>
        <charset val="1"/>
      </rPr>
      <t xml:space="preserve">MOQ &lt; $1000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DejaVu Sans"/>
        <family val="2"/>
      </rPr>
      <t xml:space="preserve">家备选；最低价 </t>
    </r>
    <r>
      <rPr>
        <sz val="10"/>
        <color rgb="FF000000"/>
        <rFont val="Arial"/>
        <family val="0"/>
        <charset val="1"/>
      </rPr>
      <t xml:space="preserve">&lt; AOV × 25%</t>
    </r>
  </si>
  <si>
    <t xml:space="preserve">物流可行性</t>
  </si>
  <si>
    <r>
      <rPr>
        <sz val="10"/>
        <color rgb="FF000000"/>
        <rFont val="DejaVu Sans"/>
        <family val="2"/>
      </rPr>
      <t xml:space="preserve">正向物流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单 占售价</t>
    </r>
  </si>
  <si>
    <r>
      <rPr>
        <sz val="10"/>
        <color rgb="FF000000"/>
        <rFont val="Arial"/>
        <family val="0"/>
        <charset val="1"/>
      </rPr>
      <t xml:space="preserve">Easyship </t>
    </r>
    <r>
      <rPr>
        <sz val="10"/>
        <color rgb="FF000000"/>
        <rFont val="DejaVu Sans"/>
        <family val="2"/>
      </rPr>
      <t xml:space="preserve">实时报价 </t>
    </r>
    <r>
      <rPr>
        <sz val="10"/>
        <color rgb="FF000000"/>
        <rFont val="Arial"/>
        <family val="0"/>
        <charset val="1"/>
      </rPr>
      <t xml:space="preserve">/ Maersk SpotOn</t>
    </r>
    <r>
      <rPr>
        <sz val="10"/>
        <color rgb="FF000000"/>
        <rFont val="DejaVu Sans"/>
        <family val="2"/>
      </rPr>
      <t xml:space="preserve">（整柜）</t>
    </r>
  </si>
  <si>
    <r>
      <rPr>
        <sz val="10"/>
        <color rgb="FF000000"/>
        <rFont val="DejaVu Sans"/>
        <family val="2"/>
      </rPr>
      <t xml:space="preserve">小包 </t>
    </r>
    <r>
      <rPr>
        <sz val="10"/>
        <color rgb="FF000000"/>
        <rFont val="DejaVu Sans"/>
        <family val="2"/>
        <charset val="1"/>
      </rPr>
      <t xml:space="preserve">&lt; AOV × 15%</t>
    </r>
    <r>
      <rPr>
        <sz val="10"/>
        <color rgb="FF000000"/>
        <rFont val="DejaVu Sans"/>
        <family val="2"/>
      </rPr>
      <t xml:space="preserve">；整柜 </t>
    </r>
    <r>
      <rPr>
        <sz val="10"/>
        <color rgb="FF000000"/>
        <rFont val="DejaVu Sans"/>
        <family val="2"/>
        <charset val="1"/>
      </rPr>
      <t xml:space="preserve">&lt; AOV × 8%</t>
    </r>
  </si>
  <si>
    <r>
      <rPr>
        <sz val="10"/>
        <color rgb="FF000000"/>
        <rFont val="DejaVu Sans"/>
        <family val="2"/>
      </rPr>
      <t xml:space="preserve">入仓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头程成本</t>
    </r>
  </si>
  <si>
    <r>
      <rPr>
        <sz val="10"/>
        <color rgb="FF000000"/>
        <rFont val="DejaVu Sans"/>
        <family val="2"/>
      </rPr>
      <t xml:space="preserve">整柜分摊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单</t>
    </r>
  </si>
  <si>
    <r>
      <rPr>
        <sz val="10"/>
        <color rgb="FF000000"/>
        <rFont val="Arial"/>
        <family val="0"/>
        <charset val="1"/>
      </rPr>
      <t xml:space="preserve">Maersk</t>
    </r>
    <r>
      <rPr>
        <sz val="10"/>
        <color rgb="FF000000"/>
        <rFont val="DejaVu Sans"/>
        <family val="2"/>
      </rPr>
      <t xml:space="preserve">（免费）</t>
    </r>
    <r>
      <rPr>
        <sz val="10"/>
        <color rgb="FF000000"/>
        <rFont val="Arial"/>
        <family val="0"/>
        <charset val="1"/>
      </rPr>
      <t xml:space="preserve">/ Freightos / Flexport</t>
    </r>
  </si>
  <si>
    <r>
      <rPr>
        <sz val="10"/>
        <color rgb="FF000000"/>
        <rFont val="DejaVu Sans"/>
        <family val="2"/>
      </rPr>
      <t xml:space="preserve">分摊后 </t>
    </r>
    <r>
      <rPr>
        <sz val="10"/>
        <color rgb="FF000000"/>
        <rFont val="DejaVu Sans"/>
        <family val="2"/>
        <charset val="1"/>
      </rPr>
      <t xml:space="preserve">&lt; AOV × 5%</t>
    </r>
  </si>
  <si>
    <r>
      <rPr>
        <sz val="10"/>
        <color rgb="FF000000"/>
        <rFont val="DejaVu Sans"/>
        <family val="2"/>
      </rPr>
      <t xml:space="preserve">关税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税合规</t>
    </r>
  </si>
  <si>
    <r>
      <rPr>
        <sz val="10"/>
        <color rgb="FF000000"/>
        <rFont val="DejaVu Sans"/>
        <family val="2"/>
      </rPr>
      <t xml:space="preserve">目标市场关税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IEEPA + EU €3</t>
    </r>
  </si>
  <si>
    <r>
      <rPr>
        <sz val="10"/>
        <color rgb="FF000000"/>
        <rFont val="Arial"/>
        <family val="0"/>
        <charset val="1"/>
      </rPr>
      <t xml:space="preserve">Zonos Landed Cost</t>
    </r>
    <r>
      <rPr>
        <sz val="10"/>
        <color rgb="FF000000"/>
        <rFont val="DejaVu Sans"/>
        <family val="2"/>
      </rPr>
      <t xml:space="preserve">（推荐）</t>
    </r>
    <r>
      <rPr>
        <sz val="10"/>
        <color rgb="FF000000"/>
        <rFont val="Arial"/>
        <family val="0"/>
        <charset val="1"/>
      </rPr>
      <t xml:space="preserve">/ Avalara / WTO </t>
    </r>
    <r>
      <rPr>
        <sz val="10"/>
        <color rgb="FF000000"/>
        <rFont val="DejaVu Sans"/>
        <family val="2"/>
      </rPr>
      <t xml:space="preserve">静态表</t>
    </r>
  </si>
  <si>
    <t xml:space="preserve">Landed Cost &lt; AOV × 60%</t>
  </si>
  <si>
    <r>
      <rPr>
        <sz val="10"/>
        <color rgb="FF000000"/>
        <rFont val="DejaVu Sans"/>
        <family val="2"/>
      </rPr>
      <t xml:space="preserve">专利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商标</t>
    </r>
  </si>
  <si>
    <r>
      <rPr>
        <sz val="10"/>
        <color rgb="FF000000"/>
        <rFont val="Arial"/>
        <family val="0"/>
        <charset val="1"/>
      </rPr>
      <t xml:space="preserve">USPTO + EUIPO + Brand </t>
    </r>
    <r>
      <rPr>
        <sz val="10"/>
        <color rgb="FF000000"/>
        <rFont val="DejaVu Sans"/>
        <family val="2"/>
      </rPr>
      <t xml:space="preserve">数据</t>
    </r>
  </si>
  <si>
    <r>
      <rPr>
        <sz val="10"/>
        <color rgb="FF000000"/>
        <rFont val="DejaVu Sans"/>
        <family val="2"/>
      </rPr>
      <t xml:space="preserve">手动查 </t>
    </r>
    <r>
      <rPr>
        <sz val="10"/>
        <color rgb="FF000000"/>
        <rFont val="DejaVu Sans"/>
        <family val="2"/>
        <charset val="1"/>
      </rPr>
      <t xml:space="preserve">USPTO/EUIPO + Brand Registry</t>
    </r>
  </si>
  <si>
    <r>
      <rPr>
        <sz val="10"/>
        <color rgb="FF000000"/>
        <rFont val="DejaVu Sans"/>
        <family val="2"/>
      </rPr>
      <t xml:space="preserve">无外观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实用新型冲突</t>
    </r>
  </si>
  <si>
    <r>
      <rPr>
        <b val="true"/>
        <sz val="13"/>
        <color rgb="FF000000"/>
        <rFont val="Arial"/>
        <family val="0"/>
        <charset val="1"/>
      </rPr>
      <t xml:space="preserve">Gate 5 — </t>
    </r>
    <r>
      <rPr>
        <b val="true"/>
        <sz val="13"/>
        <color rgb="FF000000"/>
        <rFont val="DejaVu Sans"/>
        <family val="2"/>
      </rPr>
      <t xml:space="preserve">盈利性（</t>
    </r>
    <r>
      <rPr>
        <b val="true"/>
        <sz val="13"/>
        <color rgb="FF000000"/>
        <rFont val="Arial"/>
        <family val="0"/>
        <charset val="1"/>
      </rPr>
      <t xml:space="preserve">Profitability</t>
    </r>
    <r>
      <rPr>
        <b val="true"/>
        <sz val="13"/>
        <color rgb="FF000000"/>
        <rFont val="DejaVu Sans"/>
        <family val="2"/>
      </rPr>
      <t xml:space="preserve">）</t>
    </r>
  </si>
  <si>
    <r>
      <rPr>
        <i val="true"/>
        <sz val="9"/>
        <color rgb="FF595959"/>
        <rFont val="DejaVu Sans"/>
        <family val="2"/>
      </rPr>
      <t xml:space="preserve">目的：</t>
    </r>
    <r>
      <rPr>
        <i val="true"/>
        <sz val="9"/>
        <color rgb="FF595959"/>
        <rFont val="DejaVu Sans"/>
        <family val="2"/>
        <charset val="1"/>
      </rPr>
      <t xml:space="preserve">ROI </t>
    </r>
    <r>
      <rPr>
        <i val="true"/>
        <sz val="9"/>
        <color rgb="FF595959"/>
        <rFont val="DejaVu Sans"/>
        <family val="2"/>
      </rPr>
      <t xml:space="preserve">公式过审才进入测款</t>
    </r>
  </si>
  <si>
    <r>
      <rPr>
        <sz val="10"/>
        <color rgb="FF000000"/>
        <rFont val="Arial"/>
        <family val="0"/>
        <charset val="1"/>
      </rPr>
      <t xml:space="preserve">AOV / </t>
    </r>
    <r>
      <rPr>
        <sz val="10"/>
        <color rgb="FF000000"/>
        <rFont val="DejaVu Sans"/>
        <family val="2"/>
      </rPr>
      <t xml:space="preserve">客单价</t>
    </r>
  </si>
  <si>
    <t xml:space="preserve">目标定价测算</t>
  </si>
  <si>
    <r>
      <rPr>
        <sz val="10"/>
        <color rgb="FF000000"/>
        <rFont val="DejaVu Sans"/>
        <family val="2"/>
      </rPr>
      <t xml:space="preserve">竞品价格 → </t>
    </r>
    <r>
      <rPr>
        <sz val="10"/>
        <color rgb="FF000000"/>
        <rFont val="DejaVu Sans"/>
        <family val="2"/>
        <charset val="1"/>
      </rPr>
      <t xml:space="preserve">Keepa / </t>
    </r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DejaVu Sans"/>
        <family val="2"/>
        <charset val="1"/>
      </rPr>
      <t xml:space="preserve">/ Kalodata</t>
    </r>
  </si>
  <si>
    <r>
      <rPr>
        <sz val="10"/>
        <color rgb="FF000000"/>
        <rFont val="DejaVu Sans"/>
        <family val="2"/>
      </rPr>
      <t xml:space="preserve">中件家居 </t>
    </r>
    <r>
      <rPr>
        <sz val="10"/>
        <color rgb="FF000000"/>
        <rFont val="DejaVu Sans"/>
        <family val="2"/>
        <charset val="1"/>
      </rPr>
      <t xml:space="preserve">$50-$300 </t>
    </r>
    <r>
      <rPr>
        <sz val="10"/>
        <color rgb="FF000000"/>
        <rFont val="DejaVu Sans"/>
        <family val="2"/>
      </rPr>
      <t xml:space="preserve">主流</t>
    </r>
  </si>
  <si>
    <r>
      <rPr>
        <sz val="10"/>
        <color rgb="FF000000"/>
        <rFont val="DejaVu Sans"/>
        <family val="2"/>
      </rPr>
      <t xml:space="preserve">货值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头程</t>
    </r>
  </si>
  <si>
    <t xml:space="preserve">全成本含分摊</t>
  </si>
  <si>
    <r>
      <rPr>
        <sz val="10"/>
        <color rgb="FF000000"/>
        <rFont val="Arial"/>
        <family val="0"/>
        <charset val="1"/>
      </rPr>
      <t xml:space="preserve">1688 OneBound + Maersk + </t>
    </r>
    <r>
      <rPr>
        <sz val="10"/>
        <color rgb="FF000000"/>
        <rFont val="DejaVu Sans"/>
        <family val="2"/>
      </rPr>
      <t xml:space="preserve">自家采购系统</t>
    </r>
  </si>
  <si>
    <r>
      <rPr>
        <sz val="10"/>
        <color rgb="FF000000"/>
        <rFont val="DejaVu Sans"/>
        <family val="2"/>
      </rPr>
      <t xml:space="preserve">占 </t>
    </r>
    <r>
      <rPr>
        <sz val="10"/>
        <color rgb="FF000000"/>
        <rFont val="DejaVu Sans"/>
        <family val="2"/>
        <charset val="1"/>
      </rPr>
      <t xml:space="preserve">AOV &lt; 30%</t>
    </r>
    <r>
      <rPr>
        <sz val="10"/>
        <color rgb="FF000000"/>
        <rFont val="DejaVu Sans"/>
        <family val="2"/>
      </rPr>
      <t xml:space="preserve">（推荐）</t>
    </r>
  </si>
  <si>
    <r>
      <rPr>
        <sz val="10"/>
        <color rgb="FF000000"/>
        <rFont val="DejaVu Sans"/>
        <family val="2"/>
      </rPr>
      <t xml:space="preserve">平台抽成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退货</t>
    </r>
  </si>
  <si>
    <r>
      <rPr>
        <sz val="10"/>
        <color rgb="FF000000"/>
        <rFont val="DejaVu Sans"/>
        <family val="2"/>
      </rPr>
      <t xml:space="preserve">综合 </t>
    </r>
    <r>
      <rPr>
        <sz val="10"/>
        <color rgb="FF000000"/>
        <rFont val="DejaVu Sans"/>
        <family val="2"/>
        <charset val="1"/>
      </rPr>
      <t xml:space="preserve">take-rate + </t>
    </r>
    <r>
      <rPr>
        <sz val="10"/>
        <color rgb="FF000000"/>
        <rFont val="DejaVu Sans"/>
        <family val="2"/>
      </rPr>
      <t xml:space="preserve">退货损失</t>
    </r>
  </si>
  <si>
    <r>
      <rPr>
        <sz val="10"/>
        <color rgb="FF000000"/>
        <rFont val="Arial"/>
        <family val="0"/>
        <charset val="1"/>
      </rPr>
      <t xml:space="preserve">Amazon Seller Central / TTS Partner / NRF </t>
    </r>
    <r>
      <rPr>
        <sz val="10"/>
        <color rgb="FF000000"/>
        <rFont val="DejaVu Sans"/>
        <family val="2"/>
      </rPr>
      <t xml:space="preserve">报告</t>
    </r>
  </si>
  <si>
    <r>
      <rPr>
        <sz val="10"/>
        <color rgb="FF000000"/>
        <rFont val="Arial"/>
        <family val="0"/>
        <charset val="1"/>
      </rPr>
      <t xml:space="preserve">Amazon Home 18-32%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TTS 7-10%</t>
    </r>
  </si>
  <si>
    <t xml:space="preserve">CPM × CTR × CVR</t>
  </si>
  <si>
    <t xml:space="preserve">每订单广告费</t>
  </si>
  <si>
    <r>
      <rPr>
        <sz val="10"/>
        <color rgb="FF000000"/>
        <rFont val="Arial"/>
        <family val="0"/>
        <charset val="1"/>
      </rPr>
      <t xml:space="preserve">Meta/TikTok/Amazon Ads API + </t>
    </r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Arial"/>
        <family val="0"/>
        <charset val="1"/>
      </rPr>
      <t xml:space="preserve">benchmark</t>
    </r>
  </si>
  <si>
    <r>
      <rPr>
        <sz val="10"/>
        <color rgb="FF000000"/>
        <rFont val="DejaVu Sans"/>
        <family val="2"/>
      </rPr>
      <t xml:space="preserve">每订单广告费 </t>
    </r>
    <r>
      <rPr>
        <sz val="10"/>
        <color rgb="FF000000"/>
        <rFont val="DejaVu Sans"/>
        <family val="2"/>
        <charset val="1"/>
      </rPr>
      <t xml:space="preserve">&lt; </t>
    </r>
    <r>
      <rPr>
        <sz val="10"/>
        <color rgb="FF000000"/>
        <rFont val="DejaVu Sans"/>
        <family val="2"/>
      </rPr>
      <t xml:space="preserve">贡献毛利</t>
    </r>
  </si>
  <si>
    <r>
      <rPr>
        <sz val="10"/>
        <color rgb="FF000000"/>
        <rFont val="DejaVu Sans"/>
        <family val="2"/>
      </rPr>
      <t xml:space="preserve">最终判断（</t>
    </r>
    <r>
      <rPr>
        <sz val="10"/>
        <color rgb="FF000000"/>
        <rFont val="DejaVu Sans"/>
        <family val="2"/>
        <charset val="1"/>
      </rPr>
      <t xml:space="preserve">ROI </t>
    </r>
    <r>
      <rPr>
        <sz val="10"/>
        <color rgb="FF000000"/>
        <rFont val="DejaVu Sans"/>
        <family val="2"/>
      </rPr>
      <t xml:space="preserve">公式）</t>
    </r>
  </si>
  <si>
    <r>
      <rPr>
        <sz val="10"/>
        <color rgb="FF000000"/>
        <rFont val="Arial"/>
        <family val="0"/>
        <charset val="1"/>
      </rPr>
      <t xml:space="preserve">ROI / </t>
    </r>
    <r>
      <rPr>
        <sz val="10"/>
        <color rgb="FF000000"/>
        <rFont val="DejaVu Sans"/>
        <family val="2"/>
      </rPr>
      <t xml:space="preserve">净利率 </t>
    </r>
    <r>
      <rPr>
        <sz val="10"/>
        <color rgb="FF000000"/>
        <rFont val="Arial"/>
        <family val="0"/>
        <charset val="1"/>
      </rPr>
      <t xml:space="preserve">/ Break-Even ROAS</t>
    </r>
  </si>
  <si>
    <r>
      <rPr>
        <sz val="10"/>
        <color rgb="FF000000"/>
        <rFont val="Arial"/>
        <family val="0"/>
        <charset val="1"/>
      </rPr>
      <t xml:space="preserve">→ '</t>
    </r>
    <r>
      <rPr>
        <sz val="10"/>
        <color rgb="FF000000"/>
        <rFont val="DejaVu Sans"/>
        <family val="2"/>
      </rPr>
      <t xml:space="preserve">公式映射</t>
    </r>
    <r>
      <rPr>
        <sz val="10"/>
        <color rgb="FF000000"/>
        <rFont val="Arial"/>
        <family val="0"/>
        <charset val="1"/>
      </rPr>
      <t xml:space="preserve">' sheet </t>
    </r>
    <r>
      <rPr>
        <sz val="10"/>
        <color rgb="FF000000"/>
        <rFont val="DejaVu Sans"/>
        <family val="2"/>
      </rPr>
      <t xml:space="preserve">看每个变量来源 → 套 </t>
    </r>
    <r>
      <rPr>
        <sz val="10"/>
        <color rgb="FF000000"/>
        <rFont val="Arial"/>
        <family val="0"/>
        <charset val="1"/>
      </rPr>
      <t xml:space="preserve">ROI </t>
    </r>
    <r>
      <rPr>
        <sz val="10"/>
        <color rgb="FF000000"/>
        <rFont val="DejaVu Sans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sheet</t>
    </r>
  </si>
  <si>
    <r>
      <rPr>
        <sz val="10"/>
        <color rgb="FF000000"/>
        <rFont val="Arial"/>
        <family val="0"/>
        <charset val="1"/>
      </rPr>
      <t xml:space="preserve">ROI &gt; 1.5x</t>
    </r>
    <r>
      <rPr>
        <sz val="10"/>
        <color rgb="FF000000"/>
        <rFont val="DejaVu Sans"/>
        <family val="2"/>
      </rPr>
      <t xml:space="preserve">；净利率 </t>
    </r>
    <r>
      <rPr>
        <sz val="10"/>
        <color rgb="FF000000"/>
        <rFont val="Arial"/>
        <family val="0"/>
        <charset val="1"/>
      </rPr>
      <t xml:space="preserve">&gt; 8%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Break-Even ROAS &lt; 2.5x</t>
    </r>
  </si>
  <si>
    <t xml:space="preserve">💡 框架使用纪律</t>
  </si>
  <si>
    <r>
      <rPr>
        <sz val="10"/>
        <color rgb="FF000000"/>
        <rFont val="Arial"/>
        <family val="0"/>
        <charset val="1"/>
      </rPr>
      <t xml:space="preserve">• Gate 1-4 </t>
    </r>
    <r>
      <rPr>
        <sz val="10"/>
        <color rgb="FF000000"/>
        <rFont val="DejaVu Sans"/>
        <family val="2"/>
      </rPr>
      <t xml:space="preserve">是「淘汰漏斗」：每个 </t>
    </r>
    <r>
      <rPr>
        <sz val="10"/>
        <color rgb="FF000000"/>
        <rFont val="Arial"/>
        <family val="0"/>
        <charset val="1"/>
      </rPr>
      <t xml:space="preserve">Gate </t>
    </r>
    <r>
      <rPr>
        <sz val="10"/>
        <color rgb="FF000000"/>
        <rFont val="DejaVu Sans"/>
        <family val="2"/>
      </rPr>
      <t xml:space="preserve">都有硬阈值，一票否决。不要为差异化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盈利性漂亮的品妥协前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DejaVu Sans"/>
        <family val="2"/>
      </rPr>
      <t xml:space="preserve">个 </t>
    </r>
    <r>
      <rPr>
        <sz val="10"/>
        <color rgb="FF000000"/>
        <rFont val="Arial"/>
        <family val="0"/>
        <charset val="1"/>
      </rPr>
      <t xml:space="preserve">Gate</t>
    </r>
    <r>
      <rPr>
        <sz val="10"/>
        <color rgb="FF000000"/>
        <rFont val="DejaVu Sans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</si>
  <si>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• Gate 5 </t>
    </r>
    <r>
      <rPr>
        <sz val="10"/>
        <color rgb="FF000000"/>
        <rFont val="DejaVu Sans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'ROI </t>
    </r>
    <r>
      <rPr>
        <sz val="10"/>
        <color rgb="FF000000"/>
        <rFont val="DejaVu Sans"/>
        <family val="2"/>
      </rPr>
      <t xml:space="preserve">公式</t>
    </r>
    <r>
      <rPr>
        <sz val="10"/>
        <color rgb="FF000000"/>
        <rFont val="Arial"/>
        <family val="0"/>
        <charset val="1"/>
      </rPr>
      <t xml:space="preserve">' sheet </t>
    </r>
    <r>
      <rPr>
        <sz val="10"/>
        <color rgb="FF000000"/>
        <rFont val="DejaVu Sans"/>
        <family val="2"/>
      </rPr>
      <t xml:space="preserve">跑全模型，输入用「家居家具数字」</t>
    </r>
    <r>
      <rPr>
        <sz val="10"/>
        <color rgb="FF000000"/>
        <rFont val="Arial"/>
        <family val="0"/>
        <charset val="1"/>
      </rPr>
      <t xml:space="preserve">sheet </t>
    </r>
    <r>
      <rPr>
        <sz val="10"/>
        <color rgb="FF000000"/>
        <rFont val="DejaVu Sans"/>
        <family val="2"/>
      </rPr>
      <t xml:space="preserve">找对应市场 </t>
    </r>
    <r>
      <rPr>
        <sz val="10"/>
        <color rgb="FF000000"/>
        <rFont val="Arial"/>
        <family val="0"/>
        <charset val="1"/>
      </rPr>
      <t xml:space="preserve">benchmark </t>
    </r>
    <r>
      <rPr>
        <sz val="10"/>
        <color rgb="FF000000"/>
        <rFont val="DejaVu Sans"/>
        <family val="2"/>
      </rPr>
      <t xml:space="preserve">初始化。</t>
    </r>
  </si>
  <si>
    <r>
      <rPr>
        <sz val="10"/>
        <color rgb="FF000000"/>
        <rFont val="DejaVu Sans"/>
        <family val="2"/>
      </rPr>
      <t xml:space="preserve">• 三大 </t>
    </r>
    <r>
      <rPr>
        <sz val="10"/>
        <color rgb="FF000000"/>
        <rFont val="DejaVu Sans"/>
        <family val="2"/>
        <charset val="1"/>
      </rPr>
      <t xml:space="preserve">Gate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DejaVu Sans"/>
        <family val="2"/>
        <charset val="1"/>
      </rPr>
      <t xml:space="preserve">1/2/5</t>
    </r>
    <r>
      <rPr>
        <sz val="10"/>
        <color rgb="FF000000"/>
        <rFont val="DejaVu Sans"/>
        <family val="2"/>
      </rPr>
      <t xml:space="preserve">）应该 </t>
    </r>
    <r>
      <rPr>
        <sz val="10"/>
        <color rgb="FF000000"/>
        <rFont val="DejaVu Sans"/>
        <family val="2"/>
        <charset val="1"/>
      </rPr>
      <t xml:space="preserve">80% </t>
    </r>
    <r>
      <rPr>
        <sz val="10"/>
        <color rgb="FF000000"/>
        <rFont val="DejaVu Sans"/>
        <family val="2"/>
      </rPr>
      <t xml:space="preserve">用「公式映射」</t>
    </r>
    <r>
      <rPr>
        <sz val="10"/>
        <color rgb="FF000000"/>
        <rFont val="DejaVu Sans"/>
        <family val="2"/>
        <charset val="1"/>
      </rPr>
      <t xml:space="preserve">sheet T0 </t>
    </r>
    <r>
      <rPr>
        <sz val="10"/>
        <color rgb="FF000000"/>
        <rFont val="DejaVu Sans"/>
        <family val="2"/>
      </rPr>
      <t xml:space="preserve">的免费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便宜源即可通过初筛；</t>
    </r>
    <r>
      <rPr>
        <sz val="10"/>
        <color rgb="FF000000"/>
        <rFont val="DejaVu Sans"/>
        <family val="2"/>
        <charset val="1"/>
      </rPr>
      <t xml:space="preserve">Gate 3 </t>
    </r>
    <r>
      <rPr>
        <sz val="10"/>
        <color rgb="FF000000"/>
        <rFont val="DejaVu Sans"/>
        <family val="2"/>
      </rPr>
      <t xml:space="preserve">差异化 </t>
    </r>
    <r>
      <rPr>
        <sz val="10"/>
        <color rgb="FF000000"/>
        <rFont val="DejaVu Sans"/>
        <family val="2"/>
        <charset val="1"/>
      </rPr>
      <t xml:space="preserve">+ Gate 4 </t>
    </r>
    <r>
      <rPr>
        <sz val="10"/>
        <color rgb="FF000000"/>
        <rFont val="DejaVu Sans"/>
        <family val="2"/>
      </rPr>
      <t xml:space="preserve">货源是后置深挖。</t>
    </r>
  </si>
  <si>
    <r>
      <rPr>
        <sz val="10"/>
        <color rgb="FF000000"/>
        <rFont val="DejaVu Sans"/>
        <family val="2"/>
      </rPr>
      <t xml:space="preserve">• 选品通过率参考：</t>
    </r>
    <r>
      <rPr>
        <sz val="10"/>
        <color rgb="FF000000"/>
        <rFont val="DejaVu Sans"/>
        <family val="2"/>
        <charset val="1"/>
      </rPr>
      <t xml:space="preserve">100 </t>
    </r>
    <r>
      <rPr>
        <sz val="10"/>
        <color rgb="FF000000"/>
        <rFont val="DejaVu Sans"/>
        <family val="2"/>
      </rPr>
      <t xml:space="preserve">个候选 → </t>
    </r>
    <r>
      <rPr>
        <sz val="10"/>
        <color rgb="FF000000"/>
        <rFont val="DejaVu Sans"/>
        <family val="2"/>
        <charset val="1"/>
      </rPr>
      <t xml:space="preserve">Gate 1 </t>
    </r>
    <r>
      <rPr>
        <sz val="10"/>
        <color rgb="FF000000"/>
        <rFont val="DejaVu Sans"/>
        <family val="2"/>
      </rPr>
      <t xml:space="preserve">过 </t>
    </r>
    <r>
      <rPr>
        <sz val="10"/>
        <color rgb="FF000000"/>
        <rFont val="DejaVu Sans"/>
        <family val="2"/>
        <charset val="1"/>
      </rPr>
      <t xml:space="preserve">30 </t>
    </r>
    <r>
      <rPr>
        <sz val="10"/>
        <color rgb="FF000000"/>
        <rFont val="DejaVu Sans"/>
        <family val="2"/>
      </rPr>
      <t xml:space="preserve">个 → </t>
    </r>
    <r>
      <rPr>
        <sz val="10"/>
        <color rgb="FF000000"/>
        <rFont val="DejaVu Sans"/>
        <family val="2"/>
        <charset val="1"/>
      </rPr>
      <t xml:space="preserve">Gate 2 </t>
    </r>
    <r>
      <rPr>
        <sz val="10"/>
        <color rgb="FF000000"/>
        <rFont val="DejaVu Sans"/>
        <family val="2"/>
      </rPr>
      <t xml:space="preserve">过 </t>
    </r>
    <r>
      <rPr>
        <sz val="10"/>
        <color rgb="FF000000"/>
        <rFont val="DejaVu Sans"/>
        <family val="2"/>
        <charset val="1"/>
      </rPr>
      <t xml:space="preserve">10 </t>
    </r>
    <r>
      <rPr>
        <sz val="10"/>
        <color rgb="FF000000"/>
        <rFont val="DejaVu Sans"/>
        <family val="2"/>
      </rPr>
      <t xml:space="preserve">个 → </t>
    </r>
    <r>
      <rPr>
        <sz val="10"/>
        <color rgb="FF000000"/>
        <rFont val="DejaVu Sans"/>
        <family val="2"/>
        <charset val="1"/>
      </rPr>
      <t xml:space="preserve">Gate 3 </t>
    </r>
    <r>
      <rPr>
        <sz val="10"/>
        <color rgb="FF000000"/>
        <rFont val="DejaVu Sans"/>
        <family val="2"/>
      </rPr>
      <t xml:space="preserve">过 </t>
    </r>
    <r>
      <rPr>
        <sz val="10"/>
        <color rgb="FF000000"/>
        <rFont val="DejaVu Sans"/>
        <family val="2"/>
        <charset val="1"/>
      </rPr>
      <t xml:space="preserve">5 </t>
    </r>
    <r>
      <rPr>
        <sz val="10"/>
        <color rgb="FF000000"/>
        <rFont val="DejaVu Sans"/>
        <family val="2"/>
      </rPr>
      <t xml:space="preserve">个 → </t>
    </r>
    <r>
      <rPr>
        <sz val="10"/>
        <color rgb="FF000000"/>
        <rFont val="DejaVu Sans"/>
        <family val="2"/>
        <charset val="1"/>
      </rPr>
      <t xml:space="preserve">Gate 4 </t>
    </r>
    <r>
      <rPr>
        <sz val="10"/>
        <color rgb="FF000000"/>
        <rFont val="DejaVu Sans"/>
        <family val="2"/>
      </rPr>
      <t xml:space="preserve">过 </t>
    </r>
    <r>
      <rPr>
        <sz val="10"/>
        <color rgb="FF000000"/>
        <rFont val="DejaVu Sans"/>
        <family val="2"/>
        <charset val="1"/>
      </rPr>
      <t xml:space="preserve">3 </t>
    </r>
    <r>
      <rPr>
        <sz val="10"/>
        <color rgb="FF000000"/>
        <rFont val="DejaVu Sans"/>
        <family val="2"/>
      </rPr>
      <t xml:space="preserve">个 → </t>
    </r>
    <r>
      <rPr>
        <sz val="10"/>
        <color rgb="FF000000"/>
        <rFont val="DejaVu Sans"/>
        <family val="2"/>
        <charset val="1"/>
      </rPr>
      <t xml:space="preserve">Gate 5 </t>
    </r>
    <r>
      <rPr>
        <sz val="10"/>
        <color rgb="FF000000"/>
        <rFont val="DejaVu Sans"/>
        <family val="2"/>
      </rPr>
      <t xml:space="preserve">过 </t>
    </r>
    <r>
      <rPr>
        <sz val="10"/>
        <color rgb="FF000000"/>
        <rFont val="DejaVu Sans"/>
        <family val="2"/>
        <charset val="1"/>
      </rPr>
      <t xml:space="preserve">1-2 </t>
    </r>
    <r>
      <rPr>
        <sz val="10"/>
        <color rgb="FF000000"/>
        <rFont val="DejaVu Sans"/>
        <family val="2"/>
      </rPr>
      <t xml:space="preserve">个。</t>
    </r>
  </si>
  <si>
    <r>
      <rPr>
        <sz val="10"/>
        <color rgb="FF000000"/>
        <rFont val="DejaVu Sans"/>
        <family val="2"/>
      </rPr>
      <t xml:space="preserve">• 每个 </t>
    </r>
    <r>
      <rPr>
        <sz val="10"/>
        <color rgb="FF000000"/>
        <rFont val="DejaVu Sans"/>
        <family val="2"/>
        <charset val="1"/>
      </rPr>
      <t xml:space="preserve">Gate </t>
    </r>
    <r>
      <rPr>
        <sz val="10"/>
        <color rgb="FF000000"/>
        <rFont val="DejaVu Sans"/>
        <family val="2"/>
      </rPr>
      <t xml:space="preserve">数据采集时间预算：</t>
    </r>
    <r>
      <rPr>
        <sz val="10"/>
        <color rgb="FF000000"/>
        <rFont val="DejaVu Sans"/>
        <family val="2"/>
        <charset val="1"/>
      </rPr>
      <t xml:space="preserve">Gate 1+2 </t>
    </r>
    <r>
      <rPr>
        <sz val="10"/>
        <color rgb="FF000000"/>
        <rFont val="DejaVu Sans"/>
        <family val="2"/>
      </rPr>
      <t xml:space="preserve">共 </t>
    </r>
    <r>
      <rPr>
        <sz val="10"/>
        <color rgb="FF000000"/>
        <rFont val="DejaVu Sans"/>
        <family val="2"/>
        <charset val="1"/>
      </rPr>
      <t xml:space="preserve">30min</t>
    </r>
    <r>
      <rPr>
        <sz val="10"/>
        <color rgb="FF000000"/>
        <rFont val="DejaVu Sans"/>
        <family val="2"/>
      </rPr>
      <t xml:space="preserve">（用卖家精灵</t>
    </r>
    <r>
      <rPr>
        <sz val="10"/>
        <color rgb="FF000000"/>
        <rFont val="DejaVu Sans"/>
        <family val="2"/>
        <charset val="1"/>
      </rPr>
      <t xml:space="preserve">/Kalodata </t>
    </r>
    <r>
      <rPr>
        <sz val="10"/>
        <color rgb="FF000000"/>
        <rFont val="DejaVu Sans"/>
        <family val="2"/>
      </rPr>
      <t xml:space="preserve">一站搞定），</t>
    </r>
    <r>
      <rPr>
        <sz val="10"/>
        <color rgb="FF000000"/>
        <rFont val="DejaVu Sans"/>
        <family val="2"/>
        <charset val="1"/>
      </rPr>
      <t xml:space="preserve">Gate 3 60min</t>
    </r>
    <r>
      <rPr>
        <sz val="10"/>
        <color rgb="FF000000"/>
        <rFont val="DejaVu Sans"/>
        <family val="2"/>
      </rPr>
      <t xml:space="preserve">，</t>
    </r>
    <r>
      <rPr>
        <sz val="10"/>
        <color rgb="FF000000"/>
        <rFont val="DejaVu Sans"/>
        <family val="2"/>
        <charset val="1"/>
      </rPr>
      <t xml:space="preserve">Gate 4 120min</t>
    </r>
    <r>
      <rPr>
        <sz val="10"/>
        <color rgb="FF000000"/>
        <rFont val="DejaVu Sans"/>
        <family val="2"/>
      </rPr>
      <t xml:space="preserve">，</t>
    </r>
    <r>
      <rPr>
        <sz val="10"/>
        <color rgb="FF000000"/>
        <rFont val="DejaVu Sans"/>
        <family val="2"/>
        <charset val="1"/>
      </rPr>
      <t xml:space="preserve">Gate 5 30min</t>
    </r>
    <r>
      <rPr>
        <sz val="10"/>
        <color rgb="FF000000"/>
        <rFont val="DejaVu Sans"/>
        <family val="2"/>
      </rPr>
      <t xml:space="preserve">。</t>
    </r>
  </si>
  <si>
    <r>
      <rPr>
        <sz val="10"/>
        <color rgb="FF000000"/>
        <rFont val="DejaVu Sans"/>
        <family val="2"/>
      </rPr>
      <t xml:space="preserve">• 建议每周走 </t>
    </r>
    <r>
      <rPr>
        <sz val="10"/>
        <color rgb="FF000000"/>
        <rFont val="DejaVu Sans"/>
        <family val="2"/>
        <charset val="1"/>
      </rPr>
      <t xml:space="preserve">5 </t>
    </r>
    <r>
      <rPr>
        <sz val="10"/>
        <color rgb="FF000000"/>
        <rFont val="DejaVu Sans"/>
        <family val="2"/>
      </rPr>
      <t xml:space="preserve">个候选 </t>
    </r>
    <r>
      <rPr>
        <sz val="10"/>
        <color rgb="FF000000"/>
        <rFont val="DejaVu Sans"/>
        <family val="2"/>
        <charset val="1"/>
      </rPr>
      <t xml:space="preserve">SKU </t>
    </r>
    <r>
      <rPr>
        <sz val="10"/>
        <color rgb="FF000000"/>
        <rFont val="DejaVu Sans"/>
        <family val="2"/>
      </rPr>
      <t xml:space="preserve">走全流程；每月稳定上 </t>
    </r>
    <r>
      <rPr>
        <sz val="10"/>
        <color rgb="FF000000"/>
        <rFont val="DejaVu Sans"/>
        <family val="2"/>
        <charset val="1"/>
      </rPr>
      <t xml:space="preserve">5-10 </t>
    </r>
    <r>
      <rPr>
        <sz val="10"/>
        <color rgb="FF000000"/>
        <rFont val="DejaVu Sans"/>
        <family val="2"/>
      </rPr>
      <t xml:space="preserve">个新品测款。</t>
    </r>
  </si>
  <si>
    <r>
      <rPr>
        <b val="true"/>
        <sz val="14"/>
        <color rgb="FF1F4E78"/>
        <rFont val="Arial"/>
        <family val="0"/>
        <charset val="1"/>
      </rPr>
      <t xml:space="preserve">ROI </t>
    </r>
    <r>
      <rPr>
        <b val="true"/>
        <sz val="14"/>
        <color rgb="FF1F4E78"/>
        <rFont val="DejaVu Sans"/>
        <family val="2"/>
      </rPr>
      <t xml:space="preserve">公式变量 → 数据源映射（含国产替代 </t>
    </r>
    <r>
      <rPr>
        <b val="true"/>
        <sz val="14"/>
        <color rgb="FF1F4E78"/>
        <rFont val="Arial"/>
        <family val="0"/>
        <charset val="1"/>
      </rPr>
      <t xml:space="preserve">+ </t>
    </r>
    <r>
      <rPr>
        <b val="true"/>
        <sz val="14"/>
        <color rgb="FF1F4E78"/>
        <rFont val="DejaVu Sans"/>
        <family val="2"/>
      </rPr>
      <t xml:space="preserve">可靠性 </t>
    </r>
    <r>
      <rPr>
        <b val="true"/>
        <sz val="14"/>
        <color rgb="FF1F4E78"/>
        <rFont val="Arial"/>
        <family val="0"/>
        <charset val="1"/>
      </rPr>
      <t xml:space="preserve">+ Justify</t>
    </r>
    <r>
      <rPr>
        <b val="true"/>
        <sz val="14"/>
        <color rgb="FF1F4E78"/>
        <rFont val="DejaVu Sans"/>
        <family val="2"/>
      </rPr>
      <t xml:space="preserve">）</t>
    </r>
  </si>
  <si>
    <r>
      <rPr>
        <i val="true"/>
        <sz val="9"/>
        <color rgb="FF595959"/>
        <rFont val="DejaVu Sans"/>
        <family val="2"/>
      </rPr>
      <t xml:space="preserve">每个 </t>
    </r>
    <r>
      <rPr>
        <i val="true"/>
        <sz val="9"/>
        <color rgb="FF595959"/>
        <rFont val="DejaVu Sans"/>
        <family val="2"/>
        <charset val="1"/>
      </rPr>
      <t xml:space="preserve">ROI </t>
    </r>
    <r>
      <rPr>
        <i val="true"/>
        <sz val="9"/>
        <color rgb="FF595959"/>
        <rFont val="DejaVu Sans"/>
        <family val="2"/>
      </rPr>
      <t xml:space="preserve">公式输入项 → 对应主推数据源 </t>
    </r>
    <r>
      <rPr>
        <i val="true"/>
        <sz val="9"/>
        <color rgb="FF595959"/>
        <rFont val="DejaVu Sans"/>
        <family val="2"/>
        <charset val="1"/>
      </rPr>
      <t xml:space="preserve">+ </t>
    </r>
    <r>
      <rPr>
        <i val="true"/>
        <sz val="9"/>
        <color rgb="FF595959"/>
        <rFont val="DejaVu Sans"/>
        <family val="2"/>
      </rPr>
      <t xml:space="preserve">国产</t>
    </r>
    <r>
      <rPr>
        <i val="true"/>
        <sz val="9"/>
        <color rgb="FF595959"/>
        <rFont val="DejaVu Sans"/>
        <family val="2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便宜替代 </t>
    </r>
    <r>
      <rPr>
        <i val="true"/>
        <sz val="9"/>
        <color rgb="FF595959"/>
        <rFont val="DejaVu Sans"/>
        <family val="2"/>
        <charset val="1"/>
      </rPr>
      <t xml:space="preserve">+ </t>
    </r>
    <r>
      <rPr>
        <i val="true"/>
        <sz val="9"/>
        <color rgb="FF595959"/>
        <rFont val="DejaVu Sans"/>
        <family val="2"/>
      </rPr>
      <t xml:space="preserve">可靠性 ★ </t>
    </r>
    <r>
      <rPr>
        <i val="true"/>
        <sz val="9"/>
        <color rgb="FF595959"/>
        <rFont val="DejaVu Sans"/>
        <family val="2"/>
        <charset val="1"/>
      </rPr>
      <t xml:space="preserve">+ </t>
    </r>
    <r>
      <rPr>
        <i val="true"/>
        <sz val="9"/>
        <color rgb="FF595959"/>
        <rFont val="DejaVu Sans"/>
        <family val="2"/>
      </rPr>
      <t xml:space="preserve">月成本 </t>
    </r>
    <r>
      <rPr>
        <i val="true"/>
        <sz val="9"/>
        <color rgb="FF595959"/>
        <rFont val="DejaVu Sans"/>
        <family val="2"/>
        <charset val="1"/>
      </rPr>
      <t xml:space="preserve">+ </t>
    </r>
    <r>
      <rPr>
        <i val="true"/>
        <sz val="9"/>
        <color rgb="FF595959"/>
        <rFont val="DejaVu Sans"/>
        <family val="2"/>
      </rPr>
      <t xml:space="preserve">高价 </t>
    </r>
    <r>
      <rPr>
        <i val="true"/>
        <sz val="9"/>
        <color rgb="FF595959"/>
        <rFont val="DejaVu Sans"/>
        <family val="2"/>
        <charset val="1"/>
      </rPr>
      <t xml:space="preserve">Justify</t>
    </r>
    <r>
      <rPr>
        <i val="true"/>
        <sz val="9"/>
        <color rgb="FF595959"/>
        <rFont val="DejaVu Sans"/>
        <family val="2"/>
      </rPr>
      <t xml:space="preserve">。可靠性参考：★</t>
    </r>
    <r>
      <rPr>
        <i val="true"/>
        <sz val="9"/>
        <color rgb="FF595959"/>
        <rFont val="DejaVu Sans"/>
        <family val="2"/>
        <charset val="1"/>
      </rPr>
      <t xml:space="preserve">5 </t>
    </r>
    <r>
      <rPr>
        <i val="true"/>
        <sz val="9"/>
        <color rgb="FF595959"/>
        <rFont val="DejaVu Sans"/>
        <family val="2"/>
      </rPr>
      <t xml:space="preserve">官方一手；★</t>
    </r>
    <r>
      <rPr>
        <i val="true"/>
        <sz val="9"/>
        <color rgb="FF595959"/>
        <rFont val="DejaVu Sans"/>
        <family val="2"/>
        <charset val="1"/>
      </rPr>
      <t xml:space="preserve">4 </t>
    </r>
    <r>
      <rPr>
        <i val="true"/>
        <sz val="9"/>
        <color rgb="FF595959"/>
        <rFont val="DejaVu Sans"/>
        <family val="2"/>
      </rPr>
      <t xml:space="preserve">主流 </t>
    </r>
    <r>
      <rPr>
        <i val="true"/>
        <sz val="9"/>
        <color rgb="FF595959"/>
        <rFont val="DejaVu Sans"/>
        <family val="2"/>
        <charset val="1"/>
      </rPr>
      <t xml:space="preserve">SaaS </t>
    </r>
    <r>
      <rPr>
        <i val="true"/>
        <sz val="9"/>
        <color rgb="FF595959"/>
        <rFont val="DejaVu Sans"/>
        <family val="2"/>
      </rPr>
      <t xml:space="preserve">高准确度；★</t>
    </r>
    <r>
      <rPr>
        <i val="true"/>
        <sz val="9"/>
        <color rgb="FF595959"/>
        <rFont val="DejaVu Sans"/>
        <family val="2"/>
        <charset val="1"/>
      </rPr>
      <t xml:space="preserve">3 </t>
    </r>
    <r>
      <rPr>
        <i val="true"/>
        <sz val="9"/>
        <color rgb="FF595959"/>
        <rFont val="DejaVu Sans"/>
        <family val="2"/>
      </rPr>
      <t xml:space="preserve">国产 </t>
    </r>
    <r>
      <rPr>
        <i val="true"/>
        <sz val="9"/>
        <color rgb="FF595959"/>
        <rFont val="DejaVu Sans"/>
        <family val="2"/>
        <charset val="1"/>
      </rPr>
      <t xml:space="preserve">SaaS </t>
    </r>
    <r>
      <rPr>
        <i val="true"/>
        <sz val="9"/>
        <color rgb="FF595959"/>
        <rFont val="DejaVu Sans"/>
        <family val="2"/>
      </rPr>
      <t xml:space="preserve">高性价比；★</t>
    </r>
    <r>
      <rPr>
        <i val="true"/>
        <sz val="9"/>
        <color rgb="FF595959"/>
        <rFont val="DejaVu Sans"/>
        <family val="2"/>
        <charset val="1"/>
      </rPr>
      <t xml:space="preserve">2 </t>
    </r>
    <r>
      <rPr>
        <i val="true"/>
        <sz val="9"/>
        <color rgb="FF595959"/>
        <rFont val="DejaVu Sans"/>
        <family val="2"/>
      </rPr>
      <t xml:space="preserve">估算</t>
    </r>
    <r>
      <rPr>
        <i val="true"/>
        <sz val="9"/>
        <color rgb="FF595959"/>
        <rFont val="DejaVu Sans"/>
        <family val="2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部分缺失；★</t>
    </r>
    <r>
      <rPr>
        <i val="true"/>
        <sz val="9"/>
        <color rgb="FF595959"/>
        <rFont val="DejaVu Sans"/>
        <family val="2"/>
        <charset val="1"/>
      </rPr>
      <t xml:space="preserve">1 </t>
    </r>
    <r>
      <rPr>
        <i val="true"/>
        <sz val="9"/>
        <color rgb="FF595959"/>
        <rFont val="DejaVu Sans"/>
        <family val="2"/>
      </rPr>
      <t xml:space="preserve">不推荐。</t>
    </r>
  </si>
  <si>
    <r>
      <rPr>
        <b val="true"/>
        <sz val="11"/>
        <color rgb="FFFFFFFF"/>
        <rFont val="Arial"/>
        <family val="0"/>
        <charset val="1"/>
      </rPr>
      <t xml:space="preserve">ROI </t>
    </r>
    <r>
      <rPr>
        <b val="true"/>
        <sz val="11"/>
        <color rgb="FFFFFFFF"/>
        <rFont val="DejaVu Sans"/>
        <family val="2"/>
      </rPr>
      <t xml:space="preserve">变量</t>
    </r>
  </si>
  <si>
    <r>
      <rPr>
        <b val="true"/>
        <sz val="11"/>
        <color rgb="FFFFFFFF"/>
        <rFont val="DejaVu Sans"/>
        <family val="2"/>
      </rPr>
      <t xml:space="preserve">公式 </t>
    </r>
    <r>
      <rPr>
        <b val="true"/>
        <sz val="11"/>
        <color rgb="FFFFFFFF"/>
        <rFont val="DejaVu Sans"/>
        <family val="2"/>
        <charset val="1"/>
      </rPr>
      <t xml:space="preserve">sheet </t>
    </r>
    <r>
      <rPr>
        <b val="true"/>
        <sz val="11"/>
        <color rgb="FFFFFFFF"/>
        <rFont val="DejaVu Sans"/>
        <family val="2"/>
      </rPr>
      <t xml:space="preserve">单元格</t>
    </r>
  </si>
  <si>
    <r>
      <rPr>
        <b val="true"/>
        <sz val="11"/>
        <color rgb="FFFFFFFF"/>
        <rFont val="DejaVu Sans"/>
        <family val="2"/>
      </rPr>
      <t xml:space="preserve">主推数据源 </t>
    </r>
    <r>
      <rPr>
        <b val="true"/>
        <sz val="11"/>
        <color rgb="FFFFFFFF"/>
        <rFont val="DejaVu Sans"/>
        <family val="2"/>
        <charset val="1"/>
      </rPr>
      <t xml:space="preserve">(T0)</t>
    </r>
  </si>
  <si>
    <t xml:space="preserve">可靠性</t>
  </si>
  <si>
    <r>
      <rPr>
        <b val="true"/>
        <sz val="11"/>
        <color rgb="FFFFFFFF"/>
        <rFont val="DejaVu Sans"/>
        <family val="2"/>
      </rPr>
      <t xml:space="preserve">国产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便宜替代</t>
    </r>
  </si>
  <si>
    <t xml:space="preserve">月成本对比</t>
  </si>
  <si>
    <r>
      <rPr>
        <b val="true"/>
        <sz val="11"/>
        <color rgb="FFFFFFFF"/>
        <rFont val="DejaVu Sans"/>
        <family val="2"/>
      </rPr>
      <t xml:space="preserve">高价 </t>
    </r>
    <r>
      <rPr>
        <b val="true"/>
        <sz val="11"/>
        <color rgb="FFFFFFFF"/>
        <rFont val="DejaVu Sans"/>
        <family val="2"/>
        <charset val="1"/>
      </rPr>
      <t xml:space="preserve">Justify (</t>
    </r>
    <r>
      <rPr>
        <b val="true"/>
        <sz val="11"/>
        <color rgb="FFFFFFFF"/>
        <rFont val="DejaVu Sans"/>
        <family val="2"/>
      </rPr>
      <t xml:space="preserve">如适用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</si>
  <si>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B6</t>
  </si>
  <si>
    <r>
      <rPr>
        <sz val="10"/>
        <color rgb="FF000000"/>
        <rFont val="Arial"/>
        <family val="0"/>
        <charset val="1"/>
      </rPr>
      <t xml:space="preserve">Shopify Admin GraphQL (</t>
    </r>
    <r>
      <rPr>
        <sz val="10"/>
        <color rgb="FF000000"/>
        <rFont val="DejaVu Sans"/>
        <family val="2"/>
      </rPr>
      <t xml:space="preserve">自家</t>
    </r>
    <r>
      <rPr>
        <sz val="10"/>
        <color rgb="FF000000"/>
        <rFont val="Arial"/>
        <family val="0"/>
        <charset val="1"/>
      </rPr>
      <t xml:space="preserve">) + </t>
    </r>
    <r>
      <rPr>
        <sz val="10"/>
        <color rgb="FF000000"/>
        <rFont val="DejaVu Sans"/>
        <family val="2"/>
      </rPr>
      <t xml:space="preserve">竞品价用 </t>
    </r>
    <r>
      <rPr>
        <sz val="10"/>
        <color rgb="FF000000"/>
        <rFont val="Arial"/>
        <family val="0"/>
        <charset val="1"/>
      </rPr>
      <t xml:space="preserve">Keepa</t>
    </r>
  </si>
  <si>
    <r>
      <rPr>
        <sz val="10"/>
        <color rgb="FF000000"/>
        <rFont val="DejaVu Sans"/>
        <family val="2"/>
      </rPr>
      <t xml:space="preserve">卖家精灵插件免费版（看竞品价）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自家 </t>
    </r>
    <r>
      <rPr>
        <sz val="10"/>
        <color rgb="FF000000"/>
        <rFont val="DejaVu Sans"/>
        <family val="2"/>
        <charset val="1"/>
      </rPr>
      <t xml:space="preserve">Shopify</t>
    </r>
  </si>
  <si>
    <r>
      <rPr>
        <sz val="10"/>
        <color rgb="FF000000"/>
        <rFont val="Arial"/>
        <family val="0"/>
        <charset val="1"/>
      </rPr>
      <t xml:space="preserve">Shopify </t>
    </r>
    <r>
      <rPr>
        <sz val="10"/>
        <color rgb="FF000000"/>
        <rFont val="DejaVu Sans"/>
        <family val="2"/>
      </rPr>
      <t xml:space="preserve">含套餐免费；</t>
    </r>
    <r>
      <rPr>
        <sz val="10"/>
        <color rgb="FF000000"/>
        <rFont val="Arial"/>
        <family val="0"/>
        <charset val="1"/>
      </rPr>
      <t xml:space="preserve">Keepa Web €19/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($21)</t>
    </r>
  </si>
  <si>
    <t xml:space="preserve">折扣率</t>
  </si>
  <si>
    <t xml:space="preserve">B7</t>
  </si>
  <si>
    <r>
      <rPr>
        <sz val="10"/>
        <color rgb="FF000000"/>
        <rFont val="Arial"/>
        <family val="0"/>
        <charset val="1"/>
      </rPr>
      <t xml:space="preserve">Shopify Discount Codes API (</t>
    </r>
    <r>
      <rPr>
        <sz val="10"/>
        <color rgb="FF000000"/>
        <rFont val="DejaVu Sans"/>
        <family val="2"/>
      </rPr>
      <t xml:space="preserve">自家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</si>
  <si>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Shopify </t>
    </r>
    <r>
      <rPr>
        <sz val="10"/>
        <color rgb="FF000000"/>
        <rFont val="DejaVu Sans"/>
        <family val="2"/>
      </rPr>
      <t xml:space="preserve">自家（国产无需替代）</t>
    </r>
  </si>
  <si>
    <t xml:space="preserve">B8</t>
  </si>
  <si>
    <t xml:space="preserve">Avalara AvaTax (US sales tax + EU VAT)</t>
  </si>
  <si>
    <r>
      <rPr>
        <sz val="10"/>
        <color rgb="FF000000"/>
        <rFont val="Arial"/>
        <family val="0"/>
        <charset val="1"/>
      </rPr>
      <t xml:space="preserve">TaxJar Pro ($99 </t>
    </r>
    <r>
      <rPr>
        <sz val="10"/>
        <color rgb="FF000000"/>
        <rFont val="DejaVu Sans"/>
        <family val="2"/>
      </rPr>
      <t xml:space="preserve">仅美国</t>
    </r>
    <r>
      <rPr>
        <sz val="10"/>
        <color rgb="FF000000"/>
        <rFont val="Arial"/>
        <family val="0"/>
        <charset val="1"/>
      </rPr>
      <t xml:space="preserve">) + WTO/TARIC </t>
    </r>
    <r>
      <rPr>
        <sz val="10"/>
        <color rgb="FF000000"/>
        <rFont val="DejaVu Sans"/>
        <family val="2"/>
      </rPr>
      <t xml:space="preserve">免费查表（其他国家）</t>
    </r>
  </si>
  <si>
    <r>
      <rPr>
        <sz val="10"/>
        <color rgb="FF000000"/>
        <rFont val="Arial"/>
        <family val="0"/>
        <charset val="1"/>
      </rPr>
      <t xml:space="preserve">Avalara $500-2k/</t>
    </r>
    <r>
      <rPr>
        <sz val="10"/>
        <color rgb="FF000000"/>
        <rFont val="DejaVu Sans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TaxJar $99</t>
    </r>
    <r>
      <rPr>
        <sz val="10"/>
        <color rgb="FF000000"/>
        <rFont val="DejaVu Sans"/>
        <family val="2"/>
      </rPr>
      <t xml:space="preserve">；查表免费</t>
    </r>
  </si>
  <si>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DejaVu Sans"/>
        <family val="2"/>
        <charset val="1"/>
      </rPr>
      <t xml:space="preserve">11000+ </t>
    </r>
    <r>
      <rPr>
        <sz val="10"/>
        <color rgb="FF000000"/>
        <rFont val="DejaVu Sans"/>
        <family val="2"/>
      </rPr>
      <t xml:space="preserve">税务管辖区每月变；</t>
    </r>
    <r>
      <rPr>
        <sz val="10"/>
        <color rgb="FF000000"/>
        <rFont val="DejaVu Sans"/>
        <family val="2"/>
        <charset val="1"/>
      </rPr>
      <t xml:space="preserve">Avalara </t>
    </r>
    <r>
      <rPr>
        <sz val="10"/>
        <color rgb="FF000000"/>
        <rFont val="DejaVu Sans"/>
        <family val="2"/>
      </rPr>
      <t xml:space="preserve">唯一企业级合规</t>
    </r>
  </si>
  <si>
    <r>
      <rPr>
        <sz val="10"/>
        <color rgb="FF000000"/>
        <rFont val="DejaVu Sans"/>
        <family val="2"/>
      </rPr>
      <t xml:space="preserve">实时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年度</t>
    </r>
  </si>
  <si>
    <r>
      <rPr>
        <sz val="10"/>
        <color rgb="FF000000"/>
        <rFont val="DejaVu Sans"/>
        <family val="2"/>
      </rPr>
      <t xml:space="preserve">平台抽成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支付</t>
    </r>
  </si>
  <si>
    <t xml:space="preserve">B9</t>
  </si>
  <si>
    <r>
      <rPr>
        <sz val="10"/>
        <color rgb="FF000000"/>
        <rFont val="Arial"/>
        <family val="0"/>
        <charset val="1"/>
      </rPr>
      <t xml:space="preserve">Amazon Seller Central / TTS Partner / Shopify Payments </t>
    </r>
    <r>
      <rPr>
        <sz val="10"/>
        <color rgb="FF000000"/>
        <rFont val="DejaVu Sans"/>
        <family val="2"/>
      </rPr>
      <t xml:space="preserve">费率表（官方）</t>
    </r>
  </si>
  <si>
    <t xml:space="preserve">官方费率（无国产替代必要）</t>
  </si>
  <si>
    <r>
      <rPr>
        <sz val="10"/>
        <color rgb="FF000000"/>
        <rFont val="DejaVu Sans"/>
        <family val="2"/>
      </rPr>
      <t xml:space="preserve">正向物流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单</t>
    </r>
  </si>
  <si>
    <t xml:space="preserve">B10</t>
  </si>
  <si>
    <r>
      <rPr>
        <sz val="10"/>
        <color rgb="FF000000"/>
        <rFont val="Arial"/>
        <family val="0"/>
        <charset val="1"/>
      </rPr>
      <t xml:space="preserve">Easyship API ($29-$99/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</si>
  <si>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燕文</t>
    </r>
    <r>
      <rPr>
        <sz val="10"/>
        <color rgb="FF000000"/>
        <rFont val="DejaVu Sans"/>
        <family val="2"/>
        <charset val="1"/>
      </rPr>
      <t xml:space="preserve">/4PX/</t>
    </r>
    <r>
      <rPr>
        <sz val="10"/>
        <color rgb="FF000000"/>
        <rFont val="DejaVu Sans"/>
        <family val="2"/>
      </rPr>
      <t xml:space="preserve">云途直签（签约后无 </t>
    </r>
    <r>
      <rPr>
        <sz val="10"/>
        <color rgb="FF000000"/>
        <rFont val="DejaVu Sans"/>
        <family val="2"/>
        <charset val="1"/>
      </rPr>
      <t xml:space="preserve">SaaS </t>
    </r>
    <r>
      <rPr>
        <sz val="10"/>
        <color rgb="FF000000"/>
        <rFont val="DejaVu Sans"/>
        <family val="2"/>
      </rPr>
      <t xml:space="preserve">费）</t>
    </r>
    <r>
      <rPr>
        <sz val="10"/>
        <color rgb="FF000000"/>
        <rFont val="DejaVu Sans"/>
        <family val="2"/>
        <charset val="1"/>
      </rPr>
      <t xml:space="preserve">+ Shippo $10/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</si>
  <si>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Easyship $29-99</t>
    </r>
    <r>
      <rPr>
        <sz val="10"/>
        <color rgb="FF000000"/>
        <rFont val="DejaVu Sans"/>
        <family val="2"/>
      </rPr>
      <t xml:space="preserve">；直签 </t>
    </r>
    <r>
      <rPr>
        <sz val="10"/>
        <color rgb="FF000000"/>
        <rFont val="Arial"/>
        <family val="0"/>
        <charset val="1"/>
      </rPr>
      <t xml:space="preserve">$0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Shippo $10</t>
    </r>
  </si>
  <si>
    <r>
      <rPr>
        <sz val="10"/>
        <color rgb="FF000000"/>
        <rFont val="Arial"/>
        <family val="0"/>
        <charset val="1"/>
      </rPr>
      <t xml:space="preserve">Easyship </t>
    </r>
    <r>
      <rPr>
        <sz val="10"/>
        <color rgb="FF000000"/>
        <rFont val="DejaVu Sans"/>
        <family val="2"/>
      </rPr>
      <t xml:space="preserve">覆盖 </t>
    </r>
    <r>
      <rPr>
        <sz val="10"/>
        <color rgb="FF000000"/>
        <rFont val="Arial"/>
        <family val="0"/>
        <charset val="1"/>
      </rPr>
      <t xml:space="preserve">220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550 </t>
    </r>
    <r>
      <rPr>
        <sz val="10"/>
        <color rgb="FF000000"/>
        <rFont val="DejaVu Sans"/>
        <family val="2"/>
      </rPr>
      <t xml:space="preserve">承运商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中国头部 </t>
    </r>
    <r>
      <rPr>
        <sz val="10"/>
        <color rgb="FF000000"/>
        <rFont val="Arial"/>
        <family val="0"/>
        <charset val="1"/>
      </rPr>
      <t xml:space="preserve">+ DDP</t>
    </r>
    <r>
      <rPr>
        <sz val="10"/>
        <color rgb="FF000000"/>
        <rFont val="DejaVu Sans"/>
        <family val="2"/>
      </rPr>
      <t xml:space="preserve">；直签便宜但要量级</t>
    </r>
  </si>
  <si>
    <t xml:space="preserve">B11</t>
  </si>
  <si>
    <r>
      <rPr>
        <sz val="10"/>
        <color rgb="FF000000"/>
        <rFont val="Arial"/>
        <family val="0"/>
        <charset val="1"/>
      </rPr>
      <t xml:space="preserve">Shopify Returns API (</t>
    </r>
    <r>
      <rPr>
        <sz val="10"/>
        <color rgb="FF000000"/>
        <rFont val="DejaVu Sans"/>
        <family val="2"/>
      </rPr>
      <t xml:space="preserve">自家</t>
    </r>
    <r>
      <rPr>
        <sz val="10"/>
        <color rgb="FF000000"/>
        <rFont val="Arial"/>
        <family val="0"/>
        <charset val="1"/>
      </rPr>
      <t xml:space="preserve">) + NRF / Optoro </t>
    </r>
    <r>
      <rPr>
        <sz val="10"/>
        <color rgb="FF000000"/>
        <rFont val="DejaVu Sans"/>
        <family val="2"/>
      </rPr>
      <t xml:space="preserve">报告（行业 </t>
    </r>
    <r>
      <rPr>
        <sz val="10"/>
        <color rgb="FF000000"/>
        <rFont val="Arial"/>
        <family val="0"/>
        <charset val="1"/>
      </rPr>
      <t xml:space="preserve">benchmark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</si>
  <si>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自家退货数据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公开报告（无国产替代必要）</t>
    </r>
  </si>
  <si>
    <t xml:space="preserve">B12</t>
  </si>
  <si>
    <r>
      <rPr>
        <sz val="10"/>
        <color rgb="FF000000"/>
        <rFont val="Arial"/>
        <family val="0"/>
        <charset val="1"/>
      </rPr>
      <t xml:space="preserve">Optoro 27-30% </t>
    </r>
    <r>
      <rPr>
        <sz val="10"/>
        <color rgb="FF000000"/>
        <rFont val="DejaVu Sans"/>
        <family val="2"/>
      </rPr>
      <t xml:space="preserve">经验值（行业标准）</t>
    </r>
  </si>
  <si>
    <t xml:space="preserve">公开报告（无国产替代必要）</t>
  </si>
  <si>
    <r>
      <rPr>
        <sz val="10"/>
        <color rgb="FF000000"/>
        <rFont val="DejaVu Sans"/>
        <family val="2"/>
      </rPr>
      <t xml:space="preserve">货值 </t>
    </r>
    <r>
      <rPr>
        <sz val="10"/>
        <color rgb="FF000000"/>
        <rFont val="DejaVu Sans"/>
        <family val="2"/>
        <charset val="1"/>
      </rPr>
      <t xml:space="preserve">COGS / </t>
    </r>
    <r>
      <rPr>
        <sz val="10"/>
        <color rgb="FF000000"/>
        <rFont val="DejaVu Sans"/>
        <family val="2"/>
      </rPr>
      <t xml:space="preserve">单</t>
    </r>
  </si>
  <si>
    <t xml:space="preserve">B13</t>
  </si>
  <si>
    <r>
      <rPr>
        <sz val="10"/>
        <color rgb="FF000000"/>
        <rFont val="Arial"/>
        <family val="0"/>
        <charset val="1"/>
      </rPr>
      <t xml:space="preserve">OneBound 1688 API (</t>
    </r>
    <r>
      <rPr>
        <sz val="10"/>
        <color rgb="FF000000"/>
        <rFont val="DejaVu Sans"/>
        <family val="2"/>
      </rPr>
      <t xml:space="preserve">按调用量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</si>
  <si>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OneBound </t>
    </r>
    <r>
      <rPr>
        <sz val="10"/>
        <color rgb="FF000000"/>
        <rFont val="DejaVu Sans"/>
        <family val="2"/>
      </rPr>
      <t xml:space="preserve">本身就是国产 </t>
    </r>
    <r>
      <rPr>
        <sz val="10"/>
        <color rgb="FF000000"/>
        <rFont val="Arial"/>
        <family val="0"/>
        <charset val="1"/>
      </rPr>
      <t xml:space="preserve">¥99-500/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($14-70)</t>
    </r>
    <r>
      <rPr>
        <sz val="10"/>
        <color rgb="FF000000"/>
        <rFont val="DejaVu Sans"/>
        <family val="2"/>
      </rPr>
      <t xml:space="preserve">；或自家 </t>
    </r>
    <r>
      <rPr>
        <sz val="10"/>
        <color rgb="FF000000"/>
        <rFont val="Arial"/>
        <family val="0"/>
        <charset val="1"/>
      </rPr>
      <t xml:space="preserve">ERP </t>
    </r>
    <r>
      <rPr>
        <sz val="10"/>
        <color rgb="FF000000"/>
        <rFont val="DejaVu Sans"/>
        <family val="2"/>
      </rPr>
      <t xml:space="preserve">采购成本</t>
    </r>
  </si>
  <si>
    <r>
      <rPr>
        <sz val="10"/>
        <color rgb="FF000000"/>
        <rFont val="Arial"/>
        <family val="0"/>
        <charset val="1"/>
      </rPr>
      <t xml:space="preserve">OneBound ¥99-500/</t>
    </r>
    <r>
      <rPr>
        <sz val="10"/>
        <color rgb="FF000000"/>
        <rFont val="DejaVu Sans"/>
        <family val="2"/>
      </rPr>
      <t xml:space="preserve">月；自家 </t>
    </r>
    <r>
      <rPr>
        <sz val="10"/>
        <color rgb="FF000000"/>
        <rFont val="Arial"/>
        <family val="0"/>
        <charset val="1"/>
      </rPr>
      <t xml:space="preserve">ERP $0</t>
    </r>
  </si>
  <si>
    <r>
      <rPr>
        <sz val="10"/>
        <color rgb="FF000000"/>
        <rFont val="DejaVu Sans"/>
        <family val="2"/>
      </rPr>
      <t xml:space="preserve">入仓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头程</t>
    </r>
  </si>
  <si>
    <t xml:space="preserve">B14</t>
  </si>
  <si>
    <r>
      <rPr>
        <sz val="10"/>
        <color rgb="FF000000"/>
        <rFont val="Arial"/>
        <family val="0"/>
        <charset val="1"/>
      </rPr>
      <t xml:space="preserve">Maersk SpotOn API</t>
    </r>
    <r>
      <rPr>
        <sz val="10"/>
        <color rgb="FF000000"/>
        <rFont val="DejaVu Sans"/>
        <family val="2"/>
      </rPr>
      <t xml:space="preserve">（免费）</t>
    </r>
    <r>
      <rPr>
        <sz val="10"/>
        <color rgb="FF000000"/>
        <rFont val="Arial"/>
        <family val="0"/>
        <charset val="1"/>
      </rPr>
      <t xml:space="preserve">+ Freightos shippingCalculator</t>
    </r>
    <r>
      <rPr>
        <sz val="10"/>
        <color rgb="FF000000"/>
        <rFont val="DejaVu Sans"/>
        <family val="2"/>
      </rPr>
      <t xml:space="preserve">（免费）</t>
    </r>
  </si>
  <si>
    <r>
      <rPr>
        <sz val="10"/>
        <color rgb="FF000000"/>
        <rFont val="DejaVu Sans"/>
        <family val="2"/>
      </rPr>
      <t xml:space="preserve">中国货代直签（无 </t>
    </r>
    <r>
      <rPr>
        <sz val="10"/>
        <color rgb="FF000000"/>
        <rFont val="DejaVu Sans"/>
        <family val="2"/>
        <charset val="1"/>
      </rPr>
      <t xml:space="preserve">SaaS </t>
    </r>
    <r>
      <rPr>
        <sz val="10"/>
        <color rgb="FF000000"/>
        <rFont val="DejaVu Sans"/>
        <family val="2"/>
      </rPr>
      <t xml:space="preserve">费）</t>
    </r>
  </si>
  <si>
    <r>
      <rPr>
        <sz val="10"/>
        <color rgb="FF000000"/>
        <rFont val="Arial"/>
        <family val="0"/>
        <charset val="1"/>
      </rPr>
      <t xml:space="preserve">Maersk/Freightos </t>
    </r>
    <r>
      <rPr>
        <sz val="10"/>
        <color rgb="FF000000"/>
        <rFont val="DejaVu Sans"/>
        <family val="2"/>
      </rPr>
      <t xml:space="preserve">免费；货代直签 </t>
    </r>
    <r>
      <rPr>
        <sz val="10"/>
        <color rgb="FF000000"/>
        <rFont val="Arial"/>
        <family val="0"/>
        <charset val="1"/>
      </rPr>
      <t xml:space="preserve">$0</t>
    </r>
  </si>
  <si>
    <r>
      <rPr>
        <sz val="10"/>
        <color rgb="FF000000"/>
        <rFont val="Arial"/>
        <family val="0"/>
        <charset val="1"/>
      </rPr>
      <t xml:space="preserve">Maersk </t>
    </r>
    <r>
      <rPr>
        <sz val="10"/>
        <color rgb="FF000000"/>
        <rFont val="DejaVu Sans"/>
        <family val="2"/>
      </rPr>
      <t xml:space="preserve">是船公司一手免费源，跨境品牌没有不用的理由</t>
    </r>
  </si>
  <si>
    <t xml:space="preserve">CPM (Meta)</t>
  </si>
  <si>
    <t xml:space="preserve">B15-Meta</t>
  </si>
  <si>
    <r>
      <rPr>
        <sz val="10"/>
        <color rgb="FF000000"/>
        <rFont val="Arial"/>
        <family val="0"/>
        <charset val="1"/>
      </rPr>
      <t xml:space="preserve">Meta Marketing API (</t>
    </r>
    <r>
      <rPr>
        <sz val="10"/>
        <color rgb="FF000000"/>
        <rFont val="DejaVu Sans"/>
        <family val="2"/>
      </rPr>
      <t xml:space="preserve">自家投放回流</t>
    </r>
    <r>
      <rPr>
        <sz val="10"/>
        <color rgb="FF000000"/>
        <rFont val="Arial"/>
        <family val="0"/>
        <charset val="1"/>
      </rPr>
      <t xml:space="preserve">)</t>
    </r>
  </si>
  <si>
    <t xml:space="preserve">自家投放无需国产替代</t>
  </si>
  <si>
    <t xml:space="preserve">CPM (Amazon)</t>
  </si>
  <si>
    <t xml:space="preserve">B15-Amazon</t>
  </si>
  <si>
    <t xml:space="preserve">CPM (TikTok)</t>
  </si>
  <si>
    <t xml:space="preserve">B15-TikTok</t>
  </si>
  <si>
    <r>
      <rPr>
        <sz val="10"/>
        <color rgb="FF000000"/>
        <rFont val="Arial"/>
        <family val="0"/>
        <charset val="1"/>
      </rPr>
      <t xml:space="preserve">TikTok Marketing API</t>
    </r>
    <r>
      <rPr>
        <sz val="10"/>
        <color rgb="FF000000"/>
        <rFont val="DejaVu Sans"/>
        <family val="2"/>
      </rPr>
      <t xml:space="preserve">（自家投放）</t>
    </r>
    <r>
      <rPr>
        <sz val="10"/>
        <color rgb="FF000000"/>
        <rFont val="Arial"/>
        <family val="0"/>
        <charset val="1"/>
      </rPr>
      <t xml:space="preserve">+ TTS Open Platform</t>
    </r>
  </si>
  <si>
    <r>
      <rPr>
        <sz val="10"/>
        <color rgb="FF000000"/>
        <rFont val="Arial"/>
        <family val="0"/>
        <charset val="1"/>
      </rPr>
      <t xml:space="preserve">CTR / CVR </t>
    </r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Arial"/>
        <family val="0"/>
        <charset val="1"/>
      </rPr>
      <t xml:space="preserve">benchmark</t>
    </r>
  </si>
  <si>
    <t xml:space="preserve">B16-B17</t>
  </si>
  <si>
    <r>
      <rPr>
        <sz val="10"/>
        <color rgb="FF000000"/>
        <rFont val="Arial"/>
        <family val="0"/>
        <charset val="1"/>
      </rPr>
      <t xml:space="preserve">Meta/Amazon/TikTok API </t>
    </r>
    <r>
      <rPr>
        <sz val="10"/>
        <color rgb="FF000000"/>
        <rFont val="DejaVu Sans"/>
        <family val="2"/>
      </rPr>
      <t xml:space="preserve">自家回流（最准）</t>
    </r>
  </si>
  <si>
    <r>
      <rPr>
        <sz val="10"/>
        <color rgb="FF000000"/>
        <rFont val="DejaVu Sans"/>
        <family val="2"/>
      </rPr>
      <t xml:space="preserve">卖家精灵（</t>
    </r>
    <r>
      <rPr>
        <sz val="10"/>
        <color rgb="FF000000"/>
        <rFont val="DejaVu Sans"/>
        <family val="2"/>
        <charset val="1"/>
      </rPr>
      <t xml:space="preserve">Amazon </t>
    </r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DejaVu Sans"/>
        <family val="2"/>
        <charset val="1"/>
      </rPr>
      <t xml:space="preserve">CR</t>
    </r>
    <r>
      <rPr>
        <sz val="10"/>
        <color rgb="FF000000"/>
        <rFont val="DejaVu Sans"/>
        <family val="2"/>
      </rPr>
      <t xml:space="preserve">）</t>
    </r>
    <r>
      <rPr>
        <sz val="10"/>
        <color rgb="FF000000"/>
        <rFont val="DejaVu Sans"/>
        <family val="2"/>
        <charset val="1"/>
      </rPr>
      <t xml:space="preserve">+ EchoTik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DejaVu Sans"/>
        <family val="2"/>
        <charset val="1"/>
      </rPr>
      <t xml:space="preserve">TikTok </t>
    </r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DejaVu Sans"/>
        <family val="2"/>
        <charset val="1"/>
      </rPr>
      <t xml:space="preserve">CTR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</si>
  <si>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自家 </t>
    </r>
    <r>
      <rPr>
        <sz val="10"/>
        <color rgb="FF000000"/>
        <rFont val="DejaVu Sans"/>
        <family val="2"/>
        <charset val="1"/>
      </rPr>
      <t xml:space="preserve">API </t>
    </r>
    <r>
      <rPr>
        <sz val="10"/>
        <color rgb="FF000000"/>
        <rFont val="DejaVu Sans"/>
        <family val="2"/>
      </rPr>
      <t xml:space="preserve">免费；卖家精灵 </t>
    </r>
    <r>
      <rPr>
        <sz val="10"/>
        <color rgb="FF000000"/>
        <rFont val="DejaVu Sans"/>
        <family val="2"/>
        <charset val="1"/>
      </rPr>
      <t xml:space="preserve">$46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DejaVu Sans"/>
        <family val="2"/>
        <charset val="1"/>
      </rPr>
      <t xml:space="preserve">EchoTik </t>
    </r>
    <r>
      <rPr>
        <sz val="10"/>
        <color rgb="FF000000"/>
        <rFont val="DejaVu Sans"/>
        <family val="2"/>
      </rPr>
      <t xml:space="preserve">免费</t>
    </r>
    <r>
      <rPr>
        <sz val="10"/>
        <color rgb="FF000000"/>
        <rFont val="DejaVu Sans"/>
        <family val="2"/>
        <charset val="1"/>
      </rPr>
      <t xml:space="preserve">-$60</t>
    </r>
  </si>
  <si>
    <r>
      <rPr>
        <sz val="10"/>
        <color rgb="FF000000"/>
        <rFont val="Arial"/>
        <family val="0"/>
        <charset val="1"/>
      </rPr>
      <t xml:space="preserve">CVR (</t>
    </r>
    <r>
      <rPr>
        <sz val="10"/>
        <color rgb="FF000000"/>
        <rFont val="DejaVu Sans"/>
        <family val="2"/>
      </rPr>
      <t xml:space="preserve">独立站</t>
    </r>
    <r>
      <rPr>
        <sz val="10"/>
        <color rgb="FF000000"/>
        <rFont val="Arial"/>
        <family val="0"/>
        <charset val="1"/>
      </rPr>
      <t xml:space="preserve">)</t>
    </r>
  </si>
  <si>
    <t xml:space="preserve">B17</t>
  </si>
  <si>
    <r>
      <rPr>
        <sz val="10"/>
        <color rgb="FF000000"/>
        <rFont val="Arial"/>
        <family val="0"/>
        <charset val="1"/>
      </rPr>
      <t xml:space="preserve">Shopify Admin GraphQL + GA4 Data API</t>
    </r>
    <r>
      <rPr>
        <sz val="10"/>
        <color rgb="FF000000"/>
        <rFont val="DejaVu Sans"/>
        <family val="2"/>
      </rPr>
      <t xml:space="preserve">（行业 </t>
    </r>
    <r>
      <rPr>
        <sz val="10"/>
        <color rgb="FF000000"/>
        <rFont val="Arial"/>
        <family val="0"/>
        <charset val="1"/>
      </rPr>
      <t xml:space="preserve">baseline</t>
    </r>
    <r>
      <rPr>
        <sz val="10"/>
        <color rgb="FF000000"/>
        <rFont val="DejaVu Sans"/>
        <family val="2"/>
      </rPr>
      <t xml:space="preserve">）</t>
    </r>
  </si>
  <si>
    <t xml:space="preserve">自家数据无需国产替代</t>
  </si>
  <si>
    <t xml:space="preserve">B18</t>
  </si>
  <si>
    <r>
      <rPr>
        <sz val="10"/>
        <color rgb="FF000000"/>
        <rFont val="Arial"/>
        <family val="0"/>
        <charset val="1"/>
      </rPr>
      <t xml:space="preserve">TTS Affiliate Program (</t>
    </r>
    <r>
      <rPr>
        <sz val="10"/>
        <color rgb="FF000000"/>
        <rFont val="DejaVu Sans"/>
        <family val="2"/>
      </rPr>
      <t xml:space="preserve">自家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</si>
  <si>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EchoTik </t>
    </r>
    <r>
      <rPr>
        <sz val="10"/>
        <color rgb="FF000000"/>
        <rFont val="DejaVu Sans"/>
        <family val="2"/>
      </rPr>
      <t xml:space="preserve">达人导出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自家 </t>
    </r>
    <r>
      <rPr>
        <sz val="10"/>
        <color rgb="FF000000"/>
        <rFont val="Arial"/>
        <family val="0"/>
        <charset val="1"/>
      </rPr>
      <t xml:space="preserve">TTS</t>
    </r>
  </si>
  <si>
    <r>
      <rPr>
        <sz val="10"/>
        <color rgb="FF000000"/>
        <rFont val="Arial"/>
        <family val="0"/>
        <charset val="1"/>
      </rPr>
      <t xml:space="preserve">TTS Affiliate </t>
    </r>
    <r>
      <rPr>
        <sz val="10"/>
        <color rgb="FF000000"/>
        <rFont val="DejaVu Sans"/>
        <family val="2"/>
      </rPr>
      <t xml:space="preserve">免费；</t>
    </r>
    <r>
      <rPr>
        <sz val="10"/>
        <color rgb="FF000000"/>
        <rFont val="Arial"/>
        <family val="0"/>
        <charset val="1"/>
      </rPr>
      <t xml:space="preserve">EchoTik $60</t>
    </r>
  </si>
  <si>
    <r>
      <rPr>
        <sz val="10"/>
        <color rgb="FF000000"/>
        <rFont val="DejaVu Sans"/>
        <family val="2"/>
      </rPr>
      <t xml:space="preserve">退货物流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单</t>
    </r>
  </si>
  <si>
    <t xml:space="preserve">B19</t>
  </si>
  <si>
    <r>
      <rPr>
        <sz val="10"/>
        <color rgb="FF000000"/>
        <rFont val="Arial"/>
        <family val="0"/>
        <charset val="1"/>
      </rPr>
      <t xml:space="preserve">17TRACK API ($50/</t>
    </r>
    <r>
      <rPr>
        <sz val="10"/>
        <color rgb="FF000000"/>
        <rFont val="DejaVu Sans"/>
        <family val="2"/>
      </rPr>
      <t xml:space="preserve">月起</t>
    </r>
    <r>
      <rPr>
        <sz val="10"/>
        <color rgb="FF000000"/>
        <rFont val="Arial"/>
        <family val="0"/>
        <charset val="1"/>
      </rPr>
      <t xml:space="preserve">) + Easyship </t>
    </r>
    <r>
      <rPr>
        <sz val="10"/>
        <color rgb="FF000000"/>
        <rFont val="DejaVu Sans"/>
        <family val="2"/>
      </rPr>
      <t xml:space="preserve">逆向</t>
    </r>
  </si>
  <si>
    <r>
      <rPr>
        <sz val="10"/>
        <color rgb="FF000000"/>
        <rFont val="Arial"/>
        <family val="0"/>
        <charset val="1"/>
      </rPr>
      <t xml:space="preserve">17TRACK </t>
    </r>
    <r>
      <rPr>
        <sz val="10"/>
        <color rgb="FF000000"/>
        <rFont val="DejaVu Sans"/>
        <family val="2"/>
      </rPr>
      <t xml:space="preserve">本身是国内服务；或直接用承运商发布的逆向费率表</t>
    </r>
  </si>
  <si>
    <r>
      <rPr>
        <sz val="10"/>
        <color rgb="FF000000"/>
        <rFont val="Arial"/>
        <family val="0"/>
        <charset val="1"/>
      </rPr>
      <t xml:space="preserve">17TRACK $50/</t>
    </r>
    <r>
      <rPr>
        <sz val="10"/>
        <color rgb="FF000000"/>
        <rFont val="DejaVu Sans"/>
        <family val="2"/>
      </rPr>
      <t xml:space="preserve">月；承运商表 </t>
    </r>
    <r>
      <rPr>
        <sz val="10"/>
        <color rgb="FF000000"/>
        <rFont val="Arial"/>
        <family val="0"/>
        <charset val="1"/>
      </rPr>
      <t xml:space="preserve">$0</t>
    </r>
  </si>
  <si>
    <r>
      <rPr>
        <b val="true"/>
        <sz val="11"/>
        <color rgb="FF000000"/>
        <rFont val="DejaVu Sans"/>
        <family val="2"/>
      </rPr>
      <t xml:space="preserve">▶ 选品决策必需但不在 </t>
    </r>
    <r>
      <rPr>
        <b val="true"/>
        <sz val="11"/>
        <color rgb="FF000000"/>
        <rFont val="DejaVu Sans"/>
        <family val="2"/>
        <charset val="1"/>
      </rPr>
      <t xml:space="preserve">ROI </t>
    </r>
    <r>
      <rPr>
        <b val="true"/>
        <sz val="11"/>
        <color rgb="FF000000"/>
        <rFont val="DejaVu Sans"/>
        <family val="2"/>
      </rPr>
      <t xml:space="preserve">公式内的数据维度</t>
    </r>
  </si>
  <si>
    <r>
      <rPr>
        <sz val="10"/>
        <color rgb="FF000000"/>
        <rFont val="DejaVu Sans"/>
        <family val="2"/>
      </rPr>
      <t xml:space="preserve">竞品搜索量 </t>
    </r>
    <r>
      <rPr>
        <sz val="10"/>
        <color rgb="FF000000"/>
        <rFont val="DejaVu Sans"/>
        <family val="2"/>
        <charset val="1"/>
      </rPr>
      <t xml:space="preserve">/ SV</t>
    </r>
  </si>
  <si>
    <t xml:space="preserve">Gate 1</t>
  </si>
  <si>
    <t xml:space="preserve">Helium 10 Cerebro ($359 Diamond)</t>
  </si>
  <si>
    <r>
      <rPr>
        <sz val="10"/>
        <color rgb="FF000000"/>
        <rFont val="DejaVu Sans"/>
        <family val="2"/>
      </rPr>
      <t xml:space="preserve">卖家精灵 标准版 </t>
    </r>
    <r>
      <rPr>
        <sz val="10"/>
        <color rgb="FF000000"/>
        <rFont val="DejaVu Sans"/>
        <family val="2"/>
        <charset val="1"/>
      </rPr>
      <t xml:space="preserve">(¥332 ≈ $46/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DejaVu Sans"/>
        <family val="2"/>
        <charset val="1"/>
      </rPr>
      <t xml:space="preserve">) </t>
    </r>
    <r>
      <rPr>
        <sz val="10"/>
        <color rgb="FF000000"/>
        <rFont val="DejaVu Sans"/>
        <family val="2"/>
      </rPr>
      <t xml:space="preserve">优惠码 </t>
    </r>
    <r>
      <rPr>
        <sz val="10"/>
        <color rgb="FF000000"/>
        <rFont val="DejaVu Sans"/>
        <family val="2"/>
        <charset val="1"/>
      </rPr>
      <t xml:space="preserve">SPY78</t>
    </r>
  </si>
  <si>
    <r>
      <rPr>
        <sz val="10"/>
        <color rgb="FF000000"/>
        <rFont val="Arial"/>
        <family val="0"/>
        <charset val="1"/>
      </rPr>
      <t xml:space="preserve">H10 $359 vs </t>
    </r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Arial"/>
        <family val="0"/>
        <charset val="1"/>
      </rPr>
      <t xml:space="preserve">$46 = </t>
    </r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Arial"/>
        <family val="0"/>
        <charset val="1"/>
      </rPr>
      <t xml:space="preserve">$313/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(88%)</t>
    </r>
  </si>
  <si>
    <r>
      <rPr>
        <sz val="10"/>
        <color rgb="FF000000"/>
        <rFont val="DejaVu Sans"/>
        <family val="2"/>
      </rPr>
      <t xml:space="preserve">国产卖家精灵数据完整度 </t>
    </r>
    <r>
      <rPr>
        <sz val="10"/>
        <color rgb="FF000000"/>
        <rFont val="DejaVu Sans"/>
        <family val="2"/>
        <charset val="1"/>
      </rPr>
      <t xml:space="preserve">85-90%</t>
    </r>
    <r>
      <rPr>
        <sz val="10"/>
        <color rgb="FF000000"/>
        <rFont val="DejaVu Sans"/>
        <family val="2"/>
      </rPr>
      <t xml:space="preserve">，对早期足够</t>
    </r>
  </si>
  <si>
    <t xml:space="preserve">竞品销量估算</t>
  </si>
  <si>
    <t xml:space="preserve">Gate 1+2</t>
  </si>
  <si>
    <t xml:space="preserve">Helium 10 X-Ray / Jungle Scout</t>
  </si>
  <si>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鸥鹭 </t>
    </r>
    <r>
      <rPr>
        <sz val="10"/>
        <color rgb="FF000000"/>
        <rFont val="DejaVu Sans"/>
        <family val="2"/>
        <charset val="1"/>
      </rPr>
      <t xml:space="preserve">/ SmartScout (US only)</t>
    </r>
  </si>
  <si>
    <r>
      <rPr>
        <sz val="10"/>
        <color rgb="FF000000"/>
        <rFont val="Arial"/>
        <family val="0"/>
        <charset val="1"/>
      </rPr>
      <t xml:space="preserve">H10 $359</t>
    </r>
    <r>
      <rPr>
        <sz val="10"/>
        <color rgb="FF000000"/>
        <rFont val="DejaVu Sans"/>
        <family val="2"/>
      </rPr>
      <t xml:space="preserve">；卖家精灵 </t>
    </r>
    <r>
      <rPr>
        <sz val="10"/>
        <color rgb="FF000000"/>
        <rFont val="Arial"/>
        <family val="0"/>
        <charset val="1"/>
      </rPr>
      <t xml:space="preserve">$46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SmartScout $75</t>
    </r>
  </si>
  <si>
    <t xml:space="preserve">竞品评论挖掘</t>
  </si>
  <si>
    <t xml:space="preserve">Gate 3</t>
  </si>
  <si>
    <t xml:space="preserve">Helium 10 Review Insights ($359 Diamond)</t>
  </si>
  <si>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DejaVu Sans"/>
        <family val="2"/>
        <charset val="1"/>
      </rPr>
      <t xml:space="preserve">AI </t>
    </r>
    <r>
      <rPr>
        <sz val="10"/>
        <color rgb="FF000000"/>
        <rFont val="DejaVu Sans"/>
        <family val="2"/>
      </rPr>
      <t xml:space="preserve">评论分析（中文，含在 </t>
    </r>
    <r>
      <rPr>
        <sz val="10"/>
        <color rgb="FF000000"/>
        <rFont val="DejaVu Sans"/>
        <family val="2"/>
        <charset val="1"/>
      </rPr>
      <t xml:space="preserve">$46 </t>
    </r>
    <r>
      <rPr>
        <sz val="10"/>
        <color rgb="FF000000"/>
        <rFont val="DejaVu Sans"/>
        <family val="2"/>
      </rPr>
      <t xml:space="preserve">标准版）</t>
    </r>
  </si>
  <si>
    <r>
      <rPr>
        <sz val="10"/>
        <color rgb="FF000000"/>
        <rFont val="Arial"/>
        <family val="0"/>
        <charset val="1"/>
      </rPr>
      <t xml:space="preserve">H10 $359 vs </t>
    </r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Arial"/>
        <family val="0"/>
        <charset val="1"/>
      </rPr>
      <t xml:space="preserve">$46 = </t>
    </r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Arial"/>
        <family val="0"/>
        <charset val="1"/>
      </rPr>
      <t xml:space="preserve">88%</t>
    </r>
  </si>
  <si>
    <r>
      <rPr>
        <sz val="10"/>
        <color rgb="FF000000"/>
        <rFont val="DejaVu Sans"/>
        <family val="2"/>
      </rPr>
      <t xml:space="preserve">国产卖家精灵 </t>
    </r>
    <r>
      <rPr>
        <sz val="10"/>
        <color rgb="FF000000"/>
        <rFont val="DejaVu Sans"/>
        <family val="2"/>
        <charset val="1"/>
      </rPr>
      <t xml:space="preserve">AI </t>
    </r>
    <r>
      <rPr>
        <sz val="10"/>
        <color rgb="FF000000"/>
        <rFont val="DejaVu Sans"/>
        <family val="2"/>
      </rPr>
      <t xml:space="preserve">评论分析是中文输出，比 </t>
    </r>
    <r>
      <rPr>
        <sz val="10"/>
        <color rgb="FF000000"/>
        <rFont val="DejaVu Sans"/>
        <family val="2"/>
        <charset val="1"/>
      </rPr>
      <t xml:space="preserve">H10 </t>
    </r>
    <r>
      <rPr>
        <sz val="10"/>
        <color rgb="FF000000"/>
        <rFont val="DejaVu Sans"/>
        <family val="2"/>
      </rPr>
      <t xml:space="preserve">英文更适合中国团队</t>
    </r>
  </si>
  <si>
    <r>
      <rPr>
        <sz val="10"/>
        <color rgb="FF000000"/>
        <rFont val="DejaVu Sans"/>
        <family val="2"/>
      </rPr>
      <t xml:space="preserve">竞品历史价格 </t>
    </r>
    <r>
      <rPr>
        <sz val="10"/>
        <color rgb="FF000000"/>
        <rFont val="DejaVu Sans"/>
        <family val="2"/>
        <charset val="1"/>
      </rPr>
      <t xml:space="preserve">/ BSR</t>
    </r>
  </si>
  <si>
    <t xml:space="preserve">Gate 2</t>
  </si>
  <si>
    <r>
      <rPr>
        <sz val="10"/>
        <color rgb="FF000000"/>
        <rFont val="Arial"/>
        <family val="0"/>
        <charset val="1"/>
      </rPr>
      <t xml:space="preserve">Keepa Web (€19 ≈ $21/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DejaVu Sans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API (€49+ ≈ $54+)</t>
    </r>
  </si>
  <si>
    <r>
      <rPr>
        <sz val="10"/>
        <color rgb="FF000000"/>
        <rFont val="DejaVu Sans"/>
        <family val="2"/>
      </rPr>
      <t xml:space="preserve">鸥鹭 </t>
    </r>
    <r>
      <rPr>
        <sz val="10"/>
        <color rgb="FF000000"/>
        <rFont val="DejaVu Sans"/>
        <family val="2"/>
        <charset val="1"/>
      </rPr>
      <t xml:space="preserve">BSR </t>
    </r>
    <r>
      <rPr>
        <sz val="10"/>
        <color rgb="FF000000"/>
        <rFont val="DejaVu Sans"/>
        <family val="2"/>
      </rPr>
      <t xml:space="preserve">历史 </t>
    </r>
    <r>
      <rPr>
        <sz val="10"/>
        <color rgb="FF000000"/>
        <rFont val="DejaVu Sans"/>
        <family val="2"/>
        <charset val="1"/>
      </rPr>
      <t xml:space="preserve">¥200-400/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</si>
  <si>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Keepa $21</t>
    </r>
    <r>
      <rPr>
        <sz val="10"/>
        <color rgb="FF000000"/>
        <rFont val="DejaVu Sans"/>
        <family val="2"/>
      </rPr>
      <t xml:space="preserve">；鸥鹭 </t>
    </r>
    <r>
      <rPr>
        <sz val="10"/>
        <color rgb="FF000000"/>
        <rFont val="Arial"/>
        <family val="0"/>
        <charset val="1"/>
      </rPr>
      <t xml:space="preserve">¥200 ($28)</t>
    </r>
  </si>
  <si>
    <r>
      <rPr>
        <sz val="10"/>
        <color rgb="FF000000"/>
        <rFont val="Arial"/>
        <family val="0"/>
        <charset val="1"/>
      </rPr>
      <t xml:space="preserve">Keepa </t>
    </r>
    <r>
      <rPr>
        <sz val="10"/>
        <color rgb="FF000000"/>
        <rFont val="DejaVu Sans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历史价</t>
    </r>
    <r>
      <rPr>
        <sz val="10"/>
        <color rgb="FF000000"/>
        <rFont val="Arial"/>
        <family val="0"/>
        <charset val="1"/>
      </rPr>
      <t xml:space="preserve">/BSR </t>
    </r>
    <r>
      <rPr>
        <sz val="10"/>
        <color rgb="FF000000"/>
        <rFont val="DejaVu Sans"/>
        <family val="2"/>
      </rPr>
      <t xml:space="preserve">行业标准，没有完整替代品</t>
    </r>
  </si>
  <si>
    <r>
      <rPr>
        <sz val="10"/>
        <color rgb="FF000000"/>
        <rFont val="Arial"/>
        <family val="0"/>
        <charset val="1"/>
      </rPr>
      <t xml:space="preserve">TikTok Shop </t>
    </r>
    <r>
      <rPr>
        <sz val="10"/>
        <color rgb="FF000000"/>
        <rFont val="DejaVu Sans"/>
        <family val="2"/>
      </rPr>
      <t xml:space="preserve">选品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达人</t>
    </r>
  </si>
  <si>
    <t xml:space="preserve">Gate 1+3</t>
  </si>
  <si>
    <r>
      <rPr>
        <sz val="10"/>
        <color rgb="FF000000"/>
        <rFont val="Arial"/>
        <family val="0"/>
        <charset val="1"/>
      </rPr>
      <t xml:space="preserve">Kalodata Pro ($99.9/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</si>
  <si>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EchoTik </t>
    </r>
    <r>
      <rPr>
        <sz val="10"/>
        <color rgb="FF000000"/>
        <rFont val="DejaVu Sans"/>
        <family val="2"/>
      </rPr>
      <t xml:space="preserve">专业版 </t>
    </r>
    <r>
      <rPr>
        <sz val="10"/>
        <color rgb="FF000000"/>
        <rFont val="Arial"/>
        <family val="0"/>
        <charset val="1"/>
      </rPr>
      <t xml:space="preserve">($60) + </t>
    </r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蝉妈妈 </t>
    </r>
    <r>
      <rPr>
        <sz val="10"/>
        <color rgb="FF000000"/>
        <rFont val="Arial"/>
        <family val="0"/>
        <charset val="1"/>
      </rPr>
      <t xml:space="preserve">($12)</t>
    </r>
  </si>
  <si>
    <r>
      <rPr>
        <sz val="10"/>
        <color rgb="FF000000"/>
        <rFont val="Arial"/>
        <family val="0"/>
        <charset val="1"/>
      </rPr>
      <t xml:space="preserve">Kalodata $99.9 vs EchoTik $60 = </t>
    </r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DejaVu Sans"/>
        <family val="2"/>
      </rPr>
      <t xml:space="preserve">；省 </t>
    </r>
    <r>
      <rPr>
        <sz val="10"/>
        <color rgb="FF000000"/>
        <rFont val="Arial"/>
        <family val="0"/>
        <charset val="1"/>
      </rPr>
      <t xml:space="preserve">60-70% </t>
    </r>
    <r>
      <rPr>
        <sz val="10"/>
        <color rgb="FF000000"/>
        <rFont val="DejaVu Sans"/>
        <family val="2"/>
      </rPr>
      <t xml:space="preserve">用免费版</t>
    </r>
  </si>
  <si>
    <r>
      <rPr>
        <sz val="10"/>
        <color rgb="FF000000"/>
        <rFont val="Arial"/>
        <family val="0"/>
        <charset val="1"/>
      </rPr>
      <t xml:space="preserve">Kalodata </t>
    </r>
    <r>
      <rPr>
        <sz val="10"/>
        <color rgb="FF000000"/>
        <rFont val="DejaVu Sans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TTS US/UK GMV </t>
    </r>
    <r>
      <rPr>
        <sz val="10"/>
        <color rgb="FF000000"/>
        <rFont val="DejaVu Sans"/>
        <family val="2"/>
      </rPr>
      <t xml:space="preserve">上数据深度 </t>
    </r>
    <r>
      <rPr>
        <sz val="10"/>
        <color rgb="FF000000"/>
        <rFont val="Arial"/>
        <family val="0"/>
        <charset val="1"/>
      </rPr>
      <t xml:space="preserve">+15-25%</t>
    </r>
    <r>
      <rPr>
        <sz val="10"/>
        <color rgb="FF000000"/>
        <rFont val="DejaVu Sans"/>
        <family val="2"/>
      </rPr>
      <t xml:space="preserve">；高客单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正式投放前用 </t>
    </r>
    <r>
      <rPr>
        <sz val="10"/>
        <color rgb="FF000000"/>
        <rFont val="Arial"/>
        <family val="0"/>
        <charset val="1"/>
      </rPr>
      <t xml:space="preserve">Kalodata </t>
    </r>
    <r>
      <rPr>
        <sz val="10"/>
        <color rgb="FF000000"/>
        <rFont val="DejaVu Sans"/>
        <family val="2"/>
      </rPr>
      <t xml:space="preserve">校验</t>
    </r>
  </si>
  <si>
    <r>
      <rPr>
        <sz val="10"/>
        <color rgb="FF000000"/>
        <rFont val="Arial"/>
        <family val="0"/>
        <charset val="1"/>
      </rPr>
      <t xml:space="preserve">Meta / TikTok </t>
    </r>
    <r>
      <rPr>
        <sz val="10"/>
        <color rgb="FF000000"/>
        <rFont val="DejaVu Sans"/>
        <family val="2"/>
      </rPr>
      <t xml:space="preserve">广告创意 </t>
    </r>
    <r>
      <rPr>
        <sz val="10"/>
        <color rgb="FF000000"/>
        <rFont val="Arial"/>
        <family val="0"/>
        <charset val="1"/>
      </rPr>
      <t xml:space="preserve">spy</t>
    </r>
  </si>
  <si>
    <r>
      <rPr>
        <sz val="10"/>
        <color rgb="FF000000"/>
        <rFont val="Arial"/>
        <family val="0"/>
        <charset val="1"/>
      </rPr>
      <t xml:space="preserve">AdSpy ($149/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 + PiPiADS ($49)</t>
    </r>
  </si>
  <si>
    <r>
      <rPr>
        <sz val="10"/>
        <color rgb="FF000000"/>
        <rFont val="Arial"/>
        <family val="0"/>
        <charset val="1"/>
      </rPr>
      <t xml:space="preserve">BigSpy Basic ($9) + TikTok Creative Center</t>
    </r>
    <r>
      <rPr>
        <sz val="10"/>
        <color rgb="FF000000"/>
        <rFont val="DejaVu Sans"/>
        <family val="2"/>
      </rPr>
      <t xml:space="preserve">（免费）</t>
    </r>
    <r>
      <rPr>
        <sz val="10"/>
        <color rgb="FF000000"/>
        <rFont val="Arial"/>
        <family val="0"/>
        <charset val="1"/>
      </rPr>
      <t xml:space="preserve">+ PiPiADS Free</t>
    </r>
  </si>
  <si>
    <r>
      <rPr>
        <sz val="10"/>
        <color rgb="FF000000"/>
        <rFont val="Arial"/>
        <family val="0"/>
        <charset val="1"/>
      </rPr>
      <t xml:space="preserve">AdSpy $149 vs </t>
    </r>
    <r>
      <rPr>
        <sz val="10"/>
        <color rgb="FF000000"/>
        <rFont val="DejaVu Sans"/>
        <family val="2"/>
      </rPr>
      <t xml:space="preserve">免费组合 </t>
    </r>
    <r>
      <rPr>
        <sz val="10"/>
        <color rgb="FF000000"/>
        <rFont val="Arial"/>
        <family val="0"/>
        <charset val="1"/>
      </rPr>
      <t xml:space="preserve">$0-$9 = </t>
    </r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Arial"/>
        <family val="0"/>
        <charset val="1"/>
      </rPr>
      <t xml:space="preserve">$140+</t>
    </r>
  </si>
  <si>
    <r>
      <rPr>
        <sz val="10"/>
        <color rgb="FF000000"/>
        <rFont val="Arial"/>
        <family val="0"/>
        <charset val="1"/>
      </rPr>
      <t xml:space="preserve">AdSpy </t>
    </r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DejaVu Sans"/>
        <family val="2"/>
      </rPr>
      <t xml:space="preserve">商业广告库唯一可用源（</t>
    </r>
    <r>
      <rPr>
        <sz val="10"/>
        <color rgb="FF000000"/>
        <rFont val="Arial"/>
        <family val="0"/>
        <charset val="1"/>
      </rPr>
      <t xml:space="preserve">Meta Ads Library </t>
    </r>
    <r>
      <rPr>
        <sz val="10"/>
        <color rgb="FF000000"/>
        <rFont val="DejaVu Sans"/>
        <family val="2"/>
      </rPr>
      <t xml:space="preserve">仅 </t>
    </r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商业广告可用），全球扩张时不可省</t>
    </r>
  </si>
  <si>
    <r>
      <rPr>
        <sz val="10"/>
        <color rgb="FF000000"/>
        <rFont val="DejaVu Sans"/>
        <family val="2"/>
      </rPr>
      <t xml:space="preserve">子类目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品牌份额</t>
    </r>
  </si>
  <si>
    <r>
      <rPr>
        <sz val="10"/>
        <color rgb="FF000000"/>
        <rFont val="Arial"/>
        <family val="0"/>
        <charset val="1"/>
      </rPr>
      <t xml:space="preserve">SmartScout ($75/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 US </t>
    </r>
    <r>
      <rPr>
        <sz val="10"/>
        <color rgb="FF000000"/>
        <rFont val="DejaVu Sans"/>
        <family val="2"/>
      </rPr>
      <t xml:space="preserve">家居家具子类 </t>
    </r>
    <r>
      <rPr>
        <sz val="10"/>
        <color rgb="FF000000"/>
        <rFont val="Arial"/>
        <family val="0"/>
        <charset val="1"/>
      </rPr>
      <t xml:space="preserve">43k+</t>
    </r>
  </si>
  <si>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鸥鹭</t>
    </r>
  </si>
  <si>
    <r>
      <rPr>
        <sz val="10"/>
        <color rgb="FF000000"/>
        <rFont val="Arial"/>
        <family val="0"/>
        <charset val="1"/>
      </rPr>
      <t xml:space="preserve">SmartScout $75</t>
    </r>
    <r>
      <rPr>
        <sz val="10"/>
        <color rgb="FF000000"/>
        <rFont val="DejaVu Sans"/>
        <family val="2"/>
      </rPr>
      <t xml:space="preserve">；国产组合 </t>
    </r>
    <r>
      <rPr>
        <sz val="10"/>
        <color rgb="FF000000"/>
        <rFont val="Arial"/>
        <family val="0"/>
        <charset val="1"/>
      </rPr>
      <t xml:space="preserve">$46-100</t>
    </r>
  </si>
  <si>
    <r>
      <rPr>
        <sz val="10"/>
        <color rgb="FF000000"/>
        <rFont val="Arial"/>
        <family val="0"/>
        <charset val="1"/>
      </rPr>
      <t xml:space="preserve">SmartScout </t>
    </r>
    <r>
      <rPr>
        <sz val="10"/>
        <color rgb="FF000000"/>
        <rFont val="DejaVu Sans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US </t>
    </r>
    <r>
      <rPr>
        <sz val="10"/>
        <color rgb="FF000000"/>
        <rFont val="DejaVu Sans"/>
        <family val="2"/>
      </rPr>
      <t xml:space="preserve">家具子类目颗粒度最细（家具品类专长），</t>
    </r>
    <r>
      <rPr>
        <sz val="10"/>
        <color rgb="FF000000"/>
        <rFont val="Arial"/>
        <family val="0"/>
        <charset val="1"/>
      </rPr>
      <t xml:space="preserve">US </t>
    </r>
    <r>
      <rPr>
        <sz val="10"/>
        <color rgb="FF000000"/>
        <rFont val="DejaVu Sans"/>
        <family val="2"/>
      </rPr>
      <t xml:space="preserve">主攻时建议加</t>
    </r>
  </si>
  <si>
    <r>
      <rPr>
        <sz val="10"/>
        <color rgb="FF000000"/>
        <rFont val="Arial"/>
        <family val="0"/>
        <charset val="1"/>
      </rPr>
      <t xml:space="preserve">ERP / </t>
    </r>
    <r>
      <rPr>
        <sz val="10"/>
        <color rgb="FF000000"/>
        <rFont val="DejaVu Sans"/>
        <family val="2"/>
      </rPr>
      <t xml:space="preserve">利润核算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多店</t>
    </r>
  </si>
  <si>
    <r>
      <rPr>
        <sz val="10"/>
        <color rgb="FF000000"/>
        <rFont val="DejaVu Sans"/>
        <family val="2"/>
      </rPr>
      <t xml:space="preserve">全 </t>
    </r>
    <r>
      <rPr>
        <sz val="10"/>
        <color rgb="FF000000"/>
        <rFont val="DejaVu Sans"/>
        <family val="2"/>
        <charset val="1"/>
      </rPr>
      <t xml:space="preserve">Gate </t>
    </r>
    <r>
      <rPr>
        <sz val="10"/>
        <color rgb="FF000000"/>
        <rFont val="DejaVu Sans"/>
        <family val="2"/>
      </rPr>
      <t xml:space="preserve">后续运营</t>
    </r>
  </si>
  <si>
    <r>
      <rPr>
        <sz val="10"/>
        <color rgb="FF000000"/>
        <rFont val="Arial"/>
        <family val="0"/>
        <charset val="1"/>
      </rPr>
      <t xml:space="preserve">Sellerboard ($29-$59/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 + NetSuite</t>
    </r>
  </si>
  <si>
    <r>
      <rPr>
        <sz val="10"/>
        <color rgb="FF000000"/>
        <rFont val="DejaVu Sans"/>
        <family val="2"/>
      </rPr>
      <t xml:space="preserve">领星 </t>
    </r>
    <r>
      <rPr>
        <sz val="10"/>
        <color rgb="FF000000"/>
        <rFont val="DejaVu Sans"/>
        <family val="2"/>
        <charset val="1"/>
      </rPr>
      <t xml:space="preserve">ERP </t>
    </r>
    <r>
      <rPr>
        <sz val="10"/>
        <color rgb="FF000000"/>
        <rFont val="DejaVu Sans"/>
        <family val="2"/>
      </rPr>
      <t xml:space="preserve">免费版（订单 </t>
    </r>
    <r>
      <rPr>
        <sz val="10"/>
        <color rgb="FF000000"/>
        <rFont val="DejaVu Sans"/>
        <family val="2"/>
        <charset val="1"/>
      </rPr>
      <t xml:space="preserve">&lt;5000/</t>
    </r>
    <r>
      <rPr>
        <sz val="10"/>
        <color rgb="FF000000"/>
        <rFont val="DejaVu Sans"/>
        <family val="2"/>
      </rPr>
      <t xml:space="preserve">月）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积加 </t>
    </r>
    <r>
      <rPr>
        <sz val="10"/>
        <color rgb="FF000000"/>
        <rFont val="DejaVu Sans"/>
        <family val="2"/>
        <charset val="1"/>
      </rPr>
      <t xml:space="preserve">ERP (Amazon+TT+</t>
    </r>
    <r>
      <rPr>
        <sz val="10"/>
        <color rgb="FF000000"/>
        <rFont val="DejaVu Sans"/>
        <family val="2"/>
      </rPr>
      <t xml:space="preserve">独立站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</si>
  <si>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Sellerboard $29-59</t>
    </r>
    <r>
      <rPr>
        <sz val="10"/>
        <color rgb="FF000000"/>
        <rFont val="DejaVu Sans"/>
        <family val="2"/>
      </rPr>
      <t xml:space="preserve">；领星 </t>
    </r>
    <r>
      <rPr>
        <sz val="10"/>
        <color rgb="FF000000"/>
        <rFont val="Arial"/>
        <family val="0"/>
        <charset val="1"/>
      </rPr>
      <t xml:space="preserve">$0</t>
    </r>
    <r>
      <rPr>
        <sz val="10"/>
        <color rgb="FF000000"/>
        <rFont val="DejaVu Sans"/>
        <family val="2"/>
      </rPr>
      <t xml:space="preserve">；积加 </t>
    </r>
    <r>
      <rPr>
        <sz val="10"/>
        <color rgb="FF000000"/>
        <rFont val="Arial"/>
        <family val="0"/>
        <charset val="1"/>
      </rPr>
      <t xml:space="preserve">¥3000-20000/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</si>
  <si>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DejaVu Sans"/>
        <family val="2"/>
      </rPr>
      <t xml:space="preserve">国产 </t>
    </r>
    <r>
      <rPr>
        <sz val="10"/>
        <color rgb="FF000000"/>
        <rFont val="DejaVu Sans"/>
        <family val="2"/>
        <charset val="1"/>
      </rPr>
      <t xml:space="preserve">ERP </t>
    </r>
    <r>
      <rPr>
        <sz val="10"/>
        <color rgb="FF000000"/>
        <rFont val="DejaVu Sans"/>
        <family val="2"/>
      </rPr>
      <t xml:space="preserve">免费门槛友好，但利润数据需手动抽样校正；规模化后切积加（多平台优势）</t>
    </r>
  </si>
  <si>
    <r>
      <rPr>
        <b val="true"/>
        <sz val="14"/>
        <color rgb="FF1F4E78"/>
        <rFont val="Arial"/>
        <family val="0"/>
        <charset val="1"/>
      </rPr>
      <t xml:space="preserve">T0 / T1 / T2 </t>
    </r>
    <r>
      <rPr>
        <b val="true"/>
        <sz val="14"/>
        <color rgb="FF1F4E78"/>
        <rFont val="DejaVu Sans"/>
        <family val="2"/>
      </rPr>
      <t xml:space="preserve">预算分层 — 三档预算包对应数据源组合</t>
    </r>
  </si>
  <si>
    <r>
      <rPr>
        <i val="true"/>
        <sz val="9"/>
        <color rgb="FF595959"/>
        <rFont val="Arial"/>
        <family val="0"/>
        <charset val="1"/>
      </rPr>
      <t xml:space="preserve">T0 = </t>
    </r>
    <r>
      <rPr>
        <i val="true"/>
        <sz val="9"/>
        <color rgb="FF595959"/>
        <rFont val="DejaVu Sans"/>
        <family val="2"/>
      </rPr>
      <t xml:space="preserve">必接（不接则 </t>
    </r>
    <r>
      <rPr>
        <i val="true"/>
        <sz val="9"/>
        <color rgb="FF595959"/>
        <rFont val="Arial"/>
        <family val="0"/>
        <charset val="1"/>
      </rPr>
      <t xml:space="preserve">ROI </t>
    </r>
    <r>
      <rPr>
        <i val="true"/>
        <sz val="9"/>
        <color rgb="FF595959"/>
        <rFont val="DejaVu Sans"/>
        <family val="2"/>
      </rPr>
      <t xml:space="preserve">公式无法跑）；</t>
    </r>
    <r>
      <rPr>
        <i val="true"/>
        <sz val="9"/>
        <color rgb="FF595959"/>
        <rFont val="Arial"/>
        <family val="0"/>
        <charset val="1"/>
      </rPr>
      <t xml:space="preserve">T1 = </t>
    </r>
    <r>
      <rPr>
        <i val="true"/>
        <sz val="9"/>
        <color rgb="FF595959"/>
        <rFont val="DejaVu Sans"/>
        <family val="2"/>
      </rPr>
      <t xml:space="preserve">强烈推荐（明显提升决策质量）；</t>
    </r>
    <r>
      <rPr>
        <i val="true"/>
        <sz val="9"/>
        <color rgb="FF595959"/>
        <rFont val="Arial"/>
        <family val="0"/>
        <charset val="1"/>
      </rPr>
      <t xml:space="preserve">T2 = </t>
    </r>
    <r>
      <rPr>
        <i val="true"/>
        <sz val="9"/>
        <color rgb="FF595959"/>
        <rFont val="DejaVu Sans"/>
        <family val="2"/>
      </rPr>
      <t xml:space="preserve">规模化后接（</t>
    </r>
    <r>
      <rPr>
        <i val="true"/>
        <sz val="9"/>
        <color rgb="FF595959"/>
        <rFont val="Arial"/>
        <family val="0"/>
        <charset val="1"/>
      </rPr>
      <t xml:space="preserve">GMV </t>
    </r>
    <r>
      <rPr>
        <i val="true"/>
        <sz val="9"/>
        <color rgb="FF595959"/>
        <rFont val="DejaVu Sans"/>
        <family val="2"/>
      </rPr>
      <t xml:space="preserve">起来再加）。国产替代行用米黄色高亮，西方源用白色。</t>
    </r>
  </si>
  <si>
    <r>
      <rPr>
        <b val="true"/>
        <sz val="13"/>
        <color rgb="FF000000"/>
        <rFont val="Arial"/>
        <family val="0"/>
        <charset val="1"/>
      </rPr>
      <t xml:space="preserve">🟢 T0 — </t>
    </r>
    <r>
      <rPr>
        <b val="true"/>
        <sz val="13"/>
        <color rgb="FF000000"/>
        <rFont val="DejaVu Sans"/>
        <family val="2"/>
      </rPr>
      <t xml:space="preserve">必接（</t>
    </r>
    <r>
      <rPr>
        <b val="true"/>
        <sz val="13"/>
        <color rgb="FF000000"/>
        <rFont val="Arial"/>
        <family val="0"/>
        <charset val="1"/>
      </rPr>
      <t xml:space="preserve">Week 1-2</t>
    </r>
    <r>
      <rPr>
        <b val="true"/>
        <sz val="13"/>
        <color rgb="FF000000"/>
        <rFont val="DejaVu Sans"/>
        <family val="2"/>
      </rPr>
      <t xml:space="preserve">，月预算 </t>
    </r>
    <r>
      <rPr>
        <b val="true"/>
        <sz val="13"/>
        <color rgb="FF000000"/>
        <rFont val="Arial"/>
        <family val="0"/>
        <charset val="1"/>
      </rPr>
      <t xml:space="preserve">~$60-100</t>
    </r>
    <r>
      <rPr>
        <b val="true"/>
        <sz val="13"/>
        <color rgb="FF000000"/>
        <rFont val="DejaVu Sans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</si>
  <si>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Justify</t>
    </r>
    <r>
      <rPr>
        <b val="true"/>
        <sz val="11"/>
        <color rgb="FFFFFFFF"/>
        <rFont val="DejaVu Sans"/>
        <family val="2"/>
      </rPr>
      <t xml:space="preserve">（高价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替代说明）</t>
    </r>
  </si>
  <si>
    <t xml:space="preserve">服务于</t>
  </si>
  <si>
    <r>
      <rPr>
        <sz val="10"/>
        <color rgb="FF000000"/>
        <rFont val="DejaVu Sans"/>
        <family val="2"/>
      </rPr>
      <t xml:space="preserve">广告 </t>
    </r>
    <r>
      <rPr>
        <sz val="10"/>
        <color rgb="FF000000"/>
        <rFont val="DejaVu Sans"/>
        <family val="2"/>
        <charset val="1"/>
      </rPr>
      <t xml:space="preserve">CPM/CTR/CVR/ROAS </t>
    </r>
    <r>
      <rPr>
        <sz val="10"/>
        <color rgb="FF000000"/>
        <rFont val="DejaVu Sans"/>
        <family val="2"/>
      </rPr>
      <t xml:space="preserve">自有账号</t>
    </r>
  </si>
  <si>
    <r>
      <rPr>
        <sz val="10"/>
        <color rgb="FF000000"/>
        <rFont val="Arial"/>
        <family val="0"/>
        <charset val="1"/>
      </rPr>
      <t xml:space="preserve">ROI </t>
    </r>
    <r>
      <rPr>
        <sz val="10"/>
        <color rgb="FF000000"/>
        <rFont val="DejaVu Sans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CPM/CTR/CVR </t>
    </r>
    <r>
      <rPr>
        <sz val="10"/>
        <color rgb="FF000000"/>
        <rFont val="DejaVu Sans"/>
        <family val="2"/>
      </rPr>
      <t xml:space="preserve">主源</t>
    </r>
  </si>
  <si>
    <r>
      <rPr>
        <sz val="10"/>
        <color rgb="FF000000"/>
        <rFont val="Arial"/>
        <family val="0"/>
        <charset val="1"/>
      </rPr>
      <t xml:space="preserve">CVR/AOV/</t>
    </r>
    <r>
      <rPr>
        <sz val="10"/>
        <color rgb="FF000000"/>
        <rFont val="DejaVu Sans"/>
        <family val="2"/>
      </rPr>
      <t xml:space="preserve">订单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退货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</si>
  <si>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含套餐</t>
    </r>
    <r>
      <rPr>
        <sz val="10"/>
        <color rgb="FF000000"/>
        <rFont val="DejaVu Sans"/>
        <family val="2"/>
        <charset val="1"/>
      </rPr>
      <t xml:space="preserve">)</t>
    </r>
  </si>
  <si>
    <t xml:space="preserve">无（自家数据）</t>
  </si>
  <si>
    <r>
      <rPr>
        <sz val="10"/>
        <color rgb="FF000000"/>
        <rFont val="Arial"/>
        <family val="0"/>
        <charset val="1"/>
      </rPr>
      <t xml:space="preserve">AOV/CVR/</t>
    </r>
    <r>
      <rPr>
        <sz val="10"/>
        <color rgb="FF000000"/>
        <rFont val="DejaVu Sans"/>
        <family val="2"/>
      </rPr>
      <t xml:space="preserve">退货率主源</t>
    </r>
  </si>
  <si>
    <t xml:space="preserve">跨渠道归因</t>
  </si>
  <si>
    <r>
      <rPr>
        <sz val="10"/>
        <color rgb="FF000000"/>
        <rFont val="DejaVu Sans"/>
        <family val="2"/>
      </rPr>
      <t xml:space="preserve">归因校验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行业 </t>
    </r>
    <r>
      <rPr>
        <sz val="10"/>
        <color rgb="FF000000"/>
        <rFont val="DejaVu Sans"/>
        <family val="2"/>
        <charset val="1"/>
      </rPr>
      <t xml:space="preserve">baseline</t>
    </r>
  </si>
  <si>
    <r>
      <rPr>
        <sz val="10"/>
        <color rgb="FF000000"/>
        <rFont val="Arial"/>
        <family val="0"/>
        <charset val="1"/>
      </rPr>
      <t xml:space="preserve">CPC/ACoS/CR </t>
    </r>
    <r>
      <rPr>
        <sz val="10"/>
        <color rgb="FF000000"/>
        <rFont val="DejaVu Sans"/>
        <family val="2"/>
      </rPr>
      <t xml:space="preserve">小时级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</si>
  <si>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DejaVu Sans"/>
        <family val="2"/>
        <charset val="1"/>
      </rPr>
      <t xml:space="preserve">+ AWS SQS ~$30</t>
    </r>
  </si>
  <si>
    <r>
      <rPr>
        <sz val="10"/>
        <color rgb="FF000000"/>
        <rFont val="Arial"/>
        <family val="0"/>
        <charset val="1"/>
      </rPr>
      <t xml:space="preserve">Amazon ROI </t>
    </r>
    <r>
      <rPr>
        <sz val="10"/>
        <color rgb="FF000000"/>
        <rFont val="DejaVu Sans"/>
        <family val="2"/>
      </rPr>
      <t xml:space="preserve">基座</t>
    </r>
  </si>
  <si>
    <r>
      <rPr>
        <sz val="10"/>
        <color rgb="FF000000"/>
        <rFont val="DejaVu Sans"/>
        <family val="2"/>
      </rPr>
      <t xml:space="preserve">广告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订单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库存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财务</t>
    </r>
  </si>
  <si>
    <r>
      <rPr>
        <sz val="10"/>
        <color rgb="FF000000"/>
        <rFont val="Arial"/>
        <family val="0"/>
        <charset val="1"/>
      </rPr>
      <t xml:space="preserve">TikTok ROI </t>
    </r>
    <r>
      <rPr>
        <sz val="10"/>
        <color rgb="FF000000"/>
        <rFont val="DejaVu Sans"/>
        <family val="2"/>
      </rPr>
      <t xml:space="preserve">基座</t>
    </r>
  </si>
  <si>
    <t xml:space="preserve">【国产】卖家精灵 标准版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</si>
  <si>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选品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关键词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竞品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评论分析（中文）</t>
    </r>
  </si>
  <si>
    <r>
      <rPr>
        <sz val="10"/>
        <color rgb="FF000000"/>
        <rFont val="Arial"/>
        <family val="0"/>
        <charset val="1"/>
      </rPr>
      <t xml:space="preserve">¥332 ≈ $46/</t>
    </r>
    <r>
      <rPr>
        <sz val="10"/>
        <color rgb="FF000000"/>
        <rFont val="DejaVu Sans"/>
        <family val="2"/>
      </rPr>
      <t xml:space="preserve">月（优惠码 </t>
    </r>
    <r>
      <rPr>
        <sz val="10"/>
        <color rgb="FF000000"/>
        <rFont val="Arial"/>
        <family val="0"/>
        <charset val="1"/>
      </rPr>
      <t xml:space="preserve">SPY78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</si>
  <si>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替代 </t>
    </r>
    <r>
      <rPr>
        <sz val="10"/>
        <color rgb="FF000000"/>
        <rFont val="DejaVu Sans"/>
        <family val="2"/>
        <charset val="1"/>
      </rPr>
      <t xml:space="preserve">Helium 10 Diamond $359 → </t>
    </r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DejaVu Sans"/>
        <family val="2"/>
        <charset val="1"/>
      </rPr>
      <t xml:space="preserve">$313/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(88%)</t>
    </r>
  </si>
  <si>
    <r>
      <rPr>
        <sz val="10"/>
        <color rgb="FF000000"/>
        <rFont val="Arial"/>
        <family val="0"/>
        <charset val="1"/>
      </rPr>
      <t xml:space="preserve">Gate 1+2+3 </t>
    </r>
    <r>
      <rPr>
        <sz val="10"/>
        <color rgb="FF000000"/>
        <rFont val="DejaVu Sans"/>
        <family val="2"/>
      </rPr>
      <t xml:space="preserve">核心</t>
    </r>
  </si>
  <si>
    <r>
      <rPr>
        <sz val="10"/>
        <color rgb="FF000000"/>
        <rFont val="DejaVu Sans"/>
        <family val="2"/>
      </rPr>
      <t xml:space="preserve">【国产】领星 </t>
    </r>
    <r>
      <rPr>
        <sz val="10"/>
        <color rgb="FF000000"/>
        <rFont val="DejaVu Sans"/>
        <family val="2"/>
        <charset val="1"/>
      </rPr>
      <t xml:space="preserve">ERP </t>
    </r>
    <r>
      <rPr>
        <sz val="10"/>
        <color rgb="FF000000"/>
        <rFont val="DejaVu Sans"/>
        <family val="2"/>
      </rPr>
      <t xml:space="preserve">免费版</t>
    </r>
  </si>
  <si>
    <r>
      <rPr>
        <sz val="10"/>
        <color rgb="FF000000"/>
        <rFont val="DejaVu Sans"/>
        <family val="2"/>
      </rPr>
      <t xml:space="preserve">多店铺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利润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库存（订单 </t>
    </r>
    <r>
      <rPr>
        <sz val="10"/>
        <color rgb="FF000000"/>
        <rFont val="DejaVu Sans"/>
        <family val="2"/>
        <charset val="1"/>
      </rPr>
      <t xml:space="preserve">&lt;5000/</t>
    </r>
    <r>
      <rPr>
        <sz val="10"/>
        <color rgb="FF000000"/>
        <rFont val="DejaVu Sans"/>
        <family val="2"/>
      </rPr>
      <t xml:space="preserve">月免费）</t>
    </r>
  </si>
  <si>
    <r>
      <rPr>
        <sz val="10"/>
        <color rgb="FF000000"/>
        <rFont val="DejaVu Sans"/>
        <family val="2"/>
      </rPr>
      <t xml:space="preserve">替代 </t>
    </r>
    <r>
      <rPr>
        <sz val="10"/>
        <color rgb="FF000000"/>
        <rFont val="DejaVu Sans"/>
        <family val="2"/>
        <charset val="1"/>
      </rPr>
      <t xml:space="preserve">Sellerboard $29 / NetSuite</t>
    </r>
  </si>
  <si>
    <r>
      <rPr>
        <sz val="10"/>
        <color rgb="FF000000"/>
        <rFont val="DejaVu Sans"/>
        <family val="2"/>
      </rPr>
      <t xml:space="preserve">运营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利润核算</t>
    </r>
  </si>
  <si>
    <r>
      <rPr>
        <sz val="10"/>
        <color rgb="FF000000"/>
        <rFont val="DejaVu Sans"/>
        <family val="2"/>
      </rPr>
      <t xml:space="preserve">【国产】</t>
    </r>
    <r>
      <rPr>
        <sz val="10"/>
        <color rgb="FF000000"/>
        <rFont val="DejaVu Sans"/>
        <family val="2"/>
        <charset val="1"/>
      </rPr>
      <t xml:space="preserve">OneBound 1688 API</t>
    </r>
  </si>
  <si>
    <r>
      <rPr>
        <sz val="10"/>
        <color rgb="FF000000"/>
        <rFont val="Arial"/>
        <family val="0"/>
        <charset val="1"/>
      </rPr>
      <t xml:space="preserve">¥99-500/</t>
    </r>
    <r>
      <rPr>
        <sz val="10"/>
        <color rgb="FF000000"/>
        <rFont val="DejaVu Sans"/>
        <family val="2"/>
      </rPr>
      <t xml:space="preserve">月 ≈ </t>
    </r>
    <r>
      <rPr>
        <sz val="10"/>
        <color rgb="FF000000"/>
        <rFont val="Arial"/>
        <family val="0"/>
        <charset val="1"/>
      </rPr>
      <t xml:space="preserve">$14-70</t>
    </r>
  </si>
  <si>
    <r>
      <rPr>
        <sz val="10"/>
        <color rgb="FF000000"/>
        <rFont val="DejaVu Sans"/>
        <family val="2"/>
      </rPr>
      <t xml:space="preserve">替代 </t>
    </r>
    <r>
      <rPr>
        <sz val="10"/>
        <color rgb="FF000000"/>
        <rFont val="DejaVu Sans"/>
        <family val="2"/>
        <charset val="1"/>
      </rPr>
      <t xml:space="preserve">Apify $49+</t>
    </r>
  </si>
  <si>
    <r>
      <rPr>
        <sz val="10"/>
        <color rgb="FF000000"/>
        <rFont val="DejaVu Sans"/>
        <family val="2"/>
      </rPr>
      <t xml:space="preserve">货值 </t>
    </r>
    <r>
      <rPr>
        <sz val="10"/>
        <color rgb="FF000000"/>
        <rFont val="DejaVu Sans"/>
        <family val="2"/>
        <charset val="1"/>
      </rPr>
      <t xml:space="preserve">COGS </t>
    </r>
    <r>
      <rPr>
        <sz val="10"/>
        <color rgb="FF000000"/>
        <rFont val="DejaVu Sans"/>
        <family val="2"/>
      </rPr>
      <t xml:space="preserve">数据</t>
    </r>
  </si>
  <si>
    <r>
      <rPr>
        <sz val="10"/>
        <color rgb="FF000000"/>
        <rFont val="Arial"/>
        <family val="0"/>
        <charset val="1"/>
      </rPr>
      <t xml:space="preserve">Easyship </t>
    </r>
    <r>
      <rPr>
        <sz val="10"/>
        <color rgb="FF000000"/>
        <rFont val="DejaVu Sans"/>
        <family val="2"/>
      </rPr>
      <t xml:space="preserve">免费版</t>
    </r>
  </si>
  <si>
    <r>
      <rPr>
        <sz val="10"/>
        <color rgb="FF000000"/>
        <rFont val="DejaVu Sans"/>
        <family val="2"/>
      </rPr>
      <t xml:space="preserve">全球物流比价 </t>
    </r>
    <r>
      <rPr>
        <sz val="10"/>
        <color rgb="FF000000"/>
        <rFont val="DejaVu Sans"/>
        <family val="2"/>
        <charset val="1"/>
      </rPr>
      <t xml:space="preserve">(50 </t>
    </r>
    <r>
      <rPr>
        <sz val="10"/>
        <color rgb="FF000000"/>
        <rFont val="DejaVu Sans"/>
        <family val="2"/>
      </rPr>
      <t xml:space="preserve">单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月免费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</si>
  <si>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替代 </t>
    </r>
    <r>
      <rPr>
        <sz val="10"/>
        <color rgb="FF000000"/>
        <rFont val="DejaVu Sans"/>
        <family val="2"/>
        <charset val="1"/>
      </rPr>
      <t xml:space="preserve">ShipStation $9.99+</t>
    </r>
  </si>
  <si>
    <t xml:space="preserve">物流成本数据</t>
  </si>
  <si>
    <t xml:space="preserve">Maersk SpotOn + Freightos shippingCalculator</t>
  </si>
  <si>
    <r>
      <rPr>
        <sz val="10"/>
        <color rgb="FF000000"/>
        <rFont val="DejaVu Sans"/>
        <family val="2"/>
      </rPr>
      <t xml:space="preserve">整柜 </t>
    </r>
    <r>
      <rPr>
        <sz val="10"/>
        <color rgb="FF000000"/>
        <rFont val="DejaVu Sans"/>
        <family val="2"/>
        <charset val="1"/>
      </rPr>
      <t xml:space="preserve">spot </t>
    </r>
    <r>
      <rPr>
        <sz val="10"/>
        <color rgb="FF000000"/>
        <rFont val="DejaVu Sans"/>
        <family val="2"/>
      </rPr>
      <t xml:space="preserve">价 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免费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</si>
  <si>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入仓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头程数据</t>
    </r>
  </si>
  <si>
    <r>
      <rPr>
        <sz val="10"/>
        <color rgb="FF000000"/>
        <rFont val="Arial"/>
        <family val="0"/>
        <charset val="1"/>
      </rPr>
      <t xml:space="preserve">WTO + TARIC + </t>
    </r>
    <r>
      <rPr>
        <sz val="10"/>
        <color rgb="FF000000"/>
        <rFont val="DejaVu Sans"/>
        <family val="2"/>
      </rPr>
      <t xml:space="preserve">各国海关官网</t>
    </r>
  </si>
  <si>
    <r>
      <rPr>
        <sz val="10"/>
        <color rgb="FF000000"/>
        <rFont val="DejaVu Sans"/>
        <family val="2"/>
      </rPr>
      <t xml:space="preserve">关税</t>
    </r>
    <r>
      <rPr>
        <sz val="10"/>
        <color rgb="FF000000"/>
        <rFont val="DejaVu Sans"/>
        <family val="2"/>
        <charset val="1"/>
      </rPr>
      <t xml:space="preserve">/VAT </t>
    </r>
    <r>
      <rPr>
        <sz val="10"/>
        <color rgb="FF000000"/>
        <rFont val="DejaVu Sans"/>
        <family val="2"/>
      </rPr>
      <t xml:space="preserve">静态表</t>
    </r>
  </si>
  <si>
    <r>
      <rPr>
        <sz val="10"/>
        <color rgb="FF000000"/>
        <rFont val="DejaVu Sans"/>
        <family val="2"/>
      </rPr>
      <t xml:space="preserve">替代 </t>
    </r>
    <r>
      <rPr>
        <sz val="10"/>
        <color rgb="FF000000"/>
        <rFont val="DejaVu Sans"/>
        <family val="2"/>
        <charset val="1"/>
      </rPr>
      <t xml:space="preserve">Avalara/Zonos </t>
    </r>
    <r>
      <rPr>
        <sz val="10"/>
        <color rgb="FF000000"/>
        <rFont val="DejaVu Sans"/>
        <family val="2"/>
      </rPr>
      <t xml:space="preserve">早期</t>
    </r>
  </si>
  <si>
    <t xml:space="preserve">关税初筛</t>
  </si>
  <si>
    <t xml:space="preserve">【国产】蝉妈妈个人版（年付）</t>
  </si>
  <si>
    <r>
      <rPr>
        <sz val="10"/>
        <color rgb="FF000000"/>
        <rFont val="DejaVu Sans"/>
        <family val="2"/>
      </rPr>
      <t xml:space="preserve">抖音爆品趋势预测 </t>
    </r>
    <r>
      <rPr>
        <sz val="10"/>
        <color rgb="FF000000"/>
        <rFont val="DejaVu Sans"/>
        <family val="2"/>
        <charset val="1"/>
      </rPr>
      <t xml:space="preserve">TikTok</t>
    </r>
  </si>
  <si>
    <r>
      <rPr>
        <sz val="10"/>
        <color rgb="FF000000"/>
        <rFont val="Arial"/>
        <family val="0"/>
        <charset val="1"/>
      </rPr>
      <t xml:space="preserve">¥1398/</t>
    </r>
    <r>
      <rPr>
        <sz val="10"/>
        <color rgb="FF000000"/>
        <rFont val="DejaVu Sans"/>
        <family val="2"/>
      </rPr>
      <t xml:space="preserve">年 ≈ </t>
    </r>
    <r>
      <rPr>
        <sz val="10"/>
        <color rgb="FF000000"/>
        <rFont val="Arial"/>
        <family val="0"/>
        <charset val="1"/>
      </rPr>
      <t xml:space="preserve">$12/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</si>
  <si>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替代 </t>
    </r>
    <r>
      <rPr>
        <sz val="10"/>
        <color rgb="FF000000"/>
        <rFont val="DejaVu Sans"/>
        <family val="2"/>
        <charset val="1"/>
      </rPr>
      <t xml:space="preserve">Kalodata $99.9 → </t>
    </r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DejaVu Sans"/>
        <family val="2"/>
        <charset val="1"/>
      </rPr>
      <t xml:space="preserve">$88/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</si>
  <si>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TT </t>
    </r>
    <r>
      <rPr>
        <sz val="10"/>
        <color rgb="FF000000"/>
        <rFont val="DejaVu Sans"/>
        <family val="2"/>
      </rPr>
      <t xml:space="preserve">趋势提前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</si>
  <si>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📊 T0 </t>
    </r>
    <r>
      <rPr>
        <sz val="10"/>
        <color rgb="FF000000"/>
        <rFont val="DejaVu Sans"/>
        <family val="2"/>
      </rPr>
      <t xml:space="preserve">月度小计</t>
    </r>
  </si>
  <si>
    <r>
      <rPr>
        <sz val="10"/>
        <color rgb="FF000000"/>
        <rFont val="Arial"/>
        <family val="0"/>
        <charset val="1"/>
      </rPr>
      <t xml:space="preserve">≈ $60-120/</t>
    </r>
    <r>
      <rPr>
        <sz val="10"/>
        <color rgb="FF000000"/>
        <rFont val="DejaVu Sans"/>
        <family val="2"/>
      </rPr>
      <t xml:space="preserve">月（含 </t>
    </r>
    <r>
      <rPr>
        <sz val="10"/>
        <color rgb="FF000000"/>
        <rFont val="Arial"/>
        <family val="0"/>
        <charset val="1"/>
      </rPr>
      <t xml:space="preserve">OneBound </t>
    </r>
    <r>
      <rPr>
        <sz val="10"/>
        <color rgb="FF000000"/>
        <rFont val="DejaVu Sans"/>
        <family val="2"/>
      </rPr>
      <t xml:space="preserve">调用费）</t>
    </r>
  </si>
  <si>
    <r>
      <rPr>
        <sz val="10"/>
        <color rgb="FF000000"/>
        <rFont val="DejaVu Sans"/>
        <family val="2"/>
      </rPr>
      <t xml:space="preserve">覆盖 </t>
    </r>
    <r>
      <rPr>
        <sz val="10"/>
        <color rgb="FF000000"/>
        <rFont val="DejaVu Sans"/>
        <family val="2"/>
        <charset val="1"/>
      </rPr>
      <t xml:space="preserve">ROI </t>
    </r>
    <r>
      <rPr>
        <sz val="10"/>
        <color rgb="FF000000"/>
        <rFont val="DejaVu Sans"/>
        <family val="2"/>
      </rPr>
      <t xml:space="preserve">公式 </t>
    </r>
    <r>
      <rPr>
        <sz val="10"/>
        <color rgb="FF000000"/>
        <rFont val="DejaVu Sans"/>
        <family val="2"/>
        <charset val="1"/>
      </rPr>
      <t xml:space="preserve">100% </t>
    </r>
    <r>
      <rPr>
        <sz val="10"/>
        <color rgb="FF000000"/>
        <rFont val="DejaVu Sans"/>
        <family val="2"/>
      </rPr>
      <t xml:space="preserve">必需变量</t>
    </r>
  </si>
  <si>
    <r>
      <rPr>
        <b val="true"/>
        <sz val="13"/>
        <color rgb="FF000000"/>
        <rFont val="Arial"/>
        <family val="0"/>
        <charset val="1"/>
      </rPr>
      <t xml:space="preserve">🟡 T1 — </t>
    </r>
    <r>
      <rPr>
        <b val="true"/>
        <sz val="13"/>
        <color rgb="FF000000"/>
        <rFont val="DejaVu Sans"/>
        <family val="2"/>
      </rPr>
      <t xml:space="preserve">强烈推荐（</t>
    </r>
    <r>
      <rPr>
        <b val="true"/>
        <sz val="13"/>
        <color rgb="FF000000"/>
        <rFont val="Arial"/>
        <family val="0"/>
        <charset val="1"/>
      </rPr>
      <t xml:space="preserve">Month 2-4</t>
    </r>
    <r>
      <rPr>
        <b val="true"/>
        <sz val="13"/>
        <color rgb="FF000000"/>
        <rFont val="DejaVu Sans"/>
        <family val="2"/>
      </rPr>
      <t xml:space="preserve">，月预算 </t>
    </r>
    <r>
      <rPr>
        <b val="true"/>
        <sz val="13"/>
        <color rgb="FF000000"/>
        <rFont val="Arial"/>
        <family val="0"/>
        <charset val="1"/>
      </rPr>
      <t xml:space="preserve">~$280-450</t>
    </r>
    <r>
      <rPr>
        <b val="true"/>
        <sz val="13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</si>
  <si>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继承 </t>
    </r>
    <r>
      <rPr>
        <sz val="10"/>
        <color rgb="FF000000"/>
        <rFont val="DejaVu Sans"/>
        <family val="2"/>
        <charset val="1"/>
      </rPr>
      <t xml:space="preserve">T0 </t>
    </r>
    <r>
      <rPr>
        <sz val="10"/>
        <color rgb="FF000000"/>
        <rFont val="DejaVu Sans"/>
        <family val="2"/>
      </rPr>
      <t xml:space="preserve">全部</t>
    </r>
  </si>
  <si>
    <r>
      <rPr>
        <sz val="10"/>
        <color rgb="FF000000"/>
        <rFont val="DejaVu Sans"/>
        <family val="2"/>
      </rPr>
      <t xml:space="preserve">【国产】</t>
    </r>
    <r>
      <rPr>
        <sz val="10"/>
        <color rgb="FF000000"/>
        <rFont val="DejaVu Sans"/>
        <family val="2"/>
        <charset val="1"/>
      </rPr>
      <t xml:space="preserve">EchoTik </t>
    </r>
    <r>
      <rPr>
        <sz val="10"/>
        <color rgb="FF000000"/>
        <rFont val="DejaVu Sans"/>
        <family val="2"/>
      </rPr>
      <t xml:space="preserve">专业版</t>
    </r>
  </si>
  <si>
    <r>
      <rPr>
        <sz val="10"/>
        <color rgb="FF000000"/>
        <rFont val="Arial"/>
        <family val="0"/>
        <charset val="1"/>
      </rPr>
      <t xml:space="preserve">TikTok Shop </t>
    </r>
    <r>
      <rPr>
        <sz val="10"/>
        <color rgb="FF000000"/>
        <rFont val="DejaVu Sans"/>
        <family val="2"/>
      </rPr>
      <t xml:space="preserve">商品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达人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直播（</t>
    </r>
    <r>
      <rPr>
        <sz val="10"/>
        <color rgb="FF000000"/>
        <rFont val="Arial"/>
        <family val="0"/>
        <charset val="1"/>
      </rPr>
      <t xml:space="preserve">US+UK+SEA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</si>
  <si>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$60/</t>
    </r>
    <r>
      <rPr>
        <sz val="10"/>
        <color rgb="FF000000"/>
        <rFont val="DejaVu Sans"/>
        <family val="2"/>
      </rPr>
      <t xml:space="preserve">月（年付）</t>
    </r>
  </si>
  <si>
    <r>
      <rPr>
        <sz val="10"/>
        <color rgb="FF000000"/>
        <rFont val="DejaVu Sans"/>
        <family val="2"/>
      </rPr>
      <t xml:space="preserve">替代 </t>
    </r>
    <r>
      <rPr>
        <sz val="10"/>
        <color rgb="FF000000"/>
        <rFont val="DejaVu Sans"/>
        <family val="2"/>
        <charset val="1"/>
      </rPr>
      <t xml:space="preserve">FastMoss $199 → </t>
    </r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DejaVu Sans"/>
        <family val="2"/>
        <charset val="1"/>
      </rPr>
      <t xml:space="preserve">$139 (70%)</t>
    </r>
  </si>
  <si>
    <r>
      <rPr>
        <sz val="10"/>
        <color rgb="FF000000"/>
        <rFont val="Arial"/>
        <family val="0"/>
        <charset val="1"/>
      </rPr>
      <t xml:space="preserve">Gate 1+2 TTS </t>
    </r>
    <r>
      <rPr>
        <sz val="10"/>
        <color rgb="FF000000"/>
        <rFont val="DejaVu Sans"/>
        <family val="2"/>
      </rPr>
      <t xml:space="preserve">数据</t>
    </r>
  </si>
  <si>
    <t xml:space="preserve">无国产可替代</t>
  </si>
  <si>
    <r>
      <rPr>
        <sz val="10"/>
        <color rgb="FF000000"/>
        <rFont val="Arial"/>
        <family val="0"/>
        <charset val="1"/>
      </rPr>
      <t xml:space="preserve">Gate 3 </t>
    </r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Arial"/>
        <family val="0"/>
        <charset val="1"/>
      </rPr>
      <t xml:space="preserve">hook</t>
    </r>
  </si>
  <si>
    <t xml:space="preserve">Keepa Web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</si>
  <si>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历史价</t>
    </r>
    <r>
      <rPr>
        <sz val="10"/>
        <color rgb="FF000000"/>
        <rFont val="Arial"/>
        <family val="0"/>
        <charset val="1"/>
      </rPr>
      <t xml:space="preserve">/BSR/Buy Box</t>
    </r>
  </si>
  <si>
    <r>
      <rPr>
        <sz val="10"/>
        <color rgb="FF000000"/>
        <rFont val="Arial"/>
        <family val="0"/>
        <charset val="1"/>
      </rPr>
      <t xml:space="preserve">€19 ≈ $21/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</si>
  <si>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鸥鹭 </t>
    </r>
    <r>
      <rPr>
        <sz val="10"/>
        <color rgb="FF000000"/>
        <rFont val="DejaVu Sans"/>
        <family val="2"/>
        <charset val="1"/>
      </rPr>
      <t xml:space="preserve">~¥200 ($28) </t>
    </r>
    <r>
      <rPr>
        <sz val="10"/>
        <color rgb="FF000000"/>
        <rFont val="DejaVu Sans"/>
        <family val="2"/>
      </rPr>
      <t xml:space="preserve">部分替代</t>
    </r>
  </si>
  <si>
    <r>
      <rPr>
        <sz val="10"/>
        <color rgb="FF000000"/>
        <rFont val="Arial"/>
        <family val="0"/>
        <charset val="1"/>
      </rPr>
      <t xml:space="preserve">Gate 2 </t>
    </r>
    <r>
      <rPr>
        <sz val="10"/>
        <color rgb="FF000000"/>
        <rFont val="DejaVu Sans"/>
        <family val="2"/>
      </rPr>
      <t xml:space="preserve">竞品价格</t>
    </r>
    <r>
      <rPr>
        <sz val="10"/>
        <color rgb="FF000000"/>
        <rFont val="Arial"/>
        <family val="0"/>
        <charset val="1"/>
      </rPr>
      <t xml:space="preserve">/BSR</t>
    </r>
  </si>
  <si>
    <t xml:space="preserve">【国产】卖家精灵 高级版（升级）</t>
  </si>
  <si>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关键词扩展、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DejaVu Sans"/>
        <family val="2"/>
      </rPr>
      <t xml:space="preserve">优化</t>
    </r>
  </si>
  <si>
    <r>
      <rPr>
        <sz val="10"/>
        <color rgb="FF000000"/>
        <rFont val="Arial"/>
        <family val="0"/>
        <charset val="1"/>
      </rPr>
      <t xml:space="preserve">+¥30/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(¥6534/</t>
    </r>
    <r>
      <rPr>
        <sz val="10"/>
        <color rgb="FF000000"/>
        <rFont val="DejaVu Sans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)</t>
    </r>
  </si>
  <si>
    <t xml:space="preserve">深度选品</t>
  </si>
  <si>
    <r>
      <rPr>
        <sz val="10"/>
        <color rgb="FF000000"/>
        <rFont val="DejaVu Sans"/>
        <family val="2"/>
      </rPr>
      <t xml:space="preserve">【国产】船长 </t>
    </r>
    <r>
      <rPr>
        <sz val="10"/>
        <color rgb="FF000000"/>
        <rFont val="DejaVu Sans"/>
        <family val="2"/>
        <charset val="1"/>
      </rPr>
      <t xml:space="preserve">BI </t>
    </r>
    <r>
      <rPr>
        <sz val="10"/>
        <color rgb="FF000000"/>
        <rFont val="DejaVu Sans"/>
        <family val="2"/>
      </rPr>
      <t xml:space="preserve">进阶版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</si>
  <si>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利润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广告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财务报表</t>
    </r>
  </si>
  <si>
    <r>
      <rPr>
        <sz val="10"/>
        <color rgb="FF000000"/>
        <rFont val="Arial"/>
        <family val="0"/>
        <charset val="1"/>
      </rPr>
      <t xml:space="preserve">~¥350/</t>
    </r>
    <r>
      <rPr>
        <sz val="10"/>
        <color rgb="FF000000"/>
        <rFont val="DejaVu Sans"/>
        <family val="2"/>
      </rPr>
      <t xml:space="preserve">月 ≈ </t>
    </r>
    <r>
      <rPr>
        <sz val="10"/>
        <color rgb="FF000000"/>
        <rFont val="Arial"/>
        <family val="0"/>
        <charset val="1"/>
      </rPr>
      <t xml:space="preserve">$50/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</si>
  <si>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替代 </t>
    </r>
    <r>
      <rPr>
        <sz val="10"/>
        <color rgb="FF000000"/>
        <rFont val="DejaVu Sans"/>
        <family val="2"/>
        <charset val="1"/>
      </rPr>
      <t xml:space="preserve">Sellerboard $59 → </t>
    </r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DejaVu Sans"/>
        <family val="2"/>
        <charset val="1"/>
      </rPr>
      <t xml:space="preserve">18%</t>
    </r>
  </si>
  <si>
    <t xml:space="preserve">财务深度核算</t>
  </si>
  <si>
    <t xml:space="preserve">本身是国内服务</t>
  </si>
  <si>
    <t xml:space="preserve">退货物流监控</t>
  </si>
  <si>
    <t xml:space="preserve">Kalodata Starter ⭐</t>
  </si>
  <si>
    <r>
      <rPr>
        <sz val="10"/>
        <color rgb="FF000000"/>
        <rFont val="Arial"/>
        <family val="0"/>
        <charset val="1"/>
      </rPr>
      <t xml:space="preserve">TT US/UK GMV </t>
    </r>
    <r>
      <rPr>
        <sz val="10"/>
        <color rgb="FF000000"/>
        <rFont val="DejaVu Sans"/>
        <family val="2"/>
      </rPr>
      <t xml:space="preserve">交叉验证</t>
    </r>
  </si>
  <si>
    <r>
      <rPr>
        <sz val="10"/>
        <color rgb="FF000000"/>
        <rFont val="Arial"/>
        <family val="0"/>
        <charset val="1"/>
      </rPr>
      <t xml:space="preserve">$38.3/</t>
    </r>
    <r>
      <rPr>
        <sz val="10"/>
        <color rgb="FF000000"/>
        <rFont val="DejaVu Sans"/>
        <family val="2"/>
      </rPr>
      <t xml:space="preserve">月（年付）</t>
    </r>
  </si>
  <si>
    <r>
      <rPr>
        <sz val="10"/>
        <color rgb="FF000000"/>
        <rFont val="Arial"/>
        <family val="0"/>
        <charset val="1"/>
      </rPr>
      <t xml:space="preserve">EchoTik </t>
    </r>
    <r>
      <rPr>
        <sz val="10"/>
        <color rgb="FF000000"/>
        <rFont val="DejaVu Sans"/>
        <family val="2"/>
      </rPr>
      <t xml:space="preserve">数据有 </t>
    </r>
    <r>
      <rPr>
        <sz val="10"/>
        <color rgb="FF000000"/>
        <rFont val="Arial"/>
        <family val="0"/>
        <charset val="1"/>
      </rPr>
      <t xml:space="preserve">15-25% </t>
    </r>
    <r>
      <rPr>
        <sz val="10"/>
        <color rgb="FF000000"/>
        <rFont val="DejaVu Sans"/>
        <family val="2"/>
      </rPr>
      <t xml:space="preserve">缺口，</t>
    </r>
    <r>
      <rPr>
        <sz val="10"/>
        <color rgb="FF000000"/>
        <rFont val="Arial"/>
        <family val="0"/>
        <charset val="1"/>
      </rPr>
      <t xml:space="preserve">Kalodata </t>
    </r>
    <r>
      <rPr>
        <sz val="10"/>
        <color rgb="FF000000"/>
        <rFont val="DejaVu Sans"/>
        <family val="2"/>
      </rPr>
      <t xml:space="preserve">是黄金标准</t>
    </r>
  </si>
  <si>
    <r>
      <rPr>
        <sz val="10"/>
        <color rgb="FF000000"/>
        <rFont val="DejaVu Sans"/>
        <family val="2"/>
      </rPr>
      <t xml:space="preserve">高客单 </t>
    </r>
    <r>
      <rPr>
        <sz val="10"/>
        <color rgb="FF000000"/>
        <rFont val="DejaVu Sans"/>
        <family val="2"/>
        <charset val="1"/>
      </rPr>
      <t xml:space="preserve">TT </t>
    </r>
    <r>
      <rPr>
        <sz val="10"/>
        <color rgb="FF000000"/>
        <rFont val="DejaVu Sans"/>
        <family val="2"/>
      </rPr>
      <t xml:space="preserve">投放前校准</t>
    </r>
  </si>
  <si>
    <t xml:space="preserve">Foreplay Inspiration</t>
  </si>
  <si>
    <r>
      <rPr>
        <sz val="10"/>
        <color rgb="FF000000"/>
        <rFont val="Arial"/>
        <family val="0"/>
        <charset val="1"/>
      </rPr>
      <t xml:space="preserve">Meta+TikTok </t>
    </r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Arial"/>
        <family val="0"/>
        <charset val="1"/>
      </rPr>
      <t xml:space="preserve">swipe + AI brief</t>
    </r>
  </si>
  <si>
    <r>
      <rPr>
        <sz val="10"/>
        <color rgb="FF000000"/>
        <rFont val="Arial"/>
        <family val="0"/>
        <charset val="1"/>
      </rPr>
      <t xml:space="preserve">📊 T1 </t>
    </r>
    <r>
      <rPr>
        <sz val="10"/>
        <color rgb="FF000000"/>
        <rFont val="DejaVu Sans"/>
        <family val="2"/>
      </rPr>
      <t xml:space="preserve">月度小计（含 </t>
    </r>
    <r>
      <rPr>
        <sz val="10"/>
        <color rgb="FF000000"/>
        <rFont val="Arial"/>
        <family val="0"/>
        <charset val="1"/>
      </rPr>
      <t xml:space="preserve">T0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</si>
  <si>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≈ $280-450/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</si>
  <si>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覆盖 </t>
    </r>
    <r>
      <rPr>
        <sz val="10"/>
        <color rgb="FF000000"/>
        <rFont val="DejaVu Sans"/>
        <family val="2"/>
        <charset val="1"/>
      </rPr>
      <t xml:space="preserve">5-Gate </t>
    </r>
    <r>
      <rPr>
        <sz val="10"/>
        <color rgb="FF000000"/>
        <rFont val="DejaVu Sans"/>
        <family val="2"/>
      </rPr>
      <t xml:space="preserve">选品所有数据维度</t>
    </r>
  </si>
  <si>
    <r>
      <rPr>
        <b val="true"/>
        <sz val="13"/>
        <color rgb="FF000000"/>
        <rFont val="Arial"/>
        <family val="0"/>
        <charset val="1"/>
      </rPr>
      <t xml:space="preserve">🟠 T2 — </t>
    </r>
    <r>
      <rPr>
        <b val="true"/>
        <sz val="13"/>
        <color rgb="FF000000"/>
        <rFont val="DejaVu Sans"/>
        <family val="2"/>
      </rPr>
      <t xml:space="preserve">规模化后（</t>
    </r>
    <r>
      <rPr>
        <b val="true"/>
        <sz val="13"/>
        <color rgb="FF000000"/>
        <rFont val="Arial"/>
        <family val="0"/>
        <charset val="1"/>
      </rPr>
      <t xml:space="preserve">Month 6+</t>
    </r>
    <r>
      <rPr>
        <b val="true"/>
        <sz val="13"/>
        <color rgb="FF000000"/>
        <rFont val="DejaVu Sans"/>
        <family val="2"/>
      </rPr>
      <t xml:space="preserve">，月预算 </t>
    </r>
    <r>
      <rPr>
        <b val="true"/>
        <sz val="13"/>
        <color rgb="FF000000"/>
        <rFont val="Arial"/>
        <family val="0"/>
        <charset val="1"/>
      </rPr>
      <t xml:space="preserve">~$800-2000</t>
    </r>
    <r>
      <rPr>
        <b val="true"/>
        <sz val="13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</si>
  <si>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继承 </t>
    </r>
    <r>
      <rPr>
        <sz val="10"/>
        <color rgb="FF000000"/>
        <rFont val="DejaVu Sans"/>
        <family val="2"/>
        <charset val="1"/>
      </rPr>
      <t xml:space="preserve">T1 </t>
    </r>
    <r>
      <rPr>
        <sz val="10"/>
        <color rgb="FF000000"/>
        <rFont val="DejaVu Sans"/>
        <family val="2"/>
      </rPr>
      <t xml:space="preserve">全部</t>
    </r>
  </si>
  <si>
    <r>
      <rPr>
        <sz val="10"/>
        <color rgb="FF000000"/>
        <rFont val="Arial"/>
        <family val="0"/>
        <charset val="1"/>
      </rPr>
      <t xml:space="preserve">Helium 10 Diamond</t>
    </r>
    <r>
      <rPr>
        <sz val="10"/>
        <color rgb="FF000000"/>
        <rFont val="DejaVu Sans"/>
        <family val="2"/>
      </rPr>
      <t xml:space="preserve">（替代卖家精灵）</t>
    </r>
  </si>
  <si>
    <r>
      <rPr>
        <sz val="10"/>
        <color rgb="FF000000"/>
        <rFont val="DejaVu Sans"/>
        <family val="2"/>
      </rPr>
      <t xml:space="preserve">深度选品 </t>
    </r>
    <r>
      <rPr>
        <sz val="10"/>
        <color rgb="FF000000"/>
        <rFont val="DejaVu Sans"/>
        <family val="2"/>
        <charset val="1"/>
      </rPr>
      <t xml:space="preserve">+ Adtomic PPC </t>
    </r>
    <r>
      <rPr>
        <sz val="10"/>
        <color rgb="FF000000"/>
        <rFont val="DejaVu Sans"/>
        <family val="2"/>
      </rPr>
      <t xml:space="preserve">自动化</t>
    </r>
  </si>
  <si>
    <r>
      <rPr>
        <sz val="10"/>
        <color rgb="FF000000"/>
        <rFont val="Arial"/>
        <family val="0"/>
        <charset val="1"/>
      </rPr>
      <t xml:space="preserve">GMV 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&gt;$50k </t>
    </r>
    <r>
      <rPr>
        <sz val="10"/>
        <color rgb="FF000000"/>
        <rFont val="DejaVu Sans"/>
        <family val="2"/>
      </rPr>
      <t xml:space="preserve">时可升级；卖家精灵 </t>
    </r>
    <r>
      <rPr>
        <sz val="10"/>
        <color rgb="FF000000"/>
        <rFont val="Arial"/>
        <family val="0"/>
        <charset val="1"/>
      </rPr>
      <t xml:space="preserve">+ Adtomic </t>
    </r>
    <r>
      <rPr>
        <sz val="10"/>
        <color rgb="FF000000"/>
        <rFont val="DejaVu Sans"/>
        <family val="2"/>
      </rPr>
      <t xml:space="preserve">单买 </t>
    </r>
    <r>
      <rPr>
        <sz val="10"/>
        <color rgb="FF000000"/>
        <rFont val="Arial"/>
        <family val="0"/>
        <charset val="1"/>
      </rPr>
      <t xml:space="preserve">$199 </t>
    </r>
    <r>
      <rPr>
        <sz val="10"/>
        <color rgb="FF000000"/>
        <rFont val="DejaVu Sans"/>
        <family val="2"/>
      </rPr>
      <t xml:space="preserve">也可</t>
    </r>
  </si>
  <si>
    <t xml:space="preserve">大规模时升级</t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</si>
  <si>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Meta </t>
    </r>
    <r>
      <rPr>
        <sz val="10"/>
        <color rgb="FF000000"/>
        <rFont val="DejaVu Sans"/>
        <family val="2"/>
      </rPr>
      <t xml:space="preserve">商业广告库唯一可用源</t>
    </r>
  </si>
  <si>
    <t xml:space="preserve">全球扩张必备</t>
  </si>
  <si>
    <t xml:space="preserve">SmartScout Essentials</t>
  </si>
  <si>
    <r>
      <rPr>
        <sz val="10"/>
        <color rgb="FF000000"/>
        <rFont val="Arial"/>
        <family val="0"/>
        <charset val="1"/>
      </rPr>
      <t xml:space="preserve">US </t>
    </r>
    <r>
      <rPr>
        <sz val="10"/>
        <color rgb="FF000000"/>
        <rFont val="DejaVu Sans"/>
        <family val="2"/>
      </rPr>
      <t xml:space="preserve">家居子类 </t>
    </r>
    <r>
      <rPr>
        <sz val="10"/>
        <color rgb="FF000000"/>
        <rFont val="Arial"/>
        <family val="0"/>
        <charset val="1"/>
      </rPr>
      <t xml:space="preserve">43k+ </t>
    </r>
    <r>
      <rPr>
        <sz val="10"/>
        <color rgb="FF000000"/>
        <rFont val="DejaVu Sans"/>
        <family val="2"/>
      </rPr>
      <t xml:space="preserve">品牌份额</t>
    </r>
  </si>
  <si>
    <r>
      <rPr>
        <sz val="10"/>
        <color rgb="FF000000"/>
        <rFont val="Arial"/>
        <family val="0"/>
        <charset val="1"/>
      </rPr>
      <t xml:space="preserve">$75/</t>
    </r>
    <r>
      <rPr>
        <sz val="10"/>
        <color rgb="FF000000"/>
        <rFont val="DejaVu Sans"/>
        <family val="2"/>
      </rPr>
      <t xml:space="preserve">月（年付）</t>
    </r>
  </si>
  <si>
    <r>
      <rPr>
        <sz val="10"/>
        <color rgb="FF000000"/>
        <rFont val="Arial"/>
        <family val="0"/>
        <charset val="1"/>
      </rPr>
      <t xml:space="preserve">US </t>
    </r>
    <r>
      <rPr>
        <sz val="10"/>
        <color rgb="FF000000"/>
        <rFont val="DejaVu Sans"/>
        <family val="2"/>
      </rPr>
      <t xml:space="preserve">主攻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家居家具子类目专长</t>
    </r>
  </si>
  <si>
    <r>
      <rPr>
        <sz val="10"/>
        <color rgb="FF000000"/>
        <rFont val="Arial"/>
        <family val="0"/>
        <charset val="1"/>
      </rPr>
      <t xml:space="preserve">US </t>
    </r>
    <r>
      <rPr>
        <sz val="10"/>
        <color rgb="FF000000"/>
        <rFont val="DejaVu Sans"/>
        <family val="2"/>
      </rPr>
      <t xml:space="preserve">深度竞品分析</t>
    </r>
  </si>
  <si>
    <t xml:space="preserve">FastMoss Ultimate</t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</si>
  <si>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15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DejaVu Sans"/>
        <family val="2"/>
        <charset val="1"/>
      </rPr>
      <t xml:space="preserve">TTS + </t>
    </r>
    <r>
      <rPr>
        <sz val="10"/>
        <color rgb="FF000000"/>
        <rFont val="DejaVu Sans"/>
        <family val="2"/>
      </rPr>
      <t xml:space="preserve">达人导出</t>
    </r>
  </si>
  <si>
    <r>
      <rPr>
        <sz val="10"/>
        <color rgb="FF000000"/>
        <rFont val="Arial"/>
        <family val="0"/>
        <charset val="1"/>
      </rPr>
      <t xml:space="preserve">$199/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</si>
  <si>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覆盖最广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达人联系方式批量导出</t>
    </r>
  </si>
  <si>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DejaVu Sans"/>
        <family val="2"/>
        <charset val="1"/>
      </rPr>
      <t xml:space="preserve">TT </t>
    </r>
    <r>
      <rPr>
        <sz val="10"/>
        <color rgb="FF000000"/>
        <rFont val="DejaVu Sans"/>
        <family val="2"/>
      </rPr>
      <t xml:space="preserve">扩张</t>
    </r>
  </si>
  <si>
    <r>
      <rPr>
        <sz val="10"/>
        <color rgb="FF000000"/>
        <rFont val="Arial"/>
        <family val="0"/>
        <charset val="1"/>
      </rPr>
      <t xml:space="preserve">Modash </t>
    </r>
    <r>
      <rPr>
        <sz val="10"/>
        <color rgb="FF000000"/>
        <rFont val="DejaVu Sans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Saral</t>
    </r>
  </si>
  <si>
    <t xml:space="preserve">达人发现</t>
  </si>
  <si>
    <r>
      <rPr>
        <sz val="10"/>
        <color rgb="FF000000"/>
        <rFont val="Arial"/>
        <family val="0"/>
        <charset val="1"/>
      </rPr>
      <t xml:space="preserve">$199-$499/</t>
    </r>
    <r>
      <rPr>
        <sz val="10"/>
        <color rgb="FF000000"/>
        <rFont val="DejaVu Sans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Modash</t>
    </r>
    <r>
      <rPr>
        <sz val="10"/>
        <color rgb="FF000000"/>
        <rFont val="DejaVu Sans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$200+ Saral</t>
    </r>
  </si>
  <si>
    <t xml:space="preserve">达人外联工具</t>
  </si>
  <si>
    <t xml:space="preserve">多触点归因</t>
  </si>
  <si>
    <r>
      <rPr>
        <sz val="10"/>
        <color rgb="FF000000"/>
        <rFont val="Arial"/>
        <family val="0"/>
        <charset val="1"/>
      </rPr>
      <t xml:space="preserve">$129-$1500/</t>
    </r>
    <r>
      <rPr>
        <sz val="10"/>
        <color rgb="FF000000"/>
        <rFont val="DejaVu Sans"/>
        <family val="2"/>
      </rPr>
      <t xml:space="preserve">月（按 </t>
    </r>
    <r>
      <rPr>
        <sz val="10"/>
        <color rgb="FF000000"/>
        <rFont val="Arial"/>
        <family val="0"/>
        <charset val="1"/>
      </rPr>
      <t xml:space="preserve">GMV </t>
    </r>
    <r>
      <rPr>
        <sz val="10"/>
        <color rgb="FF000000"/>
        <rFont val="DejaVu Sans"/>
        <family val="2"/>
      </rPr>
      <t xml:space="preserve">阶梯）</t>
    </r>
  </si>
  <si>
    <r>
      <rPr>
        <sz val="10"/>
        <color rgb="FF000000"/>
        <rFont val="Arial"/>
        <family val="0"/>
        <charset val="1"/>
      </rPr>
      <t xml:space="preserve">GMV &gt;$50k </t>
    </r>
    <r>
      <rPr>
        <sz val="10"/>
        <color rgb="FF000000"/>
        <rFont val="DejaVu Sans"/>
        <family val="2"/>
      </rPr>
      <t xml:space="preserve">升级</t>
    </r>
  </si>
  <si>
    <t xml:space="preserve">归因优化</t>
  </si>
  <si>
    <t xml:space="preserve">Zonos / Avalara Cross-Border API</t>
  </si>
  <si>
    <r>
      <rPr>
        <sz val="10"/>
        <color rgb="FF000000"/>
        <rFont val="Arial"/>
        <family val="0"/>
        <charset val="1"/>
      </rPr>
      <t xml:space="preserve">DDP checkout / </t>
    </r>
    <r>
      <rPr>
        <sz val="10"/>
        <color rgb="FF000000"/>
        <rFont val="DejaVu Sans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217 </t>
    </r>
    <r>
      <rPr>
        <sz val="10"/>
        <color rgb="FF000000"/>
        <rFont val="DejaVu Sans"/>
        <family val="2"/>
      </rPr>
      <t xml:space="preserve">国关税</t>
    </r>
  </si>
  <si>
    <r>
      <rPr>
        <sz val="10"/>
        <color rgb="FF000000"/>
        <rFont val="Arial"/>
        <family val="0"/>
        <charset val="1"/>
      </rPr>
      <t xml:space="preserve">$0.20-$0.50/</t>
    </r>
    <r>
      <rPr>
        <sz val="10"/>
        <color rgb="FF000000"/>
        <rFont val="DejaVu Sans"/>
        <family val="2"/>
      </rPr>
      <t xml:space="preserve">单（</t>
    </r>
    <r>
      <rPr>
        <sz val="10"/>
        <color rgb="FF000000"/>
        <rFont val="Arial"/>
        <family val="0"/>
        <charset val="1"/>
      </rPr>
      <t xml:space="preserve">1-2 </t>
    </r>
    <r>
      <rPr>
        <sz val="10"/>
        <color rgb="FF000000"/>
        <rFont val="DejaVu Sans"/>
        <family val="2"/>
      </rPr>
      <t xml:space="preserve">万件月 ≈ </t>
    </r>
    <r>
      <rPr>
        <sz val="10"/>
        <color rgb="FF000000"/>
        <rFont val="Arial"/>
        <family val="0"/>
        <charset val="1"/>
      </rPr>
      <t xml:space="preserve">$3-10k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</si>
  <si>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DejaVu Sans"/>
        <family val="2"/>
      </rPr>
      <t xml:space="preserve">国合规必需</t>
    </r>
  </si>
  <si>
    <t xml:space="preserve">全球扩张合规</t>
  </si>
  <si>
    <r>
      <rPr>
        <sz val="10"/>
        <color rgb="FF000000"/>
        <rFont val="Arial"/>
        <family val="0"/>
        <charset val="1"/>
      </rPr>
      <t xml:space="preserve">Avalara EU VAT (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IOSS </t>
    </r>
    <r>
      <rPr>
        <sz val="10"/>
        <color rgb="FF000000"/>
        <rFont val="DejaVu Sans"/>
        <family val="2"/>
      </rPr>
      <t xml:space="preserve">申报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</si>
  <si>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EU 27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VAT </t>
    </r>
    <r>
      <rPr>
        <sz val="10"/>
        <color rgb="FF000000"/>
        <rFont val="DejaVu Sans"/>
        <family val="2"/>
      </rPr>
      <t xml:space="preserve">合规</t>
    </r>
  </si>
  <si>
    <r>
      <rPr>
        <sz val="10"/>
        <color rgb="FF000000"/>
        <rFont val="Arial"/>
        <family val="0"/>
        <charset val="1"/>
      </rPr>
      <t xml:space="preserve">~$8-20k/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</si>
  <si>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主攻时必需</t>
    </r>
  </si>
  <si>
    <r>
      <rPr>
        <sz val="10"/>
        <color rgb="FF000000"/>
        <rFont val="Arial"/>
        <family val="0"/>
        <charset val="1"/>
      </rPr>
      <t xml:space="preserve">EU </t>
    </r>
    <r>
      <rPr>
        <sz val="10"/>
        <color rgb="FF000000"/>
        <rFont val="DejaVu Sans"/>
        <family val="2"/>
      </rPr>
      <t xml:space="preserve">合规深度</t>
    </r>
  </si>
  <si>
    <t xml:space="preserve">TikTok UGC + Spark Ads</t>
  </si>
  <si>
    <r>
      <rPr>
        <sz val="10"/>
        <color rgb="FF000000"/>
        <rFont val="Arial"/>
        <family val="0"/>
        <charset val="1"/>
      </rPr>
      <t xml:space="preserve">Spark Ads + UGC </t>
    </r>
    <r>
      <rPr>
        <sz val="10"/>
        <color rgb="FF000000"/>
        <rFont val="DejaVu Sans"/>
        <family val="2"/>
      </rPr>
      <t xml:space="preserve">量产</t>
    </r>
  </si>
  <si>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DejaVu Sans"/>
        <family val="2"/>
      </rPr>
      <t xml:space="preserve">达人合作</t>
    </r>
  </si>
  <si>
    <r>
      <rPr>
        <sz val="10"/>
        <color rgb="FF000000"/>
        <rFont val="Arial"/>
        <family val="0"/>
        <charset val="1"/>
      </rPr>
      <t xml:space="preserve">📊 T2 </t>
    </r>
    <r>
      <rPr>
        <sz val="10"/>
        <color rgb="FF000000"/>
        <rFont val="DejaVu Sans"/>
        <family val="2"/>
      </rPr>
      <t xml:space="preserve">月度小计（含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</si>
  <si>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≈ $800-2000/</t>
    </r>
    <r>
      <rPr>
        <sz val="10"/>
        <color rgb="FF000000"/>
        <rFont val="DejaVu Sans"/>
        <family val="2"/>
      </rPr>
      <t xml:space="preserve">月（不含 </t>
    </r>
    <r>
      <rPr>
        <sz val="10"/>
        <color rgb="FF000000"/>
        <rFont val="Arial"/>
        <family val="0"/>
        <charset val="1"/>
      </rPr>
      <t xml:space="preserve">Avalara EU VAT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</si>
  <si>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全球规模化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企业级合规</t>
    </r>
  </si>
  <si>
    <r>
      <rPr>
        <b val="true"/>
        <sz val="11"/>
        <color rgb="FF000000"/>
        <rFont val="DejaVu Sans"/>
        <family val="2"/>
      </rPr>
      <t xml:space="preserve">📊 三档预算对比（</t>
    </r>
    <r>
      <rPr>
        <b val="true"/>
        <sz val="11"/>
        <color rgb="FF000000"/>
        <rFont val="DejaVu Sans"/>
        <family val="2"/>
        <charset val="1"/>
      </rPr>
      <t xml:space="preserve">vs </t>
    </r>
    <r>
      <rPr>
        <b val="true"/>
        <sz val="11"/>
        <color rgb="FF000000"/>
        <rFont val="DejaVu Sans"/>
        <family val="2"/>
      </rPr>
      <t xml:space="preserve">全西方源组合）</t>
    </r>
  </si>
  <si>
    <t xml:space="preserve">档位</t>
  </si>
  <si>
    <r>
      <rPr>
        <b val="true"/>
        <sz val="11"/>
        <color rgb="FFFFFFFF"/>
        <rFont val="DejaVu Sans"/>
        <family val="2"/>
      </rPr>
      <t xml:space="preserve">月预算（国产</t>
    </r>
    <r>
      <rPr>
        <b val="true"/>
        <sz val="11"/>
        <color rgb="FFFFFFFF"/>
        <rFont val="DejaVu Sans"/>
        <family val="2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混合）</t>
    </r>
  </si>
  <si>
    <t xml:space="preserve">等效西方组合</t>
  </si>
  <si>
    <t xml:space="preserve">节省</t>
  </si>
  <si>
    <t xml:space="preserve">适用阶段</t>
  </si>
  <si>
    <r>
      <rPr>
        <sz val="10"/>
        <color rgb="FF000000"/>
        <rFont val="Arial"/>
        <family val="0"/>
        <charset val="1"/>
      </rPr>
      <t xml:space="preserve">T0 </t>
    </r>
    <r>
      <rPr>
        <sz val="10"/>
        <color rgb="FF000000"/>
        <rFont val="DejaVu Sans"/>
        <family val="2"/>
      </rPr>
      <t xml:space="preserve">必接</t>
    </r>
  </si>
  <si>
    <r>
      <rPr>
        <sz val="10"/>
        <color rgb="FF000000"/>
        <rFont val="Arial"/>
        <family val="0"/>
        <charset val="1"/>
      </rPr>
      <t xml:space="preserve">$60-120/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</si>
  <si>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$450-550/</t>
    </r>
    <r>
      <rPr>
        <sz val="10"/>
        <color rgb="FF000000"/>
        <rFont val="DejaVu Sans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H10 Diamond + Sellerboard + Kalodata Pro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</si>
  <si>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DejaVu Sans"/>
        <family val="2"/>
        <charset val="1"/>
      </rPr>
      <t xml:space="preserve">~$400/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(80%)</t>
    </r>
  </si>
  <si>
    <r>
      <rPr>
        <sz val="10"/>
        <color rgb="FF000000"/>
        <rFont val="Arial"/>
        <family val="0"/>
        <charset val="1"/>
      </rPr>
      <t xml:space="preserve">Week 1-2</t>
    </r>
    <r>
      <rPr>
        <sz val="10"/>
        <color rgb="FF000000"/>
        <rFont val="DejaVu Sans"/>
        <family val="2"/>
      </rPr>
      <t xml:space="preserve">，启动阶段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</si>
  <si>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DejaVu Sans"/>
        <family val="2"/>
      </rPr>
      <t xml:space="preserve">推荐</t>
    </r>
  </si>
  <si>
    <r>
      <rPr>
        <sz val="10"/>
        <color rgb="FF000000"/>
        <rFont val="Arial"/>
        <family val="0"/>
        <charset val="1"/>
      </rPr>
      <t xml:space="preserve">$280-450/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</si>
  <si>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$700-1200/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</si>
  <si>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DejaVu Sans"/>
        <family val="2"/>
        <charset val="1"/>
      </rPr>
      <t xml:space="preserve">~$400-700/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(50-60%)</t>
    </r>
  </si>
  <si>
    <r>
      <rPr>
        <sz val="10"/>
        <color rgb="FF000000"/>
        <rFont val="Arial"/>
        <family val="0"/>
        <charset val="1"/>
      </rPr>
      <t xml:space="preserve">Month 2-4</t>
    </r>
    <r>
      <rPr>
        <sz val="10"/>
        <color rgb="FF000000"/>
        <rFont val="DejaVu Sans"/>
        <family val="2"/>
      </rPr>
      <t xml:space="preserve">，验证模型</t>
    </r>
  </si>
  <si>
    <r>
      <rPr>
        <sz val="10"/>
        <color rgb="FF000000"/>
        <rFont val="Arial"/>
        <family val="0"/>
        <charset val="1"/>
      </rPr>
      <t xml:space="preserve">T2 </t>
    </r>
    <r>
      <rPr>
        <sz val="10"/>
        <color rgb="FF000000"/>
        <rFont val="DejaVu Sans"/>
        <family val="2"/>
      </rPr>
      <t xml:space="preserve">规模化</t>
    </r>
  </si>
  <si>
    <r>
      <rPr>
        <sz val="10"/>
        <color rgb="FF000000"/>
        <rFont val="Arial"/>
        <family val="0"/>
        <charset val="1"/>
      </rPr>
      <t xml:space="preserve">$800-2000/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</si>
  <si>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$2500-8000/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</si>
  <si>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省 </t>
    </r>
    <r>
      <rPr>
        <sz val="10"/>
        <color rgb="FF000000"/>
        <rFont val="DejaVu Sans"/>
        <family val="2"/>
        <charset val="1"/>
      </rPr>
      <t xml:space="preserve">~$1500-6000/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DejaVu Sans"/>
        <family val="2"/>
        <charset val="1"/>
      </rPr>
      <t xml:space="preserve">(60-75%)</t>
    </r>
  </si>
  <si>
    <r>
      <rPr>
        <sz val="10"/>
        <color rgb="FF000000"/>
        <rFont val="Arial"/>
        <family val="0"/>
        <charset val="1"/>
      </rPr>
      <t xml:space="preserve">Month 6+</t>
    </r>
    <r>
      <rPr>
        <sz val="10"/>
        <color rgb="FF000000"/>
        <rFont val="DejaVu Sans"/>
        <family val="2"/>
      </rPr>
      <t xml:space="preserve">，已验证 </t>
    </r>
    <r>
      <rPr>
        <sz val="10"/>
        <color rgb="FF000000"/>
        <rFont val="Arial"/>
        <family val="0"/>
        <charset val="1"/>
      </rPr>
      <t xml:space="preserve">PMF</t>
    </r>
  </si>
  <si>
    <r>
      <rPr>
        <b val="true"/>
        <sz val="14"/>
        <color rgb="FF1F4E78"/>
        <rFont val="DejaVu Sans"/>
        <family val="2"/>
      </rPr>
      <t xml:space="preserve">国产 </t>
    </r>
    <r>
      <rPr>
        <b val="true"/>
        <sz val="14"/>
        <color rgb="FF1F4E78"/>
        <rFont val="DejaVu Sans"/>
        <family val="2"/>
        <charset val="1"/>
      </rPr>
      <t xml:space="preserve">SaaS vs </t>
    </r>
    <r>
      <rPr>
        <b val="true"/>
        <sz val="14"/>
        <color rgb="FF1F4E78"/>
        <rFont val="DejaVu Sans"/>
        <family val="2"/>
      </rPr>
      <t xml:space="preserve">西方 </t>
    </r>
    <r>
      <rPr>
        <b val="true"/>
        <sz val="14"/>
        <color rgb="FF1F4E78"/>
        <rFont val="DejaVu Sans"/>
        <family val="2"/>
        <charset val="1"/>
      </rPr>
      <t xml:space="preserve">SaaS </t>
    </r>
    <r>
      <rPr>
        <b val="true"/>
        <sz val="14"/>
        <color rgb="FF1F4E78"/>
        <rFont val="DejaVu Sans"/>
        <family val="2"/>
      </rPr>
      <t xml:space="preserve">深度对比 — 哈奇米省钱决策依据</t>
    </r>
  </si>
  <si>
    <r>
      <rPr>
        <i val="true"/>
        <sz val="9"/>
        <color rgb="FF595959"/>
        <rFont val="DejaVu Sans"/>
        <family val="2"/>
      </rPr>
      <t xml:space="preserve">重点：每对比组明确「省多少钱 </t>
    </r>
    <r>
      <rPr>
        <i val="true"/>
        <sz val="9"/>
        <color rgb="FF595959"/>
        <rFont val="DejaVu Sans"/>
        <family val="2"/>
        <charset val="1"/>
      </rPr>
      <t xml:space="preserve">+ </t>
    </r>
    <r>
      <rPr>
        <i val="true"/>
        <sz val="9"/>
        <color rgb="FF595959"/>
        <rFont val="DejaVu Sans"/>
        <family val="2"/>
      </rPr>
      <t xml:space="preserve">数据完整度损失多少 </t>
    </r>
    <r>
      <rPr>
        <i val="true"/>
        <sz val="9"/>
        <color rgb="FF595959"/>
        <rFont val="DejaVu Sans"/>
        <family val="2"/>
        <charset val="1"/>
      </rPr>
      <t xml:space="preserve">+ </t>
    </r>
    <r>
      <rPr>
        <i val="true"/>
        <sz val="9"/>
        <color rgb="FF595959"/>
        <rFont val="DejaVu Sans"/>
        <family val="2"/>
      </rPr>
      <t xml:space="preserve">是否推荐切换」。可靠性 ★</t>
    </r>
    <r>
      <rPr>
        <i val="true"/>
        <sz val="9"/>
        <color rgb="FF595959"/>
        <rFont val="DejaVu Sans"/>
        <family val="2"/>
        <charset val="1"/>
      </rPr>
      <t xml:space="preserve">1-5</t>
    </r>
    <r>
      <rPr>
        <i val="true"/>
        <sz val="9"/>
        <color rgb="FF595959"/>
        <rFont val="DejaVu Sans"/>
        <family val="2"/>
      </rPr>
      <t xml:space="preserve">；数据缺口 </t>
    </r>
    <r>
      <rPr>
        <i val="true"/>
        <sz val="9"/>
        <color rgb="FF595959"/>
        <rFont val="DejaVu Sans"/>
        <family val="2"/>
        <charset val="1"/>
      </rPr>
      <t xml:space="preserve">= </t>
    </r>
    <r>
      <rPr>
        <i val="true"/>
        <sz val="9"/>
        <color rgb="FF595959"/>
        <rFont val="DejaVu Sans"/>
        <family val="2"/>
      </rPr>
      <t xml:space="preserve">国产相对西方缺失多少。</t>
    </r>
  </si>
  <si>
    <t xml:space="preserve">对比领域</t>
  </si>
  <si>
    <t xml:space="preserve">西方主流（贵）</t>
  </si>
  <si>
    <t xml:space="preserve">国产替代（便宜）</t>
  </si>
  <si>
    <r>
      <rPr>
        <b val="true"/>
        <sz val="11"/>
        <color rgb="FFFFFFFF"/>
        <rFont val="DejaVu Sans"/>
        <family val="2"/>
      </rPr>
      <t xml:space="preserve">省钱 </t>
    </r>
    <r>
      <rPr>
        <b val="true"/>
        <sz val="11"/>
        <color rgb="FFFFFFFF"/>
        <rFont val="DejaVu Sans"/>
        <family val="2"/>
        <charset val="1"/>
      </rPr>
      <t xml:space="preserve">%</t>
    </r>
  </si>
  <si>
    <t xml:space="preserve">数据完整度损失</t>
  </si>
  <si>
    <t xml:space="preserve">国产专属优势</t>
  </si>
  <si>
    <t xml:space="preserve">哈奇米推荐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</si>
  <si>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选品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关键词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评论</t>
    </r>
  </si>
  <si>
    <r>
      <rPr>
        <sz val="10"/>
        <color rgb="FF000000"/>
        <rFont val="Arial"/>
        <family val="0"/>
        <charset val="1"/>
      </rPr>
      <t xml:space="preserve">Helium 10 Diamond $359/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</si>
  <si>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DejaVu Sans"/>
        <family val="2"/>
      </rPr>
      <t xml:space="preserve">卖家精灵 标准版 </t>
    </r>
    <r>
      <rPr>
        <sz val="10"/>
        <color rgb="FF000000"/>
        <rFont val="DejaVu Sans"/>
        <family val="2"/>
        <charset val="1"/>
      </rPr>
      <t xml:space="preserve">$46</t>
    </r>
    <r>
      <rPr>
        <sz val="10"/>
        <color rgb="FF000000"/>
        <rFont val="DejaVu Sans"/>
        <family val="2"/>
      </rPr>
      <t xml:space="preserve">（优惠码 </t>
    </r>
    <r>
      <rPr>
        <sz val="10"/>
        <color rgb="FF000000"/>
        <rFont val="DejaVu Sans"/>
        <family val="2"/>
        <charset val="1"/>
      </rPr>
      <t xml:space="preserve">SPY78</t>
    </r>
    <r>
      <rPr>
        <sz val="10"/>
        <color rgb="FF000000"/>
        <rFont val="DejaVu Sans"/>
        <family val="2"/>
      </rPr>
      <t xml:space="preserve">）</t>
    </r>
  </si>
  <si>
    <t xml:space="preserve">88%</t>
  </si>
  <si>
    <r>
      <rPr>
        <sz val="10"/>
        <color rgb="FF000000"/>
        <rFont val="DejaVu Sans"/>
        <family val="2"/>
      </rPr>
      <t xml:space="preserve">中文 </t>
    </r>
    <r>
      <rPr>
        <sz val="10"/>
        <color rgb="FF000000"/>
        <rFont val="DejaVu Sans"/>
        <family val="2"/>
        <charset val="1"/>
      </rPr>
      <t xml:space="preserve">UI/</t>
    </r>
    <r>
      <rPr>
        <sz val="10"/>
        <color rgb="FF000000"/>
        <rFont val="DejaVu Sans"/>
        <family val="2"/>
      </rPr>
      <t xml:space="preserve">客服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微信群；中国 </t>
    </r>
    <r>
      <rPr>
        <sz val="10"/>
        <color rgb="FF000000"/>
        <rFont val="DejaVu Sans"/>
        <family val="2"/>
        <charset val="1"/>
      </rPr>
      <t xml:space="preserve">IP </t>
    </r>
    <r>
      <rPr>
        <sz val="10"/>
        <color rgb="FF000000"/>
        <rFont val="DejaVu Sans"/>
        <family val="2"/>
      </rPr>
      <t xml:space="preserve">直连无 </t>
    </r>
    <r>
      <rPr>
        <sz val="10"/>
        <color rgb="FF000000"/>
        <rFont val="DejaVu Sans"/>
        <family val="2"/>
        <charset val="1"/>
      </rPr>
      <t xml:space="preserve">VPN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DejaVu Sans"/>
        <family val="2"/>
        <charset val="1"/>
      </rPr>
      <t xml:space="preserve">AI </t>
    </r>
    <r>
      <rPr>
        <sz val="10"/>
        <color rgb="FF000000"/>
        <rFont val="DejaVu Sans"/>
        <family val="2"/>
      </rPr>
      <t xml:space="preserve">评论分析中文输出</t>
    </r>
  </si>
  <si>
    <t xml:space="preserve">✅ 切换（早期）</t>
  </si>
  <si>
    <r>
      <rPr>
        <sz val="10"/>
        <color rgb="FF000000"/>
        <rFont val="Arial"/>
        <family val="0"/>
        <charset val="1"/>
      </rPr>
      <t xml:space="preserve">Amazon ERP / </t>
    </r>
    <r>
      <rPr>
        <sz val="10"/>
        <color rgb="FF000000"/>
        <rFont val="DejaVu Sans"/>
        <family val="2"/>
      </rPr>
      <t xml:space="preserve">利润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库存</t>
    </r>
  </si>
  <si>
    <r>
      <rPr>
        <sz val="10"/>
        <color rgb="FF000000"/>
        <rFont val="Arial"/>
        <family val="0"/>
        <charset val="1"/>
      </rPr>
      <t xml:space="preserve">Sellerboard $29-$59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NetSuite $999+</t>
    </r>
  </si>
  <si>
    <r>
      <rPr>
        <sz val="10"/>
        <color rgb="FF000000"/>
        <rFont val="DejaVu Sans"/>
        <family val="2"/>
      </rPr>
      <t xml:space="preserve">领星 </t>
    </r>
    <r>
      <rPr>
        <sz val="10"/>
        <color rgb="FF000000"/>
        <rFont val="DejaVu Sans"/>
        <family val="2"/>
        <charset val="1"/>
      </rPr>
      <t xml:space="preserve">ERP </t>
    </r>
    <r>
      <rPr>
        <sz val="10"/>
        <color rgb="FF000000"/>
        <rFont val="DejaVu Sans"/>
        <family val="2"/>
      </rPr>
      <t xml:space="preserve">免费版（订单 </t>
    </r>
    <r>
      <rPr>
        <sz val="10"/>
        <color rgb="FF000000"/>
        <rFont val="DejaVu Sans"/>
        <family val="2"/>
        <charset val="1"/>
      </rPr>
      <t xml:space="preserve">&lt;5000/</t>
    </r>
    <r>
      <rPr>
        <sz val="10"/>
        <color rgb="FF000000"/>
        <rFont val="DejaVu Sans"/>
        <family val="2"/>
      </rPr>
      <t xml:space="preserve">月）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</si>
  <si>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DejaVu Sans"/>
        <family val="2"/>
      </rPr>
      <t xml:space="preserve">免费</t>
    </r>
  </si>
  <si>
    <r>
      <rPr>
        <sz val="10"/>
        <color rgb="FF000000"/>
        <rFont val="Arial"/>
        <family val="0"/>
        <charset val="1"/>
      </rPr>
      <t xml:space="preserve">5-10%</t>
    </r>
    <r>
      <rPr>
        <sz val="10"/>
        <color rgb="FF000000"/>
        <rFont val="DejaVu Sans"/>
        <family val="2"/>
      </rPr>
      <t xml:space="preserve">（利润需手动校正）</t>
    </r>
  </si>
  <si>
    <r>
      <rPr>
        <sz val="10"/>
        <color rgb="FF000000"/>
        <rFont val="DejaVu Sans"/>
        <family val="2"/>
      </rPr>
      <t xml:space="preserve">中文供应链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汇率</t>
    </r>
    <r>
      <rPr>
        <sz val="10"/>
        <color rgb="FF000000"/>
        <rFont val="DejaVu Sans"/>
        <family val="2"/>
        <charset val="1"/>
      </rPr>
      <t xml:space="preserve">/VAT </t>
    </r>
    <r>
      <rPr>
        <sz val="10"/>
        <color rgb="FF000000"/>
        <rFont val="DejaVu Sans"/>
        <family val="2"/>
      </rPr>
      <t xml:space="preserve">直连；</t>
    </r>
    <r>
      <rPr>
        <sz val="10"/>
        <color rgb="FF000000"/>
        <rFont val="DejaVu Sans"/>
        <family val="2"/>
        <charset val="1"/>
      </rPr>
      <t xml:space="preserve">5000 </t>
    </r>
    <r>
      <rPr>
        <sz val="10"/>
        <color rgb="FF000000"/>
        <rFont val="DejaVu Sans"/>
        <family val="2"/>
      </rPr>
      <t xml:space="preserve">单内免费门槛友好</t>
    </r>
  </si>
  <si>
    <r>
      <rPr>
        <sz val="10"/>
        <color rgb="FF000000"/>
        <rFont val="DejaVu Sans"/>
        <family val="2"/>
      </rPr>
      <t xml:space="preserve">✅ 切换（订单 </t>
    </r>
    <r>
      <rPr>
        <sz val="10"/>
        <color rgb="FF000000"/>
        <rFont val="DejaVu Sans"/>
        <family val="2"/>
        <charset val="1"/>
      </rPr>
      <t xml:space="preserve">&lt;5000/</t>
    </r>
    <r>
      <rPr>
        <sz val="10"/>
        <color rgb="FF000000"/>
        <rFont val="DejaVu Sans"/>
        <family val="2"/>
      </rPr>
      <t xml:space="preserve">月）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</si>
  <si>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多平台 </t>
    </r>
    <r>
      <rPr>
        <sz val="10"/>
        <color rgb="FF000000"/>
        <rFont val="Arial"/>
        <family val="0"/>
        <charset val="1"/>
      </rPr>
      <t xml:space="preserve">ERP</t>
    </r>
  </si>
  <si>
    <r>
      <rPr>
        <sz val="10"/>
        <color rgb="FF000000"/>
        <rFont val="Arial"/>
        <family val="0"/>
        <charset val="1"/>
      </rPr>
      <t xml:space="preserve">NetSuite + </t>
    </r>
    <r>
      <rPr>
        <sz val="10"/>
        <color rgb="FF000000"/>
        <rFont val="DejaVu Sans"/>
        <family val="2"/>
      </rPr>
      <t xml:space="preserve">各种独立 </t>
    </r>
    <r>
      <rPr>
        <sz val="10"/>
        <color rgb="FF000000"/>
        <rFont val="Arial"/>
        <family val="0"/>
        <charset val="1"/>
      </rPr>
      <t xml:space="preserve">SaaS</t>
    </r>
  </si>
  <si>
    <r>
      <rPr>
        <sz val="10"/>
        <color rgb="FF000000"/>
        <rFont val="DejaVu Sans"/>
        <family val="2"/>
      </rPr>
      <t xml:space="preserve">积加 </t>
    </r>
    <r>
      <rPr>
        <sz val="10"/>
        <color rgb="FF000000"/>
        <rFont val="DejaVu Sans"/>
        <family val="2"/>
        <charset val="1"/>
      </rPr>
      <t xml:space="preserve">ERP ¥3000-20000/</t>
    </r>
    <r>
      <rPr>
        <sz val="10"/>
        <color rgb="FF000000"/>
        <rFont val="DejaVu Sans"/>
        <family val="2"/>
      </rPr>
      <t xml:space="preserve">年（中型）</t>
    </r>
  </si>
  <si>
    <t xml:space="preserve">80-90%</t>
  </si>
  <si>
    <r>
      <rPr>
        <sz val="10"/>
        <color rgb="FF000000"/>
        <rFont val="Arial"/>
        <family val="0"/>
        <charset val="1"/>
      </rPr>
      <t xml:space="preserve">10-15%</t>
    </r>
    <r>
      <rPr>
        <sz val="10"/>
        <color rgb="FF000000"/>
        <rFont val="DejaVu Sans"/>
        <family val="2"/>
      </rPr>
      <t xml:space="preserve">（订单同步慢 </t>
    </r>
    <r>
      <rPr>
        <sz val="10"/>
        <color rgb="FF000000"/>
        <rFont val="Arial"/>
        <family val="0"/>
        <charset val="1"/>
      </rPr>
      <t xml:space="preserve">1h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</si>
  <si>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+ TT + </t>
    </r>
    <r>
      <rPr>
        <sz val="10"/>
        <color rgb="FF000000"/>
        <rFont val="DejaVu Sans"/>
        <family val="2"/>
      </rPr>
      <t xml:space="preserve">独立站 </t>
    </r>
    <r>
      <rPr>
        <sz val="10"/>
        <color rgb="FF000000"/>
        <rFont val="Arial"/>
        <family val="0"/>
        <charset val="1"/>
      </rPr>
      <t xml:space="preserve">+ Walmart </t>
    </r>
    <r>
      <rPr>
        <sz val="10"/>
        <color rgb="FF000000"/>
        <rFont val="DejaVu Sans"/>
        <family val="2"/>
      </rPr>
      <t xml:space="preserve">多平台一体；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DejaVu Sans"/>
        <family val="2"/>
      </rPr>
      <t xml:space="preserve">氪跨境多平台 </t>
    </r>
    <r>
      <rPr>
        <sz val="10"/>
        <color rgb="FF000000"/>
        <rFont val="Arial"/>
        <family val="0"/>
        <charset val="1"/>
      </rPr>
      <t xml:space="preserve">TOP1</t>
    </r>
  </si>
  <si>
    <t xml:space="preserve">✅ 切换（多平台并行）</t>
  </si>
  <si>
    <r>
      <rPr>
        <sz val="10"/>
        <color rgb="FF000000"/>
        <rFont val="Arial"/>
        <family val="0"/>
        <charset val="1"/>
      </rPr>
      <t xml:space="preserve">TikTok Shop </t>
    </r>
    <r>
      <rPr>
        <sz val="10"/>
        <color rgb="FF000000"/>
        <rFont val="DejaVu Sans"/>
        <family val="2"/>
      </rPr>
      <t xml:space="preserve">选品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达人</t>
    </r>
  </si>
  <si>
    <r>
      <rPr>
        <sz val="10"/>
        <color rgb="FF000000"/>
        <rFont val="Arial"/>
        <family val="0"/>
        <charset val="1"/>
      </rPr>
      <t xml:space="preserve">Kalodata Pro $99.9/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</si>
  <si>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EchoTik </t>
    </r>
    <r>
      <rPr>
        <sz val="10"/>
        <color rgb="FF000000"/>
        <rFont val="DejaVu Sans"/>
        <family val="2"/>
      </rPr>
      <t xml:space="preserve">专业版 </t>
    </r>
    <r>
      <rPr>
        <sz val="10"/>
        <color rgb="FF000000"/>
        <rFont val="Arial"/>
        <family val="0"/>
        <charset val="1"/>
      </rPr>
      <t xml:space="preserve">$60 + </t>
    </r>
    <r>
      <rPr>
        <sz val="10"/>
        <color rgb="FF000000"/>
        <rFont val="DejaVu Sans"/>
        <family val="2"/>
      </rPr>
      <t xml:space="preserve">蝉妈妈 </t>
    </r>
    <r>
      <rPr>
        <sz val="10"/>
        <color rgb="FF000000"/>
        <rFont val="Arial"/>
        <family val="0"/>
        <charset val="1"/>
      </rPr>
      <t xml:space="preserve">$12</t>
    </r>
  </si>
  <si>
    <t xml:space="preserve">60-70%</t>
  </si>
  <si>
    <r>
      <rPr>
        <sz val="10"/>
        <color rgb="FF000000"/>
        <rFont val="Arial"/>
        <family val="0"/>
        <charset val="1"/>
      </rPr>
      <t xml:space="preserve">15-25%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US/UK GMV </t>
    </r>
    <r>
      <rPr>
        <sz val="10"/>
        <color rgb="FF000000"/>
        <rFont val="DejaVu Sans"/>
        <family val="2"/>
      </rPr>
      <t xml:space="preserve">数据有缺口）</t>
    </r>
  </si>
  <si>
    <r>
      <rPr>
        <sz val="10"/>
        <color rgb="FF000000"/>
        <rFont val="DejaVu Sans"/>
        <family val="2"/>
      </rPr>
      <t xml:space="preserve">中文支付</t>
    </r>
    <r>
      <rPr>
        <sz val="10"/>
        <color rgb="FF000000"/>
        <rFont val="DejaVu Sans"/>
        <family val="2"/>
        <charset val="1"/>
      </rPr>
      <t xml:space="preserve">/UI</t>
    </r>
    <r>
      <rPr>
        <sz val="10"/>
        <color rgb="FF000000"/>
        <rFont val="DejaVu Sans"/>
        <family val="2"/>
      </rPr>
      <t xml:space="preserve">；价格灵活</t>
    </r>
  </si>
  <si>
    <r>
      <rPr>
        <sz val="10"/>
        <color rgb="FF000000"/>
        <rFont val="DejaVu Sans"/>
        <family val="2"/>
      </rPr>
      <t xml:space="preserve">⚠ 部分切换（保留 </t>
    </r>
    <r>
      <rPr>
        <sz val="10"/>
        <color rgb="FF000000"/>
        <rFont val="DejaVu Sans"/>
        <family val="2"/>
        <charset val="1"/>
      </rPr>
      <t xml:space="preserve">Kalodata Starter $38 </t>
    </r>
    <r>
      <rPr>
        <sz val="10"/>
        <color rgb="FF000000"/>
        <rFont val="DejaVu Sans"/>
        <family val="2"/>
      </rPr>
      <t xml:space="preserve">做交叉）</t>
    </r>
  </si>
  <si>
    <r>
      <rPr>
        <sz val="10"/>
        <color rgb="FF000000"/>
        <rFont val="Arial"/>
        <family val="0"/>
        <charset val="1"/>
      </rPr>
      <t xml:space="preserve">TikTok </t>
    </r>
    <r>
      <rPr>
        <sz val="10"/>
        <color rgb="FF000000"/>
        <rFont val="DejaVu Sans"/>
        <family val="2"/>
      </rPr>
      <t xml:space="preserve">全球（含 </t>
    </r>
    <r>
      <rPr>
        <sz val="10"/>
        <color rgb="FF000000"/>
        <rFont val="Arial"/>
        <family val="0"/>
        <charset val="1"/>
      </rPr>
      <t xml:space="preserve">JP/CA </t>
    </r>
    <r>
      <rPr>
        <sz val="10"/>
        <color rgb="FF000000"/>
        <rFont val="DejaVu Sans"/>
        <family val="2"/>
      </rPr>
      <t xml:space="preserve">预热）</t>
    </r>
  </si>
  <si>
    <r>
      <rPr>
        <sz val="10"/>
        <color rgb="FF000000"/>
        <rFont val="Arial"/>
        <family val="0"/>
        <charset val="1"/>
      </rPr>
      <t xml:space="preserve">FastMoss Ultimate $199/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</si>
  <si>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EchoTik + </t>
    </r>
    <r>
      <rPr>
        <sz val="10"/>
        <color rgb="FF000000"/>
        <rFont val="DejaVu Sans"/>
        <family val="2"/>
      </rPr>
      <t xml:space="preserve">蝉妈妈跨境组合 </t>
    </r>
    <r>
      <rPr>
        <sz val="10"/>
        <color rgb="FF000000"/>
        <rFont val="Arial"/>
        <family val="0"/>
        <charset val="1"/>
      </rPr>
      <t xml:space="preserve">~$72</t>
    </r>
  </si>
  <si>
    <t xml:space="preserve">64%</t>
  </si>
  <si>
    <r>
      <rPr>
        <sz val="10"/>
        <color rgb="FF000000"/>
        <rFont val="Arial"/>
        <family val="0"/>
        <charset val="1"/>
      </rPr>
      <t xml:space="preserve">20-30%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FastMoss </t>
    </r>
    <r>
      <rPr>
        <sz val="10"/>
        <color rgb="FF000000"/>
        <rFont val="DejaVu Sans"/>
        <family val="2"/>
      </rPr>
      <t xml:space="preserve">国家覆盖 </t>
    </r>
    <r>
      <rPr>
        <sz val="10"/>
        <color rgb="FF000000"/>
        <rFont val="Arial"/>
        <family val="0"/>
        <charset val="1"/>
      </rPr>
      <t xml:space="preserve">15 vs EchoTik 8</t>
    </r>
    <r>
      <rPr>
        <sz val="10"/>
        <color rgb="FF000000"/>
        <rFont val="DejaVu Sans"/>
        <family val="2"/>
      </rPr>
      <t xml:space="preserve">）</t>
    </r>
  </si>
  <si>
    <t xml:space="preserve">中文体验</t>
  </si>
  <si>
    <r>
      <rPr>
        <sz val="10"/>
        <color rgb="FF000000"/>
        <rFont val="DejaVu Sans"/>
        <family val="2"/>
      </rPr>
      <t xml:space="preserve">⚠ 看市场范围（仅 </t>
    </r>
    <r>
      <rPr>
        <sz val="10"/>
        <color rgb="FF000000"/>
        <rFont val="DejaVu Sans"/>
        <family val="2"/>
        <charset val="1"/>
      </rPr>
      <t xml:space="preserve">SEA+US/UK </t>
    </r>
    <r>
      <rPr>
        <sz val="10"/>
        <color rgb="FF000000"/>
        <rFont val="DejaVu Sans"/>
        <family val="2"/>
      </rPr>
      <t xml:space="preserve">可切；全球扩张回 </t>
    </r>
    <r>
      <rPr>
        <sz val="10"/>
        <color rgb="FF000000"/>
        <rFont val="DejaVu Sans"/>
        <family val="2"/>
        <charset val="1"/>
      </rPr>
      <t xml:space="preserve">FastMoss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</si>
  <si>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Listing </t>
    </r>
    <r>
      <rPr>
        <sz val="10"/>
        <color rgb="FF000000"/>
        <rFont val="DejaVu Sans"/>
        <family val="2"/>
      </rPr>
      <t xml:space="preserve">优化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移动端</t>
    </r>
  </si>
  <si>
    <t xml:space="preserve">Helium 10 Platinum $129</t>
  </si>
  <si>
    <r>
      <rPr>
        <sz val="10"/>
        <color rgb="FF000000"/>
        <rFont val="Arial"/>
        <family val="0"/>
        <charset val="1"/>
      </rPr>
      <t xml:space="preserve">Tool4seller ¥66.6-216.6/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($9-30)</t>
    </r>
  </si>
  <si>
    <t xml:space="preserve">75%</t>
  </si>
  <si>
    <t xml:space="preserve">20-30%</t>
  </si>
  <si>
    <r>
      <rPr>
        <sz val="10"/>
        <color rgb="FF000000"/>
        <rFont val="DejaVu Sans"/>
        <family val="2"/>
      </rPr>
      <t xml:space="preserve">移动 </t>
    </r>
    <r>
      <rPr>
        <sz val="10"/>
        <color rgb="FF000000"/>
        <rFont val="DejaVu Sans"/>
        <family val="2"/>
        <charset val="1"/>
      </rPr>
      <t xml:space="preserve">App </t>
    </r>
    <r>
      <rPr>
        <sz val="10"/>
        <color rgb="FF000000"/>
        <rFont val="DejaVu Sans"/>
        <family val="2"/>
      </rPr>
      <t xml:space="preserve">体验业内最佳；</t>
    </r>
    <r>
      <rPr>
        <sz val="10"/>
        <color rgb="FF000000"/>
        <rFont val="DejaVu Sans"/>
        <family val="2"/>
        <charset val="1"/>
      </rPr>
      <t xml:space="preserve">App Store </t>
    </r>
    <r>
      <rPr>
        <sz val="10"/>
        <color rgb="FF000000"/>
        <rFont val="DejaVu Sans"/>
        <family val="2"/>
      </rPr>
      <t xml:space="preserve">高分</t>
    </r>
  </si>
  <si>
    <r>
      <rPr>
        <sz val="10"/>
        <color rgb="FF000000"/>
        <rFont val="DejaVu Sans"/>
        <family val="2"/>
      </rPr>
      <t xml:space="preserve">✅ 移动端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出差监控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</si>
  <si>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财务深度分析</t>
    </r>
  </si>
  <si>
    <t xml:space="preserve">Sellerboard $59</t>
  </si>
  <si>
    <r>
      <rPr>
        <sz val="10"/>
        <color rgb="FF000000"/>
        <rFont val="DejaVu Sans"/>
        <family val="2"/>
      </rPr>
      <t xml:space="preserve">船长 </t>
    </r>
    <r>
      <rPr>
        <sz val="10"/>
        <color rgb="FF000000"/>
        <rFont val="DejaVu Sans"/>
        <family val="2"/>
        <charset val="1"/>
      </rPr>
      <t xml:space="preserve">BI </t>
    </r>
    <r>
      <rPr>
        <sz val="10"/>
        <color rgb="FF000000"/>
        <rFont val="DejaVu Sans"/>
        <family val="2"/>
      </rPr>
      <t xml:space="preserve">进阶 </t>
    </r>
    <r>
      <rPr>
        <sz val="10"/>
        <color rgb="FF000000"/>
        <rFont val="DejaVu Sans"/>
        <family val="2"/>
        <charset val="1"/>
      </rPr>
      <t xml:space="preserve">~$50/</t>
    </r>
    <r>
      <rPr>
        <sz val="10"/>
        <color rgb="FF000000"/>
        <rFont val="DejaVu Sans"/>
        <family val="2"/>
      </rPr>
      <t xml:space="preserve">月</t>
    </r>
  </si>
  <si>
    <t xml:space="preserve">15%</t>
  </si>
  <si>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DejaVu Sans"/>
        <family val="2"/>
      </rPr>
      <t xml:space="preserve">（广告优化弱）</t>
    </r>
  </si>
  <si>
    <r>
      <rPr>
        <sz val="10"/>
        <color rgb="FF000000"/>
        <rFont val="Arial"/>
        <family val="0"/>
        <charset val="1"/>
      </rPr>
      <t xml:space="preserve">SPN </t>
    </r>
    <r>
      <rPr>
        <sz val="10"/>
        <color rgb="FF000000"/>
        <rFont val="DejaVu Sans"/>
        <family val="2"/>
      </rPr>
      <t xml:space="preserve">服务商；</t>
    </r>
    <r>
      <rPr>
        <sz val="10"/>
        <color rgb="FF000000"/>
        <rFont val="Arial"/>
        <family val="0"/>
        <charset val="1"/>
      </rPr>
      <t xml:space="preserve">80+ </t>
    </r>
    <r>
      <rPr>
        <sz val="10"/>
        <color rgb="FF000000"/>
        <rFont val="DejaVu Sans"/>
        <family val="2"/>
      </rPr>
      <t xml:space="preserve">报表；中文发票</t>
    </r>
    <r>
      <rPr>
        <sz val="10"/>
        <color rgb="FF000000"/>
        <rFont val="Arial"/>
        <family val="0"/>
        <charset val="1"/>
      </rPr>
      <t xml:space="preserve">/VAT </t>
    </r>
    <r>
      <rPr>
        <sz val="10"/>
        <color rgb="FF000000"/>
        <rFont val="DejaVu Sans"/>
        <family val="2"/>
      </rPr>
      <t xml:space="preserve">服务一体</t>
    </r>
  </si>
  <si>
    <t xml:space="preserve">✅ 切换</t>
  </si>
  <si>
    <r>
      <rPr>
        <sz val="10"/>
        <color rgb="FF000000"/>
        <rFont val="Arial"/>
        <family val="0"/>
        <charset val="1"/>
      </rPr>
      <t xml:space="preserve">TikTok </t>
    </r>
    <r>
      <rPr>
        <sz val="10"/>
        <color rgb="FF000000"/>
        <rFont val="DejaVu Sans"/>
        <family val="2"/>
      </rPr>
      <t xml:space="preserve">选品（精品）</t>
    </r>
  </si>
  <si>
    <t xml:space="preserve">Kalodata Enterprise (custom)</t>
  </si>
  <si>
    <r>
      <rPr>
        <sz val="10"/>
        <color rgb="FF000000"/>
        <rFont val="DejaVu Sans"/>
        <family val="2"/>
      </rPr>
      <t xml:space="preserve">鸥鹭 团队版 </t>
    </r>
    <r>
      <rPr>
        <sz val="10"/>
        <color rgb="FF000000"/>
        <rFont val="DejaVu Sans"/>
        <family val="2"/>
        <charset val="1"/>
      </rPr>
      <t xml:space="preserve">~¥800-1500/</t>
    </r>
    <r>
      <rPr>
        <sz val="10"/>
        <color rgb="FF000000"/>
        <rFont val="DejaVu Sans"/>
        <family val="2"/>
      </rPr>
      <t xml:space="preserve">月</t>
    </r>
  </si>
  <si>
    <t xml:space="preserve">50%+</t>
  </si>
  <si>
    <t xml:space="preserve">20%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</si>
  <si>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平台一体；</t>
    </r>
    <r>
      <rPr>
        <sz val="10"/>
        <color rgb="FF000000"/>
        <rFont val="Arial"/>
        <family val="0"/>
        <charset val="1"/>
      </rPr>
      <t xml:space="preserve">BSR </t>
    </r>
    <r>
      <rPr>
        <sz val="10"/>
        <color rgb="FF000000"/>
        <rFont val="DejaVu Sans"/>
        <family val="2"/>
      </rPr>
      <t xml:space="preserve">动态揣摩竞品打法；中文专业培训</t>
    </r>
  </si>
  <si>
    <t xml:space="preserve">△ 进阶选品时再考虑</t>
  </si>
  <si>
    <r>
      <rPr>
        <sz val="10"/>
        <color rgb="FF000000"/>
        <rFont val="DejaVu Sans"/>
        <family val="2"/>
      </rPr>
      <t xml:space="preserve">打单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刊登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多平台</t>
    </r>
  </si>
  <si>
    <t xml:space="preserve">ShipStation $9.99-$159</t>
  </si>
  <si>
    <r>
      <rPr>
        <sz val="10"/>
        <color rgb="FF000000"/>
        <rFont val="DejaVu Sans"/>
        <family val="2"/>
      </rPr>
      <t xml:space="preserve">店小秘 免费版 </t>
    </r>
    <r>
      <rPr>
        <sz val="10"/>
        <color rgb="FF000000"/>
        <rFont val="DejaVu Sans"/>
        <family val="2"/>
        <charset val="1"/>
      </rPr>
      <t xml:space="preserve">+ VIP1 ¥2016/</t>
    </r>
    <r>
      <rPr>
        <sz val="10"/>
        <color rgb="FF000000"/>
        <rFont val="DejaVu Sans"/>
        <family val="2"/>
      </rPr>
      <t xml:space="preserve">年（</t>
    </r>
    <r>
      <rPr>
        <sz val="10"/>
        <color rgb="FF000000"/>
        <rFont val="DejaVu Sans"/>
        <family val="2"/>
        <charset val="1"/>
      </rPr>
      <t xml:space="preserve">~$23/</t>
    </r>
    <r>
      <rPr>
        <sz val="10"/>
        <color rgb="FF000000"/>
        <rFont val="DejaVu Sans"/>
        <family val="2"/>
      </rPr>
      <t xml:space="preserve">月）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</si>
  <si>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DejaVu Sans"/>
        <family val="2"/>
      </rPr>
      <t xml:space="preserve">免费起</t>
    </r>
  </si>
  <si>
    <t xml:space="preserve">数据分析弱</t>
  </si>
  <si>
    <r>
      <rPr>
        <sz val="10"/>
        <color rgb="FF000000"/>
        <rFont val="Arial"/>
        <family val="0"/>
        <charset val="1"/>
      </rPr>
      <t xml:space="preserve">180w </t>
    </r>
    <r>
      <rPr>
        <sz val="10"/>
        <color rgb="FF000000"/>
        <rFont val="DejaVu Sans"/>
        <family val="2"/>
      </rPr>
      <t xml:space="preserve">国产卖家心智第一；</t>
    </r>
    <r>
      <rPr>
        <sz val="10"/>
        <color rgb="FF000000"/>
        <rFont val="Arial"/>
        <family val="0"/>
        <charset val="1"/>
      </rPr>
      <t xml:space="preserve">70+ </t>
    </r>
    <r>
      <rPr>
        <sz val="10"/>
        <color rgb="FF000000"/>
        <rFont val="DejaVu Sans"/>
        <family val="2"/>
      </rPr>
      <t xml:space="preserve">平台覆盖</t>
    </r>
  </si>
  <si>
    <t xml:space="preserve">✅ 切换（仅打单需求）</t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</si>
  <si>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采购 </t>
    </r>
    <r>
      <rPr>
        <sz val="10"/>
        <color rgb="FF000000"/>
        <rFont val="Arial"/>
        <family val="0"/>
        <charset val="1"/>
      </rPr>
      <t xml:space="preserve">API</t>
    </r>
  </si>
  <si>
    <r>
      <rPr>
        <sz val="10"/>
        <color rgb="FF000000"/>
        <rFont val="Arial"/>
        <family val="0"/>
        <charset val="1"/>
      </rPr>
      <t xml:space="preserve">Apify 1688 actors $49+ + </t>
    </r>
    <r>
      <rPr>
        <sz val="10"/>
        <color rgb="FF000000"/>
        <rFont val="DejaVu Sans"/>
        <family val="2"/>
      </rPr>
      <t xml:space="preserve">各种代理</t>
    </r>
  </si>
  <si>
    <r>
      <rPr>
        <sz val="10"/>
        <color rgb="FF000000"/>
        <rFont val="Arial"/>
        <family val="0"/>
        <charset val="1"/>
      </rPr>
      <t xml:space="preserve">OneBound </t>
    </r>
    <r>
      <rPr>
        <sz val="10"/>
        <color rgb="FF000000"/>
        <rFont val="DejaVu Sans"/>
        <family val="2"/>
      </rPr>
      <t xml:space="preserve">万邦 </t>
    </r>
    <r>
      <rPr>
        <sz val="10"/>
        <color rgb="FF000000"/>
        <rFont val="Arial"/>
        <family val="0"/>
        <charset val="1"/>
      </rPr>
      <t xml:space="preserve">¥99-500/</t>
    </r>
    <r>
      <rPr>
        <sz val="10"/>
        <color rgb="FF000000"/>
        <rFont val="DejaVu Sans"/>
        <family val="2"/>
      </rPr>
      <t xml:space="preserve">月</t>
    </r>
  </si>
  <si>
    <t xml:space="preserve">5%</t>
  </si>
  <si>
    <r>
      <rPr>
        <sz val="10"/>
        <color rgb="FF000000"/>
        <rFont val="DejaVu Sans"/>
        <family val="2"/>
      </rPr>
      <t xml:space="preserve">中文支持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国内付款；中国卖家首选</t>
    </r>
  </si>
  <si>
    <t xml:space="preserve">✅ 切换（绝对优势）</t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</si>
  <si>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关键词反查（深度）</t>
    </r>
  </si>
  <si>
    <t xml:space="preserve">Helium 10 Cerebro / Magnet $359</t>
  </si>
  <si>
    <r>
      <rPr>
        <sz val="10"/>
        <color rgb="FF000000"/>
        <rFont val="Arial"/>
        <family val="0"/>
        <charset val="1"/>
      </rPr>
      <t xml:space="preserve">AsinSeed ¥99-299 + </t>
    </r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Arial"/>
        <family val="0"/>
        <charset val="1"/>
      </rPr>
      <t xml:space="preserve">$46</t>
    </r>
  </si>
  <si>
    <t xml:space="preserve">70-85%</t>
  </si>
  <si>
    <t xml:space="preserve">中文词库；词根针对中国卖家优化</t>
  </si>
  <si>
    <r>
      <rPr>
        <sz val="10"/>
        <color rgb="FF000000"/>
        <rFont val="DejaVu Sans"/>
        <family val="2"/>
      </rPr>
      <t xml:space="preserve">税务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关税合规</t>
    </r>
  </si>
  <si>
    <r>
      <rPr>
        <sz val="10"/>
        <color rgb="FF000000"/>
        <rFont val="Arial"/>
        <family val="0"/>
        <charset val="1"/>
      </rPr>
      <t xml:space="preserve">Avalara $500-2k/</t>
    </r>
    <r>
      <rPr>
        <sz val="10"/>
        <color rgb="FF000000"/>
        <rFont val="DejaVu Sans"/>
        <family val="2"/>
      </rPr>
      <t xml:space="preserve">月；</t>
    </r>
    <r>
      <rPr>
        <sz val="10"/>
        <color rgb="FF000000"/>
        <rFont val="Arial"/>
        <family val="0"/>
        <charset val="1"/>
      </rPr>
      <t xml:space="preserve">Zonos $0.20-0.50/</t>
    </r>
    <r>
      <rPr>
        <sz val="10"/>
        <color rgb="FF000000"/>
        <rFont val="DejaVu Sans"/>
        <family val="2"/>
      </rPr>
      <t xml:space="preserve">单</t>
    </r>
  </si>
  <si>
    <r>
      <rPr>
        <sz val="10"/>
        <color rgb="FF000000"/>
        <rFont val="Arial"/>
        <family val="0"/>
        <charset val="1"/>
      </rPr>
      <t xml:space="preserve">WTO + TARIC + </t>
    </r>
    <r>
      <rPr>
        <sz val="10"/>
        <color rgb="FF000000"/>
        <rFont val="DejaVu Sans"/>
        <family val="2"/>
      </rPr>
      <t xml:space="preserve">各国海关 免费表 </t>
    </r>
    <r>
      <rPr>
        <sz val="10"/>
        <color rgb="FF000000"/>
        <rFont val="Arial"/>
        <family val="0"/>
        <charset val="1"/>
      </rPr>
      <t xml:space="preserve">+ Avalara </t>
    </r>
    <r>
      <rPr>
        <sz val="10"/>
        <color rgb="FF000000"/>
        <rFont val="DejaVu Sans"/>
        <family val="2"/>
      </rPr>
      <t xml:space="preserve">仅 </t>
    </r>
    <r>
      <rPr>
        <sz val="10"/>
        <color rgb="FF000000"/>
        <rFont val="Arial"/>
        <family val="0"/>
        <charset val="1"/>
      </rPr>
      <t xml:space="preserve">US sales tax (TaxJar $99)</t>
    </r>
  </si>
  <si>
    <t xml:space="preserve">60-80%</t>
  </si>
  <si>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DejaVu Sans"/>
        <family val="2"/>
      </rPr>
      <t xml:space="preserve">（仅静态表无实时）</t>
    </r>
  </si>
  <si>
    <t xml:space="preserve">—（合规必须用西方）</t>
  </si>
  <si>
    <r>
      <rPr>
        <sz val="10"/>
        <color rgb="FF000000"/>
        <rFont val="DejaVu Sans"/>
        <family val="2"/>
      </rPr>
      <t xml:space="preserve">⚠ 仅 </t>
    </r>
    <r>
      <rPr>
        <sz val="10"/>
        <color rgb="FF000000"/>
        <rFont val="DejaVu Sans"/>
        <family val="2"/>
        <charset val="1"/>
      </rPr>
      <t xml:space="preserve">US </t>
    </r>
    <r>
      <rPr>
        <sz val="10"/>
        <color rgb="FF000000"/>
        <rFont val="DejaVu Sans"/>
        <family val="2"/>
      </rPr>
      <t xml:space="preserve">用 </t>
    </r>
    <r>
      <rPr>
        <sz val="10"/>
        <color rgb="FF000000"/>
        <rFont val="DejaVu Sans"/>
        <family val="2"/>
        <charset val="1"/>
      </rPr>
      <t xml:space="preserve">TaxJar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DejaVu Sans"/>
        <family val="2"/>
        <charset val="1"/>
      </rPr>
      <t xml:space="preserve">EU/</t>
    </r>
    <r>
      <rPr>
        <sz val="10"/>
        <color rgb="FF000000"/>
        <rFont val="DejaVu Sans"/>
        <family val="2"/>
      </rPr>
      <t xml:space="preserve">全球仍用 </t>
    </r>
    <r>
      <rPr>
        <sz val="10"/>
        <color rgb="FF000000"/>
        <rFont val="DejaVu Sans"/>
        <family val="2"/>
        <charset val="1"/>
      </rPr>
      <t xml:space="preserve">Avalara</t>
    </r>
  </si>
  <si>
    <r>
      <rPr>
        <b val="true"/>
        <sz val="11"/>
        <color rgb="FF000000"/>
        <rFont val="DejaVu Sans"/>
        <family val="2"/>
      </rPr>
      <t xml:space="preserve">⚠ 国产 </t>
    </r>
    <r>
      <rPr>
        <b val="true"/>
        <sz val="11"/>
        <color rgb="FF000000"/>
        <rFont val="DejaVu Sans"/>
        <family val="2"/>
        <charset val="1"/>
      </rPr>
      <t xml:space="preserve">SaaS </t>
    </r>
    <r>
      <rPr>
        <b val="true"/>
        <sz val="11"/>
        <color rgb="FF000000"/>
        <rFont val="DejaVu Sans"/>
        <family val="2"/>
      </rPr>
      <t xml:space="preserve">避坑清单</t>
    </r>
  </si>
  <si>
    <t xml:space="preserve">问题</t>
  </si>
  <si>
    <t xml:space="preserve">原因</t>
  </si>
  <si>
    <t xml:space="preserve">替代建议</t>
  </si>
  <si>
    <t xml:space="preserve">知瓜数据跨境版</t>
  </si>
  <si>
    <t xml:space="preserve">❌ 已基本停更</t>
  </si>
  <si>
    <r>
      <rPr>
        <sz val="10"/>
        <color rgb="FF000000"/>
        <rFont val="Arial"/>
        <family val="0"/>
        <charset val="1"/>
      </rPr>
      <t xml:space="preserve">2021 </t>
    </r>
    <r>
      <rPr>
        <sz val="10"/>
        <color rgb="FF000000"/>
        <rFont val="DejaVu Sans"/>
        <family val="2"/>
      </rPr>
      <t xml:space="preserve">后停止淘宝直播查询，跨境模块未开发</t>
    </r>
  </si>
  <si>
    <r>
      <rPr>
        <sz val="10"/>
        <color rgb="FF000000"/>
        <rFont val="DejaVu Sans"/>
        <family val="2"/>
      </rPr>
      <t xml:space="preserve">用 </t>
    </r>
    <r>
      <rPr>
        <sz val="10"/>
        <color rgb="FF000000"/>
        <rFont val="DejaVu Sans"/>
        <family val="2"/>
        <charset val="1"/>
      </rPr>
      <t xml:space="preserve">EchoTik / </t>
    </r>
    <r>
      <rPr>
        <sz val="10"/>
        <color rgb="FF000000"/>
        <rFont val="DejaVu Sans"/>
        <family val="2"/>
      </rPr>
      <t xml:space="preserve">蝉妈妈</t>
    </r>
  </si>
  <si>
    <t xml:space="preserve">鲲鹏选品</t>
  </si>
  <si>
    <t xml:space="preserve">⚠ 营销吹捧多</t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</si>
  <si>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DejaVu Sans"/>
        <family val="2"/>
      </rPr>
      <t xml:space="preserve">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知乎独立评测稀少，数据完整度损失 </t>
    </r>
    <r>
      <rPr>
        <sz val="10"/>
        <color rgb="FF000000"/>
        <rFont val="Arial"/>
        <family val="0"/>
        <charset val="1"/>
      </rPr>
      <t xml:space="preserve">50%+</t>
    </r>
  </si>
  <si>
    <r>
      <rPr>
        <sz val="10"/>
        <color rgb="FF000000"/>
        <rFont val="DejaVu Sans"/>
        <family val="2"/>
      </rPr>
      <t xml:space="preserve">用 </t>
    </r>
    <r>
      <rPr>
        <sz val="10"/>
        <color rgb="FF000000"/>
        <rFont val="DejaVu Sans"/>
        <family val="2"/>
        <charset val="1"/>
      </rPr>
      <t xml:space="preserve">EchoTik / Kalodata</t>
    </r>
  </si>
  <si>
    <r>
      <rPr>
        <sz val="10"/>
        <color rgb="FF000000"/>
        <rFont val="DejaVu Sans"/>
        <family val="2"/>
      </rPr>
      <t xml:space="preserve">抖参谋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抖小盒</t>
    </r>
  </si>
  <si>
    <t xml:space="preserve">⚠ 跨境弱</t>
  </si>
  <si>
    <t xml:space="preserve">主国内抖音，跨境数据未独立开发</t>
  </si>
  <si>
    <r>
      <rPr>
        <sz val="10"/>
        <color rgb="FF000000"/>
        <rFont val="DejaVu Sans"/>
        <family val="2"/>
      </rPr>
      <t xml:space="preserve">纯抖音用，跨境用 </t>
    </r>
    <r>
      <rPr>
        <sz val="10"/>
        <color rgb="FF000000"/>
        <rFont val="DejaVu Sans"/>
        <family val="2"/>
        <charset val="1"/>
      </rPr>
      <t xml:space="preserve">EchoTik</t>
    </r>
  </si>
  <si>
    <t xml:space="preserve">飞瓜数据跨境模块</t>
  </si>
  <si>
    <t xml:space="preserve">⚠ 更新慢</t>
  </si>
  <si>
    <t xml:space="preserve">跨境模块近一年未明显迭代</t>
  </si>
  <si>
    <r>
      <rPr>
        <sz val="10"/>
        <color rgb="FF000000"/>
        <rFont val="DejaVu Sans"/>
        <family val="2"/>
      </rPr>
      <t xml:space="preserve">用 </t>
    </r>
    <r>
      <rPr>
        <sz val="10"/>
        <color rgb="FF000000"/>
        <rFont val="DejaVu Sans"/>
        <family val="2"/>
        <charset val="1"/>
      </rPr>
      <t xml:space="preserve">EchoTik / </t>
    </r>
    <r>
      <rPr>
        <sz val="10"/>
        <color rgb="FF000000"/>
        <rFont val="DejaVu Sans"/>
        <family val="2"/>
      </rPr>
      <t xml:space="preserve">蝉妈妈跨境</t>
    </r>
  </si>
  <si>
    <t xml:space="preserve">拍立淘第三方爬虫</t>
  </si>
  <si>
    <t xml:space="preserve">❌ 封号风险</t>
  </si>
  <si>
    <t xml:space="preserve">灰色边缘，长期不稳定</t>
  </si>
  <si>
    <r>
      <rPr>
        <sz val="10"/>
        <color rgb="FF000000"/>
        <rFont val="DejaVu Sans"/>
        <family val="2"/>
      </rPr>
      <t xml:space="preserve">用 </t>
    </r>
    <r>
      <rPr>
        <sz val="10"/>
        <color rgb="FF000000"/>
        <rFont val="DejaVu Sans"/>
        <family val="2"/>
        <charset val="1"/>
      </rPr>
      <t xml:space="preserve">OneBound </t>
    </r>
    <r>
      <rPr>
        <sz val="10"/>
        <color rgb="FF000000"/>
        <rFont val="DejaVu Sans"/>
        <family val="2"/>
      </rPr>
      <t xml:space="preserve">正规 </t>
    </r>
    <r>
      <rPr>
        <sz val="10"/>
        <color rgb="FF000000"/>
        <rFont val="DejaVu Sans"/>
        <family val="2"/>
        <charset val="1"/>
      </rPr>
      <t xml:space="preserve">API</t>
    </r>
  </si>
  <si>
    <r>
      <rPr>
        <sz val="10"/>
        <color rgb="FF000000"/>
        <rFont val="DejaVu Sans"/>
        <family val="2"/>
      </rPr>
      <t xml:space="preserve">易仓 </t>
    </r>
    <r>
      <rPr>
        <sz val="10"/>
        <color rgb="FF000000"/>
        <rFont val="DejaVu Sans"/>
        <family val="2"/>
        <charset val="1"/>
      </rPr>
      <t xml:space="preserve">ECCANG ERP</t>
    </r>
  </si>
  <si>
    <t xml:space="preserve">⚠ 太贵</t>
  </si>
  <si>
    <r>
      <rPr>
        <sz val="10"/>
        <color rgb="FF000000"/>
        <rFont val="Arial"/>
        <family val="0"/>
        <charset val="1"/>
      </rPr>
      <t xml:space="preserve">¥70k+/</t>
    </r>
    <r>
      <rPr>
        <sz val="10"/>
        <color rgb="FF000000"/>
        <rFont val="DejaVu Sans"/>
        <family val="2"/>
      </rPr>
      <t xml:space="preserve">年 中小卖家不友好</t>
    </r>
  </si>
  <si>
    <r>
      <rPr>
        <sz val="10"/>
        <color rgb="FF000000"/>
        <rFont val="DejaVu Sans"/>
        <family val="2"/>
      </rPr>
      <t xml:space="preserve">用领星 </t>
    </r>
    <r>
      <rPr>
        <sz val="10"/>
        <color rgb="FF000000"/>
        <rFont val="DejaVu Sans"/>
        <family val="2"/>
        <charset val="1"/>
      </rPr>
      <t xml:space="preserve">/ </t>
    </r>
    <r>
      <rPr>
        <sz val="10"/>
        <color rgb="FF000000"/>
        <rFont val="DejaVu Sans"/>
        <family val="2"/>
      </rPr>
      <t xml:space="preserve">积加</t>
    </r>
  </si>
  <si>
    <r>
      <rPr>
        <sz val="10"/>
        <color rgb="FF000000"/>
        <rFont val="DejaVu Sans"/>
        <family val="2"/>
      </rPr>
      <t xml:space="preserve">领星 </t>
    </r>
    <r>
      <rPr>
        <sz val="10"/>
        <color rgb="FF000000"/>
        <rFont val="DejaVu Sans"/>
        <family val="2"/>
        <charset val="1"/>
      </rPr>
      <t xml:space="preserve">ERP </t>
    </r>
    <r>
      <rPr>
        <sz val="10"/>
        <color rgb="FF000000"/>
        <rFont val="DejaVu Sans"/>
        <family val="2"/>
      </rPr>
      <t xml:space="preserve">利润报表</t>
    </r>
  </si>
  <si>
    <t xml:space="preserve">⚠ 数据不准</t>
  </si>
  <si>
    <t xml:space="preserve">知乎多用户反映需手动校正</t>
  </si>
  <si>
    <r>
      <rPr>
        <sz val="10"/>
        <color rgb="FF000000"/>
        <rFont val="DejaVu Sans"/>
        <family val="2"/>
      </rPr>
      <t xml:space="preserve">手动抽样校正 </t>
    </r>
    <r>
      <rPr>
        <sz val="10"/>
        <color rgb="FF000000"/>
        <rFont val="DejaVu Sans"/>
        <family val="2"/>
        <charset val="1"/>
      </rPr>
      <t xml:space="preserve">+ </t>
    </r>
    <r>
      <rPr>
        <sz val="10"/>
        <color rgb="FF000000"/>
        <rFont val="DejaVu Sans"/>
        <family val="2"/>
      </rPr>
      <t xml:space="preserve">自家财务对账</t>
    </r>
  </si>
  <si>
    <t xml:space="preserve">卖家精灵 数据完整度</t>
  </si>
  <si>
    <r>
      <rPr>
        <sz val="10"/>
        <color rgb="FF000000"/>
        <rFont val="DejaVu Sans"/>
        <family val="2"/>
      </rPr>
      <t xml:space="preserve">⚠ 比 </t>
    </r>
    <r>
      <rPr>
        <sz val="10"/>
        <color rgb="FF000000"/>
        <rFont val="DejaVu Sans"/>
        <family val="2"/>
        <charset val="1"/>
      </rPr>
      <t xml:space="preserve">H10 </t>
    </r>
    <r>
      <rPr>
        <sz val="10"/>
        <color rgb="FF000000"/>
        <rFont val="DejaVu Sans"/>
        <family val="2"/>
      </rPr>
      <t xml:space="preserve">少 </t>
    </r>
    <r>
      <rPr>
        <sz val="10"/>
        <color rgb="FF000000"/>
        <rFont val="DejaVu Sans"/>
        <family val="2"/>
        <charset val="1"/>
      </rPr>
      <t xml:space="preserve">10-15%</t>
    </r>
  </si>
  <si>
    <r>
      <rPr>
        <sz val="10"/>
        <color rgb="FF000000"/>
        <rFont val="DejaVu Sans"/>
        <family val="2"/>
      </rPr>
      <t xml:space="preserve">新品偏高估，</t>
    </r>
    <r>
      <rPr>
        <sz val="10"/>
        <color rgb="FF000000"/>
        <rFont val="DejaVu Sans"/>
        <family val="2"/>
        <charset val="1"/>
      </rPr>
      <t xml:space="preserve">5000+ </t>
    </r>
    <r>
      <rPr>
        <sz val="10"/>
        <color rgb="FF000000"/>
        <rFont val="DejaVu Sans"/>
        <family val="2"/>
      </rPr>
      <t xml:space="preserve">数据浏览限 </t>
    </r>
    <r>
      <rPr>
        <sz val="10"/>
        <color rgb="FF000000"/>
        <rFont val="DejaVu Sans"/>
        <family val="2"/>
        <charset val="1"/>
      </rPr>
      <t xml:space="preserve">2000+</t>
    </r>
  </si>
  <si>
    <r>
      <rPr>
        <sz val="10"/>
        <color rgb="FF000000"/>
        <rFont val="DejaVu Sans"/>
        <family val="2"/>
      </rPr>
      <t xml:space="preserve">高客单</t>
    </r>
    <r>
      <rPr>
        <sz val="10"/>
        <color rgb="FF000000"/>
        <rFont val="DejaVu Sans"/>
        <family val="2"/>
        <charset val="1"/>
      </rPr>
      <t xml:space="preserve">/</t>
    </r>
    <r>
      <rPr>
        <sz val="10"/>
        <color rgb="FF000000"/>
        <rFont val="DejaVu Sans"/>
        <family val="2"/>
      </rPr>
      <t xml:space="preserve">规模化后升 </t>
    </r>
    <r>
      <rPr>
        <sz val="10"/>
        <color rgb="FF000000"/>
        <rFont val="DejaVu Sans"/>
        <family val="2"/>
        <charset val="1"/>
      </rPr>
      <t xml:space="preserve">H10</t>
    </r>
  </si>
  <si>
    <t xml:space="preserve">💡 哈奇米国产替代核心结论</t>
  </si>
  <si>
    <r>
      <rPr>
        <sz val="10"/>
        <color rgb="FF000000"/>
        <rFont val="Arial"/>
        <family val="0"/>
        <charset val="1"/>
      </rPr>
      <t xml:space="preserve">1. Amazon </t>
    </r>
    <r>
      <rPr>
        <sz val="10"/>
        <color rgb="FF000000"/>
        <rFont val="DejaVu Sans"/>
        <family val="2"/>
      </rPr>
      <t xml:space="preserve">端国产替代非常成熟：卖家精灵 </t>
    </r>
    <r>
      <rPr>
        <sz val="10"/>
        <color rgb="FF000000"/>
        <rFont val="Arial"/>
        <family val="0"/>
        <charset val="1"/>
      </rPr>
      <t xml:space="preserve">($46) + </t>
    </r>
    <r>
      <rPr>
        <sz val="10"/>
        <color rgb="FF000000"/>
        <rFont val="DejaVu Sans"/>
        <family val="2"/>
      </rPr>
      <t xml:space="preserve">领星 </t>
    </r>
    <r>
      <rPr>
        <sz val="10"/>
        <color rgb="FF000000"/>
        <rFont val="Arial"/>
        <family val="0"/>
        <charset val="1"/>
      </rPr>
      <t xml:space="preserve">ERP </t>
    </r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船长 </t>
    </r>
    <r>
      <rPr>
        <sz val="10"/>
        <color rgb="FF000000"/>
        <rFont val="Arial"/>
        <family val="0"/>
        <charset val="1"/>
      </rPr>
      <t xml:space="preserve">BI </t>
    </r>
    <r>
      <rPr>
        <sz val="10"/>
        <color rgb="FF000000"/>
        <rFont val="DejaVu Sans"/>
        <family val="2"/>
      </rPr>
      <t xml:space="preserve">可省 </t>
    </r>
    <r>
      <rPr>
        <sz val="10"/>
        <color rgb="FF000000"/>
        <rFont val="Arial"/>
        <family val="0"/>
        <charset val="1"/>
      </rPr>
      <t xml:space="preserve">80-88%</t>
    </r>
    <r>
      <rPr>
        <sz val="10"/>
        <color rgb="FF000000"/>
        <rFont val="DejaVu Sans"/>
        <family val="2"/>
      </rPr>
      <t xml:space="preserve">。早期数据完整度损失 </t>
    </r>
    <r>
      <rPr>
        <sz val="10"/>
        <color rgb="FF000000"/>
        <rFont val="Arial"/>
        <family val="0"/>
        <charset val="1"/>
      </rPr>
      <t xml:space="preserve">10-15% </t>
    </r>
    <r>
      <rPr>
        <sz val="10"/>
        <color rgb="FF000000"/>
        <rFont val="DejaVu Sans"/>
        <family val="2"/>
      </rPr>
      <t xml:space="preserve">可接受。</t>
    </r>
  </si>
  <si>
    <r>
      <rPr>
        <sz val="10"/>
        <color rgb="FF000000"/>
        <rFont val="Arial"/>
        <family val="0"/>
        <charset val="1"/>
      </rPr>
      <t xml:space="preserve">2. TikTok </t>
    </r>
    <r>
      <rPr>
        <sz val="10"/>
        <color rgb="FF000000"/>
        <rFont val="DejaVu Sans"/>
        <family val="2"/>
      </rPr>
      <t xml:space="preserve">端国产替代不完整：</t>
    </r>
    <r>
      <rPr>
        <sz val="10"/>
        <color rgb="FF000000"/>
        <rFont val="Arial"/>
        <family val="0"/>
        <charset val="1"/>
      </rPr>
      <t xml:space="preserve">EchoTik ($60) </t>
    </r>
    <r>
      <rPr>
        <sz val="10"/>
        <color rgb="FF000000"/>
        <rFont val="DejaVu Sans"/>
        <family val="2"/>
      </rPr>
      <t xml:space="preserve">是国产最佳替代，但 </t>
    </r>
    <r>
      <rPr>
        <sz val="10"/>
        <color rgb="FF000000"/>
        <rFont val="Arial"/>
        <family val="0"/>
        <charset val="1"/>
      </rPr>
      <t xml:space="preserve">Kalodata </t>
    </r>
    <r>
      <rPr>
        <sz val="10"/>
        <color rgb="FF000000"/>
        <rFont val="DejaVu Sans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TT US/UK GMV </t>
    </r>
    <r>
      <rPr>
        <sz val="10"/>
        <color rgb="FF000000"/>
        <rFont val="DejaVu Sans"/>
        <family val="2"/>
      </rPr>
      <t xml:space="preserve">数据上仍有 </t>
    </r>
    <r>
      <rPr>
        <sz val="10"/>
        <color rgb="FF000000"/>
        <rFont val="Arial"/>
        <family val="0"/>
        <charset val="1"/>
      </rPr>
      <t xml:space="preserve">15-25% </t>
    </r>
    <r>
      <rPr>
        <sz val="10"/>
        <color rgb="FF000000"/>
        <rFont val="DejaVu Sans"/>
        <family val="2"/>
      </rPr>
      <t xml:space="preserve">优势。</t>
    </r>
    <r>
      <rPr>
        <sz val="10"/>
        <color rgb="FF000000"/>
        <rFont val="Arial"/>
        <family val="0"/>
        <charset val="1"/>
      </rPr>
      <t xml:space="preserve">**</t>
    </r>
    <r>
      <rPr>
        <sz val="10"/>
        <color rgb="FF000000"/>
        <rFont val="DejaVu Sans"/>
        <family val="2"/>
      </rPr>
      <t xml:space="preserve">强烈建议保留 </t>
    </r>
    <r>
      <rPr>
        <sz val="10"/>
        <color rgb="FF000000"/>
        <rFont val="Arial"/>
        <family val="0"/>
        <charset val="1"/>
      </rPr>
      <t xml:space="preserve">Kalodata Starter ($38) </t>
    </r>
    <r>
      <rPr>
        <sz val="10"/>
        <color rgb="FF000000"/>
        <rFont val="DejaVu Sans"/>
        <family val="2"/>
      </rPr>
      <t xml:space="preserve">做交叉验证</t>
    </r>
    <r>
      <rPr>
        <sz val="10"/>
        <color rgb="FF000000"/>
        <rFont val="Arial"/>
        <family val="0"/>
        <charset val="1"/>
      </rPr>
      <t xml:space="preserve">**</t>
    </r>
    <r>
      <rPr>
        <sz val="10"/>
        <color rgb="FF000000"/>
        <rFont val="DejaVu Sans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</si>
  <si>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3. ERP </t>
    </r>
    <r>
      <rPr>
        <sz val="10"/>
        <color rgb="FF000000"/>
        <rFont val="DejaVu Sans"/>
        <family val="2"/>
      </rPr>
      <t xml:space="preserve">选择：哈奇米早期（订单 </t>
    </r>
    <r>
      <rPr>
        <sz val="10"/>
        <color rgb="FF000000"/>
        <rFont val="Arial"/>
        <family val="0"/>
        <charset val="1"/>
      </rPr>
      <t xml:space="preserve">&lt;5000/</t>
    </r>
    <r>
      <rPr>
        <sz val="10"/>
        <color rgb="FF000000"/>
        <rFont val="DejaVu Sans"/>
        <family val="2"/>
      </rPr>
      <t xml:space="preserve">月）直接用领星 </t>
    </r>
    <r>
      <rPr>
        <sz val="10"/>
        <color rgb="FF000000"/>
        <rFont val="Arial"/>
        <family val="0"/>
        <charset val="1"/>
      </rPr>
      <t xml:space="preserve">ERP </t>
    </r>
    <r>
      <rPr>
        <sz val="10"/>
        <color rgb="FF000000"/>
        <rFont val="DejaVu Sans"/>
        <family val="2"/>
      </rPr>
      <t xml:space="preserve">免费版；规模化后切积加 </t>
    </r>
    <r>
      <rPr>
        <sz val="10"/>
        <color rgb="FF000000"/>
        <rFont val="Arial"/>
        <family val="0"/>
        <charset val="1"/>
      </rPr>
      <t xml:space="preserve">ERP</t>
    </r>
    <r>
      <rPr>
        <sz val="10"/>
        <color rgb="FF000000"/>
        <rFont val="DejaVu Sans"/>
        <family val="2"/>
      </rPr>
      <t xml:space="preserve">（多平台优势）或继续领星（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精品）。</t>
    </r>
  </si>
  <si>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DejaVu Sans"/>
        <family val="2"/>
      </rPr>
      <t xml:space="preserve">税务合规无法用国产完整替代：</t>
    </r>
    <r>
      <rPr>
        <sz val="10"/>
        <color rgb="FF000000"/>
        <rFont val="Arial"/>
        <family val="0"/>
        <charset val="1"/>
      </rPr>
      <t xml:space="preserve">US sales tax </t>
    </r>
    <r>
      <rPr>
        <sz val="10"/>
        <color rgb="FF000000"/>
        <rFont val="DejaVu Sans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TaxJar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EU VAT + </t>
    </r>
    <r>
      <rPr>
        <sz val="10"/>
        <color rgb="FF000000"/>
        <rFont val="DejaVu Sans"/>
        <family val="2"/>
      </rPr>
      <t xml:space="preserve">全球关税仍需 </t>
    </r>
    <r>
      <rPr>
        <sz val="10"/>
        <color rgb="FF000000"/>
        <rFont val="Arial"/>
        <family val="0"/>
        <charset val="1"/>
      </rPr>
      <t xml:space="preserve">Avalara/Zonos</t>
    </r>
    <r>
      <rPr>
        <sz val="10"/>
        <color rgb="FF000000"/>
        <rFont val="DejaVu Sans"/>
        <family val="2"/>
      </rPr>
      <t xml:space="preserve">（合规企业级）。</t>
    </r>
  </si>
  <si>
    <r>
      <rPr>
        <sz val="10"/>
        <color rgb="FF000000"/>
        <rFont val="Arial"/>
        <family val="0"/>
        <charset val="1"/>
      </rPr>
      <t xml:space="preserve">5. </t>
    </r>
    <r>
      <rPr>
        <sz val="10"/>
        <color rgb="FF000000"/>
        <rFont val="DejaVu Sans"/>
        <family val="2"/>
      </rPr>
      <t xml:space="preserve">创意 </t>
    </r>
    <r>
      <rPr>
        <sz val="10"/>
        <color rgb="FF000000"/>
        <rFont val="Arial"/>
        <family val="0"/>
        <charset val="1"/>
      </rPr>
      <t xml:space="preserve">spy </t>
    </r>
    <r>
      <rPr>
        <sz val="10"/>
        <color rgb="FF000000"/>
        <rFont val="DejaVu Sans"/>
        <family val="2"/>
      </rPr>
      <t xml:space="preserve">国产替代弱：</t>
    </r>
    <r>
      <rPr>
        <sz val="10"/>
        <color rgb="FF000000"/>
        <rFont val="Arial"/>
        <family val="0"/>
        <charset val="1"/>
      </rPr>
      <t xml:space="preserve">AdSpy / Foreplay </t>
    </r>
    <r>
      <rPr>
        <sz val="10"/>
        <color rgb="FF000000"/>
        <rFont val="DejaVu Sans"/>
        <family val="2"/>
      </rPr>
      <t xml:space="preserve">没有可比的国产替代，跨境品牌全球扩张必备。</t>
    </r>
  </si>
  <si>
    <r>
      <rPr>
        <sz val="10"/>
        <color rgb="FF000000"/>
        <rFont val="Arial"/>
        <family val="0"/>
        <charset val="1"/>
      </rPr>
      <t xml:space="preserve">6. </t>
    </r>
    <r>
      <rPr>
        <sz val="10"/>
        <color rgb="FF000000"/>
        <rFont val="DejaVu Sans"/>
        <family val="2"/>
      </rPr>
      <t xml:space="preserve">数据准确性纪律：国产工具利润</t>
    </r>
    <r>
      <rPr>
        <sz val="10"/>
        <color rgb="FF000000"/>
        <rFont val="Arial"/>
        <family val="0"/>
        <charset val="1"/>
      </rPr>
      <t xml:space="preserve">/GMV </t>
    </r>
    <r>
      <rPr>
        <sz val="10"/>
        <color rgb="FF000000"/>
        <rFont val="DejaVu Sans"/>
        <family val="2"/>
      </rPr>
      <t xml:space="preserve">数据必须手动抽样校正 — 尤其领星利润、蝉妈妈 </t>
    </r>
    <r>
      <rPr>
        <sz val="10"/>
        <color rgb="FF000000"/>
        <rFont val="Arial"/>
        <family val="0"/>
        <charset val="1"/>
      </rPr>
      <t xml:space="preserve">TikTok </t>
    </r>
    <r>
      <rPr>
        <sz val="10"/>
        <color rgb="FF000000"/>
        <rFont val="DejaVu Sans"/>
        <family val="2"/>
      </rPr>
      <t xml:space="preserve">海外数据。</t>
    </r>
  </si>
  <si>
    <r>
      <rPr>
        <sz val="10"/>
        <color rgb="FF000000"/>
        <rFont val="Arial"/>
        <family val="0"/>
        <charset val="1"/>
      </rPr>
      <t xml:space="preserve">7. </t>
    </r>
    <r>
      <rPr>
        <sz val="10"/>
        <color rgb="FF000000"/>
        <rFont val="DejaVu Sans"/>
        <family val="2"/>
      </rPr>
      <t xml:space="preserve">切换节奏建议：</t>
    </r>
    <r>
      <rPr>
        <sz val="10"/>
        <color rgb="FF000000"/>
        <rFont val="Arial"/>
        <family val="0"/>
        <charset val="1"/>
      </rPr>
      <t xml:space="preserve">T0 </t>
    </r>
    <r>
      <rPr>
        <sz val="10"/>
        <color rgb="FF000000"/>
        <rFont val="DejaVu Sans"/>
        <family val="2"/>
      </rPr>
      <t xml:space="preserve">全部用国产 → </t>
    </r>
    <r>
      <rPr>
        <sz val="10"/>
        <color rgb="FF000000"/>
        <rFont val="Arial"/>
        <family val="0"/>
        <charset val="1"/>
      </rPr>
      <t xml:space="preserve">T1 + EchoTik + Keepa → T2</t>
    </r>
    <r>
      <rPr>
        <sz val="10"/>
        <color rgb="FF000000"/>
        <rFont val="DejaVu Sans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GMV </t>
    </r>
    <r>
      <rPr>
        <sz val="10"/>
        <color rgb="FF000000"/>
        <rFont val="DejaVu Sans"/>
        <family val="2"/>
      </rPr>
      <t xml:space="preserve">起来后）按需升级到 </t>
    </r>
    <r>
      <rPr>
        <sz val="10"/>
        <color rgb="FF000000"/>
        <rFont val="Arial"/>
        <family val="0"/>
        <charset val="1"/>
      </rPr>
      <t xml:space="preserve">Helium 10 / Kalodata Pro / SmartScout</t>
    </r>
    <r>
      <rPr>
        <sz val="10"/>
        <color rgb="FF000000"/>
        <rFont val="DejaVu Sans"/>
        <family val="2"/>
      </rPr>
      <t xml:space="preserve">。</t>
    </r>
  </si>
  <si>
    <r>
      <rPr>
        <b val="true"/>
        <sz val="14"/>
        <color rgb="FF1F4E78"/>
        <rFont val="Arial"/>
        <family val="0"/>
        <charset val="1"/>
      </rPr>
      <t xml:space="preserve">API I/O </t>
    </r>
    <r>
      <rPr>
        <b val="true"/>
        <sz val="14"/>
        <color rgb="FF1F4E78"/>
        <rFont val="DejaVu Sans"/>
        <family val="2"/>
      </rPr>
      <t xml:space="preserve">规格表 — 每个数据源是否真能「输入参数 → 直接返回结果」</t>
    </r>
  </si>
  <si>
    <t xml:space="preserve">信号灯图例：</t>
  </si>
  <si>
    <r>
      <rPr>
        <b val="true"/>
        <sz val="11"/>
        <color rgb="FF000000"/>
        <rFont val="Arial"/>
        <family val="0"/>
        <charset val="1"/>
      </rPr>
      <t xml:space="preserve">🟢 Self-Serve </t>
    </r>
    <r>
      <rPr>
        <b val="true"/>
        <sz val="11"/>
        <color rgb="FF000000"/>
        <rFont val="DejaVu Sans"/>
        <family val="2"/>
      </rPr>
      <t xml:space="preserve">注册即用</t>
    </r>
  </si>
  <si>
    <r>
      <rPr>
        <b val="true"/>
        <sz val="11"/>
        <color rgb="FF000000"/>
        <rFont val="DejaVu Sans"/>
        <family val="2"/>
      </rPr>
      <t xml:space="preserve">🟡 需邮件</t>
    </r>
    <r>
      <rPr>
        <b val="true"/>
        <sz val="11"/>
        <color rgb="FF000000"/>
        <rFont val="Arial"/>
        <family val="0"/>
        <charset val="1"/>
      </rPr>
      <t xml:space="preserve">/</t>
    </r>
    <r>
      <rPr>
        <b val="true"/>
        <sz val="11"/>
        <color rgb="FF000000"/>
        <rFont val="DejaVu Sans"/>
        <family val="2"/>
      </rPr>
      <t xml:space="preserve">审批申请</t>
    </r>
  </si>
  <si>
    <r>
      <rPr>
        <b val="true"/>
        <sz val="11"/>
        <color rgb="FF000000"/>
        <rFont val="DejaVu Sans"/>
        <family val="2"/>
      </rPr>
      <t xml:space="preserve">🔴 仅 </t>
    </r>
    <r>
      <rPr>
        <b val="true"/>
        <sz val="11"/>
        <color rgb="FF000000"/>
        <rFont val="Arial"/>
        <family val="0"/>
        <charset val="1"/>
      </rPr>
      <t xml:space="preserve">Enterprise </t>
    </r>
    <r>
      <rPr>
        <b val="true"/>
        <sz val="11"/>
        <color rgb="FF000000"/>
        <rFont val="DejaVu Sans"/>
        <family val="2"/>
      </rPr>
      <t xml:space="preserve">或需签约</t>
    </r>
  </si>
  <si>
    <r>
      <rPr>
        <b val="true"/>
        <sz val="11"/>
        <color rgb="FF000000"/>
        <rFont val="DejaVu Sans"/>
        <family val="2"/>
      </rPr>
      <t xml:space="preserve">⚫ 无 </t>
    </r>
    <r>
      <rPr>
        <b val="true"/>
        <sz val="11"/>
        <color rgb="FF000000"/>
        <rFont val="Arial"/>
        <family val="0"/>
        <charset val="1"/>
      </rPr>
      <t xml:space="preserve">API</t>
    </r>
    <r>
      <rPr>
        <b val="true"/>
        <sz val="11"/>
        <color rgb="FF000000"/>
        <rFont val="DejaVu Sans"/>
        <family val="2"/>
      </rPr>
      <t xml:space="preserve">（仅 </t>
    </r>
    <r>
      <rPr>
        <b val="true"/>
        <sz val="11"/>
        <color rgb="FF000000"/>
        <rFont val="Arial"/>
        <family val="0"/>
        <charset val="1"/>
      </rPr>
      <t xml:space="preserve">UI/CSV</t>
    </r>
    <r>
      <rPr>
        <b val="true"/>
        <sz val="11"/>
        <color rgb="FF000000"/>
        <rFont val="DejaVu Sans"/>
        <family val="2"/>
      </rPr>
      <t xml:space="preserve">）</t>
    </r>
  </si>
  <si>
    <r>
      <rPr>
        <b val="true"/>
        <sz val="13"/>
        <color rgb="FFC00000"/>
        <rFont val="DejaVu Sans"/>
        <family val="2"/>
      </rPr>
      <t xml:space="preserve">🎯 关键答疑：</t>
    </r>
    <r>
      <rPr>
        <b val="true"/>
        <sz val="13"/>
        <color rgb="FFC00000"/>
        <rFont val="Arial"/>
        <family val="0"/>
        <charset val="1"/>
      </rPr>
      <t xml:space="preserve">Easyship </t>
    </r>
    <r>
      <rPr>
        <b val="true"/>
        <sz val="13"/>
        <color rgb="FFC00000"/>
        <rFont val="DejaVu Sans"/>
        <family val="2"/>
      </rPr>
      <t xml:space="preserve">是否能输入「工厂地址 </t>
    </r>
    <r>
      <rPr>
        <b val="true"/>
        <sz val="13"/>
        <color rgb="FFC00000"/>
        <rFont val="Arial"/>
        <family val="0"/>
        <charset val="1"/>
      </rPr>
      <t xml:space="preserve">+ </t>
    </r>
    <r>
      <rPr>
        <b val="true"/>
        <sz val="13"/>
        <color rgb="FFC00000"/>
        <rFont val="DejaVu Sans"/>
        <family val="2"/>
      </rPr>
      <t xml:space="preserve">重量体积 </t>
    </r>
    <r>
      <rPr>
        <b val="true"/>
        <sz val="13"/>
        <color rgb="FFC00000"/>
        <rFont val="Arial"/>
        <family val="0"/>
        <charset val="1"/>
      </rPr>
      <t xml:space="preserve">+ </t>
    </r>
    <r>
      <rPr>
        <b val="true"/>
        <sz val="13"/>
        <color rgb="FFC00000"/>
        <rFont val="DejaVu Sans"/>
        <family val="2"/>
      </rPr>
      <t xml:space="preserve">终点地址」直接返回多承运商报价？</t>
    </r>
  </si>
  <si>
    <t xml:space="preserve">结论</t>
  </si>
  <si>
    <r>
      <rPr>
        <sz val="10"/>
        <color rgb="FF000000"/>
        <rFont val="Arial"/>
        <family val="0"/>
        <charset val="1"/>
      </rPr>
      <t xml:space="preserve">✅ Y — Easyship </t>
    </r>
    <r>
      <rPr>
        <sz val="10"/>
        <color rgb="FF000000"/>
        <rFont val="DejaVu Sans"/>
        <family val="2"/>
      </rPr>
      <t xml:space="preserve">提供 </t>
    </r>
    <r>
      <rPr>
        <sz val="10"/>
        <color rgb="FF000000"/>
        <rFont val="Arial"/>
        <family val="0"/>
        <charset val="1"/>
      </rPr>
      <t xml:space="preserve">REST API</t>
    </r>
    <r>
      <rPr>
        <sz val="10"/>
        <color rgb="FF000000"/>
        <rFont val="DejaVu Sans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**</t>
    </r>
    <r>
      <rPr>
        <sz val="10"/>
        <color rgb="FF000000"/>
        <rFont val="DejaVu Sans"/>
        <family val="2"/>
      </rPr>
      <t xml:space="preserve">单次 </t>
    </r>
    <r>
      <rPr>
        <sz val="10"/>
        <color rgb="FF000000"/>
        <rFont val="Arial"/>
        <family val="0"/>
        <charset val="1"/>
      </rPr>
      <t xml:space="preserve">POST </t>
    </r>
    <r>
      <rPr>
        <sz val="10"/>
        <color rgb="FF000000"/>
        <rFont val="DejaVu Sans"/>
        <family val="2"/>
      </rPr>
      <t xml:space="preserve">即返回 </t>
    </r>
    <r>
      <rPr>
        <sz val="10"/>
        <color rgb="FF000000"/>
        <rFont val="Arial"/>
        <family val="0"/>
        <charset val="1"/>
      </rPr>
      <t xml:space="preserve">250+ </t>
    </r>
    <r>
      <rPr>
        <sz val="10"/>
        <color rgb="FF000000"/>
        <rFont val="DejaVu Sans"/>
        <family val="2"/>
      </rPr>
      <t xml:space="preserve">承运商的实时报价数组</t>
    </r>
    <r>
      <rPr>
        <sz val="10"/>
        <color rgb="FF000000"/>
        <rFont val="Arial"/>
        <family val="0"/>
        <charset val="1"/>
      </rPr>
      <t xml:space="preserve">**</t>
    </r>
  </si>
  <si>
    <t xml:space="preserve">Endpoint</t>
  </si>
  <si>
    <t xml:space="preserve">POST https://public-api.easyship.com/2024-09/rates</t>
  </si>
  <si>
    <t xml:space="preserve">认证</t>
  </si>
  <si>
    <r>
      <rPr>
        <sz val="10"/>
        <color rgb="FF000000"/>
        <rFont val="Arial"/>
        <family val="0"/>
        <charset val="1"/>
      </rPr>
      <t xml:space="preserve">Bearer Token</t>
    </r>
    <r>
      <rPr>
        <sz val="10"/>
        <color rgb="FF000000"/>
        <rFont val="DejaVu Sans"/>
        <family val="2"/>
      </rPr>
      <t xml:space="preserve">（在 </t>
    </r>
    <r>
      <rPr>
        <sz val="10"/>
        <color rgb="FF000000"/>
        <rFont val="Arial"/>
        <family val="0"/>
        <charset val="1"/>
      </rPr>
      <t xml:space="preserve">Dashboard </t>
    </r>
    <r>
      <rPr>
        <sz val="10"/>
        <color rgb="FF000000"/>
        <rFont val="DejaVu Sans"/>
        <family val="2"/>
      </rPr>
      <t xml:space="preserve">生成，免费版即可调用）</t>
    </r>
  </si>
  <si>
    <t xml:space="preserve">Rate Limit</t>
  </si>
  <si>
    <r>
      <rPr>
        <sz val="10"/>
        <color rgb="FF000000"/>
        <rFont val="Arial"/>
        <family val="0"/>
        <charset val="1"/>
      </rPr>
      <t xml:space="preserve">Production 60 </t>
    </r>
    <r>
      <rPr>
        <sz val="10"/>
        <color rgb="FF000000"/>
        <rFont val="DejaVu Sans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分钟、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DejaVu Sans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秒；</t>
    </r>
    <r>
      <rPr>
        <sz val="10"/>
        <color rgb="FF000000"/>
        <rFont val="Arial"/>
        <family val="0"/>
        <charset val="1"/>
      </rPr>
      <t xml:space="preserve">Sandbox 6/min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1/s</t>
    </r>
  </si>
  <si>
    <t xml:space="preserve">必填输入</t>
  </si>
  <si>
    <t xml:space="preserve">origin_address (city/postal/country) + destination_address + parcels[{weight, dimensions, items[{hs_code, value, qty}]}] + incoterms (DDU/DDP)</t>
  </si>
  <si>
    <t xml:space="preserve">返回结构</t>
  </si>
  <si>
    <r>
      <rPr>
        <sz val="10"/>
        <color rgb="FF000000"/>
        <rFont val="Arial"/>
        <family val="0"/>
        <charset val="1"/>
      </rPr>
      <t xml:space="preserve">rates[] </t>
    </r>
    <r>
      <rPr>
        <sz val="10"/>
        <color rgb="FF000000"/>
        <rFont val="DejaVu Sans"/>
        <family val="2"/>
      </rPr>
      <t xml:space="preserve">数组，每元素含 </t>
    </r>
    <r>
      <rPr>
        <sz val="10"/>
        <color rgb="FF000000"/>
        <rFont val="Arial"/>
        <family val="0"/>
        <charset val="1"/>
      </rPr>
      <t xml:space="preserve">courier_id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courier_name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total_charge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min/max_delivery_time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value_for_money_rank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cheapest_rank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fastest_rank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import_tax_charge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import_duty_charge</t>
    </r>
  </si>
  <si>
    <r>
      <rPr>
        <b val="true"/>
        <sz val="11"/>
        <color rgb="FF000000"/>
        <rFont val="DejaVu Sans"/>
        <family val="2"/>
      </rPr>
      <t xml:space="preserve">是否需签约</t>
    </r>
    <r>
      <rPr>
        <b val="true"/>
        <sz val="11"/>
        <color rgb="FF000000"/>
        <rFont val="Arial"/>
        <family val="0"/>
        <charset val="1"/>
      </rPr>
      <t xml:space="preserve">/</t>
    </r>
    <r>
      <rPr>
        <b val="true"/>
        <sz val="11"/>
        <color rgb="FF000000"/>
        <rFont val="DejaVu Sans"/>
        <family val="2"/>
      </rPr>
      <t xml:space="preserve">付费</t>
    </r>
  </si>
  <si>
    <r>
      <rPr>
        <sz val="10"/>
        <color rgb="FF000000"/>
        <rFont val="DejaVu Sans"/>
        <family val="2"/>
      </rPr>
      <t xml:space="preserve">不需要。</t>
    </r>
    <r>
      <rPr>
        <sz val="10"/>
        <color rgb="FF000000"/>
        <rFont val="Arial"/>
        <family val="0"/>
        <charset val="1"/>
      </rPr>
      <t xml:space="preserve">Free Plan </t>
    </r>
    <r>
      <rPr>
        <sz val="10"/>
        <color rgb="FF000000"/>
        <rFont val="DejaVu Sans"/>
        <family val="2"/>
      </rPr>
      <t xml:space="preserve">即可用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，按 </t>
    </r>
    <r>
      <rPr>
        <sz val="10"/>
        <color rgb="FF000000"/>
        <rFont val="Arial"/>
        <family val="0"/>
        <charset val="1"/>
      </rPr>
      <t xml:space="preserve">shipment </t>
    </r>
    <r>
      <rPr>
        <sz val="10"/>
        <color rgb="FF000000"/>
        <rFont val="DejaVu Sans"/>
        <family val="2"/>
      </rPr>
      <t xml:space="preserve">计费（</t>
    </r>
    <r>
      <rPr>
        <sz val="10"/>
        <color rgb="FF000000"/>
        <rFont val="Arial"/>
        <family val="0"/>
        <charset val="1"/>
      </rPr>
      <t xml:space="preserve">pay-as-you-go</t>
    </r>
    <r>
      <rPr>
        <sz val="10"/>
        <color rgb="FF000000"/>
        <rFont val="DejaVu Sans"/>
        <family val="2"/>
      </rPr>
      <t xml:space="preserve">）</t>
    </r>
  </si>
  <si>
    <t xml:space="preserve">是否需绑承运商账号</t>
  </si>
  <si>
    <r>
      <rPr>
        <sz val="10"/>
        <color rgb="FF000000"/>
        <rFont val="DejaVu Sans"/>
        <family val="2"/>
      </rPr>
      <t xml:space="preserve">公开 </t>
    </r>
    <r>
      <rPr>
        <sz val="10"/>
        <color rgb="FF000000"/>
        <rFont val="Arial"/>
        <family val="0"/>
        <charset val="1"/>
      </rPr>
      <t xml:space="preserve">Easyship </t>
    </r>
    <r>
      <rPr>
        <sz val="10"/>
        <color rgb="FF000000"/>
        <rFont val="DejaVu Sans"/>
        <family val="2"/>
      </rPr>
      <t xml:space="preserve">池可直接用；想要中国本地 </t>
    </r>
    <r>
      <rPr>
        <sz val="10"/>
        <color rgb="FF000000"/>
        <rFont val="Arial"/>
        <family val="0"/>
        <charset val="1"/>
      </rPr>
      <t xml:space="preserve">line</t>
    </r>
    <r>
      <rPr>
        <sz val="10"/>
        <color rgb="FF000000"/>
        <rFont val="DejaVu Sans"/>
        <family val="2"/>
      </rPr>
      <t xml:space="preserve">（如 </t>
    </r>
    <r>
      <rPr>
        <sz val="10"/>
        <color rgb="FF000000"/>
        <rFont val="Arial"/>
        <family val="0"/>
        <charset val="1"/>
      </rPr>
      <t xml:space="preserve">SF/4PX </t>
    </r>
    <r>
      <rPr>
        <sz val="10"/>
        <color rgb="FF000000"/>
        <rFont val="DejaVu Sans"/>
        <family val="2"/>
      </rPr>
      <t xml:space="preserve">优惠合同价）需先签约对应承运商</t>
    </r>
  </si>
  <si>
    <r>
      <rPr>
        <b val="true"/>
        <sz val="11"/>
        <color rgb="FF000000"/>
        <rFont val="Arial"/>
        <family val="0"/>
        <charset val="1"/>
      </rPr>
      <t xml:space="preserve">⚠ CN </t>
    </r>
    <r>
      <rPr>
        <b val="true"/>
        <sz val="11"/>
        <color rgb="FF000000"/>
        <rFont val="DejaVu Sans"/>
        <family val="2"/>
      </rPr>
      <t xml:space="preserve">起点的局限</t>
    </r>
  </si>
  <si>
    <r>
      <rPr>
        <sz val="10"/>
        <color rgb="FF000000"/>
        <rFont val="Arial"/>
        <family val="0"/>
        <charset val="1"/>
      </rPr>
      <t xml:space="preserve">Easyship </t>
    </r>
    <r>
      <rPr>
        <sz val="10"/>
        <color rgb="FF000000"/>
        <rFont val="DejaVu Sans"/>
        <family val="2"/>
      </rPr>
      <t xml:space="preserve">池中 </t>
    </r>
    <r>
      <rPr>
        <sz val="10"/>
        <color rgb="FF000000"/>
        <rFont val="Arial"/>
        <family val="0"/>
        <charset val="1"/>
      </rPr>
      <t xml:space="preserve">CN </t>
    </r>
    <r>
      <rPr>
        <sz val="10"/>
        <color rgb="FF000000"/>
        <rFont val="DejaVu Sans"/>
        <family val="2"/>
      </rPr>
      <t xml:space="preserve">直发 </t>
    </r>
    <r>
      <rPr>
        <sz val="10"/>
        <color rgb="FF000000"/>
        <rFont val="Arial"/>
        <family val="0"/>
        <charset val="1"/>
      </rPr>
      <t xml:space="preserve">line </t>
    </r>
    <r>
      <rPr>
        <sz val="10"/>
        <color rgb="FF000000"/>
        <rFont val="DejaVu Sans"/>
        <family val="2"/>
      </rPr>
      <t xml:space="preserve">数量有限；要拿到具体一家承运商（</t>
    </r>
    <r>
      <rPr>
        <sz val="10"/>
        <color rgb="FF000000"/>
        <rFont val="Arial"/>
        <family val="0"/>
        <charset val="1"/>
      </rPr>
      <t xml:space="preserve">4PX/</t>
    </r>
    <r>
      <rPr>
        <sz val="10"/>
        <color rgb="FF000000"/>
        <rFont val="DejaVu Sans"/>
        <family val="2"/>
      </rPr>
      <t xml:space="preserve">燕文</t>
    </r>
    <r>
      <rPr>
        <sz val="10"/>
        <color rgb="FF000000"/>
        <rFont val="Arial"/>
        <family val="0"/>
        <charset val="1"/>
      </rPr>
      <t xml:space="preserve">/SF</t>
    </r>
    <r>
      <rPr>
        <sz val="10"/>
        <color rgb="FF000000"/>
        <rFont val="DejaVu Sans"/>
        <family val="2"/>
      </rPr>
      <t xml:space="preserve">）的真实合同价，必须先与该承运商直签后接入</t>
    </r>
  </si>
  <si>
    <r>
      <rPr>
        <b val="true"/>
        <sz val="11"/>
        <color rgb="FF000000"/>
        <rFont val="Arial"/>
        <family val="0"/>
        <charset val="1"/>
      </rPr>
      <t xml:space="preserve">⭐ MVP </t>
    </r>
    <r>
      <rPr>
        <b val="true"/>
        <sz val="11"/>
        <color rgb="FF000000"/>
        <rFont val="DejaVu Sans"/>
        <family val="2"/>
      </rPr>
      <t xml:space="preserve">结论</t>
    </r>
  </si>
  <si>
    <r>
      <rPr>
        <sz val="10"/>
        <color rgb="FF000000"/>
        <rFont val="Arial"/>
        <family val="0"/>
        <charset val="1"/>
      </rPr>
      <t xml:space="preserve">Easyship </t>
    </r>
    <r>
      <rPr>
        <sz val="10"/>
        <color rgb="FF000000"/>
        <rFont val="DejaVu Sans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MVP </t>
    </r>
    <r>
      <rPr>
        <sz val="10"/>
        <color rgb="FF000000"/>
        <rFont val="DejaVu Sans"/>
        <family val="2"/>
      </rPr>
      <t xml:space="preserve">阶段的最优单一物流报价源。</t>
    </r>
    <r>
      <rPr>
        <sz val="10"/>
        <color rgb="FF000000"/>
        <rFont val="Arial"/>
        <family val="0"/>
        <charset val="1"/>
      </rPr>
      <t xml:space="preserve">**</t>
    </r>
    <r>
      <rPr>
        <sz val="10"/>
        <color rgb="FF000000"/>
        <rFont val="DejaVu Sans"/>
        <family val="2"/>
      </rPr>
      <t xml:space="preserve">单一接入 </t>
    </r>
    <r>
      <rPr>
        <sz val="10"/>
        <color rgb="FF000000"/>
        <rFont val="Arial"/>
        <family val="0"/>
        <charset val="1"/>
      </rPr>
      <t xml:space="preserve">+ 22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+ 250+ </t>
    </r>
    <r>
      <rPr>
        <sz val="10"/>
        <color rgb="FF000000"/>
        <rFont val="DejaVu Sans"/>
        <family val="2"/>
      </rPr>
      <t xml:space="preserve">承运商</t>
    </r>
    <r>
      <rPr>
        <sz val="10"/>
        <color rgb="FF000000"/>
        <rFont val="Arial"/>
        <family val="0"/>
        <charset val="1"/>
      </rPr>
      <t xml:space="preserve">**</t>
    </r>
    <r>
      <rPr>
        <sz val="10"/>
        <color rgb="FF000000"/>
        <rFont val="DejaVu Sans"/>
        <family val="2"/>
      </rPr>
      <t xml:space="preserve">，免费版即可调 </t>
    </r>
    <r>
      <rPr>
        <sz val="10"/>
        <color rgb="FF000000"/>
        <rFont val="Arial"/>
        <family val="0"/>
        <charset val="1"/>
      </rPr>
      <t xml:space="preserve">API</t>
    </r>
  </si>
  <si>
    <r>
      <rPr>
        <b val="true"/>
        <sz val="11"/>
        <color rgb="FF000000"/>
        <rFont val="Arial"/>
        <family val="0"/>
        <charset val="1"/>
      </rPr>
      <t xml:space="preserve">Easyship </t>
    </r>
    <r>
      <rPr>
        <b val="true"/>
        <sz val="11"/>
        <color rgb="FF000000"/>
        <rFont val="DejaVu Sans"/>
        <family val="2"/>
      </rPr>
      <t xml:space="preserve">输入 </t>
    </r>
    <r>
      <rPr>
        <b val="true"/>
        <sz val="11"/>
        <color rgb="FF000000"/>
        <rFont val="Arial"/>
        <family val="0"/>
        <charset val="1"/>
      </rPr>
      <t xml:space="preserve">JSON </t>
    </r>
    <r>
      <rPr>
        <b val="true"/>
        <sz val="11"/>
        <color rgb="FF000000"/>
        <rFont val="DejaVu Sans"/>
        <family val="2"/>
      </rPr>
      <t xml:space="preserve">示例</t>
    </r>
  </si>
  <si>
    <t xml:space="preserve">{
  "origin_address": {"city":"Shenzhen","postal_code":"518000","country_alpha2":"CN"},
  "destination_address": {"city":"New York","postal_code":"10001","country_alpha2":"US"},
  "incoterms": "DDU",
  "parcels": [{
    "items": [{
      "hs_code": "9403200090",
      "actual_weight": 7.7,
      "quantity": 2,
      "declared_customs_value": 99.00,
      "declared_currency": "USD",
      "dimensions": {"length":40,"width":30,"height":20},
      "origin_country_alpha2": "CN"
    }]
  }]
}</t>
  </si>
  <si>
    <r>
      <rPr>
        <b val="true"/>
        <sz val="11"/>
        <color rgb="FF000000"/>
        <rFont val="Arial"/>
        <family val="0"/>
        <charset val="1"/>
      </rPr>
      <t xml:space="preserve">Easyship </t>
    </r>
    <r>
      <rPr>
        <b val="true"/>
        <sz val="11"/>
        <color rgb="FF000000"/>
        <rFont val="DejaVu Sans"/>
        <family val="2"/>
      </rPr>
      <t xml:space="preserve">输出 </t>
    </r>
    <r>
      <rPr>
        <b val="true"/>
        <sz val="11"/>
        <color rgb="FF000000"/>
        <rFont val="Arial"/>
        <family val="0"/>
        <charset val="1"/>
      </rPr>
      <t xml:space="preserve">JSON </t>
    </r>
    <r>
      <rPr>
        <b val="true"/>
        <sz val="11"/>
        <color rgb="FF000000"/>
        <rFont val="DejaVu Sans"/>
        <family val="2"/>
      </rPr>
      <t xml:space="preserve">关键字段</t>
    </r>
  </si>
  <si>
    <t xml:space="preserve">{
  "rates": [
    {
      "courier_id": "uuid-...",
      "courier_name": "DHL eCommerce",
      "total_charge": 18.45,
      "currency": "USD",
      "min_delivery_time": 7,
      "max_delivery_time": 12,
      "value_for_money_rank": 1,
      "cheapest_rank": 1,
      "fastest_rank": 5,
      "import_tax_charge": 5.20,
      "import_duty_charge": 0.00
    },
    {
      "courier_id": "uuid-...",
      "courier_name": "SF Express (via aggregator)",
      "total_charge": 24.10,
      "currency": "USD",
      ...
    }
  ]
}</t>
  </si>
  <si>
    <r>
      <rPr>
        <b val="true"/>
        <sz val="13"/>
        <color rgb="FF000000"/>
        <rFont val="DejaVu Sans"/>
        <family val="2"/>
      </rPr>
      <t xml:space="preserve">🚚 物流类 </t>
    </r>
    <r>
      <rPr>
        <b val="true"/>
        <sz val="13"/>
        <color rgb="FF000000"/>
        <rFont val="Arial"/>
        <family val="0"/>
        <charset val="1"/>
      </rPr>
      <t xml:space="preserve">API I/O </t>
    </r>
    <r>
      <rPr>
        <b val="true"/>
        <sz val="13"/>
        <color rgb="FF000000"/>
        <rFont val="DejaVu Sans"/>
        <family val="2"/>
      </rPr>
      <t xml:space="preserve">规格</t>
    </r>
  </si>
  <si>
    <t xml:space="preserve">信号灯</t>
  </si>
  <si>
    <r>
      <rPr>
        <b val="true"/>
        <sz val="11"/>
        <color rgb="FFFFFFFF"/>
        <rFont val="DejaVu Sans"/>
        <family val="2"/>
      </rPr>
      <t xml:space="preserve">真实 </t>
    </r>
    <r>
      <rPr>
        <b val="true"/>
        <sz val="11"/>
        <color rgb="FFFFFFFF"/>
        <rFont val="Arial"/>
        <family val="0"/>
        <charset val="1"/>
      </rPr>
      <t xml:space="preserve">Endpoint</t>
    </r>
  </si>
  <si>
    <t xml:space="preserve">认证方式</t>
  </si>
  <si>
    <t xml:space="preserve">输入字段（关键）</t>
  </si>
  <si>
    <t xml:space="preserve">输出字段（关键）</t>
  </si>
  <si>
    <r>
      <rPr>
        <b val="true"/>
        <sz val="11"/>
        <color rgb="FFFFFFFF"/>
        <rFont val="DejaVu Sans"/>
        <family val="2"/>
      </rPr>
      <t xml:space="preserve">是否需签约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DejaVu Sans"/>
        <family val="2"/>
      </rPr>
      <t xml:space="preserve">付费</t>
    </r>
  </si>
  <si>
    <t xml:space="preserve">复杂度</t>
  </si>
  <si>
    <r>
      <rPr>
        <b val="true"/>
        <sz val="11"/>
        <color rgb="FFFFFFFF"/>
        <rFont val="Arial"/>
        <family val="0"/>
        <charset val="1"/>
      </rPr>
      <t xml:space="preserve">MVP </t>
    </r>
    <r>
      <rPr>
        <b val="true"/>
        <sz val="11"/>
        <color rgb="FFFFFFFF"/>
        <rFont val="DejaVu Sans"/>
        <family val="2"/>
      </rPr>
      <t xml:space="preserve">可用</t>
    </r>
  </si>
  <si>
    <t xml:space="preserve">🟢 Self-Serve</t>
  </si>
  <si>
    <t xml:space="preserve">Bearer Token</t>
  </si>
  <si>
    <t xml:space="preserve">origin_address + destination_address + parcels[{weight, dims, items[{hs_code, value, qty}]}] + incoterms</t>
  </si>
  <si>
    <r>
      <rPr>
        <sz val="10"/>
        <color rgb="FF000000"/>
        <rFont val="Arial"/>
        <family val="0"/>
        <charset val="1"/>
      </rPr>
      <t xml:space="preserve">rates[]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courier_name / total_charge / delivery_time / import_tax_charge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</si>
  <si>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DejaVu Sans"/>
        <family val="2"/>
      </rPr>
      <t xml:space="preserve">单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月起；</t>
    </r>
    <r>
      <rPr>
        <sz val="10"/>
        <color rgb="FF000000"/>
        <rFont val="Arial"/>
        <family val="0"/>
        <charset val="1"/>
      </rPr>
      <t xml:space="preserve">$29-$99/</t>
    </r>
    <r>
      <rPr>
        <sz val="10"/>
        <color rgb="FF000000"/>
        <rFont val="DejaVu Sans"/>
        <family val="2"/>
      </rPr>
      <t xml:space="preserve">月套餐 </t>
    </r>
    <r>
      <rPr>
        <sz val="10"/>
        <color rgb="FF000000"/>
        <rFont val="Arial"/>
        <family val="0"/>
        <charset val="1"/>
      </rPr>
      <t xml:space="preserve">+ per-shipment </t>
    </r>
    <r>
      <rPr>
        <sz val="10"/>
        <color rgb="FF000000"/>
        <rFont val="DejaVu Sans"/>
        <family val="2"/>
      </rPr>
      <t xml:space="preserve">计费</t>
    </r>
  </si>
  <si>
    <t xml:space="preserve">★★</t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</si>
  <si>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主力，单一接入即可覆盖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DejaVu Sans"/>
        <family val="2"/>
      </rPr>
      <t xml:space="preserve">国 </t>
    </r>
    <r>
      <rPr>
        <sz val="10"/>
        <color rgb="FF000000"/>
        <rFont val="Arial"/>
        <family val="0"/>
        <charset val="1"/>
      </rPr>
      <t xml:space="preserve">250+ </t>
    </r>
    <r>
      <rPr>
        <sz val="10"/>
        <color rgb="FF000000"/>
        <rFont val="DejaVu Sans"/>
        <family val="2"/>
      </rPr>
      <t xml:space="preserve">承运商</t>
    </r>
  </si>
  <si>
    <t xml:space="preserve">POST https://api.goshippo.com/shipments</t>
  </si>
  <si>
    <t xml:space="preserve">ShippoToken Header</t>
  </si>
  <si>
    <t xml:space="preserve">address_from + address_to + parcels[{length, width, height, weight, unit}]</t>
  </si>
  <si>
    <r>
      <rPr>
        <sz val="10"/>
        <color rgb="FF000000"/>
        <rFont val="Arial"/>
        <family val="0"/>
        <charset val="1"/>
      </rPr>
      <t xml:space="preserve">rates[]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amount / provider / servicelevel / estimated_days / attributes[CHEAPEST/FASTEST]</t>
    </r>
  </si>
  <si>
    <r>
      <rPr>
        <sz val="10"/>
        <color rgb="FF000000"/>
        <rFont val="DejaVu Sans"/>
        <family val="2"/>
      </rPr>
      <t xml:space="preserve">免费注册即得 </t>
    </r>
    <r>
      <rPr>
        <sz val="10"/>
        <color rgb="FF000000"/>
        <rFont val="Arial"/>
        <family val="0"/>
        <charset val="1"/>
      </rPr>
      <t xml:space="preserve">test+live key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 30 </t>
    </r>
    <r>
      <rPr>
        <sz val="10"/>
        <color rgb="FF000000"/>
        <rFont val="DejaVu Sans"/>
        <family val="2"/>
      </rPr>
      <t xml:space="preserve">天试用</t>
    </r>
  </si>
  <si>
    <r>
      <rPr>
        <sz val="10"/>
        <color rgb="FF000000"/>
        <rFont val="DejaVu Sans"/>
        <family val="2"/>
      </rPr>
      <t xml:space="preserve">✅ 与 </t>
    </r>
    <r>
      <rPr>
        <sz val="10"/>
        <color rgb="FF000000"/>
        <rFont val="Arial"/>
        <family val="0"/>
        <charset val="1"/>
      </rPr>
      <t xml:space="preserve">Easyship </t>
    </r>
    <r>
      <rPr>
        <sz val="10"/>
        <color rgb="FF000000"/>
        <rFont val="DejaVu Sans"/>
        <family val="2"/>
      </rPr>
      <t xml:space="preserve">双源对照；⚠ </t>
    </r>
    <r>
      <rPr>
        <sz val="10"/>
        <color rgb="FF000000"/>
        <rFont val="Arial"/>
        <family val="0"/>
        <charset val="1"/>
      </rPr>
      <t xml:space="preserve">CN </t>
    </r>
    <r>
      <rPr>
        <sz val="10"/>
        <color rgb="FF000000"/>
        <rFont val="DejaVu Sans"/>
        <family val="2"/>
      </rPr>
      <t xml:space="preserve">起点原生支持有限</t>
    </r>
  </si>
  <si>
    <t xml:space="preserve">POST https://api.easypost.com/v2/shipments</t>
  </si>
  <si>
    <t xml:space="preserve">HTTP Basic (API key as username)</t>
  </si>
  <si>
    <t xml:space="preserve">shipment{ from_address, to_address, parcel{l,w,h,weight} }</t>
  </si>
  <si>
    <r>
      <rPr>
        <sz val="10"/>
        <color rgb="FF000000"/>
        <rFont val="Arial"/>
        <family val="0"/>
        <charset val="1"/>
      </rPr>
      <t xml:space="preserve">shipment.rates[]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service / carrier / rate / delivery_days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+ /smartrate </t>
    </r>
    <r>
      <rPr>
        <sz val="10"/>
        <color rgb="FF000000"/>
        <rFont val="DejaVu Sans"/>
        <family val="2"/>
      </rPr>
      <t xml:space="preserve">含百分位时效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</si>
  <si>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Arial"/>
        <family val="0"/>
        <charset val="1"/>
      </rPr>
      <t xml:space="preserve">test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Production </t>
    </r>
    <r>
      <rPr>
        <sz val="10"/>
        <color rgb="FF000000"/>
        <rFont val="DejaVu Sans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3000 </t>
    </r>
    <r>
      <rPr>
        <sz val="10"/>
        <color rgb="FF000000"/>
        <rFont val="DejaVu Sans"/>
        <family val="2"/>
      </rPr>
      <t xml:space="preserve">标签免费</t>
    </r>
  </si>
  <si>
    <r>
      <rPr>
        <sz val="10"/>
        <color rgb="FF000000"/>
        <rFont val="Arial"/>
        <family val="0"/>
        <charset val="1"/>
      </rPr>
      <t xml:space="preserve">⚠ CN </t>
    </r>
    <r>
      <rPr>
        <sz val="10"/>
        <color rgb="FF000000"/>
        <rFont val="DejaVu Sans"/>
        <family val="2"/>
      </rPr>
      <t xml:space="preserve">作为 </t>
    </r>
    <r>
      <rPr>
        <sz val="10"/>
        <color rgb="FF000000"/>
        <rFont val="Arial"/>
        <family val="0"/>
        <charset val="1"/>
      </rPr>
      <t xml:space="preserve">from_address </t>
    </r>
    <r>
      <rPr>
        <sz val="10"/>
        <color rgb="FF000000"/>
        <rFont val="DejaVu Sans"/>
        <family val="2"/>
      </rPr>
      <t xml:space="preserve">通常被禁用，主要用于美国境内</t>
    </r>
  </si>
  <si>
    <t xml:space="preserve">Maersk SpotOn</t>
  </si>
  <si>
    <t xml:space="preserve">🟡 需审批</t>
  </si>
  <si>
    <t xml:space="preserve">GET https://api.maersk.com/offers/v2/offers/brand/{brandScac}/departuredate/{date}?origin=&amp;destination=&amp;containers=</t>
  </si>
  <si>
    <t xml:space="preserve">OAuth 2.0 (Client Credentials)</t>
  </si>
  <si>
    <r>
      <rPr>
        <sz val="10"/>
        <color rgb="FF000000"/>
        <rFont val="DejaVu Sans"/>
        <family val="2"/>
      </rPr>
      <t xml:space="preserve">起港 </t>
    </r>
    <r>
      <rPr>
        <sz val="10"/>
        <color rgb="FF000000"/>
        <rFont val="Arial"/>
        <family val="0"/>
        <charset val="1"/>
      </rPr>
      <t xml:space="preserve">RKST code + </t>
    </r>
    <r>
      <rPr>
        <sz val="10"/>
        <color rgb="FF000000"/>
        <rFont val="DejaVu Sans"/>
        <family val="2"/>
      </rPr>
      <t xml:space="preserve">终港 </t>
    </r>
    <r>
      <rPr>
        <sz val="10"/>
        <color rgb="FF000000"/>
        <rFont val="Arial"/>
        <family val="0"/>
        <charset val="1"/>
      </rPr>
      <t xml:space="preserve">RKST code + </t>
    </r>
    <r>
      <rPr>
        <sz val="10"/>
        <color rgb="FF000000"/>
        <rFont val="DejaVu Sans"/>
        <family val="2"/>
      </rPr>
      <t xml:space="preserve">柜型 </t>
    </r>
    <r>
      <rPr>
        <sz val="10"/>
        <color rgb="FF000000"/>
        <rFont val="Arial"/>
        <family val="0"/>
        <charset val="1"/>
      </rPr>
      <t xml:space="preserve">(20'DRY / 40'HQ) + ETD</t>
    </r>
  </si>
  <si>
    <r>
      <rPr>
        <sz val="10"/>
        <color rgb="FF000000"/>
        <rFont val="Arial"/>
        <family val="0"/>
        <charset val="1"/>
      </rPr>
      <t xml:space="preserve">rate quotes </t>
    </r>
    <r>
      <rPr>
        <sz val="10"/>
        <color rgb="FF000000"/>
        <rFont val="DejaVu Sans"/>
        <family val="2"/>
      </rPr>
      <t xml:space="preserve">数组 </t>
    </r>
    <r>
      <rPr>
        <sz val="10"/>
        <color rgb="FF000000"/>
        <rFont val="Arial"/>
        <family val="0"/>
        <charset val="1"/>
      </rPr>
      <t xml:space="preserve">+ validity period + booking link</t>
    </r>
  </si>
  <si>
    <r>
      <rPr>
        <sz val="10"/>
        <color rgb="FF000000"/>
        <rFont val="DejaVu Sans"/>
        <family val="2"/>
      </rPr>
      <t xml:space="preserve">必须 </t>
    </r>
    <r>
      <rPr>
        <sz val="10"/>
        <color rgb="FF000000"/>
        <rFont val="Arial"/>
        <family val="0"/>
        <charset val="1"/>
      </rPr>
      <t xml:space="preserve">spotapisupport@maersk.com </t>
    </r>
    <r>
      <rPr>
        <sz val="10"/>
        <color rgb="FF000000"/>
        <rFont val="DejaVu Sans"/>
        <family val="2"/>
      </rPr>
      <t xml:space="preserve">申请审批；调用免费</t>
    </r>
  </si>
  <si>
    <r>
      <rPr>
        <sz val="10"/>
        <color rgb="FF000000"/>
        <rFont val="Arial"/>
        <family val="0"/>
        <charset val="1"/>
      </rPr>
      <t xml:space="preserve">⚠ MVP </t>
    </r>
    <r>
      <rPr>
        <sz val="10"/>
        <color rgb="FF000000"/>
        <rFont val="DejaVu Sans"/>
        <family val="2"/>
      </rPr>
      <t xml:space="preserve">阶段拿不到审批；用 </t>
    </r>
    <r>
      <rPr>
        <sz val="10"/>
        <color rgb="FF000000"/>
        <rFont val="Arial"/>
        <family val="0"/>
        <charset val="1"/>
      </rPr>
      <t xml:space="preserve">Freightos </t>
    </r>
    <r>
      <rPr>
        <sz val="10"/>
        <color rgb="FF000000"/>
        <rFont val="DejaVu Sans"/>
        <family val="2"/>
      </rPr>
      <t xml:space="preserve">替代</t>
    </r>
  </si>
  <si>
    <t xml:space="preserve">GET https://ship.freightos.com/api/shippingCalculator?loadtype=&amp;weight=&amp;origin=&amp;destination=</t>
  </si>
  <si>
    <r>
      <rPr>
        <sz val="10"/>
        <color rgb="FF000000"/>
        <rFont val="DejaVu Sans"/>
        <family val="2"/>
      </rPr>
      <t xml:space="preserve">无需 </t>
    </r>
    <r>
      <rPr>
        <sz val="10"/>
        <color rgb="FF000000"/>
        <rFont val="Arial"/>
        <family val="0"/>
        <charset val="1"/>
      </rPr>
      <t xml:space="preserve">key</t>
    </r>
    <r>
      <rPr>
        <sz val="10"/>
        <color rgb="FF000000"/>
        <rFont val="DejaVu Sans"/>
        <family val="2"/>
      </rPr>
      <t xml:space="preserve">（公开 </t>
    </r>
    <r>
      <rPr>
        <sz val="10"/>
        <color rgb="FF000000"/>
        <rFont val="Arial"/>
        <family val="0"/>
        <charset val="1"/>
      </rPr>
      <t xml:space="preserve">marketplace </t>
    </r>
    <r>
      <rPr>
        <sz val="10"/>
        <color rgb="FF000000"/>
        <rFont val="DejaVu Sans"/>
        <family val="2"/>
      </rPr>
      <t xml:space="preserve">模式）</t>
    </r>
  </si>
  <si>
    <t xml:space="preserve">loadtype(boxes/pallets/container) + weight + dims + origin + destination</t>
  </si>
  <si>
    <r>
      <rPr>
        <sz val="10"/>
        <color rgb="FF000000"/>
        <rFont val="DejaVu Sans"/>
        <family val="2"/>
      </rPr>
      <t xml:space="preserve">价格区间（</t>
    </r>
    <r>
      <rPr>
        <sz val="10"/>
        <color rgb="FF000000"/>
        <rFont val="Arial"/>
        <family val="0"/>
        <charset val="1"/>
      </rPr>
      <t xml:space="preserve">min/max</t>
    </r>
    <r>
      <rPr>
        <sz val="10"/>
        <color rgb="FF000000"/>
        <rFont val="DejaVu Sans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delivery_time </t>
    </r>
    <r>
      <rPr>
        <sz val="10"/>
        <color rgb="FF000000"/>
        <rFont val="DejaVu Sans"/>
        <family val="2"/>
      </rPr>
      <t xml:space="preserve">估算</t>
    </r>
  </si>
  <si>
    <r>
      <rPr>
        <sz val="10"/>
        <color rgb="FF000000"/>
        <rFont val="DejaVu Sans"/>
        <family val="2"/>
      </rPr>
      <t xml:space="preserve">免费但前端须显示「</t>
    </r>
    <r>
      <rPr>
        <sz val="10"/>
        <color rgb="FF000000"/>
        <rFont val="Arial"/>
        <family val="0"/>
        <charset val="1"/>
      </rPr>
      <t xml:space="preserve">Powered by Freightos</t>
    </r>
    <r>
      <rPr>
        <sz val="10"/>
        <color rgb="FF000000"/>
        <rFont val="DejaVu Sans"/>
        <family val="2"/>
      </rPr>
      <t xml:space="preserve">」</t>
    </r>
  </si>
  <si>
    <t xml:space="preserve">★</t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</si>
  <si>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整柜估算用；返回是区间不是单一报价</t>
    </r>
  </si>
  <si>
    <r>
      <rPr>
        <sz val="10"/>
        <color rgb="FF000000"/>
        <rFont val="Arial"/>
        <family val="0"/>
        <charset val="1"/>
      </rPr>
      <t xml:space="preserve">POST https://api.zonos.com/v1/landedCost  (REST) </t>
    </r>
    <r>
      <rPr>
        <sz val="10"/>
        <color rgb="FF000000"/>
        <rFont val="DejaVu Sans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GraphQL</t>
    </r>
  </si>
  <si>
    <t xml:space="preserve">API Key + Header zonos-version: 2019-11-21</t>
  </si>
  <si>
    <t xml:space="preserve">currency + ship_to/from + items[{hs_code, amount, qty, weight, dims, country_of_origin}] + shipping</t>
  </si>
  <si>
    <r>
      <rPr>
        <sz val="10"/>
        <color rgb="FF000000"/>
        <rFont val="Arial"/>
        <family val="0"/>
        <charset val="1"/>
      </rPr>
      <t xml:space="preserve">landed_cost.duties[] + taxes[] + fees[] + landed_cost_total + de_minimis </t>
    </r>
    <r>
      <rPr>
        <sz val="10"/>
        <color rgb="FF000000"/>
        <rFont val="DejaVu Sans"/>
        <family val="2"/>
      </rPr>
      <t xml:space="preserve">标志</t>
    </r>
  </si>
  <si>
    <r>
      <rPr>
        <sz val="10"/>
        <color rgb="FF000000"/>
        <rFont val="Arial"/>
        <family val="0"/>
        <charset val="1"/>
      </rPr>
      <t xml:space="preserve">Sandbox </t>
    </r>
    <r>
      <rPr>
        <sz val="10"/>
        <color rgb="FF000000"/>
        <rFont val="DejaVu Sans"/>
        <family val="2"/>
      </rPr>
      <t xml:space="preserve">免费；生产按 </t>
    </r>
    <r>
      <rPr>
        <sz val="10"/>
        <color rgb="FF000000"/>
        <rFont val="Arial"/>
        <family val="0"/>
        <charset val="1"/>
      </rPr>
      <t xml:space="preserve">quote </t>
    </r>
    <r>
      <rPr>
        <sz val="10"/>
        <color rgb="FF000000"/>
        <rFont val="DejaVu Sans"/>
        <family val="2"/>
      </rPr>
      <t xml:space="preserve">数计费 </t>
    </r>
    <r>
      <rPr>
        <sz val="10"/>
        <color rgb="FF000000"/>
        <rFont val="Arial"/>
        <family val="0"/>
        <charset val="1"/>
      </rPr>
      <t xml:space="preserve">($0.20-$0.50/</t>
    </r>
    <r>
      <rPr>
        <sz val="10"/>
        <color rgb="FF000000"/>
        <rFont val="DejaVu Sans"/>
        <family val="2"/>
      </rPr>
      <t xml:space="preserve">单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</si>
  <si>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必接，跨境关税合规底座</t>
    </r>
  </si>
  <si>
    <t xml:space="preserve">17TRACK API V2.2</t>
  </si>
  <si>
    <t xml:space="preserve">POST https://api.17track.net/track/v2.2/register / gettrackinfo</t>
  </si>
  <si>
    <t xml:space="preserve">Header 17token: &lt;key&gt;</t>
  </si>
  <si>
    <r>
      <rPr>
        <sz val="10"/>
        <color rgb="FF000000"/>
        <rFont val="DejaVu Sans"/>
        <family val="2"/>
      </rPr>
      <t xml:space="preserve">运单号数组（最多 </t>
    </r>
    <r>
      <rPr>
        <sz val="10"/>
        <color rgb="FF000000"/>
        <rFont val="Arial"/>
        <family val="0"/>
        <charset val="1"/>
      </rPr>
      <t xml:space="preserve">40/</t>
    </r>
    <r>
      <rPr>
        <sz val="10"/>
        <color rgb="FF000000"/>
        <rFont val="DejaVu Sans"/>
        <family val="2"/>
      </rPr>
      <t xml:space="preserve">请求），可选 </t>
    </r>
    <r>
      <rPr>
        <sz val="10"/>
        <color rgb="FF000000"/>
        <rFont val="Arial"/>
        <family val="0"/>
        <charset val="1"/>
      </rPr>
      <t xml:space="preserve">carrier code</t>
    </r>
  </si>
  <si>
    <r>
      <rPr>
        <sz val="10"/>
        <color rgb="FF000000"/>
        <rFont val="Arial"/>
        <family val="0"/>
        <charset val="1"/>
      </rPr>
      <t xml:space="preserve">accepted[].carrier / track_info[] </t>
    </r>
    <r>
      <rPr>
        <sz val="10"/>
        <color rgb="FF000000"/>
        <rFont val="DejaVu Sans"/>
        <family val="2"/>
      </rPr>
      <t xml:space="preserve">轨迹明细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</si>
  <si>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DejaVu Sans"/>
        <family val="2"/>
      </rPr>
      <t xml:space="preserve">单测试；之后预付费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</si>
  <si>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追踪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自动识别承运商</t>
    </r>
  </si>
  <si>
    <t xml:space="preserve">🔴 需签约</t>
  </si>
  <si>
    <t xml:space="preserve">POST https://api.shipbob.com/2.0/order/estimate</t>
  </si>
  <si>
    <t xml:space="preserve">OAuth 2.0 + shipbob_channel_id Header</t>
  </si>
  <si>
    <t xml:space="preserve">address + products[{reference_id, quantity}] + shipping_methods[]</t>
  </si>
  <si>
    <r>
      <rPr>
        <sz val="10"/>
        <color rgb="FF000000"/>
        <rFont val="Arial"/>
        <family val="0"/>
        <charset val="1"/>
      </rPr>
      <t xml:space="preserve">estimates[]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estimated_price / fulfillment_center / shipping_method / weight</t>
    </r>
  </si>
  <si>
    <r>
      <rPr>
        <sz val="10"/>
        <color rgb="FF000000"/>
        <rFont val="DejaVu Sans"/>
        <family val="2"/>
      </rPr>
      <t xml:space="preserve">必须先签 </t>
    </r>
    <r>
      <rPr>
        <sz val="10"/>
        <color rgb="FF000000"/>
        <rFont val="Arial"/>
        <family val="0"/>
        <charset val="1"/>
      </rPr>
      <t xml:space="preserve">ShipBob </t>
    </r>
    <r>
      <rPr>
        <sz val="10"/>
        <color rgb="FF000000"/>
        <rFont val="DejaVu Sans"/>
        <family val="2"/>
      </rPr>
      <t xml:space="preserve">履约合同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入仓</t>
    </r>
  </si>
  <si>
    <r>
      <rPr>
        <sz val="10"/>
        <color rgb="FF000000"/>
        <rFont val="Arial"/>
        <family val="0"/>
        <charset val="1"/>
      </rPr>
      <t xml:space="preserve">❌ MVP </t>
    </r>
    <r>
      <rPr>
        <sz val="10"/>
        <color rgb="FF000000"/>
        <rFont val="DejaVu Sans"/>
        <family val="2"/>
      </rPr>
      <t xml:space="preserve">阶段无法接入</t>
    </r>
  </si>
  <si>
    <t xml:space="preserve">open.4px.com / open.us.4px.com / open.eu.4px.com</t>
  </si>
  <si>
    <t xml:space="preserve">OAuth (authorization code → token)</t>
  </si>
  <si>
    <r>
      <rPr>
        <sz val="10"/>
        <color rgb="FF000000"/>
        <rFont val="DejaVu Sans"/>
        <family val="2"/>
      </rPr>
      <t xml:space="preserve">需签约后才能获取 </t>
    </r>
    <r>
      <rPr>
        <sz val="10"/>
        <color rgb="FF000000"/>
        <rFont val="Arial"/>
        <family val="0"/>
        <charset val="1"/>
      </rPr>
      <t xml:space="preserve">endpoint </t>
    </r>
    <r>
      <rPr>
        <sz val="10"/>
        <color rgb="FF000000"/>
        <rFont val="DejaVu Sans"/>
        <family val="2"/>
      </rPr>
      <t xml:space="preserve">文档；</t>
    </r>
    <r>
      <rPr>
        <sz val="10"/>
        <color rgb="FF000000"/>
        <rFont val="Arial"/>
        <family val="0"/>
        <charset val="1"/>
      </rPr>
      <t xml:space="preserve">rate </t>
    </r>
    <r>
      <rPr>
        <sz val="10"/>
        <color rgb="FF000000"/>
        <rFont val="DejaVu Sans"/>
        <family val="2"/>
      </rPr>
      <t xml:space="preserve">接口签约后才开放</t>
    </r>
  </si>
  <si>
    <r>
      <rPr>
        <sz val="10"/>
        <color rgb="FF000000"/>
        <rFont val="DejaVu Sans"/>
        <family val="2"/>
      </rPr>
      <t xml:space="preserve">运单创建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跟踪 </t>
    </r>
    <r>
      <rPr>
        <sz val="10"/>
        <color rgb="FF000000"/>
        <rFont val="Arial"/>
        <family val="0"/>
        <charset val="1"/>
      </rPr>
      <t xml:space="preserve">/ rate </t>
    </r>
    <r>
      <rPr>
        <sz val="10"/>
        <color rgb="FF000000"/>
        <rFont val="DejaVu Sans"/>
        <family val="2"/>
      </rPr>
      <t xml:space="preserve">报价</t>
    </r>
  </si>
  <si>
    <r>
      <rPr>
        <sz val="10"/>
        <color rgb="FF000000"/>
        <rFont val="DejaVu Sans"/>
        <family val="2"/>
      </rPr>
      <t xml:space="preserve">必须签约 </t>
    </r>
    <r>
      <rPr>
        <sz val="10"/>
        <color rgb="FF000000"/>
        <rFont val="Arial"/>
        <family val="0"/>
        <charset val="1"/>
      </rPr>
      <t xml:space="preserve">+ sandbox </t>
    </r>
    <r>
      <rPr>
        <sz val="10"/>
        <color rgb="FF000000"/>
        <rFont val="DejaVu Sans"/>
        <family val="2"/>
      </rPr>
      <t xml:space="preserve">测试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月结</t>
    </r>
  </si>
  <si>
    <r>
      <rPr>
        <sz val="10"/>
        <color rgb="FF000000"/>
        <rFont val="DejaVu Sans"/>
        <family val="2"/>
      </rPr>
      <t xml:space="preserve">❌ 通过 </t>
    </r>
    <r>
      <rPr>
        <sz val="10"/>
        <color rgb="FF000000"/>
        <rFont val="Arial"/>
        <family val="0"/>
        <charset val="1"/>
      </rPr>
      <t xml:space="preserve">Easyship </t>
    </r>
    <r>
      <rPr>
        <sz val="10"/>
        <color rgb="FF000000"/>
        <rFont val="DejaVu Sans"/>
        <family val="2"/>
      </rPr>
      <t xml:space="preserve">聚合层间接拿</t>
    </r>
  </si>
  <si>
    <r>
      <rPr>
        <sz val="10"/>
        <color rgb="FF000000"/>
        <rFont val="DejaVu Sans"/>
        <family val="2"/>
      </rPr>
      <t xml:space="preserve">燕文 </t>
    </r>
    <r>
      <rPr>
        <sz val="10"/>
        <color rgb="FF000000"/>
        <rFont val="Arial"/>
        <family val="0"/>
        <charset val="1"/>
      </rPr>
      <t xml:space="preserve">Yanwen</t>
    </r>
  </si>
  <si>
    <r>
      <rPr>
        <sz val="10"/>
        <color rgb="FF000000"/>
        <rFont val="DejaVu Sans"/>
        <family val="2"/>
      </rPr>
      <t xml:space="preserve">客户后台 </t>
    </r>
    <r>
      <rPr>
        <sz val="10"/>
        <color rgb="FF000000"/>
        <rFont val="Arial"/>
        <family val="0"/>
        <charset val="1"/>
      </rPr>
      <t xml:space="preserve">yw56.com.cn</t>
    </r>
    <r>
      <rPr>
        <sz val="10"/>
        <color rgb="FF000000"/>
        <rFont val="DejaVu Sans"/>
        <family val="2"/>
      </rPr>
      <t xml:space="preserve">（无公开开发者门户）</t>
    </r>
  </si>
  <si>
    <r>
      <rPr>
        <sz val="10"/>
        <color rgb="FF000000"/>
        <rFont val="DejaVu Sans"/>
        <family val="2"/>
      </rPr>
      <t xml:space="preserve">签约后由客户经理发 </t>
    </r>
    <r>
      <rPr>
        <sz val="10"/>
        <color rgb="FF000000"/>
        <rFont val="Arial"/>
        <family val="0"/>
        <charset val="1"/>
      </rPr>
      <t xml:space="preserve">PDF</t>
    </r>
  </si>
  <si>
    <r>
      <rPr>
        <sz val="10"/>
        <color rgb="FF000000"/>
        <rFont val="DejaVu Sans"/>
        <family val="2"/>
      </rPr>
      <t xml:space="preserve">运单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跟踪 </t>
    </r>
    <r>
      <rPr>
        <sz val="10"/>
        <color rgb="FF000000"/>
        <rFont val="Arial"/>
        <family val="0"/>
        <charset val="1"/>
      </rPr>
      <t xml:space="preserve">/ rate</t>
    </r>
  </si>
  <si>
    <t xml:space="preserve">同上</t>
  </si>
  <si>
    <r>
      <rPr>
        <sz val="10"/>
        <color rgb="FF000000"/>
        <rFont val="DejaVu Sans"/>
        <family val="2"/>
      </rPr>
      <t xml:space="preserve">签约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月结</t>
    </r>
  </si>
  <si>
    <r>
      <rPr>
        <sz val="10"/>
        <color rgb="FF000000"/>
        <rFont val="DejaVu Sans"/>
        <family val="2"/>
      </rPr>
      <t xml:space="preserve">❌ 通过 </t>
    </r>
    <r>
      <rPr>
        <sz val="10"/>
        <color rgb="FF000000"/>
        <rFont val="Arial"/>
        <family val="0"/>
        <charset val="1"/>
      </rPr>
      <t xml:space="preserve">Easyship/Shippo </t>
    </r>
    <r>
      <rPr>
        <sz val="10"/>
        <color rgb="FF000000"/>
        <rFont val="DejaVu Sans"/>
        <family val="2"/>
      </rPr>
      <t xml:space="preserve">聚合</t>
    </r>
  </si>
  <si>
    <r>
      <rPr>
        <sz val="10"/>
        <color rgb="FF000000"/>
        <rFont val="DejaVu Sans"/>
        <family val="2"/>
      </rPr>
      <t xml:space="preserve">云途 </t>
    </r>
    <r>
      <rPr>
        <sz val="10"/>
        <color rgb="FF000000"/>
        <rFont val="Arial"/>
        <family val="0"/>
        <charset val="1"/>
      </rPr>
      <t xml:space="preserve">YunExpress</t>
    </r>
  </si>
  <si>
    <r>
      <rPr>
        <sz val="10"/>
        <color rgb="FF000000"/>
        <rFont val="Arial"/>
        <family val="0"/>
        <charset val="1"/>
      </rPr>
      <t xml:space="preserve">OMS </t>
    </r>
    <r>
      <rPr>
        <sz val="10"/>
        <color rgb="FF000000"/>
        <rFont val="DejaVu Sans"/>
        <family val="2"/>
      </rPr>
      <t xml:space="preserve">系统（</t>
    </r>
    <r>
      <rPr>
        <sz val="10"/>
        <color rgb="FF000000"/>
        <rFont val="Arial"/>
        <family val="0"/>
        <charset val="1"/>
      </rPr>
      <t xml:space="preserve">oms2.uat.yunexpress.com </t>
    </r>
    <r>
      <rPr>
        <sz val="10"/>
        <color rgb="FF000000"/>
        <rFont val="DejaVu Sans"/>
        <family val="2"/>
      </rPr>
      <t xml:space="preserve">沙箱）</t>
    </r>
  </si>
  <si>
    <r>
      <rPr>
        <sz val="10"/>
        <color rgb="FF000000"/>
        <rFont val="DejaVu Sans"/>
        <family val="2"/>
      </rPr>
      <t xml:space="preserve">登录账户下载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DejaVu Sans"/>
        <family val="2"/>
      </rPr>
      <t xml:space="preserve">文档</t>
    </r>
  </si>
  <si>
    <r>
      <rPr>
        <sz val="10"/>
        <color rgb="FF000000"/>
        <rFont val="DejaVu Sans"/>
        <family val="2"/>
      </rPr>
      <t xml:space="preserve">运单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跟踪</t>
    </r>
  </si>
  <si>
    <r>
      <rPr>
        <sz val="10"/>
        <color rgb="FF000000"/>
        <rFont val="Arial"/>
        <family val="0"/>
        <charset val="1"/>
      </rPr>
      <t xml:space="preserve">Waybill/GetTrackingNumber </t>
    </r>
    <r>
      <rPr>
        <sz val="10"/>
        <color rgb="FF000000"/>
        <rFont val="DejaVu Sans"/>
        <family val="2"/>
      </rPr>
      <t xml:space="preserve">等</t>
    </r>
  </si>
  <si>
    <t xml:space="preserve">❌ 同上</t>
  </si>
  <si>
    <r>
      <rPr>
        <sz val="10"/>
        <color rgb="FF000000"/>
        <rFont val="Arial"/>
        <family val="0"/>
        <charset val="1"/>
      </rPr>
      <t xml:space="preserve">SF Express </t>
    </r>
    <r>
      <rPr>
        <sz val="10"/>
        <color rgb="FF000000"/>
        <rFont val="DejaVu Sans"/>
        <family val="2"/>
      </rPr>
      <t xml:space="preserve">国际</t>
    </r>
  </si>
  <si>
    <r>
      <rPr>
        <sz val="10"/>
        <color rgb="FF000000"/>
        <rFont val="Arial"/>
        <family val="0"/>
        <charset val="1"/>
      </rPr>
      <t xml:space="preserve">openapi-portal.sf.global (</t>
    </r>
    <r>
      <rPr>
        <sz val="10"/>
        <color rgb="FF000000"/>
        <rFont val="DejaVu Sans"/>
        <family val="2"/>
      </rPr>
      <t xml:space="preserve">国际</t>
    </r>
    <r>
      <rPr>
        <sz val="10"/>
        <color rgb="FF000000"/>
        <rFont val="Arial"/>
        <family val="0"/>
        <charset val="1"/>
      </rPr>
      <t xml:space="preserve">) / open.sf-express.com (</t>
    </r>
    <r>
      <rPr>
        <sz val="10"/>
        <color rgb="FF000000"/>
        <rFont val="DejaVu Sans"/>
        <family val="2"/>
      </rPr>
      <t xml:space="preserve">国内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</si>
  <si>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API key + </t>
    </r>
    <r>
      <rPr>
        <sz val="10"/>
        <color rgb="FF000000"/>
        <rFont val="DejaVu Sans"/>
        <family val="2"/>
      </rPr>
      <t xml:space="preserve">月结账户</t>
    </r>
  </si>
  <si>
    <t xml:space="preserve">签约后获取</t>
  </si>
  <si>
    <r>
      <rPr>
        <sz val="10"/>
        <color rgb="FF000000"/>
        <rFont val="DejaVu Sans"/>
        <family val="2"/>
      </rPr>
      <t xml:space="preserve">月结账户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申请审批</t>
    </r>
  </si>
  <si>
    <r>
      <rPr>
        <b val="true"/>
        <sz val="13"/>
        <color rgb="FF000000"/>
        <rFont val="DejaVu Sans"/>
        <family val="2"/>
      </rPr>
      <t xml:space="preserve">📣 广告官方 </t>
    </r>
    <r>
      <rPr>
        <b val="true"/>
        <sz val="13"/>
        <color rgb="FF000000"/>
        <rFont val="Arial"/>
        <family val="0"/>
        <charset val="1"/>
      </rPr>
      <t xml:space="preserve">API I/O </t>
    </r>
    <r>
      <rPr>
        <b val="true"/>
        <sz val="13"/>
        <color rgb="FF000000"/>
        <rFont val="DejaVu Sans"/>
        <family val="2"/>
      </rPr>
      <t xml:space="preserve">规格</t>
    </r>
  </si>
  <si>
    <t xml:space="preserve">POST https://graph.facebook.com/v25.0/act_{ad_account_id}/insights</t>
  </si>
  <si>
    <t xml:space="preserve">OAuth 2.0 Bearer (access_token)</t>
  </si>
  <si>
    <t xml:space="preserve">fields=spend,impressions,clicks,cpm,ctr,actions; time_range; level (ad/adset/campaign); breakdowns</t>
  </si>
  <si>
    <t xml:space="preserve">data[]{spend, impressions, clicks, ctr, cpm, actions[{action_type, value}]}</t>
  </si>
  <si>
    <r>
      <rPr>
        <sz val="10"/>
        <color rgb="FF000000"/>
        <rFont val="DejaVu Sans"/>
        <family val="2"/>
      </rPr>
      <t xml:space="preserve">免费；需 </t>
    </r>
    <r>
      <rPr>
        <sz val="10"/>
        <color rgb="FF000000"/>
        <rFont val="Arial"/>
        <family val="0"/>
        <charset val="1"/>
      </rPr>
      <t xml:space="preserve">App Review </t>
    </r>
    <r>
      <rPr>
        <sz val="10"/>
        <color rgb="FF000000"/>
        <rFont val="DejaVu Sans"/>
        <family val="2"/>
      </rPr>
      <t xml:space="preserve">升级 </t>
    </r>
    <r>
      <rPr>
        <sz val="10"/>
        <color rgb="FF000000"/>
        <rFont val="Arial"/>
        <family val="0"/>
        <charset val="1"/>
      </rPr>
      <t xml:space="preserve">Standard tier </t>
    </r>
    <r>
      <rPr>
        <sz val="10"/>
        <color rgb="FF000000"/>
        <rFont val="DejaVu Sans"/>
        <family val="2"/>
      </rPr>
      <t xml:space="preserve">才有量化能力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</si>
  <si>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必接，自家投放回流</t>
    </r>
  </si>
  <si>
    <t xml:space="preserve">GET https://business-api.tiktok.com/open_api/v1.3/report/integrated/get/</t>
  </si>
  <si>
    <t xml:space="preserve">Access-Token Header (OAuth 2.0)</t>
  </si>
  <si>
    <t xml:space="preserve">advertiser_id + report_type + data_level + dimensions[] + metrics[spend,impressions,ctr,cvr,cpm,conversion]</t>
  </si>
  <si>
    <t xml:space="preserve">list[]{dimension_keys, metrics_values}</t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</si>
  <si>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</t>
    </r>
    <r>
      <rPr>
        <sz val="10"/>
        <color rgb="FF000000"/>
        <rFont val="Arial"/>
        <family val="0"/>
        <charset val="1"/>
      </rPr>
      <t xml:space="preserve">TikTok </t>
    </r>
    <r>
      <rPr>
        <sz val="10"/>
        <color rgb="FF000000"/>
        <rFont val="DejaVu Sans"/>
        <family val="2"/>
      </rPr>
      <t xml:space="preserve">广告数据</t>
    </r>
  </si>
  <si>
    <t xml:space="preserve">TikTok Shop Open API</t>
  </si>
  <si>
    <t xml:space="preserve">POST https://open-api.tiktokglobalshop.com/order/202309/orders/search</t>
  </si>
  <si>
    <r>
      <rPr>
        <sz val="10"/>
        <color rgb="FF000000"/>
        <rFont val="Arial"/>
        <family val="0"/>
        <charset val="1"/>
      </rPr>
      <t xml:space="preserve">OAuth 2.0 </t>
    </r>
    <r>
      <rPr>
        <sz val="10"/>
        <color rgb="FF000000"/>
        <rFont val="DejaVu Sans"/>
        <family val="2"/>
      </rPr>
      <t xml:space="preserve">三步流程 </t>
    </r>
    <r>
      <rPr>
        <sz val="10"/>
        <color rgb="FF000000"/>
        <rFont val="Arial"/>
        <family val="0"/>
        <charset val="1"/>
      </rPr>
      <t xml:space="preserve">+ shop_cipher</t>
    </r>
  </si>
  <si>
    <t xml:space="preserve">shop_cipher + create_time_ge/lt + page_size</t>
  </si>
  <si>
    <t xml:space="preserve">orders[]{order_id, gmv, line_items[{sku, qty, price}], buyer}</t>
  </si>
  <si>
    <r>
      <rPr>
        <sz val="10"/>
        <color rgb="FF000000"/>
        <rFont val="DejaVu Sans"/>
        <family val="2"/>
      </rPr>
      <t xml:space="preserve">免费；需 </t>
    </r>
    <r>
      <rPr>
        <sz val="10"/>
        <color rgb="FF000000"/>
        <rFont val="Arial"/>
        <family val="0"/>
        <charset val="1"/>
      </rPr>
      <t xml:space="preserve">Partner Center </t>
    </r>
    <r>
      <rPr>
        <sz val="10"/>
        <color rgb="FF000000"/>
        <rFont val="DejaVu Sans"/>
        <family val="2"/>
      </rPr>
      <t xml:space="preserve">申请 </t>
    </r>
    <r>
      <rPr>
        <sz val="10"/>
        <color rgb="FF000000"/>
        <rFont val="Arial"/>
        <family val="0"/>
        <charset val="1"/>
      </rPr>
      <t xml:space="preserve">App + </t>
    </r>
    <r>
      <rPr>
        <sz val="10"/>
        <color rgb="FF000000"/>
        <rFont val="DejaVu Sans"/>
        <family val="2"/>
      </rPr>
      <t xml:space="preserve">卖家授权 </t>
    </r>
    <r>
      <rPr>
        <sz val="10"/>
        <color rgb="FF000000"/>
        <rFont val="Arial"/>
        <family val="0"/>
        <charset val="1"/>
      </rPr>
      <t xml:space="preserve">(~2 </t>
    </r>
    <r>
      <rPr>
        <sz val="10"/>
        <color rgb="FF000000"/>
        <rFont val="DejaVu Sans"/>
        <family val="2"/>
      </rPr>
      <t xml:space="preserve">工作日审核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</si>
  <si>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</t>
    </r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DejaVu Sans"/>
        <family val="2"/>
      </rPr>
      <t xml:space="preserve">订单</t>
    </r>
    <r>
      <rPr>
        <sz val="10"/>
        <color rgb="FF000000"/>
        <rFont val="Arial"/>
        <family val="0"/>
        <charset val="1"/>
      </rPr>
      <t xml:space="preserve">/GMV </t>
    </r>
    <r>
      <rPr>
        <sz val="10"/>
        <color rgb="FF000000"/>
        <rFont val="DejaVu Sans"/>
        <family val="2"/>
      </rPr>
      <t xml:space="preserve">实时</t>
    </r>
  </si>
  <si>
    <r>
      <rPr>
        <sz val="10"/>
        <color rgb="FF000000"/>
        <rFont val="Arial"/>
        <family val="0"/>
        <charset val="1"/>
      </rPr>
      <t xml:space="preserve">Amazon Ads API v3 (</t>
    </r>
    <r>
      <rPr>
        <sz val="10"/>
        <color rgb="FF000000"/>
        <rFont val="DejaVu Sans"/>
        <family val="2"/>
      </rPr>
      <t xml:space="preserve">异步报表</t>
    </r>
    <r>
      <rPr>
        <sz val="10"/>
        <color rgb="FF000000"/>
        <rFont val="Arial"/>
        <family val="0"/>
        <charset val="1"/>
      </rPr>
      <t xml:space="preserve">)</t>
    </r>
  </si>
  <si>
    <t xml:space="preserve">POST https://advertising-api.amazon.com/reporting/reports</t>
  </si>
  <si>
    <t xml:space="preserve">LWA OAuth Bearer + ClientId + Scope (profileId)</t>
  </si>
  <si>
    <t xml:space="preserve">name + startDate + endDate + configuration{adProduct,groupBy,columns,reportTypeId,timeUnit}</t>
  </si>
  <si>
    <r>
      <rPr>
        <sz val="10"/>
        <color rgb="FF000000"/>
        <rFont val="DejaVu Sans"/>
        <family val="2"/>
      </rPr>
      <t xml:space="preserve">异步：先返 </t>
    </r>
    <r>
      <rPr>
        <sz val="10"/>
        <color rgb="FF000000"/>
        <rFont val="Arial"/>
        <family val="0"/>
        <charset val="1"/>
      </rPr>
      <t xml:space="preserve">reportId → </t>
    </r>
    <r>
      <rPr>
        <sz val="10"/>
        <color rgb="FF000000"/>
        <rFont val="DejaVu Sans"/>
        <family val="2"/>
      </rPr>
      <t xml:space="preserve">轮询 </t>
    </r>
    <r>
      <rPr>
        <sz val="10"/>
        <color rgb="FF000000"/>
        <rFont val="Arial"/>
        <family val="0"/>
        <charset val="1"/>
      </rPr>
      <t xml:space="preserve">status → </t>
    </r>
    <r>
      <rPr>
        <sz val="10"/>
        <color rgb="FF000000"/>
        <rFont val="DejaVu Sans"/>
        <family val="2"/>
      </rPr>
      <t xml:space="preserve">下载 </t>
    </r>
    <r>
      <rPr>
        <sz val="10"/>
        <color rgb="FF000000"/>
        <rFont val="Arial"/>
        <family val="0"/>
        <charset val="1"/>
      </rPr>
      <t xml:space="preserve">gzip JSON</t>
    </r>
  </si>
  <si>
    <r>
      <rPr>
        <sz val="10"/>
        <color rgb="FF000000"/>
        <rFont val="DejaVu Sans"/>
        <family val="2"/>
      </rPr>
      <t xml:space="preserve">免费（</t>
    </r>
    <r>
      <rPr>
        <sz val="10"/>
        <color rgb="FF000000"/>
        <rFont val="Arial"/>
        <family val="0"/>
        <charset val="1"/>
      </rPr>
      <t xml:space="preserve">Ads API </t>
    </r>
    <r>
      <rPr>
        <sz val="10"/>
        <color rgb="FF000000"/>
        <rFont val="DejaVu Sans"/>
        <family val="2"/>
      </rPr>
      <t xml:space="preserve">仍免费；</t>
    </r>
    <r>
      <rPr>
        <sz val="10"/>
        <color rgb="FF000000"/>
        <rFont val="Arial"/>
        <family val="0"/>
        <charset val="1"/>
      </rPr>
      <t xml:space="preserve">SP-API 2026-01-31 </t>
    </r>
    <r>
      <rPr>
        <sz val="10"/>
        <color rgb="FF000000"/>
        <rFont val="DejaVu Sans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$1,400/</t>
    </r>
    <r>
      <rPr>
        <sz val="10"/>
        <color rgb="FF000000"/>
        <rFont val="DejaVu Sans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</si>
  <si>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</t>
    </r>
    <r>
      <rPr>
        <sz val="10"/>
        <color rgb="FF000000"/>
        <rFont val="Arial"/>
        <family val="0"/>
        <charset val="1"/>
      </rPr>
      <t xml:space="preserve">PPC </t>
    </r>
    <r>
      <rPr>
        <sz val="10"/>
        <color rgb="FF000000"/>
        <rFont val="DejaVu Sans"/>
        <family val="2"/>
      </rPr>
      <t xml:space="preserve">报表</t>
    </r>
  </si>
  <si>
    <r>
      <rPr>
        <sz val="10"/>
        <color rgb="FF000000"/>
        <rFont val="DejaVu Sans"/>
        <family val="2"/>
      </rPr>
      <t xml:space="preserve">通过 </t>
    </r>
    <r>
      <rPr>
        <sz val="10"/>
        <color rgb="FF000000"/>
        <rFont val="Arial"/>
        <family val="0"/>
        <charset val="1"/>
      </rPr>
      <t xml:space="preserve">Ads API </t>
    </r>
    <r>
      <rPr>
        <sz val="10"/>
        <color rgb="FF000000"/>
        <rFont val="DejaVu Sans"/>
        <family val="2"/>
      </rPr>
      <t xml:space="preserve">创建 </t>
    </r>
    <r>
      <rPr>
        <sz val="10"/>
        <color rgb="FF000000"/>
        <rFont val="Arial"/>
        <family val="0"/>
        <charset val="1"/>
      </rPr>
      <t xml:space="preserve">subscription → AWS SQS / Firehose</t>
    </r>
  </si>
  <si>
    <t xml:space="preserve">OAuth + AWS IAM</t>
  </si>
  <si>
    <r>
      <rPr>
        <sz val="10"/>
        <color rgb="FF000000"/>
        <rFont val="Arial"/>
        <family val="0"/>
        <charset val="1"/>
      </rPr>
      <t xml:space="preserve">subscription </t>
    </r>
    <r>
      <rPr>
        <sz val="10"/>
        <color rgb="FF000000"/>
        <rFont val="DejaVu Sans"/>
        <family val="2"/>
      </rPr>
      <t xml:space="preserve">配置 </t>
    </r>
    <r>
      <rPr>
        <sz val="10"/>
        <color rgb="FF000000"/>
        <rFont val="Arial"/>
        <family val="0"/>
        <charset val="1"/>
      </rPr>
      <t xml:space="preserve">dataset_id</t>
    </r>
  </si>
  <si>
    <r>
      <rPr>
        <sz val="10"/>
        <color rgb="FF000000"/>
        <rFont val="Arial"/>
        <family val="0"/>
        <charset val="1"/>
      </rPr>
      <t xml:space="preserve">Push JSON </t>
    </r>
    <r>
      <rPr>
        <sz val="10"/>
        <color rgb="FF000000"/>
        <rFont val="DejaVu Sans"/>
        <family val="2"/>
      </rPr>
      <t xml:space="preserve">小时级 </t>
    </r>
    <r>
      <rPr>
        <sz val="10"/>
        <color rgb="FF000000"/>
        <rFont val="Arial"/>
        <family val="0"/>
        <charset val="1"/>
      </rPr>
      <t xml:space="preserve">SP/SB/SD imp/click/cost/conv</t>
    </r>
  </si>
  <si>
    <r>
      <rPr>
        <sz val="10"/>
        <color rgb="FF000000"/>
        <rFont val="DejaVu Sans"/>
        <family val="2"/>
      </rPr>
      <t xml:space="preserve">免费 </t>
    </r>
    <r>
      <rPr>
        <sz val="10"/>
        <color rgb="FF000000"/>
        <rFont val="Arial"/>
        <family val="0"/>
        <charset val="1"/>
      </rPr>
      <t xml:space="preserve">+ AWS SQS ~$20-50/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</si>
  <si>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必接，日内调价的关键</t>
    </r>
  </si>
  <si>
    <t xml:space="preserve">Amazon Brand Analytics / SQP</t>
  </si>
  <si>
    <t xml:space="preserve">POST https://sellingpartnerapi-na.amazon.com/reports/2021-06-30/reports (reportType=GET_BRAND_ANALYTICS_SEARCH_QUERY_PERFORMANCE_REPORT)</t>
  </si>
  <si>
    <t xml:space="preserve">SP-API LWA OAuth</t>
  </si>
  <si>
    <r>
      <rPr>
        <sz val="10"/>
        <color rgb="FF000000"/>
        <rFont val="Arial"/>
        <family val="0"/>
        <charset val="1"/>
      </rPr>
      <t xml:space="preserve">reportType + dataStartTime + dataEndTime (</t>
    </r>
    <r>
      <rPr>
        <sz val="10"/>
        <color rgb="FF000000"/>
        <rFont val="DejaVu Sans"/>
        <family val="2"/>
      </rPr>
      <t xml:space="preserve">周对齐日历边界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</si>
  <si>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impressions, clicks, cart adds, purchases by search query</t>
    </r>
  </si>
  <si>
    <r>
      <rPr>
        <sz val="10"/>
        <color rgb="FF000000"/>
        <rFont val="DejaVu Sans"/>
        <family val="2"/>
      </rPr>
      <t xml:space="preserve">需 </t>
    </r>
    <r>
      <rPr>
        <sz val="10"/>
        <color rgb="FF000000"/>
        <rFont val="Arial"/>
        <family val="0"/>
        <charset val="1"/>
      </rPr>
      <t xml:space="preserve">Brand Registry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SP-API 2026 </t>
    </r>
    <r>
      <rPr>
        <sz val="10"/>
        <color rgb="FF000000"/>
        <rFont val="DejaVu Sans"/>
        <family val="2"/>
      </rPr>
      <t xml:space="preserve">起年费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</si>
  <si>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必接（</t>
    </r>
    <r>
      <rPr>
        <sz val="10"/>
        <color rgb="FF000000"/>
        <rFont val="Arial"/>
        <family val="0"/>
        <charset val="1"/>
      </rPr>
      <t xml:space="preserve">Brand Registry </t>
    </r>
    <r>
      <rPr>
        <sz val="10"/>
        <color rgb="FF000000"/>
        <rFont val="DejaVu Sans"/>
        <family val="2"/>
      </rPr>
      <t xml:space="preserve">后）</t>
    </r>
  </si>
  <si>
    <t xml:space="preserve">POST https://{shop}.myshopify.com/admin/api/2026-01/graphql.json</t>
  </si>
  <si>
    <t xml:space="preserve">X-Shopify-Access-Token Header</t>
  </si>
  <si>
    <r>
      <rPr>
        <sz val="10"/>
        <color rgb="FF000000"/>
        <rFont val="Arial"/>
        <family val="0"/>
        <charset val="1"/>
      </rPr>
      <t xml:space="preserve">GraphQL query: orders/products/customers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lineItems, totalPriceSet, refunds, taxLines</t>
    </r>
  </si>
  <si>
    <r>
      <rPr>
        <sz val="10"/>
        <color rgb="FF000000"/>
        <rFont val="Arial"/>
        <family val="0"/>
        <charset val="1"/>
      </rPr>
      <t xml:space="preserve">GraphQL response</t>
    </r>
    <r>
      <rPr>
        <sz val="10"/>
        <color rgb="FF000000"/>
        <rFont val="DejaVu Sans"/>
        <family val="2"/>
      </rPr>
      <t xml:space="preserve">（结构由 </t>
    </r>
    <r>
      <rPr>
        <sz val="10"/>
        <color rgb="FF000000"/>
        <rFont val="Arial"/>
        <family val="0"/>
        <charset val="1"/>
      </rPr>
      <t xml:space="preserve">query </t>
    </r>
    <r>
      <rPr>
        <sz val="10"/>
        <color rgb="FF000000"/>
        <rFont val="DejaVu Sans"/>
        <family val="2"/>
      </rPr>
      <t xml:space="preserve">决定）</t>
    </r>
  </si>
  <si>
    <r>
      <rPr>
        <sz val="10"/>
        <color rgb="FF000000"/>
        <rFont val="DejaVu Sans"/>
        <family val="2"/>
      </rPr>
      <t xml:space="preserve">含套餐免费；</t>
    </r>
    <r>
      <rPr>
        <sz val="10"/>
        <color rgb="FF000000"/>
        <rFont val="Arial"/>
        <family val="0"/>
        <charset val="1"/>
      </rPr>
      <t xml:space="preserve">read_all_orders scope </t>
    </r>
    <r>
      <rPr>
        <sz val="10"/>
        <color rgb="FF000000"/>
        <rFont val="DejaVu Sans"/>
        <family val="2"/>
      </rPr>
      <t xml:space="preserve">需申请审核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</si>
  <si>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必接，独立站 </t>
    </r>
    <r>
      <rPr>
        <sz val="10"/>
        <color rgb="FF000000"/>
        <rFont val="Arial"/>
        <family val="0"/>
        <charset val="1"/>
      </rPr>
      <t xml:space="preserve">ROI </t>
    </r>
    <r>
      <rPr>
        <sz val="10"/>
        <color rgb="FF000000"/>
        <rFont val="DejaVu Sans"/>
        <family val="2"/>
      </rPr>
      <t xml:space="preserve">底座</t>
    </r>
  </si>
  <si>
    <t xml:space="preserve">ShopifyQL</t>
  </si>
  <si>
    <t xml:space="preserve">GraphQL Admin API: shopifyqlQuery field</t>
  </si>
  <si>
    <t xml:space="preserve">X-Shopify-Access-Token</t>
  </si>
  <si>
    <r>
      <rPr>
        <sz val="10"/>
        <color rgb="FF000000"/>
        <rFont val="Arial"/>
        <family val="0"/>
        <charset val="1"/>
      </rPr>
      <t xml:space="preserve">query </t>
    </r>
    <r>
      <rPr>
        <sz val="10"/>
        <color rgb="FF000000"/>
        <rFont val="DejaVu Sans"/>
        <family val="2"/>
      </rPr>
      <t xml:space="preserve">字符串：</t>
    </r>
    <r>
      <rPr>
        <sz val="10"/>
        <color rgb="FF000000"/>
        <rFont val="Arial"/>
        <family val="0"/>
        <charset val="1"/>
      </rPr>
      <t xml:space="preserve">FROM sales SHOW total_sales BY day SINCE -30d</t>
    </r>
  </si>
  <si>
    <t xml:space="preserve">tableData{rowData, columns[]}</t>
  </si>
  <si>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Shopify </t>
    </r>
    <r>
      <rPr>
        <sz val="10"/>
        <color rgb="FF000000"/>
        <rFont val="DejaVu Sans"/>
        <family val="2"/>
      </rPr>
      <t xml:space="preserve">套餐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</si>
  <si>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可用，简化数据查询</t>
    </r>
  </si>
  <si>
    <t xml:space="preserve">POST https://analyticsdata.googleapis.com/v1beta/properties/{propertyId}:runReport</t>
  </si>
  <si>
    <t xml:space="preserve">OAuth 2.0 / Service Account Bearer</t>
  </si>
  <si>
    <t xml:space="preserve">dimensions[] + metrics[] + dateRanges[] + dimensionFilter + limit</t>
  </si>
  <si>
    <r>
      <rPr>
        <sz val="10"/>
        <color rgb="FF000000"/>
        <rFont val="Arial"/>
        <family val="0"/>
        <charset val="1"/>
      </rPr>
      <t xml:space="preserve">rows[]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dimensionValues + metricValues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</si>
  <si>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必接，归因校验</t>
    </r>
  </si>
  <si>
    <r>
      <rPr>
        <b val="true"/>
        <sz val="13"/>
        <color rgb="FF000000"/>
        <rFont val="DejaVu Sans"/>
        <family val="2"/>
      </rPr>
      <t xml:space="preserve">🔍 选品 </t>
    </r>
    <r>
      <rPr>
        <b val="true"/>
        <sz val="13"/>
        <color rgb="FF000000"/>
        <rFont val="Arial"/>
        <family val="0"/>
        <charset val="1"/>
      </rPr>
      <t xml:space="preserve">/ </t>
    </r>
    <r>
      <rPr>
        <b val="true"/>
        <sz val="13"/>
        <color rgb="FF000000"/>
        <rFont val="DejaVu Sans"/>
        <family val="2"/>
      </rPr>
      <t xml:space="preserve">竞品 </t>
    </r>
    <r>
      <rPr>
        <b val="true"/>
        <sz val="13"/>
        <color rgb="FF000000"/>
        <rFont val="Arial"/>
        <family val="0"/>
        <charset val="1"/>
      </rPr>
      <t xml:space="preserve">SaaS I/O </t>
    </r>
    <r>
      <rPr>
        <b val="true"/>
        <sz val="13"/>
        <color rgb="FF000000"/>
        <rFont val="DejaVu Sans"/>
        <family val="2"/>
      </rPr>
      <t xml:space="preserve">规格</t>
    </r>
  </si>
  <si>
    <r>
      <rPr>
        <sz val="10"/>
        <color rgb="FF000000"/>
        <rFont val="Arial"/>
        <family val="0"/>
        <charset val="1"/>
      </rPr>
      <t xml:space="preserve">SellerSprite </t>
    </r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Arial"/>
        <family val="0"/>
        <charset val="1"/>
      </rPr>
      <t xml:space="preserve">(API)</t>
    </r>
  </si>
  <si>
    <t xml:space="preserve">🟡 需邮件申请</t>
  </si>
  <si>
    <r>
      <rPr>
        <sz val="10"/>
        <color rgb="FF000000"/>
        <rFont val="Arial"/>
        <family val="0"/>
        <charset val="1"/>
      </rPr>
      <t xml:space="preserve">https://api.sellersprite.com/ (</t>
    </r>
    <r>
      <rPr>
        <sz val="10"/>
        <color rgb="FF000000"/>
        <rFont val="DejaVu Sans"/>
        <family val="2"/>
      </rPr>
      <t xml:space="preserve">文档 </t>
    </r>
    <r>
      <rPr>
        <sz val="10"/>
        <color rgb="FF000000"/>
        <rFont val="Arial"/>
        <family val="0"/>
        <charset val="1"/>
      </rPr>
      <t xml:space="preserve">sellersprite.github.io)</t>
    </r>
  </si>
  <si>
    <r>
      <rPr>
        <sz val="10"/>
        <color rgb="FF000000"/>
        <rFont val="Arial"/>
        <family val="0"/>
        <charset val="1"/>
      </rPr>
      <t xml:space="preserve">API Key (</t>
    </r>
    <r>
      <rPr>
        <sz val="10"/>
        <color rgb="FF000000"/>
        <rFont val="DejaVu Sans"/>
        <family val="2"/>
      </rPr>
      <t xml:space="preserve">邮件 </t>
    </r>
    <r>
      <rPr>
        <sz val="10"/>
        <color rgb="FF000000"/>
        <rFont val="Arial"/>
        <family val="0"/>
        <charset val="1"/>
      </rPr>
      <t xml:space="preserve">bi@iyunya.com </t>
    </r>
    <r>
      <rPr>
        <sz val="10"/>
        <color rgb="FF000000"/>
        <rFont val="DejaVu Sans"/>
        <family val="2"/>
      </rPr>
      <t xml:space="preserve">申请，</t>
    </r>
    <r>
      <rPr>
        <sz val="10"/>
        <color rgb="FF000000"/>
        <rFont val="Arial"/>
        <family val="0"/>
        <charset val="1"/>
      </rPr>
      <t xml:space="preserve">~24h </t>
    </r>
    <r>
      <rPr>
        <sz val="10"/>
        <color rgb="FF000000"/>
        <rFont val="DejaVu Sans"/>
        <family val="2"/>
      </rPr>
      <t xml:space="preserve">内发放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</si>
  <si>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商品调研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关键词分析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流量数据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竞品查询 </t>
    </r>
    <r>
      <rPr>
        <sz val="10"/>
        <color rgb="FF000000"/>
        <rFont val="Arial"/>
        <family val="0"/>
        <charset val="1"/>
      </rPr>
      <t xml:space="preserve">endpoints</t>
    </r>
  </si>
  <si>
    <r>
      <rPr>
        <sz val="10"/>
        <color rgb="FF000000"/>
        <rFont val="DejaVu Sans"/>
        <family val="2"/>
      </rPr>
      <t xml:space="preserve">结构化 </t>
    </r>
    <r>
      <rPr>
        <sz val="10"/>
        <color rgb="FF000000"/>
        <rFont val="Arial"/>
        <family val="0"/>
        <charset val="1"/>
      </rPr>
      <t xml:space="preserve">JSON</t>
    </r>
    <r>
      <rPr>
        <sz val="10"/>
        <color rgb="FF000000"/>
        <rFont val="DejaVu Sans"/>
        <family val="2"/>
      </rPr>
      <t xml:space="preserve">（按 </t>
    </r>
    <r>
      <rPr>
        <sz val="10"/>
        <color rgb="FF000000"/>
        <rFont val="Arial"/>
        <family val="0"/>
        <charset val="1"/>
      </rPr>
      <t xml:space="preserve">endpoint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</si>
  <si>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按月请求量计费（半年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年套餐）；非 </t>
    </r>
    <r>
      <rPr>
        <sz val="10"/>
        <color rgb="FF000000"/>
        <rFont val="Arial"/>
        <family val="0"/>
        <charset val="1"/>
      </rPr>
      <t xml:space="preserve">self-serve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</si>
  <si>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可申请，国产选品主力</t>
    </r>
  </si>
  <si>
    <t xml:space="preserve">Helium 10 API</t>
  </si>
  <si>
    <r>
      <rPr>
        <sz val="10"/>
        <color rgb="FF000000"/>
        <rFont val="DejaVu Sans"/>
        <family val="2"/>
      </rPr>
      <t xml:space="preserve">🔴 仅 </t>
    </r>
    <r>
      <rPr>
        <sz val="10"/>
        <color rgb="FF000000"/>
        <rFont val="Arial"/>
        <family val="0"/>
        <charset val="1"/>
      </rPr>
      <t xml:space="preserve">Enterprise</t>
    </r>
  </si>
  <si>
    <t xml:space="preserve">Helium 10 Enterprise (custom URL)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</si>
  <si>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DejaVu Sans"/>
        <family val="2"/>
      </rPr>
      <t xml:space="preserve">客户分配</t>
    </r>
  </si>
  <si>
    <r>
      <rPr>
        <sz val="10"/>
        <color rgb="FF000000"/>
        <rFont val="Arial"/>
        <family val="0"/>
        <charset val="1"/>
      </rPr>
      <t xml:space="preserve">Bulk/custom reporting</t>
    </r>
    <r>
      <rPr>
        <sz val="10"/>
        <color rgb="FF000000"/>
        <rFont val="DejaVu Sans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keyword tracking </t>
    </r>
    <r>
      <rPr>
        <sz val="10"/>
        <color rgb="FF000000"/>
        <rFont val="DejaVu Sans"/>
        <family val="2"/>
      </rPr>
      <t xml:space="preserve">高限额</t>
    </r>
  </si>
  <si>
    <t xml:space="preserve">JSON / CSV bulk export</t>
  </si>
  <si>
    <r>
      <rPr>
        <sz val="10"/>
        <color rgb="FF000000"/>
        <rFont val="Arial"/>
        <family val="0"/>
        <charset val="1"/>
      </rPr>
      <t xml:space="preserve">Enterprise Plan $1,499+/</t>
    </r>
    <r>
      <rPr>
        <sz val="10"/>
        <color rgb="FF000000"/>
        <rFont val="DejaVu Sans"/>
        <family val="2"/>
      </rPr>
      <t xml:space="preserve">月起（</t>
    </r>
    <r>
      <rPr>
        <sz val="10"/>
        <color rgb="FF000000"/>
        <rFont val="Arial"/>
        <family val="0"/>
        <charset val="1"/>
      </rPr>
      <t xml:space="preserve">Diamond $359 </t>
    </r>
    <r>
      <rPr>
        <sz val="10"/>
        <color rgb="FF000000"/>
        <rFont val="DejaVu Sans"/>
        <family val="2"/>
      </rPr>
      <t xml:space="preserve">不含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</si>
  <si>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❌ MVP </t>
    </r>
    <r>
      <rPr>
        <sz val="10"/>
        <color rgb="FF000000"/>
        <rFont val="DejaVu Sans"/>
        <family val="2"/>
      </rPr>
      <t xml:space="preserve">不接，用卖家精灵替代</t>
    </r>
  </si>
  <si>
    <t xml:space="preserve">Jungle Scout API</t>
  </si>
  <si>
    <t xml:space="preserve">https://api.junglescout.com/ (6 endpoints)</t>
  </si>
  <si>
    <t xml:space="preserve">API Key Header</t>
  </si>
  <si>
    <t xml:space="preserve">Keywords by ASIN / Keywords by Keyword / Historical SV / Product Database / Sales Estimates / Share of Voice</t>
  </si>
  <si>
    <r>
      <rPr>
        <sz val="10"/>
        <color rgb="FF000000"/>
        <rFont val="Arial"/>
        <family val="0"/>
        <charset val="1"/>
      </rPr>
      <t xml:space="preserve">JSON</t>
    </r>
    <r>
      <rPr>
        <sz val="10"/>
        <color rgb="FF000000"/>
        <rFont val="DejaVu Sans"/>
        <family val="2"/>
      </rPr>
      <t xml:space="preserve">（搜索量、销量估算、词云、</t>
    </r>
    <r>
      <rPr>
        <sz val="10"/>
        <color rgb="FF000000"/>
        <rFont val="Arial"/>
        <family val="0"/>
        <charset val="1"/>
      </rPr>
      <t xml:space="preserve">SOV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</si>
  <si>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$29-$199/</t>
    </r>
    <r>
      <rPr>
        <sz val="10"/>
        <color rgb="FF000000"/>
        <rFont val="DejaVu Sans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Tier 1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1000 calls</t>
    </r>
    <r>
      <rPr>
        <sz val="10"/>
        <color rgb="FF000000"/>
        <rFont val="DejaVu Sans"/>
        <family val="2"/>
      </rPr>
      <t xml:space="preserve">；超量 </t>
    </r>
    <r>
      <rPr>
        <sz val="10"/>
        <color rgb="FF000000"/>
        <rFont val="Arial"/>
        <family val="0"/>
        <charset val="1"/>
      </rPr>
      <t xml:space="preserve">$0.05/req</t>
    </r>
    <r>
      <rPr>
        <sz val="10"/>
        <color rgb="FF000000"/>
        <rFont val="DejaVu Sans"/>
        <family val="2"/>
      </rPr>
      <t xml:space="preserve">；硬上限 </t>
    </r>
    <r>
      <rPr>
        <sz val="10"/>
        <color rgb="FF000000"/>
        <rFont val="Arial"/>
        <family val="0"/>
        <charset val="1"/>
      </rPr>
      <t xml:space="preserve">300/min</t>
    </r>
    <r>
      <rPr>
        <sz val="10"/>
        <color rgb="FF000000"/>
        <rFont val="DejaVu Sans"/>
        <family val="2"/>
      </rPr>
      <t xml:space="preserve">）</t>
    </r>
  </si>
  <si>
    <r>
      <rPr>
        <sz val="10"/>
        <color rgb="FF000000"/>
        <rFont val="DejaVu Sans"/>
        <family val="2"/>
      </rPr>
      <t xml:space="preserve">✅ 性价比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DejaVu Sans"/>
        <family val="2"/>
      </rPr>
      <t xml:space="preserve">替代，可作为卖家精灵的辅助</t>
    </r>
  </si>
  <si>
    <t xml:space="preserve">DataDive API</t>
  </si>
  <si>
    <t xml:space="preserve">🟡 部分套餐含</t>
  </si>
  <si>
    <t xml:space="preserve">DataDive Enterprise API</t>
  </si>
  <si>
    <t xml:space="preserve">API Key</t>
  </si>
  <si>
    <r>
      <rPr>
        <sz val="10"/>
        <color rgb="FF000000"/>
        <rFont val="DejaVu Sans"/>
        <family val="2"/>
      </rPr>
      <t xml:space="preserve">关键词聚合 </t>
    </r>
    <r>
      <rPr>
        <sz val="10"/>
        <color rgb="FF000000"/>
        <rFont val="Arial"/>
        <family val="0"/>
        <charset val="1"/>
      </rPr>
      <t xml:space="preserve">cluster / </t>
    </r>
    <r>
      <rPr>
        <sz val="10"/>
        <color rgb="FF000000"/>
        <rFont val="DejaVu Sans"/>
        <family val="2"/>
      </rPr>
      <t xml:space="preserve">反查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趋势</t>
    </r>
  </si>
  <si>
    <t xml:space="preserve">JSON</t>
  </si>
  <si>
    <r>
      <rPr>
        <sz val="10"/>
        <color rgb="FF000000"/>
        <rFont val="Arial"/>
        <family val="0"/>
        <charset val="1"/>
      </rPr>
      <t xml:space="preserve">Enterprise ($490/</t>
    </r>
    <r>
      <rPr>
        <sz val="10"/>
        <color rgb="FF000000"/>
        <rFont val="DejaVu Sans"/>
        <family val="2"/>
      </rPr>
      <t xml:space="preserve">月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；本质是 </t>
    </r>
    <r>
      <rPr>
        <sz val="10"/>
        <color rgb="FF000000"/>
        <rFont val="Arial"/>
        <family val="0"/>
        <charset val="1"/>
      </rPr>
      <t xml:space="preserve">JS+Keepa </t>
    </r>
    <r>
      <rPr>
        <sz val="10"/>
        <color rgb="FF000000"/>
        <rFont val="DejaVu Sans"/>
        <family val="2"/>
      </rPr>
      <t xml:space="preserve">二次加工</t>
    </r>
  </si>
  <si>
    <r>
      <rPr>
        <sz val="10"/>
        <color rgb="FF000000"/>
        <rFont val="DejaVu Sans"/>
        <family val="2"/>
      </rPr>
      <t xml:space="preserve">△ 已接 </t>
    </r>
    <r>
      <rPr>
        <sz val="10"/>
        <color rgb="FF000000"/>
        <rFont val="Arial"/>
        <family val="0"/>
        <charset val="1"/>
      </rPr>
      <t xml:space="preserve">JS+Keepa </t>
    </r>
    <r>
      <rPr>
        <sz val="10"/>
        <color rgb="FF000000"/>
        <rFont val="DejaVu Sans"/>
        <family val="2"/>
      </rPr>
      <t xml:space="preserve">时可省</t>
    </r>
  </si>
  <si>
    <t xml:space="preserve">https://api.keepa.com/product / search / category / seller / bestsellers / deal</t>
  </si>
  <si>
    <r>
      <rPr>
        <sz val="10"/>
        <color rgb="FF000000"/>
        <rFont val="Arial"/>
        <family val="0"/>
        <charset val="1"/>
      </rPr>
      <t xml:space="preserve">URL </t>
    </r>
    <r>
      <rPr>
        <sz val="10"/>
        <color rgb="FF000000"/>
        <rFont val="DejaVu Sans"/>
        <family val="2"/>
      </rPr>
      <t xml:space="preserve">参数 </t>
    </r>
    <r>
      <rPr>
        <sz val="10"/>
        <color rgb="FF000000"/>
        <rFont val="Arial"/>
        <family val="0"/>
        <charset val="1"/>
      </rPr>
      <t xml:space="preserve">key=&lt;token&gt;</t>
    </r>
  </si>
  <si>
    <r>
      <rPr>
        <sz val="10"/>
        <color rgb="FF000000"/>
        <rFont val="Arial"/>
        <family val="0"/>
        <charset val="1"/>
      </rPr>
      <t xml:space="preserve">ASIN / search </t>
    </r>
    <r>
      <rPr>
        <sz val="10"/>
        <color rgb="FF000000"/>
        <rFont val="DejaVu Sans"/>
        <family val="2"/>
      </rPr>
      <t xml:space="preserve">关键词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类目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</si>
  <si>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DejaVu Sans"/>
        <family val="2"/>
      </rPr>
      <t xml:space="preserve">历史价 </t>
    </r>
    <r>
      <rPr>
        <sz val="10"/>
        <color rgb="FF000000"/>
        <rFont val="Arial"/>
        <family val="0"/>
        <charset val="1"/>
      </rPr>
      <t xml:space="preserve">/ BSR / Buy Box / </t>
    </r>
    <r>
      <rPr>
        <sz val="10"/>
        <color rgb="FF000000"/>
        <rFont val="DejaVu Sans"/>
        <family val="2"/>
      </rPr>
      <t xml:space="preserve">销售排名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评论数</t>
    </r>
  </si>
  <si>
    <r>
      <rPr>
        <sz val="10"/>
        <color rgb="FF000000"/>
        <rFont val="Arial"/>
        <family val="0"/>
        <charset val="1"/>
      </rPr>
      <t xml:space="preserve">€19/</t>
    </r>
    <r>
      <rPr>
        <sz val="10"/>
        <color rgb="FF000000"/>
        <rFont val="DejaVu Sans"/>
        <family val="2"/>
      </rPr>
      <t xml:space="preserve">月起 </t>
    </r>
    <r>
      <rPr>
        <sz val="10"/>
        <color rgb="FF000000"/>
        <rFont val="Arial"/>
        <family val="0"/>
        <charset val="1"/>
      </rPr>
      <t xml:space="preserve">(Web) / €49+/</t>
    </r>
    <r>
      <rPr>
        <sz val="10"/>
        <color rgb="FF000000"/>
        <rFont val="DejaVu Sans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DejaVu Sans"/>
        <family val="2"/>
      </rPr>
      <t xml:space="preserve">制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60 </t>
    </r>
    <r>
      <rPr>
        <sz val="10"/>
        <color rgb="FF000000"/>
        <rFont val="DejaVu Sans"/>
        <family val="2"/>
      </rPr>
      <t xml:space="preserve">分钟过期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</si>
  <si>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DejaVu Sans"/>
        <family val="2"/>
      </rPr>
      <t xml:space="preserve">历史价</t>
    </r>
    <r>
      <rPr>
        <sz val="10"/>
        <color rgb="FF000000"/>
        <rFont val="Arial"/>
        <family val="0"/>
        <charset val="1"/>
      </rPr>
      <t xml:space="preserve">/BSR </t>
    </r>
    <r>
      <rPr>
        <sz val="10"/>
        <color rgb="FF000000"/>
        <rFont val="DejaVu Sans"/>
        <family val="2"/>
      </rPr>
      <t xml:space="preserve">行业标准</t>
    </r>
  </si>
  <si>
    <t xml:space="preserve">SmartScout API</t>
  </si>
  <si>
    <t xml:space="preserve">🟡 Enterprise add-on</t>
  </si>
  <si>
    <r>
      <rPr>
        <sz val="10"/>
        <color rgb="FF000000"/>
        <rFont val="Arial"/>
        <family val="0"/>
        <charset val="1"/>
      </rPr>
      <t xml:space="preserve">https://api.smartscout.com/ (</t>
    </r>
    <r>
      <rPr>
        <sz val="10"/>
        <color rgb="FF000000"/>
        <rFont val="DejaVu Sans"/>
        <family val="2"/>
      </rPr>
      <t xml:space="preserve">文档可查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</si>
  <si>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API Key + marketplace </t>
    </r>
    <r>
      <rPr>
        <sz val="10"/>
        <color rgb="FF000000"/>
        <rFont val="DejaVu Sans"/>
        <family val="2"/>
      </rPr>
      <t xml:space="preserve">参数</t>
    </r>
  </si>
  <si>
    <r>
      <rPr>
        <sz val="10"/>
        <color rgb="FF000000"/>
        <rFont val="DejaVu Sans"/>
        <family val="2"/>
      </rPr>
      <t xml:space="preserve">子类目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品牌份额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流量来源 </t>
    </r>
    <r>
      <rPr>
        <sz val="10"/>
        <color rgb="FF000000"/>
        <rFont val="Arial"/>
        <family val="0"/>
        <charset val="1"/>
      </rPr>
      <t xml:space="preserve">/ 43k+ </t>
    </r>
    <r>
      <rPr>
        <sz val="10"/>
        <color rgb="FF000000"/>
        <rFont val="DejaVu Sans"/>
        <family val="2"/>
      </rPr>
      <t xml:space="preserve">子类</t>
    </r>
  </si>
  <si>
    <r>
      <rPr>
        <sz val="10"/>
        <color rgb="FF000000"/>
        <rFont val="Arial"/>
        <family val="0"/>
        <charset val="1"/>
      </rPr>
      <t xml:space="preserve">Enterprise $399+/</t>
    </r>
    <r>
      <rPr>
        <sz val="10"/>
        <color rgb="FF000000"/>
        <rFont val="DejaVu Sans"/>
        <family val="2"/>
      </rPr>
      <t xml:space="preserve">月，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add-on</t>
    </r>
  </si>
  <si>
    <r>
      <rPr>
        <sz val="10"/>
        <color rgb="FF000000"/>
        <rFont val="Arial"/>
        <family val="0"/>
        <charset val="1"/>
      </rPr>
      <t xml:space="preserve">△ US </t>
    </r>
    <r>
      <rPr>
        <sz val="10"/>
        <color rgb="FF000000"/>
        <rFont val="DejaVu Sans"/>
        <family val="2"/>
      </rPr>
      <t xml:space="preserve">家居子类目深度分析时升级</t>
    </r>
  </si>
  <si>
    <r>
      <rPr>
        <sz val="10"/>
        <color rgb="FF000000"/>
        <rFont val="Arial"/>
        <family val="0"/>
        <charset val="1"/>
      </rPr>
      <t xml:space="preserve">Enterprise API (</t>
    </r>
    <r>
      <rPr>
        <sz val="10"/>
        <color rgb="FF000000"/>
        <rFont val="DejaVu Sans"/>
        <family val="2"/>
      </rPr>
      <t xml:space="preserve">无公开开发者门户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</si>
  <si>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TTS </t>
    </r>
    <r>
      <rPr>
        <sz val="10"/>
        <color rgb="FF000000"/>
        <rFont val="DejaVu Sans"/>
        <family val="2"/>
      </rPr>
      <t xml:space="preserve">电商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达人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广告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商品</t>
    </r>
  </si>
  <si>
    <t xml:space="preserve">JSON / CSV</t>
  </si>
  <si>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DejaVu Sans"/>
        <family val="2"/>
      </rPr>
      <t xml:space="preserve">询价（行业估 </t>
    </r>
    <r>
      <rPr>
        <sz val="10"/>
        <color rgb="FF000000"/>
        <rFont val="Arial"/>
        <family val="0"/>
        <charset val="1"/>
      </rPr>
      <t xml:space="preserve">$229-$599+/</t>
    </r>
    <r>
      <rPr>
        <sz val="10"/>
        <color rgb="FF000000"/>
        <rFont val="DejaVu Sans"/>
        <family val="2"/>
      </rPr>
      <t xml:space="preserve">月），无公开 </t>
    </r>
    <r>
      <rPr>
        <sz val="10"/>
        <color rgb="FF000000"/>
        <rFont val="Arial"/>
        <family val="0"/>
        <charset val="1"/>
      </rPr>
      <t xml:space="preserve">API</t>
    </r>
  </si>
  <si>
    <r>
      <rPr>
        <sz val="10"/>
        <color rgb="FF000000"/>
        <rFont val="Arial"/>
        <family val="0"/>
        <charset val="1"/>
      </rPr>
      <t xml:space="preserve">⚠ UI </t>
    </r>
    <r>
      <rPr>
        <sz val="10"/>
        <color rgb="FF000000"/>
        <rFont val="DejaVu Sans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Pro $99.9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仅大客户</t>
    </r>
  </si>
  <si>
    <t xml:space="preserve">FastMoss API</t>
  </si>
  <si>
    <r>
      <rPr>
        <sz val="10"/>
        <color rgb="FF000000"/>
        <rFont val="Arial"/>
        <family val="0"/>
        <charset val="1"/>
      </rPr>
      <t xml:space="preserve">Enterprise API (</t>
    </r>
    <r>
      <rPr>
        <sz val="10"/>
        <color rgb="FF000000"/>
        <rFont val="DejaVu Sans"/>
        <family val="2"/>
      </rPr>
      <t xml:space="preserve">定制价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</si>
  <si>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亿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商品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近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DejaVu Sans"/>
        <family val="2"/>
      </rPr>
      <t xml:space="preserve">年历史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达人</t>
    </r>
  </si>
  <si>
    <r>
      <rPr>
        <sz val="10"/>
        <color rgb="FF000000"/>
        <rFont val="Arial"/>
        <family val="0"/>
        <charset val="1"/>
      </rPr>
      <t xml:space="preserve">Enterprise $500-5000/</t>
    </r>
    <r>
      <rPr>
        <sz val="10"/>
        <color rgb="FF000000"/>
        <rFont val="DejaVu Sans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</si>
  <si>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⚠ UI </t>
    </r>
    <r>
      <rPr>
        <sz val="10"/>
        <color rgb="FF000000"/>
        <rFont val="DejaVu Sans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待规模化</t>
    </r>
  </si>
  <si>
    <t xml:space="preserve">EchoTik API</t>
  </si>
  <si>
    <t xml:space="preserve">echotik.live/en/api-service</t>
  </si>
  <si>
    <r>
      <rPr>
        <sz val="10"/>
        <color rgb="FF000000"/>
        <rFont val="Arial"/>
        <family val="0"/>
        <charset val="1"/>
      </rPr>
      <t xml:space="preserve">API Key</t>
    </r>
    <r>
      <rPr>
        <sz val="10"/>
        <color rgb="FF000000"/>
        <rFont val="DejaVu Sans"/>
        <family val="2"/>
      </rPr>
      <t xml:space="preserve">（注册即得）</t>
    </r>
  </si>
  <si>
    <r>
      <rPr>
        <sz val="10"/>
        <color rgb="FF000000"/>
        <rFont val="DejaVu Sans"/>
        <family val="2"/>
      </rPr>
      <t xml:space="preserve">电商数据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账号分析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内容趋势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社媒分析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热榜</t>
    </r>
  </si>
  <si>
    <r>
      <rPr>
        <sz val="10"/>
        <color rgb="FF000000"/>
        <rFont val="Arial"/>
        <family val="0"/>
        <charset val="1"/>
      </rPr>
      <t xml:space="preserve">JSON</t>
    </r>
    <r>
      <rPr>
        <sz val="10"/>
        <color rgb="FF000000"/>
        <rFont val="DejaVu Sans"/>
        <family val="2"/>
      </rPr>
      <t xml:space="preserve">（具体 </t>
    </r>
    <r>
      <rPr>
        <sz val="10"/>
        <color rgb="FF000000"/>
        <rFont val="Arial"/>
        <family val="0"/>
        <charset val="1"/>
      </rPr>
      <t xml:space="preserve">schema </t>
    </r>
    <r>
      <rPr>
        <sz val="10"/>
        <color rgb="FF000000"/>
        <rFont val="DejaVu Sans"/>
        <family val="2"/>
      </rPr>
      <t xml:space="preserve">登录可见）</t>
    </r>
  </si>
  <si>
    <r>
      <rPr>
        <sz val="10"/>
        <color rgb="FF000000"/>
        <rFont val="DejaVu Sans"/>
        <family val="2"/>
      </rPr>
      <t xml:space="preserve">注册即送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DejaVu Sans"/>
        <family val="2"/>
      </rPr>
      <t xml:space="preserve">次免费；后续付费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</si>
  <si>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替代 </t>
    </r>
    <r>
      <rPr>
        <sz val="10"/>
        <color rgb="FF000000"/>
        <rFont val="Arial"/>
        <family val="0"/>
        <charset val="1"/>
      </rPr>
      <t xml:space="preserve">Kalodata API </t>
    </r>
    <r>
      <rPr>
        <sz val="10"/>
        <color rgb="FF000000"/>
        <rFont val="DejaVu Sans"/>
        <family val="2"/>
      </rPr>
      <t xml:space="preserve">的国产首选</t>
    </r>
  </si>
  <si>
    <r>
      <rPr>
        <sz val="10"/>
        <color rgb="FF000000"/>
        <rFont val="DejaVu Sans"/>
        <family val="2"/>
      </rPr>
      <t xml:space="preserve">⚫ 无 </t>
    </r>
    <r>
      <rPr>
        <sz val="10"/>
        <color rgb="FF000000"/>
        <rFont val="Arial"/>
        <family val="0"/>
        <charset val="1"/>
      </rPr>
      <t xml:space="preserve">API</t>
    </r>
  </si>
  <si>
    <r>
      <rPr>
        <sz val="10"/>
        <color rgb="FF000000"/>
        <rFont val="DejaVu Sans"/>
        <family val="2"/>
      </rPr>
      <t xml:space="preserve">无公开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（仅 </t>
    </r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DejaVu Sans"/>
        <family val="2"/>
      </rPr>
      <t xml:space="preserve">搜索 </t>
    </r>
    <r>
      <rPr>
        <sz val="10"/>
        <color rgb="FF000000"/>
        <rFont val="Arial"/>
        <family val="0"/>
        <charset val="1"/>
      </rPr>
      <t xml:space="preserve">+ CSV </t>
    </r>
    <r>
      <rPr>
        <sz val="10"/>
        <color rgb="FF000000"/>
        <rFont val="DejaVu Sans"/>
        <family val="2"/>
      </rPr>
      <t xml:space="preserve">导出）</t>
    </r>
  </si>
  <si>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DejaVu Sans"/>
        <family val="2"/>
      </rPr>
      <t xml:space="preserve">登录</t>
    </r>
  </si>
  <si>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DejaVu Sans"/>
        <family val="2"/>
      </rPr>
      <t xml:space="preserve">输入关键词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国家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广告主</t>
    </r>
  </si>
  <si>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DejaVu Sans"/>
        <family val="2"/>
      </rPr>
      <t xml:space="preserve">列表 </t>
    </r>
    <r>
      <rPr>
        <sz val="10"/>
        <color rgb="FF000000"/>
        <rFont val="Arial"/>
        <family val="0"/>
        <charset val="1"/>
      </rPr>
      <t xml:space="preserve">+ CSV </t>
    </r>
    <r>
      <rPr>
        <sz val="10"/>
        <color rgb="FF000000"/>
        <rFont val="DejaVu Sans"/>
        <family val="2"/>
      </rPr>
      <t xml:space="preserve">导出</t>
    </r>
  </si>
  <si>
    <r>
      <rPr>
        <sz val="10"/>
        <color rgb="FF000000"/>
        <rFont val="Arial"/>
        <family val="0"/>
        <charset val="1"/>
      </rPr>
      <t xml:space="preserve">⚠ MVP </t>
    </r>
    <r>
      <rPr>
        <sz val="10"/>
        <color rgb="FF000000"/>
        <rFont val="DejaVu Sans"/>
        <family val="2"/>
      </rPr>
      <t xml:space="preserve">手动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周度导出（无法自动化）</t>
    </r>
  </si>
  <si>
    <r>
      <rPr>
        <sz val="10"/>
        <color rgb="FF000000"/>
        <rFont val="DejaVu Sans"/>
        <family val="2"/>
      </rPr>
      <t xml:space="preserve">无公开 </t>
    </r>
    <r>
      <rPr>
        <sz val="10"/>
        <color rgb="FF000000"/>
        <rFont val="Arial"/>
        <family val="0"/>
        <charset val="1"/>
      </rPr>
      <t xml:space="preserve">API (UI only)</t>
    </r>
  </si>
  <si>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DejaVu Sans"/>
        <family val="2"/>
      </rPr>
      <t xml:space="preserve">关键词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类目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地区</t>
    </r>
  </si>
  <si>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DejaVu Sans"/>
        <family val="2"/>
      </rPr>
      <t xml:space="preserve">列表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视频下载</t>
    </r>
  </si>
  <si>
    <r>
      <rPr>
        <sz val="10"/>
        <color rgb="FF000000"/>
        <rFont val="Arial"/>
        <family val="0"/>
        <charset val="1"/>
      </rPr>
      <t xml:space="preserve">$49-$263/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</si>
  <si>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⚠ MVP </t>
    </r>
    <r>
      <rPr>
        <sz val="10"/>
        <color rgb="FF000000"/>
        <rFont val="DejaVu Sans"/>
        <family val="2"/>
      </rPr>
      <t xml:space="preserve">手动用</t>
    </r>
  </si>
  <si>
    <r>
      <rPr>
        <sz val="10"/>
        <color rgb="FF000000"/>
        <rFont val="DejaVu Sans"/>
        <family val="2"/>
      </rPr>
      <t xml:space="preserve">无公开 </t>
    </r>
    <r>
      <rPr>
        <sz val="10"/>
        <color rgb="FF000000"/>
        <rFont val="Arial"/>
        <family val="0"/>
        <charset val="1"/>
      </rPr>
      <t xml:space="preserve">API (UI + Browser Extension)</t>
    </r>
  </si>
  <si>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DejaVu Sans"/>
        <family val="2"/>
      </rPr>
      <t xml:space="preserve">添加广告到 </t>
    </r>
    <r>
      <rPr>
        <sz val="10"/>
        <color rgb="FF000000"/>
        <rFont val="Arial"/>
        <family val="0"/>
        <charset val="1"/>
      </rPr>
      <t xml:space="preserve">swipe file</t>
    </r>
  </si>
  <si>
    <r>
      <rPr>
        <sz val="10"/>
        <color rgb="FF000000"/>
        <rFont val="Arial"/>
        <family val="0"/>
        <charset val="1"/>
      </rPr>
      <t xml:space="preserve">Web swipe file + AI brief </t>
    </r>
    <r>
      <rPr>
        <sz val="10"/>
        <color rgb="FF000000"/>
        <rFont val="DejaVu Sans"/>
        <family val="2"/>
      </rPr>
      <t xml:space="preserve">生成</t>
    </r>
  </si>
  <si>
    <r>
      <rPr>
        <sz val="10"/>
        <color rgb="FF000000"/>
        <rFont val="DejaVu Sans"/>
        <family val="2"/>
      </rPr>
      <t xml:space="preserve">领星 </t>
    </r>
    <r>
      <rPr>
        <sz val="10"/>
        <color rgb="FF000000"/>
        <rFont val="Arial"/>
        <family val="0"/>
        <charset val="1"/>
      </rPr>
      <t xml:space="preserve">ERP</t>
    </r>
  </si>
  <si>
    <t xml:space="preserve">https://openapi.lingxing.com/ (openapidoc.lingxing.com)</t>
  </si>
  <si>
    <r>
      <rPr>
        <sz val="10"/>
        <color rgb="FF000000"/>
        <rFont val="Arial"/>
        <family val="0"/>
        <charset val="1"/>
      </rPr>
      <t xml:space="preserve">App Key + Sign </t>
    </r>
    <r>
      <rPr>
        <sz val="10"/>
        <color rgb="FF000000"/>
        <rFont val="DejaVu Sans"/>
        <family val="2"/>
      </rPr>
      <t xml:space="preserve">签名机制</t>
    </r>
  </si>
  <si>
    <r>
      <rPr>
        <sz val="10"/>
        <color rgb="FF000000"/>
        <rFont val="DejaVu Sans"/>
        <family val="2"/>
      </rPr>
      <t xml:space="preserve">店铺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订单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库存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财务</t>
    </r>
  </si>
  <si>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DejaVu Sans"/>
        <family val="2"/>
      </rPr>
      <t xml:space="preserve">结构化数据</t>
    </r>
  </si>
  <si>
    <r>
      <rPr>
        <sz val="10"/>
        <color rgb="FF000000"/>
        <rFont val="Arial"/>
        <family val="0"/>
        <charset val="1"/>
      </rPr>
      <t xml:space="preserve">ERP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；免费版订单 </t>
    </r>
    <r>
      <rPr>
        <sz val="10"/>
        <color rgb="FF000000"/>
        <rFont val="Arial"/>
        <family val="0"/>
        <charset val="1"/>
      </rPr>
      <t xml:space="preserve">&lt;5000/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</si>
  <si>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直接用免费版 </t>
    </r>
    <r>
      <rPr>
        <sz val="10"/>
        <color rgb="FF000000"/>
        <rFont val="Arial"/>
        <family val="0"/>
        <charset val="1"/>
      </rPr>
      <t xml:space="preserve">+ API </t>
    </r>
    <r>
      <rPr>
        <sz val="10"/>
        <color rgb="FF000000"/>
        <rFont val="DejaVu Sans"/>
        <family val="2"/>
      </rPr>
      <t xml:space="preserve">拉数</t>
    </r>
  </si>
  <si>
    <r>
      <rPr>
        <sz val="10"/>
        <color rgb="FF000000"/>
        <rFont val="DejaVu Sans"/>
        <family val="2"/>
      </rPr>
      <t xml:space="preserve">积加 </t>
    </r>
    <r>
      <rPr>
        <sz val="10"/>
        <color rgb="FF000000"/>
        <rFont val="Arial"/>
        <family val="0"/>
        <charset val="1"/>
      </rPr>
      <t xml:space="preserve">ERP</t>
    </r>
  </si>
  <si>
    <r>
      <rPr>
        <sz val="10"/>
        <color rgb="FF000000"/>
        <rFont val="DejaVu Sans"/>
        <family val="2"/>
      </rPr>
      <t xml:space="preserve">积加 </t>
    </r>
    <r>
      <rPr>
        <sz val="10"/>
        <color rgb="FF000000"/>
        <rFont val="Arial"/>
        <family val="0"/>
        <charset val="1"/>
      </rPr>
      <t xml:space="preserve">OpenAPI (</t>
    </r>
    <r>
      <rPr>
        <sz val="10"/>
        <color rgb="FF000000"/>
        <rFont val="DejaVu Sans"/>
        <family val="2"/>
      </rPr>
      <t xml:space="preserve">登录 </t>
    </r>
    <r>
      <rPr>
        <sz val="10"/>
        <color rgb="FF000000"/>
        <rFont val="Arial"/>
        <family val="0"/>
        <charset val="1"/>
      </rPr>
      <t xml:space="preserve">jjisaas.com </t>
    </r>
    <r>
      <rPr>
        <sz val="10"/>
        <color rgb="FF000000"/>
        <rFont val="DejaVu Sans"/>
        <family val="2"/>
      </rPr>
      <t xml:space="preserve">后可见</t>
    </r>
    <r>
      <rPr>
        <sz val="10"/>
        <color rgb="FF000000"/>
        <rFont val="Arial"/>
        <family val="0"/>
        <charset val="1"/>
      </rPr>
      <t xml:space="preserve">)</t>
    </r>
  </si>
  <si>
    <t xml:space="preserve">App Key + Sign</t>
  </si>
  <si>
    <t xml:space="preserve">多平台店铺数据</t>
  </si>
  <si>
    <r>
      <rPr>
        <sz val="10"/>
        <color rgb="FF000000"/>
        <rFont val="Arial"/>
        <family val="0"/>
        <charset val="1"/>
      </rPr>
      <t xml:space="preserve">ERP </t>
    </r>
    <r>
      <rPr>
        <sz val="10"/>
        <color rgb="FF000000"/>
        <rFont val="DejaVu Sans"/>
        <family val="2"/>
      </rPr>
      <t xml:space="preserve">套餐含 </t>
    </r>
    <r>
      <rPr>
        <sz val="10"/>
        <color rgb="FF000000"/>
        <rFont val="Arial"/>
        <family val="0"/>
        <charset val="1"/>
      </rPr>
      <t xml:space="preserve">API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</si>
  <si>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多平台时用</t>
    </r>
  </si>
  <si>
    <r>
      <rPr>
        <sz val="10"/>
        <color rgb="FF000000"/>
        <rFont val="DejaVu Sans"/>
        <family val="2"/>
      </rPr>
      <t xml:space="preserve">船长 </t>
    </r>
    <r>
      <rPr>
        <sz val="10"/>
        <color rgb="FF000000"/>
        <rFont val="Arial"/>
        <family val="0"/>
        <charset val="1"/>
      </rPr>
      <t xml:space="preserve">BI</t>
    </r>
  </si>
  <si>
    <r>
      <rPr>
        <sz val="10"/>
        <color rgb="FF000000"/>
        <rFont val="Arial"/>
        <family val="0"/>
        <charset val="1"/>
      </rPr>
      <t xml:space="preserve">🟡 SPN </t>
    </r>
    <r>
      <rPr>
        <sz val="10"/>
        <color rgb="FF000000"/>
        <rFont val="DejaVu Sans"/>
        <family val="2"/>
      </rPr>
      <t xml:space="preserve">服务商</t>
    </r>
  </si>
  <si>
    <r>
      <rPr>
        <sz val="10"/>
        <color rgb="FF000000"/>
        <rFont val="DejaVu Sans"/>
        <family val="2"/>
      </rPr>
      <t xml:space="preserve">船长 </t>
    </r>
    <r>
      <rPr>
        <sz val="10"/>
        <color rgb="FF000000"/>
        <rFont val="Arial"/>
        <family val="0"/>
        <charset val="1"/>
      </rPr>
      <t xml:space="preserve">BI API (</t>
    </r>
    <r>
      <rPr>
        <sz val="10"/>
        <color rgb="FF000000"/>
        <rFont val="DejaVu Sans"/>
        <family val="2"/>
      </rPr>
      <t xml:space="preserve">登录后可见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</si>
  <si>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亚马逊财务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利润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广告</t>
    </r>
  </si>
  <si>
    <r>
      <rPr>
        <sz val="10"/>
        <color rgb="FF000000"/>
        <rFont val="Arial"/>
        <family val="0"/>
        <charset val="1"/>
      </rPr>
      <t xml:space="preserve">JSON / </t>
    </r>
    <r>
      <rPr>
        <sz val="10"/>
        <color rgb="FF000000"/>
        <rFont val="DejaVu Sans"/>
        <family val="2"/>
      </rPr>
      <t xml:space="preserve">报表导出</t>
    </r>
  </si>
  <si>
    <r>
      <rPr>
        <sz val="10"/>
        <color rgb="FF000000"/>
        <rFont val="DejaVu Sans"/>
        <family val="2"/>
      </rPr>
      <t xml:space="preserve">套餐含 </t>
    </r>
    <r>
      <rPr>
        <sz val="10"/>
        <color rgb="FF000000"/>
        <rFont val="Arial"/>
        <family val="0"/>
        <charset val="1"/>
      </rPr>
      <t xml:space="preserve">API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</si>
  <si>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财务核算</t>
    </r>
  </si>
  <si>
    <t xml:space="preserve">🟡 企业版才有</t>
  </si>
  <si>
    <r>
      <rPr>
        <sz val="10"/>
        <color rgb="FF000000"/>
        <rFont val="DejaVu Sans"/>
        <family val="2"/>
      </rPr>
      <t xml:space="preserve">蝉妈妈 </t>
    </r>
    <r>
      <rPr>
        <sz val="10"/>
        <color rgb="FF000000"/>
        <rFont val="Arial"/>
        <family val="0"/>
        <charset val="1"/>
      </rPr>
      <t xml:space="preserve">OpenAPI (</t>
    </r>
    <r>
      <rPr>
        <sz val="10"/>
        <color rgb="FF000000"/>
        <rFont val="DejaVu Sans"/>
        <family val="2"/>
      </rPr>
      <t xml:space="preserve">企业版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</si>
  <si>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抖音 </t>
    </r>
    <r>
      <rPr>
        <sz val="10"/>
        <color rgb="FF000000"/>
        <rFont val="Arial"/>
        <family val="0"/>
        <charset val="1"/>
      </rPr>
      <t xml:space="preserve">/ TikTok </t>
    </r>
    <r>
      <rPr>
        <sz val="10"/>
        <color rgb="FF000000"/>
        <rFont val="DejaVu Sans"/>
        <family val="2"/>
      </rPr>
      <t xml:space="preserve">商品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达人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直播</t>
    </r>
  </si>
  <si>
    <r>
      <rPr>
        <sz val="10"/>
        <color rgb="FF000000"/>
        <rFont val="DejaVu Sans"/>
        <family val="2"/>
      </rPr>
      <t xml:space="preserve">企业版 </t>
    </r>
    <r>
      <rPr>
        <sz val="10"/>
        <color rgb="FF000000"/>
        <rFont val="Arial"/>
        <family val="0"/>
        <charset val="1"/>
      </rPr>
      <t xml:space="preserve">¥1299+/</t>
    </r>
    <r>
      <rPr>
        <sz val="10"/>
        <color rgb="FF000000"/>
        <rFont val="DejaVu Sans"/>
        <family val="2"/>
      </rPr>
      <t xml:space="preserve">月含 </t>
    </r>
    <r>
      <rPr>
        <sz val="10"/>
        <color rgb="FF000000"/>
        <rFont val="Arial"/>
        <family val="0"/>
        <charset val="1"/>
      </rPr>
      <t xml:space="preserve">API</t>
    </r>
  </si>
  <si>
    <r>
      <rPr>
        <sz val="10"/>
        <color rgb="FF000000"/>
        <rFont val="DejaVu Sans"/>
        <family val="2"/>
      </rPr>
      <t xml:space="preserve">⚠ 个人版无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DejaVu Sans"/>
        <family val="2"/>
      </rPr>
      <t xml:space="preserve">即可</t>
    </r>
  </si>
  <si>
    <r>
      <rPr>
        <b val="true"/>
        <sz val="13"/>
        <color rgb="FF000000"/>
        <rFont val="DejaVu Sans"/>
        <family val="2"/>
      </rPr>
      <t xml:space="preserve">🏭 采购 </t>
    </r>
    <r>
      <rPr>
        <b val="true"/>
        <sz val="13"/>
        <color rgb="FF000000"/>
        <rFont val="Arial"/>
        <family val="0"/>
        <charset val="1"/>
      </rPr>
      <t xml:space="preserve">/ 1688 API I/O </t>
    </r>
    <r>
      <rPr>
        <b val="true"/>
        <sz val="13"/>
        <color rgb="FF000000"/>
        <rFont val="DejaVu Sans"/>
        <family val="2"/>
      </rPr>
      <t xml:space="preserve">规格</t>
    </r>
  </si>
  <si>
    <r>
      <rPr>
        <sz val="10"/>
        <color rgb="FF000000"/>
        <rFont val="Arial"/>
        <family val="0"/>
        <charset val="1"/>
      </rPr>
      <t xml:space="preserve">OneBound </t>
    </r>
    <r>
      <rPr>
        <sz val="10"/>
        <color rgb="FF000000"/>
        <rFont val="DejaVu Sans"/>
        <family val="2"/>
      </rPr>
      <t xml:space="preserve">万邦</t>
    </r>
  </si>
  <si>
    <t xml:space="preserve">GET https://api-gw.onebound.cn/1688/item_get/ + item_search / item_search_img / item_review</t>
  </si>
  <si>
    <r>
      <rPr>
        <sz val="10"/>
        <color rgb="FF000000"/>
        <rFont val="Arial"/>
        <family val="0"/>
        <charset val="1"/>
      </rPr>
      <t xml:space="preserve">URL </t>
    </r>
    <r>
      <rPr>
        <sz val="10"/>
        <color rgb="FF000000"/>
        <rFont val="DejaVu Sans"/>
        <family val="2"/>
      </rPr>
      <t xml:space="preserve">参数 </t>
    </r>
    <r>
      <rPr>
        <sz val="10"/>
        <color rgb="FF000000"/>
        <rFont val="Arial"/>
        <family val="0"/>
        <charset val="1"/>
      </rPr>
      <t xml:space="preserve">key=&amp;secret=</t>
    </r>
  </si>
  <si>
    <r>
      <rPr>
        <sz val="10"/>
        <color rgb="FF000000"/>
        <rFont val="Arial"/>
        <family val="0"/>
        <charset val="1"/>
      </rPr>
      <t xml:space="preserve">num_iid (</t>
    </r>
    <r>
      <rPr>
        <sz val="10"/>
        <color rgb="FF000000"/>
        <rFont val="DejaVu Sans"/>
        <family val="2"/>
      </rPr>
      <t xml:space="preserve">商品 </t>
    </r>
    <r>
      <rPr>
        <sz val="10"/>
        <color rgb="FF000000"/>
        <rFont val="Arial"/>
        <family val="0"/>
        <charset val="1"/>
      </rPr>
      <t xml:space="preserve">ID) / </t>
    </r>
    <r>
      <rPr>
        <sz val="10"/>
        <color rgb="FF000000"/>
        <rFont val="DejaVu Sans"/>
        <family val="2"/>
      </rPr>
      <t xml:space="preserve">关键词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图片 </t>
    </r>
    <r>
      <rPr>
        <sz val="10"/>
        <color rgb="FF000000"/>
        <rFont val="Arial"/>
        <family val="0"/>
        <charset val="1"/>
      </rPr>
      <t xml:space="preserve">URL</t>
    </r>
  </si>
  <si>
    <r>
      <rPr>
        <sz val="10"/>
        <color rgb="FF000000"/>
        <rFont val="DejaVu Sans"/>
        <family val="2"/>
      </rPr>
      <t xml:space="preserve">完整商品 </t>
    </r>
    <r>
      <rPr>
        <sz val="10"/>
        <color rgb="FF000000"/>
        <rFont val="Arial"/>
        <family val="0"/>
        <charset val="1"/>
      </rPr>
      <t xml:space="preserve">JSON (</t>
    </r>
    <r>
      <rPr>
        <sz val="10"/>
        <color rgb="FF000000"/>
        <rFont val="DejaVu Sans"/>
        <family val="2"/>
      </rPr>
      <t xml:space="preserve">标题</t>
    </r>
    <r>
      <rPr>
        <sz val="10"/>
        <color rgb="FF000000"/>
        <rFont val="Arial"/>
        <family val="0"/>
        <charset val="1"/>
      </rPr>
      <t xml:space="preserve">, SKU, </t>
    </r>
    <r>
      <rPr>
        <sz val="10"/>
        <color rgb="FF000000"/>
        <rFont val="DejaVu Sans"/>
        <family val="2"/>
      </rPr>
      <t xml:space="preserve">阶梯价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图片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卖家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销量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库存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</si>
  <si>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按调用量计费；月起 </t>
    </r>
    <r>
      <rPr>
        <sz val="10"/>
        <color rgb="FF000000"/>
        <rFont val="Arial"/>
        <family val="0"/>
        <charset val="1"/>
      </rPr>
      <t xml:space="preserve">¥99 (~$14)</t>
    </r>
  </si>
  <si>
    <r>
      <rPr>
        <sz val="10"/>
        <color rgb="FF000000"/>
        <rFont val="Arial"/>
        <family val="0"/>
        <charset val="1"/>
      </rPr>
      <t xml:space="preserve">✅ MVP 1688 </t>
    </r>
    <r>
      <rPr>
        <sz val="10"/>
        <color rgb="FF000000"/>
        <rFont val="DejaVu Sans"/>
        <family val="2"/>
      </rPr>
      <t xml:space="preserve">主力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拍立淘图搜</t>
    </r>
  </si>
  <si>
    <t xml:space="preserve">https://tmapi.top/docs/ali/item-detail/get-item-detail-by-id</t>
  </si>
  <si>
    <r>
      <rPr>
        <sz val="10"/>
        <color rgb="FF000000"/>
        <rFont val="Arial"/>
        <family val="0"/>
        <charset val="1"/>
      </rPr>
      <t xml:space="preserve">API Key (</t>
    </r>
    <r>
      <rPr>
        <sz val="10"/>
        <color rgb="FF000000"/>
        <rFont val="DejaVu Sans"/>
        <family val="2"/>
      </rPr>
      <t xml:space="preserve">注册查看完整 </t>
    </r>
    <r>
      <rPr>
        <sz val="10"/>
        <color rgb="FF000000"/>
        <rFont val="Arial"/>
        <family val="0"/>
        <charset val="1"/>
      </rPr>
      <t xml:space="preserve">schema)</t>
    </r>
  </si>
  <si>
    <r>
      <rPr>
        <sz val="10"/>
        <color rgb="FF000000"/>
        <rFont val="DejaVu Sans"/>
        <family val="2"/>
      </rPr>
      <t xml:space="preserve">商品 </t>
    </r>
    <r>
      <rPr>
        <sz val="10"/>
        <color rgb="FF000000"/>
        <rFont val="Arial"/>
        <family val="0"/>
        <charset val="1"/>
      </rPr>
      <t xml:space="preserve">ID / </t>
    </r>
    <r>
      <rPr>
        <sz val="10"/>
        <color rgb="FF000000"/>
        <rFont val="DejaVu Sans"/>
        <family val="2"/>
      </rPr>
      <t xml:space="preserve">关键词</t>
    </r>
  </si>
  <si>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DejaVu Sans"/>
        <family val="2"/>
      </rPr>
      <t xml:space="preserve">字段结构与 </t>
    </r>
    <r>
      <rPr>
        <sz val="10"/>
        <color rgb="FF000000"/>
        <rFont val="Arial"/>
        <family val="0"/>
        <charset val="1"/>
      </rPr>
      <t xml:space="preserve">OneBound </t>
    </r>
    <r>
      <rPr>
        <sz val="10"/>
        <color rgb="FF000000"/>
        <rFont val="DejaVu Sans"/>
        <family val="2"/>
      </rPr>
      <t xml:space="preserve">相似</t>
    </r>
  </si>
  <si>
    <r>
      <rPr>
        <sz val="10"/>
        <color rgb="FF000000"/>
        <rFont val="DejaVu Sans"/>
        <family val="2"/>
      </rPr>
      <t xml:space="preserve">类似 </t>
    </r>
    <r>
      <rPr>
        <sz val="10"/>
        <color rgb="FF000000"/>
        <rFont val="Arial"/>
        <family val="0"/>
        <charset val="1"/>
      </rPr>
      <t xml:space="preserve">OneBound </t>
    </r>
    <r>
      <rPr>
        <sz val="10"/>
        <color rgb="FF000000"/>
        <rFont val="DejaVu Sans"/>
        <family val="2"/>
      </rPr>
      <t xml:space="preserve">定价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</si>
  <si>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备选 </t>
    </r>
    <r>
      <rPr>
        <sz val="10"/>
        <color rgb="FF000000"/>
        <rFont val="Arial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互备</t>
    </r>
  </si>
  <si>
    <t xml:space="preserve">POST https://api.apify.com/v2/acts/{actorId}/run-sync-get-dataset-items?token=...</t>
  </si>
  <si>
    <r>
      <rPr>
        <sz val="10"/>
        <color rgb="FF000000"/>
        <rFont val="Arial"/>
        <family val="0"/>
        <charset val="1"/>
      </rPr>
      <t xml:space="preserve">Apify Token URL </t>
    </r>
    <r>
      <rPr>
        <sz val="10"/>
        <color rgb="FF000000"/>
        <rFont val="DejaVu Sans"/>
        <family val="2"/>
      </rPr>
      <t xml:space="preserve">参数</t>
    </r>
  </si>
  <si>
    <t xml:space="preserve">actor input JSON (URLs / queries / filters)</t>
  </si>
  <si>
    <r>
      <rPr>
        <sz val="10"/>
        <color rgb="FF000000"/>
        <rFont val="Arial"/>
        <family val="0"/>
        <charset val="1"/>
      </rPr>
      <t xml:space="preserve">Dataset items[] </t>
    </r>
    <r>
      <rPr>
        <sz val="10"/>
        <color rgb="FF000000"/>
        <rFont val="DejaVu Sans"/>
        <family val="2"/>
      </rPr>
      <t xml:space="preserve">含 </t>
    </r>
    <r>
      <rPr>
        <sz val="10"/>
        <color rgb="FF000000"/>
        <rFont val="Arial"/>
        <family val="0"/>
        <charset val="1"/>
      </rPr>
      <t xml:space="preserve">50+ </t>
    </r>
    <r>
      <rPr>
        <sz val="10"/>
        <color rgb="FF000000"/>
        <rFont val="DejaVu Sans"/>
        <family val="2"/>
      </rPr>
      <t xml:space="preserve">商品字段</t>
    </r>
  </si>
  <si>
    <r>
      <rPr>
        <sz val="10"/>
        <color rgb="FF000000"/>
        <rFont val="Arial"/>
        <family val="0"/>
        <charset val="1"/>
      </rPr>
      <t xml:space="preserve">Apify </t>
    </r>
    <r>
      <rPr>
        <sz val="10"/>
        <color rgb="FF000000"/>
        <rFont val="DejaVu Sans"/>
        <family val="2"/>
      </rPr>
      <t xml:space="preserve">月费 </t>
    </r>
    <r>
      <rPr>
        <sz val="10"/>
        <color rgb="FF000000"/>
        <rFont val="Arial"/>
        <family val="0"/>
        <charset val="1"/>
      </rPr>
      <t xml:space="preserve">$49+ + </t>
    </r>
    <r>
      <rPr>
        <sz val="10"/>
        <color rgb="FF000000"/>
        <rFont val="DejaVu Sans"/>
        <family val="2"/>
      </rPr>
      <t xml:space="preserve">按运行时长</t>
    </r>
  </si>
  <si>
    <r>
      <rPr>
        <sz val="10"/>
        <color rgb="FF000000"/>
        <rFont val="Arial"/>
        <family val="0"/>
        <charset val="1"/>
      </rPr>
      <t xml:space="preserve">✅ MVP fallback</t>
    </r>
    <r>
      <rPr>
        <sz val="10"/>
        <color rgb="FF000000"/>
        <rFont val="DejaVu Sans"/>
        <family val="2"/>
      </rPr>
      <t xml:space="preserve">；可同步 </t>
    </r>
    <r>
      <rPr>
        <sz val="10"/>
        <color rgb="FF000000"/>
        <rFont val="Arial"/>
        <family val="0"/>
        <charset val="1"/>
      </rPr>
      <t xml:space="preserve">5min </t>
    </r>
    <r>
      <rPr>
        <sz val="10"/>
        <color rgb="FF000000"/>
        <rFont val="DejaVu Sans"/>
        <family val="2"/>
      </rPr>
      <t xml:space="preserve">内或异步</t>
    </r>
  </si>
  <si>
    <r>
      <rPr>
        <sz val="10"/>
        <color rgb="FF000000"/>
        <rFont val="Arial"/>
        <family val="0"/>
        <charset val="1"/>
      </rPr>
      <t xml:space="preserve">1688 </t>
    </r>
    <r>
      <rPr>
        <sz val="10"/>
        <color rgb="FF000000"/>
        <rFont val="DejaVu Sans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API</t>
    </r>
  </si>
  <si>
    <t xml:space="preserve">🔴 高门槛审批</t>
  </si>
  <si>
    <r>
      <rPr>
        <sz val="10"/>
        <color rgb="FF000000"/>
        <rFont val="Arial"/>
        <family val="0"/>
        <charset val="1"/>
      </rPr>
      <t xml:space="preserve">open.1688.com (</t>
    </r>
    <r>
      <rPr>
        <sz val="10"/>
        <color rgb="FF000000"/>
        <rFont val="DejaVu Sans"/>
        <family val="2"/>
      </rPr>
      <t xml:space="preserve">诚信通会员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</si>
  <si>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ISV </t>
    </r>
    <r>
      <rPr>
        <sz val="10"/>
        <color rgb="FF000000"/>
        <rFont val="DejaVu Sans"/>
        <family val="2"/>
      </rPr>
      <t xml:space="preserve">评审通过</t>
    </r>
  </si>
  <si>
    <r>
      <rPr>
        <sz val="10"/>
        <color rgb="FF000000"/>
        <rFont val="DejaVu Sans"/>
        <family val="2"/>
      </rPr>
      <t xml:space="preserve">诚信通会员 </t>
    </r>
    <r>
      <rPr>
        <sz val="10"/>
        <color rgb="FF000000"/>
        <rFont val="Arial"/>
        <family val="0"/>
        <charset val="1"/>
      </rPr>
      <t xml:space="preserve">¥3,688/¥6,688/</t>
    </r>
    <r>
      <rPr>
        <sz val="10"/>
        <color rgb="FF000000"/>
        <rFont val="DejaVu Sans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+ ISV </t>
    </r>
    <r>
      <rPr>
        <sz val="10"/>
        <color rgb="FF000000"/>
        <rFont val="DejaVu Sans"/>
        <family val="2"/>
      </rPr>
      <t xml:space="preserve">评审</t>
    </r>
  </si>
  <si>
    <r>
      <rPr>
        <sz val="10"/>
        <color rgb="FF000000"/>
        <rFont val="Arial"/>
        <family val="0"/>
        <charset val="1"/>
      </rPr>
      <t xml:space="preserve">❌ MVP </t>
    </r>
    <r>
      <rPr>
        <sz val="10"/>
        <color rgb="FF000000"/>
        <rFont val="DejaVu Sans"/>
        <family val="2"/>
      </rPr>
      <t xml:space="preserve">不接，用 </t>
    </r>
    <r>
      <rPr>
        <sz val="10"/>
        <color rgb="FF000000"/>
        <rFont val="Arial"/>
        <family val="0"/>
        <charset val="1"/>
      </rPr>
      <t xml:space="preserve">OneBound </t>
    </r>
    <r>
      <rPr>
        <sz val="10"/>
        <color rgb="FF000000"/>
        <rFont val="DejaVu Sans"/>
        <family val="2"/>
      </rPr>
      <t xml:space="preserve">替代</t>
    </r>
  </si>
  <si>
    <r>
      <rPr>
        <b val="true"/>
        <sz val="13"/>
        <color rgb="FF000000"/>
        <rFont val="DejaVu Sans"/>
        <family val="2"/>
      </rPr>
      <t xml:space="preserve">💼 税务合规 </t>
    </r>
    <r>
      <rPr>
        <b val="true"/>
        <sz val="13"/>
        <color rgb="FF000000"/>
        <rFont val="Arial"/>
        <family val="0"/>
        <charset val="1"/>
      </rPr>
      <t xml:space="preserve">API I/O </t>
    </r>
    <r>
      <rPr>
        <b val="true"/>
        <sz val="13"/>
        <color rgb="FF000000"/>
        <rFont val="DejaVu Sans"/>
        <family val="2"/>
      </rPr>
      <t xml:space="preserve">规格</t>
    </r>
  </si>
  <si>
    <r>
      <rPr>
        <sz val="10"/>
        <color rgb="FF000000"/>
        <rFont val="Arial"/>
        <family val="0"/>
        <charset val="1"/>
      </rPr>
      <t xml:space="preserve">POST https://rest.avatax.com/api/v2/transactions/create (</t>
    </r>
    <r>
      <rPr>
        <sz val="10"/>
        <color rgb="FF000000"/>
        <rFont val="DejaVu Sans"/>
        <family val="2"/>
      </rPr>
      <t xml:space="preserve">生产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DejaVu Sans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/sandbox-rest.../</t>
    </r>
  </si>
  <si>
    <t xml:space="preserve">HTTP Basic (accountId + licenseKey)</t>
  </si>
  <si>
    <t xml:space="preserve">CreateTransactionModel{ companyCode, type, date, addresses{shipFrom,shipTo}, lines[{taxCode,amount,qty}] }</t>
  </si>
  <si>
    <r>
      <rPr>
        <sz val="10"/>
        <color rgb="FF000000"/>
        <rFont val="Arial"/>
        <family val="0"/>
        <charset val="1"/>
      </rPr>
      <t xml:space="preserve">totalTax + lines[].tax + summary[] </t>
    </r>
    <r>
      <rPr>
        <sz val="10"/>
        <color rgb="FF000000"/>
        <rFont val="DejaVu Sans"/>
        <family val="2"/>
      </rPr>
      <t xml:space="preserve">按 </t>
    </r>
    <r>
      <rPr>
        <sz val="10"/>
        <color rgb="FF000000"/>
        <rFont val="Arial"/>
        <family val="0"/>
        <charset val="1"/>
      </rPr>
      <t xml:space="preserve">jurisdiction </t>
    </r>
    <r>
      <rPr>
        <sz val="10"/>
        <color rgb="FF000000"/>
        <rFont val="DejaVu Sans"/>
        <family val="2"/>
      </rPr>
      <t xml:space="preserve">分解</t>
    </r>
  </si>
  <si>
    <r>
      <rPr>
        <sz val="10"/>
        <color rgb="FF000000"/>
        <rFont val="DejaVu Sans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$50/</t>
    </r>
    <r>
      <rPr>
        <sz val="10"/>
        <color rgb="FF000000"/>
        <rFont val="DejaVu Sans"/>
        <family val="2"/>
      </rPr>
      <t xml:space="preserve">月；中型 </t>
    </r>
    <r>
      <rPr>
        <sz val="10"/>
        <color rgb="FF000000"/>
        <rFont val="Arial"/>
        <family val="0"/>
        <charset val="1"/>
      </rPr>
      <t xml:space="preserve">$5k-$30k/</t>
    </r>
    <r>
      <rPr>
        <sz val="10"/>
        <color rgb="FF000000"/>
        <rFont val="DejaVu Sans"/>
        <family val="2"/>
      </rPr>
      <t xml:space="preserve">年；企业 </t>
    </r>
    <r>
      <rPr>
        <sz val="10"/>
        <color rgb="FF000000"/>
        <rFont val="Arial"/>
        <family val="0"/>
        <charset val="1"/>
      </rPr>
      <t xml:space="preserve">custom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</si>
  <si>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美国 </t>
    </r>
    <r>
      <rPr>
        <sz val="10"/>
        <color rgb="FF000000"/>
        <rFont val="Arial"/>
        <family val="0"/>
        <charset val="1"/>
      </rPr>
      <t xml:space="preserve">sales tax + EU VAT</t>
    </r>
  </si>
  <si>
    <t xml:space="preserve">TaxJar</t>
  </si>
  <si>
    <t xml:space="preserve">POST https://api.taxjar.com/v2/taxes</t>
  </si>
  <si>
    <t xml:space="preserve">Authorization: Bearer &lt;token&gt;</t>
  </si>
  <si>
    <r>
      <rPr>
        <sz val="10"/>
        <color rgb="FF000000"/>
        <rFont val="Arial"/>
        <family val="0"/>
        <charset val="1"/>
      </rPr>
      <t xml:space="preserve">from + to </t>
    </r>
    <r>
      <rPr>
        <sz val="10"/>
        <color rgb="FF000000"/>
        <rFont val="DejaVu Sans"/>
        <family val="2"/>
      </rPr>
      <t xml:space="preserve">地址 </t>
    </r>
    <r>
      <rPr>
        <sz val="10"/>
        <color rgb="FF000000"/>
        <rFont val="Arial"/>
        <family val="0"/>
        <charset val="1"/>
      </rPr>
      <t xml:space="preserve">+ amount + shipping + nexus + line_items[]</t>
    </r>
  </si>
  <si>
    <t xml:space="preserve">tax.amount_to_collect + tax.rate + tax.breakdown (state/county/city)</t>
  </si>
  <si>
    <r>
      <rPr>
        <sz val="10"/>
        <color rgb="FF000000"/>
        <rFont val="Arial"/>
        <family val="0"/>
        <charset val="1"/>
      </rPr>
      <t xml:space="preserve">$19-$99/</t>
    </r>
    <r>
      <rPr>
        <sz val="10"/>
        <color rgb="FF000000"/>
        <rFont val="DejaVu Sans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</si>
  <si>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仅美国时性价比最高</t>
    </r>
  </si>
  <si>
    <t xml:space="preserve">POST https://api.zonos.com/v1/landedCost</t>
  </si>
  <si>
    <t xml:space="preserve">currency + ship_to/from + items[{hs_code, amount, qty, weight, dims}]</t>
  </si>
  <si>
    <r>
      <rPr>
        <sz val="10"/>
        <color rgb="FF000000"/>
        <rFont val="Arial"/>
        <family val="0"/>
        <charset val="1"/>
      </rPr>
      <t xml:space="preserve">duties[] + taxes[] + fees[] + landed_cost_total + de_minimis </t>
    </r>
    <r>
      <rPr>
        <sz val="10"/>
        <color rgb="FF000000"/>
        <rFont val="DejaVu Sans"/>
        <family val="2"/>
      </rPr>
      <t xml:space="preserve">标志</t>
    </r>
  </si>
  <si>
    <r>
      <rPr>
        <sz val="10"/>
        <color rgb="FF000000"/>
        <rFont val="Arial"/>
        <family val="0"/>
        <charset val="1"/>
      </rPr>
      <t xml:space="preserve">Sandbox </t>
    </r>
    <r>
      <rPr>
        <sz val="10"/>
        <color rgb="FF000000"/>
        <rFont val="DejaVu Sans"/>
        <family val="2"/>
      </rPr>
      <t xml:space="preserve">免费；生产 </t>
    </r>
    <r>
      <rPr>
        <sz val="10"/>
        <color rgb="FF000000"/>
        <rFont val="Arial"/>
        <family val="0"/>
        <charset val="1"/>
      </rPr>
      <t xml:space="preserve">$0.20-$0.50/</t>
    </r>
    <r>
      <rPr>
        <sz val="10"/>
        <color rgb="FF000000"/>
        <rFont val="DejaVu Sans"/>
        <family val="2"/>
      </rPr>
      <t xml:space="preserve">单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</si>
  <si>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必接，跨境关税合规</t>
    </r>
  </si>
  <si>
    <t xml:space="preserve">🟢 公开免费</t>
  </si>
  <si>
    <t xml:space="preserve">ec.europa.eu/taxation_customs/dds2/taric/...</t>
  </si>
  <si>
    <t xml:space="preserve">无（公开数据下载）</t>
  </si>
  <si>
    <r>
      <rPr>
        <sz val="10"/>
        <color rgb="FF000000"/>
        <rFont val="Arial"/>
        <family val="0"/>
        <charset val="1"/>
      </rPr>
      <t xml:space="preserve">HS code + </t>
    </r>
    <r>
      <rPr>
        <sz val="10"/>
        <color rgb="FF000000"/>
        <rFont val="DejaVu Sans"/>
        <family val="2"/>
      </rPr>
      <t xml:space="preserve">国家</t>
    </r>
  </si>
  <si>
    <t xml:space="preserve">关税率表</t>
  </si>
  <si>
    <t xml:space="preserve">完全免费</t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</si>
  <si>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静态查表层 </t>
    </r>
    <r>
      <rPr>
        <sz val="10"/>
        <color rgb="FF000000"/>
        <rFont val="Arial"/>
        <family val="0"/>
        <charset val="1"/>
      </rPr>
      <t xml:space="preserve">fallback</t>
    </r>
  </si>
  <si>
    <t xml:space="preserve">WTO Tariff Database</t>
  </si>
  <si>
    <t xml:space="preserve">wto.org/english/res_e/statis_e/...</t>
  </si>
  <si>
    <r>
      <rPr>
        <sz val="10"/>
        <color rgb="FF000000"/>
        <rFont val="DejaVu Sans"/>
        <family val="2"/>
      </rPr>
      <t xml:space="preserve">无（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DejaVu Sans"/>
        <family val="2"/>
      </rPr>
      <t xml:space="preserve">下载）</t>
    </r>
  </si>
  <si>
    <r>
      <rPr>
        <sz val="10"/>
        <color rgb="FF000000"/>
        <rFont val="DejaVu Sans"/>
        <family val="2"/>
      </rPr>
      <t xml:space="preserve">关税率 </t>
    </r>
    <r>
      <rPr>
        <sz val="10"/>
        <color rgb="FF000000"/>
        <rFont val="Arial"/>
        <family val="0"/>
        <charset val="1"/>
      </rPr>
      <t xml:space="preserve">CSV</t>
    </r>
  </si>
  <si>
    <r>
      <rPr>
        <sz val="10"/>
        <color rgb="FF000000"/>
        <rFont val="Arial"/>
        <family val="0"/>
        <charset val="1"/>
      </rPr>
      <t xml:space="preserve">✅ MVP </t>
    </r>
    <r>
      <rPr>
        <sz val="10"/>
        <color rgb="FF000000"/>
        <rFont val="DejaVu Sans"/>
        <family val="2"/>
      </rPr>
      <t xml:space="preserve">静态查表层</t>
    </r>
  </si>
  <si>
    <r>
      <rPr>
        <b val="true"/>
        <sz val="13"/>
        <color rgb="FF000000"/>
        <rFont val="Arial"/>
        <family val="0"/>
        <charset val="1"/>
      </rPr>
      <t xml:space="preserve">🛠 MVP </t>
    </r>
    <r>
      <rPr>
        <b val="true"/>
        <sz val="13"/>
        <color rgb="FF000000"/>
        <rFont val="DejaVu Sans"/>
        <family val="2"/>
      </rPr>
      <t xml:space="preserve">工程接入路径（按优先级）</t>
    </r>
  </si>
  <si>
    <t xml:space="preserve">阶段</t>
  </si>
  <si>
    <t xml:space="preserve">具体动作</t>
  </si>
  <si>
    <t xml:space="preserve">Week 1</t>
  </si>
  <si>
    <r>
      <rPr>
        <sz val="10"/>
        <color rgb="FF000000"/>
        <rFont val="DejaVu Sans"/>
        <family val="2"/>
      </rPr>
      <t xml:space="preserve">申请账号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拿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</si>
  <si>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Meta App Review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TikTok For Business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Amazon Ads Developer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Shopify Partner App</t>
    </r>
    <r>
      <rPr>
        <sz val="10"/>
        <color rgb="FF000000"/>
        <rFont val="DejaVu Sans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TTS Partner Center</t>
    </r>
    <r>
      <rPr>
        <sz val="10"/>
        <color rgb="FF000000"/>
        <rFont val="DejaVu Sans"/>
        <family val="2"/>
      </rPr>
      <t xml:space="preserve">、领星 </t>
    </r>
    <r>
      <rPr>
        <sz val="10"/>
        <color rgb="FF000000"/>
        <rFont val="Arial"/>
        <family val="0"/>
        <charset val="1"/>
      </rPr>
      <t xml:space="preserve">ERP</t>
    </r>
    <r>
      <rPr>
        <sz val="10"/>
        <color rgb="FF000000"/>
        <rFont val="DejaVu Sans"/>
        <family val="2"/>
      </rPr>
      <t xml:space="preserve">、卖家精灵邮件、</t>
    </r>
    <r>
      <rPr>
        <sz val="10"/>
        <color rgb="FF000000"/>
        <rFont val="Arial"/>
        <family val="0"/>
        <charset val="1"/>
      </rPr>
      <t xml:space="preserve">Keepa </t>
    </r>
    <r>
      <rPr>
        <sz val="10"/>
        <color rgb="FF000000"/>
        <rFont val="DejaVu Sans"/>
        <family val="2"/>
      </rPr>
      <t xml:space="preserve">注册</t>
    </r>
  </si>
  <si>
    <t xml:space="preserve">Week 2</t>
  </si>
  <si>
    <r>
      <rPr>
        <sz val="10"/>
        <color rgb="FF000000"/>
        <rFont val="DejaVu Sans"/>
        <family val="2"/>
      </rPr>
      <t xml:space="preserve">对接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个一手数据源</t>
    </r>
  </si>
  <si>
    <r>
      <rPr>
        <sz val="10"/>
        <color rgb="FF000000"/>
        <rFont val="Arial"/>
        <family val="0"/>
        <charset val="1"/>
      </rPr>
      <t xml:space="preserve">Meta Insights → Shopify GraphQL → GA4 → Amazon Ads v3 (</t>
    </r>
    <r>
      <rPr>
        <sz val="10"/>
        <color rgb="FF000000"/>
        <rFont val="DejaVu Sans"/>
        <family val="2"/>
      </rPr>
      <t xml:space="preserve">异步</t>
    </r>
    <r>
      <rPr>
        <sz val="10"/>
        <color rgb="FF000000"/>
        <rFont val="Arial"/>
        <family val="0"/>
        <charset val="1"/>
      </rPr>
      <t xml:space="preserve">) + Marketing Stream (SQS) → TikTok Marketing + Shop Open API</t>
    </r>
  </si>
  <si>
    <t xml:space="preserve">Week 3</t>
  </si>
  <si>
    <r>
      <rPr>
        <sz val="10"/>
        <color rgb="FF000000"/>
        <rFont val="DejaVu Sans"/>
        <family val="2"/>
      </rPr>
      <t xml:space="preserve">对接物流 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DejaVu Sans"/>
        <family val="2"/>
      </rPr>
      <t xml:space="preserve">税</t>
    </r>
  </si>
  <si>
    <r>
      <rPr>
        <sz val="10"/>
        <color rgb="FF000000"/>
        <rFont val="Arial"/>
        <family val="0"/>
        <charset val="1"/>
      </rPr>
      <t xml:space="preserve">Easyship Rates API</t>
    </r>
    <r>
      <rPr>
        <sz val="10"/>
        <color rgb="FF000000"/>
        <rFont val="DejaVu Sans"/>
        <family val="2"/>
      </rPr>
      <t xml:space="preserve">（主）</t>
    </r>
    <r>
      <rPr>
        <sz val="10"/>
        <color rgb="FF000000"/>
        <rFont val="Arial"/>
        <family val="0"/>
        <charset val="1"/>
      </rPr>
      <t xml:space="preserve">+ Shippo</t>
    </r>
    <r>
      <rPr>
        <sz val="10"/>
        <color rgb="FF000000"/>
        <rFont val="DejaVu Sans"/>
        <family val="2"/>
      </rPr>
      <t xml:space="preserve">（备）</t>
    </r>
    <r>
      <rPr>
        <sz val="10"/>
        <color rgb="FF000000"/>
        <rFont val="Arial"/>
        <family val="0"/>
        <charset val="1"/>
      </rPr>
      <t xml:space="preserve">+ Freightos shippingCalculator + Zonos landedCost + 17TRACK V2.2</t>
    </r>
  </si>
  <si>
    <t xml:space="preserve">Week 4</t>
  </si>
  <si>
    <r>
      <rPr>
        <sz val="10"/>
        <color rgb="FF000000"/>
        <rFont val="DejaVu Sans"/>
        <family val="2"/>
      </rPr>
      <t xml:space="preserve">对接采购 </t>
    </r>
    <r>
      <rPr>
        <sz val="10"/>
        <color rgb="FF000000"/>
        <rFont val="Arial"/>
        <family val="0"/>
        <charset val="1"/>
      </rPr>
      <t xml:space="preserve">+ ERP</t>
    </r>
  </si>
  <si>
    <r>
      <rPr>
        <sz val="10"/>
        <color rgb="FF000000"/>
        <rFont val="Arial"/>
        <family val="0"/>
        <charset val="1"/>
      </rPr>
      <t xml:space="preserve">OneBound 1688 item_get + </t>
    </r>
    <r>
      <rPr>
        <sz val="10"/>
        <color rgb="FF000000"/>
        <rFont val="DejaVu Sans"/>
        <family val="2"/>
      </rPr>
      <t xml:space="preserve">领星 </t>
    </r>
    <r>
      <rPr>
        <sz val="10"/>
        <color rgb="FF000000"/>
        <rFont val="Arial"/>
        <family val="0"/>
        <charset val="1"/>
      </rPr>
      <t xml:space="preserve">ERP OpenAPI + </t>
    </r>
    <r>
      <rPr>
        <sz val="10"/>
        <color rgb="FF000000"/>
        <rFont val="DejaVu Sans"/>
        <family val="2"/>
      </rPr>
      <t xml:space="preserve">蝉妈妈跨境个人版 </t>
    </r>
    <r>
      <rPr>
        <sz val="10"/>
        <color rgb="FF000000"/>
        <rFont val="Arial"/>
        <family val="0"/>
        <charset val="1"/>
      </rPr>
      <t xml:space="preserve">UI</t>
    </r>
  </si>
  <si>
    <r>
      <rPr>
        <sz val="10"/>
        <color rgb="FF000000"/>
        <rFont val="DejaVu Sans"/>
        <family val="2"/>
      </rPr>
      <t xml:space="preserve">补 </t>
    </r>
    <r>
      <rPr>
        <sz val="10"/>
        <color rgb="FF000000"/>
        <rFont val="Arial"/>
        <family val="0"/>
        <charset val="1"/>
      </rPr>
      <t xml:space="preserve">SaaS </t>
    </r>
    <r>
      <rPr>
        <sz val="10"/>
        <color rgb="FF000000"/>
        <rFont val="DejaVu Sans"/>
        <family val="2"/>
      </rPr>
      <t xml:space="preserve">数据层</t>
    </r>
  </si>
  <si>
    <r>
      <rPr>
        <sz val="10"/>
        <color rgb="FF000000"/>
        <rFont val="DejaVu Sans"/>
        <family val="2"/>
      </rPr>
      <t xml:space="preserve">卖家精灵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（邮件已发）</t>
    </r>
    <r>
      <rPr>
        <sz val="10"/>
        <color rgb="FF000000"/>
        <rFont val="Arial"/>
        <family val="0"/>
        <charset val="1"/>
      </rPr>
      <t xml:space="preserve">+ Keepa API + EchoTik + PiPiADS UI</t>
    </r>
    <r>
      <rPr>
        <sz val="10"/>
        <color rgb="FF000000"/>
        <rFont val="DejaVu Sans"/>
        <family val="2"/>
      </rPr>
      <t xml:space="preserve">（手动周扫）</t>
    </r>
    <r>
      <rPr>
        <sz val="10"/>
        <color rgb="FF000000"/>
        <rFont val="Arial"/>
        <family val="0"/>
        <charset val="1"/>
      </rPr>
      <t xml:space="preserve">+ AdSpy UI</t>
    </r>
    <r>
      <rPr>
        <sz val="10"/>
        <color rgb="FF000000"/>
        <rFont val="DejaVu Sans"/>
        <family val="2"/>
      </rPr>
      <t xml:space="preserve">（手动周扫）</t>
    </r>
  </si>
  <si>
    <r>
      <rPr>
        <sz val="10"/>
        <color rgb="FF000000"/>
        <rFont val="Arial"/>
        <family val="0"/>
        <charset val="1"/>
      </rPr>
      <t xml:space="preserve">Marketing Stream + Bulk Operations </t>
    </r>
    <r>
      <rPr>
        <sz val="10"/>
        <color rgb="FF000000"/>
        <rFont val="DejaVu Sans"/>
        <family val="2"/>
      </rPr>
      <t xml:space="preserve">上线</t>
    </r>
  </si>
  <si>
    <r>
      <rPr>
        <sz val="10"/>
        <color rgb="FF000000"/>
        <rFont val="Arial"/>
        <family val="0"/>
        <charset val="1"/>
      </rPr>
      <t xml:space="preserve">Amazon Marketing Stream </t>
    </r>
    <r>
      <rPr>
        <sz val="10"/>
        <color rgb="FF000000"/>
        <rFont val="DejaVu Sans"/>
        <family val="2"/>
      </rPr>
      <t xml:space="preserve">小时级数据进 </t>
    </r>
    <r>
      <rPr>
        <sz val="10"/>
        <color rgb="FF000000"/>
        <rFont val="Arial"/>
        <family val="0"/>
        <charset val="1"/>
      </rPr>
      <t xml:space="preserve">BigQuery</t>
    </r>
    <r>
      <rPr>
        <sz val="10"/>
        <color rgb="FF000000"/>
        <rFont val="DejaVu Sans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Shopify Bulk Operations </t>
    </r>
    <r>
      <rPr>
        <sz val="10"/>
        <color rgb="FF000000"/>
        <rFont val="DejaVu Sans"/>
        <family val="2"/>
      </rPr>
      <t xml:space="preserve">历史回灌</t>
    </r>
  </si>
  <si>
    <t xml:space="preserve">Month 6</t>
  </si>
  <si>
    <r>
      <rPr>
        <sz val="10"/>
        <color rgb="FF000000"/>
        <rFont val="DejaVu Sans"/>
        <family val="2"/>
      </rPr>
      <t xml:space="preserve">升级到 </t>
    </r>
    <r>
      <rPr>
        <sz val="10"/>
        <color rgb="FF000000"/>
        <rFont val="Arial"/>
        <family val="0"/>
        <charset val="1"/>
      </rPr>
      <t xml:space="preserve">T2</t>
    </r>
    <r>
      <rPr>
        <sz val="10"/>
        <color rgb="FF000000"/>
        <rFont val="DejaVu Sans"/>
        <family val="2"/>
      </rPr>
      <t xml:space="preserve">（视 </t>
    </r>
    <r>
      <rPr>
        <sz val="10"/>
        <color rgb="FF000000"/>
        <rFont val="Arial"/>
        <family val="0"/>
        <charset val="1"/>
      </rPr>
      <t xml:space="preserve">GMV</t>
    </r>
    <r>
      <rPr>
        <sz val="10"/>
        <color rgb="FF000000"/>
        <rFont val="DejaVu Sans"/>
        <family val="2"/>
      </rPr>
      <t xml:space="preserve">）</t>
    </r>
  </si>
  <si>
    <t xml:space="preserve">Helium 10 Enterprise / Kalodata Pro UI / SmartScout / Avalara Cross-Border / Triple Whale</t>
  </si>
  <si>
    <t xml:space="preserve">⚠ 工程接入避坑提醒</t>
  </si>
  <si>
    <r>
      <rPr>
        <sz val="10"/>
        <color rgb="FF000000"/>
        <rFont val="Arial"/>
        <family val="0"/>
        <charset val="1"/>
      </rPr>
      <t xml:space="preserve">1. Easyship </t>
    </r>
    <r>
      <rPr>
        <sz val="10"/>
        <color rgb="FF000000"/>
        <rFont val="DejaVu Sans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CN </t>
    </r>
    <r>
      <rPr>
        <sz val="10"/>
        <color rgb="FF000000"/>
        <rFont val="DejaVu Sans"/>
        <family val="2"/>
      </rPr>
      <t xml:space="preserve">起点池中，</t>
    </r>
    <r>
      <rPr>
        <sz val="10"/>
        <color rgb="FF000000"/>
        <rFont val="Arial"/>
        <family val="0"/>
        <charset val="1"/>
      </rPr>
      <t xml:space="preserve">4PX/SF/</t>
    </r>
    <r>
      <rPr>
        <sz val="10"/>
        <color rgb="FF000000"/>
        <rFont val="DejaVu Sans"/>
        <family val="2"/>
      </rPr>
      <t xml:space="preserve">燕文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云途的 </t>
    </r>
    <r>
      <rPr>
        <sz val="10"/>
        <color rgb="FF000000"/>
        <rFont val="Arial"/>
        <family val="0"/>
        <charset val="1"/>
      </rPr>
      <t xml:space="preserve">line </t>
    </r>
    <r>
      <rPr>
        <sz val="10"/>
        <color rgb="FF000000"/>
        <rFont val="DejaVu Sans"/>
        <family val="2"/>
      </rPr>
      <t xml:space="preserve">数量有限，要拿真实合同价仍需直签——但 </t>
    </r>
    <r>
      <rPr>
        <sz val="10"/>
        <color rgb="FF000000"/>
        <rFont val="Arial"/>
        <family val="0"/>
        <charset val="1"/>
      </rPr>
      <t xml:space="preserve">MVP </t>
    </r>
    <r>
      <rPr>
        <sz val="10"/>
        <color rgb="FF000000"/>
        <rFont val="DejaVu Sans"/>
        <family val="2"/>
      </rPr>
      <t xml:space="preserve">阶段聚合层价格足够做选品决策。</t>
    </r>
  </si>
  <si>
    <r>
      <rPr>
        <sz val="10"/>
        <color rgb="FF000000"/>
        <rFont val="Arial"/>
        <family val="0"/>
        <charset val="1"/>
      </rPr>
      <t xml:space="preserve">2. Amazon Ads v3 Reports </t>
    </r>
    <r>
      <rPr>
        <sz val="10"/>
        <color rgb="FF000000"/>
        <rFont val="DejaVu Sans"/>
        <family val="2"/>
      </rPr>
      <t xml:space="preserve">是异步：</t>
    </r>
    <r>
      <rPr>
        <sz val="10"/>
        <color rgb="FF000000"/>
        <rFont val="Arial"/>
        <family val="0"/>
        <charset val="1"/>
      </rPr>
      <t xml:space="preserve">POST → </t>
    </r>
    <r>
      <rPr>
        <sz val="10"/>
        <color rgb="FF000000"/>
        <rFont val="DejaVu Sans"/>
        <family val="2"/>
      </rPr>
      <t xml:space="preserve">拿 </t>
    </r>
    <r>
      <rPr>
        <sz val="10"/>
        <color rgb="FF000000"/>
        <rFont val="Arial"/>
        <family val="0"/>
        <charset val="1"/>
      </rPr>
      <t xml:space="preserve">reportId → </t>
    </r>
    <r>
      <rPr>
        <sz val="10"/>
        <color rgb="FF000000"/>
        <rFont val="DejaVu Sans"/>
        <family val="2"/>
      </rPr>
      <t xml:space="preserve">轮询 </t>
    </r>
    <r>
      <rPr>
        <sz val="10"/>
        <color rgb="FF000000"/>
        <rFont val="Arial"/>
        <family val="0"/>
        <charset val="1"/>
      </rPr>
      <t xml:space="preserve">status → </t>
    </r>
    <r>
      <rPr>
        <sz val="10"/>
        <color rgb="FF000000"/>
        <rFont val="DejaVu Sans"/>
        <family val="2"/>
      </rPr>
      <t xml:space="preserve">下载 </t>
    </r>
    <r>
      <rPr>
        <sz val="10"/>
        <color rgb="FF000000"/>
        <rFont val="Arial"/>
        <family val="0"/>
        <charset val="1"/>
      </rPr>
      <t xml:space="preserve">gzip JSON</t>
    </r>
    <r>
      <rPr>
        <sz val="10"/>
        <color rgb="FF000000"/>
        <rFont val="DejaVu Sans"/>
        <family val="2"/>
      </rPr>
      <t xml:space="preserve">。延迟 </t>
    </r>
    <r>
      <rPr>
        <sz val="10"/>
        <color rgb="FF000000"/>
        <rFont val="Arial"/>
        <family val="0"/>
        <charset val="1"/>
      </rPr>
      <t xml:space="preserve">24h</t>
    </r>
    <r>
      <rPr>
        <sz val="10"/>
        <color rgb="FF000000"/>
        <rFont val="DejaVu Sans"/>
        <family val="2"/>
      </rPr>
      <t xml:space="preserve">，但 </t>
    </r>
    <r>
      <rPr>
        <sz val="10"/>
        <color rgb="FF000000"/>
        <rFont val="Arial"/>
        <family val="0"/>
        <charset val="1"/>
      </rPr>
      <t xml:space="preserve">48-72h </t>
    </r>
    <r>
      <rPr>
        <sz val="10"/>
        <color rgb="FF000000"/>
        <rFont val="DejaVu Sans"/>
        <family val="2"/>
      </rPr>
      <t xml:space="preserve">内数据会波动，建议 </t>
    </r>
    <r>
      <rPr>
        <sz val="10"/>
        <color rgb="FF000000"/>
        <rFont val="Arial"/>
        <family val="0"/>
        <charset val="1"/>
      </rPr>
      <t xml:space="preserve">T+3 </t>
    </r>
    <r>
      <rPr>
        <sz val="10"/>
        <color rgb="FF000000"/>
        <rFont val="DejaVu Sans"/>
        <family val="2"/>
      </rPr>
      <t xml:space="preserve">再固化。</t>
    </r>
  </si>
  <si>
    <r>
      <rPr>
        <sz val="10"/>
        <color rgb="FF000000"/>
        <rFont val="Arial"/>
        <family val="0"/>
        <charset val="1"/>
      </rPr>
      <t xml:space="preserve">3. Amazon Marketing Stream </t>
    </r>
    <r>
      <rPr>
        <sz val="10"/>
        <color rgb="FF000000"/>
        <rFont val="DejaVu Sans"/>
        <family val="2"/>
      </rPr>
      <t xml:space="preserve">才是真『实时』，但需要 </t>
    </r>
    <r>
      <rPr>
        <sz val="10"/>
        <color rgb="FF000000"/>
        <rFont val="Arial"/>
        <family val="0"/>
        <charset val="1"/>
      </rPr>
      <t xml:space="preserve">AWS SQS / Firehose </t>
    </r>
    <r>
      <rPr>
        <sz val="10"/>
        <color rgb="FF000000"/>
        <rFont val="DejaVu Sans"/>
        <family val="2"/>
      </rPr>
      <t xml:space="preserve">基建——别在 </t>
    </r>
    <r>
      <rPr>
        <sz val="10"/>
        <color rgb="FF000000"/>
        <rFont val="Arial"/>
        <family val="0"/>
        <charset val="1"/>
      </rPr>
      <t xml:space="preserve">MVP </t>
    </r>
    <r>
      <rPr>
        <sz val="10"/>
        <color rgb="FF000000"/>
        <rFont val="DejaVu Sans"/>
        <family val="2"/>
      </rPr>
      <t xml:space="preserve">第一周就上，先用 </t>
    </r>
    <r>
      <rPr>
        <sz val="10"/>
        <color rgb="FF000000"/>
        <rFont val="Arial"/>
        <family val="0"/>
        <charset val="1"/>
      </rPr>
      <t xml:space="preserve">Reports v3</t>
    </r>
    <r>
      <rPr>
        <sz val="10"/>
        <color rgb="FF000000"/>
        <rFont val="DejaVu Sans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</si>
  <si>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4. Shopify Orders </t>
    </r>
    <r>
      <rPr>
        <sz val="10"/>
        <color rgb="FF000000"/>
        <rFont val="DejaVu Sans"/>
        <family val="2"/>
      </rPr>
      <t xml:space="preserve">默认仅最近 </t>
    </r>
    <r>
      <rPr>
        <sz val="10"/>
        <color rgb="FF000000"/>
        <rFont val="Arial"/>
        <family val="0"/>
        <charset val="1"/>
      </rPr>
      <t xml:space="preserve">60 </t>
    </r>
    <r>
      <rPr>
        <sz val="10"/>
        <color rgb="FF000000"/>
        <rFont val="DejaVu Sans"/>
        <family val="2"/>
      </rPr>
      <t xml:space="preserve">天，全部历史需要 </t>
    </r>
    <r>
      <rPr>
        <sz val="10"/>
        <color rgb="FF000000"/>
        <rFont val="Arial"/>
        <family val="0"/>
        <charset val="1"/>
      </rPr>
      <t xml:space="preserve">read_all_orders scope</t>
    </r>
    <r>
      <rPr>
        <sz val="10"/>
        <color rgb="FF000000"/>
        <rFont val="DejaVu Sans"/>
        <family val="2"/>
      </rPr>
      <t xml:space="preserve">（要审核）；大数据集用 </t>
    </r>
    <r>
      <rPr>
        <sz val="10"/>
        <color rgb="FF000000"/>
        <rFont val="Arial"/>
        <family val="0"/>
        <charset val="1"/>
      </rPr>
      <t xml:space="preserve">Bulk Operations</t>
    </r>
    <r>
      <rPr>
        <sz val="10"/>
        <color rgb="FF000000"/>
        <rFont val="DejaVu Sans"/>
        <family val="2"/>
      </rPr>
      <t xml:space="preserve">（异步 </t>
    </r>
    <r>
      <rPr>
        <sz val="10"/>
        <color rgb="FF000000"/>
        <rFont val="Arial"/>
        <family val="0"/>
        <charset val="1"/>
      </rPr>
      <t xml:space="preserve">JSONL</t>
    </r>
    <r>
      <rPr>
        <sz val="10"/>
        <color rgb="FF000000"/>
        <rFont val="DejaVu Sans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</si>
  <si>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5. Meta API </t>
    </r>
    <r>
      <rPr>
        <sz val="10"/>
        <color rgb="FF000000"/>
        <rFont val="DejaVu Sans"/>
        <family val="2"/>
      </rPr>
      <t xml:space="preserve">版本节奏：</t>
    </r>
    <r>
      <rPr>
        <sz val="10"/>
        <color rgb="FF000000"/>
        <rFont val="Arial"/>
        <family val="0"/>
        <charset val="1"/>
      </rPr>
      <t xml:space="preserve">v25 </t>
    </r>
    <r>
      <rPr>
        <sz val="10"/>
        <color rgb="FF000000"/>
        <rFont val="DejaVu Sans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DejaVu Sans"/>
        <family val="2"/>
      </rPr>
      <t xml:space="preserve">发布，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DejaVu Sans"/>
        <family val="2"/>
      </rPr>
      <t xml:space="preserve">将于 </t>
    </r>
    <r>
      <rPr>
        <sz val="10"/>
        <color rgb="FF000000"/>
        <rFont val="Arial"/>
        <family val="0"/>
        <charset val="1"/>
      </rPr>
      <t xml:space="preserve">2026-05-21 </t>
    </r>
    <r>
      <rPr>
        <sz val="10"/>
        <color rgb="FF000000"/>
        <rFont val="DejaVu Sans"/>
        <family val="2"/>
      </rPr>
      <t xml:space="preserve">弃用、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DejaVu Sans"/>
        <family val="2"/>
      </rPr>
      <t xml:space="preserve">于 </t>
    </r>
    <r>
      <rPr>
        <sz val="10"/>
        <color rgb="FF000000"/>
        <rFont val="Arial"/>
        <family val="0"/>
        <charset val="1"/>
      </rPr>
      <t xml:space="preserve">2026-09-24 </t>
    </r>
    <r>
      <rPr>
        <sz val="10"/>
        <color rgb="FF000000"/>
        <rFont val="DejaVu Sans"/>
        <family val="2"/>
      </rPr>
      <t xml:space="preserve">弃用——记得做版本升级流程。</t>
    </r>
  </si>
  <si>
    <r>
      <rPr>
        <sz val="10"/>
        <color rgb="FF000000"/>
        <rFont val="Arial"/>
        <family val="0"/>
        <charset val="1"/>
      </rPr>
      <t xml:space="preserve">6. SellerSprite API </t>
    </r>
    <r>
      <rPr>
        <sz val="10"/>
        <color rgb="FF000000"/>
        <rFont val="DejaVu Sans"/>
        <family val="2"/>
      </rPr>
      <t xml:space="preserve">不是 </t>
    </r>
    <r>
      <rPr>
        <sz val="10"/>
        <color rgb="FF000000"/>
        <rFont val="Arial"/>
        <family val="0"/>
        <charset val="1"/>
      </rPr>
      <t xml:space="preserve">self-serve</t>
    </r>
    <r>
      <rPr>
        <sz val="10"/>
        <color rgb="FF000000"/>
        <rFont val="DejaVu Sans"/>
        <family val="2"/>
      </rPr>
      <t xml:space="preserve">，必须邮件 </t>
    </r>
    <r>
      <rPr>
        <sz val="10"/>
        <color rgb="FF000000"/>
        <rFont val="Arial"/>
        <family val="0"/>
        <charset val="1"/>
      </rPr>
      <t xml:space="preserve">bi@iyunya.com </t>
    </r>
    <r>
      <rPr>
        <sz val="10"/>
        <color rgb="FF000000"/>
        <rFont val="DejaVu Sans"/>
        <family val="2"/>
      </rPr>
      <t xml:space="preserve">申请，工作日 </t>
    </r>
    <r>
      <rPr>
        <sz val="10"/>
        <color rgb="FF000000"/>
        <rFont val="Arial"/>
        <family val="0"/>
        <charset val="1"/>
      </rPr>
      <t xml:space="preserve">24h </t>
    </r>
    <r>
      <rPr>
        <sz val="10"/>
        <color rgb="FF000000"/>
        <rFont val="DejaVu Sans"/>
        <family val="2"/>
      </rPr>
      <t xml:space="preserve">内响应——可以 </t>
    </r>
    <r>
      <rPr>
        <sz val="10"/>
        <color rgb="FF000000"/>
        <rFont val="Arial"/>
        <family val="0"/>
        <charset val="1"/>
      </rPr>
      <t xml:space="preserve">Week 1 </t>
    </r>
    <r>
      <rPr>
        <sz val="10"/>
        <color rgb="FF000000"/>
        <rFont val="DejaVu Sans"/>
        <family val="2"/>
      </rPr>
      <t xml:space="preserve">就发邮件，不要拖。</t>
    </r>
  </si>
  <si>
    <r>
      <rPr>
        <sz val="10"/>
        <color rgb="FF000000"/>
        <rFont val="Arial"/>
        <family val="0"/>
        <charset val="1"/>
      </rPr>
      <t xml:space="preserve">7. Helium 10 / Kalodata / FastMoss </t>
    </r>
    <r>
      <rPr>
        <sz val="10"/>
        <color rgb="FF000000"/>
        <rFont val="DejaVu Sans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DejaVu Sans"/>
        <family val="2"/>
      </rPr>
      <t xml:space="preserve">都仅 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DejaVu Sans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MVP </t>
    </r>
    <r>
      <rPr>
        <sz val="10"/>
        <color rgb="FF000000"/>
        <rFont val="DejaVu Sans"/>
        <family val="2"/>
      </rPr>
      <t xml:space="preserve">别试图自动化；用 </t>
    </r>
    <r>
      <rPr>
        <sz val="10"/>
        <color rgb="FF000000"/>
        <rFont val="Arial"/>
        <family val="0"/>
        <charset val="1"/>
      </rPr>
      <t xml:space="preserve">UI + </t>
    </r>
    <r>
      <rPr>
        <sz val="10"/>
        <color rgb="FF000000"/>
        <rFont val="DejaVu Sans"/>
        <family val="2"/>
      </rPr>
      <t xml:space="preserve">手动 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DejaVu Sans"/>
        <family val="2"/>
      </rPr>
      <t xml:space="preserve">导出，省 </t>
    </r>
    <r>
      <rPr>
        <sz val="10"/>
        <color rgb="FF000000"/>
        <rFont val="Arial"/>
        <family val="0"/>
        <charset val="1"/>
      </rPr>
      <t xml:space="preserve">90% </t>
    </r>
    <r>
      <rPr>
        <sz val="10"/>
        <color rgb="FF000000"/>
        <rFont val="DejaVu Sans"/>
        <family val="2"/>
      </rPr>
      <t xml:space="preserve">钱。</t>
    </r>
  </si>
  <si>
    <r>
      <rPr>
        <sz val="10"/>
        <color rgb="FF000000"/>
        <rFont val="Arial"/>
        <family val="0"/>
        <charset val="1"/>
      </rPr>
      <t xml:space="preserve">8. AdSpy / PiPiADS / Foreplay </t>
    </r>
    <r>
      <rPr>
        <sz val="10"/>
        <color rgb="FF000000"/>
        <rFont val="DejaVu Sans"/>
        <family val="2"/>
      </rPr>
      <t xml:space="preserve">这三个创意 </t>
    </r>
    <r>
      <rPr>
        <sz val="10"/>
        <color rgb="FF000000"/>
        <rFont val="Arial"/>
        <family val="0"/>
        <charset val="1"/>
      </rPr>
      <t xml:space="preserve">spy </t>
    </r>
    <r>
      <rPr>
        <sz val="10"/>
        <color rgb="FF000000"/>
        <rFont val="DejaVu Sans"/>
        <family val="2"/>
      </rPr>
      <t xml:space="preserve">工具都没有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DejaVu Sans"/>
        <family val="2"/>
      </rPr>
      <t xml:space="preserve">，必须手动每周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DejaVu Sans"/>
        <family val="2"/>
      </rPr>
      <t xml:space="preserve">每月扫，进 </t>
    </r>
    <r>
      <rPr>
        <sz val="10"/>
        <color rgb="FF000000"/>
        <rFont val="Arial"/>
        <family val="0"/>
        <charset val="1"/>
      </rPr>
      <t xml:space="preserve">swipe file </t>
    </r>
    <r>
      <rPr>
        <sz val="10"/>
        <color rgb="FF000000"/>
        <rFont val="DejaVu Sans"/>
        <family val="2"/>
      </rPr>
      <t xml:space="preserve">流水线。</t>
    </r>
  </si>
  <si>
    <r>
      <rPr>
        <sz val="10"/>
        <color rgb="FF000000"/>
        <rFont val="Arial"/>
        <family val="0"/>
        <charset val="1"/>
      </rPr>
      <t xml:space="preserve">9. Zonos </t>
    </r>
    <r>
      <rPr>
        <sz val="10"/>
        <color rgb="FF000000"/>
        <rFont val="DejaVu Sans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hs_code </t>
    </r>
    <r>
      <rPr>
        <sz val="10"/>
        <color rgb="FF000000"/>
        <rFont val="DejaVu Sans"/>
        <family val="2"/>
      </rPr>
      <t xml:space="preserve">是非必填的（有 </t>
    </r>
    <r>
      <rPr>
        <sz val="10"/>
        <color rgb="FF000000"/>
        <rFont val="Arial"/>
        <family val="0"/>
        <charset val="1"/>
      </rPr>
      <t xml:space="preserve">Classify </t>
    </r>
    <r>
      <rPr>
        <sz val="10"/>
        <color rgb="FF000000"/>
        <rFont val="DejaVu Sans"/>
        <family val="2"/>
      </rPr>
      <t xml:space="preserve">自动分类），但分类准确度低，强烈建议接入时手动维护 </t>
    </r>
    <r>
      <rPr>
        <sz val="10"/>
        <color rgb="FF000000"/>
        <rFont val="Arial"/>
        <family val="0"/>
        <charset val="1"/>
      </rPr>
      <t xml:space="preserve">HS code </t>
    </r>
    <r>
      <rPr>
        <sz val="10"/>
        <color rgb="FF000000"/>
        <rFont val="DejaVu Sans"/>
        <family val="2"/>
      </rPr>
      <t xml:space="preserve">字典。</t>
    </r>
  </si>
  <si>
    <r>
      <rPr>
        <sz val="10"/>
        <color rgb="FF000000"/>
        <rFont val="Arial"/>
        <family val="0"/>
        <charset val="1"/>
      </rPr>
      <t xml:space="preserve">10. Keepa </t>
    </r>
    <r>
      <rPr>
        <sz val="10"/>
        <color rgb="FF000000"/>
        <rFont val="DejaVu Sans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DejaVu Sans"/>
        <family val="2"/>
      </rPr>
      <t xml:space="preserve">制度：每分钟生成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DejaVu Sans"/>
        <family val="2"/>
      </rPr>
      <t xml:space="preserve">个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DejaVu Sans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60 </t>
    </r>
    <r>
      <rPr>
        <sz val="10"/>
        <color rgb="FF000000"/>
        <rFont val="DejaVu Sans"/>
        <family val="2"/>
      </rPr>
      <t xml:space="preserve">分钟过期。设计调用时要考虑「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DejaVu Sans"/>
        <family val="2"/>
      </rPr>
      <t xml:space="preserve">攒批量请求」的策略。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</si>
</sst>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[$$-409]#,##0.00;[RED]\-[$$-409]#,##0.00"/>
    <numFmt numFmtId="168" formatCode="0.00\x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DejaVu Sans"/>
      <family val="2"/>
    </font>
    <font>
      <b val="true"/>
      <sz val="18"/>
      <color rgb="FF1F4E78"/>
      <name val="DejaVu Sans"/>
      <family val="2"/>
      <charset val="1"/>
    </font>
    <font>
      <b val="true"/>
      <sz val="11"/>
      <color rgb="FF000000"/>
      <name val="DejaVu Sans"/>
      <family val="2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b val="true"/>
      <sz val="11"/>
      <color rgb="FF1F4E78"/>
      <name val="DejaVu Sans"/>
      <family val="2"/>
    </font>
    <font>
      <b val="true"/>
      <sz val="11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C00000"/>
      <name val="DejaVu Sans"/>
      <family val="2"/>
    </font>
    <font>
      <sz val="11"/>
      <color theme="1"/>
      <name val="DejaVu Sans"/>
      <family val="2"/>
    </font>
    <font>
      <b val="true"/>
      <sz val="13"/>
      <color rgb="FFC00000"/>
      <name val="Arial"/>
      <family val="0"/>
      <charset val="1"/>
    </font>
    <font>
      <b val="true"/>
      <sz val="13"/>
      <color rgb="FFC00000"/>
      <name val="DejaVu Sans"/>
      <family val="2"/>
    </font>
    <font>
      <b val="true"/>
      <sz val="14"/>
      <color rgb="FF1F4E78"/>
      <name val="DejaVu Sans"/>
      <family val="2"/>
    </font>
    <font>
      <b val="true"/>
      <sz val="14"/>
      <color rgb="FF1F4E78"/>
      <name val="DejaVu Sans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  <font>
      <b val="true"/>
      <sz val="14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DejaVu Sans"/>
      <family val="2"/>
      <charset val="1"/>
    </font>
    <font>
      <i val="true"/>
      <sz val="9"/>
      <color rgb="FF595959"/>
      <name val="DejaVu Sans"/>
      <family val="2"/>
    </font>
    <font>
      <i val="true"/>
      <sz val="9"/>
      <color rgb="FF595959"/>
      <name val="DejaVu Sans"/>
      <family val="2"/>
      <charset val="1"/>
    </font>
    <font>
      <sz val="10"/>
      <color rgb="FF0000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000000"/>
      <name val="DejaVu Sans"/>
      <family val="2"/>
    </font>
    <font>
      <i val="true"/>
      <sz val="9"/>
      <color rgb="FF595959"/>
      <name val="Arial"/>
      <family val="0"/>
      <charset val="1"/>
    </font>
    <font>
      <sz val="9"/>
      <color rgb="FF000000"/>
      <name val="Consolas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FE699"/>
      </patternFill>
    </fill>
    <fill>
      <patternFill patternType="solid">
        <fgColor rgb="FFF4B084"/>
        <bgColor rgb="FFF8CBAD"/>
      </patternFill>
    </fill>
    <fill>
      <patternFill patternType="solid">
        <fgColor rgb="FFD9D9D9"/>
        <bgColor rgb="FFC6E0B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4B084"/>
      <rgbColor rgb="FFFCE4D6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5" t="s">
        <v>6</v>
      </c>
    </row>
    <row r="6" customFormat="false" ht="15" hidden="false" customHeight="true" outlineLevel="0" collapsed="false">
      <c r="A6" s="3" t="s">
        <v>7</v>
      </c>
      <c r="B6" s="5" t="s">
        <v>8</v>
      </c>
    </row>
    <row r="7" customFormat="false" ht="15" hidden="false" customHeight="true" outlineLevel="0" collapsed="false">
      <c r="A7" s="3" t="s">
        <v>9</v>
      </c>
      <c r="B7" s="5" t="s">
        <v>10</v>
      </c>
    </row>
    <row r="8" customFormat="false" ht="15" hidden="false" customHeight="true" outlineLevel="0" collapsed="false">
      <c r="A8" s="3" t="s">
        <v>11</v>
      </c>
      <c r="B8" s="5" t="s">
        <v>12</v>
      </c>
    </row>
    <row r="9" customFormat="false" ht="15" hidden="false" customHeight="true" outlineLevel="0" collapsed="false">
      <c r="A9" s="3" t="s">
        <v>13</v>
      </c>
      <c r="B9" s="5" t="s">
        <v>14</v>
      </c>
    </row>
    <row r="11" customFormat="false" ht="17.25" hidden="false" customHeight="true" outlineLevel="0" collapsed="false">
      <c r="A11" s="6" t="s">
        <v>15</v>
      </c>
    </row>
    <row r="12" customFormat="false" ht="15" hidden="false" customHeight="true" outlineLevel="0" collapsed="false">
      <c r="A12" s="7" t="s">
        <v>16</v>
      </c>
      <c r="B12" s="5" t="s">
        <v>17</v>
      </c>
    </row>
    <row r="13" customFormat="false" ht="15" hidden="false" customHeight="true" outlineLevel="0" collapsed="false">
      <c r="A13" s="7" t="s">
        <v>18</v>
      </c>
      <c r="B13" s="4" t="s">
        <v>19</v>
      </c>
    </row>
    <row r="14" customFormat="false" ht="15" hidden="false" customHeight="true" outlineLevel="0" collapsed="false">
      <c r="A14" s="8" t="s">
        <v>20</v>
      </c>
      <c r="B14" s="4" t="s">
        <v>21</v>
      </c>
    </row>
    <row r="15" customFormat="false" ht="15" hidden="false" customHeight="true" outlineLevel="0" collapsed="false">
      <c r="A15" s="8" t="s">
        <v>22</v>
      </c>
      <c r="B15" s="4" t="s">
        <v>23</v>
      </c>
    </row>
    <row r="16" customFormat="false" ht="15" hidden="false" customHeight="true" outlineLevel="0" collapsed="false">
      <c r="A16" s="8" t="s">
        <v>24</v>
      </c>
      <c r="B16" s="4" t="s">
        <v>25</v>
      </c>
    </row>
    <row r="17" customFormat="false" ht="15" hidden="false" customHeight="true" outlineLevel="0" collapsed="false">
      <c r="A17" s="8" t="s">
        <v>26</v>
      </c>
      <c r="B17" s="5" t="s">
        <v>27</v>
      </c>
    </row>
    <row r="18" customFormat="false" ht="15" hidden="false" customHeight="true" outlineLevel="0" collapsed="false">
      <c r="A18" s="7" t="s">
        <v>28</v>
      </c>
      <c r="B18" s="5" t="s">
        <v>29</v>
      </c>
    </row>
    <row r="19" customFormat="false" ht="15" hidden="false" customHeight="true" outlineLevel="0" collapsed="false">
      <c r="A19" s="8" t="s">
        <v>30</v>
      </c>
      <c r="B19" s="5" t="s">
        <v>31</v>
      </c>
    </row>
    <row r="20" customFormat="false" ht="15" hidden="false" customHeight="true" outlineLevel="0" collapsed="false">
      <c r="A20" s="7" t="s">
        <v>32</v>
      </c>
      <c r="B20" s="5" t="s">
        <v>33</v>
      </c>
    </row>
    <row r="21" customFormat="false" ht="15" hidden="false" customHeight="true" outlineLevel="0" collapsed="false">
      <c r="A21" s="8" t="s">
        <v>34</v>
      </c>
      <c r="B21" s="4" t="s">
        <v>35</v>
      </c>
    </row>
    <row r="22" customFormat="false" ht="17.25" hidden="false" customHeight="true" outlineLevel="0" collapsed="false">
      <c r="A22" s="7" t="s">
        <v>36</v>
      </c>
      <c r="B22" s="4" t="s">
        <v>37</v>
      </c>
    </row>
    <row r="23" customFormat="false" ht="15" hidden="false" customHeight="true" outlineLevel="0" collapsed="false">
      <c r="A23" s="8" t="s">
        <v>38</v>
      </c>
      <c r="B23" s="5" t="s">
        <v>39</v>
      </c>
    </row>
    <row r="24" customFormat="false" ht="15" hidden="false" customHeight="true" outlineLevel="0" collapsed="false">
      <c r="A24" s="7" t="s">
        <v>40</v>
      </c>
      <c r="B24" s="4" t="s">
        <v>41</v>
      </c>
    </row>
    <row r="25" customFormat="false" ht="15" hidden="false" customHeight="true" outlineLevel="0" collapsed="false">
      <c r="A25" s="9" t="s">
        <v>42</v>
      </c>
      <c r="B25" s="5" t="s">
        <v>43</v>
      </c>
    </row>
    <row r="26" customFormat="false" ht="15" hidden="false" customHeight="true" outlineLevel="0" collapsed="false">
      <c r="A26" s="10" t="s">
        <v>44</v>
      </c>
      <c r="B26" s="5" t="s">
        <v>45</v>
      </c>
    </row>
    <row r="27" customFormat="false" ht="15" hidden="false" customHeight="true" outlineLevel="0" collapsed="false">
      <c r="A27" s="11" t="s">
        <v>46</v>
      </c>
      <c r="B27" s="5" t="s">
        <v>47</v>
      </c>
    </row>
    <row r="28" customFormat="false" ht="15" hidden="false" customHeight="true" outlineLevel="0" collapsed="false">
      <c r="A28" s="12" t="s">
        <v>48</v>
      </c>
      <c r="B28" s="5" t="s">
        <v>49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6" min="5" style="1" width="22"/>
    <col collapsed="false" customWidth="true" hidden="false" outlineLevel="0" max="7" min="7" style="1" width="28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36"/>
    <col collapsed="false" customWidth="true" hidden="false" outlineLevel="0" max="11" min="11" style="1" width="10"/>
  </cols>
  <sheetData>
    <row r="1" customFormat="false" ht="17.25" hidden="false" customHeight="true" outlineLevel="0" collapsed="false">
      <c r="A1" s="13" t="s">
        <v>50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customFormat="false" ht="15" hidden="false" customHeight="true" outlineLevel="0" collapsed="false">
      <c r="A3" s="14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56</v>
      </c>
      <c r="G3" s="15" t="s">
        <v>57</v>
      </c>
      <c r="H3" s="14" t="s">
        <v>58</v>
      </c>
      <c r="I3" s="15" t="s">
        <v>59</v>
      </c>
      <c r="J3" s="15" t="s">
        <v>60</v>
      </c>
      <c r="K3" s="15" t="s">
        <v>61</v>
      </c>
    </row>
    <row r="4" customFormat="false" ht="23.25" hidden="false" customHeight="true" outlineLevel="0" collapsed="false">
      <c r="A4" s="16" t="n">
        <v>1</v>
      </c>
      <c r="B4" s="16" t="s">
        <v>62</v>
      </c>
      <c r="C4" s="17" t="s">
        <v>63</v>
      </c>
      <c r="D4" s="16" t="s">
        <v>64</v>
      </c>
      <c r="E4" s="17" t="s">
        <v>65</v>
      </c>
      <c r="F4" s="16" t="s">
        <v>66</v>
      </c>
      <c r="G4" s="17" t="s">
        <v>67</v>
      </c>
      <c r="H4" s="16" t="s">
        <v>68</v>
      </c>
      <c r="I4" s="17" t="s">
        <v>69</v>
      </c>
      <c r="J4" s="16" t="s">
        <v>70</v>
      </c>
      <c r="K4" s="16"/>
    </row>
    <row r="5" customFormat="false" ht="15" hidden="false" customHeight="true" outlineLevel="0" collapsed="false">
      <c r="A5" s="18" t="n">
        <v>2</v>
      </c>
      <c r="B5" s="18" t="s">
        <v>71</v>
      </c>
      <c r="C5" s="19" t="s">
        <v>72</v>
      </c>
      <c r="D5" s="18" t="s">
        <v>73</v>
      </c>
      <c r="E5" s="19" t="s">
        <v>74</v>
      </c>
      <c r="F5" s="18" t="s">
        <v>75</v>
      </c>
      <c r="G5" s="18" t="s">
        <v>76</v>
      </c>
      <c r="H5" s="18" t="s">
        <v>68</v>
      </c>
      <c r="I5" s="19" t="s">
        <v>69</v>
      </c>
      <c r="J5" s="18" t="s">
        <v>77</v>
      </c>
      <c r="K5" s="18" t="s">
        <v>78</v>
      </c>
    </row>
    <row r="6" customFormat="false" ht="15" hidden="false" customHeight="true" outlineLevel="0" collapsed="false">
      <c r="A6" s="16" t="n">
        <v>3</v>
      </c>
      <c r="B6" s="16" t="s">
        <v>79</v>
      </c>
      <c r="C6" s="17" t="s">
        <v>72</v>
      </c>
      <c r="D6" s="16" t="s">
        <v>80</v>
      </c>
      <c r="E6" s="17" t="s">
        <v>74</v>
      </c>
      <c r="F6" s="16" t="s">
        <v>75</v>
      </c>
      <c r="G6" s="16" t="s">
        <v>81</v>
      </c>
      <c r="H6" s="16" t="s">
        <v>68</v>
      </c>
      <c r="I6" s="17" t="s">
        <v>69</v>
      </c>
      <c r="J6" s="16" t="s">
        <v>82</v>
      </c>
      <c r="K6" s="16"/>
    </row>
    <row r="7" customFormat="false" ht="15" hidden="false" customHeight="true" outlineLevel="0" collapsed="false">
      <c r="A7" s="16" t="n">
        <v>4</v>
      </c>
      <c r="B7" s="16" t="s">
        <v>83</v>
      </c>
      <c r="C7" s="17" t="s">
        <v>84</v>
      </c>
      <c r="D7" s="16" t="s">
        <v>85</v>
      </c>
      <c r="E7" s="17" t="s">
        <v>74</v>
      </c>
      <c r="F7" s="16" t="s">
        <v>75</v>
      </c>
      <c r="G7" s="16" t="s">
        <v>86</v>
      </c>
      <c r="H7" s="16" t="s">
        <v>87</v>
      </c>
      <c r="I7" s="17" t="s">
        <v>88</v>
      </c>
      <c r="J7" s="17" t="s">
        <v>89</v>
      </c>
      <c r="K7" s="16"/>
    </row>
    <row r="8" customFormat="false" ht="15" hidden="false" customHeight="true" outlineLevel="0" collapsed="false">
      <c r="A8" s="16" t="n">
        <v>5</v>
      </c>
      <c r="B8" s="16" t="s">
        <v>90</v>
      </c>
      <c r="C8" s="17" t="s">
        <v>84</v>
      </c>
      <c r="D8" s="17" t="s">
        <v>91</v>
      </c>
      <c r="E8" s="17" t="s">
        <v>74</v>
      </c>
      <c r="F8" s="16" t="s">
        <v>75</v>
      </c>
      <c r="G8" s="16" t="s">
        <v>92</v>
      </c>
      <c r="H8" s="16" t="s">
        <v>68</v>
      </c>
      <c r="I8" s="17" t="s">
        <v>93</v>
      </c>
      <c r="J8" s="16" t="s">
        <v>94</v>
      </c>
      <c r="K8" s="16"/>
    </row>
    <row r="9" customFormat="false" ht="23.25" hidden="false" customHeight="true" outlineLevel="0" collapsed="false">
      <c r="A9" s="16" t="n">
        <v>6</v>
      </c>
      <c r="B9" s="16" t="s">
        <v>95</v>
      </c>
      <c r="C9" s="17" t="s">
        <v>96</v>
      </c>
      <c r="D9" s="17" t="s">
        <v>97</v>
      </c>
      <c r="E9" s="17" t="s">
        <v>98</v>
      </c>
      <c r="F9" s="16" t="s">
        <v>75</v>
      </c>
      <c r="G9" s="16" t="s">
        <v>99</v>
      </c>
      <c r="H9" s="16" t="s">
        <v>68</v>
      </c>
      <c r="I9" s="17" t="s">
        <v>69</v>
      </c>
      <c r="J9" s="17" t="s">
        <v>100</v>
      </c>
      <c r="K9" s="16"/>
    </row>
    <row r="10" customFormat="false" ht="15" hidden="false" customHeight="true" outlineLevel="0" collapsed="false">
      <c r="A10" s="18" t="n">
        <v>7</v>
      </c>
      <c r="B10" s="18" t="s">
        <v>101</v>
      </c>
      <c r="C10" s="19" t="s">
        <v>102</v>
      </c>
      <c r="D10" s="19" t="s">
        <v>103</v>
      </c>
      <c r="E10" s="19" t="s">
        <v>104</v>
      </c>
      <c r="F10" s="19" t="s">
        <v>105</v>
      </c>
      <c r="G10" s="19" t="s">
        <v>106</v>
      </c>
      <c r="H10" s="18" t="s">
        <v>68</v>
      </c>
      <c r="I10" s="19" t="s">
        <v>107</v>
      </c>
      <c r="J10" s="19" t="s">
        <v>108</v>
      </c>
      <c r="K10" s="18" t="s">
        <v>78</v>
      </c>
    </row>
    <row r="11" customFormat="false" ht="15" hidden="false" customHeight="true" outlineLevel="0" collapsed="false">
      <c r="A11" s="16" t="n">
        <v>8</v>
      </c>
      <c r="B11" s="16" t="s">
        <v>109</v>
      </c>
      <c r="C11" s="17" t="s">
        <v>102</v>
      </c>
      <c r="D11" s="17" t="s">
        <v>110</v>
      </c>
      <c r="E11" s="17" t="s">
        <v>111</v>
      </c>
      <c r="F11" s="17" t="s">
        <v>105</v>
      </c>
      <c r="G11" s="16" t="s">
        <v>112</v>
      </c>
      <c r="H11" s="16" t="s">
        <v>68</v>
      </c>
      <c r="I11" s="17" t="s">
        <v>69</v>
      </c>
      <c r="J11" s="17" t="s">
        <v>113</v>
      </c>
      <c r="K11" s="16"/>
    </row>
    <row r="12" customFormat="false" ht="15" hidden="false" customHeight="true" outlineLevel="0" collapsed="false">
      <c r="A12" s="16" t="n">
        <v>9</v>
      </c>
      <c r="B12" s="16" t="s">
        <v>114</v>
      </c>
      <c r="C12" s="17" t="s">
        <v>102</v>
      </c>
      <c r="D12" s="16" t="s">
        <v>115</v>
      </c>
      <c r="E12" s="17" t="s">
        <v>116</v>
      </c>
      <c r="F12" s="17" t="s">
        <v>105</v>
      </c>
      <c r="G12" s="16" t="s">
        <v>117</v>
      </c>
      <c r="H12" s="16" t="s">
        <v>68</v>
      </c>
      <c r="I12" s="17" t="s">
        <v>69</v>
      </c>
      <c r="J12" s="17" t="s">
        <v>118</v>
      </c>
      <c r="K12" s="16"/>
    </row>
    <row r="13" customFormat="false" ht="15" hidden="false" customHeight="true" outlineLevel="0" collapsed="false">
      <c r="A13" s="18" t="n">
        <v>10</v>
      </c>
      <c r="B13" s="18" t="s">
        <v>119</v>
      </c>
      <c r="C13" s="19" t="s">
        <v>120</v>
      </c>
      <c r="D13" s="18" t="s">
        <v>121</v>
      </c>
      <c r="E13" s="19" t="s">
        <v>98</v>
      </c>
      <c r="F13" s="19" t="s">
        <v>122</v>
      </c>
      <c r="G13" s="18" t="s">
        <v>123</v>
      </c>
      <c r="H13" s="18" t="s">
        <v>68</v>
      </c>
      <c r="I13" s="19" t="s">
        <v>69</v>
      </c>
      <c r="J13" s="19" t="s">
        <v>124</v>
      </c>
      <c r="K13" s="18" t="s">
        <v>78</v>
      </c>
    </row>
    <row r="14" customFormat="false" ht="15" hidden="false" customHeight="true" outlineLevel="0" collapsed="false">
      <c r="A14" s="18" t="n">
        <v>11</v>
      </c>
      <c r="B14" s="18" t="s">
        <v>125</v>
      </c>
      <c r="C14" s="19" t="s">
        <v>126</v>
      </c>
      <c r="D14" s="19" t="s">
        <v>127</v>
      </c>
      <c r="E14" s="19" t="s">
        <v>128</v>
      </c>
      <c r="F14" s="18" t="s">
        <v>129</v>
      </c>
      <c r="G14" s="19" t="s">
        <v>130</v>
      </c>
      <c r="H14" s="18" t="s">
        <v>68</v>
      </c>
      <c r="I14" s="19" t="s">
        <v>69</v>
      </c>
      <c r="J14" s="18" t="s">
        <v>131</v>
      </c>
      <c r="K14" s="18" t="s">
        <v>78</v>
      </c>
    </row>
    <row r="15" customFormat="false" ht="15" hidden="false" customHeight="true" outlineLevel="0" collapsed="false">
      <c r="A15" s="16" t="n">
        <v>12</v>
      </c>
      <c r="B15" s="16" t="s">
        <v>132</v>
      </c>
      <c r="C15" s="17" t="s">
        <v>126</v>
      </c>
      <c r="D15" s="17" t="s">
        <v>133</v>
      </c>
      <c r="E15" s="17" t="s">
        <v>98</v>
      </c>
      <c r="F15" s="16" t="s">
        <v>134</v>
      </c>
      <c r="G15" s="17" t="s">
        <v>135</v>
      </c>
      <c r="H15" s="16" t="s">
        <v>68</v>
      </c>
      <c r="I15" s="17" t="s">
        <v>69</v>
      </c>
      <c r="J15" s="17" t="s">
        <v>136</v>
      </c>
      <c r="K15" s="16"/>
    </row>
    <row r="16" customFormat="false" ht="23.25" hidden="false" customHeight="true" outlineLevel="0" collapsed="false">
      <c r="A16" s="16" t="n">
        <v>13</v>
      </c>
      <c r="B16" s="16" t="s">
        <v>137</v>
      </c>
      <c r="C16" s="17" t="s">
        <v>126</v>
      </c>
      <c r="D16" s="17" t="s">
        <v>138</v>
      </c>
      <c r="E16" s="17" t="s">
        <v>98</v>
      </c>
      <c r="F16" s="16" t="s">
        <v>139</v>
      </c>
      <c r="G16" s="16" t="s">
        <v>140</v>
      </c>
      <c r="H16" s="16" t="s">
        <v>68</v>
      </c>
      <c r="I16" s="17" t="s">
        <v>141</v>
      </c>
      <c r="J16" s="17" t="s">
        <v>142</v>
      </c>
      <c r="K16" s="16"/>
    </row>
    <row r="17" customFormat="false" ht="15" hidden="false" customHeight="true" outlineLevel="0" collapsed="false">
      <c r="A17" s="16" t="n">
        <v>14</v>
      </c>
      <c r="B17" s="16" t="s">
        <v>143</v>
      </c>
      <c r="C17" s="17" t="s">
        <v>144</v>
      </c>
      <c r="D17" s="17" t="s">
        <v>145</v>
      </c>
      <c r="E17" s="17" t="s">
        <v>98</v>
      </c>
      <c r="F17" s="16" t="s">
        <v>146</v>
      </c>
      <c r="G17" s="17" t="s">
        <v>147</v>
      </c>
      <c r="H17" s="16" t="s">
        <v>68</v>
      </c>
      <c r="I17" s="17" t="s">
        <v>69</v>
      </c>
      <c r="J17" s="17" t="s">
        <v>148</v>
      </c>
      <c r="K17" s="16"/>
    </row>
    <row r="18" customFormat="false" ht="15" hidden="false" customHeight="true" outlineLevel="0" collapsed="false">
      <c r="A18" s="16" t="n">
        <v>15</v>
      </c>
      <c r="B18" s="16" t="s">
        <v>149</v>
      </c>
      <c r="C18" s="17" t="s">
        <v>150</v>
      </c>
      <c r="D18" s="17" t="s">
        <v>151</v>
      </c>
      <c r="E18" s="16" t="s">
        <v>152</v>
      </c>
      <c r="F18" s="16" t="s">
        <v>153</v>
      </c>
      <c r="G18" s="17" t="s">
        <v>154</v>
      </c>
      <c r="H18" s="16" t="s">
        <v>68</v>
      </c>
      <c r="I18" s="17" t="s">
        <v>69</v>
      </c>
      <c r="J18" s="16" t="s">
        <v>155</v>
      </c>
      <c r="K18" s="16"/>
    </row>
    <row r="19" customFormat="false" ht="23.25" hidden="false" customHeight="true" outlineLevel="0" collapsed="false">
      <c r="A19" s="18" t="n">
        <v>16</v>
      </c>
      <c r="B19" s="18" t="s">
        <v>156</v>
      </c>
      <c r="C19" s="19" t="s">
        <v>157</v>
      </c>
      <c r="D19" s="18" t="s">
        <v>158</v>
      </c>
      <c r="E19" s="18" t="s">
        <v>159</v>
      </c>
      <c r="F19" s="19" t="s">
        <v>160</v>
      </c>
      <c r="G19" s="19" t="s">
        <v>130</v>
      </c>
      <c r="H19" s="18" t="s">
        <v>68</v>
      </c>
      <c r="I19" s="19" t="s">
        <v>161</v>
      </c>
      <c r="J19" s="18" t="s">
        <v>162</v>
      </c>
      <c r="K19" s="18" t="s">
        <v>78</v>
      </c>
    </row>
    <row r="20" customFormat="false" ht="23.25" hidden="false" customHeight="true" outlineLevel="0" collapsed="false">
      <c r="A20" s="16" t="n">
        <v>17</v>
      </c>
      <c r="B20" s="16" t="s">
        <v>163</v>
      </c>
      <c r="C20" s="17" t="s">
        <v>157</v>
      </c>
      <c r="D20" s="17" t="s">
        <v>164</v>
      </c>
      <c r="E20" s="16" t="s">
        <v>165</v>
      </c>
      <c r="F20" s="17" t="s">
        <v>166</v>
      </c>
      <c r="G20" s="17" t="s">
        <v>130</v>
      </c>
      <c r="H20" s="16" t="s">
        <v>68</v>
      </c>
      <c r="I20" s="17" t="s">
        <v>167</v>
      </c>
      <c r="J20" s="16" t="s">
        <v>168</v>
      </c>
      <c r="K20" s="16"/>
    </row>
    <row r="21" customFormat="false" ht="23.25" hidden="false" customHeight="true" outlineLevel="0" collapsed="false">
      <c r="A21" s="18" t="n">
        <v>18</v>
      </c>
      <c r="B21" s="18" t="s">
        <v>169</v>
      </c>
      <c r="C21" s="19" t="s">
        <v>170</v>
      </c>
      <c r="D21" s="18" t="s">
        <v>171</v>
      </c>
      <c r="E21" s="19" t="s">
        <v>172</v>
      </c>
      <c r="F21" s="18" t="s">
        <v>173</v>
      </c>
      <c r="G21" s="19" t="s">
        <v>174</v>
      </c>
      <c r="H21" s="18" t="s">
        <v>175</v>
      </c>
      <c r="I21" s="19" t="s">
        <v>69</v>
      </c>
      <c r="J21" s="19" t="s">
        <v>176</v>
      </c>
      <c r="K21" s="18" t="s">
        <v>78</v>
      </c>
    </row>
    <row r="22" customFormat="false" ht="23.25" hidden="false" customHeight="true" outlineLevel="0" collapsed="false">
      <c r="A22" s="18" t="n">
        <v>19</v>
      </c>
      <c r="B22" s="18" t="s">
        <v>177</v>
      </c>
      <c r="C22" s="19" t="s">
        <v>178</v>
      </c>
      <c r="D22" s="18" t="s">
        <v>179</v>
      </c>
      <c r="E22" s="19" t="s">
        <v>98</v>
      </c>
      <c r="F22" s="18" t="s">
        <v>180</v>
      </c>
      <c r="G22" s="19" t="s">
        <v>130</v>
      </c>
      <c r="H22" s="18" t="s">
        <v>68</v>
      </c>
      <c r="I22" s="19" t="s">
        <v>141</v>
      </c>
      <c r="J22" s="19" t="s">
        <v>181</v>
      </c>
      <c r="K22" s="18" t="s">
        <v>78</v>
      </c>
    </row>
    <row r="23" customFormat="false" ht="23.25" hidden="false" customHeight="true" outlineLevel="0" collapsed="false">
      <c r="A23" s="16" t="n">
        <v>20</v>
      </c>
      <c r="B23" s="16" t="s">
        <v>182</v>
      </c>
      <c r="C23" s="16" t="s">
        <v>183</v>
      </c>
      <c r="D23" s="16" t="s">
        <v>184</v>
      </c>
      <c r="E23" s="16" t="s">
        <v>185</v>
      </c>
      <c r="F23" s="16" t="s">
        <v>186</v>
      </c>
      <c r="G23" s="17" t="s">
        <v>187</v>
      </c>
      <c r="H23" s="16" t="s">
        <v>68</v>
      </c>
      <c r="I23" s="17" t="s">
        <v>188</v>
      </c>
      <c r="J23" s="17" t="s">
        <v>189</v>
      </c>
      <c r="K23" s="16"/>
    </row>
    <row r="24" customFormat="false" ht="15" hidden="false" customHeight="true" outlineLevel="0" collapsed="false">
      <c r="A24" s="16" t="n">
        <v>21</v>
      </c>
      <c r="B24" s="16" t="s">
        <v>190</v>
      </c>
      <c r="C24" s="16" t="s">
        <v>191</v>
      </c>
      <c r="D24" s="16" t="s">
        <v>192</v>
      </c>
      <c r="E24" s="17" t="s">
        <v>193</v>
      </c>
      <c r="F24" s="17" t="s">
        <v>194</v>
      </c>
      <c r="G24" s="17" t="s">
        <v>195</v>
      </c>
      <c r="H24" s="17" t="s">
        <v>196</v>
      </c>
      <c r="I24" s="17" t="s">
        <v>197</v>
      </c>
      <c r="J24" s="17" t="s">
        <v>198</v>
      </c>
      <c r="K24" s="16"/>
    </row>
    <row r="25" customFormat="false" ht="23.25" hidden="false" customHeight="true" outlineLevel="0" collapsed="false">
      <c r="A25" s="16" t="n">
        <v>22</v>
      </c>
      <c r="B25" s="16" t="s">
        <v>199</v>
      </c>
      <c r="C25" s="16" t="s">
        <v>200</v>
      </c>
      <c r="D25" s="17" t="s">
        <v>201</v>
      </c>
      <c r="E25" s="17" t="s">
        <v>98</v>
      </c>
      <c r="F25" s="16" t="s">
        <v>202</v>
      </c>
      <c r="G25" s="16" t="s">
        <v>203</v>
      </c>
      <c r="H25" s="16" t="s">
        <v>204</v>
      </c>
      <c r="I25" s="17" t="s">
        <v>205</v>
      </c>
      <c r="J25" s="17" t="s">
        <v>206</v>
      </c>
      <c r="K25" s="16"/>
    </row>
    <row r="26" customFormat="false" ht="15" hidden="false" customHeight="true" outlineLevel="0" collapsed="false">
      <c r="A26" s="16" t="n">
        <v>23</v>
      </c>
      <c r="B26" s="16" t="s">
        <v>207</v>
      </c>
      <c r="C26" s="16" t="s">
        <v>191</v>
      </c>
      <c r="D26" s="17" t="s">
        <v>208</v>
      </c>
      <c r="E26" s="17" t="s">
        <v>98</v>
      </c>
      <c r="F26" s="17" t="s">
        <v>209</v>
      </c>
      <c r="G26" s="17" t="s">
        <v>210</v>
      </c>
      <c r="H26" s="17" t="s">
        <v>196</v>
      </c>
      <c r="I26" s="17" t="s">
        <v>197</v>
      </c>
      <c r="J26" s="17" t="s">
        <v>211</v>
      </c>
      <c r="K26" s="16"/>
    </row>
    <row r="27" customFormat="false" ht="15" hidden="false" customHeight="true" outlineLevel="0" collapsed="false">
      <c r="A27" s="16" t="n">
        <v>24</v>
      </c>
      <c r="B27" s="16" t="s">
        <v>212</v>
      </c>
      <c r="C27" s="16" t="s">
        <v>191</v>
      </c>
      <c r="D27" s="16" t="s">
        <v>213</v>
      </c>
      <c r="E27" s="16" t="s">
        <v>214</v>
      </c>
      <c r="F27" s="16" t="s">
        <v>215</v>
      </c>
      <c r="G27" s="17" t="s">
        <v>216</v>
      </c>
      <c r="H27" s="17" t="s">
        <v>196</v>
      </c>
      <c r="I27" s="17" t="s">
        <v>197</v>
      </c>
      <c r="J27" s="16" t="s">
        <v>217</v>
      </c>
      <c r="K27" s="16"/>
    </row>
    <row r="28" customFormat="false" ht="15" hidden="false" customHeight="true" outlineLevel="0" collapsed="false">
      <c r="A28" s="16" t="n">
        <v>25</v>
      </c>
      <c r="B28" s="16" t="s">
        <v>218</v>
      </c>
      <c r="C28" s="17" t="s">
        <v>219</v>
      </c>
      <c r="D28" s="16" t="s">
        <v>220</v>
      </c>
      <c r="E28" s="17" t="s">
        <v>98</v>
      </c>
      <c r="F28" s="17" t="s">
        <v>221</v>
      </c>
      <c r="G28" s="16" t="s">
        <v>222</v>
      </c>
      <c r="H28" s="16" t="s">
        <v>68</v>
      </c>
      <c r="I28" s="17" t="s">
        <v>69</v>
      </c>
      <c r="J28" s="17" t="s">
        <v>223</v>
      </c>
      <c r="K28" s="16"/>
    </row>
    <row r="29" customFormat="false" ht="15" hidden="false" customHeight="true" outlineLevel="0" collapsed="false">
      <c r="A29" s="16" t="n">
        <v>26</v>
      </c>
      <c r="B29" s="16" t="s">
        <v>224</v>
      </c>
      <c r="C29" s="17" t="s">
        <v>219</v>
      </c>
      <c r="D29" s="16" t="s">
        <v>225</v>
      </c>
      <c r="E29" s="17" t="s">
        <v>98</v>
      </c>
      <c r="F29" s="17" t="s">
        <v>226</v>
      </c>
      <c r="G29" s="16" t="s">
        <v>227</v>
      </c>
      <c r="H29" s="16" t="s">
        <v>68</v>
      </c>
      <c r="I29" s="17" t="s">
        <v>69</v>
      </c>
      <c r="J29" s="17" t="s">
        <v>228</v>
      </c>
      <c r="K29" s="16"/>
    </row>
    <row r="30" customFormat="false" ht="15" hidden="false" customHeight="true" outlineLevel="0" collapsed="false">
      <c r="A30" s="16" t="n">
        <v>27</v>
      </c>
      <c r="B30" s="16" t="s">
        <v>229</v>
      </c>
      <c r="C30" s="17" t="s">
        <v>230</v>
      </c>
      <c r="D30" s="17" t="s">
        <v>231</v>
      </c>
      <c r="E30" s="17" t="s">
        <v>232</v>
      </c>
      <c r="F30" s="17" t="s">
        <v>233</v>
      </c>
      <c r="G30" s="16" t="s">
        <v>234</v>
      </c>
      <c r="H30" s="16" t="s">
        <v>235</v>
      </c>
      <c r="I30" s="17" t="s">
        <v>236</v>
      </c>
      <c r="J30" s="17" t="s">
        <v>237</v>
      </c>
      <c r="K30" s="16"/>
    </row>
    <row r="31" customFormat="false" ht="15" hidden="false" customHeight="true" outlineLevel="0" collapsed="false">
      <c r="A31" s="18" t="n">
        <v>28</v>
      </c>
      <c r="B31" s="18" t="s">
        <v>238</v>
      </c>
      <c r="C31" s="19" t="s">
        <v>230</v>
      </c>
      <c r="D31" s="18" t="s">
        <v>239</v>
      </c>
      <c r="E31" s="18" t="s">
        <v>240</v>
      </c>
      <c r="F31" s="19" t="s">
        <v>241</v>
      </c>
      <c r="G31" s="18" t="s">
        <v>242</v>
      </c>
      <c r="H31" s="19" t="s">
        <v>196</v>
      </c>
      <c r="I31" s="19" t="s">
        <v>69</v>
      </c>
      <c r="J31" s="19" t="s">
        <v>243</v>
      </c>
      <c r="K31" s="18" t="s">
        <v>78</v>
      </c>
    </row>
    <row r="32" customFormat="false" ht="15" hidden="false" customHeight="true" outlineLevel="0" collapsed="false">
      <c r="A32" s="16" t="n">
        <v>29</v>
      </c>
      <c r="B32" s="16" t="s">
        <v>244</v>
      </c>
      <c r="C32" s="17" t="s">
        <v>230</v>
      </c>
      <c r="D32" s="16" t="s">
        <v>245</v>
      </c>
      <c r="E32" s="16" t="s">
        <v>246</v>
      </c>
      <c r="F32" s="17" t="s">
        <v>247</v>
      </c>
      <c r="G32" s="16" t="s">
        <v>248</v>
      </c>
      <c r="H32" s="17" t="s">
        <v>196</v>
      </c>
      <c r="I32" s="17" t="s">
        <v>69</v>
      </c>
      <c r="J32" s="17" t="s">
        <v>249</v>
      </c>
      <c r="K32" s="16"/>
    </row>
    <row r="33" customFormat="false" ht="23.25" hidden="false" customHeight="true" outlineLevel="0" collapsed="false">
      <c r="A33" s="16" t="n">
        <v>30</v>
      </c>
      <c r="B33" s="16" t="s">
        <v>250</v>
      </c>
      <c r="C33" s="17" t="s">
        <v>230</v>
      </c>
      <c r="D33" s="16" t="s">
        <v>251</v>
      </c>
      <c r="E33" s="17" t="s">
        <v>98</v>
      </c>
      <c r="F33" s="17" t="s">
        <v>252</v>
      </c>
      <c r="G33" s="16" t="s">
        <v>253</v>
      </c>
      <c r="H33" s="17" t="s">
        <v>196</v>
      </c>
      <c r="I33" s="17" t="s">
        <v>69</v>
      </c>
      <c r="J33" s="17" t="s">
        <v>254</v>
      </c>
      <c r="K33" s="16"/>
    </row>
    <row r="34" customFormat="false" ht="23.25" hidden="false" customHeight="true" outlineLevel="0" collapsed="false">
      <c r="A34" s="16" t="n">
        <v>31</v>
      </c>
      <c r="B34" s="16" t="s">
        <v>255</v>
      </c>
      <c r="C34" s="17" t="s">
        <v>230</v>
      </c>
      <c r="D34" s="16" t="s">
        <v>256</v>
      </c>
      <c r="E34" s="17" t="s">
        <v>257</v>
      </c>
      <c r="F34" s="16" t="s">
        <v>258</v>
      </c>
      <c r="G34" s="16" t="s">
        <v>259</v>
      </c>
      <c r="H34" s="17" t="s">
        <v>196</v>
      </c>
      <c r="I34" s="17" t="s">
        <v>69</v>
      </c>
      <c r="J34" s="17" t="s">
        <v>260</v>
      </c>
      <c r="K34" s="16"/>
    </row>
    <row r="35" customFormat="false" ht="15" hidden="false" customHeight="true" outlineLevel="0" collapsed="false">
      <c r="A35" s="18" t="n">
        <v>32</v>
      </c>
      <c r="B35" s="18" t="s">
        <v>261</v>
      </c>
      <c r="C35" s="19" t="s">
        <v>262</v>
      </c>
      <c r="D35" s="18" t="s">
        <v>263</v>
      </c>
      <c r="E35" s="18" t="s">
        <v>264</v>
      </c>
      <c r="F35" s="18" t="s">
        <v>265</v>
      </c>
      <c r="G35" s="19" t="s">
        <v>130</v>
      </c>
      <c r="H35" s="18" t="s">
        <v>266</v>
      </c>
      <c r="I35" s="19" t="s">
        <v>267</v>
      </c>
      <c r="J35" s="18" t="s">
        <v>268</v>
      </c>
      <c r="K35" s="18" t="s">
        <v>78</v>
      </c>
    </row>
    <row r="36" customFormat="false" ht="15" hidden="false" customHeight="true" outlineLevel="0" collapsed="false">
      <c r="A36" s="18" t="n">
        <v>33</v>
      </c>
      <c r="B36" s="18" t="s">
        <v>269</v>
      </c>
      <c r="C36" s="19" t="s">
        <v>262</v>
      </c>
      <c r="D36" s="19" t="s">
        <v>270</v>
      </c>
      <c r="E36" s="18" t="s">
        <v>271</v>
      </c>
      <c r="F36" s="18" t="s">
        <v>265</v>
      </c>
      <c r="G36" s="19" t="s">
        <v>272</v>
      </c>
      <c r="H36" s="18" t="s">
        <v>273</v>
      </c>
      <c r="I36" s="19" t="s">
        <v>274</v>
      </c>
      <c r="J36" s="19" t="s">
        <v>275</v>
      </c>
      <c r="K36" s="18" t="s">
        <v>78</v>
      </c>
    </row>
    <row r="37" customFormat="false" ht="15" hidden="false" customHeight="true" outlineLevel="0" collapsed="false">
      <c r="A37" s="18" t="n">
        <v>34</v>
      </c>
      <c r="B37" s="18" t="s">
        <v>276</v>
      </c>
      <c r="C37" s="19" t="s">
        <v>262</v>
      </c>
      <c r="D37" s="18" t="s">
        <v>277</v>
      </c>
      <c r="E37" s="19" t="s">
        <v>278</v>
      </c>
      <c r="F37" s="19" t="s">
        <v>279</v>
      </c>
      <c r="G37" s="19" t="s">
        <v>280</v>
      </c>
      <c r="H37" s="18" t="s">
        <v>281</v>
      </c>
      <c r="I37" s="19" t="s">
        <v>282</v>
      </c>
      <c r="J37" s="19" t="s">
        <v>283</v>
      </c>
      <c r="K37" s="18" t="s">
        <v>78</v>
      </c>
    </row>
    <row r="38" customFormat="false" ht="15" hidden="false" customHeight="true" outlineLevel="0" collapsed="false">
      <c r="A38" s="18" t="n">
        <v>35</v>
      </c>
      <c r="B38" s="18" t="s">
        <v>284</v>
      </c>
      <c r="C38" s="19" t="s">
        <v>285</v>
      </c>
      <c r="D38" s="18" t="s">
        <v>286</v>
      </c>
      <c r="E38" s="18" t="s">
        <v>287</v>
      </c>
      <c r="F38" s="18" t="s">
        <v>288</v>
      </c>
      <c r="G38" s="18" t="s">
        <v>289</v>
      </c>
      <c r="H38" s="18" t="s">
        <v>290</v>
      </c>
      <c r="I38" s="18" t="s">
        <v>291</v>
      </c>
      <c r="J38" s="18" t="s">
        <v>292</v>
      </c>
      <c r="K38" s="18" t="s">
        <v>78</v>
      </c>
    </row>
    <row r="39" customFormat="false" ht="15" hidden="false" customHeight="true" outlineLevel="0" collapsed="false">
      <c r="A39" s="16" t="n">
        <v>36</v>
      </c>
      <c r="B39" s="16" t="s">
        <v>293</v>
      </c>
      <c r="C39" s="17" t="s">
        <v>285</v>
      </c>
      <c r="D39" s="16" t="s">
        <v>294</v>
      </c>
      <c r="E39" s="16" t="s">
        <v>295</v>
      </c>
      <c r="F39" s="17" t="s">
        <v>296</v>
      </c>
      <c r="G39" s="16" t="s">
        <v>297</v>
      </c>
      <c r="H39" s="16" t="s">
        <v>68</v>
      </c>
      <c r="I39" s="16" t="s">
        <v>298</v>
      </c>
      <c r="J39" s="17" t="s">
        <v>299</v>
      </c>
      <c r="K39" s="16"/>
    </row>
    <row r="40" customFormat="false" ht="15" hidden="false" customHeight="true" outlineLevel="0" collapsed="false">
      <c r="A40" s="16" t="n">
        <v>37</v>
      </c>
      <c r="B40" s="16" t="s">
        <v>300</v>
      </c>
      <c r="C40" s="17" t="s">
        <v>285</v>
      </c>
      <c r="D40" s="17" t="s">
        <v>301</v>
      </c>
      <c r="E40" s="16" t="s">
        <v>302</v>
      </c>
      <c r="F40" s="17" t="s">
        <v>247</v>
      </c>
      <c r="G40" s="16" t="s">
        <v>303</v>
      </c>
      <c r="H40" s="17" t="s">
        <v>304</v>
      </c>
      <c r="I40" s="16" t="s">
        <v>298</v>
      </c>
      <c r="J40" s="17" t="s">
        <v>305</v>
      </c>
      <c r="K40" s="16"/>
    </row>
    <row r="41" customFormat="false" ht="15" hidden="false" customHeight="true" outlineLevel="0" collapsed="false">
      <c r="A41" s="16" t="n">
        <v>38</v>
      </c>
      <c r="B41" s="16" t="s">
        <v>306</v>
      </c>
      <c r="C41" s="17" t="s">
        <v>285</v>
      </c>
      <c r="D41" s="17" t="s">
        <v>307</v>
      </c>
      <c r="E41" s="17" t="s">
        <v>308</v>
      </c>
      <c r="F41" s="16" t="s">
        <v>288</v>
      </c>
      <c r="G41" s="16" t="s">
        <v>309</v>
      </c>
      <c r="H41" s="17" t="s">
        <v>310</v>
      </c>
      <c r="I41" s="16" t="s">
        <v>298</v>
      </c>
      <c r="J41" s="17" t="s">
        <v>311</v>
      </c>
      <c r="K41" s="16"/>
    </row>
    <row r="42" customFormat="false" ht="15" hidden="false" customHeight="true" outlineLevel="0" collapsed="false">
      <c r="A42" s="18" t="n">
        <v>39</v>
      </c>
      <c r="B42" s="18" t="s">
        <v>312</v>
      </c>
      <c r="C42" s="19" t="s">
        <v>285</v>
      </c>
      <c r="D42" s="19" t="s">
        <v>313</v>
      </c>
      <c r="E42" s="19" t="s">
        <v>314</v>
      </c>
      <c r="F42" s="18" t="s">
        <v>315</v>
      </c>
      <c r="G42" s="18" t="s">
        <v>316</v>
      </c>
      <c r="H42" s="18" t="s">
        <v>317</v>
      </c>
      <c r="I42" s="19" t="s">
        <v>274</v>
      </c>
      <c r="J42" s="19" t="s">
        <v>318</v>
      </c>
      <c r="K42" s="18" t="s">
        <v>78</v>
      </c>
    </row>
    <row r="43" customFormat="false" ht="15" hidden="false" customHeight="true" outlineLevel="0" collapsed="false">
      <c r="A43" s="16" t="n">
        <v>40</v>
      </c>
      <c r="B43" s="16" t="s">
        <v>319</v>
      </c>
      <c r="C43" s="17" t="s">
        <v>285</v>
      </c>
      <c r="D43" s="17" t="s">
        <v>320</v>
      </c>
      <c r="E43" s="16" t="s">
        <v>321</v>
      </c>
      <c r="F43" s="17" t="s">
        <v>322</v>
      </c>
      <c r="G43" s="16" t="s">
        <v>323</v>
      </c>
      <c r="H43" s="16" t="s">
        <v>324</v>
      </c>
      <c r="I43" s="16" t="s">
        <v>298</v>
      </c>
      <c r="J43" s="17" t="s">
        <v>325</v>
      </c>
      <c r="K43" s="16"/>
    </row>
    <row r="44" customFormat="false" ht="23.25" hidden="false" customHeight="true" outlineLevel="0" collapsed="false">
      <c r="A44" s="16" t="n">
        <v>41</v>
      </c>
      <c r="B44" s="16" t="s">
        <v>326</v>
      </c>
      <c r="C44" s="16" t="s">
        <v>327</v>
      </c>
      <c r="D44" s="17" t="s">
        <v>328</v>
      </c>
      <c r="E44" s="16" t="s">
        <v>329</v>
      </c>
      <c r="F44" s="17" t="s">
        <v>330</v>
      </c>
      <c r="G44" s="16" t="s">
        <v>331</v>
      </c>
      <c r="H44" s="16" t="s">
        <v>68</v>
      </c>
      <c r="I44" s="17" t="s">
        <v>69</v>
      </c>
      <c r="J44" s="17" t="s">
        <v>332</v>
      </c>
      <c r="K44" s="16"/>
    </row>
    <row r="45" customFormat="false" ht="23.25" hidden="false" customHeight="true" outlineLevel="0" collapsed="false">
      <c r="A45" s="16" t="n">
        <v>42</v>
      </c>
      <c r="B45" s="16" t="s">
        <v>333</v>
      </c>
      <c r="C45" s="16" t="s">
        <v>334</v>
      </c>
      <c r="D45" s="16" t="s">
        <v>335</v>
      </c>
      <c r="E45" s="16" t="s">
        <v>336</v>
      </c>
      <c r="F45" s="16" t="s">
        <v>288</v>
      </c>
      <c r="G45" s="16" t="s">
        <v>337</v>
      </c>
      <c r="H45" s="16" t="s">
        <v>68</v>
      </c>
      <c r="I45" s="17" t="s">
        <v>167</v>
      </c>
      <c r="J45" s="17" t="s">
        <v>338</v>
      </c>
      <c r="K45" s="16"/>
    </row>
    <row r="46" customFormat="false" ht="15" hidden="false" customHeight="true" outlineLevel="0" collapsed="false">
      <c r="A46" s="16" t="n">
        <v>43</v>
      </c>
      <c r="B46" s="16" t="s">
        <v>339</v>
      </c>
      <c r="C46" s="16" t="s">
        <v>334</v>
      </c>
      <c r="D46" s="16" t="s">
        <v>340</v>
      </c>
      <c r="E46" s="16" t="s">
        <v>341</v>
      </c>
      <c r="F46" s="16" t="s">
        <v>288</v>
      </c>
      <c r="G46" s="17" t="s">
        <v>342</v>
      </c>
      <c r="H46" s="16" t="s">
        <v>68</v>
      </c>
      <c r="I46" s="17" t="s">
        <v>167</v>
      </c>
      <c r="J46" s="17" t="s">
        <v>343</v>
      </c>
      <c r="K46" s="16"/>
    </row>
    <row r="47" customFormat="false" ht="15" hidden="false" customHeight="true" outlineLevel="0" collapsed="false">
      <c r="A47" s="18" t="n">
        <v>44</v>
      </c>
      <c r="B47" s="18" t="s">
        <v>344</v>
      </c>
      <c r="C47" s="19" t="s">
        <v>345</v>
      </c>
      <c r="D47" s="18" t="s">
        <v>346</v>
      </c>
      <c r="E47" s="18" t="s">
        <v>347</v>
      </c>
      <c r="F47" s="18" t="s">
        <v>153</v>
      </c>
      <c r="G47" s="19" t="s">
        <v>348</v>
      </c>
      <c r="H47" s="18" t="s">
        <v>68</v>
      </c>
      <c r="I47" s="19" t="s">
        <v>69</v>
      </c>
      <c r="J47" s="18" t="s">
        <v>349</v>
      </c>
      <c r="K47" s="18" t="s">
        <v>78</v>
      </c>
    </row>
    <row r="48" customFormat="false" ht="15" hidden="false" customHeight="true" outlineLevel="0" collapsed="false">
      <c r="A48" s="18" t="n">
        <v>45</v>
      </c>
      <c r="B48" s="18" t="s">
        <v>350</v>
      </c>
      <c r="C48" s="19" t="s">
        <v>345</v>
      </c>
      <c r="D48" s="18" t="s">
        <v>351</v>
      </c>
      <c r="E48" s="18" t="s">
        <v>352</v>
      </c>
      <c r="F48" s="18" t="s">
        <v>153</v>
      </c>
      <c r="G48" s="19" t="s">
        <v>130</v>
      </c>
      <c r="H48" s="18" t="s">
        <v>68</v>
      </c>
      <c r="I48" s="19" t="s">
        <v>69</v>
      </c>
      <c r="J48" s="18" t="s">
        <v>353</v>
      </c>
      <c r="K48" s="18" t="s">
        <v>78</v>
      </c>
    </row>
    <row r="49" customFormat="false" ht="23.25" hidden="false" customHeight="true" outlineLevel="0" collapsed="false">
      <c r="A49" s="16" t="n">
        <v>46</v>
      </c>
      <c r="B49" s="16" t="s">
        <v>354</v>
      </c>
      <c r="C49" s="17" t="s">
        <v>355</v>
      </c>
      <c r="D49" s="17" t="s">
        <v>356</v>
      </c>
      <c r="E49" s="16" t="s">
        <v>357</v>
      </c>
      <c r="F49" s="16" t="s">
        <v>288</v>
      </c>
      <c r="G49" s="16" t="s">
        <v>358</v>
      </c>
      <c r="H49" s="16" t="s">
        <v>68</v>
      </c>
      <c r="I49" s="17" t="s">
        <v>167</v>
      </c>
      <c r="J49" s="16" t="s">
        <v>359</v>
      </c>
      <c r="K49" s="16"/>
    </row>
    <row r="50" customFormat="false" ht="23.25" hidden="false" customHeight="true" outlineLevel="0" collapsed="false">
      <c r="A50" s="16" t="n">
        <v>47</v>
      </c>
      <c r="B50" s="16" t="s">
        <v>360</v>
      </c>
      <c r="C50" s="17" t="s">
        <v>355</v>
      </c>
      <c r="D50" s="16" t="s">
        <v>361</v>
      </c>
      <c r="E50" s="16" t="s">
        <v>357</v>
      </c>
      <c r="F50" s="16" t="s">
        <v>153</v>
      </c>
      <c r="G50" s="16" t="s">
        <v>358</v>
      </c>
      <c r="H50" s="16" t="s">
        <v>68</v>
      </c>
      <c r="I50" s="17" t="s">
        <v>69</v>
      </c>
      <c r="J50" s="16" t="s">
        <v>362</v>
      </c>
      <c r="K50" s="16"/>
    </row>
    <row r="51" customFormat="false" ht="23.25" hidden="false" customHeight="true" outlineLevel="0" collapsed="false">
      <c r="A51" s="18" t="n">
        <v>48</v>
      </c>
      <c r="B51" s="18" t="s">
        <v>363</v>
      </c>
      <c r="C51" s="19" t="s">
        <v>364</v>
      </c>
      <c r="D51" s="18" t="s">
        <v>365</v>
      </c>
      <c r="E51" s="19" t="s">
        <v>366</v>
      </c>
      <c r="F51" s="19" t="s">
        <v>367</v>
      </c>
      <c r="G51" s="19" t="s">
        <v>130</v>
      </c>
      <c r="H51" s="18" t="s">
        <v>68</v>
      </c>
      <c r="I51" s="19" t="s">
        <v>368</v>
      </c>
      <c r="J51" s="18" t="s">
        <v>369</v>
      </c>
      <c r="K51" s="18" t="s">
        <v>78</v>
      </c>
    </row>
    <row r="52" customFormat="false" ht="15" hidden="false" customHeight="true" outlineLevel="0" collapsed="false">
      <c r="A52" s="16" t="n">
        <v>49</v>
      </c>
      <c r="B52" s="16" t="s">
        <v>370</v>
      </c>
      <c r="C52" s="17" t="s">
        <v>364</v>
      </c>
      <c r="D52" s="16" t="s">
        <v>371</v>
      </c>
      <c r="E52" s="17" t="s">
        <v>372</v>
      </c>
      <c r="F52" s="17" t="s">
        <v>373</v>
      </c>
      <c r="G52" s="17" t="s">
        <v>130</v>
      </c>
      <c r="H52" s="16" t="s">
        <v>374</v>
      </c>
      <c r="I52" s="16" t="s">
        <v>375</v>
      </c>
      <c r="J52" s="17" t="s">
        <v>376</v>
      </c>
      <c r="K52" s="16"/>
    </row>
    <row r="53" customFormat="false" ht="34.5" hidden="false" customHeight="true" outlineLevel="0" collapsed="false">
      <c r="A53" s="18" t="n">
        <v>50</v>
      </c>
      <c r="B53" s="18" t="s">
        <v>377</v>
      </c>
      <c r="C53" s="19" t="s">
        <v>378</v>
      </c>
      <c r="D53" s="19" t="s">
        <v>379</v>
      </c>
      <c r="E53" s="18" t="s">
        <v>380</v>
      </c>
      <c r="F53" s="18" t="s">
        <v>153</v>
      </c>
      <c r="G53" s="19" t="s">
        <v>381</v>
      </c>
      <c r="H53" s="18" t="s">
        <v>382</v>
      </c>
      <c r="I53" s="19" t="s">
        <v>69</v>
      </c>
      <c r="J53" s="18" t="s">
        <v>383</v>
      </c>
      <c r="K53" s="18" t="s">
        <v>78</v>
      </c>
    </row>
    <row r="54" customFormat="false" ht="23.25" hidden="false" customHeight="true" outlineLevel="0" collapsed="false">
      <c r="A54" s="18" t="n">
        <v>51</v>
      </c>
      <c r="B54" s="18" t="s">
        <v>384</v>
      </c>
      <c r="C54" s="19" t="s">
        <v>385</v>
      </c>
      <c r="D54" s="19" t="s">
        <v>386</v>
      </c>
      <c r="E54" s="18" t="s">
        <v>387</v>
      </c>
      <c r="F54" s="19" t="s">
        <v>388</v>
      </c>
      <c r="G54" s="18" t="s">
        <v>389</v>
      </c>
      <c r="H54" s="18" t="s">
        <v>324</v>
      </c>
      <c r="I54" s="19" t="s">
        <v>141</v>
      </c>
      <c r="J54" s="19" t="s">
        <v>390</v>
      </c>
      <c r="K54" s="18" t="s">
        <v>78</v>
      </c>
    </row>
    <row r="55" customFormat="false" ht="15" hidden="false" customHeight="true" outlineLevel="0" collapsed="false">
      <c r="A55" s="18" t="n">
        <v>52</v>
      </c>
      <c r="B55" s="18" t="s">
        <v>391</v>
      </c>
      <c r="C55" s="19" t="s">
        <v>385</v>
      </c>
      <c r="D55" s="19" t="s">
        <v>392</v>
      </c>
      <c r="E55" s="18" t="s">
        <v>393</v>
      </c>
      <c r="F55" s="19" t="s">
        <v>388</v>
      </c>
      <c r="G55" s="18" t="s">
        <v>394</v>
      </c>
      <c r="H55" s="18" t="s">
        <v>68</v>
      </c>
      <c r="I55" s="19" t="s">
        <v>395</v>
      </c>
      <c r="J55" s="19" t="s">
        <v>396</v>
      </c>
      <c r="K55" s="18" t="s">
        <v>78</v>
      </c>
    </row>
    <row r="56" customFormat="false" ht="15" hidden="false" customHeight="true" outlineLevel="0" collapsed="false">
      <c r="A56" s="16" t="n">
        <v>53</v>
      </c>
      <c r="B56" s="16" t="s">
        <v>397</v>
      </c>
      <c r="C56" s="17" t="s">
        <v>385</v>
      </c>
      <c r="D56" s="17" t="s">
        <v>398</v>
      </c>
      <c r="E56" s="16" t="s">
        <v>399</v>
      </c>
      <c r="F56" s="17" t="s">
        <v>400</v>
      </c>
      <c r="G56" s="16" t="s">
        <v>401</v>
      </c>
      <c r="H56" s="17" t="s">
        <v>304</v>
      </c>
      <c r="I56" s="17" t="s">
        <v>69</v>
      </c>
      <c r="J56" s="17" t="s">
        <v>402</v>
      </c>
      <c r="K56" s="16"/>
    </row>
    <row r="57" customFormat="false" ht="15" hidden="false" customHeight="true" outlineLevel="0" collapsed="false">
      <c r="A57" s="16" t="n">
        <v>54</v>
      </c>
      <c r="B57" s="16" t="s">
        <v>403</v>
      </c>
      <c r="C57" s="17" t="s">
        <v>385</v>
      </c>
      <c r="D57" s="17" t="s">
        <v>404</v>
      </c>
      <c r="E57" s="16" t="s">
        <v>405</v>
      </c>
      <c r="F57" s="17" t="s">
        <v>400</v>
      </c>
      <c r="G57" s="16" t="s">
        <v>406</v>
      </c>
      <c r="H57" s="17" t="s">
        <v>196</v>
      </c>
      <c r="I57" s="17" t="s">
        <v>69</v>
      </c>
      <c r="J57" s="17" t="s">
        <v>407</v>
      </c>
      <c r="K57" s="16"/>
    </row>
    <row r="58" customFormat="false" ht="15" hidden="false" customHeight="true" outlineLevel="0" collapsed="false">
      <c r="A58" s="18" t="n">
        <v>55</v>
      </c>
      <c r="B58" s="18" t="s">
        <v>408</v>
      </c>
      <c r="C58" s="19" t="s">
        <v>409</v>
      </c>
      <c r="D58" s="18" t="s">
        <v>410</v>
      </c>
      <c r="E58" s="19" t="s">
        <v>372</v>
      </c>
      <c r="F58" s="19" t="s">
        <v>411</v>
      </c>
      <c r="G58" s="18" t="s">
        <v>412</v>
      </c>
      <c r="H58" s="19" t="s">
        <v>196</v>
      </c>
      <c r="I58" s="19" t="s">
        <v>141</v>
      </c>
      <c r="J58" s="19" t="s">
        <v>413</v>
      </c>
      <c r="K58" s="18" t="s">
        <v>78</v>
      </c>
    </row>
    <row r="59" customFormat="false" ht="15" hidden="false" customHeight="true" outlineLevel="0" collapsed="false">
      <c r="A59" s="16" t="n">
        <v>56</v>
      </c>
      <c r="B59" s="16" t="s">
        <v>414</v>
      </c>
      <c r="C59" s="17" t="s">
        <v>415</v>
      </c>
      <c r="D59" s="17" t="s">
        <v>416</v>
      </c>
      <c r="E59" s="17" t="s">
        <v>98</v>
      </c>
      <c r="F59" s="17" t="s">
        <v>417</v>
      </c>
      <c r="G59" s="16" t="s">
        <v>418</v>
      </c>
      <c r="H59" s="16" t="s">
        <v>68</v>
      </c>
      <c r="I59" s="17" t="s">
        <v>141</v>
      </c>
      <c r="J59" s="17" t="s">
        <v>419</v>
      </c>
      <c r="K59" s="16"/>
    </row>
    <row r="60" customFormat="false" ht="15" hidden="false" customHeight="true" outlineLevel="0" collapsed="false">
      <c r="A60" s="16" t="n">
        <v>57</v>
      </c>
      <c r="B60" s="16" t="s">
        <v>420</v>
      </c>
      <c r="C60" s="17" t="s">
        <v>415</v>
      </c>
      <c r="D60" s="17" t="s">
        <v>421</v>
      </c>
      <c r="E60" s="17" t="s">
        <v>422</v>
      </c>
      <c r="F60" s="17" t="s">
        <v>423</v>
      </c>
      <c r="G60" s="16" t="s">
        <v>424</v>
      </c>
      <c r="H60" s="17" t="s">
        <v>196</v>
      </c>
      <c r="I60" s="17" t="s">
        <v>69</v>
      </c>
      <c r="J60" s="16" t="s">
        <v>425</v>
      </c>
      <c r="K60" s="16"/>
    </row>
    <row r="61" customFormat="false" ht="15" hidden="false" customHeight="true" outlineLevel="0" collapsed="false">
      <c r="A61" s="16" t="n">
        <v>58</v>
      </c>
      <c r="B61" s="17" t="s">
        <v>426</v>
      </c>
      <c r="C61" s="17" t="s">
        <v>427</v>
      </c>
      <c r="D61" s="17" t="s">
        <v>428</v>
      </c>
      <c r="E61" s="17" t="s">
        <v>429</v>
      </c>
      <c r="F61" s="17" t="s">
        <v>388</v>
      </c>
      <c r="G61" s="16" t="s">
        <v>430</v>
      </c>
      <c r="H61" s="16" t="s">
        <v>324</v>
      </c>
      <c r="I61" s="17" t="s">
        <v>141</v>
      </c>
      <c r="J61" s="17" t="s">
        <v>431</v>
      </c>
      <c r="K61" s="16"/>
    </row>
    <row r="62" customFormat="false" ht="15" hidden="false" customHeight="true" outlineLevel="0" collapsed="false">
      <c r="A62" s="16" t="n">
        <v>59</v>
      </c>
      <c r="B62" s="16" t="s">
        <v>432</v>
      </c>
      <c r="C62" s="16" t="s">
        <v>433</v>
      </c>
      <c r="D62" s="17" t="s">
        <v>434</v>
      </c>
      <c r="E62" s="17" t="s">
        <v>435</v>
      </c>
      <c r="F62" s="17" t="s">
        <v>436</v>
      </c>
      <c r="G62" s="17" t="s">
        <v>130</v>
      </c>
      <c r="H62" s="17" t="s">
        <v>196</v>
      </c>
      <c r="I62" s="17" t="s">
        <v>197</v>
      </c>
      <c r="J62" s="17" t="s">
        <v>437</v>
      </c>
      <c r="K62" s="16"/>
    </row>
    <row r="63" customFormat="false" ht="15" hidden="false" customHeight="true" outlineLevel="0" collapsed="false">
      <c r="A63" s="16" t="n">
        <v>60</v>
      </c>
      <c r="B63" s="16" t="s">
        <v>438</v>
      </c>
      <c r="C63" s="16" t="s">
        <v>433</v>
      </c>
      <c r="D63" s="17" t="s">
        <v>439</v>
      </c>
      <c r="E63" s="17" t="s">
        <v>435</v>
      </c>
      <c r="F63" s="17" t="s">
        <v>440</v>
      </c>
      <c r="G63" s="17" t="s">
        <v>441</v>
      </c>
      <c r="H63" s="17" t="s">
        <v>196</v>
      </c>
      <c r="I63" s="17" t="s">
        <v>197</v>
      </c>
      <c r="J63" s="17" t="s">
        <v>442</v>
      </c>
      <c r="K63" s="16"/>
    </row>
    <row r="64" customFormat="false" ht="15" hidden="false" customHeight="true" outlineLevel="0" collapsed="false">
      <c r="A64" s="16" t="n">
        <v>61</v>
      </c>
      <c r="B64" s="16" t="s">
        <v>443</v>
      </c>
      <c r="C64" s="17" t="s">
        <v>444</v>
      </c>
      <c r="D64" s="17" t="s">
        <v>445</v>
      </c>
      <c r="E64" s="17" t="s">
        <v>98</v>
      </c>
      <c r="F64" s="17" t="s">
        <v>446</v>
      </c>
      <c r="G64" s="16" t="s">
        <v>447</v>
      </c>
      <c r="H64" s="16" t="s">
        <v>68</v>
      </c>
      <c r="I64" s="17" t="s">
        <v>69</v>
      </c>
      <c r="J64" s="17" t="s">
        <v>448</v>
      </c>
      <c r="K64" s="16"/>
    </row>
    <row r="65" customFormat="false" ht="15" hidden="false" customHeight="true" outlineLevel="0" collapsed="false">
      <c r="A65" s="18" t="n">
        <v>62</v>
      </c>
      <c r="B65" s="18" t="s">
        <v>449</v>
      </c>
      <c r="C65" s="19" t="s">
        <v>444</v>
      </c>
      <c r="D65" s="18" t="s">
        <v>450</v>
      </c>
      <c r="E65" s="19" t="s">
        <v>98</v>
      </c>
      <c r="F65" s="18" t="s">
        <v>451</v>
      </c>
      <c r="G65" s="18" t="s">
        <v>452</v>
      </c>
      <c r="H65" s="18" t="s">
        <v>68</v>
      </c>
      <c r="I65" s="19" t="s">
        <v>69</v>
      </c>
      <c r="J65" s="18" t="s">
        <v>453</v>
      </c>
      <c r="K65" s="18" t="s">
        <v>78</v>
      </c>
    </row>
    <row r="66" customFormat="false" ht="15" hidden="false" customHeight="true" outlineLevel="0" collapsed="false">
      <c r="A66" s="16" t="n">
        <v>63</v>
      </c>
      <c r="B66" s="16" t="s">
        <v>454</v>
      </c>
      <c r="C66" s="17" t="s">
        <v>444</v>
      </c>
      <c r="D66" s="17" t="s">
        <v>455</v>
      </c>
      <c r="E66" s="17" t="s">
        <v>456</v>
      </c>
      <c r="F66" s="16" t="s">
        <v>457</v>
      </c>
      <c r="G66" s="16" t="s">
        <v>458</v>
      </c>
      <c r="H66" s="16" t="s">
        <v>68</v>
      </c>
      <c r="I66" s="17" t="s">
        <v>69</v>
      </c>
      <c r="J66" s="17" t="s">
        <v>459</v>
      </c>
      <c r="K66" s="16"/>
    </row>
    <row r="67" customFormat="false" ht="15" hidden="false" customHeight="true" outlineLevel="0" collapsed="false">
      <c r="A67" s="18" t="n">
        <v>64</v>
      </c>
      <c r="B67" s="18" t="s">
        <v>460</v>
      </c>
      <c r="C67" s="19" t="s">
        <v>444</v>
      </c>
      <c r="D67" s="18" t="s">
        <v>461</v>
      </c>
      <c r="E67" s="19" t="s">
        <v>98</v>
      </c>
      <c r="F67" s="18" t="s">
        <v>451</v>
      </c>
      <c r="G67" s="18" t="s">
        <v>462</v>
      </c>
      <c r="H67" s="18" t="s">
        <v>68</v>
      </c>
      <c r="I67" s="19" t="s">
        <v>69</v>
      </c>
      <c r="J67" s="19" t="s">
        <v>463</v>
      </c>
      <c r="K67" s="18" t="s">
        <v>78</v>
      </c>
    </row>
    <row r="68" customFormat="false" ht="15" hidden="false" customHeight="true" outlineLevel="0" collapsed="false">
      <c r="A68" s="16" t="n">
        <v>65</v>
      </c>
      <c r="B68" s="16" t="s">
        <v>464</v>
      </c>
      <c r="C68" s="17" t="s">
        <v>465</v>
      </c>
      <c r="D68" s="16" t="s">
        <v>466</v>
      </c>
      <c r="E68" s="16" t="s">
        <v>467</v>
      </c>
      <c r="F68" s="16" t="s">
        <v>451</v>
      </c>
      <c r="G68" s="17" t="s">
        <v>130</v>
      </c>
      <c r="H68" s="16" t="s">
        <v>68</v>
      </c>
      <c r="I68" s="17" t="s">
        <v>468</v>
      </c>
      <c r="J68" s="16" t="s">
        <v>469</v>
      </c>
      <c r="K68" s="16"/>
    </row>
    <row r="69" customFormat="false" ht="15" hidden="false" customHeight="true" outlineLevel="0" collapsed="false">
      <c r="A69" s="16" t="n">
        <v>66</v>
      </c>
      <c r="B69" s="16" t="s">
        <v>470</v>
      </c>
      <c r="C69" s="17" t="s">
        <v>465</v>
      </c>
      <c r="D69" s="17" t="s">
        <v>471</v>
      </c>
      <c r="E69" s="17" t="s">
        <v>98</v>
      </c>
      <c r="F69" s="16" t="s">
        <v>472</v>
      </c>
      <c r="G69" s="17" t="s">
        <v>130</v>
      </c>
      <c r="H69" s="17" t="s">
        <v>473</v>
      </c>
      <c r="I69" s="17" t="s">
        <v>197</v>
      </c>
      <c r="J69" s="17" t="s">
        <v>474</v>
      </c>
      <c r="K69" s="16"/>
    </row>
  </sheetData>
  <autoFilter ref="A3:K69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7" min="6" style="1" width="14"/>
    <col collapsed="false" customWidth="true" hidden="false" outlineLevel="0" max="8" min="8" style="1" width="38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20" t="s">
        <v>475</v>
      </c>
      <c r="B1" s="20"/>
      <c r="C1" s="20"/>
      <c r="D1" s="20"/>
      <c r="E1" s="20"/>
      <c r="F1" s="20"/>
      <c r="G1" s="20"/>
      <c r="H1" s="20"/>
      <c r="I1" s="20"/>
    </row>
    <row r="3" customFormat="false" ht="14.25" hidden="false" customHeight="true" outlineLevel="0" collapsed="false">
      <c r="A3" s="21" t="s">
        <v>476</v>
      </c>
      <c r="B3" s="21"/>
      <c r="C3" s="21"/>
      <c r="D3" s="21"/>
      <c r="E3" s="21"/>
      <c r="F3" s="21"/>
      <c r="G3" s="21"/>
      <c r="H3" s="21"/>
      <c r="I3" s="21"/>
    </row>
    <row r="4" customFormat="false" ht="15" hidden="false" customHeight="true" outlineLevel="0" collapsed="false">
      <c r="A4" s="15" t="s">
        <v>52</v>
      </c>
      <c r="B4" s="15" t="s">
        <v>477</v>
      </c>
      <c r="C4" s="15" t="s">
        <v>478</v>
      </c>
      <c r="D4" s="15" t="s">
        <v>479</v>
      </c>
      <c r="E4" s="15" t="s">
        <v>480</v>
      </c>
      <c r="F4" s="14" t="s">
        <v>481</v>
      </c>
      <c r="G4" s="15" t="s">
        <v>482</v>
      </c>
      <c r="H4" s="15" t="s">
        <v>60</v>
      </c>
      <c r="I4" s="15" t="s">
        <v>483</v>
      </c>
    </row>
    <row r="5" customFormat="false" ht="23.25" hidden="false" customHeight="true" outlineLevel="0" collapsed="false">
      <c r="A5" s="16" t="s">
        <v>62</v>
      </c>
      <c r="B5" s="17" t="s">
        <v>484</v>
      </c>
      <c r="C5" s="16" t="s">
        <v>485</v>
      </c>
      <c r="D5" s="17" t="s">
        <v>486</v>
      </c>
      <c r="E5" s="17" t="s">
        <v>487</v>
      </c>
      <c r="F5" s="17" t="s">
        <v>488</v>
      </c>
      <c r="G5" s="17" t="s">
        <v>489</v>
      </c>
      <c r="H5" s="17" t="s">
        <v>490</v>
      </c>
      <c r="I5" s="16" t="s">
        <v>491</v>
      </c>
    </row>
    <row r="6" customFormat="false" ht="23.25" hidden="false" customHeight="true" outlineLevel="0" collapsed="false">
      <c r="A6" s="22" t="s">
        <v>71</v>
      </c>
      <c r="B6" s="23" t="s">
        <v>492</v>
      </c>
      <c r="C6" s="22" t="s">
        <v>493</v>
      </c>
      <c r="D6" s="23" t="s">
        <v>494</v>
      </c>
      <c r="E6" s="23" t="s">
        <v>495</v>
      </c>
      <c r="F6" s="23" t="s">
        <v>496</v>
      </c>
      <c r="G6" s="23" t="s">
        <v>497</v>
      </c>
      <c r="H6" s="22" t="s">
        <v>498</v>
      </c>
      <c r="I6" s="22" t="s">
        <v>499</v>
      </c>
    </row>
    <row r="7" customFormat="false" ht="15" hidden="false" customHeight="true" outlineLevel="0" collapsed="false">
      <c r="A7" s="16" t="s">
        <v>500</v>
      </c>
      <c r="B7" s="17" t="s">
        <v>492</v>
      </c>
      <c r="C7" s="16" t="s">
        <v>501</v>
      </c>
      <c r="D7" s="16" t="s">
        <v>78</v>
      </c>
      <c r="E7" s="16" t="s">
        <v>81</v>
      </c>
      <c r="F7" s="17" t="s">
        <v>502</v>
      </c>
      <c r="G7" s="17" t="s">
        <v>503</v>
      </c>
      <c r="H7" s="16" t="s">
        <v>82</v>
      </c>
      <c r="I7" s="16" t="s">
        <v>504</v>
      </c>
    </row>
    <row r="8" customFormat="false" ht="23.25" hidden="false" customHeight="true" outlineLevel="0" collapsed="false">
      <c r="A8" s="22" t="s">
        <v>505</v>
      </c>
      <c r="B8" s="23" t="s">
        <v>506</v>
      </c>
      <c r="C8" s="22" t="s">
        <v>85</v>
      </c>
      <c r="D8" s="23" t="s">
        <v>507</v>
      </c>
      <c r="E8" s="22" t="s">
        <v>508</v>
      </c>
      <c r="F8" s="23" t="s">
        <v>509</v>
      </c>
      <c r="G8" s="23" t="s">
        <v>503</v>
      </c>
      <c r="H8" s="23" t="s">
        <v>510</v>
      </c>
      <c r="I8" s="22" t="s">
        <v>511</v>
      </c>
    </row>
    <row r="9" customFormat="false" ht="15" hidden="false" customHeight="true" outlineLevel="0" collapsed="false">
      <c r="A9" s="16" t="s">
        <v>90</v>
      </c>
      <c r="B9" s="17" t="s">
        <v>512</v>
      </c>
      <c r="C9" s="16" t="s">
        <v>513</v>
      </c>
      <c r="D9" s="16" t="s">
        <v>514</v>
      </c>
      <c r="E9" s="16" t="s">
        <v>92</v>
      </c>
      <c r="F9" s="17" t="s">
        <v>515</v>
      </c>
      <c r="G9" s="17" t="s">
        <v>503</v>
      </c>
      <c r="H9" s="16" t="s">
        <v>516</v>
      </c>
      <c r="I9" s="16" t="s">
        <v>517</v>
      </c>
    </row>
    <row r="10" customFormat="false" ht="23.25" hidden="false" customHeight="true" outlineLevel="0" collapsed="false">
      <c r="A10" s="22" t="s">
        <v>95</v>
      </c>
      <c r="B10" s="23" t="s">
        <v>96</v>
      </c>
      <c r="C10" s="23" t="s">
        <v>518</v>
      </c>
      <c r="D10" s="23" t="s">
        <v>519</v>
      </c>
      <c r="E10" s="22" t="s">
        <v>99</v>
      </c>
      <c r="F10" s="23" t="s">
        <v>520</v>
      </c>
      <c r="G10" s="23" t="s">
        <v>196</v>
      </c>
      <c r="H10" s="23" t="s">
        <v>521</v>
      </c>
      <c r="I10" s="22" t="s">
        <v>522</v>
      </c>
    </row>
    <row r="11" customFormat="false" ht="15" hidden="false" customHeight="true" outlineLevel="0" collapsed="false">
      <c r="A11" s="16" t="s">
        <v>523</v>
      </c>
      <c r="B11" s="17" t="s">
        <v>96</v>
      </c>
      <c r="C11" s="17" t="s">
        <v>524</v>
      </c>
      <c r="D11" s="16" t="s">
        <v>525</v>
      </c>
      <c r="E11" s="17" t="s">
        <v>526</v>
      </c>
      <c r="F11" s="16" t="s">
        <v>514</v>
      </c>
      <c r="G11" s="16" t="s">
        <v>514</v>
      </c>
      <c r="H11" s="17" t="s">
        <v>527</v>
      </c>
      <c r="I11" s="16" t="s">
        <v>514</v>
      </c>
    </row>
    <row r="12" customFormat="false" ht="23.25" hidden="false" customHeight="true" outlineLevel="0" collapsed="false">
      <c r="A12" s="22" t="s">
        <v>528</v>
      </c>
      <c r="B12" s="23" t="s">
        <v>529</v>
      </c>
      <c r="C12" s="22" t="s">
        <v>530</v>
      </c>
      <c r="D12" s="22" t="s">
        <v>78</v>
      </c>
      <c r="E12" s="22" t="s">
        <v>531</v>
      </c>
      <c r="F12" s="23" t="s">
        <v>532</v>
      </c>
      <c r="G12" s="23" t="s">
        <v>503</v>
      </c>
      <c r="H12" s="22" t="s">
        <v>533</v>
      </c>
      <c r="I12" s="22" t="s">
        <v>534</v>
      </c>
    </row>
    <row r="14" customFormat="false" ht="14.25" hidden="false" customHeight="true" outlineLevel="0" collapsed="false">
      <c r="A14" s="24" t="s">
        <v>535</v>
      </c>
      <c r="B14" s="24"/>
      <c r="C14" s="24"/>
      <c r="D14" s="24"/>
      <c r="E14" s="24"/>
      <c r="F14" s="24"/>
      <c r="G14" s="24"/>
      <c r="H14" s="24"/>
      <c r="I14" s="24"/>
    </row>
    <row r="15" customFormat="false" ht="15" hidden="false" customHeight="true" outlineLevel="0" collapsed="false">
      <c r="A15" s="15" t="s">
        <v>52</v>
      </c>
      <c r="B15" s="15" t="s">
        <v>477</v>
      </c>
      <c r="C15" s="15" t="s">
        <v>536</v>
      </c>
      <c r="D15" s="15" t="s">
        <v>537</v>
      </c>
      <c r="E15" s="15" t="s">
        <v>480</v>
      </c>
      <c r="F15" s="14" t="s">
        <v>538</v>
      </c>
      <c r="G15" s="14" t="s">
        <v>539</v>
      </c>
      <c r="H15" s="15" t="s">
        <v>60</v>
      </c>
      <c r="I15" s="15" t="s">
        <v>540</v>
      </c>
    </row>
    <row r="16" customFormat="false" ht="23.25" hidden="false" customHeight="true" outlineLevel="0" collapsed="false">
      <c r="A16" s="16" t="s">
        <v>101</v>
      </c>
      <c r="B16" s="17" t="s">
        <v>541</v>
      </c>
      <c r="C16" s="16" t="s">
        <v>542</v>
      </c>
      <c r="D16" s="16" t="s">
        <v>543</v>
      </c>
      <c r="E16" s="17" t="s">
        <v>544</v>
      </c>
      <c r="F16" s="16" t="s">
        <v>78</v>
      </c>
      <c r="G16" s="16" t="s">
        <v>545</v>
      </c>
      <c r="H16" s="17" t="s">
        <v>546</v>
      </c>
      <c r="I16" s="16" t="s">
        <v>547</v>
      </c>
    </row>
    <row r="17" customFormat="false" ht="15" hidden="false" customHeight="true" outlineLevel="0" collapsed="false">
      <c r="A17" s="22" t="s">
        <v>548</v>
      </c>
      <c r="B17" s="23" t="s">
        <v>541</v>
      </c>
      <c r="C17" s="23" t="s">
        <v>549</v>
      </c>
      <c r="D17" s="22" t="s">
        <v>550</v>
      </c>
      <c r="E17" s="22" t="s">
        <v>112</v>
      </c>
      <c r="F17" s="22" t="s">
        <v>78</v>
      </c>
      <c r="G17" s="23" t="s">
        <v>304</v>
      </c>
      <c r="H17" s="23" t="s">
        <v>551</v>
      </c>
      <c r="I17" s="22" t="s">
        <v>552</v>
      </c>
    </row>
    <row r="18" customFormat="false" ht="15" hidden="false" customHeight="true" outlineLevel="0" collapsed="false">
      <c r="A18" s="16" t="s">
        <v>114</v>
      </c>
      <c r="B18" s="17" t="s">
        <v>541</v>
      </c>
      <c r="C18" s="17" t="s">
        <v>553</v>
      </c>
      <c r="D18" s="16" t="s">
        <v>554</v>
      </c>
      <c r="E18" s="16" t="s">
        <v>555</v>
      </c>
      <c r="F18" s="16" t="s">
        <v>78</v>
      </c>
      <c r="G18" s="16" t="s">
        <v>78</v>
      </c>
      <c r="H18" s="17" t="s">
        <v>118</v>
      </c>
      <c r="I18" s="16" t="s">
        <v>556</v>
      </c>
    </row>
    <row r="19" customFormat="false" ht="15" hidden="false" customHeight="true" outlineLevel="0" collapsed="false">
      <c r="A19" s="22" t="s">
        <v>557</v>
      </c>
      <c r="B19" s="23" t="s">
        <v>541</v>
      </c>
      <c r="C19" s="23" t="s">
        <v>98</v>
      </c>
      <c r="D19" s="22" t="s">
        <v>554</v>
      </c>
      <c r="E19" s="22" t="s">
        <v>558</v>
      </c>
      <c r="F19" s="22" t="s">
        <v>78</v>
      </c>
      <c r="G19" s="23" t="s">
        <v>304</v>
      </c>
      <c r="H19" s="22" t="s">
        <v>559</v>
      </c>
      <c r="I19" s="22" t="s">
        <v>560</v>
      </c>
    </row>
    <row r="20" customFormat="false" ht="15" hidden="false" customHeight="true" outlineLevel="0" collapsed="false">
      <c r="A20" s="16" t="s">
        <v>561</v>
      </c>
      <c r="B20" s="16" t="s">
        <v>562</v>
      </c>
      <c r="C20" s="16" t="s">
        <v>563</v>
      </c>
      <c r="D20" s="16" t="s">
        <v>514</v>
      </c>
      <c r="E20" s="17" t="s">
        <v>564</v>
      </c>
      <c r="F20" s="16" t="s">
        <v>78</v>
      </c>
      <c r="G20" s="16" t="s">
        <v>78</v>
      </c>
      <c r="H20" s="16" t="s">
        <v>565</v>
      </c>
      <c r="I20" s="16" t="s">
        <v>566</v>
      </c>
    </row>
    <row r="21" customFormat="false" ht="15" hidden="false" customHeight="true" outlineLevel="0" collapsed="false">
      <c r="A21" s="22" t="s">
        <v>119</v>
      </c>
      <c r="B21" s="23" t="s">
        <v>567</v>
      </c>
      <c r="C21" s="22" t="s">
        <v>568</v>
      </c>
      <c r="D21" s="22" t="s">
        <v>514</v>
      </c>
      <c r="E21" s="22" t="s">
        <v>569</v>
      </c>
      <c r="F21" s="23" t="s">
        <v>570</v>
      </c>
      <c r="G21" s="22" t="s">
        <v>514</v>
      </c>
      <c r="H21" s="23" t="s">
        <v>571</v>
      </c>
      <c r="I21" s="22" t="s">
        <v>572</v>
      </c>
    </row>
    <row r="22" customFormat="false" ht="15" hidden="false" customHeight="true" outlineLevel="0" collapsed="false">
      <c r="A22" s="17" t="s">
        <v>573</v>
      </c>
      <c r="B22" s="17" t="s">
        <v>574</v>
      </c>
      <c r="C22" s="17" t="s">
        <v>98</v>
      </c>
      <c r="D22" s="16" t="s">
        <v>575</v>
      </c>
      <c r="E22" s="17" t="s">
        <v>576</v>
      </c>
      <c r="F22" s="17" t="s">
        <v>577</v>
      </c>
      <c r="G22" s="17" t="s">
        <v>304</v>
      </c>
      <c r="H22" s="17" t="s">
        <v>578</v>
      </c>
      <c r="I22" s="16" t="s">
        <v>579</v>
      </c>
    </row>
    <row r="23" customFormat="false" ht="15" hidden="false" customHeight="true" outlineLevel="0" collapsed="false">
      <c r="A23" s="22" t="s">
        <v>580</v>
      </c>
      <c r="B23" s="23" t="s">
        <v>574</v>
      </c>
      <c r="C23" s="23" t="s">
        <v>98</v>
      </c>
      <c r="D23" s="22" t="s">
        <v>575</v>
      </c>
      <c r="E23" s="23" t="s">
        <v>581</v>
      </c>
      <c r="F23" s="23" t="s">
        <v>577</v>
      </c>
      <c r="G23" s="23" t="s">
        <v>304</v>
      </c>
      <c r="H23" s="23" t="s">
        <v>582</v>
      </c>
      <c r="I23" s="22" t="s">
        <v>583</v>
      </c>
    </row>
    <row r="24" customFormat="false" ht="15" hidden="false" customHeight="true" outlineLevel="0" collapsed="false">
      <c r="A24" s="17" t="s">
        <v>584</v>
      </c>
      <c r="B24" s="17" t="s">
        <v>574</v>
      </c>
      <c r="C24" s="17" t="s">
        <v>98</v>
      </c>
      <c r="D24" s="16" t="s">
        <v>575</v>
      </c>
      <c r="E24" s="17" t="s">
        <v>581</v>
      </c>
      <c r="F24" s="17" t="s">
        <v>577</v>
      </c>
      <c r="G24" s="17" t="s">
        <v>304</v>
      </c>
      <c r="H24" s="17" t="s">
        <v>585</v>
      </c>
      <c r="I24" s="16" t="s">
        <v>586</v>
      </c>
    </row>
    <row r="25" customFormat="false" ht="15" hidden="false" customHeight="true" outlineLevel="0" collapsed="false">
      <c r="A25" s="22" t="s">
        <v>587</v>
      </c>
      <c r="B25" s="23" t="s">
        <v>574</v>
      </c>
      <c r="C25" s="23" t="s">
        <v>98</v>
      </c>
      <c r="D25" s="22" t="s">
        <v>575</v>
      </c>
      <c r="E25" s="23" t="s">
        <v>581</v>
      </c>
      <c r="F25" s="22" t="s">
        <v>588</v>
      </c>
      <c r="G25" s="23" t="s">
        <v>304</v>
      </c>
      <c r="H25" s="23" t="s">
        <v>589</v>
      </c>
      <c r="I25" s="22" t="s">
        <v>590</v>
      </c>
    </row>
    <row r="27" customFormat="false" ht="14.25" hidden="false" customHeight="true" outlineLevel="0" collapsed="false">
      <c r="A27" s="24" t="s">
        <v>591</v>
      </c>
      <c r="B27" s="24"/>
      <c r="C27" s="24"/>
      <c r="D27" s="24"/>
      <c r="E27" s="24"/>
      <c r="F27" s="24"/>
      <c r="G27" s="24"/>
      <c r="H27" s="24"/>
      <c r="I27" s="24"/>
    </row>
    <row r="28" customFormat="false" ht="27.75" hidden="false" customHeight="true" outlineLevel="0" collapsed="false">
      <c r="A28" s="15" t="s">
        <v>52</v>
      </c>
      <c r="B28" s="15" t="s">
        <v>477</v>
      </c>
      <c r="C28" s="15" t="s">
        <v>478</v>
      </c>
      <c r="D28" s="15" t="s">
        <v>592</v>
      </c>
      <c r="E28" s="15" t="s">
        <v>480</v>
      </c>
      <c r="F28" s="14" t="s">
        <v>593</v>
      </c>
      <c r="G28" s="15" t="s">
        <v>594</v>
      </c>
      <c r="H28" s="15" t="s">
        <v>60</v>
      </c>
      <c r="I28" s="15" t="s">
        <v>540</v>
      </c>
    </row>
    <row r="29" customFormat="false" ht="15" hidden="false" customHeight="true" outlineLevel="0" collapsed="false">
      <c r="A29" s="16" t="s">
        <v>595</v>
      </c>
      <c r="B29" s="17" t="s">
        <v>596</v>
      </c>
      <c r="C29" s="17" t="s">
        <v>128</v>
      </c>
      <c r="D29" s="16" t="s">
        <v>134</v>
      </c>
      <c r="E29" s="17" t="s">
        <v>130</v>
      </c>
      <c r="F29" s="16" t="s">
        <v>597</v>
      </c>
      <c r="G29" s="17" t="s">
        <v>598</v>
      </c>
      <c r="H29" s="17" t="s">
        <v>599</v>
      </c>
      <c r="I29" s="16" t="s">
        <v>600</v>
      </c>
    </row>
    <row r="30" customFormat="false" ht="15" hidden="false" customHeight="true" outlineLevel="0" collapsed="false">
      <c r="A30" s="22" t="s">
        <v>601</v>
      </c>
      <c r="B30" s="23" t="s">
        <v>596</v>
      </c>
      <c r="C30" s="23" t="s">
        <v>98</v>
      </c>
      <c r="D30" s="22" t="s">
        <v>602</v>
      </c>
      <c r="E30" s="23" t="s">
        <v>130</v>
      </c>
      <c r="F30" s="23" t="s">
        <v>603</v>
      </c>
      <c r="G30" s="23" t="s">
        <v>604</v>
      </c>
      <c r="H30" s="22" t="s">
        <v>605</v>
      </c>
      <c r="I30" s="22" t="s">
        <v>606</v>
      </c>
    </row>
    <row r="31" customFormat="false" ht="15" hidden="false" customHeight="true" outlineLevel="0" collapsed="false">
      <c r="A31" s="16" t="s">
        <v>132</v>
      </c>
      <c r="B31" s="17" t="s">
        <v>541</v>
      </c>
      <c r="C31" s="17" t="s">
        <v>98</v>
      </c>
      <c r="D31" s="16" t="s">
        <v>146</v>
      </c>
      <c r="E31" s="17" t="s">
        <v>607</v>
      </c>
      <c r="F31" s="16" t="s">
        <v>78</v>
      </c>
      <c r="G31" s="17" t="s">
        <v>196</v>
      </c>
      <c r="H31" s="17" t="s">
        <v>608</v>
      </c>
      <c r="I31" s="16" t="s">
        <v>609</v>
      </c>
    </row>
    <row r="32" customFormat="false" ht="15" hidden="false" customHeight="true" outlineLevel="0" collapsed="false">
      <c r="A32" s="22" t="s">
        <v>610</v>
      </c>
      <c r="B32" s="23" t="s">
        <v>611</v>
      </c>
      <c r="C32" s="23" t="s">
        <v>612</v>
      </c>
      <c r="D32" s="22" t="s">
        <v>613</v>
      </c>
      <c r="E32" s="23" t="s">
        <v>614</v>
      </c>
      <c r="F32" s="23" t="s">
        <v>468</v>
      </c>
      <c r="G32" s="23" t="s">
        <v>196</v>
      </c>
      <c r="H32" s="23" t="s">
        <v>615</v>
      </c>
      <c r="I32" s="22" t="s">
        <v>616</v>
      </c>
    </row>
    <row r="33" customFormat="false" ht="23.25" hidden="false" customHeight="true" outlineLevel="0" collapsed="false">
      <c r="A33" s="16" t="s">
        <v>137</v>
      </c>
      <c r="B33" s="17" t="s">
        <v>617</v>
      </c>
      <c r="C33" s="17" t="s">
        <v>98</v>
      </c>
      <c r="D33" s="16" t="s">
        <v>618</v>
      </c>
      <c r="E33" s="16" t="s">
        <v>619</v>
      </c>
      <c r="F33" s="16" t="s">
        <v>78</v>
      </c>
      <c r="G33" s="16" t="s">
        <v>620</v>
      </c>
      <c r="H33" s="17" t="s">
        <v>621</v>
      </c>
      <c r="I33" s="16" t="s">
        <v>622</v>
      </c>
    </row>
    <row r="34" customFormat="false" ht="15" hidden="false" customHeight="true" outlineLevel="0" collapsed="false">
      <c r="A34" s="22" t="s">
        <v>623</v>
      </c>
      <c r="B34" s="23" t="s">
        <v>624</v>
      </c>
      <c r="C34" s="23" t="s">
        <v>98</v>
      </c>
      <c r="D34" s="22" t="s">
        <v>146</v>
      </c>
      <c r="E34" s="23" t="s">
        <v>625</v>
      </c>
      <c r="F34" s="22" t="s">
        <v>78</v>
      </c>
      <c r="G34" s="23" t="s">
        <v>626</v>
      </c>
      <c r="H34" s="23" t="s">
        <v>627</v>
      </c>
      <c r="I34" s="22" t="s">
        <v>628</v>
      </c>
    </row>
    <row r="35" customFormat="false" ht="15" hidden="false" customHeight="true" outlineLevel="0" collapsed="false">
      <c r="A35" s="16" t="s">
        <v>629</v>
      </c>
      <c r="B35" s="16" t="s">
        <v>630</v>
      </c>
      <c r="C35" s="17" t="s">
        <v>98</v>
      </c>
      <c r="D35" s="17" t="s">
        <v>631</v>
      </c>
      <c r="E35" s="16" t="s">
        <v>632</v>
      </c>
      <c r="F35" s="16" t="s">
        <v>78</v>
      </c>
      <c r="G35" s="17" t="s">
        <v>633</v>
      </c>
      <c r="H35" s="17" t="s">
        <v>634</v>
      </c>
      <c r="I35" s="16" t="s">
        <v>635</v>
      </c>
    </row>
    <row r="37" customFormat="false" ht="14.25" hidden="false" customHeight="true" outlineLevel="0" collapsed="false">
      <c r="A37" s="25" t="s">
        <v>636</v>
      </c>
      <c r="B37" s="25"/>
      <c r="C37" s="25"/>
      <c r="D37" s="25"/>
      <c r="E37" s="25"/>
      <c r="F37" s="25"/>
      <c r="G37" s="25"/>
      <c r="H37" s="25"/>
      <c r="I37" s="25"/>
    </row>
    <row r="38" customFormat="false" ht="15" hidden="false" customHeight="true" outlineLevel="0" collapsed="false">
      <c r="A38" s="15" t="s">
        <v>637</v>
      </c>
      <c r="B38" s="15" t="s">
        <v>638</v>
      </c>
      <c r="C38" s="15" t="s">
        <v>639</v>
      </c>
    </row>
    <row r="39" customFormat="false" ht="34.5" hidden="false" customHeight="true" outlineLevel="0" collapsed="false">
      <c r="A39" s="17" t="s">
        <v>640</v>
      </c>
      <c r="B39" s="16" t="s">
        <v>641</v>
      </c>
      <c r="C39" s="17" t="s">
        <v>642</v>
      </c>
    </row>
    <row r="40" customFormat="false" ht="45.75" hidden="false" customHeight="true" outlineLevel="0" collapsed="false">
      <c r="A40" s="23" t="s">
        <v>643</v>
      </c>
      <c r="B40" s="22" t="s">
        <v>101</v>
      </c>
      <c r="C40" s="22" t="s">
        <v>644</v>
      </c>
    </row>
    <row r="41" customFormat="false" ht="45.75" hidden="false" customHeight="true" outlineLevel="0" collapsed="false">
      <c r="A41" s="17" t="s">
        <v>645</v>
      </c>
      <c r="B41" s="16" t="s">
        <v>646</v>
      </c>
      <c r="C41" s="17" t="s">
        <v>647</v>
      </c>
    </row>
    <row r="42" customFormat="false" ht="23.25" hidden="false" customHeight="true" outlineLevel="0" collapsed="false">
      <c r="A42" s="23" t="s">
        <v>648</v>
      </c>
      <c r="B42" s="22" t="s">
        <v>119</v>
      </c>
      <c r="C42" s="22" t="s">
        <v>649</v>
      </c>
    </row>
    <row r="43" customFormat="false" ht="23.25" hidden="false" customHeight="true" outlineLevel="0" collapsed="false">
      <c r="A43" s="17" t="s">
        <v>650</v>
      </c>
      <c r="B43" s="17" t="s">
        <v>651</v>
      </c>
      <c r="C43" s="16"/>
    </row>
  </sheetData>
  <mergeCells count="5">
    <mergeCell ref="A1:I1"/>
    <mergeCell ref="A3:I3"/>
    <mergeCell ref="A14:I14"/>
    <mergeCell ref="A27:I27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0"/>
    <col collapsed="false" customWidth="true" hidden="false" outlineLevel="0" max="4" min="3" style="1" width="22"/>
    <col collapsed="false" customWidth="true" hidden="false" outlineLevel="0" max="5" min="5" style="1" width="26"/>
    <col collapsed="false" customWidth="true" hidden="false" outlineLevel="0" max="6" min="6" style="1" width="22"/>
    <col collapsed="false" customWidth="true" hidden="false" outlineLevel="0" max="7" min="7" style="1" width="12"/>
    <col collapsed="false" customWidth="true" hidden="false" outlineLevel="0" max="8" min="8" style="1" width="32"/>
    <col collapsed="false" customWidth="true" hidden="false" outlineLevel="0" max="9" min="9" style="1" width="10"/>
  </cols>
  <sheetData>
    <row r="1" customFormat="false" ht="17.25" hidden="false" customHeight="true" outlineLevel="0" collapsed="false">
      <c r="A1" s="20" t="s">
        <v>652</v>
      </c>
      <c r="B1" s="20"/>
      <c r="C1" s="20"/>
      <c r="D1" s="20"/>
      <c r="E1" s="20"/>
      <c r="F1" s="20"/>
      <c r="G1" s="20"/>
      <c r="H1" s="20"/>
      <c r="I1" s="20"/>
      <c r="J1" s="20"/>
    </row>
    <row r="3" customFormat="false" ht="15" hidden="false" customHeight="true" outlineLevel="0" collapsed="false">
      <c r="A3" s="21" t="s">
        <v>653</v>
      </c>
      <c r="B3" s="21"/>
      <c r="C3" s="21"/>
      <c r="D3" s="21"/>
      <c r="E3" s="21"/>
      <c r="F3" s="21"/>
      <c r="G3" s="21"/>
      <c r="H3" s="21"/>
      <c r="I3" s="21"/>
    </row>
    <row r="4" customFormat="false" ht="15" hidden="false" customHeight="true" outlineLevel="0" collapsed="false">
      <c r="A4" s="15" t="s">
        <v>52</v>
      </c>
      <c r="B4" s="15" t="s">
        <v>54</v>
      </c>
      <c r="C4" s="15" t="s">
        <v>654</v>
      </c>
      <c r="D4" s="15" t="s">
        <v>56</v>
      </c>
      <c r="E4" s="15" t="s">
        <v>655</v>
      </c>
      <c r="F4" s="14" t="s">
        <v>58</v>
      </c>
      <c r="G4" s="15" t="s">
        <v>656</v>
      </c>
      <c r="H4" s="15" t="s">
        <v>60</v>
      </c>
      <c r="I4" s="15" t="s">
        <v>61</v>
      </c>
    </row>
    <row r="5" customFormat="false" ht="23.25" hidden="false" customHeight="true" outlineLevel="0" collapsed="false">
      <c r="A5" s="18" t="s">
        <v>657</v>
      </c>
      <c r="B5" s="18" t="s">
        <v>658</v>
      </c>
      <c r="C5" s="18" t="s">
        <v>159</v>
      </c>
      <c r="D5" s="18" t="s">
        <v>659</v>
      </c>
      <c r="E5" s="19" t="s">
        <v>130</v>
      </c>
      <c r="F5" s="18" t="s">
        <v>660</v>
      </c>
      <c r="G5" s="19" t="s">
        <v>167</v>
      </c>
      <c r="H5" s="19" t="s">
        <v>661</v>
      </c>
      <c r="I5" s="18" t="s">
        <v>78</v>
      </c>
    </row>
    <row r="6" customFormat="false" ht="15" hidden="false" customHeight="true" outlineLevel="0" collapsed="false">
      <c r="A6" s="16" t="s">
        <v>163</v>
      </c>
      <c r="B6" s="17" t="s">
        <v>662</v>
      </c>
      <c r="C6" s="16" t="s">
        <v>663</v>
      </c>
      <c r="D6" s="17" t="s">
        <v>166</v>
      </c>
      <c r="E6" s="17" t="s">
        <v>130</v>
      </c>
      <c r="F6" s="16" t="s">
        <v>664</v>
      </c>
      <c r="G6" s="17" t="s">
        <v>167</v>
      </c>
      <c r="H6" s="17" t="s">
        <v>665</v>
      </c>
      <c r="I6" s="16"/>
    </row>
    <row r="7" customFormat="false" ht="15" hidden="false" customHeight="true" outlineLevel="0" collapsed="false">
      <c r="A7" s="16" t="s">
        <v>666</v>
      </c>
      <c r="B7" s="17" t="s">
        <v>667</v>
      </c>
      <c r="C7" s="17" t="s">
        <v>98</v>
      </c>
      <c r="D7" s="17" t="s">
        <v>668</v>
      </c>
      <c r="E7" s="17" t="s">
        <v>130</v>
      </c>
      <c r="F7" s="16" t="s">
        <v>374</v>
      </c>
      <c r="G7" s="17" t="s">
        <v>69</v>
      </c>
      <c r="H7" s="17" t="s">
        <v>669</v>
      </c>
      <c r="I7" s="16"/>
    </row>
    <row r="8" customFormat="false" ht="23.25" hidden="false" customHeight="true" outlineLevel="0" collapsed="false">
      <c r="A8" s="18" t="s">
        <v>169</v>
      </c>
      <c r="B8" s="18" t="s">
        <v>171</v>
      </c>
      <c r="C8" s="19" t="s">
        <v>670</v>
      </c>
      <c r="D8" s="18" t="s">
        <v>671</v>
      </c>
      <c r="E8" s="19" t="s">
        <v>174</v>
      </c>
      <c r="F8" s="18" t="s">
        <v>175</v>
      </c>
      <c r="G8" s="19" t="s">
        <v>69</v>
      </c>
      <c r="H8" s="19" t="s">
        <v>672</v>
      </c>
      <c r="I8" s="18" t="s">
        <v>78</v>
      </c>
    </row>
    <row r="9" customFormat="false" ht="23.25" hidden="false" customHeight="true" outlineLevel="0" collapsed="false">
      <c r="A9" s="18" t="s">
        <v>177</v>
      </c>
      <c r="B9" s="18" t="s">
        <v>673</v>
      </c>
      <c r="C9" s="19" t="s">
        <v>98</v>
      </c>
      <c r="D9" s="18" t="s">
        <v>180</v>
      </c>
      <c r="E9" s="19" t="s">
        <v>130</v>
      </c>
      <c r="F9" s="18" t="s">
        <v>68</v>
      </c>
      <c r="G9" s="19" t="s">
        <v>674</v>
      </c>
      <c r="H9" s="19" t="s">
        <v>675</v>
      </c>
      <c r="I9" s="18" t="s">
        <v>78</v>
      </c>
    </row>
    <row r="11" customFormat="false" ht="15" hidden="false" customHeight="true" outlineLevel="0" collapsed="false">
      <c r="A11" s="21" t="s">
        <v>676</v>
      </c>
      <c r="B11" s="21"/>
      <c r="C11" s="21"/>
      <c r="D11" s="21"/>
      <c r="E11" s="21"/>
      <c r="F11" s="21"/>
      <c r="G11" s="21"/>
      <c r="H11" s="21"/>
      <c r="I11" s="21"/>
    </row>
    <row r="12" customFormat="false" ht="15" hidden="false" customHeight="true" outlineLevel="0" collapsed="false">
      <c r="A12" s="15" t="s">
        <v>52</v>
      </c>
      <c r="B12" s="15" t="s">
        <v>54</v>
      </c>
      <c r="C12" s="15" t="s">
        <v>654</v>
      </c>
      <c r="D12" s="15" t="s">
        <v>56</v>
      </c>
      <c r="E12" s="15" t="s">
        <v>655</v>
      </c>
      <c r="F12" s="14" t="s">
        <v>58</v>
      </c>
      <c r="G12" s="15" t="s">
        <v>656</v>
      </c>
      <c r="H12" s="15" t="s">
        <v>60</v>
      </c>
      <c r="I12" s="15" t="s">
        <v>61</v>
      </c>
    </row>
    <row r="13" customFormat="false" ht="15" hidden="false" customHeight="true" outlineLevel="0" collapsed="false">
      <c r="A13" s="16" t="s">
        <v>677</v>
      </c>
      <c r="B13" s="16" t="s">
        <v>678</v>
      </c>
      <c r="C13" s="17" t="s">
        <v>193</v>
      </c>
      <c r="D13" s="17" t="s">
        <v>679</v>
      </c>
      <c r="E13" s="17" t="s">
        <v>130</v>
      </c>
      <c r="F13" s="17" t="s">
        <v>196</v>
      </c>
      <c r="G13" s="17" t="s">
        <v>197</v>
      </c>
      <c r="H13" s="17" t="s">
        <v>198</v>
      </c>
      <c r="I13" s="16"/>
    </row>
    <row r="14" customFormat="false" ht="23.25" hidden="false" customHeight="true" outlineLevel="0" collapsed="false">
      <c r="A14" s="16" t="s">
        <v>199</v>
      </c>
      <c r="B14" s="17" t="s">
        <v>680</v>
      </c>
      <c r="C14" s="17" t="s">
        <v>232</v>
      </c>
      <c r="D14" s="16" t="s">
        <v>681</v>
      </c>
      <c r="E14" s="16" t="s">
        <v>682</v>
      </c>
      <c r="F14" s="16" t="s">
        <v>683</v>
      </c>
      <c r="G14" s="17" t="s">
        <v>205</v>
      </c>
      <c r="H14" s="17" t="s">
        <v>684</v>
      </c>
      <c r="I14" s="16"/>
    </row>
    <row r="15" customFormat="false" ht="15" hidden="false" customHeight="true" outlineLevel="0" collapsed="false">
      <c r="A15" s="16" t="s">
        <v>685</v>
      </c>
      <c r="B15" s="16" t="s">
        <v>686</v>
      </c>
      <c r="C15" s="17" t="s">
        <v>549</v>
      </c>
      <c r="D15" s="17" t="s">
        <v>687</v>
      </c>
      <c r="E15" s="17" t="s">
        <v>130</v>
      </c>
      <c r="F15" s="17" t="s">
        <v>196</v>
      </c>
      <c r="G15" s="17" t="s">
        <v>688</v>
      </c>
      <c r="H15" s="17" t="s">
        <v>689</v>
      </c>
      <c r="I15" s="16"/>
    </row>
    <row r="16" customFormat="false" ht="15" hidden="false" customHeight="true" outlineLevel="0" collapsed="false">
      <c r="A16" s="16" t="s">
        <v>207</v>
      </c>
      <c r="B16" s="17" t="s">
        <v>208</v>
      </c>
      <c r="C16" s="17" t="s">
        <v>98</v>
      </c>
      <c r="D16" s="17" t="s">
        <v>690</v>
      </c>
      <c r="E16" s="17" t="s">
        <v>130</v>
      </c>
      <c r="F16" s="17" t="s">
        <v>196</v>
      </c>
      <c r="G16" s="17" t="s">
        <v>197</v>
      </c>
      <c r="H16" s="17" t="s">
        <v>211</v>
      </c>
      <c r="I16" s="16"/>
    </row>
    <row r="17" customFormat="false" ht="15" hidden="false" customHeight="true" outlineLevel="0" collapsed="false">
      <c r="A17" s="16" t="s">
        <v>691</v>
      </c>
      <c r="B17" s="16" t="s">
        <v>692</v>
      </c>
      <c r="C17" s="17" t="s">
        <v>98</v>
      </c>
      <c r="D17" s="16" t="s">
        <v>693</v>
      </c>
      <c r="E17" s="17" t="s">
        <v>130</v>
      </c>
      <c r="F17" s="17" t="s">
        <v>196</v>
      </c>
      <c r="G17" s="17" t="s">
        <v>197</v>
      </c>
      <c r="H17" s="17" t="s">
        <v>694</v>
      </c>
      <c r="I17" s="16"/>
    </row>
    <row r="18" customFormat="false" ht="23.25" hidden="false" customHeight="true" outlineLevel="0" collapsed="false">
      <c r="A18" s="16" t="s">
        <v>212</v>
      </c>
      <c r="B18" s="16" t="s">
        <v>695</v>
      </c>
      <c r="C18" s="16" t="s">
        <v>696</v>
      </c>
      <c r="D18" s="16" t="s">
        <v>215</v>
      </c>
      <c r="E18" s="17" t="s">
        <v>697</v>
      </c>
      <c r="F18" s="16" t="s">
        <v>68</v>
      </c>
      <c r="G18" s="17" t="s">
        <v>205</v>
      </c>
      <c r="H18" s="16" t="s">
        <v>698</v>
      </c>
      <c r="I18" s="16"/>
    </row>
    <row r="19" customFormat="false" ht="15" hidden="false" customHeight="true" outlineLevel="0" collapsed="false">
      <c r="A19" s="16" t="s">
        <v>218</v>
      </c>
      <c r="B19" s="17" t="s">
        <v>699</v>
      </c>
      <c r="C19" s="17" t="s">
        <v>98</v>
      </c>
      <c r="D19" s="17" t="s">
        <v>700</v>
      </c>
      <c r="E19" s="16" t="s">
        <v>701</v>
      </c>
      <c r="F19" s="16" t="s">
        <v>68</v>
      </c>
      <c r="G19" s="17" t="s">
        <v>69</v>
      </c>
      <c r="H19" s="17" t="s">
        <v>223</v>
      </c>
      <c r="I19" s="16"/>
    </row>
    <row r="20" customFormat="false" ht="15" hidden="false" customHeight="true" outlineLevel="0" collapsed="false">
      <c r="A20" s="16" t="s">
        <v>224</v>
      </c>
      <c r="B20" s="16" t="s">
        <v>225</v>
      </c>
      <c r="C20" s="17" t="s">
        <v>98</v>
      </c>
      <c r="D20" s="17" t="s">
        <v>226</v>
      </c>
      <c r="E20" s="16" t="s">
        <v>227</v>
      </c>
      <c r="F20" s="16" t="s">
        <v>68</v>
      </c>
      <c r="G20" s="17" t="s">
        <v>69</v>
      </c>
      <c r="H20" s="17" t="s">
        <v>702</v>
      </c>
      <c r="I20" s="16"/>
    </row>
    <row r="21" customFormat="false" ht="15" hidden="false" customHeight="true" outlineLevel="0" collapsed="false">
      <c r="A21" s="16" t="s">
        <v>703</v>
      </c>
      <c r="B21" s="16" t="s">
        <v>704</v>
      </c>
      <c r="C21" s="17" t="s">
        <v>98</v>
      </c>
      <c r="D21" s="17" t="s">
        <v>705</v>
      </c>
      <c r="E21" s="17" t="s">
        <v>130</v>
      </c>
      <c r="F21" s="17" t="s">
        <v>196</v>
      </c>
      <c r="G21" s="17" t="s">
        <v>197</v>
      </c>
      <c r="H21" s="16" t="s">
        <v>706</v>
      </c>
      <c r="I21" s="16"/>
    </row>
    <row r="23" customFormat="false" ht="15" hidden="false" customHeight="true" outlineLevel="0" collapsed="false">
      <c r="A23" s="21" t="s">
        <v>707</v>
      </c>
      <c r="B23" s="21"/>
      <c r="C23" s="21"/>
      <c r="D23" s="21"/>
      <c r="E23" s="21"/>
      <c r="F23" s="21"/>
      <c r="G23" s="21"/>
      <c r="H23" s="21"/>
      <c r="I23" s="21"/>
    </row>
    <row r="24" customFormat="false" ht="15" hidden="false" customHeight="true" outlineLevel="0" collapsed="false">
      <c r="A24" s="15" t="s">
        <v>52</v>
      </c>
      <c r="B24" s="15" t="s">
        <v>54</v>
      </c>
      <c r="C24" s="15" t="s">
        <v>654</v>
      </c>
      <c r="D24" s="15" t="s">
        <v>56</v>
      </c>
      <c r="E24" s="15" t="s">
        <v>655</v>
      </c>
      <c r="F24" s="14" t="s">
        <v>58</v>
      </c>
      <c r="G24" s="15" t="s">
        <v>656</v>
      </c>
      <c r="H24" s="15" t="s">
        <v>60</v>
      </c>
      <c r="I24" s="15" t="s">
        <v>61</v>
      </c>
    </row>
    <row r="25" customFormat="false" ht="15" hidden="false" customHeight="true" outlineLevel="0" collapsed="false">
      <c r="A25" s="16" t="s">
        <v>229</v>
      </c>
      <c r="B25" s="17" t="s">
        <v>708</v>
      </c>
      <c r="C25" s="17" t="s">
        <v>232</v>
      </c>
      <c r="D25" s="17" t="s">
        <v>233</v>
      </c>
      <c r="E25" s="16" t="s">
        <v>709</v>
      </c>
      <c r="F25" s="16" t="s">
        <v>710</v>
      </c>
      <c r="G25" s="17" t="s">
        <v>236</v>
      </c>
      <c r="H25" s="17" t="s">
        <v>711</v>
      </c>
      <c r="I25" s="16"/>
    </row>
    <row r="26" customFormat="false" ht="15" hidden="false" customHeight="true" outlineLevel="0" collapsed="false">
      <c r="A26" s="16" t="s">
        <v>712</v>
      </c>
      <c r="B26" s="17" t="s">
        <v>713</v>
      </c>
      <c r="C26" s="17" t="s">
        <v>714</v>
      </c>
      <c r="D26" s="17" t="s">
        <v>247</v>
      </c>
      <c r="E26" s="16" t="s">
        <v>715</v>
      </c>
      <c r="F26" s="16" t="s">
        <v>68</v>
      </c>
      <c r="G26" s="17" t="s">
        <v>236</v>
      </c>
      <c r="H26" s="16" t="s">
        <v>716</v>
      </c>
      <c r="I26" s="16"/>
    </row>
    <row r="27" customFormat="false" ht="15" hidden="false" customHeight="true" outlineLevel="0" collapsed="false">
      <c r="A27" s="18" t="s">
        <v>238</v>
      </c>
      <c r="B27" s="18" t="s">
        <v>717</v>
      </c>
      <c r="C27" s="18" t="s">
        <v>240</v>
      </c>
      <c r="D27" s="19" t="s">
        <v>718</v>
      </c>
      <c r="E27" s="18" t="s">
        <v>242</v>
      </c>
      <c r="F27" s="19" t="s">
        <v>196</v>
      </c>
      <c r="G27" s="19" t="s">
        <v>69</v>
      </c>
      <c r="H27" s="19" t="s">
        <v>719</v>
      </c>
      <c r="I27" s="18" t="s">
        <v>78</v>
      </c>
    </row>
    <row r="28" customFormat="false" ht="15" hidden="false" customHeight="true" outlineLevel="0" collapsed="false">
      <c r="A28" s="16" t="s">
        <v>244</v>
      </c>
      <c r="B28" s="16" t="s">
        <v>245</v>
      </c>
      <c r="C28" s="16" t="s">
        <v>246</v>
      </c>
      <c r="D28" s="17" t="s">
        <v>247</v>
      </c>
      <c r="E28" s="16" t="s">
        <v>248</v>
      </c>
      <c r="F28" s="17" t="s">
        <v>196</v>
      </c>
      <c r="G28" s="17" t="s">
        <v>69</v>
      </c>
      <c r="H28" s="17" t="s">
        <v>249</v>
      </c>
      <c r="I28" s="16"/>
    </row>
    <row r="29" customFormat="false" ht="15" hidden="false" customHeight="true" outlineLevel="0" collapsed="false">
      <c r="A29" s="16" t="s">
        <v>250</v>
      </c>
      <c r="B29" s="16" t="s">
        <v>720</v>
      </c>
      <c r="C29" s="17" t="s">
        <v>98</v>
      </c>
      <c r="D29" s="17" t="s">
        <v>252</v>
      </c>
      <c r="E29" s="16" t="s">
        <v>253</v>
      </c>
      <c r="F29" s="17" t="s">
        <v>196</v>
      </c>
      <c r="G29" s="17" t="s">
        <v>69</v>
      </c>
      <c r="H29" s="17" t="s">
        <v>721</v>
      </c>
      <c r="I29" s="16"/>
    </row>
    <row r="30" customFormat="false" ht="15" hidden="false" customHeight="true" outlineLevel="0" collapsed="false">
      <c r="A30" s="16" t="s">
        <v>722</v>
      </c>
      <c r="B30" s="16" t="s">
        <v>723</v>
      </c>
      <c r="C30" s="17" t="s">
        <v>98</v>
      </c>
      <c r="D30" s="17" t="s">
        <v>724</v>
      </c>
      <c r="E30" s="16" t="s">
        <v>725</v>
      </c>
      <c r="F30" s="17" t="s">
        <v>196</v>
      </c>
      <c r="G30" s="17" t="s">
        <v>69</v>
      </c>
      <c r="H30" s="16" t="s">
        <v>726</v>
      </c>
      <c r="I30" s="16"/>
    </row>
    <row r="31" customFormat="false" ht="23.25" hidden="false" customHeight="true" outlineLevel="0" collapsed="false">
      <c r="A31" s="16" t="s">
        <v>255</v>
      </c>
      <c r="B31" s="16" t="s">
        <v>256</v>
      </c>
      <c r="C31" s="16" t="s">
        <v>727</v>
      </c>
      <c r="D31" s="16" t="s">
        <v>258</v>
      </c>
      <c r="E31" s="16" t="s">
        <v>259</v>
      </c>
      <c r="F31" s="17" t="s">
        <v>196</v>
      </c>
      <c r="G31" s="17" t="s">
        <v>69</v>
      </c>
      <c r="H31" s="17" t="s">
        <v>728</v>
      </c>
      <c r="I31" s="16"/>
    </row>
    <row r="32" customFormat="false" ht="15" hidden="false" customHeight="true" outlineLevel="0" collapsed="false">
      <c r="A32" s="16" t="s">
        <v>729</v>
      </c>
      <c r="B32" s="17" t="s">
        <v>730</v>
      </c>
      <c r="C32" s="17" t="s">
        <v>98</v>
      </c>
      <c r="D32" s="16" t="s">
        <v>258</v>
      </c>
      <c r="E32" s="16" t="s">
        <v>731</v>
      </c>
      <c r="F32" s="17" t="s">
        <v>196</v>
      </c>
      <c r="G32" s="17" t="s">
        <v>69</v>
      </c>
      <c r="H32" s="16" t="s">
        <v>732</v>
      </c>
      <c r="I32" s="16"/>
    </row>
    <row r="34" customFormat="false" ht="15" hidden="false" customHeight="true" outlineLevel="0" collapsed="false">
      <c r="A34" s="25" t="s">
        <v>733</v>
      </c>
      <c r="B34" s="25"/>
      <c r="C34" s="25"/>
      <c r="D34" s="25"/>
      <c r="E34" s="25"/>
      <c r="F34" s="25"/>
      <c r="G34" s="25"/>
      <c r="H34" s="25"/>
      <c r="I34" s="25"/>
    </row>
    <row r="35" customFormat="false" ht="15" hidden="false" customHeight="true" outlineLevel="0" collapsed="false">
      <c r="A35" s="15" t="s">
        <v>734</v>
      </c>
      <c r="B35" s="15" t="s">
        <v>52</v>
      </c>
      <c r="C35" s="15" t="s">
        <v>735</v>
      </c>
      <c r="D35" s="15" t="s">
        <v>736</v>
      </c>
    </row>
    <row r="36" customFormat="false" ht="23.25" hidden="false" customHeight="true" outlineLevel="0" collapsed="false">
      <c r="A36" s="16" t="s">
        <v>737</v>
      </c>
      <c r="B36" s="16" t="s">
        <v>156</v>
      </c>
      <c r="C36" s="16" t="s">
        <v>738</v>
      </c>
      <c r="D36" s="17" t="s">
        <v>739</v>
      </c>
    </row>
    <row r="37" customFormat="false" ht="15" hidden="false" customHeight="true" outlineLevel="0" collapsed="false">
      <c r="A37" s="22" t="s">
        <v>737</v>
      </c>
      <c r="B37" s="22" t="s">
        <v>740</v>
      </c>
      <c r="C37" s="22" t="s">
        <v>741</v>
      </c>
      <c r="D37" s="22" t="s">
        <v>742</v>
      </c>
    </row>
    <row r="38" customFormat="false" ht="23.25" hidden="false" customHeight="true" outlineLevel="0" collapsed="false">
      <c r="A38" s="16" t="s">
        <v>737</v>
      </c>
      <c r="B38" s="16" t="s">
        <v>743</v>
      </c>
      <c r="C38" s="16" t="s">
        <v>738</v>
      </c>
      <c r="D38" s="17" t="s">
        <v>744</v>
      </c>
    </row>
    <row r="39" customFormat="false" ht="15" hidden="false" customHeight="true" outlineLevel="0" collapsed="false">
      <c r="A39" s="22" t="s">
        <v>745</v>
      </c>
      <c r="B39" s="22" t="s">
        <v>238</v>
      </c>
      <c r="C39" s="22" t="s">
        <v>746</v>
      </c>
      <c r="D39" s="22" t="s">
        <v>747</v>
      </c>
    </row>
    <row r="40" customFormat="false" ht="23.25" hidden="false" customHeight="true" outlineLevel="0" collapsed="false">
      <c r="A40" s="16" t="s">
        <v>748</v>
      </c>
      <c r="B40" s="16" t="s">
        <v>749</v>
      </c>
      <c r="C40" s="16" t="s">
        <v>750</v>
      </c>
      <c r="D40" s="17" t="s">
        <v>751</v>
      </c>
    </row>
    <row r="41" customFormat="false" ht="23.25" hidden="false" customHeight="true" outlineLevel="0" collapsed="false">
      <c r="A41" s="23" t="s">
        <v>752</v>
      </c>
      <c r="B41" s="22" t="s">
        <v>514</v>
      </c>
      <c r="C41" s="23" t="s">
        <v>753</v>
      </c>
      <c r="D41" s="23" t="s">
        <v>754</v>
      </c>
    </row>
  </sheetData>
  <mergeCells count="5">
    <mergeCell ref="A1:J1"/>
    <mergeCell ref="A3:I3"/>
    <mergeCell ref="A11:I11"/>
    <mergeCell ref="A23:I23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5" min="4" style="1" width="22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30"/>
    <col collapsed="false" customWidth="true" hidden="false" outlineLevel="0" max="10" min="10" style="1" width="8"/>
  </cols>
  <sheetData>
    <row r="1" customFormat="false" ht="17.25" hidden="false" customHeight="true" outlineLevel="0" collapsed="false">
      <c r="A1" s="20" t="s">
        <v>755</v>
      </c>
      <c r="B1" s="20"/>
      <c r="C1" s="20"/>
      <c r="D1" s="20"/>
      <c r="E1" s="20"/>
      <c r="F1" s="20"/>
      <c r="G1" s="20"/>
      <c r="H1" s="20"/>
      <c r="I1" s="20"/>
      <c r="J1" s="20"/>
    </row>
    <row r="3" customFormat="false" ht="14.25" hidden="false" customHeight="true" outlineLevel="0" collapsed="false">
      <c r="A3" s="21" t="s">
        <v>756</v>
      </c>
      <c r="B3" s="21"/>
      <c r="C3" s="21"/>
      <c r="D3" s="21"/>
      <c r="E3" s="21"/>
      <c r="F3" s="21"/>
      <c r="G3" s="21"/>
      <c r="H3" s="21"/>
      <c r="I3" s="21"/>
      <c r="J3" s="21"/>
    </row>
    <row r="4" customFormat="false" ht="27.75" hidden="false" customHeight="true" outlineLevel="0" collapsed="false">
      <c r="A4" s="15" t="s">
        <v>757</v>
      </c>
      <c r="B4" s="15" t="s">
        <v>758</v>
      </c>
      <c r="C4" s="14" t="s">
        <v>759</v>
      </c>
      <c r="D4" s="14" t="s">
        <v>281</v>
      </c>
      <c r="E4" s="15" t="s">
        <v>760</v>
      </c>
    </row>
    <row r="5" customFormat="false" ht="15" hidden="false" customHeight="true" outlineLevel="0" collapsed="false">
      <c r="A5" s="17" t="s">
        <v>761</v>
      </c>
      <c r="B5" s="16" t="s">
        <v>762</v>
      </c>
      <c r="C5" s="16" t="s">
        <v>763</v>
      </c>
      <c r="D5" s="16" t="s">
        <v>78</v>
      </c>
      <c r="E5" s="16" t="s">
        <v>514</v>
      </c>
    </row>
    <row r="6" customFormat="false" ht="34.5" hidden="false" customHeight="true" outlineLevel="0" collapsed="false">
      <c r="A6" s="17" t="s">
        <v>764</v>
      </c>
      <c r="B6" s="16" t="s">
        <v>765</v>
      </c>
      <c r="C6" s="16" t="s">
        <v>766</v>
      </c>
      <c r="D6" s="16" t="s">
        <v>78</v>
      </c>
      <c r="E6" s="16" t="s">
        <v>514</v>
      </c>
    </row>
    <row r="7" customFormat="false" ht="15" hidden="false" customHeight="true" outlineLevel="0" collapsed="false">
      <c r="A7" s="17" t="s">
        <v>767</v>
      </c>
      <c r="B7" s="16" t="s">
        <v>768</v>
      </c>
      <c r="C7" s="16" t="s">
        <v>769</v>
      </c>
      <c r="D7" s="16" t="s">
        <v>78</v>
      </c>
      <c r="E7" s="16" t="s">
        <v>770</v>
      </c>
    </row>
    <row r="8" customFormat="false" ht="15" hidden="false" customHeight="true" outlineLevel="0" collapsed="false">
      <c r="A8" s="17" t="s">
        <v>771</v>
      </c>
      <c r="B8" s="16" t="s">
        <v>772</v>
      </c>
      <c r="C8" s="16" t="s">
        <v>773</v>
      </c>
      <c r="D8" s="16" t="s">
        <v>78</v>
      </c>
      <c r="E8" s="16" t="s">
        <v>514</v>
      </c>
    </row>
    <row r="9" customFormat="false" ht="34.5" hidden="false" customHeight="true" outlineLevel="0" collapsed="false">
      <c r="A9" s="26" t="s">
        <v>774</v>
      </c>
      <c r="B9" s="27" t="s">
        <v>775</v>
      </c>
      <c r="C9" s="26" t="s">
        <v>196</v>
      </c>
      <c r="D9" s="27" t="s">
        <v>525</v>
      </c>
      <c r="E9" s="27" t="s">
        <v>776</v>
      </c>
    </row>
    <row r="11" customFormat="false" ht="14.25" hidden="false" customHeight="true" outlineLevel="0" collapsed="false">
      <c r="A11" s="21" t="s">
        <v>777</v>
      </c>
      <c r="B11" s="21"/>
      <c r="C11" s="21"/>
      <c r="D11" s="21"/>
      <c r="E11" s="21"/>
      <c r="F11" s="21"/>
      <c r="G11" s="21"/>
      <c r="H11" s="21"/>
      <c r="I11" s="21"/>
      <c r="J11" s="21"/>
    </row>
    <row r="12" customFormat="false" ht="15" hidden="false" customHeight="true" outlineLevel="0" collapsed="false">
      <c r="A12" s="15" t="s">
        <v>52</v>
      </c>
      <c r="B12" s="15" t="s">
        <v>477</v>
      </c>
      <c r="C12" s="15" t="s">
        <v>778</v>
      </c>
      <c r="D12" s="15" t="s">
        <v>779</v>
      </c>
      <c r="E12" s="15" t="s">
        <v>56</v>
      </c>
      <c r="F12" s="15" t="s">
        <v>655</v>
      </c>
      <c r="G12" s="14" t="s">
        <v>58</v>
      </c>
      <c r="H12" s="15" t="s">
        <v>656</v>
      </c>
      <c r="I12" s="15" t="s">
        <v>60</v>
      </c>
      <c r="J12" s="15" t="s">
        <v>780</v>
      </c>
    </row>
    <row r="13" customFormat="false" ht="23.25" hidden="false" customHeight="true" outlineLevel="0" collapsed="false">
      <c r="A13" s="18" t="s">
        <v>261</v>
      </c>
      <c r="B13" s="19" t="s">
        <v>484</v>
      </c>
      <c r="C13" s="18" t="s">
        <v>263</v>
      </c>
      <c r="D13" s="18" t="s">
        <v>271</v>
      </c>
      <c r="E13" s="18" t="s">
        <v>288</v>
      </c>
      <c r="F13" s="19" t="s">
        <v>781</v>
      </c>
      <c r="G13" s="18" t="s">
        <v>266</v>
      </c>
      <c r="H13" s="18" t="s">
        <v>298</v>
      </c>
      <c r="I13" s="18" t="s">
        <v>782</v>
      </c>
      <c r="J13" s="18" t="s">
        <v>78</v>
      </c>
    </row>
    <row r="14" customFormat="false" ht="15" hidden="false" customHeight="true" outlineLevel="0" collapsed="false">
      <c r="A14" s="18" t="s">
        <v>269</v>
      </c>
      <c r="B14" s="19" t="s">
        <v>484</v>
      </c>
      <c r="C14" s="19" t="s">
        <v>783</v>
      </c>
      <c r="D14" s="18" t="s">
        <v>271</v>
      </c>
      <c r="E14" s="18" t="s">
        <v>288</v>
      </c>
      <c r="F14" s="19" t="s">
        <v>272</v>
      </c>
      <c r="G14" s="18" t="s">
        <v>273</v>
      </c>
      <c r="H14" s="19" t="s">
        <v>274</v>
      </c>
      <c r="I14" s="19" t="s">
        <v>784</v>
      </c>
      <c r="J14" s="18" t="s">
        <v>78</v>
      </c>
    </row>
    <row r="15" customFormat="false" ht="15" hidden="false" customHeight="true" outlineLevel="0" collapsed="false">
      <c r="A15" s="18" t="s">
        <v>276</v>
      </c>
      <c r="B15" s="19" t="s">
        <v>484</v>
      </c>
      <c r="C15" s="18" t="s">
        <v>277</v>
      </c>
      <c r="D15" s="18" t="s">
        <v>785</v>
      </c>
      <c r="E15" s="19" t="s">
        <v>786</v>
      </c>
      <c r="F15" s="19" t="s">
        <v>787</v>
      </c>
      <c r="G15" s="18" t="s">
        <v>281</v>
      </c>
      <c r="H15" s="19" t="s">
        <v>788</v>
      </c>
      <c r="I15" s="19" t="s">
        <v>789</v>
      </c>
      <c r="J15" s="18" t="s">
        <v>78</v>
      </c>
    </row>
    <row r="16" customFormat="false" ht="15" hidden="false" customHeight="true" outlineLevel="0" collapsed="false">
      <c r="A16" s="16" t="s">
        <v>790</v>
      </c>
      <c r="B16" s="17" t="s">
        <v>484</v>
      </c>
      <c r="C16" s="17" t="s">
        <v>791</v>
      </c>
      <c r="D16" s="17" t="s">
        <v>792</v>
      </c>
      <c r="E16" s="17" t="s">
        <v>247</v>
      </c>
      <c r="F16" s="17" t="s">
        <v>793</v>
      </c>
      <c r="G16" s="16" t="s">
        <v>281</v>
      </c>
      <c r="H16" s="17" t="s">
        <v>794</v>
      </c>
      <c r="I16" s="17" t="s">
        <v>795</v>
      </c>
      <c r="J16" s="16"/>
    </row>
    <row r="17" customFormat="false" ht="23.25" hidden="false" customHeight="true" outlineLevel="0" collapsed="false">
      <c r="A17" s="18" t="s">
        <v>284</v>
      </c>
      <c r="B17" s="18" t="s">
        <v>796</v>
      </c>
      <c r="C17" s="18" t="s">
        <v>797</v>
      </c>
      <c r="D17" s="18" t="s">
        <v>287</v>
      </c>
      <c r="E17" s="18" t="s">
        <v>288</v>
      </c>
      <c r="F17" s="18" t="s">
        <v>798</v>
      </c>
      <c r="G17" s="18" t="s">
        <v>799</v>
      </c>
      <c r="H17" s="18" t="s">
        <v>800</v>
      </c>
      <c r="I17" s="18" t="s">
        <v>801</v>
      </c>
      <c r="J17" s="18" t="s">
        <v>78</v>
      </c>
    </row>
    <row r="18" customFormat="false" ht="15" hidden="false" customHeight="true" outlineLevel="0" collapsed="false">
      <c r="A18" s="16" t="s">
        <v>293</v>
      </c>
      <c r="B18" s="16" t="s">
        <v>796</v>
      </c>
      <c r="C18" s="16" t="s">
        <v>294</v>
      </c>
      <c r="D18" s="16" t="s">
        <v>295</v>
      </c>
      <c r="E18" s="17" t="s">
        <v>296</v>
      </c>
      <c r="F18" s="16" t="s">
        <v>297</v>
      </c>
      <c r="G18" s="16" t="s">
        <v>68</v>
      </c>
      <c r="H18" s="16" t="s">
        <v>298</v>
      </c>
      <c r="I18" s="17" t="s">
        <v>299</v>
      </c>
      <c r="J18" s="16"/>
    </row>
    <row r="19" customFormat="false" ht="15" hidden="false" customHeight="true" outlineLevel="0" collapsed="false">
      <c r="A19" s="16" t="s">
        <v>300</v>
      </c>
      <c r="B19" s="16" t="s">
        <v>796</v>
      </c>
      <c r="C19" s="17" t="s">
        <v>802</v>
      </c>
      <c r="D19" s="16" t="s">
        <v>302</v>
      </c>
      <c r="E19" s="17" t="s">
        <v>803</v>
      </c>
      <c r="F19" s="16" t="s">
        <v>303</v>
      </c>
      <c r="G19" s="17" t="s">
        <v>304</v>
      </c>
      <c r="H19" s="16" t="s">
        <v>298</v>
      </c>
      <c r="I19" s="17" t="s">
        <v>804</v>
      </c>
      <c r="J19" s="16"/>
    </row>
    <row r="20" customFormat="false" ht="15" hidden="false" customHeight="true" outlineLevel="0" collapsed="false">
      <c r="A20" s="16" t="s">
        <v>306</v>
      </c>
      <c r="B20" s="16" t="s">
        <v>796</v>
      </c>
      <c r="C20" s="17" t="s">
        <v>307</v>
      </c>
      <c r="D20" s="17" t="s">
        <v>308</v>
      </c>
      <c r="E20" s="16" t="s">
        <v>288</v>
      </c>
      <c r="F20" s="16" t="s">
        <v>309</v>
      </c>
      <c r="G20" s="17" t="s">
        <v>310</v>
      </c>
      <c r="H20" s="16" t="s">
        <v>298</v>
      </c>
      <c r="I20" s="17" t="s">
        <v>805</v>
      </c>
      <c r="J20" s="16"/>
    </row>
    <row r="21" customFormat="false" ht="15" hidden="false" customHeight="true" outlineLevel="0" collapsed="false">
      <c r="A21" s="16" t="s">
        <v>806</v>
      </c>
      <c r="B21" s="16" t="s">
        <v>796</v>
      </c>
      <c r="C21" s="16" t="s">
        <v>807</v>
      </c>
      <c r="D21" s="17" t="s">
        <v>193</v>
      </c>
      <c r="E21" s="17" t="s">
        <v>247</v>
      </c>
      <c r="F21" s="16" t="s">
        <v>808</v>
      </c>
      <c r="G21" s="16" t="s">
        <v>525</v>
      </c>
      <c r="H21" s="16" t="s">
        <v>298</v>
      </c>
      <c r="I21" s="17" t="s">
        <v>809</v>
      </c>
      <c r="J21" s="16"/>
    </row>
    <row r="22" customFormat="false" ht="15" hidden="false" customHeight="true" outlineLevel="0" collapsed="false">
      <c r="A22" s="18" t="s">
        <v>312</v>
      </c>
      <c r="B22" s="18" t="s">
        <v>796</v>
      </c>
      <c r="C22" s="19" t="s">
        <v>313</v>
      </c>
      <c r="D22" s="19" t="s">
        <v>314</v>
      </c>
      <c r="E22" s="18" t="s">
        <v>315</v>
      </c>
      <c r="F22" s="18" t="s">
        <v>316</v>
      </c>
      <c r="G22" s="18" t="s">
        <v>317</v>
      </c>
      <c r="H22" s="19" t="s">
        <v>274</v>
      </c>
      <c r="I22" s="19" t="s">
        <v>810</v>
      </c>
      <c r="J22" s="18" t="s">
        <v>78</v>
      </c>
    </row>
    <row r="23" customFormat="false" ht="15" hidden="false" customHeight="true" outlineLevel="0" collapsed="false">
      <c r="A23" s="16" t="s">
        <v>811</v>
      </c>
      <c r="B23" s="16" t="s">
        <v>796</v>
      </c>
      <c r="C23" s="16" t="s">
        <v>812</v>
      </c>
      <c r="D23" s="16" t="s">
        <v>813</v>
      </c>
      <c r="E23" s="17" t="s">
        <v>814</v>
      </c>
      <c r="F23" s="16" t="s">
        <v>815</v>
      </c>
      <c r="G23" s="16" t="s">
        <v>525</v>
      </c>
      <c r="H23" s="16" t="s">
        <v>298</v>
      </c>
      <c r="I23" s="17" t="s">
        <v>816</v>
      </c>
      <c r="J23" s="16"/>
    </row>
    <row r="24" customFormat="false" ht="15" hidden="false" customHeight="true" outlineLevel="0" collapsed="false">
      <c r="A24" s="16" t="s">
        <v>319</v>
      </c>
      <c r="B24" s="16" t="s">
        <v>796</v>
      </c>
      <c r="C24" s="17" t="s">
        <v>817</v>
      </c>
      <c r="D24" s="16" t="s">
        <v>818</v>
      </c>
      <c r="E24" s="17" t="s">
        <v>819</v>
      </c>
      <c r="F24" s="16" t="s">
        <v>323</v>
      </c>
      <c r="G24" s="16" t="s">
        <v>324</v>
      </c>
      <c r="H24" s="16" t="s">
        <v>298</v>
      </c>
      <c r="I24" s="17" t="s">
        <v>325</v>
      </c>
      <c r="J24" s="16"/>
    </row>
    <row r="25" customFormat="false" ht="23.25" hidden="false" customHeight="true" outlineLevel="0" collapsed="false">
      <c r="A25" s="16" t="s">
        <v>326</v>
      </c>
      <c r="B25" s="16" t="s">
        <v>820</v>
      </c>
      <c r="C25" s="17" t="s">
        <v>328</v>
      </c>
      <c r="D25" s="16" t="s">
        <v>821</v>
      </c>
      <c r="E25" s="17" t="s">
        <v>330</v>
      </c>
      <c r="F25" s="16" t="s">
        <v>822</v>
      </c>
      <c r="G25" s="16" t="s">
        <v>68</v>
      </c>
      <c r="H25" s="17" t="s">
        <v>823</v>
      </c>
      <c r="I25" s="17" t="s">
        <v>332</v>
      </c>
      <c r="J25" s="16"/>
    </row>
    <row r="26" customFormat="false" ht="23.25" hidden="false" customHeight="true" outlineLevel="0" collapsed="false">
      <c r="A26" s="16" t="s">
        <v>824</v>
      </c>
      <c r="B26" s="16" t="s">
        <v>820</v>
      </c>
      <c r="C26" s="16" t="s">
        <v>825</v>
      </c>
      <c r="D26" s="16" t="s">
        <v>826</v>
      </c>
      <c r="E26" s="16" t="s">
        <v>288</v>
      </c>
      <c r="F26" s="16" t="s">
        <v>337</v>
      </c>
      <c r="G26" s="16" t="s">
        <v>68</v>
      </c>
      <c r="H26" s="17" t="s">
        <v>167</v>
      </c>
      <c r="I26" s="17" t="s">
        <v>827</v>
      </c>
      <c r="J26" s="16"/>
    </row>
    <row r="27" customFormat="false" ht="15" hidden="false" customHeight="true" outlineLevel="0" collapsed="false">
      <c r="A27" s="16" t="s">
        <v>828</v>
      </c>
      <c r="B27" s="16" t="s">
        <v>820</v>
      </c>
      <c r="C27" s="16" t="s">
        <v>829</v>
      </c>
      <c r="D27" s="17" t="s">
        <v>830</v>
      </c>
      <c r="E27" s="17" t="s">
        <v>330</v>
      </c>
      <c r="F27" s="16" t="s">
        <v>831</v>
      </c>
      <c r="G27" s="16" t="s">
        <v>68</v>
      </c>
      <c r="H27" s="17" t="s">
        <v>167</v>
      </c>
      <c r="I27" s="17" t="s">
        <v>832</v>
      </c>
      <c r="J27" s="16"/>
    </row>
    <row r="28" customFormat="false" ht="15" hidden="false" customHeight="true" outlineLevel="0" collapsed="false">
      <c r="A28" s="16" t="s">
        <v>339</v>
      </c>
      <c r="B28" s="16" t="s">
        <v>820</v>
      </c>
      <c r="C28" s="16" t="s">
        <v>833</v>
      </c>
      <c r="D28" s="16" t="s">
        <v>341</v>
      </c>
      <c r="E28" s="16" t="s">
        <v>288</v>
      </c>
      <c r="F28" s="17" t="s">
        <v>834</v>
      </c>
      <c r="G28" s="16" t="s">
        <v>68</v>
      </c>
      <c r="H28" s="17" t="s">
        <v>167</v>
      </c>
      <c r="I28" s="17" t="s">
        <v>835</v>
      </c>
      <c r="J28" s="16"/>
    </row>
    <row r="29" customFormat="false" ht="23.25" hidden="false" customHeight="true" outlineLevel="0" collapsed="false">
      <c r="A29" s="27" t="s">
        <v>836</v>
      </c>
      <c r="B29" s="27" t="s">
        <v>820</v>
      </c>
      <c r="C29" s="27" t="s">
        <v>837</v>
      </c>
      <c r="D29" s="27" t="s">
        <v>838</v>
      </c>
      <c r="E29" s="27" t="s">
        <v>153</v>
      </c>
      <c r="F29" s="27" t="s">
        <v>839</v>
      </c>
      <c r="G29" s="27" t="s">
        <v>68</v>
      </c>
      <c r="H29" s="26" t="s">
        <v>69</v>
      </c>
      <c r="I29" s="26" t="s">
        <v>840</v>
      </c>
      <c r="J29" s="27"/>
    </row>
    <row r="30" customFormat="false" ht="15" hidden="false" customHeight="true" outlineLevel="0" collapsed="false">
      <c r="A30" s="27" t="s">
        <v>841</v>
      </c>
      <c r="B30" s="27" t="s">
        <v>820</v>
      </c>
      <c r="C30" s="26" t="s">
        <v>842</v>
      </c>
      <c r="D30" s="27" t="s">
        <v>514</v>
      </c>
      <c r="E30" s="27" t="s">
        <v>514</v>
      </c>
      <c r="F30" s="27" t="s">
        <v>514</v>
      </c>
      <c r="G30" s="27" t="s">
        <v>514</v>
      </c>
      <c r="H30" s="27" t="s">
        <v>514</v>
      </c>
      <c r="I30" s="26" t="s">
        <v>843</v>
      </c>
      <c r="J30" s="27"/>
    </row>
    <row r="32" customFormat="false" ht="14.25" hidden="false" customHeight="true" outlineLevel="0" collapsed="false">
      <c r="A32" s="21" t="s">
        <v>844</v>
      </c>
      <c r="B32" s="21"/>
      <c r="C32" s="21"/>
      <c r="D32" s="21"/>
      <c r="E32" s="21"/>
      <c r="F32" s="21"/>
      <c r="G32" s="21"/>
      <c r="H32" s="21"/>
      <c r="I32" s="21"/>
      <c r="J32" s="21"/>
    </row>
    <row r="33" customFormat="false" ht="15" hidden="false" customHeight="true" outlineLevel="0" collapsed="false">
      <c r="A33" s="15" t="s">
        <v>845</v>
      </c>
      <c r="B33" s="15" t="s">
        <v>846</v>
      </c>
      <c r="C33" s="15" t="s">
        <v>847</v>
      </c>
      <c r="D33" s="15" t="s">
        <v>848</v>
      </c>
      <c r="E33" s="15" t="s">
        <v>849</v>
      </c>
    </row>
    <row r="34" customFormat="false" ht="45.75" hidden="false" customHeight="true" outlineLevel="0" collapsed="false">
      <c r="A34" s="16" t="s">
        <v>850</v>
      </c>
      <c r="B34" s="16" t="s">
        <v>851</v>
      </c>
      <c r="C34" s="16" t="s">
        <v>852</v>
      </c>
      <c r="D34" s="17" t="s">
        <v>853</v>
      </c>
      <c r="E34" s="16" t="s">
        <v>854</v>
      </c>
    </row>
    <row r="35" customFormat="false" ht="45.75" hidden="false" customHeight="true" outlineLevel="0" collapsed="false">
      <c r="A35" s="22" t="s">
        <v>855</v>
      </c>
      <c r="B35" s="22" t="s">
        <v>856</v>
      </c>
      <c r="C35" s="23" t="s">
        <v>857</v>
      </c>
      <c r="D35" s="23" t="s">
        <v>853</v>
      </c>
      <c r="E35" s="22" t="s">
        <v>858</v>
      </c>
    </row>
    <row r="36" customFormat="false" ht="23.25" hidden="false" customHeight="true" outlineLevel="0" collapsed="false">
      <c r="A36" s="16" t="s">
        <v>859</v>
      </c>
      <c r="B36" s="16" t="s">
        <v>860</v>
      </c>
      <c r="C36" s="16" t="s">
        <v>861</v>
      </c>
      <c r="D36" s="17" t="s">
        <v>503</v>
      </c>
      <c r="E36" s="17" t="s">
        <v>862</v>
      </c>
    </row>
    <row r="38" customFormat="false" ht="14.25" hidden="false" customHeight="true" outlineLevel="0" collapsed="false">
      <c r="A38" s="25" t="s">
        <v>863</v>
      </c>
      <c r="B38" s="25"/>
      <c r="C38" s="25"/>
      <c r="D38" s="25"/>
      <c r="E38" s="25"/>
      <c r="F38" s="25"/>
      <c r="G38" s="25"/>
      <c r="H38" s="25"/>
      <c r="I38" s="25"/>
      <c r="J38" s="25"/>
    </row>
    <row r="39" customFormat="false" ht="15" hidden="false" customHeight="true" outlineLevel="0" collapsed="false">
      <c r="A39" s="15" t="s">
        <v>734</v>
      </c>
      <c r="B39" s="15" t="s">
        <v>52</v>
      </c>
      <c r="C39" s="15" t="s">
        <v>735</v>
      </c>
      <c r="D39" s="15" t="s">
        <v>736</v>
      </c>
    </row>
    <row r="40" customFormat="false" ht="57" hidden="false" customHeight="true" outlineLevel="0" collapsed="false">
      <c r="A40" s="16" t="s">
        <v>864</v>
      </c>
      <c r="B40" s="16" t="s">
        <v>865</v>
      </c>
      <c r="C40" s="16" t="s">
        <v>866</v>
      </c>
      <c r="D40" s="17" t="s">
        <v>867</v>
      </c>
    </row>
    <row r="41" customFormat="false" ht="45.75" hidden="false" customHeight="true" outlineLevel="0" collapsed="false">
      <c r="A41" s="22" t="s">
        <v>868</v>
      </c>
      <c r="B41" s="22" t="s">
        <v>869</v>
      </c>
      <c r="C41" s="22" t="s">
        <v>870</v>
      </c>
      <c r="D41" s="23" t="s">
        <v>871</v>
      </c>
    </row>
    <row r="42" customFormat="false" ht="23.25" hidden="false" customHeight="true" outlineLevel="0" collapsed="false">
      <c r="A42" s="16" t="s">
        <v>872</v>
      </c>
      <c r="B42" s="16" t="s">
        <v>873</v>
      </c>
      <c r="C42" s="16" t="s">
        <v>874</v>
      </c>
      <c r="D42" s="17" t="s">
        <v>875</v>
      </c>
    </row>
    <row r="43" customFormat="false" ht="23.25" hidden="false" customHeight="true" outlineLevel="0" collapsed="false">
      <c r="A43" s="23" t="s">
        <v>876</v>
      </c>
      <c r="B43" s="22" t="s">
        <v>514</v>
      </c>
      <c r="C43" s="23" t="s">
        <v>877</v>
      </c>
      <c r="D43" s="23" t="s">
        <v>878</v>
      </c>
    </row>
  </sheetData>
  <mergeCells count="5">
    <mergeCell ref="A1:J1"/>
    <mergeCell ref="A3:J3"/>
    <mergeCell ref="A11:J11"/>
    <mergeCell ref="A32:J32"/>
    <mergeCell ref="A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6" min="6" style="1" width="28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8"/>
    <col collapsed="false" customWidth="true" hidden="false" outlineLevel="0" max="10" min="10" style="1" width="8"/>
  </cols>
  <sheetData>
    <row r="1" customFormat="false" ht="17.25" hidden="false" customHeight="true" outlineLevel="0" collapsed="false">
      <c r="A1" s="20" t="s">
        <v>879</v>
      </c>
      <c r="B1" s="20"/>
      <c r="C1" s="20"/>
      <c r="D1" s="20"/>
      <c r="E1" s="20"/>
      <c r="F1" s="20"/>
      <c r="G1" s="20"/>
      <c r="H1" s="20"/>
      <c r="I1" s="20"/>
      <c r="J1" s="20"/>
    </row>
    <row r="3" customFormat="false" ht="14.25" hidden="false" customHeight="true" outlineLevel="0" collapsed="false">
      <c r="A3" s="21" t="s">
        <v>880</v>
      </c>
      <c r="B3" s="21"/>
      <c r="C3" s="21"/>
      <c r="D3" s="21"/>
      <c r="E3" s="21"/>
      <c r="F3" s="21"/>
      <c r="G3" s="21"/>
      <c r="H3" s="21"/>
      <c r="I3" s="21"/>
      <c r="J3" s="21"/>
    </row>
    <row r="4" customFormat="false" ht="15" hidden="false" customHeight="true" outlineLevel="0" collapsed="false">
      <c r="A4" s="15" t="s">
        <v>757</v>
      </c>
      <c r="B4" s="15" t="s">
        <v>881</v>
      </c>
      <c r="C4" s="15" t="s">
        <v>882</v>
      </c>
      <c r="D4" s="14" t="s">
        <v>883</v>
      </c>
      <c r="E4" s="15" t="s">
        <v>884</v>
      </c>
    </row>
    <row r="5" customFormat="false" ht="15" hidden="false" customHeight="true" outlineLevel="0" collapsed="false">
      <c r="A5" s="17" t="s">
        <v>761</v>
      </c>
      <c r="B5" s="16" t="s">
        <v>885</v>
      </c>
      <c r="C5" s="17" t="s">
        <v>886</v>
      </c>
      <c r="D5" s="16" t="s">
        <v>887</v>
      </c>
      <c r="E5" s="17" t="s">
        <v>888</v>
      </c>
    </row>
    <row r="6" customFormat="false" ht="34.5" hidden="false" customHeight="true" outlineLevel="0" collapsed="false">
      <c r="A6" s="23" t="s">
        <v>761</v>
      </c>
      <c r="B6" s="22" t="s">
        <v>889</v>
      </c>
      <c r="C6" s="23" t="s">
        <v>890</v>
      </c>
      <c r="D6" s="22" t="s">
        <v>514</v>
      </c>
      <c r="E6" s="23" t="s">
        <v>891</v>
      </c>
    </row>
    <row r="7" customFormat="false" ht="15" hidden="false" customHeight="true" outlineLevel="0" collapsed="false">
      <c r="A7" s="17" t="s">
        <v>764</v>
      </c>
      <c r="B7" s="16" t="s">
        <v>892</v>
      </c>
      <c r="C7" s="17" t="s">
        <v>893</v>
      </c>
      <c r="D7" s="17" t="s">
        <v>894</v>
      </c>
      <c r="E7" s="16" t="s">
        <v>514</v>
      </c>
    </row>
    <row r="8" customFormat="false" ht="15" hidden="false" customHeight="true" outlineLevel="0" collapsed="false">
      <c r="A8" s="23" t="s">
        <v>764</v>
      </c>
      <c r="B8" s="22" t="s">
        <v>895</v>
      </c>
      <c r="C8" s="23" t="s">
        <v>896</v>
      </c>
      <c r="D8" s="22" t="s">
        <v>514</v>
      </c>
      <c r="E8" s="22" t="s">
        <v>514</v>
      </c>
    </row>
    <row r="9" customFormat="false" ht="15" hidden="false" customHeight="true" outlineLevel="0" collapsed="false">
      <c r="A9" s="17" t="s">
        <v>764</v>
      </c>
      <c r="B9" s="16" t="s">
        <v>897</v>
      </c>
      <c r="C9" s="17" t="s">
        <v>898</v>
      </c>
      <c r="D9" s="17" t="s">
        <v>899</v>
      </c>
      <c r="E9" s="17" t="s">
        <v>900</v>
      </c>
    </row>
    <row r="10" customFormat="false" ht="15" hidden="false" customHeight="true" outlineLevel="0" collapsed="false">
      <c r="A10" s="23" t="s">
        <v>764</v>
      </c>
      <c r="B10" s="22" t="s">
        <v>901</v>
      </c>
      <c r="C10" s="23" t="s">
        <v>902</v>
      </c>
      <c r="D10" s="22" t="s">
        <v>514</v>
      </c>
      <c r="E10" s="23" t="s">
        <v>903</v>
      </c>
    </row>
    <row r="11" customFormat="false" ht="23.25" hidden="false" customHeight="true" outlineLevel="0" collapsed="false">
      <c r="A11" s="17" t="s">
        <v>904</v>
      </c>
      <c r="B11" s="16" t="s">
        <v>905</v>
      </c>
      <c r="C11" s="17" t="s">
        <v>886</v>
      </c>
      <c r="D11" s="16" t="s">
        <v>906</v>
      </c>
      <c r="E11" s="16" t="s">
        <v>907</v>
      </c>
    </row>
    <row r="12" customFormat="false" ht="15" hidden="false" customHeight="true" outlineLevel="0" collapsed="false">
      <c r="A12" s="23" t="s">
        <v>904</v>
      </c>
      <c r="B12" s="22" t="s">
        <v>908</v>
      </c>
      <c r="C12" s="23" t="s">
        <v>886</v>
      </c>
      <c r="D12" s="22" t="s">
        <v>909</v>
      </c>
      <c r="E12" s="22" t="s">
        <v>514</v>
      </c>
    </row>
    <row r="13" customFormat="false" ht="15" hidden="false" customHeight="true" outlineLevel="0" collapsed="false">
      <c r="A13" s="17" t="s">
        <v>904</v>
      </c>
      <c r="B13" s="16" t="s">
        <v>910</v>
      </c>
      <c r="C13" s="17" t="s">
        <v>886</v>
      </c>
      <c r="D13" s="16" t="s">
        <v>911</v>
      </c>
      <c r="E13" s="16" t="s">
        <v>514</v>
      </c>
    </row>
    <row r="14" customFormat="false" ht="15" hidden="false" customHeight="true" outlineLevel="0" collapsed="false">
      <c r="A14" s="23" t="s">
        <v>904</v>
      </c>
      <c r="B14" s="22" t="s">
        <v>912</v>
      </c>
      <c r="C14" s="23" t="s">
        <v>886</v>
      </c>
      <c r="D14" s="22" t="s">
        <v>913</v>
      </c>
      <c r="E14" s="22" t="s">
        <v>514</v>
      </c>
    </row>
    <row r="15" customFormat="false" ht="15" hidden="false" customHeight="true" outlineLevel="0" collapsed="false">
      <c r="A15" s="17" t="s">
        <v>914</v>
      </c>
      <c r="B15" s="16" t="s">
        <v>915</v>
      </c>
      <c r="C15" s="27" t="s">
        <v>916</v>
      </c>
      <c r="D15" s="16" t="s">
        <v>514</v>
      </c>
      <c r="E15" s="17" t="s">
        <v>917</v>
      </c>
    </row>
    <row r="18" customFormat="false" ht="14.25" hidden="false" customHeight="true" outlineLevel="0" collapsed="false">
      <c r="A18" s="21" t="s">
        <v>918</v>
      </c>
      <c r="B18" s="21"/>
      <c r="C18" s="21"/>
      <c r="D18" s="21"/>
      <c r="E18" s="21"/>
      <c r="F18" s="21"/>
      <c r="G18" s="21"/>
      <c r="H18" s="21"/>
      <c r="I18" s="21"/>
      <c r="J18" s="21"/>
    </row>
    <row r="19" customFormat="false" ht="15" hidden="false" customHeight="true" outlineLevel="0" collapsed="false">
      <c r="A19" s="15" t="s">
        <v>52</v>
      </c>
      <c r="B19" s="15" t="s">
        <v>477</v>
      </c>
      <c r="C19" s="15" t="s">
        <v>778</v>
      </c>
      <c r="D19" s="15" t="s">
        <v>478</v>
      </c>
      <c r="E19" s="15" t="s">
        <v>56</v>
      </c>
      <c r="F19" s="15" t="s">
        <v>655</v>
      </c>
      <c r="G19" s="14" t="s">
        <v>58</v>
      </c>
      <c r="H19" s="15" t="s">
        <v>656</v>
      </c>
      <c r="I19" s="15" t="s">
        <v>60</v>
      </c>
      <c r="J19" s="15" t="s">
        <v>780</v>
      </c>
    </row>
    <row r="20" customFormat="false" ht="15" hidden="false" customHeight="true" outlineLevel="0" collapsed="false">
      <c r="A20" s="18" t="s">
        <v>919</v>
      </c>
      <c r="B20" s="19" t="s">
        <v>484</v>
      </c>
      <c r="C20" s="18" t="s">
        <v>365</v>
      </c>
      <c r="D20" s="19" t="s">
        <v>366</v>
      </c>
      <c r="E20" s="19" t="s">
        <v>920</v>
      </c>
      <c r="F20" s="19" t="s">
        <v>130</v>
      </c>
      <c r="G20" s="18" t="s">
        <v>68</v>
      </c>
      <c r="H20" s="19" t="s">
        <v>921</v>
      </c>
      <c r="I20" s="18" t="s">
        <v>369</v>
      </c>
      <c r="J20" s="18" t="s">
        <v>78</v>
      </c>
    </row>
    <row r="21" customFormat="false" ht="23.25" hidden="false" customHeight="true" outlineLevel="0" collapsed="false">
      <c r="A21" s="16" t="s">
        <v>370</v>
      </c>
      <c r="B21" s="17" t="s">
        <v>484</v>
      </c>
      <c r="C21" s="16" t="s">
        <v>922</v>
      </c>
      <c r="D21" s="17" t="s">
        <v>372</v>
      </c>
      <c r="E21" s="17" t="s">
        <v>373</v>
      </c>
      <c r="F21" s="17" t="s">
        <v>130</v>
      </c>
      <c r="G21" s="16" t="s">
        <v>374</v>
      </c>
      <c r="H21" s="16" t="s">
        <v>375</v>
      </c>
      <c r="I21" s="17" t="s">
        <v>923</v>
      </c>
      <c r="J21" s="16"/>
    </row>
    <row r="22" customFormat="false" ht="15" hidden="false" customHeight="true" outlineLevel="0" collapsed="false">
      <c r="A22" s="16" t="s">
        <v>924</v>
      </c>
      <c r="B22" s="17" t="s">
        <v>484</v>
      </c>
      <c r="C22" s="16" t="s">
        <v>925</v>
      </c>
      <c r="D22" s="17" t="s">
        <v>926</v>
      </c>
      <c r="E22" s="16" t="s">
        <v>153</v>
      </c>
      <c r="F22" s="17" t="s">
        <v>130</v>
      </c>
      <c r="G22" s="16" t="s">
        <v>78</v>
      </c>
      <c r="H22" s="16" t="s">
        <v>298</v>
      </c>
      <c r="I22" s="17" t="s">
        <v>927</v>
      </c>
      <c r="J22" s="16"/>
    </row>
    <row r="23" customFormat="false" ht="15" hidden="false" customHeight="true" outlineLevel="0" collapsed="false">
      <c r="A23" s="18" t="s">
        <v>377</v>
      </c>
      <c r="B23" s="19" t="s">
        <v>484</v>
      </c>
      <c r="C23" s="19" t="s">
        <v>379</v>
      </c>
      <c r="D23" s="18" t="s">
        <v>928</v>
      </c>
      <c r="E23" s="18" t="s">
        <v>153</v>
      </c>
      <c r="F23" s="19" t="s">
        <v>381</v>
      </c>
      <c r="G23" s="18" t="s">
        <v>382</v>
      </c>
      <c r="H23" s="19" t="s">
        <v>69</v>
      </c>
      <c r="I23" s="18" t="s">
        <v>929</v>
      </c>
      <c r="J23" s="18" t="s">
        <v>78</v>
      </c>
    </row>
    <row r="24" customFormat="false" ht="15" hidden="false" customHeight="true" outlineLevel="0" collapsed="false">
      <c r="A24" s="16" t="s">
        <v>930</v>
      </c>
      <c r="B24" s="17" t="s">
        <v>484</v>
      </c>
      <c r="C24" s="17" t="s">
        <v>931</v>
      </c>
      <c r="D24" s="17" t="s">
        <v>372</v>
      </c>
      <c r="E24" s="17" t="s">
        <v>932</v>
      </c>
      <c r="F24" s="17" t="s">
        <v>130</v>
      </c>
      <c r="G24" s="16" t="s">
        <v>78</v>
      </c>
      <c r="H24" s="17" t="s">
        <v>69</v>
      </c>
      <c r="I24" s="17" t="s">
        <v>933</v>
      </c>
      <c r="J24" s="16"/>
    </row>
    <row r="25" customFormat="false" ht="15" hidden="false" customHeight="true" outlineLevel="0" collapsed="false">
      <c r="A25" s="18" t="s">
        <v>384</v>
      </c>
      <c r="B25" s="18" t="s">
        <v>796</v>
      </c>
      <c r="C25" s="19" t="s">
        <v>386</v>
      </c>
      <c r="D25" s="18" t="s">
        <v>934</v>
      </c>
      <c r="E25" s="19" t="s">
        <v>388</v>
      </c>
      <c r="F25" s="18" t="s">
        <v>389</v>
      </c>
      <c r="G25" s="18" t="s">
        <v>324</v>
      </c>
      <c r="H25" s="19" t="s">
        <v>141</v>
      </c>
      <c r="I25" s="19" t="s">
        <v>390</v>
      </c>
      <c r="J25" s="18" t="s">
        <v>78</v>
      </c>
    </row>
    <row r="26" customFormat="false" ht="15" hidden="false" customHeight="true" outlineLevel="0" collapsed="false">
      <c r="A26" s="18" t="s">
        <v>391</v>
      </c>
      <c r="B26" s="18" t="s">
        <v>796</v>
      </c>
      <c r="C26" s="19" t="s">
        <v>392</v>
      </c>
      <c r="D26" s="18" t="s">
        <v>393</v>
      </c>
      <c r="E26" s="19" t="s">
        <v>388</v>
      </c>
      <c r="F26" s="18" t="s">
        <v>394</v>
      </c>
      <c r="G26" s="18" t="s">
        <v>290</v>
      </c>
      <c r="H26" s="19" t="s">
        <v>395</v>
      </c>
      <c r="I26" s="19" t="s">
        <v>935</v>
      </c>
      <c r="J26" s="18" t="s">
        <v>78</v>
      </c>
    </row>
    <row r="27" customFormat="false" ht="15" hidden="false" customHeight="true" outlineLevel="0" collapsed="false">
      <c r="A27" s="16" t="s">
        <v>397</v>
      </c>
      <c r="B27" s="16" t="s">
        <v>796</v>
      </c>
      <c r="C27" s="17" t="s">
        <v>398</v>
      </c>
      <c r="D27" s="16" t="s">
        <v>399</v>
      </c>
      <c r="E27" s="17" t="s">
        <v>400</v>
      </c>
      <c r="F27" s="16" t="s">
        <v>401</v>
      </c>
      <c r="G27" s="17" t="s">
        <v>304</v>
      </c>
      <c r="H27" s="17" t="s">
        <v>69</v>
      </c>
      <c r="I27" s="17" t="s">
        <v>402</v>
      </c>
      <c r="J27" s="16"/>
    </row>
    <row r="28" customFormat="false" ht="15" hidden="false" customHeight="true" outlineLevel="0" collapsed="false">
      <c r="A28" s="16" t="s">
        <v>403</v>
      </c>
      <c r="B28" s="16" t="s">
        <v>796</v>
      </c>
      <c r="C28" s="17" t="s">
        <v>404</v>
      </c>
      <c r="D28" s="16" t="s">
        <v>405</v>
      </c>
      <c r="E28" s="17" t="s">
        <v>400</v>
      </c>
      <c r="F28" s="16" t="s">
        <v>406</v>
      </c>
      <c r="G28" s="16" t="s">
        <v>525</v>
      </c>
      <c r="H28" s="17" t="s">
        <v>936</v>
      </c>
      <c r="I28" s="17" t="s">
        <v>407</v>
      </c>
      <c r="J28" s="16"/>
    </row>
    <row r="29" customFormat="false" ht="15" hidden="false" customHeight="true" outlineLevel="0" collapsed="false">
      <c r="A29" s="18" t="s">
        <v>722</v>
      </c>
      <c r="B29" s="18" t="s">
        <v>796</v>
      </c>
      <c r="C29" s="18" t="s">
        <v>410</v>
      </c>
      <c r="D29" s="19" t="s">
        <v>372</v>
      </c>
      <c r="E29" s="19" t="s">
        <v>411</v>
      </c>
      <c r="F29" s="18" t="s">
        <v>937</v>
      </c>
      <c r="G29" s="18" t="s">
        <v>525</v>
      </c>
      <c r="H29" s="19" t="s">
        <v>141</v>
      </c>
      <c r="I29" s="19" t="s">
        <v>413</v>
      </c>
      <c r="J29" s="18" t="s">
        <v>78</v>
      </c>
    </row>
    <row r="30" customFormat="false" ht="15" hidden="false" customHeight="true" outlineLevel="0" collapsed="false">
      <c r="A30" s="16" t="s">
        <v>250</v>
      </c>
      <c r="B30" s="16" t="s">
        <v>796</v>
      </c>
      <c r="C30" s="16" t="s">
        <v>938</v>
      </c>
      <c r="D30" s="17" t="s">
        <v>98</v>
      </c>
      <c r="E30" s="17" t="s">
        <v>252</v>
      </c>
      <c r="F30" s="16" t="s">
        <v>253</v>
      </c>
      <c r="G30" s="16" t="s">
        <v>525</v>
      </c>
      <c r="H30" s="17" t="s">
        <v>141</v>
      </c>
      <c r="I30" s="17" t="s">
        <v>939</v>
      </c>
      <c r="J30" s="16"/>
    </row>
    <row r="31" customFormat="false" ht="15" hidden="false" customHeight="true" outlineLevel="0" collapsed="false">
      <c r="A31" s="16" t="s">
        <v>244</v>
      </c>
      <c r="B31" s="16" t="s">
        <v>796</v>
      </c>
      <c r="C31" s="16" t="s">
        <v>940</v>
      </c>
      <c r="D31" s="16" t="s">
        <v>246</v>
      </c>
      <c r="E31" s="17" t="s">
        <v>941</v>
      </c>
      <c r="F31" s="16" t="s">
        <v>248</v>
      </c>
      <c r="G31" s="16" t="s">
        <v>525</v>
      </c>
      <c r="H31" s="17" t="s">
        <v>141</v>
      </c>
      <c r="I31" s="17" t="s">
        <v>249</v>
      </c>
      <c r="J31" s="16"/>
    </row>
    <row r="32" customFormat="false" ht="15" hidden="false" customHeight="true" outlineLevel="0" collapsed="false">
      <c r="A32" s="27" t="s">
        <v>942</v>
      </c>
      <c r="B32" s="27" t="s">
        <v>796</v>
      </c>
      <c r="C32" s="27" t="s">
        <v>943</v>
      </c>
      <c r="D32" s="26" t="s">
        <v>944</v>
      </c>
      <c r="E32" s="26" t="s">
        <v>423</v>
      </c>
      <c r="F32" s="27" t="s">
        <v>945</v>
      </c>
      <c r="G32" s="27" t="s">
        <v>525</v>
      </c>
      <c r="H32" s="26" t="s">
        <v>141</v>
      </c>
      <c r="I32" s="26" t="s">
        <v>946</v>
      </c>
      <c r="J32" s="27"/>
    </row>
    <row r="33" customFormat="false" ht="15" hidden="false" customHeight="true" outlineLevel="0" collapsed="false">
      <c r="A33" s="16" t="s">
        <v>947</v>
      </c>
      <c r="B33" s="16" t="s">
        <v>796</v>
      </c>
      <c r="C33" s="16" t="s">
        <v>948</v>
      </c>
      <c r="D33" s="17" t="s">
        <v>372</v>
      </c>
      <c r="E33" s="17" t="s">
        <v>423</v>
      </c>
      <c r="F33" s="16" t="s">
        <v>259</v>
      </c>
      <c r="G33" s="16" t="s">
        <v>525</v>
      </c>
      <c r="H33" s="17" t="s">
        <v>141</v>
      </c>
      <c r="I33" s="17" t="s">
        <v>949</v>
      </c>
      <c r="J33" s="16"/>
    </row>
    <row r="34" customFormat="false" ht="23.25" hidden="false" customHeight="true" outlineLevel="0" collapsed="false">
      <c r="A34" s="16" t="s">
        <v>950</v>
      </c>
      <c r="B34" s="16" t="s">
        <v>796</v>
      </c>
      <c r="C34" s="17" t="s">
        <v>951</v>
      </c>
      <c r="D34" s="16" t="s">
        <v>952</v>
      </c>
      <c r="E34" s="17" t="s">
        <v>423</v>
      </c>
      <c r="F34" s="16" t="s">
        <v>953</v>
      </c>
      <c r="G34" s="16" t="s">
        <v>954</v>
      </c>
      <c r="H34" s="17" t="s">
        <v>141</v>
      </c>
      <c r="I34" s="17" t="s">
        <v>955</v>
      </c>
      <c r="J34" s="16"/>
    </row>
    <row r="35" customFormat="false" ht="15" hidden="false" customHeight="true" outlineLevel="0" collapsed="false">
      <c r="A35" s="16" t="s">
        <v>414</v>
      </c>
      <c r="B35" s="16" t="s">
        <v>796</v>
      </c>
      <c r="C35" s="16" t="s">
        <v>956</v>
      </c>
      <c r="D35" s="17" t="s">
        <v>98</v>
      </c>
      <c r="E35" s="17" t="s">
        <v>423</v>
      </c>
      <c r="F35" s="16" t="s">
        <v>418</v>
      </c>
      <c r="G35" s="16" t="s">
        <v>68</v>
      </c>
      <c r="H35" s="17" t="s">
        <v>141</v>
      </c>
      <c r="I35" s="17" t="s">
        <v>419</v>
      </c>
      <c r="J35" s="16"/>
    </row>
    <row r="36" customFormat="false" ht="15" hidden="false" customHeight="true" outlineLevel="0" collapsed="false">
      <c r="A36" s="16" t="s">
        <v>957</v>
      </c>
      <c r="B36" s="16" t="s">
        <v>796</v>
      </c>
      <c r="C36" s="17" t="s">
        <v>958</v>
      </c>
      <c r="D36" s="17" t="s">
        <v>98</v>
      </c>
      <c r="E36" s="17" t="s">
        <v>423</v>
      </c>
      <c r="F36" s="16" t="s">
        <v>959</v>
      </c>
      <c r="G36" s="16" t="s">
        <v>525</v>
      </c>
      <c r="H36" s="17" t="s">
        <v>141</v>
      </c>
      <c r="I36" s="17" t="s">
        <v>960</v>
      </c>
      <c r="J36" s="16"/>
    </row>
    <row r="37" customFormat="false" ht="15" hidden="false" customHeight="true" outlineLevel="0" collapsed="false">
      <c r="A37" s="16" t="s">
        <v>420</v>
      </c>
      <c r="B37" s="16" t="s">
        <v>796</v>
      </c>
      <c r="C37" s="17" t="s">
        <v>961</v>
      </c>
      <c r="D37" s="17" t="s">
        <v>962</v>
      </c>
      <c r="E37" s="17" t="s">
        <v>423</v>
      </c>
      <c r="F37" s="16" t="s">
        <v>424</v>
      </c>
      <c r="G37" s="16" t="s">
        <v>525</v>
      </c>
      <c r="H37" s="17" t="s">
        <v>69</v>
      </c>
      <c r="I37" s="16" t="s">
        <v>425</v>
      </c>
      <c r="J37" s="16"/>
    </row>
    <row r="38" customFormat="false" ht="23.25" hidden="false" customHeight="true" outlineLevel="0" collapsed="false">
      <c r="A38" s="17" t="s">
        <v>426</v>
      </c>
      <c r="B38" s="16" t="s">
        <v>963</v>
      </c>
      <c r="C38" s="17" t="s">
        <v>428</v>
      </c>
      <c r="D38" s="17" t="s">
        <v>964</v>
      </c>
      <c r="E38" s="17" t="s">
        <v>388</v>
      </c>
      <c r="F38" s="16" t="s">
        <v>965</v>
      </c>
      <c r="G38" s="16" t="s">
        <v>324</v>
      </c>
      <c r="H38" s="17" t="s">
        <v>141</v>
      </c>
      <c r="I38" s="17" t="s">
        <v>966</v>
      </c>
      <c r="J38" s="16"/>
    </row>
    <row r="39" customFormat="false" ht="15" hidden="false" customHeight="true" outlineLevel="0" collapsed="false">
      <c r="A39" s="17" t="s">
        <v>967</v>
      </c>
      <c r="B39" s="16" t="s">
        <v>963</v>
      </c>
      <c r="C39" s="17" t="s">
        <v>968</v>
      </c>
      <c r="D39" s="17" t="s">
        <v>969</v>
      </c>
      <c r="E39" s="17" t="s">
        <v>400</v>
      </c>
      <c r="F39" s="16" t="s">
        <v>970</v>
      </c>
      <c r="G39" s="16" t="s">
        <v>324</v>
      </c>
      <c r="H39" s="17" t="s">
        <v>141</v>
      </c>
      <c r="I39" s="17" t="s">
        <v>971</v>
      </c>
      <c r="J39" s="16"/>
    </row>
    <row r="40" customFormat="false" ht="15" hidden="false" customHeight="true" outlineLevel="0" collapsed="false">
      <c r="A40" s="26" t="s">
        <v>972</v>
      </c>
      <c r="B40" s="27" t="s">
        <v>963</v>
      </c>
      <c r="C40" s="26" t="s">
        <v>973</v>
      </c>
      <c r="D40" s="26" t="s">
        <v>974</v>
      </c>
      <c r="E40" s="26" t="s">
        <v>941</v>
      </c>
      <c r="F40" s="27" t="s">
        <v>975</v>
      </c>
      <c r="G40" s="27" t="s">
        <v>525</v>
      </c>
      <c r="H40" s="26" t="s">
        <v>141</v>
      </c>
      <c r="I40" s="26" t="s">
        <v>976</v>
      </c>
      <c r="J40" s="27"/>
    </row>
    <row r="42" customFormat="false" ht="14.25" hidden="false" customHeight="true" outlineLevel="0" collapsed="false">
      <c r="A42" s="24" t="s">
        <v>977</v>
      </c>
      <c r="B42" s="24"/>
      <c r="C42" s="24"/>
      <c r="D42" s="24"/>
      <c r="E42" s="24"/>
      <c r="F42" s="24"/>
      <c r="G42" s="24"/>
      <c r="H42" s="24"/>
      <c r="I42" s="24"/>
      <c r="J42" s="24"/>
    </row>
    <row r="43" customFormat="false" ht="15" hidden="false" customHeight="true" outlineLevel="0" collapsed="false">
      <c r="A43" s="15" t="s">
        <v>978</v>
      </c>
      <c r="B43" s="14" t="s">
        <v>979</v>
      </c>
      <c r="C43" s="14" t="s">
        <v>908</v>
      </c>
      <c r="D43" s="14" t="s">
        <v>910</v>
      </c>
      <c r="E43" s="14" t="s">
        <v>980</v>
      </c>
      <c r="F43" s="14" t="s">
        <v>981</v>
      </c>
      <c r="G43" s="14" t="s">
        <v>982</v>
      </c>
      <c r="H43" s="15" t="s">
        <v>983</v>
      </c>
    </row>
    <row r="44" customFormat="false" ht="23.25" hidden="false" customHeight="true" outlineLevel="0" collapsed="false">
      <c r="A44" s="16" t="s">
        <v>384</v>
      </c>
      <c r="B44" s="17" t="s">
        <v>853</v>
      </c>
      <c r="C44" s="17" t="s">
        <v>853</v>
      </c>
      <c r="D44" s="17" t="s">
        <v>853</v>
      </c>
      <c r="E44" s="17" t="s">
        <v>853</v>
      </c>
      <c r="F44" s="17" t="s">
        <v>853</v>
      </c>
      <c r="G44" s="17" t="s">
        <v>853</v>
      </c>
      <c r="H44" s="17" t="s">
        <v>984</v>
      </c>
    </row>
    <row r="45" customFormat="false" ht="23.25" hidden="false" customHeight="true" outlineLevel="0" collapsed="false">
      <c r="A45" s="22" t="s">
        <v>391</v>
      </c>
      <c r="B45" s="23" t="s">
        <v>853</v>
      </c>
      <c r="C45" s="23" t="s">
        <v>853</v>
      </c>
      <c r="D45" s="23" t="s">
        <v>853</v>
      </c>
      <c r="E45" s="23" t="s">
        <v>853</v>
      </c>
      <c r="F45" s="23" t="s">
        <v>853</v>
      </c>
      <c r="G45" s="23" t="s">
        <v>853</v>
      </c>
      <c r="H45" s="23" t="s">
        <v>985</v>
      </c>
    </row>
    <row r="46" customFormat="false" ht="23.25" hidden="false" customHeight="true" outlineLevel="0" collapsed="false">
      <c r="A46" s="16" t="s">
        <v>397</v>
      </c>
      <c r="B46" s="17" t="s">
        <v>853</v>
      </c>
      <c r="C46" s="17" t="s">
        <v>853</v>
      </c>
      <c r="D46" s="17" t="s">
        <v>853</v>
      </c>
      <c r="E46" s="17" t="s">
        <v>853</v>
      </c>
      <c r="F46" s="17" t="s">
        <v>853</v>
      </c>
      <c r="G46" s="17" t="s">
        <v>503</v>
      </c>
      <c r="H46" s="17" t="s">
        <v>986</v>
      </c>
    </row>
    <row r="47" customFormat="false" ht="15" hidden="false" customHeight="true" outlineLevel="0" collapsed="false">
      <c r="A47" s="22" t="s">
        <v>403</v>
      </c>
      <c r="B47" s="23" t="s">
        <v>853</v>
      </c>
      <c r="C47" s="23" t="s">
        <v>853</v>
      </c>
      <c r="D47" s="23" t="s">
        <v>853</v>
      </c>
      <c r="E47" s="23" t="s">
        <v>853</v>
      </c>
      <c r="F47" s="23" t="s">
        <v>853</v>
      </c>
      <c r="G47" s="22" t="s">
        <v>514</v>
      </c>
      <c r="H47" s="23" t="s">
        <v>987</v>
      </c>
    </row>
    <row r="48" customFormat="false" ht="23.25" hidden="false" customHeight="true" outlineLevel="0" collapsed="false">
      <c r="A48" s="17" t="s">
        <v>988</v>
      </c>
      <c r="B48" s="17" t="s">
        <v>503</v>
      </c>
      <c r="C48" s="17" t="s">
        <v>503</v>
      </c>
      <c r="D48" s="17" t="s">
        <v>503</v>
      </c>
      <c r="E48" s="17" t="s">
        <v>503</v>
      </c>
      <c r="F48" s="17" t="s">
        <v>503</v>
      </c>
      <c r="G48" s="17" t="s">
        <v>423</v>
      </c>
      <c r="H48" s="17" t="s">
        <v>989</v>
      </c>
    </row>
    <row r="49" customFormat="false" ht="23.25" hidden="false" customHeight="true" outlineLevel="0" collapsed="false">
      <c r="A49" s="22" t="s">
        <v>990</v>
      </c>
      <c r="B49" s="23" t="s">
        <v>423</v>
      </c>
      <c r="C49" s="23" t="s">
        <v>423</v>
      </c>
      <c r="D49" s="23" t="s">
        <v>423</v>
      </c>
      <c r="E49" s="23" t="s">
        <v>423</v>
      </c>
      <c r="F49" s="23" t="s">
        <v>423</v>
      </c>
      <c r="G49" s="23" t="s">
        <v>423</v>
      </c>
      <c r="H49" s="23" t="s">
        <v>991</v>
      </c>
    </row>
    <row r="50" customFormat="false" ht="15" hidden="false" customHeight="true" outlineLevel="0" collapsed="false">
      <c r="A50" s="16" t="s">
        <v>992</v>
      </c>
      <c r="B50" s="17" t="s">
        <v>423</v>
      </c>
      <c r="C50" s="17" t="s">
        <v>423</v>
      </c>
      <c r="D50" s="17" t="s">
        <v>423</v>
      </c>
      <c r="E50" s="17" t="s">
        <v>423</v>
      </c>
      <c r="F50" s="17" t="s">
        <v>423</v>
      </c>
      <c r="G50" s="17" t="s">
        <v>423</v>
      </c>
      <c r="H50" s="17" t="s">
        <v>993</v>
      </c>
    </row>
    <row r="52" customFormat="false" ht="14.25" hidden="false" customHeight="true" outlineLevel="0" collapsed="false">
      <c r="A52" s="25" t="s">
        <v>994</v>
      </c>
      <c r="B52" s="25"/>
      <c r="C52" s="25"/>
      <c r="D52" s="25"/>
      <c r="E52" s="25"/>
      <c r="F52" s="25"/>
      <c r="G52" s="25"/>
      <c r="H52" s="25"/>
      <c r="I52" s="25"/>
      <c r="J52" s="25"/>
    </row>
    <row r="53" customFormat="false" ht="15" hidden="false" customHeight="true" outlineLevel="0" collapsed="false">
      <c r="A53" s="15" t="s">
        <v>734</v>
      </c>
      <c r="B53" s="15" t="s">
        <v>52</v>
      </c>
      <c r="C53" s="15" t="s">
        <v>735</v>
      </c>
      <c r="D53" s="15" t="s">
        <v>736</v>
      </c>
    </row>
    <row r="54" customFormat="false" ht="34.5" hidden="false" customHeight="true" outlineLevel="0" collapsed="false">
      <c r="A54" s="16" t="s">
        <v>864</v>
      </c>
      <c r="B54" s="16" t="s">
        <v>995</v>
      </c>
      <c r="C54" s="16" t="s">
        <v>738</v>
      </c>
      <c r="D54" s="17" t="s">
        <v>996</v>
      </c>
    </row>
    <row r="55" customFormat="false" ht="57" hidden="false" customHeight="true" outlineLevel="0" collapsed="false">
      <c r="A55" s="16" t="s">
        <v>868</v>
      </c>
      <c r="B55" s="16" t="s">
        <v>997</v>
      </c>
      <c r="C55" s="16" t="s">
        <v>998</v>
      </c>
      <c r="D55" s="17" t="s">
        <v>999</v>
      </c>
    </row>
    <row r="56" customFormat="false" ht="45.75" hidden="false" customHeight="true" outlineLevel="0" collapsed="false">
      <c r="A56" s="16" t="s">
        <v>872</v>
      </c>
      <c r="B56" s="16" t="s">
        <v>1000</v>
      </c>
      <c r="C56" s="17" t="s">
        <v>1001</v>
      </c>
      <c r="D56" s="17" t="s">
        <v>1002</v>
      </c>
    </row>
    <row r="57" customFormat="false" ht="34.5" hidden="false" customHeight="true" outlineLevel="0" collapsed="false">
      <c r="A57" s="17" t="s">
        <v>876</v>
      </c>
      <c r="B57" s="17" t="s">
        <v>1003</v>
      </c>
      <c r="C57" s="16" t="s">
        <v>514</v>
      </c>
      <c r="D57" s="17" t="s">
        <v>1004</v>
      </c>
    </row>
    <row r="58" customFormat="false" ht="34.5" hidden="false" customHeight="true" outlineLevel="0" collapsed="false">
      <c r="A58" s="27" t="s">
        <v>1005</v>
      </c>
      <c r="B58" s="26" t="s">
        <v>1006</v>
      </c>
      <c r="C58" s="27" t="s">
        <v>514</v>
      </c>
      <c r="D58" s="26" t="s">
        <v>1007</v>
      </c>
    </row>
  </sheetData>
  <mergeCells count="5">
    <mergeCell ref="A1:J1"/>
    <mergeCell ref="A3:J3"/>
    <mergeCell ref="A18:J18"/>
    <mergeCell ref="A42:J42"/>
    <mergeCell ref="A52:J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2"/>
    <col collapsed="false" customWidth="true" hidden="false" outlineLevel="0" max="3" min="3" style="1" width="28"/>
    <col collapsed="false" customWidth="true" hidden="false" outlineLevel="0" max="4" min="4" style="1" width="38"/>
    <col collapsed="false" customWidth="true" hidden="false" outlineLevel="0" max="5" min="5" style="1" width="26"/>
    <col collapsed="false" customWidth="true" hidden="false" outlineLevel="0" max="6" min="6" style="1" width="24"/>
  </cols>
  <sheetData>
    <row r="1" customFormat="false" ht="17.25" hidden="false" customHeight="true" outlineLevel="0" collapsed="false">
      <c r="A1" s="13" t="s">
        <v>1008</v>
      </c>
      <c r="B1" s="13"/>
      <c r="C1" s="13"/>
      <c r="D1" s="13"/>
      <c r="E1" s="13"/>
      <c r="F1" s="13"/>
    </row>
    <row r="3" customFormat="false" ht="14.25" hidden="false" customHeight="true" outlineLevel="0" collapsed="false">
      <c r="A3" s="21" t="s">
        <v>1009</v>
      </c>
      <c r="B3" s="21"/>
      <c r="C3" s="21"/>
      <c r="D3" s="21"/>
      <c r="E3" s="21"/>
      <c r="F3" s="21"/>
    </row>
    <row r="4" customFormat="false" ht="15" hidden="false" customHeight="true" outlineLevel="0" collapsed="false">
      <c r="A4" s="15" t="s">
        <v>1010</v>
      </c>
      <c r="B4" s="15" t="s">
        <v>1011</v>
      </c>
      <c r="C4" s="15" t="s">
        <v>1012</v>
      </c>
      <c r="D4" s="15" t="s">
        <v>11</v>
      </c>
      <c r="E4" s="15" t="s">
        <v>884</v>
      </c>
    </row>
    <row r="5" customFormat="false" ht="23.25" hidden="false" customHeight="true" outlineLevel="0" collapsed="false">
      <c r="A5" s="17" t="s">
        <v>435</v>
      </c>
      <c r="B5" s="17" t="s">
        <v>1013</v>
      </c>
      <c r="C5" s="16" t="s">
        <v>1014</v>
      </c>
      <c r="D5" s="16" t="s">
        <v>1015</v>
      </c>
      <c r="E5" s="17" t="s">
        <v>1016</v>
      </c>
    </row>
    <row r="6" customFormat="false" ht="15" hidden="false" customHeight="true" outlineLevel="0" collapsed="false">
      <c r="A6" s="23" t="s">
        <v>435</v>
      </c>
      <c r="B6" s="23" t="s">
        <v>1017</v>
      </c>
      <c r="C6" s="22" t="s">
        <v>1018</v>
      </c>
      <c r="D6" s="22" t="s">
        <v>1019</v>
      </c>
      <c r="E6" s="23" t="s">
        <v>1020</v>
      </c>
    </row>
    <row r="7" customFormat="false" ht="15" hidden="false" customHeight="true" outlineLevel="0" collapsed="false">
      <c r="A7" s="17" t="s">
        <v>435</v>
      </c>
      <c r="B7" s="16" t="s">
        <v>1021</v>
      </c>
      <c r="C7" s="16" t="s">
        <v>1022</v>
      </c>
      <c r="D7" s="16" t="s">
        <v>1023</v>
      </c>
      <c r="E7" s="17" t="s">
        <v>1024</v>
      </c>
    </row>
    <row r="8" customFormat="false" ht="15" hidden="false" customHeight="true" outlineLevel="0" collapsed="false">
      <c r="A8" s="23" t="s">
        <v>435</v>
      </c>
      <c r="B8" s="22" t="s">
        <v>1025</v>
      </c>
      <c r="C8" s="22" t="s">
        <v>1026</v>
      </c>
      <c r="D8" s="22" t="s">
        <v>1027</v>
      </c>
      <c r="E8" s="22" t="s">
        <v>1028</v>
      </c>
    </row>
    <row r="9" customFormat="false" ht="15" hidden="false" customHeight="true" outlineLevel="0" collapsed="false">
      <c r="A9" s="17" t="s">
        <v>435</v>
      </c>
      <c r="B9" s="16" t="s">
        <v>1029</v>
      </c>
      <c r="C9" s="16" t="s">
        <v>1030</v>
      </c>
      <c r="D9" s="16" t="s">
        <v>1031</v>
      </c>
      <c r="E9" s="16" t="s">
        <v>1032</v>
      </c>
    </row>
    <row r="10" customFormat="false" ht="15" hidden="false" customHeight="true" outlineLevel="0" collapsed="false">
      <c r="A10" s="23" t="s">
        <v>1033</v>
      </c>
      <c r="B10" s="23" t="s">
        <v>1034</v>
      </c>
      <c r="C10" s="22" t="s">
        <v>1035</v>
      </c>
      <c r="D10" s="22" t="s">
        <v>1036</v>
      </c>
      <c r="E10" s="22" t="s">
        <v>514</v>
      </c>
    </row>
    <row r="11" customFormat="false" ht="15" hidden="false" customHeight="true" outlineLevel="0" collapsed="false">
      <c r="A11" s="17" t="s">
        <v>1037</v>
      </c>
      <c r="B11" s="17" t="s">
        <v>1038</v>
      </c>
      <c r="C11" s="16" t="s">
        <v>1039</v>
      </c>
      <c r="D11" s="16" t="s">
        <v>1040</v>
      </c>
      <c r="E11" s="17" t="s">
        <v>1041</v>
      </c>
    </row>
    <row r="12" customFormat="false" ht="15" hidden="false" customHeight="true" outlineLevel="0" collapsed="false">
      <c r="A12" s="23" t="s">
        <v>914</v>
      </c>
      <c r="B12" s="23" t="s">
        <v>1042</v>
      </c>
      <c r="C12" s="22" t="s">
        <v>1043</v>
      </c>
      <c r="D12" s="22" t="s">
        <v>1044</v>
      </c>
      <c r="E12" s="23" t="s">
        <v>1045</v>
      </c>
    </row>
    <row r="13" customFormat="false" ht="15" hidden="false" customHeight="true" outlineLevel="0" collapsed="false">
      <c r="A13" s="17" t="s">
        <v>904</v>
      </c>
      <c r="B13" s="16" t="s">
        <v>1046</v>
      </c>
      <c r="C13" s="16" t="s">
        <v>1047</v>
      </c>
      <c r="D13" s="16" t="s">
        <v>1048</v>
      </c>
      <c r="E13" s="16" t="s">
        <v>1049</v>
      </c>
    </row>
    <row r="14" customFormat="false" ht="15" hidden="false" customHeight="true" outlineLevel="0" collapsed="false">
      <c r="A14" s="23" t="s">
        <v>1050</v>
      </c>
      <c r="B14" s="23" t="s">
        <v>1038</v>
      </c>
      <c r="C14" s="22" t="s">
        <v>1051</v>
      </c>
      <c r="D14" s="22" t="s">
        <v>1052</v>
      </c>
      <c r="E14" s="22" t="s">
        <v>514</v>
      </c>
    </row>
    <row r="16" customFormat="false" ht="15" hidden="false" customHeight="true" outlineLevel="0" collapsed="false">
      <c r="A16" s="24" t="s">
        <v>1053</v>
      </c>
      <c r="B16" s="24"/>
      <c r="C16" s="24"/>
      <c r="D16" s="24"/>
      <c r="E16" s="24"/>
    </row>
    <row r="17" customFormat="false" ht="15" hidden="false" customHeight="true" outlineLevel="0" collapsed="false">
      <c r="A17" s="15" t="s">
        <v>1054</v>
      </c>
      <c r="B17" s="15" t="s">
        <v>1055</v>
      </c>
      <c r="C17" s="15" t="s">
        <v>1012</v>
      </c>
      <c r="D17" s="15" t="s">
        <v>1056</v>
      </c>
      <c r="E17" s="14" t="s">
        <v>1057</v>
      </c>
    </row>
    <row r="18" customFormat="false" ht="15" hidden="false" customHeight="true" outlineLevel="0" collapsed="false">
      <c r="A18" s="17" t="s">
        <v>1058</v>
      </c>
      <c r="B18" s="16" t="s">
        <v>1059</v>
      </c>
      <c r="C18" s="16" t="s">
        <v>1060</v>
      </c>
      <c r="D18" s="16" t="s">
        <v>1061</v>
      </c>
      <c r="E18" s="16"/>
    </row>
    <row r="19" customFormat="false" ht="15" hidden="false" customHeight="true" outlineLevel="0" collapsed="false">
      <c r="A19" s="23" t="s">
        <v>1062</v>
      </c>
      <c r="B19" s="22" t="s">
        <v>1063</v>
      </c>
      <c r="C19" s="22" t="s">
        <v>1051</v>
      </c>
      <c r="D19" s="22" t="s">
        <v>1064</v>
      </c>
      <c r="E19" s="22"/>
    </row>
    <row r="20" customFormat="false" ht="15" hidden="false" customHeight="true" outlineLevel="0" collapsed="false">
      <c r="A20" s="17" t="s">
        <v>1065</v>
      </c>
      <c r="B20" s="16" t="s">
        <v>1066</v>
      </c>
      <c r="C20" s="16" t="s">
        <v>1067</v>
      </c>
      <c r="D20" s="16" t="s">
        <v>1068</v>
      </c>
      <c r="E20" s="16"/>
    </row>
    <row r="21" customFormat="false" ht="15" hidden="false" customHeight="true" outlineLevel="0" collapsed="false">
      <c r="A21" s="22" t="s">
        <v>1069</v>
      </c>
      <c r="B21" s="22" t="s">
        <v>514</v>
      </c>
      <c r="C21" s="22" t="s">
        <v>514</v>
      </c>
      <c r="D21" s="22" t="s">
        <v>1070</v>
      </c>
      <c r="E21" s="23" t="s">
        <v>1071</v>
      </c>
    </row>
    <row r="23" customFormat="false" ht="14.25" hidden="false" customHeight="true" outlineLevel="0" collapsed="false">
      <c r="A23" s="21" t="s">
        <v>1072</v>
      </c>
      <c r="B23" s="21"/>
      <c r="C23" s="21"/>
      <c r="D23" s="21"/>
      <c r="E23" s="21"/>
      <c r="F23" s="21"/>
    </row>
    <row r="24" customFormat="false" ht="15" hidden="false" customHeight="true" outlineLevel="0" collapsed="false">
      <c r="A24" s="15" t="s">
        <v>1073</v>
      </c>
      <c r="B24" s="14" t="s">
        <v>1074</v>
      </c>
      <c r="C24" s="15" t="s">
        <v>1075</v>
      </c>
      <c r="D24" s="15" t="s">
        <v>1076</v>
      </c>
      <c r="E24" s="15" t="s">
        <v>1077</v>
      </c>
      <c r="F24" s="15" t="s">
        <v>884</v>
      </c>
    </row>
    <row r="25" customFormat="false" ht="23.25" hidden="false" customHeight="true" outlineLevel="0" collapsed="false">
      <c r="A25" s="16" t="s">
        <v>1078</v>
      </c>
      <c r="B25" s="16" t="s">
        <v>1079</v>
      </c>
      <c r="C25" s="16" t="s">
        <v>1080</v>
      </c>
      <c r="D25" s="17" t="s">
        <v>1081</v>
      </c>
      <c r="E25" s="16" t="s">
        <v>1082</v>
      </c>
      <c r="F25" s="16" t="s">
        <v>1083</v>
      </c>
    </row>
    <row r="26" customFormat="false" ht="15" hidden="false" customHeight="true" outlineLevel="0" collapsed="false">
      <c r="A26" s="22" t="s">
        <v>1084</v>
      </c>
      <c r="B26" s="22" t="s">
        <v>1085</v>
      </c>
      <c r="C26" s="22" t="s">
        <v>1086</v>
      </c>
      <c r="D26" s="22" t="s">
        <v>514</v>
      </c>
      <c r="E26" s="22" t="s">
        <v>1087</v>
      </c>
      <c r="F26" s="23" t="s">
        <v>1088</v>
      </c>
    </row>
    <row r="27" customFormat="false" ht="23.25" hidden="false" customHeight="true" outlineLevel="0" collapsed="false">
      <c r="A27" s="16" t="s">
        <v>1089</v>
      </c>
      <c r="B27" s="16" t="s">
        <v>514</v>
      </c>
      <c r="C27" s="16" t="s">
        <v>1090</v>
      </c>
      <c r="D27" s="16" t="s">
        <v>514</v>
      </c>
      <c r="E27" s="17" t="s">
        <v>1091</v>
      </c>
      <c r="F27" s="16" t="s">
        <v>1092</v>
      </c>
    </row>
    <row r="28" customFormat="false" ht="15" hidden="false" customHeight="true" outlineLevel="0" collapsed="false">
      <c r="A28" s="22" t="s">
        <v>1093</v>
      </c>
      <c r="B28" s="22" t="s">
        <v>1094</v>
      </c>
      <c r="C28" s="23" t="s">
        <v>1095</v>
      </c>
      <c r="D28" s="23" t="s">
        <v>1096</v>
      </c>
      <c r="E28" s="22" t="s">
        <v>1097</v>
      </c>
      <c r="F28" s="22" t="s">
        <v>514</v>
      </c>
    </row>
    <row r="29" customFormat="false" ht="15" hidden="false" customHeight="true" outlineLevel="0" collapsed="false">
      <c r="A29" s="16" t="s">
        <v>1098</v>
      </c>
      <c r="B29" s="16" t="s">
        <v>1099</v>
      </c>
      <c r="C29" s="17" t="s">
        <v>1095</v>
      </c>
      <c r="D29" s="16" t="s">
        <v>514</v>
      </c>
      <c r="E29" s="16" t="s">
        <v>1100</v>
      </c>
      <c r="F29" s="16" t="s">
        <v>514</v>
      </c>
    </row>
    <row r="30" customFormat="false" ht="15" hidden="false" customHeight="true" outlineLevel="0" collapsed="false">
      <c r="A30" s="22" t="s">
        <v>859</v>
      </c>
      <c r="B30" s="22" t="s">
        <v>1101</v>
      </c>
      <c r="C30" s="23" t="s">
        <v>1102</v>
      </c>
      <c r="D30" s="22" t="s">
        <v>514</v>
      </c>
      <c r="E30" s="22" t="s">
        <v>1103</v>
      </c>
      <c r="F30" s="22" t="s">
        <v>514</v>
      </c>
    </row>
    <row r="31" customFormat="false" ht="23.25" hidden="false" customHeight="true" outlineLevel="0" collapsed="false">
      <c r="A31" s="16" t="s">
        <v>1104</v>
      </c>
      <c r="B31" s="16" t="s">
        <v>1105</v>
      </c>
      <c r="C31" s="16" t="s">
        <v>514</v>
      </c>
      <c r="D31" s="16" t="s">
        <v>1106</v>
      </c>
      <c r="E31" s="16" t="s">
        <v>1107</v>
      </c>
      <c r="F31" s="16" t="s">
        <v>514</v>
      </c>
    </row>
    <row r="32" customFormat="false" ht="15" hidden="false" customHeight="true" outlineLevel="0" collapsed="false">
      <c r="A32" s="22" t="s">
        <v>1108</v>
      </c>
      <c r="B32" s="22" t="s">
        <v>514</v>
      </c>
      <c r="C32" s="22" t="s">
        <v>514</v>
      </c>
      <c r="D32" s="22" t="s">
        <v>1109</v>
      </c>
      <c r="E32" s="22" t="s">
        <v>1110</v>
      </c>
      <c r="F32" s="22" t="s">
        <v>514</v>
      </c>
    </row>
    <row r="33" customFormat="false" ht="15" hidden="false" customHeight="true" outlineLevel="0" collapsed="false">
      <c r="A33" s="16" t="s">
        <v>1111</v>
      </c>
      <c r="B33" s="16" t="s">
        <v>514</v>
      </c>
      <c r="C33" s="16" t="s">
        <v>514</v>
      </c>
      <c r="D33" s="16" t="s">
        <v>1112</v>
      </c>
      <c r="E33" s="16" t="s">
        <v>1113</v>
      </c>
      <c r="F33" s="16" t="s">
        <v>514</v>
      </c>
    </row>
    <row r="34" customFormat="false" ht="15" hidden="false" customHeight="true" outlineLevel="0" collapsed="false">
      <c r="A34" s="22" t="s">
        <v>1114</v>
      </c>
      <c r="B34" s="22" t="s">
        <v>514</v>
      </c>
      <c r="C34" s="22" t="s">
        <v>514</v>
      </c>
      <c r="D34" s="22" t="s">
        <v>1115</v>
      </c>
      <c r="E34" s="22" t="s">
        <v>1116</v>
      </c>
      <c r="F34" s="22" t="s">
        <v>514</v>
      </c>
    </row>
    <row r="35" customFormat="false" ht="15" hidden="false" customHeight="true" outlineLevel="0" collapsed="false">
      <c r="A35" s="16" t="s">
        <v>1117</v>
      </c>
      <c r="B35" s="16" t="s">
        <v>514</v>
      </c>
      <c r="C35" s="16" t="s">
        <v>514</v>
      </c>
      <c r="D35" s="16" t="s">
        <v>1118</v>
      </c>
      <c r="E35" s="16" t="s">
        <v>1119</v>
      </c>
      <c r="F35" s="16" t="s">
        <v>514</v>
      </c>
    </row>
    <row r="36" customFormat="false" ht="23.25" hidden="false" customHeight="true" outlineLevel="0" collapsed="false">
      <c r="A36" s="22" t="s">
        <v>1120</v>
      </c>
      <c r="B36" s="22" t="s">
        <v>1121</v>
      </c>
      <c r="C36" s="22" t="s">
        <v>514</v>
      </c>
      <c r="D36" s="23" t="s">
        <v>1096</v>
      </c>
      <c r="E36" s="22" t="s">
        <v>1122</v>
      </c>
      <c r="F36" s="22" t="s">
        <v>514</v>
      </c>
    </row>
    <row r="37" customFormat="false" ht="23.25" hidden="false" customHeight="true" outlineLevel="0" collapsed="false">
      <c r="A37" s="16" t="s">
        <v>1123</v>
      </c>
      <c r="B37" s="16" t="s">
        <v>1124</v>
      </c>
      <c r="C37" s="16" t="s">
        <v>514</v>
      </c>
      <c r="D37" s="16" t="s">
        <v>514</v>
      </c>
      <c r="E37" s="16" t="s">
        <v>1125</v>
      </c>
      <c r="F37" s="16" t="s">
        <v>514</v>
      </c>
    </row>
    <row r="38" customFormat="false" ht="23.25" hidden="false" customHeight="true" outlineLevel="0" collapsed="false">
      <c r="A38" s="22" t="s">
        <v>1126</v>
      </c>
      <c r="B38" s="23" t="s">
        <v>1127</v>
      </c>
      <c r="C38" s="22" t="s">
        <v>1128</v>
      </c>
      <c r="D38" s="22" t="s">
        <v>514</v>
      </c>
      <c r="E38" s="22" t="s">
        <v>1129</v>
      </c>
      <c r="F38" s="22" t="s">
        <v>514</v>
      </c>
    </row>
    <row r="40" customFormat="false" ht="14.25" hidden="false" customHeight="true" outlineLevel="0" collapsed="false">
      <c r="A40" s="21" t="s">
        <v>1130</v>
      </c>
      <c r="B40" s="21"/>
      <c r="C40" s="21"/>
      <c r="D40" s="21"/>
      <c r="E40" s="21"/>
      <c r="F40" s="21"/>
    </row>
    <row r="41" customFormat="false" ht="15" hidden="false" customHeight="true" outlineLevel="0" collapsed="false">
      <c r="A41" s="15" t="s">
        <v>1131</v>
      </c>
      <c r="B41" s="15" t="s">
        <v>1132</v>
      </c>
      <c r="C41" s="14" t="s">
        <v>1133</v>
      </c>
      <c r="D41" s="14" t="s">
        <v>1134</v>
      </c>
      <c r="E41" s="15" t="s">
        <v>1135</v>
      </c>
      <c r="F41" s="15" t="s">
        <v>1136</v>
      </c>
    </row>
    <row r="42" customFormat="false" ht="34.5" hidden="false" customHeight="true" outlineLevel="0" collapsed="false">
      <c r="A42" s="26" t="s">
        <v>435</v>
      </c>
      <c r="B42" s="26" t="s">
        <v>1137</v>
      </c>
      <c r="C42" s="27" t="s">
        <v>1138</v>
      </c>
      <c r="D42" s="26" t="s">
        <v>1139</v>
      </c>
      <c r="E42" s="27" t="s">
        <v>1140</v>
      </c>
      <c r="F42" s="26" t="s">
        <v>1141</v>
      </c>
    </row>
    <row r="43" customFormat="false" ht="23.25" hidden="false" customHeight="true" outlineLevel="0" collapsed="false">
      <c r="A43" s="26" t="s">
        <v>1142</v>
      </c>
      <c r="B43" s="27" t="s">
        <v>1143</v>
      </c>
      <c r="C43" s="27" t="s">
        <v>1144</v>
      </c>
      <c r="D43" s="27" t="s">
        <v>1145</v>
      </c>
      <c r="E43" s="27" t="s">
        <v>1146</v>
      </c>
      <c r="F43" s="27" t="s">
        <v>1147</v>
      </c>
    </row>
    <row r="44" customFormat="false" ht="23.25" hidden="false" customHeight="true" outlineLevel="0" collapsed="false">
      <c r="A44" s="17" t="s">
        <v>1033</v>
      </c>
      <c r="B44" s="16" t="s">
        <v>1148</v>
      </c>
      <c r="C44" s="16" t="s">
        <v>1149</v>
      </c>
      <c r="D44" s="16" t="s">
        <v>1150</v>
      </c>
      <c r="E44" s="16" t="s">
        <v>1151</v>
      </c>
      <c r="F44" s="16" t="s">
        <v>514</v>
      </c>
    </row>
    <row r="45" customFormat="false" ht="15" hidden="false" customHeight="true" outlineLevel="0" collapsed="false">
      <c r="A45" s="17" t="s">
        <v>914</v>
      </c>
      <c r="B45" s="17" t="s">
        <v>1152</v>
      </c>
      <c r="C45" s="16" t="s">
        <v>1153</v>
      </c>
      <c r="D45" s="16" t="s">
        <v>1154</v>
      </c>
      <c r="E45" s="16" t="s">
        <v>1155</v>
      </c>
      <c r="F45" s="16" t="s">
        <v>514</v>
      </c>
    </row>
    <row r="46" customFormat="false" ht="34.5" hidden="false" customHeight="true" outlineLevel="0" collapsed="false">
      <c r="A46" s="17" t="s">
        <v>904</v>
      </c>
      <c r="B46" s="16" t="s">
        <v>1156</v>
      </c>
      <c r="C46" s="16" t="s">
        <v>1157</v>
      </c>
      <c r="D46" s="16" t="s">
        <v>1158</v>
      </c>
      <c r="E46" s="17" t="s">
        <v>1159</v>
      </c>
      <c r="F46" s="16" t="s">
        <v>1160</v>
      </c>
    </row>
    <row r="47" customFormat="false" ht="23.25" hidden="false" customHeight="true" outlineLevel="0" collapsed="false">
      <c r="A47" s="17" t="s">
        <v>1161</v>
      </c>
      <c r="B47" s="16" t="s">
        <v>1162</v>
      </c>
      <c r="C47" s="16" t="s">
        <v>1163</v>
      </c>
      <c r="D47" s="16" t="s">
        <v>1164</v>
      </c>
      <c r="E47" s="16" t="s">
        <v>1165</v>
      </c>
      <c r="F47" s="16" t="s">
        <v>514</v>
      </c>
    </row>
    <row r="48" customFormat="false" ht="15" hidden="false" customHeight="true" outlineLevel="0" collapsed="false">
      <c r="A48" s="17" t="s">
        <v>1050</v>
      </c>
      <c r="B48" s="16" t="s">
        <v>1166</v>
      </c>
      <c r="C48" s="16" t="s">
        <v>1167</v>
      </c>
      <c r="D48" s="16" t="s">
        <v>1168</v>
      </c>
      <c r="E48" s="16" t="s">
        <v>1169</v>
      </c>
      <c r="F48" s="16" t="s">
        <v>1170</v>
      </c>
    </row>
    <row r="49" customFormat="false" ht="15" hidden="false" customHeight="true" outlineLevel="0" collapsed="false">
      <c r="A49" s="17" t="s">
        <v>1171</v>
      </c>
      <c r="B49" s="16" t="s">
        <v>1172</v>
      </c>
      <c r="C49" s="16" t="s">
        <v>1173</v>
      </c>
      <c r="D49" s="16" t="s">
        <v>1174</v>
      </c>
      <c r="E49" s="16" t="s">
        <v>1175</v>
      </c>
      <c r="F49" s="16" t="s">
        <v>514</v>
      </c>
    </row>
    <row r="50" customFormat="false" ht="15" hidden="false" customHeight="true" outlineLevel="0" collapsed="false">
      <c r="A50" s="26" t="s">
        <v>1176</v>
      </c>
      <c r="B50" s="27" t="s">
        <v>1177</v>
      </c>
      <c r="C50" s="27" t="s">
        <v>1178</v>
      </c>
      <c r="D50" s="26" t="s">
        <v>1179</v>
      </c>
      <c r="E50" s="27" t="s">
        <v>1180</v>
      </c>
      <c r="F50" s="27" t="s">
        <v>514</v>
      </c>
    </row>
    <row r="51" customFormat="false" ht="15" hidden="false" customHeight="true" outlineLevel="0" collapsed="false">
      <c r="A51" s="17" t="s">
        <v>1181</v>
      </c>
      <c r="B51" s="16" t="s">
        <v>1182</v>
      </c>
      <c r="C51" s="16" t="s">
        <v>1183</v>
      </c>
      <c r="D51" s="16" t="s">
        <v>1184</v>
      </c>
      <c r="E51" s="16" t="s">
        <v>1185</v>
      </c>
      <c r="F51" s="16" t="s">
        <v>514</v>
      </c>
    </row>
    <row r="53" customFormat="false" ht="14.25" hidden="false" customHeight="true" outlineLevel="0" collapsed="false">
      <c r="A53" s="25" t="s">
        <v>1186</v>
      </c>
      <c r="B53" s="25"/>
      <c r="C53" s="25"/>
      <c r="D53" s="25"/>
      <c r="E53" s="25"/>
      <c r="F53" s="25"/>
    </row>
    <row r="54" customFormat="false" ht="15" hidden="false" customHeight="true" outlineLevel="0" collapsed="false">
      <c r="A54" s="15" t="s">
        <v>1187</v>
      </c>
      <c r="B54" s="15" t="s">
        <v>478</v>
      </c>
      <c r="C54" s="15" t="s">
        <v>480</v>
      </c>
      <c r="D54" s="14" t="s">
        <v>58</v>
      </c>
      <c r="E54" s="15" t="s">
        <v>1188</v>
      </c>
      <c r="F54" s="15" t="s">
        <v>1189</v>
      </c>
    </row>
    <row r="55" customFormat="false" ht="23.25" hidden="false" customHeight="true" outlineLevel="0" collapsed="false">
      <c r="A55" s="16" t="s">
        <v>443</v>
      </c>
      <c r="B55" s="16" t="s">
        <v>1190</v>
      </c>
      <c r="C55" s="17" t="s">
        <v>1191</v>
      </c>
      <c r="D55" s="16" t="s">
        <v>68</v>
      </c>
      <c r="E55" s="17" t="s">
        <v>1192</v>
      </c>
      <c r="F55" s="16" t="s">
        <v>1193</v>
      </c>
    </row>
    <row r="56" customFormat="false" ht="15" hidden="false" customHeight="true" outlineLevel="0" collapsed="false">
      <c r="A56" s="22" t="s">
        <v>449</v>
      </c>
      <c r="B56" s="22" t="s">
        <v>1194</v>
      </c>
      <c r="C56" s="22" t="s">
        <v>452</v>
      </c>
      <c r="D56" s="22" t="s">
        <v>68</v>
      </c>
      <c r="E56" s="22" t="s">
        <v>1195</v>
      </c>
      <c r="F56" s="22" t="s">
        <v>1196</v>
      </c>
    </row>
    <row r="57" customFormat="false" ht="15" hidden="false" customHeight="true" outlineLevel="0" collapsed="false">
      <c r="A57" s="16" t="s">
        <v>454</v>
      </c>
      <c r="B57" s="17" t="s">
        <v>1197</v>
      </c>
      <c r="C57" s="16" t="s">
        <v>458</v>
      </c>
      <c r="D57" s="16" t="s">
        <v>68</v>
      </c>
      <c r="E57" s="17" t="s">
        <v>459</v>
      </c>
      <c r="F57" s="16" t="s">
        <v>1193</v>
      </c>
    </row>
    <row r="58" customFormat="false" ht="23.25" hidden="false" customHeight="true" outlineLevel="0" collapsed="false">
      <c r="A58" s="22" t="s">
        <v>460</v>
      </c>
      <c r="B58" s="22" t="s">
        <v>1198</v>
      </c>
      <c r="C58" s="22" t="s">
        <v>1199</v>
      </c>
      <c r="D58" s="22" t="s">
        <v>68</v>
      </c>
      <c r="E58" s="23" t="s">
        <v>463</v>
      </c>
      <c r="F58" s="22" t="s">
        <v>1196</v>
      </c>
    </row>
    <row r="59" customFormat="false" ht="15" hidden="false" customHeight="true" outlineLevel="0" collapsed="false">
      <c r="A59" s="16" t="s">
        <v>101</v>
      </c>
      <c r="B59" s="16" t="s">
        <v>1200</v>
      </c>
      <c r="C59" s="17" t="s">
        <v>1201</v>
      </c>
      <c r="D59" s="16" t="s">
        <v>68</v>
      </c>
      <c r="E59" s="17" t="s">
        <v>1202</v>
      </c>
      <c r="F59" s="16" t="s">
        <v>1193</v>
      </c>
    </row>
    <row r="60" customFormat="false" ht="15" hidden="false" customHeight="true" outlineLevel="0" collapsed="false">
      <c r="A60" s="22" t="s">
        <v>1203</v>
      </c>
      <c r="B60" s="22" t="s">
        <v>1204</v>
      </c>
      <c r="C60" s="22" t="s">
        <v>1205</v>
      </c>
      <c r="D60" s="22" t="s">
        <v>68</v>
      </c>
      <c r="E60" s="23" t="s">
        <v>1206</v>
      </c>
      <c r="F60" s="22" t="s">
        <v>1207</v>
      </c>
    </row>
    <row r="61" customFormat="false" ht="15" hidden="false" customHeight="true" outlineLevel="0" collapsed="false">
      <c r="A61" s="16" t="s">
        <v>1208</v>
      </c>
      <c r="B61" s="16" t="s">
        <v>1209</v>
      </c>
      <c r="C61" s="16" t="s">
        <v>1210</v>
      </c>
      <c r="D61" s="16" t="s">
        <v>68</v>
      </c>
      <c r="E61" s="16" t="s">
        <v>1211</v>
      </c>
      <c r="F61" s="16" t="s">
        <v>1207</v>
      </c>
    </row>
    <row r="62" customFormat="false" ht="15" hidden="false" customHeight="true" outlineLevel="0" collapsed="false">
      <c r="A62" s="22" t="s">
        <v>470</v>
      </c>
      <c r="B62" s="23" t="s">
        <v>471</v>
      </c>
      <c r="C62" s="23" t="s">
        <v>130</v>
      </c>
      <c r="D62" s="23" t="s">
        <v>473</v>
      </c>
      <c r="E62" s="23" t="s">
        <v>474</v>
      </c>
      <c r="F62" s="22" t="s">
        <v>1207</v>
      </c>
    </row>
    <row r="63" customFormat="false" ht="15" hidden="false" customHeight="true" outlineLevel="0" collapsed="false">
      <c r="A63" s="16" t="s">
        <v>464</v>
      </c>
      <c r="B63" s="16" t="s">
        <v>466</v>
      </c>
      <c r="C63" s="17" t="s">
        <v>130</v>
      </c>
      <c r="D63" s="16" t="s">
        <v>68</v>
      </c>
      <c r="E63" s="16" t="s">
        <v>469</v>
      </c>
      <c r="F63" s="16" t="s">
        <v>1193</v>
      </c>
    </row>
    <row r="65" customFormat="false" ht="14.25" hidden="false" customHeight="true" outlineLevel="0" collapsed="false">
      <c r="A65" s="25" t="s">
        <v>1212</v>
      </c>
      <c r="B65" s="25"/>
      <c r="C65" s="25"/>
      <c r="D65" s="25"/>
      <c r="E65" s="25"/>
      <c r="F65" s="25"/>
    </row>
    <row r="66" customFormat="false" ht="15" hidden="false" customHeight="true" outlineLevel="0" collapsed="false">
      <c r="A66" s="15" t="s">
        <v>1213</v>
      </c>
      <c r="B66" s="15" t="s">
        <v>1214</v>
      </c>
    </row>
    <row r="67" customFormat="false" ht="23.25" hidden="false" customHeight="true" outlineLevel="0" collapsed="false">
      <c r="A67" s="17" t="s">
        <v>1215</v>
      </c>
      <c r="B67" s="16" t="s">
        <v>1216</v>
      </c>
    </row>
    <row r="68" customFormat="false" ht="34.5" hidden="false" customHeight="true" outlineLevel="0" collapsed="false">
      <c r="A68" s="23" t="s">
        <v>1217</v>
      </c>
      <c r="B68" s="22" t="s">
        <v>1218</v>
      </c>
    </row>
    <row r="69" customFormat="false" ht="23.25" hidden="false" customHeight="true" outlineLevel="0" collapsed="false">
      <c r="A69" s="16" t="s">
        <v>1219</v>
      </c>
      <c r="B69" s="16" t="s">
        <v>1220</v>
      </c>
    </row>
    <row r="70" customFormat="false" ht="15" hidden="false" customHeight="true" outlineLevel="0" collapsed="false">
      <c r="A70" s="22" t="s">
        <v>1221</v>
      </c>
      <c r="B70" s="22" t="s">
        <v>1222</v>
      </c>
    </row>
  </sheetData>
  <mergeCells count="7">
    <mergeCell ref="A1:F1"/>
    <mergeCell ref="A3:F3"/>
    <mergeCell ref="A16:E16"/>
    <mergeCell ref="A23:F23"/>
    <mergeCell ref="A40:F40"/>
    <mergeCell ref="A53:F53"/>
    <mergeCell ref="A65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2"/>
    <col collapsed="false" customWidth="true" hidden="false" outlineLevel="0" max="6" min="4" style="1" width="18"/>
    <col collapsed="false" customWidth="true" hidden="false" outlineLevel="0" max="7" min="7" style="1" width="22"/>
    <col collapsed="false" customWidth="true" hidden="false" outlineLevel="0" max="8" min="8" style="1" width="30"/>
  </cols>
  <sheetData>
    <row r="1" customFormat="false" ht="17.25" hidden="false" customHeight="true" outlineLevel="0" collapsed="false">
      <c r="A1" s="13" t="s">
        <v>1223</v>
      </c>
      <c r="B1" s="13"/>
      <c r="C1" s="13"/>
      <c r="D1" s="13"/>
      <c r="E1" s="13"/>
      <c r="F1" s="13"/>
      <c r="G1" s="13"/>
      <c r="H1" s="13"/>
    </row>
    <row r="3" customFormat="false" ht="14.25" hidden="false" customHeight="true" outlineLevel="0" collapsed="false">
      <c r="A3" s="21" t="s">
        <v>1224</v>
      </c>
      <c r="B3" s="21"/>
      <c r="C3" s="21"/>
      <c r="D3" s="21"/>
      <c r="E3" s="21"/>
      <c r="F3" s="21"/>
      <c r="G3" s="21"/>
      <c r="H3" s="21"/>
    </row>
    <row r="4" customFormat="false" ht="15" hidden="false" customHeight="true" outlineLevel="0" collapsed="false">
      <c r="A4" s="15" t="s">
        <v>1010</v>
      </c>
      <c r="B4" s="14" t="s">
        <v>1225</v>
      </c>
      <c r="C4" s="14" t="s">
        <v>1226</v>
      </c>
      <c r="D4" s="14" t="s">
        <v>1227</v>
      </c>
      <c r="E4" s="14" t="s">
        <v>1228</v>
      </c>
      <c r="F4" s="14" t="s">
        <v>1229</v>
      </c>
      <c r="G4" s="15" t="s">
        <v>11</v>
      </c>
      <c r="H4" s="15" t="s">
        <v>884</v>
      </c>
    </row>
    <row r="5" customFormat="false" ht="23.25" hidden="false" customHeight="true" outlineLevel="0" collapsed="false">
      <c r="A5" s="16" t="s">
        <v>1230</v>
      </c>
      <c r="B5" s="16" t="s">
        <v>1231</v>
      </c>
      <c r="C5" s="16" t="s">
        <v>1232</v>
      </c>
      <c r="D5" s="16" t="s">
        <v>1233</v>
      </c>
      <c r="E5" s="16" t="s">
        <v>1234</v>
      </c>
      <c r="F5" s="16" t="s">
        <v>1235</v>
      </c>
      <c r="G5" s="16" t="s">
        <v>1236</v>
      </c>
      <c r="H5" s="17" t="s">
        <v>1237</v>
      </c>
    </row>
    <row r="6" customFormat="false" ht="15" hidden="false" customHeight="true" outlineLevel="0" collapsed="false">
      <c r="A6" s="22" t="s">
        <v>1238</v>
      </c>
      <c r="B6" s="22" t="s">
        <v>1239</v>
      </c>
      <c r="C6" s="22" t="s">
        <v>1240</v>
      </c>
      <c r="D6" s="22" t="s">
        <v>1241</v>
      </c>
      <c r="E6" s="22" t="s">
        <v>1242</v>
      </c>
      <c r="F6" s="22" t="s">
        <v>1243</v>
      </c>
      <c r="G6" s="22" t="s">
        <v>1244</v>
      </c>
      <c r="H6" s="22" t="s">
        <v>514</v>
      </c>
    </row>
    <row r="7" customFormat="false" ht="15" hidden="false" customHeight="true" outlineLevel="0" collapsed="false">
      <c r="A7" s="16" t="s">
        <v>1245</v>
      </c>
      <c r="B7" s="16" t="s">
        <v>1239</v>
      </c>
      <c r="C7" s="16" t="s">
        <v>1246</v>
      </c>
      <c r="D7" s="16" t="s">
        <v>1247</v>
      </c>
      <c r="E7" s="16" t="s">
        <v>1248</v>
      </c>
      <c r="F7" s="16" t="s">
        <v>1249</v>
      </c>
      <c r="G7" s="16" t="s">
        <v>1250</v>
      </c>
      <c r="H7" s="17" t="s">
        <v>1251</v>
      </c>
    </row>
    <row r="8" customFormat="false" ht="15" hidden="false" customHeight="true" outlineLevel="0" collapsed="false">
      <c r="A8" s="22" t="s">
        <v>1252</v>
      </c>
      <c r="B8" s="22" t="s">
        <v>1239</v>
      </c>
      <c r="C8" s="22" t="s">
        <v>1253</v>
      </c>
      <c r="D8" s="22" t="s">
        <v>1254</v>
      </c>
      <c r="E8" s="22" t="s">
        <v>1255</v>
      </c>
      <c r="F8" s="22" t="s">
        <v>1243</v>
      </c>
      <c r="G8" s="23" t="s">
        <v>1256</v>
      </c>
      <c r="H8" s="22" t="s">
        <v>514</v>
      </c>
    </row>
    <row r="9" customFormat="false" ht="15" hidden="false" customHeight="true" outlineLevel="0" collapsed="false">
      <c r="A9" s="16" t="s">
        <v>1257</v>
      </c>
      <c r="B9" s="16" t="s">
        <v>1258</v>
      </c>
      <c r="C9" s="16" t="s">
        <v>1259</v>
      </c>
      <c r="D9" s="16" t="s">
        <v>1260</v>
      </c>
      <c r="E9" s="16" t="s">
        <v>1261</v>
      </c>
      <c r="F9" s="16" t="s">
        <v>1262</v>
      </c>
      <c r="G9" s="16" t="s">
        <v>1263</v>
      </c>
      <c r="H9" s="17" t="s">
        <v>502</v>
      </c>
    </row>
    <row r="10" customFormat="false" ht="15" hidden="false" customHeight="true" outlineLevel="0" collapsed="false">
      <c r="A10" s="22" t="s">
        <v>1264</v>
      </c>
      <c r="B10" s="22" t="s">
        <v>1258</v>
      </c>
      <c r="C10" s="22" t="s">
        <v>1265</v>
      </c>
      <c r="D10" s="22" t="s">
        <v>1266</v>
      </c>
      <c r="E10" s="22" t="s">
        <v>1267</v>
      </c>
      <c r="F10" s="22" t="s">
        <v>1268</v>
      </c>
      <c r="G10" s="22" t="s">
        <v>1250</v>
      </c>
      <c r="H10" s="22" t="s">
        <v>1269</v>
      </c>
    </row>
    <row r="11" customFormat="false" ht="15" hidden="false" customHeight="true" outlineLevel="0" collapsed="false">
      <c r="A11" s="16" t="s">
        <v>1270</v>
      </c>
      <c r="B11" s="16" t="s">
        <v>1271</v>
      </c>
      <c r="C11" s="16" t="s">
        <v>1272</v>
      </c>
      <c r="D11" s="16" t="s">
        <v>1273</v>
      </c>
      <c r="E11" s="16" t="s">
        <v>1267</v>
      </c>
      <c r="F11" s="16" t="s">
        <v>1274</v>
      </c>
      <c r="G11" s="16" t="s">
        <v>1250</v>
      </c>
      <c r="H11" s="17" t="s">
        <v>1275</v>
      </c>
    </row>
    <row r="12" customFormat="false" ht="15" hidden="false" customHeight="true" outlineLevel="0" collapsed="false">
      <c r="A12" s="22" t="s">
        <v>1276</v>
      </c>
      <c r="B12" s="22" t="s">
        <v>1271</v>
      </c>
      <c r="C12" s="22" t="s">
        <v>1277</v>
      </c>
      <c r="D12" s="22" t="s">
        <v>1273</v>
      </c>
      <c r="E12" s="22" t="s">
        <v>1278</v>
      </c>
      <c r="F12" s="22" t="s">
        <v>1279</v>
      </c>
      <c r="G12" s="22" t="s">
        <v>1280</v>
      </c>
      <c r="H12" s="23" t="s">
        <v>1281</v>
      </c>
    </row>
    <row r="13" customFormat="false" ht="15" hidden="false" customHeight="true" outlineLevel="0" collapsed="false">
      <c r="A13" s="16" t="s">
        <v>1282</v>
      </c>
      <c r="B13" s="16" t="s">
        <v>1271</v>
      </c>
      <c r="C13" s="16" t="s">
        <v>1277</v>
      </c>
      <c r="D13" s="16" t="s">
        <v>1242</v>
      </c>
      <c r="E13" s="16" t="s">
        <v>1283</v>
      </c>
      <c r="F13" s="16" t="s">
        <v>1284</v>
      </c>
      <c r="G13" s="16" t="s">
        <v>1280</v>
      </c>
      <c r="H13" s="16" t="s">
        <v>514</v>
      </c>
    </row>
    <row r="14" customFormat="false" ht="15" hidden="false" customHeight="true" outlineLevel="0" collapsed="false">
      <c r="A14" s="22" t="s">
        <v>1285</v>
      </c>
      <c r="B14" s="22" t="s">
        <v>1271</v>
      </c>
      <c r="C14" s="22" t="s">
        <v>1277</v>
      </c>
      <c r="D14" s="22" t="s">
        <v>1242</v>
      </c>
      <c r="E14" s="22" t="s">
        <v>1286</v>
      </c>
      <c r="F14" s="22" t="s">
        <v>1287</v>
      </c>
      <c r="G14" s="22" t="s">
        <v>1280</v>
      </c>
      <c r="H14" s="22" t="s">
        <v>514</v>
      </c>
    </row>
    <row r="15" customFormat="false" ht="15" hidden="false" customHeight="true" outlineLevel="0" collapsed="false">
      <c r="A15" s="17" t="s">
        <v>1288</v>
      </c>
      <c r="B15" s="16" t="s">
        <v>514</v>
      </c>
      <c r="C15" s="16" t="s">
        <v>1289</v>
      </c>
      <c r="D15" s="16" t="s">
        <v>514</v>
      </c>
      <c r="E15" s="16" t="s">
        <v>514</v>
      </c>
      <c r="F15" s="16" t="s">
        <v>514</v>
      </c>
      <c r="G15" s="16" t="s">
        <v>1250</v>
      </c>
      <c r="H15" s="16" t="s">
        <v>514</v>
      </c>
    </row>
    <row r="16" customFormat="false" ht="23.25" hidden="false" customHeight="true" outlineLevel="0" collapsed="false">
      <c r="A16" s="23" t="s">
        <v>1290</v>
      </c>
      <c r="B16" s="22" t="s">
        <v>514</v>
      </c>
      <c r="C16" s="22" t="s">
        <v>1291</v>
      </c>
      <c r="D16" s="22" t="s">
        <v>514</v>
      </c>
      <c r="E16" s="22" t="s">
        <v>514</v>
      </c>
      <c r="F16" s="22" t="s">
        <v>514</v>
      </c>
      <c r="G16" s="22" t="s">
        <v>1292</v>
      </c>
      <c r="H16" s="22" t="s">
        <v>514</v>
      </c>
    </row>
    <row r="18" customFormat="false" ht="14.25" hidden="false" customHeight="true" outlineLevel="0" collapsed="false">
      <c r="A18" s="21" t="s">
        <v>1293</v>
      </c>
      <c r="B18" s="21"/>
      <c r="C18" s="21"/>
      <c r="D18" s="21"/>
      <c r="E18" s="21"/>
      <c r="F18" s="21"/>
      <c r="G18" s="21"/>
      <c r="H18" s="21"/>
    </row>
    <row r="19" customFormat="false" ht="15" hidden="false" customHeight="true" outlineLevel="0" collapsed="false">
      <c r="A19" s="15" t="s">
        <v>1294</v>
      </c>
      <c r="B19" s="15" t="s">
        <v>1295</v>
      </c>
      <c r="C19" s="14" t="s">
        <v>1296</v>
      </c>
      <c r="D19" s="15" t="s">
        <v>1297</v>
      </c>
      <c r="E19" s="15" t="s">
        <v>11</v>
      </c>
      <c r="F19" s="15" t="s">
        <v>884</v>
      </c>
      <c r="G19" s="14"/>
      <c r="H19" s="14"/>
    </row>
    <row r="20" customFormat="false" ht="23.25" hidden="false" customHeight="true" outlineLevel="0" collapsed="false">
      <c r="A20" s="17" t="s">
        <v>1298</v>
      </c>
      <c r="B20" s="16" t="s">
        <v>1299</v>
      </c>
      <c r="C20" s="16" t="s">
        <v>1300</v>
      </c>
      <c r="D20" s="16" t="s">
        <v>514</v>
      </c>
      <c r="E20" s="16" t="s">
        <v>1301</v>
      </c>
      <c r="F20" s="16" t="s">
        <v>1302</v>
      </c>
      <c r="G20" s="16"/>
      <c r="H20" s="16"/>
    </row>
    <row r="21" customFormat="false" ht="23.25" hidden="false" customHeight="true" outlineLevel="0" collapsed="false">
      <c r="A21" s="23" t="s">
        <v>1303</v>
      </c>
      <c r="B21" s="22" t="s">
        <v>1304</v>
      </c>
      <c r="C21" s="22" t="s">
        <v>1305</v>
      </c>
      <c r="D21" s="22" t="s">
        <v>514</v>
      </c>
      <c r="E21" s="22" t="s">
        <v>1306</v>
      </c>
      <c r="F21" s="23" t="s">
        <v>1307</v>
      </c>
      <c r="G21" s="22"/>
      <c r="H21" s="22"/>
    </row>
    <row r="22" customFormat="false" ht="15" hidden="false" customHeight="true" outlineLevel="0" collapsed="false">
      <c r="A22" s="17" t="s">
        <v>1308</v>
      </c>
      <c r="B22" s="16" t="s">
        <v>1309</v>
      </c>
      <c r="C22" s="17" t="s">
        <v>1310</v>
      </c>
      <c r="D22" s="16" t="s">
        <v>514</v>
      </c>
      <c r="E22" s="16" t="s">
        <v>1311</v>
      </c>
      <c r="F22" s="16" t="s">
        <v>514</v>
      </c>
      <c r="G22" s="16"/>
      <c r="H22" s="16"/>
    </row>
    <row r="23" customFormat="false" ht="23.25" hidden="false" customHeight="true" outlineLevel="0" collapsed="false">
      <c r="A23" s="23" t="s">
        <v>1312</v>
      </c>
      <c r="B23" s="22" t="s">
        <v>1313</v>
      </c>
      <c r="C23" s="23" t="s">
        <v>1314</v>
      </c>
      <c r="D23" s="22" t="s">
        <v>1315</v>
      </c>
      <c r="E23" s="22" t="s">
        <v>1316</v>
      </c>
      <c r="F23" s="23" t="s">
        <v>1317</v>
      </c>
      <c r="G23" s="22"/>
      <c r="H23" s="22"/>
    </row>
    <row r="24" customFormat="false" ht="15" hidden="false" customHeight="true" outlineLevel="0" collapsed="false">
      <c r="A24" s="17" t="s">
        <v>1318</v>
      </c>
      <c r="B24" s="16" t="s">
        <v>1319</v>
      </c>
      <c r="C24" s="16" t="s">
        <v>1320</v>
      </c>
      <c r="D24" s="16" t="s">
        <v>514</v>
      </c>
      <c r="E24" s="16" t="s">
        <v>1321</v>
      </c>
      <c r="F24" s="17" t="s">
        <v>1322</v>
      </c>
      <c r="G24" s="16"/>
      <c r="H24" s="16"/>
    </row>
    <row r="25" customFormat="false" ht="15" hidden="false" customHeight="true" outlineLevel="0" collapsed="false">
      <c r="A25" s="22" t="s">
        <v>1323</v>
      </c>
      <c r="B25" s="22" t="s">
        <v>1030</v>
      </c>
      <c r="C25" s="22" t="s">
        <v>1324</v>
      </c>
      <c r="D25" s="22" t="s">
        <v>1325</v>
      </c>
      <c r="E25" s="22" t="s">
        <v>1326</v>
      </c>
      <c r="F25" s="22" t="s">
        <v>514</v>
      </c>
      <c r="G25" s="22"/>
      <c r="H25" s="22"/>
    </row>
    <row r="26" customFormat="false" ht="15" hidden="false" customHeight="true" outlineLevel="0" collapsed="false">
      <c r="A26" s="16" t="s">
        <v>1327</v>
      </c>
      <c r="B26" s="16" t="s">
        <v>514</v>
      </c>
      <c r="C26" s="17" t="s">
        <v>1328</v>
      </c>
      <c r="D26" s="16" t="s">
        <v>514</v>
      </c>
      <c r="E26" s="17" t="s">
        <v>1256</v>
      </c>
      <c r="F26" s="16" t="s">
        <v>514</v>
      </c>
      <c r="G26" s="16"/>
      <c r="H26" s="16"/>
    </row>
    <row r="27" customFormat="false" ht="15" hidden="false" customHeight="true" outlineLevel="0" collapsed="false">
      <c r="A27" s="22" t="s">
        <v>1329</v>
      </c>
      <c r="B27" s="22" t="s">
        <v>514</v>
      </c>
      <c r="C27" s="23" t="s">
        <v>1330</v>
      </c>
      <c r="D27" s="22" t="s">
        <v>514</v>
      </c>
      <c r="E27" s="23" t="s">
        <v>1256</v>
      </c>
      <c r="F27" s="23" t="s">
        <v>1331</v>
      </c>
      <c r="G27" s="22"/>
      <c r="H27" s="22"/>
    </row>
    <row r="28" customFormat="false" ht="14.25" hidden="false" customHeight="true" outlineLevel="0" collapsed="false">
      <c r="A28" s="21" t="s">
        <v>1332</v>
      </c>
      <c r="B28" s="21"/>
      <c r="C28" s="21"/>
      <c r="D28" s="21"/>
      <c r="E28" s="21"/>
      <c r="F28" s="21"/>
      <c r="G28" s="21"/>
      <c r="H28" s="21"/>
    </row>
    <row r="29" customFormat="false" ht="15" hidden="false" customHeight="true" outlineLevel="0" collapsed="false">
      <c r="A29" s="15" t="s">
        <v>1010</v>
      </c>
      <c r="B29" s="15" t="s">
        <v>941</v>
      </c>
      <c r="C29" s="14" t="s">
        <v>1333</v>
      </c>
      <c r="D29" s="14" t="s">
        <v>1334</v>
      </c>
      <c r="E29" s="14" t="s">
        <v>1335</v>
      </c>
      <c r="F29" s="14" t="s">
        <v>1336</v>
      </c>
      <c r="G29" s="14" t="s">
        <v>1337</v>
      </c>
      <c r="H29" s="15" t="s">
        <v>884</v>
      </c>
    </row>
    <row r="30" customFormat="false" ht="15" hidden="false" customHeight="true" outlineLevel="0" collapsed="false">
      <c r="A30" s="17" t="s">
        <v>1338</v>
      </c>
      <c r="B30" s="16" t="s">
        <v>1339</v>
      </c>
      <c r="C30" s="16" t="s">
        <v>1340</v>
      </c>
      <c r="D30" s="16" t="s">
        <v>1341</v>
      </c>
      <c r="E30" s="16" t="s">
        <v>1342</v>
      </c>
      <c r="F30" s="16" t="s">
        <v>1343</v>
      </c>
      <c r="G30" s="16" t="s">
        <v>514</v>
      </c>
      <c r="H30" s="16" t="s">
        <v>1344</v>
      </c>
    </row>
    <row r="31" customFormat="false" ht="23.25" hidden="false" customHeight="true" outlineLevel="0" collapsed="false">
      <c r="A31" s="22" t="s">
        <v>1230</v>
      </c>
      <c r="B31" s="22" t="s">
        <v>1345</v>
      </c>
      <c r="C31" s="22" t="s">
        <v>1346</v>
      </c>
      <c r="D31" s="22" t="s">
        <v>1347</v>
      </c>
      <c r="E31" s="22" t="s">
        <v>1255</v>
      </c>
      <c r="F31" s="22" t="s">
        <v>1348</v>
      </c>
      <c r="G31" s="22" t="s">
        <v>1349</v>
      </c>
      <c r="H31" s="22" t="s">
        <v>1350</v>
      </c>
    </row>
    <row r="32" customFormat="false" ht="15" hidden="false" customHeight="true" outlineLevel="0" collapsed="false">
      <c r="A32" s="16" t="s">
        <v>1238</v>
      </c>
      <c r="B32" s="16" t="s">
        <v>1351</v>
      </c>
      <c r="C32" s="16" t="s">
        <v>1352</v>
      </c>
      <c r="D32" s="16" t="s">
        <v>1353</v>
      </c>
      <c r="E32" s="16" t="s">
        <v>1354</v>
      </c>
      <c r="F32" s="16" t="s">
        <v>1355</v>
      </c>
      <c r="G32" s="16" t="s">
        <v>1356</v>
      </c>
      <c r="H32" s="17" t="s">
        <v>1357</v>
      </c>
    </row>
    <row r="33" customFormat="false" ht="15" hidden="false" customHeight="true" outlineLevel="0" collapsed="false">
      <c r="A33" s="22" t="s">
        <v>1358</v>
      </c>
      <c r="B33" s="22" t="s">
        <v>1359</v>
      </c>
      <c r="C33" s="22" t="s">
        <v>1360</v>
      </c>
      <c r="D33" s="22" t="s">
        <v>1361</v>
      </c>
      <c r="E33" s="22" t="s">
        <v>1362</v>
      </c>
      <c r="F33" s="22" t="s">
        <v>1363</v>
      </c>
      <c r="G33" s="22" t="s">
        <v>1364</v>
      </c>
      <c r="H33" s="22" t="s">
        <v>1365</v>
      </c>
    </row>
    <row r="34" customFormat="false" ht="15" hidden="false" customHeight="true" outlineLevel="0" collapsed="false">
      <c r="A34" s="16" t="s">
        <v>1276</v>
      </c>
      <c r="B34" s="16" t="s">
        <v>1366</v>
      </c>
      <c r="C34" s="16" t="s">
        <v>1367</v>
      </c>
      <c r="D34" s="16" t="s">
        <v>1273</v>
      </c>
      <c r="E34" s="16" t="s">
        <v>1278</v>
      </c>
      <c r="F34" s="16" t="s">
        <v>1368</v>
      </c>
      <c r="G34" s="16" t="s">
        <v>1369</v>
      </c>
      <c r="H34" s="16" t="s">
        <v>1370</v>
      </c>
    </row>
    <row r="35" customFormat="false" ht="15" hidden="false" customHeight="true" outlineLevel="0" collapsed="false">
      <c r="A35" s="22" t="s">
        <v>1371</v>
      </c>
      <c r="B35" s="22" t="s">
        <v>1366</v>
      </c>
      <c r="C35" s="22" t="s">
        <v>1372</v>
      </c>
      <c r="D35" s="22" t="s">
        <v>1242</v>
      </c>
      <c r="E35" s="22" t="s">
        <v>1283</v>
      </c>
      <c r="F35" s="22" t="s">
        <v>1373</v>
      </c>
      <c r="G35" s="22" t="s">
        <v>1374</v>
      </c>
      <c r="H35" s="22" t="s">
        <v>514</v>
      </c>
    </row>
    <row r="36" customFormat="false" ht="15" hidden="false" customHeight="true" outlineLevel="0" collapsed="false">
      <c r="A36" s="16" t="s">
        <v>1375</v>
      </c>
      <c r="B36" s="16" t="s">
        <v>1366</v>
      </c>
      <c r="C36" s="16" t="s">
        <v>1376</v>
      </c>
      <c r="D36" s="16" t="s">
        <v>1377</v>
      </c>
      <c r="E36" s="16" t="s">
        <v>1242</v>
      </c>
      <c r="F36" s="16" t="s">
        <v>1378</v>
      </c>
      <c r="G36" s="16" t="s">
        <v>1379</v>
      </c>
      <c r="H36" s="16" t="s">
        <v>1380</v>
      </c>
    </row>
    <row r="37" customFormat="false" ht="15" hidden="false" customHeight="true" outlineLevel="0" collapsed="false">
      <c r="A37" s="22" t="s">
        <v>1381</v>
      </c>
      <c r="B37" s="22" t="s">
        <v>1382</v>
      </c>
      <c r="C37" s="22" t="s">
        <v>1383</v>
      </c>
      <c r="D37" s="22" t="s">
        <v>1384</v>
      </c>
      <c r="E37" s="22" t="s">
        <v>1261</v>
      </c>
      <c r="F37" s="22" t="s">
        <v>1385</v>
      </c>
      <c r="G37" s="22" t="s">
        <v>1386</v>
      </c>
      <c r="H37" s="22" t="s">
        <v>1387</v>
      </c>
    </row>
    <row r="38" customFormat="false" ht="15" hidden="false" customHeight="true" outlineLevel="0" collapsed="false">
      <c r="A38" s="16" t="s">
        <v>1388</v>
      </c>
      <c r="B38" s="16" t="s">
        <v>1382</v>
      </c>
      <c r="C38" s="16" t="s">
        <v>1389</v>
      </c>
      <c r="D38" s="16" t="s">
        <v>1353</v>
      </c>
      <c r="E38" s="16" t="s">
        <v>1390</v>
      </c>
      <c r="F38" s="16" t="s">
        <v>1391</v>
      </c>
      <c r="G38" s="16" t="s">
        <v>1392</v>
      </c>
      <c r="H38" s="16" t="s">
        <v>1387</v>
      </c>
    </row>
    <row r="39" customFormat="false" ht="14.25" hidden="false" customHeight="true" outlineLevel="0" collapsed="false">
      <c r="A39" s="21" t="s">
        <v>1393</v>
      </c>
      <c r="B39" s="21"/>
      <c r="C39" s="21"/>
      <c r="D39" s="21"/>
      <c r="E39" s="21"/>
      <c r="F39" s="21"/>
      <c r="G39" s="21"/>
      <c r="H39" s="21"/>
    </row>
    <row r="40" customFormat="false" ht="15" hidden="false" customHeight="true" outlineLevel="0" collapsed="false">
      <c r="A40" s="15" t="s">
        <v>1394</v>
      </c>
      <c r="B40" s="15" t="s">
        <v>1395</v>
      </c>
      <c r="C40" s="15" t="s">
        <v>52</v>
      </c>
      <c r="D40" s="14"/>
      <c r="E40" s="14"/>
      <c r="F40" s="14"/>
      <c r="G40" s="14"/>
      <c r="H40" s="14"/>
    </row>
    <row r="41" customFormat="false" ht="23.25" hidden="false" customHeight="true" outlineLevel="0" collapsed="false">
      <c r="A41" s="17" t="s">
        <v>1396</v>
      </c>
      <c r="B41" s="16" t="s">
        <v>1397</v>
      </c>
      <c r="C41" s="16" t="s">
        <v>1398</v>
      </c>
      <c r="D41" s="16"/>
      <c r="E41" s="16"/>
      <c r="F41" s="16"/>
      <c r="G41" s="16"/>
      <c r="H41" s="16"/>
    </row>
    <row r="42" customFormat="false" ht="15" hidden="false" customHeight="true" outlineLevel="0" collapsed="false">
      <c r="A42" s="22" t="s">
        <v>1399</v>
      </c>
      <c r="B42" s="22" t="s">
        <v>1400</v>
      </c>
      <c r="C42" s="22" t="s">
        <v>1401</v>
      </c>
      <c r="D42" s="22"/>
      <c r="E42" s="22"/>
      <c r="F42" s="22"/>
      <c r="G42" s="22"/>
      <c r="H42" s="22"/>
    </row>
    <row r="43" customFormat="false" ht="15" hidden="false" customHeight="true" outlineLevel="0" collapsed="false">
      <c r="A43" s="16" t="s">
        <v>1402</v>
      </c>
      <c r="B43" s="16" t="s">
        <v>1403</v>
      </c>
      <c r="C43" s="16" t="s">
        <v>1401</v>
      </c>
      <c r="D43" s="16"/>
      <c r="E43" s="16"/>
      <c r="F43" s="16"/>
      <c r="G43" s="16"/>
      <c r="H43" s="16"/>
    </row>
    <row r="44" customFormat="false" ht="23.25" hidden="false" customHeight="true" outlineLevel="0" collapsed="false">
      <c r="A44" s="23" t="s">
        <v>1404</v>
      </c>
      <c r="B44" s="22" t="s">
        <v>1405</v>
      </c>
      <c r="C44" s="23" t="s">
        <v>1406</v>
      </c>
      <c r="D44" s="22"/>
      <c r="E44" s="22"/>
      <c r="F44" s="22"/>
      <c r="G44" s="22"/>
      <c r="H44" s="22"/>
    </row>
    <row r="45" customFormat="false" ht="15" hidden="false" customHeight="true" outlineLevel="0" collapsed="false">
      <c r="A45" s="17" t="s">
        <v>1407</v>
      </c>
      <c r="B45" s="16" t="s">
        <v>1408</v>
      </c>
      <c r="C45" s="17" t="s">
        <v>1406</v>
      </c>
      <c r="D45" s="16"/>
      <c r="E45" s="16"/>
      <c r="F45" s="16"/>
      <c r="G45" s="16"/>
      <c r="H45" s="16"/>
    </row>
    <row r="46" customFormat="false" ht="23.25" hidden="false" customHeight="true" outlineLevel="0" collapsed="false">
      <c r="A46" s="23" t="s">
        <v>1409</v>
      </c>
      <c r="B46" s="22" t="s">
        <v>1410</v>
      </c>
      <c r="C46" s="22" t="s">
        <v>1411</v>
      </c>
      <c r="D46" s="22"/>
      <c r="E46" s="22"/>
      <c r="F46" s="22"/>
      <c r="G46" s="22"/>
      <c r="H46" s="22"/>
    </row>
    <row r="47" customFormat="false" ht="23.25" hidden="false" customHeight="true" outlineLevel="0" collapsed="false">
      <c r="A47" s="17" t="s">
        <v>1412</v>
      </c>
      <c r="B47" s="16" t="s">
        <v>1274</v>
      </c>
      <c r="C47" s="17" t="s">
        <v>1406</v>
      </c>
      <c r="D47" s="16"/>
      <c r="E47" s="16"/>
      <c r="F47" s="16"/>
      <c r="G47" s="16"/>
      <c r="H47" s="16"/>
    </row>
    <row r="48" customFormat="false" ht="23.25" hidden="false" customHeight="true" outlineLevel="0" collapsed="false">
      <c r="A48" s="23" t="s">
        <v>1413</v>
      </c>
      <c r="B48" s="22" t="s">
        <v>1414</v>
      </c>
      <c r="C48" s="23" t="s">
        <v>1406</v>
      </c>
      <c r="D48" s="22"/>
      <c r="E48" s="22"/>
      <c r="F48" s="22"/>
      <c r="G48" s="22"/>
      <c r="H48" s="22"/>
    </row>
    <row r="49" customFormat="false" ht="14.25" hidden="false" customHeight="true" outlineLevel="0" collapsed="false">
      <c r="A49" s="21" t="s">
        <v>1415</v>
      </c>
      <c r="B49" s="21"/>
      <c r="C49" s="21"/>
      <c r="D49" s="21"/>
      <c r="E49" s="21"/>
      <c r="F49" s="21"/>
      <c r="G49" s="21"/>
      <c r="H49" s="21"/>
    </row>
    <row r="50" customFormat="false" ht="15" hidden="false" customHeight="true" outlineLevel="0" collapsed="false">
      <c r="A50" s="15" t="s">
        <v>1416</v>
      </c>
      <c r="B50" s="14" t="s">
        <v>1417</v>
      </c>
      <c r="C50" s="14" t="s">
        <v>1418</v>
      </c>
      <c r="D50" s="15" t="s">
        <v>1419</v>
      </c>
      <c r="E50" s="14"/>
      <c r="F50" s="14"/>
      <c r="G50" s="14"/>
      <c r="H50" s="14"/>
    </row>
    <row r="51" customFormat="false" ht="34.5" hidden="false" customHeight="true" outlineLevel="0" collapsed="false">
      <c r="A51" s="17" t="s">
        <v>1420</v>
      </c>
      <c r="B51" s="16" t="s">
        <v>1421</v>
      </c>
      <c r="C51" s="16" t="s">
        <v>1422</v>
      </c>
      <c r="D51" s="17" t="s">
        <v>1423</v>
      </c>
      <c r="E51" s="16"/>
      <c r="F51" s="16"/>
      <c r="G51" s="16"/>
      <c r="H51" s="16"/>
    </row>
    <row r="52" customFormat="false" ht="23.25" hidden="false" customHeight="true" outlineLevel="0" collapsed="false">
      <c r="A52" s="23" t="s">
        <v>1424</v>
      </c>
      <c r="B52" s="22" t="s">
        <v>1425</v>
      </c>
      <c r="C52" s="22" t="s">
        <v>1426</v>
      </c>
      <c r="D52" s="23" t="s">
        <v>1427</v>
      </c>
      <c r="E52" s="22"/>
      <c r="F52" s="22"/>
      <c r="G52" s="22"/>
      <c r="H52" s="22"/>
    </row>
    <row r="53" customFormat="false" ht="23.25" hidden="false" customHeight="true" outlineLevel="0" collapsed="false">
      <c r="A53" s="17" t="s">
        <v>1428</v>
      </c>
      <c r="B53" s="16" t="s">
        <v>1429</v>
      </c>
      <c r="C53" s="16" t="s">
        <v>1430</v>
      </c>
      <c r="D53" s="17" t="s">
        <v>1431</v>
      </c>
      <c r="E53" s="16"/>
      <c r="F53" s="16"/>
      <c r="G53" s="16"/>
      <c r="H53" s="16"/>
    </row>
    <row r="55" customFormat="false" ht="14.25" hidden="false" customHeight="true" outlineLevel="0" collapsed="false">
      <c r="A55" s="28" t="s">
        <v>1432</v>
      </c>
      <c r="B55" s="28"/>
      <c r="C55" s="28"/>
      <c r="D55" s="28"/>
      <c r="E55" s="28"/>
      <c r="F55" s="28"/>
      <c r="G55" s="28"/>
      <c r="H55" s="28"/>
    </row>
    <row r="56" customFormat="false" ht="15" hidden="false" customHeight="true" outlineLevel="0" collapsed="false">
      <c r="A56" s="29" t="s">
        <v>1433</v>
      </c>
      <c r="B56" s="29"/>
      <c r="C56" s="29"/>
      <c r="D56" s="29"/>
      <c r="E56" s="29"/>
      <c r="F56" s="29"/>
      <c r="G56" s="29"/>
      <c r="H56" s="29"/>
    </row>
    <row r="57" customFormat="false" ht="15" hidden="false" customHeight="true" outlineLevel="0" collapsed="false">
      <c r="A57" s="29" t="s">
        <v>1434</v>
      </c>
      <c r="B57" s="29"/>
      <c r="C57" s="29"/>
      <c r="D57" s="29"/>
      <c r="E57" s="29"/>
      <c r="F57" s="29"/>
      <c r="G57" s="29"/>
      <c r="H57" s="29"/>
    </row>
    <row r="58" customFormat="false" ht="15" hidden="false" customHeight="true" outlineLevel="0" collapsed="false">
      <c r="A58" s="30" t="s">
        <v>1435</v>
      </c>
      <c r="B58" s="30"/>
      <c r="C58" s="30"/>
      <c r="D58" s="30"/>
      <c r="E58" s="30"/>
      <c r="F58" s="30"/>
      <c r="G58" s="30"/>
      <c r="H58" s="30"/>
    </row>
    <row r="59" customFormat="false" ht="15" hidden="false" customHeight="true" outlineLevel="0" collapsed="false">
      <c r="A59" s="30" t="s">
        <v>1436</v>
      </c>
      <c r="B59" s="30"/>
      <c r="C59" s="30"/>
      <c r="D59" s="30"/>
      <c r="E59" s="30"/>
      <c r="F59" s="30"/>
      <c r="G59" s="30"/>
      <c r="H59" s="30"/>
    </row>
    <row r="60" customFormat="false" ht="15" hidden="false" customHeight="true" outlineLevel="0" collapsed="false">
      <c r="A60" s="30" t="s">
        <v>1437</v>
      </c>
      <c r="B60" s="30"/>
      <c r="C60" s="30"/>
      <c r="D60" s="30"/>
      <c r="E60" s="30"/>
      <c r="F60" s="30"/>
      <c r="G60" s="30"/>
      <c r="H60" s="30"/>
    </row>
    <row r="61" customFormat="false" ht="15" hidden="false" customHeight="true" outlineLevel="0" collapsed="false">
      <c r="A61" s="30" t="s">
        <v>1438</v>
      </c>
      <c r="B61" s="30"/>
      <c r="C61" s="30"/>
      <c r="D61" s="30"/>
      <c r="E61" s="30"/>
      <c r="F61" s="30"/>
      <c r="G61" s="30"/>
      <c r="H61" s="30"/>
    </row>
  </sheetData>
  <mergeCells count="13">
    <mergeCell ref="A1:H1"/>
    <mergeCell ref="A3:H3"/>
    <mergeCell ref="A18:H18"/>
    <mergeCell ref="A28:H28"/>
    <mergeCell ref="A39:H39"/>
    <mergeCell ref="A49:H49"/>
    <mergeCell ref="A55:H55"/>
    <mergeCell ref="A56:H56"/>
    <mergeCell ref="A57:H57"/>
    <mergeCell ref="A58:H58"/>
    <mergeCell ref="A59:H59"/>
    <mergeCell ref="A60:H60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2"/>
    <col collapsed="false" customWidth="true" hidden="false" outlineLevel="0" max="3" min="3" style="1" width="18"/>
    <col collapsed="false" customWidth="true" hidden="false" outlineLevel="0" max="4" min="4" style="1" width="32"/>
    <col collapsed="false" customWidth="true" hidden="false" outlineLevel="0" max="5" min="5" style="1" width="14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20" t="s">
        <v>1439</v>
      </c>
      <c r="B1" s="20"/>
      <c r="C1" s="20"/>
      <c r="D1" s="20"/>
      <c r="E1" s="20"/>
      <c r="F1" s="20"/>
    </row>
    <row r="2" customFormat="false" ht="15" hidden="false" customHeight="true" outlineLevel="0" collapsed="false">
      <c r="A2" s="31" t="s">
        <v>1440</v>
      </c>
      <c r="B2" s="31"/>
      <c r="C2" s="31"/>
      <c r="D2" s="31"/>
      <c r="E2" s="31"/>
      <c r="F2" s="31"/>
    </row>
    <row r="4" customFormat="false" ht="14.25" hidden="false" customHeight="true" outlineLevel="0" collapsed="false">
      <c r="A4" s="24" t="s">
        <v>1441</v>
      </c>
      <c r="B4" s="24"/>
      <c r="C4" s="24"/>
      <c r="D4" s="24"/>
      <c r="E4" s="24"/>
      <c r="F4" s="24"/>
    </row>
    <row r="5" customFormat="false" ht="15" hidden="false" customHeight="true" outlineLevel="0" collapsed="false">
      <c r="A5" s="15" t="s">
        <v>1442</v>
      </c>
      <c r="B5" s="15" t="s">
        <v>1443</v>
      </c>
      <c r="C5" s="15" t="s">
        <v>1444</v>
      </c>
      <c r="D5" s="15" t="s">
        <v>52</v>
      </c>
      <c r="E5" s="15" t="s">
        <v>1445</v>
      </c>
      <c r="F5" s="15" t="s">
        <v>884</v>
      </c>
    </row>
    <row r="6" customFormat="false" ht="23.25" hidden="false" customHeight="true" outlineLevel="0" collapsed="false">
      <c r="A6" s="16" t="s">
        <v>1446</v>
      </c>
      <c r="B6" s="32" t="n">
        <v>100</v>
      </c>
      <c r="C6" s="16" t="s">
        <v>1447</v>
      </c>
      <c r="D6" s="16" t="s">
        <v>1448</v>
      </c>
      <c r="E6" s="17" t="s">
        <v>69</v>
      </c>
      <c r="F6" s="16" t="s">
        <v>1449</v>
      </c>
    </row>
    <row r="7" customFormat="false" ht="15" hidden="false" customHeight="true" outlineLevel="0" collapsed="false">
      <c r="A7" s="17" t="s">
        <v>1450</v>
      </c>
      <c r="B7" s="33" t="n">
        <v>0.1</v>
      </c>
      <c r="C7" s="16" t="s">
        <v>1451</v>
      </c>
      <c r="D7" s="16" t="s">
        <v>1452</v>
      </c>
      <c r="E7" s="17" t="s">
        <v>69</v>
      </c>
      <c r="F7" s="17" t="s">
        <v>1453</v>
      </c>
    </row>
    <row r="8" customFormat="false" ht="23.25" hidden="false" customHeight="true" outlineLevel="0" collapsed="false">
      <c r="A8" s="17" t="s">
        <v>1454</v>
      </c>
      <c r="B8" s="33" t="n">
        <v>0.07</v>
      </c>
      <c r="C8" s="16" t="s">
        <v>1451</v>
      </c>
      <c r="D8" s="16" t="s">
        <v>1455</v>
      </c>
      <c r="E8" s="17" t="s">
        <v>69</v>
      </c>
      <c r="F8" s="17" t="s">
        <v>1456</v>
      </c>
    </row>
    <row r="9" customFormat="false" ht="23.25" hidden="false" customHeight="true" outlineLevel="0" collapsed="false">
      <c r="A9" s="17" t="s">
        <v>1457</v>
      </c>
      <c r="B9" s="33" t="n">
        <v>0.18</v>
      </c>
      <c r="C9" s="16" t="s">
        <v>1451</v>
      </c>
      <c r="D9" s="16" t="s">
        <v>1458</v>
      </c>
      <c r="E9" s="17" t="s">
        <v>205</v>
      </c>
      <c r="F9" s="16" t="s">
        <v>1459</v>
      </c>
    </row>
    <row r="10" customFormat="false" ht="15" hidden="false" customHeight="true" outlineLevel="0" collapsed="false">
      <c r="A10" s="17" t="s">
        <v>1460</v>
      </c>
      <c r="B10" s="32" t="n">
        <v>8</v>
      </c>
      <c r="C10" s="16" t="s">
        <v>1447</v>
      </c>
      <c r="D10" s="16" t="s">
        <v>1461</v>
      </c>
      <c r="E10" s="17" t="s">
        <v>69</v>
      </c>
      <c r="F10" s="17" t="s">
        <v>1462</v>
      </c>
    </row>
    <row r="11" customFormat="false" ht="23.25" hidden="false" customHeight="true" outlineLevel="0" collapsed="false">
      <c r="A11" s="17" t="s">
        <v>1463</v>
      </c>
      <c r="B11" s="33" t="n">
        <v>0.07</v>
      </c>
      <c r="C11" s="16" t="s">
        <v>1451</v>
      </c>
      <c r="D11" s="16" t="s">
        <v>1464</v>
      </c>
      <c r="E11" s="17" t="s">
        <v>205</v>
      </c>
      <c r="F11" s="17" t="s">
        <v>1465</v>
      </c>
    </row>
    <row r="12" customFormat="false" ht="23.25" hidden="false" customHeight="true" outlineLevel="0" collapsed="false">
      <c r="A12" s="17" t="s">
        <v>1466</v>
      </c>
      <c r="B12" s="33" t="n">
        <v>0.3</v>
      </c>
      <c r="C12" s="16" t="s">
        <v>1451</v>
      </c>
      <c r="D12" s="16" t="s">
        <v>1467</v>
      </c>
      <c r="E12" s="17" t="s">
        <v>197</v>
      </c>
      <c r="F12" s="17" t="s">
        <v>1468</v>
      </c>
    </row>
    <row r="13" customFormat="false" ht="15" hidden="false" customHeight="true" outlineLevel="0" collapsed="false">
      <c r="A13" s="17" t="s">
        <v>1469</v>
      </c>
      <c r="B13" s="32" t="n">
        <v>25</v>
      </c>
      <c r="C13" s="16" t="s">
        <v>1447</v>
      </c>
      <c r="D13" s="16" t="s">
        <v>1470</v>
      </c>
      <c r="E13" s="17" t="s">
        <v>236</v>
      </c>
      <c r="F13" s="17" t="s">
        <v>1471</v>
      </c>
    </row>
    <row r="14" customFormat="false" ht="15" hidden="false" customHeight="true" outlineLevel="0" collapsed="false">
      <c r="A14" s="17" t="s">
        <v>1472</v>
      </c>
      <c r="B14" s="32" t="n">
        <v>5</v>
      </c>
      <c r="C14" s="16" t="s">
        <v>1447</v>
      </c>
      <c r="D14" s="16" t="s">
        <v>1473</v>
      </c>
      <c r="E14" s="17" t="s">
        <v>236</v>
      </c>
      <c r="F14" s="17" t="s">
        <v>1474</v>
      </c>
    </row>
    <row r="15" customFormat="false" ht="23.25" hidden="false" customHeight="true" outlineLevel="0" collapsed="false">
      <c r="A15" s="16" t="s">
        <v>1475</v>
      </c>
      <c r="B15" s="32" t="n">
        <v>20</v>
      </c>
      <c r="C15" s="16" t="s">
        <v>1447</v>
      </c>
      <c r="D15" s="16" t="s">
        <v>1476</v>
      </c>
      <c r="E15" s="17" t="s">
        <v>69</v>
      </c>
      <c r="F15" s="16" t="s">
        <v>1477</v>
      </c>
    </row>
    <row r="16" customFormat="false" ht="23.25" hidden="false" customHeight="true" outlineLevel="0" collapsed="false">
      <c r="A16" s="16" t="s">
        <v>1478</v>
      </c>
      <c r="B16" s="33" t="n">
        <v>0.015</v>
      </c>
      <c r="C16" s="16" t="s">
        <v>1451</v>
      </c>
      <c r="D16" s="16" t="s">
        <v>1476</v>
      </c>
      <c r="E16" s="17" t="s">
        <v>69</v>
      </c>
      <c r="F16" s="16" t="s">
        <v>1479</v>
      </c>
    </row>
    <row r="17" customFormat="false" ht="34.5" hidden="false" customHeight="true" outlineLevel="0" collapsed="false">
      <c r="A17" s="16" t="s">
        <v>1480</v>
      </c>
      <c r="B17" s="33" t="n">
        <v>0.012</v>
      </c>
      <c r="C17" s="16" t="s">
        <v>1451</v>
      </c>
      <c r="D17" s="16" t="s">
        <v>1481</v>
      </c>
      <c r="E17" s="17" t="s">
        <v>69</v>
      </c>
      <c r="F17" s="16" t="s">
        <v>1482</v>
      </c>
    </row>
    <row r="18" customFormat="false" ht="23.25" hidden="false" customHeight="true" outlineLevel="0" collapsed="false">
      <c r="A18" s="17" t="s">
        <v>1483</v>
      </c>
      <c r="B18" s="33" t="n">
        <v>0</v>
      </c>
      <c r="C18" s="16" t="s">
        <v>1451</v>
      </c>
      <c r="D18" s="16" t="s">
        <v>1484</v>
      </c>
      <c r="E18" s="17" t="s">
        <v>236</v>
      </c>
      <c r="F18" s="16" t="s">
        <v>1485</v>
      </c>
    </row>
    <row r="19" customFormat="false" ht="23.25" hidden="false" customHeight="true" outlineLevel="0" collapsed="false">
      <c r="A19" s="17" t="s">
        <v>1486</v>
      </c>
      <c r="B19" s="32" t="n">
        <v>12</v>
      </c>
      <c r="C19" s="16" t="s">
        <v>1447</v>
      </c>
      <c r="D19" s="16" t="s">
        <v>1487</v>
      </c>
      <c r="E19" s="17" t="s">
        <v>236</v>
      </c>
      <c r="F19" s="17" t="s">
        <v>1488</v>
      </c>
    </row>
    <row r="21" customFormat="false" ht="15" hidden="false" customHeight="true" outlineLevel="0" collapsed="false">
      <c r="A21" s="24" t="s">
        <v>1489</v>
      </c>
      <c r="B21" s="24"/>
      <c r="C21" s="24"/>
      <c r="D21" s="24"/>
      <c r="E21" s="24"/>
      <c r="F21" s="24"/>
    </row>
    <row r="22" customFormat="false" ht="15" hidden="false" customHeight="true" outlineLevel="0" collapsed="false">
      <c r="A22" s="15" t="s">
        <v>1294</v>
      </c>
      <c r="B22" s="15" t="s">
        <v>1490</v>
      </c>
      <c r="C22" s="15" t="s">
        <v>1491</v>
      </c>
      <c r="D22" s="15" t="s">
        <v>1492</v>
      </c>
      <c r="E22" s="14"/>
      <c r="F22" s="14"/>
    </row>
    <row r="23" customFormat="false" ht="15" hidden="false" customHeight="true" outlineLevel="0" collapsed="false">
      <c r="A23" s="16" t="s">
        <v>1493</v>
      </c>
      <c r="B23" s="16" t="n">
        <f aca="false">(B6*(1-B7))/(1+B8)</f>
        <v>84.1121495327103</v>
      </c>
      <c r="C23" s="34" t="n">
        <f aca="false">(B6*(1-B7))/(1+B8)</f>
        <v>84.1121495327103</v>
      </c>
      <c r="D23" s="35" t="s">
        <v>1494</v>
      </c>
      <c r="E23" s="35"/>
      <c r="F23" s="35"/>
    </row>
    <row r="24" customFormat="false" ht="15" hidden="false" customHeight="true" outlineLevel="0" collapsed="false">
      <c r="A24" s="17" t="s">
        <v>1495</v>
      </c>
      <c r="B24" s="36" t="n">
        <f aca="false">(B6*(1-B7))*B9</f>
        <v>16.2</v>
      </c>
      <c r="C24" s="34" t="n">
        <f aca="false">(B6*(1-B7))*B9</f>
        <v>16.2</v>
      </c>
      <c r="D24" s="35" t="s">
        <v>1496</v>
      </c>
      <c r="E24" s="35"/>
      <c r="F24" s="35"/>
    </row>
    <row r="25" customFormat="false" ht="15" hidden="false" customHeight="true" outlineLevel="0" collapsed="false">
      <c r="A25" s="17" t="s">
        <v>1497</v>
      </c>
      <c r="B25" s="36" t="n">
        <f aca="false">(B6*(1-B7))*B18</f>
        <v>0</v>
      </c>
      <c r="C25" s="34" t="n">
        <f aca="false">(B6*(1-B7))*B18</f>
        <v>0</v>
      </c>
      <c r="D25" s="35" t="s">
        <v>1498</v>
      </c>
      <c r="E25" s="35"/>
      <c r="F25" s="35"/>
    </row>
    <row r="26" customFormat="false" ht="15" hidden="false" customHeight="true" outlineLevel="0" collapsed="false">
      <c r="A26" s="17" t="s">
        <v>1499</v>
      </c>
      <c r="B26" s="34" t="n">
        <f aca="false">B13+B14</f>
        <v>30</v>
      </c>
      <c r="C26" s="34" t="n">
        <f aca="false">B13+B14</f>
        <v>30</v>
      </c>
      <c r="D26" s="35" t="s">
        <v>1500</v>
      </c>
      <c r="E26" s="35"/>
      <c r="F26" s="35"/>
    </row>
    <row r="27" customFormat="false" ht="15" hidden="false" customHeight="true" outlineLevel="0" collapsed="false">
      <c r="A27" s="17" t="s">
        <v>1501</v>
      </c>
      <c r="B27" s="34" t="n">
        <f aca="false">B10</f>
        <v>8</v>
      </c>
      <c r="C27" s="34" t="n">
        <f aca="false">B10</f>
        <v>8</v>
      </c>
      <c r="D27" s="37" t="s">
        <v>514</v>
      </c>
      <c r="E27" s="37"/>
      <c r="F27" s="37"/>
    </row>
    <row r="28" customFormat="false" ht="15" hidden="false" customHeight="true" outlineLevel="0" collapsed="false">
      <c r="A28" s="17" t="s">
        <v>1502</v>
      </c>
      <c r="B28" s="36" t="n">
        <f aca="false">B11*(B6*B12+B19)</f>
        <v>2.94</v>
      </c>
      <c r="C28" s="34" t="n">
        <f aca="false">B11*(B6*B12+B19)</f>
        <v>2.94</v>
      </c>
      <c r="D28" s="35" t="s">
        <v>1503</v>
      </c>
      <c r="E28" s="35"/>
      <c r="F28" s="35"/>
    </row>
    <row r="29" customFormat="false" ht="15" hidden="false" customHeight="true" outlineLevel="0" collapsed="false">
      <c r="A29" s="17" t="s">
        <v>1504</v>
      </c>
      <c r="B29" s="36" t="n">
        <f aca="false">C23-C24-C25-C26-C27-C28</f>
        <v>26.9721495327103</v>
      </c>
      <c r="C29" s="34" t="n">
        <f aca="false">C23-C24-C25-C26-C27-C28</f>
        <v>26.9721495327103</v>
      </c>
      <c r="D29" s="37" t="s">
        <v>1505</v>
      </c>
      <c r="E29" s="37"/>
      <c r="F29" s="37"/>
    </row>
    <row r="30" customFormat="false" ht="15" hidden="false" customHeight="true" outlineLevel="0" collapsed="false">
      <c r="A30" s="17" t="s">
        <v>1506</v>
      </c>
      <c r="B30" s="16" t="n">
        <f aca="false">(B15/1000)/(B16*B17)</f>
        <v>111.111111111111</v>
      </c>
      <c r="C30" s="34" t="n">
        <f aca="false">(B15/1000)/(B16*B17)</f>
        <v>111.111111111111</v>
      </c>
      <c r="D30" s="35" t="s">
        <v>1507</v>
      </c>
      <c r="E30" s="35"/>
      <c r="F30" s="35"/>
    </row>
    <row r="31" customFormat="false" ht="15" hidden="false" customHeight="true" outlineLevel="0" collapsed="false">
      <c r="A31" s="17" t="s">
        <v>1508</v>
      </c>
      <c r="B31" s="34" t="n">
        <f aca="false">C29-C30</f>
        <v>-84.1389615784009</v>
      </c>
      <c r="C31" s="34" t="n">
        <f aca="false">C29-C30</f>
        <v>-84.1389615784009</v>
      </c>
      <c r="D31" s="35" t="s">
        <v>1509</v>
      </c>
      <c r="E31" s="35"/>
      <c r="F31" s="35"/>
    </row>
    <row r="33" customFormat="false" ht="14.25" hidden="false" customHeight="true" outlineLevel="0" collapsed="false">
      <c r="A33" s="24" t="s">
        <v>1510</v>
      </c>
      <c r="B33" s="24"/>
      <c r="C33" s="24"/>
      <c r="D33" s="24"/>
      <c r="E33" s="24"/>
      <c r="F33" s="24"/>
    </row>
    <row r="34" customFormat="false" ht="15" hidden="false" customHeight="true" outlineLevel="0" collapsed="false">
      <c r="A34" s="15" t="s">
        <v>1294</v>
      </c>
      <c r="B34" s="15" t="s">
        <v>1490</v>
      </c>
      <c r="C34" s="15" t="s">
        <v>1491</v>
      </c>
      <c r="D34" s="15" t="s">
        <v>1511</v>
      </c>
      <c r="E34" s="14"/>
      <c r="F34" s="14"/>
    </row>
    <row r="35" customFormat="false" ht="15" hidden="false" customHeight="true" outlineLevel="0" collapsed="false">
      <c r="A35" s="17" t="s">
        <v>1512</v>
      </c>
      <c r="B35" s="16" t="n">
        <f aca="false">(C23-C26)/C23</f>
        <v>0.643333333333333</v>
      </c>
      <c r="C35" s="38" t="n">
        <f aca="false">(C23-C26)/C23</f>
        <v>0.643333333333333</v>
      </c>
      <c r="D35" s="35" t="s">
        <v>1513</v>
      </c>
      <c r="E35" s="35"/>
      <c r="F35" s="35"/>
    </row>
    <row r="36" customFormat="false" ht="15" hidden="false" customHeight="true" outlineLevel="0" collapsed="false">
      <c r="A36" s="17" t="s">
        <v>1514</v>
      </c>
      <c r="B36" s="16" t="n">
        <f aca="false">C29/C23</f>
        <v>0.320668888888889</v>
      </c>
      <c r="C36" s="38" t="n">
        <f aca="false">C29/C23</f>
        <v>0.320668888888889</v>
      </c>
      <c r="D36" s="35" t="s">
        <v>1515</v>
      </c>
      <c r="E36" s="35"/>
      <c r="F36" s="35"/>
    </row>
    <row r="37" customFormat="false" ht="15" hidden="false" customHeight="true" outlineLevel="0" collapsed="false">
      <c r="A37" s="17" t="s">
        <v>1516</v>
      </c>
      <c r="B37" s="16" t="n">
        <f aca="false">C31/C23</f>
        <v>-1.0003187654321</v>
      </c>
      <c r="C37" s="38" t="n">
        <f aca="false">C31/C23</f>
        <v>-1.0003187654321</v>
      </c>
      <c r="D37" s="35" t="s">
        <v>1517</v>
      </c>
      <c r="E37" s="35"/>
      <c r="F37" s="35"/>
    </row>
    <row r="38" customFormat="false" ht="15" hidden="false" customHeight="true" outlineLevel="0" collapsed="false">
      <c r="A38" s="16" t="s">
        <v>1518</v>
      </c>
      <c r="B38" s="16" t="n">
        <f aca="false">C23/C30</f>
        <v>0.757009345794392</v>
      </c>
      <c r="C38" s="39" t="n">
        <f aca="false">C23/C30</f>
        <v>0.757009345794392</v>
      </c>
      <c r="D38" s="35" t="s">
        <v>1519</v>
      </c>
      <c r="E38" s="35"/>
      <c r="F38" s="35"/>
    </row>
    <row r="39" customFormat="false" ht="15" hidden="false" customHeight="true" outlineLevel="0" collapsed="false">
      <c r="A39" s="40" t="s">
        <v>1520</v>
      </c>
      <c r="B39" s="40" t="n">
        <f aca="false">C29/C30</f>
        <v>0.242749345794392</v>
      </c>
      <c r="C39" s="41" t="n">
        <f aca="false">C29/C30</f>
        <v>0.242749345794392</v>
      </c>
      <c r="D39" s="42" t="s">
        <v>1521</v>
      </c>
      <c r="E39" s="42"/>
      <c r="F39" s="42"/>
    </row>
    <row r="40" customFormat="false" ht="15" hidden="false" customHeight="true" outlineLevel="0" collapsed="false">
      <c r="A40" s="16" t="s">
        <v>1522</v>
      </c>
      <c r="B40" s="16" t="n">
        <f aca="false">C23/C30</f>
        <v>0.757009345794392</v>
      </c>
      <c r="C40" s="39" t="n">
        <f aca="false">C23/C30</f>
        <v>0.757009345794392</v>
      </c>
      <c r="D40" s="35" t="s">
        <v>1523</v>
      </c>
      <c r="E40" s="35"/>
      <c r="F40" s="35"/>
    </row>
    <row r="41" customFormat="false" ht="15" hidden="false" customHeight="true" outlineLevel="0" collapsed="false">
      <c r="A41" s="16" t="s">
        <v>1524</v>
      </c>
      <c r="B41" s="34" t="n">
        <f aca="false">C30</f>
        <v>111.111111111111</v>
      </c>
      <c r="C41" s="34" t="n">
        <f aca="false">C30</f>
        <v>111.111111111111</v>
      </c>
      <c r="D41" s="35" t="s">
        <v>1525</v>
      </c>
      <c r="E41" s="35"/>
      <c r="F41" s="35"/>
    </row>
    <row r="42" customFormat="false" ht="15" hidden="false" customHeight="true" outlineLevel="0" collapsed="false">
      <c r="A42" s="16" t="s">
        <v>1526</v>
      </c>
      <c r="B42" s="16" t="n">
        <f aca="false">C23/C29</f>
        <v>3.11848150740466</v>
      </c>
      <c r="C42" s="39" t="n">
        <f aca="false">C23/C29</f>
        <v>3.11848150740466</v>
      </c>
      <c r="D42" s="37" t="s">
        <v>1527</v>
      </c>
      <c r="E42" s="37"/>
      <c r="F42" s="37"/>
    </row>
    <row r="44" customFormat="false" ht="14.25" hidden="false" customHeight="true" outlineLevel="0" collapsed="false">
      <c r="A44" s="28" t="s">
        <v>1528</v>
      </c>
      <c r="B44" s="28"/>
      <c r="C44" s="28"/>
      <c r="D44" s="28"/>
      <c r="E44" s="28"/>
      <c r="F44" s="28"/>
    </row>
    <row r="45" customFormat="false" ht="15" hidden="false" customHeight="true" outlineLevel="0" collapsed="false">
      <c r="A45" s="29" t="s">
        <v>1529</v>
      </c>
      <c r="B45" s="29"/>
      <c r="C45" s="29"/>
      <c r="D45" s="29"/>
      <c r="E45" s="29"/>
      <c r="F45" s="29"/>
    </row>
    <row r="46" customFormat="false" ht="15" hidden="false" customHeight="true" outlineLevel="0" collapsed="false">
      <c r="A46" s="30" t="s">
        <v>1530</v>
      </c>
      <c r="B46" s="30"/>
      <c r="C46" s="30"/>
      <c r="D46" s="30"/>
      <c r="E46" s="30"/>
      <c r="F46" s="30"/>
    </row>
    <row r="47" customFormat="false" ht="15" hidden="false" customHeight="true" outlineLevel="0" collapsed="false">
      <c r="A47" s="29" t="s">
        <v>1531</v>
      </c>
      <c r="B47" s="29"/>
      <c r="C47" s="29"/>
      <c r="D47" s="29"/>
      <c r="E47" s="29"/>
      <c r="F47" s="29"/>
    </row>
    <row r="48" customFormat="false" ht="15" hidden="false" customHeight="true" outlineLevel="0" collapsed="false">
      <c r="A48" s="29" t="s">
        <v>1532</v>
      </c>
      <c r="B48" s="29"/>
      <c r="C48" s="29"/>
      <c r="D48" s="29"/>
      <c r="E48" s="29"/>
      <c r="F48" s="29"/>
    </row>
    <row r="49" customFormat="false" ht="15" hidden="false" customHeight="true" outlineLevel="0" collapsed="false">
      <c r="A49" s="29" t="s">
        <v>1533</v>
      </c>
      <c r="B49" s="29"/>
      <c r="C49" s="29"/>
      <c r="D49" s="29"/>
      <c r="E49" s="29"/>
      <c r="F49" s="29"/>
    </row>
    <row r="50" customFormat="false" ht="15" hidden="false" customHeight="true" outlineLevel="0" collapsed="false">
      <c r="A50" s="29" t="s">
        <v>1534</v>
      </c>
      <c r="B50" s="29"/>
      <c r="C50" s="29"/>
      <c r="D50" s="29"/>
      <c r="E50" s="29"/>
      <c r="F50" s="29"/>
    </row>
    <row r="51" customFormat="false" ht="15" hidden="false" customHeight="true" outlineLevel="0" collapsed="false">
      <c r="A51" s="29" t="s">
        <v>1535</v>
      </c>
      <c r="B51" s="29"/>
      <c r="C51" s="29"/>
      <c r="D51" s="29"/>
      <c r="E51" s="29"/>
      <c r="F51" s="29"/>
    </row>
    <row r="52" customFormat="false" ht="15" hidden="false" customHeight="true" outlineLevel="0" collapsed="false">
      <c r="A52" s="30" t="s">
        <v>1536</v>
      </c>
      <c r="B52" s="30"/>
      <c r="C52" s="30"/>
      <c r="D52" s="30"/>
      <c r="E52" s="30"/>
      <c r="F52" s="30"/>
    </row>
    <row r="53" customFormat="false" ht="15" hidden="false" customHeight="true" outlineLevel="0" collapsed="false">
      <c r="A53" s="30" t="s">
        <v>1537</v>
      </c>
      <c r="B53" s="30"/>
      <c r="C53" s="30"/>
      <c r="D53" s="30"/>
      <c r="E53" s="30"/>
      <c r="F53" s="30"/>
    </row>
  </sheetData>
  <mergeCells count="32">
    <mergeCell ref="A1:F1"/>
    <mergeCell ref="A2:F2"/>
    <mergeCell ref="A4:F4"/>
    <mergeCell ref="A21:F21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A33:F33"/>
    <mergeCell ref="D35:F35"/>
    <mergeCell ref="D36:F36"/>
    <mergeCell ref="D37:F37"/>
    <mergeCell ref="D38:F38"/>
    <mergeCell ref="D39:F39"/>
    <mergeCell ref="D40:F40"/>
    <mergeCell ref="D41:F41"/>
    <mergeCell ref="D42:F42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4"/>
    <col collapsed="false" customWidth="true" hidden="false" outlineLevel="0" max="3" min="3" style="1" width="50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13" t="s">
        <v>1538</v>
      </c>
      <c r="B1" s="13"/>
      <c r="C1" s="13"/>
      <c r="D1" s="13"/>
      <c r="E1" s="13"/>
      <c r="F1" s="13"/>
    </row>
    <row r="3" customFormat="false" ht="15.75" hidden="false" customHeight="true" outlineLevel="0" collapsed="false">
      <c r="A3" s="43" t="s">
        <v>1539</v>
      </c>
      <c r="B3" s="43"/>
      <c r="C3" s="43"/>
      <c r="D3" s="43"/>
    </row>
    <row r="4" customFormat="false" ht="15" hidden="false" customHeight="true" outlineLevel="0" collapsed="false">
      <c r="A4" s="15" t="s">
        <v>52</v>
      </c>
      <c r="B4" s="15" t="s">
        <v>735</v>
      </c>
      <c r="C4" s="15" t="s">
        <v>736</v>
      </c>
    </row>
    <row r="5" customFormat="false" ht="15" hidden="false" customHeight="true" outlineLevel="0" collapsed="false">
      <c r="A5" s="16" t="s">
        <v>156</v>
      </c>
      <c r="B5" s="16" t="s">
        <v>738</v>
      </c>
      <c r="C5" s="16" t="s">
        <v>1540</v>
      </c>
    </row>
    <row r="6" customFormat="false" ht="15" hidden="false" customHeight="true" outlineLevel="0" collapsed="false">
      <c r="A6" s="16" t="s">
        <v>740</v>
      </c>
      <c r="B6" s="16" t="s">
        <v>1541</v>
      </c>
      <c r="C6" s="17" t="s">
        <v>1542</v>
      </c>
    </row>
    <row r="7" customFormat="false" ht="15" hidden="false" customHeight="true" outlineLevel="0" collapsed="false">
      <c r="A7" s="16" t="s">
        <v>177</v>
      </c>
      <c r="B7" s="16" t="s">
        <v>738</v>
      </c>
      <c r="C7" s="17" t="s">
        <v>1543</v>
      </c>
    </row>
    <row r="8" customFormat="false" ht="15" hidden="false" customHeight="true" outlineLevel="0" collapsed="false">
      <c r="A8" s="16" t="s">
        <v>1544</v>
      </c>
      <c r="B8" s="16" t="s">
        <v>1545</v>
      </c>
      <c r="C8" s="16" t="s">
        <v>1546</v>
      </c>
    </row>
    <row r="9" customFormat="false" ht="15" hidden="false" customHeight="true" outlineLevel="0" collapsed="false">
      <c r="A9" s="16" t="s">
        <v>1547</v>
      </c>
      <c r="B9" s="16" t="s">
        <v>738</v>
      </c>
      <c r="C9" s="16" t="s">
        <v>1548</v>
      </c>
    </row>
    <row r="10" customFormat="false" ht="15" hidden="false" customHeight="true" outlineLevel="0" collapsed="false">
      <c r="A10" s="16" t="s">
        <v>1549</v>
      </c>
      <c r="B10" s="16" t="s">
        <v>1550</v>
      </c>
      <c r="C10" s="17" t="s">
        <v>640</v>
      </c>
    </row>
    <row r="11" customFormat="false" ht="15" hidden="false" customHeight="true" outlineLevel="0" collapsed="false">
      <c r="A11" s="16" t="s">
        <v>101</v>
      </c>
      <c r="B11" s="16" t="s">
        <v>1551</v>
      </c>
      <c r="C11" s="17" t="s">
        <v>1552</v>
      </c>
    </row>
    <row r="12" customFormat="false" ht="15" hidden="false" customHeight="true" outlineLevel="0" collapsed="false">
      <c r="A12" s="16" t="s">
        <v>1553</v>
      </c>
      <c r="B12" s="16" t="s">
        <v>738</v>
      </c>
      <c r="C12" s="17" t="s">
        <v>1554</v>
      </c>
    </row>
    <row r="13" customFormat="false" ht="15" hidden="false" customHeight="true" outlineLevel="0" collapsed="false">
      <c r="A13" s="16" t="s">
        <v>119</v>
      </c>
      <c r="B13" s="16" t="s">
        <v>808</v>
      </c>
      <c r="C13" s="17" t="s">
        <v>1555</v>
      </c>
    </row>
    <row r="14" customFormat="false" ht="15" hidden="false" customHeight="true" outlineLevel="0" collapsed="false">
      <c r="A14" s="16" t="s">
        <v>1556</v>
      </c>
      <c r="B14" s="16" t="s">
        <v>738</v>
      </c>
      <c r="C14" s="17" t="s">
        <v>1557</v>
      </c>
    </row>
    <row r="15" customFormat="false" ht="15" hidden="false" customHeight="true" outlineLevel="0" collapsed="false">
      <c r="A15" s="44" t="s">
        <v>1558</v>
      </c>
      <c r="B15" s="44" t="s">
        <v>1559</v>
      </c>
      <c r="C15" s="44" t="s">
        <v>1560</v>
      </c>
    </row>
    <row r="18" customFormat="false" ht="15.75" hidden="false" customHeight="true" outlineLevel="0" collapsed="false">
      <c r="A18" s="43" t="s">
        <v>1561</v>
      </c>
      <c r="B18" s="43"/>
      <c r="C18" s="43"/>
      <c r="D18" s="43"/>
    </row>
    <row r="19" customFormat="false" ht="15" hidden="false" customHeight="true" outlineLevel="0" collapsed="false">
      <c r="A19" s="15" t="s">
        <v>52</v>
      </c>
      <c r="B19" s="15" t="s">
        <v>735</v>
      </c>
      <c r="C19" s="15" t="s">
        <v>736</v>
      </c>
    </row>
    <row r="20" customFormat="false" ht="15" hidden="false" customHeight="true" outlineLevel="0" collapsed="false">
      <c r="A20" s="17" t="s">
        <v>1562</v>
      </c>
      <c r="B20" s="16" t="s">
        <v>514</v>
      </c>
      <c r="C20" s="16" t="s">
        <v>514</v>
      </c>
    </row>
    <row r="21" customFormat="false" ht="15" hidden="false" customHeight="true" outlineLevel="0" collapsed="false">
      <c r="A21" s="16" t="s">
        <v>284</v>
      </c>
      <c r="B21" s="16" t="s">
        <v>870</v>
      </c>
      <c r="C21" s="16" t="s">
        <v>1563</v>
      </c>
    </row>
    <row r="22" customFormat="false" ht="15" hidden="false" customHeight="true" outlineLevel="0" collapsed="false">
      <c r="A22" s="16" t="s">
        <v>312</v>
      </c>
      <c r="B22" s="16" t="s">
        <v>874</v>
      </c>
      <c r="C22" s="16" t="s">
        <v>1564</v>
      </c>
    </row>
    <row r="23" customFormat="false" ht="15" hidden="false" customHeight="true" outlineLevel="0" collapsed="false">
      <c r="A23" s="16" t="s">
        <v>1565</v>
      </c>
      <c r="B23" s="16" t="s">
        <v>1566</v>
      </c>
      <c r="C23" s="16" t="s">
        <v>1567</v>
      </c>
    </row>
    <row r="24" customFormat="false" ht="15" hidden="false" customHeight="true" outlineLevel="0" collapsed="false">
      <c r="A24" s="16" t="s">
        <v>1568</v>
      </c>
      <c r="B24" s="16" t="s">
        <v>1569</v>
      </c>
      <c r="C24" s="16" t="s">
        <v>1570</v>
      </c>
    </row>
    <row r="25" customFormat="false" ht="15" hidden="false" customHeight="true" outlineLevel="0" collapsed="false">
      <c r="A25" s="16" t="s">
        <v>238</v>
      </c>
      <c r="B25" s="16" t="s">
        <v>746</v>
      </c>
      <c r="C25" s="16" t="s">
        <v>1571</v>
      </c>
    </row>
    <row r="26" customFormat="false" ht="15" hidden="false" customHeight="true" outlineLevel="0" collapsed="false">
      <c r="A26" s="16" t="s">
        <v>1572</v>
      </c>
      <c r="B26" s="16" t="s">
        <v>738</v>
      </c>
      <c r="C26" s="16" t="s">
        <v>1573</v>
      </c>
    </row>
    <row r="27" customFormat="false" ht="15" hidden="false" customHeight="true" outlineLevel="0" collapsed="false">
      <c r="A27" s="16" t="s">
        <v>1574</v>
      </c>
      <c r="B27" s="16" t="s">
        <v>1575</v>
      </c>
      <c r="C27" s="16" t="s">
        <v>1576</v>
      </c>
    </row>
    <row r="28" customFormat="false" ht="15" hidden="false" customHeight="true" outlineLevel="0" collapsed="false">
      <c r="A28" s="16" t="s">
        <v>1577</v>
      </c>
      <c r="B28" s="16" t="s">
        <v>1578</v>
      </c>
      <c r="C28" s="17" t="s">
        <v>1579</v>
      </c>
    </row>
    <row r="29" customFormat="false" ht="15" hidden="false" customHeight="true" outlineLevel="0" collapsed="false">
      <c r="A29" s="44" t="s">
        <v>1580</v>
      </c>
      <c r="B29" s="44" t="s">
        <v>1581</v>
      </c>
      <c r="C29" s="44" t="s">
        <v>1582</v>
      </c>
    </row>
    <row r="32" customFormat="false" ht="15.75" hidden="false" customHeight="true" outlineLevel="0" collapsed="false">
      <c r="A32" s="43" t="s">
        <v>1583</v>
      </c>
      <c r="B32" s="43"/>
      <c r="C32" s="43"/>
      <c r="D32" s="43"/>
    </row>
    <row r="33" customFormat="false" ht="15" hidden="false" customHeight="true" outlineLevel="0" collapsed="false">
      <c r="A33" s="15" t="s">
        <v>52</v>
      </c>
      <c r="B33" s="15" t="s">
        <v>735</v>
      </c>
      <c r="C33" s="15" t="s">
        <v>736</v>
      </c>
    </row>
    <row r="34" customFormat="false" ht="15" hidden="false" customHeight="true" outlineLevel="0" collapsed="false">
      <c r="A34" s="17" t="s">
        <v>1584</v>
      </c>
      <c r="B34" s="16" t="s">
        <v>514</v>
      </c>
      <c r="C34" s="16" t="s">
        <v>514</v>
      </c>
    </row>
    <row r="35" customFormat="false" ht="15" hidden="false" customHeight="true" outlineLevel="0" collapsed="false">
      <c r="A35" s="16" t="s">
        <v>1585</v>
      </c>
      <c r="B35" s="16" t="s">
        <v>1586</v>
      </c>
      <c r="C35" s="17" t="s">
        <v>1587</v>
      </c>
    </row>
    <row r="36" customFormat="false" ht="15" hidden="false" customHeight="true" outlineLevel="0" collapsed="false">
      <c r="A36" s="16" t="s">
        <v>1588</v>
      </c>
      <c r="B36" s="16" t="s">
        <v>1589</v>
      </c>
      <c r="C36" s="17" t="s">
        <v>1590</v>
      </c>
    </row>
    <row r="37" customFormat="false" ht="15" hidden="false" customHeight="true" outlineLevel="0" collapsed="false">
      <c r="A37" s="16" t="s">
        <v>1591</v>
      </c>
      <c r="B37" s="16" t="s">
        <v>418</v>
      </c>
      <c r="C37" s="17" t="s">
        <v>419</v>
      </c>
    </row>
    <row r="38" customFormat="false" ht="15" hidden="false" customHeight="true" outlineLevel="0" collapsed="false">
      <c r="A38" s="16" t="s">
        <v>1592</v>
      </c>
      <c r="B38" s="16" t="s">
        <v>1593</v>
      </c>
      <c r="C38" s="17" t="s">
        <v>1594</v>
      </c>
    </row>
    <row r="39" customFormat="false" ht="15" hidden="false" customHeight="true" outlineLevel="0" collapsed="false">
      <c r="A39" s="16" t="s">
        <v>1595</v>
      </c>
      <c r="B39" s="16" t="s">
        <v>1596</v>
      </c>
      <c r="C39" s="17" t="s">
        <v>1597</v>
      </c>
    </row>
    <row r="40" customFormat="false" ht="15" hidden="false" customHeight="true" outlineLevel="0" collapsed="false">
      <c r="A40" s="16" t="s">
        <v>449</v>
      </c>
      <c r="B40" s="16" t="s">
        <v>1598</v>
      </c>
      <c r="C40" s="17" t="s">
        <v>1599</v>
      </c>
    </row>
    <row r="41" customFormat="false" ht="15" hidden="false" customHeight="true" outlineLevel="0" collapsed="false">
      <c r="A41" s="16" t="s">
        <v>1600</v>
      </c>
      <c r="B41" s="16" t="s">
        <v>1601</v>
      </c>
      <c r="C41" s="16" t="s">
        <v>1602</v>
      </c>
    </row>
    <row r="42" customFormat="false" ht="15" hidden="false" customHeight="true" outlineLevel="0" collapsed="false">
      <c r="A42" s="16" t="s">
        <v>1603</v>
      </c>
      <c r="B42" s="16" t="s">
        <v>1604</v>
      </c>
      <c r="C42" s="17" t="s">
        <v>1605</v>
      </c>
    </row>
    <row r="43" customFormat="false" ht="15" hidden="false" customHeight="true" outlineLevel="0" collapsed="false">
      <c r="A43" s="44" t="s">
        <v>1558</v>
      </c>
      <c r="B43" s="44" t="s">
        <v>1606</v>
      </c>
      <c r="C43" s="44" t="s">
        <v>1607</v>
      </c>
    </row>
    <row r="46" customFormat="false" ht="15" hidden="false" customHeight="true" outlineLevel="0" collapsed="false">
      <c r="A46" s="24" t="s">
        <v>1608</v>
      </c>
      <c r="B46" s="24"/>
      <c r="C46" s="24"/>
      <c r="D46" s="24"/>
    </row>
    <row r="47" customFormat="false" ht="15" hidden="false" customHeight="true" outlineLevel="0" collapsed="false">
      <c r="A47" s="14" t="s">
        <v>1609</v>
      </c>
      <c r="B47" s="15" t="s">
        <v>1610</v>
      </c>
      <c r="C47" s="15" t="s">
        <v>1611</v>
      </c>
    </row>
    <row r="48" customFormat="false" ht="45.75" hidden="false" customHeight="true" outlineLevel="0" collapsed="false">
      <c r="A48" s="16" t="s">
        <v>1612</v>
      </c>
      <c r="B48" s="17" t="s">
        <v>1613</v>
      </c>
      <c r="C48" s="17" t="s">
        <v>1614</v>
      </c>
    </row>
    <row r="49" customFormat="false" ht="45.75" hidden="false" customHeight="true" outlineLevel="0" collapsed="false">
      <c r="A49" s="22" t="s">
        <v>1615</v>
      </c>
      <c r="B49" s="23" t="s">
        <v>1616</v>
      </c>
      <c r="C49" s="23" t="s">
        <v>1617</v>
      </c>
    </row>
    <row r="50" customFormat="false" ht="23.25" hidden="false" customHeight="true" outlineLevel="0" collapsed="false">
      <c r="A50" s="16" t="s">
        <v>1618</v>
      </c>
      <c r="B50" s="17" t="s">
        <v>1619</v>
      </c>
      <c r="C50" s="17" t="s">
        <v>1620</v>
      </c>
    </row>
    <row r="51" customFormat="false" ht="45.75" hidden="false" customHeight="true" outlineLevel="0" collapsed="false">
      <c r="A51" s="22" t="s">
        <v>1621</v>
      </c>
      <c r="B51" s="23" t="s">
        <v>1622</v>
      </c>
      <c r="C51" s="22" t="s">
        <v>1623</v>
      </c>
    </row>
    <row r="52" customFormat="false" ht="23.25" hidden="false" customHeight="true" outlineLevel="0" collapsed="false">
      <c r="A52" s="16" t="s">
        <v>1624</v>
      </c>
      <c r="B52" s="17" t="s">
        <v>1625</v>
      </c>
      <c r="C52" s="17" t="s">
        <v>1626</v>
      </c>
    </row>
    <row r="53" customFormat="false" ht="23.25" hidden="false" customHeight="true" outlineLevel="0" collapsed="false">
      <c r="A53" s="22" t="s">
        <v>1627</v>
      </c>
      <c r="B53" s="23" t="s">
        <v>1628</v>
      </c>
      <c r="C53" s="23" t="s">
        <v>1629</v>
      </c>
    </row>
    <row r="54" customFormat="false" ht="23.25" hidden="false" customHeight="true" outlineLevel="0" collapsed="false">
      <c r="A54" s="16" t="s">
        <v>1630</v>
      </c>
      <c r="B54" s="16" t="s">
        <v>1631</v>
      </c>
      <c r="C54" s="16" t="s">
        <v>1632</v>
      </c>
    </row>
  </sheetData>
  <mergeCells count="5">
    <mergeCell ref="A1:F1"/>
    <mergeCell ref="A3:D3"/>
    <mergeCell ref="A18:D18"/>
    <mergeCell ref="A32:D32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44"/>
    <col collapsed="false" customWidth="true" hidden="false" outlineLevel="0" max="5" min="5" style="1" width="36"/>
    <col collapsed="false" customWidth="true" hidden="false" outlineLevel="0" max="6" min="6" style="1" width="5"/>
  </cols>
  <sheetData>
    <row r="1" customFormat="false" ht="17.25" hidden="false" customHeight="true" outlineLevel="0" collapsed="false">
      <c r="A1" s="20" t="s">
        <v>1633</v>
      </c>
      <c r="B1" s="20"/>
      <c r="C1" s="20"/>
      <c r="D1" s="20"/>
      <c r="E1" s="20"/>
      <c r="F1" s="20"/>
    </row>
    <row r="2" customFormat="false" ht="15" hidden="false" customHeight="true" outlineLevel="0" collapsed="false">
      <c r="A2" s="31" t="s">
        <v>1634</v>
      </c>
      <c r="B2" s="31"/>
      <c r="C2" s="31"/>
      <c r="D2" s="31"/>
      <c r="E2" s="31"/>
      <c r="F2" s="31"/>
    </row>
    <row r="4" customFormat="false" ht="15.75" hidden="false" customHeight="true" outlineLevel="0" collapsed="false">
      <c r="A4" s="45" t="s">
        <v>1635</v>
      </c>
      <c r="B4" s="45"/>
      <c r="C4" s="45"/>
      <c r="D4" s="45"/>
      <c r="E4" s="45"/>
      <c r="F4" s="45"/>
    </row>
    <row r="5" customFormat="false" ht="11.25" hidden="false" customHeight="true" outlineLevel="0" collapsed="false">
      <c r="A5" s="46" t="s">
        <v>1636</v>
      </c>
      <c r="B5" s="46"/>
      <c r="C5" s="46"/>
      <c r="D5" s="46"/>
      <c r="E5" s="46"/>
      <c r="F5" s="46"/>
    </row>
    <row r="6" customFormat="false" ht="15" hidden="false" customHeight="true" outlineLevel="0" collapsed="false">
      <c r="A6" s="14" t="s">
        <v>51</v>
      </c>
      <c r="B6" s="15" t="s">
        <v>778</v>
      </c>
      <c r="C6" s="15" t="s">
        <v>1637</v>
      </c>
      <c r="D6" s="15" t="s">
        <v>1638</v>
      </c>
      <c r="E6" s="15" t="s">
        <v>1639</v>
      </c>
    </row>
    <row r="7" customFormat="false" ht="23.25" hidden="false" customHeight="true" outlineLevel="0" collapsed="false">
      <c r="A7" s="16" t="n">
        <v>1</v>
      </c>
      <c r="B7" s="17" t="s">
        <v>1640</v>
      </c>
      <c r="C7" s="17" t="s">
        <v>1641</v>
      </c>
      <c r="D7" s="16" t="s">
        <v>1642</v>
      </c>
      <c r="E7" s="44" t="s">
        <v>1643</v>
      </c>
    </row>
    <row r="8" customFormat="false" ht="23.25" hidden="false" customHeight="true" outlineLevel="0" collapsed="false">
      <c r="A8" s="22" t="n">
        <v>2</v>
      </c>
      <c r="B8" s="23" t="s">
        <v>1644</v>
      </c>
      <c r="C8" s="23" t="s">
        <v>1645</v>
      </c>
      <c r="D8" s="23" t="s">
        <v>1646</v>
      </c>
      <c r="E8" s="22" t="s">
        <v>1647</v>
      </c>
    </row>
    <row r="9" customFormat="false" ht="15" hidden="false" customHeight="true" outlineLevel="0" collapsed="false">
      <c r="A9" s="16" t="n">
        <v>3</v>
      </c>
      <c r="B9" s="17" t="s">
        <v>1648</v>
      </c>
      <c r="C9" s="17" t="s">
        <v>1649</v>
      </c>
      <c r="D9" s="16" t="s">
        <v>1650</v>
      </c>
      <c r="E9" s="40" t="s">
        <v>1651</v>
      </c>
    </row>
    <row r="10" customFormat="false" ht="15" hidden="false" customHeight="true" outlineLevel="0" collapsed="false">
      <c r="A10" s="22" t="n">
        <v>4</v>
      </c>
      <c r="B10" s="23" t="s">
        <v>1652</v>
      </c>
      <c r="C10" s="22" t="s">
        <v>1653</v>
      </c>
      <c r="D10" s="22" t="s">
        <v>1654</v>
      </c>
      <c r="E10" s="23" t="s">
        <v>1655</v>
      </c>
    </row>
    <row r="11" customFormat="false" ht="23.25" hidden="false" customHeight="true" outlineLevel="0" collapsed="false">
      <c r="A11" s="16" t="n">
        <v>5</v>
      </c>
      <c r="B11" s="17" t="s">
        <v>1656</v>
      </c>
      <c r="C11" s="16" t="s">
        <v>1657</v>
      </c>
      <c r="D11" s="16" t="s">
        <v>1658</v>
      </c>
      <c r="E11" s="40" t="s">
        <v>1659</v>
      </c>
    </row>
    <row r="14" customFormat="false" ht="15.75" hidden="false" customHeight="true" outlineLevel="0" collapsed="false">
      <c r="A14" s="47" t="s">
        <v>1660</v>
      </c>
      <c r="B14" s="47"/>
      <c r="C14" s="47"/>
      <c r="D14" s="47"/>
      <c r="E14" s="47"/>
      <c r="F14" s="47"/>
    </row>
    <row r="15" customFormat="false" ht="11.25" hidden="false" customHeight="true" outlineLevel="0" collapsed="false">
      <c r="A15" s="46" t="s">
        <v>1661</v>
      </c>
      <c r="B15" s="46"/>
      <c r="C15" s="46"/>
      <c r="D15" s="46"/>
      <c r="E15" s="46"/>
      <c r="F15" s="46"/>
    </row>
    <row r="16" customFormat="false" ht="15" hidden="false" customHeight="true" outlineLevel="0" collapsed="false">
      <c r="A16" s="14" t="s">
        <v>51</v>
      </c>
      <c r="B16" s="15" t="s">
        <v>778</v>
      </c>
      <c r="C16" s="15" t="s">
        <v>1637</v>
      </c>
      <c r="D16" s="15" t="s">
        <v>1638</v>
      </c>
      <c r="E16" s="15" t="s">
        <v>1639</v>
      </c>
    </row>
    <row r="17" customFormat="false" ht="23.25" hidden="false" customHeight="true" outlineLevel="0" collapsed="false">
      <c r="A17" s="16" t="n">
        <v>1</v>
      </c>
      <c r="B17" s="17" t="s">
        <v>1662</v>
      </c>
      <c r="C17" s="16" t="s">
        <v>1663</v>
      </c>
      <c r="D17" s="16" t="s">
        <v>1664</v>
      </c>
      <c r="E17" s="40" t="s">
        <v>1665</v>
      </c>
    </row>
    <row r="18" customFormat="false" ht="15" hidden="false" customHeight="true" outlineLevel="0" collapsed="false">
      <c r="A18" s="22" t="n">
        <v>2</v>
      </c>
      <c r="B18" s="23" t="s">
        <v>1666</v>
      </c>
      <c r="C18" s="22" t="s">
        <v>1667</v>
      </c>
      <c r="D18" s="22" t="s">
        <v>1668</v>
      </c>
      <c r="E18" s="22" t="s">
        <v>1669</v>
      </c>
    </row>
    <row r="19" customFormat="false" ht="15" hidden="false" customHeight="true" outlineLevel="0" collapsed="false">
      <c r="A19" s="16" t="n">
        <v>3</v>
      </c>
      <c r="B19" s="17" t="s">
        <v>1670</v>
      </c>
      <c r="C19" s="16" t="s">
        <v>1671</v>
      </c>
      <c r="D19" s="17" t="s">
        <v>1672</v>
      </c>
      <c r="E19" s="44" t="s">
        <v>1673</v>
      </c>
    </row>
    <row r="20" customFormat="false" ht="23.25" hidden="false" customHeight="true" outlineLevel="0" collapsed="false">
      <c r="A20" s="22" t="n">
        <v>4</v>
      </c>
      <c r="B20" s="23" t="s">
        <v>1674</v>
      </c>
      <c r="C20" s="23" t="s">
        <v>1675</v>
      </c>
      <c r="D20" s="22" t="s">
        <v>1676</v>
      </c>
      <c r="E20" s="22" t="s">
        <v>1677</v>
      </c>
    </row>
    <row r="21" customFormat="false" ht="15" hidden="false" customHeight="true" outlineLevel="0" collapsed="false">
      <c r="A21" s="16" t="n">
        <v>5</v>
      </c>
      <c r="B21" s="17" t="s">
        <v>1678</v>
      </c>
      <c r="C21" s="17" t="s">
        <v>1679</v>
      </c>
      <c r="D21" s="16" t="s">
        <v>1680</v>
      </c>
      <c r="E21" s="44" t="s">
        <v>1681</v>
      </c>
    </row>
    <row r="24" customFormat="false" ht="15.75" hidden="false" customHeight="true" outlineLevel="0" collapsed="false">
      <c r="A24" s="47" t="s">
        <v>1682</v>
      </c>
      <c r="B24" s="47"/>
      <c r="C24" s="47"/>
      <c r="D24" s="47"/>
      <c r="E24" s="47"/>
      <c r="F24" s="47"/>
    </row>
    <row r="25" customFormat="false" ht="11.25" hidden="false" customHeight="true" outlineLevel="0" collapsed="false">
      <c r="A25" s="46" t="s">
        <v>1683</v>
      </c>
      <c r="B25" s="46"/>
      <c r="C25" s="46"/>
      <c r="D25" s="46"/>
      <c r="E25" s="46"/>
      <c r="F25" s="46"/>
    </row>
    <row r="26" customFormat="false" ht="15" hidden="false" customHeight="true" outlineLevel="0" collapsed="false">
      <c r="A26" s="14" t="s">
        <v>51</v>
      </c>
      <c r="B26" s="15" t="s">
        <v>778</v>
      </c>
      <c r="C26" s="15" t="s">
        <v>1637</v>
      </c>
      <c r="D26" s="15" t="s">
        <v>1638</v>
      </c>
      <c r="E26" s="15" t="s">
        <v>1639</v>
      </c>
    </row>
    <row r="27" customFormat="false" ht="23.25" hidden="false" customHeight="true" outlineLevel="0" collapsed="false">
      <c r="A27" s="16" t="n">
        <v>1</v>
      </c>
      <c r="B27" s="17" t="s">
        <v>1684</v>
      </c>
      <c r="C27" s="16" t="s">
        <v>1685</v>
      </c>
      <c r="D27" s="17" t="s">
        <v>1686</v>
      </c>
      <c r="E27" s="40" t="s">
        <v>1687</v>
      </c>
    </row>
    <row r="28" customFormat="false" ht="15" hidden="false" customHeight="true" outlineLevel="0" collapsed="false">
      <c r="A28" s="22" t="n">
        <v>2</v>
      </c>
      <c r="B28" s="23" t="s">
        <v>1688</v>
      </c>
      <c r="C28" s="23" t="s">
        <v>1689</v>
      </c>
      <c r="D28" s="22" t="s">
        <v>1690</v>
      </c>
      <c r="E28" s="23" t="s">
        <v>1691</v>
      </c>
    </row>
    <row r="29" customFormat="false" ht="15" hidden="false" customHeight="true" outlineLevel="0" collapsed="false">
      <c r="A29" s="16" t="n">
        <v>3</v>
      </c>
      <c r="B29" s="17" t="s">
        <v>1692</v>
      </c>
      <c r="C29" s="16" t="s">
        <v>1693</v>
      </c>
      <c r="D29" s="16" t="s">
        <v>1694</v>
      </c>
      <c r="E29" s="40" t="s">
        <v>1695</v>
      </c>
    </row>
    <row r="30" customFormat="false" ht="23.25" hidden="false" customHeight="true" outlineLevel="0" collapsed="false">
      <c r="A30" s="22" t="n">
        <v>4</v>
      </c>
      <c r="B30" s="23" t="s">
        <v>1696</v>
      </c>
      <c r="C30" s="22" t="s">
        <v>1697</v>
      </c>
      <c r="D30" s="22" t="s">
        <v>1698</v>
      </c>
      <c r="E30" s="23" t="s">
        <v>1699</v>
      </c>
    </row>
    <row r="31" customFormat="false" ht="15" hidden="false" customHeight="true" outlineLevel="0" collapsed="false">
      <c r="A31" s="16" t="n">
        <v>5</v>
      </c>
      <c r="B31" s="16" t="s">
        <v>1700</v>
      </c>
      <c r="C31" s="17" t="s">
        <v>1701</v>
      </c>
      <c r="D31" s="16" t="s">
        <v>1702</v>
      </c>
      <c r="E31" s="44" t="s">
        <v>1703</v>
      </c>
    </row>
    <row r="34" customFormat="false" ht="15.75" hidden="false" customHeight="true" outlineLevel="0" collapsed="false">
      <c r="A34" s="47" t="s">
        <v>1704</v>
      </c>
      <c r="B34" s="47"/>
      <c r="C34" s="47"/>
      <c r="D34" s="47"/>
      <c r="E34" s="47"/>
      <c r="F34" s="47"/>
    </row>
    <row r="35" customFormat="false" ht="11.25" hidden="false" customHeight="true" outlineLevel="0" collapsed="false">
      <c r="A35" s="46" t="s">
        <v>1705</v>
      </c>
      <c r="B35" s="46"/>
      <c r="C35" s="46"/>
      <c r="D35" s="46"/>
      <c r="E35" s="46"/>
      <c r="F35" s="46"/>
    </row>
    <row r="36" customFormat="false" ht="15" hidden="false" customHeight="true" outlineLevel="0" collapsed="false">
      <c r="A36" s="14" t="s">
        <v>51</v>
      </c>
      <c r="B36" s="15" t="s">
        <v>778</v>
      </c>
      <c r="C36" s="15" t="s">
        <v>1637</v>
      </c>
      <c r="D36" s="15" t="s">
        <v>1638</v>
      </c>
      <c r="E36" s="15" t="s">
        <v>1639</v>
      </c>
    </row>
    <row r="37" customFormat="false" ht="23.25" hidden="false" customHeight="true" outlineLevel="0" collapsed="false">
      <c r="A37" s="16" t="n">
        <v>1</v>
      </c>
      <c r="B37" s="17" t="s">
        <v>1706</v>
      </c>
      <c r="C37" s="16" t="s">
        <v>1707</v>
      </c>
      <c r="D37" s="16" t="s">
        <v>1708</v>
      </c>
      <c r="E37" s="40" t="s">
        <v>1709</v>
      </c>
    </row>
    <row r="38" customFormat="false" ht="15" hidden="false" customHeight="true" outlineLevel="0" collapsed="false">
      <c r="A38" s="22" t="n">
        <v>2</v>
      </c>
      <c r="B38" s="23" t="s">
        <v>1710</v>
      </c>
      <c r="C38" s="23" t="s">
        <v>1711</v>
      </c>
      <c r="D38" s="22" t="s">
        <v>1712</v>
      </c>
      <c r="E38" s="23" t="s">
        <v>1713</v>
      </c>
    </row>
    <row r="39" customFormat="false" ht="15" hidden="false" customHeight="true" outlineLevel="0" collapsed="false">
      <c r="A39" s="16" t="n">
        <v>3</v>
      </c>
      <c r="B39" s="17" t="s">
        <v>1714</v>
      </c>
      <c r="C39" s="17" t="s">
        <v>1715</v>
      </c>
      <c r="D39" s="16" t="s">
        <v>1716</v>
      </c>
      <c r="E39" s="44" t="s">
        <v>1717</v>
      </c>
    </row>
    <row r="40" customFormat="false" ht="15" hidden="false" customHeight="true" outlineLevel="0" collapsed="false">
      <c r="A40" s="22" t="n">
        <v>4</v>
      </c>
      <c r="B40" s="23" t="s">
        <v>1718</v>
      </c>
      <c r="C40" s="23" t="s">
        <v>1719</v>
      </c>
      <c r="D40" s="22" t="s">
        <v>1720</v>
      </c>
      <c r="E40" s="22" t="s">
        <v>1721</v>
      </c>
    </row>
    <row r="41" customFormat="false" ht="15" hidden="false" customHeight="true" outlineLevel="0" collapsed="false">
      <c r="A41" s="16" t="n">
        <v>5</v>
      </c>
      <c r="B41" s="17" t="s">
        <v>1722</v>
      </c>
      <c r="C41" s="16" t="s">
        <v>1723</v>
      </c>
      <c r="D41" s="17" t="s">
        <v>1724</v>
      </c>
      <c r="E41" s="44" t="s">
        <v>1725</v>
      </c>
    </row>
    <row r="44" customFormat="false" ht="15.75" hidden="false" customHeight="true" outlineLevel="0" collapsed="false">
      <c r="A44" s="45" t="s">
        <v>1726</v>
      </c>
      <c r="B44" s="45"/>
      <c r="C44" s="45"/>
      <c r="D44" s="45"/>
      <c r="E44" s="45"/>
      <c r="F44" s="45"/>
    </row>
    <row r="45" customFormat="false" ht="11.25" hidden="false" customHeight="true" outlineLevel="0" collapsed="false">
      <c r="A45" s="46" t="s">
        <v>1727</v>
      </c>
      <c r="B45" s="46"/>
      <c r="C45" s="46"/>
      <c r="D45" s="46"/>
      <c r="E45" s="46"/>
      <c r="F45" s="46"/>
    </row>
    <row r="46" customFormat="false" ht="15" hidden="false" customHeight="true" outlineLevel="0" collapsed="false">
      <c r="A46" s="14" t="s">
        <v>51</v>
      </c>
      <c r="B46" s="15" t="s">
        <v>778</v>
      </c>
      <c r="C46" s="15" t="s">
        <v>1637</v>
      </c>
      <c r="D46" s="15" t="s">
        <v>1638</v>
      </c>
      <c r="E46" s="15" t="s">
        <v>1639</v>
      </c>
    </row>
    <row r="47" customFormat="false" ht="15" hidden="false" customHeight="true" outlineLevel="0" collapsed="false">
      <c r="A47" s="16" t="n">
        <v>1</v>
      </c>
      <c r="B47" s="16" t="s">
        <v>1728</v>
      </c>
      <c r="C47" s="17" t="s">
        <v>1729</v>
      </c>
      <c r="D47" s="17" t="s">
        <v>1730</v>
      </c>
      <c r="E47" s="44" t="s">
        <v>1731</v>
      </c>
    </row>
    <row r="48" customFormat="false" ht="15" hidden="false" customHeight="true" outlineLevel="0" collapsed="false">
      <c r="A48" s="22" t="n">
        <v>2</v>
      </c>
      <c r="B48" s="23" t="s">
        <v>1732</v>
      </c>
      <c r="C48" s="23" t="s">
        <v>1733</v>
      </c>
      <c r="D48" s="22" t="s">
        <v>1734</v>
      </c>
      <c r="E48" s="23" t="s">
        <v>1735</v>
      </c>
    </row>
    <row r="49" customFormat="false" ht="15" hidden="false" customHeight="true" outlineLevel="0" collapsed="false">
      <c r="A49" s="16" t="n">
        <v>3</v>
      </c>
      <c r="B49" s="17" t="s">
        <v>1736</v>
      </c>
      <c r="C49" s="17" t="s">
        <v>1737</v>
      </c>
      <c r="D49" s="16" t="s">
        <v>1738</v>
      </c>
      <c r="E49" s="40" t="s">
        <v>1739</v>
      </c>
    </row>
    <row r="50" customFormat="false" ht="15" hidden="false" customHeight="true" outlineLevel="0" collapsed="false">
      <c r="A50" s="22" t="n">
        <v>4</v>
      </c>
      <c r="B50" s="22" t="s">
        <v>1740</v>
      </c>
      <c r="C50" s="23" t="s">
        <v>1741</v>
      </c>
      <c r="D50" s="22" t="s">
        <v>1742</v>
      </c>
      <c r="E50" s="23" t="s">
        <v>1743</v>
      </c>
    </row>
    <row r="51" customFormat="false" ht="23.25" hidden="false" customHeight="true" outlineLevel="0" collapsed="false">
      <c r="A51" s="16" t="n">
        <v>5</v>
      </c>
      <c r="B51" s="17" t="s">
        <v>1744</v>
      </c>
      <c r="C51" s="16" t="s">
        <v>1745</v>
      </c>
      <c r="D51" s="16" t="s">
        <v>1746</v>
      </c>
      <c r="E51" s="40" t="s">
        <v>1747</v>
      </c>
    </row>
    <row r="54" customFormat="false" ht="15" hidden="false" customHeight="true" outlineLevel="0" collapsed="false">
      <c r="A54" s="28" t="s">
        <v>1748</v>
      </c>
      <c r="B54" s="28"/>
      <c r="C54" s="28"/>
      <c r="D54" s="28"/>
      <c r="E54" s="28"/>
      <c r="F54" s="28"/>
    </row>
    <row r="55" customFormat="false" ht="15" hidden="false" customHeight="true" outlineLevel="0" collapsed="false">
      <c r="A55" s="30" t="s">
        <v>1749</v>
      </c>
      <c r="B55" s="30"/>
      <c r="C55" s="30"/>
      <c r="D55" s="30"/>
      <c r="E55" s="30"/>
      <c r="F55" s="30"/>
    </row>
    <row r="56" customFormat="false" ht="15" hidden="false" customHeight="true" outlineLevel="0" collapsed="false">
      <c r="A56" s="30" t="s">
        <v>1750</v>
      </c>
      <c r="B56" s="30"/>
      <c r="C56" s="30"/>
      <c r="D56" s="30"/>
      <c r="E56" s="30"/>
      <c r="F56" s="30"/>
    </row>
    <row r="57" customFormat="false" ht="15" hidden="false" customHeight="true" outlineLevel="0" collapsed="false">
      <c r="A57" s="29" t="s">
        <v>1751</v>
      </c>
      <c r="B57" s="29"/>
      <c r="C57" s="29"/>
      <c r="D57" s="29"/>
      <c r="E57" s="29"/>
      <c r="F57" s="29"/>
    </row>
    <row r="58" customFormat="false" ht="15" hidden="false" customHeight="true" outlineLevel="0" collapsed="false">
      <c r="A58" s="29" t="s">
        <v>1752</v>
      </c>
      <c r="B58" s="29"/>
      <c r="C58" s="29"/>
      <c r="D58" s="29"/>
      <c r="E58" s="29"/>
      <c r="F58" s="29"/>
    </row>
    <row r="59" customFormat="false" ht="15" hidden="false" customHeight="true" outlineLevel="0" collapsed="false">
      <c r="A59" s="29" t="s">
        <v>1753</v>
      </c>
      <c r="B59" s="29"/>
      <c r="C59" s="29"/>
      <c r="D59" s="29"/>
      <c r="E59" s="29"/>
      <c r="F59" s="29"/>
    </row>
    <row r="60" customFormat="false" ht="15" hidden="false" customHeight="true" outlineLevel="0" collapsed="false">
      <c r="A60" s="29" t="s">
        <v>1754</v>
      </c>
      <c r="B60" s="29"/>
      <c r="C60" s="29"/>
      <c r="D60" s="29"/>
      <c r="E60" s="29"/>
      <c r="F60" s="29"/>
    </row>
  </sheetData>
  <mergeCells count="19">
    <mergeCell ref="A1:F1"/>
    <mergeCell ref="A2:F2"/>
    <mergeCell ref="A4:F4"/>
    <mergeCell ref="A5:F5"/>
    <mergeCell ref="A14:F14"/>
    <mergeCell ref="A15:F15"/>
    <mergeCell ref="A24:F24"/>
    <mergeCell ref="A25:F25"/>
    <mergeCell ref="A34:F34"/>
    <mergeCell ref="A35:F35"/>
    <mergeCell ref="A44:F44"/>
    <mergeCell ref="A45:F45"/>
    <mergeCell ref="A54:F54"/>
    <mergeCell ref="A55:F55"/>
    <mergeCell ref="A56:F56"/>
    <mergeCell ref="A57:F57"/>
    <mergeCell ref="A58:F58"/>
    <mergeCell ref="A59:F59"/>
    <mergeCell ref="A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28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9" min="9" style="1" width="32"/>
    <col collapsed="false" customWidth="true" hidden="false" outlineLevel="0" max="10" min="10" style="1" width="12"/>
  </cols>
  <sheetData>
    <row r="1" customFormat="false" ht="17.25" hidden="false" customHeight="true" outlineLevel="0" collapsed="false">
      <c r="A1" s="20" t="s">
        <v>1755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5" hidden="false" customHeight="true" outlineLevel="0" collapsed="false">
      <c r="A2" s="31" t="s">
        <v>1756</v>
      </c>
      <c r="B2" s="31"/>
      <c r="C2" s="31"/>
      <c r="D2" s="31"/>
      <c r="E2" s="31"/>
      <c r="F2" s="31"/>
      <c r="G2" s="31"/>
      <c r="H2" s="31"/>
      <c r="I2" s="31"/>
      <c r="J2" s="31"/>
    </row>
    <row r="4" customFormat="false" ht="27.75" hidden="false" customHeight="true" outlineLevel="0" collapsed="false">
      <c r="A4" s="14" t="s">
        <v>51</v>
      </c>
      <c r="B4" s="14" t="s">
        <v>1757</v>
      </c>
      <c r="C4" s="15" t="s">
        <v>1758</v>
      </c>
      <c r="D4" s="15" t="s">
        <v>1759</v>
      </c>
      <c r="E4" s="15" t="s">
        <v>1760</v>
      </c>
      <c r="F4" s="15" t="s">
        <v>1761</v>
      </c>
      <c r="G4" s="15" t="s">
        <v>1760</v>
      </c>
      <c r="H4" s="15" t="s">
        <v>1762</v>
      </c>
      <c r="I4" s="15" t="s">
        <v>1763</v>
      </c>
      <c r="J4" s="15" t="s">
        <v>1445</v>
      </c>
    </row>
    <row r="5" customFormat="false" ht="23.25" hidden="false" customHeight="true" outlineLevel="0" collapsed="false">
      <c r="A5" s="16" t="n">
        <v>1</v>
      </c>
      <c r="B5" s="16" t="s">
        <v>1728</v>
      </c>
      <c r="C5" s="16" t="s">
        <v>1764</v>
      </c>
      <c r="D5" s="16" t="s">
        <v>1765</v>
      </c>
      <c r="E5" s="16" t="s">
        <v>1196</v>
      </c>
      <c r="F5" s="48" t="s">
        <v>1766</v>
      </c>
      <c r="G5" s="49" t="s">
        <v>1193</v>
      </c>
      <c r="H5" s="16" t="s">
        <v>1767</v>
      </c>
      <c r="I5" s="16" t="s">
        <v>514</v>
      </c>
      <c r="J5" s="17" t="s">
        <v>69</v>
      </c>
    </row>
    <row r="6" customFormat="false" ht="15" hidden="false" customHeight="true" outlineLevel="0" collapsed="false">
      <c r="A6" s="22" t="n">
        <v>2</v>
      </c>
      <c r="B6" s="23" t="s">
        <v>1768</v>
      </c>
      <c r="C6" s="22" t="s">
        <v>1769</v>
      </c>
      <c r="D6" s="22" t="s">
        <v>1770</v>
      </c>
      <c r="E6" s="22" t="s">
        <v>1196</v>
      </c>
      <c r="F6" s="22" t="s">
        <v>1771</v>
      </c>
      <c r="G6" s="22" t="s">
        <v>1196</v>
      </c>
      <c r="H6" s="23" t="s">
        <v>130</v>
      </c>
      <c r="I6" s="22" t="s">
        <v>514</v>
      </c>
      <c r="J6" s="23" t="s">
        <v>69</v>
      </c>
    </row>
    <row r="7" customFormat="false" ht="34.5" hidden="false" customHeight="true" outlineLevel="0" collapsed="false">
      <c r="A7" s="16" t="n">
        <v>3</v>
      </c>
      <c r="B7" s="17" t="s">
        <v>1454</v>
      </c>
      <c r="C7" s="16" t="s">
        <v>1772</v>
      </c>
      <c r="D7" s="16" t="s">
        <v>1773</v>
      </c>
      <c r="E7" s="16" t="s">
        <v>1196</v>
      </c>
      <c r="F7" s="49" t="s">
        <v>1774</v>
      </c>
      <c r="G7" s="49" t="s">
        <v>1193</v>
      </c>
      <c r="H7" s="16" t="s">
        <v>1775</v>
      </c>
      <c r="I7" s="17" t="s">
        <v>1776</v>
      </c>
      <c r="J7" s="17" t="s">
        <v>1777</v>
      </c>
    </row>
    <row r="8" customFormat="false" ht="23.25" hidden="false" customHeight="true" outlineLevel="0" collapsed="false">
      <c r="A8" s="22" t="n">
        <v>4</v>
      </c>
      <c r="B8" s="23" t="s">
        <v>1778</v>
      </c>
      <c r="C8" s="22" t="s">
        <v>1779</v>
      </c>
      <c r="D8" s="22" t="s">
        <v>1780</v>
      </c>
      <c r="E8" s="22" t="s">
        <v>1196</v>
      </c>
      <c r="F8" s="23" t="s">
        <v>1781</v>
      </c>
      <c r="G8" s="22" t="s">
        <v>1196</v>
      </c>
      <c r="H8" s="23" t="s">
        <v>130</v>
      </c>
      <c r="I8" s="22" t="s">
        <v>514</v>
      </c>
      <c r="J8" s="23" t="s">
        <v>205</v>
      </c>
    </row>
    <row r="9" customFormat="false" ht="23.25" hidden="false" customHeight="true" outlineLevel="0" collapsed="false">
      <c r="A9" s="16" t="n">
        <v>5</v>
      </c>
      <c r="B9" s="17" t="s">
        <v>1782</v>
      </c>
      <c r="C9" s="16" t="s">
        <v>1783</v>
      </c>
      <c r="D9" s="16" t="s">
        <v>1784</v>
      </c>
      <c r="E9" s="16" t="s">
        <v>1193</v>
      </c>
      <c r="F9" s="48" t="s">
        <v>1785</v>
      </c>
      <c r="G9" s="49" t="s">
        <v>1193</v>
      </c>
      <c r="H9" s="16" t="s">
        <v>1786</v>
      </c>
      <c r="I9" s="16" t="s">
        <v>1787</v>
      </c>
      <c r="J9" s="17" t="s">
        <v>69</v>
      </c>
    </row>
    <row r="10" customFormat="false" ht="23.25" hidden="false" customHeight="true" outlineLevel="0" collapsed="false">
      <c r="A10" s="22" t="n">
        <v>6</v>
      </c>
      <c r="B10" s="23" t="s">
        <v>1012</v>
      </c>
      <c r="C10" s="22" t="s">
        <v>1788</v>
      </c>
      <c r="D10" s="22" t="s">
        <v>1789</v>
      </c>
      <c r="E10" s="22" t="s">
        <v>1196</v>
      </c>
      <c r="F10" s="23" t="s">
        <v>1790</v>
      </c>
      <c r="G10" s="22" t="s">
        <v>1196</v>
      </c>
      <c r="H10" s="23" t="s">
        <v>130</v>
      </c>
      <c r="I10" s="22" t="s">
        <v>514</v>
      </c>
      <c r="J10" s="23" t="s">
        <v>205</v>
      </c>
    </row>
    <row r="11" customFormat="false" ht="15" hidden="false" customHeight="true" outlineLevel="0" collapsed="false">
      <c r="A11" s="16" t="n">
        <v>7</v>
      </c>
      <c r="B11" s="17" t="s">
        <v>1466</v>
      </c>
      <c r="C11" s="16" t="s">
        <v>1791</v>
      </c>
      <c r="D11" s="16" t="s">
        <v>1792</v>
      </c>
      <c r="E11" s="16" t="s">
        <v>1193</v>
      </c>
      <c r="F11" s="48" t="s">
        <v>1793</v>
      </c>
      <c r="G11" s="49" t="s">
        <v>1193</v>
      </c>
      <c r="H11" s="17" t="s">
        <v>130</v>
      </c>
      <c r="I11" s="16" t="s">
        <v>514</v>
      </c>
      <c r="J11" s="17" t="s">
        <v>197</v>
      </c>
    </row>
    <row r="12" customFormat="false" ht="34.5" hidden="false" customHeight="true" outlineLevel="0" collapsed="false">
      <c r="A12" s="22" t="n">
        <v>8</v>
      </c>
      <c r="B12" s="23" t="s">
        <v>1794</v>
      </c>
      <c r="C12" s="22" t="s">
        <v>1795</v>
      </c>
      <c r="D12" s="22" t="s">
        <v>1796</v>
      </c>
      <c r="E12" s="22" t="s">
        <v>1193</v>
      </c>
      <c r="F12" s="22" t="s">
        <v>1797</v>
      </c>
      <c r="G12" s="22" t="s">
        <v>1193</v>
      </c>
      <c r="H12" s="22" t="s">
        <v>1798</v>
      </c>
      <c r="I12" s="22" t="s">
        <v>514</v>
      </c>
      <c r="J12" s="23" t="s">
        <v>236</v>
      </c>
    </row>
    <row r="13" customFormat="false" ht="34.5" hidden="false" customHeight="true" outlineLevel="0" collapsed="false">
      <c r="A13" s="16" t="n">
        <v>9</v>
      </c>
      <c r="B13" s="17" t="s">
        <v>1799</v>
      </c>
      <c r="C13" s="16" t="s">
        <v>1800</v>
      </c>
      <c r="D13" s="16" t="s">
        <v>1801</v>
      </c>
      <c r="E13" s="16" t="s">
        <v>1196</v>
      </c>
      <c r="F13" s="48" t="s">
        <v>1802</v>
      </c>
      <c r="G13" s="49" t="s">
        <v>1193</v>
      </c>
      <c r="H13" s="16" t="s">
        <v>1803</v>
      </c>
      <c r="I13" s="16" t="s">
        <v>1804</v>
      </c>
      <c r="J13" s="17" t="s">
        <v>69</v>
      </c>
    </row>
    <row r="14" customFormat="false" ht="15" hidden="false" customHeight="true" outlineLevel="0" collapsed="false">
      <c r="A14" s="22" t="n">
        <v>10</v>
      </c>
      <c r="B14" s="22" t="s">
        <v>1805</v>
      </c>
      <c r="C14" s="22" t="s">
        <v>1806</v>
      </c>
      <c r="D14" s="22" t="s">
        <v>1807</v>
      </c>
      <c r="E14" s="22" t="s">
        <v>1196</v>
      </c>
      <c r="F14" s="23" t="s">
        <v>1808</v>
      </c>
      <c r="G14" s="22" t="s">
        <v>1196</v>
      </c>
      <c r="H14" s="23" t="s">
        <v>130</v>
      </c>
      <c r="I14" s="22" t="s">
        <v>514</v>
      </c>
      <c r="J14" s="23" t="s">
        <v>167</v>
      </c>
    </row>
    <row r="15" customFormat="false" ht="23.25" hidden="false" customHeight="true" outlineLevel="0" collapsed="false">
      <c r="A15" s="16" t="n">
        <v>11</v>
      </c>
      <c r="B15" s="16" t="s">
        <v>1809</v>
      </c>
      <c r="C15" s="16" t="s">
        <v>1810</v>
      </c>
      <c r="D15" s="16" t="s">
        <v>1544</v>
      </c>
      <c r="E15" s="16" t="s">
        <v>1196</v>
      </c>
      <c r="F15" s="48" t="s">
        <v>1808</v>
      </c>
      <c r="G15" s="49" t="s">
        <v>1196</v>
      </c>
      <c r="H15" s="17" t="s">
        <v>130</v>
      </c>
      <c r="I15" s="16" t="s">
        <v>514</v>
      </c>
      <c r="J15" s="17" t="s">
        <v>274</v>
      </c>
    </row>
    <row r="16" customFormat="false" ht="23.25" hidden="false" customHeight="true" outlineLevel="0" collapsed="false">
      <c r="A16" s="22" t="n">
        <v>12</v>
      </c>
      <c r="B16" s="22" t="s">
        <v>1811</v>
      </c>
      <c r="C16" s="22" t="s">
        <v>1812</v>
      </c>
      <c r="D16" s="22" t="s">
        <v>1813</v>
      </c>
      <c r="E16" s="22" t="s">
        <v>1196</v>
      </c>
      <c r="F16" s="23" t="s">
        <v>1808</v>
      </c>
      <c r="G16" s="22" t="s">
        <v>1196</v>
      </c>
      <c r="H16" s="23" t="s">
        <v>130</v>
      </c>
      <c r="I16" s="22" t="s">
        <v>514</v>
      </c>
      <c r="J16" s="23" t="s">
        <v>167</v>
      </c>
    </row>
    <row r="17" customFormat="false" ht="23.25" hidden="false" customHeight="true" outlineLevel="0" collapsed="false">
      <c r="A17" s="16" t="n">
        <v>13</v>
      </c>
      <c r="B17" s="16" t="s">
        <v>1814</v>
      </c>
      <c r="C17" s="16" t="s">
        <v>1815</v>
      </c>
      <c r="D17" s="16" t="s">
        <v>1816</v>
      </c>
      <c r="E17" s="16" t="s">
        <v>1196</v>
      </c>
      <c r="F17" s="48" t="s">
        <v>1817</v>
      </c>
      <c r="G17" s="49" t="s">
        <v>1193</v>
      </c>
      <c r="H17" s="17" t="s">
        <v>1818</v>
      </c>
      <c r="I17" s="16" t="s">
        <v>514</v>
      </c>
      <c r="J17" s="17" t="s">
        <v>69</v>
      </c>
    </row>
    <row r="18" customFormat="false" ht="23.25" hidden="false" customHeight="true" outlineLevel="0" collapsed="false">
      <c r="A18" s="22" t="n">
        <v>14</v>
      </c>
      <c r="B18" s="22" t="s">
        <v>1819</v>
      </c>
      <c r="C18" s="22" t="s">
        <v>1820</v>
      </c>
      <c r="D18" s="22" t="s">
        <v>1821</v>
      </c>
      <c r="E18" s="22" t="s">
        <v>1196</v>
      </c>
      <c r="F18" s="23" t="s">
        <v>1822</v>
      </c>
      <c r="G18" s="22" t="s">
        <v>1196</v>
      </c>
      <c r="H18" s="23" t="s">
        <v>130</v>
      </c>
      <c r="I18" s="22" t="s">
        <v>514</v>
      </c>
      <c r="J18" s="23" t="s">
        <v>69</v>
      </c>
    </row>
    <row r="19" customFormat="false" ht="23.25" hidden="false" customHeight="true" outlineLevel="0" collapsed="false">
      <c r="A19" s="16" t="n">
        <v>15</v>
      </c>
      <c r="B19" s="17" t="s">
        <v>1497</v>
      </c>
      <c r="C19" s="16" t="s">
        <v>1823</v>
      </c>
      <c r="D19" s="16" t="s">
        <v>1824</v>
      </c>
      <c r="E19" s="16" t="s">
        <v>1196</v>
      </c>
      <c r="F19" s="49" t="s">
        <v>1825</v>
      </c>
      <c r="G19" s="49" t="s">
        <v>1193</v>
      </c>
      <c r="H19" s="16" t="s">
        <v>1826</v>
      </c>
      <c r="I19" s="16" t="s">
        <v>514</v>
      </c>
      <c r="J19" s="17" t="s">
        <v>236</v>
      </c>
    </row>
    <row r="20" customFormat="false" ht="23.25" hidden="false" customHeight="true" outlineLevel="0" collapsed="false">
      <c r="A20" s="22" t="n">
        <v>16</v>
      </c>
      <c r="B20" s="23" t="s">
        <v>1827</v>
      </c>
      <c r="C20" s="22" t="s">
        <v>1828</v>
      </c>
      <c r="D20" s="22" t="s">
        <v>1829</v>
      </c>
      <c r="E20" s="22" t="s">
        <v>1193</v>
      </c>
      <c r="F20" s="22" t="s">
        <v>1830</v>
      </c>
      <c r="G20" s="22" t="s">
        <v>1193</v>
      </c>
      <c r="H20" s="22" t="s">
        <v>1831</v>
      </c>
      <c r="I20" s="22" t="s">
        <v>514</v>
      </c>
      <c r="J20" s="23" t="s">
        <v>236</v>
      </c>
    </row>
    <row r="22" customFormat="false" ht="14.25" hidden="false" customHeight="true" outlineLevel="0" collapsed="false">
      <c r="A22" s="24" t="s">
        <v>1832</v>
      </c>
      <c r="B22" s="24"/>
      <c r="C22" s="24"/>
      <c r="D22" s="24"/>
      <c r="E22" s="24"/>
      <c r="F22" s="24"/>
      <c r="G22" s="24"/>
      <c r="H22" s="24"/>
      <c r="I22" s="24"/>
      <c r="J22" s="24"/>
    </row>
    <row r="23" customFormat="false" ht="27.75" hidden="false" customHeight="true" outlineLevel="0" collapsed="false">
      <c r="A23" s="14" t="s">
        <v>51</v>
      </c>
      <c r="B23" s="14" t="s">
        <v>1757</v>
      </c>
      <c r="C23" s="15" t="s">
        <v>1758</v>
      </c>
      <c r="D23" s="15" t="s">
        <v>1759</v>
      </c>
      <c r="E23" s="15" t="s">
        <v>1760</v>
      </c>
      <c r="F23" s="15" t="s">
        <v>1761</v>
      </c>
      <c r="G23" s="15" t="s">
        <v>1760</v>
      </c>
      <c r="H23" s="15" t="s">
        <v>1762</v>
      </c>
      <c r="I23" s="15" t="s">
        <v>1763</v>
      </c>
      <c r="J23" s="15" t="s">
        <v>1445</v>
      </c>
    </row>
    <row r="24" customFormat="false" ht="23.25" hidden="false" customHeight="true" outlineLevel="0" collapsed="false">
      <c r="A24" s="16" t="n">
        <v>1</v>
      </c>
      <c r="B24" s="17" t="s">
        <v>1833</v>
      </c>
      <c r="C24" s="16" t="s">
        <v>1834</v>
      </c>
      <c r="D24" s="16" t="s">
        <v>1835</v>
      </c>
      <c r="E24" s="16" t="s">
        <v>1196</v>
      </c>
      <c r="F24" s="48" t="s">
        <v>1836</v>
      </c>
      <c r="G24" s="49" t="s">
        <v>1193</v>
      </c>
      <c r="H24" s="16" t="s">
        <v>1837</v>
      </c>
      <c r="I24" s="17" t="s">
        <v>1838</v>
      </c>
      <c r="J24" s="16" t="s">
        <v>298</v>
      </c>
    </row>
    <row r="25" customFormat="false" ht="23.25" hidden="false" customHeight="true" outlineLevel="0" collapsed="false">
      <c r="A25" s="22" t="n">
        <v>2</v>
      </c>
      <c r="B25" s="23" t="s">
        <v>1839</v>
      </c>
      <c r="C25" s="22" t="s">
        <v>1840</v>
      </c>
      <c r="D25" s="22" t="s">
        <v>1841</v>
      </c>
      <c r="E25" s="22" t="s">
        <v>1193</v>
      </c>
      <c r="F25" s="23" t="s">
        <v>1842</v>
      </c>
      <c r="G25" s="22" t="s">
        <v>1207</v>
      </c>
      <c r="H25" s="22" t="s">
        <v>1843</v>
      </c>
      <c r="I25" s="22" t="s">
        <v>514</v>
      </c>
      <c r="J25" s="22" t="s">
        <v>298</v>
      </c>
    </row>
    <row r="26" customFormat="false" ht="23.25" hidden="false" customHeight="true" outlineLevel="0" collapsed="false">
      <c r="A26" s="16" t="n">
        <v>3</v>
      </c>
      <c r="B26" s="17" t="s">
        <v>1844</v>
      </c>
      <c r="C26" s="16" t="s">
        <v>1845</v>
      </c>
      <c r="D26" s="16" t="s">
        <v>1846</v>
      </c>
      <c r="E26" s="16" t="s">
        <v>1193</v>
      </c>
      <c r="F26" s="48" t="s">
        <v>1847</v>
      </c>
      <c r="G26" s="49" t="s">
        <v>1193</v>
      </c>
      <c r="H26" s="16" t="s">
        <v>1848</v>
      </c>
      <c r="I26" s="17" t="s">
        <v>1849</v>
      </c>
      <c r="J26" s="17" t="s">
        <v>69</v>
      </c>
    </row>
    <row r="27" customFormat="false" ht="23.25" hidden="false" customHeight="true" outlineLevel="0" collapsed="false">
      <c r="A27" s="22" t="n">
        <v>4</v>
      </c>
      <c r="B27" s="23" t="s">
        <v>1850</v>
      </c>
      <c r="C27" s="22" t="s">
        <v>1851</v>
      </c>
      <c r="D27" s="22" t="s">
        <v>1852</v>
      </c>
      <c r="E27" s="22" t="s">
        <v>1196</v>
      </c>
      <c r="F27" s="23" t="s">
        <v>1853</v>
      </c>
      <c r="G27" s="22" t="s">
        <v>1207</v>
      </c>
      <c r="H27" s="22" t="s">
        <v>1854</v>
      </c>
      <c r="I27" s="22" t="s">
        <v>1855</v>
      </c>
      <c r="J27" s="23" t="s">
        <v>274</v>
      </c>
    </row>
    <row r="28" customFormat="false" ht="34.5" hidden="false" customHeight="true" outlineLevel="0" collapsed="false">
      <c r="A28" s="16" t="n">
        <v>5</v>
      </c>
      <c r="B28" s="16" t="s">
        <v>1856</v>
      </c>
      <c r="C28" s="16" t="s">
        <v>1857</v>
      </c>
      <c r="D28" s="16" t="s">
        <v>1858</v>
      </c>
      <c r="E28" s="16" t="s">
        <v>1196</v>
      </c>
      <c r="F28" s="49" t="s">
        <v>1859</v>
      </c>
      <c r="G28" s="49" t="s">
        <v>1193</v>
      </c>
      <c r="H28" s="16" t="s">
        <v>1860</v>
      </c>
      <c r="I28" s="16" t="s">
        <v>1861</v>
      </c>
      <c r="J28" s="17" t="s">
        <v>141</v>
      </c>
    </row>
    <row r="29" customFormat="false" ht="34.5" hidden="false" customHeight="true" outlineLevel="0" collapsed="false">
      <c r="A29" s="22" t="n">
        <v>6</v>
      </c>
      <c r="B29" s="22" t="s">
        <v>1862</v>
      </c>
      <c r="C29" s="22" t="s">
        <v>1845</v>
      </c>
      <c r="D29" s="22" t="s">
        <v>1863</v>
      </c>
      <c r="E29" s="22" t="s">
        <v>1193</v>
      </c>
      <c r="F29" s="22" t="s">
        <v>1864</v>
      </c>
      <c r="G29" s="22" t="s">
        <v>1207</v>
      </c>
      <c r="H29" s="22" t="s">
        <v>1865</v>
      </c>
      <c r="I29" s="22" t="s">
        <v>1866</v>
      </c>
      <c r="J29" s="23" t="s">
        <v>69</v>
      </c>
    </row>
    <row r="30" customFormat="false" ht="34.5" hidden="false" customHeight="true" outlineLevel="0" collapsed="false">
      <c r="A30" s="16" t="n">
        <v>7</v>
      </c>
      <c r="B30" s="17" t="s">
        <v>1867</v>
      </c>
      <c r="C30" s="16" t="s">
        <v>1851</v>
      </c>
      <c r="D30" s="16" t="s">
        <v>1868</v>
      </c>
      <c r="E30" s="16" t="s">
        <v>1193</v>
      </c>
      <c r="F30" s="48" t="s">
        <v>1869</v>
      </c>
      <c r="G30" s="49" t="s">
        <v>1207</v>
      </c>
      <c r="H30" s="16" t="s">
        <v>1870</v>
      </c>
      <c r="I30" s="16" t="s">
        <v>1871</v>
      </c>
      <c r="J30" s="16" t="s">
        <v>298</v>
      </c>
    </row>
    <row r="31" customFormat="false" ht="34.5" hidden="false" customHeight="true" outlineLevel="0" collapsed="false">
      <c r="A31" s="22" t="n">
        <v>8</v>
      </c>
      <c r="B31" s="22" t="s">
        <v>1872</v>
      </c>
      <c r="C31" s="23" t="s">
        <v>1873</v>
      </c>
      <c r="D31" s="22" t="s">
        <v>1874</v>
      </c>
      <c r="E31" s="22" t="s">
        <v>1193</v>
      </c>
      <c r="F31" s="23" t="s">
        <v>1875</v>
      </c>
      <c r="G31" s="22" t="s">
        <v>1193</v>
      </c>
      <c r="H31" s="22" t="s">
        <v>1876</v>
      </c>
      <c r="I31" s="23" t="s">
        <v>1877</v>
      </c>
      <c r="J31" s="23" t="s">
        <v>69</v>
      </c>
    </row>
  </sheetData>
  <mergeCells count="3">
    <mergeCell ref="A1:J1"/>
    <mergeCell ref="A2:J2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38"/>
    <col collapsed="false" customWidth="true" hidden="false" outlineLevel="0" max="5" min="5" style="1" width="10"/>
    <col collapsed="false" customWidth="true" hidden="false" outlineLevel="0" max="6" min="6" style="1" width="28"/>
  </cols>
  <sheetData>
    <row r="1" customFormat="false" ht="17.25" hidden="false" customHeight="true" outlineLevel="0" collapsed="false">
      <c r="A1" s="20" t="s">
        <v>1878</v>
      </c>
      <c r="B1" s="20"/>
      <c r="C1" s="20"/>
      <c r="D1" s="20"/>
      <c r="E1" s="20"/>
      <c r="F1" s="20"/>
    </row>
    <row r="2" customFormat="false" ht="15" hidden="false" customHeight="true" outlineLevel="0" collapsed="false">
      <c r="A2" s="50" t="s">
        <v>1879</v>
      </c>
      <c r="B2" s="50"/>
      <c r="C2" s="50"/>
      <c r="D2" s="50"/>
      <c r="E2" s="50"/>
      <c r="F2" s="50"/>
    </row>
    <row r="4" customFormat="false" ht="15.75" hidden="false" customHeight="true" outlineLevel="0" collapsed="false">
      <c r="A4" s="45" t="s">
        <v>1880</v>
      </c>
      <c r="B4" s="45"/>
      <c r="C4" s="45"/>
      <c r="D4" s="45"/>
      <c r="E4" s="45"/>
      <c r="F4" s="45"/>
    </row>
    <row r="5" customFormat="false" ht="15" hidden="false" customHeight="true" outlineLevel="0" collapsed="false">
      <c r="A5" s="15" t="s">
        <v>52</v>
      </c>
      <c r="B5" s="15" t="s">
        <v>54</v>
      </c>
      <c r="C5" s="15" t="s">
        <v>735</v>
      </c>
      <c r="D5" s="14" t="s">
        <v>1881</v>
      </c>
      <c r="E5" s="15" t="s">
        <v>1760</v>
      </c>
      <c r="F5" s="15" t="s">
        <v>1882</v>
      </c>
    </row>
    <row r="6" customFormat="false" ht="23.25" hidden="false" customHeight="true" outlineLevel="0" collapsed="false">
      <c r="A6" s="16" t="s">
        <v>156</v>
      </c>
      <c r="B6" s="17" t="s">
        <v>1883</v>
      </c>
      <c r="C6" s="17" t="s">
        <v>130</v>
      </c>
      <c r="D6" s="17" t="s">
        <v>196</v>
      </c>
      <c r="E6" s="16" t="s">
        <v>1196</v>
      </c>
      <c r="F6" s="16" t="s">
        <v>1884</v>
      </c>
    </row>
    <row r="7" customFormat="false" ht="15" hidden="false" customHeight="true" outlineLevel="0" collapsed="false">
      <c r="A7" s="16" t="s">
        <v>169</v>
      </c>
      <c r="B7" s="16" t="s">
        <v>1885</v>
      </c>
      <c r="C7" s="17" t="s">
        <v>1886</v>
      </c>
      <c r="D7" s="17" t="s">
        <v>1887</v>
      </c>
      <c r="E7" s="16" t="s">
        <v>1196</v>
      </c>
      <c r="F7" s="16" t="s">
        <v>1888</v>
      </c>
    </row>
    <row r="8" customFormat="false" ht="15" hidden="false" customHeight="true" outlineLevel="0" collapsed="false">
      <c r="A8" s="16" t="s">
        <v>177</v>
      </c>
      <c r="B8" s="17" t="s">
        <v>1889</v>
      </c>
      <c r="C8" s="17" t="s">
        <v>130</v>
      </c>
      <c r="D8" s="17" t="s">
        <v>196</v>
      </c>
      <c r="E8" s="16" t="s">
        <v>1196</v>
      </c>
      <c r="F8" s="17" t="s">
        <v>1890</v>
      </c>
    </row>
    <row r="9" customFormat="false" ht="15" hidden="false" customHeight="true" outlineLevel="0" collapsed="false">
      <c r="A9" s="16" t="s">
        <v>1544</v>
      </c>
      <c r="B9" s="16" t="s">
        <v>1891</v>
      </c>
      <c r="C9" s="17" t="s">
        <v>1892</v>
      </c>
      <c r="D9" s="17" t="s">
        <v>196</v>
      </c>
      <c r="E9" s="16" t="s">
        <v>1196</v>
      </c>
      <c r="F9" s="16" t="s">
        <v>1893</v>
      </c>
    </row>
    <row r="10" customFormat="false" ht="23.25" hidden="false" customHeight="true" outlineLevel="0" collapsed="false">
      <c r="A10" s="16" t="s">
        <v>1547</v>
      </c>
      <c r="B10" s="17" t="s">
        <v>1894</v>
      </c>
      <c r="C10" s="17" t="s">
        <v>130</v>
      </c>
      <c r="D10" s="17" t="s">
        <v>196</v>
      </c>
      <c r="E10" s="16" t="s">
        <v>1196</v>
      </c>
      <c r="F10" s="16" t="s">
        <v>1895</v>
      </c>
    </row>
    <row r="11" customFormat="false" ht="23.25" hidden="false" customHeight="true" outlineLevel="0" collapsed="false">
      <c r="A11" s="48" t="s">
        <v>1896</v>
      </c>
      <c r="B11" s="49" t="s">
        <v>1897</v>
      </c>
      <c r="C11" s="49" t="s">
        <v>1898</v>
      </c>
      <c r="D11" s="48" t="s">
        <v>1899</v>
      </c>
      <c r="E11" s="49" t="s">
        <v>1193</v>
      </c>
      <c r="F11" s="49" t="s">
        <v>1900</v>
      </c>
    </row>
    <row r="12" customFormat="false" ht="23.25" hidden="false" customHeight="true" outlineLevel="0" collapsed="false">
      <c r="A12" s="48" t="s">
        <v>1901</v>
      </c>
      <c r="B12" s="48" t="s">
        <v>1902</v>
      </c>
      <c r="C12" s="49" t="s">
        <v>738</v>
      </c>
      <c r="D12" s="48" t="s">
        <v>1903</v>
      </c>
      <c r="E12" s="49" t="s">
        <v>1193</v>
      </c>
      <c r="F12" s="48" t="s">
        <v>1904</v>
      </c>
    </row>
    <row r="13" customFormat="false" ht="15" hidden="false" customHeight="true" outlineLevel="0" collapsed="false">
      <c r="A13" s="48" t="s">
        <v>1905</v>
      </c>
      <c r="B13" s="49" t="s">
        <v>64</v>
      </c>
      <c r="C13" s="49" t="s">
        <v>1906</v>
      </c>
      <c r="D13" s="48" t="s">
        <v>1907</v>
      </c>
      <c r="E13" s="49" t="s">
        <v>1193</v>
      </c>
      <c r="F13" s="48" t="s">
        <v>1908</v>
      </c>
    </row>
    <row r="14" customFormat="false" ht="15" hidden="false" customHeight="true" outlineLevel="0" collapsed="false">
      <c r="A14" s="16" t="s">
        <v>1909</v>
      </c>
      <c r="B14" s="17" t="s">
        <v>1910</v>
      </c>
      <c r="C14" s="16" t="s">
        <v>738</v>
      </c>
      <c r="D14" s="17" t="s">
        <v>1911</v>
      </c>
      <c r="E14" s="16" t="s">
        <v>1193</v>
      </c>
      <c r="F14" s="17" t="s">
        <v>1912</v>
      </c>
    </row>
    <row r="15" customFormat="false" ht="23.25" hidden="false" customHeight="true" outlineLevel="0" collapsed="false">
      <c r="A15" s="16" t="s">
        <v>1913</v>
      </c>
      <c r="B15" s="17" t="s">
        <v>1914</v>
      </c>
      <c r="C15" s="16" t="s">
        <v>738</v>
      </c>
      <c r="D15" s="17" t="s">
        <v>196</v>
      </c>
      <c r="E15" s="16" t="s">
        <v>1196</v>
      </c>
      <c r="F15" s="17" t="s">
        <v>1915</v>
      </c>
    </row>
    <row r="16" customFormat="false" ht="15" hidden="false" customHeight="true" outlineLevel="0" collapsed="false">
      <c r="A16" s="16" t="s">
        <v>1916</v>
      </c>
      <c r="B16" s="17" t="s">
        <v>1917</v>
      </c>
      <c r="C16" s="16" t="s">
        <v>738</v>
      </c>
      <c r="D16" s="17" t="s">
        <v>1918</v>
      </c>
      <c r="E16" s="16" t="s">
        <v>1193</v>
      </c>
      <c r="F16" s="17" t="s">
        <v>1919</v>
      </c>
    </row>
    <row r="17" customFormat="false" ht="15" hidden="false" customHeight="true" outlineLevel="0" collapsed="false">
      <c r="A17" s="48" t="s">
        <v>1920</v>
      </c>
      <c r="B17" s="48" t="s">
        <v>1921</v>
      </c>
      <c r="C17" s="49" t="s">
        <v>1922</v>
      </c>
      <c r="D17" s="48" t="s">
        <v>1923</v>
      </c>
      <c r="E17" s="49" t="s">
        <v>1207</v>
      </c>
      <c r="F17" s="49" t="s">
        <v>1924</v>
      </c>
    </row>
    <row r="18" customFormat="false" ht="23.25" hidden="false" customHeight="true" outlineLevel="0" collapsed="false">
      <c r="A18" s="40" t="s">
        <v>1925</v>
      </c>
      <c r="B18" s="40" t="s">
        <v>1926</v>
      </c>
      <c r="C18" s="40" t="s">
        <v>514</v>
      </c>
      <c r="D18" s="40" t="s">
        <v>514</v>
      </c>
      <c r="E18" s="40" t="s">
        <v>514</v>
      </c>
      <c r="F18" s="44" t="s">
        <v>1927</v>
      </c>
    </row>
    <row r="21" customFormat="false" ht="15.75" hidden="false" customHeight="true" outlineLevel="0" collapsed="false">
      <c r="A21" s="47" t="s">
        <v>1928</v>
      </c>
      <c r="B21" s="47"/>
      <c r="C21" s="47"/>
      <c r="D21" s="47"/>
      <c r="E21" s="47"/>
      <c r="F21" s="47"/>
    </row>
    <row r="22" customFormat="false" ht="15" hidden="false" customHeight="true" outlineLevel="0" collapsed="false">
      <c r="A22" s="15" t="s">
        <v>52</v>
      </c>
      <c r="B22" s="15" t="s">
        <v>54</v>
      </c>
      <c r="C22" s="15" t="s">
        <v>735</v>
      </c>
      <c r="D22" s="14" t="s">
        <v>1881</v>
      </c>
      <c r="E22" s="15" t="s">
        <v>1760</v>
      </c>
      <c r="F22" s="15" t="s">
        <v>1882</v>
      </c>
    </row>
    <row r="23" customFormat="false" ht="15" hidden="false" customHeight="true" outlineLevel="0" collapsed="false">
      <c r="A23" s="17" t="s">
        <v>1929</v>
      </c>
      <c r="B23" s="16" t="s">
        <v>514</v>
      </c>
      <c r="C23" s="16" t="s">
        <v>514</v>
      </c>
      <c r="D23" s="16" t="s">
        <v>514</v>
      </c>
      <c r="E23" s="16" t="s">
        <v>514</v>
      </c>
      <c r="F23" s="16" t="s">
        <v>514</v>
      </c>
    </row>
    <row r="24" customFormat="false" ht="23.25" hidden="false" customHeight="true" outlineLevel="0" collapsed="false">
      <c r="A24" s="48" t="s">
        <v>1930</v>
      </c>
      <c r="B24" s="49" t="s">
        <v>1931</v>
      </c>
      <c r="C24" s="49" t="s">
        <v>1932</v>
      </c>
      <c r="D24" s="48" t="s">
        <v>1933</v>
      </c>
      <c r="E24" s="49" t="s">
        <v>1193</v>
      </c>
      <c r="F24" s="49" t="s">
        <v>1934</v>
      </c>
    </row>
    <row r="25" customFormat="false" ht="15" hidden="false" customHeight="true" outlineLevel="0" collapsed="false">
      <c r="A25" s="16" t="s">
        <v>1568</v>
      </c>
      <c r="B25" s="16" t="s">
        <v>410</v>
      </c>
      <c r="C25" s="16" t="s">
        <v>1569</v>
      </c>
      <c r="D25" s="17" t="s">
        <v>1935</v>
      </c>
      <c r="E25" s="16" t="s">
        <v>1207</v>
      </c>
      <c r="F25" s="16" t="s">
        <v>1936</v>
      </c>
    </row>
    <row r="26" customFormat="false" ht="15" hidden="false" customHeight="true" outlineLevel="0" collapsed="false">
      <c r="A26" s="16" t="s">
        <v>1937</v>
      </c>
      <c r="B26" s="16" t="s">
        <v>1938</v>
      </c>
      <c r="C26" s="16" t="s">
        <v>1939</v>
      </c>
      <c r="D26" s="17" t="s">
        <v>1940</v>
      </c>
      <c r="E26" s="16" t="s">
        <v>1196</v>
      </c>
      <c r="F26" s="16" t="s">
        <v>1941</v>
      </c>
    </row>
    <row r="27" customFormat="false" ht="15" hidden="false" customHeight="true" outlineLevel="0" collapsed="false">
      <c r="A27" s="48" t="s">
        <v>1942</v>
      </c>
      <c r="B27" s="49" t="s">
        <v>1943</v>
      </c>
      <c r="C27" s="49" t="s">
        <v>1944</v>
      </c>
      <c r="D27" s="49" t="s">
        <v>514</v>
      </c>
      <c r="E27" s="49" t="s">
        <v>1193</v>
      </c>
      <c r="F27" s="48" t="s">
        <v>1945</v>
      </c>
    </row>
    <row r="28" customFormat="false" ht="15" hidden="false" customHeight="true" outlineLevel="0" collapsed="false">
      <c r="A28" s="48" t="s">
        <v>1946</v>
      </c>
      <c r="B28" s="49" t="s">
        <v>1947</v>
      </c>
      <c r="C28" s="49" t="s">
        <v>1948</v>
      </c>
      <c r="D28" s="48" t="s">
        <v>1949</v>
      </c>
      <c r="E28" s="49" t="s">
        <v>1207</v>
      </c>
      <c r="F28" s="48" t="s">
        <v>1950</v>
      </c>
    </row>
    <row r="29" customFormat="false" ht="15" hidden="false" customHeight="true" outlineLevel="0" collapsed="false">
      <c r="A29" s="16" t="s">
        <v>119</v>
      </c>
      <c r="B29" s="17" t="s">
        <v>571</v>
      </c>
      <c r="C29" s="16" t="s">
        <v>808</v>
      </c>
      <c r="D29" s="17" t="s">
        <v>1951</v>
      </c>
      <c r="E29" s="16" t="s">
        <v>1193</v>
      </c>
      <c r="F29" s="17" t="s">
        <v>1952</v>
      </c>
    </row>
    <row r="30" customFormat="false" ht="23.25" hidden="false" customHeight="true" outlineLevel="0" collapsed="false">
      <c r="A30" s="16" t="s">
        <v>1953</v>
      </c>
      <c r="B30" s="16" t="s">
        <v>1954</v>
      </c>
      <c r="C30" s="16" t="s">
        <v>1955</v>
      </c>
      <c r="D30" s="16" t="s">
        <v>1956</v>
      </c>
      <c r="E30" s="16" t="s">
        <v>1196</v>
      </c>
      <c r="F30" s="17" t="s">
        <v>1957</v>
      </c>
    </row>
    <row r="31" customFormat="false" ht="15" hidden="false" customHeight="true" outlineLevel="0" collapsed="false">
      <c r="A31" s="16" t="s">
        <v>1958</v>
      </c>
      <c r="B31" s="16" t="s">
        <v>1959</v>
      </c>
      <c r="C31" s="16" t="s">
        <v>1569</v>
      </c>
      <c r="D31" s="17" t="s">
        <v>1935</v>
      </c>
      <c r="E31" s="16" t="s">
        <v>1207</v>
      </c>
      <c r="F31" s="17" t="s">
        <v>728</v>
      </c>
    </row>
    <row r="32" customFormat="false" ht="15" hidden="false" customHeight="true" outlineLevel="0" collapsed="false">
      <c r="A32" s="40" t="s">
        <v>1960</v>
      </c>
      <c r="B32" s="40" t="s">
        <v>1961</v>
      </c>
      <c r="C32" s="40" t="s">
        <v>514</v>
      </c>
      <c r="D32" s="40" t="s">
        <v>514</v>
      </c>
      <c r="E32" s="40" t="s">
        <v>514</v>
      </c>
      <c r="F32" s="44" t="s">
        <v>1962</v>
      </c>
    </row>
    <row r="35" customFormat="false" ht="15.75" hidden="false" customHeight="true" outlineLevel="0" collapsed="false">
      <c r="A35" s="51" t="s">
        <v>1963</v>
      </c>
      <c r="B35" s="51"/>
      <c r="C35" s="51"/>
      <c r="D35" s="51"/>
      <c r="E35" s="51"/>
      <c r="F35" s="51"/>
    </row>
    <row r="36" customFormat="false" ht="15" hidden="false" customHeight="true" outlineLevel="0" collapsed="false">
      <c r="A36" s="15" t="s">
        <v>52</v>
      </c>
      <c r="B36" s="15" t="s">
        <v>54</v>
      </c>
      <c r="C36" s="15" t="s">
        <v>735</v>
      </c>
      <c r="D36" s="14" t="s">
        <v>1881</v>
      </c>
      <c r="E36" s="15" t="s">
        <v>1760</v>
      </c>
      <c r="F36" s="15" t="s">
        <v>1882</v>
      </c>
    </row>
    <row r="37" customFormat="false" ht="15" hidden="false" customHeight="true" outlineLevel="0" collapsed="false">
      <c r="A37" s="17" t="s">
        <v>1964</v>
      </c>
      <c r="B37" s="16" t="s">
        <v>514</v>
      </c>
      <c r="C37" s="16" t="s">
        <v>514</v>
      </c>
      <c r="D37" s="16" t="s">
        <v>514</v>
      </c>
      <c r="E37" s="16" t="s">
        <v>514</v>
      </c>
      <c r="F37" s="16" t="s">
        <v>514</v>
      </c>
    </row>
    <row r="38" customFormat="false" ht="23.25" hidden="false" customHeight="true" outlineLevel="0" collapsed="false">
      <c r="A38" s="49" t="s">
        <v>1965</v>
      </c>
      <c r="B38" s="48" t="s">
        <v>1966</v>
      </c>
      <c r="C38" s="49" t="s">
        <v>870</v>
      </c>
      <c r="D38" s="49" t="s">
        <v>1967</v>
      </c>
      <c r="E38" s="49" t="s">
        <v>1196</v>
      </c>
      <c r="F38" s="48" t="s">
        <v>1968</v>
      </c>
    </row>
    <row r="39" customFormat="false" ht="15" hidden="false" customHeight="true" outlineLevel="0" collapsed="false">
      <c r="A39" s="16" t="s">
        <v>238</v>
      </c>
      <c r="B39" s="16" t="s">
        <v>1571</v>
      </c>
      <c r="C39" s="16" t="s">
        <v>746</v>
      </c>
      <c r="D39" s="17" t="s">
        <v>1969</v>
      </c>
      <c r="E39" s="16" t="s">
        <v>1193</v>
      </c>
      <c r="F39" s="17" t="s">
        <v>1970</v>
      </c>
    </row>
    <row r="40" customFormat="false" ht="15" hidden="false" customHeight="true" outlineLevel="0" collapsed="false">
      <c r="A40" s="16" t="s">
        <v>1971</v>
      </c>
      <c r="B40" s="16" t="s">
        <v>1972</v>
      </c>
      <c r="C40" s="16" t="s">
        <v>1973</v>
      </c>
      <c r="D40" s="16" t="s">
        <v>1974</v>
      </c>
      <c r="E40" s="16" t="s">
        <v>1193</v>
      </c>
      <c r="F40" s="16" t="s">
        <v>1975</v>
      </c>
    </row>
    <row r="41" customFormat="false" ht="15" hidden="false" customHeight="true" outlineLevel="0" collapsed="false">
      <c r="A41" s="16" t="s">
        <v>1976</v>
      </c>
      <c r="B41" s="17" t="s">
        <v>1977</v>
      </c>
      <c r="C41" s="16" t="s">
        <v>1978</v>
      </c>
      <c r="D41" s="17" t="s">
        <v>1979</v>
      </c>
      <c r="E41" s="16" t="s">
        <v>1193</v>
      </c>
      <c r="F41" s="17" t="s">
        <v>1980</v>
      </c>
    </row>
    <row r="42" customFormat="false" ht="23.25" hidden="false" customHeight="true" outlineLevel="0" collapsed="false">
      <c r="A42" s="16" t="s">
        <v>1981</v>
      </c>
      <c r="B42" s="17" t="s">
        <v>1982</v>
      </c>
      <c r="C42" s="16" t="s">
        <v>1983</v>
      </c>
      <c r="D42" s="17" t="s">
        <v>419</v>
      </c>
      <c r="E42" s="16" t="s">
        <v>1207</v>
      </c>
      <c r="F42" s="17" t="s">
        <v>1984</v>
      </c>
    </row>
    <row r="43" customFormat="false" ht="23.25" hidden="false" customHeight="true" outlineLevel="0" collapsed="false">
      <c r="A43" s="16" t="s">
        <v>1592</v>
      </c>
      <c r="B43" s="17" t="s">
        <v>1985</v>
      </c>
      <c r="C43" s="16" t="s">
        <v>1986</v>
      </c>
      <c r="D43" s="16" t="s">
        <v>1987</v>
      </c>
      <c r="E43" s="16" t="s">
        <v>1193</v>
      </c>
      <c r="F43" s="17" t="s">
        <v>1988</v>
      </c>
    </row>
    <row r="44" customFormat="false" ht="23.25" hidden="false" customHeight="true" outlineLevel="0" collapsed="false">
      <c r="A44" s="16" t="s">
        <v>1989</v>
      </c>
      <c r="B44" s="16" t="s">
        <v>1990</v>
      </c>
      <c r="C44" s="16" t="s">
        <v>1991</v>
      </c>
      <c r="D44" s="16" t="s">
        <v>1992</v>
      </c>
      <c r="E44" s="16" t="s">
        <v>1196</v>
      </c>
      <c r="F44" s="17" t="s">
        <v>1993</v>
      </c>
    </row>
    <row r="45" customFormat="false" ht="15" hidden="false" customHeight="true" outlineLevel="0" collapsed="false">
      <c r="A45" s="16" t="s">
        <v>1994</v>
      </c>
      <c r="B45" s="16" t="s">
        <v>1995</v>
      </c>
      <c r="C45" s="16" t="s">
        <v>1996</v>
      </c>
      <c r="D45" s="16" t="s">
        <v>1997</v>
      </c>
      <c r="E45" s="16" t="s">
        <v>1196</v>
      </c>
      <c r="F45" s="16" t="s">
        <v>1998</v>
      </c>
    </row>
    <row r="46" customFormat="false" ht="15" hidden="false" customHeight="true" outlineLevel="0" collapsed="false">
      <c r="A46" s="16" t="s">
        <v>420</v>
      </c>
      <c r="B46" s="16" t="s">
        <v>1999</v>
      </c>
      <c r="C46" s="16" t="s">
        <v>424</v>
      </c>
      <c r="D46" s="16" t="s">
        <v>2000</v>
      </c>
      <c r="E46" s="16" t="s">
        <v>1207</v>
      </c>
      <c r="F46" s="16" t="s">
        <v>2001</v>
      </c>
    </row>
    <row r="47" customFormat="false" ht="23.25" hidden="false" customHeight="true" outlineLevel="0" collapsed="false">
      <c r="A47" s="40" t="s">
        <v>2002</v>
      </c>
      <c r="B47" s="40" t="s">
        <v>2003</v>
      </c>
      <c r="C47" s="40" t="s">
        <v>514</v>
      </c>
      <c r="D47" s="40" t="s">
        <v>514</v>
      </c>
      <c r="E47" s="40" t="s">
        <v>514</v>
      </c>
      <c r="F47" s="44" t="s">
        <v>2004</v>
      </c>
    </row>
    <row r="50" customFormat="false" ht="14.25" hidden="false" customHeight="true" outlineLevel="0" collapsed="false">
      <c r="A50" s="28" t="s">
        <v>2005</v>
      </c>
      <c r="B50" s="28"/>
      <c r="C50" s="28"/>
      <c r="D50" s="28"/>
      <c r="E50" s="28"/>
      <c r="F50" s="28"/>
    </row>
    <row r="51" customFormat="false" ht="15" hidden="false" customHeight="true" outlineLevel="0" collapsed="false">
      <c r="A51" s="15" t="s">
        <v>2006</v>
      </c>
      <c r="B51" s="15" t="s">
        <v>2007</v>
      </c>
      <c r="C51" s="15" t="s">
        <v>2008</v>
      </c>
      <c r="D51" s="15" t="s">
        <v>2009</v>
      </c>
      <c r="E51" s="15" t="s">
        <v>2010</v>
      </c>
      <c r="F51" s="14"/>
    </row>
    <row r="52" customFormat="false" ht="34.5" hidden="false" customHeight="true" outlineLevel="0" collapsed="false">
      <c r="A52" s="16" t="s">
        <v>2011</v>
      </c>
      <c r="B52" s="16" t="s">
        <v>2012</v>
      </c>
      <c r="C52" s="16" t="s">
        <v>2013</v>
      </c>
      <c r="D52" s="17" t="s">
        <v>2014</v>
      </c>
      <c r="E52" s="16" t="s">
        <v>2015</v>
      </c>
      <c r="F52" s="16"/>
    </row>
    <row r="53" customFormat="false" ht="34.5" hidden="false" customHeight="true" outlineLevel="0" collapsed="false">
      <c r="A53" s="22" t="s">
        <v>2016</v>
      </c>
      <c r="B53" s="22" t="s">
        <v>2017</v>
      </c>
      <c r="C53" s="22" t="s">
        <v>2018</v>
      </c>
      <c r="D53" s="23" t="s">
        <v>2019</v>
      </c>
      <c r="E53" s="22" t="s">
        <v>2020</v>
      </c>
      <c r="F53" s="22"/>
    </row>
    <row r="54" customFormat="false" ht="34.5" hidden="false" customHeight="true" outlineLevel="0" collapsed="false">
      <c r="A54" s="16" t="s">
        <v>2021</v>
      </c>
      <c r="B54" s="16" t="s">
        <v>2022</v>
      </c>
      <c r="C54" s="16" t="s">
        <v>2023</v>
      </c>
      <c r="D54" s="17" t="s">
        <v>2024</v>
      </c>
      <c r="E54" s="16" t="s">
        <v>2025</v>
      </c>
      <c r="F54" s="16"/>
    </row>
  </sheetData>
  <mergeCells count="6">
    <mergeCell ref="A1:F1"/>
    <mergeCell ref="A2:F2"/>
    <mergeCell ref="A4:F4"/>
    <mergeCell ref="A21:F21"/>
    <mergeCell ref="A35:F35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4" min="3" style="1" width="30"/>
    <col collapsed="false" customWidth="true" hidden="false" outlineLevel="0" max="5" min="5" style="1" width="8"/>
    <col collapsed="false" customWidth="true" hidden="false" outlineLevel="0" max="6" min="6" style="1" width="18"/>
    <col collapsed="false" customWidth="true" hidden="false" outlineLevel="0" max="7" min="7" style="1" width="32"/>
    <col collapsed="false" customWidth="true" hidden="false" outlineLevel="0" max="8" min="8" style="1" width="16"/>
  </cols>
  <sheetData>
    <row r="1" customFormat="false" ht="17.25" hidden="false" customHeight="true" outlineLevel="0" collapsed="false">
      <c r="A1" s="13" t="s">
        <v>2026</v>
      </c>
      <c r="B1" s="13"/>
      <c r="C1" s="13"/>
      <c r="D1" s="13"/>
      <c r="E1" s="13"/>
      <c r="F1" s="13"/>
      <c r="G1" s="13"/>
      <c r="H1" s="13"/>
    </row>
    <row r="2" customFormat="false" ht="15" hidden="false" customHeight="true" outlineLevel="0" collapsed="false">
      <c r="A2" s="31" t="s">
        <v>2027</v>
      </c>
      <c r="B2" s="31"/>
      <c r="C2" s="31"/>
      <c r="D2" s="31"/>
      <c r="E2" s="31"/>
      <c r="F2" s="31"/>
      <c r="G2" s="31"/>
      <c r="H2" s="31"/>
    </row>
    <row r="4" customFormat="false" ht="15" hidden="false" customHeight="true" outlineLevel="0" collapsed="false">
      <c r="A4" s="14" t="s">
        <v>51</v>
      </c>
      <c r="B4" s="15" t="s">
        <v>2028</v>
      </c>
      <c r="C4" s="15" t="s">
        <v>2029</v>
      </c>
      <c r="D4" s="15" t="s">
        <v>2030</v>
      </c>
      <c r="E4" s="15" t="s">
        <v>2031</v>
      </c>
      <c r="F4" s="15" t="s">
        <v>2032</v>
      </c>
      <c r="G4" s="15" t="s">
        <v>2033</v>
      </c>
      <c r="H4" s="15" t="s">
        <v>2034</v>
      </c>
    </row>
    <row r="5" customFormat="false" ht="23.25" hidden="false" customHeight="true" outlineLevel="0" collapsed="false">
      <c r="A5" s="16" t="n">
        <v>1</v>
      </c>
      <c r="B5" s="16" t="s">
        <v>2035</v>
      </c>
      <c r="C5" s="16" t="s">
        <v>2036</v>
      </c>
      <c r="D5" s="17" t="s">
        <v>2037</v>
      </c>
      <c r="E5" s="16" t="s">
        <v>2038</v>
      </c>
      <c r="F5" s="16" t="s">
        <v>1030</v>
      </c>
      <c r="G5" s="17" t="s">
        <v>2039</v>
      </c>
      <c r="H5" s="19" t="s">
        <v>2040</v>
      </c>
    </row>
    <row r="6" customFormat="false" ht="23.25" hidden="false" customHeight="true" outlineLevel="0" collapsed="false">
      <c r="A6" s="22" t="n">
        <v>2</v>
      </c>
      <c r="B6" s="22" t="s">
        <v>2041</v>
      </c>
      <c r="C6" s="22" t="s">
        <v>2042</v>
      </c>
      <c r="D6" s="23" t="s">
        <v>2043</v>
      </c>
      <c r="E6" s="22" t="s">
        <v>2044</v>
      </c>
      <c r="F6" s="22" t="s">
        <v>2045</v>
      </c>
      <c r="G6" s="23" t="s">
        <v>2046</v>
      </c>
      <c r="H6" s="23" t="s">
        <v>2047</v>
      </c>
    </row>
    <row r="7" customFormat="false" ht="23.25" hidden="false" customHeight="true" outlineLevel="0" collapsed="false">
      <c r="A7" s="16" t="n">
        <v>3</v>
      </c>
      <c r="B7" s="16" t="s">
        <v>2048</v>
      </c>
      <c r="C7" s="16" t="s">
        <v>2049</v>
      </c>
      <c r="D7" s="17" t="s">
        <v>2050</v>
      </c>
      <c r="E7" s="16" t="s">
        <v>2051</v>
      </c>
      <c r="F7" s="16" t="s">
        <v>2052</v>
      </c>
      <c r="G7" s="16" t="s">
        <v>2053</v>
      </c>
      <c r="H7" s="19" t="s">
        <v>2054</v>
      </c>
    </row>
    <row r="8" customFormat="false" ht="34.5" hidden="false" customHeight="true" outlineLevel="0" collapsed="false">
      <c r="A8" s="22" t="n">
        <v>4</v>
      </c>
      <c r="B8" s="22" t="s">
        <v>2055</v>
      </c>
      <c r="C8" s="22" t="s">
        <v>2056</v>
      </c>
      <c r="D8" s="22" t="s">
        <v>2057</v>
      </c>
      <c r="E8" s="22" t="s">
        <v>2058</v>
      </c>
      <c r="F8" s="22" t="s">
        <v>2059</v>
      </c>
      <c r="G8" s="23" t="s">
        <v>2060</v>
      </c>
      <c r="H8" s="23" t="s">
        <v>2061</v>
      </c>
    </row>
    <row r="9" customFormat="false" ht="45.75" hidden="false" customHeight="true" outlineLevel="0" collapsed="false">
      <c r="A9" s="16" t="n">
        <v>5</v>
      </c>
      <c r="B9" s="16" t="s">
        <v>2062</v>
      </c>
      <c r="C9" s="16" t="s">
        <v>2063</v>
      </c>
      <c r="D9" s="16" t="s">
        <v>2064</v>
      </c>
      <c r="E9" s="16" t="s">
        <v>2065</v>
      </c>
      <c r="F9" s="16" t="s">
        <v>2066</v>
      </c>
      <c r="G9" s="17" t="s">
        <v>2067</v>
      </c>
      <c r="H9" s="52" t="s">
        <v>2068</v>
      </c>
    </row>
    <row r="10" customFormat="false" ht="23.25" hidden="false" customHeight="true" outlineLevel="0" collapsed="false">
      <c r="A10" s="22" t="n">
        <v>6</v>
      </c>
      <c r="B10" s="22" t="s">
        <v>2069</v>
      </c>
      <c r="C10" s="22" t="s">
        <v>2070</v>
      </c>
      <c r="D10" s="22" t="s">
        <v>2071</v>
      </c>
      <c r="E10" s="22" t="s">
        <v>2072</v>
      </c>
      <c r="F10" s="22" t="s">
        <v>2073</v>
      </c>
      <c r="G10" s="23" t="s">
        <v>2074</v>
      </c>
      <c r="H10" s="23" t="s">
        <v>2075</v>
      </c>
    </row>
    <row r="11" customFormat="false" ht="23.25" hidden="false" customHeight="true" outlineLevel="0" collapsed="false">
      <c r="A11" s="16" t="n">
        <v>7</v>
      </c>
      <c r="B11" s="16" t="s">
        <v>2076</v>
      </c>
      <c r="C11" s="16" t="s">
        <v>2077</v>
      </c>
      <c r="D11" s="17" t="s">
        <v>2078</v>
      </c>
      <c r="E11" s="16" t="s">
        <v>2079</v>
      </c>
      <c r="F11" s="16" t="s">
        <v>2080</v>
      </c>
      <c r="G11" s="16" t="s">
        <v>2081</v>
      </c>
      <c r="H11" s="19" t="s">
        <v>2082</v>
      </c>
    </row>
    <row r="12" customFormat="false" ht="23.25" hidden="false" customHeight="true" outlineLevel="0" collapsed="false">
      <c r="A12" s="22" t="n">
        <v>8</v>
      </c>
      <c r="B12" s="22" t="s">
        <v>2083</v>
      </c>
      <c r="C12" s="22" t="s">
        <v>2084</v>
      </c>
      <c r="D12" s="23" t="s">
        <v>2085</v>
      </c>
      <c r="E12" s="22" t="s">
        <v>2086</v>
      </c>
      <c r="F12" s="22" t="s">
        <v>2087</v>
      </c>
      <c r="G12" s="22" t="s">
        <v>2088</v>
      </c>
      <c r="H12" s="23" t="s">
        <v>2089</v>
      </c>
    </row>
    <row r="13" customFormat="false" ht="23.25" hidden="false" customHeight="true" outlineLevel="0" collapsed="false">
      <c r="A13" s="16" t="n">
        <v>9</v>
      </c>
      <c r="B13" s="17" t="s">
        <v>2090</v>
      </c>
      <c r="C13" s="16" t="s">
        <v>2091</v>
      </c>
      <c r="D13" s="17" t="s">
        <v>2092</v>
      </c>
      <c r="E13" s="16" t="s">
        <v>2093</v>
      </c>
      <c r="F13" s="17" t="s">
        <v>2094</v>
      </c>
      <c r="G13" s="16" t="s">
        <v>2095</v>
      </c>
      <c r="H13" s="19" t="s">
        <v>2096</v>
      </c>
    </row>
    <row r="14" customFormat="false" ht="15" hidden="false" customHeight="true" outlineLevel="0" collapsed="false">
      <c r="A14" s="22" t="n">
        <v>10</v>
      </c>
      <c r="B14" s="22" t="s">
        <v>2097</v>
      </c>
      <c r="C14" s="22" t="s">
        <v>2098</v>
      </c>
      <c r="D14" s="22" t="s">
        <v>2099</v>
      </c>
      <c r="E14" s="22" t="s">
        <v>2058</v>
      </c>
      <c r="F14" s="22" t="s">
        <v>2100</v>
      </c>
      <c r="G14" s="23" t="s">
        <v>2101</v>
      </c>
      <c r="H14" s="23" t="s">
        <v>2102</v>
      </c>
    </row>
    <row r="15" customFormat="false" ht="15" hidden="false" customHeight="true" outlineLevel="0" collapsed="false">
      <c r="A15" s="16" t="n">
        <v>11</v>
      </c>
      <c r="B15" s="16" t="s">
        <v>2103</v>
      </c>
      <c r="C15" s="16" t="s">
        <v>2104</v>
      </c>
      <c r="D15" s="16" t="s">
        <v>2105</v>
      </c>
      <c r="E15" s="16" t="s">
        <v>2106</v>
      </c>
      <c r="F15" s="16" t="s">
        <v>2079</v>
      </c>
      <c r="G15" s="17" t="s">
        <v>2107</v>
      </c>
      <c r="H15" s="19" t="s">
        <v>2082</v>
      </c>
    </row>
    <row r="16" customFormat="false" ht="34.5" hidden="false" customHeight="true" outlineLevel="0" collapsed="false">
      <c r="A16" s="22" t="n">
        <v>12</v>
      </c>
      <c r="B16" s="23" t="s">
        <v>2108</v>
      </c>
      <c r="C16" s="22" t="s">
        <v>2109</v>
      </c>
      <c r="D16" s="22" t="s">
        <v>2110</v>
      </c>
      <c r="E16" s="22" t="s">
        <v>2111</v>
      </c>
      <c r="F16" s="22" t="s">
        <v>2112</v>
      </c>
      <c r="G16" s="23" t="s">
        <v>2113</v>
      </c>
      <c r="H16" s="23" t="s">
        <v>2114</v>
      </c>
    </row>
    <row r="18" customFormat="false" ht="14.25" hidden="false" customHeight="true" outlineLevel="0" collapsed="false">
      <c r="A18" s="53" t="s">
        <v>2115</v>
      </c>
      <c r="B18" s="53"/>
      <c r="C18" s="53"/>
      <c r="D18" s="53"/>
      <c r="E18" s="53"/>
      <c r="F18" s="53"/>
      <c r="G18" s="53"/>
      <c r="H18" s="53"/>
    </row>
    <row r="19" customFormat="false" ht="27.75" hidden="false" customHeight="true" outlineLevel="0" collapsed="false">
      <c r="A19" s="15" t="s">
        <v>978</v>
      </c>
      <c r="B19" s="15" t="s">
        <v>2116</v>
      </c>
      <c r="C19" s="15" t="s">
        <v>2117</v>
      </c>
      <c r="D19" s="15" t="s">
        <v>2118</v>
      </c>
      <c r="E19" s="14"/>
      <c r="F19" s="14"/>
      <c r="G19" s="14"/>
      <c r="H19" s="14"/>
    </row>
    <row r="20" customFormat="false" ht="79.5" hidden="false" customHeight="true" outlineLevel="0" collapsed="false">
      <c r="A20" s="17" t="s">
        <v>2119</v>
      </c>
      <c r="B20" s="17" t="s">
        <v>2120</v>
      </c>
      <c r="C20" s="16" t="s">
        <v>2121</v>
      </c>
      <c r="D20" s="17" t="s">
        <v>2122</v>
      </c>
      <c r="E20" s="16"/>
      <c r="F20" s="16"/>
      <c r="G20" s="16"/>
      <c r="H20" s="16"/>
    </row>
    <row r="21" customFormat="false" ht="45.75" hidden="false" customHeight="true" outlineLevel="0" collapsed="false">
      <c r="A21" s="23" t="s">
        <v>2123</v>
      </c>
      <c r="B21" s="23" t="s">
        <v>2124</v>
      </c>
      <c r="C21" s="22" t="s">
        <v>2125</v>
      </c>
      <c r="D21" s="23" t="s">
        <v>2126</v>
      </c>
      <c r="E21" s="22"/>
      <c r="F21" s="22"/>
      <c r="G21" s="22"/>
      <c r="H21" s="22"/>
    </row>
    <row r="22" customFormat="false" ht="68.25" hidden="false" customHeight="true" outlineLevel="0" collapsed="false">
      <c r="A22" s="17" t="s">
        <v>2127</v>
      </c>
      <c r="B22" s="17" t="s">
        <v>2128</v>
      </c>
      <c r="C22" s="17" t="s">
        <v>2129</v>
      </c>
      <c r="D22" s="17" t="s">
        <v>2130</v>
      </c>
      <c r="E22" s="16"/>
      <c r="F22" s="16"/>
      <c r="G22" s="16"/>
      <c r="H22" s="16"/>
    </row>
    <row r="23" customFormat="false" ht="90.75" hidden="false" customHeight="true" outlineLevel="0" collapsed="false">
      <c r="A23" s="23" t="s">
        <v>2131</v>
      </c>
      <c r="B23" s="23" t="s">
        <v>2132</v>
      </c>
      <c r="C23" s="23" t="s">
        <v>2133</v>
      </c>
      <c r="D23" s="23" t="s">
        <v>2134</v>
      </c>
      <c r="E23" s="22"/>
      <c r="F23" s="22"/>
      <c r="G23" s="22"/>
      <c r="H23" s="22"/>
    </row>
    <row r="24" customFormat="false" ht="90.75" hidden="false" customHeight="true" outlineLevel="0" collapsed="false">
      <c r="A24" s="17" t="s">
        <v>2135</v>
      </c>
      <c r="B24" s="17" t="s">
        <v>2136</v>
      </c>
      <c r="C24" s="17" t="s">
        <v>2137</v>
      </c>
      <c r="D24" s="17" t="s">
        <v>2138</v>
      </c>
      <c r="E24" s="16"/>
      <c r="F24" s="16"/>
      <c r="G24" s="16"/>
      <c r="H24" s="16"/>
    </row>
    <row r="25" customFormat="false" ht="79.5" hidden="false" customHeight="true" outlineLevel="0" collapsed="false">
      <c r="A25" s="23" t="s">
        <v>2139</v>
      </c>
      <c r="B25" s="23" t="s">
        <v>2140</v>
      </c>
      <c r="C25" s="22" t="s">
        <v>2141</v>
      </c>
      <c r="D25" s="23" t="s">
        <v>2142</v>
      </c>
      <c r="E25" s="22"/>
      <c r="F25" s="22"/>
      <c r="G25" s="22"/>
      <c r="H25" s="22"/>
    </row>
    <row r="26" customFormat="false" ht="90.75" hidden="false" customHeight="true" outlineLevel="0" collapsed="false">
      <c r="A26" s="17" t="s">
        <v>2143</v>
      </c>
      <c r="B26" s="17" t="s">
        <v>2144</v>
      </c>
      <c r="C26" s="17" t="s">
        <v>2145</v>
      </c>
      <c r="D26" s="17" t="s">
        <v>2146</v>
      </c>
      <c r="E26" s="16"/>
      <c r="F26" s="16"/>
      <c r="G26" s="16"/>
      <c r="H26" s="16"/>
    </row>
    <row r="27" customFormat="false" ht="102" hidden="false" customHeight="true" outlineLevel="0" collapsed="false">
      <c r="A27" s="23" t="s">
        <v>2147</v>
      </c>
      <c r="B27" s="23" t="s">
        <v>2148</v>
      </c>
      <c r="C27" s="23" t="s">
        <v>2149</v>
      </c>
      <c r="D27" s="23" t="s">
        <v>2150</v>
      </c>
      <c r="E27" s="22"/>
      <c r="F27" s="22"/>
      <c r="G27" s="22"/>
      <c r="H27" s="22"/>
    </row>
    <row r="29" customFormat="false" ht="15" hidden="false" customHeight="true" outlineLevel="0" collapsed="false">
      <c r="A29" s="28" t="s">
        <v>2151</v>
      </c>
      <c r="B29" s="28"/>
      <c r="C29" s="28"/>
      <c r="D29" s="28"/>
      <c r="E29" s="28"/>
      <c r="F29" s="28"/>
      <c r="G29" s="28"/>
      <c r="H29" s="28"/>
    </row>
    <row r="30" customFormat="false" ht="15" hidden="false" customHeight="true" outlineLevel="0" collapsed="false">
      <c r="A30" s="30" t="s">
        <v>2152</v>
      </c>
      <c r="B30" s="30"/>
      <c r="C30" s="30"/>
      <c r="D30" s="30"/>
      <c r="E30" s="30"/>
      <c r="F30" s="30"/>
      <c r="G30" s="30"/>
      <c r="H30" s="30"/>
    </row>
    <row r="31" customFormat="false" ht="15" hidden="false" customHeight="true" outlineLevel="0" collapsed="false">
      <c r="A31" s="30" t="s">
        <v>2153</v>
      </c>
      <c r="B31" s="30"/>
      <c r="C31" s="30"/>
      <c r="D31" s="30"/>
      <c r="E31" s="30"/>
      <c r="F31" s="30"/>
      <c r="G31" s="30"/>
      <c r="H31" s="30"/>
    </row>
    <row r="32" customFormat="false" ht="15" hidden="false" customHeight="true" outlineLevel="0" collapsed="false">
      <c r="A32" s="30" t="s">
        <v>2154</v>
      </c>
      <c r="B32" s="30"/>
      <c r="C32" s="30"/>
      <c r="D32" s="30"/>
      <c r="E32" s="30"/>
      <c r="F32" s="30"/>
      <c r="G32" s="30"/>
      <c r="H32" s="30"/>
    </row>
    <row r="33" customFormat="false" ht="15" hidden="false" customHeight="true" outlineLevel="0" collapsed="false">
      <c r="A33" s="30" t="s">
        <v>2155</v>
      </c>
      <c r="B33" s="30"/>
      <c r="C33" s="30"/>
      <c r="D33" s="30"/>
      <c r="E33" s="30"/>
      <c r="F33" s="30"/>
      <c r="G33" s="30"/>
      <c r="H33" s="30"/>
    </row>
    <row r="34" customFormat="false" ht="15" hidden="false" customHeight="true" outlineLevel="0" collapsed="false">
      <c r="A34" s="30" t="s">
        <v>2156</v>
      </c>
      <c r="B34" s="30"/>
      <c r="C34" s="30"/>
      <c r="D34" s="30"/>
      <c r="E34" s="30"/>
      <c r="F34" s="30"/>
      <c r="G34" s="30"/>
      <c r="H34" s="30"/>
    </row>
    <row r="35" customFormat="false" ht="15" hidden="false" customHeight="true" outlineLevel="0" collapsed="false">
      <c r="A35" s="30" t="s">
        <v>2157</v>
      </c>
      <c r="B35" s="30"/>
      <c r="C35" s="30"/>
      <c r="D35" s="30"/>
      <c r="E35" s="30"/>
      <c r="F35" s="30"/>
      <c r="G35" s="30"/>
      <c r="H35" s="30"/>
    </row>
    <row r="36" customFormat="false" ht="15" hidden="false" customHeight="true" outlineLevel="0" collapsed="false">
      <c r="A36" s="30" t="s">
        <v>2158</v>
      </c>
      <c r="B36" s="30"/>
      <c r="C36" s="30"/>
      <c r="D36" s="30"/>
      <c r="E36" s="30"/>
      <c r="F36" s="30"/>
      <c r="G36" s="30"/>
      <c r="H36" s="30"/>
    </row>
  </sheetData>
  <mergeCells count="11">
    <mergeCell ref="A1:H1"/>
    <mergeCell ref="A2:H2"/>
    <mergeCell ref="A18:H18"/>
    <mergeCell ref="A29:H29"/>
    <mergeCell ref="A30:H30"/>
    <mergeCell ref="A31:H31"/>
    <mergeCell ref="A32:H32"/>
    <mergeCell ref="A33:H33"/>
    <mergeCell ref="A34:H34"/>
    <mergeCell ref="A35:H35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8"/>
  </cols>
  <sheetData>
    <row r="1" customFormat="false" ht="17.9" hidden="false" customHeight="false" outlineLevel="0" collapsed="false">
      <c r="A1" s="54" t="s">
        <v>2159</v>
      </c>
      <c r="B1" s="54"/>
      <c r="C1" s="54"/>
      <c r="D1" s="54"/>
      <c r="E1" s="54"/>
      <c r="F1" s="54"/>
      <c r="G1" s="54"/>
      <c r="H1" s="54"/>
      <c r="I1" s="54"/>
    </row>
    <row r="2" customFormat="false" ht="28.35" hidden="false" customHeight="false" outlineLevel="0" collapsed="false">
      <c r="A2" s="55" t="s">
        <v>2160</v>
      </c>
      <c r="B2" s="56" t="s">
        <v>2161</v>
      </c>
      <c r="C2" s="57" t="s">
        <v>2162</v>
      </c>
      <c r="D2" s="58" t="s">
        <v>2163</v>
      </c>
      <c r="E2" s="59" t="s">
        <v>2164</v>
      </c>
    </row>
    <row r="4" customFormat="false" ht="16.4" hidden="false" customHeight="false" outlineLevel="0" collapsed="false">
      <c r="A4" s="60" t="s">
        <v>2165</v>
      </c>
      <c r="B4" s="60"/>
      <c r="C4" s="60"/>
      <c r="D4" s="60"/>
      <c r="E4" s="60"/>
      <c r="F4" s="60"/>
      <c r="G4" s="60"/>
      <c r="H4" s="60"/>
      <c r="I4" s="60"/>
    </row>
    <row r="5" customFormat="false" ht="15" hidden="false" customHeight="true" outlineLevel="0" collapsed="false">
      <c r="A5" s="61" t="s">
        <v>2166</v>
      </c>
      <c r="B5" s="37" t="s">
        <v>2167</v>
      </c>
      <c r="C5" s="37"/>
      <c r="D5" s="37"/>
      <c r="E5" s="37"/>
      <c r="F5" s="37"/>
      <c r="G5" s="37"/>
      <c r="H5" s="37"/>
      <c r="I5" s="37"/>
    </row>
    <row r="6" customFormat="false" ht="15" hidden="false" customHeight="true" outlineLevel="0" collapsed="false">
      <c r="A6" s="62" t="s">
        <v>2168</v>
      </c>
      <c r="B6" s="37" t="s">
        <v>2169</v>
      </c>
      <c r="C6" s="37"/>
      <c r="D6" s="37"/>
      <c r="E6" s="37"/>
      <c r="F6" s="37"/>
      <c r="G6" s="37"/>
      <c r="H6" s="37"/>
      <c r="I6" s="37"/>
    </row>
    <row r="7" customFormat="false" ht="15" hidden="false" customHeight="true" outlineLevel="0" collapsed="false">
      <c r="A7" s="61" t="s">
        <v>2170</v>
      </c>
      <c r="B7" s="37" t="s">
        <v>2171</v>
      </c>
      <c r="C7" s="37"/>
      <c r="D7" s="37"/>
      <c r="E7" s="37"/>
      <c r="F7" s="37"/>
      <c r="G7" s="37"/>
      <c r="H7" s="37"/>
      <c r="I7" s="37"/>
    </row>
    <row r="8" customFormat="false" ht="15" hidden="false" customHeight="true" outlineLevel="0" collapsed="false">
      <c r="A8" s="62" t="s">
        <v>2172</v>
      </c>
      <c r="B8" s="37" t="s">
        <v>2173</v>
      </c>
      <c r="C8" s="37"/>
      <c r="D8" s="37"/>
      <c r="E8" s="37"/>
      <c r="F8" s="37"/>
      <c r="G8" s="37"/>
      <c r="H8" s="37"/>
      <c r="I8" s="37"/>
    </row>
    <row r="9" customFormat="false" ht="15" hidden="false" customHeight="true" outlineLevel="0" collapsed="false">
      <c r="A9" s="61" t="s">
        <v>2174</v>
      </c>
      <c r="B9" s="37" t="s">
        <v>2175</v>
      </c>
      <c r="C9" s="37"/>
      <c r="D9" s="37"/>
      <c r="E9" s="37"/>
      <c r="F9" s="37"/>
      <c r="G9" s="37"/>
      <c r="H9" s="37"/>
      <c r="I9" s="37"/>
    </row>
    <row r="10" customFormat="false" ht="15" hidden="false" customHeight="true" outlineLevel="0" collapsed="false">
      <c r="A10" s="61" t="s">
        <v>2176</v>
      </c>
      <c r="B10" s="37" t="s">
        <v>2177</v>
      </c>
      <c r="C10" s="37"/>
      <c r="D10" s="37"/>
      <c r="E10" s="37"/>
      <c r="F10" s="37"/>
      <c r="G10" s="37"/>
      <c r="H10" s="37"/>
      <c r="I10" s="37"/>
    </row>
    <row r="11" customFormat="false" ht="15" hidden="false" customHeight="true" outlineLevel="0" collapsed="false">
      <c r="A11" s="61" t="s">
        <v>2178</v>
      </c>
      <c r="B11" s="35" t="s">
        <v>2179</v>
      </c>
      <c r="C11" s="35"/>
      <c r="D11" s="35"/>
      <c r="E11" s="35"/>
      <c r="F11" s="35"/>
      <c r="G11" s="35"/>
      <c r="H11" s="35"/>
      <c r="I11" s="35"/>
    </row>
    <row r="12" customFormat="false" ht="15" hidden="false" customHeight="true" outlineLevel="0" collapsed="false">
      <c r="A12" s="61" t="s">
        <v>2180</v>
      </c>
      <c r="B12" s="35" t="s">
        <v>2181</v>
      </c>
      <c r="C12" s="35"/>
      <c r="D12" s="35"/>
      <c r="E12" s="35"/>
      <c r="F12" s="35"/>
      <c r="G12" s="35"/>
      <c r="H12" s="35"/>
      <c r="I12" s="35"/>
    </row>
    <row r="13" customFormat="false" ht="15" hidden="false" customHeight="true" outlineLevel="0" collapsed="false">
      <c r="A13" s="62" t="s">
        <v>2182</v>
      </c>
      <c r="B13" s="37" t="s">
        <v>2183</v>
      </c>
      <c r="C13" s="37"/>
      <c r="D13" s="37"/>
      <c r="E13" s="37"/>
      <c r="F13" s="37"/>
      <c r="G13" s="37"/>
      <c r="H13" s="37"/>
      <c r="I13" s="37"/>
    </row>
    <row r="14" customFormat="false" ht="15" hidden="false" customHeight="true" outlineLevel="0" collapsed="false">
      <c r="A14" s="62" t="s">
        <v>2184</v>
      </c>
      <c r="B14" s="37" t="s">
        <v>2185</v>
      </c>
      <c r="C14" s="37"/>
      <c r="D14" s="37"/>
      <c r="E14" s="37"/>
      <c r="F14" s="37"/>
      <c r="G14" s="37"/>
      <c r="H14" s="37"/>
      <c r="I14" s="37"/>
    </row>
    <row r="15" customFormat="false" ht="199.5" hidden="false" customHeight="true" outlineLevel="0" collapsed="false">
      <c r="A15" s="62" t="s">
        <v>2186</v>
      </c>
      <c r="B15" s="63" t="s">
        <v>2187</v>
      </c>
      <c r="C15" s="63"/>
      <c r="D15" s="63"/>
      <c r="E15" s="63"/>
      <c r="F15" s="63"/>
      <c r="G15" s="63"/>
      <c r="H15" s="63"/>
      <c r="I15" s="63"/>
    </row>
    <row r="16" customFormat="false" ht="219.75" hidden="false" customHeight="true" outlineLevel="0" collapsed="false">
      <c r="A16" s="62" t="s">
        <v>2188</v>
      </c>
      <c r="B16" s="63" t="s">
        <v>2189</v>
      </c>
      <c r="C16" s="63"/>
      <c r="D16" s="63"/>
      <c r="E16" s="63"/>
      <c r="F16" s="63"/>
      <c r="G16" s="63"/>
      <c r="H16" s="63"/>
      <c r="I16" s="63"/>
    </row>
    <row r="19" customFormat="false" ht="16.4" hidden="false" customHeight="false" outlineLevel="0" collapsed="false">
      <c r="A19" s="64" t="s">
        <v>2190</v>
      </c>
      <c r="B19" s="64"/>
      <c r="C19" s="64"/>
      <c r="D19" s="64"/>
      <c r="E19" s="64"/>
      <c r="F19" s="64"/>
      <c r="G19" s="64"/>
      <c r="H19" s="64"/>
      <c r="I19" s="64"/>
    </row>
    <row r="20" customFormat="false" ht="15" hidden="false" customHeight="false" outlineLevel="0" collapsed="false">
      <c r="A20" s="15" t="s">
        <v>52</v>
      </c>
      <c r="B20" s="15" t="s">
        <v>2191</v>
      </c>
      <c r="C20" s="15" t="s">
        <v>2192</v>
      </c>
      <c r="D20" s="15" t="s">
        <v>2193</v>
      </c>
      <c r="E20" s="15" t="s">
        <v>2194</v>
      </c>
      <c r="F20" s="15" t="s">
        <v>2195</v>
      </c>
      <c r="G20" s="15" t="s">
        <v>2196</v>
      </c>
      <c r="H20" s="15" t="s">
        <v>2197</v>
      </c>
      <c r="I20" s="14" t="s">
        <v>2198</v>
      </c>
    </row>
    <row r="21" customFormat="false" ht="46.25" hidden="false" customHeight="false" outlineLevel="0" collapsed="false">
      <c r="A21" s="16" t="s">
        <v>101</v>
      </c>
      <c r="B21" s="65" t="s">
        <v>2199</v>
      </c>
      <c r="C21" s="16" t="s">
        <v>2169</v>
      </c>
      <c r="D21" s="16" t="s">
        <v>2200</v>
      </c>
      <c r="E21" s="16" t="s">
        <v>2201</v>
      </c>
      <c r="F21" s="16" t="s">
        <v>2202</v>
      </c>
      <c r="G21" s="17" t="s">
        <v>2203</v>
      </c>
      <c r="H21" s="16" t="s">
        <v>2204</v>
      </c>
      <c r="I21" s="65" t="s">
        <v>2205</v>
      </c>
    </row>
    <row r="22" customFormat="false" ht="35.05" hidden="false" customHeight="false" outlineLevel="0" collapsed="false">
      <c r="A22" s="16" t="s">
        <v>548</v>
      </c>
      <c r="B22" s="65" t="s">
        <v>2199</v>
      </c>
      <c r="C22" s="16" t="s">
        <v>2206</v>
      </c>
      <c r="D22" s="16" t="s">
        <v>2207</v>
      </c>
      <c r="E22" s="16" t="s">
        <v>2208</v>
      </c>
      <c r="F22" s="16" t="s">
        <v>2209</v>
      </c>
      <c r="G22" s="17" t="s">
        <v>2210</v>
      </c>
      <c r="H22" s="16" t="s">
        <v>2204</v>
      </c>
      <c r="I22" s="66" t="s">
        <v>2211</v>
      </c>
    </row>
    <row r="23" customFormat="false" ht="35.05" hidden="false" customHeight="false" outlineLevel="0" collapsed="false">
      <c r="A23" s="16" t="s">
        <v>114</v>
      </c>
      <c r="B23" s="65" t="s">
        <v>2199</v>
      </c>
      <c r="C23" s="16" t="s">
        <v>2212</v>
      </c>
      <c r="D23" s="16" t="s">
        <v>2213</v>
      </c>
      <c r="E23" s="16" t="s">
        <v>2214</v>
      </c>
      <c r="F23" s="16" t="s">
        <v>2215</v>
      </c>
      <c r="G23" s="17" t="s">
        <v>2216</v>
      </c>
      <c r="H23" s="16" t="s">
        <v>2204</v>
      </c>
      <c r="I23" s="67" t="s">
        <v>2217</v>
      </c>
    </row>
    <row r="24" customFormat="false" ht="46.25" hidden="false" customHeight="false" outlineLevel="0" collapsed="false">
      <c r="A24" s="16" t="s">
        <v>2218</v>
      </c>
      <c r="B24" s="52" t="s">
        <v>2219</v>
      </c>
      <c r="C24" s="16" t="s">
        <v>2220</v>
      </c>
      <c r="D24" s="16" t="s">
        <v>2221</v>
      </c>
      <c r="E24" s="17" t="s">
        <v>2222</v>
      </c>
      <c r="F24" s="16" t="s">
        <v>2223</v>
      </c>
      <c r="G24" s="17" t="s">
        <v>2224</v>
      </c>
      <c r="H24" s="16" t="s">
        <v>1193</v>
      </c>
      <c r="I24" s="67" t="s">
        <v>2225</v>
      </c>
    </row>
    <row r="25" customFormat="false" ht="35.05" hidden="false" customHeight="false" outlineLevel="0" collapsed="false">
      <c r="A25" s="16" t="s">
        <v>132</v>
      </c>
      <c r="B25" s="65" t="s">
        <v>2199</v>
      </c>
      <c r="C25" s="16" t="s">
        <v>2226</v>
      </c>
      <c r="D25" s="17" t="s">
        <v>2227</v>
      </c>
      <c r="E25" s="16" t="s">
        <v>2228</v>
      </c>
      <c r="F25" s="17" t="s">
        <v>2229</v>
      </c>
      <c r="G25" s="17" t="s">
        <v>2230</v>
      </c>
      <c r="H25" s="16" t="s">
        <v>2231</v>
      </c>
      <c r="I25" s="65" t="s">
        <v>2232</v>
      </c>
    </row>
    <row r="26" customFormat="false" ht="35.05" hidden="false" customHeight="false" outlineLevel="0" collapsed="false">
      <c r="A26" s="16" t="s">
        <v>1574</v>
      </c>
      <c r="B26" s="65" t="s">
        <v>2199</v>
      </c>
      <c r="C26" s="16" t="s">
        <v>2233</v>
      </c>
      <c r="D26" s="16" t="s">
        <v>2234</v>
      </c>
      <c r="E26" s="16" t="s">
        <v>2235</v>
      </c>
      <c r="F26" s="16" t="s">
        <v>2236</v>
      </c>
      <c r="G26" s="16" t="s">
        <v>2237</v>
      </c>
      <c r="H26" s="16" t="s">
        <v>2204</v>
      </c>
      <c r="I26" s="65" t="s">
        <v>2238</v>
      </c>
    </row>
    <row r="27" customFormat="false" ht="35.05" hidden="false" customHeight="false" outlineLevel="0" collapsed="false">
      <c r="A27" s="16" t="s">
        <v>2239</v>
      </c>
      <c r="B27" s="65" t="s">
        <v>2199</v>
      </c>
      <c r="C27" s="16" t="s">
        <v>2240</v>
      </c>
      <c r="D27" s="16" t="s">
        <v>2241</v>
      </c>
      <c r="E27" s="17" t="s">
        <v>2242</v>
      </c>
      <c r="F27" s="16" t="s">
        <v>2243</v>
      </c>
      <c r="G27" s="17" t="s">
        <v>2244</v>
      </c>
      <c r="H27" s="16" t="s">
        <v>2204</v>
      </c>
      <c r="I27" s="65" t="s">
        <v>2245</v>
      </c>
    </row>
    <row r="28" customFormat="false" ht="35.05" hidden="false" customHeight="false" outlineLevel="0" collapsed="false">
      <c r="A28" s="16" t="s">
        <v>149</v>
      </c>
      <c r="B28" s="68" t="s">
        <v>2246</v>
      </c>
      <c r="C28" s="16" t="s">
        <v>2247</v>
      </c>
      <c r="D28" s="16" t="s">
        <v>2248</v>
      </c>
      <c r="E28" s="16" t="s">
        <v>2249</v>
      </c>
      <c r="F28" s="16" t="s">
        <v>2250</v>
      </c>
      <c r="G28" s="17" t="s">
        <v>2251</v>
      </c>
      <c r="H28" s="16" t="s">
        <v>1193</v>
      </c>
      <c r="I28" s="69" t="s">
        <v>2252</v>
      </c>
    </row>
    <row r="29" customFormat="false" ht="23.85" hidden="false" customHeight="false" outlineLevel="0" collapsed="false">
      <c r="A29" s="16" t="s">
        <v>580</v>
      </c>
      <c r="B29" s="68" t="s">
        <v>2246</v>
      </c>
      <c r="C29" s="16" t="s">
        <v>2253</v>
      </c>
      <c r="D29" s="16" t="s">
        <v>2254</v>
      </c>
      <c r="E29" s="17" t="s">
        <v>2255</v>
      </c>
      <c r="F29" s="17" t="s">
        <v>2256</v>
      </c>
      <c r="G29" s="17" t="s">
        <v>2257</v>
      </c>
      <c r="H29" s="16" t="s">
        <v>1207</v>
      </c>
      <c r="I29" s="68" t="s">
        <v>2258</v>
      </c>
    </row>
    <row r="30" customFormat="false" ht="15" hidden="false" customHeight="false" outlineLevel="0" collapsed="false">
      <c r="A30" s="17" t="s">
        <v>2259</v>
      </c>
      <c r="B30" s="68" t="s">
        <v>2246</v>
      </c>
      <c r="C30" s="17" t="s">
        <v>2260</v>
      </c>
      <c r="D30" s="17" t="s">
        <v>2261</v>
      </c>
      <c r="E30" s="17" t="s">
        <v>2262</v>
      </c>
      <c r="F30" s="17" t="s">
        <v>2263</v>
      </c>
      <c r="G30" s="17" t="s">
        <v>2264</v>
      </c>
      <c r="H30" s="16" t="s">
        <v>1207</v>
      </c>
      <c r="I30" s="68" t="s">
        <v>2265</v>
      </c>
    </row>
    <row r="31" customFormat="false" ht="15" hidden="false" customHeight="false" outlineLevel="0" collapsed="false">
      <c r="A31" s="17" t="s">
        <v>2266</v>
      </c>
      <c r="B31" s="68" t="s">
        <v>2246</v>
      </c>
      <c r="C31" s="16" t="s">
        <v>2267</v>
      </c>
      <c r="D31" s="17" t="s">
        <v>2268</v>
      </c>
      <c r="E31" s="17" t="s">
        <v>2269</v>
      </c>
      <c r="F31" s="16" t="s">
        <v>2270</v>
      </c>
      <c r="G31" s="17" t="s">
        <v>2264</v>
      </c>
      <c r="H31" s="16" t="s">
        <v>1207</v>
      </c>
      <c r="I31" s="68" t="s">
        <v>2271</v>
      </c>
    </row>
    <row r="32" customFormat="false" ht="23.85" hidden="false" customHeight="false" outlineLevel="0" collapsed="false">
      <c r="A32" s="16" t="s">
        <v>2272</v>
      </c>
      <c r="B32" s="68" t="s">
        <v>2246</v>
      </c>
      <c r="C32" s="16" t="s">
        <v>2273</v>
      </c>
      <c r="D32" s="16" t="s">
        <v>2274</v>
      </c>
      <c r="E32" s="17" t="s">
        <v>2275</v>
      </c>
      <c r="F32" s="17" t="s">
        <v>2262</v>
      </c>
      <c r="G32" s="17" t="s">
        <v>2276</v>
      </c>
      <c r="H32" s="16" t="s">
        <v>1207</v>
      </c>
      <c r="I32" s="68" t="s">
        <v>2271</v>
      </c>
    </row>
    <row r="34" customFormat="false" ht="16.4" hidden="false" customHeight="false" outlineLevel="0" collapsed="false">
      <c r="A34" s="64" t="s">
        <v>2277</v>
      </c>
      <c r="B34" s="64"/>
      <c r="C34" s="64"/>
      <c r="D34" s="64"/>
      <c r="E34" s="64"/>
      <c r="F34" s="64"/>
      <c r="G34" s="64"/>
      <c r="H34" s="64"/>
      <c r="I34" s="64"/>
    </row>
    <row r="35" customFormat="false" ht="15" hidden="false" customHeight="false" outlineLevel="0" collapsed="false">
      <c r="A35" s="15" t="s">
        <v>52</v>
      </c>
      <c r="B35" s="15" t="s">
        <v>2191</v>
      </c>
      <c r="C35" s="15" t="s">
        <v>2192</v>
      </c>
      <c r="D35" s="15" t="s">
        <v>2193</v>
      </c>
      <c r="E35" s="15" t="s">
        <v>2194</v>
      </c>
      <c r="F35" s="15" t="s">
        <v>2195</v>
      </c>
      <c r="G35" s="15" t="s">
        <v>2196</v>
      </c>
      <c r="H35" s="15" t="s">
        <v>2197</v>
      </c>
      <c r="I35" s="14" t="s">
        <v>2198</v>
      </c>
    </row>
    <row r="36" customFormat="false" ht="35.05" hidden="false" customHeight="false" outlineLevel="0" collapsed="false">
      <c r="A36" s="16" t="s">
        <v>156</v>
      </c>
      <c r="B36" s="65" t="s">
        <v>2199</v>
      </c>
      <c r="C36" s="16" t="s">
        <v>2278</v>
      </c>
      <c r="D36" s="16" t="s">
        <v>2279</v>
      </c>
      <c r="E36" s="16" t="s">
        <v>2280</v>
      </c>
      <c r="F36" s="16" t="s">
        <v>2281</v>
      </c>
      <c r="G36" s="17" t="s">
        <v>2282</v>
      </c>
      <c r="H36" s="16" t="s">
        <v>1207</v>
      </c>
      <c r="I36" s="65" t="s">
        <v>2283</v>
      </c>
    </row>
    <row r="37" customFormat="false" ht="46.25" hidden="false" customHeight="false" outlineLevel="0" collapsed="false">
      <c r="A37" s="16" t="s">
        <v>363</v>
      </c>
      <c r="B37" s="65" t="s">
        <v>2199</v>
      </c>
      <c r="C37" s="16" t="s">
        <v>2284</v>
      </c>
      <c r="D37" s="16" t="s">
        <v>2285</v>
      </c>
      <c r="E37" s="16" t="s">
        <v>2286</v>
      </c>
      <c r="F37" s="16" t="s">
        <v>2287</v>
      </c>
      <c r="G37" s="17" t="s">
        <v>130</v>
      </c>
      <c r="H37" s="16" t="s">
        <v>1207</v>
      </c>
      <c r="I37" s="65" t="s">
        <v>2288</v>
      </c>
    </row>
    <row r="38" customFormat="false" ht="35.05" hidden="false" customHeight="false" outlineLevel="0" collapsed="false">
      <c r="A38" s="16" t="s">
        <v>2289</v>
      </c>
      <c r="B38" s="65" t="s">
        <v>2199</v>
      </c>
      <c r="C38" s="16" t="s">
        <v>2290</v>
      </c>
      <c r="D38" s="16" t="s">
        <v>2291</v>
      </c>
      <c r="E38" s="16" t="s">
        <v>2292</v>
      </c>
      <c r="F38" s="16" t="s">
        <v>2293</v>
      </c>
      <c r="G38" s="17" t="s">
        <v>2294</v>
      </c>
      <c r="H38" s="16" t="s">
        <v>1193</v>
      </c>
      <c r="I38" s="65" t="s">
        <v>2295</v>
      </c>
    </row>
    <row r="39" customFormat="false" ht="35.05" hidden="false" customHeight="false" outlineLevel="0" collapsed="false">
      <c r="A39" s="16" t="s">
        <v>2296</v>
      </c>
      <c r="B39" s="65" t="s">
        <v>2199</v>
      </c>
      <c r="C39" s="16" t="s">
        <v>2297</v>
      </c>
      <c r="D39" s="16" t="s">
        <v>2298</v>
      </c>
      <c r="E39" s="16" t="s">
        <v>2299</v>
      </c>
      <c r="F39" s="17" t="s">
        <v>2300</v>
      </c>
      <c r="G39" s="17" t="s">
        <v>2301</v>
      </c>
      <c r="H39" s="16" t="s">
        <v>1193</v>
      </c>
      <c r="I39" s="65" t="s">
        <v>2302</v>
      </c>
    </row>
    <row r="40" customFormat="false" ht="23.85" hidden="false" customHeight="false" outlineLevel="0" collapsed="false">
      <c r="A40" s="16" t="s">
        <v>269</v>
      </c>
      <c r="B40" s="65" t="s">
        <v>2199</v>
      </c>
      <c r="C40" s="17" t="s">
        <v>2303</v>
      </c>
      <c r="D40" s="16" t="s">
        <v>2304</v>
      </c>
      <c r="E40" s="16" t="s">
        <v>2305</v>
      </c>
      <c r="F40" s="16" t="s">
        <v>2306</v>
      </c>
      <c r="G40" s="17" t="s">
        <v>2307</v>
      </c>
      <c r="H40" s="16" t="s">
        <v>1193</v>
      </c>
      <c r="I40" s="65" t="s">
        <v>2308</v>
      </c>
    </row>
    <row r="41" customFormat="false" ht="46.25" hidden="false" customHeight="false" outlineLevel="0" collapsed="false">
      <c r="A41" s="16" t="s">
        <v>2309</v>
      </c>
      <c r="B41" s="65" t="s">
        <v>2199</v>
      </c>
      <c r="C41" s="16" t="s">
        <v>2310</v>
      </c>
      <c r="D41" s="16" t="s">
        <v>2311</v>
      </c>
      <c r="E41" s="16" t="s">
        <v>2312</v>
      </c>
      <c r="F41" s="16" t="s">
        <v>2313</v>
      </c>
      <c r="G41" s="17" t="s">
        <v>2314</v>
      </c>
      <c r="H41" s="16" t="s">
        <v>1207</v>
      </c>
      <c r="I41" s="65" t="s">
        <v>2315</v>
      </c>
    </row>
    <row r="42" customFormat="false" ht="46.25" hidden="false" customHeight="false" outlineLevel="0" collapsed="false">
      <c r="A42" s="16" t="s">
        <v>740</v>
      </c>
      <c r="B42" s="65" t="s">
        <v>2199</v>
      </c>
      <c r="C42" s="16" t="s">
        <v>2316</v>
      </c>
      <c r="D42" s="16" t="s">
        <v>2317</v>
      </c>
      <c r="E42" s="16" t="s">
        <v>2318</v>
      </c>
      <c r="F42" s="16" t="s">
        <v>2319</v>
      </c>
      <c r="G42" s="17" t="s">
        <v>2320</v>
      </c>
      <c r="H42" s="16" t="s">
        <v>2204</v>
      </c>
      <c r="I42" s="65" t="s">
        <v>2321</v>
      </c>
    </row>
    <row r="43" customFormat="false" ht="23.85" hidden="false" customHeight="false" outlineLevel="0" collapsed="false">
      <c r="A43" s="16" t="s">
        <v>2322</v>
      </c>
      <c r="B43" s="65" t="s">
        <v>2199</v>
      </c>
      <c r="C43" s="16" t="s">
        <v>2323</v>
      </c>
      <c r="D43" s="16" t="s">
        <v>2324</v>
      </c>
      <c r="E43" s="16" t="s">
        <v>2325</v>
      </c>
      <c r="F43" s="16" t="s">
        <v>2326</v>
      </c>
      <c r="G43" s="17" t="s">
        <v>2327</v>
      </c>
      <c r="H43" s="16" t="s">
        <v>1207</v>
      </c>
      <c r="I43" s="65" t="s">
        <v>2328</v>
      </c>
    </row>
    <row r="44" customFormat="false" ht="35.05" hidden="false" customHeight="false" outlineLevel="0" collapsed="false">
      <c r="A44" s="16" t="s">
        <v>177</v>
      </c>
      <c r="B44" s="65" t="s">
        <v>2199</v>
      </c>
      <c r="C44" s="16" t="s">
        <v>2329</v>
      </c>
      <c r="D44" s="16" t="s">
        <v>2330</v>
      </c>
      <c r="E44" s="16" t="s">
        <v>2331</v>
      </c>
      <c r="F44" s="16" t="s">
        <v>2332</v>
      </c>
      <c r="G44" s="17" t="s">
        <v>130</v>
      </c>
      <c r="H44" s="16" t="s">
        <v>2204</v>
      </c>
      <c r="I44" s="65" t="s">
        <v>2333</v>
      </c>
    </row>
    <row r="46" customFormat="false" ht="16.4" hidden="false" customHeight="false" outlineLevel="0" collapsed="false">
      <c r="A46" s="64" t="s">
        <v>2334</v>
      </c>
      <c r="B46" s="64"/>
      <c r="C46" s="64"/>
      <c r="D46" s="64"/>
      <c r="E46" s="64"/>
      <c r="F46" s="64"/>
      <c r="G46" s="64"/>
      <c r="H46" s="64"/>
      <c r="I46" s="64"/>
    </row>
    <row r="47" customFormat="false" ht="15" hidden="false" customHeight="false" outlineLevel="0" collapsed="false">
      <c r="A47" s="15" t="s">
        <v>52</v>
      </c>
      <c r="B47" s="15" t="s">
        <v>2191</v>
      </c>
      <c r="C47" s="15" t="s">
        <v>2192</v>
      </c>
      <c r="D47" s="15" t="s">
        <v>2193</v>
      </c>
      <c r="E47" s="15" t="s">
        <v>2194</v>
      </c>
      <c r="F47" s="15" t="s">
        <v>2195</v>
      </c>
      <c r="G47" s="15" t="s">
        <v>2196</v>
      </c>
      <c r="H47" s="15" t="s">
        <v>2197</v>
      </c>
      <c r="I47" s="14" t="s">
        <v>2198</v>
      </c>
    </row>
    <row r="48" customFormat="false" ht="35.05" hidden="false" customHeight="false" outlineLevel="0" collapsed="false">
      <c r="A48" s="16" t="s">
        <v>2335</v>
      </c>
      <c r="B48" s="52" t="s">
        <v>2336</v>
      </c>
      <c r="C48" s="16" t="s">
        <v>2337</v>
      </c>
      <c r="D48" s="16" t="s">
        <v>2338</v>
      </c>
      <c r="E48" s="17" t="s">
        <v>2339</v>
      </c>
      <c r="F48" s="17" t="s">
        <v>2340</v>
      </c>
      <c r="G48" s="17" t="s">
        <v>2341</v>
      </c>
      <c r="H48" s="16" t="s">
        <v>1207</v>
      </c>
      <c r="I48" s="65" t="s">
        <v>2342</v>
      </c>
    </row>
    <row r="49" customFormat="false" ht="35.05" hidden="false" customHeight="false" outlineLevel="0" collapsed="false">
      <c r="A49" s="16" t="s">
        <v>2343</v>
      </c>
      <c r="B49" s="68" t="s">
        <v>2344</v>
      </c>
      <c r="C49" s="16" t="s">
        <v>2345</v>
      </c>
      <c r="D49" s="16" t="s">
        <v>2346</v>
      </c>
      <c r="E49" s="16" t="s">
        <v>2347</v>
      </c>
      <c r="F49" s="16" t="s">
        <v>2348</v>
      </c>
      <c r="G49" s="16" t="s">
        <v>2349</v>
      </c>
      <c r="H49" s="16" t="s">
        <v>1193</v>
      </c>
      <c r="I49" s="69" t="s">
        <v>2350</v>
      </c>
    </row>
    <row r="50" customFormat="false" ht="46.25" hidden="false" customHeight="false" outlineLevel="0" collapsed="false">
      <c r="A50" s="16" t="s">
        <v>2351</v>
      </c>
      <c r="B50" s="65" t="s">
        <v>2199</v>
      </c>
      <c r="C50" s="16" t="s">
        <v>2352</v>
      </c>
      <c r="D50" s="16" t="s">
        <v>2353</v>
      </c>
      <c r="E50" s="16" t="s">
        <v>2354</v>
      </c>
      <c r="F50" s="16" t="s">
        <v>2355</v>
      </c>
      <c r="G50" s="16" t="s">
        <v>2356</v>
      </c>
      <c r="H50" s="16" t="s">
        <v>2204</v>
      </c>
      <c r="I50" s="66" t="s">
        <v>2357</v>
      </c>
    </row>
    <row r="51" customFormat="false" ht="35.05" hidden="false" customHeight="false" outlineLevel="0" collapsed="false">
      <c r="A51" s="16" t="s">
        <v>2358</v>
      </c>
      <c r="B51" s="52" t="s">
        <v>2359</v>
      </c>
      <c r="C51" s="16" t="s">
        <v>2360</v>
      </c>
      <c r="D51" s="16" t="s">
        <v>2361</v>
      </c>
      <c r="E51" s="17" t="s">
        <v>2362</v>
      </c>
      <c r="F51" s="16" t="s">
        <v>2363</v>
      </c>
      <c r="G51" s="16" t="s">
        <v>2364</v>
      </c>
      <c r="H51" s="16" t="s">
        <v>1207</v>
      </c>
      <c r="I51" s="17" t="s">
        <v>2365</v>
      </c>
    </row>
    <row r="52" customFormat="false" ht="35.05" hidden="false" customHeight="false" outlineLevel="0" collapsed="false">
      <c r="A52" s="16" t="s">
        <v>312</v>
      </c>
      <c r="B52" s="65" t="s">
        <v>2199</v>
      </c>
      <c r="C52" s="16" t="s">
        <v>2366</v>
      </c>
      <c r="D52" s="16" t="s">
        <v>2367</v>
      </c>
      <c r="E52" s="16" t="s">
        <v>2368</v>
      </c>
      <c r="F52" s="17" t="s">
        <v>2369</v>
      </c>
      <c r="G52" s="16" t="s">
        <v>2370</v>
      </c>
      <c r="H52" s="16" t="s">
        <v>2204</v>
      </c>
      <c r="I52" s="65" t="s">
        <v>2371</v>
      </c>
    </row>
    <row r="53" customFormat="false" ht="23.85" hidden="false" customHeight="false" outlineLevel="0" collapsed="false">
      <c r="A53" s="16" t="s">
        <v>2372</v>
      </c>
      <c r="B53" s="67" t="s">
        <v>2373</v>
      </c>
      <c r="C53" s="16" t="s">
        <v>2374</v>
      </c>
      <c r="D53" s="16" t="s">
        <v>2375</v>
      </c>
      <c r="E53" s="17" t="s">
        <v>2376</v>
      </c>
      <c r="F53" s="16" t="s">
        <v>2363</v>
      </c>
      <c r="G53" s="16" t="s">
        <v>2377</v>
      </c>
      <c r="H53" s="16" t="s">
        <v>1207</v>
      </c>
      <c r="I53" s="16" t="s">
        <v>2378</v>
      </c>
    </row>
    <row r="54" customFormat="false" ht="35.05" hidden="false" customHeight="false" outlineLevel="0" collapsed="false">
      <c r="A54" s="16" t="s">
        <v>384</v>
      </c>
      <c r="B54" s="68" t="s">
        <v>2344</v>
      </c>
      <c r="C54" s="16" t="s">
        <v>2379</v>
      </c>
      <c r="D54" s="16" t="s">
        <v>2346</v>
      </c>
      <c r="E54" s="16" t="s">
        <v>2380</v>
      </c>
      <c r="F54" s="16" t="s">
        <v>2381</v>
      </c>
      <c r="G54" s="16" t="s">
        <v>2382</v>
      </c>
      <c r="H54" s="16" t="s">
        <v>1196</v>
      </c>
      <c r="I54" s="67" t="s">
        <v>2383</v>
      </c>
    </row>
    <row r="55" customFormat="false" ht="15" hidden="false" customHeight="false" outlineLevel="0" collapsed="false">
      <c r="A55" s="16" t="s">
        <v>2384</v>
      </c>
      <c r="B55" s="68" t="s">
        <v>2344</v>
      </c>
      <c r="C55" s="16" t="s">
        <v>2385</v>
      </c>
      <c r="D55" s="16" t="s">
        <v>2346</v>
      </c>
      <c r="E55" s="16" t="s">
        <v>2386</v>
      </c>
      <c r="F55" s="16" t="s">
        <v>2363</v>
      </c>
      <c r="G55" s="16" t="s">
        <v>2387</v>
      </c>
      <c r="H55" s="16" t="s">
        <v>1193</v>
      </c>
      <c r="I55" s="67" t="s">
        <v>2388</v>
      </c>
    </row>
    <row r="56" customFormat="false" ht="23.85" hidden="false" customHeight="false" outlineLevel="0" collapsed="false">
      <c r="A56" s="16" t="s">
        <v>2389</v>
      </c>
      <c r="B56" s="65" t="s">
        <v>2199</v>
      </c>
      <c r="C56" s="16" t="s">
        <v>2390</v>
      </c>
      <c r="D56" s="16" t="s">
        <v>2391</v>
      </c>
      <c r="E56" s="17" t="s">
        <v>2392</v>
      </c>
      <c r="F56" s="16" t="s">
        <v>2393</v>
      </c>
      <c r="G56" s="17" t="s">
        <v>2394</v>
      </c>
      <c r="H56" s="16" t="s">
        <v>2204</v>
      </c>
      <c r="I56" s="65" t="s">
        <v>2395</v>
      </c>
    </row>
    <row r="57" customFormat="false" ht="23.85" hidden="false" customHeight="false" outlineLevel="0" collapsed="false">
      <c r="A57" s="16" t="s">
        <v>238</v>
      </c>
      <c r="B57" s="70" t="s">
        <v>2396</v>
      </c>
      <c r="C57" s="17" t="s">
        <v>2397</v>
      </c>
      <c r="D57" s="16" t="s">
        <v>2398</v>
      </c>
      <c r="E57" s="16" t="s">
        <v>2399</v>
      </c>
      <c r="F57" s="16" t="s">
        <v>2400</v>
      </c>
      <c r="G57" s="16" t="s">
        <v>242</v>
      </c>
      <c r="H57" s="16" t="s">
        <v>514</v>
      </c>
      <c r="I57" s="67" t="s">
        <v>2401</v>
      </c>
    </row>
    <row r="58" customFormat="false" ht="15" hidden="false" customHeight="false" outlineLevel="0" collapsed="false">
      <c r="A58" s="16" t="s">
        <v>722</v>
      </c>
      <c r="B58" s="70" t="s">
        <v>2396</v>
      </c>
      <c r="C58" s="17" t="s">
        <v>2402</v>
      </c>
      <c r="D58" s="16" t="s">
        <v>2398</v>
      </c>
      <c r="E58" s="16" t="s">
        <v>2403</v>
      </c>
      <c r="F58" s="16" t="s">
        <v>2404</v>
      </c>
      <c r="G58" s="16" t="s">
        <v>2405</v>
      </c>
      <c r="H58" s="16" t="s">
        <v>514</v>
      </c>
      <c r="I58" s="67" t="s">
        <v>2406</v>
      </c>
    </row>
    <row r="59" customFormat="false" ht="15" hidden="false" customHeight="false" outlineLevel="0" collapsed="false">
      <c r="A59" s="16" t="s">
        <v>255</v>
      </c>
      <c r="B59" s="70" t="s">
        <v>2396</v>
      </c>
      <c r="C59" s="17" t="s">
        <v>2407</v>
      </c>
      <c r="D59" s="16" t="s">
        <v>2398</v>
      </c>
      <c r="E59" s="16" t="s">
        <v>2408</v>
      </c>
      <c r="F59" s="16" t="s">
        <v>2409</v>
      </c>
      <c r="G59" s="16" t="s">
        <v>259</v>
      </c>
      <c r="H59" s="16" t="s">
        <v>514</v>
      </c>
      <c r="I59" s="67" t="s">
        <v>2406</v>
      </c>
    </row>
    <row r="60" customFormat="false" ht="23.85" hidden="false" customHeight="false" outlineLevel="0" collapsed="false">
      <c r="A60" s="17" t="s">
        <v>2410</v>
      </c>
      <c r="B60" s="65" t="s">
        <v>2199</v>
      </c>
      <c r="C60" s="16" t="s">
        <v>2411</v>
      </c>
      <c r="D60" s="16" t="s">
        <v>2412</v>
      </c>
      <c r="E60" s="17" t="s">
        <v>2413</v>
      </c>
      <c r="F60" s="16" t="s">
        <v>2414</v>
      </c>
      <c r="G60" s="16" t="s">
        <v>2415</v>
      </c>
      <c r="H60" s="16" t="s">
        <v>1207</v>
      </c>
      <c r="I60" s="65" t="s">
        <v>2416</v>
      </c>
    </row>
    <row r="61" customFormat="false" ht="15" hidden="false" customHeight="false" outlineLevel="0" collapsed="false">
      <c r="A61" s="17" t="s">
        <v>2417</v>
      </c>
      <c r="B61" s="65" t="s">
        <v>2199</v>
      </c>
      <c r="C61" s="17" t="s">
        <v>2418</v>
      </c>
      <c r="D61" s="16" t="s">
        <v>2419</v>
      </c>
      <c r="E61" s="17" t="s">
        <v>2420</v>
      </c>
      <c r="F61" s="16" t="s">
        <v>2363</v>
      </c>
      <c r="G61" s="16" t="s">
        <v>2421</v>
      </c>
      <c r="H61" s="16" t="s">
        <v>1207</v>
      </c>
      <c r="I61" s="65" t="s">
        <v>2422</v>
      </c>
    </row>
    <row r="62" customFormat="false" ht="15" hidden="false" customHeight="false" outlineLevel="0" collapsed="false">
      <c r="A62" s="17" t="s">
        <v>2423</v>
      </c>
      <c r="B62" s="67" t="s">
        <v>2424</v>
      </c>
      <c r="C62" s="17" t="s">
        <v>2425</v>
      </c>
      <c r="D62" s="16" t="s">
        <v>2419</v>
      </c>
      <c r="E62" s="17" t="s">
        <v>2426</v>
      </c>
      <c r="F62" s="16" t="s">
        <v>2427</v>
      </c>
      <c r="G62" s="17" t="s">
        <v>2428</v>
      </c>
      <c r="H62" s="16" t="s">
        <v>1207</v>
      </c>
      <c r="I62" s="65" t="s">
        <v>2429</v>
      </c>
    </row>
    <row r="63" customFormat="false" ht="15" hidden="false" customHeight="false" outlineLevel="0" collapsed="false">
      <c r="A63" s="17" t="s">
        <v>988</v>
      </c>
      <c r="B63" s="52" t="s">
        <v>2430</v>
      </c>
      <c r="C63" s="17" t="s">
        <v>2431</v>
      </c>
      <c r="D63" s="16" t="s">
        <v>2361</v>
      </c>
      <c r="E63" s="17" t="s">
        <v>2432</v>
      </c>
      <c r="F63" s="16" t="s">
        <v>2363</v>
      </c>
      <c r="G63" s="17" t="s">
        <v>2433</v>
      </c>
      <c r="H63" s="16" t="s">
        <v>1207</v>
      </c>
      <c r="I63" s="52" t="s">
        <v>2434</v>
      </c>
    </row>
    <row r="65" customFormat="false" ht="16.4" hidden="false" customHeight="false" outlineLevel="0" collapsed="false">
      <c r="A65" s="64" t="s">
        <v>2435</v>
      </c>
      <c r="B65" s="64"/>
      <c r="C65" s="64"/>
      <c r="D65" s="64"/>
      <c r="E65" s="64"/>
      <c r="F65" s="64"/>
      <c r="G65" s="64"/>
      <c r="H65" s="64"/>
      <c r="I65" s="64"/>
    </row>
    <row r="66" customFormat="false" ht="15" hidden="false" customHeight="false" outlineLevel="0" collapsed="false">
      <c r="A66" s="15" t="s">
        <v>52</v>
      </c>
      <c r="B66" s="15" t="s">
        <v>2191</v>
      </c>
      <c r="C66" s="15" t="s">
        <v>2192</v>
      </c>
      <c r="D66" s="15" t="s">
        <v>2193</v>
      </c>
      <c r="E66" s="15" t="s">
        <v>2194</v>
      </c>
      <c r="F66" s="15" t="s">
        <v>2195</v>
      </c>
      <c r="G66" s="15" t="s">
        <v>2196</v>
      </c>
      <c r="H66" s="15" t="s">
        <v>2197</v>
      </c>
      <c r="I66" s="14" t="s">
        <v>2198</v>
      </c>
    </row>
    <row r="67" customFormat="false" ht="35.05" hidden="false" customHeight="false" outlineLevel="0" collapsed="false">
      <c r="A67" s="16" t="s">
        <v>2436</v>
      </c>
      <c r="B67" s="65" t="s">
        <v>2199</v>
      </c>
      <c r="C67" s="16" t="s">
        <v>2437</v>
      </c>
      <c r="D67" s="16" t="s">
        <v>2438</v>
      </c>
      <c r="E67" s="16" t="s">
        <v>2439</v>
      </c>
      <c r="F67" s="17" t="s">
        <v>2440</v>
      </c>
      <c r="G67" s="17" t="s">
        <v>2441</v>
      </c>
      <c r="H67" s="16" t="s">
        <v>2204</v>
      </c>
      <c r="I67" s="65" t="s">
        <v>2442</v>
      </c>
    </row>
    <row r="68" customFormat="false" ht="23.85" hidden="false" customHeight="false" outlineLevel="0" collapsed="false">
      <c r="A68" s="16" t="s">
        <v>500</v>
      </c>
      <c r="B68" s="65" t="s">
        <v>2199</v>
      </c>
      <c r="C68" s="16" t="s">
        <v>2443</v>
      </c>
      <c r="D68" s="16" t="s">
        <v>2444</v>
      </c>
      <c r="E68" s="17" t="s">
        <v>2445</v>
      </c>
      <c r="F68" s="16" t="s">
        <v>2446</v>
      </c>
      <c r="G68" s="17" t="s">
        <v>2447</v>
      </c>
      <c r="H68" s="16" t="s">
        <v>2204</v>
      </c>
      <c r="I68" s="65" t="s">
        <v>2448</v>
      </c>
    </row>
    <row r="69" customFormat="false" ht="35.05" hidden="false" customHeight="false" outlineLevel="0" collapsed="false">
      <c r="A69" s="16" t="s">
        <v>83</v>
      </c>
      <c r="B69" s="65" t="s">
        <v>2199</v>
      </c>
      <c r="C69" s="16" t="s">
        <v>2449</v>
      </c>
      <c r="D69" s="16" t="s">
        <v>2450</v>
      </c>
      <c r="E69" s="16" t="s">
        <v>2451</v>
      </c>
      <c r="F69" s="16" t="s">
        <v>2452</v>
      </c>
      <c r="G69" s="16" t="s">
        <v>2453</v>
      </c>
      <c r="H69" s="16" t="s">
        <v>2204</v>
      </c>
      <c r="I69" s="65" t="s">
        <v>2454</v>
      </c>
    </row>
    <row r="70" customFormat="false" ht="35.05" hidden="false" customHeight="false" outlineLevel="0" collapsed="false">
      <c r="A70" s="16" t="s">
        <v>2455</v>
      </c>
      <c r="B70" s="68" t="s">
        <v>2456</v>
      </c>
      <c r="C70" s="16" t="s">
        <v>2457</v>
      </c>
      <c r="D70" s="16" t="s">
        <v>2458</v>
      </c>
      <c r="E70" s="17" t="s">
        <v>2275</v>
      </c>
      <c r="F70" s="16" t="s">
        <v>2363</v>
      </c>
      <c r="G70" s="17" t="s">
        <v>2459</v>
      </c>
      <c r="H70" s="16" t="s">
        <v>1196</v>
      </c>
      <c r="I70" s="69" t="s">
        <v>2460</v>
      </c>
    </row>
    <row r="72" customFormat="false" ht="16.4" hidden="false" customHeight="false" outlineLevel="0" collapsed="false">
      <c r="A72" s="64" t="s">
        <v>2461</v>
      </c>
      <c r="B72" s="64"/>
      <c r="C72" s="64"/>
      <c r="D72" s="64"/>
      <c r="E72" s="64"/>
      <c r="F72" s="64"/>
      <c r="G72" s="64"/>
      <c r="H72" s="64"/>
      <c r="I72" s="64"/>
    </row>
    <row r="73" customFormat="false" ht="15" hidden="false" customHeight="false" outlineLevel="0" collapsed="false">
      <c r="A73" s="15" t="s">
        <v>52</v>
      </c>
      <c r="B73" s="15" t="s">
        <v>2191</v>
      </c>
      <c r="C73" s="15" t="s">
        <v>2192</v>
      </c>
      <c r="D73" s="15" t="s">
        <v>2193</v>
      </c>
      <c r="E73" s="15" t="s">
        <v>2194</v>
      </c>
      <c r="F73" s="15" t="s">
        <v>2195</v>
      </c>
      <c r="G73" s="15" t="s">
        <v>2196</v>
      </c>
      <c r="H73" s="15" t="s">
        <v>2197</v>
      </c>
      <c r="I73" s="14" t="s">
        <v>2198</v>
      </c>
    </row>
    <row r="74" customFormat="false" ht="46.25" hidden="false" customHeight="false" outlineLevel="0" collapsed="false">
      <c r="A74" s="16" t="s">
        <v>443</v>
      </c>
      <c r="B74" s="65" t="s">
        <v>2199</v>
      </c>
      <c r="C74" s="16" t="s">
        <v>2462</v>
      </c>
      <c r="D74" s="16" t="s">
        <v>2463</v>
      </c>
      <c r="E74" s="16" t="s">
        <v>2464</v>
      </c>
      <c r="F74" s="16" t="s">
        <v>2465</v>
      </c>
      <c r="G74" s="17" t="s">
        <v>2466</v>
      </c>
      <c r="H74" s="16" t="s">
        <v>1207</v>
      </c>
      <c r="I74" s="65" t="s">
        <v>2467</v>
      </c>
    </row>
    <row r="75" customFormat="false" ht="23.85" hidden="false" customHeight="false" outlineLevel="0" collapsed="false">
      <c r="A75" s="16" t="s">
        <v>2468</v>
      </c>
      <c r="B75" s="65" t="s">
        <v>2199</v>
      </c>
      <c r="C75" s="16" t="s">
        <v>2469</v>
      </c>
      <c r="D75" s="16" t="s">
        <v>2470</v>
      </c>
      <c r="E75" s="16" t="s">
        <v>2471</v>
      </c>
      <c r="F75" s="16" t="s">
        <v>2472</v>
      </c>
      <c r="G75" s="16" t="s">
        <v>2473</v>
      </c>
      <c r="H75" s="16" t="s">
        <v>2204</v>
      </c>
      <c r="I75" s="65" t="s">
        <v>2474</v>
      </c>
    </row>
    <row r="76" customFormat="false" ht="35.05" hidden="false" customHeight="false" outlineLevel="0" collapsed="false">
      <c r="A76" s="16" t="s">
        <v>460</v>
      </c>
      <c r="B76" s="65" t="s">
        <v>2199</v>
      </c>
      <c r="C76" s="16" t="s">
        <v>2475</v>
      </c>
      <c r="D76" s="16" t="s">
        <v>2234</v>
      </c>
      <c r="E76" s="16" t="s">
        <v>2476</v>
      </c>
      <c r="F76" s="16" t="s">
        <v>2477</v>
      </c>
      <c r="G76" s="16" t="s">
        <v>2478</v>
      </c>
      <c r="H76" s="16" t="s">
        <v>2204</v>
      </c>
      <c r="I76" s="65" t="s">
        <v>2479</v>
      </c>
    </row>
    <row r="77" customFormat="false" ht="15" hidden="false" customHeight="false" outlineLevel="0" collapsed="false">
      <c r="A77" s="16" t="s">
        <v>464</v>
      </c>
      <c r="B77" s="66" t="s">
        <v>2480</v>
      </c>
      <c r="C77" s="16" t="s">
        <v>2481</v>
      </c>
      <c r="D77" s="17" t="s">
        <v>2482</v>
      </c>
      <c r="E77" s="16" t="s">
        <v>2483</v>
      </c>
      <c r="F77" s="17" t="s">
        <v>2484</v>
      </c>
      <c r="G77" s="17" t="s">
        <v>2485</v>
      </c>
      <c r="H77" s="16" t="s">
        <v>2231</v>
      </c>
      <c r="I77" s="65" t="s">
        <v>2486</v>
      </c>
    </row>
    <row r="78" customFormat="false" ht="15" hidden="false" customHeight="false" outlineLevel="0" collapsed="false">
      <c r="A78" s="16" t="s">
        <v>2487</v>
      </c>
      <c r="B78" s="66" t="s">
        <v>2480</v>
      </c>
      <c r="C78" s="16" t="s">
        <v>2488</v>
      </c>
      <c r="D78" s="17" t="s">
        <v>2489</v>
      </c>
      <c r="E78" s="16" t="s">
        <v>2483</v>
      </c>
      <c r="F78" s="17" t="s">
        <v>2490</v>
      </c>
      <c r="G78" s="17" t="s">
        <v>2485</v>
      </c>
      <c r="H78" s="16" t="s">
        <v>2231</v>
      </c>
      <c r="I78" s="65" t="s">
        <v>2491</v>
      </c>
    </row>
    <row r="80" customFormat="false" ht="16.4" hidden="false" customHeight="false" outlineLevel="0" collapsed="false">
      <c r="A80" s="71" t="s">
        <v>2492</v>
      </c>
      <c r="B80" s="71"/>
      <c r="C80" s="71"/>
      <c r="D80" s="71"/>
      <c r="E80" s="71"/>
      <c r="F80" s="71"/>
      <c r="G80" s="71"/>
      <c r="H80" s="71"/>
      <c r="I80" s="71"/>
    </row>
    <row r="81" customFormat="false" ht="15" hidden="false" customHeight="false" outlineLevel="0" collapsed="false">
      <c r="A81" s="15" t="s">
        <v>2493</v>
      </c>
      <c r="B81" s="15" t="s">
        <v>1610</v>
      </c>
      <c r="C81" s="15" t="s">
        <v>2494</v>
      </c>
    </row>
    <row r="82" customFormat="false" ht="23.85" hidden="false" customHeight="true" outlineLevel="0" collapsed="false">
      <c r="A82" s="16" t="s">
        <v>2495</v>
      </c>
      <c r="B82" s="17" t="s">
        <v>2496</v>
      </c>
      <c r="C82" s="37" t="s">
        <v>2497</v>
      </c>
      <c r="D82" s="37"/>
      <c r="E82" s="37"/>
      <c r="F82" s="37"/>
      <c r="G82" s="37"/>
      <c r="H82" s="37"/>
      <c r="I82" s="37"/>
    </row>
    <row r="83" customFormat="false" ht="23.85" hidden="false" customHeight="true" outlineLevel="0" collapsed="false">
      <c r="A83" s="22" t="s">
        <v>2498</v>
      </c>
      <c r="B83" s="23" t="s">
        <v>2499</v>
      </c>
      <c r="C83" s="72" t="s">
        <v>2500</v>
      </c>
      <c r="D83" s="72"/>
      <c r="E83" s="72"/>
      <c r="F83" s="72"/>
      <c r="G83" s="72"/>
      <c r="H83" s="72"/>
      <c r="I83" s="72"/>
    </row>
    <row r="84" customFormat="false" ht="15" hidden="false" customHeight="true" outlineLevel="0" collapsed="false">
      <c r="A84" s="16" t="s">
        <v>2501</v>
      </c>
      <c r="B84" s="17" t="s">
        <v>2502</v>
      </c>
      <c r="C84" s="37" t="s">
        <v>2503</v>
      </c>
      <c r="D84" s="37"/>
      <c r="E84" s="37"/>
      <c r="F84" s="37"/>
      <c r="G84" s="37"/>
      <c r="H84" s="37"/>
      <c r="I84" s="37"/>
    </row>
    <row r="85" customFormat="false" ht="15" hidden="false" customHeight="true" outlineLevel="0" collapsed="false">
      <c r="A85" s="22" t="s">
        <v>2504</v>
      </c>
      <c r="B85" s="23" t="s">
        <v>2505</v>
      </c>
      <c r="C85" s="72" t="s">
        <v>2506</v>
      </c>
      <c r="D85" s="72"/>
      <c r="E85" s="72"/>
      <c r="F85" s="72"/>
      <c r="G85" s="72"/>
      <c r="H85" s="72"/>
      <c r="I85" s="72"/>
    </row>
    <row r="86" customFormat="false" ht="15" hidden="false" customHeight="true" outlineLevel="0" collapsed="false">
      <c r="A86" s="16" t="s">
        <v>1624</v>
      </c>
      <c r="B86" s="17" t="s">
        <v>2507</v>
      </c>
      <c r="C86" s="35" t="s">
        <v>2508</v>
      </c>
      <c r="D86" s="35"/>
      <c r="E86" s="35"/>
      <c r="F86" s="35"/>
      <c r="G86" s="35"/>
      <c r="H86" s="35"/>
      <c r="I86" s="35"/>
    </row>
    <row r="87" customFormat="false" ht="35.05" hidden="false" customHeight="true" outlineLevel="0" collapsed="false">
      <c r="A87" s="22" t="s">
        <v>1627</v>
      </c>
      <c r="B87" s="22" t="s">
        <v>2509</v>
      </c>
      <c r="C87" s="72" t="s">
        <v>2510</v>
      </c>
      <c r="D87" s="72"/>
      <c r="E87" s="72"/>
      <c r="F87" s="72"/>
      <c r="G87" s="72"/>
      <c r="H87" s="72"/>
      <c r="I87" s="72"/>
    </row>
    <row r="88" customFormat="false" ht="23.85" hidden="false" customHeight="true" outlineLevel="0" collapsed="false">
      <c r="A88" s="16" t="s">
        <v>2511</v>
      </c>
      <c r="B88" s="17" t="s">
        <v>2512</v>
      </c>
      <c r="C88" s="37" t="s">
        <v>2513</v>
      </c>
      <c r="D88" s="37"/>
      <c r="E88" s="37"/>
      <c r="F88" s="37"/>
      <c r="G88" s="37"/>
      <c r="H88" s="37"/>
      <c r="I88" s="37"/>
    </row>
    <row r="90" customFormat="false" ht="15" hidden="false" customHeight="false" outlineLevel="0" collapsed="false">
      <c r="A90" s="73" t="s">
        <v>2514</v>
      </c>
      <c r="B90" s="73"/>
      <c r="C90" s="73"/>
      <c r="D90" s="73"/>
      <c r="E90" s="73"/>
      <c r="F90" s="73"/>
      <c r="G90" s="73"/>
      <c r="H90" s="73"/>
      <c r="I90" s="73"/>
    </row>
    <row r="91" customFormat="false" ht="15" hidden="false" customHeight="true" outlineLevel="0" collapsed="false">
      <c r="A91" s="30" t="s">
        <v>2515</v>
      </c>
      <c r="B91" s="30"/>
      <c r="C91" s="30"/>
      <c r="D91" s="30"/>
      <c r="E91" s="30"/>
      <c r="F91" s="30"/>
      <c r="G91" s="30"/>
      <c r="H91" s="30"/>
      <c r="I91" s="30"/>
    </row>
    <row r="92" customFormat="false" ht="15" hidden="false" customHeight="true" outlineLevel="0" collapsed="false">
      <c r="A92" s="30" t="s">
        <v>2516</v>
      </c>
      <c r="B92" s="30"/>
      <c r="C92" s="30"/>
      <c r="D92" s="30"/>
      <c r="E92" s="30"/>
      <c r="F92" s="30"/>
      <c r="G92" s="30"/>
      <c r="H92" s="30"/>
      <c r="I92" s="30"/>
    </row>
    <row r="93" customFormat="false" ht="15" hidden="false" customHeight="true" outlineLevel="0" collapsed="false">
      <c r="A93" s="30" t="s">
        <v>2517</v>
      </c>
      <c r="B93" s="30"/>
      <c r="C93" s="30"/>
      <c r="D93" s="30"/>
      <c r="E93" s="30"/>
      <c r="F93" s="30"/>
      <c r="G93" s="30"/>
      <c r="H93" s="30"/>
      <c r="I93" s="30"/>
    </row>
    <row r="94" customFormat="false" ht="15" hidden="false" customHeight="true" outlineLevel="0" collapsed="false">
      <c r="A94" s="30" t="s">
        <v>2518</v>
      </c>
      <c r="B94" s="30"/>
      <c r="C94" s="30"/>
      <c r="D94" s="30"/>
      <c r="E94" s="30"/>
      <c r="F94" s="30"/>
      <c r="G94" s="30"/>
      <c r="H94" s="30"/>
      <c r="I94" s="30"/>
    </row>
    <row r="95" customFormat="false" ht="15" hidden="false" customHeight="true" outlineLevel="0" collapsed="false">
      <c r="A95" s="30" t="s">
        <v>2519</v>
      </c>
      <c r="B95" s="30"/>
      <c r="C95" s="30"/>
      <c r="D95" s="30"/>
      <c r="E95" s="30"/>
      <c r="F95" s="30"/>
      <c r="G95" s="30"/>
      <c r="H95" s="30"/>
      <c r="I95" s="30"/>
    </row>
    <row r="96" customFormat="false" ht="15" hidden="false" customHeight="true" outlineLevel="0" collapsed="false">
      <c r="A96" s="30" t="s">
        <v>2520</v>
      </c>
      <c r="B96" s="30"/>
      <c r="C96" s="30"/>
      <c r="D96" s="30"/>
      <c r="E96" s="30"/>
      <c r="F96" s="30"/>
      <c r="G96" s="30"/>
      <c r="H96" s="30"/>
      <c r="I96" s="30"/>
    </row>
    <row r="97" customFormat="false" ht="15" hidden="false" customHeight="true" outlineLevel="0" collapsed="false">
      <c r="A97" s="30" t="s">
        <v>2521</v>
      </c>
      <c r="B97" s="30"/>
      <c r="C97" s="30"/>
      <c r="D97" s="30"/>
      <c r="E97" s="30"/>
      <c r="F97" s="30"/>
      <c r="G97" s="30"/>
      <c r="H97" s="30"/>
      <c r="I97" s="30"/>
    </row>
    <row r="98" customFormat="false" ht="15" hidden="false" customHeight="true" outlineLevel="0" collapsed="false">
      <c r="A98" s="30" t="s">
        <v>2522</v>
      </c>
      <c r="B98" s="30"/>
      <c r="C98" s="30"/>
      <c r="D98" s="30"/>
      <c r="E98" s="30"/>
      <c r="F98" s="30"/>
      <c r="G98" s="30"/>
      <c r="H98" s="30"/>
      <c r="I98" s="30"/>
    </row>
    <row r="99" customFormat="false" ht="15" hidden="false" customHeight="true" outlineLevel="0" collapsed="false">
      <c r="A99" s="30" t="s">
        <v>2523</v>
      </c>
      <c r="B99" s="30"/>
      <c r="C99" s="30"/>
      <c r="D99" s="30"/>
      <c r="E99" s="30"/>
      <c r="F99" s="30"/>
      <c r="G99" s="30"/>
      <c r="H99" s="30"/>
      <c r="I99" s="30"/>
    </row>
    <row r="100" customFormat="false" ht="15" hidden="false" customHeight="true" outlineLevel="0" collapsed="false">
      <c r="A100" s="30" t="s">
        <v>2524</v>
      </c>
      <c r="B100" s="30"/>
      <c r="C100" s="30"/>
      <c r="D100" s="30"/>
      <c r="E100" s="30"/>
      <c r="F100" s="30"/>
      <c r="G100" s="30"/>
      <c r="H100" s="30"/>
      <c r="I100" s="30"/>
    </row>
  </sheetData>
  <mergeCells count="38">
    <mergeCell ref="A1:I1"/>
    <mergeCell ref="A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A19:I19"/>
    <mergeCell ref="A34:I34"/>
    <mergeCell ref="A46:I46"/>
    <mergeCell ref="A65:I65"/>
    <mergeCell ref="A72:I72"/>
    <mergeCell ref="A80:I80"/>
    <mergeCell ref="C82:I82"/>
    <mergeCell ref="C83:I83"/>
    <mergeCell ref="C84:I84"/>
    <mergeCell ref="C85:I85"/>
    <mergeCell ref="C86:I86"/>
    <mergeCell ref="C87:I87"/>
    <mergeCell ref="C88:I88"/>
    <mergeCell ref="A90:I90"/>
    <mergeCell ref="A91:I91"/>
    <mergeCell ref="A92:I92"/>
    <mergeCell ref="A93:I93"/>
    <mergeCell ref="A94:I94"/>
    <mergeCell ref="A95:I95"/>
    <mergeCell ref="A96:I96"/>
    <mergeCell ref="A97:I97"/>
    <mergeCell ref="A98:I98"/>
    <mergeCell ref="A99:I99"/>
    <mergeCell ref="A100:I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2026-05-19T03:49:41Z</dcterms:created>
  <dc:creator>openpyxl</dc:creator>
  <dc:description/>
  <dc:language>en-US</dc:language>
  <cp:lastModifiedBy/>
  <dcterms:modified xsi:type="dcterms:W3CDTF">2026-05-19T04:48:39Z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