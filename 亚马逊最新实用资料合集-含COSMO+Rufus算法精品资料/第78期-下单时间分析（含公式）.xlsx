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/>
  </bookViews>
  <sheets>
    <sheet name="数据源" sheetId="1" r:id="rId1"/>
    <sheet name="将左侧的数据源粘贴为数值" sheetId="2" r:id="rId2"/>
    <sheet name="数据透视表" sheetId="3" r:id="rId3"/>
    <sheet name="时间段对照" sheetId="4" r:id="rId4"/>
  </sheets>
  <calcPr calcId="144525"/>
  <pivotCaches>
    <pivotCache cacheId="0" r:id="rId6"/>
  </pivotCaches>
</workbook>
</file>

<file path=xl/comments1.xml><?xml version="1.0" encoding="utf-8"?>
<comments xmlns="http://schemas.openxmlformats.org/spreadsheetml/2006/main">
  <authors>
    <author>Administrator</author>
  </authors>
  <commentList>
    <comment ref="E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下面的公式修改好后，核对下单数量是否无误</t>
        </r>
      </text>
    </comment>
    <comment ref="B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11.3号以前的下单数据用-15h，11.3号以后用-16h（只有这个地方需注意具体时差是15还是16小时）
可根据“时间段对照表”更换该列数据</t>
        </r>
      </text>
    </comment>
    <comment ref="E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需修改该公式的所选区域，具体为粘贴为数值后的数据透视表</t>
        </r>
      </text>
    </comment>
  </commentList>
</comments>
</file>

<file path=xl/sharedStrings.xml><?xml version="1.0" encoding="utf-8"?>
<sst xmlns="http://schemas.openxmlformats.org/spreadsheetml/2006/main" count="848" uniqueCount="240">
  <si>
    <t>中国时间段</t>
  </si>
  <si>
    <t>中国时间点</t>
  </si>
  <si>
    <t>时差+</t>
  </si>
  <si>
    <t>后台太平洋时间</t>
  </si>
  <si>
    <t>purchase-date</t>
  </si>
  <si>
    <t>quantity</t>
  </si>
  <si>
    <t>1.公式已调好，只需将后台下好的订单报告里的购买时间及数量填进去，再将左侧A-D列的公式复制填充即可</t>
  </si>
  <si>
    <t>2020-11-09T04:38:59+00:00</t>
  </si>
  <si>
    <t>2020-11-09T00:58:18+00:00</t>
  </si>
  <si>
    <t>2020-11-09T00:13:48+00:00</t>
  </si>
  <si>
    <t>2020-11-08T23:54:21+00:00</t>
  </si>
  <si>
    <t>2020-11-08T23:51:41+00:00</t>
  </si>
  <si>
    <t>2020-11-08T23:32:49+00:00</t>
  </si>
  <si>
    <t>2020-11-08T23:08:26+00:00</t>
  </si>
  <si>
    <t>2020-11-08T22:10:09+00:00</t>
  </si>
  <si>
    <t>2020-11-08T20:50:45+00:00</t>
  </si>
  <si>
    <t>2020-11-08T20:06:37+00:00</t>
  </si>
  <si>
    <t>2020-11-08T18:04:38+00:00</t>
  </si>
  <si>
    <t>2020-11-08T16:06:35+00:00</t>
  </si>
  <si>
    <t>2020-11-08T15:25:02+00:00</t>
  </si>
  <si>
    <t>2020-11-08T14:38:19+00:00</t>
  </si>
  <si>
    <t>2020-11-08T13:28:48+00:00</t>
  </si>
  <si>
    <t>2020-11-08T12:35:57+00:00</t>
  </si>
  <si>
    <t>2020-11-08T10:00:01+00:00</t>
  </si>
  <si>
    <t>2020-11-08T09:02:43+00:00</t>
  </si>
  <si>
    <t>2020-11-08T07:33:46+00:00</t>
  </si>
  <si>
    <t>2020-11-08T06:53:46+00:00</t>
  </si>
  <si>
    <t>2020-11-08T04:51:17+00:00</t>
  </si>
  <si>
    <t>2020-11-08T04:28:21+00:00</t>
  </si>
  <si>
    <t>2020-11-08T04:26:42+00:00</t>
  </si>
  <si>
    <t>2020-11-08T04:25:59+00:00</t>
  </si>
  <si>
    <t>2020-11-08T04:12:21+00:00</t>
  </si>
  <si>
    <t>2020-11-08T03:57:03+00:00</t>
  </si>
  <si>
    <t>2020-11-08T03:43:47+00:00</t>
  </si>
  <si>
    <t>2020-11-08T02:47:28+00:00</t>
  </si>
  <si>
    <t>2020-11-08T02:08:54+00:00</t>
  </si>
  <si>
    <t>2020-11-08T01:50:44+00:00</t>
  </si>
  <si>
    <t>2020-11-08T01:15:40+00:00</t>
  </si>
  <si>
    <t>2020-11-07T22:59:27+00:00</t>
  </si>
  <si>
    <t>2020-11-07T22:48:44+00:00</t>
  </si>
  <si>
    <t>2020-11-07T22:38:54+00:00</t>
  </si>
  <si>
    <t>2020-11-07T22:16:27+00:00</t>
  </si>
  <si>
    <t>2020-11-07T22:11:06+00:00</t>
  </si>
  <si>
    <t>2020-11-07T21:45:12+00:00</t>
  </si>
  <si>
    <t>2020-11-07T21:28:56+00:00</t>
  </si>
  <si>
    <t>2020-11-07T21:20:10+00:00</t>
  </si>
  <si>
    <t>2020-11-07T21:09:02+00:00</t>
  </si>
  <si>
    <t>2020-11-07T19:26:19+00:00</t>
  </si>
  <si>
    <t>2020-11-07T19:04:12+00:00</t>
  </si>
  <si>
    <t>2020-11-07T17:29:53+00:00</t>
  </si>
  <si>
    <t>2020-11-07T17:18:09+00:00</t>
  </si>
  <si>
    <t>2020-11-07T16:12:35+00:00</t>
  </si>
  <si>
    <t>2020-11-07T16:10:10+00:00</t>
  </si>
  <si>
    <t>2020-11-07T16:05:56+00:00</t>
  </si>
  <si>
    <t>2020-11-07T16:03:06+00:00</t>
  </si>
  <si>
    <t>2020-11-07T15:26:01+00:00</t>
  </si>
  <si>
    <t>2020-11-07T15:03:40+00:00</t>
  </si>
  <si>
    <t>2020-11-07T14:28:13+00:00</t>
  </si>
  <si>
    <t>2020-11-07T12:24:35+00:00</t>
  </si>
  <si>
    <t>2020-11-07T11:41:41+00:00</t>
  </si>
  <si>
    <t>2020-11-07T11:21:23+00:00</t>
  </si>
  <si>
    <t>2020-11-07T09:36:29+00:00</t>
  </si>
  <si>
    <t>2020-11-07T08:42:07+00:00</t>
  </si>
  <si>
    <t>2020-11-07T06:47:25+00:00</t>
  </si>
  <si>
    <t>2020-11-07T06:37:05+00:00</t>
  </si>
  <si>
    <t>2020-11-07T06:15:48+00:00</t>
  </si>
  <si>
    <t>2020-11-07T05:02:09+00:00</t>
  </si>
  <si>
    <t>2020-11-07T04:10:02+00:00</t>
  </si>
  <si>
    <t>2020-11-07T04:09:05+00:00</t>
  </si>
  <si>
    <t>2020-11-07T02:01:25+00:00</t>
  </si>
  <si>
    <t>2020-11-06T22:59:27+00:00</t>
  </si>
  <si>
    <t>2020-11-06T22:48:44+00:00</t>
  </si>
  <si>
    <t>2020-11-06T22:38:54+00:00</t>
  </si>
  <si>
    <t>2020-11-06T22:16:27+00:00</t>
  </si>
  <si>
    <t>2020-11-06T22:11:06+00:00</t>
  </si>
  <si>
    <t>2020-11-06T21:45:12+00:00</t>
  </si>
  <si>
    <t>2020-11-06T21:28:56+00:00</t>
  </si>
  <si>
    <t>2020-11-06T21:20:10+00:00</t>
  </si>
  <si>
    <t>2020-11-06T21:09:02+00:00</t>
  </si>
  <si>
    <t>2020-11-06T19:26:19+00:00</t>
  </si>
  <si>
    <t>2020-11-06T19:04:12+00:00</t>
  </si>
  <si>
    <t>2020-11-06T17:29:53+00:00</t>
  </si>
  <si>
    <t>2020-11-06T17:18:09+00:00</t>
  </si>
  <si>
    <t>2020-11-06T16:12:35+00:00</t>
  </si>
  <si>
    <t>2020-11-06T16:10:10+00:00</t>
  </si>
  <si>
    <t>2020-11-06T16:05:56+00:00</t>
  </si>
  <si>
    <t>2020-11-06T16:03:06+00:00</t>
  </si>
  <si>
    <t>2020-11-06T15:26:01+00:00</t>
  </si>
  <si>
    <t>2020-11-06T15:03:40+00:00</t>
  </si>
  <si>
    <t>2020-11-06T14:28:13+00:00</t>
  </si>
  <si>
    <t>2020-11-06T12:24:35+00:00</t>
  </si>
  <si>
    <t>2020-11-06T11:41:41+00:00</t>
  </si>
  <si>
    <t>2020-11-06T11:21:23+00:00</t>
  </si>
  <si>
    <t>2020-11-06T09:36:29+00:00</t>
  </si>
  <si>
    <t>2020-11-06T08:42:06+00:00</t>
  </si>
  <si>
    <t>2020-11-06T06:47:25+00:00</t>
  </si>
  <si>
    <t>2020-11-06T06:37:05+00:00</t>
  </si>
  <si>
    <t>2020-11-06T06:15:48+00:00</t>
  </si>
  <si>
    <t>2020-11-06T05:02:09+00:00</t>
  </si>
  <si>
    <t>2020-11-06T04:10:02+00:00</t>
  </si>
  <si>
    <t>2020-11-06T04:09:05+00:00</t>
  </si>
  <si>
    <t>2020-11-06T02:01:25+00:00</t>
  </si>
  <si>
    <t>2020-11-05T22:59:27+00:00</t>
  </si>
  <si>
    <t>2020-11-05T22:48:44+00:00</t>
  </si>
  <si>
    <t>2020-11-05T22:38:54+00:00</t>
  </si>
  <si>
    <t>2020-11-05T22:16:27+00:00</t>
  </si>
  <si>
    <t>2020-11-05T22:11:05+00:00</t>
  </si>
  <si>
    <t>2020-11-05T21:45:12+00:00</t>
  </si>
  <si>
    <t>2020-11-05T21:28:56+00:00</t>
  </si>
  <si>
    <t>2020-11-05T21:20:10+00:00</t>
  </si>
  <si>
    <t>2020-11-05T21:09:02+00:00</t>
  </si>
  <si>
    <t>2020-11-05T19:26:19+00:00</t>
  </si>
  <si>
    <t>2020-11-05T19:04:12+00:00</t>
  </si>
  <si>
    <t>2020-11-05T17:29:53+00:00</t>
  </si>
  <si>
    <t>2020-11-05T17:18:09+00:00</t>
  </si>
  <si>
    <t>2020-11-05T16:12:35+00:00</t>
  </si>
  <si>
    <t>2020-11-05T16:10:10+00:00</t>
  </si>
  <si>
    <t>2020-11-05T16:05:56+00:00</t>
  </si>
  <si>
    <t>2020-11-05T16:03:05+00:00</t>
  </si>
  <si>
    <t>2020-11-05T15:26:01+00:00</t>
  </si>
  <si>
    <t>2020-11-05T15:03:40+00:00</t>
  </si>
  <si>
    <t>2020-11-05T14:28:13+00:00</t>
  </si>
  <si>
    <t>2020-11-05T12:24:35+00:00</t>
  </si>
  <si>
    <t>2020-11-05T11:41:41+00:00</t>
  </si>
  <si>
    <t>2020-11-05T11:21:23+00:00</t>
  </si>
  <si>
    <t>2020-11-05T09:36:29+00:00</t>
  </si>
  <si>
    <t>2020-11-05T08:42:05+00:00</t>
  </si>
  <si>
    <t>2020-11-05T05:47:25+00:00</t>
  </si>
  <si>
    <t>2020-11-05T05:37:05+00:00</t>
  </si>
  <si>
    <t>2020-11-05T05:15:48+00:00</t>
  </si>
  <si>
    <t>2020-11-05T05:02:09+00:00</t>
  </si>
  <si>
    <t>2020-11-05T04:10:02+00:00</t>
  </si>
  <si>
    <t>2020-11-05T04:09:05+00:00</t>
  </si>
  <si>
    <t>2020-11-05T02:01:25+00:00</t>
  </si>
  <si>
    <t>2020-11-04T22:59:27+00:00</t>
  </si>
  <si>
    <t>2020-11-04T22:48:44+00:00</t>
  </si>
  <si>
    <t>2020-11-04T22:38:54+00:00</t>
  </si>
  <si>
    <t>2020-11-04T22:16:27+00:00</t>
  </si>
  <si>
    <t>2020-11-04T22:11:04+00:00</t>
  </si>
  <si>
    <t>2020-11-04T21:45:12+00:00</t>
  </si>
  <si>
    <t>2020-11-04T21:28:56+00:00</t>
  </si>
  <si>
    <t>2020-11-04T21:20:10+00:00</t>
  </si>
  <si>
    <t>2020-11-04T21:09:02+00:00</t>
  </si>
  <si>
    <t>2020-11-04T19:26:19+00:00</t>
  </si>
  <si>
    <t>2020-11-04T19:04:12+00:00</t>
  </si>
  <si>
    <t>2020-11-04T17:29:53+00:00</t>
  </si>
  <si>
    <t>2020-11-04T17:18:09+00:00</t>
  </si>
  <si>
    <t>2020-11-04T16:12:35+00:00</t>
  </si>
  <si>
    <t>2020-11-04T16:10:10+00:00</t>
  </si>
  <si>
    <t>2020-11-04T16:04:56+00:00</t>
  </si>
  <si>
    <t>2020-11-04T16:03:04+00:00</t>
  </si>
  <si>
    <t>2020-11-04T15:26:01+00:00</t>
  </si>
  <si>
    <t>2020-11-04T15:03:40+00:00</t>
  </si>
  <si>
    <t>2020-11-04T14:28:13+00:00</t>
  </si>
  <si>
    <t>2020-11-04T12:24:35+00:00</t>
  </si>
  <si>
    <t>2020-11-04T11:41:41+00:00</t>
  </si>
  <si>
    <t>2020-11-04T11:21:23+00:00</t>
  </si>
  <si>
    <t>2020-11-04T09:36:29+00:00</t>
  </si>
  <si>
    <t>2020-11-04T08:42:04+00:00</t>
  </si>
  <si>
    <t>2020-11-04T04:47:25+00:00</t>
  </si>
  <si>
    <t>2020-11-04T04:37:04+00:00</t>
  </si>
  <si>
    <t>2020-11-04T04:15:48+00:00</t>
  </si>
  <si>
    <t>2020-11-04T04:02:09+00:00</t>
  </si>
  <si>
    <t>2020-11-04T04:10:02+00:00</t>
  </si>
  <si>
    <t>2020-11-04T04:09:04+00:00</t>
  </si>
  <si>
    <t>2020-11-04T02:01:25+00:00</t>
  </si>
  <si>
    <t>2020-11-03T22:59:27+00:00</t>
  </si>
  <si>
    <t>2020-11-03T22:48:44+00:00</t>
  </si>
  <si>
    <t>2020-11-03T22:38:54+00:00</t>
  </si>
  <si>
    <t>2020-11-03T22:16:27+00:00</t>
  </si>
  <si>
    <t>2020-11-03T22:11:03+00:00</t>
  </si>
  <si>
    <t>2020-11-03T21:45:12+00:00</t>
  </si>
  <si>
    <t>2020-11-03T21:28:56+00:00</t>
  </si>
  <si>
    <t>2020-11-03T21:20:10+00:00</t>
  </si>
  <si>
    <t>2020-11-03T21:09:02+00:00</t>
  </si>
  <si>
    <t>2020-11-03T19:26:19+00:00</t>
  </si>
  <si>
    <t>2020-11-03T19:03:12+00:00</t>
  </si>
  <si>
    <t>2020-11-03T17:29:53+00:00</t>
  </si>
  <si>
    <t>2020-11-03T17:18:09+00:00</t>
  </si>
  <si>
    <t>2020-11-03T16:12:35+00:00</t>
  </si>
  <si>
    <t>2020-11-03T16:10:10+00:00</t>
  </si>
  <si>
    <t>2020-11-03T16:03:56+00:00</t>
  </si>
  <si>
    <t>2020-11-03T16:03:03+00:00</t>
  </si>
  <si>
    <t>2020-11-03T15:26:01+00:00</t>
  </si>
  <si>
    <t>2020-11-03T15:03:40+00:00</t>
  </si>
  <si>
    <t>2020-11-03T14:28:13+00:00</t>
  </si>
  <si>
    <t>2020-11-03T12:24:35+00:00</t>
  </si>
  <si>
    <t>2020-11-03T11:41:41+00:00</t>
  </si>
  <si>
    <t>2020-11-03T11:21:23+00:00</t>
  </si>
  <si>
    <t>2020-11-03T09:36:29+00:00</t>
  </si>
  <si>
    <t>2020-11-03T08:42:03+00:00</t>
  </si>
  <si>
    <t>2020-11-03T03:47:25+00:00</t>
  </si>
  <si>
    <t>2020-11-03T03:37:03+00:00</t>
  </si>
  <si>
    <t>2020-11-03T03:15:48+00:00</t>
  </si>
  <si>
    <t>2020-11-03T03:02:09+00:00</t>
  </si>
  <si>
    <t>2020-11-03T03:10:02+00:00</t>
  </si>
  <si>
    <t>2020-11-03T03:09:03+00:00</t>
  </si>
  <si>
    <t>2020-11-03T02:01:25+00:00</t>
  </si>
  <si>
    <t>2.将数据粘贴为数值</t>
  </si>
  <si>
    <t>12：00-13：00</t>
  </si>
  <si>
    <t>8：00-9：00</t>
  </si>
  <si>
    <t>7：00-8：00</t>
  </si>
  <si>
    <t>6：00-7：00</t>
  </si>
  <si>
    <t>4：00-5：00</t>
  </si>
  <si>
    <t>2：00-3：00</t>
  </si>
  <si>
    <t>0：00-1：00</t>
  </si>
  <si>
    <t>23：00-0：00</t>
  </si>
  <si>
    <t>22：00-23：00</t>
  </si>
  <si>
    <t>21：00-22：00</t>
  </si>
  <si>
    <t>20：00-21：00</t>
  </si>
  <si>
    <t>18：00-19：00</t>
  </si>
  <si>
    <t>17：00-18：00</t>
  </si>
  <si>
    <t>15：00-16：00</t>
  </si>
  <si>
    <t>14：00-15：00</t>
  </si>
  <si>
    <t>11：00-12：00</t>
  </si>
  <si>
    <t>10：00-11：00</t>
  </si>
  <si>
    <t>9：00-10：00</t>
  </si>
  <si>
    <t>5：00-6：00</t>
  </si>
  <si>
    <t>3：00-4：00</t>
  </si>
  <si>
    <t>1：00-2：00</t>
  </si>
  <si>
    <t>19：00-20：00</t>
  </si>
  <si>
    <t>16：00-17：00</t>
  </si>
  <si>
    <t>13：00-14：00</t>
  </si>
  <si>
    <t>3.将左侧数据导入数据透视表粘贴为数值</t>
  </si>
  <si>
    <t>行标签</t>
  </si>
  <si>
    <t>求和项:quantity</t>
  </si>
  <si>
    <t>(空白)</t>
  </si>
  <si>
    <t>总计</t>
  </si>
  <si>
    <t>4.时差根据具体下单时间，11.3号以后的需改为-16h</t>
  </si>
  <si>
    <r>
      <rPr>
        <sz val="11"/>
        <color theme="1"/>
        <rFont val="宋体"/>
        <charset val="134"/>
        <scheme val="minor"/>
      </rPr>
      <t>(-15h)</t>
    </r>
    <r>
      <rPr>
        <sz val="11"/>
        <color theme="1"/>
        <rFont val="宋体"/>
        <charset val="134"/>
        <scheme val="minor"/>
      </rPr>
      <t>太平洋时间P</t>
    </r>
    <r>
      <rPr>
        <sz val="11"/>
        <color theme="1"/>
        <rFont val="宋体"/>
        <charset val="134"/>
        <scheme val="minor"/>
      </rPr>
      <t>DT</t>
    </r>
  </si>
  <si>
    <t>对应时间段下单数量</t>
  </si>
  <si>
    <t>上面表格的公式与右侧的统计图已设置好，会根据数据的变化而更新</t>
  </si>
  <si>
    <t>中国时间与太平洋时间对照表</t>
  </si>
  <si>
    <t>这里不要修改，不然前面设置的公式会乱</t>
  </si>
  <si>
    <t>11.3号以前的时差</t>
  </si>
  <si>
    <t>11.3号以后的时差</t>
  </si>
  <si>
    <t>时间点</t>
  </si>
  <si>
    <t>时间段</t>
  </si>
  <si>
    <t>中国时间</t>
  </si>
  <si>
    <r>
      <rPr>
        <sz val="11"/>
        <color theme="1"/>
        <rFont val="宋体"/>
        <charset val="134"/>
        <scheme val="minor"/>
      </rPr>
      <t>(-16h)</t>
    </r>
    <r>
      <rPr>
        <sz val="11"/>
        <color theme="1"/>
        <rFont val="宋体"/>
        <charset val="134"/>
        <scheme val="minor"/>
      </rPr>
      <t>太平洋时间P</t>
    </r>
    <r>
      <rPr>
        <sz val="11"/>
        <color theme="1"/>
        <rFont val="宋体"/>
        <charset val="134"/>
        <scheme val="minor"/>
      </rPr>
      <t>ST</t>
    </r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</si>
</sst>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179" formatCode="\¥#,##0.00;\¥\-#,##0.00"/>
    <numFmt numFmtId="26" formatCode="\$#,##0.00_);[Red]\(\$#,##0.00\)"/>
    <numFmt numFmtId="180" formatCode="h:mm:ss\ AM/PM"/>
    <numFmt numFmtId="181" formatCode="mmmmm"/>
    <numFmt numFmtId="182" formatCode="[DBNum1]上午/下午h&quot;时&quot;mm&quot;分&quot;"/>
    <numFmt numFmtId="183" formatCode="[DBNum1][$-804]yyyy&quot;年&quot;m&quot;月&quot;"/>
    <numFmt numFmtId="8" formatCode="&quot;￥&quot;#,##0.00;[Red]&quot;￥&quot;\-#,##0.00"/>
    <numFmt numFmtId="184" formatCode="[$-804]aaaa"/>
    <numFmt numFmtId="185" formatCode="mm/dd/yy"/>
    <numFmt numFmtId="186" formatCode="[$-804]aaa"/>
    <numFmt numFmtId="187" formatCode="yy/m/d"/>
    <numFmt numFmtId="44" formatCode="_ &quot;￥&quot;* #,##0.00_ ;_ &quot;￥&quot;* \-#,##0.00_ ;_ &quot;￥&quot;* &quot;-&quot;??_ ;_ @_ "/>
    <numFmt numFmtId="188" formatCode="m/d"/>
    <numFmt numFmtId="189" formatCode="\¥#,##0;[Red]\¥\-#,##0"/>
    <numFmt numFmtId="190" formatCode="dd\-mmm\-yy"/>
    <numFmt numFmtId="191" formatCode="#\ ?/?"/>
    <numFmt numFmtId="192" formatCode="yyyy/m/d\ h:mm\ AM/PM"/>
    <numFmt numFmtId="25" formatCode="\$#,##0.00_);\(\$#,##0.00\)"/>
    <numFmt numFmtId="41" formatCode="_ * #,##0_ ;_ * \-#,##0_ ;_ * &quot;-&quot;_ ;_ @_ "/>
    <numFmt numFmtId="193" formatCode="[DBNum1][$-804]yyyy&quot;年&quot;m&quot;月&quot;d&quot;日&quot;"/>
    <numFmt numFmtId="194" formatCode="h:mm\ AM/PM"/>
    <numFmt numFmtId="23" formatCode="\$#,##0_);\(\$#,##0\)"/>
    <numFmt numFmtId="195" formatCode="[DBNum1][$-804]m&quot;月&quot;d&quot;日&quot;"/>
    <numFmt numFmtId="42" formatCode="_ &quot;￥&quot;* #,##0_ ;_ &quot;￥&quot;* \-#,##0_ ;_ &quot;￥&quot;* &quot;-&quot;_ ;_ @_ "/>
    <numFmt numFmtId="196" formatCode="#\ ??"/>
    <numFmt numFmtId="197" formatCode="mmmmm\-yy"/>
    <numFmt numFmtId="43" formatCode="_ * #,##0.00_ ;_ * \-#,##0.00_ ;_ * &quot;-&quot;??_ ;_ @_ "/>
    <numFmt numFmtId="198" formatCode="\¥#,##0;\¥\-#,##0"/>
    <numFmt numFmtId="199" formatCode="[DBNum1]h&quot;时&quot;mm&quot;分&quot;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35" borderId="17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20" borderId="17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12" borderId="14" applyNumberFormat="0" applyAlignment="0" applyProtection="0">
      <alignment vertical="center"/>
    </xf>
    <xf numFmtId="0" fontId="18" fillId="20" borderId="18" applyNumberFormat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11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0" borderId="12" applyNumberFormat="0" applyFill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5" xfId="0" applyFont="1" applyFill="1" applyBorder="1" applyAlignment="1">
      <alignment vertical="center"/>
    </xf>
    <xf numFmtId="0" fontId="0" fillId="2" borderId="6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6" xfId="0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0" borderId="0" xfId="0" applyFill="1">
      <alignment vertical="center"/>
    </xf>
    <xf numFmtId="0" fontId="0" fillId="3" borderId="2" xfId="0" applyFill="1" applyBorder="1">
      <alignment vertical="center"/>
    </xf>
    <xf numFmtId="0" fontId="0" fillId="3" borderId="2" xfId="0" applyFont="1" applyFill="1" applyBorder="1" applyAlignment="1">
      <alignment vertical="center"/>
    </xf>
    <xf numFmtId="0" fontId="0" fillId="3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数据透视表!$E$33</c:f>
              <c:strCache>
                <c:ptCount val="1"/>
                <c:pt idx="0">
                  <c:v>对应时间段下单数量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数据透视表!$D$34:$D$57</c:f>
              <c:strCache>
                <c:ptCount val="24"/>
                <c:pt idx="0">
                  <c:v>0：00-1：00</c:v>
                </c:pt>
                <c:pt idx="1">
                  <c:v>1：00-2：00</c:v>
                </c:pt>
                <c:pt idx="2">
                  <c:v>2：00-3：00</c:v>
                </c:pt>
                <c:pt idx="3">
                  <c:v>3：00-4：00</c:v>
                </c:pt>
                <c:pt idx="4">
                  <c:v>4：00-5：00</c:v>
                </c:pt>
                <c:pt idx="5">
                  <c:v>5：00-6：00</c:v>
                </c:pt>
                <c:pt idx="6">
                  <c:v>6：00-7：00</c:v>
                </c:pt>
                <c:pt idx="7">
                  <c:v>7：00-8：00</c:v>
                </c:pt>
                <c:pt idx="8">
                  <c:v>8：00-9：00</c:v>
                </c:pt>
                <c:pt idx="9">
                  <c:v>9：00-10：00</c:v>
                </c:pt>
                <c:pt idx="10">
                  <c:v>10：00-11：00</c:v>
                </c:pt>
                <c:pt idx="11">
                  <c:v>11：00-12：00</c:v>
                </c:pt>
                <c:pt idx="12">
                  <c:v>12：00-13：00</c:v>
                </c:pt>
                <c:pt idx="13">
                  <c:v>13：00-14：00</c:v>
                </c:pt>
                <c:pt idx="14">
                  <c:v>14：00-15：00</c:v>
                </c:pt>
                <c:pt idx="15">
                  <c:v>15：00-16：00</c:v>
                </c:pt>
                <c:pt idx="16">
                  <c:v>16：00-17：00</c:v>
                </c:pt>
                <c:pt idx="17">
                  <c:v>17：00-18：00</c:v>
                </c:pt>
                <c:pt idx="18">
                  <c:v>18：00-19：00</c:v>
                </c:pt>
                <c:pt idx="19">
                  <c:v>19：00-20：00</c:v>
                </c:pt>
                <c:pt idx="20">
                  <c:v>20：00-21：00</c:v>
                </c:pt>
                <c:pt idx="21">
                  <c:v>21：00-22：00</c:v>
                </c:pt>
                <c:pt idx="22">
                  <c:v>22：00-23：00</c:v>
                </c:pt>
                <c:pt idx="23">
                  <c:v>23：00-0：00</c:v>
                </c:pt>
              </c:strCache>
            </c:strRef>
          </c:cat>
          <c:val>
            <c:numRef>
              <c:f>数据透视表!$E$34:$E$57</c:f>
              <c:numCache>
                <c:formatCode>General</c:formatCode>
                <c:ptCount val="24"/>
                <c:pt idx="0">
                  <c:v>147</c:v>
                </c:pt>
                <c:pt idx="1">
                  <c:v>64</c:v>
                </c:pt>
                <c:pt idx="2">
                  <c:v>8</c:v>
                </c:pt>
                <c:pt idx="3">
                  <c:v>46</c:v>
                </c:pt>
                <c:pt idx="4">
                  <c:v>46</c:v>
                </c:pt>
                <c:pt idx="5">
                  <c:v>132</c:v>
                </c:pt>
                <c:pt idx="6">
                  <c:v>157</c:v>
                </c:pt>
                <c:pt idx="7">
                  <c:v>19</c:v>
                </c:pt>
                <c:pt idx="8">
                  <c:v>16</c:v>
                </c:pt>
                <c:pt idx="9">
                  <c:v>17</c:v>
                </c:pt>
                <c:pt idx="10">
                  <c:v>36</c:v>
                </c:pt>
                <c:pt idx="11">
                  <c:v>43</c:v>
                </c:pt>
                <c:pt idx="12">
                  <c:v>125</c:v>
                </c:pt>
                <c:pt idx="13">
                  <c:v>37</c:v>
                </c:pt>
                <c:pt idx="14">
                  <c:v>36</c:v>
                </c:pt>
                <c:pt idx="15">
                  <c:v>5</c:v>
                </c:pt>
                <c:pt idx="16">
                  <c:v>37</c:v>
                </c:pt>
                <c:pt idx="17">
                  <c:v>67</c:v>
                </c:pt>
                <c:pt idx="18">
                  <c:v>19</c:v>
                </c:pt>
                <c:pt idx="19">
                  <c:v>91</c:v>
                </c:pt>
                <c:pt idx="20">
                  <c:v>55</c:v>
                </c:pt>
                <c:pt idx="21">
                  <c:v>7</c:v>
                </c:pt>
                <c:pt idx="22">
                  <c:v>38</c:v>
                </c:pt>
                <c:pt idx="23">
                  <c:v>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523584"/>
        <c:axId val="351525120"/>
      </c:barChart>
      <c:catAx>
        <c:axId val="35152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525120"/>
        <c:crosses val="autoZero"/>
        <c:auto val="1"/>
        <c:lblAlgn val="ctr"/>
        <c:lblOffset val="100"/>
        <c:noMultiLvlLbl val="0"/>
      </c:catAx>
      <c:valAx>
        <c:axId val="35152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52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304800</xdr:colOff>
      <xdr:row>30</xdr:row>
      <xdr:rowOff>38100</xdr:rowOff>
    </xdr:from>
    <xdr:to>
      <xdr:col>18</xdr:col>
      <xdr:colOff>146685</xdr:colOff>
      <xdr:row>57</xdr:row>
      <xdr:rowOff>46990</xdr:rowOff>
    </xdr:to>
    <xdr:graphicFrame>
      <xdr:nvGraphicFramePr>
        <xdr:cNvPr id="2" name="图表 1"/>
        <xdr:cNvGraphicFramePr/>
      </xdr:nvGraphicFramePr>
      <xdr:xfrm>
        <a:off x="5886450" y="5181600"/>
        <a:ext cx="8757285" cy="4638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166.7724884259" refreshedBy="Administrator" recordCount="199">
  <cacheSource type="worksheet">
    <worksheetSource ref="A1:F1048576" sheet="将左侧的数据源粘贴为数值"/>
  </cacheSource>
  <cacheFields count="6">
    <cacheField name="中国时间段" numFmtId="0">
      <sharedItems containsBlank="1" count="25">
        <s v="12：00-13：00"/>
        <s v="8：00-9：00"/>
        <s v="7：00-8：00"/>
        <s v="6：00-7：00"/>
        <s v="4：00-5：00"/>
        <s v="2：00-3：00"/>
        <s v="0：00-1：00"/>
        <s v="23：00-0：00"/>
        <s v="22：00-23：00"/>
        <s v="21：00-22：00"/>
        <s v="20：00-21：00"/>
        <s v="18：00-19：00"/>
        <s v="17：00-18：00"/>
        <s v="15：00-16：00"/>
        <s v="14：00-15：00"/>
        <s v="11：00-12：00"/>
        <s v="10：00-11：00"/>
        <s v="9：00-10：00"/>
        <s v="5：00-6：00"/>
        <s v="3：00-4：00"/>
        <s v="1：00-2：00"/>
        <s v="19：00-20：00"/>
        <s v="16：00-17：00"/>
        <s v="13：00-14：00"/>
        <m/>
      </sharedItems>
    </cacheField>
    <cacheField name="中国时间点" numFmtId="0">
      <sharedItems containsString="0" containsBlank="1" containsNumber="1" containsInteger="1" minValue="0" maxValue="23" count="25">
        <n v="12"/>
        <n v="8"/>
        <n v="7"/>
        <n v="6"/>
        <n v="4"/>
        <n v="2"/>
        <n v="0"/>
        <n v="23"/>
        <n v="22"/>
        <n v="21"/>
        <n v="20"/>
        <n v="18"/>
        <n v="17"/>
        <n v="15"/>
        <n v="14"/>
        <n v="11"/>
        <n v="10"/>
        <n v="9"/>
        <n v="5"/>
        <n v="3"/>
        <n v="1"/>
        <n v="19"/>
        <n v="16"/>
        <n v="13"/>
        <m/>
      </sharedItems>
    </cacheField>
    <cacheField name="时差+" numFmtId="0">
      <sharedItems containsString="0" containsBlank="1" containsNumber="1" containsInteger="1" minValue="0" maxValue="15" count="2">
        <n v="15"/>
        <m/>
      </sharedItems>
    </cacheField>
    <cacheField name="后台太平洋时间" numFmtId="0">
      <sharedItems containsString="0" containsBlank="1" containsNumber="1" containsInteger="1" minValue="0" maxValue="23" count="25">
        <n v="21"/>
        <n v="17"/>
        <n v="16"/>
        <n v="15"/>
        <n v="13"/>
        <n v="11"/>
        <n v="9"/>
        <n v="8"/>
        <n v="7"/>
        <n v="6"/>
        <n v="5"/>
        <n v="3"/>
        <n v="2"/>
        <n v="0"/>
        <n v="23"/>
        <n v="20"/>
        <n v="19"/>
        <n v="18"/>
        <n v="14"/>
        <n v="12"/>
        <n v="10"/>
        <n v="4"/>
        <n v="1"/>
        <n v="22"/>
        <m/>
      </sharedItems>
    </cacheField>
    <cacheField name="purchase-date" numFmtId="0">
      <sharedItems containsBlank="1" count="192">
        <s v="2020-11-09T04:38:59+00:00"/>
        <s v="2020-11-09T00:58:18+00:00"/>
        <s v="2020-11-09T00:13:48+00:00"/>
        <s v="2020-11-08T23:54:21+00:00"/>
        <s v="2020-11-08T23:51:41+00:00"/>
        <s v="2020-11-08T23:32:49+00:00"/>
        <s v="2020-11-08T23:08:26+00:00"/>
        <s v="2020-11-08T22:10:09+00:00"/>
        <s v="2020-11-08T20:50:45+00:00"/>
        <s v="2020-11-08T20:06:37+00:00"/>
        <s v="2020-11-08T18:04:38+00:00"/>
        <s v="2020-11-08T16:06:35+00:00"/>
        <s v="2020-11-08T15:25:02+00:00"/>
        <s v="2020-11-08T14:38:19+00:00"/>
        <s v="2020-11-08T13:28:48+00:00"/>
        <s v="2020-11-08T12:35:57+00:00"/>
        <s v="2020-11-08T10:00:01+00:00"/>
        <s v="2020-11-08T09:02:43+00:00"/>
        <s v="2020-11-08T07:33:46+00:00"/>
        <s v="2020-11-08T06:53:46+00:00"/>
        <s v="2020-11-08T04:51:17+00:00"/>
        <s v="2020-11-08T04:28:21+00:00"/>
        <s v="2020-11-08T04:26:42+00:00"/>
        <s v="2020-11-08T04:25:59+00:00"/>
        <s v="2020-11-08T04:12:21+00:00"/>
        <s v="2020-11-08T03:57:03+00:00"/>
        <s v="2020-11-08T03:43:47+00:00"/>
        <s v="2020-11-08T02:47:28+00:00"/>
        <s v="2020-11-08T02:08:54+00:00"/>
        <s v="2020-11-08T01:50:44+00:00"/>
        <s v="2020-11-08T01:15:40+00:00"/>
        <s v="2020-11-07T22:59:27+00:00"/>
        <s v="2020-11-07T22:48:44+00:00"/>
        <s v="2020-11-07T22:38:54+00:00"/>
        <s v="2020-11-07T22:16:27+00:00"/>
        <s v="2020-11-07T22:11:06+00:00"/>
        <s v="2020-11-07T21:45:12+00:00"/>
        <s v="2020-11-07T21:28:56+00:00"/>
        <s v="2020-11-07T21:20:10+00:00"/>
        <s v="2020-11-07T21:09:02+00:00"/>
        <s v="2020-11-07T19:26:19+00:00"/>
        <s v="2020-11-07T19:04:12+00:00"/>
        <s v="2020-11-07T17:29:53+00:00"/>
        <s v="2020-11-07T17:18:09+00:00"/>
        <s v="2020-11-07T16:12:35+00:00"/>
        <s v="2020-11-07T16:10:10+00:00"/>
        <s v="2020-11-07T16:05:56+00:00"/>
        <s v="2020-11-07T16:03:06+00:00"/>
        <s v="2020-11-07T15:26:01+00:00"/>
        <s v="2020-11-07T15:03:40+00:00"/>
        <s v="2020-11-07T14:28:13+00:00"/>
        <s v="2020-11-07T12:24:35+00:00"/>
        <s v="2020-11-07T11:41:41+00:00"/>
        <s v="2020-11-07T11:21:23+00:00"/>
        <s v="2020-11-07T09:36:29+00:00"/>
        <s v="2020-11-07T08:42:07+00:00"/>
        <s v="2020-11-07T06:47:25+00:00"/>
        <s v="2020-11-07T06:37:05+00:00"/>
        <s v="2020-11-07T06:15:48+00:00"/>
        <s v="2020-11-07T05:02:09+00:00"/>
        <s v="2020-11-07T04:10:02+00:00"/>
        <s v="2020-11-07T04:09:05+00:00"/>
        <s v="2020-11-07T02:01:25+00:00"/>
        <s v="2020-11-06T22:59:27+00:00"/>
        <s v="2020-11-06T22:48:44+00:00"/>
        <s v="2020-11-06T22:38:54+00:00"/>
        <s v="2020-11-06T22:16:27+00:00"/>
        <s v="2020-11-06T22:11:06+00:00"/>
        <s v="2020-11-06T21:45:12+00:00"/>
        <s v="2020-11-06T21:28:56+00:00"/>
        <s v="2020-11-06T21:20:10+00:00"/>
        <s v="2020-11-06T21:09:02+00:00"/>
        <s v="2020-11-06T19:26:19+00:00"/>
        <s v="2020-11-06T19:04:12+00:00"/>
        <s v="2020-11-06T17:29:53+00:00"/>
        <s v="2020-11-06T17:18:09+00:00"/>
        <s v="2020-11-06T16:12:35+00:00"/>
        <s v="2020-11-06T16:10:10+00:00"/>
        <s v="2020-11-06T16:05:56+00:00"/>
        <s v="2020-11-06T16:03:06+00:00"/>
        <s v="2020-11-06T15:26:01+00:00"/>
        <s v="2020-11-06T15:03:40+00:00"/>
        <s v="2020-11-06T14:28:13+00:00"/>
        <s v="2020-11-06T12:24:35+00:00"/>
        <s v="2020-11-06T11:41:41+00:00"/>
        <s v="2020-11-06T11:21:23+00:00"/>
        <s v="2020-11-06T09:36:29+00:00"/>
        <s v="2020-11-06T08:42:06+00:00"/>
        <s v="2020-11-06T06:47:25+00:00"/>
        <s v="2020-11-06T06:37:05+00:00"/>
        <s v="2020-11-06T06:15:48+00:00"/>
        <s v="2020-11-06T05:02:09+00:00"/>
        <s v="2020-11-06T04:10:02+00:00"/>
        <s v="2020-11-06T04:09:05+00:00"/>
        <s v="2020-11-06T02:01:25+00:00"/>
        <s v="2020-11-05T22:59:27+00:00"/>
        <s v="2020-11-05T22:48:44+00:00"/>
        <s v="2020-11-05T22:38:54+00:00"/>
        <s v="2020-11-05T22:16:27+00:00"/>
        <s v="2020-11-05T22:11:05+00:00"/>
        <s v="2020-11-05T21:45:12+00:00"/>
        <s v="2020-11-05T21:28:56+00:00"/>
        <s v="2020-11-05T21:20:10+00:00"/>
        <s v="2020-11-05T21:09:02+00:00"/>
        <s v="2020-11-05T19:26:19+00:00"/>
        <s v="2020-11-05T19:04:12+00:00"/>
        <s v="2020-11-05T17:29:53+00:00"/>
        <s v="2020-11-05T17:18:09+00:00"/>
        <s v="2020-11-05T16:12:35+00:00"/>
        <s v="2020-11-05T16:10:10+00:00"/>
        <s v="2020-11-05T16:05:56+00:00"/>
        <s v="2020-11-05T16:03:05+00:00"/>
        <s v="2020-11-05T15:26:01+00:00"/>
        <s v="2020-11-05T15:03:40+00:00"/>
        <s v="2020-11-05T14:28:13+00:00"/>
        <s v="2020-11-05T12:24:35+00:00"/>
        <s v="2020-11-05T11:41:41+00:00"/>
        <s v="2020-11-05T11:21:23+00:00"/>
        <s v="2020-11-05T09:36:29+00:00"/>
        <s v="2020-11-05T08:42:05+00:00"/>
        <s v="2020-11-05T05:47:25+00:00"/>
        <s v="2020-11-05T05:37:05+00:00"/>
        <s v="2020-11-05T05:15:48+00:00"/>
        <s v="2020-11-05T05:02:09+00:00"/>
        <s v="2020-11-05T04:10:02+00:00"/>
        <s v="2020-11-05T04:09:05+00:00"/>
        <s v="2020-11-05T02:01:25+00:00"/>
        <s v="2020-11-04T22:59:27+00:00"/>
        <s v="2020-11-04T22:48:44+00:00"/>
        <s v="2020-11-04T22:38:54+00:00"/>
        <s v="2020-11-04T22:16:27+00:00"/>
        <s v="2020-11-04T22:11:04+00:00"/>
        <s v="2020-11-04T21:45:12+00:00"/>
        <s v="2020-11-04T21:28:56+00:00"/>
        <s v="2020-11-04T21:20:10+00:00"/>
        <s v="2020-11-04T21:09:02+00:00"/>
        <s v="2020-11-04T19:26:19+00:00"/>
        <s v="2020-11-04T19:04:12+00:00"/>
        <s v="2020-11-04T17:29:53+00:00"/>
        <s v="2020-11-04T17:18:09+00:00"/>
        <s v="2020-11-04T16:12:35+00:00"/>
        <s v="2020-11-04T16:10:10+00:00"/>
        <s v="2020-11-04T16:04:56+00:00"/>
        <s v="2020-11-04T16:03:04+00:00"/>
        <s v="2020-11-04T15:26:01+00:00"/>
        <s v="2020-11-04T15:03:40+00:00"/>
        <s v="2020-11-04T14:28:13+00:00"/>
        <s v="2020-11-04T12:24:35+00:00"/>
        <s v="2020-11-04T11:41:41+00:00"/>
        <s v="2020-11-04T11:21:23+00:00"/>
        <s v="2020-11-04T09:36:29+00:00"/>
        <s v="2020-11-04T08:42:04+00:00"/>
        <s v="2020-11-04T04:47:25+00:00"/>
        <s v="2020-11-04T04:37:04+00:00"/>
        <s v="2020-11-04T04:15:48+00:00"/>
        <s v="2020-11-04T04:02:09+00:00"/>
        <s v="2020-11-04T04:10:02+00:00"/>
        <s v="2020-11-04T04:09:04+00:00"/>
        <s v="2020-11-04T02:01:25+00:00"/>
        <s v="2020-11-03T22:59:27+00:00"/>
        <s v="2020-11-03T22:48:44+00:00"/>
        <s v="2020-11-03T22:38:54+00:00"/>
        <s v="2020-11-03T22:16:27+00:00"/>
        <s v="2020-11-03T22:11:03+00:00"/>
        <s v="2020-11-03T21:45:12+00:00"/>
        <s v="2020-11-03T21:28:56+00:00"/>
        <s v="2020-11-03T21:20:10+00:00"/>
        <s v="2020-11-03T21:09:02+00:00"/>
        <s v="2020-11-03T19:26:19+00:00"/>
        <s v="2020-11-03T19:03:12+00:00"/>
        <s v="2020-11-03T17:29:53+00:00"/>
        <s v="2020-11-03T17:18:09+00:00"/>
        <s v="2020-11-03T16:12:35+00:00"/>
        <s v="2020-11-03T16:10:10+00:00"/>
        <s v="2020-11-03T16:03:56+00:00"/>
        <s v="2020-11-03T16:03:03+00:00"/>
        <s v="2020-11-03T15:26:01+00:00"/>
        <s v="2020-11-03T15:03:40+00:00"/>
        <s v="2020-11-03T14:28:13+00:00"/>
        <s v="2020-11-03T12:24:35+00:00"/>
        <s v="2020-11-03T11:41:41+00:00"/>
        <s v="2020-11-03T11:21:23+00:00"/>
        <s v="2020-11-03T09:36:29+00:00"/>
        <s v="2020-11-03T08:42:03+00:00"/>
        <s v="2020-11-03T03:47:25+00:00"/>
        <s v="2020-11-03T03:37:03+00:00"/>
        <s v="2020-11-03T03:15:48+00:00"/>
        <s v="2020-11-03T03:02:09+00:00"/>
        <s v="2020-11-03T03:10:02+00:00"/>
        <s v="2020-11-03T03:09:03+00:00"/>
        <s v="2020-11-03T02:01:25+00:00"/>
        <m/>
      </sharedItems>
    </cacheField>
    <cacheField name="quantity" numFmtId="0">
      <sharedItems containsString="0" containsBlank="1" containsNumber="1" containsInteger="1" minValue="0" maxValue="22" count="21">
        <n v="4"/>
        <n v="5"/>
        <n v="11"/>
        <n v="6"/>
        <n v="9"/>
        <n v="3"/>
        <n v="1"/>
        <n v="15"/>
        <n v="18"/>
        <n v="21"/>
        <n v="7"/>
        <n v="8"/>
        <n v="12"/>
        <n v="16"/>
        <n v="19"/>
        <n v="10"/>
        <n v="2"/>
        <n v="13"/>
        <n v="22"/>
        <n v="1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x v="0"/>
    <x v="0"/>
    <x v="0"/>
    <x v="0"/>
    <x v="0"/>
    <x v="0"/>
  </r>
  <r>
    <x v="0"/>
    <x v="0"/>
    <x v="0"/>
    <x v="0"/>
    <x v="0"/>
    <x v="1"/>
  </r>
  <r>
    <x v="1"/>
    <x v="1"/>
    <x v="0"/>
    <x v="1"/>
    <x v="1"/>
    <x v="2"/>
  </r>
  <r>
    <x v="1"/>
    <x v="1"/>
    <x v="0"/>
    <x v="1"/>
    <x v="2"/>
    <x v="1"/>
  </r>
  <r>
    <x v="2"/>
    <x v="2"/>
    <x v="0"/>
    <x v="2"/>
    <x v="3"/>
    <x v="3"/>
  </r>
  <r>
    <x v="2"/>
    <x v="2"/>
    <x v="0"/>
    <x v="2"/>
    <x v="4"/>
    <x v="4"/>
  </r>
  <r>
    <x v="2"/>
    <x v="2"/>
    <x v="0"/>
    <x v="2"/>
    <x v="5"/>
    <x v="5"/>
  </r>
  <r>
    <x v="2"/>
    <x v="2"/>
    <x v="0"/>
    <x v="2"/>
    <x v="6"/>
    <x v="6"/>
  </r>
  <r>
    <x v="3"/>
    <x v="3"/>
    <x v="0"/>
    <x v="3"/>
    <x v="7"/>
    <x v="7"/>
  </r>
  <r>
    <x v="4"/>
    <x v="4"/>
    <x v="0"/>
    <x v="4"/>
    <x v="8"/>
    <x v="8"/>
  </r>
  <r>
    <x v="4"/>
    <x v="4"/>
    <x v="0"/>
    <x v="4"/>
    <x v="9"/>
    <x v="9"/>
  </r>
  <r>
    <x v="4"/>
    <x v="4"/>
    <x v="0"/>
    <x v="4"/>
    <x v="9"/>
    <x v="10"/>
  </r>
  <r>
    <x v="5"/>
    <x v="5"/>
    <x v="0"/>
    <x v="5"/>
    <x v="10"/>
    <x v="11"/>
  </r>
  <r>
    <x v="6"/>
    <x v="6"/>
    <x v="0"/>
    <x v="6"/>
    <x v="11"/>
    <x v="4"/>
  </r>
  <r>
    <x v="7"/>
    <x v="7"/>
    <x v="0"/>
    <x v="7"/>
    <x v="12"/>
    <x v="12"/>
  </r>
  <r>
    <x v="8"/>
    <x v="8"/>
    <x v="0"/>
    <x v="8"/>
    <x v="13"/>
    <x v="13"/>
  </r>
  <r>
    <x v="9"/>
    <x v="9"/>
    <x v="0"/>
    <x v="9"/>
    <x v="14"/>
    <x v="10"/>
  </r>
  <r>
    <x v="10"/>
    <x v="10"/>
    <x v="0"/>
    <x v="10"/>
    <x v="15"/>
    <x v="8"/>
  </r>
  <r>
    <x v="11"/>
    <x v="11"/>
    <x v="0"/>
    <x v="11"/>
    <x v="16"/>
    <x v="14"/>
  </r>
  <r>
    <x v="12"/>
    <x v="12"/>
    <x v="0"/>
    <x v="12"/>
    <x v="17"/>
    <x v="2"/>
  </r>
  <r>
    <x v="13"/>
    <x v="13"/>
    <x v="0"/>
    <x v="13"/>
    <x v="18"/>
    <x v="1"/>
  </r>
  <r>
    <x v="14"/>
    <x v="14"/>
    <x v="0"/>
    <x v="14"/>
    <x v="19"/>
    <x v="10"/>
  </r>
  <r>
    <x v="0"/>
    <x v="0"/>
    <x v="0"/>
    <x v="0"/>
    <x v="20"/>
    <x v="1"/>
  </r>
  <r>
    <x v="0"/>
    <x v="0"/>
    <x v="0"/>
    <x v="0"/>
    <x v="21"/>
    <x v="4"/>
  </r>
  <r>
    <x v="0"/>
    <x v="0"/>
    <x v="0"/>
    <x v="0"/>
    <x v="22"/>
    <x v="10"/>
  </r>
  <r>
    <x v="0"/>
    <x v="0"/>
    <x v="0"/>
    <x v="0"/>
    <x v="23"/>
    <x v="1"/>
  </r>
  <r>
    <x v="0"/>
    <x v="0"/>
    <x v="0"/>
    <x v="0"/>
    <x v="24"/>
    <x v="3"/>
  </r>
  <r>
    <x v="15"/>
    <x v="15"/>
    <x v="0"/>
    <x v="15"/>
    <x v="25"/>
    <x v="15"/>
  </r>
  <r>
    <x v="15"/>
    <x v="15"/>
    <x v="0"/>
    <x v="15"/>
    <x v="26"/>
    <x v="11"/>
  </r>
  <r>
    <x v="16"/>
    <x v="16"/>
    <x v="0"/>
    <x v="16"/>
    <x v="27"/>
    <x v="4"/>
  </r>
  <r>
    <x v="16"/>
    <x v="16"/>
    <x v="0"/>
    <x v="16"/>
    <x v="28"/>
    <x v="0"/>
  </r>
  <r>
    <x v="17"/>
    <x v="17"/>
    <x v="0"/>
    <x v="17"/>
    <x v="29"/>
    <x v="11"/>
  </r>
  <r>
    <x v="17"/>
    <x v="17"/>
    <x v="0"/>
    <x v="17"/>
    <x v="30"/>
    <x v="4"/>
  </r>
  <r>
    <x v="3"/>
    <x v="3"/>
    <x v="0"/>
    <x v="3"/>
    <x v="31"/>
    <x v="0"/>
  </r>
  <r>
    <x v="3"/>
    <x v="3"/>
    <x v="0"/>
    <x v="3"/>
    <x v="32"/>
    <x v="1"/>
  </r>
  <r>
    <x v="3"/>
    <x v="3"/>
    <x v="0"/>
    <x v="3"/>
    <x v="33"/>
    <x v="16"/>
  </r>
  <r>
    <x v="3"/>
    <x v="3"/>
    <x v="0"/>
    <x v="3"/>
    <x v="34"/>
    <x v="0"/>
  </r>
  <r>
    <x v="3"/>
    <x v="3"/>
    <x v="0"/>
    <x v="3"/>
    <x v="35"/>
    <x v="10"/>
  </r>
  <r>
    <x v="18"/>
    <x v="18"/>
    <x v="0"/>
    <x v="18"/>
    <x v="36"/>
    <x v="11"/>
  </r>
  <r>
    <x v="18"/>
    <x v="18"/>
    <x v="0"/>
    <x v="18"/>
    <x v="36"/>
    <x v="0"/>
  </r>
  <r>
    <x v="18"/>
    <x v="18"/>
    <x v="0"/>
    <x v="18"/>
    <x v="37"/>
    <x v="10"/>
  </r>
  <r>
    <x v="18"/>
    <x v="18"/>
    <x v="0"/>
    <x v="18"/>
    <x v="38"/>
    <x v="1"/>
  </r>
  <r>
    <x v="18"/>
    <x v="18"/>
    <x v="0"/>
    <x v="18"/>
    <x v="39"/>
    <x v="5"/>
  </r>
  <r>
    <x v="19"/>
    <x v="19"/>
    <x v="0"/>
    <x v="19"/>
    <x v="40"/>
    <x v="6"/>
  </r>
  <r>
    <x v="19"/>
    <x v="19"/>
    <x v="0"/>
    <x v="19"/>
    <x v="41"/>
    <x v="3"/>
  </r>
  <r>
    <x v="20"/>
    <x v="20"/>
    <x v="0"/>
    <x v="20"/>
    <x v="42"/>
    <x v="10"/>
  </r>
  <r>
    <x v="20"/>
    <x v="20"/>
    <x v="0"/>
    <x v="20"/>
    <x v="43"/>
    <x v="3"/>
  </r>
  <r>
    <x v="6"/>
    <x v="6"/>
    <x v="0"/>
    <x v="6"/>
    <x v="44"/>
    <x v="0"/>
  </r>
  <r>
    <x v="6"/>
    <x v="6"/>
    <x v="0"/>
    <x v="6"/>
    <x v="45"/>
    <x v="3"/>
  </r>
  <r>
    <x v="6"/>
    <x v="6"/>
    <x v="0"/>
    <x v="6"/>
    <x v="46"/>
    <x v="1"/>
  </r>
  <r>
    <x v="6"/>
    <x v="6"/>
    <x v="0"/>
    <x v="6"/>
    <x v="47"/>
    <x v="0"/>
  </r>
  <r>
    <x v="7"/>
    <x v="7"/>
    <x v="0"/>
    <x v="7"/>
    <x v="48"/>
    <x v="5"/>
  </r>
  <r>
    <x v="7"/>
    <x v="7"/>
    <x v="0"/>
    <x v="7"/>
    <x v="49"/>
    <x v="16"/>
  </r>
  <r>
    <x v="8"/>
    <x v="8"/>
    <x v="0"/>
    <x v="8"/>
    <x v="50"/>
    <x v="6"/>
  </r>
  <r>
    <x v="10"/>
    <x v="10"/>
    <x v="0"/>
    <x v="10"/>
    <x v="51"/>
    <x v="17"/>
  </r>
  <r>
    <x v="21"/>
    <x v="21"/>
    <x v="0"/>
    <x v="21"/>
    <x v="52"/>
    <x v="6"/>
  </r>
  <r>
    <x v="21"/>
    <x v="21"/>
    <x v="0"/>
    <x v="21"/>
    <x v="53"/>
    <x v="0"/>
  </r>
  <r>
    <x v="12"/>
    <x v="12"/>
    <x v="0"/>
    <x v="12"/>
    <x v="54"/>
    <x v="5"/>
  </r>
  <r>
    <x v="22"/>
    <x v="22"/>
    <x v="0"/>
    <x v="22"/>
    <x v="55"/>
    <x v="0"/>
  </r>
  <r>
    <x v="14"/>
    <x v="14"/>
    <x v="0"/>
    <x v="14"/>
    <x v="56"/>
    <x v="1"/>
  </r>
  <r>
    <x v="14"/>
    <x v="14"/>
    <x v="0"/>
    <x v="14"/>
    <x v="57"/>
    <x v="3"/>
  </r>
  <r>
    <x v="14"/>
    <x v="14"/>
    <x v="0"/>
    <x v="14"/>
    <x v="58"/>
    <x v="4"/>
  </r>
  <r>
    <x v="23"/>
    <x v="23"/>
    <x v="0"/>
    <x v="23"/>
    <x v="59"/>
    <x v="11"/>
  </r>
  <r>
    <x v="0"/>
    <x v="0"/>
    <x v="0"/>
    <x v="0"/>
    <x v="60"/>
    <x v="3"/>
  </r>
  <r>
    <x v="0"/>
    <x v="0"/>
    <x v="0"/>
    <x v="0"/>
    <x v="61"/>
    <x v="1"/>
  </r>
  <r>
    <x v="16"/>
    <x v="16"/>
    <x v="0"/>
    <x v="16"/>
    <x v="62"/>
    <x v="0"/>
  </r>
  <r>
    <x v="3"/>
    <x v="3"/>
    <x v="0"/>
    <x v="3"/>
    <x v="63"/>
    <x v="10"/>
  </r>
  <r>
    <x v="3"/>
    <x v="3"/>
    <x v="0"/>
    <x v="3"/>
    <x v="64"/>
    <x v="1"/>
  </r>
  <r>
    <x v="3"/>
    <x v="3"/>
    <x v="0"/>
    <x v="3"/>
    <x v="65"/>
    <x v="3"/>
  </r>
  <r>
    <x v="3"/>
    <x v="3"/>
    <x v="0"/>
    <x v="3"/>
    <x v="66"/>
    <x v="15"/>
  </r>
  <r>
    <x v="3"/>
    <x v="3"/>
    <x v="0"/>
    <x v="3"/>
    <x v="67"/>
    <x v="11"/>
  </r>
  <r>
    <x v="18"/>
    <x v="18"/>
    <x v="0"/>
    <x v="18"/>
    <x v="68"/>
    <x v="4"/>
  </r>
  <r>
    <x v="18"/>
    <x v="18"/>
    <x v="0"/>
    <x v="18"/>
    <x v="68"/>
    <x v="0"/>
  </r>
  <r>
    <x v="18"/>
    <x v="18"/>
    <x v="0"/>
    <x v="18"/>
    <x v="69"/>
    <x v="11"/>
  </r>
  <r>
    <x v="18"/>
    <x v="18"/>
    <x v="0"/>
    <x v="18"/>
    <x v="70"/>
    <x v="4"/>
  </r>
  <r>
    <x v="18"/>
    <x v="18"/>
    <x v="0"/>
    <x v="18"/>
    <x v="71"/>
    <x v="0"/>
  </r>
  <r>
    <x v="19"/>
    <x v="19"/>
    <x v="0"/>
    <x v="19"/>
    <x v="72"/>
    <x v="1"/>
  </r>
  <r>
    <x v="19"/>
    <x v="19"/>
    <x v="0"/>
    <x v="19"/>
    <x v="73"/>
    <x v="16"/>
  </r>
  <r>
    <x v="20"/>
    <x v="20"/>
    <x v="0"/>
    <x v="20"/>
    <x v="74"/>
    <x v="0"/>
  </r>
  <r>
    <x v="20"/>
    <x v="20"/>
    <x v="0"/>
    <x v="20"/>
    <x v="75"/>
    <x v="10"/>
  </r>
  <r>
    <x v="6"/>
    <x v="6"/>
    <x v="0"/>
    <x v="6"/>
    <x v="76"/>
    <x v="11"/>
  </r>
  <r>
    <x v="6"/>
    <x v="6"/>
    <x v="0"/>
    <x v="6"/>
    <x v="77"/>
    <x v="0"/>
  </r>
  <r>
    <x v="6"/>
    <x v="6"/>
    <x v="0"/>
    <x v="6"/>
    <x v="78"/>
    <x v="10"/>
  </r>
  <r>
    <x v="6"/>
    <x v="6"/>
    <x v="0"/>
    <x v="6"/>
    <x v="79"/>
    <x v="1"/>
  </r>
  <r>
    <x v="7"/>
    <x v="7"/>
    <x v="0"/>
    <x v="7"/>
    <x v="80"/>
    <x v="5"/>
  </r>
  <r>
    <x v="7"/>
    <x v="7"/>
    <x v="0"/>
    <x v="7"/>
    <x v="81"/>
    <x v="6"/>
  </r>
  <r>
    <x v="8"/>
    <x v="8"/>
    <x v="0"/>
    <x v="8"/>
    <x v="82"/>
    <x v="3"/>
  </r>
  <r>
    <x v="10"/>
    <x v="10"/>
    <x v="0"/>
    <x v="10"/>
    <x v="83"/>
    <x v="10"/>
  </r>
  <r>
    <x v="21"/>
    <x v="21"/>
    <x v="0"/>
    <x v="21"/>
    <x v="84"/>
    <x v="3"/>
  </r>
  <r>
    <x v="21"/>
    <x v="21"/>
    <x v="0"/>
    <x v="21"/>
    <x v="85"/>
    <x v="0"/>
  </r>
  <r>
    <x v="12"/>
    <x v="12"/>
    <x v="0"/>
    <x v="12"/>
    <x v="86"/>
    <x v="3"/>
  </r>
  <r>
    <x v="22"/>
    <x v="22"/>
    <x v="0"/>
    <x v="22"/>
    <x v="87"/>
    <x v="1"/>
  </r>
  <r>
    <x v="14"/>
    <x v="14"/>
    <x v="0"/>
    <x v="14"/>
    <x v="88"/>
    <x v="0"/>
  </r>
  <r>
    <x v="14"/>
    <x v="14"/>
    <x v="0"/>
    <x v="14"/>
    <x v="89"/>
    <x v="5"/>
  </r>
  <r>
    <x v="14"/>
    <x v="14"/>
    <x v="0"/>
    <x v="14"/>
    <x v="90"/>
    <x v="16"/>
  </r>
  <r>
    <x v="23"/>
    <x v="23"/>
    <x v="0"/>
    <x v="23"/>
    <x v="91"/>
    <x v="6"/>
  </r>
  <r>
    <x v="0"/>
    <x v="0"/>
    <x v="0"/>
    <x v="0"/>
    <x v="92"/>
    <x v="17"/>
  </r>
  <r>
    <x v="0"/>
    <x v="0"/>
    <x v="0"/>
    <x v="0"/>
    <x v="93"/>
    <x v="6"/>
  </r>
  <r>
    <x v="16"/>
    <x v="16"/>
    <x v="0"/>
    <x v="16"/>
    <x v="94"/>
    <x v="0"/>
  </r>
  <r>
    <x v="3"/>
    <x v="3"/>
    <x v="0"/>
    <x v="3"/>
    <x v="95"/>
    <x v="5"/>
  </r>
  <r>
    <x v="3"/>
    <x v="3"/>
    <x v="0"/>
    <x v="3"/>
    <x v="96"/>
    <x v="0"/>
  </r>
  <r>
    <x v="3"/>
    <x v="3"/>
    <x v="0"/>
    <x v="3"/>
    <x v="97"/>
    <x v="1"/>
  </r>
  <r>
    <x v="3"/>
    <x v="3"/>
    <x v="0"/>
    <x v="3"/>
    <x v="98"/>
    <x v="3"/>
  </r>
  <r>
    <x v="3"/>
    <x v="3"/>
    <x v="0"/>
    <x v="3"/>
    <x v="99"/>
    <x v="4"/>
  </r>
  <r>
    <x v="18"/>
    <x v="18"/>
    <x v="0"/>
    <x v="18"/>
    <x v="100"/>
    <x v="11"/>
  </r>
  <r>
    <x v="18"/>
    <x v="18"/>
    <x v="0"/>
    <x v="18"/>
    <x v="100"/>
    <x v="3"/>
  </r>
  <r>
    <x v="18"/>
    <x v="18"/>
    <x v="0"/>
    <x v="18"/>
    <x v="101"/>
    <x v="1"/>
  </r>
  <r>
    <x v="18"/>
    <x v="18"/>
    <x v="0"/>
    <x v="18"/>
    <x v="102"/>
    <x v="3"/>
  </r>
  <r>
    <x v="18"/>
    <x v="18"/>
    <x v="0"/>
    <x v="18"/>
    <x v="103"/>
    <x v="1"/>
  </r>
  <r>
    <x v="19"/>
    <x v="19"/>
    <x v="0"/>
    <x v="19"/>
    <x v="104"/>
    <x v="0"/>
  </r>
  <r>
    <x v="19"/>
    <x v="19"/>
    <x v="0"/>
    <x v="19"/>
    <x v="105"/>
    <x v="5"/>
  </r>
  <r>
    <x v="20"/>
    <x v="20"/>
    <x v="0"/>
    <x v="20"/>
    <x v="106"/>
    <x v="16"/>
  </r>
  <r>
    <x v="20"/>
    <x v="20"/>
    <x v="0"/>
    <x v="20"/>
    <x v="107"/>
    <x v="6"/>
  </r>
  <r>
    <x v="6"/>
    <x v="6"/>
    <x v="0"/>
    <x v="6"/>
    <x v="108"/>
    <x v="17"/>
  </r>
  <r>
    <x v="6"/>
    <x v="6"/>
    <x v="0"/>
    <x v="6"/>
    <x v="109"/>
    <x v="0"/>
  </r>
  <r>
    <x v="6"/>
    <x v="6"/>
    <x v="0"/>
    <x v="6"/>
    <x v="110"/>
    <x v="1"/>
  </r>
  <r>
    <x v="6"/>
    <x v="6"/>
    <x v="0"/>
    <x v="6"/>
    <x v="111"/>
    <x v="2"/>
  </r>
  <r>
    <x v="7"/>
    <x v="7"/>
    <x v="0"/>
    <x v="7"/>
    <x v="112"/>
    <x v="1"/>
  </r>
  <r>
    <x v="7"/>
    <x v="7"/>
    <x v="0"/>
    <x v="7"/>
    <x v="113"/>
    <x v="3"/>
  </r>
  <r>
    <x v="8"/>
    <x v="8"/>
    <x v="0"/>
    <x v="8"/>
    <x v="114"/>
    <x v="4"/>
  </r>
  <r>
    <x v="10"/>
    <x v="10"/>
    <x v="0"/>
    <x v="10"/>
    <x v="115"/>
    <x v="5"/>
  </r>
  <r>
    <x v="21"/>
    <x v="21"/>
    <x v="0"/>
    <x v="21"/>
    <x v="116"/>
    <x v="6"/>
  </r>
  <r>
    <x v="21"/>
    <x v="21"/>
    <x v="0"/>
    <x v="21"/>
    <x v="117"/>
    <x v="7"/>
  </r>
  <r>
    <x v="12"/>
    <x v="12"/>
    <x v="0"/>
    <x v="12"/>
    <x v="118"/>
    <x v="8"/>
  </r>
  <r>
    <x v="22"/>
    <x v="22"/>
    <x v="0"/>
    <x v="22"/>
    <x v="119"/>
    <x v="9"/>
  </r>
  <r>
    <x v="23"/>
    <x v="23"/>
    <x v="0"/>
    <x v="23"/>
    <x v="120"/>
    <x v="10"/>
  </r>
  <r>
    <x v="23"/>
    <x v="23"/>
    <x v="0"/>
    <x v="23"/>
    <x v="121"/>
    <x v="11"/>
  </r>
  <r>
    <x v="23"/>
    <x v="23"/>
    <x v="0"/>
    <x v="23"/>
    <x v="122"/>
    <x v="4"/>
  </r>
  <r>
    <x v="23"/>
    <x v="23"/>
    <x v="0"/>
    <x v="23"/>
    <x v="123"/>
    <x v="0"/>
  </r>
  <r>
    <x v="0"/>
    <x v="0"/>
    <x v="0"/>
    <x v="0"/>
    <x v="124"/>
    <x v="16"/>
  </r>
  <r>
    <x v="0"/>
    <x v="0"/>
    <x v="0"/>
    <x v="0"/>
    <x v="125"/>
    <x v="10"/>
  </r>
  <r>
    <x v="16"/>
    <x v="16"/>
    <x v="0"/>
    <x v="16"/>
    <x v="126"/>
    <x v="4"/>
  </r>
  <r>
    <x v="3"/>
    <x v="3"/>
    <x v="0"/>
    <x v="3"/>
    <x v="127"/>
    <x v="5"/>
  </r>
  <r>
    <x v="3"/>
    <x v="3"/>
    <x v="0"/>
    <x v="3"/>
    <x v="128"/>
    <x v="1"/>
  </r>
  <r>
    <x v="3"/>
    <x v="3"/>
    <x v="0"/>
    <x v="3"/>
    <x v="129"/>
    <x v="0"/>
  </r>
  <r>
    <x v="3"/>
    <x v="3"/>
    <x v="0"/>
    <x v="3"/>
    <x v="130"/>
    <x v="3"/>
  </r>
  <r>
    <x v="3"/>
    <x v="3"/>
    <x v="0"/>
    <x v="3"/>
    <x v="131"/>
    <x v="5"/>
  </r>
  <r>
    <x v="18"/>
    <x v="18"/>
    <x v="0"/>
    <x v="18"/>
    <x v="132"/>
    <x v="3"/>
  </r>
  <r>
    <x v="18"/>
    <x v="18"/>
    <x v="0"/>
    <x v="18"/>
    <x v="132"/>
    <x v="1"/>
  </r>
  <r>
    <x v="18"/>
    <x v="18"/>
    <x v="0"/>
    <x v="18"/>
    <x v="133"/>
    <x v="1"/>
  </r>
  <r>
    <x v="18"/>
    <x v="18"/>
    <x v="0"/>
    <x v="18"/>
    <x v="134"/>
    <x v="5"/>
  </r>
  <r>
    <x v="18"/>
    <x v="18"/>
    <x v="0"/>
    <x v="18"/>
    <x v="135"/>
    <x v="6"/>
  </r>
  <r>
    <x v="19"/>
    <x v="19"/>
    <x v="0"/>
    <x v="19"/>
    <x v="136"/>
    <x v="1"/>
  </r>
  <r>
    <x v="19"/>
    <x v="19"/>
    <x v="0"/>
    <x v="19"/>
    <x v="137"/>
    <x v="3"/>
  </r>
  <r>
    <x v="20"/>
    <x v="20"/>
    <x v="0"/>
    <x v="20"/>
    <x v="138"/>
    <x v="4"/>
  </r>
  <r>
    <x v="20"/>
    <x v="20"/>
    <x v="0"/>
    <x v="20"/>
    <x v="139"/>
    <x v="11"/>
  </r>
  <r>
    <x v="6"/>
    <x v="6"/>
    <x v="0"/>
    <x v="6"/>
    <x v="140"/>
    <x v="3"/>
  </r>
  <r>
    <x v="6"/>
    <x v="6"/>
    <x v="0"/>
    <x v="6"/>
    <x v="141"/>
    <x v="1"/>
  </r>
  <r>
    <x v="6"/>
    <x v="6"/>
    <x v="0"/>
    <x v="6"/>
    <x v="142"/>
    <x v="15"/>
  </r>
  <r>
    <x v="6"/>
    <x v="6"/>
    <x v="0"/>
    <x v="6"/>
    <x v="143"/>
    <x v="12"/>
  </r>
  <r>
    <x v="7"/>
    <x v="7"/>
    <x v="0"/>
    <x v="7"/>
    <x v="144"/>
    <x v="2"/>
  </r>
  <r>
    <x v="7"/>
    <x v="7"/>
    <x v="0"/>
    <x v="7"/>
    <x v="145"/>
    <x v="0"/>
  </r>
  <r>
    <x v="8"/>
    <x v="8"/>
    <x v="0"/>
    <x v="8"/>
    <x v="146"/>
    <x v="6"/>
  </r>
  <r>
    <x v="10"/>
    <x v="10"/>
    <x v="0"/>
    <x v="10"/>
    <x v="147"/>
    <x v="17"/>
  </r>
  <r>
    <x v="21"/>
    <x v="21"/>
    <x v="0"/>
    <x v="21"/>
    <x v="148"/>
    <x v="7"/>
  </r>
  <r>
    <x v="21"/>
    <x v="21"/>
    <x v="0"/>
    <x v="21"/>
    <x v="149"/>
    <x v="14"/>
  </r>
  <r>
    <x v="12"/>
    <x v="12"/>
    <x v="0"/>
    <x v="12"/>
    <x v="150"/>
    <x v="18"/>
  </r>
  <r>
    <x v="22"/>
    <x v="22"/>
    <x v="0"/>
    <x v="22"/>
    <x v="151"/>
    <x v="6"/>
  </r>
  <r>
    <x v="0"/>
    <x v="0"/>
    <x v="0"/>
    <x v="0"/>
    <x v="152"/>
    <x v="9"/>
  </r>
  <r>
    <x v="0"/>
    <x v="0"/>
    <x v="0"/>
    <x v="0"/>
    <x v="153"/>
    <x v="3"/>
  </r>
  <r>
    <x v="0"/>
    <x v="0"/>
    <x v="0"/>
    <x v="0"/>
    <x v="154"/>
    <x v="4"/>
  </r>
  <r>
    <x v="0"/>
    <x v="0"/>
    <x v="0"/>
    <x v="0"/>
    <x v="155"/>
    <x v="2"/>
  </r>
  <r>
    <x v="0"/>
    <x v="0"/>
    <x v="0"/>
    <x v="0"/>
    <x v="156"/>
    <x v="16"/>
  </r>
  <r>
    <x v="0"/>
    <x v="0"/>
    <x v="0"/>
    <x v="0"/>
    <x v="157"/>
    <x v="6"/>
  </r>
  <r>
    <x v="16"/>
    <x v="16"/>
    <x v="0"/>
    <x v="16"/>
    <x v="158"/>
    <x v="0"/>
  </r>
  <r>
    <x v="3"/>
    <x v="3"/>
    <x v="0"/>
    <x v="3"/>
    <x v="159"/>
    <x v="1"/>
  </r>
  <r>
    <x v="3"/>
    <x v="3"/>
    <x v="0"/>
    <x v="3"/>
    <x v="160"/>
    <x v="17"/>
  </r>
  <r>
    <x v="3"/>
    <x v="3"/>
    <x v="0"/>
    <x v="3"/>
    <x v="161"/>
    <x v="10"/>
  </r>
  <r>
    <x v="3"/>
    <x v="3"/>
    <x v="0"/>
    <x v="3"/>
    <x v="162"/>
    <x v="16"/>
  </r>
  <r>
    <x v="3"/>
    <x v="3"/>
    <x v="0"/>
    <x v="3"/>
    <x v="163"/>
    <x v="4"/>
  </r>
  <r>
    <x v="18"/>
    <x v="18"/>
    <x v="0"/>
    <x v="18"/>
    <x v="164"/>
    <x v="5"/>
  </r>
  <r>
    <x v="18"/>
    <x v="18"/>
    <x v="0"/>
    <x v="18"/>
    <x v="164"/>
    <x v="6"/>
  </r>
  <r>
    <x v="18"/>
    <x v="18"/>
    <x v="0"/>
    <x v="18"/>
    <x v="165"/>
    <x v="6"/>
  </r>
  <r>
    <x v="18"/>
    <x v="18"/>
    <x v="0"/>
    <x v="18"/>
    <x v="166"/>
    <x v="2"/>
  </r>
  <r>
    <x v="18"/>
    <x v="18"/>
    <x v="0"/>
    <x v="18"/>
    <x v="167"/>
    <x v="1"/>
  </r>
  <r>
    <x v="19"/>
    <x v="19"/>
    <x v="0"/>
    <x v="19"/>
    <x v="168"/>
    <x v="3"/>
  </r>
  <r>
    <x v="19"/>
    <x v="19"/>
    <x v="0"/>
    <x v="19"/>
    <x v="169"/>
    <x v="11"/>
  </r>
  <r>
    <x v="20"/>
    <x v="20"/>
    <x v="0"/>
    <x v="20"/>
    <x v="170"/>
    <x v="4"/>
  </r>
  <r>
    <x v="20"/>
    <x v="20"/>
    <x v="0"/>
    <x v="20"/>
    <x v="171"/>
    <x v="2"/>
  </r>
  <r>
    <x v="6"/>
    <x v="6"/>
    <x v="0"/>
    <x v="6"/>
    <x v="172"/>
    <x v="15"/>
  </r>
  <r>
    <x v="6"/>
    <x v="6"/>
    <x v="0"/>
    <x v="6"/>
    <x v="173"/>
    <x v="11"/>
  </r>
  <r>
    <x v="6"/>
    <x v="6"/>
    <x v="0"/>
    <x v="6"/>
    <x v="174"/>
    <x v="3"/>
  </r>
  <r>
    <x v="6"/>
    <x v="6"/>
    <x v="0"/>
    <x v="6"/>
    <x v="175"/>
    <x v="1"/>
  </r>
  <r>
    <x v="7"/>
    <x v="7"/>
    <x v="0"/>
    <x v="7"/>
    <x v="176"/>
    <x v="15"/>
  </r>
  <r>
    <x v="7"/>
    <x v="7"/>
    <x v="0"/>
    <x v="7"/>
    <x v="177"/>
    <x v="10"/>
  </r>
  <r>
    <x v="8"/>
    <x v="8"/>
    <x v="0"/>
    <x v="8"/>
    <x v="178"/>
    <x v="1"/>
  </r>
  <r>
    <x v="10"/>
    <x v="10"/>
    <x v="0"/>
    <x v="10"/>
    <x v="179"/>
    <x v="6"/>
  </r>
  <r>
    <x v="21"/>
    <x v="21"/>
    <x v="0"/>
    <x v="21"/>
    <x v="180"/>
    <x v="19"/>
  </r>
  <r>
    <x v="21"/>
    <x v="21"/>
    <x v="0"/>
    <x v="21"/>
    <x v="181"/>
    <x v="12"/>
  </r>
  <r>
    <x v="12"/>
    <x v="12"/>
    <x v="0"/>
    <x v="12"/>
    <x v="182"/>
    <x v="10"/>
  </r>
  <r>
    <x v="22"/>
    <x v="22"/>
    <x v="0"/>
    <x v="22"/>
    <x v="183"/>
    <x v="3"/>
  </r>
  <r>
    <x v="15"/>
    <x v="15"/>
    <x v="0"/>
    <x v="15"/>
    <x v="184"/>
    <x v="6"/>
  </r>
  <r>
    <x v="15"/>
    <x v="15"/>
    <x v="0"/>
    <x v="15"/>
    <x v="185"/>
    <x v="4"/>
  </r>
  <r>
    <x v="15"/>
    <x v="15"/>
    <x v="0"/>
    <x v="15"/>
    <x v="186"/>
    <x v="0"/>
  </r>
  <r>
    <x v="15"/>
    <x v="15"/>
    <x v="0"/>
    <x v="15"/>
    <x v="187"/>
    <x v="3"/>
  </r>
  <r>
    <x v="15"/>
    <x v="15"/>
    <x v="0"/>
    <x v="15"/>
    <x v="188"/>
    <x v="6"/>
  </r>
  <r>
    <x v="15"/>
    <x v="15"/>
    <x v="0"/>
    <x v="15"/>
    <x v="189"/>
    <x v="0"/>
  </r>
  <r>
    <x v="16"/>
    <x v="16"/>
    <x v="0"/>
    <x v="16"/>
    <x v="190"/>
    <x v="16"/>
  </r>
  <r>
    <x v="24"/>
    <x v="24"/>
    <x v="1"/>
    <x v="24"/>
    <x v="191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4" useAutoFormatting="1" indent="0" outline="1" outlineData="1" showDrill="1" multipleFieldFilters="0">
  <location ref="A3:B29" firstHeaderRow="1" firstDataRow="1" firstDataCol="1"/>
  <pivotFields count="6">
    <pivotField axis="axisRow" showAll="0">
      <items count="26">
        <item x="6"/>
        <item x="0"/>
        <item x="11"/>
        <item x="5"/>
        <item x="10"/>
        <item x="9"/>
        <item x="8"/>
        <item x="7"/>
        <item x="4"/>
        <item x="3"/>
        <item x="2"/>
        <item x="1"/>
        <item x="18"/>
        <item x="19"/>
        <item x="20"/>
        <item x="21"/>
        <item x="12"/>
        <item x="22"/>
        <item x="13"/>
        <item x="14"/>
        <item x="15"/>
        <item x="16"/>
        <item x="17"/>
        <item x="23"/>
        <item x="24"/>
        <item t="default"/>
      </items>
    </pivotField>
    <pivotField showAll="0">
      <items count="26">
        <item x="6"/>
        <item x="10"/>
        <item x="8"/>
        <item x="7"/>
        <item x="18"/>
        <item x="19"/>
        <item x="20"/>
        <item x="21"/>
        <item x="12"/>
        <item x="22"/>
        <item x="0"/>
        <item x="1"/>
        <item x="2"/>
        <item x="3"/>
        <item x="4"/>
        <item x="5"/>
        <item x="9"/>
        <item x="11"/>
        <item x="13"/>
        <item x="14"/>
        <item x="15"/>
        <item x="16"/>
        <item x="17"/>
        <item x="23"/>
        <item x="24"/>
        <item t="default"/>
      </items>
    </pivotField>
    <pivotField showAll="0">
      <items count="3">
        <item x="0"/>
        <item x="1"/>
        <item t="default"/>
      </items>
    </pivotField>
    <pivotField showAll="0">
      <items count="26">
        <item x="10"/>
        <item x="8"/>
        <item x="7"/>
        <item x="6"/>
        <item x="18"/>
        <item x="19"/>
        <item x="20"/>
        <item x="21"/>
        <item x="12"/>
        <item x="22"/>
        <item x="0"/>
        <item x="1"/>
        <item x="2"/>
        <item x="3"/>
        <item x="4"/>
        <item x="5"/>
        <item x="9"/>
        <item x="11"/>
        <item x="13"/>
        <item x="14"/>
        <item x="15"/>
        <item x="16"/>
        <item x="17"/>
        <item x="23"/>
        <item x="24"/>
        <item t="default"/>
      </items>
    </pivotField>
    <pivotField showAll="0">
      <items count="193">
        <item x="1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dataField="1" showAll="0">
      <items count="22">
        <item x="6"/>
        <item x="20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求和项:quantity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vmlDrawing" Target="../drawings/vmlDrawing1.vml"/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abSelected="1" topLeftCell="A184" workbookViewId="0">
      <selection activeCell="D2" sqref="D2"/>
    </sheetView>
  </sheetViews>
  <sheetFormatPr defaultColWidth="9" defaultRowHeight="13.5"/>
  <cols>
    <col min="1" max="1" width="14.625" customWidth="1"/>
    <col min="2" max="2" width="10.875" customWidth="1"/>
    <col min="3" max="3" width="6.125" customWidth="1"/>
    <col min="4" max="4" width="15" customWidth="1"/>
    <col min="5" max="5" width="28.25" customWidth="1"/>
  </cols>
  <sheetData>
    <row r="1" spans="1:10">
      <c r="A1" s="32" t="s">
        <v>0</v>
      </c>
      <c r="B1" s="32" t="s">
        <v>1</v>
      </c>
      <c r="C1" s="33" t="s">
        <v>2</v>
      </c>
      <c r="D1" s="33" t="s">
        <v>3</v>
      </c>
      <c r="E1" s="35" t="s">
        <v>4</v>
      </c>
      <c r="F1" s="35" t="s">
        <v>5</v>
      </c>
      <c r="H1" s="22" t="s">
        <v>6</v>
      </c>
      <c r="I1" s="22"/>
      <c r="J1" s="22"/>
    </row>
    <row r="2" spans="1:10">
      <c r="A2" t="str">
        <f>VLOOKUP(B2,时间段对照!$D$13:$E$37,2,0)</f>
        <v>12：00-13：00</v>
      </c>
      <c r="B2">
        <f>IF(C2+D2&gt;=24,C2+D2-24,C2+D2)</f>
        <v>12</v>
      </c>
      <c r="C2">
        <v>15</v>
      </c>
      <c r="D2" s="34">
        <f>IF(MID(E2,12,2)-7&lt;0,MID(E2,12,2)-7+24,MID(E2,12,2)-7)</f>
        <v>21</v>
      </c>
      <c r="E2" t="s">
        <v>7</v>
      </c>
      <c r="F2">
        <v>4</v>
      </c>
      <c r="H2" s="22"/>
      <c r="I2" s="22"/>
      <c r="J2" s="22"/>
    </row>
    <row r="3" spans="1:10">
      <c r="A3" t="str">
        <f>VLOOKUP(B3,时间段对照!$D$13:$E$37,2,0)</f>
        <v>12：00-13：00</v>
      </c>
      <c r="B3">
        <f t="shared" ref="B3:B34" si="0">IF(C3+D3&gt;=24,C3+D3-24,C3+D3)</f>
        <v>12</v>
      </c>
      <c r="C3">
        <v>15</v>
      </c>
      <c r="D3" s="34">
        <f t="shared" ref="D3:D34" si="1">IF(MID(E3,12,2)-7&lt;0,MID(E3,12,2)-7+24,MID(E3,12,2)-7)</f>
        <v>21</v>
      </c>
      <c r="E3" t="s">
        <v>7</v>
      </c>
      <c r="F3">
        <v>5</v>
      </c>
      <c r="H3" s="22"/>
      <c r="I3" s="22"/>
      <c r="J3" s="22"/>
    </row>
    <row r="4" spans="1:10">
      <c r="A4" t="str">
        <f>VLOOKUP(B4,时间段对照!$D$13:$E$37,2,0)</f>
        <v>8：00-9：00</v>
      </c>
      <c r="B4">
        <f t="shared" si="0"/>
        <v>8</v>
      </c>
      <c r="C4">
        <v>15</v>
      </c>
      <c r="D4" s="34">
        <f t="shared" si="1"/>
        <v>17</v>
      </c>
      <c r="E4" t="s">
        <v>8</v>
      </c>
      <c r="F4">
        <v>11</v>
      </c>
      <c r="H4" s="22"/>
      <c r="I4" s="22"/>
      <c r="J4" s="22"/>
    </row>
    <row r="5" spans="1:6">
      <c r="A5" t="str">
        <f>VLOOKUP(B5,时间段对照!$D$13:$E$37,2,0)</f>
        <v>8：00-9：00</v>
      </c>
      <c r="B5">
        <f t="shared" si="0"/>
        <v>8</v>
      </c>
      <c r="C5">
        <v>15</v>
      </c>
      <c r="D5" s="34">
        <f t="shared" si="1"/>
        <v>17</v>
      </c>
      <c r="E5" t="s">
        <v>9</v>
      </c>
      <c r="F5">
        <v>5</v>
      </c>
    </row>
    <row r="6" spans="1:6">
      <c r="A6" t="str">
        <f>VLOOKUP(B6,时间段对照!$D$13:$E$37,2,0)</f>
        <v>7：00-8：00</v>
      </c>
      <c r="B6">
        <f t="shared" si="0"/>
        <v>7</v>
      </c>
      <c r="C6">
        <v>15</v>
      </c>
      <c r="D6" s="34">
        <f t="shared" si="1"/>
        <v>16</v>
      </c>
      <c r="E6" t="s">
        <v>10</v>
      </c>
      <c r="F6">
        <v>6</v>
      </c>
    </row>
    <row r="7" spans="1:6">
      <c r="A7" t="str">
        <f>VLOOKUP(B7,时间段对照!$D$13:$E$37,2,0)</f>
        <v>7：00-8：00</v>
      </c>
      <c r="B7">
        <f t="shared" si="0"/>
        <v>7</v>
      </c>
      <c r="C7">
        <v>15</v>
      </c>
      <c r="D7" s="34">
        <f t="shared" si="1"/>
        <v>16</v>
      </c>
      <c r="E7" t="s">
        <v>11</v>
      </c>
      <c r="F7">
        <v>9</v>
      </c>
    </row>
    <row r="8" spans="1:6">
      <c r="A8" t="str">
        <f>VLOOKUP(B8,时间段对照!$D$13:$E$37,2,0)</f>
        <v>7：00-8：00</v>
      </c>
      <c r="B8">
        <f t="shared" si="0"/>
        <v>7</v>
      </c>
      <c r="C8">
        <v>15</v>
      </c>
      <c r="D8" s="34">
        <f t="shared" si="1"/>
        <v>16</v>
      </c>
      <c r="E8" t="s">
        <v>12</v>
      </c>
      <c r="F8">
        <v>3</v>
      </c>
    </row>
    <row r="9" spans="1:6">
      <c r="A9" t="str">
        <f>VLOOKUP(B9,时间段对照!$D$13:$E$37,2,0)</f>
        <v>7：00-8：00</v>
      </c>
      <c r="B9">
        <f t="shared" si="0"/>
        <v>7</v>
      </c>
      <c r="C9">
        <v>15</v>
      </c>
      <c r="D9" s="34">
        <f t="shared" si="1"/>
        <v>16</v>
      </c>
      <c r="E9" t="s">
        <v>13</v>
      </c>
      <c r="F9">
        <v>1</v>
      </c>
    </row>
    <row r="10" spans="1:6">
      <c r="A10" t="str">
        <f>VLOOKUP(B10,时间段对照!$D$13:$E$37,2,0)</f>
        <v>6：00-7：00</v>
      </c>
      <c r="B10">
        <f t="shared" si="0"/>
        <v>6</v>
      </c>
      <c r="C10">
        <v>15</v>
      </c>
      <c r="D10" s="34">
        <f t="shared" si="1"/>
        <v>15</v>
      </c>
      <c r="E10" t="s">
        <v>14</v>
      </c>
      <c r="F10">
        <v>15</v>
      </c>
    </row>
    <row r="11" spans="1:6">
      <c r="A11" t="str">
        <f>VLOOKUP(B11,时间段对照!$D$13:$E$37,2,0)</f>
        <v>4：00-5：00</v>
      </c>
      <c r="B11">
        <f t="shared" si="0"/>
        <v>4</v>
      </c>
      <c r="C11">
        <v>15</v>
      </c>
      <c r="D11" s="34">
        <f t="shared" si="1"/>
        <v>13</v>
      </c>
      <c r="E11" t="s">
        <v>15</v>
      </c>
      <c r="F11">
        <v>18</v>
      </c>
    </row>
    <row r="12" spans="1:6">
      <c r="A12" t="str">
        <f>VLOOKUP(B12,时间段对照!$D$13:$E$37,2,0)</f>
        <v>4：00-5：00</v>
      </c>
      <c r="B12">
        <f t="shared" si="0"/>
        <v>4</v>
      </c>
      <c r="C12">
        <v>15</v>
      </c>
      <c r="D12" s="34">
        <f t="shared" si="1"/>
        <v>13</v>
      </c>
      <c r="E12" t="s">
        <v>16</v>
      </c>
      <c r="F12">
        <v>21</v>
      </c>
    </row>
    <row r="13" spans="1:6">
      <c r="A13" t="str">
        <f>VLOOKUP(B13,时间段对照!$D$13:$E$37,2,0)</f>
        <v>4：00-5：00</v>
      </c>
      <c r="B13">
        <f t="shared" si="0"/>
        <v>4</v>
      </c>
      <c r="C13">
        <v>15</v>
      </c>
      <c r="D13" s="34">
        <f t="shared" si="1"/>
        <v>13</v>
      </c>
      <c r="E13" t="s">
        <v>16</v>
      </c>
      <c r="F13">
        <v>7</v>
      </c>
    </row>
    <row r="14" spans="1:6">
      <c r="A14" t="str">
        <f>VLOOKUP(B14,时间段对照!$D$13:$E$37,2,0)</f>
        <v>2：00-3：00</v>
      </c>
      <c r="B14">
        <f t="shared" si="0"/>
        <v>2</v>
      </c>
      <c r="C14">
        <v>15</v>
      </c>
      <c r="D14" s="34">
        <f t="shared" si="1"/>
        <v>11</v>
      </c>
      <c r="E14" t="s">
        <v>17</v>
      </c>
      <c r="F14">
        <v>8</v>
      </c>
    </row>
    <row r="15" spans="1:6">
      <c r="A15" t="str">
        <f>VLOOKUP(B15,时间段对照!$D$13:$E$37,2,0)</f>
        <v>0：00-1：00</v>
      </c>
      <c r="B15">
        <f t="shared" si="0"/>
        <v>0</v>
      </c>
      <c r="C15">
        <v>15</v>
      </c>
      <c r="D15" s="34">
        <f t="shared" si="1"/>
        <v>9</v>
      </c>
      <c r="E15" t="s">
        <v>18</v>
      </c>
      <c r="F15">
        <v>9</v>
      </c>
    </row>
    <row r="16" spans="1:6">
      <c r="A16" t="str">
        <f>VLOOKUP(B16,时间段对照!$D$13:$E$37,2,0)</f>
        <v>23：00-0：00</v>
      </c>
      <c r="B16">
        <f t="shared" si="0"/>
        <v>23</v>
      </c>
      <c r="C16">
        <v>15</v>
      </c>
      <c r="D16" s="34">
        <f t="shared" si="1"/>
        <v>8</v>
      </c>
      <c r="E16" t="s">
        <v>19</v>
      </c>
      <c r="F16">
        <v>12</v>
      </c>
    </row>
    <row r="17" spans="1:6">
      <c r="A17" t="str">
        <f>VLOOKUP(B17,时间段对照!$D$13:$E$37,2,0)</f>
        <v>22：00-23：00</v>
      </c>
      <c r="B17">
        <f t="shared" si="0"/>
        <v>22</v>
      </c>
      <c r="C17">
        <v>15</v>
      </c>
      <c r="D17" s="34">
        <f t="shared" si="1"/>
        <v>7</v>
      </c>
      <c r="E17" t="s">
        <v>20</v>
      </c>
      <c r="F17">
        <v>16</v>
      </c>
    </row>
    <row r="18" spans="1:6">
      <c r="A18" t="str">
        <f>VLOOKUP(B18,时间段对照!$D$13:$E$37,2,0)</f>
        <v>21：00-22：00</v>
      </c>
      <c r="B18">
        <f t="shared" si="0"/>
        <v>21</v>
      </c>
      <c r="C18">
        <v>15</v>
      </c>
      <c r="D18" s="34">
        <f t="shared" si="1"/>
        <v>6</v>
      </c>
      <c r="E18" t="s">
        <v>21</v>
      </c>
      <c r="F18">
        <v>7</v>
      </c>
    </row>
    <row r="19" spans="1:6">
      <c r="A19" t="str">
        <f>VLOOKUP(B19,时间段对照!$D$13:$E$37,2,0)</f>
        <v>20：00-21：00</v>
      </c>
      <c r="B19">
        <f t="shared" si="0"/>
        <v>20</v>
      </c>
      <c r="C19">
        <v>15</v>
      </c>
      <c r="D19" s="34">
        <f t="shared" si="1"/>
        <v>5</v>
      </c>
      <c r="E19" t="s">
        <v>22</v>
      </c>
      <c r="F19">
        <v>18</v>
      </c>
    </row>
    <row r="20" spans="1:6">
      <c r="A20" t="str">
        <f>VLOOKUP(B20,时间段对照!$D$13:$E$37,2,0)</f>
        <v>18：00-19：00</v>
      </c>
      <c r="B20">
        <f t="shared" si="0"/>
        <v>18</v>
      </c>
      <c r="C20">
        <v>15</v>
      </c>
      <c r="D20" s="34">
        <f t="shared" si="1"/>
        <v>3</v>
      </c>
      <c r="E20" t="s">
        <v>23</v>
      </c>
      <c r="F20">
        <v>19</v>
      </c>
    </row>
    <row r="21" spans="1:6">
      <c r="A21" t="str">
        <f>VLOOKUP(B21,时间段对照!$D$13:$E$37,2,0)</f>
        <v>17：00-18：00</v>
      </c>
      <c r="B21">
        <f t="shared" si="0"/>
        <v>17</v>
      </c>
      <c r="C21">
        <v>15</v>
      </c>
      <c r="D21" s="34">
        <f t="shared" si="1"/>
        <v>2</v>
      </c>
      <c r="E21" t="s">
        <v>24</v>
      </c>
      <c r="F21">
        <v>11</v>
      </c>
    </row>
    <row r="22" spans="1:6">
      <c r="A22" t="str">
        <f>VLOOKUP(B22,时间段对照!$D$13:$E$37,2,0)</f>
        <v>15：00-16：00</v>
      </c>
      <c r="B22">
        <f t="shared" si="0"/>
        <v>15</v>
      </c>
      <c r="C22">
        <v>15</v>
      </c>
      <c r="D22" s="34">
        <f t="shared" si="1"/>
        <v>0</v>
      </c>
      <c r="E22" t="s">
        <v>25</v>
      </c>
      <c r="F22">
        <v>5</v>
      </c>
    </row>
    <row r="23" spans="1:6">
      <c r="A23" t="str">
        <f>VLOOKUP(B23,时间段对照!$D$13:$E$37,2,0)</f>
        <v>14：00-15：00</v>
      </c>
      <c r="B23">
        <f t="shared" si="0"/>
        <v>14</v>
      </c>
      <c r="C23">
        <v>15</v>
      </c>
      <c r="D23" s="34">
        <f t="shared" si="1"/>
        <v>23</v>
      </c>
      <c r="E23" t="s">
        <v>26</v>
      </c>
      <c r="F23">
        <v>7</v>
      </c>
    </row>
    <row r="24" spans="1:6">
      <c r="A24" t="str">
        <f>VLOOKUP(B24,时间段对照!$D$13:$E$37,2,0)</f>
        <v>12：00-13：00</v>
      </c>
      <c r="B24">
        <f t="shared" si="0"/>
        <v>12</v>
      </c>
      <c r="C24">
        <v>15</v>
      </c>
      <c r="D24" s="34">
        <f t="shared" si="1"/>
        <v>21</v>
      </c>
      <c r="E24" t="s">
        <v>27</v>
      </c>
      <c r="F24">
        <v>5</v>
      </c>
    </row>
    <row r="25" spans="1:6">
      <c r="A25" t="str">
        <f>VLOOKUP(B25,时间段对照!$D$13:$E$37,2,0)</f>
        <v>12：00-13：00</v>
      </c>
      <c r="B25">
        <f t="shared" si="0"/>
        <v>12</v>
      </c>
      <c r="C25">
        <v>15</v>
      </c>
      <c r="D25" s="34">
        <f t="shared" si="1"/>
        <v>21</v>
      </c>
      <c r="E25" t="s">
        <v>28</v>
      </c>
      <c r="F25">
        <v>9</v>
      </c>
    </row>
    <row r="26" spans="1:6">
      <c r="A26" t="str">
        <f>VLOOKUP(B26,时间段对照!$D$13:$E$37,2,0)</f>
        <v>12：00-13：00</v>
      </c>
      <c r="B26">
        <f t="shared" si="0"/>
        <v>12</v>
      </c>
      <c r="C26">
        <v>15</v>
      </c>
      <c r="D26" s="34">
        <f t="shared" si="1"/>
        <v>21</v>
      </c>
      <c r="E26" t="s">
        <v>29</v>
      </c>
      <c r="F26">
        <v>7</v>
      </c>
    </row>
    <row r="27" spans="1:6">
      <c r="A27" t="str">
        <f>VLOOKUP(B27,时间段对照!$D$13:$E$37,2,0)</f>
        <v>12：00-13：00</v>
      </c>
      <c r="B27">
        <f t="shared" si="0"/>
        <v>12</v>
      </c>
      <c r="C27">
        <v>15</v>
      </c>
      <c r="D27" s="34">
        <f t="shared" si="1"/>
        <v>21</v>
      </c>
      <c r="E27" t="s">
        <v>30</v>
      </c>
      <c r="F27">
        <v>5</v>
      </c>
    </row>
    <row r="28" spans="1:6">
      <c r="A28" t="str">
        <f>VLOOKUP(B28,时间段对照!$D$13:$E$37,2,0)</f>
        <v>12：00-13：00</v>
      </c>
      <c r="B28">
        <f t="shared" si="0"/>
        <v>12</v>
      </c>
      <c r="C28">
        <v>15</v>
      </c>
      <c r="D28" s="34">
        <f t="shared" si="1"/>
        <v>21</v>
      </c>
      <c r="E28" t="s">
        <v>31</v>
      </c>
      <c r="F28">
        <v>6</v>
      </c>
    </row>
    <row r="29" spans="1:6">
      <c r="A29" t="str">
        <f>VLOOKUP(B29,时间段对照!$D$13:$E$37,2,0)</f>
        <v>11：00-12：00</v>
      </c>
      <c r="B29">
        <f t="shared" si="0"/>
        <v>11</v>
      </c>
      <c r="C29">
        <v>15</v>
      </c>
      <c r="D29" s="34">
        <f t="shared" si="1"/>
        <v>20</v>
      </c>
      <c r="E29" t="s">
        <v>32</v>
      </c>
      <c r="F29">
        <v>10</v>
      </c>
    </row>
    <row r="30" spans="1:6">
      <c r="A30" t="str">
        <f>VLOOKUP(B30,时间段对照!$D$13:$E$37,2,0)</f>
        <v>11：00-12：00</v>
      </c>
      <c r="B30">
        <f t="shared" si="0"/>
        <v>11</v>
      </c>
      <c r="C30">
        <v>15</v>
      </c>
      <c r="D30" s="34">
        <f t="shared" si="1"/>
        <v>20</v>
      </c>
      <c r="E30" t="s">
        <v>33</v>
      </c>
      <c r="F30">
        <v>8</v>
      </c>
    </row>
    <row r="31" spans="1:6">
      <c r="A31" t="str">
        <f>VLOOKUP(B31,时间段对照!$D$13:$E$37,2,0)</f>
        <v>10：00-11：00</v>
      </c>
      <c r="B31">
        <f t="shared" si="0"/>
        <v>10</v>
      </c>
      <c r="C31">
        <v>15</v>
      </c>
      <c r="D31" s="34">
        <f t="shared" si="1"/>
        <v>19</v>
      </c>
      <c r="E31" t="s">
        <v>34</v>
      </c>
      <c r="F31">
        <v>9</v>
      </c>
    </row>
    <row r="32" spans="1:6">
      <c r="A32" t="str">
        <f>VLOOKUP(B32,时间段对照!$D$13:$E$37,2,0)</f>
        <v>10：00-11：00</v>
      </c>
      <c r="B32">
        <f t="shared" si="0"/>
        <v>10</v>
      </c>
      <c r="C32">
        <v>15</v>
      </c>
      <c r="D32" s="34">
        <f t="shared" si="1"/>
        <v>19</v>
      </c>
      <c r="E32" t="s">
        <v>35</v>
      </c>
      <c r="F32">
        <v>4</v>
      </c>
    </row>
    <row r="33" spans="1:6">
      <c r="A33" t="str">
        <f>VLOOKUP(B33,时间段对照!$D$13:$E$37,2,0)</f>
        <v>9：00-10：00</v>
      </c>
      <c r="B33">
        <f t="shared" si="0"/>
        <v>9</v>
      </c>
      <c r="C33">
        <v>15</v>
      </c>
      <c r="D33" s="34">
        <f t="shared" si="1"/>
        <v>18</v>
      </c>
      <c r="E33" t="s">
        <v>36</v>
      </c>
      <c r="F33">
        <v>8</v>
      </c>
    </row>
    <row r="34" spans="1:6">
      <c r="A34" t="str">
        <f>VLOOKUP(B34,时间段对照!$D$13:$E$37,2,0)</f>
        <v>9：00-10：00</v>
      </c>
      <c r="B34">
        <f t="shared" si="0"/>
        <v>9</v>
      </c>
      <c r="C34">
        <v>15</v>
      </c>
      <c r="D34" s="34">
        <f t="shared" si="1"/>
        <v>18</v>
      </c>
      <c r="E34" t="s">
        <v>37</v>
      </c>
      <c r="F34">
        <v>9</v>
      </c>
    </row>
    <row r="35" spans="1:6">
      <c r="A35" t="str">
        <f>VLOOKUP(B35,时间段对照!$D$13:$E$37,2,0)</f>
        <v>6：00-7：00</v>
      </c>
      <c r="B35">
        <f t="shared" ref="B35:B67" si="2">IF(C35+D35&gt;=24,C35+D35-24,C35+D35)</f>
        <v>6</v>
      </c>
      <c r="C35">
        <v>15</v>
      </c>
      <c r="D35" s="34">
        <f t="shared" ref="D35:D67" si="3">IF(MID(E35,12,2)-7&lt;0,MID(E35,12,2)-7+24,MID(E35,12,2)-7)</f>
        <v>15</v>
      </c>
      <c r="E35" t="s">
        <v>38</v>
      </c>
      <c r="F35">
        <v>4</v>
      </c>
    </row>
    <row r="36" spans="1:6">
      <c r="A36" t="str">
        <f>VLOOKUP(B36,时间段对照!$D$13:$E$37,2,0)</f>
        <v>6：00-7：00</v>
      </c>
      <c r="B36">
        <f t="shared" si="2"/>
        <v>6</v>
      </c>
      <c r="C36">
        <v>15</v>
      </c>
      <c r="D36" s="34">
        <f t="shared" si="3"/>
        <v>15</v>
      </c>
      <c r="E36" t="s">
        <v>39</v>
      </c>
      <c r="F36">
        <v>5</v>
      </c>
    </row>
    <row r="37" spans="1:6">
      <c r="A37" t="str">
        <f>VLOOKUP(B37,时间段对照!$D$13:$E$37,2,0)</f>
        <v>6：00-7：00</v>
      </c>
      <c r="B37">
        <f t="shared" si="2"/>
        <v>6</v>
      </c>
      <c r="C37">
        <v>15</v>
      </c>
      <c r="D37" s="34">
        <f t="shared" si="3"/>
        <v>15</v>
      </c>
      <c r="E37" t="s">
        <v>40</v>
      </c>
      <c r="F37">
        <v>2</v>
      </c>
    </row>
    <row r="38" spans="1:6">
      <c r="A38" t="str">
        <f>VLOOKUP(B38,时间段对照!$D$13:$E$37,2,0)</f>
        <v>6：00-7：00</v>
      </c>
      <c r="B38">
        <f t="shared" si="2"/>
        <v>6</v>
      </c>
      <c r="C38">
        <v>15</v>
      </c>
      <c r="D38" s="34">
        <f t="shared" si="3"/>
        <v>15</v>
      </c>
      <c r="E38" t="s">
        <v>41</v>
      </c>
      <c r="F38">
        <v>4</v>
      </c>
    </row>
    <row r="39" spans="1:6">
      <c r="A39" t="str">
        <f>VLOOKUP(B39,时间段对照!$D$13:$E$37,2,0)</f>
        <v>6：00-7：00</v>
      </c>
      <c r="B39">
        <f t="shared" si="2"/>
        <v>6</v>
      </c>
      <c r="C39">
        <v>15</v>
      </c>
      <c r="D39" s="34">
        <f t="shared" si="3"/>
        <v>15</v>
      </c>
      <c r="E39" t="s">
        <v>42</v>
      </c>
      <c r="F39">
        <v>7</v>
      </c>
    </row>
    <row r="40" spans="1:6">
      <c r="A40" t="str">
        <f>VLOOKUP(B40,时间段对照!$D$13:$E$37,2,0)</f>
        <v>5：00-6：00</v>
      </c>
      <c r="B40">
        <f t="shared" si="2"/>
        <v>5</v>
      </c>
      <c r="C40">
        <v>15</v>
      </c>
      <c r="D40" s="34">
        <f t="shared" si="3"/>
        <v>14</v>
      </c>
      <c r="E40" t="s">
        <v>43</v>
      </c>
      <c r="F40">
        <v>8</v>
      </c>
    </row>
    <row r="41" spans="1:6">
      <c r="A41" t="str">
        <f>VLOOKUP(B41,时间段对照!$D$13:$E$37,2,0)</f>
        <v>5：00-6：00</v>
      </c>
      <c r="B41">
        <f t="shared" si="2"/>
        <v>5</v>
      </c>
      <c r="C41">
        <v>15</v>
      </c>
      <c r="D41" s="34">
        <f t="shared" si="3"/>
        <v>14</v>
      </c>
      <c r="E41" t="s">
        <v>43</v>
      </c>
      <c r="F41">
        <v>4</v>
      </c>
    </row>
    <row r="42" spans="1:6">
      <c r="A42" t="str">
        <f>VLOOKUP(B42,时间段对照!$D$13:$E$37,2,0)</f>
        <v>5：00-6：00</v>
      </c>
      <c r="B42">
        <f t="shared" si="2"/>
        <v>5</v>
      </c>
      <c r="C42">
        <v>15</v>
      </c>
      <c r="D42" s="34">
        <f t="shared" si="3"/>
        <v>14</v>
      </c>
      <c r="E42" t="s">
        <v>44</v>
      </c>
      <c r="F42">
        <v>7</v>
      </c>
    </row>
    <row r="43" spans="1:6">
      <c r="A43" t="str">
        <f>VLOOKUP(B43,时间段对照!$D$13:$E$37,2,0)</f>
        <v>5：00-6：00</v>
      </c>
      <c r="B43">
        <f t="shared" si="2"/>
        <v>5</v>
      </c>
      <c r="C43">
        <v>15</v>
      </c>
      <c r="D43" s="34">
        <f t="shared" si="3"/>
        <v>14</v>
      </c>
      <c r="E43" t="s">
        <v>45</v>
      </c>
      <c r="F43">
        <v>5</v>
      </c>
    </row>
    <row r="44" spans="1:6">
      <c r="A44" t="str">
        <f>VLOOKUP(B44,时间段对照!$D$13:$E$37,2,0)</f>
        <v>5：00-6：00</v>
      </c>
      <c r="B44">
        <f t="shared" si="2"/>
        <v>5</v>
      </c>
      <c r="C44">
        <v>15</v>
      </c>
      <c r="D44" s="34">
        <f t="shared" si="3"/>
        <v>14</v>
      </c>
      <c r="E44" t="s">
        <v>46</v>
      </c>
      <c r="F44">
        <v>3</v>
      </c>
    </row>
    <row r="45" spans="1:6">
      <c r="A45" t="str">
        <f>VLOOKUP(B45,时间段对照!$D$13:$E$37,2,0)</f>
        <v>3：00-4：00</v>
      </c>
      <c r="B45">
        <f t="shared" si="2"/>
        <v>3</v>
      </c>
      <c r="C45">
        <v>15</v>
      </c>
      <c r="D45" s="34">
        <f t="shared" si="3"/>
        <v>12</v>
      </c>
      <c r="E45" t="s">
        <v>47</v>
      </c>
      <c r="F45">
        <v>1</v>
      </c>
    </row>
    <row r="46" spans="1:6">
      <c r="A46" t="str">
        <f>VLOOKUP(B46,时间段对照!$D$13:$E$37,2,0)</f>
        <v>3：00-4：00</v>
      </c>
      <c r="B46">
        <f t="shared" si="2"/>
        <v>3</v>
      </c>
      <c r="C46">
        <v>15</v>
      </c>
      <c r="D46" s="34">
        <f t="shared" si="3"/>
        <v>12</v>
      </c>
      <c r="E46" t="s">
        <v>48</v>
      </c>
      <c r="F46">
        <v>6</v>
      </c>
    </row>
    <row r="47" spans="1:6">
      <c r="A47" t="str">
        <f>VLOOKUP(B47,时间段对照!$D$13:$E$37,2,0)</f>
        <v>1：00-2：00</v>
      </c>
      <c r="B47">
        <f t="shared" si="2"/>
        <v>1</v>
      </c>
      <c r="C47">
        <v>15</v>
      </c>
      <c r="D47" s="34">
        <f t="shared" si="3"/>
        <v>10</v>
      </c>
      <c r="E47" t="s">
        <v>49</v>
      </c>
      <c r="F47">
        <v>7</v>
      </c>
    </row>
    <row r="48" spans="1:6">
      <c r="A48" t="str">
        <f>VLOOKUP(B48,时间段对照!$D$13:$E$37,2,0)</f>
        <v>1：00-2：00</v>
      </c>
      <c r="B48">
        <f t="shared" si="2"/>
        <v>1</v>
      </c>
      <c r="C48">
        <v>15</v>
      </c>
      <c r="D48" s="34">
        <f t="shared" si="3"/>
        <v>10</v>
      </c>
      <c r="E48" t="s">
        <v>50</v>
      </c>
      <c r="F48">
        <v>6</v>
      </c>
    </row>
    <row r="49" spans="1:6">
      <c r="A49" t="str">
        <f>VLOOKUP(B49,时间段对照!$D$13:$E$37,2,0)</f>
        <v>0：00-1：00</v>
      </c>
      <c r="B49">
        <f t="shared" si="2"/>
        <v>0</v>
      </c>
      <c r="C49">
        <v>15</v>
      </c>
      <c r="D49" s="34">
        <f t="shared" si="3"/>
        <v>9</v>
      </c>
      <c r="E49" t="s">
        <v>51</v>
      </c>
      <c r="F49">
        <v>4</v>
      </c>
    </row>
    <row r="50" spans="1:6">
      <c r="A50" t="str">
        <f>VLOOKUP(B50,时间段对照!$D$13:$E$37,2,0)</f>
        <v>0：00-1：00</v>
      </c>
      <c r="B50">
        <f t="shared" si="2"/>
        <v>0</v>
      </c>
      <c r="C50">
        <v>15</v>
      </c>
      <c r="D50" s="34">
        <f t="shared" si="3"/>
        <v>9</v>
      </c>
      <c r="E50" t="s">
        <v>52</v>
      </c>
      <c r="F50">
        <v>6</v>
      </c>
    </row>
    <row r="51" spans="1:6">
      <c r="A51" t="str">
        <f>VLOOKUP(B51,时间段对照!$D$13:$E$37,2,0)</f>
        <v>0：00-1：00</v>
      </c>
      <c r="B51">
        <f t="shared" si="2"/>
        <v>0</v>
      </c>
      <c r="C51">
        <v>15</v>
      </c>
      <c r="D51" s="34">
        <f t="shared" si="3"/>
        <v>9</v>
      </c>
      <c r="E51" t="s">
        <v>53</v>
      </c>
      <c r="F51">
        <v>5</v>
      </c>
    </row>
    <row r="52" spans="1:6">
      <c r="A52" t="str">
        <f>VLOOKUP(B52,时间段对照!$D$13:$E$37,2,0)</f>
        <v>0：00-1：00</v>
      </c>
      <c r="B52">
        <f t="shared" si="2"/>
        <v>0</v>
      </c>
      <c r="C52">
        <v>15</v>
      </c>
      <c r="D52" s="34">
        <f t="shared" si="3"/>
        <v>9</v>
      </c>
      <c r="E52" t="s">
        <v>54</v>
      </c>
      <c r="F52">
        <v>4</v>
      </c>
    </row>
    <row r="53" spans="1:6">
      <c r="A53" t="str">
        <f>VLOOKUP(B53,时间段对照!$D$13:$E$37,2,0)</f>
        <v>23：00-0：00</v>
      </c>
      <c r="B53">
        <f t="shared" si="2"/>
        <v>23</v>
      </c>
      <c r="C53">
        <v>15</v>
      </c>
      <c r="D53" s="34">
        <f t="shared" si="3"/>
        <v>8</v>
      </c>
      <c r="E53" t="s">
        <v>55</v>
      </c>
      <c r="F53">
        <v>3</v>
      </c>
    </row>
    <row r="54" spans="1:6">
      <c r="A54" t="str">
        <f>VLOOKUP(B54,时间段对照!$D$13:$E$37,2,0)</f>
        <v>23：00-0：00</v>
      </c>
      <c r="B54">
        <f t="shared" si="2"/>
        <v>23</v>
      </c>
      <c r="C54">
        <v>15</v>
      </c>
      <c r="D54" s="34">
        <f t="shared" si="3"/>
        <v>8</v>
      </c>
      <c r="E54" t="s">
        <v>56</v>
      </c>
      <c r="F54">
        <v>2</v>
      </c>
    </row>
    <row r="55" spans="1:6">
      <c r="A55" t="str">
        <f>VLOOKUP(B55,时间段对照!$D$13:$E$37,2,0)</f>
        <v>22：00-23：00</v>
      </c>
      <c r="B55">
        <f t="shared" si="2"/>
        <v>22</v>
      </c>
      <c r="C55">
        <v>15</v>
      </c>
      <c r="D55" s="34">
        <f t="shared" si="3"/>
        <v>7</v>
      </c>
      <c r="E55" t="s">
        <v>57</v>
      </c>
      <c r="F55">
        <v>1</v>
      </c>
    </row>
    <row r="56" spans="1:6">
      <c r="A56" t="str">
        <f>VLOOKUP(B56,时间段对照!$D$13:$E$37,2,0)</f>
        <v>20：00-21：00</v>
      </c>
      <c r="B56">
        <f t="shared" si="2"/>
        <v>20</v>
      </c>
      <c r="C56">
        <v>15</v>
      </c>
      <c r="D56" s="34">
        <f t="shared" si="3"/>
        <v>5</v>
      </c>
      <c r="E56" t="s">
        <v>58</v>
      </c>
      <c r="F56">
        <v>13</v>
      </c>
    </row>
    <row r="57" spans="1:6">
      <c r="A57" t="str">
        <f>VLOOKUP(B57,时间段对照!$D$13:$E$37,2,0)</f>
        <v>19：00-20：00</v>
      </c>
      <c r="B57">
        <f t="shared" si="2"/>
        <v>19</v>
      </c>
      <c r="C57">
        <v>15</v>
      </c>
      <c r="D57" s="34">
        <f t="shared" si="3"/>
        <v>4</v>
      </c>
      <c r="E57" t="s">
        <v>59</v>
      </c>
      <c r="F57">
        <v>1</v>
      </c>
    </row>
    <row r="58" spans="1:6">
      <c r="A58" t="str">
        <f>VLOOKUP(B58,时间段对照!$D$13:$E$37,2,0)</f>
        <v>19：00-20：00</v>
      </c>
      <c r="B58">
        <f t="shared" si="2"/>
        <v>19</v>
      </c>
      <c r="C58">
        <v>15</v>
      </c>
      <c r="D58" s="34">
        <f t="shared" si="3"/>
        <v>4</v>
      </c>
      <c r="E58" t="s">
        <v>60</v>
      </c>
      <c r="F58">
        <v>4</v>
      </c>
    </row>
    <row r="59" spans="1:6">
      <c r="A59" t="str">
        <f>VLOOKUP(B59,时间段对照!$D$13:$E$37,2,0)</f>
        <v>17：00-18：00</v>
      </c>
      <c r="B59">
        <f t="shared" si="2"/>
        <v>17</v>
      </c>
      <c r="C59">
        <v>15</v>
      </c>
      <c r="D59" s="34">
        <f t="shared" si="3"/>
        <v>2</v>
      </c>
      <c r="E59" t="s">
        <v>61</v>
      </c>
      <c r="F59">
        <v>3</v>
      </c>
    </row>
    <row r="60" spans="1:6">
      <c r="A60" t="str">
        <f>VLOOKUP(B60,时间段对照!$D$13:$E$37,2,0)</f>
        <v>16：00-17：00</v>
      </c>
      <c r="B60">
        <f t="shared" si="2"/>
        <v>16</v>
      </c>
      <c r="C60">
        <v>15</v>
      </c>
      <c r="D60" s="34">
        <f t="shared" si="3"/>
        <v>1</v>
      </c>
      <c r="E60" t="s">
        <v>62</v>
      </c>
      <c r="F60">
        <v>4</v>
      </c>
    </row>
    <row r="61" spans="1:6">
      <c r="A61" t="str">
        <f>VLOOKUP(B61,时间段对照!$D$13:$E$37,2,0)</f>
        <v>14：00-15：00</v>
      </c>
      <c r="B61">
        <f t="shared" si="2"/>
        <v>14</v>
      </c>
      <c r="C61">
        <v>15</v>
      </c>
      <c r="D61" s="34">
        <f t="shared" si="3"/>
        <v>23</v>
      </c>
      <c r="E61" t="s">
        <v>63</v>
      </c>
      <c r="F61">
        <v>5</v>
      </c>
    </row>
    <row r="62" spans="1:6">
      <c r="A62" t="str">
        <f>VLOOKUP(B62,时间段对照!$D$13:$E$37,2,0)</f>
        <v>14：00-15：00</v>
      </c>
      <c r="B62">
        <f t="shared" si="2"/>
        <v>14</v>
      </c>
      <c r="C62">
        <v>15</v>
      </c>
      <c r="D62" s="34">
        <f t="shared" si="3"/>
        <v>23</v>
      </c>
      <c r="E62" t="s">
        <v>64</v>
      </c>
      <c r="F62">
        <v>6</v>
      </c>
    </row>
    <row r="63" spans="1:6">
      <c r="A63" t="str">
        <f>VLOOKUP(B63,时间段对照!$D$13:$E$37,2,0)</f>
        <v>14：00-15：00</v>
      </c>
      <c r="B63">
        <f t="shared" si="2"/>
        <v>14</v>
      </c>
      <c r="C63">
        <v>15</v>
      </c>
      <c r="D63" s="34">
        <f t="shared" si="3"/>
        <v>23</v>
      </c>
      <c r="E63" t="s">
        <v>65</v>
      </c>
      <c r="F63">
        <v>9</v>
      </c>
    </row>
    <row r="64" spans="1:6">
      <c r="A64" t="str">
        <f>VLOOKUP(B64,时间段对照!$D$13:$E$37,2,0)</f>
        <v>13：00-14：00</v>
      </c>
      <c r="B64">
        <f t="shared" si="2"/>
        <v>13</v>
      </c>
      <c r="C64">
        <v>15</v>
      </c>
      <c r="D64" s="34">
        <f t="shared" si="3"/>
        <v>22</v>
      </c>
      <c r="E64" t="s">
        <v>66</v>
      </c>
      <c r="F64">
        <v>8</v>
      </c>
    </row>
    <row r="65" spans="1:6">
      <c r="A65" t="str">
        <f>VLOOKUP(B65,时间段对照!$D$13:$E$37,2,0)</f>
        <v>12：00-13：00</v>
      </c>
      <c r="B65">
        <f t="shared" si="2"/>
        <v>12</v>
      </c>
      <c r="C65">
        <v>15</v>
      </c>
      <c r="D65" s="34">
        <f t="shared" si="3"/>
        <v>21</v>
      </c>
      <c r="E65" t="s">
        <v>67</v>
      </c>
      <c r="F65">
        <v>6</v>
      </c>
    </row>
    <row r="66" spans="1:6">
      <c r="A66" t="str">
        <f>VLOOKUP(B66,时间段对照!$D$13:$E$37,2,0)</f>
        <v>12：00-13：00</v>
      </c>
      <c r="B66">
        <f t="shared" si="2"/>
        <v>12</v>
      </c>
      <c r="C66">
        <v>15</v>
      </c>
      <c r="D66" s="34">
        <f t="shared" si="3"/>
        <v>21</v>
      </c>
      <c r="E66" t="s">
        <v>68</v>
      </c>
      <c r="F66">
        <v>5</v>
      </c>
    </row>
    <row r="67" spans="1:6">
      <c r="A67" t="str">
        <f>VLOOKUP(B67,时间段对照!$D$13:$E$37,2,0)</f>
        <v>10：00-11：00</v>
      </c>
      <c r="B67">
        <f t="shared" si="2"/>
        <v>10</v>
      </c>
      <c r="C67">
        <v>15</v>
      </c>
      <c r="D67" s="34">
        <f t="shared" si="3"/>
        <v>19</v>
      </c>
      <c r="E67" t="s">
        <v>69</v>
      </c>
      <c r="F67">
        <v>4</v>
      </c>
    </row>
    <row r="68" spans="1:6">
      <c r="A68" t="str">
        <f>VLOOKUP(B68,时间段对照!$D$13:$E$37,2,0)</f>
        <v>6：00-7：00</v>
      </c>
      <c r="B68">
        <f t="shared" ref="B68:B99" si="4">IF(C68+D68&gt;=24,C68+D68-24,C68+D68)</f>
        <v>6</v>
      </c>
      <c r="C68">
        <v>15</v>
      </c>
      <c r="D68" s="34">
        <f t="shared" ref="D68:D99" si="5">IF(MID(E68,12,2)-7&lt;0,MID(E68,12,2)-7+24,MID(E68,12,2)-7)</f>
        <v>15</v>
      </c>
      <c r="E68" t="s">
        <v>70</v>
      </c>
      <c r="F68">
        <v>7</v>
      </c>
    </row>
    <row r="69" spans="1:6">
      <c r="A69" t="str">
        <f>VLOOKUP(B69,时间段对照!$D$13:$E$37,2,0)</f>
        <v>6：00-7：00</v>
      </c>
      <c r="B69">
        <f t="shared" si="4"/>
        <v>6</v>
      </c>
      <c r="C69">
        <v>15</v>
      </c>
      <c r="D69" s="34">
        <f t="shared" si="5"/>
        <v>15</v>
      </c>
      <c r="E69" t="s">
        <v>71</v>
      </c>
      <c r="F69">
        <v>5</v>
      </c>
    </row>
    <row r="70" spans="1:6">
      <c r="A70" t="str">
        <f>VLOOKUP(B70,时间段对照!$D$13:$E$37,2,0)</f>
        <v>6：00-7：00</v>
      </c>
      <c r="B70">
        <f t="shared" si="4"/>
        <v>6</v>
      </c>
      <c r="C70">
        <v>15</v>
      </c>
      <c r="D70" s="34">
        <f t="shared" si="5"/>
        <v>15</v>
      </c>
      <c r="E70" t="s">
        <v>72</v>
      </c>
      <c r="F70">
        <v>6</v>
      </c>
    </row>
    <row r="71" spans="1:6">
      <c r="A71" t="str">
        <f>VLOOKUP(B71,时间段对照!$D$13:$E$37,2,0)</f>
        <v>6：00-7：00</v>
      </c>
      <c r="B71">
        <f t="shared" si="4"/>
        <v>6</v>
      </c>
      <c r="C71">
        <v>15</v>
      </c>
      <c r="D71" s="34">
        <f t="shared" si="5"/>
        <v>15</v>
      </c>
      <c r="E71" t="s">
        <v>73</v>
      </c>
      <c r="F71">
        <v>10</v>
      </c>
    </row>
    <row r="72" spans="1:6">
      <c r="A72" t="str">
        <f>VLOOKUP(B72,时间段对照!$D$13:$E$37,2,0)</f>
        <v>6：00-7：00</v>
      </c>
      <c r="B72">
        <f t="shared" si="4"/>
        <v>6</v>
      </c>
      <c r="C72">
        <v>15</v>
      </c>
      <c r="D72" s="34">
        <f t="shared" si="5"/>
        <v>15</v>
      </c>
      <c r="E72" t="s">
        <v>74</v>
      </c>
      <c r="F72">
        <v>8</v>
      </c>
    </row>
    <row r="73" spans="1:6">
      <c r="A73" t="str">
        <f>VLOOKUP(B73,时间段对照!$D$13:$E$37,2,0)</f>
        <v>5：00-6：00</v>
      </c>
      <c r="B73">
        <f t="shared" si="4"/>
        <v>5</v>
      </c>
      <c r="C73">
        <v>15</v>
      </c>
      <c r="D73" s="34">
        <f t="shared" si="5"/>
        <v>14</v>
      </c>
      <c r="E73" t="s">
        <v>75</v>
      </c>
      <c r="F73">
        <v>9</v>
      </c>
    </row>
    <row r="74" spans="1:6">
      <c r="A74" t="str">
        <f>VLOOKUP(B74,时间段对照!$D$13:$E$37,2,0)</f>
        <v>5：00-6：00</v>
      </c>
      <c r="B74">
        <f t="shared" si="4"/>
        <v>5</v>
      </c>
      <c r="C74">
        <v>15</v>
      </c>
      <c r="D74" s="34">
        <f t="shared" si="5"/>
        <v>14</v>
      </c>
      <c r="E74" t="s">
        <v>75</v>
      </c>
      <c r="F74">
        <v>4</v>
      </c>
    </row>
    <row r="75" spans="1:6">
      <c r="A75" t="str">
        <f>VLOOKUP(B75,时间段对照!$D$13:$E$37,2,0)</f>
        <v>5：00-6：00</v>
      </c>
      <c r="B75">
        <f t="shared" si="4"/>
        <v>5</v>
      </c>
      <c r="C75">
        <v>15</v>
      </c>
      <c r="D75" s="34">
        <f t="shared" si="5"/>
        <v>14</v>
      </c>
      <c r="E75" t="s">
        <v>76</v>
      </c>
      <c r="F75">
        <v>8</v>
      </c>
    </row>
    <row r="76" spans="1:6">
      <c r="A76" t="str">
        <f>VLOOKUP(B76,时间段对照!$D$13:$E$37,2,0)</f>
        <v>5：00-6：00</v>
      </c>
      <c r="B76">
        <f t="shared" si="4"/>
        <v>5</v>
      </c>
      <c r="C76">
        <v>15</v>
      </c>
      <c r="D76" s="34">
        <f t="shared" si="5"/>
        <v>14</v>
      </c>
      <c r="E76" t="s">
        <v>77</v>
      </c>
      <c r="F76">
        <v>9</v>
      </c>
    </row>
    <row r="77" spans="1:6">
      <c r="A77" t="str">
        <f>VLOOKUP(B77,时间段对照!$D$13:$E$37,2,0)</f>
        <v>5：00-6：00</v>
      </c>
      <c r="B77">
        <f t="shared" si="4"/>
        <v>5</v>
      </c>
      <c r="C77">
        <v>15</v>
      </c>
      <c r="D77" s="34">
        <f t="shared" si="5"/>
        <v>14</v>
      </c>
      <c r="E77" t="s">
        <v>78</v>
      </c>
      <c r="F77">
        <v>4</v>
      </c>
    </row>
    <row r="78" spans="1:6">
      <c r="A78" t="str">
        <f>VLOOKUP(B78,时间段对照!$D$13:$E$37,2,0)</f>
        <v>3：00-4：00</v>
      </c>
      <c r="B78">
        <f t="shared" si="4"/>
        <v>3</v>
      </c>
      <c r="C78">
        <v>15</v>
      </c>
      <c r="D78" s="34">
        <f t="shared" si="5"/>
        <v>12</v>
      </c>
      <c r="E78" t="s">
        <v>79</v>
      </c>
      <c r="F78">
        <v>5</v>
      </c>
    </row>
    <row r="79" spans="1:6">
      <c r="A79" t="str">
        <f>VLOOKUP(B79,时间段对照!$D$13:$E$37,2,0)</f>
        <v>3：00-4：00</v>
      </c>
      <c r="B79">
        <f t="shared" si="4"/>
        <v>3</v>
      </c>
      <c r="C79">
        <v>15</v>
      </c>
      <c r="D79" s="34">
        <f t="shared" si="5"/>
        <v>12</v>
      </c>
      <c r="E79" t="s">
        <v>80</v>
      </c>
      <c r="F79">
        <v>2</v>
      </c>
    </row>
    <row r="80" spans="1:6">
      <c r="A80" t="str">
        <f>VLOOKUP(B80,时间段对照!$D$13:$E$37,2,0)</f>
        <v>1：00-2：00</v>
      </c>
      <c r="B80">
        <f t="shared" si="4"/>
        <v>1</v>
      </c>
      <c r="C80">
        <v>15</v>
      </c>
      <c r="D80" s="34">
        <f t="shared" si="5"/>
        <v>10</v>
      </c>
      <c r="E80" t="s">
        <v>81</v>
      </c>
      <c r="F80">
        <v>4</v>
      </c>
    </row>
    <row r="81" spans="1:6">
      <c r="A81" t="str">
        <f>VLOOKUP(B81,时间段对照!$D$13:$E$37,2,0)</f>
        <v>1：00-2：00</v>
      </c>
      <c r="B81">
        <f t="shared" si="4"/>
        <v>1</v>
      </c>
      <c r="C81">
        <v>15</v>
      </c>
      <c r="D81" s="34">
        <f t="shared" si="5"/>
        <v>10</v>
      </c>
      <c r="E81" t="s">
        <v>82</v>
      </c>
      <c r="F81">
        <v>7</v>
      </c>
    </row>
    <row r="82" spans="1:6">
      <c r="A82" t="str">
        <f>VLOOKUP(B82,时间段对照!$D$13:$E$37,2,0)</f>
        <v>0：00-1：00</v>
      </c>
      <c r="B82">
        <f t="shared" si="4"/>
        <v>0</v>
      </c>
      <c r="C82">
        <v>15</v>
      </c>
      <c r="D82" s="34">
        <f t="shared" si="5"/>
        <v>9</v>
      </c>
      <c r="E82" t="s">
        <v>83</v>
      </c>
      <c r="F82">
        <v>8</v>
      </c>
    </row>
    <row r="83" spans="1:6">
      <c r="A83" t="str">
        <f>VLOOKUP(B83,时间段对照!$D$13:$E$37,2,0)</f>
        <v>0：00-1：00</v>
      </c>
      <c r="B83">
        <f t="shared" si="4"/>
        <v>0</v>
      </c>
      <c r="C83">
        <v>15</v>
      </c>
      <c r="D83" s="34">
        <f t="shared" si="5"/>
        <v>9</v>
      </c>
      <c r="E83" t="s">
        <v>84</v>
      </c>
      <c r="F83">
        <v>4</v>
      </c>
    </row>
    <row r="84" spans="1:6">
      <c r="A84" t="str">
        <f>VLOOKUP(B84,时间段对照!$D$13:$E$37,2,0)</f>
        <v>0：00-1：00</v>
      </c>
      <c r="B84">
        <f t="shared" si="4"/>
        <v>0</v>
      </c>
      <c r="C84">
        <v>15</v>
      </c>
      <c r="D84" s="34">
        <f t="shared" si="5"/>
        <v>9</v>
      </c>
      <c r="E84" t="s">
        <v>85</v>
      </c>
      <c r="F84">
        <v>7</v>
      </c>
    </row>
    <row r="85" spans="1:6">
      <c r="A85" t="str">
        <f>VLOOKUP(B85,时间段对照!$D$13:$E$37,2,0)</f>
        <v>0：00-1：00</v>
      </c>
      <c r="B85">
        <f t="shared" si="4"/>
        <v>0</v>
      </c>
      <c r="C85">
        <v>15</v>
      </c>
      <c r="D85" s="34">
        <f t="shared" si="5"/>
        <v>9</v>
      </c>
      <c r="E85" t="s">
        <v>86</v>
      </c>
      <c r="F85">
        <v>5</v>
      </c>
    </row>
    <row r="86" spans="1:6">
      <c r="A86" t="str">
        <f>VLOOKUP(B86,时间段对照!$D$13:$E$37,2,0)</f>
        <v>23：00-0：00</v>
      </c>
      <c r="B86">
        <f t="shared" si="4"/>
        <v>23</v>
      </c>
      <c r="C86">
        <v>15</v>
      </c>
      <c r="D86" s="34">
        <f t="shared" si="5"/>
        <v>8</v>
      </c>
      <c r="E86" t="s">
        <v>87</v>
      </c>
      <c r="F86">
        <v>3</v>
      </c>
    </row>
    <row r="87" spans="1:6">
      <c r="A87" t="str">
        <f>VLOOKUP(B87,时间段对照!$D$13:$E$37,2,0)</f>
        <v>23：00-0：00</v>
      </c>
      <c r="B87">
        <f t="shared" si="4"/>
        <v>23</v>
      </c>
      <c r="C87">
        <v>15</v>
      </c>
      <c r="D87" s="34">
        <f t="shared" si="5"/>
        <v>8</v>
      </c>
      <c r="E87" t="s">
        <v>88</v>
      </c>
      <c r="F87">
        <v>1</v>
      </c>
    </row>
    <row r="88" spans="1:6">
      <c r="A88" t="str">
        <f>VLOOKUP(B88,时间段对照!$D$13:$E$37,2,0)</f>
        <v>22：00-23：00</v>
      </c>
      <c r="B88">
        <f t="shared" si="4"/>
        <v>22</v>
      </c>
      <c r="C88">
        <v>15</v>
      </c>
      <c r="D88" s="34">
        <f t="shared" si="5"/>
        <v>7</v>
      </c>
      <c r="E88" t="s">
        <v>89</v>
      </c>
      <c r="F88">
        <v>6</v>
      </c>
    </row>
    <row r="89" spans="1:6">
      <c r="A89" t="str">
        <f>VLOOKUP(B89,时间段对照!$D$13:$E$37,2,0)</f>
        <v>20：00-21：00</v>
      </c>
      <c r="B89">
        <f t="shared" si="4"/>
        <v>20</v>
      </c>
      <c r="C89">
        <v>15</v>
      </c>
      <c r="D89" s="34">
        <f t="shared" si="5"/>
        <v>5</v>
      </c>
      <c r="E89" t="s">
        <v>90</v>
      </c>
      <c r="F89">
        <v>7</v>
      </c>
    </row>
    <row r="90" spans="1:6">
      <c r="A90" t="str">
        <f>VLOOKUP(B90,时间段对照!$D$13:$E$37,2,0)</f>
        <v>19：00-20：00</v>
      </c>
      <c r="B90">
        <f t="shared" si="4"/>
        <v>19</v>
      </c>
      <c r="C90">
        <v>15</v>
      </c>
      <c r="D90" s="34">
        <f t="shared" si="5"/>
        <v>4</v>
      </c>
      <c r="E90" t="s">
        <v>91</v>
      </c>
      <c r="F90">
        <v>6</v>
      </c>
    </row>
    <row r="91" spans="1:6">
      <c r="A91" t="str">
        <f>VLOOKUP(B91,时间段对照!$D$13:$E$37,2,0)</f>
        <v>19：00-20：00</v>
      </c>
      <c r="B91">
        <f t="shared" si="4"/>
        <v>19</v>
      </c>
      <c r="C91">
        <v>15</v>
      </c>
      <c r="D91" s="34">
        <f t="shared" si="5"/>
        <v>4</v>
      </c>
      <c r="E91" t="s">
        <v>92</v>
      </c>
      <c r="F91">
        <v>4</v>
      </c>
    </row>
    <row r="92" spans="1:6">
      <c r="A92" t="str">
        <f>VLOOKUP(B92,时间段对照!$D$13:$E$37,2,0)</f>
        <v>17：00-18：00</v>
      </c>
      <c r="B92">
        <f t="shared" si="4"/>
        <v>17</v>
      </c>
      <c r="C92">
        <v>15</v>
      </c>
      <c r="D92" s="34">
        <f t="shared" si="5"/>
        <v>2</v>
      </c>
      <c r="E92" t="s">
        <v>93</v>
      </c>
      <c r="F92">
        <v>6</v>
      </c>
    </row>
    <row r="93" spans="1:6">
      <c r="A93" t="str">
        <f>VLOOKUP(B93,时间段对照!$D$13:$E$37,2,0)</f>
        <v>16：00-17：00</v>
      </c>
      <c r="B93">
        <f t="shared" si="4"/>
        <v>16</v>
      </c>
      <c r="C93">
        <v>15</v>
      </c>
      <c r="D93" s="34">
        <f t="shared" si="5"/>
        <v>1</v>
      </c>
      <c r="E93" t="s">
        <v>94</v>
      </c>
      <c r="F93">
        <v>5</v>
      </c>
    </row>
    <row r="94" spans="1:6">
      <c r="A94" t="str">
        <f>VLOOKUP(B94,时间段对照!$D$13:$E$37,2,0)</f>
        <v>14：00-15：00</v>
      </c>
      <c r="B94">
        <f t="shared" si="4"/>
        <v>14</v>
      </c>
      <c r="C94">
        <v>15</v>
      </c>
      <c r="D94" s="34">
        <f t="shared" si="5"/>
        <v>23</v>
      </c>
      <c r="E94" t="s">
        <v>95</v>
      </c>
      <c r="F94">
        <v>4</v>
      </c>
    </row>
    <row r="95" spans="1:6">
      <c r="A95" t="str">
        <f>VLOOKUP(B95,时间段对照!$D$13:$E$37,2,0)</f>
        <v>14：00-15：00</v>
      </c>
      <c r="B95">
        <f t="shared" si="4"/>
        <v>14</v>
      </c>
      <c r="C95">
        <v>15</v>
      </c>
      <c r="D95" s="34">
        <f t="shared" si="5"/>
        <v>23</v>
      </c>
      <c r="E95" t="s">
        <v>96</v>
      </c>
      <c r="F95">
        <v>3</v>
      </c>
    </row>
    <row r="96" spans="1:6">
      <c r="A96" t="str">
        <f>VLOOKUP(B96,时间段对照!$D$13:$E$37,2,0)</f>
        <v>14：00-15：00</v>
      </c>
      <c r="B96">
        <f t="shared" si="4"/>
        <v>14</v>
      </c>
      <c r="C96">
        <v>15</v>
      </c>
      <c r="D96" s="34">
        <f t="shared" si="5"/>
        <v>23</v>
      </c>
      <c r="E96" t="s">
        <v>97</v>
      </c>
      <c r="F96">
        <v>2</v>
      </c>
    </row>
    <row r="97" spans="1:6">
      <c r="A97" t="str">
        <f>VLOOKUP(B97,时间段对照!$D$13:$E$37,2,0)</f>
        <v>13：00-14：00</v>
      </c>
      <c r="B97">
        <f t="shared" si="4"/>
        <v>13</v>
      </c>
      <c r="C97">
        <v>15</v>
      </c>
      <c r="D97" s="34">
        <f t="shared" si="5"/>
        <v>22</v>
      </c>
      <c r="E97" t="s">
        <v>98</v>
      </c>
      <c r="F97">
        <v>1</v>
      </c>
    </row>
    <row r="98" spans="1:6">
      <c r="A98" t="str">
        <f>VLOOKUP(B98,时间段对照!$D$13:$E$37,2,0)</f>
        <v>12：00-13：00</v>
      </c>
      <c r="B98">
        <f t="shared" si="4"/>
        <v>12</v>
      </c>
      <c r="C98">
        <v>15</v>
      </c>
      <c r="D98" s="34">
        <f t="shared" si="5"/>
        <v>21</v>
      </c>
      <c r="E98" t="s">
        <v>99</v>
      </c>
      <c r="F98">
        <v>13</v>
      </c>
    </row>
    <row r="99" spans="1:6">
      <c r="A99" t="str">
        <f>VLOOKUP(B99,时间段对照!$D$13:$E$37,2,0)</f>
        <v>12：00-13：00</v>
      </c>
      <c r="B99">
        <f t="shared" si="4"/>
        <v>12</v>
      </c>
      <c r="C99">
        <v>15</v>
      </c>
      <c r="D99" s="34">
        <f t="shared" si="5"/>
        <v>21</v>
      </c>
      <c r="E99" t="s">
        <v>100</v>
      </c>
      <c r="F99">
        <v>1</v>
      </c>
    </row>
    <row r="100" spans="1:6">
      <c r="A100" t="str">
        <f>VLOOKUP(B100,时间段对照!$D$13:$E$37,2,0)</f>
        <v>10：00-11：00</v>
      </c>
      <c r="B100">
        <f t="shared" ref="B100:B131" si="6">IF(C100+D100&gt;=24,C100+D100-24,C100+D100)</f>
        <v>10</v>
      </c>
      <c r="C100">
        <v>15</v>
      </c>
      <c r="D100" s="34">
        <f t="shared" ref="D100:D131" si="7">IF(MID(E100,12,2)-7&lt;0,MID(E100,12,2)-7+24,MID(E100,12,2)-7)</f>
        <v>19</v>
      </c>
      <c r="E100" t="s">
        <v>101</v>
      </c>
      <c r="F100">
        <v>4</v>
      </c>
    </row>
    <row r="101" spans="1:6">
      <c r="A101" t="str">
        <f>VLOOKUP(B101,时间段对照!$D$13:$E$37,2,0)</f>
        <v>6：00-7：00</v>
      </c>
      <c r="B101">
        <f t="shared" si="6"/>
        <v>6</v>
      </c>
      <c r="C101">
        <v>15</v>
      </c>
      <c r="D101" s="34">
        <f t="shared" si="7"/>
        <v>15</v>
      </c>
      <c r="E101" t="s">
        <v>102</v>
      </c>
      <c r="F101">
        <v>3</v>
      </c>
    </row>
    <row r="102" spans="1:6">
      <c r="A102" t="str">
        <f>VLOOKUP(B102,时间段对照!$D$13:$E$37,2,0)</f>
        <v>6：00-7：00</v>
      </c>
      <c r="B102">
        <f t="shared" si="6"/>
        <v>6</v>
      </c>
      <c r="C102">
        <v>15</v>
      </c>
      <c r="D102" s="34">
        <f t="shared" si="7"/>
        <v>15</v>
      </c>
      <c r="E102" t="s">
        <v>103</v>
      </c>
      <c r="F102">
        <v>4</v>
      </c>
    </row>
    <row r="103" spans="1:6">
      <c r="A103" t="str">
        <f>VLOOKUP(B103,时间段对照!$D$13:$E$37,2,0)</f>
        <v>6：00-7：00</v>
      </c>
      <c r="B103">
        <f t="shared" si="6"/>
        <v>6</v>
      </c>
      <c r="C103">
        <v>15</v>
      </c>
      <c r="D103" s="34">
        <f t="shared" si="7"/>
        <v>15</v>
      </c>
      <c r="E103" t="s">
        <v>104</v>
      </c>
      <c r="F103">
        <v>5</v>
      </c>
    </row>
    <row r="104" spans="1:6">
      <c r="A104" t="str">
        <f>VLOOKUP(B104,时间段对照!$D$13:$E$37,2,0)</f>
        <v>6：00-7：00</v>
      </c>
      <c r="B104">
        <f t="shared" si="6"/>
        <v>6</v>
      </c>
      <c r="C104">
        <v>15</v>
      </c>
      <c r="D104" s="34">
        <f t="shared" si="7"/>
        <v>15</v>
      </c>
      <c r="E104" t="s">
        <v>105</v>
      </c>
      <c r="F104">
        <v>6</v>
      </c>
    </row>
    <row r="105" spans="1:6">
      <c r="A105" t="str">
        <f>VLOOKUP(B105,时间段对照!$D$13:$E$37,2,0)</f>
        <v>6：00-7：00</v>
      </c>
      <c r="B105">
        <f t="shared" si="6"/>
        <v>6</v>
      </c>
      <c r="C105">
        <v>15</v>
      </c>
      <c r="D105" s="34">
        <f t="shared" si="7"/>
        <v>15</v>
      </c>
      <c r="E105" t="s">
        <v>106</v>
      </c>
      <c r="F105">
        <v>9</v>
      </c>
    </row>
    <row r="106" spans="1:6">
      <c r="A106" t="str">
        <f>VLOOKUP(B106,时间段对照!$D$13:$E$37,2,0)</f>
        <v>5：00-6：00</v>
      </c>
      <c r="B106">
        <f t="shared" si="6"/>
        <v>5</v>
      </c>
      <c r="C106">
        <v>15</v>
      </c>
      <c r="D106" s="34">
        <f t="shared" si="7"/>
        <v>14</v>
      </c>
      <c r="E106" t="s">
        <v>107</v>
      </c>
      <c r="F106">
        <v>8</v>
      </c>
    </row>
    <row r="107" spans="1:6">
      <c r="A107" t="str">
        <f>VLOOKUP(B107,时间段对照!$D$13:$E$37,2,0)</f>
        <v>5：00-6：00</v>
      </c>
      <c r="B107">
        <f t="shared" si="6"/>
        <v>5</v>
      </c>
      <c r="C107">
        <v>15</v>
      </c>
      <c r="D107" s="34">
        <f t="shared" si="7"/>
        <v>14</v>
      </c>
      <c r="E107" t="s">
        <v>107</v>
      </c>
      <c r="F107">
        <v>6</v>
      </c>
    </row>
    <row r="108" spans="1:6">
      <c r="A108" t="str">
        <f>VLOOKUP(B108,时间段对照!$D$13:$E$37,2,0)</f>
        <v>5：00-6：00</v>
      </c>
      <c r="B108">
        <f t="shared" si="6"/>
        <v>5</v>
      </c>
      <c r="C108">
        <v>15</v>
      </c>
      <c r="D108" s="34">
        <f t="shared" si="7"/>
        <v>14</v>
      </c>
      <c r="E108" t="s">
        <v>108</v>
      </c>
      <c r="F108">
        <v>5</v>
      </c>
    </row>
    <row r="109" spans="1:6">
      <c r="A109" t="str">
        <f>VLOOKUP(B109,时间段对照!$D$13:$E$37,2,0)</f>
        <v>5：00-6：00</v>
      </c>
      <c r="B109">
        <f t="shared" si="6"/>
        <v>5</v>
      </c>
      <c r="C109">
        <v>15</v>
      </c>
      <c r="D109" s="34">
        <f t="shared" si="7"/>
        <v>14</v>
      </c>
      <c r="E109" t="s">
        <v>109</v>
      </c>
      <c r="F109">
        <v>6</v>
      </c>
    </row>
    <row r="110" spans="1:6">
      <c r="A110" t="str">
        <f>VLOOKUP(B110,时间段对照!$D$13:$E$37,2,0)</f>
        <v>5：00-6：00</v>
      </c>
      <c r="B110">
        <f t="shared" si="6"/>
        <v>5</v>
      </c>
      <c r="C110">
        <v>15</v>
      </c>
      <c r="D110" s="34">
        <f t="shared" si="7"/>
        <v>14</v>
      </c>
      <c r="E110" t="s">
        <v>110</v>
      </c>
      <c r="F110">
        <v>5</v>
      </c>
    </row>
    <row r="111" spans="1:6">
      <c r="A111" t="str">
        <f>VLOOKUP(B111,时间段对照!$D$13:$E$37,2,0)</f>
        <v>3：00-4：00</v>
      </c>
      <c r="B111">
        <f t="shared" si="6"/>
        <v>3</v>
      </c>
      <c r="C111">
        <v>15</v>
      </c>
      <c r="D111" s="34">
        <f t="shared" si="7"/>
        <v>12</v>
      </c>
      <c r="E111" t="s">
        <v>111</v>
      </c>
      <c r="F111">
        <v>4</v>
      </c>
    </row>
    <row r="112" spans="1:6">
      <c r="A112" t="str">
        <f>VLOOKUP(B112,时间段对照!$D$13:$E$37,2,0)</f>
        <v>3：00-4：00</v>
      </c>
      <c r="B112">
        <f t="shared" si="6"/>
        <v>3</v>
      </c>
      <c r="C112">
        <v>15</v>
      </c>
      <c r="D112" s="34">
        <f t="shared" si="7"/>
        <v>12</v>
      </c>
      <c r="E112" t="s">
        <v>112</v>
      </c>
      <c r="F112">
        <v>3</v>
      </c>
    </row>
    <row r="113" spans="1:6">
      <c r="A113" t="str">
        <f>VLOOKUP(B113,时间段对照!$D$13:$E$37,2,0)</f>
        <v>1：00-2：00</v>
      </c>
      <c r="B113">
        <f t="shared" si="6"/>
        <v>1</v>
      </c>
      <c r="C113">
        <v>15</v>
      </c>
      <c r="D113" s="34">
        <f t="shared" si="7"/>
        <v>10</v>
      </c>
      <c r="E113" t="s">
        <v>113</v>
      </c>
      <c r="F113">
        <v>2</v>
      </c>
    </row>
    <row r="114" spans="1:6">
      <c r="A114" t="str">
        <f>VLOOKUP(B114,时间段对照!$D$13:$E$37,2,0)</f>
        <v>1：00-2：00</v>
      </c>
      <c r="B114">
        <f t="shared" si="6"/>
        <v>1</v>
      </c>
      <c r="C114">
        <v>15</v>
      </c>
      <c r="D114" s="34">
        <f t="shared" si="7"/>
        <v>10</v>
      </c>
      <c r="E114" t="s">
        <v>114</v>
      </c>
      <c r="F114">
        <v>1</v>
      </c>
    </row>
    <row r="115" spans="1:6">
      <c r="A115" t="str">
        <f>VLOOKUP(B115,时间段对照!$D$13:$E$37,2,0)</f>
        <v>0：00-1：00</v>
      </c>
      <c r="B115">
        <f t="shared" si="6"/>
        <v>0</v>
      </c>
      <c r="C115">
        <v>15</v>
      </c>
      <c r="D115" s="34">
        <f t="shared" si="7"/>
        <v>9</v>
      </c>
      <c r="E115" t="s">
        <v>115</v>
      </c>
      <c r="F115">
        <v>13</v>
      </c>
    </row>
    <row r="116" spans="1:6">
      <c r="A116" t="str">
        <f>VLOOKUP(B116,时间段对照!$D$13:$E$37,2,0)</f>
        <v>0：00-1：00</v>
      </c>
      <c r="B116">
        <f t="shared" si="6"/>
        <v>0</v>
      </c>
      <c r="C116">
        <v>15</v>
      </c>
      <c r="D116" s="34">
        <f t="shared" si="7"/>
        <v>9</v>
      </c>
      <c r="E116" t="s">
        <v>116</v>
      </c>
      <c r="F116">
        <v>4</v>
      </c>
    </row>
    <row r="117" spans="1:6">
      <c r="A117" t="str">
        <f>VLOOKUP(B117,时间段对照!$D$13:$E$37,2,0)</f>
        <v>0：00-1：00</v>
      </c>
      <c r="B117">
        <f t="shared" si="6"/>
        <v>0</v>
      </c>
      <c r="C117">
        <v>15</v>
      </c>
      <c r="D117" s="34">
        <f t="shared" si="7"/>
        <v>9</v>
      </c>
      <c r="E117" t="s">
        <v>117</v>
      </c>
      <c r="F117">
        <v>5</v>
      </c>
    </row>
    <row r="118" spans="1:6">
      <c r="A118" t="str">
        <f>VLOOKUP(B118,时间段对照!$D$13:$E$37,2,0)</f>
        <v>0：00-1：00</v>
      </c>
      <c r="B118">
        <f t="shared" si="6"/>
        <v>0</v>
      </c>
      <c r="C118">
        <v>15</v>
      </c>
      <c r="D118" s="34">
        <f t="shared" si="7"/>
        <v>9</v>
      </c>
      <c r="E118" t="s">
        <v>118</v>
      </c>
      <c r="F118">
        <v>11</v>
      </c>
    </row>
    <row r="119" spans="1:6">
      <c r="A119" t="str">
        <f>VLOOKUP(B119,时间段对照!$D$13:$E$37,2,0)</f>
        <v>23：00-0：00</v>
      </c>
      <c r="B119">
        <f t="shared" si="6"/>
        <v>23</v>
      </c>
      <c r="C119">
        <v>15</v>
      </c>
      <c r="D119" s="34">
        <f t="shared" si="7"/>
        <v>8</v>
      </c>
      <c r="E119" t="s">
        <v>119</v>
      </c>
      <c r="F119">
        <v>5</v>
      </c>
    </row>
    <row r="120" spans="1:6">
      <c r="A120" t="str">
        <f>VLOOKUP(B120,时间段对照!$D$13:$E$37,2,0)</f>
        <v>23：00-0：00</v>
      </c>
      <c r="B120">
        <f t="shared" si="6"/>
        <v>23</v>
      </c>
      <c r="C120">
        <v>15</v>
      </c>
      <c r="D120" s="34">
        <f t="shared" si="7"/>
        <v>8</v>
      </c>
      <c r="E120" t="s">
        <v>120</v>
      </c>
      <c r="F120">
        <v>6</v>
      </c>
    </row>
    <row r="121" spans="1:6">
      <c r="A121" t="str">
        <f>VLOOKUP(B121,时间段对照!$D$13:$E$37,2,0)</f>
        <v>22：00-23：00</v>
      </c>
      <c r="B121">
        <f t="shared" si="6"/>
        <v>22</v>
      </c>
      <c r="C121">
        <v>15</v>
      </c>
      <c r="D121" s="34">
        <f t="shared" si="7"/>
        <v>7</v>
      </c>
      <c r="E121" t="s">
        <v>121</v>
      </c>
      <c r="F121">
        <v>9</v>
      </c>
    </row>
    <row r="122" spans="1:6">
      <c r="A122" t="str">
        <f>VLOOKUP(B122,时间段对照!$D$13:$E$37,2,0)</f>
        <v>20：00-21：00</v>
      </c>
      <c r="B122">
        <f t="shared" si="6"/>
        <v>20</v>
      </c>
      <c r="C122">
        <v>15</v>
      </c>
      <c r="D122" s="34">
        <f t="shared" si="7"/>
        <v>5</v>
      </c>
      <c r="E122" t="s">
        <v>122</v>
      </c>
      <c r="F122">
        <v>3</v>
      </c>
    </row>
    <row r="123" spans="1:6">
      <c r="A123" t="str">
        <f>VLOOKUP(B123,时间段对照!$D$13:$E$37,2,0)</f>
        <v>19：00-20：00</v>
      </c>
      <c r="B123">
        <f t="shared" si="6"/>
        <v>19</v>
      </c>
      <c r="C123">
        <v>15</v>
      </c>
      <c r="D123" s="34">
        <f t="shared" si="7"/>
        <v>4</v>
      </c>
      <c r="E123" t="s">
        <v>123</v>
      </c>
      <c r="F123">
        <v>1</v>
      </c>
    </row>
    <row r="124" spans="1:6">
      <c r="A124" t="str">
        <f>VLOOKUP(B124,时间段对照!$D$13:$E$37,2,0)</f>
        <v>19：00-20：00</v>
      </c>
      <c r="B124">
        <f t="shared" si="6"/>
        <v>19</v>
      </c>
      <c r="C124">
        <v>15</v>
      </c>
      <c r="D124" s="34">
        <f t="shared" si="7"/>
        <v>4</v>
      </c>
      <c r="E124" t="s">
        <v>124</v>
      </c>
      <c r="F124">
        <v>15</v>
      </c>
    </row>
    <row r="125" spans="1:6">
      <c r="A125" t="str">
        <f>VLOOKUP(B125,时间段对照!$D$13:$E$37,2,0)</f>
        <v>17：00-18：00</v>
      </c>
      <c r="B125">
        <f t="shared" si="6"/>
        <v>17</v>
      </c>
      <c r="C125">
        <v>15</v>
      </c>
      <c r="D125" s="34">
        <f t="shared" si="7"/>
        <v>2</v>
      </c>
      <c r="E125" t="s">
        <v>125</v>
      </c>
      <c r="F125">
        <v>18</v>
      </c>
    </row>
    <row r="126" spans="1:6">
      <c r="A126" t="str">
        <f>VLOOKUP(B126,时间段对照!$D$13:$E$37,2,0)</f>
        <v>16：00-17：00</v>
      </c>
      <c r="B126">
        <f t="shared" si="6"/>
        <v>16</v>
      </c>
      <c r="C126">
        <v>15</v>
      </c>
      <c r="D126" s="34">
        <f t="shared" si="7"/>
        <v>1</v>
      </c>
      <c r="E126" t="s">
        <v>126</v>
      </c>
      <c r="F126">
        <v>21</v>
      </c>
    </row>
    <row r="127" spans="1:6">
      <c r="A127" t="str">
        <f>VLOOKUP(B127,时间段对照!$D$13:$E$37,2,0)</f>
        <v>13：00-14：00</v>
      </c>
      <c r="B127">
        <f t="shared" si="6"/>
        <v>13</v>
      </c>
      <c r="C127">
        <v>15</v>
      </c>
      <c r="D127" s="34">
        <f t="shared" si="7"/>
        <v>22</v>
      </c>
      <c r="E127" t="s">
        <v>127</v>
      </c>
      <c r="F127">
        <v>7</v>
      </c>
    </row>
    <row r="128" spans="1:6">
      <c r="A128" t="str">
        <f>VLOOKUP(B128,时间段对照!$D$13:$E$37,2,0)</f>
        <v>13：00-14：00</v>
      </c>
      <c r="B128">
        <f t="shared" si="6"/>
        <v>13</v>
      </c>
      <c r="C128">
        <v>15</v>
      </c>
      <c r="D128" s="34">
        <f t="shared" si="7"/>
        <v>22</v>
      </c>
      <c r="E128" t="s">
        <v>128</v>
      </c>
      <c r="F128">
        <v>8</v>
      </c>
    </row>
    <row r="129" spans="1:6">
      <c r="A129" t="str">
        <f>VLOOKUP(B129,时间段对照!$D$13:$E$37,2,0)</f>
        <v>13：00-14：00</v>
      </c>
      <c r="B129">
        <f t="shared" si="6"/>
        <v>13</v>
      </c>
      <c r="C129">
        <v>15</v>
      </c>
      <c r="D129" s="34">
        <f t="shared" si="7"/>
        <v>22</v>
      </c>
      <c r="E129" t="s">
        <v>129</v>
      </c>
      <c r="F129">
        <v>9</v>
      </c>
    </row>
    <row r="130" spans="1:6">
      <c r="A130" t="str">
        <f>VLOOKUP(B130,时间段对照!$D$13:$E$37,2,0)</f>
        <v>13：00-14：00</v>
      </c>
      <c r="B130">
        <f t="shared" si="6"/>
        <v>13</v>
      </c>
      <c r="C130">
        <v>15</v>
      </c>
      <c r="D130" s="34">
        <f t="shared" si="7"/>
        <v>22</v>
      </c>
      <c r="E130" t="s">
        <v>130</v>
      </c>
      <c r="F130">
        <v>4</v>
      </c>
    </row>
    <row r="131" spans="1:6">
      <c r="A131" t="str">
        <f>VLOOKUP(B131,时间段对照!$D$13:$E$37,2,0)</f>
        <v>12：00-13：00</v>
      </c>
      <c r="B131">
        <f t="shared" si="6"/>
        <v>12</v>
      </c>
      <c r="C131">
        <v>15</v>
      </c>
      <c r="D131" s="34">
        <f t="shared" si="7"/>
        <v>21</v>
      </c>
      <c r="E131" t="s">
        <v>131</v>
      </c>
      <c r="F131">
        <v>2</v>
      </c>
    </row>
    <row r="132" spans="1:6">
      <c r="A132" t="str">
        <f>VLOOKUP(B132,时间段对照!$D$13:$E$37,2,0)</f>
        <v>12：00-13：00</v>
      </c>
      <c r="B132">
        <f t="shared" ref="B132:B163" si="8">IF(C132+D132&gt;=24,C132+D132-24,C132+D132)</f>
        <v>12</v>
      </c>
      <c r="C132">
        <v>15</v>
      </c>
      <c r="D132" s="34">
        <f t="shared" ref="D132:D163" si="9">IF(MID(E132,12,2)-7&lt;0,MID(E132,12,2)-7+24,MID(E132,12,2)-7)</f>
        <v>21</v>
      </c>
      <c r="E132" t="s">
        <v>132</v>
      </c>
      <c r="F132">
        <v>7</v>
      </c>
    </row>
    <row r="133" spans="1:6">
      <c r="A133" t="str">
        <f>VLOOKUP(B133,时间段对照!$D$13:$E$37,2,0)</f>
        <v>10：00-11：00</v>
      </c>
      <c r="B133">
        <f t="shared" si="8"/>
        <v>10</v>
      </c>
      <c r="C133">
        <v>15</v>
      </c>
      <c r="D133" s="34">
        <f t="shared" si="9"/>
        <v>19</v>
      </c>
      <c r="E133" t="s">
        <v>133</v>
      </c>
      <c r="F133">
        <v>9</v>
      </c>
    </row>
    <row r="134" spans="1:6">
      <c r="A134" t="str">
        <f>VLOOKUP(B134,时间段对照!$D$13:$E$37,2,0)</f>
        <v>6：00-7：00</v>
      </c>
      <c r="B134">
        <f t="shared" si="8"/>
        <v>6</v>
      </c>
      <c r="C134">
        <v>15</v>
      </c>
      <c r="D134" s="34">
        <f t="shared" si="9"/>
        <v>15</v>
      </c>
      <c r="E134" t="s">
        <v>134</v>
      </c>
      <c r="F134">
        <v>3</v>
      </c>
    </row>
    <row r="135" spans="1:6">
      <c r="A135" t="str">
        <f>VLOOKUP(B135,时间段对照!$D$13:$E$37,2,0)</f>
        <v>6：00-7：00</v>
      </c>
      <c r="B135">
        <f t="shared" si="8"/>
        <v>6</v>
      </c>
      <c r="C135">
        <v>15</v>
      </c>
      <c r="D135" s="34">
        <f t="shared" si="9"/>
        <v>15</v>
      </c>
      <c r="E135" t="s">
        <v>135</v>
      </c>
      <c r="F135">
        <v>5</v>
      </c>
    </row>
    <row r="136" spans="1:6">
      <c r="A136" t="str">
        <f>VLOOKUP(B136,时间段对照!$D$13:$E$37,2,0)</f>
        <v>6：00-7：00</v>
      </c>
      <c r="B136">
        <f t="shared" si="8"/>
        <v>6</v>
      </c>
      <c r="C136">
        <v>15</v>
      </c>
      <c r="D136" s="34">
        <f t="shared" si="9"/>
        <v>15</v>
      </c>
      <c r="E136" t="s">
        <v>136</v>
      </c>
      <c r="F136">
        <v>4</v>
      </c>
    </row>
    <row r="137" spans="1:6">
      <c r="A137" t="str">
        <f>VLOOKUP(B137,时间段对照!$D$13:$E$37,2,0)</f>
        <v>6：00-7：00</v>
      </c>
      <c r="B137">
        <f t="shared" si="8"/>
        <v>6</v>
      </c>
      <c r="C137">
        <v>15</v>
      </c>
      <c r="D137" s="34">
        <f t="shared" si="9"/>
        <v>15</v>
      </c>
      <c r="E137" t="s">
        <v>137</v>
      </c>
      <c r="F137">
        <v>6</v>
      </c>
    </row>
    <row r="138" spans="1:6">
      <c r="A138" t="str">
        <f>VLOOKUP(B138,时间段对照!$D$13:$E$37,2,0)</f>
        <v>6：00-7：00</v>
      </c>
      <c r="B138">
        <f t="shared" si="8"/>
        <v>6</v>
      </c>
      <c r="C138">
        <v>15</v>
      </c>
      <c r="D138" s="34">
        <f t="shared" si="9"/>
        <v>15</v>
      </c>
      <c r="E138" t="s">
        <v>138</v>
      </c>
      <c r="F138">
        <v>3</v>
      </c>
    </row>
    <row r="139" spans="1:6">
      <c r="A139" t="str">
        <f>VLOOKUP(B139,时间段对照!$D$13:$E$37,2,0)</f>
        <v>5：00-6：00</v>
      </c>
      <c r="B139">
        <f t="shared" si="8"/>
        <v>5</v>
      </c>
      <c r="C139">
        <v>15</v>
      </c>
      <c r="D139" s="34">
        <f t="shared" si="9"/>
        <v>14</v>
      </c>
      <c r="E139" t="s">
        <v>139</v>
      </c>
      <c r="F139">
        <v>6</v>
      </c>
    </row>
    <row r="140" spans="1:6">
      <c r="A140" t="str">
        <f>VLOOKUP(B140,时间段对照!$D$13:$E$37,2,0)</f>
        <v>5：00-6：00</v>
      </c>
      <c r="B140">
        <f t="shared" si="8"/>
        <v>5</v>
      </c>
      <c r="C140">
        <v>15</v>
      </c>
      <c r="D140" s="34">
        <f t="shared" si="9"/>
        <v>14</v>
      </c>
      <c r="E140" t="s">
        <v>139</v>
      </c>
      <c r="F140">
        <v>5</v>
      </c>
    </row>
    <row r="141" spans="1:6">
      <c r="A141" t="str">
        <f>VLOOKUP(B141,时间段对照!$D$13:$E$37,2,0)</f>
        <v>5：00-6：00</v>
      </c>
      <c r="B141">
        <f t="shared" si="8"/>
        <v>5</v>
      </c>
      <c r="C141">
        <v>15</v>
      </c>
      <c r="D141" s="34">
        <f t="shared" si="9"/>
        <v>14</v>
      </c>
      <c r="E141" t="s">
        <v>140</v>
      </c>
      <c r="F141">
        <v>5</v>
      </c>
    </row>
    <row r="142" spans="1:6">
      <c r="A142" t="str">
        <f>VLOOKUP(B142,时间段对照!$D$13:$E$37,2,0)</f>
        <v>5：00-6：00</v>
      </c>
      <c r="B142">
        <f t="shared" si="8"/>
        <v>5</v>
      </c>
      <c r="C142">
        <v>15</v>
      </c>
      <c r="D142" s="34">
        <f t="shared" si="9"/>
        <v>14</v>
      </c>
      <c r="E142" t="s">
        <v>141</v>
      </c>
      <c r="F142">
        <v>3</v>
      </c>
    </row>
    <row r="143" spans="1:6">
      <c r="A143" t="str">
        <f>VLOOKUP(B143,时间段对照!$D$13:$E$37,2,0)</f>
        <v>5：00-6：00</v>
      </c>
      <c r="B143">
        <f t="shared" si="8"/>
        <v>5</v>
      </c>
      <c r="C143">
        <v>15</v>
      </c>
      <c r="D143" s="34">
        <f t="shared" si="9"/>
        <v>14</v>
      </c>
      <c r="E143" t="s">
        <v>142</v>
      </c>
      <c r="F143">
        <v>1</v>
      </c>
    </row>
    <row r="144" spans="1:6">
      <c r="A144" t="str">
        <f>VLOOKUP(B144,时间段对照!$D$13:$E$37,2,0)</f>
        <v>3：00-4：00</v>
      </c>
      <c r="B144">
        <f t="shared" si="8"/>
        <v>3</v>
      </c>
      <c r="C144">
        <v>15</v>
      </c>
      <c r="D144" s="34">
        <f t="shared" si="9"/>
        <v>12</v>
      </c>
      <c r="E144" t="s">
        <v>143</v>
      </c>
      <c r="F144">
        <v>5</v>
      </c>
    </row>
    <row r="145" spans="1:6">
      <c r="A145" t="str">
        <f>VLOOKUP(B145,时间段对照!$D$13:$E$37,2,0)</f>
        <v>3：00-4：00</v>
      </c>
      <c r="B145">
        <f t="shared" si="8"/>
        <v>3</v>
      </c>
      <c r="C145">
        <v>15</v>
      </c>
      <c r="D145" s="34">
        <f t="shared" si="9"/>
        <v>12</v>
      </c>
      <c r="E145" t="s">
        <v>144</v>
      </c>
      <c r="F145">
        <v>6</v>
      </c>
    </row>
    <row r="146" spans="1:6">
      <c r="A146" t="str">
        <f>VLOOKUP(B146,时间段对照!$D$13:$E$37,2,0)</f>
        <v>1：00-2：00</v>
      </c>
      <c r="B146">
        <f t="shared" si="8"/>
        <v>1</v>
      </c>
      <c r="C146">
        <v>15</v>
      </c>
      <c r="D146" s="34">
        <f t="shared" si="9"/>
        <v>10</v>
      </c>
      <c r="E146" t="s">
        <v>145</v>
      </c>
      <c r="F146">
        <v>9</v>
      </c>
    </row>
    <row r="147" spans="1:6">
      <c r="A147" t="str">
        <f>VLOOKUP(B147,时间段对照!$D$13:$E$37,2,0)</f>
        <v>1：00-2：00</v>
      </c>
      <c r="B147">
        <f t="shared" si="8"/>
        <v>1</v>
      </c>
      <c r="C147">
        <v>15</v>
      </c>
      <c r="D147" s="34">
        <f t="shared" si="9"/>
        <v>10</v>
      </c>
      <c r="E147" t="s">
        <v>146</v>
      </c>
      <c r="F147">
        <v>8</v>
      </c>
    </row>
    <row r="148" spans="1:6">
      <c r="A148" t="str">
        <f>VLOOKUP(B148,时间段对照!$D$13:$E$37,2,0)</f>
        <v>0：00-1：00</v>
      </c>
      <c r="B148">
        <f t="shared" si="8"/>
        <v>0</v>
      </c>
      <c r="C148">
        <v>15</v>
      </c>
      <c r="D148" s="34">
        <f t="shared" si="9"/>
        <v>9</v>
      </c>
      <c r="E148" t="s">
        <v>147</v>
      </c>
      <c r="F148">
        <v>6</v>
      </c>
    </row>
    <row r="149" spans="1:6">
      <c r="A149" t="str">
        <f>VLOOKUP(B149,时间段对照!$D$13:$E$37,2,0)</f>
        <v>0：00-1：00</v>
      </c>
      <c r="B149">
        <f t="shared" si="8"/>
        <v>0</v>
      </c>
      <c r="C149">
        <v>15</v>
      </c>
      <c r="D149" s="34">
        <f t="shared" si="9"/>
        <v>9</v>
      </c>
      <c r="E149" t="s">
        <v>148</v>
      </c>
      <c r="F149">
        <v>5</v>
      </c>
    </row>
    <row r="150" spans="1:6">
      <c r="A150" t="str">
        <f>VLOOKUP(B150,时间段对照!$D$13:$E$37,2,0)</f>
        <v>0：00-1：00</v>
      </c>
      <c r="B150">
        <f t="shared" si="8"/>
        <v>0</v>
      </c>
      <c r="C150">
        <v>15</v>
      </c>
      <c r="D150" s="34">
        <f t="shared" si="9"/>
        <v>9</v>
      </c>
      <c r="E150" t="s">
        <v>149</v>
      </c>
      <c r="F150">
        <v>10</v>
      </c>
    </row>
    <row r="151" spans="1:6">
      <c r="A151" t="str">
        <f>VLOOKUP(B151,时间段对照!$D$13:$E$37,2,0)</f>
        <v>0：00-1：00</v>
      </c>
      <c r="B151">
        <f t="shared" si="8"/>
        <v>0</v>
      </c>
      <c r="C151">
        <v>15</v>
      </c>
      <c r="D151" s="34">
        <f t="shared" si="9"/>
        <v>9</v>
      </c>
      <c r="E151" t="s">
        <v>150</v>
      </c>
      <c r="F151">
        <v>12</v>
      </c>
    </row>
    <row r="152" spans="1:6">
      <c r="A152" t="str">
        <f>VLOOKUP(B152,时间段对照!$D$13:$E$37,2,0)</f>
        <v>23：00-0：00</v>
      </c>
      <c r="B152">
        <f t="shared" si="8"/>
        <v>23</v>
      </c>
      <c r="C152">
        <v>15</v>
      </c>
      <c r="D152" s="34">
        <f t="shared" si="9"/>
        <v>8</v>
      </c>
      <c r="E152" t="s">
        <v>151</v>
      </c>
      <c r="F152">
        <v>11</v>
      </c>
    </row>
    <row r="153" spans="1:6">
      <c r="A153" t="str">
        <f>VLOOKUP(B153,时间段对照!$D$13:$E$37,2,0)</f>
        <v>23：00-0：00</v>
      </c>
      <c r="B153">
        <f t="shared" si="8"/>
        <v>23</v>
      </c>
      <c r="C153">
        <v>15</v>
      </c>
      <c r="D153" s="34">
        <f t="shared" si="9"/>
        <v>8</v>
      </c>
      <c r="E153" t="s">
        <v>152</v>
      </c>
      <c r="F153">
        <v>4</v>
      </c>
    </row>
    <row r="154" spans="1:6">
      <c r="A154" t="str">
        <f>VLOOKUP(B154,时间段对照!$D$13:$E$37,2,0)</f>
        <v>22：00-23：00</v>
      </c>
      <c r="B154">
        <f t="shared" si="8"/>
        <v>22</v>
      </c>
      <c r="C154">
        <v>15</v>
      </c>
      <c r="D154" s="34">
        <f t="shared" si="9"/>
        <v>7</v>
      </c>
      <c r="E154" t="s">
        <v>153</v>
      </c>
      <c r="F154">
        <v>1</v>
      </c>
    </row>
    <row r="155" spans="1:6">
      <c r="A155" t="str">
        <f>VLOOKUP(B155,时间段对照!$D$13:$E$37,2,0)</f>
        <v>20：00-21：00</v>
      </c>
      <c r="B155">
        <f t="shared" si="8"/>
        <v>20</v>
      </c>
      <c r="C155">
        <v>15</v>
      </c>
      <c r="D155" s="34">
        <f t="shared" si="9"/>
        <v>5</v>
      </c>
      <c r="E155" t="s">
        <v>154</v>
      </c>
      <c r="F155">
        <v>13</v>
      </c>
    </row>
    <row r="156" spans="1:6">
      <c r="A156" t="str">
        <f>VLOOKUP(B156,时间段对照!$D$13:$E$37,2,0)</f>
        <v>19：00-20：00</v>
      </c>
      <c r="B156">
        <f t="shared" si="8"/>
        <v>19</v>
      </c>
      <c r="C156">
        <v>15</v>
      </c>
      <c r="D156" s="34">
        <f t="shared" si="9"/>
        <v>4</v>
      </c>
      <c r="E156" t="s">
        <v>155</v>
      </c>
      <c r="F156">
        <v>15</v>
      </c>
    </row>
    <row r="157" spans="1:6">
      <c r="A157" t="str">
        <f>VLOOKUP(B157,时间段对照!$D$13:$E$37,2,0)</f>
        <v>19：00-20：00</v>
      </c>
      <c r="B157">
        <f t="shared" si="8"/>
        <v>19</v>
      </c>
      <c r="C157">
        <v>15</v>
      </c>
      <c r="D157" s="34">
        <f t="shared" si="9"/>
        <v>4</v>
      </c>
      <c r="E157" t="s">
        <v>156</v>
      </c>
      <c r="F157">
        <v>19</v>
      </c>
    </row>
    <row r="158" spans="1:6">
      <c r="A158" t="str">
        <f>VLOOKUP(B158,时间段对照!$D$13:$E$37,2,0)</f>
        <v>17：00-18：00</v>
      </c>
      <c r="B158">
        <f t="shared" si="8"/>
        <v>17</v>
      </c>
      <c r="C158">
        <v>15</v>
      </c>
      <c r="D158" s="34">
        <f t="shared" si="9"/>
        <v>2</v>
      </c>
      <c r="E158" t="s">
        <v>157</v>
      </c>
      <c r="F158">
        <v>22</v>
      </c>
    </row>
    <row r="159" spans="1:6">
      <c r="A159" t="str">
        <f>VLOOKUP(B159,时间段对照!$D$13:$E$37,2,0)</f>
        <v>16：00-17：00</v>
      </c>
      <c r="B159">
        <f t="shared" si="8"/>
        <v>16</v>
      </c>
      <c r="C159">
        <v>15</v>
      </c>
      <c r="D159" s="34">
        <f t="shared" si="9"/>
        <v>1</v>
      </c>
      <c r="E159" t="s">
        <v>158</v>
      </c>
      <c r="F159">
        <v>1</v>
      </c>
    </row>
    <row r="160" spans="1:6">
      <c r="A160" t="str">
        <f>VLOOKUP(B160,时间段对照!$D$13:$E$37,2,0)</f>
        <v>12：00-13：00</v>
      </c>
      <c r="B160">
        <f t="shared" si="8"/>
        <v>12</v>
      </c>
      <c r="C160">
        <v>15</v>
      </c>
      <c r="D160" s="34">
        <f t="shared" si="9"/>
        <v>21</v>
      </c>
      <c r="E160" t="s">
        <v>159</v>
      </c>
      <c r="F160">
        <v>21</v>
      </c>
    </row>
    <row r="161" spans="1:6">
      <c r="A161" t="str">
        <f>VLOOKUP(B161,时间段对照!$D$13:$E$37,2,0)</f>
        <v>12：00-13：00</v>
      </c>
      <c r="B161">
        <f t="shared" si="8"/>
        <v>12</v>
      </c>
      <c r="C161">
        <v>15</v>
      </c>
      <c r="D161" s="34">
        <f t="shared" si="9"/>
        <v>21</v>
      </c>
      <c r="E161" t="s">
        <v>160</v>
      </c>
      <c r="F161">
        <v>6</v>
      </c>
    </row>
    <row r="162" spans="1:6">
      <c r="A162" t="str">
        <f>VLOOKUP(B162,时间段对照!$D$13:$E$37,2,0)</f>
        <v>12：00-13：00</v>
      </c>
      <c r="B162">
        <f t="shared" si="8"/>
        <v>12</v>
      </c>
      <c r="C162">
        <v>15</v>
      </c>
      <c r="D162" s="34">
        <f t="shared" si="9"/>
        <v>21</v>
      </c>
      <c r="E162" t="s">
        <v>161</v>
      </c>
      <c r="F162">
        <v>9</v>
      </c>
    </row>
    <row r="163" spans="1:6">
      <c r="A163" t="str">
        <f>VLOOKUP(B163,时间段对照!$D$13:$E$37,2,0)</f>
        <v>12：00-13：00</v>
      </c>
      <c r="B163">
        <f t="shared" si="8"/>
        <v>12</v>
      </c>
      <c r="C163">
        <v>15</v>
      </c>
      <c r="D163" s="34">
        <f t="shared" si="9"/>
        <v>21</v>
      </c>
      <c r="E163" t="s">
        <v>162</v>
      </c>
      <c r="F163">
        <v>11</v>
      </c>
    </row>
    <row r="164" spans="1:6">
      <c r="A164" t="str">
        <f>VLOOKUP(B164,时间段对照!$D$13:$E$37,2,0)</f>
        <v>12：00-13：00</v>
      </c>
      <c r="B164">
        <f t="shared" ref="B164:B199" si="10">IF(C164+D164&gt;=24,C164+D164-24,C164+D164)</f>
        <v>12</v>
      </c>
      <c r="C164">
        <v>15</v>
      </c>
      <c r="D164" s="34">
        <f t="shared" ref="D164:D199" si="11">IF(MID(E164,12,2)-7&lt;0,MID(E164,12,2)-7+24,MID(E164,12,2)-7)</f>
        <v>21</v>
      </c>
      <c r="E164" t="s">
        <v>163</v>
      </c>
      <c r="F164">
        <v>2</v>
      </c>
    </row>
    <row r="165" spans="1:6">
      <c r="A165" t="str">
        <f>VLOOKUP(B165,时间段对照!$D$13:$E$37,2,0)</f>
        <v>12：00-13：00</v>
      </c>
      <c r="B165">
        <f t="shared" si="10"/>
        <v>12</v>
      </c>
      <c r="C165">
        <v>15</v>
      </c>
      <c r="D165" s="34">
        <f t="shared" si="11"/>
        <v>21</v>
      </c>
      <c r="E165" t="s">
        <v>164</v>
      </c>
      <c r="F165">
        <v>1</v>
      </c>
    </row>
    <row r="166" spans="1:6">
      <c r="A166" t="str">
        <f>VLOOKUP(B166,时间段对照!$D$13:$E$37,2,0)</f>
        <v>10：00-11：00</v>
      </c>
      <c r="B166">
        <f t="shared" si="10"/>
        <v>10</v>
      </c>
      <c r="C166">
        <v>15</v>
      </c>
      <c r="D166" s="34">
        <f t="shared" si="11"/>
        <v>19</v>
      </c>
      <c r="E166" t="s">
        <v>165</v>
      </c>
      <c r="F166">
        <v>4</v>
      </c>
    </row>
    <row r="167" spans="1:6">
      <c r="A167" t="str">
        <f>VLOOKUP(B167,时间段对照!$D$13:$E$37,2,0)</f>
        <v>6：00-7：00</v>
      </c>
      <c r="B167">
        <f t="shared" si="10"/>
        <v>6</v>
      </c>
      <c r="C167">
        <v>15</v>
      </c>
      <c r="D167" s="34">
        <f t="shared" si="11"/>
        <v>15</v>
      </c>
      <c r="E167" t="s">
        <v>166</v>
      </c>
      <c r="F167">
        <v>5</v>
      </c>
    </row>
    <row r="168" spans="1:6">
      <c r="A168" t="str">
        <f>VLOOKUP(B168,时间段对照!$D$13:$E$37,2,0)</f>
        <v>6：00-7：00</v>
      </c>
      <c r="B168">
        <f t="shared" si="10"/>
        <v>6</v>
      </c>
      <c r="C168">
        <v>15</v>
      </c>
      <c r="D168" s="34">
        <f t="shared" si="11"/>
        <v>15</v>
      </c>
      <c r="E168" t="s">
        <v>167</v>
      </c>
      <c r="F168">
        <v>13</v>
      </c>
    </row>
    <row r="169" spans="1:6">
      <c r="A169" t="str">
        <f>VLOOKUP(B169,时间段对照!$D$13:$E$37,2,0)</f>
        <v>6：00-7：00</v>
      </c>
      <c r="B169">
        <f t="shared" si="10"/>
        <v>6</v>
      </c>
      <c r="C169">
        <v>15</v>
      </c>
      <c r="D169" s="34">
        <f t="shared" si="11"/>
        <v>15</v>
      </c>
      <c r="E169" t="s">
        <v>168</v>
      </c>
      <c r="F169">
        <v>7</v>
      </c>
    </row>
    <row r="170" spans="1:6">
      <c r="A170" t="str">
        <f>VLOOKUP(B170,时间段对照!$D$13:$E$37,2,0)</f>
        <v>6：00-7：00</v>
      </c>
      <c r="B170">
        <f t="shared" si="10"/>
        <v>6</v>
      </c>
      <c r="C170">
        <v>15</v>
      </c>
      <c r="D170" s="34">
        <f t="shared" si="11"/>
        <v>15</v>
      </c>
      <c r="E170" t="s">
        <v>169</v>
      </c>
      <c r="F170">
        <v>2</v>
      </c>
    </row>
    <row r="171" spans="1:6">
      <c r="A171" t="str">
        <f>VLOOKUP(B171,时间段对照!$D$13:$E$37,2,0)</f>
        <v>6：00-7：00</v>
      </c>
      <c r="B171">
        <f t="shared" si="10"/>
        <v>6</v>
      </c>
      <c r="C171">
        <v>15</v>
      </c>
      <c r="D171" s="34">
        <f t="shared" si="11"/>
        <v>15</v>
      </c>
      <c r="E171" t="s">
        <v>170</v>
      </c>
      <c r="F171">
        <v>9</v>
      </c>
    </row>
    <row r="172" spans="1:6">
      <c r="A172" t="str">
        <f>VLOOKUP(B172,时间段对照!$D$13:$E$37,2,0)</f>
        <v>5：00-6：00</v>
      </c>
      <c r="B172">
        <f t="shared" si="10"/>
        <v>5</v>
      </c>
      <c r="C172">
        <v>15</v>
      </c>
      <c r="D172" s="34">
        <f t="shared" si="11"/>
        <v>14</v>
      </c>
      <c r="E172" t="s">
        <v>171</v>
      </c>
      <c r="F172">
        <v>3</v>
      </c>
    </row>
    <row r="173" spans="1:6">
      <c r="A173" t="str">
        <f>VLOOKUP(B173,时间段对照!$D$13:$E$37,2,0)</f>
        <v>5：00-6：00</v>
      </c>
      <c r="B173">
        <f t="shared" si="10"/>
        <v>5</v>
      </c>
      <c r="C173">
        <v>15</v>
      </c>
      <c r="D173" s="34">
        <f t="shared" si="11"/>
        <v>14</v>
      </c>
      <c r="E173" t="s">
        <v>171</v>
      </c>
      <c r="F173">
        <v>1</v>
      </c>
    </row>
    <row r="174" spans="1:6">
      <c r="A174" t="str">
        <f>VLOOKUP(B174,时间段对照!$D$13:$E$37,2,0)</f>
        <v>5：00-6：00</v>
      </c>
      <c r="B174">
        <f t="shared" si="10"/>
        <v>5</v>
      </c>
      <c r="C174">
        <v>15</v>
      </c>
      <c r="D174" s="34">
        <f t="shared" si="11"/>
        <v>14</v>
      </c>
      <c r="E174" t="s">
        <v>172</v>
      </c>
      <c r="F174">
        <v>1</v>
      </c>
    </row>
    <row r="175" spans="1:6">
      <c r="A175" t="str">
        <f>VLOOKUP(B175,时间段对照!$D$13:$E$37,2,0)</f>
        <v>5：00-6：00</v>
      </c>
      <c r="B175">
        <f t="shared" si="10"/>
        <v>5</v>
      </c>
      <c r="C175">
        <v>15</v>
      </c>
      <c r="D175" s="34">
        <f t="shared" si="11"/>
        <v>14</v>
      </c>
      <c r="E175" t="s">
        <v>173</v>
      </c>
      <c r="F175">
        <v>11</v>
      </c>
    </row>
    <row r="176" spans="1:6">
      <c r="A176" t="str">
        <f>VLOOKUP(B176,时间段对照!$D$13:$E$37,2,0)</f>
        <v>5：00-6：00</v>
      </c>
      <c r="B176">
        <f t="shared" si="10"/>
        <v>5</v>
      </c>
      <c r="C176">
        <v>15</v>
      </c>
      <c r="D176" s="34">
        <f t="shared" si="11"/>
        <v>14</v>
      </c>
      <c r="E176" t="s">
        <v>174</v>
      </c>
      <c r="F176">
        <v>5</v>
      </c>
    </row>
    <row r="177" spans="1:6">
      <c r="A177" t="str">
        <f>VLOOKUP(B177,时间段对照!$D$13:$E$37,2,0)</f>
        <v>3：00-4：00</v>
      </c>
      <c r="B177">
        <f t="shared" si="10"/>
        <v>3</v>
      </c>
      <c r="C177">
        <v>15</v>
      </c>
      <c r="D177" s="34">
        <f t="shared" si="11"/>
        <v>12</v>
      </c>
      <c r="E177" t="s">
        <v>175</v>
      </c>
      <c r="F177">
        <v>6</v>
      </c>
    </row>
    <row r="178" spans="1:6">
      <c r="A178" t="str">
        <f>VLOOKUP(B178,时间段对照!$D$13:$E$37,2,0)</f>
        <v>3：00-4：00</v>
      </c>
      <c r="B178">
        <f t="shared" si="10"/>
        <v>3</v>
      </c>
      <c r="C178">
        <v>15</v>
      </c>
      <c r="D178" s="34">
        <f t="shared" si="11"/>
        <v>12</v>
      </c>
      <c r="E178" t="s">
        <v>176</v>
      </c>
      <c r="F178">
        <v>8</v>
      </c>
    </row>
    <row r="179" spans="1:6">
      <c r="A179" t="str">
        <f>VLOOKUP(B179,时间段对照!$D$13:$E$37,2,0)</f>
        <v>1：00-2：00</v>
      </c>
      <c r="B179">
        <f t="shared" si="10"/>
        <v>1</v>
      </c>
      <c r="C179">
        <v>15</v>
      </c>
      <c r="D179" s="34">
        <f t="shared" si="11"/>
        <v>10</v>
      </c>
      <c r="E179" t="s">
        <v>177</v>
      </c>
      <c r="F179">
        <v>9</v>
      </c>
    </row>
    <row r="180" spans="1:6">
      <c r="A180" t="str">
        <f>VLOOKUP(B180,时间段对照!$D$13:$E$37,2,0)</f>
        <v>1：00-2：00</v>
      </c>
      <c r="B180">
        <f t="shared" si="10"/>
        <v>1</v>
      </c>
      <c r="C180">
        <v>15</v>
      </c>
      <c r="D180" s="34">
        <f t="shared" si="11"/>
        <v>10</v>
      </c>
      <c r="E180" t="s">
        <v>178</v>
      </c>
      <c r="F180">
        <v>11</v>
      </c>
    </row>
    <row r="181" spans="1:6">
      <c r="A181" t="str">
        <f>VLOOKUP(B181,时间段对照!$D$13:$E$37,2,0)</f>
        <v>0：00-1：00</v>
      </c>
      <c r="B181">
        <f t="shared" si="10"/>
        <v>0</v>
      </c>
      <c r="C181">
        <v>15</v>
      </c>
      <c r="D181" s="34">
        <f t="shared" si="11"/>
        <v>9</v>
      </c>
      <c r="E181" t="s">
        <v>179</v>
      </c>
      <c r="F181">
        <v>10</v>
      </c>
    </row>
    <row r="182" spans="1:6">
      <c r="A182" t="str">
        <f>VLOOKUP(B182,时间段对照!$D$13:$E$37,2,0)</f>
        <v>0：00-1：00</v>
      </c>
      <c r="B182">
        <f t="shared" si="10"/>
        <v>0</v>
      </c>
      <c r="C182">
        <v>15</v>
      </c>
      <c r="D182" s="34">
        <f t="shared" si="11"/>
        <v>9</v>
      </c>
      <c r="E182" t="s">
        <v>180</v>
      </c>
      <c r="F182">
        <v>8</v>
      </c>
    </row>
    <row r="183" spans="1:6">
      <c r="A183" t="str">
        <f>VLOOKUP(B183,时间段对照!$D$13:$E$37,2,0)</f>
        <v>0：00-1：00</v>
      </c>
      <c r="B183">
        <f t="shared" si="10"/>
        <v>0</v>
      </c>
      <c r="C183">
        <v>15</v>
      </c>
      <c r="D183" s="34">
        <f t="shared" si="11"/>
        <v>9</v>
      </c>
      <c r="E183" t="s">
        <v>181</v>
      </c>
      <c r="F183">
        <v>6</v>
      </c>
    </row>
    <row r="184" spans="1:6">
      <c r="A184" t="str">
        <f>VLOOKUP(B184,时间段对照!$D$13:$E$37,2,0)</f>
        <v>0：00-1：00</v>
      </c>
      <c r="B184">
        <f t="shared" si="10"/>
        <v>0</v>
      </c>
      <c r="C184">
        <v>15</v>
      </c>
      <c r="D184" s="34">
        <f t="shared" si="11"/>
        <v>9</v>
      </c>
      <c r="E184" t="s">
        <v>182</v>
      </c>
      <c r="F184">
        <v>5</v>
      </c>
    </row>
    <row r="185" spans="1:6">
      <c r="A185" t="str">
        <f>VLOOKUP(B185,时间段对照!$D$13:$E$37,2,0)</f>
        <v>23：00-0：00</v>
      </c>
      <c r="B185">
        <f t="shared" si="10"/>
        <v>23</v>
      </c>
      <c r="C185">
        <v>15</v>
      </c>
      <c r="D185" s="34">
        <f t="shared" si="11"/>
        <v>8</v>
      </c>
      <c r="E185" t="s">
        <v>183</v>
      </c>
      <c r="F185">
        <v>10</v>
      </c>
    </row>
    <row r="186" spans="1:6">
      <c r="A186" t="str">
        <f>VLOOKUP(B186,时间段对照!$D$13:$E$37,2,0)</f>
        <v>23：00-0：00</v>
      </c>
      <c r="B186">
        <f t="shared" si="10"/>
        <v>23</v>
      </c>
      <c r="C186">
        <v>15</v>
      </c>
      <c r="D186" s="34">
        <f t="shared" si="11"/>
        <v>8</v>
      </c>
      <c r="E186" t="s">
        <v>184</v>
      </c>
      <c r="F186">
        <v>7</v>
      </c>
    </row>
    <row r="187" spans="1:6">
      <c r="A187" t="str">
        <f>VLOOKUP(B187,时间段对照!$D$13:$E$37,2,0)</f>
        <v>22：00-23：00</v>
      </c>
      <c r="B187">
        <f t="shared" si="10"/>
        <v>22</v>
      </c>
      <c r="C187">
        <v>15</v>
      </c>
      <c r="D187" s="34">
        <f t="shared" si="11"/>
        <v>7</v>
      </c>
      <c r="E187" t="s">
        <v>185</v>
      </c>
      <c r="F187">
        <v>5</v>
      </c>
    </row>
    <row r="188" spans="1:6">
      <c r="A188" t="str">
        <f>VLOOKUP(B188,时间段对照!$D$13:$E$37,2,0)</f>
        <v>20：00-21：00</v>
      </c>
      <c r="B188">
        <f t="shared" si="10"/>
        <v>20</v>
      </c>
      <c r="C188">
        <v>15</v>
      </c>
      <c r="D188" s="34">
        <f t="shared" si="11"/>
        <v>5</v>
      </c>
      <c r="E188" t="s">
        <v>186</v>
      </c>
      <c r="F188">
        <v>1</v>
      </c>
    </row>
    <row r="189" spans="1:6">
      <c r="A189" t="str">
        <f>VLOOKUP(B189,时间段对照!$D$13:$E$37,2,0)</f>
        <v>19：00-20：00</v>
      </c>
      <c r="B189">
        <f t="shared" si="10"/>
        <v>19</v>
      </c>
      <c r="C189">
        <v>15</v>
      </c>
      <c r="D189" s="34">
        <f t="shared" si="11"/>
        <v>4</v>
      </c>
      <c r="E189" t="s">
        <v>187</v>
      </c>
      <c r="F189">
        <v>14</v>
      </c>
    </row>
    <row r="190" spans="1:6">
      <c r="A190" t="str">
        <f>VLOOKUP(B190,时间段对照!$D$13:$E$37,2,0)</f>
        <v>19：00-20：00</v>
      </c>
      <c r="B190">
        <f t="shared" si="10"/>
        <v>19</v>
      </c>
      <c r="C190">
        <v>15</v>
      </c>
      <c r="D190" s="34">
        <f t="shared" si="11"/>
        <v>4</v>
      </c>
      <c r="E190" t="s">
        <v>188</v>
      </c>
      <c r="F190">
        <v>12</v>
      </c>
    </row>
    <row r="191" spans="1:6">
      <c r="A191" t="str">
        <f>VLOOKUP(B191,时间段对照!$D$13:$E$37,2,0)</f>
        <v>17：00-18：00</v>
      </c>
      <c r="B191">
        <f t="shared" si="10"/>
        <v>17</v>
      </c>
      <c r="C191">
        <v>15</v>
      </c>
      <c r="D191" s="34">
        <f t="shared" si="11"/>
        <v>2</v>
      </c>
      <c r="E191" t="s">
        <v>189</v>
      </c>
      <c r="F191">
        <v>7</v>
      </c>
    </row>
    <row r="192" spans="1:6">
      <c r="A192" t="str">
        <f>VLOOKUP(B192,时间段对照!$D$13:$E$37,2,0)</f>
        <v>16：00-17：00</v>
      </c>
      <c r="B192">
        <f t="shared" si="10"/>
        <v>16</v>
      </c>
      <c r="C192">
        <v>15</v>
      </c>
      <c r="D192" s="34">
        <f t="shared" si="11"/>
        <v>1</v>
      </c>
      <c r="E192" t="s">
        <v>190</v>
      </c>
      <c r="F192">
        <v>6</v>
      </c>
    </row>
    <row r="193" spans="1:6">
      <c r="A193" t="str">
        <f>VLOOKUP(B193,时间段对照!$D$13:$E$37,2,0)</f>
        <v>11：00-12：00</v>
      </c>
      <c r="B193">
        <f t="shared" si="10"/>
        <v>11</v>
      </c>
      <c r="C193">
        <v>15</v>
      </c>
      <c r="D193" s="34">
        <f t="shared" si="11"/>
        <v>20</v>
      </c>
      <c r="E193" t="s">
        <v>191</v>
      </c>
      <c r="F193">
        <v>1</v>
      </c>
    </row>
    <row r="194" spans="1:6">
      <c r="A194" t="str">
        <f>VLOOKUP(B194,时间段对照!$D$13:$E$37,2,0)</f>
        <v>11：00-12：00</v>
      </c>
      <c r="B194">
        <f t="shared" si="10"/>
        <v>11</v>
      </c>
      <c r="C194">
        <v>15</v>
      </c>
      <c r="D194" s="34">
        <f t="shared" si="11"/>
        <v>20</v>
      </c>
      <c r="E194" t="s">
        <v>192</v>
      </c>
      <c r="F194">
        <v>9</v>
      </c>
    </row>
    <row r="195" spans="1:6">
      <c r="A195" t="str">
        <f>VLOOKUP(B195,时间段对照!$D$13:$E$37,2,0)</f>
        <v>11：00-12：00</v>
      </c>
      <c r="B195">
        <f t="shared" si="10"/>
        <v>11</v>
      </c>
      <c r="C195">
        <v>15</v>
      </c>
      <c r="D195" s="34">
        <f t="shared" si="11"/>
        <v>20</v>
      </c>
      <c r="E195" t="s">
        <v>193</v>
      </c>
      <c r="F195">
        <v>4</v>
      </c>
    </row>
    <row r="196" spans="1:6">
      <c r="A196" t="str">
        <f>VLOOKUP(B196,时间段对照!$D$13:$E$37,2,0)</f>
        <v>11：00-12：00</v>
      </c>
      <c r="B196">
        <f t="shared" si="10"/>
        <v>11</v>
      </c>
      <c r="C196">
        <v>15</v>
      </c>
      <c r="D196" s="34">
        <f t="shared" si="11"/>
        <v>20</v>
      </c>
      <c r="E196" t="s">
        <v>194</v>
      </c>
      <c r="F196">
        <v>6</v>
      </c>
    </row>
    <row r="197" spans="1:6">
      <c r="A197" t="str">
        <f>VLOOKUP(B197,时间段对照!$D$13:$E$37,2,0)</f>
        <v>11：00-12：00</v>
      </c>
      <c r="B197">
        <f t="shared" si="10"/>
        <v>11</v>
      </c>
      <c r="C197">
        <v>15</v>
      </c>
      <c r="D197" s="34">
        <f t="shared" si="11"/>
        <v>20</v>
      </c>
      <c r="E197" t="s">
        <v>195</v>
      </c>
      <c r="F197">
        <v>1</v>
      </c>
    </row>
    <row r="198" spans="1:6">
      <c r="A198" t="str">
        <f>VLOOKUP(B198,时间段对照!$D$13:$E$37,2,0)</f>
        <v>11：00-12：00</v>
      </c>
      <c r="B198">
        <f t="shared" si="10"/>
        <v>11</v>
      </c>
      <c r="C198">
        <v>15</v>
      </c>
      <c r="D198" s="34">
        <f t="shared" si="11"/>
        <v>20</v>
      </c>
      <c r="E198" t="s">
        <v>196</v>
      </c>
      <c r="F198">
        <v>4</v>
      </c>
    </row>
    <row r="199" spans="1:6">
      <c r="A199" t="str">
        <f>VLOOKUP(B199,时间段对照!$D$13:$E$37,2,0)</f>
        <v>10：00-11：00</v>
      </c>
      <c r="B199">
        <f t="shared" si="10"/>
        <v>10</v>
      </c>
      <c r="C199">
        <v>15</v>
      </c>
      <c r="D199" s="34">
        <f t="shared" si="11"/>
        <v>19</v>
      </c>
      <c r="E199" t="s">
        <v>197</v>
      </c>
      <c r="F199">
        <v>2</v>
      </c>
    </row>
  </sheetData>
  <sheetProtection formatCells="0" insertHyperlinks="0" autoFilter="0"/>
  <mergeCells count="1">
    <mergeCell ref="H1:J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9"/>
  <sheetViews>
    <sheetView workbookViewId="0">
      <selection activeCell="E12" sqref="E12"/>
    </sheetView>
  </sheetViews>
  <sheetFormatPr defaultColWidth="9" defaultRowHeight="13.5" outlineLevelCol="7"/>
  <cols>
    <col min="1" max="1" width="14.625" customWidth="1"/>
    <col min="2" max="2" width="10.875" customWidth="1"/>
    <col min="3" max="3" width="6.125" customWidth="1"/>
    <col min="4" max="4" width="15" customWidth="1"/>
    <col min="5" max="5" width="28.25" customWidth="1"/>
    <col min="6" max="6" width="9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198</v>
      </c>
    </row>
    <row r="2" spans="1:6">
      <c r="A2" t="s">
        <v>199</v>
      </c>
      <c r="B2">
        <v>12</v>
      </c>
      <c r="C2">
        <v>15</v>
      </c>
      <c r="D2">
        <v>21</v>
      </c>
      <c r="E2" t="s">
        <v>7</v>
      </c>
      <c r="F2">
        <v>4</v>
      </c>
    </row>
    <row r="3" spans="1:6">
      <c r="A3" t="s">
        <v>199</v>
      </c>
      <c r="B3">
        <v>12</v>
      </c>
      <c r="C3">
        <v>15</v>
      </c>
      <c r="D3">
        <v>21</v>
      </c>
      <c r="E3" t="s">
        <v>7</v>
      </c>
      <c r="F3">
        <v>5</v>
      </c>
    </row>
    <row r="4" spans="1:6">
      <c r="A4" t="s">
        <v>200</v>
      </c>
      <c r="B4">
        <v>8</v>
      </c>
      <c r="C4">
        <v>15</v>
      </c>
      <c r="D4">
        <v>17</v>
      </c>
      <c r="E4" t="s">
        <v>8</v>
      </c>
      <c r="F4">
        <v>11</v>
      </c>
    </row>
    <row r="5" spans="1:6">
      <c r="A5" t="s">
        <v>200</v>
      </c>
      <c r="B5">
        <v>8</v>
      </c>
      <c r="C5">
        <v>15</v>
      </c>
      <c r="D5">
        <v>17</v>
      </c>
      <c r="E5" t="s">
        <v>9</v>
      </c>
      <c r="F5">
        <v>5</v>
      </c>
    </row>
    <row r="6" spans="1:6">
      <c r="A6" t="s">
        <v>201</v>
      </c>
      <c r="B6">
        <v>7</v>
      </c>
      <c r="C6">
        <v>15</v>
      </c>
      <c r="D6">
        <v>16</v>
      </c>
      <c r="E6" t="s">
        <v>10</v>
      </c>
      <c r="F6">
        <v>6</v>
      </c>
    </row>
    <row r="7" spans="1:6">
      <c r="A7" t="s">
        <v>201</v>
      </c>
      <c r="B7">
        <v>7</v>
      </c>
      <c r="C7">
        <v>15</v>
      </c>
      <c r="D7">
        <v>16</v>
      </c>
      <c r="E7" t="s">
        <v>11</v>
      </c>
      <c r="F7">
        <v>9</v>
      </c>
    </row>
    <row r="8" spans="1:6">
      <c r="A8" t="s">
        <v>201</v>
      </c>
      <c r="B8">
        <v>7</v>
      </c>
      <c r="C8">
        <v>15</v>
      </c>
      <c r="D8">
        <v>16</v>
      </c>
      <c r="E8" t="s">
        <v>12</v>
      </c>
      <c r="F8">
        <v>3</v>
      </c>
    </row>
    <row r="9" spans="1:6">
      <c r="A9" t="s">
        <v>201</v>
      </c>
      <c r="B9">
        <v>7</v>
      </c>
      <c r="C9">
        <v>15</v>
      </c>
      <c r="D9">
        <v>16</v>
      </c>
      <c r="E9" t="s">
        <v>13</v>
      </c>
      <c r="F9">
        <v>1</v>
      </c>
    </row>
    <row r="10" spans="1:6">
      <c r="A10" t="s">
        <v>202</v>
      </c>
      <c r="B10">
        <v>6</v>
      </c>
      <c r="C10">
        <v>15</v>
      </c>
      <c r="D10">
        <v>15</v>
      </c>
      <c r="E10" t="s">
        <v>14</v>
      </c>
      <c r="F10">
        <v>15</v>
      </c>
    </row>
    <row r="11" spans="1:6">
      <c r="A11" t="s">
        <v>203</v>
      </c>
      <c r="B11">
        <v>4</v>
      </c>
      <c r="C11">
        <v>15</v>
      </c>
      <c r="D11">
        <v>13</v>
      </c>
      <c r="E11" t="s">
        <v>15</v>
      </c>
      <c r="F11">
        <v>18</v>
      </c>
    </row>
    <row r="12" spans="1:6">
      <c r="A12" t="s">
        <v>203</v>
      </c>
      <c r="B12">
        <v>4</v>
      </c>
      <c r="C12">
        <v>15</v>
      </c>
      <c r="D12">
        <v>13</v>
      </c>
      <c r="E12" t="s">
        <v>16</v>
      </c>
      <c r="F12">
        <v>21</v>
      </c>
    </row>
    <row r="13" spans="1:6">
      <c r="A13" t="s">
        <v>203</v>
      </c>
      <c r="B13">
        <v>4</v>
      </c>
      <c r="C13">
        <v>15</v>
      </c>
      <c r="D13">
        <v>13</v>
      </c>
      <c r="E13" t="s">
        <v>16</v>
      </c>
      <c r="F13">
        <v>7</v>
      </c>
    </row>
    <row r="14" spans="1:6">
      <c r="A14" t="s">
        <v>204</v>
      </c>
      <c r="B14">
        <v>2</v>
      </c>
      <c r="C14">
        <v>15</v>
      </c>
      <c r="D14">
        <v>11</v>
      </c>
      <c r="E14" t="s">
        <v>17</v>
      </c>
      <c r="F14">
        <v>8</v>
      </c>
    </row>
    <row r="15" spans="1:6">
      <c r="A15" t="s">
        <v>205</v>
      </c>
      <c r="B15">
        <v>0</v>
      </c>
      <c r="C15">
        <v>15</v>
      </c>
      <c r="D15">
        <v>9</v>
      </c>
      <c r="E15" t="s">
        <v>18</v>
      </c>
      <c r="F15">
        <v>9</v>
      </c>
    </row>
    <row r="16" spans="1:6">
      <c r="A16" t="s">
        <v>206</v>
      </c>
      <c r="B16">
        <v>23</v>
      </c>
      <c r="C16">
        <v>15</v>
      </c>
      <c r="D16">
        <v>8</v>
      </c>
      <c r="E16" t="s">
        <v>19</v>
      </c>
      <c r="F16">
        <v>12</v>
      </c>
    </row>
    <row r="17" spans="1:6">
      <c r="A17" t="s">
        <v>207</v>
      </c>
      <c r="B17">
        <v>22</v>
      </c>
      <c r="C17">
        <v>15</v>
      </c>
      <c r="D17">
        <v>7</v>
      </c>
      <c r="E17" t="s">
        <v>20</v>
      </c>
      <c r="F17">
        <v>16</v>
      </c>
    </row>
    <row r="18" spans="1:6">
      <c r="A18" t="s">
        <v>208</v>
      </c>
      <c r="B18">
        <v>21</v>
      </c>
      <c r="C18">
        <v>15</v>
      </c>
      <c r="D18">
        <v>6</v>
      </c>
      <c r="E18" t="s">
        <v>21</v>
      </c>
      <c r="F18">
        <v>7</v>
      </c>
    </row>
    <row r="19" spans="1:6">
      <c r="A19" t="s">
        <v>209</v>
      </c>
      <c r="B19">
        <v>20</v>
      </c>
      <c r="C19">
        <v>15</v>
      </c>
      <c r="D19">
        <v>5</v>
      </c>
      <c r="E19" t="s">
        <v>22</v>
      </c>
      <c r="F19">
        <v>18</v>
      </c>
    </row>
    <row r="20" spans="1:6">
      <c r="A20" t="s">
        <v>210</v>
      </c>
      <c r="B20">
        <v>18</v>
      </c>
      <c r="C20">
        <v>15</v>
      </c>
      <c r="D20">
        <v>3</v>
      </c>
      <c r="E20" t="s">
        <v>23</v>
      </c>
      <c r="F20">
        <v>19</v>
      </c>
    </row>
    <row r="21" spans="1:6">
      <c r="A21" t="s">
        <v>211</v>
      </c>
      <c r="B21">
        <v>17</v>
      </c>
      <c r="C21">
        <v>15</v>
      </c>
      <c r="D21">
        <v>2</v>
      </c>
      <c r="E21" t="s">
        <v>24</v>
      </c>
      <c r="F21">
        <v>11</v>
      </c>
    </row>
    <row r="22" spans="1:6">
      <c r="A22" t="s">
        <v>212</v>
      </c>
      <c r="B22">
        <v>15</v>
      </c>
      <c r="C22">
        <v>15</v>
      </c>
      <c r="D22">
        <v>0</v>
      </c>
      <c r="E22" t="s">
        <v>25</v>
      </c>
      <c r="F22">
        <v>5</v>
      </c>
    </row>
    <row r="23" spans="1:6">
      <c r="A23" t="s">
        <v>213</v>
      </c>
      <c r="B23">
        <v>14</v>
      </c>
      <c r="C23">
        <v>15</v>
      </c>
      <c r="D23">
        <v>23</v>
      </c>
      <c r="E23" t="s">
        <v>26</v>
      </c>
      <c r="F23">
        <v>7</v>
      </c>
    </row>
    <row r="24" spans="1:6">
      <c r="A24" t="s">
        <v>199</v>
      </c>
      <c r="B24">
        <v>12</v>
      </c>
      <c r="C24">
        <v>15</v>
      </c>
      <c r="D24">
        <v>21</v>
      </c>
      <c r="E24" t="s">
        <v>27</v>
      </c>
      <c r="F24">
        <v>5</v>
      </c>
    </row>
    <row r="25" spans="1:6">
      <c r="A25" t="s">
        <v>199</v>
      </c>
      <c r="B25">
        <v>12</v>
      </c>
      <c r="C25">
        <v>15</v>
      </c>
      <c r="D25">
        <v>21</v>
      </c>
      <c r="E25" t="s">
        <v>28</v>
      </c>
      <c r="F25">
        <v>9</v>
      </c>
    </row>
    <row r="26" spans="1:6">
      <c r="A26" t="s">
        <v>199</v>
      </c>
      <c r="B26">
        <v>12</v>
      </c>
      <c r="C26">
        <v>15</v>
      </c>
      <c r="D26">
        <v>21</v>
      </c>
      <c r="E26" t="s">
        <v>29</v>
      </c>
      <c r="F26">
        <v>7</v>
      </c>
    </row>
    <row r="27" spans="1:6">
      <c r="A27" t="s">
        <v>199</v>
      </c>
      <c r="B27">
        <v>12</v>
      </c>
      <c r="C27">
        <v>15</v>
      </c>
      <c r="D27">
        <v>21</v>
      </c>
      <c r="E27" t="s">
        <v>30</v>
      </c>
      <c r="F27">
        <v>5</v>
      </c>
    </row>
    <row r="28" spans="1:6">
      <c r="A28" t="s">
        <v>199</v>
      </c>
      <c r="B28">
        <v>12</v>
      </c>
      <c r="C28">
        <v>15</v>
      </c>
      <c r="D28">
        <v>21</v>
      </c>
      <c r="E28" t="s">
        <v>31</v>
      </c>
      <c r="F28">
        <v>6</v>
      </c>
    </row>
    <row r="29" spans="1:6">
      <c r="A29" t="s">
        <v>214</v>
      </c>
      <c r="B29">
        <v>11</v>
      </c>
      <c r="C29">
        <v>15</v>
      </c>
      <c r="D29">
        <v>20</v>
      </c>
      <c r="E29" t="s">
        <v>32</v>
      </c>
      <c r="F29">
        <v>10</v>
      </c>
    </row>
    <row r="30" spans="1:6">
      <c r="A30" t="s">
        <v>214</v>
      </c>
      <c r="B30">
        <v>11</v>
      </c>
      <c r="C30">
        <v>15</v>
      </c>
      <c r="D30">
        <v>20</v>
      </c>
      <c r="E30" t="s">
        <v>33</v>
      </c>
      <c r="F30">
        <v>8</v>
      </c>
    </row>
    <row r="31" spans="1:6">
      <c r="A31" t="s">
        <v>215</v>
      </c>
      <c r="B31">
        <v>10</v>
      </c>
      <c r="C31">
        <v>15</v>
      </c>
      <c r="D31">
        <v>19</v>
      </c>
      <c r="E31" t="s">
        <v>34</v>
      </c>
      <c r="F31">
        <v>9</v>
      </c>
    </row>
    <row r="32" spans="1:6">
      <c r="A32" t="s">
        <v>215</v>
      </c>
      <c r="B32">
        <v>10</v>
      </c>
      <c r="C32">
        <v>15</v>
      </c>
      <c r="D32">
        <v>19</v>
      </c>
      <c r="E32" t="s">
        <v>35</v>
      </c>
      <c r="F32">
        <v>4</v>
      </c>
    </row>
    <row r="33" spans="1:6">
      <c r="A33" t="s">
        <v>216</v>
      </c>
      <c r="B33">
        <v>9</v>
      </c>
      <c r="C33">
        <v>15</v>
      </c>
      <c r="D33">
        <v>18</v>
      </c>
      <c r="E33" t="s">
        <v>36</v>
      </c>
      <c r="F33">
        <v>8</v>
      </c>
    </row>
    <row r="34" spans="1:6">
      <c r="A34" t="s">
        <v>216</v>
      </c>
      <c r="B34">
        <v>9</v>
      </c>
      <c r="C34">
        <v>15</v>
      </c>
      <c r="D34">
        <v>18</v>
      </c>
      <c r="E34" t="s">
        <v>37</v>
      </c>
      <c r="F34">
        <v>9</v>
      </c>
    </row>
    <row r="35" spans="1:6">
      <c r="A35" t="s">
        <v>202</v>
      </c>
      <c r="B35">
        <v>6</v>
      </c>
      <c r="C35">
        <v>15</v>
      </c>
      <c r="D35">
        <v>15</v>
      </c>
      <c r="E35" t="s">
        <v>38</v>
      </c>
      <c r="F35">
        <v>4</v>
      </c>
    </row>
    <row r="36" spans="1:6">
      <c r="A36" t="s">
        <v>202</v>
      </c>
      <c r="B36">
        <v>6</v>
      </c>
      <c r="C36">
        <v>15</v>
      </c>
      <c r="D36">
        <v>15</v>
      </c>
      <c r="E36" t="s">
        <v>39</v>
      </c>
      <c r="F36">
        <v>5</v>
      </c>
    </row>
    <row r="37" spans="1:6">
      <c r="A37" t="s">
        <v>202</v>
      </c>
      <c r="B37">
        <v>6</v>
      </c>
      <c r="C37">
        <v>15</v>
      </c>
      <c r="D37">
        <v>15</v>
      </c>
      <c r="E37" t="s">
        <v>40</v>
      </c>
      <c r="F37">
        <v>2</v>
      </c>
    </row>
    <row r="38" spans="1:6">
      <c r="A38" t="s">
        <v>202</v>
      </c>
      <c r="B38">
        <v>6</v>
      </c>
      <c r="C38">
        <v>15</v>
      </c>
      <c r="D38">
        <v>15</v>
      </c>
      <c r="E38" t="s">
        <v>41</v>
      </c>
      <c r="F38">
        <v>4</v>
      </c>
    </row>
    <row r="39" spans="1:6">
      <c r="A39" t="s">
        <v>202</v>
      </c>
      <c r="B39">
        <v>6</v>
      </c>
      <c r="C39">
        <v>15</v>
      </c>
      <c r="D39">
        <v>15</v>
      </c>
      <c r="E39" t="s">
        <v>42</v>
      </c>
      <c r="F39">
        <v>7</v>
      </c>
    </row>
    <row r="40" spans="1:6">
      <c r="A40" t="s">
        <v>217</v>
      </c>
      <c r="B40">
        <v>5</v>
      </c>
      <c r="C40">
        <v>15</v>
      </c>
      <c r="D40">
        <v>14</v>
      </c>
      <c r="E40" t="s">
        <v>43</v>
      </c>
      <c r="F40">
        <v>8</v>
      </c>
    </row>
    <row r="41" spans="1:6">
      <c r="A41" t="s">
        <v>217</v>
      </c>
      <c r="B41">
        <v>5</v>
      </c>
      <c r="C41">
        <v>15</v>
      </c>
      <c r="D41">
        <v>14</v>
      </c>
      <c r="E41" t="s">
        <v>43</v>
      </c>
      <c r="F41">
        <v>4</v>
      </c>
    </row>
    <row r="42" spans="1:6">
      <c r="A42" t="s">
        <v>217</v>
      </c>
      <c r="B42">
        <v>5</v>
      </c>
      <c r="C42">
        <v>15</v>
      </c>
      <c r="D42">
        <v>14</v>
      </c>
      <c r="E42" t="s">
        <v>44</v>
      </c>
      <c r="F42">
        <v>7</v>
      </c>
    </row>
    <row r="43" spans="1:6">
      <c r="A43" t="s">
        <v>217</v>
      </c>
      <c r="B43">
        <v>5</v>
      </c>
      <c r="C43">
        <v>15</v>
      </c>
      <c r="D43">
        <v>14</v>
      </c>
      <c r="E43" t="s">
        <v>45</v>
      </c>
      <c r="F43">
        <v>5</v>
      </c>
    </row>
    <row r="44" spans="1:6">
      <c r="A44" t="s">
        <v>217</v>
      </c>
      <c r="B44">
        <v>5</v>
      </c>
      <c r="C44">
        <v>15</v>
      </c>
      <c r="D44">
        <v>14</v>
      </c>
      <c r="E44" t="s">
        <v>46</v>
      </c>
      <c r="F44">
        <v>3</v>
      </c>
    </row>
    <row r="45" spans="1:6">
      <c r="A45" t="s">
        <v>218</v>
      </c>
      <c r="B45">
        <v>3</v>
      </c>
      <c r="C45">
        <v>15</v>
      </c>
      <c r="D45">
        <v>12</v>
      </c>
      <c r="E45" t="s">
        <v>47</v>
      </c>
      <c r="F45">
        <v>1</v>
      </c>
    </row>
    <row r="46" spans="1:6">
      <c r="A46" t="s">
        <v>218</v>
      </c>
      <c r="B46">
        <v>3</v>
      </c>
      <c r="C46">
        <v>15</v>
      </c>
      <c r="D46">
        <v>12</v>
      </c>
      <c r="E46" t="s">
        <v>48</v>
      </c>
      <c r="F46">
        <v>6</v>
      </c>
    </row>
    <row r="47" spans="1:6">
      <c r="A47" t="s">
        <v>219</v>
      </c>
      <c r="B47">
        <v>1</v>
      </c>
      <c r="C47">
        <v>15</v>
      </c>
      <c r="D47">
        <v>10</v>
      </c>
      <c r="E47" t="s">
        <v>49</v>
      </c>
      <c r="F47">
        <v>7</v>
      </c>
    </row>
    <row r="48" spans="1:6">
      <c r="A48" t="s">
        <v>219</v>
      </c>
      <c r="B48">
        <v>1</v>
      </c>
      <c r="C48">
        <v>15</v>
      </c>
      <c r="D48">
        <v>10</v>
      </c>
      <c r="E48" t="s">
        <v>50</v>
      </c>
      <c r="F48">
        <v>6</v>
      </c>
    </row>
    <row r="49" spans="1:6">
      <c r="A49" t="s">
        <v>205</v>
      </c>
      <c r="B49">
        <v>0</v>
      </c>
      <c r="C49">
        <v>15</v>
      </c>
      <c r="D49">
        <v>9</v>
      </c>
      <c r="E49" t="s">
        <v>51</v>
      </c>
      <c r="F49">
        <v>4</v>
      </c>
    </row>
    <row r="50" spans="1:6">
      <c r="A50" t="s">
        <v>205</v>
      </c>
      <c r="B50">
        <v>0</v>
      </c>
      <c r="C50">
        <v>15</v>
      </c>
      <c r="D50">
        <v>9</v>
      </c>
      <c r="E50" t="s">
        <v>52</v>
      </c>
      <c r="F50">
        <v>6</v>
      </c>
    </row>
    <row r="51" spans="1:6">
      <c r="A51" t="s">
        <v>205</v>
      </c>
      <c r="B51">
        <v>0</v>
      </c>
      <c r="C51">
        <v>15</v>
      </c>
      <c r="D51">
        <v>9</v>
      </c>
      <c r="E51" t="s">
        <v>53</v>
      </c>
      <c r="F51">
        <v>5</v>
      </c>
    </row>
    <row r="52" spans="1:6">
      <c r="A52" t="s">
        <v>205</v>
      </c>
      <c r="B52">
        <v>0</v>
      </c>
      <c r="C52">
        <v>15</v>
      </c>
      <c r="D52">
        <v>9</v>
      </c>
      <c r="E52" t="s">
        <v>54</v>
      </c>
      <c r="F52">
        <v>4</v>
      </c>
    </row>
    <row r="53" spans="1:6">
      <c r="A53" t="s">
        <v>206</v>
      </c>
      <c r="B53">
        <v>23</v>
      </c>
      <c r="C53">
        <v>15</v>
      </c>
      <c r="D53">
        <v>8</v>
      </c>
      <c r="E53" t="s">
        <v>55</v>
      </c>
      <c r="F53">
        <v>3</v>
      </c>
    </row>
    <row r="54" spans="1:6">
      <c r="A54" t="s">
        <v>206</v>
      </c>
      <c r="B54">
        <v>23</v>
      </c>
      <c r="C54">
        <v>15</v>
      </c>
      <c r="D54">
        <v>8</v>
      </c>
      <c r="E54" t="s">
        <v>56</v>
      </c>
      <c r="F54">
        <v>2</v>
      </c>
    </row>
    <row r="55" spans="1:6">
      <c r="A55" t="s">
        <v>207</v>
      </c>
      <c r="B55">
        <v>22</v>
      </c>
      <c r="C55">
        <v>15</v>
      </c>
      <c r="D55">
        <v>7</v>
      </c>
      <c r="E55" t="s">
        <v>57</v>
      </c>
      <c r="F55">
        <v>1</v>
      </c>
    </row>
    <row r="56" spans="1:6">
      <c r="A56" t="s">
        <v>209</v>
      </c>
      <c r="B56">
        <v>20</v>
      </c>
      <c r="C56">
        <v>15</v>
      </c>
      <c r="D56">
        <v>5</v>
      </c>
      <c r="E56" t="s">
        <v>58</v>
      </c>
      <c r="F56">
        <v>13</v>
      </c>
    </row>
    <row r="57" spans="1:6">
      <c r="A57" t="s">
        <v>220</v>
      </c>
      <c r="B57">
        <v>19</v>
      </c>
      <c r="C57">
        <v>15</v>
      </c>
      <c r="D57">
        <v>4</v>
      </c>
      <c r="E57" t="s">
        <v>59</v>
      </c>
      <c r="F57">
        <v>1</v>
      </c>
    </row>
    <row r="58" spans="1:6">
      <c r="A58" t="s">
        <v>220</v>
      </c>
      <c r="B58">
        <v>19</v>
      </c>
      <c r="C58">
        <v>15</v>
      </c>
      <c r="D58">
        <v>4</v>
      </c>
      <c r="E58" t="s">
        <v>60</v>
      </c>
      <c r="F58">
        <v>4</v>
      </c>
    </row>
    <row r="59" spans="1:6">
      <c r="A59" t="s">
        <v>211</v>
      </c>
      <c r="B59">
        <v>17</v>
      </c>
      <c r="C59">
        <v>15</v>
      </c>
      <c r="D59">
        <v>2</v>
      </c>
      <c r="E59" t="s">
        <v>61</v>
      </c>
      <c r="F59">
        <v>3</v>
      </c>
    </row>
    <row r="60" spans="1:6">
      <c r="A60" t="s">
        <v>221</v>
      </c>
      <c r="B60">
        <v>16</v>
      </c>
      <c r="C60">
        <v>15</v>
      </c>
      <c r="D60">
        <v>1</v>
      </c>
      <c r="E60" t="s">
        <v>62</v>
      </c>
      <c r="F60">
        <v>4</v>
      </c>
    </row>
    <row r="61" spans="1:6">
      <c r="A61" t="s">
        <v>213</v>
      </c>
      <c r="B61">
        <v>14</v>
      </c>
      <c r="C61">
        <v>15</v>
      </c>
      <c r="D61">
        <v>23</v>
      </c>
      <c r="E61" t="s">
        <v>63</v>
      </c>
      <c r="F61">
        <v>5</v>
      </c>
    </row>
    <row r="62" spans="1:6">
      <c r="A62" t="s">
        <v>213</v>
      </c>
      <c r="B62">
        <v>14</v>
      </c>
      <c r="C62">
        <v>15</v>
      </c>
      <c r="D62">
        <v>23</v>
      </c>
      <c r="E62" t="s">
        <v>64</v>
      </c>
      <c r="F62">
        <v>6</v>
      </c>
    </row>
    <row r="63" spans="1:6">
      <c r="A63" t="s">
        <v>213</v>
      </c>
      <c r="B63">
        <v>14</v>
      </c>
      <c r="C63">
        <v>15</v>
      </c>
      <c r="D63">
        <v>23</v>
      </c>
      <c r="E63" t="s">
        <v>65</v>
      </c>
      <c r="F63">
        <v>9</v>
      </c>
    </row>
    <row r="64" spans="1:6">
      <c r="A64" t="s">
        <v>222</v>
      </c>
      <c r="B64">
        <v>13</v>
      </c>
      <c r="C64">
        <v>15</v>
      </c>
      <c r="D64">
        <v>22</v>
      </c>
      <c r="E64" t="s">
        <v>66</v>
      </c>
      <c r="F64">
        <v>8</v>
      </c>
    </row>
    <row r="65" spans="1:6">
      <c r="A65" t="s">
        <v>199</v>
      </c>
      <c r="B65">
        <v>12</v>
      </c>
      <c r="C65">
        <v>15</v>
      </c>
      <c r="D65">
        <v>21</v>
      </c>
      <c r="E65" t="s">
        <v>67</v>
      </c>
      <c r="F65">
        <v>6</v>
      </c>
    </row>
    <row r="66" spans="1:6">
      <c r="A66" t="s">
        <v>199</v>
      </c>
      <c r="B66">
        <v>12</v>
      </c>
      <c r="C66">
        <v>15</v>
      </c>
      <c r="D66">
        <v>21</v>
      </c>
      <c r="E66" t="s">
        <v>68</v>
      </c>
      <c r="F66">
        <v>5</v>
      </c>
    </row>
    <row r="67" spans="1:6">
      <c r="A67" t="s">
        <v>215</v>
      </c>
      <c r="B67">
        <v>10</v>
      </c>
      <c r="C67">
        <v>15</v>
      </c>
      <c r="D67">
        <v>19</v>
      </c>
      <c r="E67" t="s">
        <v>69</v>
      </c>
      <c r="F67">
        <v>4</v>
      </c>
    </row>
    <row r="68" spans="1:6">
      <c r="A68" t="s">
        <v>202</v>
      </c>
      <c r="B68">
        <v>6</v>
      </c>
      <c r="C68">
        <v>15</v>
      </c>
      <c r="D68">
        <v>15</v>
      </c>
      <c r="E68" t="s">
        <v>70</v>
      </c>
      <c r="F68">
        <v>7</v>
      </c>
    </row>
    <row r="69" spans="1:6">
      <c r="A69" t="s">
        <v>202</v>
      </c>
      <c r="B69">
        <v>6</v>
      </c>
      <c r="C69">
        <v>15</v>
      </c>
      <c r="D69">
        <v>15</v>
      </c>
      <c r="E69" t="s">
        <v>71</v>
      </c>
      <c r="F69">
        <v>5</v>
      </c>
    </row>
    <row r="70" spans="1:6">
      <c r="A70" t="s">
        <v>202</v>
      </c>
      <c r="B70">
        <v>6</v>
      </c>
      <c r="C70">
        <v>15</v>
      </c>
      <c r="D70">
        <v>15</v>
      </c>
      <c r="E70" t="s">
        <v>72</v>
      </c>
      <c r="F70">
        <v>6</v>
      </c>
    </row>
    <row r="71" spans="1:6">
      <c r="A71" t="s">
        <v>202</v>
      </c>
      <c r="B71">
        <v>6</v>
      </c>
      <c r="C71">
        <v>15</v>
      </c>
      <c r="D71">
        <v>15</v>
      </c>
      <c r="E71" t="s">
        <v>73</v>
      </c>
      <c r="F71">
        <v>10</v>
      </c>
    </row>
    <row r="72" spans="1:6">
      <c r="A72" t="s">
        <v>202</v>
      </c>
      <c r="B72">
        <v>6</v>
      </c>
      <c r="C72">
        <v>15</v>
      </c>
      <c r="D72">
        <v>15</v>
      </c>
      <c r="E72" t="s">
        <v>74</v>
      </c>
      <c r="F72">
        <v>8</v>
      </c>
    </row>
    <row r="73" spans="1:6">
      <c r="A73" t="s">
        <v>217</v>
      </c>
      <c r="B73">
        <v>5</v>
      </c>
      <c r="C73">
        <v>15</v>
      </c>
      <c r="D73">
        <v>14</v>
      </c>
      <c r="E73" t="s">
        <v>75</v>
      </c>
      <c r="F73">
        <v>9</v>
      </c>
    </row>
    <row r="74" spans="1:6">
      <c r="A74" t="s">
        <v>217</v>
      </c>
      <c r="B74">
        <v>5</v>
      </c>
      <c r="C74">
        <v>15</v>
      </c>
      <c r="D74">
        <v>14</v>
      </c>
      <c r="E74" t="s">
        <v>75</v>
      </c>
      <c r="F74">
        <v>4</v>
      </c>
    </row>
    <row r="75" spans="1:6">
      <c r="A75" t="s">
        <v>217</v>
      </c>
      <c r="B75">
        <v>5</v>
      </c>
      <c r="C75">
        <v>15</v>
      </c>
      <c r="D75">
        <v>14</v>
      </c>
      <c r="E75" t="s">
        <v>76</v>
      </c>
      <c r="F75">
        <v>8</v>
      </c>
    </row>
    <row r="76" spans="1:6">
      <c r="A76" t="s">
        <v>217</v>
      </c>
      <c r="B76">
        <v>5</v>
      </c>
      <c r="C76">
        <v>15</v>
      </c>
      <c r="D76">
        <v>14</v>
      </c>
      <c r="E76" t="s">
        <v>77</v>
      </c>
      <c r="F76">
        <v>9</v>
      </c>
    </row>
    <row r="77" spans="1:6">
      <c r="A77" t="s">
        <v>217</v>
      </c>
      <c r="B77">
        <v>5</v>
      </c>
      <c r="C77">
        <v>15</v>
      </c>
      <c r="D77">
        <v>14</v>
      </c>
      <c r="E77" t="s">
        <v>78</v>
      </c>
      <c r="F77">
        <v>4</v>
      </c>
    </row>
    <row r="78" spans="1:6">
      <c r="A78" t="s">
        <v>218</v>
      </c>
      <c r="B78">
        <v>3</v>
      </c>
      <c r="C78">
        <v>15</v>
      </c>
      <c r="D78">
        <v>12</v>
      </c>
      <c r="E78" t="s">
        <v>79</v>
      </c>
      <c r="F78">
        <v>5</v>
      </c>
    </row>
    <row r="79" spans="1:6">
      <c r="A79" t="s">
        <v>218</v>
      </c>
      <c r="B79">
        <v>3</v>
      </c>
      <c r="C79">
        <v>15</v>
      </c>
      <c r="D79">
        <v>12</v>
      </c>
      <c r="E79" t="s">
        <v>80</v>
      </c>
      <c r="F79">
        <v>2</v>
      </c>
    </row>
    <row r="80" spans="1:6">
      <c r="A80" t="s">
        <v>219</v>
      </c>
      <c r="B80">
        <v>1</v>
      </c>
      <c r="C80">
        <v>15</v>
      </c>
      <c r="D80">
        <v>10</v>
      </c>
      <c r="E80" t="s">
        <v>81</v>
      </c>
      <c r="F80">
        <v>4</v>
      </c>
    </row>
    <row r="81" spans="1:6">
      <c r="A81" t="s">
        <v>219</v>
      </c>
      <c r="B81">
        <v>1</v>
      </c>
      <c r="C81">
        <v>15</v>
      </c>
      <c r="D81">
        <v>10</v>
      </c>
      <c r="E81" t="s">
        <v>82</v>
      </c>
      <c r="F81">
        <v>7</v>
      </c>
    </row>
    <row r="82" spans="1:6">
      <c r="A82" t="s">
        <v>205</v>
      </c>
      <c r="B82">
        <v>0</v>
      </c>
      <c r="C82">
        <v>15</v>
      </c>
      <c r="D82">
        <v>9</v>
      </c>
      <c r="E82" t="s">
        <v>83</v>
      </c>
      <c r="F82">
        <v>8</v>
      </c>
    </row>
    <row r="83" spans="1:6">
      <c r="A83" t="s">
        <v>205</v>
      </c>
      <c r="B83">
        <v>0</v>
      </c>
      <c r="C83">
        <v>15</v>
      </c>
      <c r="D83">
        <v>9</v>
      </c>
      <c r="E83" t="s">
        <v>84</v>
      </c>
      <c r="F83">
        <v>4</v>
      </c>
    </row>
    <row r="84" spans="1:6">
      <c r="A84" t="s">
        <v>205</v>
      </c>
      <c r="B84">
        <v>0</v>
      </c>
      <c r="C84">
        <v>15</v>
      </c>
      <c r="D84">
        <v>9</v>
      </c>
      <c r="E84" t="s">
        <v>85</v>
      </c>
      <c r="F84">
        <v>7</v>
      </c>
    </row>
    <row r="85" spans="1:6">
      <c r="A85" t="s">
        <v>205</v>
      </c>
      <c r="B85">
        <v>0</v>
      </c>
      <c r="C85">
        <v>15</v>
      </c>
      <c r="D85">
        <v>9</v>
      </c>
      <c r="E85" t="s">
        <v>86</v>
      </c>
      <c r="F85">
        <v>5</v>
      </c>
    </row>
    <row r="86" spans="1:6">
      <c r="A86" t="s">
        <v>206</v>
      </c>
      <c r="B86">
        <v>23</v>
      </c>
      <c r="C86">
        <v>15</v>
      </c>
      <c r="D86">
        <v>8</v>
      </c>
      <c r="E86" t="s">
        <v>87</v>
      </c>
      <c r="F86">
        <v>3</v>
      </c>
    </row>
    <row r="87" spans="1:6">
      <c r="A87" t="s">
        <v>206</v>
      </c>
      <c r="B87">
        <v>23</v>
      </c>
      <c r="C87">
        <v>15</v>
      </c>
      <c r="D87">
        <v>8</v>
      </c>
      <c r="E87" t="s">
        <v>88</v>
      </c>
      <c r="F87">
        <v>1</v>
      </c>
    </row>
    <row r="88" spans="1:6">
      <c r="A88" t="s">
        <v>207</v>
      </c>
      <c r="B88">
        <v>22</v>
      </c>
      <c r="C88">
        <v>15</v>
      </c>
      <c r="D88">
        <v>7</v>
      </c>
      <c r="E88" t="s">
        <v>89</v>
      </c>
      <c r="F88">
        <v>6</v>
      </c>
    </row>
    <row r="89" spans="1:6">
      <c r="A89" t="s">
        <v>209</v>
      </c>
      <c r="B89">
        <v>20</v>
      </c>
      <c r="C89">
        <v>15</v>
      </c>
      <c r="D89">
        <v>5</v>
      </c>
      <c r="E89" t="s">
        <v>90</v>
      </c>
      <c r="F89">
        <v>7</v>
      </c>
    </row>
    <row r="90" spans="1:6">
      <c r="A90" t="s">
        <v>220</v>
      </c>
      <c r="B90">
        <v>19</v>
      </c>
      <c r="C90">
        <v>15</v>
      </c>
      <c r="D90">
        <v>4</v>
      </c>
      <c r="E90" t="s">
        <v>91</v>
      </c>
      <c r="F90">
        <v>6</v>
      </c>
    </row>
    <row r="91" spans="1:6">
      <c r="A91" t="s">
        <v>220</v>
      </c>
      <c r="B91">
        <v>19</v>
      </c>
      <c r="C91">
        <v>15</v>
      </c>
      <c r="D91">
        <v>4</v>
      </c>
      <c r="E91" t="s">
        <v>92</v>
      </c>
      <c r="F91">
        <v>4</v>
      </c>
    </row>
    <row r="92" spans="1:6">
      <c r="A92" t="s">
        <v>211</v>
      </c>
      <c r="B92">
        <v>17</v>
      </c>
      <c r="C92">
        <v>15</v>
      </c>
      <c r="D92">
        <v>2</v>
      </c>
      <c r="E92" t="s">
        <v>93</v>
      </c>
      <c r="F92">
        <v>6</v>
      </c>
    </row>
    <row r="93" spans="1:6">
      <c r="A93" t="s">
        <v>221</v>
      </c>
      <c r="B93">
        <v>16</v>
      </c>
      <c r="C93">
        <v>15</v>
      </c>
      <c r="D93">
        <v>1</v>
      </c>
      <c r="E93" t="s">
        <v>94</v>
      </c>
      <c r="F93">
        <v>5</v>
      </c>
    </row>
    <row r="94" spans="1:6">
      <c r="A94" t="s">
        <v>213</v>
      </c>
      <c r="B94">
        <v>14</v>
      </c>
      <c r="C94">
        <v>15</v>
      </c>
      <c r="D94">
        <v>23</v>
      </c>
      <c r="E94" t="s">
        <v>95</v>
      </c>
      <c r="F94">
        <v>4</v>
      </c>
    </row>
    <row r="95" spans="1:6">
      <c r="A95" t="s">
        <v>213</v>
      </c>
      <c r="B95">
        <v>14</v>
      </c>
      <c r="C95">
        <v>15</v>
      </c>
      <c r="D95">
        <v>23</v>
      </c>
      <c r="E95" t="s">
        <v>96</v>
      </c>
      <c r="F95">
        <v>3</v>
      </c>
    </row>
    <row r="96" spans="1:6">
      <c r="A96" t="s">
        <v>213</v>
      </c>
      <c r="B96">
        <v>14</v>
      </c>
      <c r="C96">
        <v>15</v>
      </c>
      <c r="D96">
        <v>23</v>
      </c>
      <c r="E96" t="s">
        <v>97</v>
      </c>
      <c r="F96">
        <v>2</v>
      </c>
    </row>
    <row r="97" spans="1:6">
      <c r="A97" t="s">
        <v>222</v>
      </c>
      <c r="B97">
        <v>13</v>
      </c>
      <c r="C97">
        <v>15</v>
      </c>
      <c r="D97">
        <v>22</v>
      </c>
      <c r="E97" t="s">
        <v>98</v>
      </c>
      <c r="F97">
        <v>1</v>
      </c>
    </row>
    <row r="98" spans="1:6">
      <c r="A98" t="s">
        <v>199</v>
      </c>
      <c r="B98">
        <v>12</v>
      </c>
      <c r="C98">
        <v>15</v>
      </c>
      <c r="D98">
        <v>21</v>
      </c>
      <c r="E98" t="s">
        <v>99</v>
      </c>
      <c r="F98">
        <v>13</v>
      </c>
    </row>
    <row r="99" spans="1:6">
      <c r="A99" t="s">
        <v>199</v>
      </c>
      <c r="B99">
        <v>12</v>
      </c>
      <c r="C99">
        <v>15</v>
      </c>
      <c r="D99">
        <v>21</v>
      </c>
      <c r="E99" t="s">
        <v>100</v>
      </c>
      <c r="F99">
        <v>1</v>
      </c>
    </row>
    <row r="100" spans="1:6">
      <c r="A100" t="s">
        <v>215</v>
      </c>
      <c r="B100">
        <v>10</v>
      </c>
      <c r="C100">
        <v>15</v>
      </c>
      <c r="D100">
        <v>19</v>
      </c>
      <c r="E100" t="s">
        <v>101</v>
      </c>
      <c r="F100">
        <v>4</v>
      </c>
    </row>
    <row r="101" spans="1:6">
      <c r="A101" t="s">
        <v>202</v>
      </c>
      <c r="B101">
        <v>6</v>
      </c>
      <c r="C101">
        <v>15</v>
      </c>
      <c r="D101">
        <v>15</v>
      </c>
      <c r="E101" t="s">
        <v>102</v>
      </c>
      <c r="F101">
        <v>3</v>
      </c>
    </row>
    <row r="102" spans="1:6">
      <c r="A102" t="s">
        <v>202</v>
      </c>
      <c r="B102">
        <v>6</v>
      </c>
      <c r="C102">
        <v>15</v>
      </c>
      <c r="D102">
        <v>15</v>
      </c>
      <c r="E102" t="s">
        <v>103</v>
      </c>
      <c r="F102">
        <v>4</v>
      </c>
    </row>
    <row r="103" spans="1:6">
      <c r="A103" t="s">
        <v>202</v>
      </c>
      <c r="B103">
        <v>6</v>
      </c>
      <c r="C103">
        <v>15</v>
      </c>
      <c r="D103">
        <v>15</v>
      </c>
      <c r="E103" t="s">
        <v>104</v>
      </c>
      <c r="F103">
        <v>5</v>
      </c>
    </row>
    <row r="104" spans="1:6">
      <c r="A104" t="s">
        <v>202</v>
      </c>
      <c r="B104">
        <v>6</v>
      </c>
      <c r="C104">
        <v>15</v>
      </c>
      <c r="D104">
        <v>15</v>
      </c>
      <c r="E104" t="s">
        <v>105</v>
      </c>
      <c r="F104">
        <v>6</v>
      </c>
    </row>
    <row r="105" spans="1:6">
      <c r="A105" t="s">
        <v>202</v>
      </c>
      <c r="B105">
        <v>6</v>
      </c>
      <c r="C105">
        <v>15</v>
      </c>
      <c r="D105">
        <v>15</v>
      </c>
      <c r="E105" t="s">
        <v>106</v>
      </c>
      <c r="F105">
        <v>9</v>
      </c>
    </row>
    <row r="106" spans="1:6">
      <c r="A106" t="s">
        <v>217</v>
      </c>
      <c r="B106">
        <v>5</v>
      </c>
      <c r="C106">
        <v>15</v>
      </c>
      <c r="D106">
        <v>14</v>
      </c>
      <c r="E106" t="s">
        <v>107</v>
      </c>
      <c r="F106">
        <v>8</v>
      </c>
    </row>
    <row r="107" spans="1:6">
      <c r="A107" t="s">
        <v>217</v>
      </c>
      <c r="B107">
        <v>5</v>
      </c>
      <c r="C107">
        <v>15</v>
      </c>
      <c r="D107">
        <v>14</v>
      </c>
      <c r="E107" t="s">
        <v>107</v>
      </c>
      <c r="F107">
        <v>6</v>
      </c>
    </row>
    <row r="108" spans="1:6">
      <c r="A108" t="s">
        <v>217</v>
      </c>
      <c r="B108">
        <v>5</v>
      </c>
      <c r="C108">
        <v>15</v>
      </c>
      <c r="D108">
        <v>14</v>
      </c>
      <c r="E108" t="s">
        <v>108</v>
      </c>
      <c r="F108">
        <v>5</v>
      </c>
    </row>
    <row r="109" spans="1:6">
      <c r="A109" t="s">
        <v>217</v>
      </c>
      <c r="B109">
        <v>5</v>
      </c>
      <c r="C109">
        <v>15</v>
      </c>
      <c r="D109">
        <v>14</v>
      </c>
      <c r="E109" t="s">
        <v>109</v>
      </c>
      <c r="F109">
        <v>6</v>
      </c>
    </row>
    <row r="110" spans="1:6">
      <c r="A110" t="s">
        <v>217</v>
      </c>
      <c r="B110">
        <v>5</v>
      </c>
      <c r="C110">
        <v>15</v>
      </c>
      <c r="D110">
        <v>14</v>
      </c>
      <c r="E110" t="s">
        <v>110</v>
      </c>
      <c r="F110">
        <v>5</v>
      </c>
    </row>
    <row r="111" spans="1:6">
      <c r="A111" t="s">
        <v>218</v>
      </c>
      <c r="B111">
        <v>3</v>
      </c>
      <c r="C111">
        <v>15</v>
      </c>
      <c r="D111">
        <v>12</v>
      </c>
      <c r="E111" t="s">
        <v>111</v>
      </c>
      <c r="F111">
        <v>4</v>
      </c>
    </row>
    <row r="112" spans="1:6">
      <c r="A112" t="s">
        <v>218</v>
      </c>
      <c r="B112">
        <v>3</v>
      </c>
      <c r="C112">
        <v>15</v>
      </c>
      <c r="D112">
        <v>12</v>
      </c>
      <c r="E112" t="s">
        <v>112</v>
      </c>
      <c r="F112">
        <v>3</v>
      </c>
    </row>
    <row r="113" spans="1:6">
      <c r="A113" t="s">
        <v>219</v>
      </c>
      <c r="B113">
        <v>1</v>
      </c>
      <c r="C113">
        <v>15</v>
      </c>
      <c r="D113">
        <v>10</v>
      </c>
      <c r="E113" t="s">
        <v>113</v>
      </c>
      <c r="F113">
        <v>2</v>
      </c>
    </row>
    <row r="114" spans="1:6">
      <c r="A114" t="s">
        <v>219</v>
      </c>
      <c r="B114">
        <v>1</v>
      </c>
      <c r="C114">
        <v>15</v>
      </c>
      <c r="D114">
        <v>10</v>
      </c>
      <c r="E114" t="s">
        <v>114</v>
      </c>
      <c r="F114">
        <v>1</v>
      </c>
    </row>
    <row r="115" spans="1:6">
      <c r="A115" t="s">
        <v>205</v>
      </c>
      <c r="B115">
        <v>0</v>
      </c>
      <c r="C115">
        <v>15</v>
      </c>
      <c r="D115">
        <v>9</v>
      </c>
      <c r="E115" t="s">
        <v>115</v>
      </c>
      <c r="F115">
        <v>13</v>
      </c>
    </row>
    <row r="116" spans="1:6">
      <c r="A116" t="s">
        <v>205</v>
      </c>
      <c r="B116">
        <v>0</v>
      </c>
      <c r="C116">
        <v>15</v>
      </c>
      <c r="D116">
        <v>9</v>
      </c>
      <c r="E116" t="s">
        <v>116</v>
      </c>
      <c r="F116">
        <v>4</v>
      </c>
    </row>
    <row r="117" spans="1:6">
      <c r="A117" t="s">
        <v>205</v>
      </c>
      <c r="B117">
        <v>0</v>
      </c>
      <c r="C117">
        <v>15</v>
      </c>
      <c r="D117">
        <v>9</v>
      </c>
      <c r="E117" t="s">
        <v>117</v>
      </c>
      <c r="F117">
        <v>5</v>
      </c>
    </row>
    <row r="118" spans="1:6">
      <c r="A118" t="s">
        <v>205</v>
      </c>
      <c r="B118">
        <v>0</v>
      </c>
      <c r="C118">
        <v>15</v>
      </c>
      <c r="D118">
        <v>9</v>
      </c>
      <c r="E118" t="s">
        <v>118</v>
      </c>
      <c r="F118">
        <v>11</v>
      </c>
    </row>
    <row r="119" spans="1:6">
      <c r="A119" t="s">
        <v>206</v>
      </c>
      <c r="B119">
        <v>23</v>
      </c>
      <c r="C119">
        <v>15</v>
      </c>
      <c r="D119">
        <v>8</v>
      </c>
      <c r="E119" t="s">
        <v>119</v>
      </c>
      <c r="F119">
        <v>5</v>
      </c>
    </row>
    <row r="120" spans="1:6">
      <c r="A120" t="s">
        <v>206</v>
      </c>
      <c r="B120">
        <v>23</v>
      </c>
      <c r="C120">
        <v>15</v>
      </c>
      <c r="D120">
        <v>8</v>
      </c>
      <c r="E120" t="s">
        <v>120</v>
      </c>
      <c r="F120">
        <v>6</v>
      </c>
    </row>
    <row r="121" spans="1:6">
      <c r="A121" t="s">
        <v>207</v>
      </c>
      <c r="B121">
        <v>22</v>
      </c>
      <c r="C121">
        <v>15</v>
      </c>
      <c r="D121">
        <v>7</v>
      </c>
      <c r="E121" t="s">
        <v>121</v>
      </c>
      <c r="F121">
        <v>9</v>
      </c>
    </row>
    <row r="122" spans="1:6">
      <c r="A122" t="s">
        <v>209</v>
      </c>
      <c r="B122">
        <v>20</v>
      </c>
      <c r="C122">
        <v>15</v>
      </c>
      <c r="D122">
        <v>5</v>
      </c>
      <c r="E122" t="s">
        <v>122</v>
      </c>
      <c r="F122">
        <v>3</v>
      </c>
    </row>
    <row r="123" spans="1:6">
      <c r="A123" t="s">
        <v>220</v>
      </c>
      <c r="B123">
        <v>19</v>
      </c>
      <c r="C123">
        <v>15</v>
      </c>
      <c r="D123">
        <v>4</v>
      </c>
      <c r="E123" t="s">
        <v>123</v>
      </c>
      <c r="F123">
        <v>1</v>
      </c>
    </row>
    <row r="124" spans="1:6">
      <c r="A124" t="s">
        <v>220</v>
      </c>
      <c r="B124">
        <v>19</v>
      </c>
      <c r="C124">
        <v>15</v>
      </c>
      <c r="D124">
        <v>4</v>
      </c>
      <c r="E124" t="s">
        <v>124</v>
      </c>
      <c r="F124">
        <v>15</v>
      </c>
    </row>
    <row r="125" spans="1:6">
      <c r="A125" t="s">
        <v>211</v>
      </c>
      <c r="B125">
        <v>17</v>
      </c>
      <c r="C125">
        <v>15</v>
      </c>
      <c r="D125">
        <v>2</v>
      </c>
      <c r="E125" t="s">
        <v>125</v>
      </c>
      <c r="F125">
        <v>18</v>
      </c>
    </row>
    <row r="126" spans="1:6">
      <c r="A126" t="s">
        <v>221</v>
      </c>
      <c r="B126">
        <v>16</v>
      </c>
      <c r="C126">
        <v>15</v>
      </c>
      <c r="D126">
        <v>1</v>
      </c>
      <c r="E126" t="s">
        <v>126</v>
      </c>
      <c r="F126">
        <v>21</v>
      </c>
    </row>
    <row r="127" spans="1:6">
      <c r="A127" t="s">
        <v>222</v>
      </c>
      <c r="B127">
        <v>13</v>
      </c>
      <c r="C127">
        <v>15</v>
      </c>
      <c r="D127">
        <v>22</v>
      </c>
      <c r="E127" t="s">
        <v>127</v>
      </c>
      <c r="F127">
        <v>7</v>
      </c>
    </row>
    <row r="128" spans="1:6">
      <c r="A128" t="s">
        <v>222</v>
      </c>
      <c r="B128">
        <v>13</v>
      </c>
      <c r="C128">
        <v>15</v>
      </c>
      <c r="D128">
        <v>22</v>
      </c>
      <c r="E128" t="s">
        <v>128</v>
      </c>
      <c r="F128">
        <v>8</v>
      </c>
    </row>
    <row r="129" spans="1:6">
      <c r="A129" t="s">
        <v>222</v>
      </c>
      <c r="B129">
        <v>13</v>
      </c>
      <c r="C129">
        <v>15</v>
      </c>
      <c r="D129">
        <v>22</v>
      </c>
      <c r="E129" t="s">
        <v>129</v>
      </c>
      <c r="F129">
        <v>9</v>
      </c>
    </row>
    <row r="130" spans="1:6">
      <c r="A130" t="s">
        <v>222</v>
      </c>
      <c r="B130">
        <v>13</v>
      </c>
      <c r="C130">
        <v>15</v>
      </c>
      <c r="D130">
        <v>22</v>
      </c>
      <c r="E130" t="s">
        <v>130</v>
      </c>
      <c r="F130">
        <v>4</v>
      </c>
    </row>
    <row r="131" spans="1:6">
      <c r="A131" t="s">
        <v>199</v>
      </c>
      <c r="B131">
        <v>12</v>
      </c>
      <c r="C131">
        <v>15</v>
      </c>
      <c r="D131">
        <v>21</v>
      </c>
      <c r="E131" t="s">
        <v>131</v>
      </c>
      <c r="F131">
        <v>2</v>
      </c>
    </row>
    <row r="132" spans="1:6">
      <c r="A132" t="s">
        <v>199</v>
      </c>
      <c r="B132">
        <v>12</v>
      </c>
      <c r="C132">
        <v>15</v>
      </c>
      <c r="D132">
        <v>21</v>
      </c>
      <c r="E132" t="s">
        <v>132</v>
      </c>
      <c r="F132">
        <v>7</v>
      </c>
    </row>
    <row r="133" spans="1:6">
      <c r="A133" t="s">
        <v>215</v>
      </c>
      <c r="B133">
        <v>10</v>
      </c>
      <c r="C133">
        <v>15</v>
      </c>
      <c r="D133">
        <v>19</v>
      </c>
      <c r="E133" t="s">
        <v>133</v>
      </c>
      <c r="F133">
        <v>9</v>
      </c>
    </row>
    <row r="134" spans="1:6">
      <c r="A134" t="s">
        <v>202</v>
      </c>
      <c r="B134">
        <v>6</v>
      </c>
      <c r="C134">
        <v>15</v>
      </c>
      <c r="D134">
        <v>15</v>
      </c>
      <c r="E134" t="s">
        <v>134</v>
      </c>
      <c r="F134">
        <v>3</v>
      </c>
    </row>
    <row r="135" spans="1:6">
      <c r="A135" t="s">
        <v>202</v>
      </c>
      <c r="B135">
        <v>6</v>
      </c>
      <c r="C135">
        <v>15</v>
      </c>
      <c r="D135">
        <v>15</v>
      </c>
      <c r="E135" t="s">
        <v>135</v>
      </c>
      <c r="F135">
        <v>5</v>
      </c>
    </row>
    <row r="136" spans="1:6">
      <c r="A136" t="s">
        <v>202</v>
      </c>
      <c r="B136">
        <v>6</v>
      </c>
      <c r="C136">
        <v>15</v>
      </c>
      <c r="D136">
        <v>15</v>
      </c>
      <c r="E136" t="s">
        <v>136</v>
      </c>
      <c r="F136">
        <v>4</v>
      </c>
    </row>
    <row r="137" spans="1:6">
      <c r="A137" t="s">
        <v>202</v>
      </c>
      <c r="B137">
        <v>6</v>
      </c>
      <c r="C137">
        <v>15</v>
      </c>
      <c r="D137">
        <v>15</v>
      </c>
      <c r="E137" t="s">
        <v>137</v>
      </c>
      <c r="F137">
        <v>6</v>
      </c>
    </row>
    <row r="138" spans="1:6">
      <c r="A138" t="s">
        <v>202</v>
      </c>
      <c r="B138">
        <v>6</v>
      </c>
      <c r="C138">
        <v>15</v>
      </c>
      <c r="D138">
        <v>15</v>
      </c>
      <c r="E138" t="s">
        <v>138</v>
      </c>
      <c r="F138">
        <v>3</v>
      </c>
    </row>
    <row r="139" spans="1:6">
      <c r="A139" t="s">
        <v>217</v>
      </c>
      <c r="B139">
        <v>5</v>
      </c>
      <c r="C139">
        <v>15</v>
      </c>
      <c r="D139">
        <v>14</v>
      </c>
      <c r="E139" t="s">
        <v>139</v>
      </c>
      <c r="F139">
        <v>6</v>
      </c>
    </row>
    <row r="140" spans="1:6">
      <c r="A140" t="s">
        <v>217</v>
      </c>
      <c r="B140">
        <v>5</v>
      </c>
      <c r="C140">
        <v>15</v>
      </c>
      <c r="D140">
        <v>14</v>
      </c>
      <c r="E140" t="s">
        <v>139</v>
      </c>
      <c r="F140">
        <v>5</v>
      </c>
    </row>
    <row r="141" spans="1:6">
      <c r="A141" t="s">
        <v>217</v>
      </c>
      <c r="B141">
        <v>5</v>
      </c>
      <c r="C141">
        <v>15</v>
      </c>
      <c r="D141">
        <v>14</v>
      </c>
      <c r="E141" t="s">
        <v>140</v>
      </c>
      <c r="F141">
        <v>5</v>
      </c>
    </row>
    <row r="142" spans="1:6">
      <c r="A142" t="s">
        <v>217</v>
      </c>
      <c r="B142">
        <v>5</v>
      </c>
      <c r="C142">
        <v>15</v>
      </c>
      <c r="D142">
        <v>14</v>
      </c>
      <c r="E142" t="s">
        <v>141</v>
      </c>
      <c r="F142">
        <v>3</v>
      </c>
    </row>
    <row r="143" spans="1:6">
      <c r="A143" t="s">
        <v>217</v>
      </c>
      <c r="B143">
        <v>5</v>
      </c>
      <c r="C143">
        <v>15</v>
      </c>
      <c r="D143">
        <v>14</v>
      </c>
      <c r="E143" t="s">
        <v>142</v>
      </c>
      <c r="F143">
        <v>1</v>
      </c>
    </row>
    <row r="144" spans="1:6">
      <c r="A144" t="s">
        <v>218</v>
      </c>
      <c r="B144">
        <v>3</v>
      </c>
      <c r="C144">
        <v>15</v>
      </c>
      <c r="D144">
        <v>12</v>
      </c>
      <c r="E144" t="s">
        <v>143</v>
      </c>
      <c r="F144">
        <v>5</v>
      </c>
    </row>
    <row r="145" spans="1:6">
      <c r="A145" t="s">
        <v>218</v>
      </c>
      <c r="B145">
        <v>3</v>
      </c>
      <c r="C145">
        <v>15</v>
      </c>
      <c r="D145">
        <v>12</v>
      </c>
      <c r="E145" t="s">
        <v>144</v>
      </c>
      <c r="F145">
        <v>6</v>
      </c>
    </row>
    <row r="146" spans="1:6">
      <c r="A146" t="s">
        <v>219</v>
      </c>
      <c r="B146">
        <v>1</v>
      </c>
      <c r="C146">
        <v>15</v>
      </c>
      <c r="D146">
        <v>10</v>
      </c>
      <c r="E146" t="s">
        <v>145</v>
      </c>
      <c r="F146">
        <v>9</v>
      </c>
    </row>
    <row r="147" spans="1:6">
      <c r="A147" t="s">
        <v>219</v>
      </c>
      <c r="B147">
        <v>1</v>
      </c>
      <c r="C147">
        <v>15</v>
      </c>
      <c r="D147">
        <v>10</v>
      </c>
      <c r="E147" t="s">
        <v>146</v>
      </c>
      <c r="F147">
        <v>8</v>
      </c>
    </row>
    <row r="148" spans="1:6">
      <c r="A148" t="s">
        <v>205</v>
      </c>
      <c r="B148">
        <v>0</v>
      </c>
      <c r="C148">
        <v>15</v>
      </c>
      <c r="D148">
        <v>9</v>
      </c>
      <c r="E148" t="s">
        <v>147</v>
      </c>
      <c r="F148">
        <v>6</v>
      </c>
    </row>
    <row r="149" spans="1:6">
      <c r="A149" t="s">
        <v>205</v>
      </c>
      <c r="B149">
        <v>0</v>
      </c>
      <c r="C149">
        <v>15</v>
      </c>
      <c r="D149">
        <v>9</v>
      </c>
      <c r="E149" t="s">
        <v>148</v>
      </c>
      <c r="F149">
        <v>5</v>
      </c>
    </row>
    <row r="150" spans="1:6">
      <c r="A150" t="s">
        <v>205</v>
      </c>
      <c r="B150">
        <v>0</v>
      </c>
      <c r="C150">
        <v>15</v>
      </c>
      <c r="D150">
        <v>9</v>
      </c>
      <c r="E150" t="s">
        <v>149</v>
      </c>
      <c r="F150">
        <v>10</v>
      </c>
    </row>
    <row r="151" spans="1:6">
      <c r="A151" t="s">
        <v>205</v>
      </c>
      <c r="B151">
        <v>0</v>
      </c>
      <c r="C151">
        <v>15</v>
      </c>
      <c r="D151">
        <v>9</v>
      </c>
      <c r="E151" t="s">
        <v>150</v>
      </c>
      <c r="F151">
        <v>12</v>
      </c>
    </row>
    <row r="152" spans="1:6">
      <c r="A152" t="s">
        <v>206</v>
      </c>
      <c r="B152">
        <v>23</v>
      </c>
      <c r="C152">
        <v>15</v>
      </c>
      <c r="D152">
        <v>8</v>
      </c>
      <c r="E152" t="s">
        <v>151</v>
      </c>
      <c r="F152">
        <v>11</v>
      </c>
    </row>
    <row r="153" spans="1:6">
      <c r="A153" t="s">
        <v>206</v>
      </c>
      <c r="B153">
        <v>23</v>
      </c>
      <c r="C153">
        <v>15</v>
      </c>
      <c r="D153">
        <v>8</v>
      </c>
      <c r="E153" t="s">
        <v>152</v>
      </c>
      <c r="F153">
        <v>4</v>
      </c>
    </row>
    <row r="154" spans="1:6">
      <c r="A154" t="s">
        <v>207</v>
      </c>
      <c r="B154">
        <v>22</v>
      </c>
      <c r="C154">
        <v>15</v>
      </c>
      <c r="D154">
        <v>7</v>
      </c>
      <c r="E154" t="s">
        <v>153</v>
      </c>
      <c r="F154">
        <v>1</v>
      </c>
    </row>
    <row r="155" spans="1:6">
      <c r="A155" t="s">
        <v>209</v>
      </c>
      <c r="B155">
        <v>20</v>
      </c>
      <c r="C155">
        <v>15</v>
      </c>
      <c r="D155">
        <v>5</v>
      </c>
      <c r="E155" t="s">
        <v>154</v>
      </c>
      <c r="F155">
        <v>13</v>
      </c>
    </row>
    <row r="156" spans="1:6">
      <c r="A156" t="s">
        <v>220</v>
      </c>
      <c r="B156">
        <v>19</v>
      </c>
      <c r="C156">
        <v>15</v>
      </c>
      <c r="D156">
        <v>4</v>
      </c>
      <c r="E156" t="s">
        <v>155</v>
      </c>
      <c r="F156">
        <v>15</v>
      </c>
    </row>
    <row r="157" spans="1:6">
      <c r="A157" t="s">
        <v>220</v>
      </c>
      <c r="B157">
        <v>19</v>
      </c>
      <c r="C157">
        <v>15</v>
      </c>
      <c r="D157">
        <v>4</v>
      </c>
      <c r="E157" t="s">
        <v>156</v>
      </c>
      <c r="F157">
        <v>19</v>
      </c>
    </row>
    <row r="158" spans="1:6">
      <c r="A158" t="s">
        <v>211</v>
      </c>
      <c r="B158">
        <v>17</v>
      </c>
      <c r="C158">
        <v>15</v>
      </c>
      <c r="D158">
        <v>2</v>
      </c>
      <c r="E158" t="s">
        <v>157</v>
      </c>
      <c r="F158">
        <v>22</v>
      </c>
    </row>
    <row r="159" spans="1:6">
      <c r="A159" t="s">
        <v>221</v>
      </c>
      <c r="B159">
        <v>16</v>
      </c>
      <c r="C159">
        <v>15</v>
      </c>
      <c r="D159">
        <v>1</v>
      </c>
      <c r="E159" t="s">
        <v>158</v>
      </c>
      <c r="F159">
        <v>1</v>
      </c>
    </row>
    <row r="160" spans="1:6">
      <c r="A160" t="s">
        <v>199</v>
      </c>
      <c r="B160">
        <v>12</v>
      </c>
      <c r="C160">
        <v>15</v>
      </c>
      <c r="D160">
        <v>21</v>
      </c>
      <c r="E160" t="s">
        <v>159</v>
      </c>
      <c r="F160">
        <v>21</v>
      </c>
    </row>
    <row r="161" spans="1:6">
      <c r="A161" t="s">
        <v>199</v>
      </c>
      <c r="B161">
        <v>12</v>
      </c>
      <c r="C161">
        <v>15</v>
      </c>
      <c r="D161">
        <v>21</v>
      </c>
      <c r="E161" t="s">
        <v>160</v>
      </c>
      <c r="F161">
        <v>6</v>
      </c>
    </row>
    <row r="162" spans="1:6">
      <c r="A162" t="s">
        <v>199</v>
      </c>
      <c r="B162">
        <v>12</v>
      </c>
      <c r="C162">
        <v>15</v>
      </c>
      <c r="D162">
        <v>21</v>
      </c>
      <c r="E162" t="s">
        <v>161</v>
      </c>
      <c r="F162">
        <v>9</v>
      </c>
    </row>
    <row r="163" spans="1:6">
      <c r="A163" t="s">
        <v>199</v>
      </c>
      <c r="B163">
        <v>12</v>
      </c>
      <c r="C163">
        <v>15</v>
      </c>
      <c r="D163">
        <v>21</v>
      </c>
      <c r="E163" t="s">
        <v>162</v>
      </c>
      <c r="F163">
        <v>11</v>
      </c>
    </row>
    <row r="164" spans="1:6">
      <c r="A164" t="s">
        <v>199</v>
      </c>
      <c r="B164">
        <v>12</v>
      </c>
      <c r="C164">
        <v>15</v>
      </c>
      <c r="D164">
        <v>21</v>
      </c>
      <c r="E164" t="s">
        <v>163</v>
      </c>
      <c r="F164">
        <v>2</v>
      </c>
    </row>
    <row r="165" spans="1:6">
      <c r="A165" t="s">
        <v>199</v>
      </c>
      <c r="B165">
        <v>12</v>
      </c>
      <c r="C165">
        <v>15</v>
      </c>
      <c r="D165">
        <v>21</v>
      </c>
      <c r="E165" t="s">
        <v>164</v>
      </c>
      <c r="F165">
        <v>1</v>
      </c>
    </row>
    <row r="166" spans="1:6">
      <c r="A166" t="s">
        <v>215</v>
      </c>
      <c r="B166">
        <v>10</v>
      </c>
      <c r="C166">
        <v>15</v>
      </c>
      <c r="D166">
        <v>19</v>
      </c>
      <c r="E166" t="s">
        <v>165</v>
      </c>
      <c r="F166">
        <v>4</v>
      </c>
    </row>
    <row r="167" spans="1:6">
      <c r="A167" t="s">
        <v>202</v>
      </c>
      <c r="B167">
        <v>6</v>
      </c>
      <c r="C167">
        <v>15</v>
      </c>
      <c r="D167">
        <v>15</v>
      </c>
      <c r="E167" t="s">
        <v>166</v>
      </c>
      <c r="F167">
        <v>5</v>
      </c>
    </row>
    <row r="168" spans="1:6">
      <c r="A168" t="s">
        <v>202</v>
      </c>
      <c r="B168">
        <v>6</v>
      </c>
      <c r="C168">
        <v>15</v>
      </c>
      <c r="D168">
        <v>15</v>
      </c>
      <c r="E168" t="s">
        <v>167</v>
      </c>
      <c r="F168">
        <v>13</v>
      </c>
    </row>
    <row r="169" spans="1:6">
      <c r="A169" t="s">
        <v>202</v>
      </c>
      <c r="B169">
        <v>6</v>
      </c>
      <c r="C169">
        <v>15</v>
      </c>
      <c r="D169">
        <v>15</v>
      </c>
      <c r="E169" t="s">
        <v>168</v>
      </c>
      <c r="F169">
        <v>7</v>
      </c>
    </row>
    <row r="170" spans="1:6">
      <c r="A170" t="s">
        <v>202</v>
      </c>
      <c r="B170">
        <v>6</v>
      </c>
      <c r="C170">
        <v>15</v>
      </c>
      <c r="D170">
        <v>15</v>
      </c>
      <c r="E170" t="s">
        <v>169</v>
      </c>
      <c r="F170">
        <v>2</v>
      </c>
    </row>
    <row r="171" spans="1:6">
      <c r="A171" t="s">
        <v>202</v>
      </c>
      <c r="B171">
        <v>6</v>
      </c>
      <c r="C171">
        <v>15</v>
      </c>
      <c r="D171">
        <v>15</v>
      </c>
      <c r="E171" t="s">
        <v>170</v>
      </c>
      <c r="F171">
        <v>9</v>
      </c>
    </row>
    <row r="172" spans="1:6">
      <c r="A172" t="s">
        <v>217</v>
      </c>
      <c r="B172">
        <v>5</v>
      </c>
      <c r="C172">
        <v>15</v>
      </c>
      <c r="D172">
        <v>14</v>
      </c>
      <c r="E172" t="s">
        <v>171</v>
      </c>
      <c r="F172">
        <v>3</v>
      </c>
    </row>
    <row r="173" spans="1:6">
      <c r="A173" t="s">
        <v>217</v>
      </c>
      <c r="B173">
        <v>5</v>
      </c>
      <c r="C173">
        <v>15</v>
      </c>
      <c r="D173">
        <v>14</v>
      </c>
      <c r="E173" t="s">
        <v>171</v>
      </c>
      <c r="F173">
        <v>1</v>
      </c>
    </row>
    <row r="174" spans="1:6">
      <c r="A174" t="s">
        <v>217</v>
      </c>
      <c r="B174">
        <v>5</v>
      </c>
      <c r="C174">
        <v>15</v>
      </c>
      <c r="D174">
        <v>14</v>
      </c>
      <c r="E174" t="s">
        <v>172</v>
      </c>
      <c r="F174">
        <v>1</v>
      </c>
    </row>
    <row r="175" spans="1:6">
      <c r="A175" t="s">
        <v>217</v>
      </c>
      <c r="B175">
        <v>5</v>
      </c>
      <c r="C175">
        <v>15</v>
      </c>
      <c r="D175">
        <v>14</v>
      </c>
      <c r="E175" t="s">
        <v>173</v>
      </c>
      <c r="F175">
        <v>11</v>
      </c>
    </row>
    <row r="176" spans="1:6">
      <c r="A176" t="s">
        <v>217</v>
      </c>
      <c r="B176">
        <v>5</v>
      </c>
      <c r="C176">
        <v>15</v>
      </c>
      <c r="D176">
        <v>14</v>
      </c>
      <c r="E176" t="s">
        <v>174</v>
      </c>
      <c r="F176">
        <v>5</v>
      </c>
    </row>
    <row r="177" spans="1:6">
      <c r="A177" t="s">
        <v>218</v>
      </c>
      <c r="B177">
        <v>3</v>
      </c>
      <c r="C177">
        <v>15</v>
      </c>
      <c r="D177">
        <v>12</v>
      </c>
      <c r="E177" t="s">
        <v>175</v>
      </c>
      <c r="F177">
        <v>6</v>
      </c>
    </row>
    <row r="178" spans="1:6">
      <c r="A178" t="s">
        <v>218</v>
      </c>
      <c r="B178">
        <v>3</v>
      </c>
      <c r="C178">
        <v>15</v>
      </c>
      <c r="D178">
        <v>12</v>
      </c>
      <c r="E178" t="s">
        <v>176</v>
      </c>
      <c r="F178">
        <v>8</v>
      </c>
    </row>
    <row r="179" spans="1:6">
      <c r="A179" t="s">
        <v>219</v>
      </c>
      <c r="B179">
        <v>1</v>
      </c>
      <c r="C179">
        <v>15</v>
      </c>
      <c r="D179">
        <v>10</v>
      </c>
      <c r="E179" t="s">
        <v>177</v>
      </c>
      <c r="F179">
        <v>9</v>
      </c>
    </row>
    <row r="180" spans="1:6">
      <c r="A180" t="s">
        <v>219</v>
      </c>
      <c r="B180">
        <v>1</v>
      </c>
      <c r="C180">
        <v>15</v>
      </c>
      <c r="D180">
        <v>10</v>
      </c>
      <c r="E180" t="s">
        <v>178</v>
      </c>
      <c r="F180">
        <v>11</v>
      </c>
    </row>
    <row r="181" spans="1:6">
      <c r="A181" t="s">
        <v>205</v>
      </c>
      <c r="B181">
        <v>0</v>
      </c>
      <c r="C181">
        <v>15</v>
      </c>
      <c r="D181">
        <v>9</v>
      </c>
      <c r="E181" t="s">
        <v>179</v>
      </c>
      <c r="F181">
        <v>10</v>
      </c>
    </row>
    <row r="182" spans="1:6">
      <c r="A182" t="s">
        <v>205</v>
      </c>
      <c r="B182">
        <v>0</v>
      </c>
      <c r="C182">
        <v>15</v>
      </c>
      <c r="D182">
        <v>9</v>
      </c>
      <c r="E182" t="s">
        <v>180</v>
      </c>
      <c r="F182">
        <v>8</v>
      </c>
    </row>
    <row r="183" spans="1:6">
      <c r="A183" t="s">
        <v>205</v>
      </c>
      <c r="B183">
        <v>0</v>
      </c>
      <c r="C183">
        <v>15</v>
      </c>
      <c r="D183">
        <v>9</v>
      </c>
      <c r="E183" t="s">
        <v>181</v>
      </c>
      <c r="F183">
        <v>6</v>
      </c>
    </row>
    <row r="184" spans="1:6">
      <c r="A184" t="s">
        <v>205</v>
      </c>
      <c r="B184">
        <v>0</v>
      </c>
      <c r="C184">
        <v>15</v>
      </c>
      <c r="D184">
        <v>9</v>
      </c>
      <c r="E184" t="s">
        <v>182</v>
      </c>
      <c r="F184">
        <v>5</v>
      </c>
    </row>
    <row r="185" spans="1:6">
      <c r="A185" t="s">
        <v>206</v>
      </c>
      <c r="B185">
        <v>23</v>
      </c>
      <c r="C185">
        <v>15</v>
      </c>
      <c r="D185">
        <v>8</v>
      </c>
      <c r="E185" t="s">
        <v>183</v>
      </c>
      <c r="F185">
        <v>10</v>
      </c>
    </row>
    <row r="186" spans="1:6">
      <c r="A186" t="s">
        <v>206</v>
      </c>
      <c r="B186">
        <v>23</v>
      </c>
      <c r="C186">
        <v>15</v>
      </c>
      <c r="D186">
        <v>8</v>
      </c>
      <c r="E186" t="s">
        <v>184</v>
      </c>
      <c r="F186">
        <v>7</v>
      </c>
    </row>
    <row r="187" spans="1:6">
      <c r="A187" t="s">
        <v>207</v>
      </c>
      <c r="B187">
        <v>22</v>
      </c>
      <c r="C187">
        <v>15</v>
      </c>
      <c r="D187">
        <v>7</v>
      </c>
      <c r="E187" t="s">
        <v>185</v>
      </c>
      <c r="F187">
        <v>5</v>
      </c>
    </row>
    <row r="188" spans="1:6">
      <c r="A188" t="s">
        <v>209</v>
      </c>
      <c r="B188">
        <v>20</v>
      </c>
      <c r="C188">
        <v>15</v>
      </c>
      <c r="D188">
        <v>5</v>
      </c>
      <c r="E188" t="s">
        <v>186</v>
      </c>
      <c r="F188">
        <v>1</v>
      </c>
    </row>
    <row r="189" spans="1:6">
      <c r="A189" t="s">
        <v>220</v>
      </c>
      <c r="B189">
        <v>19</v>
      </c>
      <c r="C189">
        <v>15</v>
      </c>
      <c r="D189">
        <v>4</v>
      </c>
      <c r="E189" t="s">
        <v>187</v>
      </c>
      <c r="F189">
        <v>14</v>
      </c>
    </row>
    <row r="190" spans="1:6">
      <c r="A190" t="s">
        <v>220</v>
      </c>
      <c r="B190">
        <v>19</v>
      </c>
      <c r="C190">
        <v>15</v>
      </c>
      <c r="D190">
        <v>4</v>
      </c>
      <c r="E190" t="s">
        <v>188</v>
      </c>
      <c r="F190">
        <v>12</v>
      </c>
    </row>
    <row r="191" spans="1:6">
      <c r="A191" t="s">
        <v>211</v>
      </c>
      <c r="B191">
        <v>17</v>
      </c>
      <c r="C191">
        <v>15</v>
      </c>
      <c r="D191">
        <v>2</v>
      </c>
      <c r="E191" t="s">
        <v>189</v>
      </c>
      <c r="F191">
        <v>7</v>
      </c>
    </row>
    <row r="192" spans="1:6">
      <c r="A192" t="s">
        <v>221</v>
      </c>
      <c r="B192">
        <v>16</v>
      </c>
      <c r="C192">
        <v>15</v>
      </c>
      <c r="D192">
        <v>1</v>
      </c>
      <c r="E192" t="s">
        <v>190</v>
      </c>
      <c r="F192">
        <v>6</v>
      </c>
    </row>
    <row r="193" spans="1:6">
      <c r="A193" t="s">
        <v>214</v>
      </c>
      <c r="B193">
        <v>11</v>
      </c>
      <c r="C193">
        <v>15</v>
      </c>
      <c r="D193">
        <v>20</v>
      </c>
      <c r="E193" t="s">
        <v>191</v>
      </c>
      <c r="F193">
        <v>1</v>
      </c>
    </row>
    <row r="194" spans="1:6">
      <c r="A194" t="s">
        <v>214</v>
      </c>
      <c r="B194">
        <v>11</v>
      </c>
      <c r="C194">
        <v>15</v>
      </c>
      <c r="D194">
        <v>20</v>
      </c>
      <c r="E194" t="s">
        <v>192</v>
      </c>
      <c r="F194">
        <v>9</v>
      </c>
    </row>
    <row r="195" spans="1:6">
      <c r="A195" t="s">
        <v>214</v>
      </c>
      <c r="B195">
        <v>11</v>
      </c>
      <c r="C195">
        <v>15</v>
      </c>
      <c r="D195">
        <v>20</v>
      </c>
      <c r="E195" t="s">
        <v>193</v>
      </c>
      <c r="F195">
        <v>4</v>
      </c>
    </row>
    <row r="196" spans="1:6">
      <c r="A196" t="s">
        <v>214</v>
      </c>
      <c r="B196">
        <v>11</v>
      </c>
      <c r="C196">
        <v>15</v>
      </c>
      <c r="D196">
        <v>20</v>
      </c>
      <c r="E196" t="s">
        <v>194</v>
      </c>
      <c r="F196">
        <v>6</v>
      </c>
    </row>
    <row r="197" spans="1:6">
      <c r="A197" t="s">
        <v>214</v>
      </c>
      <c r="B197">
        <v>11</v>
      </c>
      <c r="C197">
        <v>15</v>
      </c>
      <c r="D197">
        <v>20</v>
      </c>
      <c r="E197" t="s">
        <v>195</v>
      </c>
      <c r="F197">
        <v>1</v>
      </c>
    </row>
    <row r="198" spans="1:6">
      <c r="A198" t="s">
        <v>214</v>
      </c>
      <c r="B198">
        <v>11</v>
      </c>
      <c r="C198">
        <v>15</v>
      </c>
      <c r="D198">
        <v>20</v>
      </c>
      <c r="E198" t="s">
        <v>196</v>
      </c>
      <c r="F198">
        <v>4</v>
      </c>
    </row>
    <row r="199" spans="1:6">
      <c r="A199" t="s">
        <v>215</v>
      </c>
      <c r="B199">
        <v>10</v>
      </c>
      <c r="C199">
        <v>15</v>
      </c>
      <c r="D199">
        <v>19</v>
      </c>
      <c r="E199" t="s">
        <v>197</v>
      </c>
      <c r="F199">
        <v>2</v>
      </c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zoomScale="90" zoomScaleNormal="90" topLeftCell="C13" workbookViewId="0">
      <selection activeCell="D49" sqref="D49"/>
    </sheetView>
  </sheetViews>
  <sheetFormatPr defaultColWidth="9" defaultRowHeight="13.5" outlineLevelCol="4"/>
  <cols>
    <col min="1" max="1" width="14.625"/>
    <col min="2" max="2" width="18.375"/>
    <col min="4" max="4" width="14.625" customWidth="1"/>
    <col min="5" max="5" width="16.625" customWidth="1"/>
  </cols>
  <sheetData>
    <row r="1" spans="4:4">
      <c r="D1" t="s">
        <v>223</v>
      </c>
    </row>
    <row r="3" spans="1:5">
      <c r="A3" t="s">
        <v>224</v>
      </c>
      <c r="B3" t="s">
        <v>225</v>
      </c>
      <c r="D3" t="s">
        <v>224</v>
      </c>
      <c r="E3" t="s">
        <v>225</v>
      </c>
    </row>
    <row r="4" spans="1:5">
      <c r="A4" s="21" t="s">
        <v>205</v>
      </c>
      <c r="B4">
        <v>147</v>
      </c>
      <c r="D4" t="s">
        <v>205</v>
      </c>
      <c r="E4">
        <v>147</v>
      </c>
    </row>
    <row r="5" spans="1:5">
      <c r="A5" s="21" t="s">
        <v>199</v>
      </c>
      <c r="B5">
        <v>125</v>
      </c>
      <c r="D5" t="s">
        <v>199</v>
      </c>
      <c r="E5">
        <v>125</v>
      </c>
    </row>
    <row r="6" spans="1:5">
      <c r="A6" s="21" t="s">
        <v>210</v>
      </c>
      <c r="B6">
        <v>19</v>
      </c>
      <c r="D6" t="s">
        <v>210</v>
      </c>
      <c r="E6">
        <v>19</v>
      </c>
    </row>
    <row r="7" spans="1:5">
      <c r="A7" s="21" t="s">
        <v>204</v>
      </c>
      <c r="B7">
        <v>8</v>
      </c>
      <c r="D7" t="s">
        <v>204</v>
      </c>
      <c r="E7">
        <v>8</v>
      </c>
    </row>
    <row r="8" spans="1:5">
      <c r="A8" s="21" t="s">
        <v>209</v>
      </c>
      <c r="B8">
        <v>55</v>
      </c>
      <c r="D8" t="s">
        <v>209</v>
      </c>
      <c r="E8">
        <v>55</v>
      </c>
    </row>
    <row r="9" spans="1:5">
      <c r="A9" s="21" t="s">
        <v>208</v>
      </c>
      <c r="B9">
        <v>7</v>
      </c>
      <c r="D9" t="s">
        <v>208</v>
      </c>
      <c r="E9">
        <v>7</v>
      </c>
    </row>
    <row r="10" spans="1:5">
      <c r="A10" s="21" t="s">
        <v>207</v>
      </c>
      <c r="B10">
        <v>38</v>
      </c>
      <c r="D10" t="s">
        <v>207</v>
      </c>
      <c r="E10">
        <v>38</v>
      </c>
    </row>
    <row r="11" spans="1:5">
      <c r="A11" s="21" t="s">
        <v>206</v>
      </c>
      <c r="B11">
        <v>64</v>
      </c>
      <c r="D11" t="s">
        <v>206</v>
      </c>
      <c r="E11">
        <v>64</v>
      </c>
    </row>
    <row r="12" spans="1:5">
      <c r="A12" s="21" t="s">
        <v>203</v>
      </c>
      <c r="B12">
        <v>46</v>
      </c>
      <c r="D12" t="s">
        <v>203</v>
      </c>
      <c r="E12">
        <v>46</v>
      </c>
    </row>
    <row r="13" spans="1:5">
      <c r="A13" s="21" t="s">
        <v>202</v>
      </c>
      <c r="B13">
        <v>157</v>
      </c>
      <c r="D13" t="s">
        <v>202</v>
      </c>
      <c r="E13">
        <v>157</v>
      </c>
    </row>
    <row r="14" spans="1:5">
      <c r="A14" s="21" t="s">
        <v>201</v>
      </c>
      <c r="B14">
        <v>19</v>
      </c>
      <c r="D14" t="s">
        <v>201</v>
      </c>
      <c r="E14">
        <v>19</v>
      </c>
    </row>
    <row r="15" spans="1:5">
      <c r="A15" s="21" t="s">
        <v>200</v>
      </c>
      <c r="B15">
        <v>16</v>
      </c>
      <c r="D15" t="s">
        <v>200</v>
      </c>
      <c r="E15">
        <v>16</v>
      </c>
    </row>
    <row r="16" spans="1:5">
      <c r="A16" s="21" t="s">
        <v>217</v>
      </c>
      <c r="B16">
        <v>132</v>
      </c>
      <c r="D16" t="s">
        <v>217</v>
      </c>
      <c r="E16">
        <v>132</v>
      </c>
    </row>
    <row r="17" spans="1:5">
      <c r="A17" s="21" t="s">
        <v>218</v>
      </c>
      <c r="B17">
        <v>46</v>
      </c>
      <c r="D17" t="s">
        <v>218</v>
      </c>
      <c r="E17">
        <v>46</v>
      </c>
    </row>
    <row r="18" spans="1:5">
      <c r="A18" s="21" t="s">
        <v>219</v>
      </c>
      <c r="B18">
        <v>64</v>
      </c>
      <c r="D18" t="s">
        <v>219</v>
      </c>
      <c r="E18">
        <v>64</v>
      </c>
    </row>
    <row r="19" spans="1:5">
      <c r="A19" s="21" t="s">
        <v>220</v>
      </c>
      <c r="B19">
        <v>91</v>
      </c>
      <c r="D19" t="s">
        <v>220</v>
      </c>
      <c r="E19">
        <v>91</v>
      </c>
    </row>
    <row r="20" spans="1:5">
      <c r="A20" s="21" t="s">
        <v>211</v>
      </c>
      <c r="B20">
        <v>67</v>
      </c>
      <c r="D20" t="s">
        <v>211</v>
      </c>
      <c r="E20">
        <v>67</v>
      </c>
    </row>
    <row r="21" spans="1:5">
      <c r="A21" s="21" t="s">
        <v>221</v>
      </c>
      <c r="B21">
        <v>37</v>
      </c>
      <c r="D21" t="s">
        <v>221</v>
      </c>
      <c r="E21">
        <v>37</v>
      </c>
    </row>
    <row r="22" spans="1:5">
      <c r="A22" s="21" t="s">
        <v>212</v>
      </c>
      <c r="B22">
        <v>5</v>
      </c>
      <c r="D22" t="s">
        <v>212</v>
      </c>
      <c r="E22">
        <v>5</v>
      </c>
    </row>
    <row r="23" spans="1:5">
      <c r="A23" s="21" t="s">
        <v>213</v>
      </c>
      <c r="B23">
        <v>36</v>
      </c>
      <c r="D23" t="s">
        <v>213</v>
      </c>
      <c r="E23">
        <v>36</v>
      </c>
    </row>
    <row r="24" spans="1:5">
      <c r="A24" s="21" t="s">
        <v>214</v>
      </c>
      <c r="B24">
        <v>43</v>
      </c>
      <c r="D24" t="s">
        <v>214</v>
      </c>
      <c r="E24">
        <v>43</v>
      </c>
    </row>
    <row r="25" spans="1:5">
      <c r="A25" s="21" t="s">
        <v>215</v>
      </c>
      <c r="B25">
        <v>36</v>
      </c>
      <c r="D25" t="s">
        <v>215</v>
      </c>
      <c r="E25">
        <v>36</v>
      </c>
    </row>
    <row r="26" spans="1:5">
      <c r="A26" s="21" t="s">
        <v>216</v>
      </c>
      <c r="B26">
        <v>17</v>
      </c>
      <c r="D26" t="s">
        <v>216</v>
      </c>
      <c r="E26">
        <v>17</v>
      </c>
    </row>
    <row r="27" spans="1:5">
      <c r="A27" s="21" t="s">
        <v>222</v>
      </c>
      <c r="B27">
        <v>37</v>
      </c>
      <c r="D27" t="s">
        <v>222</v>
      </c>
      <c r="E27">
        <v>37</v>
      </c>
    </row>
    <row r="28" spans="1:4">
      <c r="A28" s="21" t="s">
        <v>226</v>
      </c>
      <c r="D28" t="s">
        <v>226</v>
      </c>
    </row>
    <row r="29" spans="1:5">
      <c r="A29" s="21" t="s">
        <v>227</v>
      </c>
      <c r="B29">
        <v>1312</v>
      </c>
      <c r="D29" t="s">
        <v>227</v>
      </c>
      <c r="E29">
        <v>1312</v>
      </c>
    </row>
    <row r="31" spans="1:2">
      <c r="A31" s="22" t="s">
        <v>228</v>
      </c>
      <c r="B31" s="22"/>
    </row>
    <row r="32" spans="1:2">
      <c r="A32" s="22"/>
      <c r="B32" s="22"/>
    </row>
    <row r="33" spans="2:5">
      <c r="B33" s="23" t="s">
        <v>229</v>
      </c>
      <c r="D33" s="24" t="s">
        <v>0</v>
      </c>
      <c r="E33" s="29" t="s">
        <v>230</v>
      </c>
    </row>
    <row r="34" spans="2:5">
      <c r="B34" s="25" t="s">
        <v>216</v>
      </c>
      <c r="D34" s="26" t="s">
        <v>205</v>
      </c>
      <c r="E34" s="30">
        <f>IFERROR(VLOOKUP(D34,$D$3:$E$28,2,0),0)</f>
        <v>147</v>
      </c>
    </row>
    <row r="35" spans="2:5">
      <c r="B35" s="25" t="s">
        <v>215</v>
      </c>
      <c r="D35" s="26" t="s">
        <v>219</v>
      </c>
      <c r="E35" s="30">
        <f t="shared" ref="E35:E57" si="0">IFERROR(VLOOKUP(D35,$D$3:$E$28,2,0),0)</f>
        <v>64</v>
      </c>
    </row>
    <row r="36" spans="2:5">
      <c r="B36" s="25" t="s">
        <v>214</v>
      </c>
      <c r="D36" s="26" t="s">
        <v>204</v>
      </c>
      <c r="E36" s="30">
        <f t="shared" si="0"/>
        <v>8</v>
      </c>
    </row>
    <row r="37" spans="2:5">
      <c r="B37" s="25" t="s">
        <v>199</v>
      </c>
      <c r="D37" s="26" t="s">
        <v>218</v>
      </c>
      <c r="E37" s="30">
        <f t="shared" si="0"/>
        <v>46</v>
      </c>
    </row>
    <row r="38" spans="2:5">
      <c r="B38" s="25" t="s">
        <v>222</v>
      </c>
      <c r="D38" s="26" t="s">
        <v>203</v>
      </c>
      <c r="E38" s="30">
        <f t="shared" si="0"/>
        <v>46</v>
      </c>
    </row>
    <row r="39" spans="2:5">
      <c r="B39" s="25" t="s">
        <v>213</v>
      </c>
      <c r="D39" s="26" t="s">
        <v>217</v>
      </c>
      <c r="E39" s="30">
        <f t="shared" si="0"/>
        <v>132</v>
      </c>
    </row>
    <row r="40" spans="2:5">
      <c r="B40" s="25" t="s">
        <v>212</v>
      </c>
      <c r="D40" s="26" t="s">
        <v>202</v>
      </c>
      <c r="E40" s="30">
        <f t="shared" si="0"/>
        <v>157</v>
      </c>
    </row>
    <row r="41" spans="2:5">
      <c r="B41" s="25" t="s">
        <v>221</v>
      </c>
      <c r="D41" s="26" t="s">
        <v>201</v>
      </c>
      <c r="E41" s="30">
        <f t="shared" si="0"/>
        <v>19</v>
      </c>
    </row>
    <row r="42" spans="2:5">
      <c r="B42" s="25" t="s">
        <v>211</v>
      </c>
      <c r="D42" s="26" t="s">
        <v>200</v>
      </c>
      <c r="E42" s="30">
        <f t="shared" si="0"/>
        <v>16</v>
      </c>
    </row>
    <row r="43" spans="2:5">
      <c r="B43" s="25" t="s">
        <v>210</v>
      </c>
      <c r="D43" s="26" t="s">
        <v>216</v>
      </c>
      <c r="E43" s="30">
        <f t="shared" si="0"/>
        <v>17</v>
      </c>
    </row>
    <row r="44" spans="2:5">
      <c r="B44" s="25" t="s">
        <v>220</v>
      </c>
      <c r="D44" s="26" t="s">
        <v>215</v>
      </c>
      <c r="E44" s="30">
        <f t="shared" si="0"/>
        <v>36</v>
      </c>
    </row>
    <row r="45" spans="2:5">
      <c r="B45" s="25" t="s">
        <v>209</v>
      </c>
      <c r="D45" s="26" t="s">
        <v>214</v>
      </c>
      <c r="E45" s="30">
        <f t="shared" si="0"/>
        <v>43</v>
      </c>
    </row>
    <row r="46" spans="2:5">
      <c r="B46" s="25" t="s">
        <v>208</v>
      </c>
      <c r="D46" s="26" t="s">
        <v>199</v>
      </c>
      <c r="E46" s="30">
        <f t="shared" si="0"/>
        <v>125</v>
      </c>
    </row>
    <row r="47" spans="2:5">
      <c r="B47" s="25" t="s">
        <v>207</v>
      </c>
      <c r="D47" s="26" t="s">
        <v>222</v>
      </c>
      <c r="E47" s="30">
        <f t="shared" si="0"/>
        <v>37</v>
      </c>
    </row>
    <row r="48" spans="2:5">
      <c r="B48" s="25" t="s">
        <v>206</v>
      </c>
      <c r="D48" s="26" t="s">
        <v>213</v>
      </c>
      <c r="E48" s="30">
        <f t="shared" si="0"/>
        <v>36</v>
      </c>
    </row>
    <row r="49" spans="2:5">
      <c r="B49" s="25" t="s">
        <v>205</v>
      </c>
      <c r="D49" s="27" t="s">
        <v>212</v>
      </c>
      <c r="E49" s="30">
        <f t="shared" si="0"/>
        <v>5</v>
      </c>
    </row>
    <row r="50" spans="2:5">
      <c r="B50" s="25" t="s">
        <v>219</v>
      </c>
      <c r="D50" s="27" t="s">
        <v>221</v>
      </c>
      <c r="E50" s="30">
        <f t="shared" si="0"/>
        <v>37</v>
      </c>
    </row>
    <row r="51" spans="2:5">
      <c r="B51" s="25" t="s">
        <v>204</v>
      </c>
      <c r="D51" s="27" t="s">
        <v>211</v>
      </c>
      <c r="E51" s="30">
        <f t="shared" si="0"/>
        <v>67</v>
      </c>
    </row>
    <row r="52" spans="2:5">
      <c r="B52" s="25" t="s">
        <v>218</v>
      </c>
      <c r="D52" s="27" t="s">
        <v>210</v>
      </c>
      <c r="E52" s="30">
        <f t="shared" si="0"/>
        <v>19</v>
      </c>
    </row>
    <row r="53" spans="2:5">
      <c r="B53" s="25" t="s">
        <v>203</v>
      </c>
      <c r="D53" s="27" t="s">
        <v>220</v>
      </c>
      <c r="E53" s="30">
        <f t="shared" si="0"/>
        <v>91</v>
      </c>
    </row>
    <row r="54" spans="2:5">
      <c r="B54" s="25" t="s">
        <v>217</v>
      </c>
      <c r="D54" s="27" t="s">
        <v>209</v>
      </c>
      <c r="E54" s="30">
        <f t="shared" si="0"/>
        <v>55</v>
      </c>
    </row>
    <row r="55" spans="2:5">
      <c r="B55" s="25" t="s">
        <v>202</v>
      </c>
      <c r="D55" s="27" t="s">
        <v>208</v>
      </c>
      <c r="E55" s="30">
        <f t="shared" si="0"/>
        <v>7</v>
      </c>
    </row>
    <row r="56" spans="2:5">
      <c r="B56" s="25" t="s">
        <v>201</v>
      </c>
      <c r="D56" s="27" t="s">
        <v>207</v>
      </c>
      <c r="E56" s="30">
        <f t="shared" si="0"/>
        <v>38</v>
      </c>
    </row>
    <row r="57" spans="2:5">
      <c r="B57" s="25" t="s">
        <v>200</v>
      </c>
      <c r="D57" s="28" t="s">
        <v>206</v>
      </c>
      <c r="E57" s="31">
        <f t="shared" si="0"/>
        <v>64</v>
      </c>
    </row>
    <row r="59" spans="4:4">
      <c r="D59" t="s">
        <v>231</v>
      </c>
    </row>
  </sheetData>
  <sheetProtection formatCells="0" insertHyperlinks="0" autoFilter="0"/>
  <mergeCells count="1">
    <mergeCell ref="A31:B32"/>
  </mergeCells>
  <pageMargins left="0.75" right="0.75" top="1" bottom="1" header="0.5" footer="0.5"/>
  <headerFooter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0:M37"/>
  <sheetViews>
    <sheetView topLeftCell="G19" workbookViewId="0">
      <selection activeCell="G19" sqref="G18:G19"/>
    </sheetView>
  </sheetViews>
  <sheetFormatPr defaultColWidth="9" defaultRowHeight="13.5"/>
  <cols>
    <col min="5" max="5" width="14.6666666666667" customWidth="1"/>
    <col min="9" max="9" width="21.5583333333333" customWidth="1"/>
    <col min="10" max="10" width="15" customWidth="1"/>
    <col min="12" max="12" width="21.5583333333333" customWidth="1"/>
    <col min="13" max="13" width="15" customWidth="1"/>
  </cols>
  <sheetData>
    <row r="10" customFormat="1" spans="9:13">
      <c r="I10" s="8" t="s">
        <v>232</v>
      </c>
      <c r="J10" s="9"/>
      <c r="K10" s="9"/>
      <c r="L10" s="9"/>
      <c r="M10" s="16"/>
    </row>
    <row r="11" customFormat="1" spans="9:13">
      <c r="I11" s="10"/>
      <c r="J11" s="11"/>
      <c r="K11" s="11"/>
      <c r="L11" s="11"/>
      <c r="M11" s="17"/>
    </row>
    <row r="12" customFormat="1" spans="4:13">
      <c r="D12" t="s">
        <v>233</v>
      </c>
      <c r="I12" s="12" t="s">
        <v>234</v>
      </c>
      <c r="J12" s="13"/>
      <c r="L12" s="12" t="s">
        <v>235</v>
      </c>
      <c r="M12" s="13"/>
    </row>
    <row r="13" spans="4:13">
      <c r="D13" s="1" t="s">
        <v>236</v>
      </c>
      <c r="E13" s="4" t="s">
        <v>237</v>
      </c>
      <c r="I13" s="14" t="s">
        <v>229</v>
      </c>
      <c r="J13" s="15" t="s">
        <v>238</v>
      </c>
      <c r="L13" s="14" t="s">
        <v>239</v>
      </c>
      <c r="M13" s="15" t="s">
        <v>238</v>
      </c>
    </row>
    <row r="14" spans="4:13">
      <c r="D14" s="2">
        <v>0</v>
      </c>
      <c r="E14" s="5" t="s">
        <v>205</v>
      </c>
      <c r="I14" s="2" t="s">
        <v>216</v>
      </c>
      <c r="J14" s="5" t="s">
        <v>205</v>
      </c>
      <c r="L14" s="2" t="s">
        <v>200</v>
      </c>
      <c r="M14" s="18" t="s">
        <v>205</v>
      </c>
    </row>
    <row r="15" spans="4:13">
      <c r="D15" s="2">
        <v>1</v>
      </c>
      <c r="E15" s="5" t="s">
        <v>219</v>
      </c>
      <c r="I15" s="2" t="s">
        <v>215</v>
      </c>
      <c r="J15" s="5" t="s">
        <v>219</v>
      </c>
      <c r="L15" s="2" t="s">
        <v>216</v>
      </c>
      <c r="M15" s="18" t="s">
        <v>219</v>
      </c>
    </row>
    <row r="16" spans="4:13">
      <c r="D16" s="2">
        <v>2</v>
      </c>
      <c r="E16" s="5" t="s">
        <v>204</v>
      </c>
      <c r="I16" s="2" t="s">
        <v>214</v>
      </c>
      <c r="J16" s="5" t="s">
        <v>204</v>
      </c>
      <c r="L16" s="2" t="s">
        <v>215</v>
      </c>
      <c r="M16" s="18" t="s">
        <v>204</v>
      </c>
    </row>
    <row r="17" spans="4:13">
      <c r="D17" s="2">
        <v>3</v>
      </c>
      <c r="E17" s="5" t="s">
        <v>218</v>
      </c>
      <c r="I17" s="2" t="s">
        <v>199</v>
      </c>
      <c r="J17" s="5" t="s">
        <v>218</v>
      </c>
      <c r="L17" s="2" t="s">
        <v>214</v>
      </c>
      <c r="M17" s="18" t="s">
        <v>218</v>
      </c>
    </row>
    <row r="18" spans="4:13">
      <c r="D18" s="2">
        <v>4</v>
      </c>
      <c r="E18" s="5" t="s">
        <v>203</v>
      </c>
      <c r="I18" s="2" t="s">
        <v>222</v>
      </c>
      <c r="J18" s="5" t="s">
        <v>203</v>
      </c>
      <c r="L18" s="2" t="s">
        <v>199</v>
      </c>
      <c r="M18" s="18" t="s">
        <v>203</v>
      </c>
    </row>
    <row r="19" spans="4:13">
      <c r="D19" s="2">
        <v>5</v>
      </c>
      <c r="E19" s="5" t="s">
        <v>217</v>
      </c>
      <c r="I19" s="2" t="s">
        <v>213</v>
      </c>
      <c r="J19" s="5" t="s">
        <v>217</v>
      </c>
      <c r="L19" s="2" t="s">
        <v>222</v>
      </c>
      <c r="M19" s="18" t="s">
        <v>217</v>
      </c>
    </row>
    <row r="20" spans="4:13">
      <c r="D20" s="2">
        <v>6</v>
      </c>
      <c r="E20" s="5" t="s">
        <v>202</v>
      </c>
      <c r="I20" s="2" t="s">
        <v>212</v>
      </c>
      <c r="J20" s="5" t="s">
        <v>202</v>
      </c>
      <c r="L20" s="2" t="s">
        <v>213</v>
      </c>
      <c r="M20" s="18" t="s">
        <v>202</v>
      </c>
    </row>
    <row r="21" spans="4:13">
      <c r="D21" s="2">
        <v>7</v>
      </c>
      <c r="E21" s="5" t="s">
        <v>201</v>
      </c>
      <c r="I21" s="2" t="s">
        <v>221</v>
      </c>
      <c r="J21" s="5" t="s">
        <v>201</v>
      </c>
      <c r="L21" s="2" t="s">
        <v>212</v>
      </c>
      <c r="M21" s="18" t="s">
        <v>201</v>
      </c>
    </row>
    <row r="22" spans="4:13">
      <c r="D22" s="2">
        <v>8</v>
      </c>
      <c r="E22" s="5" t="s">
        <v>200</v>
      </c>
      <c r="I22" s="2" t="s">
        <v>211</v>
      </c>
      <c r="J22" s="5" t="s">
        <v>200</v>
      </c>
      <c r="L22" s="2" t="s">
        <v>221</v>
      </c>
      <c r="M22" s="18" t="s">
        <v>200</v>
      </c>
    </row>
    <row r="23" spans="4:13">
      <c r="D23" s="2">
        <v>9</v>
      </c>
      <c r="E23" s="5" t="s">
        <v>216</v>
      </c>
      <c r="I23" s="2" t="s">
        <v>210</v>
      </c>
      <c r="J23" s="5" t="s">
        <v>216</v>
      </c>
      <c r="L23" s="2" t="s">
        <v>211</v>
      </c>
      <c r="M23" s="18" t="s">
        <v>216</v>
      </c>
    </row>
    <row r="24" spans="4:13">
      <c r="D24" s="2">
        <v>10</v>
      </c>
      <c r="E24" s="5" t="s">
        <v>215</v>
      </c>
      <c r="I24" s="2" t="s">
        <v>220</v>
      </c>
      <c r="J24" s="5" t="s">
        <v>215</v>
      </c>
      <c r="L24" s="2" t="s">
        <v>210</v>
      </c>
      <c r="M24" s="18" t="s">
        <v>215</v>
      </c>
    </row>
    <row r="25" spans="4:13">
      <c r="D25" s="2">
        <v>11</v>
      </c>
      <c r="E25" s="5" t="s">
        <v>214</v>
      </c>
      <c r="I25" s="2" t="s">
        <v>209</v>
      </c>
      <c r="J25" s="5" t="s">
        <v>214</v>
      </c>
      <c r="L25" s="2" t="s">
        <v>220</v>
      </c>
      <c r="M25" s="18" t="s">
        <v>214</v>
      </c>
    </row>
    <row r="26" spans="4:13">
      <c r="D26" s="2">
        <v>12</v>
      </c>
      <c r="E26" s="5" t="s">
        <v>199</v>
      </c>
      <c r="I26" s="2" t="s">
        <v>208</v>
      </c>
      <c r="J26" s="5" t="s">
        <v>199</v>
      </c>
      <c r="L26" s="2" t="s">
        <v>209</v>
      </c>
      <c r="M26" s="18" t="s">
        <v>199</v>
      </c>
    </row>
    <row r="27" spans="4:13">
      <c r="D27" s="2">
        <v>13</v>
      </c>
      <c r="E27" s="5" t="s">
        <v>222</v>
      </c>
      <c r="I27" s="2" t="s">
        <v>207</v>
      </c>
      <c r="J27" s="5" t="s">
        <v>222</v>
      </c>
      <c r="L27" s="2" t="s">
        <v>208</v>
      </c>
      <c r="M27" s="18" t="s">
        <v>222</v>
      </c>
    </row>
    <row r="28" spans="4:13">
      <c r="D28" s="2">
        <v>14</v>
      </c>
      <c r="E28" s="5" t="s">
        <v>213</v>
      </c>
      <c r="I28" s="2" t="s">
        <v>206</v>
      </c>
      <c r="J28" s="5" t="s">
        <v>213</v>
      </c>
      <c r="L28" s="2" t="s">
        <v>207</v>
      </c>
      <c r="M28" s="18" t="s">
        <v>213</v>
      </c>
    </row>
    <row r="29" spans="4:13">
      <c r="D29" s="2">
        <v>15</v>
      </c>
      <c r="E29" s="6" t="s">
        <v>212</v>
      </c>
      <c r="I29" s="2" t="s">
        <v>205</v>
      </c>
      <c r="J29" s="6" t="s">
        <v>212</v>
      </c>
      <c r="L29" s="2" t="s">
        <v>206</v>
      </c>
      <c r="M29" s="19" t="s">
        <v>212</v>
      </c>
    </row>
    <row r="30" spans="4:13">
      <c r="D30" s="2">
        <v>16</v>
      </c>
      <c r="E30" s="6" t="s">
        <v>221</v>
      </c>
      <c r="I30" s="2" t="s">
        <v>219</v>
      </c>
      <c r="J30" s="6" t="s">
        <v>221</v>
      </c>
      <c r="L30" s="2" t="s">
        <v>205</v>
      </c>
      <c r="M30" s="19" t="s">
        <v>221</v>
      </c>
    </row>
    <row r="31" spans="4:13">
      <c r="D31" s="2">
        <v>17</v>
      </c>
      <c r="E31" s="6" t="s">
        <v>211</v>
      </c>
      <c r="I31" s="2" t="s">
        <v>204</v>
      </c>
      <c r="J31" s="6" t="s">
        <v>211</v>
      </c>
      <c r="L31" s="2" t="s">
        <v>219</v>
      </c>
      <c r="M31" s="19" t="s">
        <v>211</v>
      </c>
    </row>
    <row r="32" spans="4:13">
      <c r="D32" s="2">
        <v>18</v>
      </c>
      <c r="E32" s="6" t="s">
        <v>210</v>
      </c>
      <c r="I32" s="2" t="s">
        <v>218</v>
      </c>
      <c r="J32" s="6" t="s">
        <v>210</v>
      </c>
      <c r="L32" s="2" t="s">
        <v>204</v>
      </c>
      <c r="M32" s="19" t="s">
        <v>210</v>
      </c>
    </row>
    <row r="33" spans="4:13">
      <c r="D33" s="2">
        <v>19</v>
      </c>
      <c r="E33" s="6" t="s">
        <v>220</v>
      </c>
      <c r="I33" s="2" t="s">
        <v>203</v>
      </c>
      <c r="J33" s="6" t="s">
        <v>220</v>
      </c>
      <c r="L33" s="2" t="s">
        <v>218</v>
      </c>
      <c r="M33" s="19" t="s">
        <v>220</v>
      </c>
    </row>
    <row r="34" spans="4:13">
      <c r="D34" s="2">
        <v>20</v>
      </c>
      <c r="E34" s="6" t="s">
        <v>209</v>
      </c>
      <c r="I34" s="2" t="s">
        <v>217</v>
      </c>
      <c r="J34" s="6" t="s">
        <v>209</v>
      </c>
      <c r="L34" s="2" t="s">
        <v>203</v>
      </c>
      <c r="M34" s="19" t="s">
        <v>209</v>
      </c>
    </row>
    <row r="35" spans="4:13">
      <c r="D35" s="2">
        <v>21</v>
      </c>
      <c r="E35" s="6" t="s">
        <v>208</v>
      </c>
      <c r="I35" s="2" t="s">
        <v>202</v>
      </c>
      <c r="J35" s="6" t="s">
        <v>208</v>
      </c>
      <c r="L35" s="2" t="s">
        <v>217</v>
      </c>
      <c r="M35" s="19" t="s">
        <v>208</v>
      </c>
    </row>
    <row r="36" spans="4:13">
      <c r="D36" s="2">
        <v>22</v>
      </c>
      <c r="E36" s="6" t="s">
        <v>207</v>
      </c>
      <c r="I36" s="2" t="s">
        <v>201</v>
      </c>
      <c r="J36" s="6" t="s">
        <v>207</v>
      </c>
      <c r="L36" s="2" t="s">
        <v>202</v>
      </c>
      <c r="M36" s="19" t="s">
        <v>207</v>
      </c>
    </row>
    <row r="37" spans="4:13">
      <c r="D37" s="3">
        <v>23</v>
      </c>
      <c r="E37" s="7" t="s">
        <v>206</v>
      </c>
      <c r="I37" s="3" t="s">
        <v>200</v>
      </c>
      <c r="J37" s="7" t="s">
        <v>206</v>
      </c>
      <c r="L37" s="3" t="s">
        <v>201</v>
      </c>
      <c r="M37" s="20" t="s">
        <v>206</v>
      </c>
    </row>
  </sheetData>
  <sheetProtection formatCells="0" insertHyperlinks="0" autoFilter="0"/>
  <mergeCells count="3">
    <mergeCell ref="I12:J12"/>
    <mergeCell ref="L12:M12"/>
    <mergeCell ref="I10:M1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3">
    <comment s:ref="E29" rgbClr="FF0000">
      <item id="{f57ed960-c7cc-4ec6-b614-35481a0fd5f7}" isNormal="1">
        <s:text>
          <s:r>
            <s:t xml:space="preserve">Administrator:
下面的公式修改好后，核对下单数量是否无误</s:t>
          </s:r>
        </s:text>
      </item>
    </comment>
    <comment s:ref="B33" rgbClr="FF0000">
      <item id="{828435d6-a503-4fcc-898e-72ee21fa6458}" isNormal="1">
        <s:text>
          <s:r>
            <s:t xml:space="preserve">Administrator:
11.3号以前的下单数据用-15h，11.3号以后用-16h（只有这个地方需注意具体时差是15还是16小时）
可根据“时间段对照表”更换该列数据</s:t>
          </s:r>
        </s:text>
      </item>
    </comment>
    <comment s:ref="E34" rgbClr="FF0000">
      <item id="{f0d7e745-959c-4ba0-b51f-69ea3f7adeee}" isNormal="1">
        <s:text>
          <s:r>
            <s:t xml:space="preserve">Administrator:
需修改该公式的所选区域，具体为粘贴为数值后的数据透视表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  <woSheetProps sheetStid="3" interlineOnOff="0" interlineColor="0" isDbSheet="0">
      <pivotTables>
        <pivotTable pivotTableName="数据透视表1" sourceDataDirty="1"/>
      </pivotTables>
    </woSheetProps>
    <woSheetProps sheetStid="4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数据源</vt:lpstr>
      <vt:lpstr>将左侧的数据源粘贴为数值</vt:lpstr>
      <vt:lpstr>数据透视表</vt:lpstr>
      <vt:lpstr>时间段对照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 请叫我布丁丁  </cp:lastModifiedBy>
  <dcterms:created xsi:type="dcterms:W3CDTF">2019-11-16T19:45:00Z</dcterms:created>
  <dcterms:modified xsi:type="dcterms:W3CDTF">2020-12-03T02:53:00Z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