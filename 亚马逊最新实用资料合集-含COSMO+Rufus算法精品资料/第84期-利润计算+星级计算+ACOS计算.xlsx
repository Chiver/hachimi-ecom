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865"/>
  </bookViews>
  <sheets>
    <sheet name="利润计算器" sheetId="2" r:id="rId1"/>
    <sheet name="ACOS计算器+星级计算" sheetId="1" r:id="rId2"/>
  </sheets>
  <calcPr calcId="144525" concurrentCalc="0"/>
</workbook>
</file>

<file path=xl/sharedStrings.xml><?xml version="1.0" encoding="utf-8"?>
<sst xmlns="http://schemas.openxmlformats.org/spreadsheetml/2006/main" count="122" uniqueCount="37">
  <si>
    <t>美国</t>
  </si>
  <si>
    <t>英国</t>
  </si>
  <si>
    <t>德国</t>
  </si>
  <si>
    <t>法国</t>
  </si>
  <si>
    <t>意大利</t>
  </si>
  <si>
    <t>西班牙</t>
  </si>
  <si>
    <t>美元汇率</t>
  </si>
  <si>
    <t>英镑汇率</t>
  </si>
  <si>
    <t>欧元汇率</t>
  </si>
  <si>
    <t>产品利润计算器</t>
  </si>
  <si>
    <t>拿货价</t>
  </si>
  <si>
    <t>运费</t>
  </si>
  <si>
    <t>汇率</t>
  </si>
  <si>
    <t>FBA费用</t>
  </si>
  <si>
    <t>VAT 税</t>
  </si>
  <si>
    <t>佣金</t>
  </si>
  <si>
    <t>广告占比</t>
  </si>
  <si>
    <t>退货率</t>
  </si>
  <si>
    <t>最低售价</t>
  </si>
  <si>
    <t>当前售价</t>
  </si>
  <si>
    <t>利润</t>
  </si>
  <si>
    <t>利润率</t>
  </si>
  <si>
    <t>ACOS计算器</t>
  </si>
  <si>
    <t>REVIEW评分计算器</t>
  </si>
  <si>
    <t>关键词</t>
  </si>
  <si>
    <t>5 stars</t>
  </si>
  <si>
    <t>预估竞价</t>
  </si>
  <si>
    <t>4 stars</t>
  </si>
  <si>
    <t>产品单价</t>
  </si>
  <si>
    <t>3 stars</t>
  </si>
  <si>
    <t>产品转化率</t>
  </si>
  <si>
    <t>2 stars</t>
  </si>
  <si>
    <t>1 stars</t>
  </si>
  <si>
    <t>ACOS</t>
  </si>
  <si>
    <t>当前分数</t>
  </si>
  <si>
    <t>目标分数</t>
  </si>
  <si>
    <t>需补五星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</si>
</sst>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\$#,##0.00;\-\$#,##0.00"/>
    <numFmt numFmtId="177" formatCode="0.0"/>
    <numFmt numFmtId="178" formatCode="\¥#,##0.00;\¥\-#,##0.00"/>
    <numFmt numFmtId="179" formatCode="#,##0.00\ &quot;€&quot;;\-#,##0.00\ &quot;€&quot;"/>
    <numFmt numFmtId="44" formatCode="_ &quot;￥&quot;* #,##0.00_ ;_ &quot;￥&quot;* \-#,##0.00_ ;_ &quot;￥&quot;* &quot;-&quot;??_ ;_ @_ "/>
    <numFmt numFmtId="7" formatCode="&quot;￥&quot;#,##0.00;&quot;￥&quot;\-#,##0.00"/>
    <numFmt numFmtId="180" formatCode="[$£-809]#,##0.00;\-[$£-809]#,##0.00"/>
    <numFmt numFmtId="181" formatCode="0.0%"/>
  </numFmts>
  <fonts count="26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20"/>
      <color theme="5"/>
      <name val="微软雅黑"/>
      <charset val="134"/>
    </font>
    <font>
      <sz val="20"/>
      <color theme="0"/>
      <name val="微软雅黑"/>
      <charset val="134"/>
    </font>
    <font>
      <sz val="11"/>
      <color theme="0" tint="-0.0499893185216834"/>
      <name val="等线"/>
      <charset val="134"/>
    </font>
    <font>
      <b/>
      <sz val="14"/>
      <color theme="1"/>
      <name val="等线"/>
      <charset val="134"/>
    </font>
    <font>
      <sz val="20"/>
      <color theme="4" tint="-0.249977111117893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theme="0" tint="-0.149937437055574"/>
      </left>
      <right style="double">
        <color theme="0" tint="-0.149937437055574"/>
      </right>
      <top style="double">
        <color theme="0" tint="-0.149937437055574"/>
      </top>
      <bottom style="double">
        <color theme="0" tint="-0.149937437055574"/>
      </bottom>
      <diagonal/>
    </border>
    <border>
      <left style="double">
        <color theme="0" tint="-0.149906918546098"/>
      </left>
      <right/>
      <top style="double">
        <color theme="0" tint="-0.149906918546098"/>
      </top>
      <bottom style="double">
        <color theme="0" tint="-0.14990691854609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double">
        <color theme="0" tint="-0.149906918546098"/>
      </top>
      <bottom style="double">
        <color theme="0" tint="-0.149906918546098"/>
      </bottom>
      <diagonal/>
    </border>
    <border>
      <left/>
      <right style="double">
        <color theme="0" tint="-0.149906918546098"/>
      </right>
      <top style="double">
        <color theme="0" tint="-0.149906918546098"/>
      </top>
      <bottom style="double">
        <color theme="0" tint="-0.149906918546098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17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15" borderId="22" applyNumberFormat="0" applyAlignment="0" applyProtection="0">
      <alignment vertical="center"/>
    </xf>
    <xf numFmtId="0" fontId="8" fillId="15" borderId="20" applyNumberFormat="0" applyAlignment="0" applyProtection="0">
      <alignment vertical="center"/>
    </xf>
    <xf numFmtId="0" fontId="25" fillId="40" borderId="27" applyNumberForma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Protection="1">
      <alignment vertical="center"/>
    </xf>
    <xf numFmtId="0" fontId="1" fillId="2" borderId="1" xfId="0" applyFont="1" applyFill="1" applyBorder="1" applyProtection="1">
      <alignment vertical="center"/>
    </xf>
    <xf numFmtId="0" fontId="1" fillId="2" borderId="2" xfId="0" applyFont="1" applyFill="1" applyBorder="1" applyProtection="1">
      <alignment vertical="center"/>
    </xf>
    <xf numFmtId="0" fontId="1" fillId="2" borderId="3" xfId="0" applyFont="1" applyFill="1" applyBorder="1" applyProtection="1">
      <alignment vertical="center"/>
    </xf>
    <xf numFmtId="0" fontId="1" fillId="2" borderId="0" xfId="0" applyFont="1" applyFill="1" applyBorder="1" applyProtection="1">
      <alignment vertical="center"/>
    </xf>
    <xf numFmtId="0" fontId="2" fillId="3" borderId="4" xfId="0" applyFont="1" applyFill="1" applyBorder="1" applyAlignment="1" applyProtection="1">
      <alignment vertical="center"/>
    </xf>
    <xf numFmtId="0" fontId="1" fillId="2" borderId="5" xfId="0" applyFont="1" applyFill="1" applyBorder="1" applyProtection="1">
      <alignment vertical="center"/>
    </xf>
    <xf numFmtId="0" fontId="3" fillId="4" borderId="0" xfId="0" applyFont="1" applyFill="1" applyBorder="1" applyProtection="1">
      <alignment vertical="center"/>
    </xf>
    <xf numFmtId="0" fontId="1" fillId="4" borderId="0" xfId="0" applyFont="1" applyFill="1" applyBorder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Protection="1">
      <alignment vertical="center"/>
    </xf>
    <xf numFmtId="178" fontId="1" fillId="5" borderId="6" xfId="0" applyNumberFormat="1" applyFont="1" applyFill="1" applyBorder="1" applyProtection="1">
      <alignment vertical="center"/>
      <protection locked="0"/>
    </xf>
    <xf numFmtId="0" fontId="1" fillId="5" borderId="7" xfId="0" applyNumberFormat="1" applyFont="1" applyFill="1" applyBorder="1" applyAlignment="1" applyProtection="1">
      <alignment horizontal="right"/>
      <protection locked="0"/>
    </xf>
    <xf numFmtId="176" fontId="1" fillId="5" borderId="6" xfId="0" applyNumberFormat="1" applyFont="1" applyFill="1" applyBorder="1" applyProtection="1">
      <alignment vertical="center"/>
      <protection locked="0"/>
    </xf>
    <xf numFmtId="10" fontId="1" fillId="5" borderId="6" xfId="11" applyNumberFormat="1" applyFont="1" applyFill="1" applyBorder="1" applyProtection="1">
      <alignment vertical="center"/>
      <protection locked="0"/>
    </xf>
    <xf numFmtId="10" fontId="1" fillId="2" borderId="0" xfId="11" applyNumberFormat="1" applyFont="1" applyFill="1" applyBorder="1" applyAlignment="1" applyProtection="1">
      <alignment horizontal="right" vertical="center"/>
    </xf>
    <xf numFmtId="177" fontId="4" fillId="2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Protection="1">
      <alignment vertical="center"/>
    </xf>
    <xf numFmtId="0" fontId="5" fillId="2" borderId="4" xfId="0" applyFont="1" applyFill="1" applyBorder="1" applyAlignment="1" applyProtection="1">
      <alignment horizontal="center" vertical="center"/>
    </xf>
    <xf numFmtId="1" fontId="1" fillId="2" borderId="0" xfId="0" applyNumberFormat="1" applyFont="1" applyFill="1" applyBorder="1" applyAlignment="1" applyProtection="1">
      <alignment horizontal="right" vertical="center"/>
    </xf>
    <xf numFmtId="0" fontId="1" fillId="2" borderId="8" xfId="0" applyFont="1" applyFill="1" applyBorder="1" applyProtection="1">
      <alignment vertical="center"/>
    </xf>
    <xf numFmtId="0" fontId="1" fillId="2" borderId="4" xfId="0" applyFont="1" applyFill="1" applyBorder="1" applyProtection="1">
      <alignment vertical="center"/>
    </xf>
    <xf numFmtId="0" fontId="1" fillId="2" borderId="9" xfId="0" applyFont="1" applyFill="1" applyBorder="1" applyProtection="1">
      <alignment vertical="center"/>
    </xf>
    <xf numFmtId="0" fontId="1" fillId="2" borderId="10" xfId="0" applyFont="1" applyFill="1" applyBorder="1" applyProtection="1">
      <alignment vertical="center"/>
    </xf>
    <xf numFmtId="0" fontId="1" fillId="5" borderId="11" xfId="0" applyNumberFormat="1" applyFont="1" applyFill="1" applyBorder="1" applyAlignment="1" applyProtection="1">
      <alignment horizontal="right"/>
      <protection locked="0"/>
    </xf>
    <xf numFmtId="0" fontId="1" fillId="5" borderId="12" xfId="0" applyNumberFormat="1" applyFont="1" applyFill="1" applyBorder="1" applyAlignment="1" applyProtection="1">
      <alignment horizontal="right"/>
      <protection locked="0"/>
    </xf>
    <xf numFmtId="177" fontId="1" fillId="2" borderId="0" xfId="0" applyNumberFormat="1" applyFont="1" applyFill="1" applyBorder="1" applyAlignment="1" applyProtection="1">
      <alignment horizontal="right" vertical="center"/>
    </xf>
    <xf numFmtId="0" fontId="1" fillId="5" borderId="6" xfId="0" applyFont="1" applyFill="1" applyBorder="1" applyProtection="1">
      <alignment vertical="center"/>
      <protection locked="0"/>
    </xf>
    <xf numFmtId="0" fontId="1" fillId="2" borderId="13" xfId="0" applyFont="1" applyFill="1" applyBorder="1" applyProtection="1">
      <alignment vertical="center"/>
    </xf>
    <xf numFmtId="0" fontId="1" fillId="6" borderId="14" xfId="0" applyFont="1" applyFill="1" applyBorder="1" applyAlignment="1" applyProtection="1">
      <alignment horizontal="center" vertical="center"/>
    </xf>
    <xf numFmtId="0" fontId="1" fillId="7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15" xfId="0" applyFont="1" applyFill="1" applyBorder="1" applyProtection="1">
      <alignment vertical="center"/>
    </xf>
    <xf numFmtId="0" fontId="6" fillId="8" borderId="4" xfId="0" applyFont="1" applyFill="1" applyBorder="1" applyProtection="1">
      <alignment vertical="center"/>
    </xf>
    <xf numFmtId="0" fontId="6" fillId="2" borderId="0" xfId="0" applyFont="1" applyFill="1" applyBorder="1" applyProtection="1">
      <alignment vertical="center"/>
    </xf>
    <xf numFmtId="7" fontId="1" fillId="2" borderId="0" xfId="0" applyNumberFormat="1" applyFont="1" applyFill="1" applyBorder="1" applyProtection="1">
      <alignment vertical="center"/>
    </xf>
    <xf numFmtId="180" fontId="1" fillId="5" borderId="6" xfId="0" applyNumberFormat="1" applyFont="1" applyFill="1" applyBorder="1" applyProtection="1">
      <alignment vertical="center"/>
      <protection locked="0"/>
    </xf>
    <xf numFmtId="10" fontId="1" fillId="2" borderId="0" xfId="0" applyNumberFormat="1" applyFont="1" applyFill="1" applyBorder="1" applyProtection="1">
      <alignment vertical="center"/>
    </xf>
    <xf numFmtId="10" fontId="1" fillId="5" borderId="6" xfId="0" applyNumberFormat="1" applyFont="1" applyFill="1" applyBorder="1" applyProtection="1">
      <alignment vertical="center"/>
      <protection locked="0"/>
    </xf>
    <xf numFmtId="176" fontId="1" fillId="2" borderId="0" xfId="0" applyNumberFormat="1" applyFont="1" applyFill="1" applyBorder="1" applyProtection="1">
      <alignment vertical="center"/>
    </xf>
    <xf numFmtId="180" fontId="1" fillId="2" borderId="0" xfId="0" applyNumberFormat="1" applyFont="1" applyFill="1" applyBorder="1" applyProtection="1">
      <alignment vertical="center"/>
    </xf>
    <xf numFmtId="178" fontId="1" fillId="2" borderId="0" xfId="0" applyNumberFormat="1" applyFont="1" applyFill="1" applyBorder="1" applyProtection="1">
      <alignment vertical="center"/>
    </xf>
    <xf numFmtId="181" fontId="1" fillId="2" borderId="0" xfId="11" applyNumberFormat="1" applyFont="1" applyFill="1" applyBorder="1" applyProtection="1">
      <alignment vertical="center"/>
    </xf>
    <xf numFmtId="0" fontId="1" fillId="2" borderId="16" xfId="0" applyFont="1" applyFill="1" applyBorder="1" applyProtection="1">
      <alignment vertical="center"/>
    </xf>
    <xf numFmtId="0" fontId="1" fillId="2" borderId="17" xfId="0" applyFont="1" applyFill="1" applyBorder="1" applyProtection="1">
      <alignment vertical="center"/>
    </xf>
    <xf numFmtId="0" fontId="2" fillId="3" borderId="0" xfId="0" applyFont="1" applyFill="1" applyAlignment="1" applyProtection="1">
      <alignment horizontal="center" vertical="center"/>
    </xf>
    <xf numFmtId="0" fontId="1" fillId="9" borderId="14" xfId="0" applyFont="1" applyFill="1" applyBorder="1" applyAlignment="1" applyProtection="1">
      <alignment horizontal="center" vertical="center"/>
    </xf>
    <xf numFmtId="0" fontId="1" fillId="10" borderId="14" xfId="0" applyFont="1" applyFill="1" applyBorder="1" applyAlignment="1" applyProtection="1">
      <alignment horizontal="center" vertical="center"/>
    </xf>
    <xf numFmtId="179" fontId="1" fillId="5" borderId="6" xfId="0" applyNumberFormat="1" applyFont="1" applyFill="1" applyBorder="1" applyProtection="1">
      <alignment vertical="center"/>
      <protection locked="0"/>
    </xf>
    <xf numFmtId="179" fontId="1" fillId="2" borderId="0" xfId="0" applyNumberFormat="1" applyFont="1" applyFill="1" applyBorder="1" applyProtection="1">
      <alignment vertical="center"/>
    </xf>
    <xf numFmtId="0" fontId="1" fillId="11" borderId="14" xfId="0" applyFont="1" applyFill="1" applyBorder="1" applyAlignment="1" applyProtection="1">
      <alignment horizontal="center" vertical="center"/>
    </xf>
    <xf numFmtId="0" fontId="1" fillId="12" borderId="14" xfId="0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horizontal="center" vertical="center"/>
    </xf>
    <xf numFmtId="0" fontId="1" fillId="2" borderId="18" xfId="0" applyFont="1" applyFill="1" applyBorder="1" applyProtection="1">
      <alignment vertical="center"/>
    </xf>
    <xf numFmtId="0" fontId="1" fillId="2" borderId="19" xfId="0" applyFont="1" applyFill="1" applyBorder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41"/>
  <sheetViews>
    <sheetView tabSelected="1" workbookViewId="0">
      <selection activeCell="S38" sqref="S38"/>
    </sheetView>
  </sheetViews>
  <sheetFormatPr defaultColWidth="9" defaultRowHeight="13.5"/>
  <cols>
    <col min="1" max="1" width="3.75" customWidth="1"/>
    <col min="8" max="8" width="13.75"/>
  </cols>
  <sheetData>
    <row r="2" spans="2:25">
      <c r="B2" s="31" t="s">
        <v>0</v>
      </c>
      <c r="C2" s="31"/>
      <c r="D2" s="31"/>
      <c r="E2" s="31"/>
      <c r="F2" s="32" t="s">
        <v>1</v>
      </c>
      <c r="G2" s="32"/>
      <c r="H2" s="32"/>
      <c r="I2" s="32"/>
      <c r="J2" s="49" t="s">
        <v>2</v>
      </c>
      <c r="K2" s="49"/>
      <c r="L2" s="49"/>
      <c r="M2" s="49"/>
      <c r="N2" s="50" t="s">
        <v>3</v>
      </c>
      <c r="O2" s="50"/>
      <c r="P2" s="50"/>
      <c r="Q2" s="50"/>
      <c r="R2" s="53" t="s">
        <v>4</v>
      </c>
      <c r="S2" s="53"/>
      <c r="T2" s="53"/>
      <c r="U2" s="53"/>
      <c r="V2" s="54" t="s">
        <v>5</v>
      </c>
      <c r="W2" s="54"/>
      <c r="X2" s="54"/>
      <c r="Y2" s="54"/>
    </row>
    <row r="3" spans="2:25">
      <c r="B3" s="31"/>
      <c r="C3" s="31"/>
      <c r="D3" s="31"/>
      <c r="E3" s="31"/>
      <c r="F3" s="32"/>
      <c r="G3" s="32"/>
      <c r="H3" s="32"/>
      <c r="I3" s="32"/>
      <c r="J3" s="49"/>
      <c r="K3" s="49"/>
      <c r="L3" s="49"/>
      <c r="M3" s="49"/>
      <c r="N3" s="50"/>
      <c r="O3" s="50"/>
      <c r="P3" s="50"/>
      <c r="Q3" s="50"/>
      <c r="R3" s="53"/>
      <c r="S3" s="53"/>
      <c r="T3" s="53"/>
      <c r="U3" s="53"/>
      <c r="V3" s="54"/>
      <c r="W3" s="54"/>
      <c r="X3" s="54"/>
      <c r="Y3" s="54"/>
    </row>
    <row r="4" ht="15" spans="2: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55"/>
    </row>
    <row r="5" ht="15.75" spans="2:25">
      <c r="B5" s="35"/>
      <c r="C5" s="5" t="s">
        <v>6</v>
      </c>
      <c r="D5" s="12">
        <v>7.169</v>
      </c>
      <c r="E5" s="5"/>
      <c r="F5" s="5"/>
      <c r="G5" s="5" t="s">
        <v>7</v>
      </c>
      <c r="H5" s="12">
        <v>9.1773</v>
      </c>
      <c r="I5" s="5"/>
      <c r="J5" s="5"/>
      <c r="K5" s="5" t="s">
        <v>8</v>
      </c>
      <c r="L5" s="12">
        <v>7.8288</v>
      </c>
      <c r="M5" s="5"/>
      <c r="N5" s="5"/>
      <c r="O5" s="5" t="s">
        <v>8</v>
      </c>
      <c r="P5" s="12">
        <v>7.8288</v>
      </c>
      <c r="Q5" s="5"/>
      <c r="R5" s="5"/>
      <c r="S5" s="5" t="s">
        <v>8</v>
      </c>
      <c r="T5" s="12">
        <v>7.8288</v>
      </c>
      <c r="U5" s="5"/>
      <c r="V5" s="5"/>
      <c r="W5" s="5" t="s">
        <v>8</v>
      </c>
      <c r="X5" s="12">
        <v>7.8288</v>
      </c>
      <c r="Y5" s="56"/>
    </row>
    <row r="6" ht="15" spans="2:25">
      <c r="B6" s="3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6"/>
    </row>
    <row r="7" ht="28.5" spans="2:25">
      <c r="B7" s="35"/>
      <c r="C7" s="36" t="s">
        <v>9</v>
      </c>
      <c r="D7" s="36"/>
      <c r="E7" s="5"/>
      <c r="F7" s="7"/>
      <c r="G7" s="36" t="s">
        <v>9</v>
      </c>
      <c r="H7" s="36"/>
      <c r="I7" s="5"/>
      <c r="J7" s="7"/>
      <c r="K7" s="36" t="s">
        <v>9</v>
      </c>
      <c r="L7" s="36"/>
      <c r="M7" s="5"/>
      <c r="N7" s="7"/>
      <c r="O7" s="36" t="s">
        <v>9</v>
      </c>
      <c r="P7" s="36"/>
      <c r="Q7" s="5"/>
      <c r="R7" s="7"/>
      <c r="S7" s="36" t="s">
        <v>9</v>
      </c>
      <c r="T7" s="36"/>
      <c r="U7" s="5"/>
      <c r="V7" s="7"/>
      <c r="W7" s="36" t="s">
        <v>9</v>
      </c>
      <c r="X7" s="36"/>
      <c r="Y7" s="56"/>
    </row>
    <row r="8" ht="28.5" spans="2:25">
      <c r="B8" s="35"/>
      <c r="C8" s="37"/>
      <c r="D8" s="5"/>
      <c r="E8" s="5"/>
      <c r="F8" s="7"/>
      <c r="G8" s="37"/>
      <c r="H8" s="5"/>
      <c r="I8" s="5"/>
      <c r="J8" s="7"/>
      <c r="K8" s="37"/>
      <c r="L8" s="5"/>
      <c r="M8" s="5"/>
      <c r="N8" s="7"/>
      <c r="O8" s="37"/>
      <c r="P8" s="5"/>
      <c r="Q8" s="5"/>
      <c r="R8" s="7"/>
      <c r="S8" s="37"/>
      <c r="T8" s="5"/>
      <c r="U8" s="5"/>
      <c r="V8" s="7"/>
      <c r="W8" s="37"/>
      <c r="X8" s="5"/>
      <c r="Y8" s="56"/>
    </row>
    <row r="9" ht="15.75" spans="2:25">
      <c r="B9" s="35"/>
      <c r="C9" s="5" t="s">
        <v>10</v>
      </c>
      <c r="D9" s="12">
        <v>10</v>
      </c>
      <c r="E9" s="5"/>
      <c r="F9" s="7"/>
      <c r="G9" s="5" t="s">
        <v>10</v>
      </c>
      <c r="H9" s="12">
        <v>33</v>
      </c>
      <c r="I9" s="5"/>
      <c r="J9" s="7"/>
      <c r="K9" s="5" t="s">
        <v>10</v>
      </c>
      <c r="L9" s="12">
        <v>10</v>
      </c>
      <c r="M9" s="5"/>
      <c r="N9" s="7"/>
      <c r="O9" s="5" t="s">
        <v>10</v>
      </c>
      <c r="P9" s="12">
        <v>10</v>
      </c>
      <c r="Q9" s="5"/>
      <c r="R9" s="7"/>
      <c r="S9" s="5" t="s">
        <v>10</v>
      </c>
      <c r="T9" s="12">
        <v>10</v>
      </c>
      <c r="U9" s="5"/>
      <c r="V9" s="7"/>
      <c r="W9" s="5" t="s">
        <v>10</v>
      </c>
      <c r="X9" s="12">
        <v>10</v>
      </c>
      <c r="Y9" s="56"/>
    </row>
    <row r="10" ht="15.75" spans="2:25">
      <c r="B10" s="35"/>
      <c r="C10" s="5" t="s">
        <v>11</v>
      </c>
      <c r="D10" s="12">
        <v>2</v>
      </c>
      <c r="E10" s="5"/>
      <c r="F10" s="7"/>
      <c r="G10" s="5" t="s">
        <v>11</v>
      </c>
      <c r="H10" s="12">
        <v>5.8</v>
      </c>
      <c r="I10" s="5"/>
      <c r="J10" s="7"/>
      <c r="K10" s="5" t="s">
        <v>11</v>
      </c>
      <c r="L10" s="12">
        <v>2</v>
      </c>
      <c r="M10" s="5"/>
      <c r="N10" s="7"/>
      <c r="O10" s="5" t="s">
        <v>11</v>
      </c>
      <c r="P10" s="12">
        <v>2</v>
      </c>
      <c r="Q10" s="5"/>
      <c r="R10" s="7"/>
      <c r="S10" s="5" t="s">
        <v>11</v>
      </c>
      <c r="T10" s="12">
        <v>2</v>
      </c>
      <c r="U10" s="5"/>
      <c r="V10" s="7"/>
      <c r="W10" s="5" t="s">
        <v>11</v>
      </c>
      <c r="X10" s="12">
        <v>2</v>
      </c>
      <c r="Y10" s="56"/>
    </row>
    <row r="11" ht="15.75" spans="2:25">
      <c r="B11" s="35"/>
      <c r="C11" s="5" t="s">
        <v>12</v>
      </c>
      <c r="D11" s="38">
        <f>D5</f>
        <v>7.169</v>
      </c>
      <c r="E11" s="5"/>
      <c r="F11" s="7"/>
      <c r="G11" s="5" t="s">
        <v>12</v>
      </c>
      <c r="H11" s="38">
        <f>H5</f>
        <v>9.1773</v>
      </c>
      <c r="I11" s="5"/>
      <c r="J11" s="7"/>
      <c r="K11" s="5" t="s">
        <v>12</v>
      </c>
      <c r="L11" s="38">
        <f>L5</f>
        <v>7.8288</v>
      </c>
      <c r="M11" s="5"/>
      <c r="N11" s="7"/>
      <c r="O11" s="5" t="s">
        <v>12</v>
      </c>
      <c r="P11" s="38">
        <f>P5</f>
        <v>7.8288</v>
      </c>
      <c r="Q11" s="5"/>
      <c r="R11" s="7"/>
      <c r="S11" s="5" t="s">
        <v>12</v>
      </c>
      <c r="T11" s="38">
        <f>T5</f>
        <v>7.8288</v>
      </c>
      <c r="U11" s="5"/>
      <c r="V11" s="7"/>
      <c r="W11" s="5" t="s">
        <v>12</v>
      </c>
      <c r="X11" s="38">
        <f>X5</f>
        <v>7.8288</v>
      </c>
      <c r="Y11" s="56"/>
    </row>
    <row r="12" ht="15.75" spans="2:25">
      <c r="B12" s="35"/>
      <c r="C12" s="5" t="s">
        <v>13</v>
      </c>
      <c r="D12" s="14">
        <v>3.14</v>
      </c>
      <c r="E12" s="5"/>
      <c r="F12" s="7"/>
      <c r="G12" s="5" t="s">
        <v>13</v>
      </c>
      <c r="H12" s="39">
        <v>2.79</v>
      </c>
      <c r="I12" s="5"/>
      <c r="J12" s="7"/>
      <c r="K12" s="5" t="s">
        <v>13</v>
      </c>
      <c r="L12" s="51">
        <v>3.14</v>
      </c>
      <c r="M12" s="5"/>
      <c r="N12" s="7"/>
      <c r="O12" s="5" t="s">
        <v>13</v>
      </c>
      <c r="P12" s="51">
        <v>3.14</v>
      </c>
      <c r="Q12" s="5"/>
      <c r="R12" s="7"/>
      <c r="S12" s="5" t="s">
        <v>13</v>
      </c>
      <c r="T12" s="51">
        <v>3.14</v>
      </c>
      <c r="U12" s="5"/>
      <c r="V12" s="7"/>
      <c r="W12" s="5" t="s">
        <v>13</v>
      </c>
      <c r="X12" s="51">
        <v>3.14</v>
      </c>
      <c r="Y12" s="56"/>
    </row>
    <row r="13" ht="15.75" spans="2:25">
      <c r="B13" s="35"/>
      <c r="C13" s="5" t="s">
        <v>14</v>
      </c>
      <c r="D13" s="40">
        <v>0</v>
      </c>
      <c r="E13" s="5"/>
      <c r="F13" s="7"/>
      <c r="G13" s="5" t="s">
        <v>14</v>
      </c>
      <c r="H13" s="41">
        <v>0.2</v>
      </c>
      <c r="I13" s="5"/>
      <c r="J13" s="7"/>
      <c r="K13" s="5" t="s">
        <v>14</v>
      </c>
      <c r="L13" s="41">
        <v>0.19</v>
      </c>
      <c r="M13" s="5"/>
      <c r="N13" s="7"/>
      <c r="O13" s="5" t="s">
        <v>14</v>
      </c>
      <c r="P13" s="41">
        <v>0.2</v>
      </c>
      <c r="Q13" s="5"/>
      <c r="R13" s="7"/>
      <c r="S13" s="5" t="s">
        <v>14</v>
      </c>
      <c r="T13" s="41">
        <v>0.22</v>
      </c>
      <c r="U13" s="5"/>
      <c r="V13" s="7"/>
      <c r="W13" s="5" t="s">
        <v>14</v>
      </c>
      <c r="X13" s="41">
        <v>0.21</v>
      </c>
      <c r="Y13" s="56"/>
    </row>
    <row r="14" ht="15.75" spans="2:25">
      <c r="B14" s="35"/>
      <c r="C14" s="5" t="s">
        <v>15</v>
      </c>
      <c r="D14" s="41">
        <v>0.15</v>
      </c>
      <c r="E14" s="5"/>
      <c r="F14" s="7"/>
      <c r="G14" s="5" t="s">
        <v>15</v>
      </c>
      <c r="H14" s="41">
        <v>0.15</v>
      </c>
      <c r="I14" s="5"/>
      <c r="J14" s="7"/>
      <c r="K14" s="5" t="s">
        <v>15</v>
      </c>
      <c r="L14" s="41">
        <v>0.15</v>
      </c>
      <c r="M14" s="5"/>
      <c r="N14" s="7"/>
      <c r="O14" s="5" t="s">
        <v>15</v>
      </c>
      <c r="P14" s="41">
        <v>0.15</v>
      </c>
      <c r="Q14" s="5"/>
      <c r="R14" s="7"/>
      <c r="S14" s="5" t="s">
        <v>15</v>
      </c>
      <c r="T14" s="41">
        <v>0.15</v>
      </c>
      <c r="U14" s="5"/>
      <c r="V14" s="7"/>
      <c r="W14" s="5" t="s">
        <v>15</v>
      </c>
      <c r="X14" s="41">
        <v>0.15</v>
      </c>
      <c r="Y14" s="56"/>
    </row>
    <row r="15" ht="15.75" spans="2:25">
      <c r="B15" s="35"/>
      <c r="C15" s="5" t="s">
        <v>16</v>
      </c>
      <c r="D15" s="41">
        <v>0</v>
      </c>
      <c r="E15" s="5"/>
      <c r="F15" s="7"/>
      <c r="G15" s="5" t="s">
        <v>16</v>
      </c>
      <c r="H15" s="41">
        <v>0.1</v>
      </c>
      <c r="I15" s="5"/>
      <c r="J15" s="7"/>
      <c r="K15" s="5" t="s">
        <v>16</v>
      </c>
      <c r="L15" s="41">
        <v>0</v>
      </c>
      <c r="M15" s="5"/>
      <c r="N15" s="7"/>
      <c r="O15" s="5" t="s">
        <v>16</v>
      </c>
      <c r="P15" s="41">
        <v>0</v>
      </c>
      <c r="Q15" s="5"/>
      <c r="R15" s="7"/>
      <c r="S15" s="5" t="s">
        <v>16</v>
      </c>
      <c r="T15" s="41">
        <v>0</v>
      </c>
      <c r="U15" s="5"/>
      <c r="V15" s="7"/>
      <c r="W15" s="5" t="s">
        <v>16</v>
      </c>
      <c r="X15" s="41">
        <v>0.08</v>
      </c>
      <c r="Y15" s="56"/>
    </row>
    <row r="16" ht="15.75" spans="2:25">
      <c r="B16" s="35"/>
      <c r="C16" s="5" t="s">
        <v>17</v>
      </c>
      <c r="D16" s="41">
        <v>0.05</v>
      </c>
      <c r="E16" s="5"/>
      <c r="F16" s="7"/>
      <c r="G16" s="5" t="s">
        <v>17</v>
      </c>
      <c r="H16" s="41">
        <v>0.05</v>
      </c>
      <c r="I16" s="5"/>
      <c r="J16" s="7"/>
      <c r="K16" s="5" t="s">
        <v>17</v>
      </c>
      <c r="L16" s="41">
        <v>0.05</v>
      </c>
      <c r="M16" s="5"/>
      <c r="N16" s="7"/>
      <c r="O16" s="5" t="s">
        <v>17</v>
      </c>
      <c r="P16" s="41">
        <v>0.05</v>
      </c>
      <c r="Q16" s="5"/>
      <c r="R16" s="7"/>
      <c r="S16" s="5" t="s">
        <v>17</v>
      </c>
      <c r="T16" s="41">
        <v>0.05</v>
      </c>
      <c r="U16" s="5"/>
      <c r="V16" s="7"/>
      <c r="W16" s="5" t="s">
        <v>17</v>
      </c>
      <c r="X16" s="41">
        <v>0.05</v>
      </c>
      <c r="Y16" s="56"/>
    </row>
    <row r="17" ht="15.75" spans="2:25">
      <c r="B17" s="35"/>
      <c r="C17" s="5" t="s">
        <v>18</v>
      </c>
      <c r="D17" s="42">
        <f>((D9+D10)/D11+D12)/(1-(D13+D14+D16))</f>
        <v>6.01734202817687</v>
      </c>
      <c r="E17" s="5"/>
      <c r="F17" s="5"/>
      <c r="G17" s="5" t="s">
        <v>18</v>
      </c>
      <c r="H17" s="43">
        <f>((H9+H10)/H11+H12)/(1-(H13+H14+H16))</f>
        <v>11.6963716634159</v>
      </c>
      <c r="I17" s="5"/>
      <c r="J17" s="5"/>
      <c r="K17" s="5" t="s">
        <v>18</v>
      </c>
      <c r="L17" s="52">
        <f>((L9+L10)/L11+L12)/(1-(L13+L14+L16))</f>
        <v>7.66033108522379</v>
      </c>
      <c r="M17" s="5"/>
      <c r="N17" s="5"/>
      <c r="O17" s="5" t="s">
        <v>18</v>
      </c>
      <c r="P17" s="52">
        <f>((P9+P10)/P11+P12)/(1-(P13+P14+P16))</f>
        <v>7.78800326997752</v>
      </c>
      <c r="Q17" s="5"/>
      <c r="R17" s="5"/>
      <c r="S17" s="5" t="s">
        <v>18</v>
      </c>
      <c r="T17" s="52">
        <f>((T9+T10)/T11+T12)/(1-(T13+T14+T16))</f>
        <v>8.0565551068733</v>
      </c>
      <c r="U17" s="5"/>
      <c r="V17" s="5"/>
      <c r="W17" s="5" t="s">
        <v>18</v>
      </c>
      <c r="X17" s="52">
        <f>((X9+X10)/X11+X12)/(1-(X13+X14+X16))</f>
        <v>7.92000332540087</v>
      </c>
      <c r="Y17" s="56"/>
    </row>
    <row r="18" ht="15.75" spans="2:25">
      <c r="B18" s="35"/>
      <c r="C18" s="5" t="s">
        <v>19</v>
      </c>
      <c r="D18" s="14">
        <v>6.02</v>
      </c>
      <c r="E18" s="5"/>
      <c r="F18" s="5"/>
      <c r="G18" s="5" t="s">
        <v>19</v>
      </c>
      <c r="H18" s="39">
        <v>18.99</v>
      </c>
      <c r="I18" s="5"/>
      <c r="J18" s="5"/>
      <c r="K18" s="5" t="s">
        <v>19</v>
      </c>
      <c r="L18" s="51">
        <v>7.66</v>
      </c>
      <c r="M18" s="5"/>
      <c r="N18" s="5"/>
      <c r="O18" s="5" t="s">
        <v>19</v>
      </c>
      <c r="P18" s="51">
        <v>7.79</v>
      </c>
      <c r="Q18" s="5"/>
      <c r="R18" s="5"/>
      <c r="S18" s="5" t="s">
        <v>19</v>
      </c>
      <c r="T18" s="51">
        <v>8.06</v>
      </c>
      <c r="U18" s="5"/>
      <c r="V18" s="5"/>
      <c r="W18" s="5" t="s">
        <v>19</v>
      </c>
      <c r="X18" s="51">
        <v>7.92</v>
      </c>
      <c r="Y18" s="56"/>
    </row>
    <row r="19" ht="15" spans="2:25">
      <c r="B19" s="35"/>
      <c r="C19" s="5" t="s">
        <v>20</v>
      </c>
      <c r="D19" s="44">
        <f>(D18-(D12+D16*D18+D14*D18+(D9+D10)/D11+D18*D15))*D11</f>
        <v>0.0152439999999903</v>
      </c>
      <c r="E19" s="5"/>
      <c r="F19" s="5"/>
      <c r="G19" s="5" t="s">
        <v>20</v>
      </c>
      <c r="H19" s="44">
        <f>(H18-(H12+H14*H18+H13*H18+(H9+H10)/H11+H18*H16+H18*H15))*H11</f>
        <v>22.7337965</v>
      </c>
      <c r="I19" s="5"/>
      <c r="J19" s="5"/>
      <c r="K19" s="5" t="s">
        <v>20</v>
      </c>
      <c r="L19" s="44">
        <f>(L18-(L12+L14*L18+L13*L18+(L9+L10)/L11+L18*L16+L18*L15))*L11</f>
        <v>-0.00158111999999394</v>
      </c>
      <c r="M19" s="5"/>
      <c r="N19" s="5"/>
      <c r="O19" s="5" t="s">
        <v>20</v>
      </c>
      <c r="P19" s="44">
        <f>(P18-(P12+P14*P18+P13*P18+(P9+P10)/P11+P18*P16+P18*P15))*P11</f>
        <v>0.00937920000000138</v>
      </c>
      <c r="Q19" s="5"/>
      <c r="R19" s="5"/>
      <c r="S19" s="5" t="s">
        <v>20</v>
      </c>
      <c r="T19" s="44">
        <f>(T18-(T12+T14*T18+T13*T18+(T9+T10)/T11+T18*T16+T18*T15))*T11</f>
        <v>0.0156422400000076</v>
      </c>
      <c r="U19" s="5"/>
      <c r="V19" s="5"/>
      <c r="W19" s="5" t="s">
        <v>20</v>
      </c>
      <c r="X19" s="44">
        <f>(X18-(X12+X14*X18+X13*X18+(X9+X10)/X11+X18*X16+X18*X15))*X11</f>
        <v>-4.96034303999999</v>
      </c>
      <c r="Y19" s="56"/>
    </row>
    <row r="20" ht="14.25" spans="2:25">
      <c r="B20" s="35"/>
      <c r="C20" s="5" t="s">
        <v>21</v>
      </c>
      <c r="D20" s="45">
        <f>D19/D11/D18</f>
        <v>0.000353218846926998</v>
      </c>
      <c r="E20" s="5"/>
      <c r="F20" s="5"/>
      <c r="G20" s="5" t="s">
        <v>21</v>
      </c>
      <c r="H20" s="45">
        <f>H19/H11/H18</f>
        <v>0.130446392941046</v>
      </c>
      <c r="I20" s="5"/>
      <c r="J20" s="5"/>
      <c r="K20" s="5" t="s">
        <v>21</v>
      </c>
      <c r="L20" s="45">
        <f>L19/L11/L18</f>
        <v>-2.63657945836251e-5</v>
      </c>
      <c r="M20" s="5"/>
      <c r="N20" s="5"/>
      <c r="O20" s="5" t="s">
        <v>21</v>
      </c>
      <c r="P20" s="45">
        <f>P19/P11/P18</f>
        <v>0.000153791786070454</v>
      </c>
      <c r="Q20" s="5"/>
      <c r="R20" s="5"/>
      <c r="S20" s="5" t="s">
        <v>21</v>
      </c>
      <c r="T20" s="45">
        <f>T19/T11/T18</f>
        <v>0.000247895535172411</v>
      </c>
      <c r="U20" s="5"/>
      <c r="V20" s="5"/>
      <c r="W20" s="5" t="s">
        <v>21</v>
      </c>
      <c r="X20" s="45">
        <f>X19/X11/X18</f>
        <v>-0.0800002477255695</v>
      </c>
      <c r="Y20" s="56"/>
    </row>
    <row r="21" ht="14.25" spans="2:25">
      <c r="B21" s="35"/>
      <c r="C21" s="5"/>
      <c r="D21" s="5"/>
      <c r="E21" s="5"/>
      <c r="F21" s="5"/>
      <c r="G21" s="5"/>
      <c r="H21" s="45"/>
      <c r="I21" s="5"/>
      <c r="J21" s="5"/>
      <c r="K21" s="5"/>
      <c r="L21" s="45"/>
      <c r="M21" s="5"/>
      <c r="N21" s="5"/>
      <c r="O21" s="5"/>
      <c r="P21" s="45"/>
      <c r="Q21" s="5"/>
      <c r="R21" s="5"/>
      <c r="S21" s="5"/>
      <c r="T21" s="45"/>
      <c r="U21" s="5"/>
      <c r="V21" s="5"/>
      <c r="W21" s="5"/>
      <c r="X21" s="45"/>
      <c r="Y21" s="56"/>
    </row>
    <row r="22" ht="14.25" spans="2:25"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57"/>
    </row>
    <row r="25" ht="14.25"/>
    <row r="26" ht="14.25" spans="3:16"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4"/>
    </row>
    <row r="27" ht="14.25" spans="3:16"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25"/>
    </row>
    <row r="28" ht="27.75" spans="3:16">
      <c r="C28" s="4"/>
      <c r="D28" s="48" t="s">
        <v>22</v>
      </c>
      <c r="E28" s="48"/>
      <c r="F28" s="48"/>
      <c r="G28" s="5"/>
      <c r="H28" s="7"/>
      <c r="I28" s="8" t="s">
        <v>23</v>
      </c>
      <c r="J28" s="9"/>
      <c r="K28" s="9"/>
      <c r="L28" s="9"/>
      <c r="M28" s="9"/>
      <c r="N28" s="9"/>
      <c r="O28" s="9"/>
      <c r="P28" s="25"/>
    </row>
    <row r="29" ht="28.5" spans="3:16">
      <c r="C29" s="4"/>
      <c r="D29" s="10"/>
      <c r="E29" s="10"/>
      <c r="F29" s="5"/>
      <c r="G29" s="5"/>
      <c r="H29" s="7"/>
      <c r="I29" s="11"/>
      <c r="J29" s="5"/>
      <c r="K29" s="5"/>
      <c r="L29" s="5"/>
      <c r="M29" s="5"/>
      <c r="N29" s="5"/>
      <c r="O29" s="5"/>
      <c r="P29" s="25"/>
    </row>
    <row r="30" ht="15.75" spans="3:16">
      <c r="C30" s="4"/>
      <c r="D30" s="5" t="s">
        <v>24</v>
      </c>
      <c r="E30" s="5"/>
      <c r="F30" s="12"/>
      <c r="G30" s="5"/>
      <c r="H30" s="7"/>
      <c r="I30" s="5" t="s">
        <v>25</v>
      </c>
      <c r="J30" s="13">
        <v>22</v>
      </c>
      <c r="K30" s="26"/>
      <c r="L30" s="26"/>
      <c r="M30" s="26"/>
      <c r="N30" s="26"/>
      <c r="O30" s="27"/>
      <c r="P30" s="25"/>
    </row>
    <row r="31" ht="15.75" spans="3:16">
      <c r="C31" s="4"/>
      <c r="D31" s="5" t="s">
        <v>26</v>
      </c>
      <c r="E31" s="5"/>
      <c r="F31" s="14">
        <v>0.58</v>
      </c>
      <c r="G31" s="5"/>
      <c r="H31" s="7"/>
      <c r="I31" s="5" t="s">
        <v>27</v>
      </c>
      <c r="J31" s="13">
        <v>4</v>
      </c>
      <c r="K31" s="26"/>
      <c r="L31" s="26"/>
      <c r="M31" s="26"/>
      <c r="N31" s="26"/>
      <c r="O31" s="27"/>
      <c r="P31" s="25"/>
    </row>
    <row r="32" ht="15.75" spans="3:16">
      <c r="C32" s="4"/>
      <c r="D32" s="5" t="s">
        <v>28</v>
      </c>
      <c r="E32" s="5"/>
      <c r="F32" s="14">
        <v>18.99</v>
      </c>
      <c r="G32" s="5"/>
      <c r="H32" s="7"/>
      <c r="I32" s="5" t="s">
        <v>29</v>
      </c>
      <c r="J32" s="13">
        <v>1</v>
      </c>
      <c r="K32" s="26"/>
      <c r="L32" s="26"/>
      <c r="M32" s="26"/>
      <c r="N32" s="26"/>
      <c r="O32" s="27"/>
      <c r="P32" s="25"/>
    </row>
    <row r="33" ht="15.75" spans="3:16">
      <c r="C33" s="4"/>
      <c r="D33" s="5" t="s">
        <v>30</v>
      </c>
      <c r="E33" s="5"/>
      <c r="F33" s="15">
        <v>0.3</v>
      </c>
      <c r="G33" s="5"/>
      <c r="H33" s="7"/>
      <c r="I33" s="5" t="s">
        <v>31</v>
      </c>
      <c r="J33" s="13">
        <v>0</v>
      </c>
      <c r="K33" s="26"/>
      <c r="L33" s="26"/>
      <c r="M33" s="26"/>
      <c r="N33" s="26"/>
      <c r="O33" s="27"/>
      <c r="P33" s="25"/>
    </row>
    <row r="34" ht="15.75" spans="3:16">
      <c r="C34" s="4"/>
      <c r="D34" s="5" t="s">
        <v>21</v>
      </c>
      <c r="E34" s="5"/>
      <c r="F34" s="15">
        <v>0.15</v>
      </c>
      <c r="G34" s="5"/>
      <c r="H34" s="7"/>
      <c r="I34" s="5" t="s">
        <v>32</v>
      </c>
      <c r="J34" s="13">
        <v>1</v>
      </c>
      <c r="K34" s="26"/>
      <c r="L34" s="26"/>
      <c r="M34" s="26"/>
      <c r="N34" s="26"/>
      <c r="O34" s="27"/>
      <c r="P34" s="25"/>
    </row>
    <row r="35" ht="15.75" spans="3:16">
      <c r="C35" s="4"/>
      <c r="D35" s="5" t="s">
        <v>33</v>
      </c>
      <c r="E35" s="5"/>
      <c r="F35" s="16">
        <f>F31/F32/F33</f>
        <v>0.101807969106547</v>
      </c>
      <c r="G35" s="5"/>
      <c r="H35" s="7"/>
      <c r="I35" s="5" t="s">
        <v>34</v>
      </c>
      <c r="J35" s="17">
        <f>O35</f>
        <v>4.64285714285714</v>
      </c>
      <c r="K35" s="17">
        <f>O35</f>
        <v>4.64285714285714</v>
      </c>
      <c r="L35" s="17">
        <f>O35</f>
        <v>4.64285714285714</v>
      </c>
      <c r="M35" s="17">
        <f>O35</f>
        <v>4.64285714285714</v>
      </c>
      <c r="N35" s="17">
        <f>O35</f>
        <v>4.64285714285714</v>
      </c>
      <c r="O35" s="28">
        <f>IFERROR((J30*5+J31*4+J32*3+J33*2+J34*1)/SUM(J30:O34),"数据有误")</f>
        <v>4.64285714285714</v>
      </c>
      <c r="P35" s="25"/>
    </row>
    <row r="36" ht="15.75" spans="3:16">
      <c r="C36" s="4"/>
      <c r="D36" s="5"/>
      <c r="E36" s="5"/>
      <c r="F36" s="18" t="str">
        <f>IF(F35&lt;=F34,"推荐","不推荐")</f>
        <v>推荐</v>
      </c>
      <c r="G36" s="5"/>
      <c r="H36" s="7"/>
      <c r="I36" s="5" t="s">
        <v>35</v>
      </c>
      <c r="J36" s="19">
        <f>O36</f>
        <v>4.8</v>
      </c>
      <c r="K36" s="17">
        <f>O36</f>
        <v>4.8</v>
      </c>
      <c r="L36" s="19">
        <f>O36</f>
        <v>4.8</v>
      </c>
      <c r="M36" s="19">
        <f>O36</f>
        <v>4.8</v>
      </c>
      <c r="N36" s="19">
        <f>O36</f>
        <v>4.8</v>
      </c>
      <c r="O36" s="29">
        <v>4.8</v>
      </c>
      <c r="P36" s="25"/>
    </row>
    <row r="37" ht="15.75" spans="3:16">
      <c r="C37" s="4"/>
      <c r="D37" s="5"/>
      <c r="E37" s="5"/>
      <c r="F37" s="20"/>
      <c r="G37" s="5"/>
      <c r="H37" s="7"/>
      <c r="I37" s="5" t="s">
        <v>36</v>
      </c>
      <c r="J37" s="21"/>
      <c r="K37" s="21"/>
      <c r="L37" s="21"/>
      <c r="M37" s="21"/>
      <c r="N37" s="21"/>
      <c r="O37" s="21">
        <f>IF(O36&gt;O35,IFERROR((O36*SUM(J31:J34)-J31*4-J32*3-J33*2-J34*1)/(5-O36)-J30,"数据有误"),"不需要")</f>
        <v>21.9999999999999</v>
      </c>
      <c r="P37" s="25"/>
    </row>
    <row r="38" ht="14.25" spans="3:16"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25"/>
    </row>
    <row r="39" ht="14.25" spans="3:16"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25"/>
    </row>
    <row r="40" ht="14.25" spans="3:16"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25"/>
    </row>
    <row r="41" ht="15" spans="3:16"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30"/>
    </row>
  </sheetData>
  <mergeCells count="13">
    <mergeCell ref="D28:F28"/>
    <mergeCell ref="J30:O30"/>
    <mergeCell ref="J31:O31"/>
    <mergeCell ref="J32:O32"/>
    <mergeCell ref="J33:O33"/>
    <mergeCell ref="J34:O34"/>
    <mergeCell ref="F36:F37"/>
    <mergeCell ref="B2:E3"/>
    <mergeCell ref="F2:I3"/>
    <mergeCell ref="J2:M3"/>
    <mergeCell ref="N2:Q3"/>
    <mergeCell ref="R2:U3"/>
    <mergeCell ref="V2:Y3"/>
  </mergeCells>
  <conditionalFormatting sqref="J30">
    <cfRule type="dataBar" priority="18">
      <dataBar>
        <cfvo type="num" val="0"/>
        <cfvo type="num" val="SUM($H$9:$H$13)"/>
        <color rgb="FFFFC000"/>
      </dataBar>
      <extLst>
        <ext xmlns:x14="http://schemas.microsoft.com/office/spreadsheetml/2009/9/main" uri="{B025F937-C7B1-47D3-B67F-A62EFF666E3E}">
          <x14:id>{b96073e3-6b19-464c-890c-4b33da0a0fec}</x14:id>
        </ext>
      </extLst>
    </cfRule>
    <cfRule type="dataBar" priority="19">
      <dataBar>
        <cfvo type="num" val="0"/>
        <cfvo type="num" val="SUM($H$9:$H$13)"/>
        <color rgb="FF638EC6"/>
      </dataBar>
      <extLst>
        <ext xmlns:x14="http://schemas.microsoft.com/office/spreadsheetml/2009/9/main" uri="{B025F937-C7B1-47D3-B67F-A62EFF666E3E}">
          <x14:id>{a0e399ba-7687-4654-aac5-12c7115ff285}</x14:id>
        </ext>
      </extLst>
    </cfRule>
  </conditionalFormatting>
  <conditionalFormatting sqref="F36">
    <cfRule type="cellIs" dxfId="0" priority="20" operator="equal">
      <formula>"不推荐"</formula>
    </cfRule>
    <cfRule type="cellIs" dxfId="1" priority="21" operator="equal">
      <formula>"推荐"</formula>
    </cfRule>
  </conditionalFormatting>
  <conditionalFormatting sqref="O37">
    <cfRule type="cellIs" dxfId="2" priority="4" operator="equal">
      <formula>"不需要"</formula>
    </cfRule>
  </conditionalFormatting>
  <conditionalFormatting sqref="J31:J34">
    <cfRule type="dataBar" priority="2">
      <dataBar>
        <cfvo type="num" val="0"/>
        <cfvo type="num" val="SUM($H$9:$H$13)"/>
        <color rgb="FFFFC000"/>
      </dataBar>
      <extLst>
        <ext xmlns:x14="http://schemas.microsoft.com/office/spreadsheetml/2009/9/main" uri="{B025F937-C7B1-47D3-B67F-A62EFF666E3E}">
          <x14:id>{45198854-8822-428e-80d4-52011fada846}</x14:id>
        </ext>
      </extLst>
    </cfRule>
    <cfRule type="dataBar" priority="3">
      <dataBar>
        <cfvo type="num" val="0"/>
        <cfvo type="num" val="SUM($H$9:$H$13)"/>
        <color rgb="FF638EC6"/>
      </dataBar>
      <extLst>
        <ext xmlns:x14="http://schemas.microsoft.com/office/spreadsheetml/2009/9/main" uri="{B025F937-C7B1-47D3-B67F-A62EFF666E3E}">
          <x14:id>{4623d085-b2ce-4816-9c6c-460a1a77e9df}</x14:id>
        </ext>
      </extLst>
    </cfRule>
  </conditionalFormatting>
  <conditionalFormatting sqref="O31:O34">
    <cfRule type="containsText" dxfId="3" priority="1" operator="between" text="有误">
      <formula>NOT(ISERROR(SEARCH("有误",O31)))</formula>
    </cfRule>
  </conditionalFormatting>
  <conditionalFormatting sqref="O35:O41 O26:O30">
    <cfRule type="containsText" dxfId="3" priority="5" operator="between" text="有误">
      <formula>NOT(ISERROR(SEARCH("有误",O26)))</formula>
    </cfRule>
  </conditionalFormatting>
  <conditionalFormatting sqref="J35:O37">
    <cfRule type="containsText" dxfId="4" priority="17" operator="between" text="检查">
      <formula>NOT(ISERROR(SEARCH("检查",J35)))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6073e3-6b19-464c-890c-4b33da0a0fec}">
            <x14:dataBar minLength="0" maxLength="100" gradient="0">
              <x14:cfvo type="num">
                <xm:f>0</xm:f>
              </x14:cfvo>
              <x14:cfvo type="num">
                <xm:f>SUM($H$9:$H$13)</xm:f>
              </x14:cfvo>
              <x14:negativeFillColor rgb="FFFF0000"/>
              <x14:axisColor rgb="FF000000"/>
            </x14:dataBar>
          </x14:cfRule>
          <x14:cfRule type="dataBar" id="{a0e399ba-7687-4654-aac5-12c7115ff285}">
            <x14:dataBar minLength="0" maxLength="100" gradient="0">
              <x14:cfvo type="num">
                <xm:f>0</xm:f>
              </x14:cfvo>
              <x14:cfvo type="num">
                <xm:f>SUM($H$9:$H$13)</xm:f>
              </x14:cfvo>
              <x14:negativeFill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iconSet" priority="14" id="{681956b3-d105-4a9e-ac4b-0b824a46929c}">
            <x14:iconSet iconSet="3Stars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14:cfRule type="iconSet" priority="15" id="{3e7d3929-e70f-4f2d-98e7-a44cd5cebdff}">
            <x14:iconSet iconSet="3Stars">
              <x14:cfvo type="percent">
                <xm:f>0</xm:f>
              </x14:cfvo>
              <x14:cfvo type="percent">
                <xm:f>0.5</xm:f>
              </x14:cfvo>
              <x14:cfvo type="percent">
                <xm:f>1</xm:f>
              </x14:cfvo>
            </x14:iconSet>
          </x14:cfRule>
          <x14:cfRule type="iconSet" priority="16" id="{6faad238-f406-446c-9f35-8cf94ae24a8a}">
            <x14:iconSet iconSet="3TrafficLights1" custom="1">
              <x14:cfvo type="percent">
                <xm:f>0</xm:f>
              </x14:cfvo>
              <x14:cfvo type="percent">
                <xm:f>33</xm:f>
              </x14:cfvo>
              <x14:cfvo type="num">
                <xm:f>$M$14</xm:f>
              </x14:cfvo>
              <x14:cfIcon iconSet="3TrafficLights1" iconId="0"/>
              <x14:cfIcon iconSet="3TrafficLights1" iconId="1"/>
              <x14:cfIcon iconSet="3Stars" iconId="2"/>
            </x14:iconSet>
          </x14:cfRule>
          <xm:sqref>J35</xm:sqref>
        </x14:conditionalFormatting>
        <x14:conditionalFormatting xmlns:xm="http://schemas.microsoft.com/office/excel/2006/main">
          <x14:cfRule type="iconSet" priority="9" id="{171a1f67-becc-49fe-b037-ee3348220d65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10" id="{1c115f68-9490-4a1c-87f6-9e4d15bdcea3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K35</xm:sqref>
        </x14:conditionalFormatting>
        <x14:conditionalFormatting xmlns:xm="http://schemas.microsoft.com/office/excel/2006/main">
          <x14:cfRule type="iconSet" priority="11" id="{75831edf-0744-4b36-a5d9-03277b01506c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K36</xm:sqref>
        </x14:conditionalFormatting>
        <x14:conditionalFormatting xmlns:xm="http://schemas.microsoft.com/office/excel/2006/main">
          <x14:cfRule type="dataBar" id="{45198854-8822-428e-80d4-52011fada846}">
            <x14:dataBar minLength="0" maxLength="100" gradient="0">
              <x14:cfvo type="num">
                <xm:f>0</xm:f>
              </x14:cfvo>
              <x14:cfvo type="num">
                <xm:f>SUM($H$9:$H$13)</xm:f>
              </x14:cfvo>
              <x14:negativeFillColor rgb="FFFF0000"/>
              <x14:axisColor rgb="FF000000"/>
            </x14:dataBar>
          </x14:cfRule>
          <x14:cfRule type="dataBar" id="{4623d085-b2ce-4816-9c6c-460a1a77e9df}">
            <x14:dataBar minLength="0" maxLength="100" gradient="0">
              <x14:cfvo type="num">
                <xm:f>0</xm:f>
              </x14:cfvo>
              <x14:cfvo type="num">
                <xm:f>SUM($H$9:$H$13)</xm:f>
              </x14:cfvo>
              <x14:negativeFillColor rgb="FFFF0000"/>
              <x14:axisColor rgb="FF000000"/>
            </x14:dataBar>
          </x14:cfRule>
          <xm:sqref>J31:J34</xm:sqref>
        </x14:conditionalFormatting>
        <x14:conditionalFormatting xmlns:xm="http://schemas.microsoft.com/office/excel/2006/main">
          <x14:cfRule type="iconSet" priority="13" id="{b47259ec-d27b-4c2b-8ec9-43e1185dd458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J35:J36</xm:sqref>
        </x14:conditionalFormatting>
        <x14:conditionalFormatting xmlns:xm="http://schemas.microsoft.com/office/excel/2006/main">
          <x14:cfRule type="iconSet" priority="12" id="{b1d058dd-5936-42c2-a9ad-6e7e68c5a6b4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K35:K36</xm:sqref>
        </x14:conditionalFormatting>
        <x14:conditionalFormatting xmlns:xm="http://schemas.microsoft.com/office/excel/2006/main">
          <x14:cfRule type="iconSet" priority="8" id="{a13ebdfb-9eb0-4a1e-b65b-55d0b579f501}">
            <x14:iconSet iconSet="3Stars">
              <x14:cfvo type="percent">
                <xm:f>0</xm:f>
              </x14:cfvo>
              <x14:cfvo type="num">
                <xm:f>2.29999999999999</xm:f>
              </x14:cfvo>
              <x14:cfvo type="num">
                <xm:f>2.7</xm:f>
              </x14:cfvo>
            </x14:iconSet>
          </x14:cfRule>
          <xm:sqref>L35:L36</xm:sqref>
        </x14:conditionalFormatting>
        <x14:conditionalFormatting xmlns:xm="http://schemas.microsoft.com/office/excel/2006/main">
          <x14:cfRule type="iconSet" priority="7" id="{133573f0-6f83-486e-9368-2828009b234a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M35:M36</xm:sqref>
        </x14:conditionalFormatting>
        <x14:conditionalFormatting xmlns:xm="http://schemas.microsoft.com/office/excel/2006/main">
          <x14:cfRule type="iconSet" priority="6" id="{bbab0380-9b4c-4966-a353-866217fe52ab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N35:N36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20"/>
  <sheetViews>
    <sheetView showGridLines="0" zoomScale="115" zoomScaleNormal="115" workbookViewId="0">
      <selection activeCell="H10" sqref="H10:M10"/>
    </sheetView>
  </sheetViews>
  <sheetFormatPr defaultColWidth="9" defaultRowHeight="14.25"/>
  <cols>
    <col min="1" max="2" width="9" style="1"/>
    <col min="3" max="3" width="10.375" style="1" customWidth="1"/>
    <col min="4" max="4" width="19.875" style="1" customWidth="1"/>
    <col min="5" max="5" width="3.625" style="1" customWidth="1"/>
    <col min="6" max="6" width="4" style="1" customWidth="1"/>
    <col min="7" max="7" width="8.75" style="1" customWidth="1"/>
    <col min="8" max="12" width="2.75" style="1" customWidth="1"/>
    <col min="13" max="13" width="8.5" style="1" customWidth="1"/>
    <col min="14" max="16384" width="9" style="1"/>
  </cols>
  <sheetData>
    <row r="5" spans="2:14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4"/>
    </row>
    <row r="6" spans="2:14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5"/>
    </row>
    <row r="7" ht="28.5" spans="2:14">
      <c r="B7" s="4"/>
      <c r="C7" s="6" t="s">
        <v>22</v>
      </c>
      <c r="D7" s="6"/>
      <c r="E7" s="5"/>
      <c r="F7" s="7"/>
      <c r="G7" s="8" t="s">
        <v>23</v>
      </c>
      <c r="H7" s="9"/>
      <c r="I7" s="9"/>
      <c r="J7" s="9"/>
      <c r="K7" s="9"/>
      <c r="L7" s="9"/>
      <c r="M7" s="9"/>
      <c r="N7" s="25"/>
    </row>
    <row r="8" ht="5.25" customHeight="1" spans="2:14">
      <c r="B8" s="4"/>
      <c r="C8" s="10"/>
      <c r="D8" s="10"/>
      <c r="E8" s="5"/>
      <c r="F8" s="7"/>
      <c r="G8" s="11"/>
      <c r="H8" s="5"/>
      <c r="I8" s="5"/>
      <c r="J8" s="5"/>
      <c r="K8" s="5"/>
      <c r="L8" s="5"/>
      <c r="M8" s="5"/>
      <c r="N8" s="25"/>
    </row>
    <row r="9" ht="15.75" spans="2:14">
      <c r="B9" s="4"/>
      <c r="C9" s="5" t="s">
        <v>24</v>
      </c>
      <c r="D9" s="12"/>
      <c r="E9" s="5"/>
      <c r="F9" s="7"/>
      <c r="G9" s="5" t="s">
        <v>25</v>
      </c>
      <c r="H9" s="13">
        <v>13</v>
      </c>
      <c r="I9" s="26"/>
      <c r="J9" s="26"/>
      <c r="K9" s="26"/>
      <c r="L9" s="26"/>
      <c r="M9" s="27"/>
      <c r="N9" s="25"/>
    </row>
    <row r="10" ht="15.75" spans="2:14">
      <c r="B10" s="4"/>
      <c r="C10" s="5" t="s">
        <v>26</v>
      </c>
      <c r="D10" s="14">
        <v>0.5</v>
      </c>
      <c r="E10" s="5"/>
      <c r="F10" s="7"/>
      <c r="G10" s="5" t="s">
        <v>27</v>
      </c>
      <c r="H10" s="13">
        <v>1</v>
      </c>
      <c r="I10" s="26"/>
      <c r="J10" s="26"/>
      <c r="K10" s="26"/>
      <c r="L10" s="26"/>
      <c r="M10" s="27"/>
      <c r="N10" s="25"/>
    </row>
    <row r="11" ht="15.75" spans="2:14">
      <c r="B11" s="4"/>
      <c r="C11" s="5" t="s">
        <v>28</v>
      </c>
      <c r="D11" s="14">
        <v>18.99</v>
      </c>
      <c r="E11" s="5"/>
      <c r="F11" s="7"/>
      <c r="G11" s="5" t="s">
        <v>29</v>
      </c>
      <c r="H11" s="13">
        <v>1</v>
      </c>
      <c r="I11" s="26"/>
      <c r="J11" s="26"/>
      <c r="K11" s="26"/>
      <c r="L11" s="26"/>
      <c r="M11" s="27"/>
      <c r="N11" s="25"/>
    </row>
    <row r="12" ht="15.75" spans="2:14">
      <c r="B12" s="4"/>
      <c r="C12" s="5" t="s">
        <v>30</v>
      </c>
      <c r="D12" s="15">
        <v>0.2</v>
      </c>
      <c r="E12" s="5"/>
      <c r="F12" s="7"/>
      <c r="G12" s="5" t="s">
        <v>31</v>
      </c>
      <c r="H12" s="13">
        <v>2</v>
      </c>
      <c r="I12" s="26"/>
      <c r="J12" s="26"/>
      <c r="K12" s="26"/>
      <c r="L12" s="26"/>
      <c r="M12" s="27"/>
      <c r="N12" s="25"/>
    </row>
    <row r="13" ht="15.75" spans="2:14">
      <c r="B13" s="4"/>
      <c r="C13" s="5" t="s">
        <v>21</v>
      </c>
      <c r="D13" s="15">
        <v>0.15</v>
      </c>
      <c r="E13" s="5"/>
      <c r="F13" s="7"/>
      <c r="G13" s="5" t="s">
        <v>32</v>
      </c>
      <c r="H13" s="13">
        <v>5</v>
      </c>
      <c r="I13" s="26"/>
      <c r="J13" s="26"/>
      <c r="K13" s="26"/>
      <c r="L13" s="26"/>
      <c r="M13" s="27"/>
      <c r="N13" s="25"/>
    </row>
    <row r="14" ht="15.75" spans="2:14">
      <c r="B14" s="4"/>
      <c r="C14" s="5" t="s">
        <v>33</v>
      </c>
      <c r="D14" s="16">
        <f>D10/D11/D12</f>
        <v>0.131648235913639</v>
      </c>
      <c r="E14" s="5"/>
      <c r="F14" s="7"/>
      <c r="G14" s="5" t="s">
        <v>34</v>
      </c>
      <c r="H14" s="17">
        <f t="shared" ref="H14:H15" si="0">M14</f>
        <v>3.68181818181818</v>
      </c>
      <c r="I14" s="17">
        <f>M14</f>
        <v>3.68181818181818</v>
      </c>
      <c r="J14" s="17">
        <f>M14</f>
        <v>3.68181818181818</v>
      </c>
      <c r="K14" s="17">
        <f>M14</f>
        <v>3.68181818181818</v>
      </c>
      <c r="L14" s="17">
        <f>M14</f>
        <v>3.68181818181818</v>
      </c>
      <c r="M14" s="28">
        <f>IFERROR((H9*5+H10*4+H11*3+H12*2+H13*1)/SUM(H9:M13),"数据有误")</f>
        <v>3.68181818181818</v>
      </c>
      <c r="N14" s="25"/>
    </row>
    <row r="15" customHeight="1" spans="2:14">
      <c r="B15" s="4"/>
      <c r="C15" s="5"/>
      <c r="D15" s="18" t="str">
        <f>IF(D14&lt;=D13,"推荐","不推荐")</f>
        <v>推荐</v>
      </c>
      <c r="E15" s="5"/>
      <c r="F15" s="7"/>
      <c r="G15" s="5" t="s">
        <v>35</v>
      </c>
      <c r="H15" s="19">
        <f t="shared" si="0"/>
        <v>4.3</v>
      </c>
      <c r="I15" s="17">
        <f>M15</f>
        <v>4.3</v>
      </c>
      <c r="J15" s="19">
        <f>M15</f>
        <v>4.3</v>
      </c>
      <c r="K15" s="19">
        <f>M15</f>
        <v>4.3</v>
      </c>
      <c r="L15" s="19">
        <f>M15</f>
        <v>4.3</v>
      </c>
      <c r="M15" s="29">
        <v>4.3</v>
      </c>
      <c r="N15" s="25"/>
    </row>
    <row r="16" ht="15.75" spans="2:14">
      <c r="B16" s="4"/>
      <c r="C16" s="5"/>
      <c r="D16" s="20"/>
      <c r="E16" s="5"/>
      <c r="F16" s="7"/>
      <c r="G16" s="5" t="s">
        <v>36</v>
      </c>
      <c r="H16" s="21"/>
      <c r="I16" s="21"/>
      <c r="J16" s="21"/>
      <c r="K16" s="21"/>
      <c r="L16" s="21"/>
      <c r="M16" s="21">
        <f>IF(M15&gt;M14,IFERROR((M15*SUM(H10:H13)-H10*4-H11*3-H12*2-H13*1)/(5-M15)-H9,"数据有误"),"不需要")</f>
        <v>19.4285714285714</v>
      </c>
      <c r="N16" s="25"/>
    </row>
    <row r="17" spans="2:14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25"/>
    </row>
    <row r="18" spans="2:14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5"/>
    </row>
    <row r="19" spans="2:14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25"/>
    </row>
    <row r="20" ht="15" spans="2:14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30"/>
    </row>
  </sheetData>
  <sheetProtection selectLockedCells="1" autoFilter="0"/>
  <mergeCells count="6">
    <mergeCell ref="H9:M9"/>
    <mergeCell ref="H10:M10"/>
    <mergeCell ref="H11:M11"/>
    <mergeCell ref="H12:M12"/>
    <mergeCell ref="H13:M13"/>
    <mergeCell ref="D15:D16"/>
  </mergeCells>
  <conditionalFormatting sqref="H9">
    <cfRule type="dataBar" priority="61">
      <dataBar>
        <cfvo type="num" val="0"/>
        <cfvo type="num" val="SUM($H$9:$H$13)"/>
        <color rgb="FFFFC000"/>
      </dataBar>
      <extLst>
        <ext xmlns:x14="http://schemas.microsoft.com/office/spreadsheetml/2009/9/main" uri="{B025F937-C7B1-47D3-B67F-A62EFF666E3E}">
          <x14:id>{639ee7b4-d829-4360-9db1-30eefd5df5e5}</x14:id>
        </ext>
      </extLst>
    </cfRule>
    <cfRule type="dataBar" priority="62">
      <dataBar>
        <cfvo type="num" val="0"/>
        <cfvo type="num" val="SUM($H$9:$H$13)"/>
        <color rgb="FF638EC6"/>
      </dataBar>
      <extLst>
        <ext xmlns:x14="http://schemas.microsoft.com/office/spreadsheetml/2009/9/main" uri="{B025F937-C7B1-47D3-B67F-A62EFF666E3E}">
          <x14:id>{7eb48cda-28d5-41b4-ae6e-20dc158ccb5f}</x14:id>
        </ext>
      </extLst>
    </cfRule>
  </conditionalFormatting>
  <conditionalFormatting sqref="D15">
    <cfRule type="cellIs" dxfId="0" priority="83" operator="equal">
      <formula>"不推荐"</formula>
    </cfRule>
    <cfRule type="cellIs" dxfId="1" priority="84" operator="equal">
      <formula>"推荐"</formula>
    </cfRule>
  </conditionalFormatting>
  <conditionalFormatting sqref="M16">
    <cfRule type="cellIs" dxfId="2" priority="46" operator="equal">
      <formula>"不需要"</formula>
    </cfRule>
  </conditionalFormatting>
  <conditionalFormatting sqref="H10:H13">
    <cfRule type="dataBar" priority="44">
      <dataBar>
        <cfvo type="num" val="0"/>
        <cfvo type="num" val="SUM($H$9:$H$13)"/>
        <color rgb="FFFFC000"/>
      </dataBar>
      <extLst>
        <ext xmlns:x14="http://schemas.microsoft.com/office/spreadsheetml/2009/9/main" uri="{B025F937-C7B1-47D3-B67F-A62EFF666E3E}">
          <x14:id>{56d3380b-9843-4384-83dc-05c4f6b356c5}</x14:id>
        </ext>
      </extLst>
    </cfRule>
    <cfRule type="dataBar" priority="45">
      <dataBar>
        <cfvo type="num" val="0"/>
        <cfvo type="num" val="SUM($H$9:$H$13)"/>
        <color rgb="FF638EC6"/>
      </dataBar>
      <extLst>
        <ext xmlns:x14="http://schemas.microsoft.com/office/spreadsheetml/2009/9/main" uri="{B025F937-C7B1-47D3-B67F-A62EFF666E3E}">
          <x14:id>{ef3eb841-793c-4cc2-afa0-f5ce04fb68e0}</x14:id>
        </ext>
      </extLst>
    </cfRule>
  </conditionalFormatting>
  <conditionalFormatting sqref="M10:M13">
    <cfRule type="containsText" dxfId="3" priority="43" operator="between" text="有误">
      <formula>NOT(ISERROR(SEARCH("有误",M10)))</formula>
    </cfRule>
  </conditionalFormatting>
  <conditionalFormatting sqref="M1:M9 M14:M21">
    <cfRule type="containsText" dxfId="3" priority="47" operator="between" text="有误">
      <formula>NOT(ISERROR(SEARCH("有误",M1)))</formula>
    </cfRule>
  </conditionalFormatting>
  <conditionalFormatting sqref="H14:M16">
    <cfRule type="containsText" dxfId="4" priority="59" operator="between" text="检查">
      <formula>NOT(ISERROR(SEARCH("检查",H14)))</formula>
    </cfRule>
  </conditionalFormatting>
  <pageMargins left="0.7" right="0.7" top="0.75" bottom="0.75" header="0.3" footer="0.3"/>
  <pageSetup paperSize="256" orientation="portrait" horizontalDpi="203" verticalDpi="20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ee7b4-d829-4360-9db1-30eefd5df5e5}">
            <x14:dataBar minLength="0" maxLength="100" gradient="0">
              <x14:cfvo type="num">
                <xm:f>0</xm:f>
              </x14:cfvo>
              <x14:cfvo type="num">
                <xm:f>SUM($H$9:$H$13)</xm:f>
              </x14:cfvo>
              <x14:negativeFillColor rgb="FFFF0000"/>
              <x14:axisColor rgb="FF000000"/>
            </x14:dataBar>
          </x14:cfRule>
          <x14:cfRule type="dataBar" id="{7eb48cda-28d5-41b4-ae6e-20dc158ccb5f}">
            <x14:dataBar minLength="0" maxLength="100" gradient="0">
              <x14:cfvo type="num">
                <xm:f>0</xm:f>
              </x14:cfvo>
              <x14:cfvo type="num">
                <xm:f>SUM($H$9:$H$13)</xm:f>
              </x14:cfvo>
              <x14:negativeFillColor rgb="FFFF0000"/>
              <x14:axisColor rgb="FF000000"/>
            </x14:dataBar>
          </x14:cfRule>
          <xm:sqref>H9</xm:sqref>
        </x14:conditionalFormatting>
        <x14:conditionalFormatting xmlns:xm="http://schemas.microsoft.com/office/excel/2006/main">
          <x14:cfRule type="iconSet" priority="56" id="{cae50c49-a572-4035-8bd3-43fce5a44a96}">
            <x14:iconSet iconSet="3Stars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14:cfRule type="iconSet" priority="57" id="{76fd1e64-638f-4682-b7c9-7e02a1a241d6}">
            <x14:iconSet iconSet="3Stars">
              <x14:cfvo type="percent">
                <xm:f>0</xm:f>
              </x14:cfvo>
              <x14:cfvo type="percent">
                <xm:f>0.5</xm:f>
              </x14:cfvo>
              <x14:cfvo type="percent">
                <xm:f>1</xm:f>
              </x14:cfvo>
            </x14:iconSet>
          </x14:cfRule>
          <x14:cfRule type="iconSet" priority="58" id="{8c43947b-f025-45da-a514-ce64bd89b7ba}">
            <x14:iconSet iconSet="3TrafficLights1" custom="1">
              <x14:cfvo type="percent">
                <xm:f>0</xm:f>
              </x14:cfvo>
              <x14:cfvo type="percent">
                <xm:f>33</xm:f>
              </x14:cfvo>
              <x14:cfvo type="num">
                <xm:f>$M$14</xm:f>
              </x14:cfvo>
              <x14:cfIcon iconSet="3TrafficLights1" iconId="0"/>
              <x14:cfIcon iconSet="3TrafficLights1" iconId="1"/>
              <x14:cfIcon iconSet="3Stars" iconId="2"/>
            </x14:iconSet>
          </x14:cfRule>
          <xm:sqref>H14</xm:sqref>
        </x14:conditionalFormatting>
        <x14:conditionalFormatting xmlns:xm="http://schemas.microsoft.com/office/excel/2006/main">
          <x14:cfRule type="iconSet" priority="51" id="{35a4bfa6-38ae-49e6-8fd8-4fd27c9a153e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52" id="{bc52c33d-20bc-425f-b0e4-a14b4012014b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I14</xm:sqref>
        </x14:conditionalFormatting>
        <x14:conditionalFormatting xmlns:xm="http://schemas.microsoft.com/office/excel/2006/main">
          <x14:cfRule type="iconSet" priority="53" id="{04ad87a8-354d-4096-b65f-b05670657642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I15</xm:sqref>
        </x14:conditionalFormatting>
        <x14:conditionalFormatting xmlns:xm="http://schemas.microsoft.com/office/excel/2006/main">
          <x14:cfRule type="dataBar" id="{56d3380b-9843-4384-83dc-05c4f6b356c5}">
            <x14:dataBar minLength="0" maxLength="100" gradient="0">
              <x14:cfvo type="num">
                <xm:f>0</xm:f>
              </x14:cfvo>
              <x14:cfvo type="num">
                <xm:f>SUM($H$9:$H$13)</xm:f>
              </x14:cfvo>
              <x14:negativeFillColor rgb="FFFF0000"/>
              <x14:axisColor rgb="FF000000"/>
            </x14:dataBar>
          </x14:cfRule>
          <x14:cfRule type="dataBar" id="{ef3eb841-793c-4cc2-afa0-f5ce04fb68e0}">
            <x14:dataBar minLength="0" maxLength="100" gradient="0">
              <x14:cfvo type="num">
                <xm:f>0</xm:f>
              </x14:cfvo>
              <x14:cfvo type="num">
                <xm:f>SUM($H$9:$H$13)</xm:f>
              </x14:cfvo>
              <x14:negativeFillColor rgb="FFFF0000"/>
              <x14:axisColor rgb="FF000000"/>
            </x14:dataBar>
          </x14:cfRule>
          <xm:sqref>H10:H13</xm:sqref>
        </x14:conditionalFormatting>
        <x14:conditionalFormatting xmlns:xm="http://schemas.microsoft.com/office/excel/2006/main">
          <x14:cfRule type="iconSet" priority="55" id="{d2347bac-1a19-48a6-a163-0a3a9435dc15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H14:H15</xm:sqref>
        </x14:conditionalFormatting>
        <x14:conditionalFormatting xmlns:xm="http://schemas.microsoft.com/office/excel/2006/main">
          <x14:cfRule type="iconSet" priority="54" id="{41a2fae4-4e08-44ed-b0a4-622d1effad08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I14:I15</xm:sqref>
        </x14:conditionalFormatting>
        <x14:conditionalFormatting xmlns:xm="http://schemas.microsoft.com/office/excel/2006/main">
          <x14:cfRule type="iconSet" priority="50" id="{49c1ad41-246c-4694-a25d-84ef2bc51fd3}">
            <x14:iconSet iconSet="3Stars">
              <x14:cfvo type="percent">
                <xm:f>0</xm:f>
              </x14:cfvo>
              <x14:cfvo type="num">
                <xm:f>2.29999999999999</xm:f>
              </x14:cfvo>
              <x14:cfvo type="num">
                <xm:f>2.7</xm:f>
              </x14:cfvo>
            </x14:iconSet>
          </x14:cfRule>
          <xm:sqref>J14:J15</xm:sqref>
        </x14:conditionalFormatting>
        <x14:conditionalFormatting xmlns:xm="http://schemas.microsoft.com/office/excel/2006/main">
          <x14:cfRule type="iconSet" priority="49" id="{64b76a45-f0a2-4f5d-9861-1c065b6ee31b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K14:K15</xm:sqref>
        </x14:conditionalFormatting>
        <x14:conditionalFormatting xmlns:xm="http://schemas.microsoft.com/office/excel/2006/main">
          <x14:cfRule type="iconSet" priority="48" id="{bcecc89e-2f60-4758-bc67-13930e462e16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L14:L15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利润计算器</vt:lpstr>
      <vt:lpstr>ACOS计算器+星级计算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一脸</cp:lastModifiedBy>
  <dcterms:created xsi:type="dcterms:W3CDTF">2018-08-15T03:21:00Z</dcterms:created>
  <dcterms:modified xsi:type="dcterms:W3CDTF">2024-10-19T09:25:32Z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  <property fmtid="{D5CDD505-2E9C-101B-9397-08002B2CF9AE}" pid="3" name="ICV">
    <vt:lpwstr>03AB92CF406F4219ABA204753279772F_13</vt:lpwstr>
  </property>
</Properties>
</file>