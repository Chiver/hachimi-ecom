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tabRatio="873" firstSheet="1" activeTab="2"/>
  </bookViews>
  <sheets>
    <sheet name="10-11月" sheetId="1" state="hidden" r:id="rId1"/>
    <sheet name="目录" sheetId="27" r:id="rId2"/>
    <sheet name="总预算和目标" sheetId="22" r:id="rId3"/>
    <sheet name="日常工作" sheetId="7" r:id="rId4"/>
    <sheet name="推广计划明细" sheetId="4" r:id="rId5"/>
    <sheet name="推广成本" sheetId="28" r:id="rId6"/>
    <sheet name="1.listing文案" sheetId="11" r:id="rId7"/>
    <sheet name="2.关键词库" sheetId="26" r:id="rId8"/>
    <sheet name="3.广告cpc追踪" sheetId="25" r:id="rId9"/>
    <sheet name="4.测评安排" sheetId="14" r:id="rId10"/>
    <sheet name="5.活动申报" sheetId="19" r:id="rId11"/>
    <sheet name="6.对手监控" sheetId="21" r:id="rId12"/>
    <sheet name="7.数据追踪" sheetId="13" r:id="rId13"/>
  </sheets>
  <calcPr calcId="144525" concurrentCalc="0"/>
</workbook>
</file>

<file path=xl/comments1.xml><?xml version="1.0" encoding="utf-8"?>
<comments xmlns="http://schemas.openxmlformats.org/spreadsheetml/2006/main">
  <authors>
    <author>Administrator</author>
  </authors>
  <commentList>
    <comment ref="B4" authorId="0">
      <text>
        <r>
          <rPr>
            <sz val="9"/>
            <rFont val="宋体"/>
            <charset val="134"/>
          </rPr>
          <t xml:space="preserve">
产品上架售卖时间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3" authorId="0">
      <text>
        <r>
          <rPr>
            <sz val="9"/>
            <rFont val="宋体"/>
            <charset val="134"/>
          </rPr>
          <t xml:space="preserve">
产品上架售卖时间
</t>
        </r>
      </text>
    </comment>
  </commentList>
</comments>
</file>

<file path=xl/sharedStrings.xml><?xml version="1.0" encoding="utf-8"?>
<sst xmlns="http://schemas.openxmlformats.org/spreadsheetml/2006/main" count="565" uniqueCount="279">
  <si>
    <t>期间</t>
  </si>
  <si>
    <t>汇率</t>
  </si>
  <si>
    <t>销量预估(变量）</t>
  </si>
  <si>
    <t>售价</t>
  </si>
  <si>
    <t>销售额</t>
  </si>
  <si>
    <t>FBA佣金（0.15）</t>
  </si>
  <si>
    <t>FBA配送费（2.41）</t>
  </si>
  <si>
    <t>退货或重发（3%）</t>
  </si>
  <si>
    <t>站内广告（5%-10%）</t>
  </si>
  <si>
    <t>秒杀费用</t>
  </si>
  <si>
    <t>Coupon费用（3%）</t>
  </si>
  <si>
    <t>促销code</t>
  </si>
  <si>
    <t>采购费（￥11）</t>
  </si>
  <si>
    <t>头程费（￥2）</t>
  </si>
  <si>
    <t>推广费用（￥3000）</t>
  </si>
  <si>
    <t>意外开支（0.05）</t>
  </si>
  <si>
    <t>利润</t>
  </si>
  <si>
    <t>利润率</t>
  </si>
  <si>
    <t>广告占比</t>
  </si>
  <si>
    <t>推广占比</t>
  </si>
  <si>
    <t>一期汇总</t>
  </si>
  <si>
    <t>二期汇总</t>
  </si>
  <si>
    <t>三期汇总</t>
  </si>
  <si>
    <t>汇总</t>
  </si>
  <si>
    <t>返回总目录</t>
  </si>
  <si>
    <t>总预算和目标</t>
  </si>
  <si>
    <t>日常工作</t>
  </si>
  <si>
    <t>推广明细</t>
  </si>
  <si>
    <t>listing文案</t>
  </si>
  <si>
    <t>关键词库</t>
  </si>
  <si>
    <t>广告CPC追踪</t>
  </si>
  <si>
    <t>测评安排</t>
  </si>
  <si>
    <t>活动申报</t>
  </si>
  <si>
    <t>对手监控</t>
  </si>
  <si>
    <t>数据追踪</t>
  </si>
  <si>
    <t>项目</t>
  </si>
  <si>
    <t>占比</t>
  </si>
  <si>
    <t>低价</t>
  </si>
  <si>
    <t>高价</t>
  </si>
  <si>
    <t>分类</t>
  </si>
  <si>
    <t>目标（上架天数）</t>
  </si>
  <si>
    <t>第一周</t>
  </si>
  <si>
    <t>第二周</t>
  </si>
  <si>
    <t>第三周</t>
  </si>
  <si>
    <t>第四周</t>
  </si>
  <si>
    <t>第五周</t>
  </si>
  <si>
    <t>第六周</t>
  </si>
  <si>
    <t>第七周</t>
  </si>
  <si>
    <t>第八周</t>
  </si>
  <si>
    <t>产品名</t>
  </si>
  <si>
    <t>圣诞4PC</t>
  </si>
  <si>
    <t>排名</t>
  </si>
  <si>
    <t>一周内达到大类1W</t>
  </si>
  <si>
    <t>定价</t>
  </si>
  <si>
    <t>两周内进细类TOP300， 大类8000</t>
  </si>
  <si>
    <t>一月内细类TOP100，大类6000</t>
  </si>
  <si>
    <t>采购</t>
  </si>
  <si>
    <t>二月内细类TOP50，大类3000</t>
  </si>
  <si>
    <t>配送费</t>
  </si>
  <si>
    <t>三月内细类TOP20，大类1000</t>
  </si>
  <si>
    <t>佣金</t>
  </si>
  <si>
    <t>标签</t>
  </si>
  <si>
    <t>两周内打标New Release</t>
  </si>
  <si>
    <t>头程</t>
  </si>
  <si>
    <t>两周内打标Amazon's Choice</t>
  </si>
  <si>
    <t>推广费用</t>
  </si>
  <si>
    <t>1周内日均增加到5单</t>
  </si>
  <si>
    <t>广告</t>
  </si>
  <si>
    <t>销量</t>
  </si>
  <si>
    <t>1周内日均5单</t>
  </si>
  <si>
    <t>coupon</t>
  </si>
  <si>
    <t>半月内日均10单</t>
  </si>
  <si>
    <t>毛利</t>
  </si>
  <si>
    <t>一月内日均70单</t>
  </si>
  <si>
    <t>毛利率</t>
  </si>
  <si>
    <t>二月内日均80单</t>
  </si>
  <si>
    <t>三月内日均120单</t>
  </si>
  <si>
    <t>RW</t>
  </si>
  <si>
    <t>1周内上评5个</t>
  </si>
  <si>
    <t>半月内上评30个</t>
  </si>
  <si>
    <t>一月内上评100个</t>
  </si>
  <si>
    <t>精准ACOS 15%</t>
  </si>
  <si>
    <t>广告&amp;自动  ACOS 30%</t>
  </si>
  <si>
    <t>保本价格</t>
  </si>
  <si>
    <t>关键词</t>
  </si>
  <si>
    <r>
      <rPr>
        <sz val="11"/>
        <rFont val="宋体"/>
        <charset val="134"/>
        <scheme val="minor"/>
      </rPr>
      <t>1月内</t>
    </r>
    <r>
      <rPr>
        <sz val="11"/>
        <color rgb="FFFF0000"/>
        <rFont val="宋体"/>
        <charset val="134"/>
        <scheme val="minor"/>
      </rPr>
      <t xml:space="preserve">  </t>
    </r>
    <r>
      <rPr>
        <sz val="11"/>
        <rFont val="宋体"/>
        <charset val="134"/>
        <scheme val="minor"/>
      </rPr>
      <t>排位前7页</t>
    </r>
  </si>
  <si>
    <r>
      <rPr>
        <sz val="11"/>
        <rFont val="宋体"/>
        <charset val="134"/>
        <scheme val="minor"/>
      </rPr>
      <t>2月内</t>
    </r>
    <r>
      <rPr>
        <sz val="11"/>
        <color rgb="FFFF0000"/>
        <rFont val="宋体"/>
        <charset val="134"/>
        <scheme val="minor"/>
      </rPr>
      <t xml:space="preserve">  </t>
    </r>
    <r>
      <rPr>
        <sz val="11"/>
        <rFont val="宋体"/>
        <charset val="134"/>
        <scheme val="minor"/>
      </rPr>
      <t>排位前3页</t>
    </r>
  </si>
  <si>
    <t>序号</t>
  </si>
  <si>
    <t>工作内容</t>
  </si>
  <si>
    <t>时间段</t>
  </si>
  <si>
    <t>是否完成</t>
  </si>
  <si>
    <t>目录</t>
  </si>
  <si>
    <t>前期工作</t>
  </si>
  <si>
    <t>利润核算，推广预算</t>
  </si>
  <si>
    <t>产品下单采购</t>
  </si>
  <si>
    <t>60-90天推广计划表</t>
  </si>
  <si>
    <t>分配到产品3天内</t>
  </si>
  <si>
    <t>准备好关键词词库，主打精准关键词/长尾词</t>
  </si>
  <si>
    <t>准备图片，文案，A+页面，类目选择</t>
  </si>
  <si>
    <t>准备直评3个，QA 3个</t>
  </si>
  <si>
    <t>准备CPC广告词</t>
  </si>
  <si>
    <t>配合FBA物流发货，安排上架时间（FBA采购到货后，安排上架）</t>
  </si>
  <si>
    <t>采购订单到货立马上架</t>
  </si>
  <si>
    <t>开启CPC广告</t>
  </si>
  <si>
    <t>链接上架同时</t>
  </si>
  <si>
    <t>注册早期评论人</t>
  </si>
  <si>
    <t>待产品到货FBA有库存后</t>
  </si>
  <si>
    <t>给ASIN上直评3个，QA 3个</t>
  </si>
  <si>
    <t>链接上架1周内</t>
  </si>
  <si>
    <t>做5%-10%的Coupon引流</t>
  </si>
  <si>
    <t>站外放促销折扣码</t>
  </si>
  <si>
    <t>FBA上架</t>
  </si>
  <si>
    <t>机刷安排（刷广告位，加购和心愿单）</t>
  </si>
  <si>
    <t>FB真人测评（刷广告位，评价）</t>
  </si>
  <si>
    <t>优化Listing,(反查收录词，和根据广告词优化)</t>
  </si>
  <si>
    <t>上架4-5天后</t>
  </si>
  <si>
    <t>活动申报：LD/BD/OT/站外活动</t>
  </si>
  <si>
    <t>上架1月左右</t>
  </si>
  <si>
    <t>基础监控：排名/Review/评分/Review差评</t>
  </si>
  <si>
    <t>流量/购买转化监控</t>
  </si>
  <si>
    <t>CPC广告监控调整</t>
  </si>
  <si>
    <t>关键词监控调整</t>
  </si>
  <si>
    <t>FB真人测评</t>
  </si>
  <si>
    <t>订单日常索评</t>
  </si>
  <si>
    <t>销量/库存/发货监控安排</t>
  </si>
  <si>
    <t>售后问题/FBA差异件</t>
  </si>
  <si>
    <t>活动申报：LD/BD/DOTD/站外活动</t>
  </si>
  <si>
    <t>计价货币</t>
  </si>
  <si>
    <t>当地货币</t>
  </si>
  <si>
    <t>人民币</t>
  </si>
  <si>
    <t>站点</t>
  </si>
  <si>
    <t>流量</t>
  </si>
  <si>
    <t>转化率</t>
  </si>
  <si>
    <t>引流3-广告比</t>
  </si>
  <si>
    <t>站内广告</t>
  </si>
  <si>
    <r>
      <rPr>
        <sz val="10"/>
        <color theme="1"/>
        <rFont val="宋体"/>
        <charset val="134"/>
        <scheme val="minor"/>
      </rPr>
      <t>引流4-Coupon</t>
    </r>
    <r>
      <rPr>
        <sz val="10"/>
        <color rgb="FF000000"/>
        <rFont val="宋体"/>
        <charset val="134"/>
      </rPr>
      <t>比率</t>
    </r>
  </si>
  <si>
    <t>Coupon费用</t>
  </si>
  <si>
    <t>引流5-GIVEAWAY</t>
  </si>
  <si>
    <t>引流7--关联流量</t>
  </si>
  <si>
    <t>引流8-新品扶持期</t>
  </si>
  <si>
    <t>引流9-Amazon's Choice</t>
  </si>
  <si>
    <t>引流10-关键词上首页</t>
  </si>
  <si>
    <t>引流11-BS</t>
  </si>
  <si>
    <t>引流12-刷单补单数量</t>
  </si>
  <si>
    <t>刷单补单费用</t>
  </si>
  <si>
    <t>引流13-秒杀推荐</t>
  </si>
  <si>
    <t>秒杀费用150
亚马逊站内秒杀活动(lighting deal)</t>
  </si>
  <si>
    <t>美国</t>
  </si>
  <si>
    <t>1w</t>
  </si>
  <si>
    <t>销量、转化率——》流量</t>
  </si>
  <si>
    <t>货币：人民币</t>
  </si>
  <si>
    <t>产品</t>
  </si>
  <si>
    <t>FBA佣金单价</t>
  </si>
  <si>
    <t>FBA佣金</t>
  </si>
  <si>
    <t>FBA配送费单价</t>
  </si>
  <si>
    <t>FBA配送费</t>
  </si>
  <si>
    <t>广告比5%-10%</t>
  </si>
  <si>
    <t>秒杀费用150</t>
  </si>
  <si>
    <r>
      <rPr>
        <sz val="10"/>
        <color theme="1"/>
        <rFont val="宋体"/>
        <charset val="134"/>
        <scheme val="minor"/>
      </rPr>
      <t>Coupon</t>
    </r>
    <r>
      <rPr>
        <sz val="10"/>
        <color indexed="8"/>
        <rFont val="宋体"/>
        <charset val="134"/>
      </rPr>
      <t>比率</t>
    </r>
  </si>
  <si>
    <t>站内扣费</t>
  </si>
  <si>
    <t>预计回款</t>
  </si>
  <si>
    <t>采购单价</t>
  </si>
  <si>
    <t>采购费</t>
  </si>
  <si>
    <t>头程单价</t>
  </si>
  <si>
    <t>头程费</t>
  </si>
  <si>
    <t>回款叠加</t>
  </si>
  <si>
    <t>销量叠加</t>
  </si>
  <si>
    <t>标记</t>
  </si>
  <si>
    <t>产品1</t>
  </si>
  <si>
    <t>快递13 海运4</t>
  </si>
  <si>
    <t>上架文案</t>
  </si>
  <si>
    <t>上架时间</t>
  </si>
  <si>
    <t>日期</t>
  </si>
  <si>
    <t>变更项目（优化记录）</t>
  </si>
  <si>
    <t>链接</t>
  </si>
  <si>
    <t>标题</t>
  </si>
  <si>
    <t>产品名(中文）</t>
  </si>
  <si>
    <t>小类</t>
  </si>
  <si>
    <t>父/子</t>
  </si>
  <si>
    <t>大类</t>
  </si>
  <si>
    <t>UPC</t>
  </si>
  <si>
    <t>SKU</t>
  </si>
  <si>
    <t>5点描述1</t>
  </si>
  <si>
    <t>ASIN</t>
  </si>
  <si>
    <t>5点描述2</t>
  </si>
  <si>
    <t>FNSKU</t>
  </si>
  <si>
    <t>5点描述3</t>
  </si>
  <si>
    <t>上架店铺</t>
  </si>
  <si>
    <t>5点描述4</t>
  </si>
  <si>
    <t>品牌</t>
  </si>
  <si>
    <t>5点描述5</t>
  </si>
  <si>
    <t>详细描述</t>
  </si>
  <si>
    <t>A+ 页面文案</t>
  </si>
  <si>
    <t>其它参数</t>
  </si>
  <si>
    <t>直评</t>
  </si>
  <si>
    <t>QA</t>
  </si>
  <si>
    <t>备选</t>
  </si>
  <si>
    <t>类目</t>
  </si>
  <si>
    <t>主关键词1</t>
  </si>
  <si>
    <t>月搜索量</t>
  </si>
  <si>
    <t>CPC竞价</t>
  </si>
  <si>
    <t>爆发月份</t>
  </si>
  <si>
    <t>关键词分析追踪</t>
  </si>
  <si>
    <t>类目1</t>
  </si>
  <si>
    <t>类目2</t>
  </si>
  <si>
    <t>类目3</t>
  </si>
  <si>
    <t>否定词</t>
  </si>
  <si>
    <t>时间</t>
  </si>
  <si>
    <t>广告组-精准</t>
  </si>
  <si>
    <t>广告组-广泛</t>
  </si>
  <si>
    <t>广告组-自动</t>
  </si>
  <si>
    <t>竞价</t>
  </si>
  <si>
    <t>排位</t>
  </si>
  <si>
    <t>ACOS</t>
  </si>
  <si>
    <t>广告组-精准（关键词/产品)</t>
  </si>
  <si>
    <t>广告组-广泛（关键词/产品)</t>
  </si>
  <si>
    <t>当地日期</t>
  </si>
  <si>
    <t>投放词</t>
  </si>
  <si>
    <t>曝光量</t>
  </si>
  <si>
    <t>点击量（率）</t>
  </si>
  <si>
    <t>单次点击费用</t>
  </si>
  <si>
    <t>花费</t>
  </si>
  <si>
    <t>订单量</t>
  </si>
  <si>
    <t>评论渠道</t>
  </si>
  <si>
    <t>测评order ID</t>
  </si>
  <si>
    <t>本金</t>
  </si>
  <si>
    <t>上评时间</t>
  </si>
  <si>
    <t>星级</t>
  </si>
  <si>
    <t>评论链接</t>
  </si>
  <si>
    <t>本金（RMB）</t>
  </si>
  <si>
    <t>佣金（RMB）</t>
  </si>
  <si>
    <t>总计付款</t>
  </si>
  <si>
    <t>10月3周</t>
  </si>
  <si>
    <t>真实客户-邮件邀请</t>
  </si>
  <si>
    <t>真实客户-好评卡</t>
  </si>
  <si>
    <t>10月2周</t>
  </si>
  <si>
    <t>早期评论计划</t>
  </si>
  <si>
    <t>vine评</t>
  </si>
  <si>
    <t>10月4周</t>
  </si>
  <si>
    <t>真人测评</t>
  </si>
  <si>
    <t>店铺</t>
  </si>
  <si>
    <t>提报时间</t>
  </si>
  <si>
    <t>开始时间</t>
  </si>
  <si>
    <t>结束时间</t>
  </si>
  <si>
    <t>折扣</t>
  </si>
  <si>
    <t>code码</t>
  </si>
  <si>
    <t>持续时间</t>
  </si>
  <si>
    <t>投放渠道</t>
  </si>
  <si>
    <t>限定数量</t>
  </si>
  <si>
    <t>活动类型</t>
  </si>
  <si>
    <t>使用情况</t>
  </si>
  <si>
    <t>折扣出单</t>
  </si>
  <si>
    <t>提报费</t>
  </si>
  <si>
    <t>活动期间流量</t>
  </si>
  <si>
    <t>盈亏</t>
  </si>
  <si>
    <t>活动推进安排</t>
  </si>
  <si>
    <t>后期跟进排名</t>
  </si>
  <si>
    <t>后期跟进订单量</t>
  </si>
  <si>
    <t>LD</t>
  </si>
  <si>
    <t>BD</t>
  </si>
  <si>
    <t>OT</t>
  </si>
  <si>
    <t>站外折扣</t>
  </si>
  <si>
    <t>7天一个周期</t>
  </si>
  <si>
    <t>基础数据</t>
  </si>
  <si>
    <t>reviews数</t>
  </si>
  <si>
    <t>QA数</t>
  </si>
  <si>
    <t>评分</t>
  </si>
  <si>
    <t>大类排名</t>
  </si>
  <si>
    <t>小类排名</t>
  </si>
  <si>
    <t>自然搜索排名</t>
  </si>
  <si>
    <t>CPC广告精准排名</t>
  </si>
  <si>
    <t>销售订单</t>
  </si>
  <si>
    <t>可售库存天数</t>
  </si>
  <si>
    <t>点击率</t>
  </si>
  <si>
    <t>增长率（环比周）</t>
  </si>
  <si>
    <t>总订单数量</t>
  </si>
  <si>
    <t>广告订单</t>
  </si>
  <si>
    <t>折扣订单</t>
  </si>
  <si>
    <t>刷单订单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</si>
</sst>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);[Red]\(0\)"/>
    <numFmt numFmtId="178" formatCode="0.00_);[Red]\(0.00\)"/>
    <numFmt numFmtId="179" formatCode="0_ "/>
  </numFmts>
  <fonts count="46">
    <font>
      <sz val="12"/>
      <name val="宋体"/>
      <charset val="134"/>
    </font>
    <font>
      <sz val="8"/>
      <color theme="1"/>
      <name val="微软雅黑"/>
      <charset val="134"/>
    </font>
    <font>
      <sz val="9"/>
      <color theme="1"/>
      <name val="宋体"/>
      <charset val="134"/>
      <scheme val="minor"/>
    </font>
    <font>
      <sz val="8"/>
      <name val="微软雅黑"/>
      <charset val="134"/>
    </font>
    <font>
      <u/>
      <sz val="11"/>
      <color rgb="FF0000FF"/>
      <name val="宋体"/>
      <charset val="134"/>
      <scheme val="minor"/>
    </font>
    <font>
      <sz val="12"/>
      <color theme="1"/>
      <name val="微软雅黑"/>
      <charset val="134"/>
    </font>
    <font>
      <sz val="9"/>
      <color theme="1"/>
      <name val="微软雅黑"/>
      <charset val="134"/>
    </font>
    <font>
      <sz val="9"/>
      <name val="宋体"/>
      <charset val="134"/>
    </font>
    <font>
      <sz val="9"/>
      <name val="微软雅黑"/>
      <charset val="134"/>
    </font>
    <font>
      <sz val="12"/>
      <name val="微软雅黑"/>
      <charset val="134"/>
    </font>
    <font>
      <b/>
      <sz val="9"/>
      <name val="微软雅黑"/>
      <charset val="134"/>
    </font>
    <font>
      <b/>
      <sz val="12"/>
      <name val="微软雅黑"/>
      <charset val="134"/>
    </font>
    <font>
      <sz val="9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2"/>
      <color rgb="FFFF0000"/>
      <name val="微软雅黑"/>
      <charset val="134"/>
    </font>
    <font>
      <u/>
      <sz val="12"/>
      <color rgb="FF0000FF"/>
      <name val="微软雅黑"/>
      <charset val="134"/>
    </font>
    <font>
      <sz val="10"/>
      <color theme="1"/>
      <name val="宋体"/>
      <charset val="134"/>
      <scheme val="minor"/>
    </font>
    <font>
      <sz val="9"/>
      <color rgb="FF0D0015"/>
      <name val="SimSun"/>
      <charset val="134"/>
    </font>
    <font>
      <b/>
      <sz val="9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indexed="8"/>
      <name val="宋体"/>
      <charset val="134"/>
    </font>
    <font>
      <sz val="10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27" applyNumberFormat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20" borderId="28" applyNumberFormat="0" applyFont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5" fillId="24" borderId="31" applyNumberFormat="0" applyAlignment="0" applyProtection="0">
      <alignment vertical="center"/>
    </xf>
    <xf numFmtId="0" fontId="36" fillId="24" borderId="27" applyNumberFormat="0" applyAlignment="0" applyProtection="0">
      <alignment vertical="center"/>
    </xf>
    <xf numFmtId="0" fontId="37" fillId="25" borderId="32" applyNumberFormat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8" fillId="0" borderId="33" applyNumberFormat="0" applyFill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23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14" fontId="2" fillId="0" borderId="4" xfId="0" applyNumberFormat="1" applyFont="1" applyFill="1" applyBorder="1" applyAlignment="1">
      <alignment horizontal="center" vertical="center"/>
    </xf>
    <xf numFmtId="3" fontId="1" fillId="0" borderId="4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3" fontId="1" fillId="0" borderId="4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5" borderId="0" xfId="10" applyFill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9" fontId="1" fillId="0" borderId="4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" fillId="0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center"/>
    </xf>
    <xf numFmtId="0" fontId="8" fillId="0" borderId="3" xfId="0" applyNumberFormat="1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8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4" xfId="0" applyFont="1" applyFill="1" applyBorder="1" applyAlignment="1">
      <alignment horizontal="left" vertical="center"/>
    </xf>
    <xf numFmtId="9" fontId="8" fillId="0" borderId="4" xfId="0" applyNumberFormat="1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9" fontId="8" fillId="0" borderId="0" xfId="0" applyNumberFormat="1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vertical="center"/>
    </xf>
    <xf numFmtId="0" fontId="8" fillId="0" borderId="10" xfId="0" applyFont="1" applyFill="1" applyBorder="1" applyAlignment="1">
      <alignment vertical="center"/>
    </xf>
    <xf numFmtId="0" fontId="8" fillId="0" borderId="21" xfId="0" applyFont="1" applyFill="1" applyBorder="1" applyAlignment="1">
      <alignment vertical="center"/>
    </xf>
    <xf numFmtId="0" fontId="8" fillId="0" borderId="22" xfId="0" applyFont="1" applyFill="1" applyBorder="1" applyAlignment="1">
      <alignment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vertical="center"/>
    </xf>
    <xf numFmtId="10" fontId="8" fillId="0" borderId="12" xfId="0" applyNumberFormat="1" applyFont="1" applyFill="1" applyBorder="1" applyAlignment="1">
      <alignment vertical="center"/>
    </xf>
    <xf numFmtId="0" fontId="8" fillId="0" borderId="24" xfId="0" applyFont="1" applyFill="1" applyBorder="1" applyAlignment="1">
      <alignment vertical="center"/>
    </xf>
    <xf numFmtId="0" fontId="8" fillId="0" borderId="11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4" fillId="5" borderId="0" xfId="10" applyFont="1" applyFill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>
      <alignment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6" fillId="5" borderId="0" xfId="10" applyFont="1" applyFill="1" applyAlignment="1">
      <alignment horizontal="center" vertical="center"/>
    </xf>
    <xf numFmtId="58" fontId="11" fillId="0" borderId="4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left" vertical="center" wrapText="1"/>
    </xf>
    <xf numFmtId="58" fontId="5" fillId="0" borderId="4" xfId="0" applyNumberFormat="1" applyFont="1" applyFill="1" applyBorder="1" applyAlignment="1">
      <alignment horizontal="center" vertical="center"/>
    </xf>
    <xf numFmtId="58" fontId="9" fillId="0" borderId="4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left" vertical="center"/>
    </xf>
    <xf numFmtId="0" fontId="11" fillId="0" borderId="25" xfId="0" applyFont="1" applyFill="1" applyBorder="1" applyAlignment="1">
      <alignment horizontal="left" vertical="center"/>
    </xf>
    <xf numFmtId="0" fontId="9" fillId="0" borderId="25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4" fontId="2" fillId="7" borderId="4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14" fontId="17" fillId="7" borderId="4" xfId="0" applyNumberFormat="1" applyFont="1" applyFill="1" applyBorder="1" applyAlignment="1">
      <alignment horizontal="center" vertical="center" wrapText="1"/>
    </xf>
    <xf numFmtId="177" fontId="17" fillId="8" borderId="4" xfId="0" applyNumberFormat="1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10" fontId="2" fillId="7" borderId="4" xfId="0" applyNumberFormat="1" applyFont="1" applyFill="1" applyBorder="1" applyAlignment="1">
      <alignment horizontal="center" vertical="center"/>
    </xf>
    <xf numFmtId="10" fontId="17" fillId="7" borderId="4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/>
    </xf>
    <xf numFmtId="10" fontId="2" fillId="3" borderId="4" xfId="0" applyNumberFormat="1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178" fontId="2" fillId="7" borderId="4" xfId="0" applyNumberFormat="1" applyFont="1" applyFill="1" applyBorder="1" applyAlignment="1">
      <alignment horizontal="center" vertical="center"/>
    </xf>
    <xf numFmtId="179" fontId="2" fillId="7" borderId="2" xfId="0" applyNumberFormat="1" applyFont="1" applyFill="1" applyBorder="1" applyAlignment="1">
      <alignment horizontal="center" vertical="center"/>
    </xf>
    <xf numFmtId="10" fontId="2" fillId="7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78" fontId="2" fillId="2" borderId="4" xfId="0" applyNumberFormat="1" applyFont="1" applyFill="1" applyBorder="1" applyAlignment="1">
      <alignment horizontal="center" vertical="center"/>
    </xf>
    <xf numFmtId="179" fontId="2" fillId="2" borderId="4" xfId="0" applyNumberFormat="1" applyFont="1" applyFill="1" applyBorder="1" applyAlignment="1">
      <alignment horizontal="center" vertical="center"/>
    </xf>
    <xf numFmtId="10" fontId="2" fillId="2" borderId="4" xfId="0" applyNumberFormat="1" applyFont="1" applyFill="1" applyBorder="1" applyAlignment="1">
      <alignment horizontal="center" vertical="center"/>
    </xf>
    <xf numFmtId="14" fontId="17" fillId="10" borderId="4" xfId="0" applyNumberFormat="1" applyFont="1" applyFill="1" applyBorder="1" applyAlignment="1">
      <alignment horizontal="center" vertical="center" wrapText="1"/>
    </xf>
    <xf numFmtId="177" fontId="17" fillId="10" borderId="4" xfId="0" applyNumberFormat="1" applyFont="1" applyFill="1" applyBorder="1" applyAlignment="1">
      <alignment horizontal="center" vertical="center" wrapText="1"/>
    </xf>
    <xf numFmtId="178" fontId="17" fillId="10" borderId="4" xfId="0" applyNumberFormat="1" applyFont="1" applyFill="1" applyBorder="1" applyAlignment="1">
      <alignment horizontal="center" vertical="center" wrapText="1"/>
    </xf>
    <xf numFmtId="179" fontId="17" fillId="10" borderId="4" xfId="0" applyNumberFormat="1" applyFont="1" applyFill="1" applyBorder="1" applyAlignment="1">
      <alignment horizontal="center" vertical="center" wrapText="1"/>
    </xf>
    <xf numFmtId="10" fontId="17" fillId="10" borderId="4" xfId="0" applyNumberFormat="1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9" fontId="2" fillId="0" borderId="4" xfId="0" applyNumberFormat="1" applyFont="1" applyFill="1" applyBorder="1" applyAlignment="1">
      <alignment horizontal="center" vertical="center"/>
    </xf>
    <xf numFmtId="10" fontId="2" fillId="0" borderId="4" xfId="0" applyNumberFormat="1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14" fontId="2" fillId="0" borderId="26" xfId="0" applyNumberFormat="1" applyFont="1" applyFill="1" applyBorder="1" applyAlignment="1">
      <alignment horizontal="center" vertical="center"/>
    </xf>
    <xf numFmtId="177" fontId="2" fillId="0" borderId="26" xfId="0" applyNumberFormat="1" applyFont="1" applyFill="1" applyBorder="1" applyAlignment="1">
      <alignment horizontal="center" vertical="center"/>
    </xf>
    <xf numFmtId="178" fontId="2" fillId="0" borderId="26" xfId="0" applyNumberFormat="1" applyFont="1" applyFill="1" applyBorder="1" applyAlignment="1">
      <alignment horizontal="center" vertical="center"/>
    </xf>
    <xf numFmtId="179" fontId="2" fillId="0" borderId="26" xfId="0" applyNumberFormat="1" applyFont="1" applyFill="1" applyBorder="1" applyAlignment="1">
      <alignment horizontal="center" vertical="center"/>
    </xf>
    <xf numFmtId="10" fontId="2" fillId="0" borderId="26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4" fontId="2" fillId="0" borderId="3" xfId="0" applyNumberFormat="1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  <xf numFmtId="178" fontId="2" fillId="0" borderId="3" xfId="0" applyNumberFormat="1" applyFont="1" applyFill="1" applyBorder="1" applyAlignment="1">
      <alignment horizontal="center" vertical="center"/>
    </xf>
    <xf numFmtId="179" fontId="2" fillId="0" borderId="3" xfId="0" applyNumberFormat="1" applyFont="1" applyFill="1" applyBorder="1" applyAlignment="1">
      <alignment horizontal="center" vertical="center"/>
    </xf>
    <xf numFmtId="10" fontId="2" fillId="0" borderId="3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7" fillId="12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textRotation="255"/>
    </xf>
    <xf numFmtId="0" fontId="2" fillId="0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9" fillId="0" borderId="4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Fill="1">
      <alignment vertical="center"/>
    </xf>
    <xf numFmtId="43" fontId="12" fillId="0" borderId="0" xfId="8" applyFont="1" applyAlignment="1">
      <alignment horizontal="center" vertical="center"/>
    </xf>
    <xf numFmtId="0" fontId="12" fillId="0" borderId="0" xfId="0" applyFont="1">
      <alignment vertical="center"/>
    </xf>
    <xf numFmtId="0" fontId="20" fillId="3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/>
    </xf>
    <xf numFmtId="43" fontId="17" fillId="0" borderId="4" xfId="8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43" fontId="17" fillId="0" borderId="4" xfId="8" applyFont="1" applyFill="1" applyBorder="1" applyAlignment="1">
      <alignment vertical="center"/>
    </xf>
    <xf numFmtId="0" fontId="22" fillId="0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43" fontId="17" fillId="0" borderId="4" xfId="8" applyFont="1" applyFill="1" applyBorder="1" applyAlignment="1">
      <alignment horizontal="right" vertical="center"/>
    </xf>
    <xf numFmtId="0" fontId="12" fillId="0" borderId="4" xfId="0" applyFont="1" applyBorder="1">
      <alignment vertical="center"/>
    </xf>
    <xf numFmtId="176" fontId="17" fillId="3" borderId="4" xfId="8" applyNumberFormat="1" applyFont="1" applyFill="1" applyBorder="1" applyAlignment="1">
      <alignment horizontal="center" vertical="center" wrapText="1"/>
    </xf>
    <xf numFmtId="176" fontId="17" fillId="3" borderId="4" xfId="8" applyNumberFormat="1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center" vertical="center" wrapText="1"/>
    </xf>
    <xf numFmtId="9" fontId="17" fillId="13" borderId="4" xfId="0" applyNumberFormat="1" applyFont="1" applyFill="1" applyBorder="1" applyAlignment="1">
      <alignment horizontal="center" vertical="center"/>
    </xf>
    <xf numFmtId="43" fontId="20" fillId="13" borderId="4" xfId="8" applyFont="1" applyFill="1" applyBorder="1" applyAlignment="1">
      <alignment horizontal="right" vertical="center"/>
    </xf>
    <xf numFmtId="0" fontId="20" fillId="10" borderId="4" xfId="0" applyFont="1" applyFill="1" applyBorder="1" applyAlignment="1">
      <alignment horizontal="center" vertical="center" wrapText="1"/>
    </xf>
    <xf numFmtId="9" fontId="20" fillId="10" borderId="4" xfId="0" applyNumberFormat="1" applyFont="1" applyFill="1" applyBorder="1" applyAlignment="1">
      <alignment horizontal="center" vertical="center"/>
    </xf>
    <xf numFmtId="43" fontId="20" fillId="10" borderId="4" xfId="8" applyFont="1" applyFill="1" applyBorder="1" applyAlignment="1">
      <alignment horizontal="right" vertical="center"/>
    </xf>
    <xf numFmtId="9" fontId="17" fillId="10" borderId="4" xfId="0" applyNumberFormat="1" applyFont="1" applyFill="1" applyBorder="1" applyAlignment="1">
      <alignment horizontal="center" vertical="center"/>
    </xf>
    <xf numFmtId="176" fontId="20" fillId="10" borderId="4" xfId="0" applyNumberFormat="1" applyFont="1" applyFill="1" applyBorder="1" applyAlignment="1">
      <alignment horizontal="center" vertical="center" wrapText="1"/>
    </xf>
    <xf numFmtId="176" fontId="20" fillId="10" borderId="4" xfId="0" applyNumberFormat="1" applyFont="1" applyFill="1" applyBorder="1" applyAlignment="1">
      <alignment horizontal="center" vertical="center"/>
    </xf>
    <xf numFmtId="43" fontId="17" fillId="10" borderId="4" xfId="8" applyFont="1" applyFill="1" applyBorder="1" applyAlignment="1">
      <alignment horizontal="right" vertical="center"/>
    </xf>
    <xf numFmtId="9" fontId="20" fillId="10" borderId="4" xfId="0" applyNumberFormat="1" applyFont="1" applyFill="1" applyBorder="1" applyAlignment="1">
      <alignment horizontal="center" vertical="center" wrapText="1"/>
    </xf>
    <xf numFmtId="9" fontId="17" fillId="10" borderId="4" xfId="11" applyFont="1" applyFill="1" applyBorder="1" applyAlignment="1">
      <alignment horizontal="right" vertical="center"/>
    </xf>
    <xf numFmtId="1" fontId="20" fillId="10" borderId="4" xfId="0" applyNumberFormat="1" applyFont="1" applyFill="1" applyBorder="1" applyAlignment="1">
      <alignment horizontal="center" vertical="center" wrapText="1"/>
    </xf>
    <xf numFmtId="1" fontId="20" fillId="10" borderId="4" xfId="0" applyNumberFormat="1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center" vertical="center"/>
    </xf>
    <xf numFmtId="43" fontId="17" fillId="13" borderId="4" xfId="8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43" fontId="17" fillId="0" borderId="0" xfId="8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10" applyFont="1" applyAlignment="1">
      <alignment horizontal="center" vertical="center"/>
    </xf>
    <xf numFmtId="0" fontId="14" fillId="14" borderId="0" xfId="10" applyFont="1" applyFill="1">
      <alignment vertical="center"/>
    </xf>
    <xf numFmtId="9" fontId="2" fillId="0" borderId="0" xfId="0" applyNumberFormat="1" applyFont="1" applyFill="1" applyBorder="1" applyAlignment="1">
      <alignment horizontal="center" vertical="center"/>
    </xf>
    <xf numFmtId="14" fontId="17" fillId="0" borderId="4" xfId="0" applyNumberFormat="1" applyFont="1" applyFill="1" applyBorder="1" applyAlignment="1">
      <alignment horizontal="center" vertical="center" wrapText="1"/>
    </xf>
    <xf numFmtId="177" fontId="17" fillId="0" borderId="4" xfId="0" applyNumberFormat="1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14" fontId="2" fillId="9" borderId="4" xfId="0" applyNumberFormat="1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9" fontId="17" fillId="0" borderId="4" xfId="0" applyNumberFormat="1" applyFont="1" applyFill="1" applyBorder="1" applyAlignment="1">
      <alignment horizontal="center" vertical="center" wrapText="1"/>
    </xf>
    <xf numFmtId="10" fontId="17" fillId="0" borderId="4" xfId="0" applyNumberFormat="1" applyFont="1" applyFill="1" applyBorder="1" applyAlignment="1">
      <alignment horizontal="center" vertical="center" wrapText="1"/>
    </xf>
    <xf numFmtId="9" fontId="2" fillId="0" borderId="4" xfId="0" applyNumberFormat="1" applyFont="1" applyFill="1" applyBorder="1" applyAlignment="1">
      <alignment horizontal="center" vertical="center"/>
    </xf>
    <xf numFmtId="9" fontId="2" fillId="3" borderId="4" xfId="0" applyNumberFormat="1" applyFont="1" applyFill="1" applyBorder="1" applyAlignment="1">
      <alignment horizontal="center" vertical="center"/>
    </xf>
    <xf numFmtId="9" fontId="2" fillId="9" borderId="4" xfId="0" applyNumberFormat="1" applyFont="1" applyFill="1" applyBorder="1" applyAlignment="1">
      <alignment horizontal="center" vertical="center"/>
    </xf>
    <xf numFmtId="10" fontId="2" fillId="9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01&#24635;&#30446;&#24405;1-20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s/ref=bl_dp_s_web_0?ie=UTF8&amp;search-alias=aps&amp;field-keywords=Krgelen" TargetMode="External"/><Relationship Id="rId1" Type="http://schemas.openxmlformats.org/officeDocument/2006/relationships/hyperlink" Target="https://www.amazon.com/dp/B08K48ZFZ4?ref=myi_title_dp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workbookViewId="0">
      <selection activeCell="A26" sqref="A26"/>
    </sheetView>
  </sheetViews>
  <sheetFormatPr defaultColWidth="9" defaultRowHeight="15" customHeight="1"/>
  <cols>
    <col min="1" max="1" width="10.5" style="114" customWidth="1"/>
    <col min="2" max="2" width="7.125" style="115" customWidth="1"/>
    <col min="3" max="3" width="6.875" style="112" customWidth="1"/>
    <col min="4" max="5" width="9" style="112"/>
    <col min="6" max="6" width="7.625" style="112" customWidth="1"/>
    <col min="7" max="7" width="10.125" style="112" customWidth="1"/>
    <col min="8" max="12" width="9" style="112"/>
    <col min="13" max="13" width="7.875" style="112" customWidth="1"/>
    <col min="14" max="17" width="9" style="112"/>
    <col min="18" max="19" width="9" style="225"/>
    <col min="20" max="20" width="9" style="116"/>
    <col min="21" max="21" width="9" style="112"/>
    <col min="22" max="23" width="9.625" style="112" customWidth="1"/>
    <col min="24" max="16384" width="9" style="112"/>
  </cols>
  <sheetData>
    <row r="1" s="113" customFormat="1" ht="36" spans="1:20">
      <c r="A1" s="226" t="s">
        <v>0</v>
      </c>
      <c r="B1" s="227" t="s">
        <v>1</v>
      </c>
      <c r="C1" s="228" t="s">
        <v>2</v>
      </c>
      <c r="D1" s="228" t="s">
        <v>3</v>
      </c>
      <c r="E1" s="228" t="s">
        <v>4</v>
      </c>
      <c r="F1" s="228" t="s">
        <v>5</v>
      </c>
      <c r="G1" s="228" t="s">
        <v>6</v>
      </c>
      <c r="H1" s="228" t="s">
        <v>7</v>
      </c>
      <c r="I1" s="228" t="s">
        <v>8</v>
      </c>
      <c r="J1" s="228" t="s">
        <v>9</v>
      </c>
      <c r="K1" s="228" t="s">
        <v>10</v>
      </c>
      <c r="L1" s="228" t="s">
        <v>11</v>
      </c>
      <c r="M1" s="228" t="s">
        <v>12</v>
      </c>
      <c r="N1" s="228" t="s">
        <v>13</v>
      </c>
      <c r="O1" s="228" t="s">
        <v>14</v>
      </c>
      <c r="P1" s="228" t="s">
        <v>15</v>
      </c>
      <c r="Q1" s="228" t="s">
        <v>16</v>
      </c>
      <c r="R1" s="231" t="s">
        <v>17</v>
      </c>
      <c r="S1" s="231" t="s">
        <v>18</v>
      </c>
      <c r="T1" s="232" t="s">
        <v>19</v>
      </c>
    </row>
    <row r="2" customHeight="1" spans="1:20">
      <c r="A2" s="11">
        <v>43770</v>
      </c>
      <c r="B2" s="127">
        <v>7</v>
      </c>
      <c r="C2" s="117">
        <v>2</v>
      </c>
      <c r="D2" s="117">
        <v>10.99</v>
      </c>
      <c r="E2" s="117">
        <f t="shared" ref="E2:E11" si="0">D2*C2</f>
        <v>21.98</v>
      </c>
      <c r="F2" s="117">
        <f t="shared" ref="F2:F11" si="1">ROUND(D2*0.15*C2,2)</f>
        <v>3.3</v>
      </c>
      <c r="G2" s="117">
        <f t="shared" ref="G2:G11" si="2">3.28*C2</f>
        <v>6.56</v>
      </c>
      <c r="H2" s="117">
        <f t="shared" ref="H2:H11" si="3">ROUND(D2*C2*0.03,1)</f>
        <v>0.7</v>
      </c>
      <c r="I2" s="117">
        <f>ROUND(0.2*C2*D2,1)</f>
        <v>4.4</v>
      </c>
      <c r="J2" s="117">
        <v>0</v>
      </c>
      <c r="K2" s="117">
        <f t="shared" ref="K2:K11" si="4">ROUND(C2*D2*0.03,2)</f>
        <v>0.66</v>
      </c>
      <c r="L2" s="117"/>
      <c r="M2" s="117">
        <f>7.8*C2</f>
        <v>15.6</v>
      </c>
      <c r="N2" s="117">
        <f>9*C2</f>
        <v>18</v>
      </c>
      <c r="O2" s="117">
        <f>D2*B2*1+30</f>
        <v>106.93</v>
      </c>
      <c r="P2" s="230">
        <f>ROUND(C2*D2*0.05*B2,2)</f>
        <v>7.69</v>
      </c>
      <c r="Q2" s="117">
        <f t="shared" ref="Q2:Q11" si="5">(E2-F2-G2-H2-I2-J2-K2-L2)*B2-M2-N2-P2-O2</f>
        <v>-103.7</v>
      </c>
      <c r="R2" s="233">
        <f t="shared" ref="R2:R11" si="6">ROUND(Q2/(E2*B2),2)</f>
        <v>-0.67</v>
      </c>
      <c r="S2" s="233">
        <f t="shared" ref="S2:S11" si="7">ROUND(I2/E2,2)</f>
        <v>0.2</v>
      </c>
      <c r="T2" s="155">
        <f t="shared" ref="T2:T11" si="8">O2/(E2*B2)</f>
        <v>0.694982451579358</v>
      </c>
    </row>
    <row r="3" customHeight="1" spans="1:20">
      <c r="A3" s="11">
        <v>43771</v>
      </c>
      <c r="B3" s="127">
        <v>7</v>
      </c>
      <c r="C3" s="117">
        <v>2</v>
      </c>
      <c r="D3" s="117">
        <v>10.99</v>
      </c>
      <c r="E3" s="117">
        <f t="shared" si="0"/>
        <v>21.98</v>
      </c>
      <c r="F3" s="117">
        <f t="shared" si="1"/>
        <v>3.3</v>
      </c>
      <c r="G3" s="117">
        <f t="shared" si="2"/>
        <v>6.56</v>
      </c>
      <c r="H3" s="117">
        <f t="shared" si="3"/>
        <v>0.7</v>
      </c>
      <c r="I3" s="117">
        <f t="shared" ref="I3:I11" si="9">ROUND(0.2*C3*D3,1)</f>
        <v>4.4</v>
      </c>
      <c r="J3" s="117">
        <v>0</v>
      </c>
      <c r="K3" s="117">
        <f t="shared" si="4"/>
        <v>0.66</v>
      </c>
      <c r="L3" s="117"/>
      <c r="M3" s="117">
        <f t="shared" ref="M3:M11" si="10">7.8*C3</f>
        <v>15.6</v>
      </c>
      <c r="N3" s="117">
        <f t="shared" ref="N3:N11" si="11">9*C3</f>
        <v>18</v>
      </c>
      <c r="O3" s="117">
        <f t="shared" ref="O3:O11" si="12">D3*B3*1+30</f>
        <v>106.93</v>
      </c>
      <c r="P3" s="230">
        <f t="shared" ref="P3:P11" si="13">ROUND(C3*D3*0.05*B3,2)</f>
        <v>7.69</v>
      </c>
      <c r="Q3" s="117">
        <f t="shared" si="5"/>
        <v>-103.7</v>
      </c>
      <c r="R3" s="233">
        <f t="shared" si="6"/>
        <v>-0.67</v>
      </c>
      <c r="S3" s="233">
        <f t="shared" si="7"/>
        <v>0.2</v>
      </c>
      <c r="T3" s="155">
        <f t="shared" si="8"/>
        <v>0.694982451579358</v>
      </c>
    </row>
    <row r="4" customHeight="1" spans="1:20">
      <c r="A4" s="11">
        <v>43772</v>
      </c>
      <c r="B4" s="127">
        <v>7</v>
      </c>
      <c r="C4" s="117">
        <v>2</v>
      </c>
      <c r="D4" s="117">
        <v>10.99</v>
      </c>
      <c r="E4" s="117">
        <f t="shared" si="0"/>
        <v>21.98</v>
      </c>
      <c r="F4" s="117">
        <f t="shared" si="1"/>
        <v>3.3</v>
      </c>
      <c r="G4" s="117">
        <f t="shared" si="2"/>
        <v>6.56</v>
      </c>
      <c r="H4" s="117">
        <f t="shared" si="3"/>
        <v>0.7</v>
      </c>
      <c r="I4" s="117">
        <f t="shared" si="9"/>
        <v>4.4</v>
      </c>
      <c r="J4" s="117">
        <v>0</v>
      </c>
      <c r="K4" s="117">
        <f t="shared" si="4"/>
        <v>0.66</v>
      </c>
      <c r="L4" s="117"/>
      <c r="M4" s="117">
        <f t="shared" si="10"/>
        <v>15.6</v>
      </c>
      <c r="N4" s="117">
        <f t="shared" si="11"/>
        <v>18</v>
      </c>
      <c r="O4" s="117">
        <f t="shared" si="12"/>
        <v>106.93</v>
      </c>
      <c r="P4" s="230">
        <f t="shared" si="13"/>
        <v>7.69</v>
      </c>
      <c r="Q4" s="117">
        <f t="shared" si="5"/>
        <v>-103.7</v>
      </c>
      <c r="R4" s="233">
        <f t="shared" si="6"/>
        <v>-0.67</v>
      </c>
      <c r="S4" s="233">
        <f t="shared" si="7"/>
        <v>0.2</v>
      </c>
      <c r="T4" s="155">
        <f t="shared" si="8"/>
        <v>0.694982451579358</v>
      </c>
    </row>
    <row r="5" customHeight="1" spans="1:20">
      <c r="A5" s="11">
        <v>43773</v>
      </c>
      <c r="B5" s="127">
        <v>7</v>
      </c>
      <c r="C5" s="117">
        <v>3</v>
      </c>
      <c r="D5" s="117">
        <v>10.99</v>
      </c>
      <c r="E5" s="117">
        <f t="shared" si="0"/>
        <v>32.97</v>
      </c>
      <c r="F5" s="117">
        <f t="shared" si="1"/>
        <v>4.95</v>
      </c>
      <c r="G5" s="117">
        <f t="shared" si="2"/>
        <v>9.84</v>
      </c>
      <c r="H5" s="117">
        <f t="shared" si="3"/>
        <v>1</v>
      </c>
      <c r="I5" s="117">
        <f t="shared" si="9"/>
        <v>6.6</v>
      </c>
      <c r="J5" s="117">
        <v>0</v>
      </c>
      <c r="K5" s="117">
        <f t="shared" si="4"/>
        <v>0.99</v>
      </c>
      <c r="L5" s="117"/>
      <c r="M5" s="117">
        <f t="shared" si="10"/>
        <v>23.4</v>
      </c>
      <c r="N5" s="117">
        <f t="shared" si="11"/>
        <v>27</v>
      </c>
      <c r="O5" s="117">
        <f t="shared" si="12"/>
        <v>106.93</v>
      </c>
      <c r="P5" s="230">
        <f t="shared" si="13"/>
        <v>11.54</v>
      </c>
      <c r="Q5" s="117">
        <f t="shared" si="5"/>
        <v>-101.74</v>
      </c>
      <c r="R5" s="233">
        <f t="shared" si="6"/>
        <v>-0.44</v>
      </c>
      <c r="S5" s="233">
        <f t="shared" si="7"/>
        <v>0.2</v>
      </c>
      <c r="T5" s="155">
        <f t="shared" si="8"/>
        <v>0.463321634386239</v>
      </c>
    </row>
    <row r="6" customHeight="1" spans="1:20">
      <c r="A6" s="11">
        <v>43774</v>
      </c>
      <c r="B6" s="127">
        <v>7</v>
      </c>
      <c r="C6" s="117">
        <v>3</v>
      </c>
      <c r="D6" s="117">
        <v>10.99</v>
      </c>
      <c r="E6" s="117">
        <f t="shared" si="0"/>
        <v>32.97</v>
      </c>
      <c r="F6" s="117">
        <f t="shared" si="1"/>
        <v>4.95</v>
      </c>
      <c r="G6" s="117">
        <f t="shared" si="2"/>
        <v>9.84</v>
      </c>
      <c r="H6" s="117">
        <f t="shared" si="3"/>
        <v>1</v>
      </c>
      <c r="I6" s="117">
        <f t="shared" si="9"/>
        <v>6.6</v>
      </c>
      <c r="J6" s="117">
        <v>0</v>
      </c>
      <c r="K6" s="117">
        <f t="shared" si="4"/>
        <v>0.99</v>
      </c>
      <c r="L6" s="117"/>
      <c r="M6" s="117">
        <f t="shared" si="10"/>
        <v>23.4</v>
      </c>
      <c r="N6" s="117">
        <f t="shared" si="11"/>
        <v>27</v>
      </c>
      <c r="O6" s="117">
        <f t="shared" si="12"/>
        <v>106.93</v>
      </c>
      <c r="P6" s="230">
        <f t="shared" si="13"/>
        <v>11.54</v>
      </c>
      <c r="Q6" s="117">
        <f t="shared" si="5"/>
        <v>-101.74</v>
      </c>
      <c r="R6" s="233">
        <f t="shared" si="6"/>
        <v>-0.44</v>
      </c>
      <c r="S6" s="233">
        <f t="shared" si="7"/>
        <v>0.2</v>
      </c>
      <c r="T6" s="155">
        <f t="shared" si="8"/>
        <v>0.463321634386239</v>
      </c>
    </row>
    <row r="7" customHeight="1" spans="1:20">
      <c r="A7" s="11">
        <v>43775</v>
      </c>
      <c r="B7" s="127">
        <v>7</v>
      </c>
      <c r="C7" s="117">
        <v>3</v>
      </c>
      <c r="D7" s="117">
        <v>10.99</v>
      </c>
      <c r="E7" s="117">
        <f t="shared" si="0"/>
        <v>32.97</v>
      </c>
      <c r="F7" s="117">
        <f t="shared" si="1"/>
        <v>4.95</v>
      </c>
      <c r="G7" s="117">
        <f t="shared" si="2"/>
        <v>9.84</v>
      </c>
      <c r="H7" s="117">
        <f t="shared" si="3"/>
        <v>1</v>
      </c>
      <c r="I7" s="117">
        <f t="shared" si="9"/>
        <v>6.6</v>
      </c>
      <c r="J7" s="117">
        <v>0</v>
      </c>
      <c r="K7" s="117">
        <f t="shared" si="4"/>
        <v>0.99</v>
      </c>
      <c r="L7" s="117"/>
      <c r="M7" s="117">
        <f t="shared" si="10"/>
        <v>23.4</v>
      </c>
      <c r="N7" s="117">
        <f t="shared" si="11"/>
        <v>27</v>
      </c>
      <c r="O7" s="117">
        <f t="shared" si="12"/>
        <v>106.93</v>
      </c>
      <c r="P7" s="230">
        <f t="shared" si="13"/>
        <v>11.54</v>
      </c>
      <c r="Q7" s="117">
        <f t="shared" si="5"/>
        <v>-101.74</v>
      </c>
      <c r="R7" s="233">
        <f t="shared" si="6"/>
        <v>-0.44</v>
      </c>
      <c r="S7" s="233">
        <f t="shared" si="7"/>
        <v>0.2</v>
      </c>
      <c r="T7" s="155">
        <f t="shared" si="8"/>
        <v>0.463321634386239</v>
      </c>
    </row>
    <row r="8" customHeight="1" spans="1:20">
      <c r="A8" s="11">
        <v>43776</v>
      </c>
      <c r="B8" s="127">
        <v>7</v>
      </c>
      <c r="C8" s="117">
        <v>5</v>
      </c>
      <c r="D8" s="117">
        <v>10.99</v>
      </c>
      <c r="E8" s="117">
        <f t="shared" si="0"/>
        <v>54.95</v>
      </c>
      <c r="F8" s="117">
        <f t="shared" si="1"/>
        <v>8.24</v>
      </c>
      <c r="G8" s="117">
        <f t="shared" si="2"/>
        <v>16.4</v>
      </c>
      <c r="H8" s="117">
        <f t="shared" si="3"/>
        <v>1.6</v>
      </c>
      <c r="I8" s="117">
        <f t="shared" si="9"/>
        <v>11</v>
      </c>
      <c r="J8" s="117">
        <v>0</v>
      </c>
      <c r="K8" s="117">
        <f t="shared" si="4"/>
        <v>1.65</v>
      </c>
      <c r="L8" s="117"/>
      <c r="M8" s="117">
        <f t="shared" si="10"/>
        <v>39</v>
      </c>
      <c r="N8" s="117">
        <f t="shared" si="11"/>
        <v>45</v>
      </c>
      <c r="O8" s="117">
        <f t="shared" si="12"/>
        <v>106.93</v>
      </c>
      <c r="P8" s="230">
        <f t="shared" si="13"/>
        <v>19.23</v>
      </c>
      <c r="Q8" s="117">
        <f t="shared" si="5"/>
        <v>-97.74</v>
      </c>
      <c r="R8" s="233">
        <f t="shared" si="6"/>
        <v>-0.25</v>
      </c>
      <c r="S8" s="233">
        <f t="shared" si="7"/>
        <v>0.2</v>
      </c>
      <c r="T8" s="155">
        <f t="shared" si="8"/>
        <v>0.277992980631743</v>
      </c>
    </row>
    <row r="9" customHeight="1" spans="1:20">
      <c r="A9" s="11">
        <v>43777</v>
      </c>
      <c r="B9" s="127">
        <v>7</v>
      </c>
      <c r="C9" s="117">
        <v>5</v>
      </c>
      <c r="D9" s="117">
        <v>10.99</v>
      </c>
      <c r="E9" s="117">
        <f t="shared" si="0"/>
        <v>54.95</v>
      </c>
      <c r="F9" s="117">
        <f t="shared" si="1"/>
        <v>8.24</v>
      </c>
      <c r="G9" s="117">
        <f t="shared" si="2"/>
        <v>16.4</v>
      </c>
      <c r="H9" s="117">
        <f t="shared" si="3"/>
        <v>1.6</v>
      </c>
      <c r="I9" s="117">
        <f t="shared" si="9"/>
        <v>11</v>
      </c>
      <c r="J9" s="117">
        <v>0</v>
      </c>
      <c r="K9" s="117">
        <f t="shared" si="4"/>
        <v>1.65</v>
      </c>
      <c r="L9" s="117"/>
      <c r="M9" s="117">
        <f t="shared" si="10"/>
        <v>39</v>
      </c>
      <c r="N9" s="117">
        <f t="shared" si="11"/>
        <v>45</v>
      </c>
      <c r="O9" s="117">
        <f t="shared" si="12"/>
        <v>106.93</v>
      </c>
      <c r="P9" s="230">
        <f t="shared" si="13"/>
        <v>19.23</v>
      </c>
      <c r="Q9" s="117">
        <f t="shared" si="5"/>
        <v>-97.74</v>
      </c>
      <c r="R9" s="233">
        <f t="shared" si="6"/>
        <v>-0.25</v>
      </c>
      <c r="S9" s="233">
        <f t="shared" si="7"/>
        <v>0.2</v>
      </c>
      <c r="T9" s="155">
        <f t="shared" si="8"/>
        <v>0.277992980631743</v>
      </c>
    </row>
    <row r="10" customHeight="1" spans="1:20">
      <c r="A10" s="11">
        <v>43778</v>
      </c>
      <c r="B10" s="127">
        <v>7</v>
      </c>
      <c r="C10" s="117">
        <v>5</v>
      </c>
      <c r="D10" s="117">
        <v>10.99</v>
      </c>
      <c r="E10" s="117">
        <f t="shared" si="0"/>
        <v>54.95</v>
      </c>
      <c r="F10" s="117">
        <f t="shared" si="1"/>
        <v>8.24</v>
      </c>
      <c r="G10" s="117">
        <f t="shared" si="2"/>
        <v>16.4</v>
      </c>
      <c r="H10" s="117">
        <f t="shared" si="3"/>
        <v>1.6</v>
      </c>
      <c r="I10" s="117">
        <f t="shared" si="9"/>
        <v>11</v>
      </c>
      <c r="J10" s="117">
        <v>0</v>
      </c>
      <c r="K10" s="117">
        <f t="shared" si="4"/>
        <v>1.65</v>
      </c>
      <c r="L10" s="117"/>
      <c r="M10" s="117">
        <f t="shared" si="10"/>
        <v>39</v>
      </c>
      <c r="N10" s="117">
        <f t="shared" si="11"/>
        <v>45</v>
      </c>
      <c r="O10" s="117">
        <f t="shared" si="12"/>
        <v>106.93</v>
      </c>
      <c r="P10" s="230">
        <f t="shared" si="13"/>
        <v>19.23</v>
      </c>
      <c r="Q10" s="117">
        <f t="shared" si="5"/>
        <v>-97.74</v>
      </c>
      <c r="R10" s="233">
        <f t="shared" si="6"/>
        <v>-0.25</v>
      </c>
      <c r="S10" s="233">
        <f t="shared" si="7"/>
        <v>0.2</v>
      </c>
      <c r="T10" s="155">
        <f t="shared" si="8"/>
        <v>0.277992980631743</v>
      </c>
    </row>
    <row r="11" customHeight="1" spans="1:20">
      <c r="A11" s="11">
        <v>43779</v>
      </c>
      <c r="B11" s="127">
        <v>7</v>
      </c>
      <c r="C11" s="117">
        <v>5</v>
      </c>
      <c r="D11" s="117">
        <v>10.99</v>
      </c>
      <c r="E11" s="117">
        <f t="shared" si="0"/>
        <v>54.95</v>
      </c>
      <c r="F11" s="117">
        <f t="shared" si="1"/>
        <v>8.24</v>
      </c>
      <c r="G11" s="117">
        <f t="shared" si="2"/>
        <v>16.4</v>
      </c>
      <c r="H11" s="117">
        <f t="shared" si="3"/>
        <v>1.6</v>
      </c>
      <c r="I11" s="117">
        <f t="shared" si="9"/>
        <v>11</v>
      </c>
      <c r="J11" s="117">
        <v>0</v>
      </c>
      <c r="K11" s="117">
        <f t="shared" si="4"/>
        <v>1.65</v>
      </c>
      <c r="L11" s="117"/>
      <c r="M11" s="117">
        <f t="shared" si="10"/>
        <v>39</v>
      </c>
      <c r="N11" s="117">
        <f t="shared" si="11"/>
        <v>45</v>
      </c>
      <c r="O11" s="117">
        <f t="shared" si="12"/>
        <v>106.93</v>
      </c>
      <c r="P11" s="230">
        <f t="shared" si="13"/>
        <v>19.23</v>
      </c>
      <c r="Q11" s="117">
        <f t="shared" si="5"/>
        <v>-97.74</v>
      </c>
      <c r="R11" s="233">
        <f t="shared" si="6"/>
        <v>-0.25</v>
      </c>
      <c r="S11" s="233">
        <f t="shared" si="7"/>
        <v>0.2</v>
      </c>
      <c r="T11" s="155">
        <f t="shared" si="8"/>
        <v>0.277992980631743</v>
      </c>
    </row>
    <row r="12" customHeight="1" spans="1:20">
      <c r="A12" s="8" t="s">
        <v>20</v>
      </c>
      <c r="B12" s="8"/>
      <c r="C12" s="8"/>
      <c r="D12" s="8"/>
      <c r="E12" s="129">
        <f t="shared" ref="E12:S12" si="14">SUM(E2:E11)</f>
        <v>384.65</v>
      </c>
      <c r="F12" s="129">
        <f t="shared" si="14"/>
        <v>57.71</v>
      </c>
      <c r="G12" s="129">
        <f t="shared" si="14"/>
        <v>114.8</v>
      </c>
      <c r="H12" s="129">
        <f t="shared" si="14"/>
        <v>11.5</v>
      </c>
      <c r="I12" s="129">
        <f t="shared" si="14"/>
        <v>77</v>
      </c>
      <c r="J12" s="129">
        <f t="shared" si="14"/>
        <v>0</v>
      </c>
      <c r="K12" s="129">
        <f t="shared" si="14"/>
        <v>11.55</v>
      </c>
      <c r="L12" s="129">
        <f t="shared" si="14"/>
        <v>0</v>
      </c>
      <c r="M12" s="129">
        <f t="shared" si="14"/>
        <v>273</v>
      </c>
      <c r="N12" s="129">
        <f t="shared" si="14"/>
        <v>315</v>
      </c>
      <c r="O12" s="129">
        <f t="shared" si="14"/>
        <v>1069.3</v>
      </c>
      <c r="P12" s="129">
        <f t="shared" si="14"/>
        <v>134.61</v>
      </c>
      <c r="Q12" s="129">
        <f t="shared" si="14"/>
        <v>-1007.28</v>
      </c>
      <c r="R12" s="129">
        <f t="shared" si="14"/>
        <v>-4.33</v>
      </c>
      <c r="S12" s="234">
        <f t="shared" si="14"/>
        <v>2</v>
      </c>
      <c r="T12" s="135"/>
    </row>
    <row r="13" customHeight="1" spans="1:20">
      <c r="A13" s="11">
        <v>43780</v>
      </c>
      <c r="B13" s="127">
        <v>7</v>
      </c>
      <c r="C13" s="117">
        <v>8</v>
      </c>
      <c r="D13" s="117">
        <v>11.99</v>
      </c>
      <c r="E13" s="117">
        <f t="shared" ref="E13:E22" si="15">D13*C13</f>
        <v>95.92</v>
      </c>
      <c r="F13" s="117">
        <f t="shared" ref="F13:F22" si="16">ROUND(D13*0.15*C13,2)</f>
        <v>14.39</v>
      </c>
      <c r="G13" s="117">
        <f t="shared" ref="G13:G22" si="17">3.28*C13</f>
        <v>26.24</v>
      </c>
      <c r="H13" s="117">
        <f t="shared" ref="H13:H22" si="18">ROUND(D13*C13*0.03,1)</f>
        <v>2.9</v>
      </c>
      <c r="I13" s="117">
        <f>ROUND(0.1*C13*D13,1)</f>
        <v>9.6</v>
      </c>
      <c r="J13" s="117">
        <v>0</v>
      </c>
      <c r="K13" s="117">
        <f>ROUND(C13*D13*0.03,2)</f>
        <v>2.88</v>
      </c>
      <c r="L13" s="117"/>
      <c r="M13" s="117">
        <f>7.8*C13</f>
        <v>62.4</v>
      </c>
      <c r="N13" s="117">
        <f>9*C13</f>
        <v>72</v>
      </c>
      <c r="O13" s="117">
        <f>D13*B13*1+30</f>
        <v>113.93</v>
      </c>
      <c r="P13" s="230">
        <f>ROUND(C13*D13*0.05*B13,2)</f>
        <v>33.57</v>
      </c>
      <c r="Q13" s="117">
        <f t="shared" ref="Q13:Q22" si="19">(E13-F13-G13-H13-I13-J13-K13-L13)*B13-M13-N13-P13-O13</f>
        <v>-2.53</v>
      </c>
      <c r="R13" s="233">
        <f t="shared" ref="R13:R22" si="20">ROUND(Q13/(E13*B13),2)</f>
        <v>0</v>
      </c>
      <c r="S13" s="233">
        <f t="shared" ref="S13:S22" si="21">ROUND(I13/E13,2)</f>
        <v>0.1</v>
      </c>
      <c r="T13" s="155">
        <f t="shared" ref="T13:T22" si="22">O13/(E13*B13)</f>
        <v>0.16968009055165</v>
      </c>
    </row>
    <row r="14" customHeight="1" spans="1:20">
      <c r="A14" s="11">
        <v>43781</v>
      </c>
      <c r="B14" s="127">
        <v>7</v>
      </c>
      <c r="C14" s="117">
        <v>8</v>
      </c>
      <c r="D14" s="117">
        <v>11.99</v>
      </c>
      <c r="E14" s="117">
        <f t="shared" si="15"/>
        <v>95.92</v>
      </c>
      <c r="F14" s="117">
        <f t="shared" si="16"/>
        <v>14.39</v>
      </c>
      <c r="G14" s="117">
        <f t="shared" si="17"/>
        <v>26.24</v>
      </c>
      <c r="H14" s="117">
        <f t="shared" si="18"/>
        <v>2.9</v>
      </c>
      <c r="I14" s="117">
        <f t="shared" ref="I14:I22" si="23">ROUND(0.1*C14*D14,1)</f>
        <v>9.6</v>
      </c>
      <c r="J14" s="117">
        <v>0</v>
      </c>
      <c r="K14" s="117">
        <f t="shared" ref="K14:K22" si="24">ROUND(C14*D14*0.03,2)</f>
        <v>2.88</v>
      </c>
      <c r="L14" s="117"/>
      <c r="M14" s="117">
        <f t="shared" ref="M14:M22" si="25">7.8*C14</f>
        <v>62.4</v>
      </c>
      <c r="N14" s="117">
        <f t="shared" ref="N14:N22" si="26">9*C14</f>
        <v>72</v>
      </c>
      <c r="O14" s="117">
        <f t="shared" ref="O14:O22" si="27">D14*B14*1+30</f>
        <v>113.93</v>
      </c>
      <c r="P14" s="230">
        <f t="shared" ref="P14:P22" si="28">ROUND(C14*D14*0.05*B14,2)</f>
        <v>33.57</v>
      </c>
      <c r="Q14" s="117">
        <f t="shared" si="19"/>
        <v>-2.53</v>
      </c>
      <c r="R14" s="233">
        <f t="shared" si="20"/>
        <v>0</v>
      </c>
      <c r="S14" s="233">
        <f t="shared" si="21"/>
        <v>0.1</v>
      </c>
      <c r="T14" s="155">
        <f t="shared" si="22"/>
        <v>0.16968009055165</v>
      </c>
    </row>
    <row r="15" customHeight="1" spans="1:20">
      <c r="A15" s="11">
        <v>43782</v>
      </c>
      <c r="B15" s="127">
        <v>7</v>
      </c>
      <c r="C15" s="117">
        <v>8</v>
      </c>
      <c r="D15" s="117">
        <v>11.99</v>
      </c>
      <c r="E15" s="117">
        <f t="shared" si="15"/>
        <v>95.92</v>
      </c>
      <c r="F15" s="117">
        <f t="shared" si="16"/>
        <v>14.39</v>
      </c>
      <c r="G15" s="117">
        <f t="shared" si="17"/>
        <v>26.24</v>
      </c>
      <c r="H15" s="117">
        <f t="shared" si="18"/>
        <v>2.9</v>
      </c>
      <c r="I15" s="117">
        <f t="shared" si="23"/>
        <v>9.6</v>
      </c>
      <c r="J15" s="117">
        <v>0</v>
      </c>
      <c r="K15" s="117">
        <f t="shared" si="24"/>
        <v>2.88</v>
      </c>
      <c r="L15" s="117"/>
      <c r="M15" s="117">
        <f t="shared" si="25"/>
        <v>62.4</v>
      </c>
      <c r="N15" s="117">
        <f t="shared" si="26"/>
        <v>72</v>
      </c>
      <c r="O15" s="117">
        <f t="shared" si="27"/>
        <v>113.93</v>
      </c>
      <c r="P15" s="230">
        <f t="shared" si="28"/>
        <v>33.57</v>
      </c>
      <c r="Q15" s="117">
        <f t="shared" si="19"/>
        <v>-2.53</v>
      </c>
      <c r="R15" s="233">
        <f t="shared" si="20"/>
        <v>0</v>
      </c>
      <c r="S15" s="233">
        <f t="shared" si="21"/>
        <v>0.1</v>
      </c>
      <c r="T15" s="155">
        <f t="shared" si="22"/>
        <v>0.16968009055165</v>
      </c>
    </row>
    <row r="16" customHeight="1" spans="1:20">
      <c r="A16" s="11">
        <v>43783</v>
      </c>
      <c r="B16" s="127">
        <v>7</v>
      </c>
      <c r="C16" s="117">
        <v>8</v>
      </c>
      <c r="D16" s="117">
        <v>11.99</v>
      </c>
      <c r="E16" s="117">
        <f t="shared" si="15"/>
        <v>95.92</v>
      </c>
      <c r="F16" s="117">
        <f t="shared" si="16"/>
        <v>14.39</v>
      </c>
      <c r="G16" s="117">
        <f t="shared" si="17"/>
        <v>26.24</v>
      </c>
      <c r="H16" s="117">
        <f t="shared" si="18"/>
        <v>2.9</v>
      </c>
      <c r="I16" s="117">
        <f t="shared" si="23"/>
        <v>9.6</v>
      </c>
      <c r="J16" s="117">
        <v>0</v>
      </c>
      <c r="K16" s="117">
        <f t="shared" si="24"/>
        <v>2.88</v>
      </c>
      <c r="L16" s="117"/>
      <c r="M16" s="117">
        <f t="shared" si="25"/>
        <v>62.4</v>
      </c>
      <c r="N16" s="117">
        <f t="shared" si="26"/>
        <v>72</v>
      </c>
      <c r="O16" s="117">
        <f t="shared" si="27"/>
        <v>113.93</v>
      </c>
      <c r="P16" s="230">
        <f t="shared" si="28"/>
        <v>33.57</v>
      </c>
      <c r="Q16" s="117">
        <f t="shared" si="19"/>
        <v>-2.53</v>
      </c>
      <c r="R16" s="233">
        <f t="shared" si="20"/>
        <v>0</v>
      </c>
      <c r="S16" s="233">
        <f t="shared" si="21"/>
        <v>0.1</v>
      </c>
      <c r="T16" s="155">
        <f t="shared" si="22"/>
        <v>0.16968009055165</v>
      </c>
    </row>
    <row r="17" customHeight="1" spans="1:20">
      <c r="A17" s="11">
        <v>43784</v>
      </c>
      <c r="B17" s="127">
        <v>7</v>
      </c>
      <c r="C17" s="117">
        <v>8</v>
      </c>
      <c r="D17" s="117">
        <v>11.99</v>
      </c>
      <c r="E17" s="117">
        <f t="shared" si="15"/>
        <v>95.92</v>
      </c>
      <c r="F17" s="117">
        <f t="shared" si="16"/>
        <v>14.39</v>
      </c>
      <c r="G17" s="117">
        <f t="shared" si="17"/>
        <v>26.24</v>
      </c>
      <c r="H17" s="117">
        <f t="shared" si="18"/>
        <v>2.9</v>
      </c>
      <c r="I17" s="117">
        <f t="shared" si="23"/>
        <v>9.6</v>
      </c>
      <c r="J17" s="117">
        <v>0</v>
      </c>
      <c r="K17" s="117">
        <f t="shared" si="24"/>
        <v>2.88</v>
      </c>
      <c r="L17" s="117"/>
      <c r="M17" s="117">
        <f t="shared" si="25"/>
        <v>62.4</v>
      </c>
      <c r="N17" s="117">
        <f t="shared" si="26"/>
        <v>72</v>
      </c>
      <c r="O17" s="117">
        <f t="shared" si="27"/>
        <v>113.93</v>
      </c>
      <c r="P17" s="230">
        <f t="shared" si="28"/>
        <v>33.57</v>
      </c>
      <c r="Q17" s="117">
        <f t="shared" si="19"/>
        <v>-2.53</v>
      </c>
      <c r="R17" s="233">
        <f t="shared" si="20"/>
        <v>0</v>
      </c>
      <c r="S17" s="233">
        <f t="shared" si="21"/>
        <v>0.1</v>
      </c>
      <c r="T17" s="155">
        <f t="shared" si="22"/>
        <v>0.16968009055165</v>
      </c>
    </row>
    <row r="18" customHeight="1" spans="1:20">
      <c r="A18" s="11">
        <v>43785</v>
      </c>
      <c r="B18" s="127">
        <v>7</v>
      </c>
      <c r="C18" s="117">
        <v>8</v>
      </c>
      <c r="D18" s="117">
        <v>11.99</v>
      </c>
      <c r="E18" s="117">
        <f t="shared" si="15"/>
        <v>95.92</v>
      </c>
      <c r="F18" s="117">
        <f t="shared" si="16"/>
        <v>14.39</v>
      </c>
      <c r="G18" s="117">
        <f t="shared" si="17"/>
        <v>26.24</v>
      </c>
      <c r="H18" s="117">
        <f t="shared" si="18"/>
        <v>2.9</v>
      </c>
      <c r="I18" s="117">
        <f t="shared" si="23"/>
        <v>9.6</v>
      </c>
      <c r="J18" s="117">
        <v>150</v>
      </c>
      <c r="K18" s="117">
        <f t="shared" si="24"/>
        <v>2.88</v>
      </c>
      <c r="L18" s="117"/>
      <c r="M18" s="117">
        <f t="shared" si="25"/>
        <v>62.4</v>
      </c>
      <c r="N18" s="117">
        <f t="shared" si="26"/>
        <v>72</v>
      </c>
      <c r="O18" s="117">
        <f t="shared" si="27"/>
        <v>113.93</v>
      </c>
      <c r="P18" s="230">
        <f t="shared" si="28"/>
        <v>33.57</v>
      </c>
      <c r="Q18" s="117">
        <f t="shared" si="19"/>
        <v>-1052.53</v>
      </c>
      <c r="R18" s="233">
        <f t="shared" si="20"/>
        <v>-1.57</v>
      </c>
      <c r="S18" s="233">
        <f t="shared" si="21"/>
        <v>0.1</v>
      </c>
      <c r="T18" s="155">
        <f t="shared" si="22"/>
        <v>0.16968009055165</v>
      </c>
    </row>
    <row r="19" customHeight="1" spans="1:20">
      <c r="A19" s="11">
        <v>43786</v>
      </c>
      <c r="B19" s="127">
        <v>7</v>
      </c>
      <c r="C19" s="117">
        <v>8</v>
      </c>
      <c r="D19" s="117">
        <v>11.99</v>
      </c>
      <c r="E19" s="117">
        <f t="shared" si="15"/>
        <v>95.92</v>
      </c>
      <c r="F19" s="117">
        <f t="shared" si="16"/>
        <v>14.39</v>
      </c>
      <c r="G19" s="117">
        <f t="shared" si="17"/>
        <v>26.24</v>
      </c>
      <c r="H19" s="117">
        <f t="shared" si="18"/>
        <v>2.9</v>
      </c>
      <c r="I19" s="117">
        <f t="shared" si="23"/>
        <v>9.6</v>
      </c>
      <c r="J19" s="117">
        <v>0</v>
      </c>
      <c r="K19" s="117">
        <f t="shared" si="24"/>
        <v>2.88</v>
      </c>
      <c r="L19" s="117"/>
      <c r="M19" s="117">
        <f t="shared" si="25"/>
        <v>62.4</v>
      </c>
      <c r="N19" s="117">
        <f t="shared" si="26"/>
        <v>72</v>
      </c>
      <c r="O19" s="117">
        <f t="shared" si="27"/>
        <v>113.93</v>
      </c>
      <c r="P19" s="230">
        <f t="shared" si="28"/>
        <v>33.57</v>
      </c>
      <c r="Q19" s="117">
        <f t="shared" si="19"/>
        <v>-2.53</v>
      </c>
      <c r="R19" s="233">
        <f t="shared" si="20"/>
        <v>0</v>
      </c>
      <c r="S19" s="233">
        <f t="shared" si="21"/>
        <v>0.1</v>
      </c>
      <c r="T19" s="155">
        <f t="shared" si="22"/>
        <v>0.16968009055165</v>
      </c>
    </row>
    <row r="20" customHeight="1" spans="1:20">
      <c r="A20" s="11">
        <v>43787</v>
      </c>
      <c r="B20" s="127">
        <v>7</v>
      </c>
      <c r="C20" s="117">
        <v>8</v>
      </c>
      <c r="D20" s="117">
        <v>11.99</v>
      </c>
      <c r="E20" s="117">
        <f t="shared" si="15"/>
        <v>95.92</v>
      </c>
      <c r="F20" s="117">
        <f t="shared" si="16"/>
        <v>14.39</v>
      </c>
      <c r="G20" s="117">
        <f t="shared" si="17"/>
        <v>26.24</v>
      </c>
      <c r="H20" s="117">
        <f t="shared" si="18"/>
        <v>2.9</v>
      </c>
      <c r="I20" s="117">
        <f t="shared" si="23"/>
        <v>9.6</v>
      </c>
      <c r="J20" s="117">
        <v>0</v>
      </c>
      <c r="K20" s="117">
        <f t="shared" si="24"/>
        <v>2.88</v>
      </c>
      <c r="L20" s="117"/>
      <c r="M20" s="117">
        <f t="shared" si="25"/>
        <v>62.4</v>
      </c>
      <c r="N20" s="117">
        <f t="shared" si="26"/>
        <v>72</v>
      </c>
      <c r="O20" s="117">
        <f t="shared" si="27"/>
        <v>113.93</v>
      </c>
      <c r="P20" s="230">
        <f t="shared" si="28"/>
        <v>33.57</v>
      </c>
      <c r="Q20" s="117">
        <f t="shared" si="19"/>
        <v>-2.53</v>
      </c>
      <c r="R20" s="233">
        <f t="shared" si="20"/>
        <v>0</v>
      </c>
      <c r="S20" s="233">
        <f t="shared" si="21"/>
        <v>0.1</v>
      </c>
      <c r="T20" s="155">
        <f t="shared" si="22"/>
        <v>0.16968009055165</v>
      </c>
    </row>
    <row r="21" customHeight="1" spans="1:20">
      <c r="A21" s="11">
        <v>43788</v>
      </c>
      <c r="B21" s="127">
        <v>7</v>
      </c>
      <c r="C21" s="117">
        <v>8</v>
      </c>
      <c r="D21" s="117">
        <v>11.99</v>
      </c>
      <c r="E21" s="117">
        <f t="shared" si="15"/>
        <v>95.92</v>
      </c>
      <c r="F21" s="117">
        <f t="shared" si="16"/>
        <v>14.39</v>
      </c>
      <c r="G21" s="117">
        <f t="shared" si="17"/>
        <v>26.24</v>
      </c>
      <c r="H21" s="117">
        <f t="shared" si="18"/>
        <v>2.9</v>
      </c>
      <c r="I21" s="117">
        <f t="shared" si="23"/>
        <v>9.6</v>
      </c>
      <c r="J21" s="117">
        <v>0</v>
      </c>
      <c r="K21" s="117">
        <f t="shared" si="24"/>
        <v>2.88</v>
      </c>
      <c r="L21" s="117"/>
      <c r="M21" s="117">
        <f t="shared" si="25"/>
        <v>62.4</v>
      </c>
      <c r="N21" s="117">
        <f t="shared" si="26"/>
        <v>72</v>
      </c>
      <c r="O21" s="117">
        <f t="shared" si="27"/>
        <v>113.93</v>
      </c>
      <c r="P21" s="230">
        <f t="shared" si="28"/>
        <v>33.57</v>
      </c>
      <c r="Q21" s="117">
        <f t="shared" si="19"/>
        <v>-2.53</v>
      </c>
      <c r="R21" s="233">
        <f t="shared" si="20"/>
        <v>0</v>
      </c>
      <c r="S21" s="233">
        <f t="shared" si="21"/>
        <v>0.1</v>
      </c>
      <c r="T21" s="155">
        <f t="shared" si="22"/>
        <v>0.16968009055165</v>
      </c>
    </row>
    <row r="22" customHeight="1" spans="1:20">
      <c r="A22" s="11">
        <v>43789</v>
      </c>
      <c r="B22" s="127">
        <v>7</v>
      </c>
      <c r="C22" s="117">
        <v>8</v>
      </c>
      <c r="D22" s="117">
        <v>11.99</v>
      </c>
      <c r="E22" s="117">
        <f t="shared" si="15"/>
        <v>95.92</v>
      </c>
      <c r="F22" s="117">
        <f t="shared" si="16"/>
        <v>14.39</v>
      </c>
      <c r="G22" s="117">
        <f t="shared" si="17"/>
        <v>26.24</v>
      </c>
      <c r="H22" s="117">
        <f t="shared" si="18"/>
        <v>2.9</v>
      </c>
      <c r="I22" s="117">
        <f t="shared" si="23"/>
        <v>9.6</v>
      </c>
      <c r="J22" s="117">
        <v>0</v>
      </c>
      <c r="K22" s="117">
        <f t="shared" si="24"/>
        <v>2.88</v>
      </c>
      <c r="L22" s="117"/>
      <c r="M22" s="117">
        <f t="shared" si="25"/>
        <v>62.4</v>
      </c>
      <c r="N22" s="117">
        <f t="shared" si="26"/>
        <v>72</v>
      </c>
      <c r="O22" s="117">
        <f t="shared" si="27"/>
        <v>113.93</v>
      </c>
      <c r="P22" s="230">
        <f t="shared" si="28"/>
        <v>33.57</v>
      </c>
      <c r="Q22" s="117">
        <f t="shared" si="19"/>
        <v>-2.53</v>
      </c>
      <c r="R22" s="233">
        <f t="shared" si="20"/>
        <v>0</v>
      </c>
      <c r="S22" s="233">
        <f t="shared" si="21"/>
        <v>0.1</v>
      </c>
      <c r="T22" s="155">
        <f t="shared" si="22"/>
        <v>0.16968009055165</v>
      </c>
    </row>
    <row r="23" customHeight="1" spans="1:20">
      <c r="A23" s="8" t="s">
        <v>21</v>
      </c>
      <c r="B23" s="8"/>
      <c r="C23" s="8"/>
      <c r="D23" s="8"/>
      <c r="E23" s="129">
        <f t="shared" ref="E23:S23" si="29">SUM(E13:E22)</f>
        <v>959.2</v>
      </c>
      <c r="F23" s="129">
        <f t="shared" si="29"/>
        <v>143.9</v>
      </c>
      <c r="G23" s="129">
        <f t="shared" si="29"/>
        <v>262.4</v>
      </c>
      <c r="H23" s="129">
        <f t="shared" si="29"/>
        <v>29</v>
      </c>
      <c r="I23" s="129">
        <f t="shared" si="29"/>
        <v>96</v>
      </c>
      <c r="J23" s="129">
        <f t="shared" si="29"/>
        <v>150</v>
      </c>
      <c r="K23" s="129">
        <f t="shared" si="29"/>
        <v>28.8</v>
      </c>
      <c r="L23" s="129">
        <f t="shared" si="29"/>
        <v>0</v>
      </c>
      <c r="M23" s="129">
        <f t="shared" si="29"/>
        <v>624</v>
      </c>
      <c r="N23" s="129">
        <f t="shared" si="29"/>
        <v>720</v>
      </c>
      <c r="O23" s="129">
        <f t="shared" si="29"/>
        <v>1139.3</v>
      </c>
      <c r="P23" s="129">
        <f t="shared" si="29"/>
        <v>335.7</v>
      </c>
      <c r="Q23" s="129">
        <f t="shared" si="29"/>
        <v>-1075.3</v>
      </c>
      <c r="R23" s="129">
        <f t="shared" si="29"/>
        <v>-1.57</v>
      </c>
      <c r="S23" s="234">
        <f t="shared" si="29"/>
        <v>1</v>
      </c>
      <c r="T23" s="135"/>
    </row>
    <row r="24" customHeight="1" spans="1:20">
      <c r="A24" s="11">
        <v>43778</v>
      </c>
      <c r="B24" s="127">
        <v>7</v>
      </c>
      <c r="C24" s="117">
        <v>10</v>
      </c>
      <c r="D24" s="117">
        <v>12.99</v>
      </c>
      <c r="E24" s="117">
        <f t="shared" ref="E24:E33" si="30">D24*C24</f>
        <v>129.9</v>
      </c>
      <c r="F24" s="117">
        <f t="shared" ref="F24:F33" si="31">ROUND(D24*0.15*C24,2)</f>
        <v>19.49</v>
      </c>
      <c r="G24" s="117">
        <f t="shared" ref="G24:G33" si="32">3.28*C24</f>
        <v>32.8</v>
      </c>
      <c r="H24" s="117">
        <f t="shared" ref="H24:H33" si="33">ROUND(D24*C24*0.03,1)</f>
        <v>3.9</v>
      </c>
      <c r="I24" s="117">
        <f>ROUND(0.1*C24*D24,1)</f>
        <v>13</v>
      </c>
      <c r="J24" s="117">
        <v>0</v>
      </c>
      <c r="K24" s="117">
        <f t="shared" ref="K24:K33" si="34">ROUND(C24*D24*0.03,2)</f>
        <v>3.9</v>
      </c>
      <c r="L24" s="117"/>
      <c r="M24" s="117">
        <f>7.8*C24</f>
        <v>78</v>
      </c>
      <c r="N24" s="117">
        <f>9*C24</f>
        <v>90</v>
      </c>
      <c r="O24" s="117">
        <f>D24*B24*1+30</f>
        <v>120.93</v>
      </c>
      <c r="P24" s="230">
        <f>ROUND(C24*D24*0.05*B24,2)</f>
        <v>45.47</v>
      </c>
      <c r="Q24" s="117">
        <f t="shared" ref="Q24:Q33" si="35">(E24-F24-G24-H24-I24-J24-K24-L24)*B24-M24-N24-P24-O24</f>
        <v>63.2700000000001</v>
      </c>
      <c r="R24" s="233">
        <f t="shared" ref="R24:R33" si="36">ROUND(Q24/(E24*B24),2)</f>
        <v>0.07</v>
      </c>
      <c r="S24" s="233">
        <f t="shared" ref="S24:S33" si="37">ROUND(I24/E24,2)</f>
        <v>0.1</v>
      </c>
      <c r="T24" s="155">
        <f t="shared" ref="T24:T33" si="38">O24/(E24*B24)</f>
        <v>0.132992411745299</v>
      </c>
    </row>
    <row r="25" customHeight="1" spans="1:20">
      <c r="A25" s="11">
        <v>43779</v>
      </c>
      <c r="B25" s="127">
        <v>7</v>
      </c>
      <c r="C25" s="117">
        <v>10</v>
      </c>
      <c r="D25" s="117">
        <v>12.99</v>
      </c>
      <c r="E25" s="117">
        <f t="shared" si="30"/>
        <v>129.9</v>
      </c>
      <c r="F25" s="117">
        <f t="shared" si="31"/>
        <v>19.49</v>
      </c>
      <c r="G25" s="117">
        <f t="shared" si="32"/>
        <v>32.8</v>
      </c>
      <c r="H25" s="117">
        <f t="shared" si="33"/>
        <v>3.9</v>
      </c>
      <c r="I25" s="117">
        <f t="shared" ref="I25:I33" si="39">ROUND(0.1*C25*D25,1)</f>
        <v>13</v>
      </c>
      <c r="J25" s="117">
        <v>0</v>
      </c>
      <c r="K25" s="117">
        <f t="shared" si="34"/>
        <v>3.9</v>
      </c>
      <c r="L25" s="117"/>
      <c r="M25" s="117">
        <f t="shared" ref="M25:M33" si="40">7.8*C25</f>
        <v>78</v>
      </c>
      <c r="N25" s="117">
        <f t="shared" ref="N25:N33" si="41">9*C25</f>
        <v>90</v>
      </c>
      <c r="O25" s="117">
        <f t="shared" ref="O25:O33" si="42">D25*B25*1+30</f>
        <v>120.93</v>
      </c>
      <c r="P25" s="230">
        <f t="shared" ref="P25:P33" si="43">ROUND(C25*D25*0.05*B25,2)</f>
        <v>45.47</v>
      </c>
      <c r="Q25" s="117">
        <f t="shared" si="35"/>
        <v>63.2700000000001</v>
      </c>
      <c r="R25" s="233">
        <f t="shared" si="36"/>
        <v>0.07</v>
      </c>
      <c r="S25" s="233">
        <f t="shared" si="37"/>
        <v>0.1</v>
      </c>
      <c r="T25" s="155">
        <f t="shared" si="38"/>
        <v>0.132992411745299</v>
      </c>
    </row>
    <row r="26" customHeight="1" spans="1:20">
      <c r="A26" s="11">
        <v>43780</v>
      </c>
      <c r="B26" s="127">
        <v>7</v>
      </c>
      <c r="C26" s="117">
        <v>10</v>
      </c>
      <c r="D26" s="117">
        <v>12.99</v>
      </c>
      <c r="E26" s="117">
        <f t="shared" si="30"/>
        <v>129.9</v>
      </c>
      <c r="F26" s="117">
        <f t="shared" si="31"/>
        <v>19.49</v>
      </c>
      <c r="G26" s="117">
        <f t="shared" si="32"/>
        <v>32.8</v>
      </c>
      <c r="H26" s="117">
        <f t="shared" si="33"/>
        <v>3.9</v>
      </c>
      <c r="I26" s="117">
        <f t="shared" si="39"/>
        <v>13</v>
      </c>
      <c r="J26" s="117">
        <v>0</v>
      </c>
      <c r="K26" s="117">
        <f t="shared" si="34"/>
        <v>3.9</v>
      </c>
      <c r="L26" s="117"/>
      <c r="M26" s="117">
        <f t="shared" si="40"/>
        <v>78</v>
      </c>
      <c r="N26" s="117">
        <f t="shared" si="41"/>
        <v>90</v>
      </c>
      <c r="O26" s="117">
        <f t="shared" si="42"/>
        <v>120.93</v>
      </c>
      <c r="P26" s="230">
        <f t="shared" si="43"/>
        <v>45.47</v>
      </c>
      <c r="Q26" s="117">
        <f t="shared" si="35"/>
        <v>63.2700000000001</v>
      </c>
      <c r="R26" s="233">
        <f t="shared" si="36"/>
        <v>0.07</v>
      </c>
      <c r="S26" s="233">
        <f t="shared" si="37"/>
        <v>0.1</v>
      </c>
      <c r="T26" s="155">
        <f t="shared" si="38"/>
        <v>0.132992411745299</v>
      </c>
    </row>
    <row r="27" customHeight="1" spans="1:20">
      <c r="A27" s="11">
        <v>43781</v>
      </c>
      <c r="B27" s="127">
        <v>7</v>
      </c>
      <c r="C27" s="117">
        <v>10</v>
      </c>
      <c r="D27" s="117">
        <v>12.99</v>
      </c>
      <c r="E27" s="117">
        <f t="shared" si="30"/>
        <v>129.9</v>
      </c>
      <c r="F27" s="117">
        <f t="shared" si="31"/>
        <v>19.49</v>
      </c>
      <c r="G27" s="117">
        <f t="shared" si="32"/>
        <v>32.8</v>
      </c>
      <c r="H27" s="117">
        <f t="shared" si="33"/>
        <v>3.9</v>
      </c>
      <c r="I27" s="117">
        <f t="shared" si="39"/>
        <v>13</v>
      </c>
      <c r="J27" s="117">
        <v>0</v>
      </c>
      <c r="K27" s="117">
        <f t="shared" si="34"/>
        <v>3.9</v>
      </c>
      <c r="L27" s="117"/>
      <c r="M27" s="117">
        <f t="shared" si="40"/>
        <v>78</v>
      </c>
      <c r="N27" s="117">
        <f t="shared" si="41"/>
        <v>90</v>
      </c>
      <c r="O27" s="117">
        <f t="shared" si="42"/>
        <v>120.93</v>
      </c>
      <c r="P27" s="230">
        <f t="shared" si="43"/>
        <v>45.47</v>
      </c>
      <c r="Q27" s="117">
        <f t="shared" si="35"/>
        <v>63.2700000000001</v>
      </c>
      <c r="R27" s="233">
        <f t="shared" si="36"/>
        <v>0.07</v>
      </c>
      <c r="S27" s="233">
        <f t="shared" si="37"/>
        <v>0.1</v>
      </c>
      <c r="T27" s="155">
        <f t="shared" si="38"/>
        <v>0.132992411745299</v>
      </c>
    </row>
    <row r="28" customHeight="1" spans="1:20">
      <c r="A28" s="11">
        <v>43782</v>
      </c>
      <c r="B28" s="127">
        <v>7</v>
      </c>
      <c r="C28" s="117">
        <v>10</v>
      </c>
      <c r="D28" s="117">
        <v>12.99</v>
      </c>
      <c r="E28" s="117">
        <f t="shared" si="30"/>
        <v>129.9</v>
      </c>
      <c r="F28" s="117">
        <f t="shared" si="31"/>
        <v>19.49</v>
      </c>
      <c r="G28" s="117">
        <f t="shared" si="32"/>
        <v>32.8</v>
      </c>
      <c r="H28" s="117">
        <f t="shared" si="33"/>
        <v>3.9</v>
      </c>
      <c r="I28" s="117">
        <f t="shared" si="39"/>
        <v>13</v>
      </c>
      <c r="J28" s="117">
        <v>0</v>
      </c>
      <c r="K28" s="117">
        <f t="shared" si="34"/>
        <v>3.9</v>
      </c>
      <c r="L28" s="117"/>
      <c r="M28" s="117">
        <f t="shared" si="40"/>
        <v>78</v>
      </c>
      <c r="N28" s="117">
        <f t="shared" si="41"/>
        <v>90</v>
      </c>
      <c r="O28" s="117">
        <f t="shared" si="42"/>
        <v>120.93</v>
      </c>
      <c r="P28" s="230">
        <f t="shared" si="43"/>
        <v>45.47</v>
      </c>
      <c r="Q28" s="117">
        <f t="shared" si="35"/>
        <v>63.2700000000001</v>
      </c>
      <c r="R28" s="233">
        <f t="shared" si="36"/>
        <v>0.07</v>
      </c>
      <c r="S28" s="233">
        <f t="shared" si="37"/>
        <v>0.1</v>
      </c>
      <c r="T28" s="155">
        <f t="shared" si="38"/>
        <v>0.132992411745299</v>
      </c>
    </row>
    <row r="29" customHeight="1" spans="1:20">
      <c r="A29" s="11">
        <v>43783</v>
      </c>
      <c r="B29" s="127">
        <v>7</v>
      </c>
      <c r="C29" s="117">
        <v>10</v>
      </c>
      <c r="D29" s="117">
        <v>12.99</v>
      </c>
      <c r="E29" s="117">
        <f t="shared" si="30"/>
        <v>129.9</v>
      </c>
      <c r="F29" s="117">
        <f t="shared" si="31"/>
        <v>19.49</v>
      </c>
      <c r="G29" s="117">
        <f t="shared" si="32"/>
        <v>32.8</v>
      </c>
      <c r="H29" s="117">
        <f t="shared" si="33"/>
        <v>3.9</v>
      </c>
      <c r="I29" s="117">
        <f t="shared" si="39"/>
        <v>13</v>
      </c>
      <c r="J29" s="117">
        <v>0</v>
      </c>
      <c r="K29" s="117">
        <f t="shared" si="34"/>
        <v>3.9</v>
      </c>
      <c r="L29" s="117"/>
      <c r="M29" s="117">
        <f t="shared" si="40"/>
        <v>78</v>
      </c>
      <c r="N29" s="117">
        <f t="shared" si="41"/>
        <v>90</v>
      </c>
      <c r="O29" s="117">
        <f t="shared" si="42"/>
        <v>120.93</v>
      </c>
      <c r="P29" s="230">
        <f t="shared" si="43"/>
        <v>45.47</v>
      </c>
      <c r="Q29" s="117">
        <f t="shared" si="35"/>
        <v>63.2700000000001</v>
      </c>
      <c r="R29" s="233">
        <f t="shared" si="36"/>
        <v>0.07</v>
      </c>
      <c r="S29" s="233">
        <f t="shared" si="37"/>
        <v>0.1</v>
      </c>
      <c r="T29" s="155">
        <f t="shared" si="38"/>
        <v>0.132992411745299</v>
      </c>
    </row>
    <row r="30" customHeight="1" spans="1:20">
      <c r="A30" s="11">
        <v>43784</v>
      </c>
      <c r="B30" s="127">
        <v>7</v>
      </c>
      <c r="C30" s="117">
        <v>10</v>
      </c>
      <c r="D30" s="117">
        <v>12.99</v>
      </c>
      <c r="E30" s="117">
        <f t="shared" si="30"/>
        <v>129.9</v>
      </c>
      <c r="F30" s="117">
        <f t="shared" si="31"/>
        <v>19.49</v>
      </c>
      <c r="G30" s="117">
        <f t="shared" si="32"/>
        <v>32.8</v>
      </c>
      <c r="H30" s="117">
        <f t="shared" si="33"/>
        <v>3.9</v>
      </c>
      <c r="I30" s="117">
        <f t="shared" si="39"/>
        <v>13</v>
      </c>
      <c r="J30" s="117">
        <v>0</v>
      </c>
      <c r="K30" s="117">
        <f t="shared" si="34"/>
        <v>3.9</v>
      </c>
      <c r="L30" s="117"/>
      <c r="M30" s="117">
        <f t="shared" si="40"/>
        <v>78</v>
      </c>
      <c r="N30" s="117">
        <f t="shared" si="41"/>
        <v>90</v>
      </c>
      <c r="O30" s="117">
        <f t="shared" si="42"/>
        <v>120.93</v>
      </c>
      <c r="P30" s="230">
        <f t="shared" si="43"/>
        <v>45.47</v>
      </c>
      <c r="Q30" s="117">
        <f t="shared" si="35"/>
        <v>63.2700000000001</v>
      </c>
      <c r="R30" s="233">
        <f t="shared" si="36"/>
        <v>0.07</v>
      </c>
      <c r="S30" s="233">
        <f t="shared" si="37"/>
        <v>0.1</v>
      </c>
      <c r="T30" s="155">
        <f t="shared" si="38"/>
        <v>0.132992411745299</v>
      </c>
    </row>
    <row r="31" customHeight="1" spans="1:20">
      <c r="A31" s="11">
        <v>43785</v>
      </c>
      <c r="B31" s="127">
        <v>7</v>
      </c>
      <c r="C31" s="117">
        <v>10</v>
      </c>
      <c r="D31" s="117">
        <v>12.99</v>
      </c>
      <c r="E31" s="117">
        <f t="shared" si="30"/>
        <v>129.9</v>
      </c>
      <c r="F31" s="117">
        <f t="shared" si="31"/>
        <v>19.49</v>
      </c>
      <c r="G31" s="117">
        <f t="shared" si="32"/>
        <v>32.8</v>
      </c>
      <c r="H31" s="117">
        <f t="shared" si="33"/>
        <v>3.9</v>
      </c>
      <c r="I31" s="117">
        <f t="shared" si="39"/>
        <v>13</v>
      </c>
      <c r="J31" s="117">
        <v>0</v>
      </c>
      <c r="K31" s="117">
        <f t="shared" si="34"/>
        <v>3.9</v>
      </c>
      <c r="L31" s="117"/>
      <c r="M31" s="117">
        <f t="shared" si="40"/>
        <v>78</v>
      </c>
      <c r="N31" s="117">
        <f t="shared" si="41"/>
        <v>90</v>
      </c>
      <c r="O31" s="117">
        <f t="shared" si="42"/>
        <v>120.93</v>
      </c>
      <c r="P31" s="230">
        <f t="shared" si="43"/>
        <v>45.47</v>
      </c>
      <c r="Q31" s="117">
        <f t="shared" si="35"/>
        <v>63.2700000000001</v>
      </c>
      <c r="R31" s="233">
        <f t="shared" si="36"/>
        <v>0.07</v>
      </c>
      <c r="S31" s="233">
        <f t="shared" si="37"/>
        <v>0.1</v>
      </c>
      <c r="T31" s="155">
        <f t="shared" si="38"/>
        <v>0.132992411745299</v>
      </c>
    </row>
    <row r="32" customHeight="1" spans="1:20">
      <c r="A32" s="11">
        <v>43786</v>
      </c>
      <c r="B32" s="127">
        <v>7</v>
      </c>
      <c r="C32" s="117">
        <v>10</v>
      </c>
      <c r="D32" s="117">
        <v>12.99</v>
      </c>
      <c r="E32" s="117">
        <f t="shared" si="30"/>
        <v>129.9</v>
      </c>
      <c r="F32" s="117">
        <f t="shared" si="31"/>
        <v>19.49</v>
      </c>
      <c r="G32" s="117">
        <f t="shared" si="32"/>
        <v>32.8</v>
      </c>
      <c r="H32" s="117">
        <f t="shared" si="33"/>
        <v>3.9</v>
      </c>
      <c r="I32" s="117">
        <f t="shared" si="39"/>
        <v>13</v>
      </c>
      <c r="J32" s="117">
        <v>0</v>
      </c>
      <c r="K32" s="117">
        <f t="shared" si="34"/>
        <v>3.9</v>
      </c>
      <c r="L32" s="117"/>
      <c r="M32" s="117">
        <f t="shared" si="40"/>
        <v>78</v>
      </c>
      <c r="N32" s="117">
        <f t="shared" si="41"/>
        <v>90</v>
      </c>
      <c r="O32" s="117">
        <f t="shared" si="42"/>
        <v>120.93</v>
      </c>
      <c r="P32" s="230">
        <f t="shared" si="43"/>
        <v>45.47</v>
      </c>
      <c r="Q32" s="117">
        <f t="shared" si="35"/>
        <v>63.2700000000001</v>
      </c>
      <c r="R32" s="233">
        <f t="shared" si="36"/>
        <v>0.07</v>
      </c>
      <c r="S32" s="233">
        <f t="shared" si="37"/>
        <v>0.1</v>
      </c>
      <c r="T32" s="155">
        <f t="shared" si="38"/>
        <v>0.132992411745299</v>
      </c>
    </row>
    <row r="33" customHeight="1" spans="1:20">
      <c r="A33" s="11">
        <v>43787</v>
      </c>
      <c r="B33" s="127">
        <v>7</v>
      </c>
      <c r="C33" s="117">
        <v>10</v>
      </c>
      <c r="D33" s="117">
        <v>12.99</v>
      </c>
      <c r="E33" s="117">
        <f t="shared" si="30"/>
        <v>129.9</v>
      </c>
      <c r="F33" s="117">
        <f t="shared" si="31"/>
        <v>19.49</v>
      </c>
      <c r="G33" s="117">
        <f t="shared" si="32"/>
        <v>32.8</v>
      </c>
      <c r="H33" s="117">
        <f t="shared" si="33"/>
        <v>3.9</v>
      </c>
      <c r="I33" s="117">
        <f t="shared" si="39"/>
        <v>13</v>
      </c>
      <c r="J33" s="117">
        <v>0</v>
      </c>
      <c r="K33" s="117">
        <f t="shared" si="34"/>
        <v>3.9</v>
      </c>
      <c r="L33" s="117"/>
      <c r="M33" s="117">
        <f t="shared" si="40"/>
        <v>78</v>
      </c>
      <c r="N33" s="117">
        <f t="shared" si="41"/>
        <v>90</v>
      </c>
      <c r="O33" s="117">
        <f t="shared" si="42"/>
        <v>120.93</v>
      </c>
      <c r="P33" s="230">
        <f t="shared" si="43"/>
        <v>45.47</v>
      </c>
      <c r="Q33" s="117">
        <f t="shared" si="35"/>
        <v>63.2700000000001</v>
      </c>
      <c r="R33" s="233">
        <f t="shared" si="36"/>
        <v>0.07</v>
      </c>
      <c r="S33" s="233">
        <f t="shared" si="37"/>
        <v>0.1</v>
      </c>
      <c r="T33" s="155">
        <f t="shared" si="38"/>
        <v>0.132992411745299</v>
      </c>
    </row>
    <row r="34" customHeight="1" spans="1:20">
      <c r="A34" s="8" t="s">
        <v>22</v>
      </c>
      <c r="B34" s="8"/>
      <c r="C34" s="8"/>
      <c r="D34" s="8"/>
      <c r="E34" s="129">
        <f t="shared" ref="E34:S34" si="44">SUM(E24:E33)</f>
        <v>1299</v>
      </c>
      <c r="F34" s="129">
        <f t="shared" si="44"/>
        <v>194.9</v>
      </c>
      <c r="G34" s="129">
        <f t="shared" si="44"/>
        <v>328</v>
      </c>
      <c r="H34" s="129">
        <f t="shared" si="44"/>
        <v>39</v>
      </c>
      <c r="I34" s="129">
        <f t="shared" si="44"/>
        <v>130</v>
      </c>
      <c r="J34" s="129">
        <f t="shared" si="44"/>
        <v>0</v>
      </c>
      <c r="K34" s="129">
        <f t="shared" si="44"/>
        <v>39</v>
      </c>
      <c r="L34" s="129">
        <f t="shared" si="44"/>
        <v>0</v>
      </c>
      <c r="M34" s="129">
        <f t="shared" si="44"/>
        <v>780</v>
      </c>
      <c r="N34" s="129">
        <f t="shared" si="44"/>
        <v>900</v>
      </c>
      <c r="O34" s="129">
        <f t="shared" si="44"/>
        <v>1209.3</v>
      </c>
      <c r="P34" s="129">
        <f t="shared" si="44"/>
        <v>454.7</v>
      </c>
      <c r="Q34" s="129">
        <f t="shared" si="44"/>
        <v>632.700000000001</v>
      </c>
      <c r="R34" s="129">
        <f t="shared" si="44"/>
        <v>0.7</v>
      </c>
      <c r="S34" s="234">
        <f t="shared" si="44"/>
        <v>1</v>
      </c>
      <c r="T34" s="135"/>
    </row>
    <row r="35" customHeight="1" spans="1:20">
      <c r="A35" s="229" t="s">
        <v>23</v>
      </c>
      <c r="B35" s="229"/>
      <c r="C35" s="229"/>
      <c r="D35" s="229"/>
      <c r="E35" s="136">
        <f t="shared" ref="E35:S35" si="45">E34+E23+E12</f>
        <v>2642.85</v>
      </c>
      <c r="F35" s="136">
        <f t="shared" si="45"/>
        <v>396.51</v>
      </c>
      <c r="G35" s="136">
        <f t="shared" si="45"/>
        <v>705.2</v>
      </c>
      <c r="H35" s="136">
        <f t="shared" si="45"/>
        <v>79.5</v>
      </c>
      <c r="I35" s="136">
        <f t="shared" si="45"/>
        <v>303</v>
      </c>
      <c r="J35" s="136">
        <f t="shared" si="45"/>
        <v>150</v>
      </c>
      <c r="K35" s="136">
        <f t="shared" si="45"/>
        <v>79.35</v>
      </c>
      <c r="L35" s="136">
        <f t="shared" si="45"/>
        <v>0</v>
      </c>
      <c r="M35" s="136">
        <f t="shared" si="45"/>
        <v>1677</v>
      </c>
      <c r="N35" s="136">
        <f t="shared" si="45"/>
        <v>1935</v>
      </c>
      <c r="O35" s="136">
        <f t="shared" si="45"/>
        <v>3417.9</v>
      </c>
      <c r="P35" s="136">
        <f t="shared" si="45"/>
        <v>925.01</v>
      </c>
      <c r="Q35" s="136">
        <f t="shared" si="45"/>
        <v>-1449.88</v>
      </c>
      <c r="R35" s="136">
        <f t="shared" si="45"/>
        <v>-5.2</v>
      </c>
      <c r="S35" s="235">
        <f t="shared" si="45"/>
        <v>4</v>
      </c>
      <c r="T35" s="236"/>
    </row>
  </sheetData>
  <mergeCells count="4">
    <mergeCell ref="A12:D12"/>
    <mergeCell ref="A23:D23"/>
    <mergeCell ref="A34:D34"/>
    <mergeCell ref="A35:D35"/>
  </mergeCells>
  <pageMargins left="0.75" right="0.75" top="1" bottom="1" header="0.509027777777778" footer="0.509027777777778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1"/>
  <sheetViews>
    <sheetView workbookViewId="0">
      <selection activeCell="B3" sqref="B3"/>
    </sheetView>
  </sheetViews>
  <sheetFormatPr defaultColWidth="9" defaultRowHeight="30" customHeight="1"/>
  <cols>
    <col min="2" max="2" width="29.125" style="222" customWidth="1"/>
    <col min="9" max="9" width="11.7" customWidth="1"/>
  </cols>
  <sheetData>
    <row r="1" customHeight="1" spans="9:9">
      <c r="I1" s="224" t="s">
        <v>24</v>
      </c>
    </row>
    <row r="2" customHeight="1" spans="2:2">
      <c r="B2" s="223" t="s">
        <v>25</v>
      </c>
    </row>
    <row r="3" customHeight="1" spans="2:2">
      <c r="B3" s="223" t="s">
        <v>26</v>
      </c>
    </row>
    <row r="4" customHeight="1" spans="2:2">
      <c r="B4" s="223" t="s">
        <v>27</v>
      </c>
    </row>
    <row r="5" customHeight="1" spans="2:2">
      <c r="B5" s="223" t="s">
        <v>28</v>
      </c>
    </row>
    <row r="6" customHeight="1" spans="2:2">
      <c r="B6" s="223" t="s">
        <v>29</v>
      </c>
    </row>
    <row r="7" customHeight="1" spans="2:2">
      <c r="B7" s="223" t="s">
        <v>30</v>
      </c>
    </row>
    <row r="8" customHeight="1" spans="2:2">
      <c r="B8" s="223" t="s">
        <v>31</v>
      </c>
    </row>
    <row r="9" customHeight="1" spans="2:2">
      <c r="B9" s="223" t="s">
        <v>32</v>
      </c>
    </row>
    <row r="10" customHeight="1" spans="2:2">
      <c r="B10" s="223" t="s">
        <v>33</v>
      </c>
    </row>
    <row r="11" customHeight="1" spans="2:2">
      <c r="B11" s="223" t="s">
        <v>34</v>
      </c>
    </row>
  </sheetData>
  <hyperlinks>
    <hyperlink ref="B2" location="总预算和目标!A1" display="总预算和目标"/>
    <hyperlink ref="B4" location="推广计划明细!A1" display="推广明细"/>
    <hyperlink ref="B3" location="日常工作!A1" display="日常工作"/>
    <hyperlink ref="B5" location="'1.listing文案'!A1" display="listing文案"/>
    <hyperlink ref="B6" location="'2.关键词库'!A1" display="关键词库"/>
    <hyperlink ref="B7" location="'3.广告cpc追踪'!A1" display="广告CPC追踪"/>
    <hyperlink ref="B8" location="'4.测评安排'!A1" display="测评安排"/>
    <hyperlink ref="B9" location="'5.活动申报'!A1" display="活动申报"/>
    <hyperlink ref="B10" location="'6.对手监控'!A1" display="对手监控"/>
    <hyperlink ref="B11" location="'7.数据追踪'!A1" display="数据追踪"/>
    <hyperlink ref="I1" r:id="rId1" display="返回总目录"/>
  </hyperlink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28"/>
  <sheetViews>
    <sheetView tabSelected="1" workbookViewId="0">
      <selection activeCell="G27" sqref="G27"/>
    </sheetView>
  </sheetViews>
  <sheetFormatPr defaultColWidth="9" defaultRowHeight="20.1" customHeight="1"/>
  <cols>
    <col min="1" max="1" width="19" style="182" customWidth="1"/>
    <col min="2" max="2" width="8.7" style="175" customWidth="1"/>
    <col min="3" max="3" width="8.5" style="185" customWidth="1"/>
    <col min="4" max="4" width="10.6" style="185" customWidth="1"/>
    <col min="5" max="5" width="10.4" style="186" customWidth="1"/>
    <col min="6" max="6" width="8.125" style="186" customWidth="1"/>
    <col min="7" max="7" width="28.6" style="186" customWidth="1"/>
    <col min="8" max="8" width="9.5" style="186" customWidth="1"/>
    <col min="9" max="13" width="10.75" style="186" customWidth="1"/>
    <col min="14" max="16384" width="9" style="186"/>
  </cols>
  <sheetData>
    <row r="2" ht="14.25" spans="1:15">
      <c r="A2" s="187" t="s">
        <v>35</v>
      </c>
      <c r="B2" s="188" t="s">
        <v>36</v>
      </c>
      <c r="C2" s="189" t="s">
        <v>37</v>
      </c>
      <c r="D2" s="189" t="s">
        <v>38</v>
      </c>
      <c r="F2" s="190" t="s">
        <v>39</v>
      </c>
      <c r="G2" s="191" t="s">
        <v>40</v>
      </c>
      <c r="H2" s="191" t="s">
        <v>41</v>
      </c>
      <c r="I2" s="191" t="s">
        <v>42</v>
      </c>
      <c r="J2" s="191" t="s">
        <v>43</v>
      </c>
      <c r="K2" s="191" t="s">
        <v>44</v>
      </c>
      <c r="L2" s="191" t="s">
        <v>45</v>
      </c>
      <c r="M2" s="191" t="s">
        <v>46</v>
      </c>
      <c r="N2" s="191" t="s">
        <v>47</v>
      </c>
      <c r="O2" s="191" t="s">
        <v>48</v>
      </c>
    </row>
    <row r="3" ht="14.25" spans="1:15">
      <c r="A3" s="192" t="s">
        <v>49</v>
      </c>
      <c r="B3" s="193" t="s">
        <v>50</v>
      </c>
      <c r="C3" s="194"/>
      <c r="D3" s="194"/>
      <c r="F3" s="190" t="s">
        <v>51</v>
      </c>
      <c r="G3" s="195" t="s">
        <v>52</v>
      </c>
      <c r="H3" s="196"/>
      <c r="I3" s="196"/>
      <c r="J3" s="196"/>
      <c r="K3" s="196"/>
      <c r="L3" s="196"/>
      <c r="M3" s="196"/>
      <c r="N3" s="196"/>
      <c r="O3" s="196"/>
    </row>
    <row r="4" ht="14.25" spans="1:15">
      <c r="A4" s="192" t="s">
        <v>53</v>
      </c>
      <c r="B4" s="193"/>
      <c r="C4" s="194">
        <v>15.99</v>
      </c>
      <c r="D4" s="194">
        <v>22.99</v>
      </c>
      <c r="F4" s="190"/>
      <c r="G4" s="195" t="s">
        <v>54</v>
      </c>
      <c r="H4" s="196"/>
      <c r="I4" s="196"/>
      <c r="J4" s="196"/>
      <c r="K4" s="196"/>
      <c r="L4" s="196"/>
      <c r="M4" s="196"/>
      <c r="N4" s="196"/>
      <c r="O4" s="196"/>
    </row>
    <row r="5" ht="14.25" spans="1:15">
      <c r="A5" s="192" t="s">
        <v>3</v>
      </c>
      <c r="B5" s="193"/>
      <c r="C5" s="194">
        <v>15.99</v>
      </c>
      <c r="D5" s="194">
        <v>22.99</v>
      </c>
      <c r="F5" s="190"/>
      <c r="G5" s="195" t="s">
        <v>55</v>
      </c>
      <c r="H5" s="196"/>
      <c r="I5" s="196"/>
      <c r="J5" s="196"/>
      <c r="K5" s="196"/>
      <c r="L5" s="196"/>
      <c r="M5" s="196"/>
      <c r="N5" s="196"/>
      <c r="O5" s="196"/>
    </row>
    <row r="6" ht="14.25" spans="1:15">
      <c r="A6" s="192" t="s">
        <v>56</v>
      </c>
      <c r="B6" s="193"/>
      <c r="C6" s="197">
        <f>20/7</f>
        <v>2.85714285714286</v>
      </c>
      <c r="D6" s="197">
        <f>C6</f>
        <v>2.85714285714286</v>
      </c>
      <c r="F6" s="190"/>
      <c r="G6" s="195" t="s">
        <v>57</v>
      </c>
      <c r="H6" s="198"/>
      <c r="I6" s="198"/>
      <c r="J6" s="198"/>
      <c r="K6" s="198"/>
      <c r="L6" s="198"/>
      <c r="M6" s="198"/>
      <c r="N6" s="198"/>
      <c r="O6" s="198"/>
    </row>
    <row r="7" ht="14.25" spans="1:15">
      <c r="A7" s="192" t="s">
        <v>58</v>
      </c>
      <c r="B7" s="193"/>
      <c r="C7" s="197">
        <v>3.48</v>
      </c>
      <c r="D7" s="197">
        <f>C7</f>
        <v>3.48</v>
      </c>
      <c r="F7" s="190"/>
      <c r="G7" s="195" t="s">
        <v>59</v>
      </c>
      <c r="H7" s="198"/>
      <c r="I7" s="198"/>
      <c r="J7" s="198"/>
      <c r="K7" s="198"/>
      <c r="L7" s="198"/>
      <c r="M7" s="198"/>
      <c r="N7" s="198"/>
      <c r="O7" s="198"/>
    </row>
    <row r="8" ht="14.25" spans="1:15">
      <c r="A8" s="199" t="s">
        <v>60</v>
      </c>
      <c r="B8" s="200"/>
      <c r="C8" s="197">
        <f>C5*0.15</f>
        <v>2.3985</v>
      </c>
      <c r="D8" s="197">
        <v>3.45</v>
      </c>
      <c r="F8" s="190" t="s">
        <v>61</v>
      </c>
      <c r="G8" s="195" t="s">
        <v>62</v>
      </c>
      <c r="H8" s="196"/>
      <c r="I8" s="196"/>
      <c r="J8" s="196"/>
      <c r="K8" s="196"/>
      <c r="L8" s="196"/>
      <c r="M8" s="196"/>
      <c r="N8" s="196"/>
      <c r="O8" s="196"/>
    </row>
    <row r="9" ht="14.25" spans="1:15">
      <c r="A9" s="192" t="s">
        <v>63</v>
      </c>
      <c r="B9" s="193"/>
      <c r="C9" s="197">
        <f>6/7</f>
        <v>0.857142857142857</v>
      </c>
      <c r="D9" s="197">
        <f>C9</f>
        <v>0.857142857142857</v>
      </c>
      <c r="F9" s="190"/>
      <c r="G9" s="195" t="s">
        <v>64</v>
      </c>
      <c r="H9" s="196"/>
      <c r="I9" s="196"/>
      <c r="J9" s="196"/>
      <c r="K9" s="196"/>
      <c r="L9" s="196"/>
      <c r="M9" s="196"/>
      <c r="N9" s="196"/>
      <c r="O9" s="196"/>
    </row>
    <row r="10" ht="14.25" spans="1:15">
      <c r="A10" s="201" t="s">
        <v>65</v>
      </c>
      <c r="B10" s="202">
        <v>0.25</v>
      </c>
      <c r="C10" s="203">
        <f>$B10*C$5</f>
        <v>3.9975</v>
      </c>
      <c r="D10" s="203">
        <f>$B10*D$5</f>
        <v>5.7475</v>
      </c>
      <c r="F10" s="190"/>
      <c r="G10" s="195" t="s">
        <v>66</v>
      </c>
      <c r="H10" s="196"/>
      <c r="I10" s="196"/>
      <c r="J10" s="196"/>
      <c r="K10" s="196"/>
      <c r="L10" s="196"/>
      <c r="M10" s="196"/>
      <c r="N10" s="196"/>
      <c r="O10" s="196"/>
    </row>
    <row r="11" ht="14.25" spans="1:15">
      <c r="A11" s="204" t="s">
        <v>67</v>
      </c>
      <c r="B11" s="205">
        <v>0.15</v>
      </c>
      <c r="C11" s="206">
        <f>$B11*C$5</f>
        <v>2.3985</v>
      </c>
      <c r="D11" s="206">
        <f>$B11*D$5</f>
        <v>3.4485</v>
      </c>
      <c r="F11" s="190" t="s">
        <v>68</v>
      </c>
      <c r="G11" s="195" t="s">
        <v>69</v>
      </c>
      <c r="H11" s="196"/>
      <c r="I11" s="196"/>
      <c r="J11" s="196"/>
      <c r="K11" s="196"/>
      <c r="L11" s="196"/>
      <c r="M11" s="196"/>
      <c r="N11" s="196"/>
      <c r="O11" s="196"/>
    </row>
    <row r="12" ht="14.25" spans="1:15">
      <c r="A12" s="151" t="s">
        <v>70</v>
      </c>
      <c r="B12" s="207">
        <v>0.1</v>
      </c>
      <c r="C12" s="206">
        <f>$B12*C$5</f>
        <v>1.599</v>
      </c>
      <c r="D12" s="206">
        <f>$B12*D$5</f>
        <v>2.299</v>
      </c>
      <c r="F12" s="190"/>
      <c r="G12" s="195" t="s">
        <v>71</v>
      </c>
      <c r="H12" s="196"/>
      <c r="I12" s="196"/>
      <c r="J12" s="196"/>
      <c r="K12" s="196"/>
      <c r="L12" s="196"/>
      <c r="M12" s="196"/>
      <c r="N12" s="196"/>
      <c r="O12" s="196"/>
    </row>
    <row r="13" ht="14.25" spans="1:15">
      <c r="A13" s="208" t="s">
        <v>72</v>
      </c>
      <c r="B13" s="209"/>
      <c r="C13" s="210">
        <f>C$5-C$6-C$7-C$8-C$9-C10</f>
        <v>2.39971428571428</v>
      </c>
      <c r="D13" s="210">
        <f>D$5-D$6-D$7-D$8-D$9-D10</f>
        <v>6.59821428571428</v>
      </c>
      <c r="F13" s="190"/>
      <c r="G13" s="195" t="s">
        <v>73</v>
      </c>
      <c r="H13" s="196"/>
      <c r="I13" s="196"/>
      <c r="J13" s="196"/>
      <c r="K13" s="196"/>
      <c r="L13" s="196"/>
      <c r="M13" s="196"/>
      <c r="N13" s="196"/>
      <c r="O13" s="196"/>
    </row>
    <row r="14" ht="14.25" spans="1:15">
      <c r="A14" s="211" t="s">
        <v>74</v>
      </c>
      <c r="B14" s="205"/>
      <c r="C14" s="212">
        <f>C$13/C5</f>
        <v>0.150075940319843</v>
      </c>
      <c r="D14" s="212">
        <f>D$13/D5</f>
        <v>0.287003666190269</v>
      </c>
      <c r="F14" s="190"/>
      <c r="G14" s="195" t="s">
        <v>75</v>
      </c>
      <c r="H14" s="198"/>
      <c r="I14" s="198"/>
      <c r="J14" s="198"/>
      <c r="K14" s="198"/>
      <c r="L14" s="198"/>
      <c r="M14" s="198"/>
      <c r="N14" s="198"/>
      <c r="O14" s="198"/>
    </row>
    <row r="15" ht="14.25" spans="1:15">
      <c r="A15" s="201" t="s">
        <v>65</v>
      </c>
      <c r="B15" s="202">
        <v>0.15</v>
      </c>
      <c r="C15" s="203">
        <f>$B15*C$5</f>
        <v>2.3985</v>
      </c>
      <c r="D15" s="203">
        <f>$B15*D$5</f>
        <v>3.4485</v>
      </c>
      <c r="F15" s="190"/>
      <c r="G15" s="195" t="s">
        <v>76</v>
      </c>
      <c r="H15" s="198"/>
      <c r="I15" s="198"/>
      <c r="J15" s="198"/>
      <c r="K15" s="198"/>
      <c r="L15" s="198"/>
      <c r="M15" s="198"/>
      <c r="N15" s="198"/>
      <c r="O15" s="198"/>
    </row>
    <row r="16" ht="14.25" spans="1:15">
      <c r="A16" s="208" t="s">
        <v>72</v>
      </c>
      <c r="B16" s="209"/>
      <c r="C16" s="210">
        <f>C$5-C$6-C$7-C$8-C$9-C15</f>
        <v>3.99871428571428</v>
      </c>
      <c r="D16" s="210">
        <f>D$5-D$6-D$7-D$8-D$9-D15</f>
        <v>8.89721428571428</v>
      </c>
      <c r="F16" s="190" t="s">
        <v>77</v>
      </c>
      <c r="G16" s="195" t="s">
        <v>78</v>
      </c>
      <c r="H16" s="196"/>
      <c r="I16" s="196"/>
      <c r="J16" s="196"/>
      <c r="K16" s="196"/>
      <c r="L16" s="196"/>
      <c r="M16" s="196"/>
      <c r="N16" s="196"/>
      <c r="O16" s="196"/>
    </row>
    <row r="17" ht="14.25" spans="1:15">
      <c r="A17" s="211" t="s">
        <v>74</v>
      </c>
      <c r="B17" s="205"/>
      <c r="C17" s="212">
        <f>C16/$C$5</f>
        <v>0.250075940319843</v>
      </c>
      <c r="D17" s="212">
        <f>D16/D5</f>
        <v>0.387003666190269</v>
      </c>
      <c r="F17" s="190"/>
      <c r="G17" s="195" t="s">
        <v>79</v>
      </c>
      <c r="H17" s="196"/>
      <c r="I17" s="196"/>
      <c r="J17" s="196"/>
      <c r="K17" s="196"/>
      <c r="L17" s="196"/>
      <c r="M17" s="196"/>
      <c r="N17" s="196"/>
      <c r="O17" s="196"/>
    </row>
    <row r="18" ht="14.25" spans="1:15">
      <c r="A18" s="201" t="s">
        <v>65</v>
      </c>
      <c r="B18" s="202">
        <v>0.1</v>
      </c>
      <c r="C18" s="203">
        <f>$B18*C$5</f>
        <v>1.599</v>
      </c>
      <c r="D18" s="203">
        <f>$B18*D$5</f>
        <v>2.299</v>
      </c>
      <c r="F18" s="190"/>
      <c r="G18" s="195" t="s">
        <v>80</v>
      </c>
      <c r="H18" s="196"/>
      <c r="I18" s="196"/>
      <c r="J18" s="196"/>
      <c r="K18" s="196"/>
      <c r="L18" s="196"/>
      <c r="M18" s="196"/>
      <c r="N18" s="196"/>
      <c r="O18" s="196"/>
    </row>
    <row r="19" ht="14.25" spans="1:15">
      <c r="A19" s="213" t="s">
        <v>72</v>
      </c>
      <c r="B19" s="214"/>
      <c r="C19" s="210">
        <f>C$5-C$6-C$7-C$8-C$9-C18</f>
        <v>4.79821428571428</v>
      </c>
      <c r="D19" s="210">
        <f>D$5-D$6-D$7-D$8-D$9-D18</f>
        <v>10.0467142857143</v>
      </c>
      <c r="F19" s="190" t="s">
        <v>67</v>
      </c>
      <c r="G19" s="195" t="s">
        <v>81</v>
      </c>
      <c r="H19" s="196"/>
      <c r="I19" s="196"/>
      <c r="J19" s="196"/>
      <c r="K19" s="196"/>
      <c r="L19" s="196"/>
      <c r="M19" s="196"/>
      <c r="N19" s="196"/>
      <c r="O19" s="196"/>
    </row>
    <row r="20" ht="14.25" spans="1:15">
      <c r="A20" s="211" t="s">
        <v>74</v>
      </c>
      <c r="B20" s="205"/>
      <c r="C20" s="212">
        <f>C19/$C$5</f>
        <v>0.300075940319843</v>
      </c>
      <c r="D20" s="212">
        <f>D19/$C$5</f>
        <v>0.628312338068436</v>
      </c>
      <c r="F20" s="190"/>
      <c r="G20" s="195" t="s">
        <v>82</v>
      </c>
      <c r="H20" s="196"/>
      <c r="I20" s="196"/>
      <c r="J20" s="196"/>
      <c r="K20" s="196"/>
      <c r="L20" s="196"/>
      <c r="M20" s="196"/>
      <c r="N20" s="196"/>
      <c r="O20" s="196"/>
    </row>
    <row r="21" ht="14.25" spans="1:15">
      <c r="A21" s="201" t="s">
        <v>83</v>
      </c>
      <c r="B21" s="215"/>
      <c r="C21" s="216"/>
      <c r="D21" s="216"/>
      <c r="F21" s="217" t="s">
        <v>84</v>
      </c>
      <c r="G21" s="195" t="s">
        <v>85</v>
      </c>
      <c r="H21" s="196"/>
      <c r="I21" s="196"/>
      <c r="J21" s="196"/>
      <c r="K21" s="196"/>
      <c r="L21" s="196"/>
      <c r="M21" s="196"/>
      <c r="N21" s="196"/>
      <c r="O21" s="196"/>
    </row>
    <row r="22" s="184" customFormat="1" ht="14.25" spans="1:15">
      <c r="A22" s="218"/>
      <c r="B22" s="219"/>
      <c r="C22" s="220"/>
      <c r="D22" s="220"/>
      <c r="F22" s="221"/>
      <c r="G22" s="195" t="s">
        <v>86</v>
      </c>
      <c r="H22" s="196"/>
      <c r="I22" s="196"/>
      <c r="J22" s="196"/>
      <c r="K22" s="196"/>
      <c r="L22" s="196"/>
      <c r="M22" s="196"/>
      <c r="N22" s="196"/>
      <c r="O22" s="196"/>
    </row>
    <row r="23" s="184" customFormat="1" ht="12" spans="1:13">
      <c r="A23" s="218"/>
      <c r="B23" s="219"/>
      <c r="C23" s="220"/>
      <c r="D23" s="220"/>
      <c r="G23" s="112"/>
      <c r="H23" s="112"/>
      <c r="I23" s="112"/>
      <c r="J23" s="112"/>
      <c r="K23" s="112"/>
      <c r="L23" s="112"/>
      <c r="M23" s="112"/>
    </row>
    <row r="24" s="184" customFormat="1" ht="12" spans="1:13">
      <c r="A24" s="218"/>
      <c r="B24" s="219"/>
      <c r="C24" s="220"/>
      <c r="D24" s="220"/>
      <c r="G24" s="112"/>
      <c r="H24" s="112"/>
      <c r="I24" s="112"/>
      <c r="J24" s="112"/>
      <c r="K24" s="112"/>
      <c r="L24" s="112"/>
      <c r="M24" s="112"/>
    </row>
    <row r="25" s="184" customFormat="1" ht="12" spans="1:13">
      <c r="A25" s="218"/>
      <c r="B25" s="219"/>
      <c r="C25" s="220"/>
      <c r="D25" s="220"/>
      <c r="G25" s="112"/>
      <c r="H25" s="112"/>
      <c r="I25" s="112"/>
      <c r="J25" s="112"/>
      <c r="K25" s="112"/>
      <c r="L25" s="112"/>
      <c r="M25" s="112"/>
    </row>
    <row r="26" s="184" customFormat="1" ht="11" customHeight="1" spans="1:15">
      <c r="A26" s="218"/>
      <c r="B26" s="219"/>
      <c r="C26" s="220"/>
      <c r="D26" s="220"/>
      <c r="F26" s="112"/>
      <c r="G26" s="112"/>
      <c r="H26" s="112"/>
      <c r="I26" s="112"/>
      <c r="J26" s="112"/>
      <c r="K26" s="112"/>
      <c r="L26" s="112"/>
      <c r="M26" s="112"/>
      <c r="N26" s="186"/>
      <c r="O26" s="186"/>
    </row>
    <row r="28" ht="18" customHeight="1"/>
  </sheetData>
  <mergeCells count="6">
    <mergeCell ref="F3:F7"/>
    <mergeCell ref="F8:F10"/>
    <mergeCell ref="F11:F15"/>
    <mergeCell ref="F16:F18"/>
    <mergeCell ref="F19:F20"/>
    <mergeCell ref="F21:F22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4"/>
  <sheetViews>
    <sheetView zoomScale="140" zoomScaleNormal="140" workbookViewId="0">
      <pane ySplit="2" topLeftCell="A9" activePane="bottomLeft" state="frozen"/>
      <selection/>
      <selection pane="bottomLeft" activeCell="G16" sqref="G16"/>
    </sheetView>
  </sheetViews>
  <sheetFormatPr defaultColWidth="9" defaultRowHeight="15" customHeight="1" outlineLevelCol="5"/>
  <cols>
    <col min="1" max="2" width="9" style="175"/>
    <col min="3" max="3" width="46.125" style="175" customWidth="1"/>
    <col min="4" max="4" width="16.5" style="176" customWidth="1"/>
    <col min="5" max="5" width="22.125" style="175" customWidth="1"/>
    <col min="6" max="16384" width="9" style="175"/>
  </cols>
  <sheetData>
    <row r="1" customHeight="1" spans="1:6">
      <c r="A1" s="177" t="s">
        <v>35</v>
      </c>
      <c r="B1" s="177" t="s">
        <v>87</v>
      </c>
      <c r="C1" s="177" t="s">
        <v>88</v>
      </c>
      <c r="D1" s="177" t="s">
        <v>89</v>
      </c>
      <c r="E1" s="177" t="s">
        <v>90</v>
      </c>
      <c r="F1" s="23" t="s">
        <v>91</v>
      </c>
    </row>
    <row r="2" customHeight="1" spans="1:5">
      <c r="A2" s="178" t="s">
        <v>92</v>
      </c>
      <c r="B2" s="122">
        <v>1</v>
      </c>
      <c r="C2" s="179" t="s">
        <v>93</v>
      </c>
      <c r="D2" s="179"/>
      <c r="E2" s="177">
        <v>1</v>
      </c>
    </row>
    <row r="3" customHeight="1" spans="1:5">
      <c r="A3" s="178"/>
      <c r="B3" s="122">
        <v>2</v>
      </c>
      <c r="C3" s="179" t="s">
        <v>94</v>
      </c>
      <c r="D3" s="179"/>
      <c r="E3" s="177">
        <v>1</v>
      </c>
    </row>
    <row r="4" customHeight="1" spans="1:5">
      <c r="A4" s="178"/>
      <c r="B4" s="122">
        <v>3</v>
      </c>
      <c r="C4" s="180" t="s">
        <v>95</v>
      </c>
      <c r="D4" s="179" t="s">
        <v>96</v>
      </c>
      <c r="E4" s="177">
        <v>1</v>
      </c>
    </row>
    <row r="5" customHeight="1" spans="1:5">
      <c r="A5" s="178"/>
      <c r="B5" s="122">
        <v>4</v>
      </c>
      <c r="C5" s="179" t="s">
        <v>97</v>
      </c>
      <c r="D5" s="179" t="s">
        <v>96</v>
      </c>
      <c r="E5" s="177"/>
    </row>
    <row r="6" customHeight="1" spans="1:5">
      <c r="A6" s="178"/>
      <c r="B6" s="122">
        <v>5</v>
      </c>
      <c r="C6" s="179" t="s">
        <v>98</v>
      </c>
      <c r="D6" s="179" t="s">
        <v>96</v>
      </c>
      <c r="E6" s="177">
        <v>1</v>
      </c>
    </row>
    <row r="7" customHeight="1" spans="1:5">
      <c r="A7" s="178"/>
      <c r="B7" s="122">
        <v>6</v>
      </c>
      <c r="C7" s="179" t="s">
        <v>99</v>
      </c>
      <c r="D7" s="179" t="s">
        <v>96</v>
      </c>
      <c r="E7" s="177"/>
    </row>
    <row r="8" customHeight="1" spans="1:5">
      <c r="A8" s="178"/>
      <c r="B8" s="122">
        <v>7</v>
      </c>
      <c r="C8" s="179" t="s">
        <v>100</v>
      </c>
      <c r="D8" s="179" t="s">
        <v>96</v>
      </c>
      <c r="E8" s="177"/>
    </row>
    <row r="9" customHeight="1" spans="1:5">
      <c r="A9" s="178"/>
      <c r="B9" s="122">
        <v>8</v>
      </c>
      <c r="C9" s="179" t="s">
        <v>101</v>
      </c>
      <c r="D9" s="179" t="s">
        <v>102</v>
      </c>
      <c r="E9" s="177">
        <v>1</v>
      </c>
    </row>
    <row r="10" customHeight="1" spans="1:5">
      <c r="A10" s="178"/>
      <c r="B10" s="122">
        <v>9</v>
      </c>
      <c r="C10" s="179" t="s">
        <v>103</v>
      </c>
      <c r="D10" s="179" t="s">
        <v>104</v>
      </c>
      <c r="E10" s="177"/>
    </row>
    <row r="11" customHeight="1" spans="1:5">
      <c r="A11" s="178"/>
      <c r="B11" s="122">
        <v>10</v>
      </c>
      <c r="C11" s="179" t="s">
        <v>105</v>
      </c>
      <c r="D11" s="179" t="s">
        <v>104</v>
      </c>
      <c r="E11" s="177" t="s">
        <v>106</v>
      </c>
    </row>
    <row r="12" customHeight="1" spans="1:5">
      <c r="A12" s="178"/>
      <c r="B12" s="122">
        <v>11</v>
      </c>
      <c r="C12" s="179" t="s">
        <v>107</v>
      </c>
      <c r="D12" s="179" t="s">
        <v>108</v>
      </c>
      <c r="E12" s="177"/>
    </row>
    <row r="13" customHeight="1" spans="1:5">
      <c r="A13" s="178"/>
      <c r="B13" s="122">
        <v>12</v>
      </c>
      <c r="C13" s="179" t="s">
        <v>109</v>
      </c>
      <c r="D13" s="179" t="s">
        <v>104</v>
      </c>
      <c r="E13" s="177"/>
    </row>
    <row r="14" customHeight="1" spans="1:5">
      <c r="A14" s="178"/>
      <c r="B14" s="122">
        <v>13</v>
      </c>
      <c r="C14" s="179" t="s">
        <v>110</v>
      </c>
      <c r="D14" s="179" t="s">
        <v>111</v>
      </c>
      <c r="E14" s="177"/>
    </row>
    <row r="15" customHeight="1" spans="1:5">
      <c r="A15" s="178"/>
      <c r="B15" s="122">
        <v>14</v>
      </c>
      <c r="C15" s="179" t="s">
        <v>112</v>
      </c>
      <c r="D15" s="179" t="s">
        <v>104</v>
      </c>
      <c r="E15" s="177"/>
    </row>
    <row r="16" customHeight="1" spans="1:5">
      <c r="A16" s="178"/>
      <c r="B16" s="122">
        <v>15</v>
      </c>
      <c r="C16" s="179" t="s">
        <v>113</v>
      </c>
      <c r="D16" s="179" t="s">
        <v>104</v>
      </c>
      <c r="E16" s="177"/>
    </row>
    <row r="17" customHeight="1" spans="1:5">
      <c r="A17" s="178"/>
      <c r="B17" s="122">
        <v>16</v>
      </c>
      <c r="C17" s="179" t="s">
        <v>114</v>
      </c>
      <c r="D17" s="179" t="s">
        <v>115</v>
      </c>
      <c r="E17" s="177"/>
    </row>
    <row r="18" customHeight="1" spans="1:5">
      <c r="A18" s="178"/>
      <c r="B18" s="122">
        <v>17</v>
      </c>
      <c r="C18" s="179" t="s">
        <v>116</v>
      </c>
      <c r="D18" s="179" t="s">
        <v>117</v>
      </c>
      <c r="E18" s="177"/>
    </row>
    <row r="19" customHeight="1" spans="1:5">
      <c r="A19" s="178" t="s">
        <v>26</v>
      </c>
      <c r="B19" s="122">
        <v>18</v>
      </c>
      <c r="C19" s="179" t="s">
        <v>118</v>
      </c>
      <c r="D19" s="181"/>
      <c r="E19" s="177"/>
    </row>
    <row r="20" customHeight="1" spans="1:5">
      <c r="A20" s="178"/>
      <c r="B20" s="122">
        <v>19</v>
      </c>
      <c r="C20" s="179" t="s">
        <v>119</v>
      </c>
      <c r="D20" s="181"/>
      <c r="E20" s="177"/>
    </row>
    <row r="21" customHeight="1" spans="1:5">
      <c r="A21" s="178"/>
      <c r="B21" s="122">
        <v>20</v>
      </c>
      <c r="C21" s="179" t="s">
        <v>120</v>
      </c>
      <c r="D21" s="181"/>
      <c r="E21" s="177"/>
    </row>
    <row r="22" customHeight="1" spans="1:5">
      <c r="A22" s="178"/>
      <c r="B22" s="122">
        <v>21</v>
      </c>
      <c r="C22" s="179" t="s">
        <v>121</v>
      </c>
      <c r="D22" s="181"/>
      <c r="E22" s="177"/>
    </row>
    <row r="23" customHeight="1" spans="1:5">
      <c r="A23" s="178"/>
      <c r="B23" s="122">
        <v>22</v>
      </c>
      <c r="C23" s="179" t="s">
        <v>122</v>
      </c>
      <c r="D23" s="181"/>
      <c r="E23" s="177"/>
    </row>
    <row r="24" customHeight="1" spans="1:5">
      <c r="A24" s="178"/>
      <c r="B24" s="122">
        <v>23</v>
      </c>
      <c r="C24" s="179" t="s">
        <v>123</v>
      </c>
      <c r="D24" s="181"/>
      <c r="E24" s="177"/>
    </row>
    <row r="25" customHeight="1" spans="1:5">
      <c r="A25" s="178"/>
      <c r="B25" s="122">
        <v>24</v>
      </c>
      <c r="C25" s="179" t="s">
        <v>124</v>
      </c>
      <c r="D25" s="181"/>
      <c r="E25" s="177"/>
    </row>
    <row r="26" customHeight="1" spans="1:5">
      <c r="A26" s="178"/>
      <c r="B26" s="122">
        <v>25</v>
      </c>
      <c r="C26" s="179" t="s">
        <v>125</v>
      </c>
      <c r="D26" s="181"/>
      <c r="E26" s="177"/>
    </row>
    <row r="27" customHeight="1" spans="1:5">
      <c r="A27" s="178"/>
      <c r="B27" s="122">
        <v>26</v>
      </c>
      <c r="C27" s="179" t="s">
        <v>126</v>
      </c>
      <c r="D27" s="181"/>
      <c r="E27" s="177"/>
    </row>
    <row r="28" customHeight="1" spans="3:4">
      <c r="C28" s="182"/>
      <c r="D28" s="183"/>
    </row>
    <row r="29" customHeight="1" spans="3:4">
      <c r="C29" s="182"/>
      <c r="D29" s="183"/>
    </row>
    <row r="30" customHeight="1" spans="3:4">
      <c r="C30" s="182"/>
      <c r="D30" s="183"/>
    </row>
    <row r="31" customHeight="1" spans="3:4">
      <c r="C31" s="182"/>
      <c r="D31" s="183"/>
    </row>
    <row r="32" customHeight="1" spans="3:4">
      <c r="C32" s="182"/>
      <c r="D32" s="183"/>
    </row>
    <row r="33" customHeight="1" spans="3:4">
      <c r="C33" s="182"/>
      <c r="D33" s="183"/>
    </row>
    <row r="34" customHeight="1" spans="3:4">
      <c r="C34" s="182"/>
      <c r="D34" s="183"/>
    </row>
    <row r="35" customHeight="1" spans="3:4">
      <c r="C35" s="182"/>
      <c r="D35" s="183"/>
    </row>
    <row r="36" customHeight="1" spans="3:4">
      <c r="C36" s="182"/>
      <c r="D36" s="183"/>
    </row>
    <row r="37" customHeight="1" spans="3:4">
      <c r="C37" s="182"/>
      <c r="D37" s="183"/>
    </row>
    <row r="38" customHeight="1" spans="3:4">
      <c r="C38" s="182"/>
      <c r="D38" s="183"/>
    </row>
    <row r="39" customHeight="1" spans="3:4">
      <c r="C39" s="182"/>
      <c r="D39" s="183"/>
    </row>
    <row r="40" customHeight="1" spans="3:4">
      <c r="C40" s="182"/>
      <c r="D40" s="183"/>
    </row>
    <row r="41" customHeight="1" spans="3:4">
      <c r="C41" s="182"/>
      <c r="D41" s="183"/>
    </row>
    <row r="42" customHeight="1" spans="3:4">
      <c r="C42" s="182"/>
      <c r="D42" s="183"/>
    </row>
    <row r="43" customHeight="1" spans="3:4">
      <c r="C43" s="182"/>
      <c r="D43" s="183"/>
    </row>
    <row r="44" customHeight="1" spans="3:4">
      <c r="C44" s="182"/>
      <c r="D44" s="183"/>
    </row>
    <row r="45" customHeight="1" spans="3:4">
      <c r="C45" s="182"/>
      <c r="D45" s="183"/>
    </row>
    <row r="46" customHeight="1" spans="3:4">
      <c r="C46" s="182"/>
      <c r="D46" s="183"/>
    </row>
    <row r="47" customHeight="1" spans="3:4">
      <c r="C47" s="182"/>
      <c r="D47" s="183"/>
    </row>
    <row r="48" customHeight="1" spans="3:4">
      <c r="C48" s="182"/>
      <c r="D48" s="183"/>
    </row>
    <row r="49" customHeight="1" spans="3:4">
      <c r="C49" s="182"/>
      <c r="D49" s="183"/>
    </row>
    <row r="50" customHeight="1" spans="3:4">
      <c r="C50" s="182"/>
      <c r="D50" s="183"/>
    </row>
    <row r="51" customHeight="1" spans="3:4">
      <c r="C51" s="182"/>
      <c r="D51" s="183"/>
    </row>
    <row r="52" customHeight="1" spans="3:4">
      <c r="C52" s="182"/>
      <c r="D52" s="183"/>
    </row>
    <row r="53" customHeight="1" spans="3:4">
      <c r="C53" s="182"/>
      <c r="D53" s="183"/>
    </row>
    <row r="54" customHeight="1" spans="3:4">
      <c r="C54" s="182"/>
      <c r="D54" s="183"/>
    </row>
    <row r="55" customHeight="1" spans="3:4">
      <c r="C55" s="182"/>
      <c r="D55" s="183"/>
    </row>
    <row r="56" customHeight="1" spans="3:4">
      <c r="C56" s="182"/>
      <c r="D56" s="183"/>
    </row>
    <row r="57" customHeight="1" spans="3:4">
      <c r="C57" s="182"/>
      <c r="D57" s="183"/>
    </row>
    <row r="58" customHeight="1" spans="3:4">
      <c r="C58" s="182"/>
      <c r="D58" s="183"/>
    </row>
    <row r="59" customHeight="1" spans="3:4">
      <c r="C59" s="182"/>
      <c r="D59" s="183"/>
    </row>
    <row r="60" customHeight="1" spans="3:4">
      <c r="C60" s="182"/>
      <c r="D60" s="183"/>
    </row>
    <row r="61" customHeight="1" spans="3:4">
      <c r="C61" s="182"/>
      <c r="D61" s="183"/>
    </row>
    <row r="62" customHeight="1" spans="3:4">
      <c r="C62" s="182"/>
      <c r="D62" s="183"/>
    </row>
    <row r="63" customHeight="1" spans="3:4">
      <c r="C63" s="182"/>
      <c r="D63" s="183"/>
    </row>
    <row r="64" customHeight="1" spans="3:4">
      <c r="C64" s="182"/>
      <c r="D64" s="183"/>
    </row>
    <row r="65" customHeight="1" spans="3:4">
      <c r="C65" s="182"/>
      <c r="D65" s="183"/>
    </row>
    <row r="66" customHeight="1" spans="3:4">
      <c r="C66" s="182"/>
      <c r="D66" s="183"/>
    </row>
    <row r="67" customHeight="1" spans="3:4">
      <c r="C67" s="182"/>
      <c r="D67" s="183"/>
    </row>
    <row r="68" customHeight="1" spans="3:4">
      <c r="C68" s="182"/>
      <c r="D68" s="183"/>
    </row>
    <row r="69" customHeight="1" spans="3:4">
      <c r="C69" s="182"/>
      <c r="D69" s="183"/>
    </row>
    <row r="70" customHeight="1" spans="3:4">
      <c r="C70" s="182"/>
      <c r="D70" s="183"/>
    </row>
    <row r="71" customHeight="1" spans="3:4">
      <c r="C71" s="182"/>
      <c r="D71" s="183"/>
    </row>
    <row r="72" customHeight="1" spans="3:4">
      <c r="C72" s="182"/>
      <c r="D72" s="183"/>
    </row>
    <row r="73" customHeight="1" spans="3:4">
      <c r="C73" s="182"/>
      <c r="D73" s="183"/>
    </row>
    <row r="74" customHeight="1" spans="3:4">
      <c r="C74" s="182"/>
      <c r="D74" s="183"/>
    </row>
    <row r="75" customHeight="1" spans="3:4">
      <c r="C75" s="182"/>
      <c r="D75" s="183"/>
    </row>
    <row r="76" customHeight="1" spans="3:4">
      <c r="C76" s="182"/>
      <c r="D76" s="183"/>
    </row>
    <row r="77" customHeight="1" spans="3:4">
      <c r="C77" s="182"/>
      <c r="D77" s="183"/>
    </row>
    <row r="78" customHeight="1" spans="3:4">
      <c r="C78" s="182"/>
      <c r="D78" s="183"/>
    </row>
    <row r="79" customHeight="1" spans="3:4">
      <c r="C79" s="182"/>
      <c r="D79" s="183"/>
    </row>
    <row r="80" customHeight="1" spans="3:4">
      <c r="C80" s="182"/>
      <c r="D80" s="183"/>
    </row>
    <row r="81" customHeight="1" spans="3:4">
      <c r="C81" s="182"/>
      <c r="D81" s="183"/>
    </row>
    <row r="82" customHeight="1" spans="3:4">
      <c r="C82" s="182"/>
      <c r="D82" s="183"/>
    </row>
    <row r="83" customHeight="1" spans="3:4">
      <c r="C83" s="182"/>
      <c r="D83" s="183"/>
    </row>
    <row r="84" customHeight="1" spans="3:4">
      <c r="C84" s="182"/>
      <c r="D84" s="183"/>
    </row>
    <row r="85" customHeight="1" spans="3:4">
      <c r="C85" s="182"/>
      <c r="D85" s="183"/>
    </row>
    <row r="86" customHeight="1" spans="3:4">
      <c r="C86" s="182"/>
      <c r="D86" s="183"/>
    </row>
    <row r="87" customHeight="1" spans="3:4">
      <c r="C87" s="182"/>
      <c r="D87" s="183"/>
    </row>
    <row r="88" customHeight="1" spans="3:4">
      <c r="C88" s="182"/>
      <c r="D88" s="183"/>
    </row>
    <row r="89" customHeight="1" spans="3:4">
      <c r="C89" s="182"/>
      <c r="D89" s="183"/>
    </row>
    <row r="90" customHeight="1" spans="3:4">
      <c r="C90" s="182"/>
      <c r="D90" s="183"/>
    </row>
    <row r="91" customHeight="1" spans="3:4">
      <c r="C91" s="182"/>
      <c r="D91" s="183"/>
    </row>
    <row r="92" customHeight="1" spans="3:4">
      <c r="C92" s="182"/>
      <c r="D92" s="183"/>
    </row>
    <row r="93" customHeight="1" spans="3:4">
      <c r="C93" s="182"/>
      <c r="D93" s="183"/>
    </row>
    <row r="94" customHeight="1" spans="3:4">
      <c r="C94" s="182"/>
      <c r="D94" s="183"/>
    </row>
    <row r="95" customHeight="1" spans="3:4">
      <c r="C95" s="182"/>
      <c r="D95" s="183"/>
    </row>
    <row r="96" customHeight="1" spans="3:4">
      <c r="C96" s="182"/>
      <c r="D96" s="183"/>
    </row>
    <row r="97" customHeight="1" spans="3:4">
      <c r="C97" s="182"/>
      <c r="D97" s="183"/>
    </row>
    <row r="98" customHeight="1" spans="3:4">
      <c r="C98" s="182"/>
      <c r="D98" s="183"/>
    </row>
    <row r="99" customHeight="1" spans="3:4">
      <c r="C99" s="182"/>
      <c r="D99" s="183"/>
    </row>
    <row r="100" customHeight="1" spans="3:4">
      <c r="C100" s="182"/>
      <c r="D100" s="183"/>
    </row>
    <row r="101" customHeight="1" spans="3:4">
      <c r="C101" s="182"/>
      <c r="D101" s="183"/>
    </row>
    <row r="102" customHeight="1" spans="3:4">
      <c r="C102" s="182"/>
      <c r="D102" s="183"/>
    </row>
    <row r="103" customHeight="1" spans="3:4">
      <c r="C103" s="182"/>
      <c r="D103" s="183"/>
    </row>
    <row r="104" customHeight="1" spans="3:4">
      <c r="C104" s="182"/>
      <c r="D104" s="183"/>
    </row>
    <row r="105" customHeight="1" spans="3:4">
      <c r="C105" s="182"/>
      <c r="D105" s="183"/>
    </row>
    <row r="106" customHeight="1" spans="3:4">
      <c r="C106" s="182"/>
      <c r="D106" s="183"/>
    </row>
    <row r="107" customHeight="1" spans="3:4">
      <c r="C107" s="182"/>
      <c r="D107" s="183"/>
    </row>
    <row r="108" customHeight="1" spans="3:4">
      <c r="C108" s="182"/>
      <c r="D108" s="183"/>
    </row>
    <row r="109" customHeight="1" spans="3:4">
      <c r="C109" s="182"/>
      <c r="D109" s="183"/>
    </row>
    <row r="110" customHeight="1" spans="3:4">
      <c r="C110" s="182"/>
      <c r="D110" s="183"/>
    </row>
    <row r="111" customHeight="1" spans="3:4">
      <c r="C111" s="182"/>
      <c r="D111" s="183"/>
    </row>
    <row r="112" customHeight="1" spans="3:4">
      <c r="C112" s="182"/>
      <c r="D112" s="183"/>
    </row>
    <row r="113" customHeight="1" spans="3:4">
      <c r="C113" s="182"/>
      <c r="D113" s="183"/>
    </row>
    <row r="114" customHeight="1" spans="3:4">
      <c r="C114" s="182"/>
      <c r="D114" s="183"/>
    </row>
    <row r="115" customHeight="1" spans="3:4">
      <c r="C115" s="182"/>
      <c r="D115" s="183"/>
    </row>
    <row r="116" customHeight="1" spans="3:4">
      <c r="C116" s="182"/>
      <c r="D116" s="183"/>
    </row>
    <row r="117" customHeight="1" spans="3:4">
      <c r="C117" s="182"/>
      <c r="D117" s="183"/>
    </row>
    <row r="118" customHeight="1" spans="3:4">
      <c r="C118" s="182"/>
      <c r="D118" s="183"/>
    </row>
    <row r="119" customHeight="1" spans="3:4">
      <c r="C119" s="182"/>
      <c r="D119" s="183"/>
    </row>
    <row r="120" customHeight="1" spans="3:4">
      <c r="C120" s="182"/>
      <c r="D120" s="183"/>
    </row>
    <row r="121" customHeight="1" spans="3:4">
      <c r="C121" s="182"/>
      <c r="D121" s="183"/>
    </row>
    <row r="122" customHeight="1" spans="3:4">
      <c r="C122" s="182"/>
      <c r="D122" s="183"/>
    </row>
    <row r="123" customHeight="1" spans="3:4">
      <c r="C123" s="182"/>
      <c r="D123" s="183"/>
    </row>
    <row r="124" customHeight="1" spans="3:4">
      <c r="C124" s="182"/>
      <c r="D124" s="183"/>
    </row>
    <row r="125" customHeight="1" spans="3:4">
      <c r="C125" s="182"/>
      <c r="D125" s="183"/>
    </row>
    <row r="126" customHeight="1" spans="3:4">
      <c r="C126" s="182"/>
      <c r="D126" s="183"/>
    </row>
    <row r="127" customHeight="1" spans="3:4">
      <c r="C127" s="182"/>
      <c r="D127" s="183"/>
    </row>
    <row r="128" customHeight="1" spans="3:4">
      <c r="C128" s="182"/>
      <c r="D128" s="183"/>
    </row>
    <row r="129" customHeight="1" spans="3:4">
      <c r="C129" s="182"/>
      <c r="D129" s="183"/>
    </row>
    <row r="130" customHeight="1" spans="3:4">
      <c r="C130" s="182"/>
      <c r="D130" s="183"/>
    </row>
    <row r="131" customHeight="1" spans="3:4">
      <c r="C131" s="182"/>
      <c r="D131" s="183"/>
    </row>
    <row r="132" customHeight="1" spans="3:4">
      <c r="C132" s="182"/>
      <c r="D132" s="183"/>
    </row>
    <row r="133" customHeight="1" spans="3:4">
      <c r="C133" s="182"/>
      <c r="D133" s="183"/>
    </row>
    <row r="134" customHeight="1" spans="3:4">
      <c r="C134" s="182"/>
      <c r="D134" s="183"/>
    </row>
    <row r="135" customHeight="1" spans="3:4">
      <c r="C135" s="182"/>
      <c r="D135" s="183"/>
    </row>
    <row r="136" customHeight="1" spans="3:4">
      <c r="C136" s="182"/>
      <c r="D136" s="183"/>
    </row>
    <row r="137" customHeight="1" spans="3:4">
      <c r="C137" s="182"/>
      <c r="D137" s="183"/>
    </row>
    <row r="138" customHeight="1" spans="3:4">
      <c r="C138" s="182"/>
      <c r="D138" s="183"/>
    </row>
    <row r="139" customHeight="1" spans="3:4">
      <c r="C139" s="182"/>
      <c r="D139" s="183"/>
    </row>
    <row r="140" customHeight="1" spans="3:4">
      <c r="C140" s="182"/>
      <c r="D140" s="183"/>
    </row>
    <row r="141" customHeight="1" spans="3:4">
      <c r="C141" s="182"/>
      <c r="D141" s="183"/>
    </row>
    <row r="142" customHeight="1" spans="3:4">
      <c r="C142" s="182"/>
      <c r="D142" s="183"/>
    </row>
    <row r="143" customHeight="1" spans="3:4">
      <c r="C143" s="182"/>
      <c r="D143" s="183"/>
    </row>
    <row r="144" customHeight="1" spans="3:4">
      <c r="C144" s="182"/>
      <c r="D144" s="183"/>
    </row>
    <row r="145" customHeight="1" spans="3:4">
      <c r="C145" s="182"/>
      <c r="D145" s="183"/>
    </row>
    <row r="146" customHeight="1" spans="3:4">
      <c r="C146" s="182"/>
      <c r="D146" s="183"/>
    </row>
    <row r="147" customHeight="1" spans="3:4">
      <c r="C147" s="182"/>
      <c r="D147" s="183"/>
    </row>
    <row r="148" customHeight="1" spans="3:4">
      <c r="C148" s="182"/>
      <c r="D148" s="183"/>
    </row>
    <row r="149" customHeight="1" spans="3:4">
      <c r="C149" s="182"/>
      <c r="D149" s="183"/>
    </row>
    <row r="150" customHeight="1" spans="3:4">
      <c r="C150" s="182"/>
      <c r="D150" s="183"/>
    </row>
    <row r="151" customHeight="1" spans="3:4">
      <c r="C151" s="182"/>
      <c r="D151" s="183"/>
    </row>
    <row r="152" customHeight="1" spans="3:4">
      <c r="C152" s="182"/>
      <c r="D152" s="183"/>
    </row>
    <row r="153" customHeight="1" spans="3:4">
      <c r="C153" s="182"/>
      <c r="D153" s="183"/>
    </row>
    <row r="154" customHeight="1" spans="3:4">
      <c r="C154" s="182"/>
      <c r="D154" s="183"/>
    </row>
    <row r="155" customHeight="1" spans="3:4">
      <c r="C155" s="182"/>
      <c r="D155" s="183"/>
    </row>
    <row r="156" customHeight="1" spans="3:4">
      <c r="C156" s="182"/>
      <c r="D156" s="183"/>
    </row>
    <row r="157" customHeight="1" spans="3:4">
      <c r="C157" s="182"/>
      <c r="D157" s="183"/>
    </row>
    <row r="158" customHeight="1" spans="3:4">
      <c r="C158" s="182"/>
      <c r="D158" s="183"/>
    </row>
    <row r="159" customHeight="1" spans="3:4">
      <c r="C159" s="182"/>
      <c r="D159" s="183"/>
    </row>
    <row r="160" customHeight="1" spans="3:4">
      <c r="C160" s="182"/>
      <c r="D160" s="183"/>
    </row>
    <row r="161" customHeight="1" spans="3:4">
      <c r="C161" s="182"/>
      <c r="D161" s="183"/>
    </row>
    <row r="162" customHeight="1" spans="3:4">
      <c r="C162" s="182"/>
      <c r="D162" s="183"/>
    </row>
    <row r="163" customHeight="1" spans="3:4">
      <c r="C163" s="182"/>
      <c r="D163" s="183"/>
    </row>
    <row r="164" customHeight="1" spans="3:4">
      <c r="C164" s="182"/>
      <c r="D164" s="183"/>
    </row>
    <row r="165" customHeight="1" spans="3:4">
      <c r="C165" s="182"/>
      <c r="D165" s="183"/>
    </row>
    <row r="166" customHeight="1" spans="3:4">
      <c r="C166" s="182"/>
      <c r="D166" s="183"/>
    </row>
    <row r="167" customHeight="1" spans="3:4">
      <c r="C167" s="182"/>
      <c r="D167" s="183"/>
    </row>
    <row r="168" customHeight="1" spans="3:4">
      <c r="C168" s="182"/>
      <c r="D168" s="183"/>
    </row>
    <row r="169" customHeight="1" spans="3:4">
      <c r="C169" s="182"/>
      <c r="D169" s="183"/>
    </row>
    <row r="170" customHeight="1" spans="3:4">
      <c r="C170" s="182"/>
      <c r="D170" s="183"/>
    </row>
    <row r="171" customHeight="1" spans="3:4">
      <c r="C171" s="182"/>
      <c r="D171" s="183"/>
    </row>
    <row r="172" customHeight="1" spans="3:4">
      <c r="C172" s="182"/>
      <c r="D172" s="183"/>
    </row>
    <row r="173" customHeight="1" spans="3:4">
      <c r="C173" s="182"/>
      <c r="D173" s="183"/>
    </row>
    <row r="174" customHeight="1" spans="3:4">
      <c r="C174" s="182"/>
      <c r="D174" s="183"/>
    </row>
  </sheetData>
  <mergeCells count="2">
    <mergeCell ref="A2:A18"/>
    <mergeCell ref="A19:A27"/>
  </mergeCells>
  <conditionalFormatting sqref="E2:E27">
    <cfRule type="iconSet" priority="1">
      <iconSet iconSet="3Symbols" showValue="0">
        <cfvo type="percent" val="0"/>
        <cfvo type="num" val="0"/>
        <cfvo type="num" val="1"/>
      </iconSet>
    </cfRule>
  </conditionalFormatting>
  <hyperlinks>
    <hyperlink ref="F1" location="目录!A1" display="目录"/>
  </hyperlink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2"/>
  <sheetViews>
    <sheetView workbookViewId="0">
      <pane ySplit="3" topLeftCell="A4" activePane="bottomLeft" state="frozen"/>
      <selection/>
      <selection pane="bottomLeft" activeCell="Q19" sqref="Q19"/>
    </sheetView>
  </sheetViews>
  <sheetFormatPr defaultColWidth="5.25" defaultRowHeight="18" customHeight="1"/>
  <cols>
    <col min="1" max="1" width="8.375" style="112" customWidth="1"/>
    <col min="2" max="2" width="9.75" style="114" customWidth="1"/>
    <col min="3" max="3" width="5.25" style="115" customWidth="1"/>
    <col min="4" max="4" width="7.625" style="137" customWidth="1"/>
    <col min="5" max="5" width="7.5" style="138" customWidth="1"/>
    <col min="6" max="6" width="7.5" style="116" customWidth="1"/>
    <col min="7" max="8" width="7.5" style="112" customWidth="1"/>
    <col min="9" max="9" width="7.25" style="112" customWidth="1"/>
    <col min="10" max="11" width="7.5" style="112" customWidth="1"/>
    <col min="12" max="12" width="9.25" style="112" customWidth="1"/>
    <col min="13" max="23" width="8.375" style="112" customWidth="1"/>
    <col min="24" max="24" width="7.5" style="112" customWidth="1"/>
    <col min="25" max="16384" width="5.25" style="112"/>
  </cols>
  <sheetData>
    <row r="1" customHeight="1" spans="1:24">
      <c r="A1" s="23" t="s">
        <v>91</v>
      </c>
      <c r="B1" s="118" t="s">
        <v>127</v>
      </c>
      <c r="C1" s="118"/>
      <c r="D1" s="139"/>
      <c r="E1" s="140"/>
      <c r="F1" s="141"/>
      <c r="G1" s="142"/>
      <c r="H1" s="119" t="s">
        <v>128</v>
      </c>
      <c r="I1" s="119"/>
      <c r="J1" s="119"/>
      <c r="K1" s="119"/>
      <c r="L1" s="119"/>
      <c r="M1" s="119"/>
      <c r="N1" s="119"/>
      <c r="O1" s="119" t="s">
        <v>129</v>
      </c>
      <c r="P1" s="119"/>
      <c r="Q1" s="119"/>
      <c r="R1" s="119"/>
      <c r="S1" s="119"/>
      <c r="T1" s="119"/>
      <c r="U1" s="119"/>
      <c r="V1" s="142" t="s">
        <v>128</v>
      </c>
      <c r="W1" s="174"/>
      <c r="X1" s="174"/>
    </row>
    <row r="2" customHeight="1" spans="1:24">
      <c r="A2" s="117"/>
      <c r="B2" s="120"/>
      <c r="C2" s="120"/>
      <c r="D2" s="143">
        <f>SUM(D4:D15)</f>
        <v>402</v>
      </c>
      <c r="E2" s="144"/>
      <c r="F2" s="145"/>
      <c r="G2" s="121"/>
      <c r="H2" s="121"/>
      <c r="I2" s="121"/>
      <c r="J2" s="121">
        <f>SUM(J4:J15)</f>
        <v>1053.3</v>
      </c>
      <c r="K2" s="121"/>
      <c r="L2" s="121">
        <f>SUM(L4:L15)</f>
        <v>230.95</v>
      </c>
      <c r="M2" s="121">
        <f>SUM(M4:M15)</f>
        <v>0</v>
      </c>
      <c r="N2" s="121"/>
      <c r="O2" s="121"/>
      <c r="P2" s="121"/>
      <c r="Q2" s="121"/>
      <c r="R2" s="121"/>
      <c r="S2" s="121"/>
      <c r="T2" s="121"/>
      <c r="U2" s="121"/>
      <c r="V2" s="121"/>
      <c r="W2" s="121">
        <f>SUM(W4:W15)</f>
        <v>150</v>
      </c>
      <c r="X2" s="121">
        <f>SUM(X4:X15)</f>
        <v>1434.25</v>
      </c>
    </row>
    <row r="3" s="113" customFormat="1" ht="68" customHeight="1" spans="1:24">
      <c r="A3" s="122" t="s">
        <v>87</v>
      </c>
      <c r="B3" s="146" t="s">
        <v>0</v>
      </c>
      <c r="C3" s="147" t="s">
        <v>130</v>
      </c>
      <c r="D3" s="148" t="s">
        <v>2</v>
      </c>
      <c r="E3" s="149" t="s">
        <v>131</v>
      </c>
      <c r="F3" s="150" t="s">
        <v>132</v>
      </c>
      <c r="G3" s="151" t="s">
        <v>51</v>
      </c>
      <c r="H3" s="151" t="s">
        <v>3</v>
      </c>
      <c r="I3" s="171" t="s">
        <v>133</v>
      </c>
      <c r="J3" s="126" t="s">
        <v>134</v>
      </c>
      <c r="K3" s="171" t="s">
        <v>135</v>
      </c>
      <c r="L3" s="171" t="s">
        <v>136</v>
      </c>
      <c r="M3" s="171" t="s">
        <v>11</v>
      </c>
      <c r="N3" s="171" t="s">
        <v>137</v>
      </c>
      <c r="O3" s="171" t="s">
        <v>138</v>
      </c>
      <c r="P3" s="171" t="s">
        <v>139</v>
      </c>
      <c r="Q3" s="171" t="s">
        <v>140</v>
      </c>
      <c r="R3" s="171" t="s">
        <v>141</v>
      </c>
      <c r="S3" s="171" t="s">
        <v>142</v>
      </c>
      <c r="T3" s="171" t="s">
        <v>143</v>
      </c>
      <c r="U3" s="126" t="s">
        <v>144</v>
      </c>
      <c r="V3" s="171" t="s">
        <v>145</v>
      </c>
      <c r="W3" s="126" t="s">
        <v>146</v>
      </c>
      <c r="X3" s="126" t="s">
        <v>65</v>
      </c>
    </row>
    <row r="4" s="113" customFormat="1" customHeight="1" spans="1:24">
      <c r="A4" s="152">
        <v>1</v>
      </c>
      <c r="B4" s="8">
        <v>44119</v>
      </c>
      <c r="C4" s="127" t="s">
        <v>147</v>
      </c>
      <c r="D4" s="153">
        <v>5</v>
      </c>
      <c r="E4" s="154">
        <f t="shared" ref="E4:E7" si="0">D4/F4</f>
        <v>53.3049040511727</v>
      </c>
      <c r="F4" s="155">
        <v>0.0938</v>
      </c>
      <c r="G4" s="117" t="s">
        <v>148</v>
      </c>
      <c r="H4" s="117">
        <v>15.99</v>
      </c>
      <c r="I4" s="117">
        <v>0.25</v>
      </c>
      <c r="J4" s="129">
        <f t="shared" ref="J4:J15" si="1">ROUND(I4*H4*D4,1)</f>
        <v>20</v>
      </c>
      <c r="K4" s="117">
        <v>0.1</v>
      </c>
      <c r="L4" s="117">
        <f t="shared" ref="L4:L15" si="2">ROUND(K4*H4*D4,2)</f>
        <v>8</v>
      </c>
      <c r="M4" s="117"/>
      <c r="N4" s="117"/>
      <c r="O4" s="117"/>
      <c r="P4" s="117"/>
      <c r="Q4" s="117"/>
      <c r="R4" s="117"/>
      <c r="S4" s="117"/>
      <c r="T4" s="117"/>
      <c r="U4" s="129"/>
      <c r="V4" s="117"/>
      <c r="W4" s="117">
        <v>0</v>
      </c>
      <c r="X4" s="117">
        <f t="shared" ref="X4:X15" si="3">J4+L4+M4+N4+O4+P4+Q4+R4+S4+T4+U4+V4+W4</f>
        <v>28</v>
      </c>
    </row>
    <row r="5" s="112" customFormat="1" customHeight="1" spans="1:24">
      <c r="A5" s="117">
        <v>2</v>
      </c>
      <c r="B5" s="11">
        <v>44125</v>
      </c>
      <c r="C5" s="127" t="s">
        <v>147</v>
      </c>
      <c r="D5" s="153">
        <v>15</v>
      </c>
      <c r="E5" s="154">
        <f t="shared" si="0"/>
        <v>136.363636363636</v>
      </c>
      <c r="F5" s="155">
        <v>0.11</v>
      </c>
      <c r="G5" s="117">
        <v>8000</v>
      </c>
      <c r="H5" s="117">
        <v>16.99</v>
      </c>
      <c r="I5" s="117">
        <v>0.25</v>
      </c>
      <c r="J5" s="129">
        <f t="shared" si="1"/>
        <v>63.7</v>
      </c>
      <c r="K5" s="117">
        <v>0.1</v>
      </c>
      <c r="L5" s="117">
        <f t="shared" si="2"/>
        <v>25.49</v>
      </c>
      <c r="M5" s="117"/>
      <c r="N5" s="117"/>
      <c r="O5" s="117"/>
      <c r="P5" s="117"/>
      <c r="Q5" s="117"/>
      <c r="R5" s="117"/>
      <c r="S5" s="117"/>
      <c r="T5" s="117"/>
      <c r="U5" s="129"/>
      <c r="V5" s="117"/>
      <c r="W5" s="117">
        <v>0</v>
      </c>
      <c r="X5" s="117">
        <f t="shared" si="3"/>
        <v>89.19</v>
      </c>
    </row>
    <row r="6" s="112" customFormat="1" customHeight="1" spans="1:24">
      <c r="A6" s="117">
        <v>3</v>
      </c>
      <c r="B6" s="11">
        <f t="shared" ref="B6:B11" si="4">B5+7</f>
        <v>44132</v>
      </c>
      <c r="C6" s="127" t="s">
        <v>147</v>
      </c>
      <c r="D6" s="153">
        <v>17</v>
      </c>
      <c r="E6" s="154"/>
      <c r="F6" s="155"/>
      <c r="G6" s="117"/>
      <c r="H6" s="117">
        <v>16.99</v>
      </c>
      <c r="I6" s="117">
        <v>0.25</v>
      </c>
      <c r="J6" s="129">
        <f t="shared" si="1"/>
        <v>72.2</v>
      </c>
      <c r="K6" s="117">
        <v>0</v>
      </c>
      <c r="L6" s="117">
        <f t="shared" si="2"/>
        <v>0</v>
      </c>
      <c r="M6" s="117"/>
      <c r="N6" s="117"/>
      <c r="O6" s="117"/>
      <c r="P6" s="117"/>
      <c r="Q6" s="117"/>
      <c r="R6" s="117"/>
      <c r="S6" s="117"/>
      <c r="T6" s="117"/>
      <c r="U6" s="129"/>
      <c r="V6" s="117"/>
      <c r="W6" s="117">
        <v>0</v>
      </c>
      <c r="X6" s="117">
        <f t="shared" si="3"/>
        <v>72.2</v>
      </c>
    </row>
    <row r="7" s="112" customFormat="1" customHeight="1" spans="1:24">
      <c r="A7" s="156">
        <v>4</v>
      </c>
      <c r="B7" s="157">
        <f t="shared" si="4"/>
        <v>44139</v>
      </c>
      <c r="C7" s="158" t="s">
        <v>147</v>
      </c>
      <c r="D7" s="159">
        <v>20</v>
      </c>
      <c r="E7" s="160">
        <f t="shared" si="0"/>
        <v>133.333333333333</v>
      </c>
      <c r="F7" s="161">
        <v>0.15</v>
      </c>
      <c r="G7" s="156">
        <v>7000</v>
      </c>
      <c r="H7" s="156">
        <v>17.99</v>
      </c>
      <c r="I7" s="156">
        <v>0.2</v>
      </c>
      <c r="J7" s="129">
        <f t="shared" si="1"/>
        <v>72</v>
      </c>
      <c r="K7" s="156">
        <v>0</v>
      </c>
      <c r="L7" s="156">
        <f t="shared" si="2"/>
        <v>0</v>
      </c>
      <c r="M7" s="156"/>
      <c r="N7" s="156"/>
      <c r="O7" s="156"/>
      <c r="P7" s="156"/>
      <c r="Q7" s="156"/>
      <c r="R7" s="156"/>
      <c r="S7" s="156"/>
      <c r="T7" s="156"/>
      <c r="U7" s="173"/>
      <c r="V7" s="156"/>
      <c r="W7" s="156">
        <v>0</v>
      </c>
      <c r="X7" s="156">
        <f t="shared" si="3"/>
        <v>72</v>
      </c>
    </row>
    <row r="8" s="112" customFormat="1" customHeight="1" spans="1:24">
      <c r="A8" s="162">
        <v>5</v>
      </c>
      <c r="B8" s="163">
        <v>44142</v>
      </c>
      <c r="C8" s="164" t="s">
        <v>147</v>
      </c>
      <c r="D8" s="165">
        <v>25</v>
      </c>
      <c r="E8" s="166"/>
      <c r="F8" s="167"/>
      <c r="G8" s="162"/>
      <c r="H8" s="156">
        <v>17.99</v>
      </c>
      <c r="I8" s="162">
        <v>0.15</v>
      </c>
      <c r="J8" s="172">
        <f t="shared" si="1"/>
        <v>67.5</v>
      </c>
      <c r="K8" s="162">
        <v>0</v>
      </c>
      <c r="L8" s="162">
        <f t="shared" si="2"/>
        <v>0</v>
      </c>
      <c r="M8" s="162"/>
      <c r="N8" s="162"/>
      <c r="O8" s="162"/>
      <c r="P8" s="162"/>
      <c r="Q8" s="162"/>
      <c r="R8" s="162"/>
      <c r="S8" s="162"/>
      <c r="T8" s="162"/>
      <c r="U8" s="172"/>
      <c r="V8" s="162"/>
      <c r="W8" s="162">
        <v>150</v>
      </c>
      <c r="X8" s="162">
        <f t="shared" si="3"/>
        <v>217.5</v>
      </c>
    </row>
    <row r="9" s="112" customFormat="1" customHeight="1" spans="1:24">
      <c r="A9" s="117">
        <v>6</v>
      </c>
      <c r="B9" s="11">
        <f t="shared" si="4"/>
        <v>44149</v>
      </c>
      <c r="C9" s="127" t="s">
        <v>147</v>
      </c>
      <c r="D9" s="153">
        <v>30</v>
      </c>
      <c r="E9" s="154"/>
      <c r="F9" s="155"/>
      <c r="G9" s="117">
        <v>6000</v>
      </c>
      <c r="H9" s="117">
        <v>18.99</v>
      </c>
      <c r="I9" s="117">
        <v>0.15</v>
      </c>
      <c r="J9" s="129">
        <f t="shared" si="1"/>
        <v>85.5</v>
      </c>
      <c r="K9" s="117">
        <v>0.03</v>
      </c>
      <c r="L9" s="117">
        <f t="shared" si="2"/>
        <v>17.09</v>
      </c>
      <c r="M9" s="117"/>
      <c r="N9" s="117"/>
      <c r="O9" s="117"/>
      <c r="P9" s="117"/>
      <c r="Q9" s="117"/>
      <c r="R9" s="117"/>
      <c r="S9" s="117"/>
      <c r="T9" s="117"/>
      <c r="U9" s="129"/>
      <c r="V9" s="117"/>
      <c r="W9" s="117">
        <v>0</v>
      </c>
      <c r="X9" s="117">
        <f t="shared" si="3"/>
        <v>102.59</v>
      </c>
    </row>
    <row r="10" s="112" customFormat="1" customHeight="1" spans="1:24">
      <c r="A10" s="117">
        <v>7</v>
      </c>
      <c r="B10" s="11">
        <f t="shared" si="4"/>
        <v>44156</v>
      </c>
      <c r="C10" s="127" t="s">
        <v>147</v>
      </c>
      <c r="D10" s="153">
        <v>35</v>
      </c>
      <c r="E10" s="154"/>
      <c r="F10" s="155"/>
      <c r="G10" s="117"/>
      <c r="H10" s="117">
        <v>18.99</v>
      </c>
      <c r="I10" s="117">
        <v>0.15</v>
      </c>
      <c r="J10" s="129">
        <f t="shared" si="1"/>
        <v>99.7</v>
      </c>
      <c r="K10" s="117">
        <v>0.03</v>
      </c>
      <c r="L10" s="117">
        <f t="shared" si="2"/>
        <v>19.94</v>
      </c>
      <c r="M10" s="117"/>
      <c r="N10" s="117"/>
      <c r="O10" s="117"/>
      <c r="P10" s="117"/>
      <c r="Q10" s="117"/>
      <c r="R10" s="117"/>
      <c r="S10" s="117"/>
      <c r="T10" s="117"/>
      <c r="U10" s="129"/>
      <c r="V10" s="117"/>
      <c r="W10" s="117">
        <v>0</v>
      </c>
      <c r="X10" s="117">
        <f t="shared" si="3"/>
        <v>119.64</v>
      </c>
    </row>
    <row r="11" s="112" customFormat="1" customHeight="1" spans="1:24">
      <c r="A11" s="156">
        <v>8</v>
      </c>
      <c r="B11" s="157">
        <f t="shared" si="4"/>
        <v>44163</v>
      </c>
      <c r="C11" s="158" t="s">
        <v>147</v>
      </c>
      <c r="D11" s="159">
        <v>40</v>
      </c>
      <c r="E11" s="160">
        <v>1250</v>
      </c>
      <c r="F11" s="161">
        <v>0.16</v>
      </c>
      <c r="G11" s="156">
        <v>3000</v>
      </c>
      <c r="H11" s="117">
        <v>18.99</v>
      </c>
      <c r="I11" s="156">
        <v>0.15</v>
      </c>
      <c r="J11" s="173">
        <f t="shared" si="1"/>
        <v>113.9</v>
      </c>
      <c r="K11" s="156">
        <v>0.03</v>
      </c>
      <c r="L11" s="156">
        <f t="shared" si="2"/>
        <v>22.79</v>
      </c>
      <c r="M11" s="156"/>
      <c r="N11" s="156"/>
      <c r="O11" s="156"/>
      <c r="P11" s="156"/>
      <c r="Q11" s="156"/>
      <c r="R11" s="156"/>
      <c r="S11" s="156"/>
      <c r="T11" s="156"/>
      <c r="U11" s="173"/>
      <c r="V11" s="156"/>
      <c r="W11" s="156">
        <v>0</v>
      </c>
      <c r="X11" s="156">
        <f t="shared" si="3"/>
        <v>136.69</v>
      </c>
    </row>
    <row r="12" s="112" customFormat="1" customHeight="1" spans="1:24">
      <c r="A12" s="162">
        <v>9</v>
      </c>
      <c r="B12" s="163">
        <v>44172</v>
      </c>
      <c r="C12" s="164" t="s">
        <v>147</v>
      </c>
      <c r="D12" s="165">
        <v>50</v>
      </c>
      <c r="E12" s="166"/>
      <c r="F12" s="167"/>
      <c r="G12" s="162"/>
      <c r="H12" s="168">
        <v>19.99</v>
      </c>
      <c r="I12" s="162">
        <v>0.1</v>
      </c>
      <c r="J12" s="172">
        <f t="shared" si="1"/>
        <v>100</v>
      </c>
      <c r="K12" s="162">
        <v>0.03</v>
      </c>
      <c r="L12" s="162">
        <f t="shared" si="2"/>
        <v>29.99</v>
      </c>
      <c r="M12" s="162"/>
      <c r="N12" s="162"/>
      <c r="O12" s="162"/>
      <c r="P12" s="162"/>
      <c r="Q12" s="162"/>
      <c r="R12" s="162"/>
      <c r="S12" s="162"/>
      <c r="T12" s="162"/>
      <c r="U12" s="172"/>
      <c r="V12" s="162"/>
      <c r="W12" s="162">
        <v>0</v>
      </c>
      <c r="X12" s="162">
        <f t="shared" si="3"/>
        <v>129.99</v>
      </c>
    </row>
    <row r="13" s="112" customFormat="1" customHeight="1" spans="1:24">
      <c r="A13" s="117">
        <v>10</v>
      </c>
      <c r="B13" s="11">
        <f t="shared" ref="B13:B15" si="5">B12+7</f>
        <v>44179</v>
      </c>
      <c r="C13" s="127" t="s">
        <v>147</v>
      </c>
      <c r="D13" s="153">
        <v>50</v>
      </c>
      <c r="E13" s="154"/>
      <c r="F13" s="155"/>
      <c r="G13" s="117"/>
      <c r="H13" s="168">
        <v>19.99</v>
      </c>
      <c r="I13" s="117">
        <v>0.1</v>
      </c>
      <c r="J13" s="129">
        <f t="shared" si="1"/>
        <v>100</v>
      </c>
      <c r="K13" s="117">
        <v>0.03</v>
      </c>
      <c r="L13" s="117">
        <f t="shared" si="2"/>
        <v>29.99</v>
      </c>
      <c r="M13" s="117"/>
      <c r="N13" s="117"/>
      <c r="O13" s="117"/>
      <c r="P13" s="117"/>
      <c r="Q13" s="117"/>
      <c r="R13" s="117"/>
      <c r="S13" s="117"/>
      <c r="T13" s="117"/>
      <c r="U13" s="129"/>
      <c r="V13" s="117"/>
      <c r="W13" s="117">
        <v>0</v>
      </c>
      <c r="X13" s="117">
        <f t="shared" si="3"/>
        <v>129.99</v>
      </c>
    </row>
    <row r="14" s="112" customFormat="1" customHeight="1" spans="1:24">
      <c r="A14" s="117">
        <v>11</v>
      </c>
      <c r="B14" s="11">
        <f t="shared" si="5"/>
        <v>44186</v>
      </c>
      <c r="C14" s="127" t="s">
        <v>147</v>
      </c>
      <c r="D14" s="153">
        <v>55</v>
      </c>
      <c r="E14" s="154"/>
      <c r="F14" s="155"/>
      <c r="G14" s="117"/>
      <c r="H14" s="117">
        <v>21.99</v>
      </c>
      <c r="I14" s="117">
        <v>0.1</v>
      </c>
      <c r="J14" s="129">
        <f t="shared" si="1"/>
        <v>120.9</v>
      </c>
      <c r="K14" s="117">
        <v>0.03</v>
      </c>
      <c r="L14" s="117">
        <f t="shared" si="2"/>
        <v>36.28</v>
      </c>
      <c r="M14" s="117"/>
      <c r="N14" s="117"/>
      <c r="O14" s="117"/>
      <c r="P14" s="117"/>
      <c r="Q14" s="117"/>
      <c r="R14" s="117"/>
      <c r="S14" s="117"/>
      <c r="T14" s="117"/>
      <c r="U14" s="129"/>
      <c r="V14" s="117"/>
      <c r="W14" s="117">
        <v>0</v>
      </c>
      <c r="X14" s="117">
        <f t="shared" si="3"/>
        <v>157.18</v>
      </c>
    </row>
    <row r="15" s="112" customFormat="1" customHeight="1" spans="1:24">
      <c r="A15" s="156">
        <v>12</v>
      </c>
      <c r="B15" s="157">
        <f t="shared" si="5"/>
        <v>44193</v>
      </c>
      <c r="C15" s="158" t="s">
        <v>147</v>
      </c>
      <c r="D15" s="159">
        <v>60</v>
      </c>
      <c r="E15" s="160">
        <v>2000</v>
      </c>
      <c r="F15" s="161">
        <v>0.2</v>
      </c>
      <c r="G15" s="156">
        <v>1000</v>
      </c>
      <c r="H15" s="156">
        <v>22.99</v>
      </c>
      <c r="I15" s="156">
        <v>0.1</v>
      </c>
      <c r="J15" s="173">
        <f t="shared" si="1"/>
        <v>137.9</v>
      </c>
      <c r="K15" s="156">
        <v>0.03</v>
      </c>
      <c r="L15" s="156">
        <f t="shared" si="2"/>
        <v>41.38</v>
      </c>
      <c r="M15" s="156"/>
      <c r="N15" s="156"/>
      <c r="O15" s="156"/>
      <c r="P15" s="156"/>
      <c r="Q15" s="156"/>
      <c r="R15" s="156"/>
      <c r="S15" s="156"/>
      <c r="T15" s="156"/>
      <c r="U15" s="173"/>
      <c r="V15" s="156"/>
      <c r="W15" s="156">
        <v>0</v>
      </c>
      <c r="X15" s="156">
        <f t="shared" si="3"/>
        <v>179.28</v>
      </c>
    </row>
    <row r="18" customHeight="1" spans="4:4">
      <c r="D18" s="137" t="s">
        <v>149</v>
      </c>
    </row>
    <row r="22" customHeight="1" spans="1:1">
      <c r="A22" s="169"/>
    </row>
    <row r="23" customHeight="1" spans="1:1">
      <c r="A23" s="170"/>
    </row>
    <row r="24" customHeight="1" spans="1:1">
      <c r="A24" s="170"/>
    </row>
    <row r="25" customHeight="1" spans="1:1">
      <c r="A25" s="170"/>
    </row>
    <row r="26" customHeight="1" spans="1:1">
      <c r="A26" s="170"/>
    </row>
    <row r="27" customHeight="1" spans="1:1">
      <c r="A27" s="170"/>
    </row>
    <row r="28" customHeight="1" spans="1:1">
      <c r="A28" s="170"/>
    </row>
    <row r="29" customHeight="1" spans="1:1">
      <c r="A29" s="170"/>
    </row>
    <row r="30" customHeight="1" spans="1:1">
      <c r="A30" s="170"/>
    </row>
    <row r="31" customHeight="1" spans="1:1">
      <c r="A31" s="170"/>
    </row>
    <row r="32" customHeight="1" spans="1:1">
      <c r="A32" s="170"/>
    </row>
    <row r="33" customHeight="1" spans="1:1">
      <c r="A33" s="170"/>
    </row>
    <row r="34" customHeight="1" spans="1:1">
      <c r="A34" s="170"/>
    </row>
    <row r="35" customHeight="1" spans="1:1">
      <c r="A35" s="170"/>
    </row>
    <row r="36" customHeight="1" spans="1:1">
      <c r="A36" s="170"/>
    </row>
    <row r="37" customHeight="1" spans="1:1">
      <c r="A37" s="170"/>
    </row>
    <row r="38" customHeight="1" spans="1:1">
      <c r="A38" s="170"/>
    </row>
    <row r="39" customHeight="1" spans="1:1">
      <c r="A39" s="170"/>
    </row>
    <row r="40" customHeight="1" spans="1:1">
      <c r="A40" s="170"/>
    </row>
    <row r="41" customHeight="1" spans="1:1">
      <c r="A41" s="170"/>
    </row>
    <row r="42" customHeight="1" spans="1:1">
      <c r="A42" s="170"/>
    </row>
  </sheetData>
  <mergeCells count="4">
    <mergeCell ref="B1:D1"/>
    <mergeCell ref="H1:N1"/>
    <mergeCell ref="O1:U1"/>
    <mergeCell ref="V1:W1"/>
  </mergeCells>
  <hyperlinks>
    <hyperlink ref="A1" location="目录!A1" display="目录"/>
  </hyperlink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7"/>
  <sheetViews>
    <sheetView topLeftCell="B1" workbookViewId="0">
      <selection activeCell="S7" sqref="S7"/>
    </sheetView>
  </sheetViews>
  <sheetFormatPr defaultColWidth="5.25" defaultRowHeight="18" customHeight="1"/>
  <cols>
    <col min="1" max="1" width="8.375" style="112" customWidth="1"/>
    <col min="2" max="2" width="9.75" style="114" customWidth="1"/>
    <col min="3" max="4" width="5.25" style="115" customWidth="1"/>
    <col min="5" max="5" width="7.625" style="112" customWidth="1"/>
    <col min="6" max="13" width="7.5" style="112" customWidth="1"/>
    <col min="14" max="14" width="7.25" style="112" customWidth="1"/>
    <col min="15" max="17" width="7.5" style="112" customWidth="1"/>
    <col min="18" max="18" width="9.25" style="112" customWidth="1"/>
    <col min="19" max="19" width="8.375" style="112" customWidth="1"/>
    <col min="20" max="26" width="7.5" style="112" customWidth="1"/>
    <col min="27" max="27" width="8.375" style="112" customWidth="1"/>
    <col min="28" max="28" width="7.5" style="112" customWidth="1"/>
    <col min="29" max="29" width="7.5" style="116" customWidth="1"/>
    <col min="30" max="31" width="8.375" style="112" customWidth="1"/>
    <col min="32" max="32" width="5.5" style="112" customWidth="1"/>
    <col min="33" max="16384" width="5.25" style="112"/>
  </cols>
  <sheetData>
    <row r="1" s="112" customFormat="1" customHeight="1" spans="1:32">
      <c r="A1" s="117"/>
      <c r="B1" s="118" t="s">
        <v>127</v>
      </c>
      <c r="C1" s="118"/>
      <c r="D1" s="118"/>
      <c r="E1" s="118"/>
      <c r="F1" s="118"/>
      <c r="G1" s="119" t="s">
        <v>128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 t="s">
        <v>150</v>
      </c>
      <c r="W1" s="119"/>
      <c r="X1" s="119"/>
      <c r="Y1" s="119"/>
      <c r="Z1" s="119"/>
      <c r="AA1" s="119"/>
      <c r="AB1" s="119"/>
      <c r="AC1" s="130"/>
      <c r="AD1" s="117" t="s">
        <v>128</v>
      </c>
      <c r="AE1" s="117"/>
      <c r="AF1" s="117"/>
    </row>
    <row r="2" s="112" customFormat="1" customHeight="1" spans="1:32">
      <c r="A2" s="117"/>
      <c r="B2" s="120"/>
      <c r="C2" s="120"/>
      <c r="D2" s="120"/>
      <c r="E2" s="121">
        <f>SUM(E4:E15)</f>
        <v>402</v>
      </c>
      <c r="F2" s="120"/>
      <c r="G2" s="121"/>
      <c r="H2" s="121">
        <f>SUM(H4:H15)</f>
        <v>8014.98</v>
      </c>
      <c r="I2" s="121"/>
      <c r="J2" s="121">
        <f>SUM(J4:J15)</f>
        <v>1202.26</v>
      </c>
      <c r="K2" s="121"/>
      <c r="L2" s="121">
        <f>SUM(L4:L15)</f>
        <v>1398.96</v>
      </c>
      <c r="M2" s="121">
        <f>SUM(M4:M15)</f>
        <v>240.5</v>
      </c>
      <c r="N2" s="121"/>
      <c r="O2" s="121">
        <f>SUM(O4:O15)</f>
        <v>1202.2</v>
      </c>
      <c r="P2" s="121">
        <f>SUM(P4:P15)</f>
        <v>0</v>
      </c>
      <c r="Q2" s="121"/>
      <c r="R2" s="121">
        <f>SUM(R4:R15)</f>
        <v>801.52</v>
      </c>
      <c r="S2" s="121">
        <f>SUM(S4:S15)</f>
        <v>0</v>
      </c>
      <c r="T2" s="121">
        <f>SUM(T4:T15)</f>
        <v>4845.44</v>
      </c>
      <c r="U2" s="121">
        <f>SUM(U4:U15)</f>
        <v>3169.54</v>
      </c>
      <c r="V2" s="121"/>
      <c r="W2" s="121">
        <f>SUM(W4:W15)</f>
        <v>8040</v>
      </c>
      <c r="X2" s="121"/>
      <c r="Y2" s="121">
        <f>SUM(Y4:Y15)</f>
        <v>5226</v>
      </c>
      <c r="Z2" s="121">
        <f>SUM(Z4:Z15)</f>
        <v>0</v>
      </c>
      <c r="AA2" s="121">
        <f>SUM(AA4:AA15)</f>
        <v>2805.26</v>
      </c>
      <c r="AB2" s="121">
        <f>SUM(AB4:AB15)</f>
        <v>6115.51999999999</v>
      </c>
      <c r="AC2" s="121"/>
      <c r="AD2" s="121"/>
      <c r="AE2" s="121"/>
      <c r="AF2" s="121"/>
    </row>
    <row r="3" s="113" customFormat="1" ht="24" spans="1:32">
      <c r="A3" s="122" t="s">
        <v>87</v>
      </c>
      <c r="B3" s="123" t="s">
        <v>0</v>
      </c>
      <c r="C3" s="124" t="s">
        <v>1</v>
      </c>
      <c r="D3" s="124" t="s">
        <v>130</v>
      </c>
      <c r="E3" s="125" t="s">
        <v>2</v>
      </c>
      <c r="F3" s="125" t="s">
        <v>151</v>
      </c>
      <c r="G3" s="125" t="s">
        <v>3</v>
      </c>
      <c r="H3" s="126" t="s">
        <v>4</v>
      </c>
      <c r="I3" s="125" t="s">
        <v>152</v>
      </c>
      <c r="J3" s="126" t="s">
        <v>153</v>
      </c>
      <c r="K3" s="125" t="s">
        <v>154</v>
      </c>
      <c r="L3" s="126" t="s">
        <v>155</v>
      </c>
      <c r="M3" s="126" t="s">
        <v>7</v>
      </c>
      <c r="N3" s="125" t="s">
        <v>156</v>
      </c>
      <c r="O3" s="126" t="s">
        <v>134</v>
      </c>
      <c r="P3" s="125" t="s">
        <v>157</v>
      </c>
      <c r="Q3" s="125" t="s">
        <v>158</v>
      </c>
      <c r="R3" s="126" t="s">
        <v>136</v>
      </c>
      <c r="S3" s="125" t="s">
        <v>11</v>
      </c>
      <c r="T3" s="126" t="s">
        <v>159</v>
      </c>
      <c r="U3" s="126" t="s">
        <v>160</v>
      </c>
      <c r="V3" s="125" t="s">
        <v>161</v>
      </c>
      <c r="W3" s="126" t="s">
        <v>162</v>
      </c>
      <c r="X3" s="125" t="s">
        <v>163</v>
      </c>
      <c r="Y3" s="126" t="s">
        <v>164</v>
      </c>
      <c r="Z3" s="125" t="s">
        <v>65</v>
      </c>
      <c r="AA3" s="126" t="s">
        <v>15</v>
      </c>
      <c r="AB3" s="126" t="s">
        <v>16</v>
      </c>
      <c r="AC3" s="131" t="s">
        <v>17</v>
      </c>
      <c r="AD3" s="132" t="s">
        <v>165</v>
      </c>
      <c r="AE3" s="132" t="s">
        <v>166</v>
      </c>
      <c r="AF3" s="133" t="s">
        <v>167</v>
      </c>
    </row>
    <row r="4" s="113" customFormat="1" customHeight="1" spans="1:32">
      <c r="A4" s="117">
        <v>1</v>
      </c>
      <c r="B4" s="11">
        <v>44119</v>
      </c>
      <c r="C4" s="127">
        <v>7</v>
      </c>
      <c r="D4" s="127" t="s">
        <v>147</v>
      </c>
      <c r="E4" s="117">
        <v>5</v>
      </c>
      <c r="F4" s="128" t="s">
        <v>168</v>
      </c>
      <c r="G4" s="117">
        <v>15.99</v>
      </c>
      <c r="H4" s="129">
        <f t="shared" ref="H4:H19" si="0">G4*E4</f>
        <v>79.95</v>
      </c>
      <c r="I4" s="117">
        <v>0.15</v>
      </c>
      <c r="J4" s="129">
        <f>ROUND(G4*I4*E4,2)</f>
        <v>11.99</v>
      </c>
      <c r="K4" s="117">
        <v>3.48</v>
      </c>
      <c r="L4" s="129">
        <f>K4*E4</f>
        <v>17.4</v>
      </c>
      <c r="M4" s="129">
        <f t="shared" ref="M4:M19" si="1">ROUND(G4*E4*0.03,1)</f>
        <v>2.4</v>
      </c>
      <c r="N4" s="117">
        <v>0.15</v>
      </c>
      <c r="O4" s="129">
        <f t="shared" ref="O4:O19" si="2">ROUND(N4*G4*E4,1)</f>
        <v>12</v>
      </c>
      <c r="P4" s="117">
        <v>0</v>
      </c>
      <c r="Q4" s="117">
        <v>0.1</v>
      </c>
      <c r="R4" s="129">
        <f t="shared" ref="R4:R19" si="3">ROUND(Q4*G4*E4,2)</f>
        <v>8</v>
      </c>
      <c r="S4" s="117"/>
      <c r="T4" s="129">
        <f t="shared" ref="T4:T19" si="4">J4+L4+M4+O4+P4+R4+S4</f>
        <v>51.79</v>
      </c>
      <c r="U4" s="129">
        <f t="shared" ref="U4:U19" si="5">H4-T4</f>
        <v>28.16</v>
      </c>
      <c r="V4" s="117">
        <v>20</v>
      </c>
      <c r="W4" s="129">
        <f t="shared" ref="W4:W19" si="6">V4*E4</f>
        <v>100</v>
      </c>
      <c r="X4" s="117">
        <v>13</v>
      </c>
      <c r="Y4" s="129">
        <f>X4*E4</f>
        <v>65</v>
      </c>
      <c r="Z4" s="117"/>
      <c r="AA4" s="134">
        <f t="shared" ref="AA4:AA19" si="7">ROUND(E4*G4*0.05*C4,2)</f>
        <v>27.98</v>
      </c>
      <c r="AB4" s="129">
        <f t="shared" ref="AB4:AB19" si="8">U4*C4-W4-Y4-Z4-AA4</f>
        <v>4.14000000000003</v>
      </c>
      <c r="AC4" s="135">
        <f t="shared" ref="AC4:AC19" si="9">AB4/(H4*C4)</f>
        <v>0.00739748056821233</v>
      </c>
      <c r="AD4" s="119">
        <f>U4</f>
        <v>28.16</v>
      </c>
      <c r="AE4" s="119">
        <f>E4</f>
        <v>5</v>
      </c>
      <c r="AF4" s="136">
        <v>1</v>
      </c>
    </row>
    <row r="5" s="113" customFormat="1" customHeight="1" spans="1:32">
      <c r="A5" s="117">
        <v>2</v>
      </c>
      <c r="B5" s="11">
        <v>44125</v>
      </c>
      <c r="C5" s="127">
        <v>7</v>
      </c>
      <c r="D5" s="127" t="s">
        <v>147</v>
      </c>
      <c r="E5" s="117">
        <v>15</v>
      </c>
      <c r="F5" s="128" t="s">
        <v>168</v>
      </c>
      <c r="G5" s="117">
        <v>16.99</v>
      </c>
      <c r="H5" s="129">
        <f t="shared" si="0"/>
        <v>254.85</v>
      </c>
      <c r="I5" s="117">
        <v>0.15</v>
      </c>
      <c r="J5" s="129">
        <f t="shared" ref="J4:J19" si="10">ROUND(G5*I5*E5,2)</f>
        <v>38.23</v>
      </c>
      <c r="K5" s="117">
        <v>3.48</v>
      </c>
      <c r="L5" s="129">
        <f t="shared" ref="L4:L19" si="11">K5*E5</f>
        <v>52.2</v>
      </c>
      <c r="M5" s="129">
        <f t="shared" si="1"/>
        <v>7.6</v>
      </c>
      <c r="N5" s="117">
        <v>0.15</v>
      </c>
      <c r="O5" s="129">
        <f t="shared" si="2"/>
        <v>38.2</v>
      </c>
      <c r="P5" s="117">
        <v>0</v>
      </c>
      <c r="Q5" s="117">
        <v>0.1</v>
      </c>
      <c r="R5" s="129">
        <f t="shared" si="3"/>
        <v>25.49</v>
      </c>
      <c r="S5" s="117"/>
      <c r="T5" s="129">
        <f t="shared" si="4"/>
        <v>161.72</v>
      </c>
      <c r="U5" s="129">
        <f t="shared" si="5"/>
        <v>93.1299999999999</v>
      </c>
      <c r="V5" s="117">
        <v>20</v>
      </c>
      <c r="W5" s="129">
        <f t="shared" si="6"/>
        <v>300</v>
      </c>
      <c r="X5" s="117">
        <v>13</v>
      </c>
      <c r="Y5" s="129">
        <f t="shared" ref="Y4:Y19" si="12">X5*E5</f>
        <v>195</v>
      </c>
      <c r="Z5" s="117"/>
      <c r="AA5" s="134">
        <f t="shared" si="7"/>
        <v>89.2</v>
      </c>
      <c r="AB5" s="129">
        <f t="shared" si="8"/>
        <v>67.7099999999996</v>
      </c>
      <c r="AC5" s="135">
        <f t="shared" si="9"/>
        <v>0.0379550996384426</v>
      </c>
      <c r="AD5" s="119">
        <f t="shared" ref="AD5:AD15" si="13">U5</f>
        <v>93.1299999999999</v>
      </c>
      <c r="AE5" s="119">
        <f t="shared" ref="AE5:AE15" si="14">E5</f>
        <v>15</v>
      </c>
      <c r="AF5" s="136">
        <v>1</v>
      </c>
    </row>
    <row r="6" s="112" customFormat="1" customHeight="1" spans="1:32">
      <c r="A6" s="117">
        <v>3</v>
      </c>
      <c r="B6" s="11">
        <v>44132</v>
      </c>
      <c r="C6" s="127">
        <v>7</v>
      </c>
      <c r="D6" s="127" t="s">
        <v>147</v>
      </c>
      <c r="E6" s="117">
        <v>17</v>
      </c>
      <c r="F6" s="128" t="s">
        <v>168</v>
      </c>
      <c r="G6" s="117">
        <v>16.99</v>
      </c>
      <c r="H6" s="129">
        <f t="shared" si="0"/>
        <v>288.83</v>
      </c>
      <c r="I6" s="117">
        <v>0.15</v>
      </c>
      <c r="J6" s="129">
        <f t="shared" si="10"/>
        <v>43.32</v>
      </c>
      <c r="K6" s="117">
        <v>3.48</v>
      </c>
      <c r="L6" s="129">
        <f t="shared" si="11"/>
        <v>59.16</v>
      </c>
      <c r="M6" s="129">
        <f t="shared" si="1"/>
        <v>8.7</v>
      </c>
      <c r="N6" s="117">
        <v>0.15</v>
      </c>
      <c r="O6" s="129">
        <f t="shared" si="2"/>
        <v>43.3</v>
      </c>
      <c r="P6" s="117">
        <v>0</v>
      </c>
      <c r="Q6" s="117">
        <v>0.1</v>
      </c>
      <c r="R6" s="129">
        <f t="shared" si="3"/>
        <v>28.88</v>
      </c>
      <c r="S6" s="117"/>
      <c r="T6" s="129">
        <f t="shared" si="4"/>
        <v>183.36</v>
      </c>
      <c r="U6" s="129">
        <f t="shared" si="5"/>
        <v>105.47</v>
      </c>
      <c r="V6" s="117">
        <v>20</v>
      </c>
      <c r="W6" s="129">
        <f t="shared" si="6"/>
        <v>340</v>
      </c>
      <c r="X6" s="117">
        <v>13</v>
      </c>
      <c r="Y6" s="129">
        <f t="shared" si="12"/>
        <v>221</v>
      </c>
      <c r="Z6" s="117"/>
      <c r="AA6" s="134">
        <f t="shared" si="7"/>
        <v>101.09</v>
      </c>
      <c r="AB6" s="129">
        <f t="shared" si="8"/>
        <v>76.2</v>
      </c>
      <c r="AC6" s="135">
        <f t="shared" si="9"/>
        <v>0.0376890014393044</v>
      </c>
      <c r="AD6" s="119">
        <f t="shared" si="13"/>
        <v>105.47</v>
      </c>
      <c r="AE6" s="119">
        <f t="shared" si="14"/>
        <v>17</v>
      </c>
      <c r="AF6" s="136">
        <v>1</v>
      </c>
    </row>
    <row r="7" s="112" customFormat="1" customHeight="1" spans="1:32">
      <c r="A7" s="117">
        <v>4</v>
      </c>
      <c r="B7" s="11">
        <v>44139</v>
      </c>
      <c r="C7" s="127">
        <v>7</v>
      </c>
      <c r="D7" s="127" t="s">
        <v>147</v>
      </c>
      <c r="E7" s="117">
        <v>20</v>
      </c>
      <c r="F7" s="128" t="s">
        <v>168</v>
      </c>
      <c r="G7" s="117">
        <v>17.99</v>
      </c>
      <c r="H7" s="129">
        <f t="shared" si="0"/>
        <v>359.8</v>
      </c>
      <c r="I7" s="117">
        <v>0.15</v>
      </c>
      <c r="J7" s="129">
        <f t="shared" si="10"/>
        <v>53.97</v>
      </c>
      <c r="K7" s="117">
        <v>3.48</v>
      </c>
      <c r="L7" s="129">
        <f t="shared" si="11"/>
        <v>69.6</v>
      </c>
      <c r="M7" s="129">
        <f t="shared" si="1"/>
        <v>10.8</v>
      </c>
      <c r="N7" s="117">
        <v>0.15</v>
      </c>
      <c r="O7" s="129">
        <f t="shared" si="2"/>
        <v>54</v>
      </c>
      <c r="P7" s="117">
        <v>0</v>
      </c>
      <c r="Q7" s="117">
        <v>0.1</v>
      </c>
      <c r="R7" s="129">
        <f t="shared" si="3"/>
        <v>35.98</v>
      </c>
      <c r="S7" s="117"/>
      <c r="T7" s="129">
        <f t="shared" si="4"/>
        <v>224.35</v>
      </c>
      <c r="U7" s="129">
        <f t="shared" si="5"/>
        <v>135.45</v>
      </c>
      <c r="V7" s="117">
        <v>20</v>
      </c>
      <c r="W7" s="129">
        <f t="shared" si="6"/>
        <v>400</v>
      </c>
      <c r="X7" s="117">
        <v>13</v>
      </c>
      <c r="Y7" s="129">
        <f t="shared" si="12"/>
        <v>260</v>
      </c>
      <c r="Z7" s="117"/>
      <c r="AA7" s="134">
        <f t="shared" si="7"/>
        <v>125.93</v>
      </c>
      <c r="AB7" s="129">
        <f t="shared" si="8"/>
        <v>162.22</v>
      </c>
      <c r="AC7" s="135">
        <f t="shared" si="9"/>
        <v>0.0644087985388707</v>
      </c>
      <c r="AD7" s="119">
        <f t="shared" si="13"/>
        <v>135.45</v>
      </c>
      <c r="AE7" s="119">
        <f t="shared" si="14"/>
        <v>20</v>
      </c>
      <c r="AF7" s="136">
        <v>1</v>
      </c>
    </row>
    <row r="8" s="112" customFormat="1" customHeight="1" spans="1:32">
      <c r="A8" s="117">
        <v>5</v>
      </c>
      <c r="B8" s="8">
        <v>44142</v>
      </c>
      <c r="C8" s="127">
        <v>7</v>
      </c>
      <c r="D8" s="127" t="s">
        <v>147</v>
      </c>
      <c r="E8" s="117">
        <v>25</v>
      </c>
      <c r="F8" s="128" t="s">
        <v>168</v>
      </c>
      <c r="G8" s="117">
        <v>17.99</v>
      </c>
      <c r="H8" s="129">
        <f t="shared" si="0"/>
        <v>449.75</v>
      </c>
      <c r="I8" s="117">
        <v>0.15</v>
      </c>
      <c r="J8" s="129">
        <f t="shared" si="10"/>
        <v>67.46</v>
      </c>
      <c r="K8" s="117">
        <v>3.48</v>
      </c>
      <c r="L8" s="129">
        <f t="shared" si="11"/>
        <v>87</v>
      </c>
      <c r="M8" s="129">
        <f t="shared" si="1"/>
        <v>13.5</v>
      </c>
      <c r="N8" s="117">
        <v>0.15</v>
      </c>
      <c r="O8" s="129">
        <f t="shared" si="2"/>
        <v>67.5</v>
      </c>
      <c r="P8" s="117">
        <v>0</v>
      </c>
      <c r="Q8" s="117">
        <v>0.1</v>
      </c>
      <c r="R8" s="129">
        <f t="shared" si="3"/>
        <v>44.98</v>
      </c>
      <c r="S8" s="117"/>
      <c r="T8" s="129">
        <f t="shared" si="4"/>
        <v>280.44</v>
      </c>
      <c r="U8" s="129">
        <f t="shared" si="5"/>
        <v>169.31</v>
      </c>
      <c r="V8" s="117">
        <v>20</v>
      </c>
      <c r="W8" s="129">
        <f t="shared" si="6"/>
        <v>500</v>
      </c>
      <c r="X8" s="117">
        <v>13</v>
      </c>
      <c r="Y8" s="129">
        <f t="shared" si="12"/>
        <v>325</v>
      </c>
      <c r="Z8" s="117"/>
      <c r="AA8" s="134">
        <f t="shared" si="7"/>
        <v>157.41</v>
      </c>
      <c r="AB8" s="129">
        <f t="shared" si="8"/>
        <v>202.76</v>
      </c>
      <c r="AC8" s="135">
        <f t="shared" si="9"/>
        <v>0.0644040339871356</v>
      </c>
      <c r="AD8" s="119">
        <f t="shared" si="13"/>
        <v>169.31</v>
      </c>
      <c r="AE8" s="119">
        <f t="shared" si="14"/>
        <v>25</v>
      </c>
      <c r="AF8" s="136">
        <v>1</v>
      </c>
    </row>
    <row r="9" s="112" customFormat="1" customHeight="1" spans="1:32">
      <c r="A9" s="117">
        <v>6</v>
      </c>
      <c r="B9" s="11">
        <v>44149</v>
      </c>
      <c r="C9" s="127">
        <v>7</v>
      </c>
      <c r="D9" s="127" t="s">
        <v>147</v>
      </c>
      <c r="E9" s="117">
        <v>30</v>
      </c>
      <c r="F9" s="128" t="s">
        <v>168</v>
      </c>
      <c r="G9" s="117">
        <v>18.99</v>
      </c>
      <c r="H9" s="129">
        <f t="shared" si="0"/>
        <v>569.7</v>
      </c>
      <c r="I9" s="117">
        <v>0.15</v>
      </c>
      <c r="J9" s="129">
        <f t="shared" si="10"/>
        <v>85.46</v>
      </c>
      <c r="K9" s="117">
        <v>3.48</v>
      </c>
      <c r="L9" s="129">
        <f t="shared" si="11"/>
        <v>104.4</v>
      </c>
      <c r="M9" s="129">
        <f t="shared" si="1"/>
        <v>17.1</v>
      </c>
      <c r="N9" s="117">
        <v>0.15</v>
      </c>
      <c r="O9" s="129">
        <f t="shared" si="2"/>
        <v>85.5</v>
      </c>
      <c r="P9" s="117">
        <v>0</v>
      </c>
      <c r="Q9" s="117">
        <v>0.1</v>
      </c>
      <c r="R9" s="129">
        <f t="shared" si="3"/>
        <v>56.97</v>
      </c>
      <c r="S9" s="117"/>
      <c r="T9" s="129">
        <f t="shared" si="4"/>
        <v>349.43</v>
      </c>
      <c r="U9" s="129">
        <f t="shared" si="5"/>
        <v>220.27</v>
      </c>
      <c r="V9" s="117">
        <v>20</v>
      </c>
      <c r="W9" s="129">
        <f t="shared" si="6"/>
        <v>600</v>
      </c>
      <c r="X9" s="117">
        <v>13</v>
      </c>
      <c r="Y9" s="129">
        <f t="shared" si="12"/>
        <v>390</v>
      </c>
      <c r="Z9" s="117"/>
      <c r="AA9" s="134">
        <f t="shared" si="7"/>
        <v>199.4</v>
      </c>
      <c r="AB9" s="129">
        <f t="shared" si="8"/>
        <v>352.489999999999</v>
      </c>
      <c r="AC9" s="135">
        <f t="shared" si="9"/>
        <v>0.0883898793851398</v>
      </c>
      <c r="AD9" s="119">
        <f t="shared" si="13"/>
        <v>220.27</v>
      </c>
      <c r="AE9" s="119">
        <f t="shared" si="14"/>
        <v>30</v>
      </c>
      <c r="AF9" s="136">
        <v>1</v>
      </c>
    </row>
    <row r="10" s="112" customFormat="1" customHeight="1" spans="1:32">
      <c r="A10" s="117">
        <v>7</v>
      </c>
      <c r="B10" s="11">
        <v>44156</v>
      </c>
      <c r="C10" s="127">
        <v>7</v>
      </c>
      <c r="D10" s="127" t="s">
        <v>147</v>
      </c>
      <c r="E10" s="117">
        <v>35</v>
      </c>
      <c r="F10" s="128" t="s">
        <v>168</v>
      </c>
      <c r="G10" s="117">
        <v>18.99</v>
      </c>
      <c r="H10" s="129">
        <f t="shared" si="0"/>
        <v>664.65</v>
      </c>
      <c r="I10" s="117">
        <v>0.15</v>
      </c>
      <c r="J10" s="129">
        <f t="shared" si="10"/>
        <v>99.7</v>
      </c>
      <c r="K10" s="117">
        <v>3.48</v>
      </c>
      <c r="L10" s="129">
        <f t="shared" si="11"/>
        <v>121.8</v>
      </c>
      <c r="M10" s="129">
        <f t="shared" si="1"/>
        <v>19.9</v>
      </c>
      <c r="N10" s="117">
        <v>0.15</v>
      </c>
      <c r="O10" s="129">
        <f t="shared" si="2"/>
        <v>99.7</v>
      </c>
      <c r="P10" s="117">
        <v>0</v>
      </c>
      <c r="Q10" s="117">
        <v>0.1</v>
      </c>
      <c r="R10" s="129">
        <f t="shared" si="3"/>
        <v>66.47</v>
      </c>
      <c r="S10" s="117"/>
      <c r="T10" s="129">
        <f t="shared" si="4"/>
        <v>407.57</v>
      </c>
      <c r="U10" s="129">
        <f t="shared" si="5"/>
        <v>257.08</v>
      </c>
      <c r="V10" s="117">
        <v>20</v>
      </c>
      <c r="W10" s="129">
        <f t="shared" si="6"/>
        <v>700</v>
      </c>
      <c r="X10" s="117">
        <v>13</v>
      </c>
      <c r="Y10" s="129">
        <f t="shared" si="12"/>
        <v>455</v>
      </c>
      <c r="Z10" s="117"/>
      <c r="AA10" s="134">
        <f t="shared" si="7"/>
        <v>232.63</v>
      </c>
      <c r="AB10" s="129">
        <f t="shared" si="8"/>
        <v>411.929999999999</v>
      </c>
      <c r="AC10" s="135">
        <f t="shared" si="9"/>
        <v>0.088538543379437</v>
      </c>
      <c r="AD10" s="119">
        <f t="shared" si="13"/>
        <v>257.08</v>
      </c>
      <c r="AE10" s="119">
        <f t="shared" si="14"/>
        <v>35</v>
      </c>
      <c r="AF10" s="136">
        <v>1</v>
      </c>
    </row>
    <row r="11" s="112" customFormat="1" customHeight="1" spans="1:32">
      <c r="A11" s="117">
        <v>8</v>
      </c>
      <c r="B11" s="11">
        <v>44163</v>
      </c>
      <c r="C11" s="127">
        <v>7</v>
      </c>
      <c r="D11" s="127" t="s">
        <v>147</v>
      </c>
      <c r="E11" s="117">
        <v>40</v>
      </c>
      <c r="F11" s="128" t="s">
        <v>168</v>
      </c>
      <c r="G11" s="117">
        <v>18.99</v>
      </c>
      <c r="H11" s="129">
        <f t="shared" si="0"/>
        <v>759.6</v>
      </c>
      <c r="I11" s="117">
        <v>0.15</v>
      </c>
      <c r="J11" s="129">
        <f t="shared" si="10"/>
        <v>113.94</v>
      </c>
      <c r="K11" s="117">
        <v>3.48</v>
      </c>
      <c r="L11" s="129">
        <f t="shared" si="11"/>
        <v>139.2</v>
      </c>
      <c r="M11" s="129">
        <f t="shared" si="1"/>
        <v>22.8</v>
      </c>
      <c r="N11" s="117">
        <v>0.15</v>
      </c>
      <c r="O11" s="129">
        <f t="shared" si="2"/>
        <v>113.9</v>
      </c>
      <c r="P11" s="117">
        <v>0</v>
      </c>
      <c r="Q11" s="117">
        <v>0.1</v>
      </c>
      <c r="R11" s="129">
        <f t="shared" si="3"/>
        <v>75.96</v>
      </c>
      <c r="S11" s="117"/>
      <c r="T11" s="129">
        <f t="shared" si="4"/>
        <v>465.8</v>
      </c>
      <c r="U11" s="129">
        <f t="shared" si="5"/>
        <v>293.8</v>
      </c>
      <c r="V11" s="117">
        <v>20</v>
      </c>
      <c r="W11" s="129">
        <f t="shared" si="6"/>
        <v>800</v>
      </c>
      <c r="X11" s="117">
        <v>13</v>
      </c>
      <c r="Y11" s="129">
        <f t="shared" si="12"/>
        <v>520</v>
      </c>
      <c r="Z11" s="117"/>
      <c r="AA11" s="134">
        <f t="shared" si="7"/>
        <v>265.86</v>
      </c>
      <c r="AB11" s="129">
        <f t="shared" si="8"/>
        <v>470.739999999999</v>
      </c>
      <c r="AC11" s="135">
        <f t="shared" si="9"/>
        <v>0.0885315579628375</v>
      </c>
      <c r="AD11" s="119">
        <f t="shared" si="13"/>
        <v>293.8</v>
      </c>
      <c r="AE11" s="119">
        <f t="shared" si="14"/>
        <v>40</v>
      </c>
      <c r="AF11" s="136">
        <v>1</v>
      </c>
    </row>
    <row r="12" s="112" customFormat="1" customHeight="1" spans="1:32">
      <c r="A12" s="117">
        <v>9</v>
      </c>
      <c r="B12" s="8">
        <v>44172</v>
      </c>
      <c r="C12" s="127">
        <v>7</v>
      </c>
      <c r="D12" s="127" t="s">
        <v>147</v>
      </c>
      <c r="E12" s="117">
        <v>50</v>
      </c>
      <c r="F12" s="128" t="s">
        <v>168</v>
      </c>
      <c r="G12" s="117">
        <v>19.99</v>
      </c>
      <c r="H12" s="129">
        <f t="shared" si="0"/>
        <v>999.5</v>
      </c>
      <c r="I12" s="117">
        <v>0.15</v>
      </c>
      <c r="J12" s="129">
        <f t="shared" si="10"/>
        <v>149.93</v>
      </c>
      <c r="K12" s="117">
        <v>3.48</v>
      </c>
      <c r="L12" s="129">
        <f t="shared" si="11"/>
        <v>174</v>
      </c>
      <c r="M12" s="129">
        <f t="shared" si="1"/>
        <v>30</v>
      </c>
      <c r="N12" s="117">
        <v>0.15</v>
      </c>
      <c r="O12" s="129">
        <f t="shared" si="2"/>
        <v>149.9</v>
      </c>
      <c r="P12" s="117">
        <v>0</v>
      </c>
      <c r="Q12" s="117">
        <v>0.1</v>
      </c>
      <c r="R12" s="129">
        <f t="shared" si="3"/>
        <v>99.95</v>
      </c>
      <c r="S12" s="117"/>
      <c r="T12" s="129">
        <f t="shared" si="4"/>
        <v>603.78</v>
      </c>
      <c r="U12" s="129">
        <f t="shared" si="5"/>
        <v>395.72</v>
      </c>
      <c r="V12" s="117">
        <v>20</v>
      </c>
      <c r="W12" s="129">
        <f t="shared" si="6"/>
        <v>1000</v>
      </c>
      <c r="X12" s="117">
        <v>13</v>
      </c>
      <c r="Y12" s="129">
        <f t="shared" si="12"/>
        <v>650</v>
      </c>
      <c r="Z12" s="117"/>
      <c r="AA12" s="134">
        <f t="shared" si="7"/>
        <v>349.83</v>
      </c>
      <c r="AB12" s="129">
        <f t="shared" si="8"/>
        <v>770.209999999999</v>
      </c>
      <c r="AC12" s="135">
        <f t="shared" si="9"/>
        <v>0.11008504252126</v>
      </c>
      <c r="AD12" s="119">
        <f t="shared" si="13"/>
        <v>395.72</v>
      </c>
      <c r="AE12" s="119">
        <f t="shared" si="14"/>
        <v>50</v>
      </c>
      <c r="AF12" s="136">
        <v>1</v>
      </c>
    </row>
    <row r="13" s="112" customFormat="1" customHeight="1" spans="1:32">
      <c r="A13" s="117">
        <v>10</v>
      </c>
      <c r="B13" s="11">
        <v>44179</v>
      </c>
      <c r="C13" s="127">
        <v>7</v>
      </c>
      <c r="D13" s="127" t="s">
        <v>147</v>
      </c>
      <c r="E13" s="117">
        <v>50</v>
      </c>
      <c r="F13" s="128" t="s">
        <v>168</v>
      </c>
      <c r="G13" s="117">
        <v>19.99</v>
      </c>
      <c r="H13" s="129">
        <f t="shared" si="0"/>
        <v>999.5</v>
      </c>
      <c r="I13" s="117">
        <v>0.15</v>
      </c>
      <c r="J13" s="129">
        <f t="shared" si="10"/>
        <v>149.93</v>
      </c>
      <c r="K13" s="117">
        <v>3.48</v>
      </c>
      <c r="L13" s="129">
        <f t="shared" si="11"/>
        <v>174</v>
      </c>
      <c r="M13" s="129">
        <f t="shared" si="1"/>
        <v>30</v>
      </c>
      <c r="N13" s="117">
        <v>0.15</v>
      </c>
      <c r="O13" s="129">
        <f t="shared" si="2"/>
        <v>149.9</v>
      </c>
      <c r="P13" s="117">
        <v>0</v>
      </c>
      <c r="Q13" s="117">
        <v>0.1</v>
      </c>
      <c r="R13" s="129">
        <f t="shared" si="3"/>
        <v>99.95</v>
      </c>
      <c r="S13" s="117"/>
      <c r="T13" s="129">
        <f t="shared" si="4"/>
        <v>603.78</v>
      </c>
      <c r="U13" s="129">
        <f t="shared" si="5"/>
        <v>395.72</v>
      </c>
      <c r="V13" s="117">
        <v>20</v>
      </c>
      <c r="W13" s="129">
        <f t="shared" si="6"/>
        <v>1000</v>
      </c>
      <c r="X13" s="117">
        <v>13</v>
      </c>
      <c r="Y13" s="129">
        <f t="shared" si="12"/>
        <v>650</v>
      </c>
      <c r="Z13" s="117"/>
      <c r="AA13" s="134">
        <f t="shared" si="7"/>
        <v>349.83</v>
      </c>
      <c r="AB13" s="129">
        <f t="shared" si="8"/>
        <v>770.209999999999</v>
      </c>
      <c r="AC13" s="135">
        <f t="shared" si="9"/>
        <v>0.11008504252126</v>
      </c>
      <c r="AD13" s="119">
        <f t="shared" si="13"/>
        <v>395.72</v>
      </c>
      <c r="AE13" s="119">
        <f t="shared" si="14"/>
        <v>50</v>
      </c>
      <c r="AF13" s="136">
        <v>1</v>
      </c>
    </row>
    <row r="14" s="112" customFormat="1" customHeight="1" spans="1:32">
      <c r="A14" s="117">
        <v>11</v>
      </c>
      <c r="B14" s="11">
        <v>44186</v>
      </c>
      <c r="C14" s="127">
        <v>7</v>
      </c>
      <c r="D14" s="127" t="s">
        <v>147</v>
      </c>
      <c r="E14" s="117">
        <v>55</v>
      </c>
      <c r="F14" s="128" t="s">
        <v>168</v>
      </c>
      <c r="G14" s="117">
        <v>21.99</v>
      </c>
      <c r="H14" s="129">
        <f t="shared" si="0"/>
        <v>1209.45</v>
      </c>
      <c r="I14" s="117">
        <v>0.15</v>
      </c>
      <c r="J14" s="129">
        <f t="shared" si="10"/>
        <v>181.42</v>
      </c>
      <c r="K14" s="117">
        <v>3.48</v>
      </c>
      <c r="L14" s="129">
        <f t="shared" si="11"/>
        <v>191.4</v>
      </c>
      <c r="M14" s="129">
        <f t="shared" si="1"/>
        <v>36.3</v>
      </c>
      <c r="N14" s="117">
        <v>0.15</v>
      </c>
      <c r="O14" s="129">
        <f t="shared" si="2"/>
        <v>181.4</v>
      </c>
      <c r="P14" s="117">
        <v>0</v>
      </c>
      <c r="Q14" s="117">
        <v>0.1</v>
      </c>
      <c r="R14" s="129">
        <f t="shared" si="3"/>
        <v>120.95</v>
      </c>
      <c r="S14" s="117"/>
      <c r="T14" s="129">
        <f t="shared" si="4"/>
        <v>711.47</v>
      </c>
      <c r="U14" s="129">
        <f t="shared" si="5"/>
        <v>497.98</v>
      </c>
      <c r="V14" s="117">
        <v>20</v>
      </c>
      <c r="W14" s="129">
        <f t="shared" si="6"/>
        <v>1100</v>
      </c>
      <c r="X14" s="117">
        <v>13</v>
      </c>
      <c r="Y14" s="129">
        <f t="shared" si="12"/>
        <v>715</v>
      </c>
      <c r="Z14" s="117"/>
      <c r="AA14" s="134">
        <f t="shared" si="7"/>
        <v>423.31</v>
      </c>
      <c r="AB14" s="129">
        <f t="shared" si="8"/>
        <v>1247.55</v>
      </c>
      <c r="AC14" s="135">
        <f t="shared" si="9"/>
        <v>0.1473574174802</v>
      </c>
      <c r="AD14" s="119">
        <f t="shared" si="13"/>
        <v>497.98</v>
      </c>
      <c r="AE14" s="119">
        <f t="shared" si="14"/>
        <v>55</v>
      </c>
      <c r="AF14" s="136">
        <v>1</v>
      </c>
    </row>
    <row r="15" s="112" customFormat="1" customHeight="1" spans="1:32">
      <c r="A15" s="117">
        <v>12</v>
      </c>
      <c r="B15" s="11">
        <v>44193</v>
      </c>
      <c r="C15" s="127">
        <v>7</v>
      </c>
      <c r="D15" s="127" t="s">
        <v>147</v>
      </c>
      <c r="E15" s="117">
        <v>60</v>
      </c>
      <c r="F15" s="128" t="s">
        <v>168</v>
      </c>
      <c r="G15" s="117">
        <v>22.99</v>
      </c>
      <c r="H15" s="129">
        <f t="shared" si="0"/>
        <v>1379.4</v>
      </c>
      <c r="I15" s="117">
        <v>0.15</v>
      </c>
      <c r="J15" s="129">
        <f t="shared" si="10"/>
        <v>206.91</v>
      </c>
      <c r="K15" s="117">
        <v>3.48</v>
      </c>
      <c r="L15" s="129">
        <f t="shared" si="11"/>
        <v>208.8</v>
      </c>
      <c r="M15" s="129">
        <f t="shared" si="1"/>
        <v>41.4</v>
      </c>
      <c r="N15" s="117">
        <v>0.15</v>
      </c>
      <c r="O15" s="129">
        <f t="shared" si="2"/>
        <v>206.9</v>
      </c>
      <c r="P15" s="117">
        <v>0</v>
      </c>
      <c r="Q15" s="117">
        <v>0.1</v>
      </c>
      <c r="R15" s="129">
        <f t="shared" si="3"/>
        <v>137.94</v>
      </c>
      <c r="S15" s="117"/>
      <c r="T15" s="129">
        <f t="shared" si="4"/>
        <v>801.95</v>
      </c>
      <c r="U15" s="129">
        <f t="shared" si="5"/>
        <v>577.45</v>
      </c>
      <c r="V15" s="117">
        <v>20</v>
      </c>
      <c r="W15" s="129">
        <f t="shared" si="6"/>
        <v>1200</v>
      </c>
      <c r="X15" s="117">
        <v>13</v>
      </c>
      <c r="Y15" s="129">
        <f t="shared" si="12"/>
        <v>780</v>
      </c>
      <c r="Z15" s="117"/>
      <c r="AA15" s="134">
        <f t="shared" si="7"/>
        <v>482.79</v>
      </c>
      <c r="AB15" s="129">
        <f t="shared" si="8"/>
        <v>1579.36</v>
      </c>
      <c r="AC15" s="135">
        <f t="shared" si="9"/>
        <v>0.163565939642495</v>
      </c>
      <c r="AD15" s="119">
        <f t="shared" si="13"/>
        <v>577.45</v>
      </c>
      <c r="AE15" s="119">
        <f t="shared" si="14"/>
        <v>60</v>
      </c>
      <c r="AF15" s="136">
        <v>1</v>
      </c>
    </row>
    <row r="16" s="112" customFormat="1" customHeight="1" spans="2:29">
      <c r="B16" s="114"/>
      <c r="C16" s="115"/>
      <c r="D16" s="115"/>
      <c r="AC16" s="116"/>
    </row>
    <row r="17" s="112" customFormat="1" customHeight="1" spans="2:29">
      <c r="B17" s="114"/>
      <c r="C17" s="115"/>
      <c r="D17" s="115"/>
      <c r="X17" s="112" t="s">
        <v>169</v>
      </c>
      <c r="AC17" s="116"/>
    </row>
    <row r="18" s="112" customFormat="1" customHeight="1" spans="2:29">
      <c r="B18" s="114"/>
      <c r="C18" s="115"/>
      <c r="D18" s="115"/>
      <c r="AC18" s="116"/>
    </row>
    <row r="19" s="112" customFormat="1" customHeight="1" spans="2:29">
      <c r="B19" s="114"/>
      <c r="C19" s="115"/>
      <c r="D19" s="115"/>
      <c r="AC19" s="116"/>
    </row>
    <row r="20" s="112" customFormat="1" customHeight="1" spans="2:29">
      <c r="B20" s="114"/>
      <c r="C20" s="115"/>
      <c r="D20" s="115"/>
      <c r="AC20" s="116"/>
    </row>
    <row r="21" s="112" customFormat="1" customHeight="1" spans="2:29">
      <c r="B21" s="114"/>
      <c r="C21" s="115"/>
      <c r="D21" s="115"/>
      <c r="AC21" s="116"/>
    </row>
    <row r="22" s="112" customFormat="1" customHeight="1" spans="2:29">
      <c r="B22" s="114"/>
      <c r="C22" s="115"/>
      <c r="D22" s="115"/>
      <c r="AC22" s="116"/>
    </row>
    <row r="23" s="112" customFormat="1" customHeight="1" spans="2:29">
      <c r="B23" s="114"/>
      <c r="C23" s="115"/>
      <c r="D23" s="115"/>
      <c r="AC23" s="116"/>
    </row>
    <row r="24" s="112" customFormat="1" customHeight="1" spans="2:29">
      <c r="B24" s="114"/>
      <c r="C24" s="115"/>
      <c r="D24" s="115"/>
      <c r="AC24" s="116"/>
    </row>
    <row r="25" s="112" customFormat="1" customHeight="1" spans="2:29">
      <c r="B25" s="114"/>
      <c r="C25" s="115"/>
      <c r="D25" s="115"/>
      <c r="AC25" s="116"/>
    </row>
    <row r="26" s="112" customFormat="1" customHeight="1" spans="2:29">
      <c r="B26" s="114"/>
      <c r="C26" s="115"/>
      <c r="D26" s="115"/>
      <c r="AC26" s="116"/>
    </row>
    <row r="27" s="112" customFormat="1" customHeight="1" spans="2:29">
      <c r="B27" s="114"/>
      <c r="C27" s="115"/>
      <c r="D27" s="115"/>
      <c r="AC27" s="116"/>
    </row>
    <row r="28" s="112" customFormat="1" customHeight="1" spans="2:29">
      <c r="B28" s="114"/>
      <c r="C28" s="115"/>
      <c r="D28" s="115"/>
      <c r="AC28" s="116"/>
    </row>
    <row r="29" s="112" customFormat="1" customHeight="1" spans="2:29">
      <c r="B29" s="114"/>
      <c r="C29" s="115"/>
      <c r="D29" s="115"/>
      <c r="AC29" s="116"/>
    </row>
    <row r="30" s="112" customFormat="1" customHeight="1" spans="2:29">
      <c r="B30" s="114"/>
      <c r="C30" s="115"/>
      <c r="D30" s="115"/>
      <c r="AC30" s="116"/>
    </row>
    <row r="31" s="112" customFormat="1" customHeight="1" spans="2:29">
      <c r="B31" s="114"/>
      <c r="C31" s="115"/>
      <c r="D31" s="115"/>
      <c r="AC31" s="116"/>
    </row>
    <row r="32" s="112" customFormat="1" customHeight="1" spans="2:29">
      <c r="B32" s="114"/>
      <c r="C32" s="115"/>
      <c r="D32" s="115"/>
      <c r="AC32" s="116"/>
    </row>
    <row r="33" s="112" customFormat="1" customHeight="1" spans="2:29">
      <c r="B33" s="114"/>
      <c r="C33" s="115"/>
      <c r="D33" s="115"/>
      <c r="AC33" s="116"/>
    </row>
    <row r="34" s="112" customFormat="1" customHeight="1" spans="2:29">
      <c r="B34" s="114"/>
      <c r="C34" s="115"/>
      <c r="D34" s="115"/>
      <c r="AC34" s="116"/>
    </row>
    <row r="35" s="112" customFormat="1" customHeight="1" spans="2:29">
      <c r="B35" s="114"/>
      <c r="C35" s="115"/>
      <c r="D35" s="115"/>
      <c r="AC35" s="116"/>
    </row>
    <row r="36" s="112" customFormat="1" customHeight="1" spans="2:29">
      <c r="B36" s="114"/>
      <c r="C36" s="115"/>
      <c r="D36" s="115"/>
      <c r="AC36" s="116"/>
    </row>
    <row r="37" s="112" customFormat="1" customHeight="1" spans="2:29">
      <c r="B37" s="114"/>
      <c r="C37" s="115"/>
      <c r="D37" s="115"/>
      <c r="AC37" s="116"/>
    </row>
    <row r="38" s="112" customFormat="1" customHeight="1" spans="2:29">
      <c r="B38" s="114"/>
      <c r="C38" s="115"/>
      <c r="D38" s="115"/>
      <c r="AC38" s="116"/>
    </row>
    <row r="39" s="112" customFormat="1" customHeight="1" spans="2:29">
      <c r="B39" s="114"/>
      <c r="C39" s="115"/>
      <c r="D39" s="115"/>
      <c r="AC39" s="116"/>
    </row>
    <row r="40" s="112" customFormat="1" customHeight="1" spans="2:29">
      <c r="B40" s="114"/>
      <c r="C40" s="115"/>
      <c r="D40" s="115"/>
      <c r="AC40" s="116"/>
    </row>
    <row r="41" s="112" customFormat="1" customHeight="1" spans="2:29">
      <c r="B41" s="114"/>
      <c r="C41" s="115"/>
      <c r="D41" s="115"/>
      <c r="AC41" s="116"/>
    </row>
    <row r="42" s="112" customFormat="1" customHeight="1" spans="2:29">
      <c r="B42" s="114"/>
      <c r="C42" s="115"/>
      <c r="D42" s="115"/>
      <c r="AC42" s="116"/>
    </row>
    <row r="43" s="112" customFormat="1" customHeight="1" spans="2:29">
      <c r="B43" s="114"/>
      <c r="C43" s="115"/>
      <c r="D43" s="115"/>
      <c r="AC43" s="116"/>
    </row>
    <row r="44" s="112" customFormat="1" customHeight="1" spans="2:29">
      <c r="B44" s="114"/>
      <c r="C44" s="115"/>
      <c r="D44" s="115"/>
      <c r="AC44" s="116"/>
    </row>
    <row r="45" s="112" customFormat="1" customHeight="1" spans="2:29">
      <c r="B45" s="114"/>
      <c r="C45" s="115"/>
      <c r="D45" s="115"/>
      <c r="AC45" s="116"/>
    </row>
    <row r="46" s="112" customFormat="1" customHeight="1" spans="2:29">
      <c r="B46" s="114"/>
      <c r="C46" s="115"/>
      <c r="D46" s="115"/>
      <c r="AC46" s="116"/>
    </row>
    <row r="47" s="112" customFormat="1" customHeight="1" spans="2:29">
      <c r="B47" s="114"/>
      <c r="C47" s="115"/>
      <c r="D47" s="115"/>
      <c r="AC47" s="116"/>
    </row>
    <row r="48" s="112" customFormat="1" customHeight="1" spans="2:29">
      <c r="B48" s="114"/>
      <c r="C48" s="115"/>
      <c r="D48" s="115"/>
      <c r="AC48" s="116"/>
    </row>
    <row r="49" s="112" customFormat="1" customHeight="1" spans="2:29">
      <c r="B49" s="114"/>
      <c r="C49" s="115"/>
      <c r="D49" s="115"/>
      <c r="AC49" s="116"/>
    </row>
    <row r="50" s="112" customFormat="1" customHeight="1" spans="2:29">
      <c r="B50" s="114"/>
      <c r="C50" s="115"/>
      <c r="D50" s="115"/>
      <c r="AC50" s="116"/>
    </row>
    <row r="51" s="112" customFormat="1" customHeight="1" spans="2:29">
      <c r="B51" s="114"/>
      <c r="C51" s="115"/>
      <c r="D51" s="115"/>
      <c r="AC51" s="116"/>
    </row>
    <row r="52" s="112" customFormat="1" customHeight="1" spans="2:29">
      <c r="B52" s="114"/>
      <c r="C52" s="115"/>
      <c r="D52" s="115"/>
      <c r="AC52" s="116"/>
    </row>
    <row r="53" s="112" customFormat="1" customHeight="1" spans="2:29">
      <c r="B53" s="114"/>
      <c r="C53" s="115"/>
      <c r="D53" s="115"/>
      <c r="AC53" s="116"/>
    </row>
    <row r="54" s="112" customFormat="1" customHeight="1" spans="2:29">
      <c r="B54" s="114"/>
      <c r="C54" s="115"/>
      <c r="D54" s="115"/>
      <c r="AC54" s="116"/>
    </row>
    <row r="55" s="112" customFormat="1" customHeight="1" spans="2:29">
      <c r="B55" s="114"/>
      <c r="C55" s="115"/>
      <c r="D55" s="115"/>
      <c r="AC55" s="116"/>
    </row>
    <row r="56" s="112" customFormat="1" customHeight="1" spans="2:29">
      <c r="B56" s="114"/>
      <c r="C56" s="115"/>
      <c r="D56" s="115"/>
      <c r="AC56" s="116"/>
    </row>
    <row r="57" s="112" customFormat="1" customHeight="1" spans="2:29">
      <c r="B57" s="114"/>
      <c r="C57" s="115"/>
      <c r="D57" s="115"/>
      <c r="AC57" s="116"/>
    </row>
    <row r="58" s="112" customFormat="1" customHeight="1" spans="2:29">
      <c r="B58" s="114"/>
      <c r="C58" s="115"/>
      <c r="D58" s="115"/>
      <c r="AC58" s="116"/>
    </row>
    <row r="59" s="112" customFormat="1" customHeight="1" spans="2:29">
      <c r="B59" s="114"/>
      <c r="C59" s="115"/>
      <c r="D59" s="115"/>
      <c r="AC59" s="116"/>
    </row>
    <row r="60" s="112" customFormat="1" customHeight="1" spans="2:29">
      <c r="B60" s="114"/>
      <c r="C60" s="115"/>
      <c r="D60" s="115"/>
      <c r="AC60" s="116"/>
    </row>
    <row r="61" s="112" customFormat="1" customHeight="1" spans="2:29">
      <c r="B61" s="114"/>
      <c r="C61" s="115"/>
      <c r="D61" s="115"/>
      <c r="AC61" s="116"/>
    </row>
    <row r="62" s="112" customFormat="1" customHeight="1" spans="2:29">
      <c r="B62" s="114"/>
      <c r="C62" s="115"/>
      <c r="D62" s="115"/>
      <c r="AC62" s="116"/>
    </row>
    <row r="63" s="112" customFormat="1" customHeight="1" spans="2:29">
      <c r="B63" s="114"/>
      <c r="C63" s="115"/>
      <c r="D63" s="115"/>
      <c r="AC63" s="116"/>
    </row>
    <row r="64" s="112" customFormat="1" customHeight="1" spans="2:29">
      <c r="B64" s="114"/>
      <c r="C64" s="115"/>
      <c r="D64" s="115"/>
      <c r="AC64" s="116"/>
    </row>
    <row r="65" s="112" customFormat="1" customHeight="1" spans="2:29">
      <c r="B65" s="114"/>
      <c r="C65" s="115"/>
      <c r="D65" s="115"/>
      <c r="AC65" s="116"/>
    </row>
    <row r="66" s="112" customFormat="1" customHeight="1" spans="2:29">
      <c r="B66" s="114"/>
      <c r="C66" s="115"/>
      <c r="D66" s="115"/>
      <c r="AC66" s="116"/>
    </row>
    <row r="67" s="112" customFormat="1" customHeight="1" spans="2:29">
      <c r="B67" s="114"/>
      <c r="C67" s="115"/>
      <c r="D67" s="115"/>
      <c r="AC67" s="116"/>
    </row>
    <row r="68" s="112" customFormat="1" customHeight="1" spans="2:29">
      <c r="B68" s="114"/>
      <c r="C68" s="115"/>
      <c r="D68" s="115"/>
      <c r="AC68" s="116"/>
    </row>
    <row r="69" s="112" customFormat="1" customHeight="1" spans="2:29">
      <c r="B69" s="114"/>
      <c r="C69" s="115"/>
      <c r="D69" s="115"/>
      <c r="AC69" s="116"/>
    </row>
    <row r="70" s="112" customFormat="1" customHeight="1" spans="2:29">
      <c r="B70" s="114"/>
      <c r="C70" s="115"/>
      <c r="D70" s="115"/>
      <c r="AC70" s="116"/>
    </row>
    <row r="71" s="112" customFormat="1" customHeight="1" spans="2:29">
      <c r="B71" s="114"/>
      <c r="C71" s="115"/>
      <c r="D71" s="115"/>
      <c r="AC71" s="116"/>
    </row>
    <row r="72" s="112" customFormat="1" customHeight="1" spans="2:29">
      <c r="B72" s="114"/>
      <c r="C72" s="115"/>
      <c r="D72" s="115"/>
      <c r="AC72" s="116"/>
    </row>
    <row r="73" s="112" customFormat="1" customHeight="1" spans="2:29">
      <c r="B73" s="114"/>
      <c r="C73" s="115"/>
      <c r="D73" s="115"/>
      <c r="AC73" s="116"/>
    </row>
    <row r="74" s="112" customFormat="1" customHeight="1" spans="2:29">
      <c r="B74" s="114"/>
      <c r="C74" s="115"/>
      <c r="D74" s="115"/>
      <c r="AC74" s="116"/>
    </row>
    <row r="75" s="112" customFormat="1" customHeight="1" spans="2:29">
      <c r="B75" s="114"/>
      <c r="C75" s="115"/>
      <c r="D75" s="115"/>
      <c r="AC75" s="116"/>
    </row>
    <row r="76" s="112" customFormat="1" customHeight="1" spans="2:29">
      <c r="B76" s="114"/>
      <c r="C76" s="115"/>
      <c r="D76" s="115"/>
      <c r="AC76" s="116"/>
    </row>
    <row r="77" s="112" customFormat="1" customHeight="1" spans="2:29">
      <c r="B77" s="114"/>
      <c r="C77" s="115"/>
      <c r="D77" s="115"/>
      <c r="AC77" s="116"/>
    </row>
    <row r="78" s="112" customFormat="1" customHeight="1" spans="2:29">
      <c r="B78" s="114"/>
      <c r="C78" s="115"/>
      <c r="D78" s="115"/>
      <c r="AC78" s="116"/>
    </row>
    <row r="79" s="112" customFormat="1" customHeight="1" spans="2:29">
      <c r="B79" s="114"/>
      <c r="C79" s="115"/>
      <c r="D79" s="115"/>
      <c r="AC79" s="116"/>
    </row>
    <row r="80" s="112" customFormat="1" customHeight="1" spans="2:29">
      <c r="B80" s="114"/>
      <c r="C80" s="115"/>
      <c r="D80" s="115"/>
      <c r="AC80" s="116"/>
    </row>
    <row r="81" s="112" customFormat="1" customHeight="1" spans="2:29">
      <c r="B81" s="114"/>
      <c r="C81" s="115"/>
      <c r="D81" s="115"/>
      <c r="AC81" s="116"/>
    </row>
    <row r="82" s="112" customFormat="1" customHeight="1" spans="2:29">
      <c r="B82" s="114"/>
      <c r="C82" s="115"/>
      <c r="D82" s="115"/>
      <c r="AC82" s="116"/>
    </row>
    <row r="83" s="112" customFormat="1" customHeight="1" spans="2:29">
      <c r="B83" s="114"/>
      <c r="C83" s="115"/>
      <c r="D83" s="115"/>
      <c r="AC83" s="116"/>
    </row>
    <row r="84" s="112" customFormat="1" customHeight="1" spans="2:29">
      <c r="B84" s="114"/>
      <c r="C84" s="115"/>
      <c r="D84" s="115"/>
      <c r="AC84" s="116"/>
    </row>
    <row r="85" s="112" customFormat="1" customHeight="1" spans="2:29">
      <c r="B85" s="114"/>
      <c r="C85" s="115"/>
      <c r="D85" s="115"/>
      <c r="AC85" s="116"/>
    </row>
    <row r="86" s="112" customFormat="1" customHeight="1" spans="2:29">
      <c r="B86" s="114"/>
      <c r="C86" s="115"/>
      <c r="D86" s="115"/>
      <c r="AC86" s="116"/>
    </row>
    <row r="87" s="112" customFormat="1" customHeight="1" spans="2:29">
      <c r="B87" s="114"/>
      <c r="C87" s="115"/>
      <c r="D87" s="115"/>
      <c r="AC87" s="116"/>
    </row>
    <row r="88" s="112" customFormat="1" customHeight="1" spans="2:29">
      <c r="B88" s="114"/>
      <c r="C88" s="115"/>
      <c r="D88" s="115"/>
      <c r="AC88" s="116"/>
    </row>
    <row r="89" s="112" customFormat="1" customHeight="1" spans="2:29">
      <c r="B89" s="114"/>
      <c r="C89" s="115"/>
      <c r="D89" s="115"/>
      <c r="AC89" s="116"/>
    </row>
    <row r="90" s="112" customFormat="1" customHeight="1" spans="2:29">
      <c r="B90" s="114"/>
      <c r="C90" s="115"/>
      <c r="D90" s="115"/>
      <c r="AC90" s="116"/>
    </row>
    <row r="91" s="112" customFormat="1" customHeight="1" spans="2:29">
      <c r="B91" s="114"/>
      <c r="C91" s="115"/>
      <c r="D91" s="115"/>
      <c r="AC91" s="116"/>
    </row>
    <row r="92" s="112" customFormat="1" customHeight="1" spans="2:29">
      <c r="B92" s="114"/>
      <c r="C92" s="115"/>
      <c r="D92" s="115"/>
      <c r="AC92" s="116"/>
    </row>
    <row r="93" s="112" customFormat="1" customHeight="1" spans="2:29">
      <c r="B93" s="114"/>
      <c r="C93" s="115"/>
      <c r="D93" s="115"/>
      <c r="AC93" s="116"/>
    </row>
    <row r="94" s="112" customFormat="1" customHeight="1" spans="2:29">
      <c r="B94" s="114"/>
      <c r="C94" s="115"/>
      <c r="D94" s="115"/>
      <c r="AC94" s="116"/>
    </row>
    <row r="95" s="112" customFormat="1" customHeight="1" spans="2:29">
      <c r="B95" s="114"/>
      <c r="C95" s="115"/>
      <c r="D95" s="115"/>
      <c r="AC95" s="116"/>
    </row>
    <row r="96" s="112" customFormat="1" customHeight="1" spans="2:29">
      <c r="B96" s="114"/>
      <c r="C96" s="115"/>
      <c r="D96" s="115"/>
      <c r="AC96" s="116"/>
    </row>
    <row r="97" s="112" customFormat="1" customHeight="1" spans="2:29">
      <c r="B97" s="114"/>
      <c r="C97" s="115"/>
      <c r="D97" s="115"/>
      <c r="AC97" s="116"/>
    </row>
    <row r="98" s="112" customFormat="1" customHeight="1" spans="2:29">
      <c r="B98" s="114"/>
      <c r="C98" s="115"/>
      <c r="D98" s="115"/>
      <c r="AC98" s="116"/>
    </row>
    <row r="99" s="112" customFormat="1" customHeight="1" spans="2:29">
      <c r="B99" s="114"/>
      <c r="C99" s="115"/>
      <c r="D99" s="115"/>
      <c r="AC99" s="116"/>
    </row>
    <row r="100" s="112" customFormat="1" customHeight="1" spans="2:29">
      <c r="B100" s="114"/>
      <c r="C100" s="115"/>
      <c r="D100" s="115"/>
      <c r="AC100" s="116"/>
    </row>
    <row r="101" s="112" customFormat="1" customHeight="1" spans="2:29">
      <c r="B101" s="114"/>
      <c r="C101" s="115"/>
      <c r="D101" s="115"/>
      <c r="AC101" s="116"/>
    </row>
    <row r="102" s="112" customFormat="1" customHeight="1" spans="2:29">
      <c r="B102" s="114"/>
      <c r="C102" s="115"/>
      <c r="D102" s="115"/>
      <c r="AC102" s="116"/>
    </row>
    <row r="103" s="112" customFormat="1" customHeight="1" spans="2:29">
      <c r="B103" s="114"/>
      <c r="C103" s="115"/>
      <c r="D103" s="115"/>
      <c r="AC103" s="116"/>
    </row>
    <row r="104" s="112" customFormat="1" customHeight="1" spans="2:29">
      <c r="B104" s="114"/>
      <c r="C104" s="115"/>
      <c r="D104" s="115"/>
      <c r="AC104" s="116"/>
    </row>
    <row r="105" s="112" customFormat="1" customHeight="1" spans="2:29">
      <c r="B105" s="114"/>
      <c r="C105" s="115"/>
      <c r="D105" s="115"/>
      <c r="AC105" s="116"/>
    </row>
    <row r="106" s="112" customFormat="1" customHeight="1" spans="2:29">
      <c r="B106" s="114"/>
      <c r="C106" s="115"/>
      <c r="D106" s="115"/>
      <c r="AC106" s="116"/>
    </row>
    <row r="107" s="112" customFormat="1" customHeight="1" spans="2:29">
      <c r="B107" s="114"/>
      <c r="C107" s="115"/>
      <c r="D107" s="115"/>
      <c r="AC107" s="116"/>
    </row>
  </sheetData>
  <mergeCells count="3">
    <mergeCell ref="B1:F1"/>
    <mergeCell ref="G1:U1"/>
    <mergeCell ref="V1:AA1"/>
  </mergeCells>
  <conditionalFormatting sqref="AD1:AE3 AD16:AE65531">
    <cfRule type="cellIs" dxfId="0" priority="3" stopIfTrue="1" operator="greaterThan">
      <formula>#REF!</formula>
    </cfRule>
  </conditionalFormatting>
  <conditionalFormatting sqref="AD4:AE15">
    <cfRule type="cellIs" dxfId="0" priority="1" stopIfTrue="1" operator="greaterThan">
      <formula>#REF!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"/>
  <sheetViews>
    <sheetView workbookViewId="0">
      <pane ySplit="1" topLeftCell="A2" activePane="bottomLeft" state="frozen"/>
      <selection/>
      <selection pane="bottomLeft" activeCell="F19" sqref="F19"/>
    </sheetView>
  </sheetViews>
  <sheetFormatPr defaultColWidth="9" defaultRowHeight="17.25"/>
  <cols>
    <col min="1" max="1" width="13.5" style="44" customWidth="1"/>
    <col min="2" max="2" width="19.875" style="46" customWidth="1"/>
    <col min="3" max="3" width="52.625" style="44" customWidth="1"/>
    <col min="4" max="4" width="6.75" style="44" customWidth="1"/>
    <col min="5" max="5" width="18.75" style="45" customWidth="1"/>
    <col min="6" max="6" width="20" style="96" customWidth="1"/>
    <col min="7" max="7" width="9" style="97"/>
    <col min="8" max="8" width="17.75" style="45" customWidth="1"/>
    <col min="9" max="9" width="56.875" style="45" customWidth="1"/>
    <col min="10" max="16384" width="9" style="44"/>
  </cols>
  <sheetData>
    <row r="1" ht="20.1" customHeight="1" spans="1:9">
      <c r="A1" s="98" t="s">
        <v>170</v>
      </c>
      <c r="B1" s="99" t="s">
        <v>35</v>
      </c>
      <c r="C1" s="100"/>
      <c r="E1" s="99" t="s">
        <v>171</v>
      </c>
      <c r="F1" s="55"/>
      <c r="G1" s="101" t="s">
        <v>91</v>
      </c>
      <c r="H1" s="99" t="s">
        <v>172</v>
      </c>
      <c r="I1" s="99" t="s">
        <v>173</v>
      </c>
    </row>
    <row r="2" ht="20.1" customHeight="1" spans="1:9">
      <c r="A2" s="98"/>
      <c r="B2" s="99" t="s">
        <v>174</v>
      </c>
      <c r="C2" s="57"/>
      <c r="E2" s="99" t="s">
        <v>130</v>
      </c>
      <c r="F2" s="55"/>
      <c r="G2" s="101"/>
      <c r="H2" s="102"/>
      <c r="I2" s="99"/>
    </row>
    <row r="3" ht="20.1" customHeight="1" spans="1:9">
      <c r="A3" s="98"/>
      <c r="B3" s="103" t="s">
        <v>175</v>
      </c>
      <c r="C3" s="57"/>
      <c r="E3" s="99" t="s">
        <v>176</v>
      </c>
      <c r="F3" s="55"/>
      <c r="G3" s="44"/>
      <c r="H3" s="104"/>
      <c r="I3" s="55"/>
    </row>
    <row r="4" ht="20.1" customHeight="1" spans="1:9">
      <c r="A4" s="98"/>
      <c r="B4" s="103" t="s">
        <v>177</v>
      </c>
      <c r="C4" s="57"/>
      <c r="E4" s="99" t="s">
        <v>178</v>
      </c>
      <c r="F4" s="55"/>
      <c r="G4" s="44"/>
      <c r="H4" s="104"/>
      <c r="I4" s="55"/>
    </row>
    <row r="5" ht="20.1" customHeight="1" spans="1:9">
      <c r="A5" s="98"/>
      <c r="B5" s="103" t="s">
        <v>179</v>
      </c>
      <c r="C5" s="57"/>
      <c r="E5" s="99" t="s">
        <v>180</v>
      </c>
      <c r="F5" s="55"/>
      <c r="G5" s="44"/>
      <c r="H5" s="104"/>
      <c r="I5" s="55"/>
    </row>
    <row r="6" ht="20.1" customHeight="1" spans="1:8">
      <c r="A6" s="98"/>
      <c r="B6" s="99" t="s">
        <v>180</v>
      </c>
      <c r="C6" s="57"/>
      <c r="E6" s="99" t="s">
        <v>181</v>
      </c>
      <c r="F6" s="55"/>
      <c r="G6" s="44"/>
      <c r="H6" s="105"/>
    </row>
    <row r="7" ht="20.1" customHeight="1" spans="1:9">
      <c r="A7" s="98"/>
      <c r="B7" s="103" t="s">
        <v>182</v>
      </c>
      <c r="C7" s="57"/>
      <c r="E7" s="99" t="s">
        <v>183</v>
      </c>
      <c r="F7" s="55"/>
      <c r="G7" s="44"/>
      <c r="H7" s="104"/>
      <c r="I7" s="55"/>
    </row>
    <row r="8" ht="20.1" customHeight="1" spans="1:9">
      <c r="A8" s="98"/>
      <c r="B8" s="106" t="s">
        <v>184</v>
      </c>
      <c r="C8" s="57"/>
      <c r="E8" s="99" t="s">
        <v>185</v>
      </c>
      <c r="F8" s="55"/>
      <c r="G8" s="44"/>
      <c r="H8" s="104"/>
      <c r="I8" s="55"/>
    </row>
    <row r="9" ht="20.1" customHeight="1" spans="1:9">
      <c r="A9" s="98"/>
      <c r="B9" s="106" t="s">
        <v>186</v>
      </c>
      <c r="C9" s="57"/>
      <c r="E9" s="99" t="s">
        <v>187</v>
      </c>
      <c r="F9" s="55"/>
      <c r="G9" s="44"/>
      <c r="H9" s="104"/>
      <c r="I9" s="55"/>
    </row>
    <row r="10" ht="20.1" customHeight="1" spans="1:9">
      <c r="A10" s="98"/>
      <c r="B10" s="106" t="s">
        <v>188</v>
      </c>
      <c r="C10" s="57"/>
      <c r="E10" s="99" t="s">
        <v>189</v>
      </c>
      <c r="F10" s="55"/>
      <c r="G10" s="44"/>
      <c r="H10" s="104"/>
      <c r="I10" s="55"/>
    </row>
    <row r="11" ht="20.1" customHeight="1" spans="1:9">
      <c r="A11" s="98"/>
      <c r="B11" s="106" t="s">
        <v>190</v>
      </c>
      <c r="C11" s="57"/>
      <c r="E11" s="99" t="s">
        <v>3</v>
      </c>
      <c r="F11" s="55"/>
      <c r="G11" s="44"/>
      <c r="H11" s="104"/>
      <c r="I11" s="55"/>
    </row>
    <row r="12" ht="20.1" customHeight="1" spans="1:9">
      <c r="A12" s="98"/>
      <c r="B12" s="106" t="s">
        <v>84</v>
      </c>
      <c r="C12" s="57"/>
      <c r="E12" s="99"/>
      <c r="F12" s="55"/>
      <c r="G12" s="44"/>
      <c r="H12" s="104"/>
      <c r="I12" s="55"/>
    </row>
    <row r="13" ht="20.1" customHeight="1" spans="1:9">
      <c r="A13" s="98"/>
      <c r="B13" s="106" t="s">
        <v>191</v>
      </c>
      <c r="C13" s="57"/>
      <c r="F13" s="45"/>
      <c r="G13" s="44"/>
      <c r="H13" s="104"/>
      <c r="I13" s="55"/>
    </row>
    <row r="14" ht="20.1" customHeight="1" spans="1:9">
      <c r="A14" s="98"/>
      <c r="B14" s="106" t="s">
        <v>192</v>
      </c>
      <c r="C14" s="57"/>
      <c r="F14" s="45"/>
      <c r="G14" s="44"/>
      <c r="H14" s="104"/>
      <c r="I14" s="55"/>
    </row>
    <row r="15" ht="20.1" customHeight="1" spans="1:9">
      <c r="A15" s="98"/>
      <c r="B15" s="106" t="s">
        <v>192</v>
      </c>
      <c r="C15" s="57"/>
      <c r="F15" s="45"/>
      <c r="G15" s="44"/>
      <c r="H15" s="104"/>
      <c r="I15" s="55"/>
    </row>
    <row r="16" ht="20.1" customHeight="1" spans="1:9">
      <c r="A16" s="98"/>
      <c r="B16" s="106" t="s">
        <v>192</v>
      </c>
      <c r="C16" s="57"/>
      <c r="F16" s="45"/>
      <c r="G16" s="44"/>
      <c r="H16" s="104"/>
      <c r="I16" s="55"/>
    </row>
    <row r="17" ht="20.1" customHeight="1" spans="1:9">
      <c r="A17" s="98"/>
      <c r="B17" s="106" t="s">
        <v>192</v>
      </c>
      <c r="C17" s="57"/>
      <c r="F17" s="45"/>
      <c r="G17" s="44"/>
      <c r="H17" s="104"/>
      <c r="I17" s="55"/>
    </row>
    <row r="18" ht="20.1" customHeight="1" spans="1:9">
      <c r="A18" s="98"/>
      <c r="B18" s="106" t="s">
        <v>192</v>
      </c>
      <c r="C18" s="57"/>
      <c r="F18" s="45"/>
      <c r="G18" s="44"/>
      <c r="H18" s="104"/>
      <c r="I18" s="55"/>
    </row>
    <row r="19" ht="20.1" customHeight="1" spans="1:9">
      <c r="A19" s="98"/>
      <c r="B19" s="107" t="s">
        <v>193</v>
      </c>
      <c r="C19" s="108"/>
      <c r="D19" s="109"/>
      <c r="F19" s="45"/>
      <c r="G19" s="44"/>
      <c r="H19" s="104"/>
      <c r="I19" s="55"/>
    </row>
    <row r="20" ht="20.1" customHeight="1" spans="1:9">
      <c r="A20" s="98"/>
      <c r="B20" s="107"/>
      <c r="C20" s="108"/>
      <c r="D20" s="109"/>
      <c r="F20" s="45"/>
      <c r="G20" s="44"/>
      <c r="H20" s="104"/>
      <c r="I20" s="55"/>
    </row>
    <row r="21" ht="20.1" customHeight="1" spans="1:9">
      <c r="A21" s="98" t="s">
        <v>194</v>
      </c>
      <c r="B21" s="107"/>
      <c r="C21" s="108"/>
      <c r="D21" s="109"/>
      <c r="F21" s="45"/>
      <c r="G21" s="44"/>
      <c r="H21" s="104"/>
      <c r="I21" s="55"/>
    </row>
    <row r="22" ht="20.1" customHeight="1" spans="1:9">
      <c r="A22" s="98"/>
      <c r="B22" s="107"/>
      <c r="C22" s="108"/>
      <c r="D22" s="109"/>
      <c r="F22" s="45"/>
      <c r="G22" s="44"/>
      <c r="H22" s="104"/>
      <c r="I22" s="55"/>
    </row>
    <row r="23" ht="20.1" customHeight="1" spans="1:9">
      <c r="A23" s="98"/>
      <c r="B23" s="107"/>
      <c r="C23" s="108"/>
      <c r="D23" s="109"/>
      <c r="F23" s="45"/>
      <c r="G23" s="44"/>
      <c r="H23" s="104"/>
      <c r="I23" s="55"/>
    </row>
    <row r="24" ht="20.1" customHeight="1" spans="1:9">
      <c r="A24" s="98" t="s">
        <v>195</v>
      </c>
      <c r="B24" s="107"/>
      <c r="C24" s="108"/>
      <c r="D24" s="109"/>
      <c r="F24" s="45"/>
      <c r="G24" s="44"/>
      <c r="H24" s="104"/>
      <c r="I24" s="55"/>
    </row>
    <row r="25" ht="20.1" customHeight="1" spans="1:9">
      <c r="A25" s="98"/>
      <c r="B25" s="107"/>
      <c r="C25" s="108"/>
      <c r="D25" s="109"/>
      <c r="F25" s="45"/>
      <c r="G25" s="44"/>
      <c r="H25" s="104"/>
      <c r="I25" s="55"/>
    </row>
    <row r="26" ht="20.1" customHeight="1" spans="1:9">
      <c r="A26" s="98"/>
      <c r="B26" s="107"/>
      <c r="C26" s="108"/>
      <c r="D26" s="109"/>
      <c r="F26" s="45"/>
      <c r="G26" s="44"/>
      <c r="H26" s="104"/>
      <c r="I26" s="55"/>
    </row>
    <row r="27" ht="20.1" customHeight="1" spans="1:9">
      <c r="A27" s="99" t="s">
        <v>196</v>
      </c>
      <c r="B27" s="103" t="s">
        <v>175</v>
      </c>
      <c r="C27" s="110"/>
      <c r="D27" s="111"/>
      <c r="F27" s="45"/>
      <c r="G27" s="44"/>
      <c r="H27" s="104"/>
      <c r="I27" s="55"/>
    </row>
    <row r="28" ht="20.1" customHeight="1" spans="1:9">
      <c r="A28" s="99"/>
      <c r="B28" s="103" t="s">
        <v>197</v>
      </c>
      <c r="C28" s="110"/>
      <c r="D28" s="111"/>
      <c r="F28" s="45"/>
      <c r="G28" s="44"/>
      <c r="H28" s="104"/>
      <c r="I28" s="55"/>
    </row>
    <row r="29" ht="20.1" customHeight="1" spans="1:9">
      <c r="A29" s="99"/>
      <c r="B29" s="103" t="s">
        <v>180</v>
      </c>
      <c r="C29" s="110"/>
      <c r="D29" s="111"/>
      <c r="F29" s="45"/>
      <c r="G29" s="44"/>
      <c r="H29" s="104"/>
      <c r="I29" s="55"/>
    </row>
    <row r="30" ht="20.1" customHeight="1" spans="1:9">
      <c r="A30" s="99"/>
      <c r="B30" s="103" t="s">
        <v>182</v>
      </c>
      <c r="C30" s="110"/>
      <c r="D30" s="111"/>
      <c r="F30" s="45"/>
      <c r="G30" s="44"/>
      <c r="H30" s="104"/>
      <c r="I30" s="55"/>
    </row>
    <row r="31" ht="20.1" customHeight="1" spans="1:7">
      <c r="A31" s="99"/>
      <c r="B31" s="106" t="s">
        <v>184</v>
      </c>
      <c r="C31" s="110"/>
      <c r="D31" s="111"/>
      <c r="F31" s="45"/>
      <c r="G31" s="44"/>
    </row>
    <row r="32" ht="20.1" customHeight="1" spans="1:7">
      <c r="A32" s="99"/>
      <c r="B32" s="106" t="s">
        <v>186</v>
      </c>
      <c r="C32" s="110"/>
      <c r="D32" s="111"/>
      <c r="F32" s="45"/>
      <c r="G32" s="44"/>
    </row>
    <row r="33" ht="20.1" customHeight="1" spans="1:7">
      <c r="A33" s="99"/>
      <c r="B33" s="106" t="s">
        <v>188</v>
      </c>
      <c r="C33" s="110"/>
      <c r="D33" s="111"/>
      <c r="F33" s="45"/>
      <c r="G33" s="44"/>
    </row>
    <row r="34" ht="20.1" customHeight="1" spans="1:7">
      <c r="A34" s="99"/>
      <c r="B34" s="106" t="s">
        <v>190</v>
      </c>
      <c r="C34" s="110"/>
      <c r="D34" s="111"/>
      <c r="F34" s="45"/>
      <c r="G34" s="44"/>
    </row>
    <row r="35" ht="20.1" customHeight="1" spans="1:7">
      <c r="A35" s="99"/>
      <c r="B35" s="106" t="s">
        <v>84</v>
      </c>
      <c r="C35" s="110"/>
      <c r="D35" s="111"/>
      <c r="F35" s="45"/>
      <c r="G35" s="44"/>
    </row>
    <row r="36" ht="20.1" customHeight="1" spans="1:7">
      <c r="A36" s="99"/>
      <c r="B36" s="106" t="s">
        <v>191</v>
      </c>
      <c r="C36" s="110"/>
      <c r="D36" s="111"/>
      <c r="F36" s="45"/>
      <c r="G36" s="44"/>
    </row>
    <row r="37" ht="20.1" customHeight="1" spans="1:7">
      <c r="A37" s="99"/>
      <c r="B37" s="106" t="s">
        <v>192</v>
      </c>
      <c r="C37" s="110"/>
      <c r="D37" s="111"/>
      <c r="F37" s="45"/>
      <c r="G37" s="44"/>
    </row>
    <row r="38" ht="20.1" customHeight="1" spans="1:7">
      <c r="A38" s="99"/>
      <c r="B38" s="106" t="s">
        <v>192</v>
      </c>
      <c r="C38" s="110"/>
      <c r="D38" s="111"/>
      <c r="F38" s="45"/>
      <c r="G38" s="44"/>
    </row>
    <row r="39" ht="20.1" customHeight="1" spans="1:7">
      <c r="A39" s="99"/>
      <c r="B39" s="106" t="s">
        <v>192</v>
      </c>
      <c r="C39" s="110"/>
      <c r="D39" s="111"/>
      <c r="F39" s="45"/>
      <c r="G39" s="44"/>
    </row>
    <row r="40" ht="20.1" customHeight="1" spans="1:7">
      <c r="A40" s="99"/>
      <c r="B40" s="106" t="s">
        <v>192</v>
      </c>
      <c r="C40" s="110"/>
      <c r="D40" s="111"/>
      <c r="F40" s="45"/>
      <c r="G40" s="44"/>
    </row>
    <row r="41" ht="20.1" customHeight="1" spans="1:7">
      <c r="A41" s="99"/>
      <c r="B41" s="106" t="s">
        <v>192</v>
      </c>
      <c r="C41" s="110"/>
      <c r="D41" s="111"/>
      <c r="F41" s="45"/>
      <c r="G41" s="44"/>
    </row>
    <row r="42" ht="20.1" customHeight="1" spans="1:7">
      <c r="A42" s="99"/>
      <c r="B42" s="106" t="s">
        <v>193</v>
      </c>
      <c r="C42" s="110"/>
      <c r="D42" s="111"/>
      <c r="F42" s="45"/>
      <c r="G42" s="44"/>
    </row>
    <row r="43" ht="20.1" customHeight="1" spans="3:7">
      <c r="C43" s="111"/>
      <c r="D43" s="111"/>
      <c r="F43" s="45"/>
      <c r="G43" s="44"/>
    </row>
    <row r="44" ht="20.1" customHeight="1" spans="3:7">
      <c r="C44" s="111"/>
      <c r="D44" s="111"/>
      <c r="F44" s="45"/>
      <c r="G44" s="44"/>
    </row>
    <row r="45" ht="20.1" customHeight="1" spans="3:7">
      <c r="C45" s="111"/>
      <c r="D45" s="111"/>
      <c r="F45" s="45"/>
      <c r="G45" s="44"/>
    </row>
    <row r="46" ht="20.1" customHeight="1" spans="3:7">
      <c r="C46" s="111"/>
      <c r="D46" s="111"/>
      <c r="F46" s="45"/>
      <c r="G46" s="44"/>
    </row>
    <row r="47" spans="6:7">
      <c r="F47" s="45"/>
      <c r="G47" s="44"/>
    </row>
    <row r="52" spans="6:7">
      <c r="F52" s="45"/>
      <c r="G52" s="44"/>
    </row>
    <row r="53" spans="6:7">
      <c r="F53" s="45"/>
      <c r="G53" s="44"/>
    </row>
    <row r="54" spans="6:7">
      <c r="F54" s="45"/>
      <c r="G54" s="44"/>
    </row>
    <row r="55" spans="6:7">
      <c r="F55" s="45"/>
      <c r="G55" s="44"/>
    </row>
    <row r="56" spans="6:7">
      <c r="F56" s="45"/>
      <c r="G56" s="44"/>
    </row>
    <row r="57" spans="6:7">
      <c r="F57" s="45"/>
      <c r="G57" s="44"/>
    </row>
    <row r="58" spans="6:7">
      <c r="F58" s="45"/>
      <c r="G58" s="44"/>
    </row>
    <row r="59" spans="6:7">
      <c r="F59" s="45"/>
      <c r="G59" s="44"/>
    </row>
    <row r="60" spans="6:7">
      <c r="F60" s="45"/>
      <c r="G60" s="44"/>
    </row>
    <row r="61" spans="6:7">
      <c r="F61" s="45"/>
      <c r="G61" s="44"/>
    </row>
    <row r="62" spans="6:7">
      <c r="F62" s="45"/>
      <c r="G62" s="44"/>
    </row>
    <row r="63" spans="6:7">
      <c r="F63" s="45"/>
      <c r="G63" s="44"/>
    </row>
    <row r="64" spans="6:7">
      <c r="F64" s="45"/>
      <c r="G64" s="44"/>
    </row>
    <row r="65" spans="6:7">
      <c r="F65" s="45"/>
      <c r="G65" s="44"/>
    </row>
    <row r="66" spans="6:7">
      <c r="F66" s="45"/>
      <c r="G66" s="44"/>
    </row>
    <row r="67" spans="6:7">
      <c r="F67" s="45"/>
      <c r="G67" s="44"/>
    </row>
    <row r="68" spans="6:7">
      <c r="F68" s="45"/>
      <c r="G68" s="44"/>
    </row>
    <row r="69" spans="6:7">
      <c r="F69" s="45"/>
      <c r="G69" s="44"/>
    </row>
    <row r="70" spans="6:7">
      <c r="F70" s="45"/>
      <c r="G70" s="44"/>
    </row>
    <row r="71" spans="6:7">
      <c r="F71" s="45"/>
      <c r="G71" s="44"/>
    </row>
    <row r="72" spans="6:7">
      <c r="F72" s="45"/>
      <c r="G72" s="44"/>
    </row>
    <row r="73" spans="6:7">
      <c r="F73" s="45"/>
      <c r="G73" s="44"/>
    </row>
  </sheetData>
  <mergeCells count="4">
    <mergeCell ref="A1:A19"/>
    <mergeCell ref="A21:A23"/>
    <mergeCell ref="A24:A26"/>
    <mergeCell ref="A27:A42"/>
  </mergeCells>
  <hyperlinks>
    <hyperlink ref="G1" location="目录!A1" display="目录"/>
    <hyperlink ref="C2" r:id="rId1"/>
    <hyperlink ref="F10" r:id="rId2" tooltip="https://www.amazon.com/s/ref=bl_dp_s_web_0?ie=UTF8&amp;search-alias=aps&amp;field-keywords=Krgelen"/>
  </hyperlinks>
  <pageMargins left="0.699305555555556" right="0.699305555555556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zoomScale="110" zoomScaleNormal="110" workbookViewId="0">
      <pane ySplit="1" topLeftCell="A2" activePane="bottomLeft" state="frozen"/>
      <selection/>
      <selection pane="bottomLeft" activeCell="E14" sqref="E14"/>
    </sheetView>
  </sheetViews>
  <sheetFormatPr defaultColWidth="9" defaultRowHeight="20.1" customHeight="1"/>
  <cols>
    <col min="1" max="1" width="19.9" style="91" customWidth="1"/>
    <col min="2" max="9" width="16.25" style="91" customWidth="1"/>
    <col min="10" max="10" width="12.5" style="91" customWidth="1"/>
    <col min="11" max="16384" width="9" style="91"/>
  </cols>
  <sheetData>
    <row r="1" customHeight="1" spans="1:11">
      <c r="A1" s="92" t="s">
        <v>198</v>
      </c>
      <c r="B1" s="92" t="s">
        <v>199</v>
      </c>
      <c r="C1" s="92" t="s">
        <v>200</v>
      </c>
      <c r="D1" s="92" t="s">
        <v>197</v>
      </c>
      <c r="E1" s="92" t="s">
        <v>201</v>
      </c>
      <c r="F1" s="92" t="s">
        <v>202</v>
      </c>
      <c r="G1" s="92" t="s">
        <v>203</v>
      </c>
      <c r="H1" s="92" t="s">
        <v>204</v>
      </c>
      <c r="I1" s="92" t="s">
        <v>205</v>
      </c>
      <c r="J1" s="92" t="s">
        <v>206</v>
      </c>
      <c r="K1" s="94" t="s">
        <v>91</v>
      </c>
    </row>
    <row r="2" customHeight="1" spans="1:10">
      <c r="A2" s="93"/>
      <c r="B2" s="93"/>
      <c r="C2" s="93"/>
      <c r="D2" s="93"/>
      <c r="E2" s="93"/>
      <c r="F2" s="93"/>
      <c r="G2" s="93"/>
      <c r="H2" s="93"/>
      <c r="I2" s="95"/>
      <c r="J2" s="93"/>
    </row>
    <row r="3" customHeight="1" spans="1:10">
      <c r="A3" s="93"/>
      <c r="B3" s="93"/>
      <c r="C3" s="93"/>
      <c r="D3" s="93"/>
      <c r="E3" s="93"/>
      <c r="F3" s="93"/>
      <c r="G3" s="93"/>
      <c r="H3" s="93"/>
      <c r="I3" s="93"/>
      <c r="J3" s="93"/>
    </row>
    <row r="4" customHeight="1" spans="1:10">
      <c r="A4" s="93"/>
      <c r="B4" s="93"/>
      <c r="C4" s="93"/>
      <c r="D4" s="93"/>
      <c r="E4" s="93"/>
      <c r="F4" s="93"/>
      <c r="G4" s="93"/>
      <c r="H4" s="93"/>
      <c r="I4" s="93"/>
      <c r="J4" s="93"/>
    </row>
    <row r="5" customHeight="1" spans="1:10">
      <c r="A5" s="93"/>
      <c r="B5" s="93"/>
      <c r="C5" s="93"/>
      <c r="D5" s="93"/>
      <c r="E5" s="93"/>
      <c r="F5" s="93"/>
      <c r="G5" s="93"/>
      <c r="H5" s="93"/>
      <c r="I5" s="93"/>
      <c r="J5" s="93"/>
    </row>
    <row r="6" customHeight="1" spans="1:10">
      <c r="A6" s="93"/>
      <c r="B6" s="93"/>
      <c r="C6" s="93"/>
      <c r="D6" s="93"/>
      <c r="E6" s="93"/>
      <c r="F6" s="93"/>
      <c r="G6" s="93"/>
      <c r="H6" s="93"/>
      <c r="I6" s="93"/>
      <c r="J6" s="93"/>
    </row>
    <row r="7" customHeight="1" spans="1:10">
      <c r="A7" s="93"/>
      <c r="B7" s="93"/>
      <c r="C7" s="93"/>
      <c r="D7" s="93"/>
      <c r="E7" s="93"/>
      <c r="F7" s="93"/>
      <c r="G7" s="93"/>
      <c r="H7" s="93"/>
      <c r="I7" s="93"/>
      <c r="J7" s="93"/>
    </row>
    <row r="8" customHeight="1" spans="1:10">
      <c r="A8" s="93"/>
      <c r="B8" s="93"/>
      <c r="C8" s="93"/>
      <c r="D8" s="93"/>
      <c r="E8" s="93"/>
      <c r="F8" s="93"/>
      <c r="G8" s="93"/>
      <c r="H8" s="93"/>
      <c r="I8" s="93"/>
      <c r="J8" s="93"/>
    </row>
    <row r="9" customHeight="1" spans="1:10">
      <c r="A9" s="93"/>
      <c r="B9" s="93"/>
      <c r="C9" s="93"/>
      <c r="D9" s="93"/>
      <c r="E9" s="93"/>
      <c r="F9" s="93"/>
      <c r="G9" s="93"/>
      <c r="H9" s="93"/>
      <c r="I9" s="93"/>
      <c r="J9" s="93"/>
    </row>
    <row r="10" customHeight="1" spans="1:10">
      <c r="A10" s="93"/>
      <c r="B10" s="93"/>
      <c r="C10" s="93"/>
      <c r="D10" s="93"/>
      <c r="E10" s="93"/>
      <c r="F10" s="93"/>
      <c r="G10" s="93"/>
      <c r="H10" s="93"/>
      <c r="I10" s="93"/>
      <c r="J10" s="93"/>
    </row>
    <row r="11" customHeight="1" spans="1:10">
      <c r="A11" s="93"/>
      <c r="B11" s="93"/>
      <c r="C11" s="93"/>
      <c r="D11" s="93"/>
      <c r="E11" s="93"/>
      <c r="F11" s="93"/>
      <c r="G11" s="93"/>
      <c r="H11" s="93"/>
      <c r="I11" s="93"/>
      <c r="J11" s="93"/>
    </row>
    <row r="12" customHeight="1" spans="1:10">
      <c r="A12" s="93"/>
      <c r="B12" s="93"/>
      <c r="C12" s="93"/>
      <c r="D12" s="93"/>
      <c r="E12" s="93"/>
      <c r="F12" s="93"/>
      <c r="G12" s="93"/>
      <c r="H12" s="93"/>
      <c r="I12" s="93"/>
      <c r="J12" s="93"/>
    </row>
    <row r="13" customHeight="1" spans="1:10">
      <c r="A13" s="93"/>
      <c r="B13" s="93"/>
      <c r="C13" s="93"/>
      <c r="D13" s="93"/>
      <c r="E13" s="93"/>
      <c r="F13" s="93"/>
      <c r="G13" s="93"/>
      <c r="H13" s="93"/>
      <c r="I13" s="93"/>
      <c r="J13" s="93"/>
    </row>
    <row r="14" customHeight="1" spans="1:10">
      <c r="A14" s="93"/>
      <c r="B14" s="93"/>
      <c r="C14" s="93"/>
      <c r="D14" s="93"/>
      <c r="E14" s="93"/>
      <c r="F14" s="93"/>
      <c r="G14" s="93"/>
      <c r="H14" s="93"/>
      <c r="I14" s="93"/>
      <c r="J14" s="93"/>
    </row>
    <row r="15" customHeight="1" spans="1:10">
      <c r="A15" s="93"/>
      <c r="B15" s="93"/>
      <c r="C15" s="93"/>
      <c r="D15" s="93"/>
      <c r="E15" s="93"/>
      <c r="F15" s="93"/>
      <c r="G15" s="93"/>
      <c r="H15" s="93"/>
      <c r="I15" s="93"/>
      <c r="J15" s="93"/>
    </row>
    <row r="16" customHeight="1" spans="1:10">
      <c r="A16" s="93"/>
      <c r="B16" s="93"/>
      <c r="C16" s="93"/>
      <c r="D16" s="93"/>
      <c r="E16" s="93"/>
      <c r="F16" s="93"/>
      <c r="G16" s="93"/>
      <c r="H16" s="93"/>
      <c r="I16" s="93"/>
      <c r="J16" s="93"/>
    </row>
    <row r="17" customHeight="1" spans="1:10">
      <c r="A17" s="93"/>
      <c r="B17" s="93"/>
      <c r="C17" s="93"/>
      <c r="D17" s="93"/>
      <c r="E17" s="93"/>
      <c r="F17" s="93"/>
      <c r="G17" s="93"/>
      <c r="H17" s="93"/>
      <c r="I17" s="93"/>
      <c r="J17" s="93"/>
    </row>
    <row r="18" customHeight="1" spans="1:10">
      <c r="A18" s="93"/>
      <c r="B18" s="93"/>
      <c r="C18" s="93"/>
      <c r="D18" s="93"/>
      <c r="E18" s="93"/>
      <c r="F18" s="93"/>
      <c r="G18" s="93"/>
      <c r="H18" s="93"/>
      <c r="I18" s="93"/>
      <c r="J18" s="93"/>
    </row>
    <row r="19" customHeight="1" spans="1:10">
      <c r="A19" s="93"/>
      <c r="B19" s="93"/>
      <c r="C19" s="93"/>
      <c r="D19" s="93"/>
      <c r="E19" s="93"/>
      <c r="F19" s="93"/>
      <c r="G19" s="93"/>
      <c r="H19" s="93"/>
      <c r="I19" s="93"/>
      <c r="J19" s="93"/>
    </row>
    <row r="20" customHeight="1" spans="1:10">
      <c r="A20" s="93"/>
      <c r="B20" s="93"/>
      <c r="C20" s="93"/>
      <c r="D20" s="93"/>
      <c r="E20" s="93"/>
      <c r="F20" s="93"/>
      <c r="G20" s="93"/>
      <c r="H20" s="93"/>
      <c r="I20" s="93"/>
      <c r="J20" s="93"/>
    </row>
    <row r="21" customHeight="1" spans="1:10">
      <c r="A21" s="93"/>
      <c r="B21" s="93"/>
      <c r="C21" s="93"/>
      <c r="D21" s="93"/>
      <c r="E21" s="93"/>
      <c r="F21" s="93"/>
      <c r="G21" s="93"/>
      <c r="H21" s="93"/>
      <c r="I21" s="93"/>
      <c r="J21" s="93"/>
    </row>
    <row r="22" customHeight="1" spans="1:10">
      <c r="A22" s="93"/>
      <c r="B22" s="93"/>
      <c r="C22" s="93"/>
      <c r="D22" s="93"/>
      <c r="E22" s="93"/>
      <c r="F22" s="93"/>
      <c r="G22" s="93"/>
      <c r="H22" s="93"/>
      <c r="I22" s="93"/>
      <c r="J22" s="93"/>
    </row>
    <row r="23" customHeight="1" spans="1:10">
      <c r="A23" s="93"/>
      <c r="B23" s="93"/>
      <c r="C23" s="93"/>
      <c r="D23" s="93"/>
      <c r="E23" s="93"/>
      <c r="F23" s="93"/>
      <c r="G23" s="93"/>
      <c r="H23" s="93"/>
      <c r="I23" s="93"/>
      <c r="J23" s="93"/>
    </row>
    <row r="24" customHeight="1" spans="1:10">
      <c r="A24" s="93"/>
      <c r="B24" s="93"/>
      <c r="C24" s="93"/>
      <c r="D24" s="93"/>
      <c r="E24" s="93"/>
      <c r="F24" s="93"/>
      <c r="G24" s="93"/>
      <c r="H24" s="93"/>
      <c r="I24" s="93"/>
      <c r="J24" s="93"/>
    </row>
    <row r="25" customHeight="1" spans="1:10">
      <c r="A25" s="93"/>
      <c r="B25" s="93"/>
      <c r="C25" s="93"/>
      <c r="D25" s="93"/>
      <c r="E25" s="93"/>
      <c r="F25" s="93"/>
      <c r="G25" s="93"/>
      <c r="H25" s="93"/>
      <c r="I25" s="93"/>
      <c r="J25" s="93"/>
    </row>
    <row r="26" customHeight="1" spans="1:10">
      <c r="A26" s="93"/>
      <c r="B26" s="93"/>
      <c r="C26" s="93"/>
      <c r="D26" s="93"/>
      <c r="E26" s="93"/>
      <c r="F26" s="93"/>
      <c r="G26" s="93"/>
      <c r="H26" s="93"/>
      <c r="I26" s="93"/>
      <c r="J26" s="93"/>
    </row>
    <row r="27" customHeight="1" spans="1:10">
      <c r="A27" s="93"/>
      <c r="B27" s="93"/>
      <c r="C27" s="93"/>
      <c r="D27" s="93"/>
      <c r="E27" s="93"/>
      <c r="F27" s="93"/>
      <c r="G27" s="93"/>
      <c r="H27" s="93"/>
      <c r="I27" s="93"/>
      <c r="J27" s="93"/>
    </row>
    <row r="28" customHeight="1" spans="1:10">
      <c r="A28" s="93"/>
      <c r="B28" s="93"/>
      <c r="C28" s="93"/>
      <c r="D28" s="93"/>
      <c r="E28" s="93"/>
      <c r="F28" s="93"/>
      <c r="G28" s="93"/>
      <c r="H28" s="93"/>
      <c r="I28" s="93"/>
      <c r="J28" s="93"/>
    </row>
    <row r="29" customHeight="1" spans="1:10">
      <c r="A29" s="93"/>
      <c r="B29" s="93"/>
      <c r="C29" s="93"/>
      <c r="D29" s="93"/>
      <c r="E29" s="93"/>
      <c r="F29" s="93"/>
      <c r="G29" s="93"/>
      <c r="H29" s="93"/>
      <c r="I29" s="93"/>
      <c r="J29" s="93"/>
    </row>
    <row r="30" customHeight="1" spans="1:10">
      <c r="A30" s="93"/>
      <c r="B30" s="93"/>
      <c r="C30" s="93"/>
      <c r="D30" s="93"/>
      <c r="E30" s="93"/>
      <c r="F30" s="93"/>
      <c r="G30" s="93"/>
      <c r="H30" s="93"/>
      <c r="I30" s="93"/>
      <c r="J30" s="93"/>
    </row>
    <row r="31" customHeight="1" spans="1:10">
      <c r="A31" s="93"/>
      <c r="B31" s="93"/>
      <c r="C31" s="93"/>
      <c r="D31" s="93"/>
      <c r="E31" s="93"/>
      <c r="F31" s="93"/>
      <c r="G31" s="93"/>
      <c r="H31" s="93"/>
      <c r="I31" s="93"/>
      <c r="J31" s="93"/>
    </row>
    <row r="32" customHeight="1" spans="1:10">
      <c r="A32" s="93"/>
      <c r="B32" s="93"/>
      <c r="C32" s="93"/>
      <c r="D32" s="93"/>
      <c r="E32" s="93"/>
      <c r="F32" s="93"/>
      <c r="G32" s="93"/>
      <c r="H32" s="93"/>
      <c r="I32" s="93"/>
      <c r="J32" s="93"/>
    </row>
    <row r="33" customHeight="1" spans="1:10">
      <c r="A33" s="93"/>
      <c r="B33" s="93"/>
      <c r="C33" s="93"/>
      <c r="D33" s="93"/>
      <c r="E33" s="93"/>
      <c r="F33" s="93"/>
      <c r="G33" s="93"/>
      <c r="H33" s="93"/>
      <c r="I33" s="93"/>
      <c r="J33" s="93"/>
    </row>
  </sheetData>
  <hyperlinks>
    <hyperlink ref="K1" location="目录!A1" display="目录"/>
  </hyperlinks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9"/>
  <sheetViews>
    <sheetView workbookViewId="0">
      <selection activeCell="K16" sqref="K16"/>
    </sheetView>
  </sheetViews>
  <sheetFormatPr defaultColWidth="9" defaultRowHeight="20.1" customHeight="1"/>
  <cols>
    <col min="1" max="16384" width="9" style="67"/>
  </cols>
  <sheetData>
    <row r="1" customHeight="1" spans="1:72">
      <c r="A1" s="40" t="s">
        <v>207</v>
      </c>
      <c r="B1" s="40" t="s">
        <v>208</v>
      </c>
      <c r="C1" s="40"/>
      <c r="D1" s="40"/>
      <c r="E1" s="40"/>
      <c r="F1" s="40" t="s">
        <v>209</v>
      </c>
      <c r="G1" s="40"/>
      <c r="H1" s="40" t="s">
        <v>210</v>
      </c>
      <c r="I1" s="40"/>
      <c r="J1" s="40" t="s">
        <v>207</v>
      </c>
      <c r="K1" s="40" t="s">
        <v>208</v>
      </c>
      <c r="L1" s="40"/>
      <c r="M1" s="40"/>
      <c r="N1" s="40"/>
      <c r="O1" s="40" t="s">
        <v>209</v>
      </c>
      <c r="P1" s="40"/>
      <c r="Q1" s="40" t="s">
        <v>210</v>
      </c>
      <c r="R1" s="40"/>
      <c r="S1" s="40" t="s">
        <v>207</v>
      </c>
      <c r="T1" s="40" t="s">
        <v>208</v>
      </c>
      <c r="U1" s="40"/>
      <c r="V1" s="40"/>
      <c r="W1" s="40"/>
      <c r="X1" s="40" t="s">
        <v>209</v>
      </c>
      <c r="Y1" s="40"/>
      <c r="Z1" s="40" t="s">
        <v>210</v>
      </c>
      <c r="AA1" s="40"/>
      <c r="AB1" s="40" t="s">
        <v>207</v>
      </c>
      <c r="AC1" s="40" t="s">
        <v>208</v>
      </c>
      <c r="AD1" s="40"/>
      <c r="AE1" s="40"/>
      <c r="AF1" s="40"/>
      <c r="AG1" s="40" t="s">
        <v>209</v>
      </c>
      <c r="AH1" s="40"/>
      <c r="AI1" s="40" t="s">
        <v>210</v>
      </c>
      <c r="AJ1" s="40"/>
      <c r="AK1" s="40" t="s">
        <v>207</v>
      </c>
      <c r="AL1" s="40" t="s">
        <v>208</v>
      </c>
      <c r="AM1" s="40"/>
      <c r="AN1" s="40"/>
      <c r="AO1" s="40"/>
      <c r="AP1" s="40" t="s">
        <v>209</v>
      </c>
      <c r="AQ1" s="40"/>
      <c r="AR1" s="40" t="s">
        <v>210</v>
      </c>
      <c r="AS1" s="40"/>
      <c r="AT1" s="40" t="s">
        <v>207</v>
      </c>
      <c r="AU1" s="40" t="s">
        <v>208</v>
      </c>
      <c r="AV1" s="40"/>
      <c r="AW1" s="40"/>
      <c r="AX1" s="40"/>
      <c r="AY1" s="40" t="s">
        <v>209</v>
      </c>
      <c r="AZ1" s="40"/>
      <c r="BA1" s="40" t="s">
        <v>210</v>
      </c>
      <c r="BB1" s="40"/>
      <c r="BC1" s="40" t="s">
        <v>207</v>
      </c>
      <c r="BD1" s="40" t="s">
        <v>208</v>
      </c>
      <c r="BE1" s="40"/>
      <c r="BF1" s="40"/>
      <c r="BG1" s="40"/>
      <c r="BH1" s="40" t="s">
        <v>209</v>
      </c>
      <c r="BI1" s="40"/>
      <c r="BJ1" s="40" t="s">
        <v>210</v>
      </c>
      <c r="BK1" s="40"/>
      <c r="BL1" s="40" t="s">
        <v>207</v>
      </c>
      <c r="BM1" s="40" t="s">
        <v>208</v>
      </c>
      <c r="BN1" s="40"/>
      <c r="BO1" s="40"/>
      <c r="BP1" s="40"/>
      <c r="BQ1" s="40" t="s">
        <v>209</v>
      </c>
      <c r="BR1" s="40"/>
      <c r="BS1" s="40" t="s">
        <v>210</v>
      </c>
      <c r="BT1" s="40"/>
    </row>
    <row r="2" customHeight="1" spans="1:72">
      <c r="A2" s="40" t="s">
        <v>41</v>
      </c>
      <c r="B2" s="40" t="s">
        <v>84</v>
      </c>
      <c r="C2" s="40" t="s">
        <v>211</v>
      </c>
      <c r="D2" s="40" t="s">
        <v>212</v>
      </c>
      <c r="E2" s="40" t="s">
        <v>213</v>
      </c>
      <c r="F2" s="40" t="s">
        <v>211</v>
      </c>
      <c r="G2" s="40" t="s">
        <v>213</v>
      </c>
      <c r="H2" s="40" t="s">
        <v>211</v>
      </c>
      <c r="I2" s="40" t="s">
        <v>213</v>
      </c>
      <c r="J2" s="40" t="s">
        <v>42</v>
      </c>
      <c r="K2" s="40" t="s">
        <v>84</v>
      </c>
      <c r="L2" s="40" t="s">
        <v>211</v>
      </c>
      <c r="M2" s="40" t="s">
        <v>212</v>
      </c>
      <c r="N2" s="40" t="s">
        <v>213</v>
      </c>
      <c r="O2" s="40" t="s">
        <v>211</v>
      </c>
      <c r="P2" s="40" t="s">
        <v>213</v>
      </c>
      <c r="Q2" s="40" t="s">
        <v>211</v>
      </c>
      <c r="R2" s="40" t="s">
        <v>213</v>
      </c>
      <c r="S2" s="40" t="s">
        <v>43</v>
      </c>
      <c r="T2" s="40" t="s">
        <v>84</v>
      </c>
      <c r="U2" s="40" t="s">
        <v>211</v>
      </c>
      <c r="V2" s="40" t="s">
        <v>212</v>
      </c>
      <c r="W2" s="40" t="s">
        <v>213</v>
      </c>
      <c r="X2" s="40" t="s">
        <v>211</v>
      </c>
      <c r="Y2" s="40" t="s">
        <v>213</v>
      </c>
      <c r="Z2" s="40" t="s">
        <v>211</v>
      </c>
      <c r="AA2" s="40" t="s">
        <v>213</v>
      </c>
      <c r="AB2" s="40" t="s">
        <v>44</v>
      </c>
      <c r="AC2" s="40" t="s">
        <v>84</v>
      </c>
      <c r="AD2" s="40" t="s">
        <v>211</v>
      </c>
      <c r="AE2" s="40" t="s">
        <v>212</v>
      </c>
      <c r="AF2" s="40" t="s">
        <v>213</v>
      </c>
      <c r="AG2" s="40" t="s">
        <v>211</v>
      </c>
      <c r="AH2" s="40" t="s">
        <v>213</v>
      </c>
      <c r="AI2" s="40" t="s">
        <v>211</v>
      </c>
      <c r="AJ2" s="40" t="s">
        <v>213</v>
      </c>
      <c r="AK2" s="40" t="s">
        <v>45</v>
      </c>
      <c r="AL2" s="40" t="s">
        <v>84</v>
      </c>
      <c r="AM2" s="40" t="s">
        <v>211</v>
      </c>
      <c r="AN2" s="40" t="s">
        <v>212</v>
      </c>
      <c r="AO2" s="40" t="s">
        <v>213</v>
      </c>
      <c r="AP2" s="40" t="s">
        <v>211</v>
      </c>
      <c r="AQ2" s="40" t="s">
        <v>213</v>
      </c>
      <c r="AR2" s="40" t="s">
        <v>211</v>
      </c>
      <c r="AS2" s="40" t="s">
        <v>213</v>
      </c>
      <c r="AT2" s="40" t="s">
        <v>46</v>
      </c>
      <c r="AU2" s="40" t="s">
        <v>84</v>
      </c>
      <c r="AV2" s="40" t="s">
        <v>211</v>
      </c>
      <c r="AW2" s="40" t="s">
        <v>212</v>
      </c>
      <c r="AX2" s="40" t="s">
        <v>213</v>
      </c>
      <c r="AY2" s="40" t="s">
        <v>211</v>
      </c>
      <c r="AZ2" s="40" t="s">
        <v>213</v>
      </c>
      <c r="BA2" s="40" t="s">
        <v>211</v>
      </c>
      <c r="BB2" s="40" t="s">
        <v>213</v>
      </c>
      <c r="BC2" s="40" t="s">
        <v>47</v>
      </c>
      <c r="BD2" s="40" t="s">
        <v>84</v>
      </c>
      <c r="BE2" s="40" t="s">
        <v>211</v>
      </c>
      <c r="BF2" s="40" t="s">
        <v>212</v>
      </c>
      <c r="BG2" s="40" t="s">
        <v>213</v>
      </c>
      <c r="BH2" s="40" t="s">
        <v>211</v>
      </c>
      <c r="BI2" s="40" t="s">
        <v>213</v>
      </c>
      <c r="BJ2" s="40" t="s">
        <v>211</v>
      </c>
      <c r="BK2" s="40" t="s">
        <v>213</v>
      </c>
      <c r="BL2" s="40" t="s">
        <v>48</v>
      </c>
      <c r="BM2" s="40" t="s">
        <v>84</v>
      </c>
      <c r="BN2" s="40" t="s">
        <v>211</v>
      </c>
      <c r="BO2" s="40" t="s">
        <v>212</v>
      </c>
      <c r="BP2" s="40" t="s">
        <v>213</v>
      </c>
      <c r="BQ2" s="40" t="s">
        <v>211</v>
      </c>
      <c r="BR2" s="40" t="s">
        <v>213</v>
      </c>
      <c r="BS2" s="40" t="s">
        <v>211</v>
      </c>
      <c r="BT2" s="40" t="s">
        <v>213</v>
      </c>
    </row>
    <row r="3" customHeight="1" spans="1:72">
      <c r="A3" s="40" t="s">
        <v>41</v>
      </c>
      <c r="B3" s="68"/>
      <c r="C3" s="40"/>
      <c r="D3" s="40"/>
      <c r="E3" s="69"/>
      <c r="F3" s="40"/>
      <c r="G3" s="40"/>
      <c r="H3" s="40"/>
      <c r="I3" s="40"/>
      <c r="J3" s="40" t="s">
        <v>42</v>
      </c>
      <c r="K3" s="68"/>
      <c r="L3" s="40"/>
      <c r="M3" s="40"/>
      <c r="N3" s="69"/>
      <c r="O3" s="40"/>
      <c r="P3" s="40"/>
      <c r="Q3" s="40"/>
      <c r="R3" s="40"/>
      <c r="S3" s="40" t="s">
        <v>43</v>
      </c>
      <c r="T3" s="68"/>
      <c r="U3" s="40"/>
      <c r="V3" s="40"/>
      <c r="W3" s="69"/>
      <c r="X3" s="40"/>
      <c r="Y3" s="40"/>
      <c r="Z3" s="40"/>
      <c r="AA3" s="40"/>
      <c r="AB3" s="40" t="s">
        <v>44</v>
      </c>
      <c r="AC3" s="68"/>
      <c r="AD3" s="40"/>
      <c r="AE3" s="40"/>
      <c r="AF3" s="69"/>
      <c r="AG3" s="40"/>
      <c r="AH3" s="40"/>
      <c r="AI3" s="40"/>
      <c r="AJ3" s="40"/>
      <c r="AK3" s="40" t="s">
        <v>45</v>
      </c>
      <c r="AL3" s="68"/>
      <c r="AM3" s="40"/>
      <c r="AN3" s="40"/>
      <c r="AO3" s="69"/>
      <c r="AP3" s="40"/>
      <c r="AQ3" s="40"/>
      <c r="AR3" s="40"/>
      <c r="AS3" s="40"/>
      <c r="AT3" s="40" t="s">
        <v>46</v>
      </c>
      <c r="AU3" s="68"/>
      <c r="AV3" s="40"/>
      <c r="AW3" s="40"/>
      <c r="AX3" s="69"/>
      <c r="AY3" s="40"/>
      <c r="AZ3" s="40"/>
      <c r="BA3" s="40"/>
      <c r="BB3" s="40"/>
      <c r="BC3" s="40" t="s">
        <v>47</v>
      </c>
      <c r="BD3" s="68"/>
      <c r="BE3" s="40"/>
      <c r="BF3" s="40"/>
      <c r="BG3" s="69"/>
      <c r="BH3" s="40"/>
      <c r="BI3" s="40"/>
      <c r="BJ3" s="40"/>
      <c r="BK3" s="40"/>
      <c r="BL3" s="40" t="s">
        <v>48</v>
      </c>
      <c r="BM3" s="68"/>
      <c r="BN3" s="40"/>
      <c r="BO3" s="40"/>
      <c r="BP3" s="69"/>
      <c r="BQ3" s="40"/>
      <c r="BR3" s="40"/>
      <c r="BS3" s="40"/>
      <c r="BT3" s="40"/>
    </row>
    <row r="4" customHeight="1" spans="1:72">
      <c r="A4" s="40" t="s">
        <v>41</v>
      </c>
      <c r="B4" s="68"/>
      <c r="C4" s="40"/>
      <c r="D4" s="40"/>
      <c r="E4" s="69"/>
      <c r="F4" s="40"/>
      <c r="G4" s="40"/>
      <c r="H4" s="40"/>
      <c r="I4" s="40"/>
      <c r="J4" s="40" t="s">
        <v>42</v>
      </c>
      <c r="K4" s="68"/>
      <c r="L4" s="40"/>
      <c r="M4" s="40"/>
      <c r="N4" s="69"/>
      <c r="O4" s="40"/>
      <c r="P4" s="40"/>
      <c r="Q4" s="40"/>
      <c r="R4" s="40"/>
      <c r="S4" s="40" t="s">
        <v>43</v>
      </c>
      <c r="T4" s="68"/>
      <c r="U4" s="40"/>
      <c r="V4" s="40"/>
      <c r="W4" s="69"/>
      <c r="X4" s="40"/>
      <c r="Y4" s="40"/>
      <c r="Z4" s="40"/>
      <c r="AA4" s="40"/>
      <c r="AB4" s="40" t="s">
        <v>44</v>
      </c>
      <c r="AC4" s="68"/>
      <c r="AD4" s="40"/>
      <c r="AE4" s="40"/>
      <c r="AF4" s="69"/>
      <c r="AG4" s="40"/>
      <c r="AH4" s="40"/>
      <c r="AI4" s="40"/>
      <c r="AJ4" s="40"/>
      <c r="AK4" s="40" t="s">
        <v>45</v>
      </c>
      <c r="AL4" s="68"/>
      <c r="AM4" s="40"/>
      <c r="AN4" s="40"/>
      <c r="AO4" s="69"/>
      <c r="AP4" s="40"/>
      <c r="AQ4" s="40"/>
      <c r="AR4" s="40"/>
      <c r="AS4" s="40"/>
      <c r="AT4" s="40" t="s">
        <v>46</v>
      </c>
      <c r="AU4" s="68"/>
      <c r="AV4" s="40"/>
      <c r="AW4" s="40"/>
      <c r="AX4" s="69"/>
      <c r="AY4" s="40"/>
      <c r="AZ4" s="40"/>
      <c r="BA4" s="40"/>
      <c r="BB4" s="40"/>
      <c r="BC4" s="40" t="s">
        <v>47</v>
      </c>
      <c r="BD4" s="68"/>
      <c r="BE4" s="40"/>
      <c r="BF4" s="40"/>
      <c r="BG4" s="69"/>
      <c r="BH4" s="40"/>
      <c r="BI4" s="40"/>
      <c r="BJ4" s="40"/>
      <c r="BK4" s="40"/>
      <c r="BL4" s="40" t="s">
        <v>48</v>
      </c>
      <c r="BM4" s="68"/>
      <c r="BN4" s="40"/>
      <c r="BO4" s="40"/>
      <c r="BP4" s="69"/>
      <c r="BQ4" s="40"/>
      <c r="BR4" s="40"/>
      <c r="BS4" s="40"/>
      <c r="BT4" s="40"/>
    </row>
    <row r="5" customHeight="1" spans="1:72">
      <c r="A5" s="40" t="s">
        <v>41</v>
      </c>
      <c r="B5" s="68"/>
      <c r="C5" s="40"/>
      <c r="D5" s="40"/>
      <c r="E5" s="69"/>
      <c r="F5" s="40"/>
      <c r="G5" s="40"/>
      <c r="H5" s="40"/>
      <c r="I5" s="40"/>
      <c r="J5" s="40" t="s">
        <v>42</v>
      </c>
      <c r="K5" s="68"/>
      <c r="L5" s="40"/>
      <c r="M5" s="40"/>
      <c r="N5" s="69"/>
      <c r="O5" s="40"/>
      <c r="P5" s="40"/>
      <c r="Q5" s="40"/>
      <c r="R5" s="40"/>
      <c r="S5" s="40" t="s">
        <v>43</v>
      </c>
      <c r="T5" s="68"/>
      <c r="U5" s="40"/>
      <c r="V5" s="40"/>
      <c r="W5" s="69"/>
      <c r="X5" s="40"/>
      <c r="Y5" s="40"/>
      <c r="Z5" s="40"/>
      <c r="AA5" s="40"/>
      <c r="AB5" s="40" t="s">
        <v>44</v>
      </c>
      <c r="AC5" s="68"/>
      <c r="AD5" s="40"/>
      <c r="AE5" s="40"/>
      <c r="AF5" s="69"/>
      <c r="AG5" s="40"/>
      <c r="AH5" s="40"/>
      <c r="AI5" s="40"/>
      <c r="AJ5" s="40"/>
      <c r="AK5" s="40" t="s">
        <v>45</v>
      </c>
      <c r="AL5" s="68"/>
      <c r="AM5" s="40"/>
      <c r="AN5" s="40"/>
      <c r="AO5" s="69"/>
      <c r="AP5" s="40"/>
      <c r="AQ5" s="40"/>
      <c r="AR5" s="40"/>
      <c r="AS5" s="40"/>
      <c r="AT5" s="40" t="s">
        <v>46</v>
      </c>
      <c r="AU5" s="68"/>
      <c r="AV5" s="40"/>
      <c r="AW5" s="40"/>
      <c r="AX5" s="69"/>
      <c r="AY5" s="40"/>
      <c r="AZ5" s="40"/>
      <c r="BA5" s="40"/>
      <c r="BB5" s="40"/>
      <c r="BC5" s="40" t="s">
        <v>47</v>
      </c>
      <c r="BD5" s="68"/>
      <c r="BE5" s="40"/>
      <c r="BF5" s="40"/>
      <c r="BG5" s="69"/>
      <c r="BH5" s="40"/>
      <c r="BI5" s="40"/>
      <c r="BJ5" s="40"/>
      <c r="BK5" s="40"/>
      <c r="BL5" s="40" t="s">
        <v>48</v>
      </c>
      <c r="BM5" s="68"/>
      <c r="BN5" s="40"/>
      <c r="BO5" s="40"/>
      <c r="BP5" s="69"/>
      <c r="BQ5" s="40"/>
      <c r="BR5" s="40"/>
      <c r="BS5" s="40"/>
      <c r="BT5" s="40"/>
    </row>
    <row r="6" customHeight="1" spans="1:20">
      <c r="A6" s="23" t="s">
        <v>91</v>
      </c>
      <c r="B6" s="70"/>
      <c r="C6" s="71"/>
      <c r="D6" s="71"/>
      <c r="E6" s="72"/>
      <c r="F6" s="73"/>
      <c r="G6" s="72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</row>
    <row r="7" customHeight="1" spans="1:29">
      <c r="A7" s="74" t="s">
        <v>214</v>
      </c>
      <c r="B7" s="75"/>
      <c r="C7" s="75"/>
      <c r="D7" s="75"/>
      <c r="E7" s="75"/>
      <c r="F7" s="75"/>
      <c r="G7" s="75"/>
      <c r="H7" s="75"/>
      <c r="I7" s="75"/>
      <c r="J7" s="75"/>
      <c r="K7" s="83"/>
      <c r="L7" s="84" t="s">
        <v>215</v>
      </c>
      <c r="M7" s="85"/>
      <c r="N7" s="85"/>
      <c r="O7" s="85"/>
      <c r="P7" s="85"/>
      <c r="Q7" s="85"/>
      <c r="R7" s="85"/>
      <c r="S7" s="85"/>
      <c r="T7" s="90"/>
      <c r="U7" s="84" t="s">
        <v>210</v>
      </c>
      <c r="V7" s="85"/>
      <c r="W7" s="85"/>
      <c r="X7" s="85"/>
      <c r="Y7" s="85"/>
      <c r="Z7" s="85"/>
      <c r="AA7" s="85"/>
      <c r="AB7" s="85"/>
      <c r="AC7" s="90"/>
    </row>
    <row r="8" customHeight="1" spans="1:29">
      <c r="A8" s="76" t="s">
        <v>216</v>
      </c>
      <c r="B8" s="40" t="s">
        <v>217</v>
      </c>
      <c r="C8" s="77" t="s">
        <v>211</v>
      </c>
      <c r="D8" s="77" t="s">
        <v>212</v>
      </c>
      <c r="E8" s="40" t="s">
        <v>218</v>
      </c>
      <c r="F8" s="40" t="s">
        <v>219</v>
      </c>
      <c r="G8" s="40" t="s">
        <v>220</v>
      </c>
      <c r="H8" s="40" t="s">
        <v>221</v>
      </c>
      <c r="I8" s="77" t="s">
        <v>222</v>
      </c>
      <c r="J8" s="40" t="s">
        <v>4</v>
      </c>
      <c r="K8" s="86" t="s">
        <v>213</v>
      </c>
      <c r="L8" s="76" t="s">
        <v>217</v>
      </c>
      <c r="M8" s="40" t="s">
        <v>211</v>
      </c>
      <c r="N8" s="40" t="s">
        <v>218</v>
      </c>
      <c r="O8" s="40" t="s">
        <v>219</v>
      </c>
      <c r="P8" s="77" t="s">
        <v>212</v>
      </c>
      <c r="Q8" s="40" t="s">
        <v>221</v>
      </c>
      <c r="R8" s="77" t="s">
        <v>222</v>
      </c>
      <c r="S8" s="40" t="s">
        <v>4</v>
      </c>
      <c r="T8" s="86" t="s">
        <v>213</v>
      </c>
      <c r="U8" s="76" t="s">
        <v>217</v>
      </c>
      <c r="V8" s="40" t="s">
        <v>211</v>
      </c>
      <c r="W8" s="40" t="s">
        <v>218</v>
      </c>
      <c r="X8" s="40" t="s">
        <v>219</v>
      </c>
      <c r="Y8" s="77" t="s">
        <v>212</v>
      </c>
      <c r="Z8" s="40" t="s">
        <v>221</v>
      </c>
      <c r="AA8" s="77" t="s">
        <v>222</v>
      </c>
      <c r="AB8" s="40" t="s">
        <v>4</v>
      </c>
      <c r="AC8" s="86" t="s">
        <v>213</v>
      </c>
    </row>
    <row r="9" customHeight="1" spans="1:29">
      <c r="A9" s="40"/>
      <c r="B9" s="78"/>
      <c r="C9" s="40"/>
      <c r="D9" s="42"/>
      <c r="E9" s="42"/>
      <c r="F9" s="42"/>
      <c r="G9" s="42"/>
      <c r="H9" s="42"/>
      <c r="I9" s="42"/>
      <c r="J9" s="42"/>
      <c r="K9" s="87"/>
      <c r="L9" s="80"/>
      <c r="M9" s="42"/>
      <c r="N9" s="42"/>
      <c r="O9" s="42"/>
      <c r="P9" s="42"/>
      <c r="Q9" s="42"/>
      <c r="R9" s="42"/>
      <c r="S9" s="42"/>
      <c r="T9" s="87"/>
      <c r="U9" s="80"/>
      <c r="V9" s="42"/>
      <c r="W9" s="42"/>
      <c r="X9" s="42"/>
      <c r="Y9" s="42"/>
      <c r="Z9" s="42"/>
      <c r="AA9" s="42"/>
      <c r="AB9" s="42"/>
      <c r="AC9" s="87"/>
    </row>
    <row r="10" customHeight="1" spans="1:29">
      <c r="A10" s="40"/>
      <c r="B10" s="78"/>
      <c r="C10" s="40"/>
      <c r="D10" s="42"/>
      <c r="E10" s="42"/>
      <c r="F10" s="42"/>
      <c r="G10" s="42"/>
      <c r="H10" s="42"/>
      <c r="I10" s="42"/>
      <c r="J10" s="42"/>
      <c r="K10" s="88"/>
      <c r="L10" s="80"/>
      <c r="M10" s="42"/>
      <c r="N10" s="42"/>
      <c r="O10" s="42"/>
      <c r="P10" s="42"/>
      <c r="Q10" s="42"/>
      <c r="R10" s="42"/>
      <c r="S10" s="42"/>
      <c r="T10" s="87"/>
      <c r="U10" s="80"/>
      <c r="V10" s="42"/>
      <c r="W10" s="42"/>
      <c r="X10" s="42"/>
      <c r="Y10" s="42"/>
      <c r="Z10" s="42"/>
      <c r="AA10" s="42"/>
      <c r="AB10" s="42"/>
      <c r="AC10" s="87"/>
    </row>
    <row r="11" customHeight="1" spans="1:29">
      <c r="A11" s="42"/>
      <c r="B11" s="78"/>
      <c r="C11" s="42"/>
      <c r="D11" s="42"/>
      <c r="E11" s="42"/>
      <c r="F11" s="42"/>
      <c r="G11" s="42"/>
      <c r="H11" s="42"/>
      <c r="I11" s="42"/>
      <c r="J11" s="42"/>
      <c r="K11" s="88"/>
      <c r="L11" s="80"/>
      <c r="M11" s="42"/>
      <c r="N11" s="42"/>
      <c r="O11" s="42"/>
      <c r="P11" s="42"/>
      <c r="Q11" s="42"/>
      <c r="R11" s="42"/>
      <c r="S11" s="42"/>
      <c r="T11" s="88"/>
      <c r="U11" s="80"/>
      <c r="V11" s="42"/>
      <c r="W11" s="42"/>
      <c r="X11" s="42"/>
      <c r="Y11" s="42"/>
      <c r="Z11" s="42"/>
      <c r="AA11" s="42"/>
      <c r="AB11" s="42"/>
      <c r="AC11" s="88"/>
    </row>
    <row r="12" customHeight="1" spans="1:29">
      <c r="A12" s="42"/>
      <c r="B12" s="78"/>
      <c r="C12" s="42"/>
      <c r="D12" s="42"/>
      <c r="E12" s="42"/>
      <c r="F12" s="42"/>
      <c r="G12" s="42"/>
      <c r="H12" s="42"/>
      <c r="I12" s="42"/>
      <c r="J12" s="42"/>
      <c r="K12" s="88"/>
      <c r="L12" s="80"/>
      <c r="M12" s="42"/>
      <c r="N12" s="42"/>
      <c r="O12" s="42"/>
      <c r="P12" s="42"/>
      <c r="Q12" s="42"/>
      <c r="R12" s="42"/>
      <c r="S12" s="42"/>
      <c r="T12" s="88"/>
      <c r="U12" s="80"/>
      <c r="V12" s="42"/>
      <c r="W12" s="42"/>
      <c r="X12" s="42"/>
      <c r="Y12" s="42"/>
      <c r="Z12" s="42"/>
      <c r="AA12" s="42"/>
      <c r="AB12" s="42"/>
      <c r="AC12" s="88"/>
    </row>
    <row r="13" customHeight="1" spans="1:29">
      <c r="A13" s="42"/>
      <c r="B13" s="78"/>
      <c r="C13" s="42"/>
      <c r="D13" s="42"/>
      <c r="E13" s="42"/>
      <c r="F13" s="42"/>
      <c r="G13" s="42"/>
      <c r="H13" s="42"/>
      <c r="I13" s="42"/>
      <c r="J13" s="42"/>
      <c r="K13" s="87"/>
      <c r="L13" s="80"/>
      <c r="M13" s="42"/>
      <c r="N13" s="42"/>
      <c r="O13" s="42"/>
      <c r="P13" s="42"/>
      <c r="Q13" s="42"/>
      <c r="R13" s="42"/>
      <c r="S13" s="42"/>
      <c r="T13" s="87"/>
      <c r="U13" s="80"/>
      <c r="V13" s="42"/>
      <c r="W13" s="42"/>
      <c r="X13" s="42"/>
      <c r="Y13" s="42"/>
      <c r="Z13" s="42"/>
      <c r="AA13" s="42"/>
      <c r="AB13" s="42"/>
      <c r="AC13" s="87"/>
    </row>
    <row r="14" customHeight="1" spans="1:29">
      <c r="A14" s="42"/>
      <c r="B14" s="78"/>
      <c r="C14" s="42"/>
      <c r="D14" s="42"/>
      <c r="E14" s="42"/>
      <c r="F14" s="42"/>
      <c r="G14" s="42"/>
      <c r="H14" s="42"/>
      <c r="I14" s="42"/>
      <c r="J14" s="42"/>
      <c r="K14" s="87"/>
      <c r="L14" s="80"/>
      <c r="M14" s="42"/>
      <c r="N14" s="42"/>
      <c r="O14" s="42"/>
      <c r="P14" s="42"/>
      <c r="Q14" s="42"/>
      <c r="R14" s="42"/>
      <c r="S14" s="42"/>
      <c r="T14" s="87"/>
      <c r="U14" s="80"/>
      <c r="V14" s="42"/>
      <c r="W14" s="42"/>
      <c r="X14" s="42"/>
      <c r="Y14" s="42"/>
      <c r="Z14" s="42"/>
      <c r="AA14" s="42"/>
      <c r="AB14" s="42"/>
      <c r="AC14" s="87"/>
    </row>
    <row r="15" customHeight="1" spans="1:29">
      <c r="A15" s="42"/>
      <c r="B15" s="78"/>
      <c r="C15" s="42"/>
      <c r="D15" s="42"/>
      <c r="E15" s="42"/>
      <c r="F15" s="42"/>
      <c r="G15" s="42"/>
      <c r="H15" s="42"/>
      <c r="I15" s="42"/>
      <c r="J15" s="42"/>
      <c r="K15" s="87"/>
      <c r="L15" s="80"/>
      <c r="M15" s="42"/>
      <c r="N15" s="42"/>
      <c r="O15" s="42"/>
      <c r="P15" s="42"/>
      <c r="Q15" s="42"/>
      <c r="R15" s="42"/>
      <c r="S15" s="42"/>
      <c r="T15" s="87"/>
      <c r="U15" s="80"/>
      <c r="V15" s="42"/>
      <c r="W15" s="42"/>
      <c r="X15" s="42"/>
      <c r="Y15" s="42"/>
      <c r="Z15" s="42"/>
      <c r="AA15" s="42"/>
      <c r="AB15" s="42"/>
      <c r="AC15" s="87"/>
    </row>
    <row r="16" customHeight="1" spans="1:29">
      <c r="A16" s="42"/>
      <c r="B16" s="78"/>
      <c r="C16" s="42"/>
      <c r="D16" s="42"/>
      <c r="E16" s="42"/>
      <c r="F16" s="42"/>
      <c r="G16" s="42"/>
      <c r="H16" s="42"/>
      <c r="I16" s="42"/>
      <c r="J16" s="42"/>
      <c r="K16" s="87"/>
      <c r="L16" s="80"/>
      <c r="M16" s="42"/>
      <c r="N16" s="42"/>
      <c r="O16" s="42"/>
      <c r="P16" s="42"/>
      <c r="Q16" s="42"/>
      <c r="R16" s="42"/>
      <c r="S16" s="42"/>
      <c r="T16" s="87"/>
      <c r="U16" s="80"/>
      <c r="V16" s="42"/>
      <c r="W16" s="42"/>
      <c r="X16" s="42"/>
      <c r="Y16" s="42"/>
      <c r="Z16" s="42"/>
      <c r="AA16" s="42"/>
      <c r="AB16" s="42"/>
      <c r="AC16" s="87"/>
    </row>
    <row r="17" customHeight="1" spans="1:29">
      <c r="A17" s="42"/>
      <c r="B17" s="78"/>
      <c r="C17" s="42"/>
      <c r="D17" s="42"/>
      <c r="E17" s="42"/>
      <c r="F17" s="42"/>
      <c r="G17" s="42"/>
      <c r="H17" s="42"/>
      <c r="I17" s="42"/>
      <c r="J17" s="42"/>
      <c r="K17" s="87"/>
      <c r="L17" s="80"/>
      <c r="M17" s="42"/>
      <c r="N17" s="42"/>
      <c r="O17" s="42"/>
      <c r="P17" s="42"/>
      <c r="Q17" s="42"/>
      <c r="R17" s="42"/>
      <c r="S17" s="42"/>
      <c r="T17" s="87"/>
      <c r="U17" s="80"/>
      <c r="V17" s="42"/>
      <c r="W17" s="42"/>
      <c r="X17" s="42"/>
      <c r="Y17" s="42"/>
      <c r="Z17" s="42"/>
      <c r="AA17" s="42"/>
      <c r="AB17" s="42"/>
      <c r="AC17" s="87"/>
    </row>
    <row r="18" customHeight="1" spans="1:29">
      <c r="A18" s="42"/>
      <c r="B18" s="78"/>
      <c r="C18" s="42"/>
      <c r="D18" s="42"/>
      <c r="E18" s="42"/>
      <c r="F18" s="42"/>
      <c r="G18" s="42"/>
      <c r="H18" s="42"/>
      <c r="I18" s="42"/>
      <c r="J18" s="42"/>
      <c r="K18" s="87"/>
      <c r="L18" s="80"/>
      <c r="M18" s="42"/>
      <c r="N18" s="42"/>
      <c r="O18" s="42"/>
      <c r="P18" s="42"/>
      <c r="Q18" s="42"/>
      <c r="R18" s="42"/>
      <c r="S18" s="42"/>
      <c r="T18" s="87"/>
      <c r="U18" s="80"/>
      <c r="V18" s="42"/>
      <c r="W18" s="42"/>
      <c r="X18" s="42"/>
      <c r="Y18" s="42"/>
      <c r="Z18" s="42"/>
      <c r="AA18" s="42"/>
      <c r="AB18" s="42"/>
      <c r="AC18" s="87"/>
    </row>
    <row r="19" customHeight="1" spans="1:29">
      <c r="A19" s="42"/>
      <c r="B19" s="79"/>
      <c r="C19" s="42"/>
      <c r="D19" s="42"/>
      <c r="E19" s="42"/>
      <c r="F19" s="42"/>
      <c r="G19" s="42"/>
      <c r="H19" s="42"/>
      <c r="I19" s="42"/>
      <c r="J19" s="42"/>
      <c r="K19" s="87"/>
      <c r="L19" s="80"/>
      <c r="M19" s="42"/>
      <c r="N19" s="42"/>
      <c r="O19" s="42"/>
      <c r="P19" s="42"/>
      <c r="Q19" s="42"/>
      <c r="R19" s="42"/>
      <c r="S19" s="42"/>
      <c r="T19" s="87"/>
      <c r="U19" s="80"/>
      <c r="V19" s="42"/>
      <c r="W19" s="42"/>
      <c r="X19" s="42"/>
      <c r="Y19" s="42"/>
      <c r="Z19" s="42"/>
      <c r="AA19" s="42"/>
      <c r="AB19" s="42"/>
      <c r="AC19" s="87"/>
    </row>
    <row r="20" customHeight="1" spans="1:29">
      <c r="A20" s="80"/>
      <c r="B20" s="42"/>
      <c r="C20" s="42"/>
      <c r="D20" s="42"/>
      <c r="E20" s="42"/>
      <c r="F20" s="42"/>
      <c r="G20" s="42"/>
      <c r="H20" s="42"/>
      <c r="I20" s="42"/>
      <c r="J20" s="42"/>
      <c r="K20" s="87"/>
      <c r="L20" s="80"/>
      <c r="M20" s="42"/>
      <c r="N20" s="42"/>
      <c r="O20" s="42"/>
      <c r="P20" s="42"/>
      <c r="Q20" s="42"/>
      <c r="R20" s="42"/>
      <c r="S20" s="42"/>
      <c r="T20" s="87"/>
      <c r="U20" s="80"/>
      <c r="V20" s="42"/>
      <c r="W20" s="42"/>
      <c r="X20" s="42"/>
      <c r="Y20" s="42"/>
      <c r="Z20" s="42"/>
      <c r="AA20" s="42"/>
      <c r="AB20" s="42"/>
      <c r="AC20" s="87"/>
    </row>
    <row r="21" customHeight="1" spans="1:29">
      <c r="A21" s="80"/>
      <c r="B21" s="42"/>
      <c r="C21" s="42"/>
      <c r="D21" s="42"/>
      <c r="E21" s="42"/>
      <c r="F21" s="42"/>
      <c r="G21" s="42"/>
      <c r="H21" s="42"/>
      <c r="I21" s="42"/>
      <c r="J21" s="42"/>
      <c r="K21" s="87"/>
      <c r="L21" s="80"/>
      <c r="M21" s="42"/>
      <c r="N21" s="42"/>
      <c r="O21" s="42"/>
      <c r="P21" s="42"/>
      <c r="Q21" s="42"/>
      <c r="R21" s="42"/>
      <c r="S21" s="42"/>
      <c r="T21" s="87"/>
      <c r="U21" s="80"/>
      <c r="V21" s="42"/>
      <c r="W21" s="42"/>
      <c r="X21" s="42"/>
      <c r="Y21" s="42"/>
      <c r="Z21" s="42"/>
      <c r="AA21" s="42"/>
      <c r="AB21" s="42"/>
      <c r="AC21" s="87"/>
    </row>
    <row r="22" customHeight="1" spans="1:29">
      <c r="A22" s="80"/>
      <c r="B22" s="42"/>
      <c r="C22" s="42"/>
      <c r="D22" s="42"/>
      <c r="E22" s="42"/>
      <c r="F22" s="42"/>
      <c r="G22" s="42"/>
      <c r="H22" s="42"/>
      <c r="I22" s="42"/>
      <c r="J22" s="42"/>
      <c r="K22" s="87"/>
      <c r="L22" s="80"/>
      <c r="M22" s="42"/>
      <c r="N22" s="42"/>
      <c r="O22" s="42"/>
      <c r="P22" s="42"/>
      <c r="Q22" s="42"/>
      <c r="R22" s="42"/>
      <c r="S22" s="42"/>
      <c r="T22" s="87"/>
      <c r="U22" s="80"/>
      <c r="V22" s="42"/>
      <c r="W22" s="42"/>
      <c r="X22" s="42"/>
      <c r="Y22" s="42"/>
      <c r="Z22" s="42"/>
      <c r="AA22" s="42"/>
      <c r="AB22" s="42"/>
      <c r="AC22" s="87"/>
    </row>
    <row r="23" customHeight="1" spans="1:29">
      <c r="A23" s="80"/>
      <c r="B23" s="42"/>
      <c r="C23" s="42"/>
      <c r="D23" s="42"/>
      <c r="E23" s="42"/>
      <c r="F23" s="42"/>
      <c r="G23" s="42"/>
      <c r="H23" s="42"/>
      <c r="I23" s="42"/>
      <c r="J23" s="42"/>
      <c r="K23" s="87"/>
      <c r="L23" s="80"/>
      <c r="M23" s="42"/>
      <c r="N23" s="42"/>
      <c r="O23" s="42"/>
      <c r="P23" s="42"/>
      <c r="Q23" s="42"/>
      <c r="R23" s="42"/>
      <c r="S23" s="42"/>
      <c r="T23" s="87"/>
      <c r="U23" s="80"/>
      <c r="V23" s="42"/>
      <c r="W23" s="42"/>
      <c r="X23" s="42"/>
      <c r="Y23" s="42"/>
      <c r="Z23" s="42"/>
      <c r="AA23" s="42"/>
      <c r="AB23" s="42"/>
      <c r="AC23" s="87"/>
    </row>
    <row r="24" customHeight="1" spans="1:29">
      <c r="A24" s="80"/>
      <c r="B24" s="42"/>
      <c r="C24" s="42"/>
      <c r="D24" s="42"/>
      <c r="E24" s="42"/>
      <c r="F24" s="42"/>
      <c r="G24" s="42"/>
      <c r="H24" s="42"/>
      <c r="I24" s="42"/>
      <c r="J24" s="42"/>
      <c r="K24" s="87"/>
      <c r="L24" s="80"/>
      <c r="M24" s="42"/>
      <c r="N24" s="42"/>
      <c r="O24" s="42"/>
      <c r="P24" s="42"/>
      <c r="Q24" s="42"/>
      <c r="R24" s="42"/>
      <c r="S24" s="42"/>
      <c r="T24" s="87"/>
      <c r="U24" s="80"/>
      <c r="V24" s="42"/>
      <c r="W24" s="42"/>
      <c r="X24" s="42"/>
      <c r="Y24" s="42"/>
      <c r="Z24" s="42"/>
      <c r="AA24" s="42"/>
      <c r="AB24" s="42"/>
      <c r="AC24" s="87"/>
    </row>
    <row r="25" customHeight="1" spans="1:29">
      <c r="A25" s="80"/>
      <c r="B25" s="42"/>
      <c r="C25" s="42"/>
      <c r="D25" s="42"/>
      <c r="E25" s="42"/>
      <c r="F25" s="42"/>
      <c r="G25" s="42"/>
      <c r="H25" s="42"/>
      <c r="I25" s="42"/>
      <c r="J25" s="42"/>
      <c r="K25" s="87"/>
      <c r="L25" s="80"/>
      <c r="M25" s="42"/>
      <c r="N25" s="42"/>
      <c r="O25" s="42"/>
      <c r="P25" s="42"/>
      <c r="Q25" s="42"/>
      <c r="R25" s="42"/>
      <c r="S25" s="42"/>
      <c r="T25" s="87"/>
      <c r="U25" s="80"/>
      <c r="V25" s="42"/>
      <c r="W25" s="42"/>
      <c r="X25" s="42"/>
      <c r="Y25" s="42"/>
      <c r="Z25" s="42"/>
      <c r="AA25" s="42"/>
      <c r="AB25" s="42"/>
      <c r="AC25" s="87"/>
    </row>
    <row r="26" customHeight="1" spans="1:29">
      <c r="A26" s="80"/>
      <c r="B26" s="42"/>
      <c r="C26" s="42"/>
      <c r="D26" s="42"/>
      <c r="E26" s="42"/>
      <c r="F26" s="42"/>
      <c r="G26" s="42"/>
      <c r="H26" s="42"/>
      <c r="I26" s="42"/>
      <c r="J26" s="42"/>
      <c r="K26" s="87"/>
      <c r="L26" s="80"/>
      <c r="M26" s="42"/>
      <c r="N26" s="42"/>
      <c r="O26" s="42"/>
      <c r="P26" s="42"/>
      <c r="Q26" s="42"/>
      <c r="R26" s="42"/>
      <c r="S26" s="42"/>
      <c r="T26" s="87"/>
      <c r="U26" s="80"/>
      <c r="V26" s="42"/>
      <c r="W26" s="42"/>
      <c r="X26" s="42"/>
      <c r="Y26" s="42"/>
      <c r="Z26" s="42"/>
      <c r="AA26" s="42"/>
      <c r="AB26" s="42"/>
      <c r="AC26" s="87"/>
    </row>
    <row r="27" customHeight="1" spans="1:29">
      <c r="A27" s="80"/>
      <c r="B27" s="42"/>
      <c r="C27" s="42"/>
      <c r="D27" s="42"/>
      <c r="E27" s="42"/>
      <c r="F27" s="42"/>
      <c r="G27" s="42"/>
      <c r="H27" s="42"/>
      <c r="I27" s="42"/>
      <c r="J27" s="42"/>
      <c r="K27" s="87"/>
      <c r="L27" s="80"/>
      <c r="M27" s="42"/>
      <c r="N27" s="42"/>
      <c r="O27" s="42"/>
      <c r="P27" s="42"/>
      <c r="Q27" s="42"/>
      <c r="R27" s="42"/>
      <c r="S27" s="42"/>
      <c r="T27" s="87"/>
      <c r="U27" s="80"/>
      <c r="V27" s="42"/>
      <c r="W27" s="42"/>
      <c r="X27" s="42"/>
      <c r="Y27" s="42"/>
      <c r="Z27" s="42"/>
      <c r="AA27" s="42"/>
      <c r="AB27" s="42"/>
      <c r="AC27" s="87"/>
    </row>
    <row r="28" customHeight="1" spans="1:29">
      <c r="A28" s="80"/>
      <c r="B28" s="42"/>
      <c r="C28" s="42"/>
      <c r="D28" s="42"/>
      <c r="E28" s="42"/>
      <c r="F28" s="42"/>
      <c r="G28" s="42"/>
      <c r="H28" s="42"/>
      <c r="I28" s="42"/>
      <c r="J28" s="42"/>
      <c r="K28" s="87"/>
      <c r="L28" s="80"/>
      <c r="M28" s="42"/>
      <c r="N28" s="42"/>
      <c r="O28" s="42"/>
      <c r="P28" s="42"/>
      <c r="Q28" s="42"/>
      <c r="R28" s="42"/>
      <c r="S28" s="42"/>
      <c r="T28" s="87"/>
      <c r="U28" s="80"/>
      <c r="V28" s="42"/>
      <c r="W28" s="42"/>
      <c r="X28" s="42"/>
      <c r="Y28" s="42"/>
      <c r="Z28" s="42"/>
      <c r="AA28" s="42"/>
      <c r="AB28" s="42"/>
      <c r="AC28" s="87"/>
    </row>
    <row r="29" customHeight="1" spans="1:29">
      <c r="A29" s="81"/>
      <c r="B29" s="82"/>
      <c r="C29" s="82"/>
      <c r="D29" s="82"/>
      <c r="E29" s="82"/>
      <c r="F29" s="82"/>
      <c r="G29" s="82"/>
      <c r="H29" s="82"/>
      <c r="I29" s="82"/>
      <c r="J29" s="82"/>
      <c r="K29" s="89"/>
      <c r="L29" s="81"/>
      <c r="M29" s="82"/>
      <c r="N29" s="82"/>
      <c r="O29" s="82"/>
      <c r="P29" s="82"/>
      <c r="Q29" s="82"/>
      <c r="R29" s="82"/>
      <c r="S29" s="82"/>
      <c r="T29" s="89"/>
      <c r="U29" s="81"/>
      <c r="V29" s="82"/>
      <c r="W29" s="82"/>
      <c r="X29" s="82"/>
      <c r="Y29" s="82"/>
      <c r="Z29" s="82"/>
      <c r="AA29" s="82"/>
      <c r="AB29" s="82"/>
      <c r="AC29" s="89"/>
    </row>
  </sheetData>
  <mergeCells count="27">
    <mergeCell ref="B1:E1"/>
    <mergeCell ref="F1:G1"/>
    <mergeCell ref="H1:I1"/>
    <mergeCell ref="K1:N1"/>
    <mergeCell ref="O1:P1"/>
    <mergeCell ref="Q1:R1"/>
    <mergeCell ref="T1:W1"/>
    <mergeCell ref="X1:Y1"/>
    <mergeCell ref="Z1:AA1"/>
    <mergeCell ref="AC1:AF1"/>
    <mergeCell ref="AG1:AH1"/>
    <mergeCell ref="AI1:AJ1"/>
    <mergeCell ref="AL1:AO1"/>
    <mergeCell ref="AP1:AQ1"/>
    <mergeCell ref="AR1:AS1"/>
    <mergeCell ref="AU1:AX1"/>
    <mergeCell ref="AY1:AZ1"/>
    <mergeCell ref="BA1:BB1"/>
    <mergeCell ref="BD1:BG1"/>
    <mergeCell ref="BH1:BI1"/>
    <mergeCell ref="BJ1:BK1"/>
    <mergeCell ref="BM1:BP1"/>
    <mergeCell ref="BQ1:BR1"/>
    <mergeCell ref="BS1:BT1"/>
    <mergeCell ref="A7:K7"/>
    <mergeCell ref="L7:T7"/>
    <mergeCell ref="U7:AC7"/>
  </mergeCells>
  <hyperlinks>
    <hyperlink ref="A6" location="目录!A1" display="目录"/>
  </hyperlinks>
  <pageMargins left="0.699305555555556" right="0.699305555555556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2"/>
  <sheetViews>
    <sheetView zoomScale="90" zoomScaleNormal="90" workbookViewId="0">
      <pane ySplit="1" topLeftCell="A2" activePane="bottomLeft" state="frozen"/>
      <selection/>
      <selection pane="bottomLeft" activeCell="K15" sqref="K15"/>
    </sheetView>
  </sheetViews>
  <sheetFormatPr defaultColWidth="9" defaultRowHeight="20.1" customHeight="1"/>
  <cols>
    <col min="1" max="1" width="6.10833333333333" style="45" customWidth="1"/>
    <col min="2" max="2" width="9.5" style="45" customWidth="1"/>
    <col min="3" max="3" width="17.6416666666667" style="45" customWidth="1"/>
    <col min="4" max="4" width="19.5833333333333" style="45" customWidth="1"/>
    <col min="5" max="5" width="8.75" style="45" customWidth="1"/>
    <col min="6" max="6" width="8.875" style="45" customWidth="1"/>
    <col min="7" max="7" width="15.375" style="45" customWidth="1"/>
    <col min="8" max="8" width="16" style="45" customWidth="1"/>
    <col min="9" max="9" width="18.375" style="45" customWidth="1"/>
    <col min="10" max="12" width="12.775" style="45" customWidth="1"/>
    <col min="13" max="13" width="12.775" style="44" customWidth="1"/>
    <col min="14" max="14" width="9" style="44"/>
    <col min="15" max="15" width="9" style="46"/>
    <col min="16" max="16384" width="9" style="44"/>
  </cols>
  <sheetData>
    <row r="1" s="43" customFormat="1" ht="27" customHeight="1" spans="1:15">
      <c r="A1" s="47" t="s">
        <v>87</v>
      </c>
      <c r="B1" s="48" t="s">
        <v>207</v>
      </c>
      <c r="C1" s="49" t="s">
        <v>223</v>
      </c>
      <c r="D1" s="50" t="s">
        <v>224</v>
      </c>
      <c r="E1" s="51" t="s">
        <v>225</v>
      </c>
      <c r="F1" s="51" t="s">
        <v>60</v>
      </c>
      <c r="G1" s="51" t="s">
        <v>226</v>
      </c>
      <c r="H1" s="50" t="s">
        <v>227</v>
      </c>
      <c r="I1" s="50" t="s">
        <v>228</v>
      </c>
      <c r="J1" s="50" t="s">
        <v>1</v>
      </c>
      <c r="K1" s="50" t="s">
        <v>229</v>
      </c>
      <c r="L1" s="50" t="s">
        <v>230</v>
      </c>
      <c r="M1" s="58" t="s">
        <v>231</v>
      </c>
      <c r="O1" s="59"/>
    </row>
    <row r="2" s="44" customFormat="1" customHeight="1" spans="1:15">
      <c r="A2" s="52">
        <v>1</v>
      </c>
      <c r="B2" s="53" t="s">
        <v>232</v>
      </c>
      <c r="C2" s="54" t="s">
        <v>233</v>
      </c>
      <c r="D2" s="55">
        <v>10</v>
      </c>
      <c r="E2" s="55"/>
      <c r="F2" s="55"/>
      <c r="G2" s="55"/>
      <c r="H2" s="55"/>
      <c r="I2" s="55"/>
      <c r="J2" s="55"/>
      <c r="K2" s="55">
        <f>E2*J2</f>
        <v>0</v>
      </c>
      <c r="L2" s="55">
        <f>F2*K2</f>
        <v>0</v>
      </c>
      <c r="M2" s="60">
        <f>K2+L2</f>
        <v>0</v>
      </c>
      <c r="O2" s="46"/>
    </row>
    <row r="3" s="44" customFormat="1" customHeight="1" spans="1:15">
      <c r="A3" s="52">
        <v>2</v>
      </c>
      <c r="B3" s="53" t="s">
        <v>232</v>
      </c>
      <c r="C3" s="54" t="s">
        <v>234</v>
      </c>
      <c r="D3" s="55">
        <v>20</v>
      </c>
      <c r="E3" s="55"/>
      <c r="F3" s="55"/>
      <c r="G3" s="55"/>
      <c r="H3" s="55"/>
      <c r="I3" s="55"/>
      <c r="J3" s="55"/>
      <c r="K3" s="55"/>
      <c r="L3" s="55"/>
      <c r="M3" s="60"/>
      <c r="O3" s="46"/>
    </row>
    <row r="4" s="44" customFormat="1" customHeight="1" spans="1:15">
      <c r="A4" s="52">
        <v>3</v>
      </c>
      <c r="B4" s="53" t="s">
        <v>232</v>
      </c>
      <c r="C4" s="54" t="s">
        <v>194</v>
      </c>
      <c r="D4" s="55">
        <v>5</v>
      </c>
      <c r="E4" s="55"/>
      <c r="F4" s="55"/>
      <c r="G4" s="55"/>
      <c r="H4" s="55"/>
      <c r="I4" s="55"/>
      <c r="J4" s="55"/>
      <c r="K4" s="55"/>
      <c r="L4" s="55"/>
      <c r="M4" s="60"/>
      <c r="O4" s="46"/>
    </row>
    <row r="5" customHeight="1" spans="1:13">
      <c r="A5" s="52">
        <v>4</v>
      </c>
      <c r="B5" s="53" t="s">
        <v>235</v>
      </c>
      <c r="C5" s="54" t="s">
        <v>236</v>
      </c>
      <c r="D5" s="55">
        <v>15</v>
      </c>
      <c r="E5" s="55"/>
      <c r="F5" s="55"/>
      <c r="G5" s="55"/>
      <c r="H5" s="55"/>
      <c r="I5" s="55"/>
      <c r="J5" s="55"/>
      <c r="K5" s="55"/>
      <c r="L5" s="55"/>
      <c r="M5" s="60"/>
    </row>
    <row r="6" customHeight="1" spans="1:13">
      <c r="A6" s="52">
        <v>5</v>
      </c>
      <c r="B6" s="53" t="s">
        <v>235</v>
      </c>
      <c r="C6" s="54" t="s">
        <v>237</v>
      </c>
      <c r="D6" s="55">
        <v>30</v>
      </c>
      <c r="E6" s="55"/>
      <c r="F6" s="55"/>
      <c r="G6" s="55"/>
      <c r="H6" s="55"/>
      <c r="I6" s="55"/>
      <c r="J6" s="55"/>
      <c r="K6" s="55"/>
      <c r="L6" s="55"/>
      <c r="M6" s="60"/>
    </row>
    <row r="7" customHeight="1" spans="1:13">
      <c r="A7" s="52">
        <v>6</v>
      </c>
      <c r="B7" s="53" t="s">
        <v>238</v>
      </c>
      <c r="C7" s="54" t="s">
        <v>239</v>
      </c>
      <c r="D7" s="55">
        <v>20</v>
      </c>
      <c r="E7" s="55"/>
      <c r="F7" s="55"/>
      <c r="G7" s="55"/>
      <c r="H7" s="55"/>
      <c r="I7" s="55"/>
      <c r="J7" s="55"/>
      <c r="K7" s="55"/>
      <c r="L7" s="55"/>
      <c r="M7" s="60"/>
    </row>
    <row r="8" customHeight="1" spans="1:13">
      <c r="A8" s="52">
        <v>7</v>
      </c>
      <c r="B8" s="53"/>
      <c r="C8" s="56"/>
      <c r="D8" s="55"/>
      <c r="E8" s="55"/>
      <c r="F8" s="55"/>
      <c r="G8" s="55"/>
      <c r="H8" s="55"/>
      <c r="I8" s="55"/>
      <c r="J8" s="55"/>
      <c r="K8" s="55"/>
      <c r="L8" s="55"/>
      <c r="M8" s="60"/>
    </row>
    <row r="9" customHeight="1" spans="1:13">
      <c r="A9" s="52">
        <v>8</v>
      </c>
      <c r="B9" s="53"/>
      <c r="C9" s="56"/>
      <c r="D9" s="57"/>
      <c r="E9" s="55"/>
      <c r="F9" s="55"/>
      <c r="G9" s="55"/>
      <c r="H9" s="55"/>
      <c r="I9" s="55"/>
      <c r="J9" s="55"/>
      <c r="K9" s="55"/>
      <c r="L9" s="55"/>
      <c r="M9" s="60"/>
    </row>
    <row r="10" customHeight="1" spans="1:13">
      <c r="A10" s="52">
        <v>9</v>
      </c>
      <c r="B10" s="53"/>
      <c r="C10" s="56"/>
      <c r="D10" s="57"/>
      <c r="E10" s="55"/>
      <c r="F10" s="55"/>
      <c r="G10" s="55"/>
      <c r="H10" s="55"/>
      <c r="I10" s="55"/>
      <c r="J10" s="55"/>
      <c r="K10" s="55"/>
      <c r="L10" s="55"/>
      <c r="M10" s="60"/>
    </row>
    <row r="11" customHeight="1" spans="1:13">
      <c r="A11" s="52">
        <v>10</v>
      </c>
      <c r="B11" s="53"/>
      <c r="C11" s="56"/>
      <c r="D11" s="57"/>
      <c r="E11" s="55"/>
      <c r="F11" s="55"/>
      <c r="G11" s="55"/>
      <c r="H11" s="55"/>
      <c r="I11" s="55"/>
      <c r="J11" s="55"/>
      <c r="K11" s="55"/>
      <c r="L11" s="55"/>
      <c r="M11" s="60"/>
    </row>
    <row r="12" customHeight="1" spans="1:13">
      <c r="A12" s="52">
        <v>11</v>
      </c>
      <c r="B12" s="53"/>
      <c r="C12" s="56"/>
      <c r="D12" s="55"/>
      <c r="E12" s="55"/>
      <c r="F12" s="55"/>
      <c r="G12" s="55"/>
      <c r="H12" s="55"/>
      <c r="I12" s="55"/>
      <c r="J12" s="55"/>
      <c r="K12" s="55"/>
      <c r="L12" s="55"/>
      <c r="M12" s="60"/>
    </row>
    <row r="13" customHeight="1" spans="1:13">
      <c r="A13" s="52">
        <v>12</v>
      </c>
      <c r="B13" s="53"/>
      <c r="C13" s="56"/>
      <c r="D13" s="55"/>
      <c r="E13" s="55"/>
      <c r="F13" s="55"/>
      <c r="G13" s="55"/>
      <c r="H13" s="55"/>
      <c r="I13" s="55"/>
      <c r="J13" s="55"/>
      <c r="K13" s="55"/>
      <c r="L13" s="55"/>
      <c r="M13" s="60"/>
    </row>
    <row r="14" customHeight="1" spans="1:13">
      <c r="A14" s="52">
        <v>13</v>
      </c>
      <c r="B14" s="53"/>
      <c r="C14" s="56"/>
      <c r="D14" s="55"/>
      <c r="E14" s="55"/>
      <c r="F14" s="55"/>
      <c r="G14" s="55"/>
      <c r="H14" s="55"/>
      <c r="I14" s="55"/>
      <c r="J14" s="55"/>
      <c r="K14" s="55"/>
      <c r="L14" s="55"/>
      <c r="M14" s="60"/>
    </row>
    <row r="15" customHeight="1" spans="1:13">
      <c r="A15" s="52">
        <v>14</v>
      </c>
      <c r="B15" s="53"/>
      <c r="C15" s="56"/>
      <c r="D15" s="55"/>
      <c r="E15" s="55"/>
      <c r="F15" s="55"/>
      <c r="G15" s="55"/>
      <c r="H15" s="55"/>
      <c r="I15" s="55"/>
      <c r="J15" s="55"/>
      <c r="K15" s="55"/>
      <c r="L15" s="55"/>
      <c r="M15" s="60"/>
    </row>
    <row r="16" customHeight="1" spans="1:13">
      <c r="A16" s="52">
        <v>15</v>
      </c>
      <c r="B16" s="53"/>
      <c r="C16" s="56"/>
      <c r="D16" s="55"/>
      <c r="E16" s="55"/>
      <c r="F16" s="55"/>
      <c r="G16" s="55"/>
      <c r="H16" s="55"/>
      <c r="I16" s="55"/>
      <c r="J16" s="55"/>
      <c r="K16" s="55"/>
      <c r="L16" s="55"/>
      <c r="M16" s="60"/>
    </row>
    <row r="17" customHeight="1" spans="1:13">
      <c r="A17" s="52">
        <v>16</v>
      </c>
      <c r="B17" s="53"/>
      <c r="C17" s="56"/>
      <c r="D17" s="55"/>
      <c r="E17" s="55"/>
      <c r="F17" s="55"/>
      <c r="G17" s="55"/>
      <c r="H17" s="55"/>
      <c r="I17" s="55"/>
      <c r="J17" s="55"/>
      <c r="K17" s="55"/>
      <c r="L17" s="55"/>
      <c r="M17" s="60"/>
    </row>
    <row r="18" customHeight="1" spans="1:13">
      <c r="A18" s="52">
        <v>17</v>
      </c>
      <c r="B18" s="53"/>
      <c r="C18" s="56"/>
      <c r="D18" s="55"/>
      <c r="E18" s="55"/>
      <c r="F18" s="55"/>
      <c r="G18" s="55"/>
      <c r="H18" s="55"/>
      <c r="I18" s="55"/>
      <c r="J18" s="55"/>
      <c r="K18" s="55"/>
      <c r="L18" s="55"/>
      <c r="M18" s="61"/>
    </row>
    <row r="19" customHeight="1" spans="1:13">
      <c r="A19" s="52">
        <v>18</v>
      </c>
      <c r="B19" s="53"/>
      <c r="C19" s="56"/>
      <c r="D19" s="55"/>
      <c r="E19" s="55"/>
      <c r="F19" s="55"/>
      <c r="G19" s="55"/>
      <c r="H19" s="55"/>
      <c r="I19" s="55"/>
      <c r="J19" s="55"/>
      <c r="K19" s="55"/>
      <c r="L19" s="55"/>
      <c r="M19" s="61"/>
    </row>
    <row r="20" customHeight="1" spans="1:13">
      <c r="A20" s="52">
        <v>19</v>
      </c>
      <c r="B20" s="53"/>
      <c r="C20" s="56"/>
      <c r="D20" s="55"/>
      <c r="E20" s="55"/>
      <c r="F20" s="55"/>
      <c r="G20" s="55"/>
      <c r="H20" s="55"/>
      <c r="I20" s="55"/>
      <c r="J20" s="55"/>
      <c r="K20" s="55"/>
      <c r="L20" s="55"/>
      <c r="M20" s="61"/>
    </row>
    <row r="21" customHeight="1" spans="1:13">
      <c r="A21" s="52">
        <v>20</v>
      </c>
      <c r="B21" s="53"/>
      <c r="C21" s="56"/>
      <c r="D21" s="55"/>
      <c r="E21" s="55"/>
      <c r="F21" s="55"/>
      <c r="G21" s="55"/>
      <c r="H21" s="55"/>
      <c r="I21" s="55"/>
      <c r="J21" s="55"/>
      <c r="K21" s="55"/>
      <c r="L21" s="55"/>
      <c r="M21" s="61"/>
    </row>
    <row r="22" customHeight="1" spans="1:13">
      <c r="A22" s="52">
        <v>21</v>
      </c>
      <c r="B22" s="53"/>
      <c r="C22" s="56"/>
      <c r="D22" s="55"/>
      <c r="E22" s="55"/>
      <c r="F22" s="55"/>
      <c r="G22" s="55"/>
      <c r="H22" s="55"/>
      <c r="I22" s="55"/>
      <c r="J22" s="55"/>
      <c r="K22" s="55"/>
      <c r="L22" s="55"/>
      <c r="M22" s="61"/>
    </row>
    <row r="23" customHeight="1" spans="1:13">
      <c r="A23" s="52">
        <v>22</v>
      </c>
      <c r="B23" s="53"/>
      <c r="C23" s="56"/>
      <c r="D23" s="55"/>
      <c r="E23" s="55"/>
      <c r="F23" s="55"/>
      <c r="G23" s="55"/>
      <c r="H23" s="55"/>
      <c r="I23" s="55"/>
      <c r="J23" s="55"/>
      <c r="K23" s="55"/>
      <c r="L23" s="55"/>
      <c r="M23" s="61"/>
    </row>
    <row r="24" customHeight="1" spans="1:13">
      <c r="A24" s="52">
        <v>23</v>
      </c>
      <c r="B24" s="53"/>
      <c r="C24" s="56"/>
      <c r="D24" s="55"/>
      <c r="E24" s="55"/>
      <c r="F24" s="55"/>
      <c r="G24" s="55"/>
      <c r="H24" s="55"/>
      <c r="I24" s="55"/>
      <c r="J24" s="55"/>
      <c r="K24" s="55"/>
      <c r="L24" s="55"/>
      <c r="M24" s="61"/>
    </row>
    <row r="25" customHeight="1" spans="1:13">
      <c r="A25" s="52">
        <v>24</v>
      </c>
      <c r="B25" s="53"/>
      <c r="C25" s="56"/>
      <c r="D25" s="55"/>
      <c r="E25" s="55"/>
      <c r="F25" s="55"/>
      <c r="G25" s="55"/>
      <c r="H25" s="55"/>
      <c r="I25" s="55"/>
      <c r="J25" s="55"/>
      <c r="K25" s="55"/>
      <c r="L25" s="55"/>
      <c r="M25" s="61"/>
    </row>
    <row r="26" customHeight="1" spans="1:13">
      <c r="A26" s="52">
        <v>25</v>
      </c>
      <c r="B26" s="53"/>
      <c r="C26" s="56"/>
      <c r="D26" s="55"/>
      <c r="E26" s="55"/>
      <c r="F26" s="55"/>
      <c r="G26" s="55"/>
      <c r="H26" s="55"/>
      <c r="I26" s="55"/>
      <c r="J26" s="55"/>
      <c r="K26" s="55"/>
      <c r="L26" s="55"/>
      <c r="M26" s="61"/>
    </row>
    <row r="27" customHeight="1" spans="1:13">
      <c r="A27" s="52">
        <v>26</v>
      </c>
      <c r="B27" s="53"/>
      <c r="C27" s="56"/>
      <c r="D27" s="55"/>
      <c r="E27" s="55"/>
      <c r="F27" s="55"/>
      <c r="G27" s="55"/>
      <c r="H27" s="55"/>
      <c r="I27" s="55"/>
      <c r="J27" s="55"/>
      <c r="K27" s="55"/>
      <c r="L27" s="55"/>
      <c r="M27" s="61"/>
    </row>
    <row r="28" customHeight="1" spans="1:13">
      <c r="A28" s="52">
        <v>27</v>
      </c>
      <c r="B28" s="53"/>
      <c r="C28" s="56"/>
      <c r="D28" s="55"/>
      <c r="E28" s="55"/>
      <c r="F28" s="55"/>
      <c r="G28" s="55"/>
      <c r="H28" s="55"/>
      <c r="I28" s="55"/>
      <c r="J28" s="55"/>
      <c r="K28" s="55"/>
      <c r="L28" s="55"/>
      <c r="M28" s="61"/>
    </row>
    <row r="29" customHeight="1" spans="1:13">
      <c r="A29" s="52">
        <v>28</v>
      </c>
      <c r="B29" s="53"/>
      <c r="C29" s="56"/>
      <c r="D29" s="55"/>
      <c r="E29" s="55"/>
      <c r="F29" s="55"/>
      <c r="G29" s="55"/>
      <c r="H29" s="55"/>
      <c r="I29" s="55"/>
      <c r="J29" s="55"/>
      <c r="K29" s="55"/>
      <c r="L29" s="55"/>
      <c r="M29" s="61"/>
    </row>
    <row r="30" customHeight="1" spans="1:13">
      <c r="A30" s="52">
        <v>29</v>
      </c>
      <c r="B30" s="53"/>
      <c r="C30" s="56"/>
      <c r="D30" s="55"/>
      <c r="E30" s="55"/>
      <c r="F30" s="55"/>
      <c r="G30" s="55"/>
      <c r="H30" s="55"/>
      <c r="I30" s="55"/>
      <c r="J30" s="55"/>
      <c r="K30" s="55"/>
      <c r="L30" s="55"/>
      <c r="M30" s="61"/>
    </row>
    <row r="31" customHeight="1" spans="1:13">
      <c r="A31" s="52">
        <v>30</v>
      </c>
      <c r="B31" s="53"/>
      <c r="C31" s="56"/>
      <c r="D31" s="55"/>
      <c r="E31" s="55"/>
      <c r="F31" s="55"/>
      <c r="G31" s="55"/>
      <c r="H31" s="55"/>
      <c r="I31" s="55"/>
      <c r="J31" s="55"/>
      <c r="K31" s="55"/>
      <c r="L31" s="55"/>
      <c r="M31" s="61"/>
    </row>
    <row r="32" s="44" customFormat="1" customHeight="1" spans="1:15">
      <c r="A32" s="52">
        <v>31</v>
      </c>
      <c r="B32" s="53"/>
      <c r="C32" s="56"/>
      <c r="D32" s="55"/>
      <c r="E32" s="55"/>
      <c r="F32" s="55"/>
      <c r="G32" s="55"/>
      <c r="H32" s="55"/>
      <c r="I32" s="55"/>
      <c r="J32" s="55"/>
      <c r="K32" s="55"/>
      <c r="L32" s="55"/>
      <c r="M32" s="61"/>
      <c r="O32" s="46"/>
    </row>
    <row r="33" s="44" customFormat="1" customHeight="1" spans="1:15">
      <c r="A33" s="52">
        <v>32</v>
      </c>
      <c r="B33" s="53"/>
      <c r="C33" s="56"/>
      <c r="D33" s="55"/>
      <c r="E33" s="55"/>
      <c r="F33" s="55"/>
      <c r="G33" s="55"/>
      <c r="H33" s="55"/>
      <c r="I33" s="55"/>
      <c r="J33" s="55"/>
      <c r="K33" s="55"/>
      <c r="L33" s="55"/>
      <c r="M33" s="61"/>
      <c r="O33" s="46"/>
    </row>
    <row r="34" s="44" customFormat="1" customHeight="1" spans="1:15">
      <c r="A34" s="52">
        <v>33</v>
      </c>
      <c r="B34" s="53"/>
      <c r="C34" s="56"/>
      <c r="D34" s="55"/>
      <c r="E34" s="55"/>
      <c r="F34" s="55"/>
      <c r="G34" s="55"/>
      <c r="H34" s="55"/>
      <c r="I34" s="55"/>
      <c r="J34" s="55"/>
      <c r="K34" s="55"/>
      <c r="L34" s="55"/>
      <c r="M34" s="61"/>
      <c r="O34" s="46"/>
    </row>
    <row r="35" s="44" customFormat="1" customHeight="1" spans="1:15">
      <c r="A35" s="52">
        <v>34</v>
      </c>
      <c r="B35" s="53"/>
      <c r="C35" s="56"/>
      <c r="D35" s="55"/>
      <c r="E35" s="55"/>
      <c r="F35" s="55"/>
      <c r="G35" s="55"/>
      <c r="H35" s="55"/>
      <c r="I35" s="55"/>
      <c r="J35" s="55"/>
      <c r="K35" s="55"/>
      <c r="L35" s="55"/>
      <c r="M35" s="61"/>
      <c r="O35" s="46"/>
    </row>
    <row r="36" s="44" customFormat="1" customHeight="1" spans="1:15">
      <c r="A36" s="52">
        <v>35</v>
      </c>
      <c r="B36" s="53"/>
      <c r="C36" s="56"/>
      <c r="D36" s="55"/>
      <c r="E36" s="55"/>
      <c r="F36" s="55"/>
      <c r="G36" s="55"/>
      <c r="H36" s="55"/>
      <c r="I36" s="55"/>
      <c r="J36" s="55"/>
      <c r="K36" s="55"/>
      <c r="L36" s="55"/>
      <c r="M36" s="61"/>
      <c r="O36" s="46"/>
    </row>
    <row r="37" s="44" customFormat="1" customHeight="1" spans="1:15">
      <c r="A37" s="52">
        <v>36</v>
      </c>
      <c r="B37" s="53"/>
      <c r="C37" s="56"/>
      <c r="D37" s="55"/>
      <c r="E37" s="55"/>
      <c r="F37" s="55"/>
      <c r="G37" s="55"/>
      <c r="H37" s="55"/>
      <c r="I37" s="55"/>
      <c r="J37" s="55"/>
      <c r="K37" s="55"/>
      <c r="L37" s="55"/>
      <c r="M37" s="61"/>
      <c r="O37" s="46"/>
    </row>
    <row r="38" s="44" customFormat="1" customHeight="1" spans="1:15">
      <c r="A38" s="52">
        <v>37</v>
      </c>
      <c r="B38" s="53"/>
      <c r="C38" s="56"/>
      <c r="D38" s="55"/>
      <c r="E38" s="55"/>
      <c r="F38" s="55"/>
      <c r="G38" s="55"/>
      <c r="H38" s="55"/>
      <c r="I38" s="55"/>
      <c r="J38" s="55"/>
      <c r="K38" s="55"/>
      <c r="L38" s="55"/>
      <c r="M38" s="61"/>
      <c r="O38" s="46"/>
    </row>
    <row r="39" s="44" customFormat="1" customHeight="1" spans="1:15">
      <c r="A39" s="52">
        <v>38</v>
      </c>
      <c r="B39" s="53"/>
      <c r="C39" s="56"/>
      <c r="D39" s="55"/>
      <c r="E39" s="55"/>
      <c r="F39" s="55"/>
      <c r="G39" s="55"/>
      <c r="H39" s="55"/>
      <c r="I39" s="55"/>
      <c r="J39" s="55"/>
      <c r="K39" s="55"/>
      <c r="L39" s="55"/>
      <c r="M39" s="61"/>
      <c r="O39" s="46"/>
    </row>
    <row r="40" s="44" customFormat="1" customHeight="1" spans="1:15">
      <c r="A40" s="52">
        <v>39</v>
      </c>
      <c r="B40" s="53"/>
      <c r="C40" s="56"/>
      <c r="D40" s="55"/>
      <c r="E40" s="55"/>
      <c r="F40" s="55"/>
      <c r="G40" s="55"/>
      <c r="H40" s="55"/>
      <c r="I40" s="55"/>
      <c r="J40" s="55"/>
      <c r="K40" s="55"/>
      <c r="L40" s="55"/>
      <c r="M40" s="61"/>
      <c r="O40" s="46"/>
    </row>
    <row r="41" s="44" customFormat="1" customHeight="1" spans="1:15">
      <c r="A41" s="52">
        <v>40</v>
      </c>
      <c r="B41" s="53"/>
      <c r="C41" s="56"/>
      <c r="D41" s="55"/>
      <c r="E41" s="55"/>
      <c r="F41" s="55"/>
      <c r="G41" s="55"/>
      <c r="H41" s="55"/>
      <c r="I41" s="55"/>
      <c r="J41" s="55"/>
      <c r="K41" s="55"/>
      <c r="L41" s="55"/>
      <c r="M41" s="61"/>
      <c r="O41" s="46"/>
    </row>
    <row r="42" s="44" customFormat="1" customHeight="1" spans="1:15">
      <c r="A42" s="52">
        <v>41</v>
      </c>
      <c r="B42" s="53"/>
      <c r="C42" s="56"/>
      <c r="D42" s="55"/>
      <c r="E42" s="55"/>
      <c r="F42" s="55"/>
      <c r="G42" s="55"/>
      <c r="H42" s="55"/>
      <c r="I42" s="55"/>
      <c r="J42" s="55"/>
      <c r="K42" s="55"/>
      <c r="L42" s="55"/>
      <c r="M42" s="61"/>
      <c r="O42" s="46"/>
    </row>
    <row r="43" s="44" customFormat="1" customHeight="1" spans="1:15">
      <c r="A43" s="52">
        <v>42</v>
      </c>
      <c r="B43" s="53"/>
      <c r="C43" s="56"/>
      <c r="D43" s="55"/>
      <c r="E43" s="55"/>
      <c r="F43" s="55"/>
      <c r="G43" s="55"/>
      <c r="H43" s="55"/>
      <c r="I43" s="55"/>
      <c r="J43" s="55"/>
      <c r="K43" s="55"/>
      <c r="L43" s="55"/>
      <c r="M43" s="61"/>
      <c r="O43" s="46"/>
    </row>
    <row r="44" s="44" customFormat="1" customHeight="1" spans="1:15">
      <c r="A44" s="52">
        <v>43</v>
      </c>
      <c r="B44" s="53"/>
      <c r="C44" s="56"/>
      <c r="D44" s="55"/>
      <c r="E44" s="55"/>
      <c r="F44" s="55"/>
      <c r="G44" s="55"/>
      <c r="H44" s="55"/>
      <c r="I44" s="55"/>
      <c r="J44" s="55"/>
      <c r="K44" s="55"/>
      <c r="L44" s="55"/>
      <c r="M44" s="61"/>
      <c r="O44" s="46"/>
    </row>
    <row r="45" s="44" customFormat="1" customHeight="1" spans="1:15">
      <c r="A45" s="52">
        <v>44</v>
      </c>
      <c r="B45" s="53"/>
      <c r="C45" s="56"/>
      <c r="D45" s="55"/>
      <c r="E45" s="55"/>
      <c r="F45" s="55"/>
      <c r="G45" s="55"/>
      <c r="H45" s="55"/>
      <c r="I45" s="55"/>
      <c r="J45" s="55"/>
      <c r="K45" s="55"/>
      <c r="L45" s="55"/>
      <c r="M45" s="61"/>
      <c r="O45" s="46"/>
    </row>
    <row r="46" s="44" customFormat="1" customHeight="1" spans="1:15">
      <c r="A46" s="52">
        <v>45</v>
      </c>
      <c r="B46" s="53"/>
      <c r="C46" s="56"/>
      <c r="D46" s="55"/>
      <c r="E46" s="55"/>
      <c r="F46" s="55"/>
      <c r="G46" s="55"/>
      <c r="H46" s="55"/>
      <c r="I46" s="55"/>
      <c r="J46" s="55"/>
      <c r="K46" s="55"/>
      <c r="L46" s="55"/>
      <c r="M46" s="61"/>
      <c r="O46" s="46"/>
    </row>
    <row r="47" s="44" customFormat="1" customHeight="1" spans="1:15">
      <c r="A47" s="52">
        <v>46</v>
      </c>
      <c r="B47" s="53"/>
      <c r="C47" s="56"/>
      <c r="D47" s="55"/>
      <c r="E47" s="55"/>
      <c r="F47" s="55"/>
      <c r="G47" s="55"/>
      <c r="H47" s="55"/>
      <c r="I47" s="55"/>
      <c r="J47" s="55"/>
      <c r="K47" s="55"/>
      <c r="L47" s="55"/>
      <c r="M47" s="61"/>
      <c r="O47" s="46"/>
    </row>
    <row r="48" s="44" customFormat="1" customHeight="1" spans="1:15">
      <c r="A48" s="52">
        <v>47</v>
      </c>
      <c r="B48" s="53"/>
      <c r="C48" s="56"/>
      <c r="D48" s="55"/>
      <c r="E48" s="55"/>
      <c r="F48" s="55"/>
      <c r="G48" s="55"/>
      <c r="H48" s="55"/>
      <c r="I48" s="55"/>
      <c r="J48" s="55"/>
      <c r="K48" s="55"/>
      <c r="L48" s="55"/>
      <c r="M48" s="61"/>
      <c r="O48" s="46"/>
    </row>
    <row r="49" s="44" customFormat="1" customHeight="1" spans="1:15">
      <c r="A49" s="52">
        <v>48</v>
      </c>
      <c r="B49" s="53"/>
      <c r="C49" s="56"/>
      <c r="D49" s="55"/>
      <c r="E49" s="55"/>
      <c r="F49" s="55"/>
      <c r="G49" s="55"/>
      <c r="H49" s="55"/>
      <c r="I49" s="55"/>
      <c r="J49" s="55"/>
      <c r="K49" s="55"/>
      <c r="L49" s="55"/>
      <c r="M49" s="61"/>
      <c r="O49" s="46"/>
    </row>
    <row r="50" s="44" customFormat="1" customHeight="1" spans="1:15">
      <c r="A50" s="52">
        <v>49</v>
      </c>
      <c r="B50" s="53"/>
      <c r="C50" s="56"/>
      <c r="D50" s="55"/>
      <c r="E50" s="55"/>
      <c r="F50" s="55"/>
      <c r="G50" s="55"/>
      <c r="H50" s="55"/>
      <c r="I50" s="55"/>
      <c r="J50" s="55"/>
      <c r="K50" s="55"/>
      <c r="L50" s="55"/>
      <c r="M50" s="61"/>
      <c r="O50" s="46"/>
    </row>
    <row r="51" s="44" customFormat="1" customHeight="1" spans="1:15">
      <c r="A51" s="52">
        <v>50</v>
      </c>
      <c r="B51" s="53"/>
      <c r="C51" s="56"/>
      <c r="D51" s="55"/>
      <c r="E51" s="55"/>
      <c r="F51" s="55"/>
      <c r="G51" s="55"/>
      <c r="H51" s="55"/>
      <c r="I51" s="55"/>
      <c r="J51" s="55"/>
      <c r="K51" s="55"/>
      <c r="L51" s="55"/>
      <c r="M51" s="61"/>
      <c r="O51" s="46"/>
    </row>
    <row r="52" s="44" customFormat="1" customHeight="1" spans="1:15">
      <c r="A52" s="52">
        <v>51</v>
      </c>
      <c r="B52" s="53"/>
      <c r="C52" s="56"/>
      <c r="D52" s="55"/>
      <c r="E52" s="55"/>
      <c r="F52" s="55"/>
      <c r="G52" s="55"/>
      <c r="H52" s="55"/>
      <c r="I52" s="55"/>
      <c r="J52" s="55"/>
      <c r="K52" s="55"/>
      <c r="L52" s="55"/>
      <c r="M52" s="61"/>
      <c r="O52" s="46"/>
    </row>
    <row r="53" s="44" customFormat="1" customHeight="1" spans="1:15">
      <c r="A53" s="52">
        <v>52</v>
      </c>
      <c r="B53" s="53"/>
      <c r="C53" s="56"/>
      <c r="D53" s="55"/>
      <c r="E53" s="55"/>
      <c r="F53" s="55"/>
      <c r="G53" s="55"/>
      <c r="H53" s="55"/>
      <c r="I53" s="55"/>
      <c r="J53" s="55"/>
      <c r="K53" s="55"/>
      <c r="L53" s="55"/>
      <c r="M53" s="61"/>
      <c r="O53" s="46"/>
    </row>
    <row r="54" s="44" customFormat="1" customHeight="1" spans="1:15">
      <c r="A54" s="52">
        <v>53</v>
      </c>
      <c r="B54" s="53"/>
      <c r="C54" s="56"/>
      <c r="D54" s="55"/>
      <c r="E54" s="55"/>
      <c r="F54" s="55"/>
      <c r="G54" s="55"/>
      <c r="H54" s="55"/>
      <c r="I54" s="55"/>
      <c r="J54" s="55"/>
      <c r="K54" s="55"/>
      <c r="L54" s="55"/>
      <c r="M54" s="61"/>
      <c r="O54" s="46"/>
    </row>
    <row r="55" s="44" customFormat="1" customHeight="1" spans="1:15">
      <c r="A55" s="52">
        <v>54</v>
      </c>
      <c r="B55" s="53"/>
      <c r="C55" s="56"/>
      <c r="D55" s="55"/>
      <c r="E55" s="55"/>
      <c r="F55" s="55"/>
      <c r="G55" s="55"/>
      <c r="H55" s="55"/>
      <c r="I55" s="55"/>
      <c r="J55" s="55"/>
      <c r="K55" s="55"/>
      <c r="L55" s="55"/>
      <c r="M55" s="61"/>
      <c r="O55" s="46"/>
    </row>
    <row r="56" s="44" customFormat="1" customHeight="1" spans="1:15">
      <c r="A56" s="52">
        <v>55</v>
      </c>
      <c r="B56" s="53"/>
      <c r="C56" s="56"/>
      <c r="D56" s="55"/>
      <c r="E56" s="55"/>
      <c r="F56" s="55"/>
      <c r="G56" s="55"/>
      <c r="H56" s="55"/>
      <c r="I56" s="55"/>
      <c r="J56" s="55"/>
      <c r="K56" s="55"/>
      <c r="L56" s="55"/>
      <c r="M56" s="61"/>
      <c r="O56" s="46"/>
    </row>
    <row r="57" s="44" customFormat="1" customHeight="1" spans="1:15">
      <c r="A57" s="52">
        <v>56</v>
      </c>
      <c r="B57" s="53"/>
      <c r="C57" s="56"/>
      <c r="D57" s="55"/>
      <c r="E57" s="55"/>
      <c r="F57" s="55"/>
      <c r="G57" s="55"/>
      <c r="H57" s="55"/>
      <c r="I57" s="55"/>
      <c r="J57" s="55"/>
      <c r="K57" s="55"/>
      <c r="L57" s="55"/>
      <c r="M57" s="61"/>
      <c r="O57" s="46"/>
    </row>
    <row r="58" s="44" customFormat="1" customHeight="1" spans="1:15">
      <c r="A58" s="52">
        <v>57</v>
      </c>
      <c r="B58" s="53"/>
      <c r="C58" s="56"/>
      <c r="D58" s="55"/>
      <c r="E58" s="55"/>
      <c r="F58" s="55"/>
      <c r="G58" s="55"/>
      <c r="H58" s="55"/>
      <c r="I58" s="55"/>
      <c r="J58" s="55"/>
      <c r="K58" s="55"/>
      <c r="L58" s="55"/>
      <c r="M58" s="61"/>
      <c r="O58" s="46"/>
    </row>
    <row r="59" s="44" customFormat="1" customHeight="1" spans="1:15">
      <c r="A59" s="52">
        <v>58</v>
      </c>
      <c r="B59" s="53"/>
      <c r="C59" s="56"/>
      <c r="D59" s="55"/>
      <c r="E59" s="55"/>
      <c r="F59" s="55"/>
      <c r="G59" s="55"/>
      <c r="H59" s="55"/>
      <c r="I59" s="55"/>
      <c r="J59" s="55"/>
      <c r="K59" s="55"/>
      <c r="L59" s="55"/>
      <c r="M59" s="61"/>
      <c r="O59" s="46"/>
    </row>
    <row r="60" s="44" customFormat="1" customHeight="1" spans="1:15">
      <c r="A60" s="52">
        <v>59</v>
      </c>
      <c r="B60" s="53"/>
      <c r="C60" s="56"/>
      <c r="D60" s="55"/>
      <c r="E60" s="55"/>
      <c r="F60" s="55"/>
      <c r="G60" s="55"/>
      <c r="H60" s="55"/>
      <c r="I60" s="55"/>
      <c r="J60" s="55"/>
      <c r="K60" s="55"/>
      <c r="L60" s="55"/>
      <c r="M60" s="61"/>
      <c r="O60" s="46"/>
    </row>
    <row r="61" s="44" customFormat="1" customHeight="1" spans="1:15">
      <c r="A61" s="52">
        <v>60</v>
      </c>
      <c r="B61" s="53"/>
      <c r="C61" s="56"/>
      <c r="D61" s="55"/>
      <c r="E61" s="55"/>
      <c r="F61" s="55"/>
      <c r="G61" s="55"/>
      <c r="H61" s="55"/>
      <c r="I61" s="55"/>
      <c r="J61" s="55"/>
      <c r="K61" s="55"/>
      <c r="L61" s="55"/>
      <c r="M61" s="61"/>
      <c r="O61" s="46"/>
    </row>
    <row r="62" s="44" customFormat="1" customHeight="1" spans="1:15">
      <c r="A62" s="52">
        <v>61</v>
      </c>
      <c r="B62" s="53"/>
      <c r="C62" s="56"/>
      <c r="D62" s="55"/>
      <c r="E62" s="55"/>
      <c r="F62" s="55"/>
      <c r="G62" s="55"/>
      <c r="H62" s="55"/>
      <c r="I62" s="55"/>
      <c r="J62" s="55"/>
      <c r="K62" s="55"/>
      <c r="L62" s="55"/>
      <c r="M62" s="61"/>
      <c r="O62" s="46"/>
    </row>
    <row r="63" s="44" customFormat="1" customHeight="1" spans="1:15">
      <c r="A63" s="52">
        <v>62</v>
      </c>
      <c r="B63" s="53"/>
      <c r="C63" s="56"/>
      <c r="D63" s="55"/>
      <c r="E63" s="55"/>
      <c r="F63" s="55"/>
      <c r="G63" s="55"/>
      <c r="H63" s="55"/>
      <c r="I63" s="55"/>
      <c r="J63" s="55"/>
      <c r="K63" s="55"/>
      <c r="L63" s="55"/>
      <c r="M63" s="61"/>
      <c r="O63" s="46"/>
    </row>
    <row r="64" s="44" customFormat="1" customHeight="1" spans="1:15">
      <c r="A64" s="52">
        <v>63</v>
      </c>
      <c r="B64" s="53"/>
      <c r="C64" s="56"/>
      <c r="D64" s="55"/>
      <c r="E64" s="55"/>
      <c r="F64" s="55"/>
      <c r="G64" s="55"/>
      <c r="H64" s="55"/>
      <c r="I64" s="55"/>
      <c r="J64" s="55"/>
      <c r="K64" s="55"/>
      <c r="L64" s="55"/>
      <c r="M64" s="61"/>
      <c r="O64" s="46"/>
    </row>
    <row r="65" s="44" customFormat="1" customHeight="1" spans="1:15">
      <c r="A65" s="52">
        <v>64</v>
      </c>
      <c r="B65" s="53"/>
      <c r="C65" s="56"/>
      <c r="D65" s="55"/>
      <c r="E65" s="55"/>
      <c r="F65" s="55"/>
      <c r="G65" s="55"/>
      <c r="H65" s="55"/>
      <c r="I65" s="55"/>
      <c r="J65" s="55"/>
      <c r="K65" s="55"/>
      <c r="L65" s="55"/>
      <c r="M65" s="61"/>
      <c r="O65" s="46"/>
    </row>
    <row r="66" s="44" customFormat="1" customHeight="1" spans="1:15">
      <c r="A66" s="52">
        <v>65</v>
      </c>
      <c r="B66" s="53"/>
      <c r="C66" s="56"/>
      <c r="D66" s="55"/>
      <c r="E66" s="55"/>
      <c r="F66" s="55"/>
      <c r="G66" s="55"/>
      <c r="H66" s="55"/>
      <c r="I66" s="55"/>
      <c r="J66" s="55"/>
      <c r="K66" s="55"/>
      <c r="L66" s="55"/>
      <c r="M66" s="61"/>
      <c r="O66" s="46"/>
    </row>
    <row r="67" s="44" customFormat="1" customHeight="1" spans="1:15">
      <c r="A67" s="52">
        <v>66</v>
      </c>
      <c r="B67" s="53"/>
      <c r="C67" s="56"/>
      <c r="D67" s="55"/>
      <c r="E67" s="55"/>
      <c r="F67" s="55"/>
      <c r="G67" s="55"/>
      <c r="H67" s="55"/>
      <c r="I67" s="55"/>
      <c r="J67" s="55"/>
      <c r="K67" s="55"/>
      <c r="L67" s="55"/>
      <c r="M67" s="61"/>
      <c r="O67" s="46"/>
    </row>
    <row r="68" s="44" customFormat="1" customHeight="1" spans="1:15">
      <c r="A68" s="52">
        <v>67</v>
      </c>
      <c r="B68" s="53"/>
      <c r="C68" s="56"/>
      <c r="D68" s="55"/>
      <c r="E68" s="55"/>
      <c r="F68" s="55"/>
      <c r="G68" s="55"/>
      <c r="H68" s="55"/>
      <c r="I68" s="55"/>
      <c r="J68" s="55"/>
      <c r="K68" s="55"/>
      <c r="L68" s="55"/>
      <c r="M68" s="61"/>
      <c r="O68" s="46"/>
    </row>
    <row r="69" s="44" customFormat="1" customHeight="1" spans="1:15">
      <c r="A69" s="52">
        <v>68</v>
      </c>
      <c r="B69" s="53"/>
      <c r="C69" s="56"/>
      <c r="D69" s="55"/>
      <c r="E69" s="55"/>
      <c r="F69" s="55"/>
      <c r="G69" s="55"/>
      <c r="H69" s="55"/>
      <c r="I69" s="55"/>
      <c r="J69" s="55"/>
      <c r="K69" s="55"/>
      <c r="L69" s="55"/>
      <c r="M69" s="61"/>
      <c r="O69" s="46"/>
    </row>
    <row r="70" s="44" customFormat="1" customHeight="1" spans="1:15">
      <c r="A70" s="52">
        <v>69</v>
      </c>
      <c r="B70" s="53"/>
      <c r="C70" s="56"/>
      <c r="D70" s="55"/>
      <c r="E70" s="55"/>
      <c r="F70" s="55"/>
      <c r="G70" s="55"/>
      <c r="H70" s="55"/>
      <c r="I70" s="55"/>
      <c r="J70" s="55"/>
      <c r="K70" s="55"/>
      <c r="L70" s="55"/>
      <c r="M70" s="61"/>
      <c r="O70" s="46"/>
    </row>
    <row r="71" s="44" customFormat="1" customHeight="1" spans="1:15">
      <c r="A71" s="52">
        <v>70</v>
      </c>
      <c r="B71" s="53"/>
      <c r="C71" s="56"/>
      <c r="D71" s="55"/>
      <c r="E71" s="55"/>
      <c r="F71" s="55"/>
      <c r="G71" s="55"/>
      <c r="H71" s="55"/>
      <c r="I71" s="55"/>
      <c r="J71" s="55"/>
      <c r="K71" s="55"/>
      <c r="L71" s="55"/>
      <c r="M71" s="61"/>
      <c r="O71" s="46"/>
    </row>
    <row r="72" s="44" customFormat="1" customHeight="1" spans="1:15">
      <c r="A72" s="52">
        <v>71</v>
      </c>
      <c r="B72" s="53"/>
      <c r="C72" s="56"/>
      <c r="D72" s="55"/>
      <c r="E72" s="55"/>
      <c r="F72" s="55"/>
      <c r="G72" s="55"/>
      <c r="H72" s="55"/>
      <c r="I72" s="55"/>
      <c r="J72" s="55"/>
      <c r="K72" s="55"/>
      <c r="L72" s="55"/>
      <c r="M72" s="61"/>
      <c r="O72" s="46"/>
    </row>
    <row r="73" s="44" customFormat="1" customHeight="1" spans="1:15">
      <c r="A73" s="52">
        <v>72</v>
      </c>
      <c r="B73" s="53"/>
      <c r="C73" s="56"/>
      <c r="D73" s="55"/>
      <c r="E73" s="55"/>
      <c r="F73" s="55"/>
      <c r="G73" s="55"/>
      <c r="H73" s="55"/>
      <c r="I73" s="55"/>
      <c r="J73" s="55"/>
      <c r="K73" s="55"/>
      <c r="L73" s="55"/>
      <c r="M73" s="61"/>
      <c r="O73" s="46"/>
    </row>
    <row r="74" s="44" customFormat="1" customHeight="1" spans="1:15">
      <c r="A74" s="52">
        <v>73</v>
      </c>
      <c r="B74" s="53"/>
      <c r="C74" s="56"/>
      <c r="D74" s="55"/>
      <c r="E74" s="55"/>
      <c r="F74" s="55"/>
      <c r="G74" s="55"/>
      <c r="H74" s="55"/>
      <c r="I74" s="55"/>
      <c r="J74" s="55"/>
      <c r="K74" s="55"/>
      <c r="L74" s="55"/>
      <c r="M74" s="61"/>
      <c r="O74" s="46"/>
    </row>
    <row r="75" s="44" customFormat="1" customHeight="1" spans="1:15">
      <c r="A75" s="52">
        <v>74</v>
      </c>
      <c r="B75" s="53"/>
      <c r="C75" s="56"/>
      <c r="D75" s="55"/>
      <c r="E75" s="55"/>
      <c r="F75" s="55"/>
      <c r="G75" s="55"/>
      <c r="H75" s="55"/>
      <c r="I75" s="55"/>
      <c r="J75" s="55"/>
      <c r="K75" s="55"/>
      <c r="L75" s="55"/>
      <c r="M75" s="61"/>
      <c r="O75" s="46"/>
    </row>
    <row r="76" s="44" customFormat="1" customHeight="1" spans="1:15">
      <c r="A76" s="52">
        <v>75</v>
      </c>
      <c r="B76" s="53"/>
      <c r="C76" s="56"/>
      <c r="D76" s="55"/>
      <c r="E76" s="55"/>
      <c r="F76" s="55"/>
      <c r="G76" s="55"/>
      <c r="H76" s="55"/>
      <c r="I76" s="55"/>
      <c r="J76" s="55"/>
      <c r="K76" s="55"/>
      <c r="L76" s="55"/>
      <c r="M76" s="61"/>
      <c r="O76" s="46"/>
    </row>
    <row r="77" s="44" customFormat="1" customHeight="1" spans="1:15">
      <c r="A77" s="52">
        <v>76</v>
      </c>
      <c r="B77" s="53"/>
      <c r="C77" s="56"/>
      <c r="D77" s="55"/>
      <c r="E77" s="55"/>
      <c r="F77" s="55"/>
      <c r="G77" s="55"/>
      <c r="H77" s="55"/>
      <c r="I77" s="55"/>
      <c r="J77" s="55"/>
      <c r="K77" s="55"/>
      <c r="L77" s="55"/>
      <c r="M77" s="61"/>
      <c r="O77" s="46"/>
    </row>
    <row r="78" s="44" customFormat="1" customHeight="1" spans="1:15">
      <c r="A78" s="52">
        <v>77</v>
      </c>
      <c r="B78" s="53"/>
      <c r="C78" s="56"/>
      <c r="D78" s="55"/>
      <c r="E78" s="55"/>
      <c r="F78" s="55"/>
      <c r="G78" s="55"/>
      <c r="H78" s="55"/>
      <c r="I78" s="55"/>
      <c r="J78" s="55"/>
      <c r="K78" s="55"/>
      <c r="L78" s="55"/>
      <c r="M78" s="61"/>
      <c r="O78" s="46"/>
    </row>
    <row r="79" s="44" customFormat="1" customHeight="1" spans="1:15">
      <c r="A79" s="52">
        <v>78</v>
      </c>
      <c r="B79" s="53"/>
      <c r="C79" s="56"/>
      <c r="D79" s="55"/>
      <c r="E79" s="55"/>
      <c r="F79" s="55"/>
      <c r="G79" s="55"/>
      <c r="H79" s="55"/>
      <c r="I79" s="55"/>
      <c r="J79" s="55"/>
      <c r="K79" s="55"/>
      <c r="L79" s="55"/>
      <c r="M79" s="61"/>
      <c r="O79" s="46"/>
    </row>
    <row r="80" s="44" customFormat="1" customHeight="1" spans="1:15">
      <c r="A80" s="52">
        <v>79</v>
      </c>
      <c r="B80" s="53"/>
      <c r="C80" s="56"/>
      <c r="D80" s="55"/>
      <c r="E80" s="55"/>
      <c r="F80" s="55"/>
      <c r="G80" s="55"/>
      <c r="H80" s="55"/>
      <c r="I80" s="55"/>
      <c r="J80" s="55"/>
      <c r="K80" s="55"/>
      <c r="L80" s="55"/>
      <c r="M80" s="61"/>
      <c r="O80" s="46"/>
    </row>
    <row r="81" s="44" customFormat="1" customHeight="1" spans="1:15">
      <c r="A81" s="52">
        <v>80</v>
      </c>
      <c r="B81" s="53"/>
      <c r="C81" s="56"/>
      <c r="D81" s="55"/>
      <c r="E81" s="55"/>
      <c r="F81" s="55"/>
      <c r="G81" s="55"/>
      <c r="H81" s="55"/>
      <c r="I81" s="55"/>
      <c r="J81" s="55"/>
      <c r="K81" s="55"/>
      <c r="L81" s="55"/>
      <c r="M81" s="61"/>
      <c r="O81" s="46"/>
    </row>
    <row r="82" s="44" customFormat="1" customHeight="1" spans="1:15">
      <c r="A82" s="52">
        <v>81</v>
      </c>
      <c r="B82" s="53"/>
      <c r="C82" s="56"/>
      <c r="D82" s="55"/>
      <c r="E82" s="55"/>
      <c r="F82" s="55"/>
      <c r="G82" s="55"/>
      <c r="H82" s="55"/>
      <c r="I82" s="55"/>
      <c r="J82" s="55"/>
      <c r="K82" s="55"/>
      <c r="L82" s="55"/>
      <c r="M82" s="61"/>
      <c r="O82" s="46"/>
    </row>
    <row r="83" s="44" customFormat="1" customHeight="1" spans="1:15">
      <c r="A83" s="52">
        <v>82</v>
      </c>
      <c r="B83" s="53"/>
      <c r="C83" s="56"/>
      <c r="D83" s="55"/>
      <c r="E83" s="55"/>
      <c r="F83" s="55"/>
      <c r="G83" s="55"/>
      <c r="H83" s="55"/>
      <c r="I83" s="55"/>
      <c r="J83" s="55"/>
      <c r="K83" s="55"/>
      <c r="L83" s="55"/>
      <c r="M83" s="61"/>
      <c r="O83" s="46"/>
    </row>
    <row r="84" s="44" customFormat="1" customHeight="1" spans="1:15">
      <c r="A84" s="52">
        <v>83</v>
      </c>
      <c r="B84" s="53"/>
      <c r="C84" s="56"/>
      <c r="D84" s="55"/>
      <c r="E84" s="55"/>
      <c r="F84" s="55"/>
      <c r="G84" s="55"/>
      <c r="H84" s="55"/>
      <c r="I84" s="55"/>
      <c r="J84" s="55"/>
      <c r="K84" s="55"/>
      <c r="L84" s="55"/>
      <c r="M84" s="61"/>
      <c r="O84" s="46"/>
    </row>
    <row r="85" s="44" customFormat="1" customHeight="1" spans="1:15">
      <c r="A85" s="52">
        <v>84</v>
      </c>
      <c r="B85" s="53"/>
      <c r="C85" s="56"/>
      <c r="D85" s="55"/>
      <c r="E85" s="55"/>
      <c r="F85" s="55"/>
      <c r="G85" s="55"/>
      <c r="H85" s="55"/>
      <c r="I85" s="55"/>
      <c r="J85" s="55"/>
      <c r="K85" s="55"/>
      <c r="L85" s="55"/>
      <c r="M85" s="61"/>
      <c r="O85" s="46"/>
    </row>
    <row r="86" s="44" customFormat="1" customHeight="1" spans="1:15">
      <c r="A86" s="52">
        <v>85</v>
      </c>
      <c r="B86" s="53"/>
      <c r="C86" s="56"/>
      <c r="D86" s="55"/>
      <c r="E86" s="55"/>
      <c r="F86" s="55"/>
      <c r="G86" s="55"/>
      <c r="H86" s="55"/>
      <c r="I86" s="55"/>
      <c r="J86" s="55"/>
      <c r="K86" s="55"/>
      <c r="L86" s="55"/>
      <c r="M86" s="61"/>
      <c r="O86" s="46"/>
    </row>
    <row r="87" s="44" customFormat="1" customHeight="1" spans="1:15">
      <c r="A87" s="52">
        <v>86</v>
      </c>
      <c r="B87" s="53"/>
      <c r="C87" s="56"/>
      <c r="D87" s="55"/>
      <c r="E87" s="55"/>
      <c r="F87" s="55"/>
      <c r="G87" s="55"/>
      <c r="H87" s="55"/>
      <c r="I87" s="55"/>
      <c r="J87" s="55"/>
      <c r="K87" s="55"/>
      <c r="L87" s="55"/>
      <c r="M87" s="61"/>
      <c r="O87" s="46"/>
    </row>
    <row r="88" s="44" customFormat="1" customHeight="1" spans="1:15">
      <c r="A88" s="52">
        <v>87</v>
      </c>
      <c r="B88" s="53"/>
      <c r="C88" s="56"/>
      <c r="D88" s="55"/>
      <c r="E88" s="55"/>
      <c r="F88" s="55"/>
      <c r="G88" s="55"/>
      <c r="H88" s="55"/>
      <c r="I88" s="55"/>
      <c r="J88" s="55"/>
      <c r="K88" s="55"/>
      <c r="L88" s="55"/>
      <c r="M88" s="61"/>
      <c r="O88" s="46"/>
    </row>
    <row r="89" s="44" customFormat="1" customHeight="1" spans="1:15">
      <c r="A89" s="52">
        <v>88</v>
      </c>
      <c r="B89" s="53"/>
      <c r="C89" s="56"/>
      <c r="D89" s="55"/>
      <c r="E89" s="55"/>
      <c r="F89" s="55"/>
      <c r="G89" s="55"/>
      <c r="H89" s="55"/>
      <c r="I89" s="55"/>
      <c r="J89" s="55"/>
      <c r="K89" s="55"/>
      <c r="L89" s="55"/>
      <c r="M89" s="61"/>
      <c r="O89" s="46"/>
    </row>
    <row r="90" s="44" customFormat="1" customHeight="1" spans="1:15">
      <c r="A90" s="52">
        <v>89</v>
      </c>
      <c r="B90" s="53"/>
      <c r="C90" s="56"/>
      <c r="D90" s="55"/>
      <c r="E90" s="55"/>
      <c r="F90" s="55"/>
      <c r="G90" s="55"/>
      <c r="H90" s="55"/>
      <c r="I90" s="55"/>
      <c r="J90" s="55"/>
      <c r="K90" s="55"/>
      <c r="L90" s="55"/>
      <c r="M90" s="61"/>
      <c r="O90" s="46"/>
    </row>
    <row r="91" s="44" customFormat="1" customHeight="1" spans="1:15">
      <c r="A91" s="52">
        <v>90</v>
      </c>
      <c r="B91" s="53"/>
      <c r="C91" s="56"/>
      <c r="D91" s="55"/>
      <c r="E91" s="55"/>
      <c r="F91" s="55"/>
      <c r="G91" s="55"/>
      <c r="H91" s="55"/>
      <c r="I91" s="55"/>
      <c r="J91" s="55"/>
      <c r="K91" s="55"/>
      <c r="L91" s="55"/>
      <c r="M91" s="61"/>
      <c r="O91" s="46"/>
    </row>
    <row r="92" s="44" customFormat="1" customHeight="1" spans="1:15">
      <c r="A92" s="52">
        <v>91</v>
      </c>
      <c r="B92" s="53"/>
      <c r="C92" s="56"/>
      <c r="D92" s="55"/>
      <c r="E92" s="55"/>
      <c r="F92" s="55"/>
      <c r="G92" s="55"/>
      <c r="H92" s="55"/>
      <c r="I92" s="55"/>
      <c r="J92" s="55"/>
      <c r="K92" s="55"/>
      <c r="L92" s="55"/>
      <c r="M92" s="61"/>
      <c r="O92" s="46"/>
    </row>
    <row r="93" s="44" customFormat="1" customHeight="1" spans="1:15">
      <c r="A93" s="52">
        <v>92</v>
      </c>
      <c r="B93" s="53"/>
      <c r="C93" s="56"/>
      <c r="D93" s="55"/>
      <c r="E93" s="55"/>
      <c r="F93" s="55"/>
      <c r="G93" s="55"/>
      <c r="H93" s="55"/>
      <c r="I93" s="55"/>
      <c r="J93" s="55"/>
      <c r="K93" s="55"/>
      <c r="L93" s="55"/>
      <c r="M93" s="61"/>
      <c r="O93" s="46"/>
    </row>
    <row r="94" s="44" customFormat="1" customHeight="1" spans="1:15">
      <c r="A94" s="52">
        <v>93</v>
      </c>
      <c r="B94" s="53"/>
      <c r="C94" s="56"/>
      <c r="D94" s="55"/>
      <c r="E94" s="55"/>
      <c r="F94" s="55"/>
      <c r="G94" s="55"/>
      <c r="H94" s="55"/>
      <c r="I94" s="55"/>
      <c r="J94" s="55"/>
      <c r="K94" s="55"/>
      <c r="L94" s="55"/>
      <c r="M94" s="61"/>
      <c r="O94" s="46"/>
    </row>
    <row r="95" s="44" customFormat="1" customHeight="1" spans="1:15">
      <c r="A95" s="52">
        <v>94</v>
      </c>
      <c r="B95" s="53"/>
      <c r="C95" s="56"/>
      <c r="D95" s="55"/>
      <c r="E95" s="55"/>
      <c r="F95" s="55"/>
      <c r="G95" s="55"/>
      <c r="H95" s="55"/>
      <c r="I95" s="55"/>
      <c r="J95" s="55"/>
      <c r="K95" s="55"/>
      <c r="L95" s="55"/>
      <c r="M95" s="61"/>
      <c r="O95" s="46"/>
    </row>
    <row r="96" s="44" customFormat="1" customHeight="1" spans="1:15">
      <c r="A96" s="52">
        <v>95</v>
      </c>
      <c r="B96" s="53"/>
      <c r="C96" s="56"/>
      <c r="D96" s="55"/>
      <c r="E96" s="55"/>
      <c r="F96" s="55"/>
      <c r="G96" s="55"/>
      <c r="H96" s="55"/>
      <c r="I96" s="55"/>
      <c r="J96" s="55"/>
      <c r="K96" s="55"/>
      <c r="L96" s="55"/>
      <c r="M96" s="61"/>
      <c r="O96" s="46"/>
    </row>
    <row r="97" s="44" customFormat="1" customHeight="1" spans="1:15">
      <c r="A97" s="52">
        <v>96</v>
      </c>
      <c r="B97" s="53"/>
      <c r="C97" s="56"/>
      <c r="D97" s="55"/>
      <c r="E97" s="55"/>
      <c r="F97" s="55"/>
      <c r="G97" s="55"/>
      <c r="H97" s="55"/>
      <c r="I97" s="55"/>
      <c r="J97" s="55"/>
      <c r="K97" s="55"/>
      <c r="L97" s="55"/>
      <c r="M97" s="61"/>
      <c r="O97" s="46"/>
    </row>
    <row r="98" s="44" customFormat="1" customHeight="1" spans="1:15">
      <c r="A98" s="52">
        <v>97</v>
      </c>
      <c r="B98" s="53"/>
      <c r="C98" s="56"/>
      <c r="D98" s="55"/>
      <c r="E98" s="55"/>
      <c r="F98" s="55"/>
      <c r="G98" s="55"/>
      <c r="H98" s="55"/>
      <c r="I98" s="55"/>
      <c r="J98" s="55"/>
      <c r="K98" s="55"/>
      <c r="L98" s="55"/>
      <c r="M98" s="61"/>
      <c r="O98" s="46"/>
    </row>
    <row r="99" s="44" customFormat="1" customHeight="1" spans="1:15">
      <c r="A99" s="52">
        <v>98</v>
      </c>
      <c r="B99" s="53"/>
      <c r="C99" s="56"/>
      <c r="D99" s="55"/>
      <c r="E99" s="55"/>
      <c r="F99" s="55"/>
      <c r="G99" s="55"/>
      <c r="H99" s="55"/>
      <c r="I99" s="55"/>
      <c r="J99" s="55"/>
      <c r="K99" s="55"/>
      <c r="L99" s="55"/>
      <c r="M99" s="61"/>
      <c r="O99" s="46"/>
    </row>
    <row r="100" s="44" customFormat="1" customHeight="1" spans="1:15">
      <c r="A100" s="52">
        <v>99</v>
      </c>
      <c r="B100" s="53"/>
      <c r="C100" s="56"/>
      <c r="D100" s="55"/>
      <c r="E100" s="55"/>
      <c r="F100" s="55"/>
      <c r="G100" s="55"/>
      <c r="H100" s="55"/>
      <c r="I100" s="55"/>
      <c r="J100" s="55"/>
      <c r="K100" s="55"/>
      <c r="L100" s="55"/>
      <c r="M100" s="61"/>
      <c r="O100" s="46"/>
    </row>
    <row r="101" s="44" customFormat="1" customHeight="1" spans="1:15">
      <c r="A101" s="52">
        <v>100</v>
      </c>
      <c r="B101" s="53"/>
      <c r="C101" s="56"/>
      <c r="D101" s="55"/>
      <c r="E101" s="55"/>
      <c r="F101" s="55"/>
      <c r="G101" s="55"/>
      <c r="H101" s="55"/>
      <c r="I101" s="55"/>
      <c r="J101" s="55"/>
      <c r="K101" s="55"/>
      <c r="L101" s="55"/>
      <c r="M101" s="61"/>
      <c r="O101" s="46"/>
    </row>
    <row r="102" s="44" customFormat="1" customHeight="1" spans="1:15">
      <c r="A102" s="52">
        <v>101</v>
      </c>
      <c r="B102" s="53"/>
      <c r="C102" s="56"/>
      <c r="D102" s="55"/>
      <c r="E102" s="55"/>
      <c r="F102" s="55"/>
      <c r="G102" s="55"/>
      <c r="H102" s="55"/>
      <c r="I102" s="55"/>
      <c r="J102" s="55"/>
      <c r="K102" s="55"/>
      <c r="L102" s="55"/>
      <c r="M102" s="61"/>
      <c r="O102" s="46"/>
    </row>
    <row r="103" s="44" customFormat="1" customHeight="1" spans="1:15">
      <c r="A103" s="52">
        <v>102</v>
      </c>
      <c r="B103" s="53"/>
      <c r="C103" s="56"/>
      <c r="D103" s="55"/>
      <c r="E103" s="55"/>
      <c r="F103" s="55"/>
      <c r="G103" s="55"/>
      <c r="H103" s="55"/>
      <c r="I103" s="55"/>
      <c r="J103" s="55"/>
      <c r="K103" s="55"/>
      <c r="L103" s="55"/>
      <c r="M103" s="61"/>
      <c r="O103" s="46"/>
    </row>
    <row r="104" s="44" customFormat="1" customHeight="1" spans="1:15">
      <c r="A104" s="52">
        <v>103</v>
      </c>
      <c r="B104" s="53"/>
      <c r="C104" s="56"/>
      <c r="D104" s="55"/>
      <c r="E104" s="55"/>
      <c r="F104" s="55"/>
      <c r="G104" s="55"/>
      <c r="H104" s="55"/>
      <c r="I104" s="55"/>
      <c r="J104" s="55"/>
      <c r="K104" s="55"/>
      <c r="L104" s="55"/>
      <c r="M104" s="61"/>
      <c r="O104" s="46"/>
    </row>
    <row r="105" s="44" customFormat="1" customHeight="1" spans="1:15">
      <c r="A105" s="52">
        <v>104</v>
      </c>
      <c r="B105" s="53"/>
      <c r="C105" s="56"/>
      <c r="D105" s="55"/>
      <c r="E105" s="55"/>
      <c r="F105" s="55"/>
      <c r="G105" s="55"/>
      <c r="H105" s="55"/>
      <c r="I105" s="55"/>
      <c r="J105" s="55"/>
      <c r="K105" s="55"/>
      <c r="L105" s="55"/>
      <c r="M105" s="61"/>
      <c r="O105" s="46"/>
    </row>
    <row r="106" s="44" customFormat="1" customHeight="1" spans="1:15">
      <c r="A106" s="52">
        <v>105</v>
      </c>
      <c r="B106" s="53"/>
      <c r="C106" s="56"/>
      <c r="D106" s="55"/>
      <c r="E106" s="55"/>
      <c r="F106" s="55"/>
      <c r="G106" s="55"/>
      <c r="H106" s="55"/>
      <c r="I106" s="55"/>
      <c r="J106" s="55"/>
      <c r="K106" s="55"/>
      <c r="L106" s="55"/>
      <c r="M106" s="61"/>
      <c r="O106" s="46"/>
    </row>
    <row r="107" s="44" customFormat="1" customHeight="1" spans="1:15">
      <c r="A107" s="52">
        <v>106</v>
      </c>
      <c r="B107" s="53"/>
      <c r="C107" s="56"/>
      <c r="D107" s="55"/>
      <c r="E107" s="55"/>
      <c r="F107" s="55"/>
      <c r="G107" s="55"/>
      <c r="H107" s="55"/>
      <c r="I107" s="55"/>
      <c r="J107" s="55"/>
      <c r="K107" s="55"/>
      <c r="L107" s="55"/>
      <c r="M107" s="61"/>
      <c r="O107" s="46"/>
    </row>
    <row r="108" s="44" customFormat="1" customHeight="1" spans="1:15">
      <c r="A108" s="52">
        <v>107</v>
      </c>
      <c r="B108" s="53"/>
      <c r="C108" s="56"/>
      <c r="D108" s="55"/>
      <c r="E108" s="55"/>
      <c r="F108" s="55"/>
      <c r="G108" s="55"/>
      <c r="H108" s="55"/>
      <c r="I108" s="55"/>
      <c r="J108" s="55"/>
      <c r="K108" s="55"/>
      <c r="L108" s="55"/>
      <c r="M108" s="61"/>
      <c r="O108" s="46"/>
    </row>
    <row r="109" s="44" customFormat="1" customHeight="1" spans="1:15">
      <c r="A109" s="52">
        <v>108</v>
      </c>
      <c r="B109" s="53"/>
      <c r="C109" s="56"/>
      <c r="D109" s="55"/>
      <c r="E109" s="55"/>
      <c r="F109" s="55"/>
      <c r="G109" s="55"/>
      <c r="H109" s="55"/>
      <c r="I109" s="55"/>
      <c r="J109" s="55"/>
      <c r="K109" s="55"/>
      <c r="L109" s="55"/>
      <c r="M109" s="61"/>
      <c r="O109" s="46"/>
    </row>
    <row r="110" s="44" customFormat="1" customHeight="1" spans="1:15">
      <c r="A110" s="52">
        <v>109</v>
      </c>
      <c r="B110" s="53"/>
      <c r="C110" s="56"/>
      <c r="D110" s="55"/>
      <c r="E110" s="55"/>
      <c r="F110" s="55"/>
      <c r="G110" s="55"/>
      <c r="H110" s="55"/>
      <c r="I110" s="55"/>
      <c r="J110" s="55"/>
      <c r="K110" s="55"/>
      <c r="L110" s="55"/>
      <c r="M110" s="61"/>
      <c r="O110" s="46"/>
    </row>
    <row r="111" s="44" customFormat="1" customHeight="1" spans="1:15">
      <c r="A111" s="52">
        <v>110</v>
      </c>
      <c r="B111" s="53"/>
      <c r="C111" s="56"/>
      <c r="D111" s="55"/>
      <c r="E111" s="55"/>
      <c r="F111" s="55"/>
      <c r="G111" s="55"/>
      <c r="H111" s="55"/>
      <c r="I111" s="55"/>
      <c r="J111" s="55"/>
      <c r="K111" s="55"/>
      <c r="L111" s="55"/>
      <c r="M111" s="61"/>
      <c r="O111" s="46"/>
    </row>
    <row r="112" s="44" customFormat="1" customHeight="1" spans="1:15">
      <c r="A112" s="52">
        <v>111</v>
      </c>
      <c r="B112" s="53"/>
      <c r="C112" s="56"/>
      <c r="D112" s="55"/>
      <c r="E112" s="55"/>
      <c r="F112" s="55"/>
      <c r="G112" s="55"/>
      <c r="H112" s="55"/>
      <c r="I112" s="55"/>
      <c r="J112" s="55"/>
      <c r="K112" s="55"/>
      <c r="L112" s="55"/>
      <c r="M112" s="61"/>
      <c r="O112" s="46"/>
    </row>
    <row r="113" s="44" customFormat="1" customHeight="1" spans="1:15">
      <c r="A113" s="52">
        <v>112</v>
      </c>
      <c r="B113" s="53"/>
      <c r="C113" s="56"/>
      <c r="D113" s="55"/>
      <c r="E113" s="55"/>
      <c r="F113" s="55"/>
      <c r="G113" s="55"/>
      <c r="H113" s="55"/>
      <c r="I113" s="55"/>
      <c r="J113" s="55"/>
      <c r="K113" s="55"/>
      <c r="L113" s="55"/>
      <c r="M113" s="61"/>
      <c r="O113" s="46"/>
    </row>
    <row r="114" s="44" customFormat="1" customHeight="1" spans="1:15">
      <c r="A114" s="52">
        <v>113</v>
      </c>
      <c r="B114" s="53"/>
      <c r="C114" s="56"/>
      <c r="D114" s="55"/>
      <c r="E114" s="55"/>
      <c r="F114" s="55"/>
      <c r="G114" s="55"/>
      <c r="H114" s="55"/>
      <c r="I114" s="55"/>
      <c r="J114" s="55"/>
      <c r="K114" s="55"/>
      <c r="L114" s="55"/>
      <c r="M114" s="61"/>
      <c r="O114" s="46"/>
    </row>
    <row r="115" s="44" customFormat="1" customHeight="1" spans="1:15">
      <c r="A115" s="52">
        <v>114</v>
      </c>
      <c r="B115" s="53"/>
      <c r="C115" s="56"/>
      <c r="D115" s="55"/>
      <c r="E115" s="55"/>
      <c r="F115" s="55"/>
      <c r="G115" s="55"/>
      <c r="H115" s="55"/>
      <c r="I115" s="55"/>
      <c r="J115" s="55"/>
      <c r="K115" s="55"/>
      <c r="L115" s="55"/>
      <c r="M115" s="61"/>
      <c r="O115" s="46"/>
    </row>
    <row r="116" s="44" customFormat="1" customHeight="1" spans="1:15">
      <c r="A116" s="52">
        <v>115</v>
      </c>
      <c r="B116" s="53"/>
      <c r="C116" s="56"/>
      <c r="D116" s="55"/>
      <c r="E116" s="55"/>
      <c r="F116" s="55"/>
      <c r="G116" s="55"/>
      <c r="H116" s="55"/>
      <c r="I116" s="55"/>
      <c r="J116" s="55"/>
      <c r="K116" s="55"/>
      <c r="L116" s="55"/>
      <c r="M116" s="61"/>
      <c r="O116" s="46"/>
    </row>
    <row r="117" s="44" customFormat="1" customHeight="1" spans="1:15">
      <c r="A117" s="52">
        <v>116</v>
      </c>
      <c r="B117" s="53"/>
      <c r="C117" s="56"/>
      <c r="D117" s="55"/>
      <c r="E117" s="55"/>
      <c r="F117" s="55"/>
      <c r="G117" s="55"/>
      <c r="H117" s="55"/>
      <c r="I117" s="55"/>
      <c r="J117" s="55"/>
      <c r="K117" s="55"/>
      <c r="L117" s="55"/>
      <c r="M117" s="61"/>
      <c r="O117" s="46"/>
    </row>
    <row r="118" s="44" customFormat="1" customHeight="1" spans="1:15">
      <c r="A118" s="52">
        <v>117</v>
      </c>
      <c r="B118" s="53"/>
      <c r="C118" s="56"/>
      <c r="D118" s="55"/>
      <c r="E118" s="55"/>
      <c r="F118" s="55"/>
      <c r="G118" s="55"/>
      <c r="H118" s="55"/>
      <c r="I118" s="55"/>
      <c r="J118" s="55"/>
      <c r="K118" s="55"/>
      <c r="L118" s="55"/>
      <c r="M118" s="61"/>
      <c r="O118" s="46"/>
    </row>
    <row r="119" s="44" customFormat="1" customHeight="1" spans="1:15">
      <c r="A119" s="52">
        <v>118</v>
      </c>
      <c r="B119" s="53"/>
      <c r="C119" s="56"/>
      <c r="D119" s="55"/>
      <c r="E119" s="55"/>
      <c r="F119" s="55"/>
      <c r="G119" s="55"/>
      <c r="H119" s="55"/>
      <c r="I119" s="55"/>
      <c r="J119" s="55"/>
      <c r="K119" s="55"/>
      <c r="L119" s="55"/>
      <c r="M119" s="61"/>
      <c r="O119" s="46"/>
    </row>
    <row r="120" s="44" customFormat="1" customHeight="1" spans="1:15">
      <c r="A120" s="52">
        <v>119</v>
      </c>
      <c r="B120" s="53"/>
      <c r="C120" s="56"/>
      <c r="D120" s="55"/>
      <c r="E120" s="55"/>
      <c r="F120" s="55"/>
      <c r="G120" s="55"/>
      <c r="H120" s="55"/>
      <c r="I120" s="55"/>
      <c r="J120" s="55"/>
      <c r="K120" s="55"/>
      <c r="L120" s="55"/>
      <c r="M120" s="61"/>
      <c r="O120" s="46"/>
    </row>
    <row r="121" s="44" customFormat="1" customHeight="1" spans="1:15">
      <c r="A121" s="52">
        <v>120</v>
      </c>
      <c r="B121" s="53"/>
      <c r="C121" s="56"/>
      <c r="D121" s="55"/>
      <c r="E121" s="55"/>
      <c r="F121" s="55"/>
      <c r="G121" s="55"/>
      <c r="H121" s="55"/>
      <c r="I121" s="55"/>
      <c r="J121" s="55"/>
      <c r="K121" s="55"/>
      <c r="L121" s="55"/>
      <c r="M121" s="61"/>
      <c r="O121" s="46"/>
    </row>
    <row r="122" s="44" customFormat="1" customHeight="1" spans="1:15">
      <c r="A122" s="52">
        <v>121</v>
      </c>
      <c r="B122" s="53"/>
      <c r="C122" s="56"/>
      <c r="D122" s="55"/>
      <c r="E122" s="55"/>
      <c r="F122" s="55"/>
      <c r="G122" s="55"/>
      <c r="H122" s="55"/>
      <c r="I122" s="55"/>
      <c r="J122" s="55"/>
      <c r="K122" s="55"/>
      <c r="L122" s="55"/>
      <c r="M122" s="61"/>
      <c r="O122" s="46"/>
    </row>
    <row r="123" s="44" customFormat="1" customHeight="1" spans="1:15">
      <c r="A123" s="52">
        <v>122</v>
      </c>
      <c r="B123" s="53"/>
      <c r="C123" s="56"/>
      <c r="D123" s="55"/>
      <c r="E123" s="55"/>
      <c r="F123" s="55"/>
      <c r="G123" s="55"/>
      <c r="H123" s="55"/>
      <c r="I123" s="55"/>
      <c r="J123" s="55"/>
      <c r="K123" s="55"/>
      <c r="L123" s="55"/>
      <c r="M123" s="61"/>
      <c r="O123" s="46"/>
    </row>
    <row r="124" s="44" customFormat="1" customHeight="1" spans="1:15">
      <c r="A124" s="52">
        <v>123</v>
      </c>
      <c r="B124" s="53"/>
      <c r="C124" s="56"/>
      <c r="D124" s="55"/>
      <c r="E124" s="55"/>
      <c r="F124" s="55"/>
      <c r="G124" s="55"/>
      <c r="H124" s="55"/>
      <c r="I124" s="55"/>
      <c r="J124" s="55"/>
      <c r="K124" s="55"/>
      <c r="L124" s="55"/>
      <c r="M124" s="61"/>
      <c r="O124" s="46"/>
    </row>
    <row r="125" s="44" customFormat="1" customHeight="1" spans="1:15">
      <c r="A125" s="52">
        <v>124</v>
      </c>
      <c r="B125" s="53"/>
      <c r="C125" s="56"/>
      <c r="D125" s="55"/>
      <c r="E125" s="55"/>
      <c r="F125" s="55"/>
      <c r="G125" s="55"/>
      <c r="H125" s="55"/>
      <c r="I125" s="55"/>
      <c r="J125" s="55"/>
      <c r="K125" s="55"/>
      <c r="L125" s="55"/>
      <c r="M125" s="61"/>
      <c r="O125" s="46"/>
    </row>
    <row r="126" s="44" customFormat="1" customHeight="1" spans="1:15">
      <c r="A126" s="52">
        <v>125</v>
      </c>
      <c r="B126" s="53"/>
      <c r="C126" s="56"/>
      <c r="D126" s="55"/>
      <c r="E126" s="55"/>
      <c r="F126" s="55"/>
      <c r="G126" s="55"/>
      <c r="H126" s="55"/>
      <c r="I126" s="55"/>
      <c r="J126" s="55"/>
      <c r="K126" s="55"/>
      <c r="L126" s="55"/>
      <c r="M126" s="61"/>
      <c r="O126" s="46"/>
    </row>
    <row r="127" s="44" customFormat="1" customHeight="1" spans="1:15">
      <c r="A127" s="52">
        <v>126</v>
      </c>
      <c r="B127" s="53"/>
      <c r="C127" s="56"/>
      <c r="D127" s="55"/>
      <c r="E127" s="55"/>
      <c r="F127" s="55"/>
      <c r="G127" s="55"/>
      <c r="H127" s="55"/>
      <c r="I127" s="55"/>
      <c r="J127" s="55"/>
      <c r="K127" s="55"/>
      <c r="L127" s="55"/>
      <c r="M127" s="61"/>
      <c r="O127" s="46"/>
    </row>
    <row r="128" s="44" customFormat="1" customHeight="1" spans="1:15">
      <c r="A128" s="52">
        <v>127</v>
      </c>
      <c r="B128" s="53"/>
      <c r="C128" s="56"/>
      <c r="D128" s="55"/>
      <c r="E128" s="55"/>
      <c r="F128" s="55"/>
      <c r="G128" s="55"/>
      <c r="H128" s="55"/>
      <c r="I128" s="55"/>
      <c r="J128" s="55"/>
      <c r="K128" s="55"/>
      <c r="L128" s="55"/>
      <c r="M128" s="61"/>
      <c r="O128" s="46"/>
    </row>
    <row r="129" s="44" customFormat="1" customHeight="1" spans="1:15">
      <c r="A129" s="52">
        <v>128</v>
      </c>
      <c r="B129" s="53"/>
      <c r="C129" s="56"/>
      <c r="D129" s="55"/>
      <c r="E129" s="55"/>
      <c r="F129" s="55"/>
      <c r="G129" s="55"/>
      <c r="H129" s="55"/>
      <c r="I129" s="55"/>
      <c r="J129" s="55"/>
      <c r="K129" s="55"/>
      <c r="L129" s="55"/>
      <c r="M129" s="61"/>
      <c r="O129" s="46"/>
    </row>
    <row r="130" s="44" customFormat="1" customHeight="1" spans="1:15">
      <c r="A130" s="52">
        <v>129</v>
      </c>
      <c r="B130" s="53"/>
      <c r="C130" s="56"/>
      <c r="D130" s="55"/>
      <c r="E130" s="55"/>
      <c r="F130" s="55"/>
      <c r="G130" s="55"/>
      <c r="H130" s="55"/>
      <c r="I130" s="55"/>
      <c r="J130" s="55"/>
      <c r="K130" s="55"/>
      <c r="L130" s="55"/>
      <c r="M130" s="61"/>
      <c r="O130" s="46"/>
    </row>
    <row r="131" s="44" customFormat="1" customHeight="1" spans="1:15">
      <c r="A131" s="52">
        <v>130</v>
      </c>
      <c r="B131" s="53"/>
      <c r="C131" s="56"/>
      <c r="D131" s="55"/>
      <c r="E131" s="55"/>
      <c r="F131" s="55"/>
      <c r="G131" s="55"/>
      <c r="H131" s="55"/>
      <c r="I131" s="55"/>
      <c r="J131" s="55"/>
      <c r="K131" s="55"/>
      <c r="L131" s="55"/>
      <c r="M131" s="61"/>
      <c r="O131" s="46"/>
    </row>
    <row r="132" customHeight="1" spans="2:13">
      <c r="B132" s="62"/>
      <c r="M132" s="65"/>
    </row>
    <row r="133" customHeight="1" spans="2:13">
      <c r="B133" s="62"/>
      <c r="M133" s="65"/>
    </row>
    <row r="134" customHeight="1" spans="2:13">
      <c r="B134" s="62"/>
      <c r="M134" s="65"/>
    </row>
    <row r="135" customHeight="1" spans="2:13">
      <c r="B135" s="62"/>
      <c r="M135" s="65"/>
    </row>
    <row r="136" customHeight="1" spans="2:13">
      <c r="B136" s="62"/>
      <c r="M136" s="65"/>
    </row>
    <row r="137" customHeight="1" spans="2:13">
      <c r="B137" s="62"/>
      <c r="M137" s="65"/>
    </row>
    <row r="138" customHeight="1" spans="2:13">
      <c r="B138" s="62"/>
      <c r="M138" s="65"/>
    </row>
    <row r="139" customHeight="1" spans="2:13">
      <c r="B139" s="62"/>
      <c r="M139" s="65"/>
    </row>
    <row r="140" customHeight="1" spans="2:13">
      <c r="B140" s="62"/>
      <c r="M140" s="65"/>
    </row>
    <row r="141" customHeight="1" spans="2:13">
      <c r="B141" s="62"/>
      <c r="M141" s="65"/>
    </row>
    <row r="142" customHeight="1" spans="2:13">
      <c r="B142" s="62"/>
      <c r="M142" s="65"/>
    </row>
    <row r="143" customHeight="1" spans="2:13">
      <c r="B143" s="62"/>
      <c r="M143" s="65"/>
    </row>
    <row r="144" customHeight="1" spans="2:13">
      <c r="B144" s="62"/>
      <c r="M144" s="65"/>
    </row>
    <row r="145" customHeight="1" spans="2:13">
      <c r="B145" s="62"/>
      <c r="M145" s="65"/>
    </row>
    <row r="146" customHeight="1" spans="2:13">
      <c r="B146" s="62"/>
      <c r="M146" s="65"/>
    </row>
    <row r="147" customHeight="1" spans="2:13">
      <c r="B147" s="62"/>
      <c r="M147" s="65"/>
    </row>
    <row r="148" customHeight="1" spans="2:13">
      <c r="B148" s="62"/>
      <c r="M148" s="65"/>
    </row>
    <row r="149" customHeight="1" spans="2:13">
      <c r="B149" s="62"/>
      <c r="M149" s="65"/>
    </row>
    <row r="150" customHeight="1" spans="2:13">
      <c r="B150" s="62"/>
      <c r="M150" s="65"/>
    </row>
    <row r="151" customHeight="1" spans="2:13">
      <c r="B151" s="62"/>
      <c r="M151" s="65"/>
    </row>
    <row r="152" customHeight="1" spans="2:13">
      <c r="B152" s="63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6"/>
    </row>
  </sheetData>
  <pageMargins left="0.75" right="0.75" top="1" bottom="1" header="0.509027777777778" footer="0.509027777777778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"/>
  <sheetViews>
    <sheetView workbookViewId="0">
      <selection activeCell="P17" sqref="P17"/>
    </sheetView>
  </sheetViews>
  <sheetFormatPr defaultColWidth="15.625" defaultRowHeight="20.1" customHeight="1"/>
  <cols>
    <col min="1" max="2" width="4.5" style="38" customWidth="1"/>
    <col min="3" max="5" width="7.5" style="38" customWidth="1"/>
    <col min="6" max="6" width="4.5" style="38" customWidth="1"/>
    <col min="7" max="7" width="6.625" style="38" customWidth="1"/>
    <col min="8" max="10" width="7.5" style="38" customWidth="1"/>
    <col min="11" max="11" width="7.5" style="39" customWidth="1"/>
    <col min="12" max="13" width="7.5" style="38" customWidth="1"/>
    <col min="14" max="14" width="6" style="38" customWidth="1"/>
    <col min="15" max="15" width="10.5" style="38" customWidth="1"/>
    <col min="16" max="16" width="4.5" style="38" customWidth="1"/>
    <col min="17" max="18" width="6" style="38" customWidth="1"/>
    <col min="19" max="19" width="4.5" style="38" customWidth="1"/>
    <col min="20" max="21" width="10.5" style="38" customWidth="1"/>
    <col min="22" max="22" width="12.25" style="38" customWidth="1"/>
    <col min="23" max="256" width="10.75" style="38" customWidth="1"/>
    <col min="257" max="16384" width="15.625" style="38"/>
  </cols>
  <sheetData>
    <row r="1" customHeight="1" spans="1:23">
      <c r="A1" s="40" t="s">
        <v>181</v>
      </c>
      <c r="B1" s="40" t="s">
        <v>240</v>
      </c>
      <c r="C1" s="40" t="s">
        <v>241</v>
      </c>
      <c r="D1" s="40" t="s">
        <v>242</v>
      </c>
      <c r="E1" s="40" t="s">
        <v>243</v>
      </c>
      <c r="F1" s="40" t="s">
        <v>244</v>
      </c>
      <c r="G1" s="40" t="s">
        <v>245</v>
      </c>
      <c r="H1" s="40" t="s">
        <v>246</v>
      </c>
      <c r="I1" s="40" t="s">
        <v>247</v>
      </c>
      <c r="J1" s="40" t="s">
        <v>248</v>
      </c>
      <c r="K1" s="41" t="s">
        <v>249</v>
      </c>
      <c r="L1" s="40" t="s">
        <v>250</v>
      </c>
      <c r="M1" s="40" t="s">
        <v>251</v>
      </c>
      <c r="N1" s="40" t="s">
        <v>252</v>
      </c>
      <c r="O1" s="40" t="s">
        <v>253</v>
      </c>
      <c r="P1" s="40" t="s">
        <v>51</v>
      </c>
      <c r="Q1" s="40" t="s">
        <v>222</v>
      </c>
      <c r="R1" s="40" t="s">
        <v>4</v>
      </c>
      <c r="S1" s="40" t="s">
        <v>254</v>
      </c>
      <c r="T1" s="40" t="s">
        <v>255</v>
      </c>
      <c r="U1" s="40" t="s">
        <v>256</v>
      </c>
      <c r="V1" s="40" t="s">
        <v>257</v>
      </c>
      <c r="W1" s="23" t="s">
        <v>91</v>
      </c>
    </row>
    <row r="2" customHeight="1" spans="1:22">
      <c r="A2" s="40"/>
      <c r="B2" s="40"/>
      <c r="C2" s="40"/>
      <c r="D2" s="40"/>
      <c r="E2" s="40"/>
      <c r="F2" s="40"/>
      <c r="G2" s="40"/>
      <c r="H2" s="40"/>
      <c r="I2" s="40"/>
      <c r="J2" s="40"/>
      <c r="K2" s="41" t="s">
        <v>258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</row>
    <row r="3" customHeight="1" spans="1:22">
      <c r="A3" s="40"/>
      <c r="B3" s="40"/>
      <c r="C3" s="40"/>
      <c r="D3" s="40"/>
      <c r="E3" s="40"/>
      <c r="F3" s="40"/>
      <c r="G3" s="40"/>
      <c r="H3" s="40"/>
      <c r="I3" s="40"/>
      <c r="J3" s="40"/>
      <c r="K3" s="41" t="s">
        <v>259</v>
      </c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</row>
    <row r="4" customHeight="1" spans="1:22">
      <c r="A4" s="40"/>
      <c r="B4" s="40"/>
      <c r="C4" s="40"/>
      <c r="D4" s="40"/>
      <c r="E4" s="40"/>
      <c r="F4" s="40"/>
      <c r="G4" s="40"/>
      <c r="H4" s="40"/>
      <c r="I4" s="40"/>
      <c r="J4" s="40"/>
      <c r="K4" s="41" t="s">
        <v>260</v>
      </c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customHeight="1" spans="1:22">
      <c r="A5" s="40"/>
      <c r="B5" s="40"/>
      <c r="C5" s="40"/>
      <c r="D5" s="40"/>
      <c r="E5" s="40"/>
      <c r="F5" s="40"/>
      <c r="G5" s="40"/>
      <c r="H5" s="40"/>
      <c r="I5" s="40"/>
      <c r="J5" s="40"/>
      <c r="K5" s="41" t="s">
        <v>261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</row>
    <row r="6" customHeight="1" spans="1:22">
      <c r="A6" s="40"/>
      <c r="B6" s="40"/>
      <c r="C6" s="40"/>
      <c r="D6" s="40"/>
      <c r="E6" s="40"/>
      <c r="F6" s="40"/>
      <c r="G6" s="40"/>
      <c r="H6" s="40"/>
      <c r="I6" s="40"/>
      <c r="J6" s="40"/>
      <c r="K6" s="41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customHeight="1" spans="1:22">
      <c r="A7" s="40"/>
      <c r="B7" s="40"/>
      <c r="C7" s="40"/>
      <c r="D7" s="40"/>
      <c r="E7" s="40"/>
      <c r="F7" s="40"/>
      <c r="G7" s="40"/>
      <c r="H7" s="40"/>
      <c r="I7" s="40"/>
      <c r="J7" s="40"/>
      <c r="K7" s="41"/>
      <c r="L7" s="40"/>
      <c r="M7" s="40"/>
      <c r="N7" s="42"/>
      <c r="O7" s="42"/>
      <c r="P7" s="40"/>
      <c r="Q7" s="40"/>
      <c r="R7" s="40"/>
      <c r="S7" s="40"/>
      <c r="T7" s="40"/>
      <c r="U7" s="40"/>
      <c r="V7" s="40"/>
    </row>
    <row r="8" customHeight="1" spans="1:22">
      <c r="A8" s="40"/>
      <c r="B8" s="40"/>
      <c r="C8" s="40"/>
      <c r="D8" s="40"/>
      <c r="E8" s="40"/>
      <c r="F8" s="40"/>
      <c r="G8" s="40"/>
      <c r="H8" s="40"/>
      <c r="I8" s="40"/>
      <c r="J8" s="40"/>
      <c r="K8" s="41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</row>
    <row r="9" customHeight="1" spans="1:22">
      <c r="A9" s="40"/>
      <c r="B9" s="40"/>
      <c r="C9" s="40"/>
      <c r="D9" s="40"/>
      <c r="E9" s="40"/>
      <c r="F9" s="40"/>
      <c r="G9" s="40"/>
      <c r="H9" s="40"/>
      <c r="I9" s="40"/>
      <c r="J9" s="40"/>
      <c r="K9" s="41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</row>
    <row r="10" customHeight="1" spans="1:2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1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</row>
    <row r="11" customHeight="1" spans="1:2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1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</row>
    <row r="12" customHeight="1" spans="1:2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1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</row>
    <row r="13" customHeight="1" spans="1:2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1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</row>
    <row r="14" customHeight="1" spans="1:2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1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</row>
    <row r="15" customHeight="1" spans="1:2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1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6" customHeight="1" spans="1:2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1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</row>
    <row r="17" customHeight="1" spans="1:2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1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</row>
    <row r="18" customHeight="1" spans="1:2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1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 customHeight="1" spans="1:2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1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</row>
    <row r="20" customHeight="1" spans="1:2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1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</row>
    <row r="21" customHeight="1" spans="1:2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1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</row>
    <row r="22" customHeight="1" spans="1: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1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</row>
  </sheetData>
  <hyperlinks>
    <hyperlink ref="W1" location="目录!A1" display="目录"/>
  </hyperlinks>
  <pageMargins left="0.75" right="0.75" top="1" bottom="1" header="0.509027777777778" footer="0.509027777777778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opLeftCell="A5" workbookViewId="0">
      <selection activeCell="E11" sqref="E11"/>
    </sheetView>
  </sheetViews>
  <sheetFormatPr defaultColWidth="9" defaultRowHeight="14.25"/>
  <cols>
    <col min="1" max="10" width="15.625" style="28" customWidth="1"/>
    <col min="11" max="16384" width="9" style="28"/>
  </cols>
  <sheetData>
    <row r="1" s="27" customFormat="1" ht="20.1" customHeight="1" spans="1:11">
      <c r="A1" s="29" t="s">
        <v>262</v>
      </c>
      <c r="B1" s="29"/>
      <c r="C1" s="30" t="s">
        <v>263</v>
      </c>
      <c r="D1" s="30"/>
      <c r="E1" s="30"/>
      <c r="F1" s="30"/>
      <c r="G1" s="30"/>
      <c r="H1" s="30"/>
      <c r="I1" s="35" t="s">
        <v>84</v>
      </c>
      <c r="J1" s="35"/>
      <c r="K1" s="23" t="s">
        <v>91</v>
      </c>
    </row>
    <row r="2" s="1" customFormat="1" ht="20.1" customHeight="1" spans="1:10">
      <c r="A2" s="31" t="s">
        <v>172</v>
      </c>
      <c r="B2" s="31" t="s">
        <v>183</v>
      </c>
      <c r="C2" s="32" t="s">
        <v>3</v>
      </c>
      <c r="D2" s="32" t="s">
        <v>264</v>
      </c>
      <c r="E2" s="32" t="s">
        <v>265</v>
      </c>
      <c r="F2" s="32" t="s">
        <v>266</v>
      </c>
      <c r="G2" s="32" t="s">
        <v>267</v>
      </c>
      <c r="H2" s="32" t="s">
        <v>268</v>
      </c>
      <c r="I2" s="36" t="s">
        <v>269</v>
      </c>
      <c r="J2" s="37" t="s">
        <v>270</v>
      </c>
    </row>
    <row r="3" ht="20.1" customHeight="1" spans="1:10">
      <c r="A3" s="33"/>
      <c r="B3" s="34"/>
      <c r="C3" s="33"/>
      <c r="D3" s="33"/>
      <c r="E3" s="33"/>
      <c r="F3" s="33"/>
      <c r="G3" s="33"/>
      <c r="H3" s="33"/>
      <c r="I3" s="33"/>
      <c r="J3" s="33"/>
    </row>
    <row r="4" ht="20.1" customHeight="1" spans="1:10">
      <c r="A4" s="33"/>
      <c r="B4" s="33"/>
      <c r="C4" s="33"/>
      <c r="D4" s="33"/>
      <c r="E4" s="33"/>
      <c r="F4" s="33"/>
      <c r="G4" s="33"/>
      <c r="H4" s="33"/>
      <c r="I4" s="33"/>
      <c r="J4" s="33"/>
    </row>
    <row r="5" ht="20.1" customHeight="1" spans="1:10">
      <c r="A5" s="33"/>
      <c r="B5" s="33"/>
      <c r="C5" s="33"/>
      <c r="D5" s="33"/>
      <c r="E5" s="33"/>
      <c r="F5" s="33"/>
      <c r="G5" s="33"/>
      <c r="H5" s="33"/>
      <c r="I5" s="33"/>
      <c r="J5" s="33"/>
    </row>
    <row r="6" ht="20.1" customHeight="1" spans="1:10">
      <c r="A6" s="33"/>
      <c r="B6" s="33"/>
      <c r="C6" s="33"/>
      <c r="D6" s="33"/>
      <c r="E6" s="33"/>
      <c r="F6" s="33"/>
      <c r="G6" s="33"/>
      <c r="H6" s="33"/>
      <c r="I6" s="33"/>
      <c r="J6" s="33"/>
    </row>
    <row r="7" ht="20.1" customHeight="1" spans="1:10">
      <c r="A7" s="33"/>
      <c r="B7" s="33"/>
      <c r="C7" s="33"/>
      <c r="D7" s="33"/>
      <c r="E7" s="33"/>
      <c r="F7" s="33"/>
      <c r="G7" s="33"/>
      <c r="H7" s="33"/>
      <c r="I7" s="33"/>
      <c r="J7" s="33"/>
    </row>
    <row r="8" ht="20.1" customHeight="1" spans="1:10">
      <c r="A8" s="33"/>
      <c r="B8" s="33"/>
      <c r="C8" s="33"/>
      <c r="D8" s="33"/>
      <c r="E8" s="33"/>
      <c r="F8" s="33"/>
      <c r="G8" s="33"/>
      <c r="H8" s="33"/>
      <c r="I8" s="33"/>
      <c r="J8" s="33"/>
    </row>
    <row r="9" ht="20.1" customHeight="1" spans="1:10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ht="20.1" customHeight="1" spans="1:10">
      <c r="A10" s="33"/>
      <c r="B10" s="33"/>
      <c r="C10" s="33"/>
      <c r="D10" s="33"/>
      <c r="E10" s="33"/>
      <c r="F10" s="33"/>
      <c r="G10" s="33"/>
      <c r="H10" s="33"/>
      <c r="I10" s="33"/>
      <c r="J10" s="33"/>
    </row>
    <row r="11" ht="20.1" customHeight="1" spans="1:10">
      <c r="A11" s="33"/>
      <c r="B11" s="33"/>
      <c r="C11" s="33"/>
      <c r="D11" s="33"/>
      <c r="E11" s="33"/>
      <c r="F11" s="33"/>
      <c r="G11" s="33"/>
      <c r="H11" s="33"/>
      <c r="I11" s="33"/>
      <c r="J11" s="33"/>
    </row>
    <row r="12" ht="20.1" customHeight="1" spans="1:10">
      <c r="A12" s="33"/>
      <c r="B12" s="33"/>
      <c r="C12" s="33"/>
      <c r="D12" s="33"/>
      <c r="E12" s="33"/>
      <c r="F12" s="33"/>
      <c r="G12" s="33"/>
      <c r="H12" s="33"/>
      <c r="I12" s="33"/>
      <c r="J12" s="33"/>
    </row>
    <row r="13" ht="20.1" customHeight="1" spans="1:10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 ht="20.1" customHeight="1" spans="1:10">
      <c r="A14" s="33"/>
      <c r="B14" s="33"/>
      <c r="C14" s="33"/>
      <c r="D14" s="33"/>
      <c r="E14" s="33"/>
      <c r="F14" s="33"/>
      <c r="G14" s="33"/>
      <c r="H14" s="33"/>
      <c r="I14" s="33"/>
      <c r="J14" s="33"/>
    </row>
    <row r="15" ht="20.1" customHeight="1" spans="1:10">
      <c r="A15" s="33"/>
      <c r="B15" s="33"/>
      <c r="C15" s="33"/>
      <c r="D15" s="33"/>
      <c r="E15" s="33"/>
      <c r="F15" s="33"/>
      <c r="G15" s="33"/>
      <c r="H15" s="33"/>
      <c r="I15" s="33"/>
      <c r="J15" s="33"/>
    </row>
    <row r="16" ht="20.1" customHeight="1" spans="1:10">
      <c r="A16" s="33"/>
      <c r="B16" s="33"/>
      <c r="C16" s="33"/>
      <c r="D16" s="33"/>
      <c r="E16" s="33"/>
      <c r="F16" s="33"/>
      <c r="G16" s="33"/>
      <c r="H16" s="33"/>
      <c r="I16" s="33"/>
      <c r="J16" s="33"/>
    </row>
    <row r="17" ht="20.1" customHeight="1" spans="1:10">
      <c r="A17" s="33"/>
      <c r="B17" s="33"/>
      <c r="C17" s="33"/>
      <c r="D17" s="33"/>
      <c r="E17" s="33"/>
      <c r="F17" s="33"/>
      <c r="G17" s="33"/>
      <c r="H17" s="33"/>
      <c r="I17" s="33"/>
      <c r="J17" s="33"/>
    </row>
    <row r="18" ht="20.1" customHeight="1" spans="1:10">
      <c r="A18" s="33"/>
      <c r="B18" s="33"/>
      <c r="C18" s="33"/>
      <c r="D18" s="33"/>
      <c r="E18" s="33"/>
      <c r="F18" s="33"/>
      <c r="G18" s="33"/>
      <c r="H18" s="33"/>
      <c r="I18" s="33"/>
      <c r="J18" s="33"/>
    </row>
    <row r="19" ht="20.1" customHeight="1" spans="1:10">
      <c r="A19" s="33"/>
      <c r="B19" s="33"/>
      <c r="C19" s="33"/>
      <c r="D19" s="33"/>
      <c r="E19" s="33"/>
      <c r="F19" s="33"/>
      <c r="G19" s="33"/>
      <c r="H19" s="33"/>
      <c r="I19" s="33"/>
      <c r="J19" s="33"/>
    </row>
    <row r="20" ht="20.1" customHeight="1" spans="1:10">
      <c r="A20" s="33"/>
      <c r="B20" s="33"/>
      <c r="C20" s="33"/>
      <c r="D20" s="33"/>
      <c r="E20" s="33"/>
      <c r="F20" s="33"/>
      <c r="G20" s="33"/>
      <c r="H20" s="33"/>
      <c r="I20" s="33"/>
      <c r="J20" s="33"/>
    </row>
    <row r="21" ht="20.1" customHeight="1" spans="1:10">
      <c r="A21" s="33"/>
      <c r="B21" s="33"/>
      <c r="C21" s="33"/>
      <c r="D21" s="33"/>
      <c r="E21" s="33"/>
      <c r="F21" s="33"/>
      <c r="G21" s="33"/>
      <c r="H21" s="33"/>
      <c r="I21" s="33"/>
      <c r="J21" s="33"/>
    </row>
    <row r="22" ht="20.1" customHeight="1" spans="1:10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ht="20.1" customHeight="1" spans="1:10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4" ht="20.1" customHeight="1" spans="1:10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 ht="20.1" customHeight="1" spans="1:10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ht="20.1" customHeight="1" spans="1:10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 ht="20.1" customHeight="1" spans="1:10">
      <c r="A27" s="33"/>
      <c r="B27" s="33"/>
      <c r="C27" s="33"/>
      <c r="D27" s="33"/>
      <c r="E27" s="33"/>
      <c r="F27" s="33"/>
      <c r="G27" s="33"/>
      <c r="H27" s="33"/>
      <c r="I27" s="33"/>
      <c r="J27" s="33"/>
    </row>
    <row r="28" ht="20.1" customHeight="1" spans="1:10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 ht="20.1" customHeight="1" spans="1:10">
      <c r="A29" s="33"/>
      <c r="B29" s="33"/>
      <c r="C29" s="33"/>
      <c r="D29" s="33"/>
      <c r="E29" s="33"/>
      <c r="F29" s="33"/>
      <c r="G29" s="33"/>
      <c r="H29" s="33"/>
      <c r="I29" s="33"/>
      <c r="J29" s="33"/>
    </row>
    <row r="30" ht="20.1" customHeight="1" spans="1:10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 ht="20.1" customHeight="1" spans="1:10">
      <c r="A31" s="33"/>
      <c r="B31" s="33"/>
      <c r="C31" s="33"/>
      <c r="D31" s="33"/>
      <c r="E31" s="33"/>
      <c r="F31" s="33"/>
      <c r="G31" s="33"/>
      <c r="H31" s="33"/>
      <c r="I31" s="33"/>
      <c r="J31" s="33"/>
    </row>
    <row r="32" ht="20.1" customHeight="1" spans="1:10">
      <c r="A32" s="33"/>
      <c r="B32" s="33"/>
      <c r="C32" s="33"/>
      <c r="D32" s="33"/>
      <c r="E32" s="33"/>
      <c r="F32" s="33"/>
      <c r="G32" s="33"/>
      <c r="H32" s="33"/>
      <c r="I32" s="33"/>
      <c r="J32" s="33"/>
    </row>
  </sheetData>
  <mergeCells count="2">
    <mergeCell ref="C1:H1"/>
    <mergeCell ref="I1:J1"/>
  </mergeCells>
  <hyperlinks>
    <hyperlink ref="K1" location="目录!A1" display="目录"/>
  </hyperlinks>
  <pageMargins left="0.75" right="0.75" top="1" bottom="1" header="0.509027777777778" footer="0.509027777777778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3"/>
  <sheetViews>
    <sheetView workbookViewId="0">
      <pane ySplit="2" topLeftCell="A3" activePane="bottomLeft" state="frozen"/>
      <selection/>
      <selection pane="bottomLeft" activeCell="N13" sqref="N13"/>
    </sheetView>
  </sheetViews>
  <sheetFormatPr defaultColWidth="10.375" defaultRowHeight="20.1" customHeight="1"/>
  <cols>
    <col min="1" max="1" width="10.375" style="1" customWidth="1"/>
    <col min="2" max="14" width="9.3" style="1" customWidth="1"/>
    <col min="15" max="244" width="10.375" style="1" customWidth="1"/>
  </cols>
  <sheetData>
    <row r="1" s="1" customFormat="1" customHeight="1" spans="1:22">
      <c r="A1" s="2" t="s">
        <v>263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8"/>
      <c r="N1" s="19" t="s">
        <v>84</v>
      </c>
      <c r="O1" s="19"/>
      <c r="P1" s="19"/>
      <c r="Q1" s="22" t="s">
        <v>271</v>
      </c>
      <c r="R1" s="22"/>
      <c r="S1" s="22"/>
      <c r="T1" s="22"/>
      <c r="U1" s="22"/>
      <c r="V1" s="23" t="s">
        <v>91</v>
      </c>
    </row>
    <row r="2" s="1" customFormat="1" ht="30" customHeight="1" spans="1:22">
      <c r="A2" s="4" t="s">
        <v>216</v>
      </c>
      <c r="B2" s="5" t="s">
        <v>3</v>
      </c>
      <c r="C2" s="6" t="s">
        <v>272</v>
      </c>
      <c r="D2" s="5" t="s">
        <v>267</v>
      </c>
      <c r="E2" s="7" t="s">
        <v>268</v>
      </c>
      <c r="F2" s="5" t="s">
        <v>131</v>
      </c>
      <c r="G2" s="5" t="s">
        <v>273</v>
      </c>
      <c r="H2" s="5" t="s">
        <v>132</v>
      </c>
      <c r="I2" s="5" t="s">
        <v>17</v>
      </c>
      <c r="J2" s="5" t="s">
        <v>274</v>
      </c>
      <c r="K2" s="5" t="s">
        <v>264</v>
      </c>
      <c r="L2" s="5" t="s">
        <v>266</v>
      </c>
      <c r="M2" s="5" t="s">
        <v>265</v>
      </c>
      <c r="N2" s="20" t="s">
        <v>84</v>
      </c>
      <c r="O2" s="19" t="s">
        <v>269</v>
      </c>
      <c r="P2" s="20" t="s">
        <v>270</v>
      </c>
      <c r="Q2" s="24" t="s">
        <v>275</v>
      </c>
      <c r="R2" s="24" t="s">
        <v>276</v>
      </c>
      <c r="S2" s="24" t="s">
        <v>244</v>
      </c>
      <c r="T2" s="24" t="s">
        <v>277</v>
      </c>
      <c r="U2" s="24" t="s">
        <v>278</v>
      </c>
      <c r="V2" s="25"/>
    </row>
    <row r="3" s="1" customFormat="1" ht="21.95" customHeight="1" spans="1:21">
      <c r="A3" s="8">
        <v>44119</v>
      </c>
      <c r="B3" s="9">
        <v>14.99</v>
      </c>
      <c r="C3" s="9"/>
      <c r="D3" s="9">
        <v>785</v>
      </c>
      <c r="E3" s="9"/>
      <c r="F3" s="9">
        <v>93</v>
      </c>
      <c r="G3" s="10">
        <v>0.0044</v>
      </c>
      <c r="H3" s="10">
        <v>0.086</v>
      </c>
      <c r="I3" s="10"/>
      <c r="J3" s="10"/>
      <c r="K3" s="9">
        <v>201</v>
      </c>
      <c r="L3" s="9">
        <v>4.6</v>
      </c>
      <c r="M3" s="9">
        <v>4.6</v>
      </c>
      <c r="N3" s="9"/>
      <c r="O3" s="9"/>
      <c r="P3" s="9"/>
      <c r="Q3" s="9">
        <v>7</v>
      </c>
      <c r="R3" s="9">
        <v>2</v>
      </c>
      <c r="S3" s="26">
        <v>0.05</v>
      </c>
      <c r="T3" s="9">
        <v>0</v>
      </c>
      <c r="U3" s="9">
        <v>0</v>
      </c>
    </row>
    <row r="4" s="1" customFormat="1" customHeight="1" spans="1:21">
      <c r="A4" s="11">
        <f t="shared" ref="A4:A53" si="0">A3+1</f>
        <v>44120</v>
      </c>
      <c r="B4" s="9"/>
      <c r="C4" s="9"/>
      <c r="D4" s="12"/>
      <c r="E4" s="13"/>
      <c r="F4" s="9"/>
      <c r="G4" s="9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9"/>
    </row>
    <row r="5" s="1" customFormat="1" customHeight="1" spans="1:21">
      <c r="A5" s="11">
        <f t="shared" si="0"/>
        <v>44121</v>
      </c>
      <c r="B5" s="9"/>
      <c r="C5" s="9"/>
      <c r="D5" s="14"/>
      <c r="E5" s="15"/>
      <c r="F5" s="9"/>
      <c r="G5" s="9"/>
      <c r="H5" s="9"/>
      <c r="I5" s="9"/>
      <c r="J5" s="9"/>
      <c r="K5" s="9"/>
      <c r="L5" s="9"/>
      <c r="M5" s="9"/>
      <c r="N5" s="15"/>
      <c r="O5" s="9"/>
      <c r="P5" s="9"/>
      <c r="Q5" s="9"/>
      <c r="R5" s="9"/>
      <c r="S5" s="9"/>
      <c r="T5" s="9"/>
      <c r="U5" s="9"/>
    </row>
    <row r="6" s="1" customFormat="1" customHeight="1" spans="1:21">
      <c r="A6" s="11">
        <f t="shared" si="0"/>
        <v>44122</v>
      </c>
      <c r="B6" s="9"/>
      <c r="C6" s="9"/>
      <c r="D6" s="14"/>
      <c r="E6" s="15"/>
      <c r="F6" s="9"/>
      <c r="G6" s="9"/>
      <c r="H6" s="9"/>
      <c r="I6" s="9"/>
      <c r="J6" s="9"/>
      <c r="K6" s="9"/>
      <c r="L6" s="9"/>
      <c r="M6" s="9"/>
      <c r="N6" s="15"/>
      <c r="O6" s="9"/>
      <c r="P6" s="9"/>
      <c r="Q6" s="9"/>
      <c r="R6" s="9"/>
      <c r="S6" s="9"/>
      <c r="T6" s="9"/>
      <c r="U6" s="9"/>
    </row>
    <row r="7" s="1" customFormat="1" customHeight="1" spans="1:21">
      <c r="A7" s="11">
        <f t="shared" si="0"/>
        <v>44123</v>
      </c>
      <c r="B7" s="9"/>
      <c r="C7" s="9"/>
      <c r="D7" s="14"/>
      <c r="E7" s="15"/>
      <c r="F7" s="9"/>
      <c r="G7" s="9"/>
      <c r="H7" s="9"/>
      <c r="I7" s="9"/>
      <c r="J7" s="9"/>
      <c r="K7" s="9"/>
      <c r="L7" s="9"/>
      <c r="M7" s="9"/>
      <c r="N7" s="15"/>
      <c r="O7" s="9"/>
      <c r="P7" s="9"/>
      <c r="Q7" s="9"/>
      <c r="R7" s="9"/>
      <c r="S7" s="9"/>
      <c r="T7" s="9"/>
      <c r="U7" s="9"/>
    </row>
    <row r="8" s="1" customFormat="1" customHeight="1" spans="1:21">
      <c r="A8" s="11">
        <f t="shared" si="0"/>
        <v>44124</v>
      </c>
      <c r="B8" s="9"/>
      <c r="C8" s="9"/>
      <c r="D8" s="9"/>
      <c r="E8" s="15"/>
      <c r="F8" s="9"/>
      <c r="G8" s="9"/>
      <c r="H8" s="9"/>
      <c r="I8" s="9"/>
      <c r="J8" s="9"/>
      <c r="K8" s="9"/>
      <c r="L8" s="9"/>
      <c r="M8" s="9"/>
      <c r="N8" s="15"/>
      <c r="O8" s="21"/>
      <c r="P8" s="9"/>
      <c r="Q8" s="9"/>
      <c r="R8" s="9"/>
      <c r="S8" s="9"/>
      <c r="T8" s="9"/>
      <c r="U8" s="9"/>
    </row>
    <row r="9" s="1" customFormat="1" customHeight="1" spans="1:21">
      <c r="A9" s="11">
        <f t="shared" si="0"/>
        <v>44125</v>
      </c>
      <c r="B9" s="9"/>
      <c r="C9" s="9"/>
      <c r="D9" s="9"/>
      <c r="E9" s="15"/>
      <c r="F9" s="9"/>
      <c r="G9" s="9"/>
      <c r="H9" s="9"/>
      <c r="I9" s="9"/>
      <c r="J9" s="9"/>
      <c r="K9" s="9"/>
      <c r="L9" s="9"/>
      <c r="M9" s="9"/>
      <c r="N9" s="15"/>
      <c r="O9" s="9"/>
      <c r="P9" s="9"/>
      <c r="Q9" s="9"/>
      <c r="R9" s="9"/>
      <c r="S9" s="9"/>
      <c r="T9" s="9"/>
      <c r="U9" s="9"/>
    </row>
    <row r="10" s="1" customFormat="1" customHeight="1" spans="1:21">
      <c r="A10" s="11">
        <f t="shared" si="0"/>
        <v>44126</v>
      </c>
      <c r="B10" s="9"/>
      <c r="C10" s="9"/>
      <c r="D10" s="9"/>
      <c r="E10" s="15"/>
      <c r="F10" s="9"/>
      <c r="G10" s="9"/>
      <c r="H10" s="9"/>
      <c r="I10" s="9"/>
      <c r="J10" s="9"/>
      <c r="K10" s="9"/>
      <c r="L10" s="9"/>
      <c r="M10" s="9"/>
      <c r="N10" s="15"/>
      <c r="O10" s="9"/>
      <c r="P10" s="9"/>
      <c r="Q10" s="9"/>
      <c r="R10" s="9"/>
      <c r="S10" s="9"/>
      <c r="T10" s="9"/>
      <c r="U10" s="9"/>
    </row>
    <row r="11" s="1" customFormat="1" customHeight="1" spans="1:21">
      <c r="A11" s="11">
        <f t="shared" si="0"/>
        <v>44127</v>
      </c>
      <c r="B11" s="9"/>
      <c r="C11" s="9"/>
      <c r="D11" s="9"/>
      <c r="E11" s="15"/>
      <c r="F11" s="9"/>
      <c r="G11" s="9"/>
      <c r="H11" s="9"/>
      <c r="I11" s="9"/>
      <c r="J11" s="9"/>
      <c r="K11" s="9"/>
      <c r="L11" s="9"/>
      <c r="M11" s="9"/>
      <c r="N11" s="15"/>
      <c r="O11" s="9"/>
      <c r="P11" s="9"/>
      <c r="Q11" s="9"/>
      <c r="R11" s="9"/>
      <c r="S11" s="9"/>
      <c r="T11" s="9"/>
      <c r="U11" s="9"/>
    </row>
    <row r="12" s="1" customFormat="1" customHeight="1" spans="1:21">
      <c r="A12" s="11">
        <f t="shared" si="0"/>
        <v>44128</v>
      </c>
      <c r="B12" s="9"/>
      <c r="C12" s="9"/>
      <c r="D12" s="16"/>
      <c r="E12" s="17"/>
      <c r="F12" s="9"/>
      <c r="G12" s="9"/>
      <c r="H12" s="9"/>
      <c r="I12" s="9"/>
      <c r="J12" s="9"/>
      <c r="K12" s="9"/>
      <c r="L12" s="9"/>
      <c r="M12" s="9"/>
      <c r="N12" s="17"/>
      <c r="O12" s="9"/>
      <c r="P12" s="9"/>
      <c r="Q12" s="9"/>
      <c r="R12" s="9"/>
      <c r="S12" s="9"/>
      <c r="T12" s="9"/>
      <c r="U12" s="9"/>
    </row>
    <row r="13" s="1" customFormat="1" customHeight="1" spans="1:21">
      <c r="A13" s="11">
        <f t="shared" si="0"/>
        <v>44129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="1" customFormat="1" customHeight="1" spans="1:21">
      <c r="A14" s="11">
        <f t="shared" si="0"/>
        <v>44130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="1" customFormat="1" customHeight="1" spans="1:21">
      <c r="A15" s="11">
        <f t="shared" si="0"/>
        <v>44131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="1" customFormat="1" customHeight="1" spans="1:21">
      <c r="A16" s="11">
        <f t="shared" si="0"/>
        <v>44132</v>
      </c>
      <c r="B16" s="9"/>
      <c r="C16" s="9"/>
      <c r="D16" s="16"/>
      <c r="E16" s="17"/>
      <c r="F16" s="9"/>
      <c r="G16" s="9"/>
      <c r="H16" s="9"/>
      <c r="I16" s="9"/>
      <c r="J16" s="9"/>
      <c r="K16" s="9"/>
      <c r="L16" s="9"/>
      <c r="M16" s="9"/>
      <c r="N16" s="17"/>
      <c r="O16" s="9"/>
      <c r="P16" s="9"/>
      <c r="Q16" s="9"/>
      <c r="R16" s="9"/>
      <c r="S16" s="9"/>
      <c r="T16" s="9"/>
      <c r="U16" s="9"/>
    </row>
    <row r="17" s="1" customFormat="1" customHeight="1" spans="1:21">
      <c r="A17" s="11">
        <f t="shared" si="0"/>
        <v>44133</v>
      </c>
      <c r="B17" s="9"/>
      <c r="C17" s="9"/>
      <c r="D17" s="16"/>
      <c r="E17" s="17"/>
      <c r="F17" s="9"/>
      <c r="G17" s="9"/>
      <c r="H17" s="9"/>
      <c r="I17" s="9"/>
      <c r="J17" s="9"/>
      <c r="K17" s="9"/>
      <c r="L17" s="9"/>
      <c r="M17" s="9"/>
      <c r="N17" s="17"/>
      <c r="O17" s="9"/>
      <c r="P17" s="9"/>
      <c r="Q17" s="9"/>
      <c r="R17" s="9"/>
      <c r="S17" s="9"/>
      <c r="T17" s="9"/>
      <c r="U17" s="9"/>
    </row>
    <row r="18" s="1" customFormat="1" customHeight="1" spans="1:21">
      <c r="A18" s="11">
        <f t="shared" si="0"/>
        <v>44134</v>
      </c>
      <c r="B18" s="9"/>
      <c r="C18" s="9"/>
      <c r="D18" s="16"/>
      <c r="E18" s="17"/>
      <c r="F18" s="9"/>
      <c r="G18" s="9"/>
      <c r="H18" s="9"/>
      <c r="I18" s="9"/>
      <c r="J18" s="9"/>
      <c r="K18" s="9"/>
      <c r="L18" s="9"/>
      <c r="M18" s="9"/>
      <c r="N18" s="17"/>
      <c r="O18" s="9"/>
      <c r="P18" s="9"/>
      <c r="Q18" s="9"/>
      <c r="R18" s="9"/>
      <c r="S18" s="9"/>
      <c r="T18" s="9"/>
      <c r="U18" s="9"/>
    </row>
    <row r="19" s="1" customFormat="1" customHeight="1" spans="1:21">
      <c r="A19" s="11">
        <f t="shared" si="0"/>
        <v>44135</v>
      </c>
      <c r="B19" s="9"/>
      <c r="C19" s="9"/>
      <c r="D19" s="16"/>
      <c r="E19" s="17"/>
      <c r="F19" s="9"/>
      <c r="G19" s="9"/>
      <c r="H19" s="9"/>
      <c r="I19" s="9"/>
      <c r="J19" s="9"/>
      <c r="K19" s="9"/>
      <c r="L19" s="9"/>
      <c r="M19" s="9"/>
      <c r="N19" s="17"/>
      <c r="O19" s="9"/>
      <c r="P19" s="9"/>
      <c r="Q19" s="9"/>
      <c r="R19" s="9"/>
      <c r="S19" s="9"/>
      <c r="T19" s="9"/>
      <c r="U19" s="9"/>
    </row>
    <row r="20" s="1" customFormat="1" customHeight="1" spans="1:21">
      <c r="A20" s="11">
        <f t="shared" si="0"/>
        <v>44136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="1" customFormat="1" customHeight="1" spans="1:21">
      <c r="A21" s="11">
        <f t="shared" si="0"/>
        <v>44137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="1" customFormat="1" customHeight="1" spans="1:21">
      <c r="A22" s="11">
        <f t="shared" si="0"/>
        <v>44138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="1" customFormat="1" customHeight="1" spans="1:21">
      <c r="A23" s="11">
        <f t="shared" si="0"/>
        <v>44139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="1" customFormat="1" customHeight="1" spans="1:21">
      <c r="A24" s="11">
        <f t="shared" si="0"/>
        <v>44140</v>
      </c>
      <c r="B24" s="9"/>
      <c r="C24" s="9"/>
      <c r="D24" s="9"/>
      <c r="E24" s="15"/>
      <c r="F24" s="9"/>
      <c r="G24" s="9"/>
      <c r="H24" s="9"/>
      <c r="I24" s="9"/>
      <c r="J24" s="9"/>
      <c r="K24" s="9"/>
      <c r="L24" s="9"/>
      <c r="M24" s="9"/>
      <c r="N24" s="15"/>
      <c r="O24" s="9"/>
      <c r="P24" s="9"/>
      <c r="Q24" s="9"/>
      <c r="R24" s="9"/>
      <c r="S24" s="9"/>
      <c r="T24" s="9"/>
      <c r="U24" s="9"/>
    </row>
    <row r="25" s="1" customFormat="1" customHeight="1" spans="1:21">
      <c r="A25" s="11">
        <f t="shared" si="0"/>
        <v>44141</v>
      </c>
      <c r="B25" s="9"/>
      <c r="C25" s="9"/>
      <c r="D25" s="9"/>
      <c r="E25" s="15"/>
      <c r="F25" s="9"/>
      <c r="G25" s="9"/>
      <c r="H25" s="9"/>
      <c r="I25" s="9"/>
      <c r="J25" s="9"/>
      <c r="K25" s="9"/>
      <c r="L25" s="9"/>
      <c r="M25" s="9"/>
      <c r="N25" s="15"/>
      <c r="O25" s="9"/>
      <c r="P25" s="9"/>
      <c r="Q25" s="9"/>
      <c r="R25" s="9"/>
      <c r="S25" s="9"/>
      <c r="T25" s="9"/>
      <c r="U25" s="9"/>
    </row>
    <row r="26" s="1" customFormat="1" customHeight="1" spans="1:21">
      <c r="A26" s="11">
        <f t="shared" si="0"/>
        <v>44142</v>
      </c>
      <c r="B26" s="9"/>
      <c r="C26" s="9"/>
      <c r="D26" s="9"/>
      <c r="E26" s="15"/>
      <c r="F26" s="9"/>
      <c r="G26" s="9"/>
      <c r="H26" s="9"/>
      <c r="I26" s="9"/>
      <c r="J26" s="9"/>
      <c r="K26" s="9"/>
      <c r="L26" s="9"/>
      <c r="M26" s="9"/>
      <c r="N26" s="15"/>
      <c r="O26" s="9"/>
      <c r="P26" s="9"/>
      <c r="Q26" s="9"/>
      <c r="R26" s="9"/>
      <c r="S26" s="9"/>
      <c r="T26" s="9"/>
      <c r="U26" s="9"/>
    </row>
    <row r="27" s="1" customFormat="1" customHeight="1" spans="1:21">
      <c r="A27" s="11">
        <f t="shared" si="0"/>
        <v>44143</v>
      </c>
      <c r="B27" s="9"/>
      <c r="C27" s="9"/>
      <c r="D27" s="9"/>
      <c r="E27" s="15"/>
      <c r="F27" s="9"/>
      <c r="G27" s="9"/>
      <c r="H27" s="9"/>
      <c r="I27" s="9"/>
      <c r="J27" s="9"/>
      <c r="K27" s="9"/>
      <c r="L27" s="9"/>
      <c r="M27" s="9"/>
      <c r="N27" s="15"/>
      <c r="O27" s="9"/>
      <c r="P27" s="9"/>
      <c r="Q27" s="9"/>
      <c r="R27" s="9"/>
      <c r="S27" s="9"/>
      <c r="T27" s="9"/>
      <c r="U27" s="9"/>
    </row>
    <row r="28" s="1" customFormat="1" customHeight="1" spans="1:21">
      <c r="A28" s="11">
        <f t="shared" si="0"/>
        <v>44144</v>
      </c>
      <c r="B28" s="9"/>
      <c r="C28" s="9"/>
      <c r="D28" s="9"/>
      <c r="E28" s="15"/>
      <c r="F28" s="9"/>
      <c r="G28" s="9"/>
      <c r="H28" s="9"/>
      <c r="I28" s="9"/>
      <c r="J28" s="9"/>
      <c r="K28" s="9"/>
      <c r="L28" s="9"/>
      <c r="M28" s="9"/>
      <c r="N28" s="15"/>
      <c r="O28" s="9"/>
      <c r="P28" s="9"/>
      <c r="Q28" s="9"/>
      <c r="R28" s="9"/>
      <c r="S28" s="9"/>
      <c r="T28" s="9"/>
      <c r="U28" s="9"/>
    </row>
    <row r="29" s="1" customFormat="1" customHeight="1" spans="1:21">
      <c r="A29" s="11">
        <f t="shared" si="0"/>
        <v>44145</v>
      </c>
      <c r="B29" s="9"/>
      <c r="C29" s="9"/>
      <c r="D29" s="9"/>
      <c r="E29" s="15"/>
      <c r="F29" s="9"/>
      <c r="G29" s="9"/>
      <c r="H29" s="9"/>
      <c r="I29" s="9"/>
      <c r="J29" s="9"/>
      <c r="K29" s="9"/>
      <c r="L29" s="9"/>
      <c r="M29" s="9"/>
      <c r="N29" s="15"/>
      <c r="O29" s="9"/>
      <c r="P29" s="9"/>
      <c r="Q29" s="9"/>
      <c r="R29" s="9"/>
      <c r="S29" s="9"/>
      <c r="T29" s="9"/>
      <c r="U29" s="9"/>
    </row>
    <row r="30" s="1" customFormat="1" customHeight="1" spans="1:21">
      <c r="A30" s="11">
        <f t="shared" si="0"/>
        <v>44146</v>
      </c>
      <c r="B30" s="9"/>
      <c r="C30" s="9"/>
      <c r="D30" s="9"/>
      <c r="E30" s="15"/>
      <c r="F30" s="9"/>
      <c r="G30" s="9"/>
      <c r="H30" s="9"/>
      <c r="I30" s="9"/>
      <c r="J30" s="9"/>
      <c r="K30" s="9"/>
      <c r="L30" s="9"/>
      <c r="M30" s="9"/>
      <c r="N30" s="15"/>
      <c r="O30" s="9"/>
      <c r="P30" s="9"/>
      <c r="Q30" s="9"/>
      <c r="R30" s="9"/>
      <c r="S30" s="9"/>
      <c r="T30" s="9"/>
      <c r="U30" s="9"/>
    </row>
    <row r="31" s="1" customFormat="1" customHeight="1" spans="1:21">
      <c r="A31" s="11">
        <f t="shared" si="0"/>
        <v>44147</v>
      </c>
      <c r="B31" s="9"/>
      <c r="C31" s="9"/>
      <c r="D31" s="9"/>
      <c r="E31" s="15"/>
      <c r="F31" s="9"/>
      <c r="G31" s="9"/>
      <c r="H31" s="9"/>
      <c r="I31" s="9"/>
      <c r="J31" s="9"/>
      <c r="K31" s="9"/>
      <c r="L31" s="9"/>
      <c r="M31" s="9"/>
      <c r="N31" s="15"/>
      <c r="O31" s="9"/>
      <c r="P31" s="9"/>
      <c r="Q31" s="9"/>
      <c r="R31" s="9"/>
      <c r="S31" s="9"/>
      <c r="T31" s="9"/>
      <c r="U31" s="9"/>
    </row>
    <row r="32" s="1" customFormat="1" customHeight="1" spans="1:21">
      <c r="A32" s="11">
        <f t="shared" si="0"/>
        <v>44148</v>
      </c>
      <c r="B32" s="9"/>
      <c r="C32" s="9"/>
      <c r="D32" s="9"/>
      <c r="E32" s="15"/>
      <c r="F32" s="9"/>
      <c r="G32" s="9"/>
      <c r="H32" s="9"/>
      <c r="I32" s="9"/>
      <c r="J32" s="9"/>
      <c r="K32" s="9"/>
      <c r="L32" s="9"/>
      <c r="M32" s="9"/>
      <c r="N32" s="15"/>
      <c r="O32" s="9"/>
      <c r="P32" s="9"/>
      <c r="Q32" s="9"/>
      <c r="R32" s="9"/>
      <c r="S32" s="9"/>
      <c r="T32" s="9"/>
      <c r="U32" s="9"/>
    </row>
    <row r="33" s="1" customFormat="1" customHeight="1" spans="1:21">
      <c r="A33" s="11">
        <f t="shared" si="0"/>
        <v>44149</v>
      </c>
      <c r="B33" s="9"/>
      <c r="C33" s="9"/>
      <c r="D33" s="9"/>
      <c r="E33" s="15"/>
      <c r="F33" s="9"/>
      <c r="G33" s="9"/>
      <c r="H33" s="9"/>
      <c r="I33" s="9"/>
      <c r="J33" s="9"/>
      <c r="K33" s="9"/>
      <c r="L33" s="9"/>
      <c r="M33" s="9"/>
      <c r="N33" s="15"/>
      <c r="O33" s="9"/>
      <c r="P33" s="9"/>
      <c r="Q33" s="9"/>
      <c r="R33" s="9"/>
      <c r="S33" s="9"/>
      <c r="T33" s="9"/>
      <c r="U33" s="9"/>
    </row>
    <row r="34" s="1" customFormat="1" customHeight="1" spans="1:21">
      <c r="A34" s="11">
        <f t="shared" si="0"/>
        <v>44150</v>
      </c>
      <c r="B34" s="9"/>
      <c r="C34" s="9"/>
      <c r="D34" s="9"/>
      <c r="E34" s="15"/>
      <c r="F34" s="9"/>
      <c r="G34" s="9"/>
      <c r="H34" s="9"/>
      <c r="I34" s="9"/>
      <c r="J34" s="9"/>
      <c r="K34" s="9"/>
      <c r="L34" s="9"/>
      <c r="M34" s="9"/>
      <c r="N34" s="15"/>
      <c r="O34" s="9"/>
      <c r="P34" s="9"/>
      <c r="Q34" s="9"/>
      <c r="R34" s="9"/>
      <c r="S34" s="9"/>
      <c r="T34" s="9"/>
      <c r="U34" s="9"/>
    </row>
    <row r="35" s="1" customFormat="1" customHeight="1" spans="1:21">
      <c r="A35" s="11">
        <f t="shared" si="0"/>
        <v>44151</v>
      </c>
      <c r="B35" s="9"/>
      <c r="C35" s="9"/>
      <c r="D35" s="9"/>
      <c r="E35" s="15"/>
      <c r="F35" s="9"/>
      <c r="G35" s="9"/>
      <c r="H35" s="9"/>
      <c r="I35" s="9"/>
      <c r="J35" s="9"/>
      <c r="K35" s="9"/>
      <c r="L35" s="9"/>
      <c r="M35" s="9"/>
      <c r="N35" s="15"/>
      <c r="O35" s="9"/>
      <c r="P35" s="9"/>
      <c r="Q35" s="9"/>
      <c r="R35" s="9"/>
      <c r="S35" s="9"/>
      <c r="T35" s="9"/>
      <c r="U35" s="9"/>
    </row>
    <row r="36" s="1" customFormat="1" customHeight="1" spans="1:21">
      <c r="A36" s="11">
        <f t="shared" si="0"/>
        <v>44152</v>
      </c>
      <c r="B36" s="9"/>
      <c r="C36" s="9"/>
      <c r="D36" s="9"/>
      <c r="E36" s="15"/>
      <c r="F36" s="9"/>
      <c r="G36" s="9"/>
      <c r="H36" s="9"/>
      <c r="I36" s="9"/>
      <c r="J36" s="9"/>
      <c r="K36" s="9"/>
      <c r="L36" s="9"/>
      <c r="M36" s="9"/>
      <c r="N36" s="15"/>
      <c r="O36" s="9"/>
      <c r="P36" s="9"/>
      <c r="Q36" s="9"/>
      <c r="R36" s="9"/>
      <c r="S36" s="9"/>
      <c r="T36" s="9"/>
      <c r="U36" s="9"/>
    </row>
    <row r="37" s="1" customFormat="1" customHeight="1" spans="1:21">
      <c r="A37" s="11">
        <f t="shared" si="0"/>
        <v>44153</v>
      </c>
      <c r="B37" s="9"/>
      <c r="C37" s="9"/>
      <c r="D37" s="9"/>
      <c r="E37" s="15"/>
      <c r="F37" s="9"/>
      <c r="G37" s="9"/>
      <c r="H37" s="9"/>
      <c r="I37" s="9"/>
      <c r="J37" s="9"/>
      <c r="K37" s="9"/>
      <c r="L37" s="9"/>
      <c r="M37" s="9"/>
      <c r="N37" s="15"/>
      <c r="O37" s="9"/>
      <c r="P37" s="9"/>
      <c r="Q37" s="9"/>
      <c r="R37" s="9"/>
      <c r="S37" s="9"/>
      <c r="T37" s="9"/>
      <c r="U37" s="9"/>
    </row>
    <row r="38" s="1" customFormat="1" customHeight="1" spans="1:21">
      <c r="A38" s="11">
        <f t="shared" si="0"/>
        <v>44154</v>
      </c>
      <c r="B38" s="9"/>
      <c r="C38" s="9"/>
      <c r="D38" s="9"/>
      <c r="E38" s="15"/>
      <c r="F38" s="9"/>
      <c r="G38" s="9"/>
      <c r="H38" s="9"/>
      <c r="I38" s="9"/>
      <c r="J38" s="9"/>
      <c r="K38" s="9"/>
      <c r="L38" s="9"/>
      <c r="M38" s="9"/>
      <c r="N38" s="15"/>
      <c r="O38" s="9"/>
      <c r="P38" s="9"/>
      <c r="Q38" s="9"/>
      <c r="R38" s="9"/>
      <c r="S38" s="9"/>
      <c r="T38" s="9"/>
      <c r="U38" s="9"/>
    </row>
    <row r="39" s="1" customFormat="1" customHeight="1" spans="1:21">
      <c r="A39" s="11">
        <f t="shared" si="0"/>
        <v>44155</v>
      </c>
      <c r="B39" s="9"/>
      <c r="C39" s="9"/>
      <c r="D39" s="9"/>
      <c r="E39" s="15"/>
      <c r="F39" s="9"/>
      <c r="G39" s="9"/>
      <c r="H39" s="9"/>
      <c r="I39" s="9"/>
      <c r="J39" s="9"/>
      <c r="K39" s="9"/>
      <c r="L39" s="9"/>
      <c r="M39" s="9"/>
      <c r="N39" s="15"/>
      <c r="O39" s="9"/>
      <c r="P39" s="9"/>
      <c r="Q39" s="9"/>
      <c r="R39" s="9"/>
      <c r="S39" s="9"/>
      <c r="T39" s="9"/>
      <c r="U39" s="9"/>
    </row>
    <row r="40" s="1" customFormat="1" customHeight="1" spans="1:21">
      <c r="A40" s="11">
        <f t="shared" si="0"/>
        <v>44156</v>
      </c>
      <c r="B40" s="9"/>
      <c r="C40" s="9"/>
      <c r="D40" s="9"/>
      <c r="E40" s="15"/>
      <c r="F40" s="9"/>
      <c r="G40" s="9"/>
      <c r="H40" s="9"/>
      <c r="I40" s="9"/>
      <c r="J40" s="9"/>
      <c r="K40" s="9"/>
      <c r="L40" s="9"/>
      <c r="M40" s="9"/>
      <c r="N40" s="15"/>
      <c r="O40" s="9"/>
      <c r="P40" s="9"/>
      <c r="Q40" s="9"/>
      <c r="R40" s="9"/>
      <c r="S40" s="9"/>
      <c r="T40" s="9"/>
      <c r="U40" s="9"/>
    </row>
    <row r="41" s="1" customFormat="1" customHeight="1" spans="1:21">
      <c r="A41" s="11">
        <f t="shared" si="0"/>
        <v>44157</v>
      </c>
      <c r="B41" s="9"/>
      <c r="C41" s="9"/>
      <c r="D41" s="9"/>
      <c r="E41" s="15"/>
      <c r="F41" s="9"/>
      <c r="G41" s="9"/>
      <c r="H41" s="9"/>
      <c r="I41" s="9"/>
      <c r="J41" s="9"/>
      <c r="K41" s="9"/>
      <c r="L41" s="9"/>
      <c r="M41" s="9"/>
      <c r="N41" s="15"/>
      <c r="O41" s="9"/>
      <c r="P41" s="9"/>
      <c r="Q41" s="9"/>
      <c r="R41" s="9"/>
      <c r="S41" s="9"/>
      <c r="T41" s="9"/>
      <c r="U41" s="9"/>
    </row>
    <row r="42" s="1" customFormat="1" customHeight="1" spans="1:21">
      <c r="A42" s="11">
        <f t="shared" si="0"/>
        <v>44158</v>
      </c>
      <c r="B42" s="9"/>
      <c r="C42" s="9"/>
      <c r="D42" s="9"/>
      <c r="E42" s="15"/>
      <c r="F42" s="9"/>
      <c r="G42" s="9"/>
      <c r="H42" s="9"/>
      <c r="I42" s="9"/>
      <c r="J42" s="9"/>
      <c r="K42" s="9"/>
      <c r="L42" s="9"/>
      <c r="M42" s="9"/>
      <c r="N42" s="15"/>
      <c r="O42" s="9"/>
      <c r="P42" s="9"/>
      <c r="Q42" s="9"/>
      <c r="R42" s="9"/>
      <c r="S42" s="9"/>
      <c r="T42" s="9"/>
      <c r="U42" s="9"/>
    </row>
    <row r="43" s="1" customFormat="1" customHeight="1" spans="1:21">
      <c r="A43" s="11">
        <f t="shared" si="0"/>
        <v>44159</v>
      </c>
      <c r="B43" s="9"/>
      <c r="C43" s="9"/>
      <c r="D43" s="9"/>
      <c r="E43" s="15"/>
      <c r="F43" s="9"/>
      <c r="G43" s="9"/>
      <c r="H43" s="9"/>
      <c r="I43" s="9"/>
      <c r="J43" s="9"/>
      <c r="K43" s="9"/>
      <c r="L43" s="9"/>
      <c r="M43" s="9"/>
      <c r="N43" s="15"/>
      <c r="O43" s="9"/>
      <c r="P43" s="9"/>
      <c r="Q43" s="9"/>
      <c r="R43" s="9"/>
      <c r="S43" s="9"/>
      <c r="T43" s="9"/>
      <c r="U43" s="9"/>
    </row>
    <row r="44" s="1" customFormat="1" customHeight="1" spans="1:21">
      <c r="A44" s="11">
        <f t="shared" si="0"/>
        <v>44160</v>
      </c>
      <c r="B44" s="9"/>
      <c r="C44" s="9"/>
      <c r="D44" s="9"/>
      <c r="E44" s="15"/>
      <c r="F44" s="9"/>
      <c r="G44" s="9"/>
      <c r="H44" s="9"/>
      <c r="I44" s="9"/>
      <c r="J44" s="9"/>
      <c r="K44" s="9"/>
      <c r="L44" s="9"/>
      <c r="M44" s="9"/>
      <c r="N44" s="15"/>
      <c r="O44" s="9"/>
      <c r="P44" s="9"/>
      <c r="Q44" s="9"/>
      <c r="R44" s="9"/>
      <c r="S44" s="9"/>
      <c r="T44" s="9"/>
      <c r="U44" s="9"/>
    </row>
    <row r="45" s="1" customFormat="1" customHeight="1" spans="1:21">
      <c r="A45" s="11">
        <f t="shared" si="0"/>
        <v>44161</v>
      </c>
      <c r="B45" s="9"/>
      <c r="C45" s="9"/>
      <c r="D45" s="9"/>
      <c r="E45" s="15"/>
      <c r="F45" s="9"/>
      <c r="G45" s="9"/>
      <c r="H45" s="9"/>
      <c r="I45" s="9"/>
      <c r="J45" s="9"/>
      <c r="K45" s="9"/>
      <c r="L45" s="9"/>
      <c r="M45" s="9"/>
      <c r="N45" s="15"/>
      <c r="O45" s="9"/>
      <c r="P45" s="9"/>
      <c r="Q45" s="9"/>
      <c r="R45" s="9"/>
      <c r="S45" s="9"/>
      <c r="T45" s="9"/>
      <c r="U45" s="9"/>
    </row>
    <row r="46" s="1" customFormat="1" customHeight="1" spans="1:21">
      <c r="A46" s="11">
        <f t="shared" si="0"/>
        <v>44162</v>
      </c>
      <c r="B46" s="9"/>
      <c r="C46" s="9"/>
      <c r="D46" s="9"/>
      <c r="E46" s="15"/>
      <c r="F46" s="9"/>
      <c r="G46" s="9"/>
      <c r="H46" s="9"/>
      <c r="I46" s="9"/>
      <c r="J46" s="9"/>
      <c r="K46" s="9"/>
      <c r="L46" s="9"/>
      <c r="M46" s="9"/>
      <c r="N46" s="15"/>
      <c r="O46" s="9"/>
      <c r="P46" s="9"/>
      <c r="Q46" s="9"/>
      <c r="R46" s="9"/>
      <c r="S46" s="9"/>
      <c r="T46" s="9"/>
      <c r="U46" s="9"/>
    </row>
    <row r="47" s="1" customFormat="1" customHeight="1" spans="1:21">
      <c r="A47" s="11">
        <f t="shared" si="0"/>
        <v>44163</v>
      </c>
      <c r="B47" s="9"/>
      <c r="C47" s="9"/>
      <c r="D47" s="9"/>
      <c r="E47" s="15"/>
      <c r="F47" s="9"/>
      <c r="G47" s="9"/>
      <c r="H47" s="9"/>
      <c r="I47" s="9"/>
      <c r="J47" s="9"/>
      <c r="K47" s="9"/>
      <c r="L47" s="9"/>
      <c r="M47" s="9"/>
      <c r="N47" s="15"/>
      <c r="O47" s="9"/>
      <c r="P47" s="9"/>
      <c r="Q47" s="9"/>
      <c r="R47" s="9"/>
      <c r="S47" s="9"/>
      <c r="T47" s="9"/>
      <c r="U47" s="9"/>
    </row>
    <row r="48" s="1" customFormat="1" customHeight="1" spans="1:21">
      <c r="A48" s="11">
        <f t="shared" si="0"/>
        <v>44164</v>
      </c>
      <c r="B48" s="9"/>
      <c r="C48" s="9"/>
      <c r="D48" s="9"/>
      <c r="E48" s="15"/>
      <c r="F48" s="9"/>
      <c r="G48" s="9"/>
      <c r="H48" s="9"/>
      <c r="I48" s="9"/>
      <c r="J48" s="9"/>
      <c r="K48" s="9"/>
      <c r="L48" s="9"/>
      <c r="M48" s="9"/>
      <c r="N48" s="15"/>
      <c r="O48" s="9"/>
      <c r="P48" s="9"/>
      <c r="Q48" s="9"/>
      <c r="R48" s="9"/>
      <c r="S48" s="9"/>
      <c r="T48" s="9"/>
      <c r="U48" s="9"/>
    </row>
    <row r="49" s="1" customFormat="1" customHeight="1" spans="1:21">
      <c r="A49" s="11">
        <f t="shared" si="0"/>
        <v>44165</v>
      </c>
      <c r="B49" s="9"/>
      <c r="C49" s="9"/>
      <c r="D49" s="9"/>
      <c r="E49" s="15"/>
      <c r="F49" s="9"/>
      <c r="G49" s="9"/>
      <c r="H49" s="9"/>
      <c r="I49" s="9"/>
      <c r="J49" s="9"/>
      <c r="K49" s="9"/>
      <c r="L49" s="9"/>
      <c r="M49" s="9"/>
      <c r="N49" s="15"/>
      <c r="O49" s="9"/>
      <c r="P49" s="9"/>
      <c r="Q49" s="9"/>
      <c r="R49" s="9"/>
      <c r="S49" s="9"/>
      <c r="T49" s="9"/>
      <c r="U49" s="9"/>
    </row>
    <row r="50" s="1" customFormat="1" customHeight="1" spans="1:21">
      <c r="A50" s="11">
        <f t="shared" si="0"/>
        <v>44166</v>
      </c>
      <c r="B50" s="9"/>
      <c r="C50" s="9"/>
      <c r="D50" s="9"/>
      <c r="E50" s="15"/>
      <c r="F50" s="9"/>
      <c r="G50" s="9"/>
      <c r="H50" s="9"/>
      <c r="I50" s="9"/>
      <c r="J50" s="9"/>
      <c r="K50" s="9"/>
      <c r="L50" s="9"/>
      <c r="M50" s="9"/>
      <c r="N50" s="15"/>
      <c r="O50" s="9"/>
      <c r="P50" s="9"/>
      <c r="Q50" s="9"/>
      <c r="R50" s="9"/>
      <c r="S50" s="9"/>
      <c r="T50" s="9"/>
      <c r="U50" s="9"/>
    </row>
    <row r="51" s="1" customFormat="1" customHeight="1" spans="1:21">
      <c r="A51" s="11">
        <f t="shared" si="0"/>
        <v>44167</v>
      </c>
      <c r="B51" s="9"/>
      <c r="C51" s="9"/>
      <c r="D51" s="9"/>
      <c r="E51" s="15"/>
      <c r="F51" s="9"/>
      <c r="G51" s="9"/>
      <c r="H51" s="9"/>
      <c r="I51" s="9"/>
      <c r="J51" s="9"/>
      <c r="K51" s="9"/>
      <c r="L51" s="9"/>
      <c r="M51" s="9"/>
      <c r="N51" s="15"/>
      <c r="O51" s="9"/>
      <c r="P51" s="9"/>
      <c r="Q51" s="9"/>
      <c r="R51" s="9"/>
      <c r="S51" s="9"/>
      <c r="T51" s="9"/>
      <c r="U51" s="9"/>
    </row>
    <row r="52" s="1" customFormat="1" customHeight="1" spans="1:21">
      <c r="A52" s="11">
        <f t="shared" si="0"/>
        <v>44168</v>
      </c>
      <c r="B52" s="9"/>
      <c r="C52" s="9"/>
      <c r="D52" s="9"/>
      <c r="E52" s="15"/>
      <c r="F52" s="9"/>
      <c r="G52" s="9"/>
      <c r="H52" s="9"/>
      <c r="I52" s="9"/>
      <c r="J52" s="9"/>
      <c r="K52" s="9"/>
      <c r="L52" s="9"/>
      <c r="M52" s="9"/>
      <c r="N52" s="15"/>
      <c r="O52" s="9"/>
      <c r="P52" s="9"/>
      <c r="Q52" s="9"/>
      <c r="R52" s="9"/>
      <c r="S52" s="9"/>
      <c r="T52" s="9"/>
      <c r="U52" s="9"/>
    </row>
    <row r="53" s="1" customFormat="1" customHeight="1" spans="1:21">
      <c r="A53" s="11">
        <f t="shared" si="0"/>
        <v>44169</v>
      </c>
      <c r="B53" s="9"/>
      <c r="C53" s="9"/>
      <c r="D53" s="9"/>
      <c r="E53" s="15"/>
      <c r="F53" s="9"/>
      <c r="G53" s="9"/>
      <c r="H53" s="9"/>
      <c r="I53" s="9"/>
      <c r="J53" s="9"/>
      <c r="K53" s="9"/>
      <c r="L53" s="9"/>
      <c r="M53" s="9"/>
      <c r="N53" s="15"/>
      <c r="O53" s="9"/>
      <c r="P53" s="9"/>
      <c r="Q53" s="9"/>
      <c r="R53" s="9"/>
      <c r="S53" s="9"/>
      <c r="T53" s="9"/>
      <c r="U53" s="9"/>
    </row>
    <row r="54" s="1" customFormat="1" customHeight="1" spans="1:21">
      <c r="A54" s="11">
        <f t="shared" ref="A54:A63" si="1">A53+1</f>
        <v>44170</v>
      </c>
      <c r="B54" s="9"/>
      <c r="C54" s="9"/>
      <c r="D54" s="9"/>
      <c r="E54" s="15"/>
      <c r="F54" s="9"/>
      <c r="G54" s="9"/>
      <c r="H54" s="9"/>
      <c r="I54" s="9"/>
      <c r="J54" s="9"/>
      <c r="K54" s="9"/>
      <c r="L54" s="9"/>
      <c r="M54" s="9"/>
      <c r="N54" s="15"/>
      <c r="O54" s="9"/>
      <c r="P54" s="9"/>
      <c r="Q54" s="9"/>
      <c r="R54" s="9"/>
      <c r="S54" s="9"/>
      <c r="T54" s="9"/>
      <c r="U54" s="9"/>
    </row>
    <row r="55" s="1" customFormat="1" customHeight="1" spans="1:21">
      <c r="A55" s="11">
        <f t="shared" si="1"/>
        <v>44171</v>
      </c>
      <c r="B55" s="9"/>
      <c r="C55" s="9"/>
      <c r="D55" s="9"/>
      <c r="E55" s="15"/>
      <c r="F55" s="9"/>
      <c r="G55" s="9"/>
      <c r="H55" s="9"/>
      <c r="I55" s="9"/>
      <c r="J55" s="9"/>
      <c r="K55" s="9"/>
      <c r="L55" s="9"/>
      <c r="M55" s="9"/>
      <c r="N55" s="15"/>
      <c r="O55" s="9"/>
      <c r="P55" s="9"/>
      <c r="Q55" s="9"/>
      <c r="R55" s="9"/>
      <c r="S55" s="9"/>
      <c r="T55" s="9"/>
      <c r="U55" s="9"/>
    </row>
    <row r="56" s="1" customFormat="1" customHeight="1" spans="1:21">
      <c r="A56" s="11">
        <f t="shared" si="1"/>
        <v>44172</v>
      </c>
      <c r="B56" s="9"/>
      <c r="C56" s="9"/>
      <c r="D56" s="9"/>
      <c r="E56" s="15"/>
      <c r="F56" s="9"/>
      <c r="G56" s="9"/>
      <c r="H56" s="9"/>
      <c r="I56" s="9"/>
      <c r="J56" s="9"/>
      <c r="K56" s="9"/>
      <c r="L56" s="9"/>
      <c r="M56" s="9"/>
      <c r="N56" s="15"/>
      <c r="O56" s="9"/>
      <c r="P56" s="9"/>
      <c r="Q56" s="9"/>
      <c r="R56" s="9"/>
      <c r="S56" s="9"/>
      <c r="T56" s="9"/>
      <c r="U56" s="9"/>
    </row>
    <row r="57" s="1" customFormat="1" customHeight="1" spans="1:21">
      <c r="A57" s="11">
        <f t="shared" si="1"/>
        <v>44173</v>
      </c>
      <c r="B57" s="9"/>
      <c r="C57" s="9"/>
      <c r="D57" s="9"/>
      <c r="E57" s="15"/>
      <c r="F57" s="9"/>
      <c r="G57" s="9"/>
      <c r="H57" s="9"/>
      <c r="I57" s="9"/>
      <c r="J57" s="9"/>
      <c r="K57" s="9"/>
      <c r="L57" s="9"/>
      <c r="M57" s="9"/>
      <c r="N57" s="15"/>
      <c r="O57" s="9"/>
      <c r="P57" s="9"/>
      <c r="Q57" s="9"/>
      <c r="R57" s="9"/>
      <c r="S57" s="9"/>
      <c r="T57" s="9"/>
      <c r="U57" s="9"/>
    </row>
    <row r="58" s="1" customFormat="1" customHeight="1" spans="1:21">
      <c r="A58" s="11">
        <f t="shared" si="1"/>
        <v>44174</v>
      </c>
      <c r="B58" s="9"/>
      <c r="C58" s="9"/>
      <c r="D58" s="9"/>
      <c r="E58" s="15"/>
      <c r="F58" s="9"/>
      <c r="G58" s="9"/>
      <c r="H58" s="9"/>
      <c r="I58" s="9"/>
      <c r="J58" s="9"/>
      <c r="K58" s="9"/>
      <c r="L58" s="9"/>
      <c r="M58" s="9"/>
      <c r="N58" s="15"/>
      <c r="O58" s="9"/>
      <c r="P58" s="9"/>
      <c r="Q58" s="9"/>
      <c r="R58" s="9"/>
      <c r="S58" s="9"/>
      <c r="T58" s="9"/>
      <c r="U58" s="9"/>
    </row>
    <row r="59" s="1" customFormat="1" customHeight="1" spans="1:21">
      <c r="A59" s="11">
        <f t="shared" si="1"/>
        <v>44175</v>
      </c>
      <c r="B59" s="9"/>
      <c r="C59" s="9"/>
      <c r="D59" s="9"/>
      <c r="E59" s="15"/>
      <c r="F59" s="9"/>
      <c r="G59" s="9"/>
      <c r="H59" s="9"/>
      <c r="I59" s="9"/>
      <c r="J59" s="9"/>
      <c r="K59" s="9"/>
      <c r="L59" s="9"/>
      <c r="M59" s="9"/>
      <c r="N59" s="15"/>
      <c r="O59" s="9"/>
      <c r="P59" s="9"/>
      <c r="Q59" s="9"/>
      <c r="R59" s="9"/>
      <c r="S59" s="9"/>
      <c r="T59" s="9"/>
      <c r="U59" s="9"/>
    </row>
    <row r="60" s="1" customFormat="1" customHeight="1" spans="1:21">
      <c r="A60" s="11">
        <f t="shared" si="1"/>
        <v>44176</v>
      </c>
      <c r="B60" s="9"/>
      <c r="C60" s="9"/>
      <c r="D60" s="9"/>
      <c r="E60" s="15"/>
      <c r="F60" s="9"/>
      <c r="G60" s="9"/>
      <c r="H60" s="9"/>
      <c r="I60" s="9"/>
      <c r="J60" s="9"/>
      <c r="K60" s="9"/>
      <c r="L60" s="9"/>
      <c r="M60" s="9"/>
      <c r="N60" s="15"/>
      <c r="O60" s="9"/>
      <c r="P60" s="9"/>
      <c r="Q60" s="9"/>
      <c r="R60" s="9"/>
      <c r="S60" s="9"/>
      <c r="T60" s="9"/>
      <c r="U60" s="9"/>
    </row>
    <row r="61" s="1" customFormat="1" customHeight="1" spans="1:21">
      <c r="A61" s="11">
        <f t="shared" si="1"/>
        <v>44177</v>
      </c>
      <c r="B61" s="9"/>
      <c r="C61" s="9"/>
      <c r="D61" s="9"/>
      <c r="E61" s="15"/>
      <c r="F61" s="9"/>
      <c r="G61" s="9"/>
      <c r="H61" s="9"/>
      <c r="I61" s="9"/>
      <c r="J61" s="9"/>
      <c r="K61" s="9"/>
      <c r="L61" s="9"/>
      <c r="M61" s="9"/>
      <c r="N61" s="15"/>
      <c r="O61" s="9"/>
      <c r="P61" s="9"/>
      <c r="Q61" s="9"/>
      <c r="R61" s="9"/>
      <c r="S61" s="9"/>
      <c r="T61" s="9"/>
      <c r="U61" s="9"/>
    </row>
    <row r="62" s="1" customFormat="1" customHeight="1" spans="1:21">
      <c r="A62" s="11">
        <f t="shared" si="1"/>
        <v>44178</v>
      </c>
      <c r="B62" s="9"/>
      <c r="C62" s="9"/>
      <c r="D62" s="9"/>
      <c r="E62" s="15"/>
      <c r="F62" s="9"/>
      <c r="G62" s="9"/>
      <c r="H62" s="9"/>
      <c r="I62" s="9"/>
      <c r="J62" s="9"/>
      <c r="K62" s="9"/>
      <c r="L62" s="9"/>
      <c r="M62" s="9"/>
      <c r="N62" s="15"/>
      <c r="O62" s="9"/>
      <c r="P62" s="9"/>
      <c r="Q62" s="9"/>
      <c r="R62" s="9"/>
      <c r="S62" s="9"/>
      <c r="T62" s="9"/>
      <c r="U62" s="9"/>
    </row>
    <row r="63" s="1" customFormat="1" customHeight="1" spans="1:21">
      <c r="A63" s="11">
        <f t="shared" si="1"/>
        <v>44179</v>
      </c>
      <c r="B63" s="9"/>
      <c r="C63" s="9"/>
      <c r="D63" s="9"/>
      <c r="E63" s="15"/>
      <c r="F63" s="9"/>
      <c r="G63" s="9"/>
      <c r="H63" s="9"/>
      <c r="I63" s="9"/>
      <c r="J63" s="9"/>
      <c r="K63" s="9"/>
      <c r="L63" s="9"/>
      <c r="M63" s="9"/>
      <c r="N63" s="15"/>
      <c r="O63" s="9"/>
      <c r="P63" s="9"/>
      <c r="Q63" s="9"/>
      <c r="R63" s="9"/>
      <c r="S63" s="9"/>
      <c r="T63" s="9"/>
      <c r="U63" s="9"/>
    </row>
  </sheetData>
  <mergeCells count="3">
    <mergeCell ref="A1:M1"/>
    <mergeCell ref="N1:P1"/>
    <mergeCell ref="Q1:U1"/>
  </mergeCells>
  <hyperlinks>
    <hyperlink ref="V1" location="目录!A1" display="目录"/>
  </hyperlinks>
  <pageMargins left="0.75" right="0.75" top="1" bottom="1" header="0.509027777777778" footer="0.509027777777778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10-11月</vt:lpstr>
      <vt:lpstr>目录</vt:lpstr>
      <vt:lpstr>总预算和目标</vt:lpstr>
      <vt:lpstr>日常工作</vt:lpstr>
      <vt:lpstr>推广计划明细</vt:lpstr>
      <vt:lpstr>推广成本</vt:lpstr>
      <vt:lpstr>1.listing文案</vt:lpstr>
      <vt:lpstr>2.关键词库</vt:lpstr>
      <vt:lpstr>3.广告cpc追踪</vt:lpstr>
      <vt:lpstr>4.测评安排</vt:lpstr>
      <vt:lpstr>5.活动申报</vt:lpstr>
      <vt:lpstr>6.对手监控</vt:lpstr>
      <vt:lpstr>7.数据追踪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lovise</cp:lastModifiedBy>
  <dcterms:created xsi:type="dcterms:W3CDTF">2019-09-29T10:19:00Z</dcterms:created>
  <dcterms:modified xsi:type="dcterms:W3CDTF">2023-05-11T09:16:52Z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48DE39A7543547E3B17F63B134B23649_13</vt:lpwstr>
  </property>
</Properties>
</file>