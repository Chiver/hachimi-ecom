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tiff" ContentType="image/tiff"/>
  <Default Extension="tif" ContentType="image/tiff"/>
  <Default Extension="jpeg" ContentType="image/jpe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activeTab="1" xr2:uid="{752BAC88-3D22-6345-9E5D-6A586CA68B77}"/>
  </bookViews>
  <sheets>
    <sheet name="10-11月" sheetId="1" r:id="rId1" state="hidden"/>
    <sheet name="推广计划" sheetId="2" r:id="rId2"/>
    <sheet name="关键词库" sheetId="3" r:id="rId3"/>
    <sheet name="1-文案准备" sheetId="4" r:id="rId4"/>
    <sheet name="2-测评安排" sheetId="5" r:id="rId5"/>
    <sheet name="3-库存跟进" sheetId="6" r:id="rId6"/>
    <sheet name="4-活动申报" sheetId="7" r:id="rId7"/>
    <sheet name="5-竞品跟踪" sheetId="8" r:id="rId8"/>
  </sheets>
  <definedNames>
    <definedName name="_xlnm._FilterDatabase" localSheetId="2">'关键词库'!$A$1:$N$249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AZ10" authorId="0">
      <text>
        <r>
          <rPr>
            <rFont val="宋体"/>
            <b/>
            <color rgb="FF000000"/>
            <sz val="9.0"/>
          </rPr>
          <t xml:space="preserve">预算：50件</t>
        </r>
        <r>
          <t xml:space="preserve">
</t>
        </r>
        <r>
          <t xml:space="preserve">  - 大熊</t>
        </r>
      </text>
    </comment>
    <comment ref="AR11" authorId="0">
      <text>
        <r>
          <rPr>
            <rFont val="宋体"/>
            <b/>
            <color rgb="FF000000"/>
            <sz val="9.0"/>
          </rPr>
          <t xml:space="preserve">预算：50件</t>
        </r>
        <r>
          <t xml:space="preserve">
</t>
        </r>
        <r>
          <t xml:space="preserve">  - 大熊</t>
        </r>
      </text>
    </comment>
    <comment ref="AZ16" authorId="0">
      <text>
        <r>
          <rPr>
            <rFont val="宋体"/>
            <b/>
            <color rgb="FF000000"/>
            <sz val="9.0"/>
          </rPr>
          <t xml:space="preserve">预算：100件</t>
        </r>
        <r>
          <t xml:space="preserve">
</t>
        </r>
        <r>
          <t xml:space="preserve">  - 大熊</t>
        </r>
      </text>
    </comment>
    <comment ref="AH13" authorId="0">
      <text>
        <r>
          <rPr>
            <rFont val="宋体"/>
            <b/>
            <color rgb="FF000000"/>
            <sz val="9.0"/>
          </rPr>
          <t xml:space="preserve">在做活动之前加量测评，引导活动进行。</t>
        </r>
        <r>
          <t xml:space="preserve">
</t>
        </r>
        <r>
          <t xml:space="preserve">  - 大熊</t>
        </r>
      </text>
    </comment>
    <comment ref="A9" authorId="0">
      <text>
        <r>
          <rPr>
            <rFont val="宋体"/>
            <b/>
            <color rgb="FF000000"/>
            <sz val="9.0"/>
          </rPr>
          <t xml:space="preserve">测评：50件
LD：50件
BD：100件
站外Deals：50件
销售订单：10*30=300件</t>
        </r>
        <r>
          <t xml:space="preserve">
</t>
        </r>
        <r>
          <t xml:space="preserve">  - 大熊</t>
        </r>
      </text>
    </comment>
    <comment ref="L4" authorId="0">
      <text>
        <r>
          <rPr>
            <rFont val="宋体"/>
            <b/>
            <sz val="9.0"/>
          </rPr>
          <t xml:space="preserve">新品推广的价格上升区间，可以每周上调0.5刀，也可以每2周上调1刀</t>
        </r>
        <r>
          <t xml:space="preserve">
</t>
        </r>
        <r>
          <t xml:space="preserve">  - 大熊</t>
        </r>
      </text>
    </comment>
    <comment ref="AH12" authorId="0">
      <text>
        <r>
          <rPr>
            <rFont val="宋体"/>
            <b/>
            <color rgb="FF000000"/>
            <sz val="9.0"/>
          </rPr>
          <t xml:space="preserve">在做活动之前加量测评，引导活动进行。</t>
        </r>
        <r>
          <t xml:space="preserve">
</t>
        </r>
        <r>
          <t xml:space="preserve">  - 大熊</t>
        </r>
      </text>
    </comment>
    <comment ref="AR8" authorId="0">
      <text>
        <r>
          <rPr>
            <rFont val="宋体"/>
            <b/>
            <color rgb="FF000000"/>
            <sz val="9.0"/>
          </rPr>
          <t xml:space="preserve">预算：50件</t>
        </r>
        <r>
          <t xml:space="preserve">
</t>
        </r>
        <r>
          <t xml:space="preserve">  - 大熊</t>
        </r>
      </text>
    </comment>
    <comment ref="H4" authorId="0">
      <text>
        <r>
          <rPr>
            <rFont val="宋体"/>
            <b/>
            <sz val="9.0"/>
          </rPr>
          <t xml:space="preserve">实际的测评订单</t>
        </r>
        <r>
          <t xml:space="preserve">
</t>
        </r>
        <r>
          <t xml:space="preserve">  - 大熊</t>
        </r>
      </text>
    </comment>
    <comment ref="AH11" authorId="0">
      <text>
        <r>
          <rPr>
            <rFont val="宋体"/>
            <b/>
            <color rgb="FF000000"/>
            <sz val="9.0"/>
          </rPr>
          <t xml:space="preserve">在做活动之前加量测评，引导活动进行。</t>
        </r>
        <r>
          <t xml:space="preserve">
</t>
        </r>
        <r>
          <t xml:space="preserve">  - 大熊</t>
        </r>
      </text>
    </comment>
    <comment ref="AR14" authorId="0">
      <text>
        <r>
          <rPr>
            <rFont val="宋体"/>
            <b/>
            <color rgb="FF000000"/>
            <sz val="9.0"/>
          </rPr>
          <t xml:space="preserve">预算：100件</t>
        </r>
        <r>
          <t xml:space="preserve">
</t>
        </r>
        <r>
          <t xml:space="preserve">  - 大熊</t>
        </r>
      </text>
    </comment>
    <comment ref="A13" authorId="0">
      <text>
        <r>
          <rPr>
            <rFont val="宋体"/>
            <b/>
            <color rgb="FF000000"/>
            <sz val="9.0"/>
          </rPr>
          <t xml:space="preserve">测评：100件
LD：100件
BD：100件
站外Deals：200件
销售订单：20*30=600件</t>
        </r>
        <r>
          <t xml:space="preserve">
</t>
        </r>
        <r>
          <t xml:space="preserve">  - 大熊</t>
        </r>
      </text>
    </comment>
    <comment ref="AH10" authorId="0">
      <text>
        <r>
          <rPr>
            <rFont val="宋体"/>
            <b/>
            <color rgb="FF000000"/>
            <sz val="9.0"/>
          </rPr>
          <t xml:space="preserve">在做活动之前加量测评，引导活动进行。</t>
        </r>
        <r>
          <t xml:space="preserve">
</t>
        </r>
        <r>
          <t xml:space="preserve">  - 大熊</t>
        </r>
      </text>
    </comment>
    <comment ref="E4" authorId="0">
      <text>
        <r>
          <rPr>
            <rFont val="宋体"/>
            <b/>
            <sz val="9.0"/>
          </rPr>
          <t xml:space="preserve">广告订单、自然订单预测</t>
        </r>
        <r>
          <t xml:space="preserve">
</t>
        </r>
        <r>
          <t xml:space="preserve">  - 大熊</t>
        </r>
      </text>
    </comment>
    <comment ref="AV12" authorId="0">
      <text>
        <r>
          <rPr>
            <rFont val="宋体"/>
            <b/>
            <color rgb="FF000000"/>
            <sz val="9.0"/>
          </rPr>
          <t xml:space="preserve">预算：50件</t>
        </r>
        <r>
          <t xml:space="preserve">
</t>
        </r>
        <r>
          <t xml:space="preserve">  - 大熊</t>
        </r>
      </text>
    </comment>
    <comment ref="AZ13" authorId="0">
      <text>
        <r>
          <rPr>
            <rFont val="宋体"/>
            <b/>
            <color rgb="FF000000"/>
            <sz val="9.0"/>
          </rPr>
          <t xml:space="preserve">预算：100件</t>
        </r>
        <r>
          <t xml:space="preserve">
</t>
        </r>
        <r>
          <t xml:space="preserve">  - 大熊</t>
        </r>
      </text>
    </comment>
    <comment ref="AH16" authorId="0">
      <text>
        <r>
          <rPr>
            <rFont val="宋体"/>
            <b/>
            <color rgb="FF000000"/>
            <sz val="9.0"/>
          </rPr>
          <t xml:space="preserve">在做活动之前加量测评，引导活动进行。</t>
        </r>
        <r>
          <t xml:space="preserve">
</t>
        </r>
        <r>
          <t xml:space="preserve">  - 大熊</t>
        </r>
      </text>
    </comment>
    <comment ref="AV9" authorId="0">
      <text>
        <r>
          <rPr>
            <rFont val="宋体"/>
            <b/>
            <color rgb="FF000000"/>
            <sz val="9.0"/>
          </rPr>
          <t xml:space="preserve">预算：50件</t>
        </r>
        <r>
          <t xml:space="preserve">
</t>
        </r>
        <r>
          <t xml:space="preserve">  - 大熊</t>
        </r>
      </text>
    </comment>
    <comment ref="AH15" authorId="0">
      <text>
        <r>
          <rPr>
            <rFont val="宋体"/>
            <b/>
            <color rgb="FF000000"/>
            <sz val="9.0"/>
          </rPr>
          <t xml:space="preserve">在做活动之前加量测评，引导活动进行。</t>
        </r>
        <r>
          <t xml:space="preserve">
</t>
        </r>
        <r>
          <t xml:space="preserve">  - 大熊</t>
        </r>
      </text>
    </comment>
    <comment ref="G4" authorId="0">
      <text>
        <r>
          <rPr>
            <rFont val="宋体"/>
            <b/>
            <sz val="9.0"/>
          </rPr>
          <t xml:space="preserve">实际的自然订单和广告订单</t>
        </r>
        <r>
          <t xml:space="preserve">
</t>
        </r>
        <r>
          <t xml:space="preserve">  - 大熊</t>
        </r>
      </text>
    </comment>
    <comment ref="AH14" authorId="0">
      <text>
        <r>
          <rPr>
            <rFont val="宋体"/>
            <b/>
            <color rgb="FF000000"/>
            <sz val="9.0"/>
          </rPr>
          <t xml:space="preserve">在做活动之前加量测评，引导活动进行。</t>
        </r>
        <r>
          <t xml:space="preserve">
</t>
        </r>
        <r>
          <t xml:space="preserve">  - 大熊</t>
        </r>
      </text>
    </comment>
    <comment ref="BJ4" authorId="0">
      <text>
        <r>
          <rPr>
            <rFont val="微软雅黑"/>
            <color rgb="FF000000"/>
            <sz val="9.0"/>
          </rPr>
          <t xml:space="preserve">广告坑位不在前三页，打”/”,须加钱或换词</t>
        </r>
        <r>
          <t xml:space="preserve">
</t>
        </r>
        <r>
          <t xml:space="preserve">  - 大熊</t>
        </r>
      </text>
    </comment>
    <comment ref="AH9" authorId="0">
      <text>
        <r>
          <rPr>
            <rFont val="宋体"/>
            <b/>
            <color rgb="FF000000"/>
            <sz val="9.0"/>
          </rPr>
          <t xml:space="preserve">在做活动之前加量测评，引导活动进行。</t>
        </r>
        <r>
          <t xml:space="preserve">
</t>
        </r>
        <r>
          <t xml:space="preserve">  - 大熊</t>
        </r>
      </text>
    </comment>
    <comment ref="A5" authorId="0">
      <text>
        <r>
          <rPr>
            <rFont val="宋体"/>
            <b/>
            <color rgb="FF000000"/>
            <sz val="9.0"/>
          </rPr>
          <t xml:space="preserve">测评：30件
LD：50件
销售订单：2*30=60件
</t>
        </r>
        <r>
          <t xml:space="preserve">
</t>
        </r>
        <r>
          <t xml:space="preserve">  - 大熊</t>
        </r>
      </text>
    </comment>
    <comment ref="F4" authorId="0">
      <text>
        <r>
          <rPr>
            <rFont val="宋体"/>
            <b/>
            <sz val="9.0"/>
          </rPr>
          <t xml:space="preserve">测评订单预测</t>
        </r>
        <r>
          <t xml:space="preserve">
</t>
        </r>
        <r>
          <t xml:space="preserve">  - 大熊</t>
        </r>
      </text>
    </comment>
    <comment ref="N1" authorId="0">
      <text>
        <r>
          <rPr>
            <rFont val="微软雅黑"/>
            <color rgb="FF000000"/>
            <sz val="9.0"/>
          </rPr>
          <t xml:space="preserve">根据20天采购周期推算出来的</t>
        </r>
        <r>
          <t xml:space="preserve">
</t>
        </r>
        <r>
          <t xml:space="preserve">  - 大熊</t>
        </r>
      </text>
    </comment>
    <comment ref="AV15" authorId="0">
      <text>
        <r>
          <rPr>
            <rFont val="宋体"/>
            <b/>
            <color rgb="FF000000"/>
            <sz val="9.0"/>
          </rPr>
          <t xml:space="preserve">预算：100件</t>
        </r>
        <r>
          <rPr>
            <rFont val="宋体"/>
            <color rgb="FF000000"/>
            <sz val="9.0"/>
          </rPr>
          <t xml:space="preserve">
</t>
        </r>
        <r>
          <t xml:space="preserve">
</t>
        </r>
        <r>
          <t xml:space="preserve">  - 大熊</t>
        </r>
      </text>
    </comment>
    <comment ref="J4" authorId="0">
      <text>
        <r>
          <rPr>
            <rFont val="宋体"/>
            <b/>
            <sz val="9.0"/>
          </rPr>
          <t xml:space="preserve">每周周末统计</t>
        </r>
        <r>
          <t xml:space="preserve">
</t>
        </r>
        <r>
          <t xml:space="preserve">  - 大熊</t>
        </r>
      </text>
    </comment>
  </commentList>
</comments>
</file>

<file path=xl/sharedStrings.xml><?xml version="1.0" encoding="utf-8"?>
<sst xmlns="http://schemas.openxmlformats.org/spreadsheetml/2006/main">
  <si>
    <t>期间</t>
  </si>
  <si>
    <t>汇率</t>
  </si>
  <si>
    <t>销量预估(变量）</t>
  </si>
  <si>
    <t>售价</t>
  </si>
  <si>
    <t>销售额</t>
  </si>
  <si>
    <t>FBA佣金（0.15）</t>
  </si>
  <si>
    <t>FBA配送费（2.41）</t>
  </si>
  <si>
    <t>退货或重发（3%）</t>
  </si>
  <si>
    <t>站内广告（5%-10%）</t>
  </si>
  <si>
    <t>秒杀费用</t>
  </si>
  <si>
    <t>Coupon费用（3%）</t>
  </si>
  <si>
    <t>促销code</t>
  </si>
  <si>
    <t>采购费（￥11）</t>
  </si>
  <si>
    <t>头程费（￥2）</t>
  </si>
  <si>
    <t>推广费用（￥3000）</t>
  </si>
  <si>
    <t>意外开支（0.05）</t>
  </si>
  <si>
    <t>利润</t>
  </si>
  <si>
    <t>利润率</t>
  </si>
  <si>
    <t>广告占比</t>
  </si>
  <si>
    <t>推广占比</t>
  </si>
  <si>
    <t>一期汇总</t>
  </si>
  <si>
    <t>二期汇总</t>
  </si>
  <si>
    <t>三期汇总</t>
  </si>
  <si>
    <t>汇总</t>
  </si>
  <si>
    <t>美国</t>
  </si>
  <si>
    <t>SKU：XXXX</t>
  </si>
  <si>
    <t>首次备货数量</t>
  </si>
  <si>
    <t>交期</t>
  </si>
  <si>
    <t>采购成本</t>
  </si>
  <si>
    <t>销售定价</t>
  </si>
  <si>
    <t>刊登时间</t>
  </si>
  <si>
    <t>头程费用</t>
  </si>
  <si>
    <t>平台佣金</t>
  </si>
  <si>
    <t>配送费</t>
  </si>
  <si>
    <t>仓储费</t>
  </si>
  <si>
    <t>VAT</t>
  </si>
  <si>
    <t>测评</t>
  </si>
  <si>
    <t>QA</t>
  </si>
  <si>
    <t>加购</t>
  </si>
  <si>
    <t>加愿</t>
  </si>
  <si>
    <t>点赞</t>
  </si>
  <si>
    <t>LD</t>
  </si>
  <si>
    <t>BD</t>
  </si>
  <si>
    <t>DEALS</t>
  </si>
  <si>
    <t>促销</t>
  </si>
  <si>
    <t>早期评论人</t>
  </si>
  <si>
    <t>USD</t>
  </si>
  <si>
    <t>变体颜色</t>
  </si>
  <si>
    <t>3天</t>
  </si>
  <si>
    <t>毛利润</t>
  </si>
  <si>
    <t>开售时间</t>
  </si>
  <si>
    <t>$21.99~$25.99</t>
  </si>
  <si>
    <t>主推颜色：颜色1</t>
  </si>
  <si>
    <t>上架颜色：颜色2、颜色3</t>
  </si>
  <si>
    <t>上架尺寸：4/6/8/10</t>
  </si>
  <si>
    <t>月份</t>
  </si>
  <si>
    <t>周数</t>
  </si>
  <si>
    <t>FROM</t>
  </si>
  <si>
    <t>TO</t>
  </si>
  <si>
    <t>实际销量
目标</t>
  </si>
  <si>
    <t>活动销量
目标</t>
  </si>
  <si>
    <t>实际
销量</t>
  </si>
  <si>
    <t>活动
销量</t>
  </si>
  <si>
    <t>日均
销量</t>
  </si>
  <si>
    <t>可售
库存</t>
  </si>
  <si>
    <t>阶段
动销比</t>
  </si>
  <si>
    <t>阶段
售价</t>
  </si>
  <si>
    <t>预计阶段
毛利润</t>
  </si>
  <si>
    <t>预计阶段
毛利率</t>
  </si>
  <si>
    <t>实际阶段
毛利润</t>
  </si>
  <si>
    <t>实际阶段
毛利率</t>
  </si>
  <si>
    <t>备货</t>
  </si>
  <si>
    <t>预计货
本投入</t>
  </si>
  <si>
    <t>实际货
本投入</t>
  </si>
  <si>
    <t>预计头
程投入</t>
  </si>
  <si>
    <t>实际头
程投入</t>
  </si>
  <si>
    <t>预计营
销投入</t>
  </si>
  <si>
    <t>实际营
销投入</t>
  </si>
  <si>
    <t>预计
总产出</t>
  </si>
  <si>
    <t>实际
总产出</t>
  </si>
  <si>
    <t>预计
总投入</t>
  </si>
  <si>
    <t>实际
总投入</t>
  </si>
  <si>
    <t>预计ROI</t>
  </si>
  <si>
    <t>实际ROI</t>
  </si>
  <si>
    <t>目标星级</t>
  </si>
  <si>
    <t>实际星级</t>
  </si>
  <si>
    <t>月退货率</t>
  </si>
  <si>
    <t>月总结</t>
  </si>
  <si>
    <t>测评
数量</t>
  </si>
  <si>
    <t>完成
情况</t>
  </si>
  <si>
    <t>LD
产出</t>
  </si>
  <si>
    <t>LD
实际产出</t>
  </si>
  <si>
    <t>BD
产出</t>
  </si>
  <si>
    <t>BD
实际产出</t>
  </si>
  <si>
    <t>站外DEALS</t>
  </si>
  <si>
    <t>Deals
产出</t>
  </si>
  <si>
    <t>Deals
实际产出</t>
  </si>
  <si>
    <t>Coupon</t>
  </si>
  <si>
    <t>早期
评论人</t>
  </si>
  <si>
    <t>CPC
关键词上首页</t>
  </si>
  <si>
    <t>CPC费用</t>
  </si>
  <si>
    <t>第
一
个
月</t>
  </si>
  <si>
    <r>
      <rPr>
        <b/>
        <color rgb="FF000000"/>
        <rFont val="微软雅黑"/>
        <sz val="10"/>
      </rPr>
      <t xml:space="preserve">第一批备货：
第二批备货： 
</t>
    </r>
    <r>
      <rPr>
        <b/>
        <color rgb="FFFF0000"/>
        <rFont val="微软雅黑"/>
        <sz val="10"/>
      </rPr>
      <t xml:space="preserve">第三批备货：</t>
    </r>
  </si>
  <si>
    <t>/</t>
  </si>
  <si>
    <t>买二10%off</t>
  </si>
  <si>
    <t>第
二
个
月</t>
  </si>
  <si>
    <t xml:space="preserve"> </t>
  </si>
  <si>
    <t>第
三
个
月</t>
  </si>
  <si>
    <t>总计</t>
  </si>
  <si>
    <t>单SPU销售周期内（年度）投入产出明细</t>
  </si>
  <si>
    <t>第1个月</t>
  </si>
  <si>
    <t>第2个月</t>
  </si>
  <si>
    <t>第3个月</t>
  </si>
  <si>
    <t>第4个月</t>
  </si>
  <si>
    <t>第5个月</t>
  </si>
  <si>
    <t>第6个月</t>
  </si>
  <si>
    <t>第7个月</t>
  </si>
  <si>
    <t>第8个月</t>
  </si>
  <si>
    <t>第9个月</t>
  </si>
  <si>
    <t>第10个月</t>
  </si>
  <si>
    <t>第11个月</t>
  </si>
  <si>
    <t>第12个月</t>
  </si>
  <si>
    <t>第13个月</t>
  </si>
  <si>
    <t>预演推算数据</t>
  </si>
  <si>
    <t>预计货本投入</t>
  </si>
  <si>
    <t>预计头程投入</t>
  </si>
  <si>
    <t>预计营销投入</t>
  </si>
  <si>
    <t>预计阶段总投入</t>
  </si>
  <si>
    <t>预计阶段总产出</t>
  </si>
  <si>
    <t>预计ROI（未含退货率）</t>
  </si>
  <si>
    <t>预计毛利润</t>
  </si>
  <si>
    <t>预计毛利润率</t>
  </si>
  <si>
    <t>实际运营数据</t>
  </si>
  <si>
    <t>实际货本投入</t>
  </si>
  <si>
    <t>实际头程投入</t>
  </si>
  <si>
    <t>实际营销投入</t>
  </si>
  <si>
    <t>实际阶段总投入</t>
  </si>
  <si>
    <t>实际阶段总产出</t>
  </si>
  <si>
    <t>实际ROI（未含退货率）</t>
  </si>
  <si>
    <t>实际毛利润</t>
  </si>
  <si>
    <t>实际毛利润率</t>
  </si>
  <si>
    <t>关键词分组</t>
  </si>
  <si>
    <t>关键词</t>
  </si>
  <si>
    <t>月点击量</t>
  </si>
  <si>
    <t>月搜索量</t>
  </si>
  <si>
    <t>搜索结果数</t>
  </si>
  <si>
    <t>总销量</t>
  </si>
  <si>
    <t>平均价格</t>
  </si>
  <si>
    <t>评论总数</t>
  </si>
  <si>
    <t>平均评论数</t>
  </si>
  <si>
    <t>平均评分</t>
  </si>
  <si>
    <t>平均上架时间</t>
  </si>
  <si>
    <t>中国卖家比例</t>
  </si>
  <si>
    <t>Amazon自营比例</t>
  </si>
  <si>
    <t>主搜类目</t>
  </si>
  <si>
    <t>属性1</t>
  </si>
  <si>
    <t>属性2</t>
  </si>
  <si>
    <t>属性3</t>
  </si>
  <si>
    <t>属性4</t>
  </si>
  <si>
    <t>属性5</t>
  </si>
  <si>
    <t>属性6</t>
  </si>
  <si>
    <t>属性7</t>
  </si>
  <si>
    <t>属性8</t>
  </si>
  <si>
    <t>属性9</t>
  </si>
  <si>
    <t>属性10</t>
  </si>
  <si>
    <t>通用词</t>
  </si>
  <si>
    <t>变体数量：3</t>
  </si>
  <si>
    <t>变体一：颜色1</t>
  </si>
  <si>
    <t>变体二：颜色2</t>
  </si>
  <si>
    <t>变体三：颜色</t>
  </si>
  <si>
    <t>产品等级：新品</t>
  </si>
  <si>
    <t>SKU No.</t>
  </si>
  <si>
    <t>UPC</t>
  </si>
  <si>
    <t>ASIN</t>
  </si>
  <si>
    <t>FNSKU</t>
  </si>
  <si>
    <t>上传时间：</t>
  </si>
  <si>
    <t>开售时间：</t>
  </si>
  <si>
    <t>公司款号：
201112-95W19</t>
  </si>
  <si>
    <t>品牌</t>
  </si>
  <si>
    <t>售价区间</t>
  </si>
  <si>
    <t>小类类目</t>
  </si>
  <si>
    <t>大类类目</t>
  </si>
  <si>
    <t>包装参数</t>
  </si>
  <si>
    <t>三个维度前5名关键词</t>
  </si>
  <si>
    <t>关键词分析</t>
  </si>
  <si>
    <t>（上面关键词的合集）</t>
  </si>
  <si>
    <t>标题</t>
  </si>
  <si>
    <t>颜色：XXXXX，尺寸：XXXXX</t>
  </si>
  <si>
    <t>Search Terms</t>
  </si>
  <si>
    <t>5点
描述</t>
  </si>
  <si>
    <t>1、</t>
  </si>
  <si>
    <t>2、</t>
  </si>
  <si>
    <t>3、</t>
  </si>
  <si>
    <t>4、</t>
  </si>
  <si>
    <t>5、</t>
  </si>
  <si>
    <t>评价</t>
  </si>
  <si>
    <t>标题：
评价：</t>
  </si>
  <si>
    <t>6、</t>
  </si>
  <si>
    <t>7、</t>
  </si>
  <si>
    <t>8、</t>
  </si>
  <si>
    <t>9、</t>
  </si>
  <si>
    <t>10、</t>
  </si>
  <si>
    <t>Q&amp;A</t>
  </si>
  <si>
    <t>问：
答：</t>
  </si>
  <si>
    <t>11、</t>
  </si>
  <si>
    <t>12、</t>
  </si>
  <si>
    <t>13、</t>
  </si>
  <si>
    <t>14、</t>
  </si>
  <si>
    <t>15、</t>
  </si>
  <si>
    <t>16、</t>
  </si>
  <si>
    <t>17、</t>
  </si>
  <si>
    <t>18、</t>
  </si>
  <si>
    <t>19、</t>
  </si>
  <si>
    <t>20、</t>
  </si>
  <si>
    <t>详情描述（DESCRIPTION）</t>
  </si>
  <si>
    <t>Why choose our Baby Sound Machine?</t>
  </si>
  <si>
    <t>1. The white noise machine for sleeping gives you 6 nature sounds option. New mom can customize the sound to stop your kids from crying and enjoy sound spa with the baby shusher.
2. It's  lightweight and very convenient for parent to take baby out with the portable sound machine. You can clip the machine on any baby stuff.
3. You can adjust volume and choose 6 corresponding music  with the easily-operated knob switch.
4. The sound machine can automatically stop after 30 mins. So don't worry what if you or your baby fall asleep. And the sound will be activated by voice sensor when your baby crying and play soothing sound.
5. Built-in 1800mah lithium battery last for 10 hours and charged by USB within 3 hours.
6. Easy to wipe and dirty-tolerant sound machine.</t>
  </si>
  <si>
    <t>Specification</t>
  </si>
  <si>
    <t>Model number: SP1802
Material: ABS
Lithium battery: 3.7V/1800mAh
Product Size: H98xφ77mm
Speaker: Diameter 40mm, 8Ω3W,Iron Shell
Package Size: 8.7*8.7*2.8inches
Net weigh: 132g/0.29lb</t>
  </si>
  <si>
    <t>What You Will Get？</t>
  </si>
  <si>
    <t>1 x Sound Machine Baby
1 x USB cable
1 x Instructions
2-year warranty</t>
  </si>
  <si>
    <t>Tips：</t>
  </si>
  <si>
    <t>1.We recommend you don't use too much force to rotate Control device.
2.Never wash your smoothing sounds machine and make it water penetration.
So, what are you waiting for???
Click the Add to Cart button to ORDER it NOW!</t>
  </si>
  <si>
    <t>1、一级标题加粗，首字母统一大写，如“What You Will Get”，统一结束用 ：
2、标题上下空一行
3、用序列号
4、首字母大写
5、包装详情用 X 代替 * ，X 前后要空格，包装列表单词列表首字母大写</t>
  </si>
  <si>
    <t>序号</t>
  </si>
  <si>
    <t>下单时间</t>
  </si>
  <si>
    <t>买家姓名</t>
  </si>
  <si>
    <t>订单号</t>
  </si>
  <si>
    <t>下单SKU</t>
  </si>
  <si>
    <t>刷单数量</t>
  </si>
  <si>
    <t>买家下单截图</t>
  </si>
  <si>
    <t>本金</t>
  </si>
  <si>
    <t>佣金</t>
  </si>
  <si>
    <t>上评时间</t>
  </si>
  <si>
    <t>上评星级</t>
  </si>
  <si>
    <t>客户 Paypal</t>
  </si>
  <si>
    <t>返款截图</t>
  </si>
  <si>
    <t>留评截图</t>
  </si>
  <si>
    <t>留评链接</t>
  </si>
  <si>
    <t>本金（RMB）</t>
  </si>
  <si>
    <t>佣金（RMB）</t>
  </si>
  <si>
    <t>总计付款</t>
  </si>
  <si>
    <t>时间</t>
  </si>
  <si>
    <t>SKU</t>
  </si>
  <si>
    <t>销售价格</t>
  </si>
  <si>
    <t>近30天
实际销量</t>
  </si>
  <si>
    <t>预计月销量</t>
  </si>
  <si>
    <t>近3天
日均销量</t>
  </si>
  <si>
    <t>近7天
日均销量</t>
  </si>
  <si>
    <t>FBA在售</t>
  </si>
  <si>
    <t>FBA预留</t>
  </si>
  <si>
    <t>FBA在途</t>
  </si>
  <si>
    <t>FBA总量</t>
  </si>
  <si>
    <t>可售天数
(在库)</t>
  </si>
  <si>
    <t>可售天数
(含在途)</t>
  </si>
  <si>
    <t>可售月
(含在途)</t>
  </si>
  <si>
    <t>按实际销量可售月份（含在途）</t>
  </si>
  <si>
    <t>采购计划</t>
  </si>
  <si>
    <t>物流渠道计划</t>
  </si>
  <si>
    <t>最低
采购量</t>
  </si>
  <si>
    <t>安全
库存数量</t>
  </si>
  <si>
    <t>生产周期</t>
  </si>
  <si>
    <t>国内采购
回货天数</t>
  </si>
  <si>
    <t>第一周</t>
  </si>
  <si>
    <t>第二周</t>
  </si>
  <si>
    <t>第三周</t>
  </si>
  <si>
    <t>第四周</t>
  </si>
  <si>
    <t>第五周</t>
  </si>
  <si>
    <t>第六周</t>
  </si>
  <si>
    <t>第七周</t>
  </si>
  <si>
    <t>第八周</t>
  </si>
  <si>
    <t>第九周</t>
  </si>
  <si>
    <t>第十周</t>
  </si>
  <si>
    <t>第十一周</t>
  </si>
  <si>
    <t>第十二周</t>
  </si>
  <si>
    <t>第十三周</t>
  </si>
  <si>
    <t>第十四周</t>
  </si>
  <si>
    <t>第十五周</t>
  </si>
  <si>
    <t>第十六周</t>
  </si>
  <si>
    <t>第十七周</t>
  </si>
  <si>
    <t>第十八周</t>
  </si>
  <si>
    <t>第十九周</t>
  </si>
  <si>
    <t>第二十周</t>
  </si>
  <si>
    <t>店铺</t>
  </si>
  <si>
    <t>提报时间</t>
  </si>
  <si>
    <t>开始时间</t>
  </si>
  <si>
    <t>结束时间</t>
  </si>
  <si>
    <t>折扣</t>
  </si>
  <si>
    <t>Code 码</t>
  </si>
  <si>
    <t>持续时间</t>
  </si>
  <si>
    <t>投放渠道</t>
  </si>
  <si>
    <t>限定数量</t>
  </si>
  <si>
    <t>活动类型</t>
  </si>
  <si>
    <t>使用情况</t>
  </si>
  <si>
    <t>折扣出单</t>
  </si>
  <si>
    <t>提报费</t>
  </si>
  <si>
    <t>活动期间流量</t>
  </si>
  <si>
    <t>排名</t>
  </si>
  <si>
    <t>订单量</t>
  </si>
  <si>
    <t>盈亏</t>
  </si>
  <si>
    <t>活动推进安排</t>
  </si>
  <si>
    <t>后期跟进排名</t>
  </si>
  <si>
    <t>后期跟进订单量</t>
  </si>
  <si>
    <t>OT</t>
  </si>
  <si>
    <t>站外折扣</t>
  </si>
  <si>
    <t>图片</t>
  </si>
  <si>
    <t>竞争对手品牌</t>
  </si>
  <si>
    <t>现售价</t>
  </si>
  <si>
    <t>类目</t>
  </si>
  <si>
    <t>大类排名</t>
  </si>
  <si>
    <t>小类排名</t>
  </si>
  <si>
    <t>近30天
销量</t>
  </si>
  <si>
    <t>一周
排名变化</t>
  </si>
  <si>
    <t>一周
销量变化</t>
  </si>
  <si>
    <t>现Review</t>
  </si>
  <si>
    <t>评分</t>
  </si>
  <si>
    <t>卖家</t>
  </si>
  <si>
    <t>链接</t>
  </si>
  <si>
    <t>FBA费用</t>
  </si>
  <si>
    <t>包装尺寸</t>
  </si>
  <si>
    <t>重量
（Pounds）</t>
  </si>
  <si>
    <t>变体数量</t>
  </si>
  <si>
    <t>主图视频</t>
  </si>
  <si>
    <t>A+</t>
  </si>
  <si>
    <t>促销情况</t>
  </si>
  <si>
    <t>在售天数</t>
  </si>
  <si>
    <t>上架开售
时间</t>
  </si>
  <si>
    <t>首评评论
时间</t>
  </si>
  <si>
    <t>开售首月
上评数量</t>
  </si>
  <si>
    <t>First
购物车价</t>
  </si>
  <si>
    <t>图片亮点</t>
  </si>
  <si>
    <t>卖点亮点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</si>
</sst>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00"/>
    <numFmt numFmtId="165" formatCode="&quot;#&quot;@"/>
    <numFmt numFmtId="166" formatCode="@&quot;天&quot;"/>
    <numFmt numFmtId="167" formatCode="yyyy&quot;年&quot;m&quot;月&quot;d&quot;日&quot;;@"/>
    <numFmt numFmtId="168" formatCode="0.00_ "/>
    <numFmt numFmtId="169" formatCode="yyyy/m/d;@"/>
    <numFmt numFmtId="170" formatCode="0;[Red]0"/>
    <numFmt numFmtId="171" formatCode="0_ "/>
    <numFmt numFmtId="172" formatCode="&quot;￥&quot;#,##0;&quot;￥&quot;\-#,##0"/>
    <numFmt numFmtId="173" formatCode="0.0%"/>
    <numFmt numFmtId="174" formatCode="0.00_);[Red]\(0.00\)"/>
    <numFmt numFmtId="175" formatCode="\¥#,##0.00;\¥\-#,##0.00"/>
    <numFmt numFmtId="176" formatCode="\$#,##0;\-\$#,##0"/>
    <numFmt numFmtId="177" formatCode="\$#,##0_);[Red]\(\$#,##0\)"/>
    <numFmt numFmtId="178" formatCode="0_);[Red]\(0\)"/>
  </numFmts>
  <fonts count="11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微软雅黑"/>
    </font>
    <font>
      <sz val="10"/>
      <color rgb="FF000000"/>
      <name val="宋体"/>
    </font>
    <font>
      <b/>
      <sz val="10"/>
      <color rgb="FF000000"/>
      <name val="微软雅黑"/>
    </font>
    <font>
      <u/>
      <sz val="10"/>
      <color rgb="FF800080"/>
      <name val="微软雅黑"/>
    </font>
    <font>
      <sz val="10"/>
      <color rgb="FF2E3033"/>
      <name val="微软雅黑"/>
    </font>
    <font>
      <b/>
      <sz val="10"/>
      <color rgb="FFFF0000"/>
      <name val="微软雅黑"/>
    </font>
    <font>
      <b/>
      <sz val="11"/>
      <color rgb="FF000000"/>
      <name val="微软雅黑"/>
    </font>
    <font>
      <sz val="10"/>
      <color rgb="FF111F2C"/>
      <name val="微软雅黑"/>
    </font>
    <font>
      <b/>
      <sz val="10"/>
      <color rgb="FFFFFFFF"/>
      <name val="微软雅黑"/>
    </font>
    <font>
      <sz val="9"/>
      <color rgb="FF000000"/>
      <name val="宋体"/>
    </font>
    <font>
      <b/>
      <sz val="20"/>
      <color rgb="FFFFFFFF"/>
      <name val="微软雅黑"/>
    </font>
    <font>
      <b/>
      <sz val="14"/>
      <color rgb="FFFFFFFF"/>
      <name val="微软雅黑"/>
    </font>
    <font>
      <b/>
      <sz val="16"/>
      <color rgb="FF000000"/>
      <name val="微软雅黑"/>
    </font>
    <font>
      <sz val="12"/>
      <color rgb="FF000000"/>
      <name val="宋体"/>
    </font>
    <font>
      <b/>
      <sz val="10"/>
      <color rgb="FF000000"/>
      <name val="微软雅黑"/>
    </font>
    <font>
      <b/>
      <sz val="10"/>
      <color rgb="FFFFFFFF"/>
      <name val="微软雅黑"/>
    </font>
    <font>
      <b/>
      <sz val="10"/>
      <color rgb="FF000000"/>
      <name val="微软雅黑"/>
    </font>
    <font>
      <b/>
      <sz val="10"/>
      <color rgb="FFFFFFFF"/>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FFFFFF"/>
      <name val="微软雅黑"/>
    </font>
    <font>
      <b/>
      <sz val="10"/>
      <color rgb="FFFFFFFF"/>
      <name val="微软雅黑"/>
    </font>
    <font>
      <b/>
      <sz val="10"/>
      <color rgb="FF000000"/>
      <name val="微软雅黑"/>
    </font>
    <font>
      <b/>
      <sz val="10"/>
      <color rgb="FF000000"/>
      <name val="微软雅黑"/>
    </font>
    <font>
      <b/>
      <sz val="10"/>
      <color rgb="FFFFFFFF"/>
      <name val="微软雅黑"/>
    </font>
    <font>
      <b/>
      <sz val="10"/>
      <color rgb="FF000000"/>
      <name val="微软雅黑"/>
    </font>
    <font>
      <b/>
      <sz val="10"/>
      <color rgb="FFFFFFFF"/>
      <name val="微软雅黑"/>
    </font>
    <font>
      <b/>
      <sz val="10"/>
      <color rgb="FF000000"/>
      <name val="微软雅黑"/>
    </font>
    <font>
      <b/>
      <sz val="10"/>
      <color rgb="FFFFFFFF"/>
      <name val="微软雅黑"/>
    </font>
    <font>
      <b/>
      <sz val="10"/>
      <color rgb="FF000000"/>
      <name val="微软雅黑"/>
    </font>
    <font>
      <b/>
      <sz val="10"/>
      <color rgb="FFFFFFFF"/>
      <name val="微软雅黑"/>
    </font>
    <font>
      <b/>
      <sz val="10"/>
      <color rgb="FF000000"/>
      <name val="微软雅黑"/>
    </font>
    <font>
      <b/>
      <sz val="10"/>
      <color rgb="FFFFFFFF"/>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b/>
      <sz val="16"/>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b/>
      <sz val="10"/>
      <color rgb="FF000000"/>
      <name val="微软雅黑"/>
    </font>
    <font>
      <b/>
      <sz val="10"/>
      <color rgb="FFFF0000"/>
      <name val="微软雅黑"/>
    </font>
    <font>
      <b/>
      <sz val="10"/>
      <color rgb="FFFF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
      <b/>
      <sz val="10"/>
      <color rgb="FF000000"/>
      <name val="微软雅黑"/>
    </font>
  </fonts>
  <fills count="20">
    <fill>
      <patternFill patternType="none"/>
    </fill>
    <fill>
      <patternFill patternType="gray125"/>
    </fill>
    <fill>
      <patternFill patternType="solid">
        <fgColor rgb="FFFFFFFF"/>
      </patternFill>
    </fill>
    <fill>
      <patternFill patternType="solid">
        <fgColor rgb="FF00B0F0"/>
      </patternFill>
    </fill>
    <fill>
      <patternFill patternType="solid">
        <fgColor rgb="FFFFFF00"/>
      </patternFill>
    </fill>
    <fill>
      <patternFill patternType="solid">
        <fgColor rgb="FFFF0000"/>
      </patternFill>
    </fill>
    <fill>
      <patternFill patternType="solid">
        <fgColor rgb="FFFFC000"/>
      </patternFill>
    </fill>
    <fill>
      <patternFill patternType="solid">
        <fgColor rgb="FFBFBFBF"/>
      </patternFill>
    </fill>
    <fill>
      <patternFill patternType="solid">
        <fgColor rgb="FFFF00FF"/>
      </patternFill>
    </fill>
    <fill>
      <patternFill patternType="solid">
        <fgColor rgb="FF5B9BD5"/>
      </patternFill>
    </fill>
    <fill>
      <patternFill patternType="solid">
        <fgColor rgb="FFA5A5A5"/>
      </patternFill>
    </fill>
    <fill>
      <patternFill patternType="solid">
        <fgColor rgb="FFD8D8D8"/>
      </patternFill>
    </fill>
    <fill>
      <patternFill patternType="solid">
        <fgColor rgb="FF9CC2E5"/>
      </patternFill>
    </fill>
    <fill>
      <patternFill patternType="solid">
        <fgColor rgb="FFFEE598"/>
      </patternFill>
    </fill>
    <fill>
      <patternFill patternType="solid">
        <fgColor rgb="FF00B050"/>
      </patternFill>
    </fill>
    <fill>
      <patternFill patternType="solid">
        <fgColor rgb="FFD9E2F3"/>
      </patternFill>
    </fill>
    <fill>
      <patternFill patternType="solid">
        <fgColor rgb="FFFFD965"/>
      </patternFill>
    </fill>
    <fill>
      <patternFill patternType="solid">
        <fgColor rgb="FFF7CAAC"/>
      </patternFill>
    </fill>
    <fill>
      <patternFill patternType="solid">
        <fgColor rgb="FF000000"/>
      </patternFill>
    </fill>
    <fill>
      <patternFill patternType="solid">
        <fgColor rgb="FFFFF2CB"/>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2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xf>
    <xf numFmtId="164" fontId="4" fillId="2" borderId="1" xfId="0" applyNumberFormat="1" applyFont="1" applyFill="1" applyBorder="1" applyProtection="1">
      <alignment horizontal="center" vertical="center"/>
    </xf>
    <xf numFmtId="165" fontId="4" fillId="2" borderId="1" xfId="0" applyNumberFormat="1" applyFont="1" applyFill="1" applyBorder="1" applyProtection="1">
      <alignment horizontal="center" vertical="center"/>
    </xf>
    <xf numFmtId="166" fontId="4" fillId="2" borderId="1" xfId="0" applyNumberFormat="1" applyFont="1" applyFill="1" applyBorder="1" applyProtection="1">
      <alignment horizontal="center" vertical="center"/>
    </xf>
    <xf numFmtId="167" fontId="4" fillId="2" borderId="1" xfId="0" applyNumberFormat="1" applyFont="1" applyFill="1" applyBorder="1" applyProtection="1">
      <alignment horizontal="center" vertical="center"/>
    </xf>
    <xf numFmtId="0" fontId="5" fillId="2" borderId="0" xfId="0" applyFont="1" applyFill="1">
      <alignment vertical="center"/>
    </xf>
    <xf numFmtId="0" fontId="6" fillId="3" borderId="1" xfId="0" applyFont="1" applyFill="1" applyBorder="1" applyProtection="1">
      <alignment horizontal="center" vertical="center"/>
    </xf>
    <xf numFmtId="164" fontId="6" fillId="3" borderId="1" xfId="0" applyNumberFormat="1" applyFont="1" applyFill="1" applyBorder="1" applyProtection="1">
      <alignment horizontal="center" vertical="center"/>
    </xf>
    <xf numFmtId="0" fontId="4" fillId="2" borderId="1" xfId="0" applyFont="1" applyFill="1" applyBorder="1" applyProtection="1">
      <alignment horizontal="left" vertical="center"/>
    </xf>
    <xf numFmtId="49" fontId="6" fillId="3" borderId="1" xfId="0" applyNumberFormat="1" applyFont="1" applyFill="1" applyBorder="1" applyProtection="1">
      <alignment horizontal="center" vertical="center"/>
    </xf>
    <xf numFmtId="0" fontId="7" fillId="2" borderId="1" xfId="0" applyFont="1" applyFill="1" applyBorder="1" applyProtection="1">
      <alignment horizontal="center" vertical="center"/>
    </xf>
    <xf numFmtId="0" fontId="4" fillId="2" borderId="1" xfId="0" applyFont="1" applyFill="1" applyBorder="1" applyProtection="1">
      <alignment horizontal="center" vertical="center"/>
    </xf>
    <xf numFmtId="167" fontId="6" fillId="3" borderId="1" xfId="0" applyNumberFormat="1" applyFont="1" applyFill="1" applyBorder="1" applyProtection="1">
      <alignment horizontal="center" vertical="center"/>
    </xf>
    <xf numFmtId="0" fontId="8" fillId="2" borderId="1" xfId="0" applyFont="1" applyFill="1" applyBorder="1" applyProtection="1">
      <alignment horizontal="center" vertical="center"/>
    </xf>
    <xf numFmtId="0" fontId="6" fillId="2" borderId="0" xfId="0" applyFont="1" applyFill="1">
      <alignment vertical="center"/>
    </xf>
    <xf numFmtId="0" fontId="4" fillId="2" borderId="1" xfId="0" applyFont="1" applyFill="1" applyBorder="1" applyProtection="1">
      <alignment vertical="center"/>
    </xf>
    <xf numFmtId="0" fontId="4" fillId="2" borderId="0" xfId="0" applyFont="1" applyFill="1">
      <alignment vertical="center"/>
    </xf>
    <xf numFmtId="0" fontId="6" fillId="3" borderId="1" xfId="0" applyFont="1" applyFill="1" applyBorder="1" applyProtection="1">
      <alignment horizontal="center" vertical="center"/>
    </xf>
    <xf numFmtId="0" fontId="4" fillId="2" borderId="1" xfId="0" applyFont="1" applyFill="1" applyBorder="1" applyProtection="1">
      <alignment horizontal="center" vertical="center"/>
    </xf>
    <xf numFmtId="0" fontId="6" fillId="2" borderId="0" xfId="0" applyFont="1" applyFill="1">
      <alignment vertical="center"/>
    </xf>
    <xf numFmtId="0" fontId="4" fillId="2" borderId="1" xfId="0" applyFont="1" applyFill="1" applyBorder="1" applyProtection="1">
      <alignment vertical="center"/>
    </xf>
    <xf numFmtId="0" fontId="4" fillId="2" borderId="0" xfId="0" applyFont="1" applyFill="1">
      <alignment vertical="center"/>
    </xf>
    <xf numFmtId="0" fontId="6" fillId="4" borderId="1" xfId="0" applyFont="1" applyFill="1" applyBorder="1" applyProtection="1">
      <alignment horizontal="center" vertical="center" wrapText="1"/>
    </xf>
    <xf numFmtId="0" fontId="4" fillId="0" borderId="1" xfId="0" applyFont="1" applyBorder="1" applyProtection="1">
      <alignment horizontal="center" vertical="center"/>
    </xf>
    <xf numFmtId="0" fontId="4" fillId="0" borderId="1" xfId="0" applyFont="1" applyBorder="1" applyProtection="1">
      <alignment horizontal="center" vertical="center"/>
    </xf>
    <xf numFmtId="168" fontId="9" fillId="5" borderId="1" xfId="0" applyNumberFormat="1" applyFont="1" applyFill="1" applyBorder="1" applyProtection="1">
      <alignment horizontal="center" vertical="center" wrapText="1"/>
    </xf>
    <xf numFmtId="168" fontId="6" fillId="5" borderId="1" xfId="0" applyNumberFormat="1" applyFont="1" applyFill="1" applyBorder="1" applyProtection="1">
      <alignment horizontal="center" vertical="center" wrapText="1"/>
    </xf>
    <xf numFmtId="168" fontId="6" fillId="4" borderId="1" xfId="0" applyNumberFormat="1" applyFont="1" applyFill="1" applyBorder="1" applyProtection="1">
      <alignment horizontal="center" vertical="center" wrapText="1"/>
    </xf>
    <xf numFmtId="0" fontId="4" fillId="2" borderId="1" xfId="0" applyFont="1" applyFill="1" applyBorder="1" applyProtection="1">
      <alignment vertical="center"/>
    </xf>
    <xf numFmtId="169" fontId="4" fillId="2" borderId="1" xfId="0" applyNumberFormat="1" applyFont="1" applyFill="1" applyBorder="1" applyProtection="1">
      <alignment vertical="center"/>
    </xf>
    <xf numFmtId="170" fontId="4" fillId="2" borderId="1" xfId="0" applyNumberFormat="1" applyFont="1" applyFill="1" applyBorder="1" applyProtection="1">
      <alignment vertical="center"/>
    </xf>
    <xf numFmtId="0" fontId="4" fillId="2" borderId="0" xfId="0" applyFont="1" applyFill="1">
      <alignment vertical="center"/>
    </xf>
    <xf numFmtId="0" fontId="10" fillId="4" borderId="1" xfId="0" applyFont="1" applyFill="1" applyBorder="1" applyProtection="1">
      <alignment horizontal="center" vertical="center"/>
    </xf>
    <xf numFmtId="169" fontId="6" fillId="4" borderId="1" xfId="0" applyNumberFormat="1" applyFont="1" applyFill="1" applyBorder="1" applyProtection="1">
      <alignment horizontal="center" vertical="center"/>
    </xf>
    <xf numFmtId="0" fontId="6" fillId="4" borderId="1" xfId="0" applyFont="1" applyFill="1" applyBorder="1" applyProtection="1">
      <alignment horizontal="center" vertical="center"/>
    </xf>
    <xf numFmtId="170" fontId="6" fillId="4" borderId="1" xfId="0" applyNumberFormat="1" applyFont="1" applyFill="1" applyBorder="1" applyProtection="1">
      <alignment horizontal="center" vertical="center"/>
    </xf>
    <xf numFmtId="0" fontId="10" fillId="4" borderId="1" xfId="0" applyFont="1" applyFill="1" applyBorder="1" applyProtection="1">
      <alignment horizontal="center" vertical="center" wrapText="1"/>
    </xf>
    <xf numFmtId="0" fontId="10" fillId="3" borderId="1" xfId="0" applyFont="1" applyFill="1" applyBorder="1" applyProtection="1">
      <alignment horizontal="center" vertical="center"/>
    </xf>
    <xf numFmtId="0" fontId="4" fillId="2" borderId="1" xfId="0" applyFont="1" applyFill="1" applyBorder="1" applyProtection="1">
      <alignment horizontal="center" vertical="center" wrapText="1"/>
    </xf>
    <xf numFmtId="0" fontId="10" fillId="5" borderId="1" xfId="0" applyFont="1" applyFill="1" applyBorder="1" applyProtection="1">
      <alignment horizontal="center" vertical="center"/>
    </xf>
    <xf numFmtId="0" fontId="4" fillId="2" borderId="0" xfId="0" applyFont="1" applyFill="1">
      <alignment vertical="center"/>
    </xf>
    <xf numFmtId="0" fontId="4" fillId="2" borderId="2" xfId="0" applyFont="1" applyFill="1" applyBorder="1" applyProtection="1">
      <alignment vertical="center"/>
    </xf>
    <xf numFmtId="0" fontId="4" fillId="2" borderId="3" xfId="0" applyFont="1" applyFill="1" applyBorder="1" applyProtection="1">
      <alignment vertical="center"/>
    </xf>
    <xf numFmtId="0" fontId="6" fillId="6" borderId="1" xfId="0" applyFont="1" applyFill="1" applyBorder="1" applyProtection="1">
      <alignment horizontal="center" vertical="center"/>
    </xf>
    <xf numFmtId="171" fontId="4" fillId="6" borderId="1" xfId="0" applyNumberFormat="1" applyFont="1" applyFill="1" applyBorder="1" applyProtection="1">
      <alignment horizontal="left" vertical="center"/>
    </xf>
    <xf numFmtId="171" fontId="11" fillId="6" borderId="1" xfId="0" applyNumberFormat="1" applyFont="1" applyFill="1" applyBorder="1" applyProtection="1">
      <alignment horizontal="general" vertical="bottom"/>
    </xf>
    <xf numFmtId="0" fontId="6" fillId="7" borderId="1" xfId="0" applyFont="1" applyFill="1" applyBorder="1" applyProtection="1">
      <alignment horizontal="center" vertical="center"/>
    </xf>
    <xf numFmtId="0" fontId="4" fillId="2" borderId="1" xfId="0" applyFont="1" applyFill="1" applyBorder="1" applyProtection="1">
      <alignment horizontal="left" vertical="center"/>
    </xf>
    <xf numFmtId="0" fontId="4" fillId="2" borderId="1" xfId="0" applyFont="1" applyFill="1" applyBorder="1" applyProtection="1">
      <alignment horizontal="center" vertical="center"/>
    </xf>
    <xf numFmtId="0" fontId="6" fillId="2" borderId="1" xfId="0" applyFont="1" applyFill="1" applyBorder="1" applyProtection="1">
      <alignment horizontal="right" vertical="center" wrapText="1"/>
    </xf>
    <xf numFmtId="0" fontId="6" fillId="8" borderId="1" xfId="0" applyFont="1" applyFill="1" applyBorder="1" applyProtection="1">
      <alignment horizontal="center" vertical="center"/>
    </xf>
    <xf numFmtId="0" fontId="4" fillId="6" borderId="1" xfId="0" applyFont="1" applyFill="1" applyBorder="1" applyProtection="1">
      <alignment vertical="center"/>
    </xf>
    <xf numFmtId="171" fontId="4" fillId="8" borderId="1" xfId="0" applyNumberFormat="1" applyFont="1" applyFill="1" applyBorder="1" applyProtection="1">
      <alignment horizontal="left" vertical="center"/>
    </xf>
    <xf numFmtId="171" fontId="11" fillId="8" borderId="1" xfId="0" applyNumberFormat="1" applyFont="1" applyFill="1" applyBorder="1" applyProtection="1">
      <alignment horizontal="general" vertical="bottom"/>
    </xf>
    <xf numFmtId="0" fontId="6" fillId="6" borderId="4" xfId="0" applyFont="1" applyFill="1" applyBorder="1" applyProtection="1">
      <alignment horizontal="center" vertical="center"/>
    </xf>
    <xf numFmtId="0" fontId="4" fillId="8" borderId="1" xfId="0" applyFont="1" applyFill="1" applyBorder="1" applyProtection="1">
      <alignment vertical="center"/>
    </xf>
    <xf numFmtId="171" fontId="4" fillId="6" borderId="1" xfId="0" applyNumberFormat="1" applyFont="1" applyFill="1" applyBorder="1" applyProtection="1">
      <alignment horizontal="general" vertical="bottom"/>
    </xf>
    <xf numFmtId="0" fontId="4" fillId="2" borderId="0" xfId="0" applyFont="1" applyFill="1">
      <alignment horizontal="center" vertical="center"/>
    </xf>
    <xf numFmtId="0" fontId="4" fillId="2" borderId="0" xfId="0" applyFont="1" applyFill="1">
      <alignment vertical="center"/>
    </xf>
    <xf numFmtId="0" fontId="4" fillId="2" borderId="1" xfId="0" applyFont="1" applyFill="1" applyBorder="1" applyProtection="1">
      <alignment vertical="center"/>
    </xf>
    <xf numFmtId="0" fontId="6" fillId="3" borderId="1" xfId="0" applyFont="1" applyFill="1" applyBorder="1" applyProtection="1">
      <alignment horizontal="center" vertical="center"/>
    </xf>
    <xf numFmtId="0" fontId="6" fillId="3" borderId="1" xfId="0" applyFont="1" applyFill="1" applyBorder="1" applyProtection="1">
      <alignment horizontal="center" vertical="center"/>
    </xf>
    <xf numFmtId="0" fontId="4" fillId="2" borderId="1" xfId="0" applyFont="1" applyFill="1" applyBorder="1" applyProtection="1">
      <alignment horizontal="right" vertical="center"/>
    </xf>
    <xf numFmtId="0" fontId="4" fillId="2" borderId="1" xfId="0" applyFont="1" applyFill="1" applyBorder="1" applyProtection="1">
      <alignment horizontal="right" vertical="bottom"/>
    </xf>
    <xf numFmtId="0" fontId="4" fillId="2" borderId="0" xfId="0" applyFont="1" applyFill="1">
      <alignment vertical="center" wrapText="1"/>
    </xf>
    <xf numFmtId="0" fontId="6" fillId="2" borderId="0" xfId="0" applyFont="1" applyFill="1">
      <alignment vertical="center"/>
    </xf>
    <xf numFmtId="0" fontId="4" fillId="2" borderId="0" xfId="0" applyFont="1" applyFill="1">
      <alignment horizontal="center" vertical="center"/>
    </xf>
    <xf numFmtId="10" fontId="4" fillId="2" borderId="0" xfId="0" applyNumberFormat="1" applyFont="1" applyFill="1">
      <alignment vertical="center"/>
    </xf>
    <xf numFmtId="172" fontId="4" fillId="2" borderId="0" xfId="0" applyNumberFormat="1" applyFont="1" applyFill="1">
      <alignment vertical="center"/>
    </xf>
    <xf numFmtId="173" fontId="4" fillId="2" borderId="0" xfId="0" applyNumberFormat="1" applyFont="1" applyFill="1">
      <alignment vertical="center"/>
    </xf>
    <xf numFmtId="169" fontId="4" fillId="2" borderId="0" xfId="0" applyNumberFormat="1" applyFont="1" applyFill="1">
      <alignment horizontal="right" vertical="center"/>
    </xf>
    <xf numFmtId="0" fontId="4" fillId="2" borderId="0" xfId="0" applyFont="1" applyFill="1">
      <alignment horizontal="center" vertical="center" wrapText="1"/>
    </xf>
    <xf numFmtId="0" fontId="4" fillId="2" borderId="0" xfId="0" applyFont="1" applyFill="1">
      <alignment vertical="center"/>
    </xf>
    <xf numFmtId="0" fontId="6" fillId="6" borderId="1" xfId="0" applyFont="1" applyFill="1" applyBorder="1" applyProtection="1">
      <alignment horizontal="center" vertical="center" wrapText="1"/>
    </xf>
    <xf numFmtId="169" fontId="6" fillId="6" borderId="1" xfId="0" applyNumberFormat="1" applyFont="1" applyFill="1" applyBorder="1" applyProtection="1">
      <alignment horizontal="center" vertical="center" wrapText="1"/>
    </xf>
    <xf numFmtId="169" fontId="6" fillId="3" borderId="1" xfId="0" applyNumberFormat="1" applyFont="1" applyFill="1" applyBorder="1" applyProtection="1">
      <alignment horizontal="center" vertical="center" wrapText="1"/>
    </xf>
    <xf numFmtId="0" fontId="4" fillId="6" borderId="1" xfId="0" applyFont="1" applyFill="1" applyBorder="1" applyProtection="1">
      <alignment horizontal="center" vertical="center" wrapText="1"/>
    </xf>
    <xf numFmtId="169" fontId="4" fillId="2" borderId="1" xfId="0" applyNumberFormat="1" applyFont="1" applyFill="1" applyBorder="1" applyProtection="1">
      <alignment horizontal="right" vertical="center"/>
    </xf>
    <xf numFmtId="0" fontId="6" fillId="9" borderId="1" xfId="0" applyFont="1" applyFill="1" applyBorder="1" applyProtection="1">
      <alignment horizontal="center" vertical="center" wrapText="1"/>
    </xf>
    <xf numFmtId="0" fontId="6" fillId="9" borderId="1" xfId="0" applyFont="1" applyFill="1" applyBorder="1" applyProtection="1">
      <alignment horizontal="right" vertical="center"/>
    </xf>
    <xf numFmtId="0" fontId="6" fillId="10" borderId="5" xfId="0" applyFont="1" applyFill="1" applyBorder="1" applyProtection="1">
      <alignment horizontal="center" vertical="center"/>
    </xf>
    <xf numFmtId="0" fontId="6" fillId="10" borderId="1" xfId="0" applyFont="1" applyFill="1" applyBorder="1" applyProtection="1">
      <alignment horizontal="center" vertical="center"/>
    </xf>
    <xf numFmtId="0" fontId="6" fillId="11" borderId="5" xfId="0" applyFont="1" applyFill="1" applyBorder="1" applyProtection="1">
      <alignment horizontal="center" vertical="center"/>
    </xf>
    <xf numFmtId="0" fontId="6" fillId="11" borderId="1" xfId="0" applyFont="1" applyFill="1" applyBorder="1" applyProtection="1">
      <alignment horizontal="center" vertical="center"/>
    </xf>
    <xf numFmtId="169" fontId="6" fillId="8" borderId="1" xfId="0" applyNumberFormat="1" applyFont="1" applyFill="1" applyBorder="1" applyProtection="1">
      <alignment horizontal="center" vertical="center" wrapText="1"/>
    </xf>
    <xf numFmtId="169" fontId="12" fillId="8" borderId="1" xfId="0" applyNumberFormat="1" applyFont="1" applyFill="1" applyBorder="1" applyProtection="1">
      <alignment horizontal="center" vertical="center" wrapText="1"/>
    </xf>
    <xf numFmtId="0" fontId="6" fillId="8" borderId="1" xfId="0" applyFont="1" applyFill="1" applyBorder="1" applyProtection="1">
      <alignment horizontal="center" vertical="center" wrapText="1"/>
    </xf>
    <xf numFmtId="0" fontId="12" fillId="8" borderId="1" xfId="0" applyFont="1" applyFill="1" applyBorder="1" applyProtection="1">
      <alignment horizontal="center" vertical="center" wrapText="1"/>
    </xf>
    <xf numFmtId="0" fontId="4" fillId="12" borderId="1" xfId="0" applyFont="1" applyFill="1" applyBorder="1" applyProtection="1">
      <alignment horizontal="center" vertical="center"/>
    </xf>
    <xf numFmtId="0" fontId="4" fillId="13" borderId="1" xfId="0" applyFont="1" applyFill="1" applyBorder="1" applyProtection="1">
      <alignment horizontal="center" vertical="center"/>
    </xf>
    <xf numFmtId="0" fontId="12" fillId="9" borderId="1" xfId="0" applyFont="1" applyFill="1" applyBorder="1" applyProtection="1">
      <alignment horizontal="center" vertical="center"/>
    </xf>
    <xf numFmtId="0" fontId="6" fillId="9" borderId="1" xfId="0" applyFont="1" applyFill="1" applyBorder="1" applyProtection="1">
      <alignment horizontal="center" vertical="center"/>
    </xf>
    <xf numFmtId="17" fontId="6" fillId="7" borderId="6" xfId="0" applyNumberFormat="1" applyFont="1" applyFill="1" applyBorder="1" applyProtection="1">
      <alignment horizontal="center" vertical="center"/>
    </xf>
    <xf numFmtId="174" fontId="4" fillId="2" borderId="1" xfId="0" applyNumberFormat="1" applyFont="1" applyFill="1" applyBorder="1" applyProtection="1">
      <alignment vertical="center"/>
    </xf>
    <xf numFmtId="174" fontId="4" fillId="6" borderId="1" xfId="0" applyNumberFormat="1" applyFont="1" applyFill="1" applyBorder="1" applyProtection="1">
      <alignment vertical="center"/>
    </xf>
    <xf numFmtId="10" fontId="4" fillId="2" borderId="1" xfId="0" applyNumberFormat="1" applyFont="1" applyFill="1" applyBorder="1" applyProtection="1">
      <alignment vertical="center"/>
    </xf>
    <xf numFmtId="174" fontId="4" fillId="2" borderId="1" xfId="0" applyNumberFormat="1" applyFont="1" applyFill="1" applyBorder="1" applyProtection="1">
      <alignment vertical="center" wrapText="1"/>
    </xf>
    <xf numFmtId="174" fontId="4" fillId="6" borderId="1" xfId="0" applyNumberFormat="1" applyFont="1" applyFill="1" applyBorder="1" applyProtection="1">
      <alignment vertical="center" wrapText="1"/>
    </xf>
    <xf numFmtId="10" fontId="4" fillId="2" borderId="1" xfId="0" applyNumberFormat="1" applyFont="1" applyFill="1" applyBorder="1" applyProtection="1">
      <alignment vertical="center" wrapText="1"/>
    </xf>
    <xf numFmtId="0" fontId="6" fillId="10" borderId="1" xfId="0" applyFont="1" applyFill="1" applyBorder="1" applyProtection="1">
      <alignment vertical="center"/>
    </xf>
    <xf numFmtId="164" fontId="6" fillId="11" borderId="1" xfId="0" applyNumberFormat="1" applyFont="1" applyFill="1" applyBorder="1" applyProtection="1">
      <alignment horizontal="center" vertical="center"/>
    </xf>
    <xf numFmtId="164" fontId="6" fillId="11" borderId="1" xfId="0" applyNumberFormat="1" applyFont="1" applyFill="1" applyBorder="1" applyProtection="1">
      <alignment vertical="center"/>
    </xf>
    <xf numFmtId="10" fontId="6" fillId="14" borderId="1" xfId="0" applyNumberFormat="1" applyFont="1" applyFill="1" applyBorder="1" applyProtection="1">
      <alignment horizontal="center" vertical="center" wrapText="1"/>
    </xf>
    <xf numFmtId="0" fontId="4" fillId="15" borderId="1" xfId="0" applyFont="1" applyFill="1" applyBorder="1" applyProtection="1">
      <alignment horizontal="center" vertical="center"/>
    </xf>
    <xf numFmtId="10" fontId="4" fillId="14" borderId="1" xfId="0" applyNumberFormat="1" applyFont="1" applyFill="1" applyBorder="1" applyProtection="1">
      <alignment horizontal="center" vertical="center"/>
    </xf>
    <xf numFmtId="0" fontId="4" fillId="16" borderId="1" xfId="0" applyFont="1" applyFill="1" applyBorder="1" applyProtection="1">
      <alignment horizontal="center" vertical="center"/>
    </xf>
    <xf numFmtId="10" fontId="6" fillId="9" borderId="1" xfId="0" applyNumberFormat="1" applyFont="1" applyFill="1" applyBorder="1" applyProtection="1">
      <alignment horizontal="center" vertical="center"/>
    </xf>
    <xf numFmtId="174" fontId="6" fillId="2" borderId="1" xfId="0" applyNumberFormat="1" applyFont="1" applyFill="1" applyBorder="1" applyProtection="1">
      <alignment vertical="center"/>
    </xf>
    <xf numFmtId="174" fontId="6" fillId="6" borderId="1" xfId="0" applyNumberFormat="1" applyFont="1" applyFill="1" applyBorder="1" applyProtection="1">
      <alignment vertical="center"/>
    </xf>
    <xf numFmtId="10" fontId="4" fillId="2" borderId="1" xfId="0" applyNumberFormat="1" applyFont="1" applyFill="1" applyBorder="1" applyProtection="1">
      <alignment vertical="center"/>
    </xf>
    <xf numFmtId="10" fontId="6" fillId="2" borderId="1" xfId="0" applyNumberFormat="1" applyFont="1" applyFill="1" applyBorder="1" applyProtection="1">
      <alignment vertical="center"/>
    </xf>
    <xf numFmtId="168" fontId="6" fillId="10" borderId="1" xfId="0" applyNumberFormat="1" applyFont="1" applyFill="1" applyBorder="1" applyProtection="1">
      <alignment horizontal="center" vertical="center"/>
    </xf>
    <xf numFmtId="169" fontId="6" fillId="10" borderId="1" xfId="0" applyNumberFormat="1" applyFont="1" applyFill="1" applyBorder="1" applyProtection="1">
      <alignment horizontal="center" vertical="center"/>
    </xf>
    <xf numFmtId="175" fontId="6" fillId="11" borderId="1" xfId="0" applyNumberFormat="1" applyFont="1" applyFill="1" applyBorder="1" applyProtection="1">
      <alignment horizontal="center" vertical="center"/>
    </xf>
    <xf numFmtId="169" fontId="6" fillId="11" borderId="1" xfId="0" applyNumberFormat="1" applyFont="1" applyFill="1" applyBorder="1" applyProtection="1">
      <alignment horizontal="center" vertical="center"/>
    </xf>
    <xf numFmtId="10" fontId="12" fillId="8" borderId="1" xfId="0" applyNumberFormat="1" applyFont="1" applyFill="1" applyBorder="1" applyProtection="1">
      <alignment horizontal="center" vertical="center" wrapText="1"/>
    </xf>
    <xf numFmtId="0" fontId="6" fillId="8" borderId="1" xfId="0" applyFont="1" applyFill="1" applyBorder="1" applyProtection="1">
      <alignment horizontal="center" vertical="center" wrapText="1"/>
    </xf>
    <xf numFmtId="10" fontId="6" fillId="8" borderId="1" xfId="0" applyNumberFormat="1" applyFont="1" applyFill="1" applyBorder="1" applyProtection="1">
      <alignment horizontal="center" vertical="center" wrapText="1"/>
    </xf>
    <xf numFmtId="164" fontId="4" fillId="16" borderId="1" xfId="0" applyNumberFormat="1" applyFont="1" applyFill="1" applyBorder="1" applyProtection="1">
      <alignment horizontal="center" vertical="center"/>
    </xf>
    <xf numFmtId="10" fontId="4" fillId="16" borderId="1" xfId="0" applyNumberFormat="1" applyFont="1" applyFill="1" applyBorder="1" applyProtection="1">
      <alignment horizontal="center" vertical="center"/>
    </xf>
    <xf numFmtId="9" fontId="6" fillId="11" borderId="1" xfId="0" applyNumberFormat="1" applyFont="1" applyFill="1" applyBorder="1" applyProtection="1">
      <alignment horizontal="center" vertical="center"/>
    </xf>
    <xf numFmtId="172" fontId="6" fillId="4" borderId="1" xfId="0" applyNumberFormat="1" applyFont="1" applyFill="1" applyBorder="1" applyProtection="1">
      <alignment horizontal="center" vertical="center" wrapText="1"/>
    </xf>
    <xf numFmtId="172" fontId="12" fillId="8" borderId="7" xfId="0" applyNumberFormat="1" applyFont="1" applyFill="1" applyBorder="1" applyProtection="1">
      <alignment horizontal="center" vertical="center" wrapText="1"/>
    </xf>
    <xf numFmtId="172" fontId="6" fillId="8" borderId="7" xfId="0" applyNumberFormat="1" applyFont="1" applyFill="1" applyBorder="1" applyProtection="1">
      <alignment horizontal="center" vertical="center" wrapText="1"/>
    </xf>
    <xf numFmtId="172" fontId="12" fillId="9" borderId="1" xfId="0" applyNumberFormat="1" applyFont="1" applyFill="1" applyBorder="1" applyProtection="1">
      <alignment horizontal="center" vertical="center"/>
    </xf>
    <xf numFmtId="172" fontId="6" fillId="9" borderId="1" xfId="0" applyNumberFormat="1" applyFont="1" applyFill="1" applyBorder="1" applyProtection="1">
      <alignment horizontal="center" vertical="center"/>
    </xf>
    <xf numFmtId="172" fontId="6" fillId="11" borderId="1" xfId="0" applyNumberFormat="1" applyFont="1" applyFill="1" applyBorder="1" applyProtection="1">
      <alignment horizontal="center" vertical="center"/>
    </xf>
    <xf numFmtId="169" fontId="4" fillId="2" borderId="0" xfId="0" applyNumberFormat="1" applyFont="1" applyFill="1">
      <alignment vertical="center"/>
    </xf>
    <xf numFmtId="176" fontId="6" fillId="11" borderId="1" xfId="0" applyNumberFormat="1" applyFont="1" applyFill="1" applyBorder="1" applyProtection="1">
      <alignment horizontal="center" vertical="center"/>
    </xf>
    <xf numFmtId="173" fontId="6" fillId="8" borderId="7" xfId="0" applyNumberFormat="1" applyFont="1" applyFill="1" applyBorder="1" applyProtection="1">
      <alignment horizontal="center" vertical="center" wrapText="1"/>
    </xf>
    <xf numFmtId="173" fontId="6" fillId="14" borderId="7" xfId="0" applyNumberFormat="1" applyFont="1" applyFill="1" applyBorder="1" applyProtection="1">
      <alignment horizontal="center" vertical="center" wrapText="1"/>
    </xf>
    <xf numFmtId="173" fontId="12" fillId="8" borderId="7" xfId="0" applyNumberFormat="1" applyFont="1" applyFill="1" applyBorder="1" applyProtection="1">
      <alignment horizontal="center" vertical="center" wrapText="1"/>
    </xf>
    <xf numFmtId="173" fontId="6" fillId="9" borderId="1" xfId="0" applyNumberFormat="1" applyFont="1" applyFill="1" applyBorder="1" applyProtection="1">
      <alignment horizontal="center" vertical="center"/>
    </xf>
    <xf numFmtId="173" fontId="6" fillId="4" borderId="1" xfId="0" applyNumberFormat="1" applyFont="1" applyFill="1" applyBorder="1" applyProtection="1">
      <alignment horizontal="center" vertical="center" wrapText="1"/>
    </xf>
    <xf numFmtId="0" fontId="6" fillId="6" borderId="1" xfId="0" applyFont="1" applyFill="1" applyBorder="1" applyProtection="1">
      <alignment horizontal="center" vertical="center" wrapText="1"/>
    </xf>
    <xf numFmtId="0" fontId="6" fillId="3" borderId="1" xfId="0" applyFont="1" applyFill="1" applyBorder="1" applyProtection="1">
      <alignment horizontal="center" vertical="center" wrapText="1"/>
    </xf>
    <xf numFmtId="173" fontId="4" fillId="4" borderId="8" xfId="0" applyNumberFormat="1" applyFont="1" applyFill="1" applyBorder="1" applyProtection="1">
      <alignment horizontal="center" vertical="center"/>
    </xf>
    <xf numFmtId="0" fontId="4" fillId="15" borderId="1" xfId="0" applyFont="1" applyFill="1" applyBorder="1" applyProtection="1">
      <alignment horizontal="center" vertical="center"/>
    </xf>
    <xf numFmtId="173" fontId="4" fillId="4" borderId="6" xfId="0" applyNumberFormat="1" applyFont="1" applyFill="1" applyBorder="1" applyProtection="1">
      <alignment horizontal="center" vertical="center"/>
    </xf>
    <xf numFmtId="173" fontId="4" fillId="4" borderId="7" xfId="0" applyNumberFormat="1" applyFont="1" applyFill="1" applyBorder="1" applyProtection="1">
      <alignment horizontal="center" vertical="center"/>
    </xf>
    <xf numFmtId="0" fontId="6" fillId="2" borderId="0" xfId="0" applyFont="1" applyFill="1">
      <alignment horizontal="center" vertical="center" wrapText="1"/>
    </xf>
    <xf numFmtId="0" fontId="9" fillId="2" borderId="1" xfId="0" applyFont="1" applyFill="1" applyBorder="1" applyProtection="1">
      <alignment horizontal="center" vertical="center"/>
    </xf>
    <xf numFmtId="0" fontId="6" fillId="6" borderId="1" xfId="0" applyFont="1" applyFill="1" applyBorder="1" applyProtection="1">
      <alignment horizontal="center" vertical="center"/>
    </xf>
    <xf numFmtId="177" fontId="4" fillId="2" borderId="1" xfId="0" applyNumberFormat="1" applyFont="1" applyFill="1" applyBorder="1" applyProtection="1">
      <alignment horizontal="center" vertical="center" wrapText="1"/>
    </xf>
    <xf numFmtId="0" fontId="4" fillId="5" borderId="1" xfId="0" applyFont="1" applyFill="1" applyBorder="1" applyProtection="1">
      <alignment horizontal="center" vertical="center"/>
    </xf>
    <xf numFmtId="176" fontId="9" fillId="2" borderId="1" xfId="0" applyNumberFormat="1" applyFont="1" applyFill="1" applyBorder="1" applyProtection="1">
      <alignment horizontal="center" vertical="center"/>
    </xf>
    <xf numFmtId="0" fontId="13" fillId="0" borderId="0" xfId="0" applyFont="1">
      <alignment horizontal="center" vertical="center" wrapText="1"/>
    </xf>
    <xf numFmtId="14" fontId="13" fillId="0" borderId="0" xfId="0" applyNumberFormat="1" applyFont="1">
      <alignment horizontal="center" vertical="center"/>
    </xf>
    <xf numFmtId="178" fontId="13" fillId="0" borderId="0" xfId="0" applyNumberFormat="1" applyFont="1">
      <alignment horizontal="center" vertical="center"/>
    </xf>
    <xf numFmtId="0" fontId="13" fillId="0" borderId="0" xfId="0" applyFont="1">
      <alignment horizontal="center" vertical="center"/>
    </xf>
    <xf numFmtId="9" fontId="13" fillId="0" borderId="0" xfId="0" applyNumberFormat="1" applyFont="1">
      <alignment horizontal="center" vertical="center"/>
    </xf>
    <xf numFmtId="10" fontId="13" fillId="0" borderId="0" xfId="0" applyNumberFormat="1" applyFont="1">
      <alignment horizontal="center" vertical="center"/>
    </xf>
    <xf numFmtId="14" fontId="5" fillId="0" borderId="1" xfId="0" applyNumberFormat="1" applyFont="1" applyBorder="1" applyProtection="1">
      <alignment horizontal="center" vertical="center" wrapText="1"/>
    </xf>
    <xf numFmtId="178" fontId="5" fillId="0" borderId="1" xfId="0" applyNumberFormat="1" applyFont="1" applyBorder="1" applyProtection="1">
      <alignment horizontal="center" vertical="center" wrapText="1"/>
    </xf>
    <xf numFmtId="0" fontId="5" fillId="0" borderId="1" xfId="0" applyFont="1" applyBorder="1" applyProtection="1">
      <alignment horizontal="center" vertical="center" wrapText="1"/>
    </xf>
    <xf numFmtId="14" fontId="13" fillId="0" borderId="1" xfId="0" applyNumberFormat="1" applyFont="1" applyBorder="1" applyProtection="1">
      <alignment horizontal="center" vertical="center"/>
    </xf>
    <xf numFmtId="178" fontId="13" fillId="0" borderId="1" xfId="0" applyNumberFormat="1" applyFont="1" applyBorder="1" applyProtection="1">
      <alignment horizontal="center" vertical="center"/>
    </xf>
    <xf numFmtId="0" fontId="13" fillId="0" borderId="1" xfId="0" applyFont="1" applyBorder="1" applyProtection="1">
      <alignment horizontal="center" vertical="center"/>
    </xf>
    <xf numFmtId="168" fontId="13" fillId="0" borderId="1" xfId="0" applyNumberFormat="1" applyFont="1" applyBorder="1" applyProtection="1">
      <alignment horizontal="center" vertical="center"/>
    </xf>
    <xf numFmtId="9" fontId="5" fillId="0" borderId="1" xfId="0" applyNumberFormat="1" applyFont="1" applyBorder="1" applyProtection="1">
      <alignment horizontal="center" vertical="center" wrapText="1"/>
    </xf>
    <xf numFmtId="10" fontId="5" fillId="0" borderId="1" xfId="0" applyNumberFormat="1" applyFont="1" applyBorder="1" applyProtection="1">
      <alignment horizontal="center" vertical="center" wrapText="1"/>
    </xf>
    <xf numFmtId="9" fontId="13" fillId="0" borderId="1" xfId="0" applyNumberFormat="1" applyFont="1" applyBorder="1" applyProtection="1">
      <alignment horizontal="center" vertical="center"/>
    </xf>
    <xf numFmtId="10" fontId="13" fillId="0" borderId="1" xfId="0" applyNumberFormat="1" applyFont="1" applyBorder="1" applyProtection="1">
      <alignment horizontal="center" vertical="center"/>
    </xf>
    <xf numFmtId="9" fontId="13" fillId="17" borderId="1" xfId="0" applyNumberFormat="1" applyFont="1" applyFill="1" applyBorder="1" applyProtection="1">
      <alignment horizontal="center" vertical="center"/>
    </xf>
    <xf numFmtId="10" fontId="13" fillId="17" borderId="1" xfId="0" applyNumberFormat="1" applyFont="1" applyFill="1" applyBorder="1" applyProtection="1">
      <alignment horizontal="center" vertical="center"/>
    </xf>
    <xf numFmtId="9" fontId="13" fillId="12" borderId="1" xfId="0" applyNumberFormat="1" applyFont="1" applyFill="1" applyBorder="1" applyProtection="1">
      <alignment horizontal="center" vertical="center"/>
    </xf>
    <xf numFmtId="10" fontId="13" fillId="12" borderId="1" xfId="0" applyNumberFormat="1" applyFont="1" applyFill="1" applyBorder="1" applyProtection="1">
      <alignment horizontal="center" vertical="center"/>
    </xf>
    <xf numFmtId="14" fontId="13" fillId="17" borderId="1" xfId="0" applyNumberFormat="1" applyFont="1" applyFill="1" applyBorder="1" applyProtection="1">
      <alignment horizontal="center" vertical="center"/>
    </xf>
    <xf numFmtId="14" fontId="13" fillId="12" borderId="1" xfId="0" applyNumberFormat="1" applyFont="1" applyFill="1" applyBorder="1" applyProtection="1">
      <alignment horizontal="center" vertical="center"/>
    </xf>
    <xf numFmtId="0" fontId="6" fillId="6" borderId="1" xfId="0" applyFont="1" applyFill="1" applyBorder="1" applyProtection="1">
      <alignment horizontal="center" vertical="center" wrapText="1"/>
    </xf>
    <xf numFmtId="0" fontId="6" fillId="10" borderId="5" xfId="0" applyFont="1" applyFill="1" applyBorder="1" applyProtection="1">
      <alignment horizontal="center" vertical="center"/>
    </xf>
    <xf numFmtId="0" fontId="6" fillId="10" borderId="4" xfId="0" applyFont="1" applyFill="1" applyBorder="1" applyProtection="1">
      <alignment horizontal="center" vertical="center"/>
    </xf>
    <xf numFmtId="0" fontId="6" fillId="4" borderId="1" xfId="0" applyFont="1" applyFill="1" applyBorder="1" applyProtection="1">
      <alignment horizontal="center" vertical="center" wrapText="1"/>
    </xf>
    <xf numFmtId="0" fontId="6" fillId="11" borderId="5" xfId="0" applyFont="1" applyFill="1" applyBorder="1" applyProtection="1">
      <alignment horizontal="center" vertical="center"/>
    </xf>
    <xf numFmtId="0" fontId="6" fillId="11" borderId="4" xfId="0" applyFont="1" applyFill="1" applyBorder="1" applyProtection="1">
      <alignment horizontal="center" vertical="center"/>
    </xf>
    <xf numFmtId="0" fontId="12" fillId="18" borderId="5" xfId="0" applyFont="1" applyFill="1" applyBorder="1" applyProtection="1">
      <alignment horizontal="left" vertical="center"/>
    </xf>
    <xf numFmtId="0" fontId="12" fillId="18" borderId="9" xfId="0" applyFont="1" applyFill="1" applyBorder="1" applyProtection="1">
      <alignment horizontal="left" vertical="center"/>
    </xf>
    <xf numFmtId="0" fontId="12" fillId="18" borderId="10" xfId="0" applyFont="1" applyFill="1" applyBorder="1" applyProtection="1">
      <alignment horizontal="left" vertical="center"/>
    </xf>
    <xf numFmtId="0" fontId="12" fillId="18" borderId="11" xfId="0" applyFont="1" applyFill="1" applyBorder="1" applyProtection="1">
      <alignment horizontal="left" vertical="center"/>
    </xf>
    <xf numFmtId="0" fontId="12" fillId="18" borderId="4" xfId="0" applyFont="1" applyFill="1" applyBorder="1" applyProtection="1">
      <alignment horizontal="left" vertical="center"/>
    </xf>
    <xf numFmtId="0" fontId="14" fillId="5" borderId="5" xfId="0" applyFont="1" applyFill="1" applyBorder="1" applyProtection="1">
      <alignment horizontal="center" vertical="center"/>
    </xf>
    <xf numFmtId="0" fontId="14" fillId="5" borderId="9" xfId="0" applyFont="1" applyFill="1" applyBorder="1" applyProtection="1">
      <alignment horizontal="center" vertical="center"/>
    </xf>
    <xf numFmtId="0" fontId="14" fillId="5" borderId="4" xfId="0" applyFont="1" applyFill="1" applyBorder="1" applyProtection="1">
      <alignment horizontal="center" vertical="center"/>
    </xf>
    <xf numFmtId="0" fontId="15" fillId="18" borderId="5" xfId="0" applyFont="1" applyFill="1" applyBorder="1" applyProtection="1">
      <alignment horizontal="center" vertical="center"/>
    </xf>
    <xf numFmtId="0" fontId="15" fillId="18" borderId="9" xfId="0" applyFont="1" applyFill="1" applyBorder="1" applyProtection="1">
      <alignment horizontal="center" vertical="center"/>
    </xf>
    <xf numFmtId="0" fontId="15" fillId="18" borderId="4" xfId="0" applyFont="1" applyFill="1" applyBorder="1" applyProtection="1">
      <alignment horizontal="center" vertical="center"/>
    </xf>
    <xf numFmtId="0" fontId="6" fillId="2" borderId="2" xfId="0" applyFont="1" applyFill="1" applyBorder="1" applyProtection="1">
      <alignment horizontal="right" vertical="center" wrapText="1"/>
    </xf>
    <xf numFmtId="0" fontId="6" fillId="2" borderId="0" xfId="0" applyFont="1" applyFill="1">
      <alignment horizontal="right" vertical="center" wrapText="1"/>
    </xf>
    <xf numFmtId="172" fontId="6" fillId="2" borderId="1" xfId="0" applyNumberFormat="1" applyFont="1" applyFill="1" applyBorder="1" applyProtection="1">
      <alignment horizontal="center" vertical="center"/>
    </xf>
    <xf numFmtId="172" fontId="9" fillId="6" borderId="1" xfId="0" applyNumberFormat="1" applyFont="1" applyFill="1" applyBorder="1" applyProtection="1">
      <alignment horizontal="center" vertical="center"/>
    </xf>
    <xf numFmtId="172" fontId="4" fillId="2" borderId="1" xfId="0" applyNumberFormat="1" applyFont="1" applyFill="1" applyBorder="1" applyProtection="1">
      <alignment horizontal="center" vertical="center"/>
    </xf>
    <xf numFmtId="172" fontId="9" fillId="2" borderId="1" xfId="0" applyNumberFormat="1" applyFont="1" applyFill="1" applyBorder="1" applyProtection="1">
      <alignment horizontal="center" vertical="center"/>
    </xf>
    <xf numFmtId="10" fontId="9" fillId="2" borderId="1" xfId="0" applyNumberFormat="1" applyFont="1" applyFill="1" applyBorder="1" applyProtection="1">
      <alignment horizontal="center" vertical="center"/>
    </xf>
    <xf numFmtId="0" fontId="4" fillId="2" borderId="5" xfId="0" applyFont="1" applyFill="1" applyBorder="1" applyProtection="1">
      <alignment horizontal="center" vertical="center"/>
    </xf>
    <xf numFmtId="0" fontId="4" fillId="2" borderId="9" xfId="0" applyFont="1" applyFill="1" applyBorder="1" applyProtection="1">
      <alignment horizontal="center" vertical="center"/>
    </xf>
    <xf numFmtId="0" fontId="4" fillId="2" borderId="4" xfId="0" applyFont="1" applyFill="1" applyBorder="1" applyProtection="1">
      <alignment horizontal="center" vertical="center"/>
    </xf>
    <xf numFmtId="175" fontId="6" fillId="2" borderId="1" xfId="0" applyNumberFormat="1" applyFont="1" applyFill="1" applyBorder="1" applyProtection="1">
      <alignment horizontal="center" vertical="center"/>
    </xf>
    <xf numFmtId="175" fontId="6" fillId="6" borderId="1" xfId="0" applyNumberFormat="1" applyFont="1" applyFill="1" applyBorder="1" applyProtection="1">
      <alignment horizontal="center" vertical="center"/>
    </xf>
    <xf numFmtId="173" fontId="6" fillId="2" borderId="1" xfId="0" applyNumberFormat="1" applyFont="1" applyFill="1" applyBorder="1" applyProtection="1">
      <alignment horizontal="center" vertical="center"/>
    </xf>
    <xf numFmtId="0" fontId="4" fillId="6" borderId="1" xfId="0" applyFont="1" applyFill="1" applyBorder="1" applyProtection="1">
      <alignment horizontal="center" vertical="center" wrapText="1"/>
    </xf>
    <xf numFmtId="0" fontId="4" fillId="2" borderId="3" xfId="0" applyFont="1" applyFill="1" applyBorder="1" applyProtection="1">
      <alignment horizontal="center" vertical="center"/>
    </xf>
    <xf numFmtId="0" fontId="4" fillId="2" borderId="12" xfId="0" applyFont="1" applyFill="1" applyBorder="1" applyProtection="1">
      <alignment horizontal="center" vertical="center"/>
    </xf>
    <xf numFmtId="0" fontId="6" fillId="0" borderId="6" xfId="0" applyFont="1" applyBorder="1" applyProtection="1">
      <alignment horizontal="left" vertical="center" wrapText="1"/>
    </xf>
    <xf numFmtId="0" fontId="6" fillId="0" borderId="7" xfId="0" applyFont="1" applyBorder="1" applyProtection="1">
      <alignment horizontal="left" vertical="center" wrapText="1"/>
    </xf>
    <xf numFmtId="172" fontId="4" fillId="19" borderId="8" xfId="0" applyNumberFormat="1" applyFont="1" applyFill="1" applyBorder="1" applyProtection="1">
      <alignment horizontal="center" vertical="center"/>
    </xf>
    <xf numFmtId="172" fontId="4" fillId="19" borderId="6" xfId="0" applyNumberFormat="1" applyFont="1" applyFill="1" applyBorder="1" applyProtection="1">
      <alignment horizontal="center" vertical="center"/>
    </xf>
    <xf numFmtId="172" fontId="4" fillId="19" borderId="7" xfId="0" applyNumberFormat="1" applyFont="1" applyFill="1" applyBorder="1" applyProtection="1">
      <alignment horizontal="center" vertical="center"/>
    </xf>
    <xf numFmtId="172" fontId="4" fillId="12" borderId="8" xfId="0" applyNumberFormat="1" applyFont="1" applyFill="1" applyBorder="1" applyProtection="1">
      <alignment horizontal="center" vertical="center"/>
    </xf>
    <xf numFmtId="172" fontId="4" fillId="12" borderId="6" xfId="0" applyNumberFormat="1" applyFont="1" applyFill="1" applyBorder="1" applyProtection="1">
      <alignment horizontal="center" vertical="center"/>
    </xf>
    <xf numFmtId="172" fontId="4" fillId="12" borderId="7" xfId="0" applyNumberFormat="1" applyFont="1" applyFill="1" applyBorder="1" applyProtection="1">
      <alignment horizontal="center" vertical="center"/>
    </xf>
    <xf numFmtId="10" fontId="4" fillId="19" borderId="8" xfId="0" applyNumberFormat="1" applyFont="1" applyFill="1" applyBorder="1" applyProtection="1">
      <alignment horizontal="center" vertical="center"/>
    </xf>
    <xf numFmtId="10" fontId="4" fillId="19" borderId="6" xfId="0" applyNumberFormat="1" applyFont="1" applyFill="1" applyBorder="1" applyProtection="1">
      <alignment horizontal="center" vertical="center"/>
    </xf>
    <xf numFmtId="10" fontId="4" fillId="19" borderId="7" xfId="0" applyNumberFormat="1" applyFont="1" applyFill="1" applyBorder="1" applyProtection="1">
      <alignment horizontal="center" vertical="center"/>
    </xf>
    <xf numFmtId="173" fontId="4" fillId="14" borderId="8" xfId="0" applyNumberFormat="1" applyFont="1" applyFill="1" applyBorder="1" applyProtection="1">
      <alignment horizontal="center" vertical="center"/>
    </xf>
    <xf numFmtId="173" fontId="4" fillId="14" borderId="6" xfId="0" applyNumberFormat="1" applyFont="1" applyFill="1" applyBorder="1" applyProtection="1">
      <alignment horizontal="center" vertical="center"/>
    </xf>
    <xf numFmtId="173" fontId="4" fillId="14" borderId="7" xfId="0" applyNumberFormat="1" applyFont="1" applyFill="1" applyBorder="1" applyProtection="1">
      <alignment horizontal="center" vertical="center"/>
    </xf>
    <xf numFmtId="173" fontId="4" fillId="19" borderId="8" xfId="0" applyNumberFormat="1" applyFont="1" applyFill="1" applyBorder="1" applyProtection="1">
      <alignment horizontal="center" vertical="center"/>
    </xf>
    <xf numFmtId="173" fontId="4" fillId="19" borderId="6" xfId="0" applyNumberFormat="1" applyFont="1" applyFill="1" applyBorder="1" applyProtection="1">
      <alignment horizontal="center" vertical="center"/>
    </xf>
    <xf numFmtId="173" fontId="4" fillId="19" borderId="7" xfId="0" applyNumberFormat="1" applyFont="1" applyFill="1" applyBorder="1" applyProtection="1">
      <alignment horizontal="center" vertical="center"/>
    </xf>
    <xf numFmtId="173" fontId="4" fillId="12" borderId="8" xfId="0" applyNumberFormat="1" applyFont="1" applyFill="1" applyBorder="1" applyProtection="1">
      <alignment horizontal="center" vertical="center"/>
    </xf>
    <xf numFmtId="173" fontId="4" fillId="12" borderId="6" xfId="0" applyNumberFormat="1" applyFont="1" applyFill="1" applyBorder="1" applyProtection="1">
      <alignment horizontal="center" vertical="center"/>
    </xf>
    <xf numFmtId="173" fontId="4" fillId="12" borderId="7" xfId="0" applyNumberFormat="1" applyFont="1" applyFill="1" applyBorder="1" applyProtection="1">
      <alignment horizontal="center" vertical="center"/>
    </xf>
    <xf numFmtId="173" fontId="4" fillId="4" borderId="8" xfId="0" applyNumberFormat="1" applyFont="1" applyFill="1" applyBorder="1" applyProtection="1">
      <alignment horizontal="center" vertical="center"/>
    </xf>
    <xf numFmtId="173" fontId="4" fillId="4" borderId="6" xfId="0" applyNumberFormat="1" applyFont="1" applyFill="1" applyBorder="1" applyProtection="1">
      <alignment horizontal="center" vertical="center"/>
    </xf>
    <xf numFmtId="173" fontId="4" fillId="4" borderId="7" xfId="0" applyNumberFormat="1" applyFont="1" applyFill="1" applyBorder="1" applyProtection="1">
      <alignment horizontal="center" vertical="center"/>
    </xf>
    <xf numFmtId="0" fontId="6" fillId="11" borderId="13" xfId="0" applyFont="1" applyFill="1" applyBorder="1" applyProtection="1">
      <alignment horizontal="center" vertical="center"/>
    </xf>
    <xf numFmtId="0" fontId="6" fillId="11" borderId="11" xfId="0" applyFont="1" applyFill="1" applyBorder="1" applyProtection="1">
      <alignment horizontal="center" vertical="center"/>
    </xf>
    <xf numFmtId="0" fontId="6" fillId="11" borderId="14" xfId="0" applyFont="1" applyFill="1" applyBorder="1" applyProtection="1">
      <alignment horizontal="center" vertical="center"/>
    </xf>
    <xf numFmtId="0" fontId="6" fillId="11" borderId="12" xfId="0" applyFont="1" applyFill="1" applyBorder="1" applyProtection="1">
      <alignment horizontal="center" vertical="center"/>
    </xf>
    <xf numFmtId="0" fontId="6" fillId="8" borderId="10" xfId="0" applyFont="1" applyFill="1" applyBorder="1" applyProtection="1">
      <alignment horizontal="left" vertical="center"/>
    </xf>
    <xf numFmtId="0" fontId="6" fillId="8" borderId="2" xfId="0" applyFont="1" applyFill="1" applyBorder="1" applyProtection="1">
      <alignment horizontal="left" vertical="center"/>
    </xf>
    <xf numFmtId="0" fontId="6" fillId="8" borderId="0" xfId="0" applyFont="1" applyFill="1">
      <alignment horizontal="left" vertical="center"/>
    </xf>
    <xf numFmtId="0" fontId="6" fillId="8" borderId="14" xfId="0" applyFont="1" applyFill="1" applyBorder="1" applyProtection="1">
      <alignment horizontal="left" vertical="center"/>
    </xf>
    <xf numFmtId="0" fontId="6" fillId="8" borderId="15" xfId="0" applyFont="1" applyFill="1" applyBorder="1" applyProtection="1">
      <alignment horizontal="left" vertical="center"/>
    </xf>
    <xf numFmtId="0" fontId="6" fillId="5" borderId="1" xfId="0" applyFont="1" applyFill="1" applyBorder="1" applyProtection="1">
      <alignment horizontal="left" vertical="center"/>
    </xf>
    <xf numFmtId="0" fontId="6" fillId="6" borderId="1" xfId="0" applyFont="1" applyFill="1" applyBorder="1" applyProtection="1">
      <alignment horizontal="center" vertical="center"/>
    </xf>
    <xf numFmtId="0" fontId="6" fillId="8" borderId="1" xfId="0" applyFont="1" applyFill="1" applyBorder="1" applyProtection="1">
      <alignment horizontal="center" vertical="center"/>
    </xf>
    <xf numFmtId="0" fontId="6" fillId="6" borderId="4" xfId="0" applyFont="1" applyFill="1" applyBorder="1" applyProtection="1">
      <alignment horizontal="center" vertical="center"/>
    </xf>
    <xf numFmtId="0" fontId="6" fillId="7" borderId="1" xfId="0" applyFont="1" applyFill="1" applyBorder="1" applyProtection="1">
      <alignment horizontal="left" vertical="center"/>
    </xf>
    <xf numFmtId="0" fontId="6" fillId="3" borderId="1" xfId="0" applyFont="1" applyFill="1" applyBorder="1" applyProtection="1">
      <alignment horizontal="right" vertical="center"/>
    </xf>
    <xf numFmtId="0" fontId="6" fillId="2" borderId="1" xfId="0" applyFont="1" applyFill="1" applyBorder="1" applyProtection="1">
      <alignment horizontal="center" vertical="center"/>
    </xf>
    <xf numFmtId="0" fontId="4" fillId="2" borderId="1" xfId="0" applyFont="1" applyFill="1" applyBorder="1" applyProtection="1">
      <alignment horizontal="center" vertical="center"/>
    </xf>
    <xf numFmtId="0" fontId="6" fillId="3" borderId="1" xfId="0" applyFont="1" applyFill="1" applyBorder="1" applyProtection="1">
      <alignment horizontal="right" vertical="center" wrapText="1"/>
    </xf>
    <xf numFmtId="0" fontId="6" fillId="8" borderId="5" xfId="0" applyFont="1" applyFill="1" applyBorder="1" applyProtection="1">
      <alignment horizontal="center" vertical="center"/>
    </xf>
    <xf numFmtId="0" fontId="6" fillId="8" borderId="9" xfId="0" applyFont="1" applyFill="1" applyBorder="1" applyProtection="1">
      <alignment horizontal="center" vertical="center"/>
    </xf>
    <xf numFmtId="0" fontId="6" fillId="8" borderId="4" xfId="0" applyFont="1" applyFill="1" applyBorder="1" applyProtection="1">
      <alignment horizontal="center" vertical="center"/>
    </xf>
    <xf numFmtId="0" fontId="6" fillId="3" borderId="5" xfId="0" applyFont="1" applyFill="1" applyBorder="1" applyProtection="1">
      <alignment horizontal="center" vertical="center"/>
    </xf>
    <xf numFmtId="0" fontId="6" fillId="3" borderId="4" xfId="0" applyFont="1" applyFill="1" applyBorder="1" applyProtection="1">
      <alignment horizontal="center" vertical="center"/>
    </xf>
    <xf numFmtId="3" fontId="6" fillId="8" borderId="1" xfId="0" applyNumberFormat="1" applyFont="1" applyFill="1" applyBorder="1" applyProtection="1">
      <alignment horizontal="left" vertical="bottom"/>
    </xf>
    <xf numFmtId="0" fontId="4" fillId="2" borderId="7" xfId="0" applyFont="1" applyFill="1" applyBorder="1" applyProtection="1">
      <alignment horizontal="left" vertical="center" wrapText="1"/>
    </xf>
    <xf numFmtId="0" fontId="4" fillId="2" borderId="7" xfId="0" applyFont="1" applyFill="1" applyBorder="1" applyProtection="1">
      <alignment horizontal="left" vertical="center" wrapText="1"/>
    </xf>
    <xf numFmtId="0" fontId="6" fillId="7" borderId="2" xfId="0" applyFont="1" applyFill="1" applyBorder="1" applyProtection="1">
      <alignment horizontal="center" vertical="center"/>
    </xf>
    <xf numFmtId="0" fontId="6" fillId="7" borderId="0" xfId="0" applyFont="1" applyFill="1">
      <alignment horizontal="center" vertical="center"/>
    </xf>
    <xf numFmtId="0" fontId="6" fillId="7" borderId="3" xfId="0" applyFont="1" applyFill="1" applyBorder="1" applyProtection="1">
      <alignment horizontal="center" vertical="center"/>
    </xf>
    <xf numFmtId="0" fontId="16" fillId="4" borderId="5" xfId="0" applyFont="1" applyFill="1" applyBorder="1" applyProtection="1">
      <alignment horizontal="center" vertical="center"/>
    </xf>
    <xf numFmtId="0" fontId="16" fillId="4" borderId="9" xfId="0" applyFont="1" applyFill="1" applyBorder="1" applyProtection="1">
      <alignment horizontal="center" vertical="center"/>
    </xf>
    <xf numFmtId="0" fontId="4" fillId="2" borderId="9" xfId="0" applyFont="1" applyFill="1" applyBorder="1" applyProtection="1">
      <alignment horizontal="left" vertical="center" wrapText="1"/>
    </xf>
    <xf numFmtId="0" fontId="4" fillId="2" borderId="4" xfId="0" applyFont="1" applyFill="1" applyBorder="1" applyProtection="1">
      <alignment horizontal="left" vertical="center" wrapText="1"/>
    </xf>
    <xf numFmtId="0" fontId="4" fillId="2" borderId="1" xfId="0" applyFont="1" applyFill="1" applyBorder="1" applyProtection="1">
      <alignment horizontal="left" vertical="center" wrapText="1"/>
    </xf>
    <xf numFmtId="0" fontId="4" fillId="2" borderId="1" xfId="0" applyFont="1" applyFill="1" applyBorder="1" applyProtection="1">
      <alignment horizontal="left" vertical="center"/>
    </xf>
    <xf numFmtId="0" fontId="16" fillId="14" borderId="5" xfId="0" applyFont="1" applyFill="1" applyBorder="1" applyProtection="1">
      <alignment horizontal="left" vertical="center"/>
    </xf>
    <xf numFmtId="0" fontId="16" fillId="14" borderId="9" xfId="0" applyFont="1" applyFill="1" applyBorder="1" applyProtection="1">
      <alignment horizontal="left" vertical="center"/>
    </xf>
    <xf numFmtId="0" fontId="16" fillId="14" borderId="4" xfId="0" applyFont="1" applyFill="1" applyBorder="1" applyProtection="1">
      <alignment horizontal="left" vertical="center"/>
    </xf>
    <xf numFmtId="0" fontId="4" fillId="2" borderId="14" xfId="0" applyFont="1" applyFill="1" applyBorder="1" applyProtection="1">
      <alignment horizontal="left" vertical="center"/>
    </xf>
    <xf numFmtId="0" fontId="4" fillId="2" borderId="15" xfId="0" applyFont="1" applyFill="1" applyBorder="1" applyProtection="1">
      <alignment horizontal="left" vertical="center"/>
    </xf>
    <xf numFmtId="0" fontId="4" fillId="2" borderId="12" xfId="0" applyFont="1" applyFill="1" applyBorder="1" applyProtection="1">
      <alignment horizontal="left" vertical="center"/>
    </xf>
    <xf numFmtId="0" fontId="4" fillId="2" borderId="14" xfId="0" applyFont="1" applyFill="1" applyBorder="1" applyProtection="1">
      <alignment horizontal="left" vertical="center" wrapText="1"/>
    </xf>
    <xf numFmtId="0" fontId="4" fillId="2" borderId="15" xfId="0" applyFont="1" applyFill="1" applyBorder="1" applyProtection="1">
      <alignment horizontal="left" vertical="center" wrapText="1"/>
    </xf>
    <xf numFmtId="0" fontId="4" fillId="2" borderId="12" xfId="0" applyFont="1" applyFill="1" applyBorder="1" applyProtection="1">
      <alignment horizontal="left" vertical="center" wrapText="1"/>
    </xf>
    <xf numFmtId="0" fontId="6" fillId="7" borderId="2" xfId="0" applyFont="1" applyFill="1" applyBorder="1" applyProtection="1">
      <alignment horizontal="left" vertical="center"/>
    </xf>
    <xf numFmtId="0" fontId="6" fillId="7" borderId="0" xfId="0" applyFont="1" applyFill="1">
      <alignment horizontal="left" vertical="center"/>
    </xf>
    <xf numFmtId="0" fontId="6" fillId="7" borderId="3" xfId="0" applyFont="1" applyFill="1" applyBorder="1" applyProtection="1">
      <alignment horizontal="left" vertical="center"/>
    </xf>
    <xf numFmtId="0" fontId="4" fillId="2" borderId="5" xfId="0" applyFont="1" applyFill="1" applyBorder="1" applyProtection="1">
      <alignment horizontal="left" vertical="center" wrapText="1"/>
    </xf>
    <xf numFmtId="0" fontId="4" fillId="2" borderId="9" xfId="0" applyFont="1" applyFill="1" applyBorder="1" applyProtection="1">
      <alignment horizontal="left" vertical="center" wrapText="1"/>
    </xf>
    <xf numFmtId="0" fontId="4" fillId="2" borderId="4" xfId="0" applyFont="1" applyFill="1" applyBorder="1" applyProtection="1">
      <alignment horizontal="left" vertical="center" wrapText="1"/>
    </xf>
    <xf numFmtId="0" fontId="6" fillId="7" borderId="14" xfId="0" applyFont="1" applyFill="1" applyBorder="1" applyProtection="1">
      <alignment horizontal="left" vertical="center"/>
    </xf>
    <xf numFmtId="0" fontId="6" fillId="7" borderId="15" xfId="0" applyFont="1" applyFill="1" applyBorder="1" applyProtection="1">
      <alignment horizontal="left" vertical="center"/>
    </xf>
    <xf numFmtId="0" fontId="6" fillId="7" borderId="12" xfId="0" applyFont="1" applyFill="1" applyBorder="1" applyProtection="1">
      <alignment horizontal="left" vertical="center"/>
    </xf>
    <xf numFmtId="0" fontId="6" fillId="4" borderId="14" xfId="0" applyFont="1" applyFill="1" applyBorder="1" applyProtection="1">
      <alignment horizontal="left" vertical="center"/>
    </xf>
    <xf numFmtId="0" fontId="6" fillId="4" borderId="15" xfId="0" applyFont="1" applyFill="1" applyBorder="1" applyProtection="1">
      <alignment horizontal="left" vertical="center"/>
    </xf>
    <xf numFmtId="0" fontId="6" fillId="4" borderId="12" xfId="0" applyFont="1" applyFill="1" applyBorder="1" applyProtection="1">
      <alignment horizontal="left" vertical="center"/>
    </xf>
    <xf numFmtId="0" fontId="4" fillId="2" borderId="2" xfId="0" applyFont="1" applyFill="1" applyBorder="1" applyProtection="1">
      <alignment vertical="center"/>
    </xf>
    <xf numFmtId="0" fontId="4" fillId="2" borderId="0" xfId="0" applyFont="1" applyFill="1">
      <alignment vertical="center"/>
    </xf>
    <xf numFmtId="0" fontId="4" fillId="2" borderId="3" xfId="0" applyFont="1" applyFill="1" applyBorder="1" applyProtection="1">
      <alignment vertical="center"/>
    </xf>
    <xf numFmtId="0" fontId="16" fillId="4" borderId="1" xfId="0" applyFont="1" applyFill="1" applyBorder="1" applyProtection="1">
      <alignment horizontal="center" vertical="center" wrapText="1"/>
    </xf>
    <xf numFmtId="0" fontId="16" fillId="4" borderId="1" xfId="0" applyFont="1" applyFill="1" applyBorder="1" applyProtection="1">
      <alignment horizontal="center" vertical="center"/>
    </xf>
    <xf numFmtId="0" fontId="16" fillId="14" borderId="1" xfId="0" applyFont="1" applyFill="1" applyBorder="1" applyProtection="1">
      <alignment horizontal="center" vertical="center"/>
    </xf>
    <xf numFmtId="0" fontId="6" fillId="7" borderId="1" xfId="0" applyFont="1" applyFill="1" applyBorder="1" applyProtection="1">
      <alignment horizontal="left" vertical="center" wrapText="1"/>
    </xf>
    <xf numFmtId="0" fontId="6" fillId="3" borderId="13" xfId="0" applyFont="1" applyFill="1" applyBorder="1" applyProtection="1">
      <alignment horizontal="center" vertical="center" wrapText="1"/>
    </xf>
    <xf numFmtId="0" fontId="6" fillId="3" borderId="11" xfId="0" applyFont="1" applyFill="1" applyBorder="1" applyProtection="1">
      <alignment horizontal="center" vertical="center" wrapText="1"/>
    </xf>
    <xf numFmtId="0" fontId="6" fillId="3" borderId="14" xfId="0" applyFont="1" applyFill="1" applyBorder="1" applyProtection="1">
      <alignment horizontal="center" vertical="center" wrapText="1"/>
    </xf>
    <xf numFmtId="0" fontId="6" fillId="3" borderId="12" xfId="0" applyFont="1" applyFill="1" applyBorder="1" applyProtection="1">
      <alignment horizontal="center" vertical="center" wrapText="1"/>
    </xf>
    <xf numFmtId="0" fontId="6" fillId="3" borderId="2" xfId="0" applyFont="1" applyFill="1" applyBorder="1" applyProtection="1">
      <alignment horizontal="center" vertical="center"/>
    </xf>
    <xf numFmtId="0" fontId="6" fillId="3" borderId="0" xfId="0" applyFont="1" applyFill="1">
      <alignment horizontal="center" vertical="center"/>
    </xf>
    <xf numFmtId="3" fontId="6" fillId="8" borderId="1" xfId="0" applyNumberFormat="1" applyFont="1" applyFill="1" applyBorder="1" applyProtection="1">
      <alignment horizontal="left" vertical="bottom"/>
    </xf>
    <xf numFmtId="0" fontId="6" fillId="4" borderId="13" xfId="0" applyFont="1" applyFill="1" applyBorder="1" applyProtection="1">
      <alignment horizontal="center" vertical="center"/>
    </xf>
    <xf numFmtId="0" fontId="6" fillId="4" borderId="10" xfId="0" applyFont="1" applyFill="1" applyBorder="1" applyProtection="1">
      <alignment horizontal="center" vertical="center"/>
    </xf>
    <xf numFmtId="0" fontId="6" fillId="4" borderId="11" xfId="0" applyFont="1" applyFill="1" applyBorder="1" applyProtection="1">
      <alignment horizontal="center" vertical="center"/>
    </xf>
    <xf numFmtId="0" fontId="6" fillId="6" borderId="1" xfId="0" applyFont="1" applyFill="1" applyBorder="1" applyProtection="1">
      <alignment horizontal="center" vertical="center"/>
    </xf>
    <xf numFmtId="0" fontId="6" fillId="8" borderId="8" xfId="0" applyFont="1" applyFill="1" applyBorder="1" applyProtection="1">
      <alignment horizontal="center" vertical="center"/>
    </xf>
    <xf numFmtId="0" fontId="4" fillId="2" borderId="1" xfId="0" applyFont="1" applyFill="1" applyBorder="1" applyProtection="1">
      <alignment horizontal="right" vertical="center"/>
    </xf>
    <xf numFmtId="0" fontId="6" fillId="8" borderId="13" xfId="0" applyFont="1" applyFill="1" applyBorder="1" applyProtection="1">
      <alignment horizontal="left" vertical="center"/>
    </xf>
    <xf numFmtId="0" fontId="12" fillId="18" borderId="5" xfId="0" applyFont="1" applyFill="1" applyBorder="1" applyProtection="1">
      <alignment horizontal="left" vertical="center"/>
    </xf>
    <xf numFmtId="0" fontId="12" fillId="18" borderId="10" xfId="0" applyFont="1" applyFill="1" applyBorder="1" applyProtection="1">
      <alignment horizontal="left" vertical="center"/>
    </xf>
    <xf numFmtId="0" fontId="6" fillId="0" borderId="8" xfId="0" applyFont="1" applyBorder="1" applyProtection="1">
      <alignment horizontal="left" vertical="center" wrapText="1"/>
    </xf>
    <xf numFmtId="0" fontId="17" fillId="0" borderId="0" xfId="0" applyFont="1">
      <alignment vertical="center"/>
    </xf>
    <xf numFmtId="0" fontId="6" fillId="2" borderId="0" xfId="0" applyFont="1" applyFill="1">
      <alignment horizontal="center" vertical="center"/>
    </xf>
    <xf numFmtId="0" fontId="13" fillId="0" borderId="1" xfId="0" applyFont="1" applyBorder="1" applyProtection="1">
      <alignment horizontal="center" vertical="center"/>
    </xf>
    <xf numFmtId="0" fontId="13" fillId="17" borderId="1" xfId="0" applyFont="1" applyFill="1" applyBorder="1" applyProtection="1">
      <alignment horizontal="center" vertical="center"/>
    </xf>
    <xf numFmtId="168" fontId="13" fillId="17" borderId="1" xfId="0" applyNumberFormat="1" applyFont="1" applyFill="1" applyBorder="1" applyProtection="1">
      <alignment horizontal="center" vertical="center"/>
    </xf>
    <xf numFmtId="9" fontId="13" fillId="17" borderId="1" xfId="0" applyNumberFormat="1" applyFont="1" applyFill="1" applyBorder="1" applyProtection="1">
      <alignment horizontal="center" vertical="center"/>
    </xf>
    <xf numFmtId="0" fontId="13" fillId="12" borderId="1" xfId="0" applyFont="1" applyFill="1" applyBorder="1" applyProtection="1">
      <alignment horizontal="center" vertical="center"/>
    </xf>
    <xf numFmtId="168" fontId="13" fillId="12" borderId="1" xfId="0" applyNumberFormat="1" applyFont="1" applyFill="1" applyBorder="1" applyProtection="1">
      <alignment horizontal="center" vertical="center"/>
    </xf>
    <xf numFmtId="9" fontId="13" fillId="12" borderId="1" xfId="0" applyNumberFormat="1" applyFont="1" applyFill="1" applyBorder="1" applyProtection="1">
      <alignment horizontal="center" vertical="center"/>
    </xf>
    <xf numFmtId="0" fontId="4" fillId="15" borderId="1" xfId="0" applyFont="1" applyFill="1" applyBorder="1" applyProtection="1">
      <alignment horizontal="center" vertical="center"/>
    </xf>
    <xf numFmtId="0" fontId="4" fillId="16" borderId="1" xfId="0" applyFont="1" applyFill="1" applyBorder="1" applyProtection="1">
      <alignment horizontal="center" vertical="center"/>
    </xf>
    <xf numFmtId="0" fontId="4" fillId="2" borderId="1" xfId="0" applyFont="1" applyFill="1" applyBorder="1" applyProtection="1">
      <alignment horizontal="center" vertical="center"/>
    </xf>
    <xf numFmtId="0" fontId="12" fillId="9" borderId="1" xfId="0" applyFont="1" applyFill="1" applyBorder="1" applyProtection="1">
      <alignment horizontal="center" vertical="center"/>
    </xf>
    <xf numFmtId="0" fontId="6" fillId="9" borderId="1" xfId="0" applyFont="1" applyFill="1" applyBorder="1" applyProtection="1">
      <alignment horizontal="center" vertical="center"/>
    </xf>
    <xf numFmtId="177" fontId="12" fillId="9" borderId="1" xfId="0" applyNumberFormat="1" applyFont="1" applyFill="1" applyBorder="1" applyProtection="1">
      <alignment horizontal="center" vertical="center"/>
    </xf>
    <xf numFmtId="176" fontId="12" fillId="9" borderId="1" xfId="0" applyNumberFormat="1" applyFont="1" applyFill="1" applyBorder="1" applyProtection="1">
      <alignment horizontal="center" vertical="center"/>
    </xf>
    <xf numFmtId="174" fontId="4" fillId="2" borderId="1" xfId="0" applyNumberFormat="1" applyFont="1" applyFill="1" applyBorder="1" applyProtection="1">
      <alignment vertical="center"/>
    </xf>
    <xf numFmtId="169" fontId="18" fillId="8" borderId="1" xfId="0" applyNumberFormat="1" applyFont="1" applyFill="1" applyBorder="1" applyProtection="1">
      <alignment horizontal="center" vertical="center" wrapText="1"/>
    </xf>
    <xf numFmtId="169" fontId="19" fillId="8" borderId="1" xfId="0" applyNumberFormat="1" applyFont="1" applyFill="1" applyBorder="1" applyProtection="1">
      <alignment horizontal="center" vertical="center" wrapText="1"/>
    </xf>
    <xf numFmtId="0" fontId="20" fillId="8" borderId="1" xfId="0" applyFont="1" applyFill="1" applyBorder="1" applyProtection="1">
      <alignment horizontal="center" vertical="center" wrapText="1"/>
    </xf>
    <xf numFmtId="0" fontId="21" fillId="8" borderId="1" xfId="0" applyFont="1" applyFill="1" applyBorder="1" applyProtection="1">
      <alignment horizontal="center" vertical="center" wrapText="1"/>
    </xf>
    <xf numFmtId="0" fontId="22" fillId="6" borderId="1" xfId="0" applyFont="1" applyFill="1" applyBorder="1" applyProtection="1">
      <alignment horizontal="center" vertical="center" wrapText="1"/>
    </xf>
    <xf numFmtId="0" fontId="23" fillId="6" borderId="1" xfId="0" applyFont="1" applyFill="1" applyBorder="1" applyProtection="1">
      <alignment horizontal="center" vertical="center" wrapText="1"/>
    </xf>
    <xf numFmtId="10" fontId="24" fillId="14" borderId="1" xfId="0" applyNumberFormat="1" applyFont="1" applyFill="1" applyBorder="1" applyProtection="1">
      <alignment horizontal="center" vertical="center" wrapText="1"/>
    </xf>
    <xf numFmtId="0" fontId="25" fillId="6" borderId="1" xfId="0" applyFont="1" applyFill="1" applyBorder="1" applyProtection="1">
      <alignment horizontal="center" vertical="center" wrapText="1"/>
    </xf>
    <xf numFmtId="0" fontId="26" fillId="8" borderId="1" xfId="0" applyFont="1" applyFill="1" applyBorder="1" applyProtection="1">
      <alignment horizontal="center" vertical="center" wrapText="1"/>
    </xf>
    <xf numFmtId="10" fontId="27" fillId="8" borderId="1" xfId="0" applyNumberFormat="1" applyFont="1" applyFill="1" applyBorder="1" applyProtection="1">
      <alignment horizontal="center" vertical="center" wrapText="1"/>
    </xf>
    <xf numFmtId="0" fontId="28" fillId="8" borderId="1" xfId="0" applyFont="1" applyFill="1" applyBorder="1" applyProtection="1">
      <alignment horizontal="center" vertical="center" wrapText="1"/>
    </xf>
    <xf numFmtId="10" fontId="29" fillId="8" borderId="1" xfId="0" applyNumberFormat="1" applyFont="1" applyFill="1" applyBorder="1" applyProtection="1">
      <alignment horizontal="center" vertical="center" wrapText="1"/>
    </xf>
    <xf numFmtId="172" fontId="30" fillId="8" borderId="7" xfId="0" applyNumberFormat="1" applyFont="1" applyFill="1" applyBorder="1" applyProtection="1">
      <alignment horizontal="center" vertical="center" wrapText="1"/>
    </xf>
    <xf numFmtId="172" fontId="31" fillId="8" borderId="7" xfId="0" applyNumberFormat="1" applyFont="1" applyFill="1" applyBorder="1" applyProtection="1">
      <alignment horizontal="center" vertical="center" wrapText="1"/>
    </xf>
    <xf numFmtId="172" fontId="32" fillId="8" borderId="7" xfId="0" applyNumberFormat="1" applyFont="1" applyFill="1" applyBorder="1" applyProtection="1">
      <alignment horizontal="center" vertical="center" wrapText="1"/>
    </xf>
    <xf numFmtId="172" fontId="33" fillId="8" borderId="7" xfId="0" applyNumberFormat="1" applyFont="1" applyFill="1" applyBorder="1" applyProtection="1">
      <alignment horizontal="center" vertical="center" wrapText="1"/>
    </xf>
    <xf numFmtId="172" fontId="34" fillId="8" borderId="7" xfId="0" applyNumberFormat="1" applyFont="1" applyFill="1" applyBorder="1" applyProtection="1">
      <alignment horizontal="center" vertical="center" wrapText="1"/>
    </xf>
    <xf numFmtId="172" fontId="35" fillId="8" borderId="7" xfId="0" applyNumberFormat="1" applyFont="1" applyFill="1" applyBorder="1" applyProtection="1">
      <alignment horizontal="center" vertical="center" wrapText="1"/>
    </xf>
    <xf numFmtId="172" fontId="36" fillId="8" borderId="7" xfId="0" applyNumberFormat="1" applyFont="1" applyFill="1" applyBorder="1" applyProtection="1">
      <alignment horizontal="center" vertical="center" wrapText="1"/>
    </xf>
    <xf numFmtId="173" fontId="37" fillId="8" borderId="7" xfId="0" applyNumberFormat="1" applyFont="1" applyFill="1" applyBorder="1" applyProtection="1">
      <alignment horizontal="center" vertical="center" wrapText="1"/>
    </xf>
    <xf numFmtId="172" fontId="38" fillId="8" borderId="7" xfId="0" applyNumberFormat="1" applyFont="1" applyFill="1" applyBorder="1" applyProtection="1">
      <alignment horizontal="center" vertical="center" wrapText="1"/>
    </xf>
    <xf numFmtId="172" fontId="39" fillId="8" borderId="7" xfId="0" applyNumberFormat="1" applyFont="1" applyFill="1" applyBorder="1" applyProtection="1">
      <alignment horizontal="center" vertical="center" wrapText="1"/>
    </xf>
    <xf numFmtId="0" fontId="40" fillId="6" borderId="1" xfId="0" applyFont="1" applyFill="1" applyBorder="1" applyProtection="1">
      <alignment horizontal="center" vertical="center" wrapText="1"/>
    </xf>
    <xf numFmtId="0" fontId="41" fillId="3" borderId="1" xfId="0" applyFont="1" applyFill="1" applyBorder="1" applyProtection="1">
      <alignment horizontal="center" vertical="center" wrapText="1"/>
    </xf>
    <xf numFmtId="0" fontId="42" fillId="3" borderId="1" xfId="0" applyFont="1" applyFill="1" applyBorder="1" applyProtection="1">
      <alignment horizontal="center" vertical="center" wrapText="1"/>
    </xf>
    <xf numFmtId="0" fontId="43" fillId="3" borderId="1" xfId="0" applyFont="1" applyFill="1" applyBorder="1" applyProtection="1">
      <alignment horizontal="center" vertical="center" wrapText="1"/>
    </xf>
    <xf numFmtId="0" fontId="44" fillId="3" borderId="1" xfId="0" applyFont="1" applyFill="1" applyBorder="1" applyProtection="1">
      <alignment horizontal="center" vertical="center" wrapText="1"/>
    </xf>
    <xf numFmtId="0" fontId="45" fillId="3" borderId="1" xfId="0" applyFont="1" applyFill="1" applyBorder="1" applyProtection="1">
      <alignment horizontal="center" vertical="center" wrapText="1"/>
    </xf>
    <xf numFmtId="0" fontId="46" fillId="6" borderId="1" xfId="0" applyFont="1" applyFill="1" applyBorder="1" applyProtection="1">
      <alignment horizontal="center" vertical="center" wrapText="1"/>
    </xf>
    <xf numFmtId="0" fontId="47" fillId="3" borderId="1" xfId="0" applyFont="1" applyFill="1" applyBorder="1" applyProtection="1">
      <alignment horizontal="center" vertical="center" wrapText="1"/>
    </xf>
    <xf numFmtId="0" fontId="48" fillId="3" borderId="1" xfId="0" applyFont="1" applyFill="1" applyBorder="1" applyProtection="1">
      <alignment horizontal="center" vertical="center" wrapText="1"/>
    </xf>
    <xf numFmtId="0" fontId="49" fillId="6" borderId="1" xfId="0" applyFont="1" applyFill="1" applyBorder="1" applyProtection="1">
      <alignment horizontal="center" vertical="center" wrapText="1"/>
    </xf>
    <xf numFmtId="0" fontId="50" fillId="3" borderId="1" xfId="0" applyFont="1" applyFill="1" applyBorder="1" applyProtection="1">
      <alignment horizontal="center" vertical="center" wrapText="1"/>
    </xf>
    <xf numFmtId="0" fontId="51" fillId="3" borderId="1" xfId="0" applyFont="1" applyFill="1" applyBorder="1" applyProtection="1">
      <alignment horizontal="center" vertical="center" wrapText="1"/>
    </xf>
    <xf numFmtId="0" fontId="52" fillId="6" borderId="1" xfId="0" applyFont="1" applyFill="1" applyBorder="1" applyProtection="1">
      <alignment horizontal="center" vertical="center" wrapText="1"/>
    </xf>
    <xf numFmtId="0" fontId="53" fillId="3" borderId="1" xfId="0" applyFont="1" applyFill="1" applyBorder="1" applyProtection="1">
      <alignment horizontal="center" vertical="center" wrapText="1"/>
    </xf>
    <xf numFmtId="0" fontId="54" fillId="3" borderId="1" xfId="0" applyFont="1" applyFill="1" applyBorder="1" applyProtection="1">
      <alignment horizontal="center" vertical="center" wrapText="1"/>
    </xf>
    <xf numFmtId="0" fontId="55" fillId="3" borderId="1" xfId="0" applyFont="1" applyFill="1" applyBorder="1" applyProtection="1">
      <alignment horizontal="center" vertical="center" wrapText="1"/>
    </xf>
    <xf numFmtId="0" fontId="56" fillId="3" borderId="1" xfId="0" applyFont="1" applyFill="1" applyBorder="1" applyProtection="1">
      <alignment horizontal="center" vertical="center" wrapText="1"/>
    </xf>
    <xf numFmtId="0" fontId="57" fillId="6" borderId="1" xfId="0" applyFont="1" applyFill="1" applyBorder="1" applyProtection="1">
      <alignment horizontal="center" vertical="center" wrapText="1"/>
    </xf>
    <xf numFmtId="0" fontId="58" fillId="3" borderId="1" xfId="0" applyFont="1" applyFill="1" applyBorder="1" applyProtection="1">
      <alignment horizontal="center" vertical="center" wrapText="1"/>
    </xf>
    <xf numFmtId="0" fontId="59" fillId="6" borderId="1" xfId="0" applyFont="1" applyFill="1" applyBorder="1" applyProtection="1">
      <alignment horizontal="center" vertical="center" wrapText="1"/>
    </xf>
    <xf numFmtId="0" fontId="60" fillId="3" borderId="1" xfId="0" applyFont="1" applyFill="1" applyBorder="1" applyProtection="1">
      <alignment horizontal="center" vertical="center" wrapText="1"/>
    </xf>
    <xf numFmtId="0" fontId="61" fillId="6" borderId="1" xfId="0" applyFont="1" applyFill="1" applyBorder="1" applyProtection="1">
      <alignment horizontal="center" vertical="center" wrapText="1"/>
    </xf>
    <xf numFmtId="0" fontId="62" fillId="6" borderId="1" xfId="0" applyFont="1" applyFill="1" applyBorder="1" applyProtection="1">
      <alignment horizontal="center" vertical="center" wrapText="1"/>
    </xf>
    <xf numFmtId="0" fontId="63" fillId="6" borderId="1" xfId="0" applyFont="1" applyFill="1" applyBorder="1" applyProtection="1">
      <alignment horizontal="center" vertical="center" wrapText="1"/>
    </xf>
    <xf numFmtId="0" fontId="64" fillId="7" borderId="1" xfId="0" applyFont="1" applyFill="1" applyBorder="1" applyProtection="1">
      <alignment horizontal="left" vertical="center" wrapText="1"/>
    </xf>
    <xf numFmtId="0" fontId="65" fillId="4" borderId="1" xfId="0" applyFont="1" applyFill="1" applyBorder="1" applyProtection="1">
      <alignment horizontal="center" vertical="center" wrapText="1"/>
    </xf>
    <xf numFmtId="0" fontId="66" fillId="2" borderId="1" xfId="0" applyFont="1" applyFill="1" applyBorder="1" applyProtection="1">
      <alignment horizontal="left" vertical="center" wrapText="1"/>
    </xf>
    <xf numFmtId="0" fontId="67" fillId="2" borderId="1" xfId="0" applyFont="1" applyFill="1" applyBorder="1" applyProtection="1">
      <alignment horizontal="left" vertical="center" wrapText="1"/>
    </xf>
    <xf numFmtId="0" fontId="68" fillId="2" borderId="1" xfId="0" applyFont="1" applyFill="1" applyBorder="1" applyProtection="1">
      <alignment horizontal="left" vertical="center" wrapText="1"/>
    </xf>
    <xf numFmtId="0" fontId="69" fillId="2" borderId="1" xfId="0" applyFont="1" applyFill="1" applyBorder="1" applyProtection="1">
      <alignment horizontal="left" vertical="center" wrapText="1"/>
    </xf>
    <xf numFmtId="0" fontId="70" fillId="2" borderId="1" xfId="0" applyFont="1" applyFill="1" applyBorder="1" applyProtection="1">
      <alignment horizontal="left" vertical="center" wrapText="1"/>
    </xf>
    <xf numFmtId="0" fontId="71" fillId="2" borderId="1" xfId="0" applyFont="1" applyFill="1" applyBorder="1" applyProtection="1">
      <alignment horizontal="left" vertical="center" wrapText="1"/>
    </xf>
    <xf numFmtId="0" fontId="72" fillId="2" borderId="1" xfId="0" applyFont="1" applyFill="1" applyBorder="1" applyProtection="1">
      <alignment horizontal="left" vertical="center" wrapText="1"/>
    </xf>
    <xf numFmtId="0" fontId="73" fillId="2" borderId="1" xfId="0" applyFont="1" applyFill="1" applyBorder="1" applyProtection="1">
      <alignment horizontal="left" vertical="center" wrapText="1"/>
    </xf>
    <xf numFmtId="0" fontId="74" fillId="2" borderId="1" xfId="0" applyFont="1" applyFill="1" applyBorder="1" applyProtection="1">
      <alignment horizontal="left" vertical="center" wrapText="1"/>
    </xf>
    <xf numFmtId="0" fontId="75" fillId="2" borderId="1" xfId="0" applyFont="1" applyFill="1" applyBorder="1" applyProtection="1">
      <alignment horizontal="left" vertical="center" wrapText="1"/>
    </xf>
    <xf numFmtId="0" fontId="76" fillId="2" borderId="1" xfId="0" applyFont="1" applyFill="1" applyBorder="1" applyProtection="1">
      <alignment horizontal="left" vertical="center" wrapText="1"/>
    </xf>
    <xf numFmtId="0" fontId="77" fillId="2" borderId="1" xfId="0" applyFont="1" applyFill="1" applyBorder="1" applyProtection="1">
      <alignment horizontal="left" vertical="center" wrapText="1"/>
    </xf>
    <xf numFmtId="0" fontId="78" fillId="2" borderId="1" xfId="0" applyFont="1" applyFill="1" applyBorder="1" applyProtection="1">
      <alignment horizontal="left" vertical="center" wrapText="1"/>
    </xf>
    <xf numFmtId="0" fontId="79" fillId="2" borderId="1" xfId="0" applyFont="1" applyFill="1" applyBorder="1" applyProtection="1">
      <alignment horizontal="left" vertical="center" wrapText="1"/>
    </xf>
    <xf numFmtId="0" fontId="80" fillId="2" borderId="1" xfId="0" applyFont="1" applyFill="1" applyBorder="1" applyProtection="1">
      <alignment horizontal="left" vertical="center" wrapText="1"/>
    </xf>
    <xf numFmtId="0" fontId="81" fillId="2" borderId="1" xfId="0" applyFont="1" applyFill="1" applyBorder="1" applyProtection="1">
      <alignment horizontal="left" vertical="center" wrapText="1"/>
    </xf>
    <xf numFmtId="0" fontId="82" fillId="2" borderId="1" xfId="0" applyFont="1" applyFill="1" applyBorder="1" applyProtection="1">
      <alignment horizontal="left" vertical="center" wrapText="1"/>
    </xf>
    <xf numFmtId="0" fontId="83" fillId="2" borderId="1" xfId="0" applyFont="1" applyFill="1" applyBorder="1" applyProtection="1">
      <alignment horizontal="left" vertical="center" wrapText="1"/>
    </xf>
    <xf numFmtId="0" fontId="84" fillId="2" borderId="1" xfId="0" applyFont="1" applyFill="1" applyBorder="1" applyProtection="1">
      <alignment horizontal="left" vertical="center" wrapText="1"/>
    </xf>
    <xf numFmtId="0" fontId="85" fillId="2" borderId="1" xfId="0" applyFont="1" applyFill="1" applyBorder="1" applyProtection="1">
      <alignment horizontal="left" vertical="center" wrapText="1"/>
    </xf>
    <xf numFmtId="0" fontId="86" fillId="2" borderId="1" xfId="0" applyFont="1" applyFill="1" applyBorder="1" applyProtection="1">
      <alignment horizontal="left" vertical="center" wrapText="1"/>
    </xf>
    <xf numFmtId="0" fontId="87" fillId="2" borderId="1" xfId="0" applyFont="1" applyFill="1" applyBorder="1" applyProtection="1">
      <alignment horizontal="left" vertical="center" wrapText="1"/>
    </xf>
    <xf numFmtId="0" fontId="88" fillId="2" borderId="1" xfId="0" applyFont="1" applyFill="1" applyBorder="1" applyProtection="1">
      <alignment horizontal="left" vertical="center" wrapText="1"/>
    </xf>
    <xf numFmtId="0" fontId="89" fillId="2" borderId="1" xfId="0" applyFont="1" applyFill="1" applyBorder="1" applyProtection="1">
      <alignment horizontal="left" vertical="center" wrapText="1"/>
    </xf>
    <xf numFmtId="0" fontId="90" fillId="2" borderId="1" xfId="0" applyFont="1" applyFill="1" applyBorder="1" applyProtection="1">
      <alignment horizontal="left" vertical="center" wrapText="1"/>
    </xf>
    <xf numFmtId="0" fontId="91" fillId="2" borderId="1" xfId="0" applyFont="1" applyFill="1" applyBorder="1" applyProtection="1">
      <alignment horizontal="left" vertical="center" wrapText="1"/>
    </xf>
    <xf numFmtId="0" fontId="92" fillId="2" borderId="1" xfId="0" applyFont="1" applyFill="1" applyBorder="1" applyProtection="1">
      <alignment horizontal="left" vertical="center" wrapText="1"/>
    </xf>
    <xf numFmtId="0" fontId="93" fillId="2" borderId="1" xfId="0" applyFont="1" applyFill="1" applyBorder="1" applyProtection="1">
      <alignment horizontal="left" vertical="center" wrapText="1"/>
    </xf>
    <xf numFmtId="0" fontId="94" fillId="2" borderId="1" xfId="0" applyFont="1" applyFill="1" applyBorder="1" applyProtection="1">
      <alignment horizontal="left" vertical="center" wrapText="1"/>
    </xf>
    <xf numFmtId="0" fontId="95" fillId="2" borderId="1" xfId="0" applyFont="1" applyFill="1" applyBorder="1" applyProtection="1">
      <alignment horizontal="left" vertical="center" wrapText="1"/>
    </xf>
    <xf numFmtId="0" fontId="96" fillId="2" borderId="14" xfId="0" applyFont="1" applyFill="1" applyBorder="1" applyProtection="1">
      <alignment horizontal="left" vertical="center" wrapText="1"/>
    </xf>
    <xf numFmtId="0" fontId="97" fillId="2" borderId="5" xfId="0" applyFont="1" applyFill="1" applyBorder="1" applyProtection="1">
      <alignment horizontal="left" vertical="center" wrapText="1"/>
    </xf>
    <xf numFmtId="0" fontId="98" fillId="2" borderId="14" xfId="0" applyFont="1" applyFill="1" applyBorder="1" applyProtection="1">
      <alignment horizontal="left" vertical="center" wrapText="1"/>
    </xf>
    <xf numFmtId="0" fontId="99" fillId="2" borderId="14" xfId="0" applyFont="1" applyFill="1" applyBorder="1" applyProtection="1">
      <alignment horizontal="left" vertical="center" wrapText="1"/>
    </xf>
    <xf numFmtId="0" fontId="100" fillId="2" borderId="14" xfId="0" applyFont="1" applyFill="1" applyBorder="1" applyProtection="1">
      <alignment horizontal="left" vertical="center" wrapText="1"/>
    </xf>
    <xf numFmtId="0" fontId="101" fillId="4" borderId="1" xfId="0" applyFont="1" applyFill="1" applyBorder="1" applyProtection="1">
      <alignment horizontal="center" vertical="center" wrapText="1"/>
    </xf>
    <xf numFmtId="168" fontId="102" fillId="5" borderId="1" xfId="0" applyNumberFormat="1" applyFont="1" applyFill="1" applyBorder="1" applyProtection="1">
      <alignment horizontal="center" vertical="center" wrapText="1"/>
    </xf>
    <xf numFmtId="168" fontId="103" fillId="5" borderId="1" xfId="0" applyNumberFormat="1" applyFont="1" applyFill="1" applyBorder="1" applyProtection="1">
      <alignment horizontal="center" vertical="center" wrapText="1"/>
    </xf>
    <xf numFmtId="168" fontId="104" fillId="5" borderId="1" xfId="0" applyNumberFormat="1" applyFont="1" applyFill="1" applyBorder="1" applyProtection="1">
      <alignment horizontal="center" vertical="center" wrapText="1"/>
    </xf>
    <xf numFmtId="168" fontId="105" fillId="4" borderId="1" xfId="0" applyNumberFormat="1" applyFont="1" applyFill="1" applyBorder="1" applyProtection="1">
      <alignment horizontal="center" vertical="center" wrapText="1"/>
    </xf>
    <xf numFmtId="168" fontId="106" fillId="4" borderId="1" xfId="0" applyNumberFormat="1" applyFont="1" applyFill="1" applyBorder="1" applyProtection="1">
      <alignment horizontal="center" vertical="center" wrapText="1"/>
    </xf>
    <xf numFmtId="0" fontId="107" fillId="4" borderId="1" xfId="0" applyFont="1" applyFill="1" applyBorder="1" applyProtection="1">
      <alignment horizontal="center" vertical="center" wrapText="1"/>
    </xf>
    <xf numFmtId="0" fontId="108" fillId="4" borderId="1" xfId="0" applyFont="1" applyFill="1" applyBorder="1" applyProtection="1">
      <alignment horizontal="center" vertical="center" wrapText="1"/>
    </xf>
    <xf numFmtId="0" fontId="109" fillId="4" borderId="1" xfId="0" applyFont="1" applyFill="1" applyBorder="1" applyProtection="1">
      <alignment horizontal="center" vertical="center" wrapText="1"/>
    </xf>
    <xf numFmtId="0" fontId="110" fillId="3" borderId="1" xfId="0" applyFont="1" applyFill="1" applyBorder="1" applyProtection="1">
      <alignment horizontal="center" vertical="center" wrapText="1"/>
    </xf>
    <xf numFmtId="0" fontId="111" fillId="3" borderId="1" xfId="0" applyFont="1" applyFill="1" applyBorder="1" applyProtection="1">
      <alignment horizontal="center" vertical="center" wrapText="1"/>
    </xf>
    <xf numFmtId="0" fontId="112" fillId="3" borderId="1" xfId="0" applyFont="1" applyFill="1" applyBorder="1" applyProtection="1">
      <alignment horizontal="center" vertical="center" wrapText="1"/>
    </xf>
    <xf numFmtId="0" fontId="113" fillId="3" borderId="1" xfId="0" applyFont="1" applyFill="1" applyBorder="1" applyProtection="1">
      <alignment horizontal="center" vertical="center" wrapText="1"/>
    </xf>
    <xf numFmtId="167" fontId="114" fillId="3" borderId="1" xfId="0" applyNumberFormat="1" applyFont="1" applyFill="1" applyBorder="1" applyProtection="1">
      <alignment horizontal="center" vertical="center" wrapText="1"/>
    </xf>
    <xf numFmtId="167" fontId="115" fillId="3" borderId="1" xfId="0" applyNumberFormat="1" applyFont="1" applyFill="1" applyBorder="1" applyProtection="1">
      <alignment horizontal="center" vertical="center" wrapText="1"/>
    </xf>
    <xf numFmtId="0" fontId="116" fillId="3" borderId="1" xfId="0" applyFont="1" applyFill="1" applyBorder="1" applyProtection="1">
      <alignment horizontal="center" vertical="center" wrapText="1"/>
    </xf>
    <xf numFmtId="164" fontId="117" fillId="3" borderId="1" xfId="0" applyNumberFormat="1" applyFont="1" applyFill="1" applyBorder="1" applyProtection="1">
      <alignment horizontal="center" vertical="center" wrapText="1"/>
    </xf>
  </cellXfs>
  <cellStyles count="2">
    <cellStyle name="常规" xfId="0" builtinId="0"/>
    <cellStyle name="超链接" xfId="1" builtinId="8"/>
  </cellStyles>
  <dxfs count="6">
    <dxf>
      <font>
        <color rgb="FF9C0006"/>
      </font>
      <fill>
        <patternFill>
          <bgColor rgb="FFFFC7CE"/>
        </patternFill>
      </fill>
    </dxf>
    <dxf>
      <font>
        <sz val="12"/>
        <color rgb="FF9C0006"/>
        <name val="宋体"/>
      </font>
      <fill>
        <patternFill>
          <bgColor rgb="FFFFC7CE"/>
        </patternFill>
      </fill>
    </dxf>
    <dxf>
      <fill>
        <patternFill>
          <bgColor rgb="FFFF9900"/>
        </patternFill>
      </fill>
    </dxf>
    <dxf>
      <fill>
        <patternFill>
          <bgColor rgb="FF7F7F7F"/>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 customHeight="1"/>
  <cols>
    <col min="1" max="1" width="10.5" customWidth="1" style="152"/>
    <col min="2" max="2" width="7.166015625" customWidth="1" style="153"/>
    <col min="3" max="3" width="6.83203125" customWidth="1" style="154"/>
    <col min="4" max="5" width="9" style="154"/>
    <col min="6" max="6" width="7.6640625" customWidth="1" style="154"/>
    <col min="7" max="7" width="10.166015625" customWidth="1" style="154"/>
    <col min="8" max="12" width="9" style="154"/>
    <col min="13" max="13" width="7.8310546875" customWidth="1" style="154"/>
    <col min="14" max="17" width="9" style="154"/>
    <col min="18" max="19" width="9" style="155"/>
    <col min="20" max="20" width="9" style="156"/>
    <col min="21" max="21" width="9" style="154"/>
    <col min="22" max="23" width="9.6650390625" customWidth="1" style="154"/>
    <col min="24" max="40" width="9" style="154"/>
  </cols>
  <sheetData>
    <row r="1" s="151" customFormat="1" ht="36" customHeight="1">
      <c r="A1" s="157" t="s">
        <v>0</v>
      </c>
      <c r="B1" s="158" t="s">
        <v>1</v>
      </c>
      <c r="C1" s="159" t="s">
        <v>2</v>
      </c>
      <c r="D1" s="159" t="s">
        <v>3</v>
      </c>
      <c r="E1" s="159" t="s">
        <v>4</v>
      </c>
      <c r="F1" s="159" t="s">
        <v>5</v>
      </c>
      <c r="G1" s="159" t="s">
        <v>6</v>
      </c>
      <c r="H1" s="159" t="s">
        <v>7</v>
      </c>
      <c r="I1" s="159" t="s">
        <v>8</v>
      </c>
      <c r="J1" s="159" t="s">
        <v>9</v>
      </c>
      <c r="K1" s="159" t="s">
        <v>10</v>
      </c>
      <c r="L1" s="159" t="s">
        <v>11</v>
      </c>
      <c r="M1" s="159" t="s">
        <v>12</v>
      </c>
      <c r="N1" s="159" t="s">
        <v>13</v>
      </c>
      <c r="O1" s="159" t="s">
        <v>14</v>
      </c>
      <c r="P1" s="159" t="s">
        <v>15</v>
      </c>
      <c r="Q1" s="159" t="s">
        <v>16</v>
      </c>
      <c r="R1" s="164" t="s">
        <v>17</v>
      </c>
      <c r="S1" s="164" t="s">
        <v>18</v>
      </c>
      <c r="T1" s="165" t="s">
        <v>19</v>
      </c>
    </row>
    <row r="2" ht="15" customHeight="1">
      <c r="A2" s="160" t="n">
        <v>43770</v>
      </c>
      <c r="B2" s="161" t="n">
        <v>7</v>
      </c>
      <c r="C2" s="162" t="n">
        <v>2</v>
      </c>
      <c r="D2" s="162" t="n">
        <v>10.99</v>
      </c>
      <c r="E2" s="312" t="n">
        <f>D2*C2</f>
        <v>21.98</v>
      </c>
      <c r="F2" s="312" t="n">
        <f>ROUND(D2*0.15*C2,2)</f>
        <v>3.3</v>
      </c>
      <c r="G2" s="312" t="n">
        <f>3.28*C2</f>
        <v>6.56</v>
      </c>
      <c r="H2" s="312" t="n">
        <f>ROUND(D2*C2*0.03,1)</f>
        <v>0.7</v>
      </c>
      <c r="I2" s="312" t="n">
        <f>ROUND(0.2*C2*D2,1)</f>
        <v>4.4</v>
      </c>
      <c r="J2" s="162" t="n">
        <v>0</v>
      </c>
      <c r="K2" s="312" t="n">
        <f>ROUND(C2*D2*0.03,2)</f>
        <v>0.66</v>
      </c>
      <c r="L2" s="162"/>
      <c r="M2" s="312" t="n">
        <f>7.8*C2</f>
        <v>15.6</v>
      </c>
      <c r="N2" s="312" t="n">
        <f>9*C2</f>
        <v>18</v>
      </c>
      <c r="O2" s="312" t="n">
        <f>D2*B2*1+30</f>
        <v>106.93</v>
      </c>
      <c r="P2" s="163" t="n">
        <f>ROUND(C2*D2*0.05*B2,2)</f>
        <v>7.69</v>
      </c>
      <c r="Q2" s="312" t="n">
        <f>(E2-F2-G2-H2-I2-J2-K2-L2)*B2-M2-N2-P2-O2</f>
        <v>-103.7</v>
      </c>
      <c r="R2" s="166" t="n">
        <f>ROUND(Q2/(E2*B2),2)</f>
        <v>-0.67</v>
      </c>
      <c r="S2" s="166" t="n">
        <f>ROUND(I2/E2,2)</f>
        <v>0.2</v>
      </c>
      <c r="T2" s="167" t="n">
        <f>O2/(E2*B2)</f>
        <v>0.694982451579358</v>
      </c>
    </row>
    <row r="3" ht="15" customHeight="1">
      <c r="A3" s="160" t="n">
        <v>43771</v>
      </c>
      <c r="B3" s="161" t="n">
        <v>7</v>
      </c>
      <c r="C3" s="162" t="n">
        <v>2</v>
      </c>
      <c r="D3" s="162" t="n">
        <v>10.99</v>
      </c>
      <c r="E3" s="312" t="n">
        <f>D3*C3</f>
        <v>21.98</v>
      </c>
      <c r="F3" s="312" t="n">
        <f>ROUND(D3*0.15*C3,2)</f>
        <v>3.3</v>
      </c>
      <c r="G3" s="312" t="n">
        <f>3.28*C3</f>
        <v>6.56</v>
      </c>
      <c r="H3" s="312" t="n">
        <f>ROUND(D3*C3*0.03,1)</f>
        <v>0.7</v>
      </c>
      <c r="I3" s="312" t="n">
        <f>ROUND(0.2*C3*D3,1)</f>
        <v>4.4</v>
      </c>
      <c r="J3" s="162" t="n">
        <v>0</v>
      </c>
      <c r="K3" s="312" t="n">
        <f>ROUND(C3*D3*0.03,2)</f>
        <v>0.66</v>
      </c>
      <c r="L3" s="162"/>
      <c r="M3" s="312" t="n">
        <f>7.8*C3</f>
        <v>15.6</v>
      </c>
      <c r="N3" s="312" t="n">
        <f>9*C3</f>
        <v>18</v>
      </c>
      <c r="O3" s="312" t="n">
        <f>D3*B3*1+30</f>
        <v>106.93</v>
      </c>
      <c r="P3" s="163" t="n">
        <f>ROUND(C3*D3*0.05*B3,2)</f>
        <v>7.69</v>
      </c>
      <c r="Q3" s="312" t="n">
        <f>(E3-F3-G3-H3-I3-J3-K3-L3)*B3-M3-N3-P3-O3</f>
        <v>-103.7</v>
      </c>
      <c r="R3" s="166" t="n">
        <f>ROUND(Q3/(E3*B3),2)</f>
        <v>-0.67</v>
      </c>
      <c r="S3" s="166" t="n">
        <f>ROUND(I3/E3,2)</f>
        <v>0.2</v>
      </c>
      <c r="T3" s="167" t="n">
        <f>O3/(E3*B3)</f>
        <v>0.694982451579358</v>
      </c>
    </row>
    <row r="4" ht="15" customHeight="1">
      <c r="A4" s="160" t="n">
        <v>43772</v>
      </c>
      <c r="B4" s="161" t="n">
        <v>7</v>
      </c>
      <c r="C4" s="162" t="n">
        <v>2</v>
      </c>
      <c r="D4" s="162" t="n">
        <v>10.99</v>
      </c>
      <c r="E4" s="312" t="n">
        <f>D4*C4</f>
        <v>21.98</v>
      </c>
      <c r="F4" s="312" t="n">
        <f>ROUND(D4*0.15*C4,2)</f>
        <v>3.3</v>
      </c>
      <c r="G4" s="312" t="n">
        <f>3.28*C4</f>
        <v>6.56</v>
      </c>
      <c r="H4" s="312" t="n">
        <f>ROUND(D4*C4*0.03,1)</f>
        <v>0.7</v>
      </c>
      <c r="I4" s="312" t="n">
        <f>ROUND(0.2*C4*D4,1)</f>
        <v>4.4</v>
      </c>
      <c r="J4" s="162" t="n">
        <v>0</v>
      </c>
      <c r="K4" s="312" t="n">
        <f>ROUND(C4*D4*0.03,2)</f>
        <v>0.66</v>
      </c>
      <c r="L4" s="162"/>
      <c r="M4" s="312" t="n">
        <f>7.8*C4</f>
        <v>15.6</v>
      </c>
      <c r="N4" s="312" t="n">
        <f>9*C4</f>
        <v>18</v>
      </c>
      <c r="O4" s="312" t="n">
        <f>D4*B4*1+30</f>
        <v>106.93</v>
      </c>
      <c r="P4" s="163" t="n">
        <f>ROUND(C4*D4*0.05*B4,2)</f>
        <v>7.69</v>
      </c>
      <c r="Q4" s="312" t="n">
        <f>(E4-F4-G4-H4-I4-J4-K4-L4)*B4-M4-N4-P4-O4</f>
        <v>-103.7</v>
      </c>
      <c r="R4" s="166" t="n">
        <f>ROUND(Q4/(E4*B4),2)</f>
        <v>-0.67</v>
      </c>
      <c r="S4" s="166" t="n">
        <f>ROUND(I4/E4,2)</f>
        <v>0.2</v>
      </c>
      <c r="T4" s="167" t="n">
        <f>O4/(E4*B4)</f>
        <v>0.694982451579358</v>
      </c>
    </row>
    <row r="5" ht="15" customHeight="1">
      <c r="A5" s="160" t="n">
        <v>43773</v>
      </c>
      <c r="B5" s="161" t="n">
        <v>7</v>
      </c>
      <c r="C5" s="162" t="n">
        <v>3</v>
      </c>
      <c r="D5" s="162" t="n">
        <v>10.99</v>
      </c>
      <c r="E5" s="312" t="n">
        <f>D5*C5</f>
        <v>32.97</v>
      </c>
      <c r="F5" s="312" t="n">
        <f>ROUND(D5*0.15*C5,2)</f>
        <v>4.95</v>
      </c>
      <c r="G5" s="312" t="n">
        <f>3.28*C5</f>
        <v>9.84</v>
      </c>
      <c r="H5" s="312" t="n">
        <f>ROUND(D5*C5*0.03,1)</f>
        <v>1</v>
      </c>
      <c r="I5" s="312" t="n">
        <f>ROUND(0.2*C5*D5,1)</f>
        <v>6.6</v>
      </c>
      <c r="J5" s="162" t="n">
        <v>0</v>
      </c>
      <c r="K5" s="312" t="n">
        <f>ROUND(C5*D5*0.03,2)</f>
        <v>0.99</v>
      </c>
      <c r="L5" s="162"/>
      <c r="M5" s="312" t="n">
        <f>7.8*C5</f>
        <v>23.4</v>
      </c>
      <c r="N5" s="312" t="n">
        <f>9*C5</f>
        <v>27</v>
      </c>
      <c r="O5" s="312" t="n">
        <f>D5*B5*1+30</f>
        <v>106.93</v>
      </c>
      <c r="P5" s="163" t="n">
        <f>ROUND(C5*D5*0.05*B5,2)</f>
        <v>11.54</v>
      </c>
      <c r="Q5" s="312" t="n">
        <f>(E5-F5-G5-H5-I5-J5-K5-L5)*B5-M5-N5-P5-O5</f>
        <v>-101.74</v>
      </c>
      <c r="R5" s="166" t="n">
        <f>ROUND(Q5/(E5*B5),2)</f>
        <v>-0.44</v>
      </c>
      <c r="S5" s="166" t="n">
        <f>ROUND(I5/E5,2)</f>
        <v>0.2</v>
      </c>
      <c r="T5" s="167" t="n">
        <f>O5/(E5*B5)</f>
        <v>0.463321634386239</v>
      </c>
    </row>
    <row r="6" ht="15" customHeight="1">
      <c r="A6" s="160" t="n">
        <v>43774</v>
      </c>
      <c r="B6" s="161" t="n">
        <v>7</v>
      </c>
      <c r="C6" s="162" t="n">
        <v>3</v>
      </c>
      <c r="D6" s="162" t="n">
        <v>10.99</v>
      </c>
      <c r="E6" s="312" t="n">
        <f>D6*C6</f>
        <v>32.97</v>
      </c>
      <c r="F6" s="312" t="n">
        <f>ROUND(D6*0.15*C6,2)</f>
        <v>4.95</v>
      </c>
      <c r="G6" s="312" t="n">
        <f>3.28*C6</f>
        <v>9.84</v>
      </c>
      <c r="H6" s="312" t="n">
        <f>ROUND(D6*C6*0.03,1)</f>
        <v>1</v>
      </c>
      <c r="I6" s="312" t="n">
        <f>ROUND(0.2*C6*D6,1)</f>
        <v>6.6</v>
      </c>
      <c r="J6" s="162" t="n">
        <v>0</v>
      </c>
      <c r="K6" s="312" t="n">
        <f>ROUND(C6*D6*0.03,2)</f>
        <v>0.99</v>
      </c>
      <c r="L6" s="162"/>
      <c r="M6" s="312" t="n">
        <f>7.8*C6</f>
        <v>23.4</v>
      </c>
      <c r="N6" s="312" t="n">
        <f>9*C6</f>
        <v>27</v>
      </c>
      <c r="O6" s="312" t="n">
        <f>D6*B6*1+30</f>
        <v>106.93</v>
      </c>
      <c r="P6" s="163" t="n">
        <f>ROUND(C6*D6*0.05*B6,2)</f>
        <v>11.54</v>
      </c>
      <c r="Q6" s="312" t="n">
        <f>(E6-F6-G6-H6-I6-J6-K6-L6)*B6-M6-N6-P6-O6</f>
        <v>-101.74</v>
      </c>
      <c r="R6" s="166" t="n">
        <f>ROUND(Q6/(E6*B6),2)</f>
        <v>-0.44</v>
      </c>
      <c r="S6" s="166" t="n">
        <f>ROUND(I6/E6,2)</f>
        <v>0.2</v>
      </c>
      <c r="T6" s="167" t="n">
        <f>O6/(E6*B6)</f>
        <v>0.463321634386239</v>
      </c>
    </row>
    <row r="7" ht="15" customHeight="1">
      <c r="A7" s="160" t="n">
        <v>43775</v>
      </c>
      <c r="B7" s="161" t="n">
        <v>7</v>
      </c>
      <c r="C7" s="162" t="n">
        <v>3</v>
      </c>
      <c r="D7" s="162" t="n">
        <v>10.99</v>
      </c>
      <c r="E7" s="312" t="n">
        <f>D7*C7</f>
        <v>32.97</v>
      </c>
      <c r="F7" s="312" t="n">
        <f>ROUND(D7*0.15*C7,2)</f>
        <v>4.95</v>
      </c>
      <c r="G7" s="312" t="n">
        <f>3.28*C7</f>
        <v>9.84</v>
      </c>
      <c r="H7" s="312" t="n">
        <f>ROUND(D7*C7*0.03,1)</f>
        <v>1</v>
      </c>
      <c r="I7" s="312" t="n">
        <f>ROUND(0.2*C7*D7,1)</f>
        <v>6.6</v>
      </c>
      <c r="J7" s="162" t="n">
        <v>0</v>
      </c>
      <c r="K7" s="312" t="n">
        <f>ROUND(C7*D7*0.03,2)</f>
        <v>0.99</v>
      </c>
      <c r="L7" s="162"/>
      <c r="M7" s="312" t="n">
        <f>7.8*C7</f>
        <v>23.4</v>
      </c>
      <c r="N7" s="312" t="n">
        <f>9*C7</f>
        <v>27</v>
      </c>
      <c r="O7" s="312" t="n">
        <f>D7*B7*1+30</f>
        <v>106.93</v>
      </c>
      <c r="P7" s="163" t="n">
        <f>ROUND(C7*D7*0.05*B7,2)</f>
        <v>11.54</v>
      </c>
      <c r="Q7" s="312" t="n">
        <f>(E7-F7-G7-H7-I7-J7-K7-L7)*B7-M7-N7-P7-O7</f>
        <v>-101.74</v>
      </c>
      <c r="R7" s="166" t="n">
        <f>ROUND(Q7/(E7*B7),2)</f>
        <v>-0.44</v>
      </c>
      <c r="S7" s="166" t="n">
        <f>ROUND(I7/E7,2)</f>
        <v>0.2</v>
      </c>
      <c r="T7" s="167" t="n">
        <f>O7/(E7*B7)</f>
        <v>0.463321634386239</v>
      </c>
    </row>
    <row r="8" ht="15" customHeight="1">
      <c r="A8" s="160" t="n">
        <v>43776</v>
      </c>
      <c r="B8" s="161" t="n">
        <v>7</v>
      </c>
      <c r="C8" s="162" t="n">
        <v>5</v>
      </c>
      <c r="D8" s="162" t="n">
        <v>10.99</v>
      </c>
      <c r="E8" s="312" t="n">
        <f>D8*C8</f>
        <v>54.95</v>
      </c>
      <c r="F8" s="312" t="n">
        <f>ROUND(D8*0.15*C8,2)</f>
        <v>8.24</v>
      </c>
      <c r="G8" s="312" t="n">
        <f>3.28*C8</f>
        <v>16.4</v>
      </c>
      <c r="H8" s="312" t="n">
        <f>ROUND(D8*C8*0.03,1)</f>
        <v>1.6</v>
      </c>
      <c r="I8" s="312" t="n">
        <f>ROUND(0.2*C8*D8,1)</f>
        <v>11</v>
      </c>
      <c r="J8" s="162" t="n">
        <v>0</v>
      </c>
      <c r="K8" s="312" t="n">
        <f>ROUND(C8*D8*0.03,2)</f>
        <v>1.65</v>
      </c>
      <c r="L8" s="162"/>
      <c r="M8" s="312" t="n">
        <f>7.8*C8</f>
        <v>39</v>
      </c>
      <c r="N8" s="312" t="n">
        <f>9*C8</f>
        <v>45</v>
      </c>
      <c r="O8" s="312" t="n">
        <f>D8*B8*1+30</f>
        <v>106.93</v>
      </c>
      <c r="P8" s="163" t="n">
        <f>ROUND(C8*D8*0.05*B8,2)</f>
        <v>19.23</v>
      </c>
      <c r="Q8" s="312" t="n">
        <f>(E8-F8-G8-H8-I8-J8-K8-L8)*B8-M8-N8-P8-O8</f>
        <v>-97.74</v>
      </c>
      <c r="R8" s="166" t="n">
        <f>ROUND(Q8/(E8*B8),2)</f>
        <v>-0.25</v>
      </c>
      <c r="S8" s="166" t="n">
        <f>ROUND(I8/E8,2)</f>
        <v>0.2</v>
      </c>
      <c r="T8" s="167" t="n">
        <f>O8/(E8*B8)</f>
        <v>0.277992980631743</v>
      </c>
    </row>
    <row r="9" ht="15" customHeight="1">
      <c r="A9" s="160" t="n">
        <v>43777</v>
      </c>
      <c r="B9" s="161" t="n">
        <v>7</v>
      </c>
      <c r="C9" s="162" t="n">
        <v>5</v>
      </c>
      <c r="D9" s="162" t="n">
        <v>10.99</v>
      </c>
      <c r="E9" s="312" t="n">
        <f>D9*C9</f>
        <v>54.95</v>
      </c>
      <c r="F9" s="312" t="n">
        <f>ROUND(D9*0.15*C9,2)</f>
        <v>8.24</v>
      </c>
      <c r="G9" s="312" t="n">
        <f>3.28*C9</f>
        <v>16.4</v>
      </c>
      <c r="H9" s="312" t="n">
        <f>ROUND(D9*C9*0.03,1)</f>
        <v>1.6</v>
      </c>
      <c r="I9" s="312" t="n">
        <f>ROUND(0.2*C9*D9,1)</f>
        <v>11</v>
      </c>
      <c r="J9" s="162" t="n">
        <v>0</v>
      </c>
      <c r="K9" s="312" t="n">
        <f>ROUND(C9*D9*0.03,2)</f>
        <v>1.65</v>
      </c>
      <c r="L9" s="162"/>
      <c r="M9" s="312" t="n">
        <f>7.8*C9</f>
        <v>39</v>
      </c>
      <c r="N9" s="312" t="n">
        <f>9*C9</f>
        <v>45</v>
      </c>
      <c r="O9" s="312" t="n">
        <f>D9*B9*1+30</f>
        <v>106.93</v>
      </c>
      <c r="P9" s="163" t="n">
        <f>ROUND(C9*D9*0.05*B9,2)</f>
        <v>19.23</v>
      </c>
      <c r="Q9" s="312" t="n">
        <f>(E9-F9-G9-H9-I9-J9-K9-L9)*B9-M9-N9-P9-O9</f>
        <v>-97.74</v>
      </c>
      <c r="R9" s="166" t="n">
        <f>ROUND(Q9/(E9*B9),2)</f>
        <v>-0.25</v>
      </c>
      <c r="S9" s="166" t="n">
        <f>ROUND(I9/E9,2)</f>
        <v>0.2</v>
      </c>
      <c r="T9" s="167" t="n">
        <f>O9/(E9*B9)</f>
        <v>0.277992980631743</v>
      </c>
    </row>
    <row r="10" ht="15" customHeight="1">
      <c r="A10" s="160" t="n">
        <v>43778</v>
      </c>
      <c r="B10" s="161" t="n">
        <v>7</v>
      </c>
      <c r="C10" s="162" t="n">
        <v>5</v>
      </c>
      <c r="D10" s="162" t="n">
        <v>10.99</v>
      </c>
      <c r="E10" s="312" t="n">
        <f>D10*C10</f>
        <v>54.95</v>
      </c>
      <c r="F10" s="312" t="n">
        <f>ROUND(D10*0.15*C10,2)</f>
        <v>8.24</v>
      </c>
      <c r="G10" s="312" t="n">
        <f>3.28*C10</f>
        <v>16.4</v>
      </c>
      <c r="H10" s="312" t="n">
        <f>ROUND(D10*C10*0.03,1)</f>
        <v>1.6</v>
      </c>
      <c r="I10" s="312" t="n">
        <f>ROUND(0.2*C10*D10,1)</f>
        <v>11</v>
      </c>
      <c r="J10" s="162" t="n">
        <v>0</v>
      </c>
      <c r="K10" s="312" t="n">
        <f>ROUND(C10*D10*0.03,2)</f>
        <v>1.65</v>
      </c>
      <c r="L10" s="162"/>
      <c r="M10" s="312" t="n">
        <f>7.8*C10</f>
        <v>39</v>
      </c>
      <c r="N10" s="312" t="n">
        <f>9*C10</f>
        <v>45</v>
      </c>
      <c r="O10" s="312" t="n">
        <f>D10*B10*1+30</f>
        <v>106.93</v>
      </c>
      <c r="P10" s="163" t="n">
        <f>ROUND(C10*D10*0.05*B10,2)</f>
        <v>19.23</v>
      </c>
      <c r="Q10" s="312" t="n">
        <f>(E10-F10-G10-H10-I10-J10-K10-L10)*B10-M10-N10-P10-O10</f>
        <v>-97.74</v>
      </c>
      <c r="R10" s="166" t="n">
        <f>ROUND(Q10/(E10*B10),2)</f>
        <v>-0.25</v>
      </c>
      <c r="S10" s="166" t="n">
        <f>ROUND(I10/E10,2)</f>
        <v>0.2</v>
      </c>
      <c r="T10" s="167" t="n">
        <f>O10/(E10*B10)</f>
        <v>0.277992980631743</v>
      </c>
    </row>
    <row r="11" ht="15" customHeight="1">
      <c r="A11" s="160" t="n">
        <v>43779</v>
      </c>
      <c r="B11" s="161" t="n">
        <v>7</v>
      </c>
      <c r="C11" s="162" t="n">
        <v>5</v>
      </c>
      <c r="D11" s="162" t="n">
        <v>10.99</v>
      </c>
      <c r="E11" s="312" t="n">
        <f>D11*C11</f>
        <v>54.95</v>
      </c>
      <c r="F11" s="312" t="n">
        <f>ROUND(D11*0.15*C11,2)</f>
        <v>8.24</v>
      </c>
      <c r="G11" s="312" t="n">
        <f>3.28*C11</f>
        <v>16.4</v>
      </c>
      <c r="H11" s="312" t="n">
        <f>ROUND(D11*C11*0.03,1)</f>
        <v>1.6</v>
      </c>
      <c r="I11" s="312" t="n">
        <f>ROUND(0.2*C11*D11,1)</f>
        <v>11</v>
      </c>
      <c r="J11" s="162" t="n">
        <v>0</v>
      </c>
      <c r="K11" s="312" t="n">
        <f>ROUND(C11*D11*0.03,2)</f>
        <v>1.65</v>
      </c>
      <c r="L11" s="162"/>
      <c r="M11" s="312" t="n">
        <f>7.8*C11</f>
        <v>39</v>
      </c>
      <c r="N11" s="312" t="n">
        <f>9*C11</f>
        <v>45</v>
      </c>
      <c r="O11" s="312" t="n">
        <f>D11*B11*1+30</f>
        <v>106.93</v>
      </c>
      <c r="P11" s="163" t="n">
        <f>ROUND(C11*D11*0.05*B11,2)</f>
        <v>19.23</v>
      </c>
      <c r="Q11" s="312" t="n">
        <f>(E11-F11-G11-H11-I11-J11-K11-L11)*B11-M11-N11-P11-O11</f>
        <v>-97.74</v>
      </c>
      <c r="R11" s="166" t="n">
        <f>ROUND(Q11/(E11*B11),2)</f>
        <v>-0.25</v>
      </c>
      <c r="S11" s="166" t="n">
        <f>ROUND(I11/E11,2)</f>
        <v>0.2</v>
      </c>
      <c r="T11" s="167" t="n">
        <f>O11/(E11*B11)</f>
        <v>0.277992980631743</v>
      </c>
    </row>
    <row r="12" ht="15" customHeight="1">
      <c r="A12" s="172" t="s">
        <v>20</v>
      </c>
      <c r="B12" s="172"/>
      <c r="C12" s="172"/>
      <c r="D12" s="172"/>
      <c r="E12" s="313" t="n">
        <f>SUM(E2:E11)</f>
        <v>384.65</v>
      </c>
      <c r="F12" s="313" t="n">
        <f>SUM(F2:F11)</f>
        <v>57.71</v>
      </c>
      <c r="G12" s="313" t="n">
        <f>SUM(G2:G11)</f>
        <v>114.8</v>
      </c>
      <c r="H12" s="313" t="n">
        <f>SUM(H2:H11)</f>
        <v>11.5</v>
      </c>
      <c r="I12" s="313" t="n">
        <f>SUM(I2:I11)</f>
        <v>77</v>
      </c>
      <c r="J12" s="313" t="n">
        <f>SUM(J2:J11)</f>
        <v>0</v>
      </c>
      <c r="K12" s="313" t="n">
        <f>SUM(K2:K11)</f>
        <v>11.55</v>
      </c>
      <c r="L12" s="313" t="n">
        <f>SUM(L2:L11)</f>
        <v>0</v>
      </c>
      <c r="M12" s="313" t="n">
        <f>SUM(M2:M11)</f>
        <v>273</v>
      </c>
      <c r="N12" s="313" t="n">
        <f>SUM(N2:N11)</f>
        <v>315</v>
      </c>
      <c r="O12" s="313" t="n">
        <f>SUM(O2:O11)</f>
        <v>1069.3</v>
      </c>
      <c r="P12" s="314" t="n">
        <f>SUM(P2:P11)</f>
        <v>134.61</v>
      </c>
      <c r="Q12" s="313" t="n">
        <f>SUM(Q2:Q11)</f>
        <v>-1007.28</v>
      </c>
      <c r="R12" s="315" t="n">
        <f>SUM(R2:R11)</f>
        <v>-4.33</v>
      </c>
      <c r="S12" s="168" t="n">
        <f>SUM(S2:S11)</f>
        <v>2</v>
      </c>
      <c r="T12" s="169"/>
    </row>
    <row r="13" ht="15" customHeight="1">
      <c r="A13" s="160" t="n">
        <v>43780</v>
      </c>
      <c r="B13" s="161" t="n">
        <v>7</v>
      </c>
      <c r="C13" s="162" t="n">
        <v>8</v>
      </c>
      <c r="D13" s="162" t="n">
        <v>11.99</v>
      </c>
      <c r="E13" s="312" t="n">
        <f>D13*C13</f>
        <v>95.92</v>
      </c>
      <c r="F13" s="312" t="n">
        <f>ROUND(D13*0.15*C13,2)</f>
        <v>14.39</v>
      </c>
      <c r="G13" s="312" t="n">
        <f>3.28*C13</f>
        <v>26.24</v>
      </c>
      <c r="H13" s="312" t="n">
        <f>ROUND(D13*C13*0.03,1)</f>
        <v>2.9</v>
      </c>
      <c r="I13" s="312" t="n">
        <f>ROUND(0.1*C13*D13,1)</f>
        <v>9.6</v>
      </c>
      <c r="J13" s="162" t="n">
        <v>0</v>
      </c>
      <c r="K13" s="312" t="n">
        <f>ROUND(C13*D13*0.03,2)</f>
        <v>2.88</v>
      </c>
      <c r="L13" s="162"/>
      <c r="M13" s="312" t="n">
        <f>7.8*C13</f>
        <v>62.4</v>
      </c>
      <c r="N13" s="312" t="n">
        <f>9*C13</f>
        <v>72</v>
      </c>
      <c r="O13" s="312" t="n">
        <f>D13*B13*1+30</f>
        <v>113.93</v>
      </c>
      <c r="P13" s="163" t="n">
        <f>ROUND(C13*D13*0.05*B13,2)</f>
        <v>33.57</v>
      </c>
      <c r="Q13" s="312" t="n">
        <f>(E13-F13-G13-H13-I13-J13-K13-L13)*B13-M13-N13-P13-O13</f>
        <v>-2.53</v>
      </c>
      <c r="R13" s="166" t="n">
        <f>ROUND(Q13/(E13*B13),2)</f>
        <v>0</v>
      </c>
      <c r="S13" s="166" t="n">
        <f>ROUND(I13/E13,2)</f>
        <v>0.1</v>
      </c>
      <c r="T13" s="167" t="n">
        <f>O13/(E13*B13)</f>
        <v>0.16968009055165</v>
      </c>
    </row>
    <row r="14" ht="15" customHeight="1">
      <c r="A14" s="160" t="n">
        <v>43781</v>
      </c>
      <c r="B14" s="161" t="n">
        <v>7</v>
      </c>
      <c r="C14" s="162" t="n">
        <v>8</v>
      </c>
      <c r="D14" s="162" t="n">
        <v>11.99</v>
      </c>
      <c r="E14" s="312" t="n">
        <f>D14*C14</f>
        <v>95.92</v>
      </c>
      <c r="F14" s="312" t="n">
        <f>ROUND(D14*0.15*C14,2)</f>
        <v>14.39</v>
      </c>
      <c r="G14" s="312" t="n">
        <f>3.28*C14</f>
        <v>26.24</v>
      </c>
      <c r="H14" s="312" t="n">
        <f>ROUND(D14*C14*0.03,1)</f>
        <v>2.9</v>
      </c>
      <c r="I14" s="312" t="n">
        <f>ROUND(0.1*C14*D14,1)</f>
        <v>9.6</v>
      </c>
      <c r="J14" s="162" t="n">
        <v>0</v>
      </c>
      <c r="K14" s="312" t="n">
        <f>ROUND(C14*D14*0.03,2)</f>
        <v>2.88</v>
      </c>
      <c r="L14" s="162"/>
      <c r="M14" s="312" t="n">
        <f>7.8*C14</f>
        <v>62.4</v>
      </c>
      <c r="N14" s="312" t="n">
        <f>9*C14</f>
        <v>72</v>
      </c>
      <c r="O14" s="312" t="n">
        <f>D14*B14*1+30</f>
        <v>113.93</v>
      </c>
      <c r="P14" s="163" t="n">
        <f>ROUND(C14*D14*0.05*B14,2)</f>
        <v>33.57</v>
      </c>
      <c r="Q14" s="312" t="n">
        <f>(E14-F14-G14-H14-I14-J14-K14-L14)*B14-M14-N14-P14-O14</f>
        <v>-2.53</v>
      </c>
      <c r="R14" s="166" t="n">
        <f>ROUND(Q14/(E14*B14),2)</f>
        <v>0</v>
      </c>
      <c r="S14" s="166" t="n">
        <f>ROUND(I14/E14,2)</f>
        <v>0.1</v>
      </c>
      <c r="T14" s="167" t="n">
        <f>O14/(E14*B14)</f>
        <v>0.16968009055165</v>
      </c>
    </row>
    <row r="15" ht="15" customHeight="1">
      <c r="A15" s="160" t="n">
        <v>43782</v>
      </c>
      <c r="B15" s="161" t="n">
        <v>7</v>
      </c>
      <c r="C15" s="162" t="n">
        <v>8</v>
      </c>
      <c r="D15" s="162" t="n">
        <v>11.99</v>
      </c>
      <c r="E15" s="312" t="n">
        <f>D15*C15</f>
        <v>95.92</v>
      </c>
      <c r="F15" s="312" t="n">
        <f>ROUND(D15*0.15*C15,2)</f>
        <v>14.39</v>
      </c>
      <c r="G15" s="312" t="n">
        <f>3.28*C15</f>
        <v>26.24</v>
      </c>
      <c r="H15" s="312" t="n">
        <f>ROUND(D15*C15*0.03,1)</f>
        <v>2.9</v>
      </c>
      <c r="I15" s="312" t="n">
        <f>ROUND(0.1*C15*D15,1)</f>
        <v>9.6</v>
      </c>
      <c r="J15" s="162" t="n">
        <v>0</v>
      </c>
      <c r="K15" s="312" t="n">
        <f>ROUND(C15*D15*0.03,2)</f>
        <v>2.88</v>
      </c>
      <c r="L15" s="162"/>
      <c r="M15" s="312" t="n">
        <f>7.8*C15</f>
        <v>62.4</v>
      </c>
      <c r="N15" s="312" t="n">
        <f>9*C15</f>
        <v>72</v>
      </c>
      <c r="O15" s="312" t="n">
        <f>D15*B15*1+30</f>
        <v>113.93</v>
      </c>
      <c r="P15" s="163" t="n">
        <f>ROUND(C15*D15*0.05*B15,2)</f>
        <v>33.57</v>
      </c>
      <c r="Q15" s="312" t="n">
        <f>(E15-F15-G15-H15-I15-J15-K15-L15)*B15-M15-N15-P15-O15</f>
        <v>-2.53</v>
      </c>
      <c r="R15" s="166" t="n">
        <f>ROUND(Q15/(E15*B15),2)</f>
        <v>0</v>
      </c>
      <c r="S15" s="166" t="n">
        <f>ROUND(I15/E15,2)</f>
        <v>0.1</v>
      </c>
      <c r="T15" s="167" t="n">
        <f>O15/(E15*B15)</f>
        <v>0.16968009055165</v>
      </c>
    </row>
    <row r="16" ht="15" customHeight="1">
      <c r="A16" s="160" t="n">
        <v>43783</v>
      </c>
      <c r="B16" s="161" t="n">
        <v>7</v>
      </c>
      <c r="C16" s="162" t="n">
        <v>8</v>
      </c>
      <c r="D16" s="162" t="n">
        <v>11.99</v>
      </c>
      <c r="E16" s="312" t="n">
        <f>D16*C16</f>
        <v>95.92</v>
      </c>
      <c r="F16" s="312" t="n">
        <f>ROUND(D16*0.15*C16,2)</f>
        <v>14.39</v>
      </c>
      <c r="G16" s="312" t="n">
        <f>3.28*C16</f>
        <v>26.24</v>
      </c>
      <c r="H16" s="312" t="n">
        <f>ROUND(D16*C16*0.03,1)</f>
        <v>2.9</v>
      </c>
      <c r="I16" s="312" t="n">
        <f>ROUND(0.1*C16*D16,1)</f>
        <v>9.6</v>
      </c>
      <c r="J16" s="162" t="n">
        <v>0</v>
      </c>
      <c r="K16" s="312" t="n">
        <f>ROUND(C16*D16*0.03,2)</f>
        <v>2.88</v>
      </c>
      <c r="L16" s="162"/>
      <c r="M16" s="312" t="n">
        <f>7.8*C16</f>
        <v>62.4</v>
      </c>
      <c r="N16" s="312" t="n">
        <f>9*C16</f>
        <v>72</v>
      </c>
      <c r="O16" s="312" t="n">
        <f>D16*B16*1+30</f>
        <v>113.93</v>
      </c>
      <c r="P16" s="163" t="n">
        <f>ROUND(C16*D16*0.05*B16,2)</f>
        <v>33.57</v>
      </c>
      <c r="Q16" s="312" t="n">
        <f>(E16-F16-G16-H16-I16-J16-K16-L16)*B16-M16-N16-P16-O16</f>
        <v>-2.53</v>
      </c>
      <c r="R16" s="166" t="n">
        <f>ROUND(Q16/(E16*B16),2)</f>
        <v>0</v>
      </c>
      <c r="S16" s="166" t="n">
        <f>ROUND(I16/E16,2)</f>
        <v>0.1</v>
      </c>
      <c r="T16" s="167" t="n">
        <f>O16/(E16*B16)</f>
        <v>0.16968009055165</v>
      </c>
    </row>
    <row r="17" ht="15" customHeight="1">
      <c r="A17" s="160" t="n">
        <v>43784</v>
      </c>
      <c r="B17" s="161" t="n">
        <v>7</v>
      </c>
      <c r="C17" s="162" t="n">
        <v>8</v>
      </c>
      <c r="D17" s="162" t="n">
        <v>11.99</v>
      </c>
      <c r="E17" s="312" t="n">
        <f>D17*C17</f>
        <v>95.92</v>
      </c>
      <c r="F17" s="312" t="n">
        <f>ROUND(D17*0.15*C17,2)</f>
        <v>14.39</v>
      </c>
      <c r="G17" s="312" t="n">
        <f>3.28*C17</f>
        <v>26.24</v>
      </c>
      <c r="H17" s="312" t="n">
        <f>ROUND(D17*C17*0.03,1)</f>
        <v>2.9</v>
      </c>
      <c r="I17" s="312" t="n">
        <f>ROUND(0.1*C17*D17,1)</f>
        <v>9.6</v>
      </c>
      <c r="J17" s="162" t="n">
        <v>0</v>
      </c>
      <c r="K17" s="312" t="n">
        <f>ROUND(C17*D17*0.03,2)</f>
        <v>2.88</v>
      </c>
      <c r="L17" s="162"/>
      <c r="M17" s="312" t="n">
        <f>7.8*C17</f>
        <v>62.4</v>
      </c>
      <c r="N17" s="312" t="n">
        <f>9*C17</f>
        <v>72</v>
      </c>
      <c r="O17" s="312" t="n">
        <f>D17*B17*1+30</f>
        <v>113.93</v>
      </c>
      <c r="P17" s="163" t="n">
        <f>ROUND(C17*D17*0.05*B17,2)</f>
        <v>33.57</v>
      </c>
      <c r="Q17" s="312" t="n">
        <f>(E17-F17-G17-H17-I17-J17-K17-L17)*B17-M17-N17-P17-O17</f>
        <v>-2.53</v>
      </c>
      <c r="R17" s="166" t="n">
        <f>ROUND(Q17/(E17*B17),2)</f>
        <v>0</v>
      </c>
      <c r="S17" s="166" t="n">
        <f>ROUND(I17/E17,2)</f>
        <v>0.1</v>
      </c>
      <c r="T17" s="167" t="n">
        <f>O17/(E17*B17)</f>
        <v>0.16968009055165</v>
      </c>
    </row>
    <row r="18" ht="15" customHeight="1">
      <c r="A18" s="160" t="n">
        <v>43785</v>
      </c>
      <c r="B18" s="161" t="n">
        <v>7</v>
      </c>
      <c r="C18" s="162" t="n">
        <v>8</v>
      </c>
      <c r="D18" s="162" t="n">
        <v>11.99</v>
      </c>
      <c r="E18" s="312" t="n">
        <f>D18*C18</f>
        <v>95.92</v>
      </c>
      <c r="F18" s="312" t="n">
        <f>ROUND(D18*0.15*C18,2)</f>
        <v>14.39</v>
      </c>
      <c r="G18" s="312" t="n">
        <f>3.28*C18</f>
        <v>26.24</v>
      </c>
      <c r="H18" s="312" t="n">
        <f>ROUND(D18*C18*0.03,1)</f>
        <v>2.9</v>
      </c>
      <c r="I18" s="312" t="n">
        <f>ROUND(0.1*C18*D18,1)</f>
        <v>9.6</v>
      </c>
      <c r="J18" s="162" t="n">
        <v>150</v>
      </c>
      <c r="K18" s="312" t="n">
        <f>ROUND(C18*D18*0.03,2)</f>
        <v>2.88</v>
      </c>
      <c r="L18" s="162"/>
      <c r="M18" s="312" t="n">
        <f>7.8*C18</f>
        <v>62.4</v>
      </c>
      <c r="N18" s="312" t="n">
        <f>9*C18</f>
        <v>72</v>
      </c>
      <c r="O18" s="312" t="n">
        <f>D18*B18*1+30</f>
        <v>113.93</v>
      </c>
      <c r="P18" s="163" t="n">
        <f>ROUND(C18*D18*0.05*B18,2)</f>
        <v>33.57</v>
      </c>
      <c r="Q18" s="312" t="n">
        <f>(E18-F18-G18-H18-I18-J18-K18-L18)*B18-M18-N18-P18-O18</f>
        <v>-1052.53</v>
      </c>
      <c r="R18" s="166" t="n">
        <f>ROUND(Q18/(E18*B18),2)</f>
        <v>-1.57</v>
      </c>
      <c r="S18" s="166" t="n">
        <f>ROUND(I18/E18,2)</f>
        <v>0.1</v>
      </c>
      <c r="T18" s="167" t="n">
        <f>O18/(E18*B18)</f>
        <v>0.16968009055165</v>
      </c>
    </row>
    <row r="19" ht="15" customHeight="1">
      <c r="A19" s="160" t="n">
        <v>43786</v>
      </c>
      <c r="B19" s="161" t="n">
        <v>7</v>
      </c>
      <c r="C19" s="162" t="n">
        <v>8</v>
      </c>
      <c r="D19" s="162" t="n">
        <v>11.99</v>
      </c>
      <c r="E19" s="312" t="n">
        <f>D19*C19</f>
        <v>95.92</v>
      </c>
      <c r="F19" s="312" t="n">
        <f>ROUND(D19*0.15*C19,2)</f>
        <v>14.39</v>
      </c>
      <c r="G19" s="312" t="n">
        <f>3.28*C19</f>
        <v>26.24</v>
      </c>
      <c r="H19" s="312" t="n">
        <f>ROUND(D19*C19*0.03,1)</f>
        <v>2.9</v>
      </c>
      <c r="I19" s="312" t="n">
        <f>ROUND(0.1*C19*D19,1)</f>
        <v>9.6</v>
      </c>
      <c r="J19" s="162" t="n">
        <v>0</v>
      </c>
      <c r="K19" s="312" t="n">
        <f>ROUND(C19*D19*0.03,2)</f>
        <v>2.88</v>
      </c>
      <c r="L19" s="162"/>
      <c r="M19" s="312" t="n">
        <f>7.8*C19</f>
        <v>62.4</v>
      </c>
      <c r="N19" s="312" t="n">
        <f>9*C19</f>
        <v>72</v>
      </c>
      <c r="O19" s="312" t="n">
        <f>D19*B19*1+30</f>
        <v>113.93</v>
      </c>
      <c r="P19" s="163" t="n">
        <f>ROUND(C19*D19*0.05*B19,2)</f>
        <v>33.57</v>
      </c>
      <c r="Q19" s="312" t="n">
        <f>(E19-F19-G19-H19-I19-J19-K19-L19)*B19-M19-N19-P19-O19</f>
        <v>-2.53</v>
      </c>
      <c r="R19" s="166" t="n">
        <f>ROUND(Q19/(E19*B19),2)</f>
        <v>0</v>
      </c>
      <c r="S19" s="166" t="n">
        <f>ROUND(I19/E19,2)</f>
        <v>0.1</v>
      </c>
      <c r="T19" s="167" t="n">
        <f>O19/(E19*B19)</f>
        <v>0.16968009055165</v>
      </c>
    </row>
    <row r="20" ht="15" customHeight="1">
      <c r="A20" s="160" t="n">
        <v>43787</v>
      </c>
      <c r="B20" s="161" t="n">
        <v>7</v>
      </c>
      <c r="C20" s="162" t="n">
        <v>8</v>
      </c>
      <c r="D20" s="162" t="n">
        <v>11.99</v>
      </c>
      <c r="E20" s="312" t="n">
        <f>D20*C20</f>
        <v>95.92</v>
      </c>
      <c r="F20" s="312" t="n">
        <f>ROUND(D20*0.15*C20,2)</f>
        <v>14.39</v>
      </c>
      <c r="G20" s="312" t="n">
        <f>3.28*C20</f>
        <v>26.24</v>
      </c>
      <c r="H20" s="312" t="n">
        <f>ROUND(D20*C20*0.03,1)</f>
        <v>2.9</v>
      </c>
      <c r="I20" s="312" t="n">
        <f>ROUND(0.1*C20*D20,1)</f>
        <v>9.6</v>
      </c>
      <c r="J20" s="162" t="n">
        <v>0</v>
      </c>
      <c r="K20" s="312" t="n">
        <f>ROUND(C20*D20*0.03,2)</f>
        <v>2.88</v>
      </c>
      <c r="L20" s="162"/>
      <c r="M20" s="312" t="n">
        <f>7.8*C20</f>
        <v>62.4</v>
      </c>
      <c r="N20" s="312" t="n">
        <f>9*C20</f>
        <v>72</v>
      </c>
      <c r="O20" s="312" t="n">
        <f>D20*B20*1+30</f>
        <v>113.93</v>
      </c>
      <c r="P20" s="163" t="n">
        <f>ROUND(C20*D20*0.05*B20,2)</f>
        <v>33.57</v>
      </c>
      <c r="Q20" s="312" t="n">
        <f>(E20-F20-G20-H20-I20-J20-K20-L20)*B20-M20-N20-P20-O20</f>
        <v>-2.53</v>
      </c>
      <c r="R20" s="166" t="n">
        <f>ROUND(Q20/(E20*B20),2)</f>
        <v>0</v>
      </c>
      <c r="S20" s="166" t="n">
        <f>ROUND(I20/E20,2)</f>
        <v>0.1</v>
      </c>
      <c r="T20" s="167" t="n">
        <f>O20/(E20*B20)</f>
        <v>0.16968009055165</v>
      </c>
    </row>
    <row r="21" ht="15" customHeight="1">
      <c r="A21" s="160" t="n">
        <v>43788</v>
      </c>
      <c r="B21" s="161" t="n">
        <v>7</v>
      </c>
      <c r="C21" s="162" t="n">
        <v>8</v>
      </c>
      <c r="D21" s="162" t="n">
        <v>11.99</v>
      </c>
      <c r="E21" s="312" t="n">
        <f>D21*C21</f>
        <v>95.92</v>
      </c>
      <c r="F21" s="312" t="n">
        <f>ROUND(D21*0.15*C21,2)</f>
        <v>14.39</v>
      </c>
      <c r="G21" s="312" t="n">
        <f>3.28*C21</f>
        <v>26.24</v>
      </c>
      <c r="H21" s="312" t="n">
        <f>ROUND(D21*C21*0.03,1)</f>
        <v>2.9</v>
      </c>
      <c r="I21" s="312" t="n">
        <f>ROUND(0.1*C21*D21,1)</f>
        <v>9.6</v>
      </c>
      <c r="J21" s="162" t="n">
        <v>0</v>
      </c>
      <c r="K21" s="312" t="n">
        <f>ROUND(C21*D21*0.03,2)</f>
        <v>2.88</v>
      </c>
      <c r="L21" s="162"/>
      <c r="M21" s="312" t="n">
        <f>7.8*C21</f>
        <v>62.4</v>
      </c>
      <c r="N21" s="312" t="n">
        <f>9*C21</f>
        <v>72</v>
      </c>
      <c r="O21" s="312" t="n">
        <f>D21*B21*1+30</f>
        <v>113.93</v>
      </c>
      <c r="P21" s="163" t="n">
        <f>ROUND(C21*D21*0.05*B21,2)</f>
        <v>33.57</v>
      </c>
      <c r="Q21" s="312" t="n">
        <f>(E21-F21-G21-H21-I21-J21-K21-L21)*B21-M21-N21-P21-O21</f>
        <v>-2.53</v>
      </c>
      <c r="R21" s="166" t="n">
        <f>ROUND(Q21/(E21*B21),2)</f>
        <v>0</v>
      </c>
      <c r="S21" s="166" t="n">
        <f>ROUND(I21/E21,2)</f>
        <v>0.1</v>
      </c>
      <c r="T21" s="167" t="n">
        <f>O21/(E21*B21)</f>
        <v>0.16968009055165</v>
      </c>
    </row>
    <row r="22" ht="15" customHeight="1">
      <c r="A22" s="160" t="n">
        <v>43789</v>
      </c>
      <c r="B22" s="161" t="n">
        <v>7</v>
      </c>
      <c r="C22" s="162" t="n">
        <v>8</v>
      </c>
      <c r="D22" s="162" t="n">
        <v>11.99</v>
      </c>
      <c r="E22" s="312" t="n">
        <f>D22*C22</f>
        <v>95.92</v>
      </c>
      <c r="F22" s="312" t="n">
        <f>ROUND(D22*0.15*C22,2)</f>
        <v>14.39</v>
      </c>
      <c r="G22" s="312" t="n">
        <f>3.28*C22</f>
        <v>26.24</v>
      </c>
      <c r="H22" s="312" t="n">
        <f>ROUND(D22*C22*0.03,1)</f>
        <v>2.9</v>
      </c>
      <c r="I22" s="312" t="n">
        <f>ROUND(0.1*C22*D22,1)</f>
        <v>9.6</v>
      </c>
      <c r="J22" s="162" t="n">
        <v>0</v>
      </c>
      <c r="K22" s="312" t="n">
        <f>ROUND(C22*D22*0.03,2)</f>
        <v>2.88</v>
      </c>
      <c r="L22" s="162"/>
      <c r="M22" s="312" t="n">
        <f>7.8*C22</f>
        <v>62.4</v>
      </c>
      <c r="N22" s="312" t="n">
        <f>9*C22</f>
        <v>72</v>
      </c>
      <c r="O22" s="312" t="n">
        <f>D22*B22*1+30</f>
        <v>113.93</v>
      </c>
      <c r="P22" s="163" t="n">
        <f>ROUND(C22*D22*0.05*B22,2)</f>
        <v>33.57</v>
      </c>
      <c r="Q22" s="312" t="n">
        <f>(E22-F22-G22-H22-I22-J22-K22-L22)*B22-M22-N22-P22-O22</f>
        <v>-2.53</v>
      </c>
      <c r="R22" s="166" t="n">
        <f>ROUND(Q22/(E22*B22),2)</f>
        <v>0</v>
      </c>
      <c r="S22" s="166" t="n">
        <f>ROUND(I22/E22,2)</f>
        <v>0.1</v>
      </c>
      <c r="T22" s="167" t="n">
        <f>O22/(E22*B22)</f>
        <v>0.16968009055165</v>
      </c>
    </row>
    <row r="23" ht="15" customHeight="1">
      <c r="A23" s="172" t="s">
        <v>21</v>
      </c>
      <c r="B23" s="172"/>
      <c r="C23" s="172"/>
      <c r="D23" s="172"/>
      <c r="E23" s="313" t="n">
        <f>SUM(E13:E22)</f>
        <v>959.2</v>
      </c>
      <c r="F23" s="313" t="n">
        <f>SUM(F13:F22)</f>
        <v>143.9</v>
      </c>
      <c r="G23" s="313" t="n">
        <f>SUM(G13:G22)</f>
        <v>262.4</v>
      </c>
      <c r="H23" s="313" t="n">
        <f>SUM(H13:H22)</f>
        <v>29</v>
      </c>
      <c r="I23" s="313" t="n">
        <f>SUM(I13:I22)</f>
        <v>96</v>
      </c>
      <c r="J23" s="313" t="n">
        <f>SUM(J13:J22)</f>
        <v>150</v>
      </c>
      <c r="K23" s="313" t="n">
        <f>SUM(K13:K22)</f>
        <v>28.8</v>
      </c>
      <c r="L23" s="313" t="n">
        <f>SUM(L13:L22)</f>
        <v>0</v>
      </c>
      <c r="M23" s="313" t="n">
        <f>SUM(M13:M22)</f>
        <v>624</v>
      </c>
      <c r="N23" s="313" t="n">
        <f>SUM(N13:N22)</f>
        <v>720</v>
      </c>
      <c r="O23" s="313" t="n">
        <f>SUM(O13:O22)</f>
        <v>1139.3</v>
      </c>
      <c r="P23" s="314" t="n">
        <f>SUM(P13:P22)</f>
        <v>335.7</v>
      </c>
      <c r="Q23" s="313" t="n">
        <f>SUM(Q13:Q22)</f>
        <v>-1075.3</v>
      </c>
      <c r="R23" s="315" t="n">
        <f>SUM(R13:R22)</f>
        <v>-1.57</v>
      </c>
      <c r="S23" s="168" t="n">
        <f>SUM(S13:S22)</f>
        <v>1</v>
      </c>
      <c r="T23" s="169"/>
    </row>
    <row r="24" ht="15" customHeight="1">
      <c r="A24" s="160" t="n">
        <v>43778</v>
      </c>
      <c r="B24" s="161" t="n">
        <v>7</v>
      </c>
      <c r="C24" s="162" t="n">
        <v>10</v>
      </c>
      <c r="D24" s="162" t="n">
        <v>12.99</v>
      </c>
      <c r="E24" s="312" t="n">
        <f>D24*C24</f>
        <v>129.9</v>
      </c>
      <c r="F24" s="312" t="n">
        <f>ROUND(D24*0.15*C24,2)</f>
        <v>19.49</v>
      </c>
      <c r="G24" s="312" t="n">
        <f>3.28*C24</f>
        <v>32.8</v>
      </c>
      <c r="H24" s="312" t="n">
        <f>ROUND(D24*C24*0.03,1)</f>
        <v>3.9</v>
      </c>
      <c r="I24" s="312" t="n">
        <f>ROUND(0.1*C24*D24,1)</f>
        <v>13</v>
      </c>
      <c r="J24" s="162" t="n">
        <v>0</v>
      </c>
      <c r="K24" s="312" t="n">
        <f>ROUND(C24*D24*0.03,2)</f>
        <v>3.9</v>
      </c>
      <c r="L24" s="162"/>
      <c r="M24" s="312" t="n">
        <f>7.8*C24</f>
        <v>78</v>
      </c>
      <c r="N24" s="312" t="n">
        <f>9*C24</f>
        <v>90</v>
      </c>
      <c r="O24" s="312" t="n">
        <f>D24*B24*1+30</f>
        <v>120.93</v>
      </c>
      <c r="P24" s="163" t="n">
        <f>ROUND(C24*D24*0.05*B24,2)</f>
        <v>45.47</v>
      </c>
      <c r="Q24" s="312" t="n">
        <f>(E24-F24-G24-H24-I24-J24-K24-L24)*B24-M24-N24-P24-O24</f>
        <v>63.27</v>
      </c>
      <c r="R24" s="166" t="n">
        <f>ROUND(Q24/(E24*B24),2)</f>
        <v>0.07</v>
      </c>
      <c r="S24" s="166" t="n">
        <f>ROUND(I24/E24,2)</f>
        <v>0.1</v>
      </c>
      <c r="T24" s="167" t="n">
        <f>O24/(E24*B24)</f>
        <v>0.132992411745299</v>
      </c>
    </row>
    <row r="25" ht="15" customHeight="1">
      <c r="A25" s="160" t="n">
        <v>43779</v>
      </c>
      <c r="B25" s="161" t="n">
        <v>7</v>
      </c>
      <c r="C25" s="162" t="n">
        <v>10</v>
      </c>
      <c r="D25" s="162" t="n">
        <v>12.99</v>
      </c>
      <c r="E25" s="312" t="n">
        <f>D25*C25</f>
        <v>129.9</v>
      </c>
      <c r="F25" s="312" t="n">
        <f>ROUND(D25*0.15*C25,2)</f>
        <v>19.49</v>
      </c>
      <c r="G25" s="312" t="n">
        <f>3.28*C25</f>
        <v>32.8</v>
      </c>
      <c r="H25" s="312" t="n">
        <f>ROUND(D25*C25*0.03,1)</f>
        <v>3.9</v>
      </c>
      <c r="I25" s="312" t="n">
        <f>ROUND(0.1*C25*D25,1)</f>
        <v>13</v>
      </c>
      <c r="J25" s="162" t="n">
        <v>0</v>
      </c>
      <c r="K25" s="312" t="n">
        <f>ROUND(C25*D25*0.03,2)</f>
        <v>3.9</v>
      </c>
      <c r="L25" s="162"/>
      <c r="M25" s="312" t="n">
        <f>7.8*C25</f>
        <v>78</v>
      </c>
      <c r="N25" s="312" t="n">
        <f>9*C25</f>
        <v>90</v>
      </c>
      <c r="O25" s="312" t="n">
        <f>D25*B25*1+30</f>
        <v>120.93</v>
      </c>
      <c r="P25" s="163" t="n">
        <f>ROUND(C25*D25*0.05*B25,2)</f>
        <v>45.47</v>
      </c>
      <c r="Q25" s="312" t="n">
        <f>(E25-F25-G25-H25-I25-J25-K25-L25)*B25-M25-N25-P25-O25</f>
        <v>63.27</v>
      </c>
      <c r="R25" s="166" t="n">
        <f>ROUND(Q25/(E25*B25),2)</f>
        <v>0.07</v>
      </c>
      <c r="S25" s="166" t="n">
        <f>ROUND(I25/E25,2)</f>
        <v>0.1</v>
      </c>
      <c r="T25" s="167" t="n">
        <f>O25/(E25*B25)</f>
        <v>0.132992411745299</v>
      </c>
    </row>
    <row r="26" ht="15" customHeight="1">
      <c r="A26" s="160" t="n">
        <v>43780</v>
      </c>
      <c r="B26" s="161" t="n">
        <v>7</v>
      </c>
      <c r="C26" s="162" t="n">
        <v>10</v>
      </c>
      <c r="D26" s="162" t="n">
        <v>12.99</v>
      </c>
      <c r="E26" s="312" t="n">
        <f>D26*C26</f>
        <v>129.9</v>
      </c>
      <c r="F26" s="312" t="n">
        <f>ROUND(D26*0.15*C26,2)</f>
        <v>19.49</v>
      </c>
      <c r="G26" s="312" t="n">
        <f>3.28*C26</f>
        <v>32.8</v>
      </c>
      <c r="H26" s="312" t="n">
        <f>ROUND(D26*C26*0.03,1)</f>
        <v>3.9</v>
      </c>
      <c r="I26" s="312" t="n">
        <f>ROUND(0.1*C26*D26,1)</f>
        <v>13</v>
      </c>
      <c r="J26" s="162" t="n">
        <v>0</v>
      </c>
      <c r="K26" s="312" t="n">
        <f>ROUND(C26*D26*0.03,2)</f>
        <v>3.9</v>
      </c>
      <c r="L26" s="162"/>
      <c r="M26" s="312" t="n">
        <f>7.8*C26</f>
        <v>78</v>
      </c>
      <c r="N26" s="312" t="n">
        <f>9*C26</f>
        <v>90</v>
      </c>
      <c r="O26" s="312" t="n">
        <f>D26*B26*1+30</f>
        <v>120.93</v>
      </c>
      <c r="P26" s="163" t="n">
        <f>ROUND(C26*D26*0.05*B26,2)</f>
        <v>45.47</v>
      </c>
      <c r="Q26" s="312" t="n">
        <f>(E26-F26-G26-H26-I26-J26-K26-L26)*B26-M26-N26-P26-O26</f>
        <v>63.27</v>
      </c>
      <c r="R26" s="166" t="n">
        <f>ROUND(Q26/(E26*B26),2)</f>
        <v>0.07</v>
      </c>
      <c r="S26" s="166" t="n">
        <f>ROUND(I26/E26,2)</f>
        <v>0.1</v>
      </c>
      <c r="T26" s="167" t="n">
        <f>O26/(E26*B26)</f>
        <v>0.132992411745299</v>
      </c>
    </row>
    <row r="27" ht="15" customHeight="1">
      <c r="A27" s="160" t="n">
        <v>43781</v>
      </c>
      <c r="B27" s="161" t="n">
        <v>7</v>
      </c>
      <c r="C27" s="162" t="n">
        <v>10</v>
      </c>
      <c r="D27" s="162" t="n">
        <v>12.99</v>
      </c>
      <c r="E27" s="312" t="n">
        <f>D27*C27</f>
        <v>129.9</v>
      </c>
      <c r="F27" s="312" t="n">
        <f>ROUND(D27*0.15*C27,2)</f>
        <v>19.49</v>
      </c>
      <c r="G27" s="312" t="n">
        <f>3.28*C27</f>
        <v>32.8</v>
      </c>
      <c r="H27" s="312" t="n">
        <f>ROUND(D27*C27*0.03,1)</f>
        <v>3.9</v>
      </c>
      <c r="I27" s="312" t="n">
        <f>ROUND(0.1*C27*D27,1)</f>
        <v>13</v>
      </c>
      <c r="J27" s="162" t="n">
        <v>0</v>
      </c>
      <c r="K27" s="312" t="n">
        <f>ROUND(C27*D27*0.03,2)</f>
        <v>3.9</v>
      </c>
      <c r="L27" s="162"/>
      <c r="M27" s="312" t="n">
        <f>7.8*C27</f>
        <v>78</v>
      </c>
      <c r="N27" s="312" t="n">
        <f>9*C27</f>
        <v>90</v>
      </c>
      <c r="O27" s="312" t="n">
        <f>D27*B27*1+30</f>
        <v>120.93</v>
      </c>
      <c r="P27" s="163" t="n">
        <f>ROUND(C27*D27*0.05*B27,2)</f>
        <v>45.47</v>
      </c>
      <c r="Q27" s="312" t="n">
        <f>(E27-F27-G27-H27-I27-J27-K27-L27)*B27-M27-N27-P27-O27</f>
        <v>63.27</v>
      </c>
      <c r="R27" s="166" t="n">
        <f>ROUND(Q27/(E27*B27),2)</f>
        <v>0.07</v>
      </c>
      <c r="S27" s="166" t="n">
        <f>ROUND(I27/E27,2)</f>
        <v>0.1</v>
      </c>
      <c r="T27" s="167" t="n">
        <f>O27/(E27*B27)</f>
        <v>0.132992411745299</v>
      </c>
    </row>
    <row r="28" ht="15" customHeight="1">
      <c r="A28" s="160" t="n">
        <v>43782</v>
      </c>
      <c r="B28" s="161" t="n">
        <v>7</v>
      </c>
      <c r="C28" s="162" t="n">
        <v>10</v>
      </c>
      <c r="D28" s="162" t="n">
        <v>12.99</v>
      </c>
      <c r="E28" s="312" t="n">
        <f>D28*C28</f>
        <v>129.9</v>
      </c>
      <c r="F28" s="312" t="n">
        <f>ROUND(D28*0.15*C28,2)</f>
        <v>19.49</v>
      </c>
      <c r="G28" s="312" t="n">
        <f>3.28*C28</f>
        <v>32.8</v>
      </c>
      <c r="H28" s="312" t="n">
        <f>ROUND(D28*C28*0.03,1)</f>
        <v>3.9</v>
      </c>
      <c r="I28" s="312" t="n">
        <f>ROUND(0.1*C28*D28,1)</f>
        <v>13</v>
      </c>
      <c r="J28" s="162" t="n">
        <v>0</v>
      </c>
      <c r="K28" s="312" t="n">
        <f>ROUND(C28*D28*0.03,2)</f>
        <v>3.9</v>
      </c>
      <c r="L28" s="162"/>
      <c r="M28" s="312" t="n">
        <f>7.8*C28</f>
        <v>78</v>
      </c>
      <c r="N28" s="312" t="n">
        <f>9*C28</f>
        <v>90</v>
      </c>
      <c r="O28" s="312" t="n">
        <f>D28*B28*1+30</f>
        <v>120.93</v>
      </c>
      <c r="P28" s="163" t="n">
        <f>ROUND(C28*D28*0.05*B28,2)</f>
        <v>45.47</v>
      </c>
      <c r="Q28" s="312" t="n">
        <f>(E28-F28-G28-H28-I28-J28-K28-L28)*B28-M28-N28-P28-O28</f>
        <v>63.27</v>
      </c>
      <c r="R28" s="166" t="n">
        <f>ROUND(Q28/(E28*B28),2)</f>
        <v>0.07</v>
      </c>
      <c r="S28" s="166" t="n">
        <f>ROUND(I28/E28,2)</f>
        <v>0.1</v>
      </c>
      <c r="T28" s="167" t="n">
        <f>O28/(E28*B28)</f>
        <v>0.132992411745299</v>
      </c>
    </row>
    <row r="29" ht="15" customHeight="1">
      <c r="A29" s="160" t="n">
        <v>43783</v>
      </c>
      <c r="B29" s="161" t="n">
        <v>7</v>
      </c>
      <c r="C29" s="162" t="n">
        <v>10</v>
      </c>
      <c r="D29" s="162" t="n">
        <v>12.99</v>
      </c>
      <c r="E29" s="312" t="n">
        <f>D29*C29</f>
        <v>129.9</v>
      </c>
      <c r="F29" s="312" t="n">
        <f>ROUND(D29*0.15*C29,2)</f>
        <v>19.49</v>
      </c>
      <c r="G29" s="312" t="n">
        <f>3.28*C29</f>
        <v>32.8</v>
      </c>
      <c r="H29" s="312" t="n">
        <f>ROUND(D29*C29*0.03,1)</f>
        <v>3.9</v>
      </c>
      <c r="I29" s="312" t="n">
        <f>ROUND(0.1*C29*D29,1)</f>
        <v>13</v>
      </c>
      <c r="J29" s="162" t="n">
        <v>0</v>
      </c>
      <c r="K29" s="312" t="n">
        <f>ROUND(C29*D29*0.03,2)</f>
        <v>3.9</v>
      </c>
      <c r="L29" s="162"/>
      <c r="M29" s="312" t="n">
        <f>7.8*C29</f>
        <v>78</v>
      </c>
      <c r="N29" s="312" t="n">
        <f>9*C29</f>
        <v>90</v>
      </c>
      <c r="O29" s="312" t="n">
        <f>D29*B29*1+30</f>
        <v>120.93</v>
      </c>
      <c r="P29" s="163" t="n">
        <f>ROUND(C29*D29*0.05*B29,2)</f>
        <v>45.47</v>
      </c>
      <c r="Q29" s="312" t="n">
        <f>(E29-F29-G29-H29-I29-J29-K29-L29)*B29-M29-N29-P29-O29</f>
        <v>63.27</v>
      </c>
      <c r="R29" s="166" t="n">
        <f>ROUND(Q29/(E29*B29),2)</f>
        <v>0.07</v>
      </c>
      <c r="S29" s="166" t="n">
        <f>ROUND(I29/E29,2)</f>
        <v>0.1</v>
      </c>
      <c r="T29" s="167" t="n">
        <f>O29/(E29*B29)</f>
        <v>0.132992411745299</v>
      </c>
    </row>
    <row r="30" ht="15" customHeight="1">
      <c r="A30" s="160" t="n">
        <v>43784</v>
      </c>
      <c r="B30" s="161" t="n">
        <v>7</v>
      </c>
      <c r="C30" s="162" t="n">
        <v>10</v>
      </c>
      <c r="D30" s="162" t="n">
        <v>12.99</v>
      </c>
      <c r="E30" s="312" t="n">
        <f>D30*C30</f>
        <v>129.9</v>
      </c>
      <c r="F30" s="312" t="n">
        <f>ROUND(D30*0.15*C30,2)</f>
        <v>19.49</v>
      </c>
      <c r="G30" s="312" t="n">
        <f>3.28*C30</f>
        <v>32.8</v>
      </c>
      <c r="H30" s="312" t="n">
        <f>ROUND(D30*C30*0.03,1)</f>
        <v>3.9</v>
      </c>
      <c r="I30" s="312" t="n">
        <f>ROUND(0.1*C30*D30,1)</f>
        <v>13</v>
      </c>
      <c r="J30" s="162" t="n">
        <v>0</v>
      </c>
      <c r="K30" s="312" t="n">
        <f>ROUND(C30*D30*0.03,2)</f>
        <v>3.9</v>
      </c>
      <c r="L30" s="162"/>
      <c r="M30" s="312" t="n">
        <f>7.8*C30</f>
        <v>78</v>
      </c>
      <c r="N30" s="312" t="n">
        <f>9*C30</f>
        <v>90</v>
      </c>
      <c r="O30" s="312" t="n">
        <f>D30*B30*1+30</f>
        <v>120.93</v>
      </c>
      <c r="P30" s="163" t="n">
        <f>ROUND(C30*D30*0.05*B30,2)</f>
        <v>45.47</v>
      </c>
      <c r="Q30" s="312" t="n">
        <f>(E30-F30-G30-H30-I30-J30-K30-L30)*B30-M30-N30-P30-O30</f>
        <v>63.27</v>
      </c>
      <c r="R30" s="166" t="n">
        <f>ROUND(Q30/(E30*B30),2)</f>
        <v>0.07</v>
      </c>
      <c r="S30" s="166" t="n">
        <f>ROUND(I30/E30,2)</f>
        <v>0.1</v>
      </c>
      <c r="T30" s="167" t="n">
        <f>O30/(E30*B30)</f>
        <v>0.132992411745299</v>
      </c>
    </row>
    <row r="31" ht="15" customHeight="1">
      <c r="A31" s="160" t="n">
        <v>43785</v>
      </c>
      <c r="B31" s="161" t="n">
        <v>7</v>
      </c>
      <c r="C31" s="162" t="n">
        <v>10</v>
      </c>
      <c r="D31" s="162" t="n">
        <v>12.99</v>
      </c>
      <c r="E31" s="312" t="n">
        <f>D31*C31</f>
        <v>129.9</v>
      </c>
      <c r="F31" s="312" t="n">
        <f>ROUND(D31*0.15*C31,2)</f>
        <v>19.49</v>
      </c>
      <c r="G31" s="312" t="n">
        <f>3.28*C31</f>
        <v>32.8</v>
      </c>
      <c r="H31" s="312" t="n">
        <f>ROUND(D31*C31*0.03,1)</f>
        <v>3.9</v>
      </c>
      <c r="I31" s="312" t="n">
        <f>ROUND(0.1*C31*D31,1)</f>
        <v>13</v>
      </c>
      <c r="J31" s="162" t="n">
        <v>0</v>
      </c>
      <c r="K31" s="312" t="n">
        <f>ROUND(C31*D31*0.03,2)</f>
        <v>3.9</v>
      </c>
      <c r="L31" s="162"/>
      <c r="M31" s="312" t="n">
        <f>7.8*C31</f>
        <v>78</v>
      </c>
      <c r="N31" s="312" t="n">
        <f>9*C31</f>
        <v>90</v>
      </c>
      <c r="O31" s="312" t="n">
        <f>D31*B31*1+30</f>
        <v>120.93</v>
      </c>
      <c r="P31" s="163" t="n">
        <f>ROUND(C31*D31*0.05*B31,2)</f>
        <v>45.47</v>
      </c>
      <c r="Q31" s="312" t="n">
        <f>(E31-F31-G31-H31-I31-J31-K31-L31)*B31-M31-N31-P31-O31</f>
        <v>63.27</v>
      </c>
      <c r="R31" s="166" t="n">
        <f>ROUND(Q31/(E31*B31),2)</f>
        <v>0.07</v>
      </c>
      <c r="S31" s="166" t="n">
        <f>ROUND(I31/E31,2)</f>
        <v>0.1</v>
      </c>
      <c r="T31" s="167" t="n">
        <f>O31/(E31*B31)</f>
        <v>0.132992411745299</v>
      </c>
    </row>
    <row r="32" ht="15" customHeight="1">
      <c r="A32" s="160" t="n">
        <v>43786</v>
      </c>
      <c r="B32" s="161" t="n">
        <v>7</v>
      </c>
      <c r="C32" s="162" t="n">
        <v>10</v>
      </c>
      <c r="D32" s="162" t="n">
        <v>12.99</v>
      </c>
      <c r="E32" s="312" t="n">
        <f>D32*C32</f>
        <v>129.9</v>
      </c>
      <c r="F32" s="312" t="n">
        <f>ROUND(D32*0.15*C32,2)</f>
        <v>19.49</v>
      </c>
      <c r="G32" s="312" t="n">
        <f>3.28*C32</f>
        <v>32.8</v>
      </c>
      <c r="H32" s="312" t="n">
        <f>ROUND(D32*C32*0.03,1)</f>
        <v>3.9</v>
      </c>
      <c r="I32" s="312" t="n">
        <f>ROUND(0.1*C32*D32,1)</f>
        <v>13</v>
      </c>
      <c r="J32" s="162" t="n">
        <v>0</v>
      </c>
      <c r="K32" s="312" t="n">
        <f>ROUND(C32*D32*0.03,2)</f>
        <v>3.9</v>
      </c>
      <c r="L32" s="162"/>
      <c r="M32" s="312" t="n">
        <f>7.8*C32</f>
        <v>78</v>
      </c>
      <c r="N32" s="312" t="n">
        <f>9*C32</f>
        <v>90</v>
      </c>
      <c r="O32" s="312" t="n">
        <f>D32*B32*1+30</f>
        <v>120.93</v>
      </c>
      <c r="P32" s="163" t="n">
        <f>ROUND(C32*D32*0.05*B32,2)</f>
        <v>45.47</v>
      </c>
      <c r="Q32" s="312" t="n">
        <f>(E32-F32-G32-H32-I32-J32-K32-L32)*B32-M32-N32-P32-O32</f>
        <v>63.27</v>
      </c>
      <c r="R32" s="166" t="n">
        <f>ROUND(Q32/(E32*B32),2)</f>
        <v>0.07</v>
      </c>
      <c r="S32" s="166" t="n">
        <f>ROUND(I32/E32,2)</f>
        <v>0.1</v>
      </c>
      <c r="T32" s="167" t="n">
        <f>O32/(E32*B32)</f>
        <v>0.132992411745299</v>
      </c>
    </row>
    <row r="33" ht="15" customHeight="1">
      <c r="A33" s="160" t="n">
        <v>43787</v>
      </c>
      <c r="B33" s="161" t="n">
        <v>7</v>
      </c>
      <c r="C33" s="162" t="n">
        <v>10</v>
      </c>
      <c r="D33" s="162" t="n">
        <v>12.99</v>
      </c>
      <c r="E33" s="312" t="n">
        <f>D33*C33</f>
        <v>129.9</v>
      </c>
      <c r="F33" s="312" t="n">
        <f>ROUND(D33*0.15*C33,2)</f>
        <v>19.49</v>
      </c>
      <c r="G33" s="312" t="n">
        <f>3.28*C33</f>
        <v>32.8</v>
      </c>
      <c r="H33" s="312" t="n">
        <f>ROUND(D33*C33*0.03,1)</f>
        <v>3.9</v>
      </c>
      <c r="I33" s="312" t="n">
        <f>ROUND(0.1*C33*D33,1)</f>
        <v>13</v>
      </c>
      <c r="J33" s="162" t="n">
        <v>0</v>
      </c>
      <c r="K33" s="312" t="n">
        <f>ROUND(C33*D33*0.03,2)</f>
        <v>3.9</v>
      </c>
      <c r="L33" s="162"/>
      <c r="M33" s="312" t="n">
        <f>7.8*C33</f>
        <v>78</v>
      </c>
      <c r="N33" s="312" t="n">
        <f>9*C33</f>
        <v>90</v>
      </c>
      <c r="O33" s="312" t="n">
        <f>D33*B33*1+30</f>
        <v>120.93</v>
      </c>
      <c r="P33" s="163" t="n">
        <f>ROUND(C33*D33*0.05*B33,2)</f>
        <v>45.47</v>
      </c>
      <c r="Q33" s="312" t="n">
        <f>(E33-F33-G33-H33-I33-J33-K33-L33)*B33-M33-N33-P33-O33</f>
        <v>63.27</v>
      </c>
      <c r="R33" s="166" t="n">
        <f>ROUND(Q33/(E33*B33),2)</f>
        <v>0.07</v>
      </c>
      <c r="S33" s="166" t="n">
        <f>ROUND(I33/E33,2)</f>
        <v>0.1</v>
      </c>
      <c r="T33" s="167" t="n">
        <f>O33/(E33*B33)</f>
        <v>0.132992411745299</v>
      </c>
    </row>
    <row r="34" ht="15" customHeight="1">
      <c r="A34" s="172" t="s">
        <v>22</v>
      </c>
      <c r="B34" s="172"/>
      <c r="C34" s="172"/>
      <c r="D34" s="172"/>
      <c r="E34" s="313" t="n">
        <f>SUM(E24:E33)</f>
        <v>1299</v>
      </c>
      <c r="F34" s="313" t="n">
        <f>SUM(F24:F33)</f>
        <v>194.9</v>
      </c>
      <c r="G34" s="313" t="n">
        <f>SUM(G24:G33)</f>
        <v>328</v>
      </c>
      <c r="H34" s="313" t="n">
        <f>SUM(H24:H33)</f>
        <v>39</v>
      </c>
      <c r="I34" s="313" t="n">
        <f>SUM(I24:I33)</f>
        <v>130</v>
      </c>
      <c r="J34" s="313" t="n">
        <f>SUM(J24:J33)</f>
        <v>0</v>
      </c>
      <c r="K34" s="313" t="n">
        <f>SUM(K24:K33)</f>
        <v>39</v>
      </c>
      <c r="L34" s="313" t="n">
        <f>SUM(L24:L33)</f>
        <v>0</v>
      </c>
      <c r="M34" s="313" t="n">
        <f>SUM(M24:M33)</f>
        <v>780</v>
      </c>
      <c r="N34" s="313" t="n">
        <f>SUM(N24:N33)</f>
        <v>900</v>
      </c>
      <c r="O34" s="313" t="n">
        <f>SUM(O24:O33)</f>
        <v>1209.3</v>
      </c>
      <c r="P34" s="314" t="n">
        <f>SUM(P24:P33)</f>
        <v>454.7</v>
      </c>
      <c r="Q34" s="313" t="n">
        <f>SUM(Q24:Q33)</f>
        <v>632.7</v>
      </c>
      <c r="R34" s="315" t="n">
        <f>SUM(R24:R33)</f>
        <v>0.7</v>
      </c>
      <c r="S34" s="168" t="n">
        <f>SUM(S24:S33)</f>
        <v>1</v>
      </c>
      <c r="T34" s="169"/>
    </row>
    <row r="35" ht="15" customHeight="1">
      <c r="A35" s="173" t="s">
        <v>23</v>
      </c>
      <c r="B35" s="173"/>
      <c r="C35" s="173"/>
      <c r="D35" s="173"/>
      <c r="E35" s="316" t="n">
        <f>E34+E23+E12</f>
        <v>2642.85</v>
      </c>
      <c r="F35" s="316" t="n">
        <f>F34+F23+F12</f>
        <v>396.51</v>
      </c>
      <c r="G35" s="316" t="n">
        <f>G34+G23+G12</f>
        <v>705.2</v>
      </c>
      <c r="H35" s="316" t="n">
        <f>H34+H23+H12</f>
        <v>79.5</v>
      </c>
      <c r="I35" s="316" t="n">
        <f>I34+I23+I12</f>
        <v>303</v>
      </c>
      <c r="J35" s="316" t="n">
        <f>J34+J23+J12</f>
        <v>150</v>
      </c>
      <c r="K35" s="316" t="n">
        <f>K34+K23+K12</f>
        <v>79.35</v>
      </c>
      <c r="L35" s="316" t="n">
        <f>L34+L23+L12</f>
        <v>0</v>
      </c>
      <c r="M35" s="316" t="n">
        <f>M34+M23+M12</f>
        <v>1677</v>
      </c>
      <c r="N35" s="316" t="n">
        <f>N34+N23+N12</f>
        <v>1935</v>
      </c>
      <c r="O35" s="316" t="n">
        <f>O34+O23+O12</f>
        <v>3417.9</v>
      </c>
      <c r="P35" s="317" t="n">
        <f>P34+P23+P12</f>
        <v>925.01</v>
      </c>
      <c r="Q35" s="316" t="n">
        <f>Q34+Q23+Q12</f>
        <v>-1449.88</v>
      </c>
      <c r="R35" s="318" t="n">
        <f>R34+R23+R12</f>
        <v>-5.2</v>
      </c>
      <c r="S35" s="170" t="n">
        <f>S34+S23+S12</f>
        <v>4</v>
      </c>
      <c r="T35" s="171"/>
    </row>
  </sheetData>
  <sheetProtection insertHyperlinks="0" autoFilter="0"/>
  <mergeCells count="4">
    <mergeCell ref="A12:D12"/>
    <mergeCell ref="A34:D34"/>
    <mergeCell ref="A23:D23"/>
    <mergeCell ref="A35:D3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0000"/>
    <outlinePr summaryBelow="0" summaryRight="0"/>
  </sheetPr>
  <dimension ref="A1"/>
  <sheetViews>
    <sheetView workbookViewId="0" tabSelected="1">
      <pane topLeftCell="E5" activePane="bottomRight" state="frozen" xSplit="4" ySplit="4"/>
    </sheetView>
  </sheetViews>
  <sheetFormatPr baseColWidth="10" defaultColWidth="8.1650390625" defaultRowHeight="15" customHeight="1"/>
  <cols>
    <col min="1" max="2" width="7.166015625" customWidth="1" style="71"/>
    <col min="3" max="3" width="10.166015625" customWidth="1" style="36"/>
    <col min="4" max="4" width="10.5" customWidth="1" style="36"/>
    <col min="5" max="5" width="9.498046875" customWidth="1" style="36"/>
    <col min="6" max="6" width="8.8330078125" customWidth="1" style="36"/>
    <col min="7" max="7" width="9.83203125" customWidth="1" style="36"/>
    <col min="8" max="9" width="7.8310546875" customWidth="1" style="36"/>
    <col min="10" max="10" width="8.666015625" customWidth="1" style="36"/>
    <col min="11" max="11" width="13.2890625" customWidth="1" style="72"/>
    <col min="12" max="13" width="8.33203125" customWidth="1" style="36"/>
    <col min="14" max="14" width="7.998046875" customWidth="1" style="72"/>
    <col min="15" max="15" width="10.8310546875" customWidth="1" style="72"/>
    <col min="16" max="16" width="7.998046875" customWidth="1" style="72"/>
    <col min="17" max="17" width="11.4990234375" customWidth="1" style="36"/>
    <col min="18" max="18" width="11.4990234375" customWidth="1" style="73"/>
    <col min="19" max="19" width="12.1640625" customWidth="1" style="73"/>
    <col min="20" max="20" width="13.3330078125" customWidth="1" style="74"/>
    <col min="21" max="21" width="12.3310546875" customWidth="1" style="75"/>
    <col min="22" max="22" width="9.498046875" customWidth="1" style="75"/>
    <col min="23" max="23" width="8.4990234375" customWidth="1" style="36"/>
    <col min="24" max="24" width="9.3310546875" customWidth="1" style="36"/>
    <col min="25" max="25" width="7.6640625" customWidth="1" style="36"/>
    <col min="26" max="26" width="8.8330078125" customWidth="1" style="36"/>
    <col min="27" max="27" width="7.998046875" customWidth="1" style="36"/>
    <col min="28" max="28" width="8.1650390625" customWidth="1" style="36"/>
    <col min="29" max="29" width="7.166015625" customWidth="1" style="36"/>
    <col min="30" max="30" width="9.1640625" customWidth="1" style="36"/>
    <col min="31" max="31" width="8.33203125" customWidth="1" style="36"/>
    <col min="32" max="32" width="8.8330078125" customWidth="1" style="36"/>
    <col min="33" max="33" width="18.1640625" customWidth="1" style="36"/>
    <col min="34" max="34" width="7.3330078125" customWidth="1" style="36"/>
    <col min="35" max="35" width="6.1640625" customWidth="1" style="36"/>
    <col min="36" max="36" width="6.3310546875" customWidth="1" style="36"/>
    <col min="37" max="37" width="5.8330078125" customWidth="1" style="36"/>
    <col min="38" max="38" width="5.8330078125" customWidth="1" style="76"/>
    <col min="39" max="39" width="7.3330078125" customWidth="1" style="69"/>
    <col min="40" max="40" width="5.8330078125" customWidth="1" style="76"/>
    <col min="41" max="41" width="7.3330078125" customWidth="1" style="69"/>
    <col min="42" max="42" width="5.8330078125" customWidth="1" style="76"/>
    <col min="43" max="43" width="7.3330078125" customWidth="1" style="69"/>
    <col min="44" max="44" width="5.8330078125" customWidth="1" style="76"/>
    <col min="45" max="45" width="7.6640625" customWidth="1" style="76"/>
    <col min="46" max="46" width="7.3330078125" customWidth="1" style="69"/>
    <col min="47" max="47" width="9.1640625" customWidth="1" style="69"/>
    <col min="48" max="48" width="5.8330078125" customWidth="1" style="69"/>
    <col min="49" max="49" width="7.998046875" customWidth="1" style="69"/>
    <col min="50" max="50" width="6.3310546875" customWidth="1" style="76"/>
    <col min="51" max="51" width="8.1650390625" customWidth="1" style="76"/>
    <col min="52" max="53" width="7.3330078125" customWidth="1" style="76"/>
    <col min="54" max="54" width="5.4990234375" customWidth="1" style="76"/>
    <col min="55" max="55" width="8.1650390625" customWidth="1" style="76"/>
    <col min="56" max="56" width="6.3310546875" customWidth="1" style="77"/>
    <col min="57" max="57" width="5.1650390625" customWidth="1" style="76"/>
    <col min="58" max="58" width="7.6640625" customWidth="1" style="69"/>
    <col min="59" max="61" width="7.166015625" customWidth="1" style="69"/>
    <col min="62" max="62" width="11.4990234375" customWidth="1" style="77"/>
    <col min="63" max="63" width="7.8310546875" customWidth="1" style="69"/>
    <col min="64" max="64" width="8.4990234375" customWidth="1" style="69"/>
  </cols>
  <sheetData>
    <row r="1" ht="18" customHeight="1">
      <c r="A1" s="174" t="s">
        <v>24</v>
      </c>
      <c r="B1" s="174"/>
      <c r="C1" s="306" t="s">
        <v>25</v>
      </c>
      <c r="D1" s="234"/>
      <c r="E1" s="205"/>
      <c r="F1" s="175" t="s">
        <v>26</v>
      </c>
      <c r="G1" s="176"/>
      <c r="H1" s="86" t="n">
        <v>500</v>
      </c>
      <c r="I1" s="85" t="s">
        <v>27</v>
      </c>
      <c r="J1" s="86" t="s">
        <v>28</v>
      </c>
      <c r="K1" s="104" t="s">
        <v>29</v>
      </c>
      <c r="L1" s="86" t="s">
        <v>1</v>
      </c>
      <c r="M1" s="116" t="n">
        <v>6.5</v>
      </c>
      <c r="N1" s="117" t="s">
        <v>30</v>
      </c>
      <c r="O1" s="38" t="n">
        <v>44167</v>
      </c>
      <c r="P1" s="86" t="s">
        <v>31</v>
      </c>
      <c r="Q1" s="86" t="s">
        <v>32</v>
      </c>
      <c r="R1" s="86" t="s">
        <v>33</v>
      </c>
      <c r="S1" s="86" t="s">
        <v>34</v>
      </c>
      <c r="T1" s="86" t="s">
        <v>35</v>
      </c>
      <c r="U1" s="86" t="s">
        <v>36</v>
      </c>
      <c r="V1" s="86" t="s">
        <v>37</v>
      </c>
      <c r="W1" s="86" t="s">
        <v>38</v>
      </c>
      <c r="X1" s="86" t="s">
        <v>39</v>
      </c>
      <c r="Y1" s="86" t="s">
        <v>40</v>
      </c>
      <c r="Z1" s="86" t="s">
        <v>41</v>
      </c>
      <c r="AA1" s="86" t="s">
        <v>42</v>
      </c>
      <c r="AB1" s="86" t="s">
        <v>43</v>
      </c>
      <c r="AC1" s="86" t="s">
        <v>44</v>
      </c>
      <c r="AD1" s="86" t="s">
        <v>45</v>
      </c>
      <c r="AL1" s="36"/>
      <c r="AM1" s="36"/>
      <c r="AN1" s="36"/>
      <c r="AO1" s="36"/>
      <c r="AP1" s="36"/>
      <c r="AQ1" s="36"/>
      <c r="AR1" s="36"/>
      <c r="AS1" s="36"/>
      <c r="AT1" s="36"/>
      <c r="AU1" s="36"/>
      <c r="AV1" s="36"/>
      <c r="AW1" s="36"/>
      <c r="AX1" s="36"/>
      <c r="AY1" s="36"/>
      <c r="BD1" s="71"/>
    </row>
    <row r="2" ht="18" customHeight="1">
      <c r="A2" s="177" t="s">
        <v>46</v>
      </c>
      <c r="B2" s="177"/>
      <c r="C2" s="235"/>
      <c r="D2" s="236"/>
      <c r="E2" s="205"/>
      <c r="F2" s="178" t="s">
        <v>47</v>
      </c>
      <c r="G2" s="179"/>
      <c r="H2" s="88" t="n">
        <v>3</v>
      </c>
      <c r="I2" s="87" t="s">
        <v>48</v>
      </c>
      <c r="J2" s="105" t="n">
        <v>8.62</v>
      </c>
      <c r="K2" s="106" t="n">
        <v>25.99</v>
      </c>
      <c r="L2" s="88" t="s">
        <v>49</v>
      </c>
      <c r="M2" s="118" t="n">
        <v>16.51</v>
      </c>
      <c r="N2" s="119" t="s">
        <v>50</v>
      </c>
      <c r="O2" s="38" t="n">
        <v>44197</v>
      </c>
      <c r="P2" s="105" t="n">
        <v>2.45</v>
      </c>
      <c r="Q2" s="105" t="n">
        <f>K2*17%</f>
        <v>4.4183</v>
      </c>
      <c r="R2" s="105" t="n">
        <v>3.81</v>
      </c>
      <c r="S2" s="105" t="n">
        <v>0.26</v>
      </c>
      <c r="T2" s="125" t="n">
        <v>0</v>
      </c>
      <c r="U2" s="131" t="n">
        <v>50</v>
      </c>
      <c r="V2" s="131" t="n">
        <v>8</v>
      </c>
      <c r="W2" s="131" t="n">
        <v>2</v>
      </c>
      <c r="X2" s="131" t="n">
        <v>2</v>
      </c>
      <c r="Y2" s="131" t="n">
        <v>2</v>
      </c>
      <c r="Z2" s="133" t="n">
        <v>150</v>
      </c>
      <c r="AA2" s="133" t="n">
        <v>200</v>
      </c>
      <c r="AB2" s="133" t="n">
        <v>200</v>
      </c>
      <c r="AC2" s="133" t="n">
        <v>200</v>
      </c>
      <c r="AD2" s="133" t="n">
        <v>60</v>
      </c>
      <c r="AL2" s="36"/>
      <c r="AM2" s="36"/>
      <c r="AN2" s="36"/>
      <c r="AO2" s="36"/>
      <c r="AP2" s="36"/>
      <c r="AQ2" s="36"/>
      <c r="AR2" s="36"/>
      <c r="AS2" s="36"/>
      <c r="AT2" s="36"/>
      <c r="AU2" s="36"/>
      <c r="AV2" s="36"/>
      <c r="AW2" s="36"/>
      <c r="AX2" s="36"/>
      <c r="AY2" s="36"/>
      <c r="BD2" s="71"/>
    </row>
    <row r="3" ht="18" customHeight="1">
      <c r="A3" s="177" t="s">
        <v>51</v>
      </c>
      <c r="B3" s="177"/>
      <c r="C3" s="237"/>
      <c r="D3" s="238"/>
      <c r="E3" s="206"/>
      <c r="F3" s="307" t="s">
        <v>52</v>
      </c>
      <c r="G3" s="181"/>
      <c r="H3" s="181"/>
      <c r="I3" s="181"/>
      <c r="J3" s="181"/>
      <c r="K3" s="181"/>
      <c r="L3" s="181"/>
      <c r="M3" s="181"/>
      <c r="N3" s="181"/>
      <c r="O3" s="308" t="s">
        <v>53</v>
      </c>
      <c r="P3" s="182"/>
      <c r="Q3" s="182"/>
      <c r="R3" s="182"/>
      <c r="S3" s="182"/>
      <c r="T3" s="182"/>
      <c r="U3" s="182"/>
      <c r="V3" s="182"/>
      <c r="W3" s="182"/>
      <c r="X3" s="182"/>
      <c r="Y3" s="182"/>
      <c r="Z3" s="183"/>
      <c r="AA3" s="180" t="s">
        <v>54</v>
      </c>
      <c r="AB3" s="181"/>
      <c r="AC3" s="181"/>
      <c r="AD3" s="184"/>
      <c r="AL3" s="36"/>
      <c r="AM3" s="36"/>
      <c r="AN3" s="36"/>
      <c r="AO3" s="36"/>
      <c r="AP3" s="36"/>
      <c r="AQ3" s="36"/>
      <c r="AR3" s="36"/>
      <c r="AS3" s="36"/>
      <c r="AT3" s="36"/>
      <c r="AU3" s="36"/>
      <c r="AV3" s="36"/>
      <c r="AW3" s="36"/>
      <c r="AX3" s="36"/>
      <c r="AY3" s="36"/>
      <c r="BD3" s="71"/>
    </row>
    <row r="4" s="69" customFormat="1" ht="30" customHeight="1">
      <c r="A4" s="79" t="s">
        <v>55</v>
      </c>
      <c r="B4" s="79" t="s">
        <v>56</v>
      </c>
      <c r="C4" s="80" t="s">
        <v>57</v>
      </c>
      <c r="D4" s="80" t="s">
        <v>58</v>
      </c>
      <c r="E4" s="327" t="s">
        <v>59</v>
      </c>
      <c r="F4" s="328" t="s">
        <v>60</v>
      </c>
      <c r="G4" s="329" t="s">
        <v>61</v>
      </c>
      <c r="H4" s="330" t="s">
        <v>62</v>
      </c>
      <c r="I4" s="331" t="s">
        <v>63</v>
      </c>
      <c r="J4" s="332" t="s">
        <v>64</v>
      </c>
      <c r="K4" s="333" t="s">
        <v>65</v>
      </c>
      <c r="L4" s="334" t="s">
        <v>66</v>
      </c>
      <c r="M4" s="335" t="s">
        <v>67</v>
      </c>
      <c r="N4" s="336" t="s">
        <v>68</v>
      </c>
      <c r="O4" s="337" t="s">
        <v>69</v>
      </c>
      <c r="P4" s="338" t="s">
        <v>70</v>
      </c>
      <c r="Q4" s="126" t="s">
        <v>71</v>
      </c>
      <c r="R4" s="339" t="s">
        <v>72</v>
      </c>
      <c r="S4" s="340" t="s">
        <v>73</v>
      </c>
      <c r="T4" s="341" t="s">
        <v>74</v>
      </c>
      <c r="U4" s="342" t="s">
        <v>75</v>
      </c>
      <c r="V4" s="343" t="s">
        <v>76</v>
      </c>
      <c r="W4" s="344" t="s">
        <v>77</v>
      </c>
      <c r="X4" s="345" t="s">
        <v>78</v>
      </c>
      <c r="Y4" s="346" t="s">
        <v>79</v>
      </c>
      <c r="Z4" s="347" t="s">
        <v>80</v>
      </c>
      <c r="AA4" s="348" t="s">
        <v>81</v>
      </c>
      <c r="AB4" s="127" t="s">
        <v>82</v>
      </c>
      <c r="AC4" s="135" t="s">
        <v>83</v>
      </c>
      <c r="AD4" s="136" t="s">
        <v>84</v>
      </c>
      <c r="AE4" s="134" t="s">
        <v>85</v>
      </c>
      <c r="AF4" s="134" t="s">
        <v>86</v>
      </c>
      <c r="AG4" s="138" t="s">
        <v>87</v>
      </c>
      <c r="AH4" s="349" t="s">
        <v>88</v>
      </c>
      <c r="AI4" s="350" t="s">
        <v>89</v>
      </c>
      <c r="AJ4" s="139" t="s">
        <v>37</v>
      </c>
      <c r="AK4" s="351" t="s">
        <v>89</v>
      </c>
      <c r="AL4" s="139" t="s">
        <v>38</v>
      </c>
      <c r="AM4" s="352" t="s">
        <v>89</v>
      </c>
      <c r="AN4" s="139" t="s">
        <v>39</v>
      </c>
      <c r="AO4" s="353" t="s">
        <v>89</v>
      </c>
      <c r="AP4" s="139" t="s">
        <v>40</v>
      </c>
      <c r="AQ4" s="354" t="s">
        <v>89</v>
      </c>
      <c r="AR4" s="139" t="s">
        <v>41</v>
      </c>
      <c r="AS4" s="355" t="s">
        <v>90</v>
      </c>
      <c r="AT4" s="356" t="s">
        <v>89</v>
      </c>
      <c r="AU4" s="357" t="s">
        <v>91</v>
      </c>
      <c r="AV4" s="139" t="s">
        <v>42</v>
      </c>
      <c r="AW4" s="358" t="s">
        <v>92</v>
      </c>
      <c r="AX4" s="359" t="s">
        <v>89</v>
      </c>
      <c r="AY4" s="360" t="s">
        <v>93</v>
      </c>
      <c r="AZ4" s="139" t="s">
        <v>94</v>
      </c>
      <c r="BA4" s="361" t="s">
        <v>95</v>
      </c>
      <c r="BB4" s="362" t="s">
        <v>89</v>
      </c>
      <c r="BC4" s="363" t="s">
        <v>96</v>
      </c>
      <c r="BD4" s="147" t="s">
        <v>44</v>
      </c>
      <c r="BE4" s="364" t="s">
        <v>89</v>
      </c>
      <c r="BF4" s="139" t="s">
        <v>97</v>
      </c>
      <c r="BG4" s="365" t="s">
        <v>89</v>
      </c>
      <c r="BH4" s="366" t="s">
        <v>98</v>
      </c>
      <c r="BI4" s="367" t="s">
        <v>89</v>
      </c>
      <c r="BJ4" s="368" t="s">
        <v>99</v>
      </c>
      <c r="BK4" s="139" t="s">
        <v>100</v>
      </c>
      <c r="BL4" s="369" t="s">
        <v>89</v>
      </c>
    </row>
    <row r="5" ht="33" customHeight="1">
      <c r="A5" s="370" t="s">
        <v>101</v>
      </c>
      <c r="B5" s="81" t="n">
        <v>1</v>
      </c>
      <c r="C5" s="82" t="n">
        <f>O2</f>
        <v>44197</v>
      </c>
      <c r="D5" s="82" t="n">
        <f>C5+7</f>
        <v>44204</v>
      </c>
      <c r="E5" s="93" t="n">
        <v>15</v>
      </c>
      <c r="F5" s="94" t="n">
        <v>5</v>
      </c>
      <c r="G5" s="93"/>
      <c r="H5" s="94"/>
      <c r="I5" s="319" t="n">
        <f>G5/7</f>
        <v>0</v>
      </c>
      <c r="J5" s="108"/>
      <c r="K5" s="109" t="e">
        <f>J5/G5</f>
        <v>#DIV/0!</v>
      </c>
      <c r="L5" s="110" t="n">
        <v>21.49</v>
      </c>
      <c r="M5" s="123" t="n">
        <f>((L5-$J$2-$P$2-$Q$2-$R$2-$S$2-$T$2*L5)*E5-BK5)/E5</f>
        <v>-0.2173</v>
      </c>
      <c r="N5" s="124" t="n">
        <f>M5/L5</f>
        <v>-0.0101116798510935</v>
      </c>
      <c r="O5" s="320" t="e">
        <f>((L5-$J$2-$P$2-$Q$2-$R$2-$S$2-$T$2*L5)*G5-BL5)/G5</f>
        <v>#DIV/0!</v>
      </c>
      <c r="P5" s="124" t="e">
        <f>O5/L5</f>
        <v>#DIV/0!</v>
      </c>
      <c r="Q5" s="309" t="s">
        <v>102</v>
      </c>
      <c r="R5" s="209" t="n">
        <f>(SUM(E5:E8)+SUM(F5:F8))*J$2*M$1</f>
        <v>7844.2</v>
      </c>
      <c r="S5" s="212" t="n">
        <f>(SUM(G5:G8)+SUM(H5:H8))*J2*$M$1</f>
        <v>0</v>
      </c>
      <c r="T5" s="209" t="n">
        <f>(SUM(E5:E8)+SUM(F5:F8))*P$2*M$1</f>
        <v>2229.5</v>
      </c>
      <c r="U5" s="212" t="n">
        <f>(SUM(G5:G8)+SUM(H5:H8))*P$2*M$1</f>
        <v>0</v>
      </c>
      <c r="V5" s="209" t="n">
        <f>(AH5*L5+AH6*L6+AH7*L7+AH8*L8)*$M$1+SUM(AH5:AH8)*$U$2+SUM(AJ5:AJ8)*$V$2+SUM(AL5:AL8)*$W$2+SUM(AN5:AN8)*$X$2+SUM(AP5:AP8)*$Y$2+SUM(AR5:AR8)*$M$1*$Z$2+SUM(AV5:AV8)*$M$1*$AA$2+SUM(AZ5:AZ8)*$M$1*$AB$2+SUM(BD5:BD8)*$M$1*$AC$2+SUM(BF5:BF8)*$M$1+SUM(BH5:BH8)*$AD$2*$M$1+SUM(BK5:BK8)*$M$1</f>
        <v>8686.41</v>
      </c>
      <c r="W5" s="212" t="n">
        <f>(AI5*L5+AI6*L6+AI7*L7+AI8*L8)*$M$1+SUM(AI5:AI8)*$U$2+SUM(AK5:AK8)*$V$2+SUM(AM5:AM8)*$W$2+SUM(AO5:AO8)*$X$2+SUM(AQ5:AQ8)*$Y$2+SUM(AT5:AT8)*$M$1*$Z$2+SUM(AX5:AX8)*$M$1*$AA$2+SUM(BB5:BB8)*$M$1*$AB$2+SUM(BE5:BE8)*$M$1*$AC$2+SUM(BG5:BG8)*$M$1+SUM(BI5:BI8)*$AD$2*$M$1+SUM(BL5:BL8)*$M$1</f>
        <v>0</v>
      </c>
      <c r="X5" s="209" t="n">
        <f>((E5*L5+E6*L6+E7*L7+E8*L8)+(SUM(AS5:AS8)+SUM(AW5:AW8)+SUM(BA5:BA8)))*$M$1</f>
        <v>12051.975</v>
      </c>
      <c r="Y5" s="212" t="n">
        <f>((G5*L5+G6*L6+G7*L7+G8*L8)+(SUM(AU5:AU8)+SUM(AY5:AY8)+SUM(BC5:BC8)))*$M$1</f>
        <v>0</v>
      </c>
      <c r="Z5" s="209" t="n">
        <f>R5+T5+V5</f>
        <v>18760.11</v>
      </c>
      <c r="AA5" s="212" t="n">
        <f>S5+U5+W5</f>
        <v>0</v>
      </c>
      <c r="AB5" s="215" t="n">
        <f>X5/Z5</f>
        <v>0.642425604114262</v>
      </c>
      <c r="AC5" s="218" t="e">
        <f>Y5/AA5</f>
        <v>#DIV/0!</v>
      </c>
      <c r="AD5" s="221"/>
      <c r="AE5" s="224"/>
      <c r="AF5" s="224"/>
      <c r="AG5" s="227"/>
      <c r="AH5" s="5" t="n">
        <v>5</v>
      </c>
      <c r="AI5" s="142"/>
      <c r="AJ5" s="5" t="n">
        <v>5</v>
      </c>
      <c r="AK5" s="142"/>
      <c r="AL5" s="5" t="n">
        <v>10</v>
      </c>
      <c r="AM5" s="142"/>
      <c r="AN5" s="5" t="n">
        <v>10</v>
      </c>
      <c r="AO5" s="142"/>
      <c r="AP5" s="5"/>
      <c r="AQ5" s="142"/>
      <c r="AR5" s="5" t="s">
        <v>103</v>
      </c>
      <c r="AS5" s="23"/>
      <c r="AT5" s="142"/>
      <c r="AU5" s="142"/>
      <c r="AV5" s="5" t="s">
        <v>103</v>
      </c>
      <c r="AW5" s="5"/>
      <c r="AX5" s="142"/>
      <c r="AY5" s="142"/>
      <c r="AZ5" s="5" t="s">
        <v>103</v>
      </c>
      <c r="BA5" s="23"/>
      <c r="BB5" s="108"/>
      <c r="BC5" s="108"/>
      <c r="BD5" s="13" t="s">
        <v>104</v>
      </c>
      <c r="BE5" s="142"/>
      <c r="BF5" s="148" t="n">
        <v>3</v>
      </c>
      <c r="BG5" s="142"/>
      <c r="BH5" s="5" t="s">
        <v>103</v>
      </c>
      <c r="BI5" s="142"/>
      <c r="BJ5" s="5" t="s">
        <v>103</v>
      </c>
      <c r="BK5" s="150" t="n">
        <f>E5*L5*0.1</f>
        <v>32.235</v>
      </c>
      <c r="BL5" s="142"/>
    </row>
    <row r="6" ht="33" customHeight="1">
      <c r="A6" s="204"/>
      <c r="B6" s="81" t="n">
        <v>2</v>
      </c>
      <c r="C6" s="82" t="n">
        <f>C5+8</f>
        <v>44205</v>
      </c>
      <c r="D6" s="82" t="n">
        <f>C6+7</f>
        <v>44212</v>
      </c>
      <c r="E6" s="93" t="n">
        <v>15</v>
      </c>
      <c r="F6" s="94" t="n">
        <v>5</v>
      </c>
      <c r="G6" s="93"/>
      <c r="H6" s="94"/>
      <c r="I6" s="319" t="n">
        <f>G6/7</f>
        <v>0</v>
      </c>
      <c r="J6" s="108"/>
      <c r="K6" s="109" t="e">
        <f>J6/G6</f>
        <v>#DIV/0!</v>
      </c>
      <c r="L6" s="110" t="n">
        <v>21.49</v>
      </c>
      <c r="M6" s="123" t="n">
        <f>((L6-$J$2-$P$2-$Q$2-$R$2-$S$2-$T$2*L6)*E6-BK6)/E6</f>
        <v>-0.2173</v>
      </c>
      <c r="N6" s="124" t="n">
        <f>M6/L6</f>
        <v>-0.0101116798510935</v>
      </c>
      <c r="O6" s="320" t="e">
        <f>((L6-$J$2-$P$2-$Q$2-$R$2-$S$2-$T$2*L6)*G6-BL6)/G6</f>
        <v>#DIV/0!</v>
      </c>
      <c r="P6" s="124" t="e">
        <f>O6/L6</f>
        <v>#DIV/0!</v>
      </c>
      <c r="Q6" s="207"/>
      <c r="R6" s="210"/>
      <c r="S6" s="213"/>
      <c r="T6" s="210"/>
      <c r="U6" s="213"/>
      <c r="V6" s="210"/>
      <c r="W6" s="213"/>
      <c r="X6" s="210"/>
      <c r="Y6" s="213"/>
      <c r="Z6" s="210"/>
      <c r="AA6" s="213"/>
      <c r="AB6" s="216"/>
      <c r="AC6" s="219"/>
      <c r="AD6" s="222"/>
      <c r="AE6" s="225"/>
      <c r="AF6" s="225"/>
      <c r="AG6" s="228"/>
      <c r="AH6" s="5" t="n">
        <v>5</v>
      </c>
      <c r="AI6" s="142"/>
      <c r="AJ6" s="5" t="n">
        <v>5</v>
      </c>
      <c r="AK6" s="142"/>
      <c r="AL6" s="5" t="n">
        <v>20</v>
      </c>
      <c r="AM6" s="142"/>
      <c r="AN6" s="5" t="n">
        <v>20</v>
      </c>
      <c r="AO6" s="142"/>
      <c r="AP6" s="5"/>
      <c r="AQ6" s="142"/>
      <c r="AR6" s="5" t="s">
        <v>103</v>
      </c>
      <c r="AS6" s="23"/>
      <c r="AT6" s="142"/>
      <c r="AU6" s="142"/>
      <c r="AV6" s="5" t="s">
        <v>103</v>
      </c>
      <c r="AW6" s="5"/>
      <c r="AX6" s="142"/>
      <c r="AY6" s="142"/>
      <c r="AZ6" s="5" t="s">
        <v>103</v>
      </c>
      <c r="BA6" s="23"/>
      <c r="BB6" s="108"/>
      <c r="BC6" s="108"/>
      <c r="BD6" s="13" t="s">
        <v>104</v>
      </c>
      <c r="BE6" s="142"/>
      <c r="BF6" s="148" t="n">
        <v>3</v>
      </c>
      <c r="BG6" s="142"/>
      <c r="BH6" s="5" t="s">
        <v>103</v>
      </c>
      <c r="BI6" s="142"/>
      <c r="BJ6" s="5" t="s">
        <v>103</v>
      </c>
      <c r="BK6" s="150" t="n">
        <f>E6*L6*0.1</f>
        <v>32.235</v>
      </c>
      <c r="BL6" s="142"/>
    </row>
    <row r="7" ht="33" customHeight="1">
      <c r="A7" s="204"/>
      <c r="B7" s="81" t="n">
        <v>3</v>
      </c>
      <c r="C7" s="82" t="n">
        <f>C6+8</f>
        <v>44213</v>
      </c>
      <c r="D7" s="82" t="n">
        <f>C7+7</f>
        <v>44220</v>
      </c>
      <c r="E7" s="93" t="n">
        <v>15</v>
      </c>
      <c r="F7" s="94" t="n">
        <v>10</v>
      </c>
      <c r="G7" s="93"/>
      <c r="H7" s="94"/>
      <c r="I7" s="319" t="n">
        <f>G7/7</f>
        <v>0</v>
      </c>
      <c r="J7" s="108"/>
      <c r="K7" s="109" t="e">
        <f>J7/G7</f>
        <v>#DIV/0!</v>
      </c>
      <c r="L7" s="110" t="n">
        <v>21.99</v>
      </c>
      <c r="M7" s="123" t="n">
        <f>((L7-$J$2-$P$2-$Q$2-$R$2-$S$2-$T$2*L7)*E7-BK7)/E7</f>
        <v>0.2327</v>
      </c>
      <c r="N7" s="124" t="n">
        <f>M7/L7</f>
        <v>0.0105820827648931</v>
      </c>
      <c r="O7" s="320" t="e">
        <f>((L7-$J$2-$P$2-$Q$2-$R$2-$S$2-$T$2*L7)*G7-BL7)/G7</f>
        <v>#DIV/0!</v>
      </c>
      <c r="P7" s="124" t="e">
        <f>O7/L7</f>
        <v>#DIV/0!</v>
      </c>
      <c r="Q7" s="207"/>
      <c r="R7" s="210"/>
      <c r="S7" s="213"/>
      <c r="T7" s="210"/>
      <c r="U7" s="213"/>
      <c r="V7" s="210"/>
      <c r="W7" s="213"/>
      <c r="X7" s="210"/>
      <c r="Y7" s="213"/>
      <c r="Z7" s="210"/>
      <c r="AA7" s="213"/>
      <c r="AB7" s="216"/>
      <c r="AC7" s="219"/>
      <c r="AD7" s="222"/>
      <c r="AE7" s="225"/>
      <c r="AF7" s="225"/>
      <c r="AG7" s="228"/>
      <c r="AH7" s="5" t="n">
        <v>10</v>
      </c>
      <c r="AI7" s="142"/>
      <c r="AJ7" s="5" t="n">
        <v>10</v>
      </c>
      <c r="AK7" s="142"/>
      <c r="AL7" s="5" t="n">
        <v>30</v>
      </c>
      <c r="AM7" s="142"/>
      <c r="AN7" s="5" t="n">
        <v>30</v>
      </c>
      <c r="AO7" s="142"/>
      <c r="AP7" s="5"/>
      <c r="AQ7" s="142"/>
      <c r="AR7" s="5" t="s">
        <v>103</v>
      </c>
      <c r="AS7" s="23"/>
      <c r="AT7" s="142"/>
      <c r="AU7" s="142"/>
      <c r="AV7" s="5" t="s">
        <v>103</v>
      </c>
      <c r="AW7" s="5"/>
      <c r="AX7" s="142"/>
      <c r="AY7" s="142"/>
      <c r="AZ7" s="5" t="s">
        <v>103</v>
      </c>
      <c r="BA7" s="23"/>
      <c r="BB7" s="108"/>
      <c r="BC7" s="108"/>
      <c r="BD7" s="13" t="s">
        <v>104</v>
      </c>
      <c r="BE7" s="142"/>
      <c r="BF7" s="148" t="n">
        <v>3</v>
      </c>
      <c r="BG7" s="142"/>
      <c r="BH7" s="149" t="n">
        <v>1</v>
      </c>
      <c r="BI7" s="142"/>
      <c r="BJ7" s="13"/>
      <c r="BK7" s="150" t="n">
        <f>E7*L7*0.1</f>
        <v>32.985</v>
      </c>
      <c r="BL7" s="142"/>
    </row>
    <row r="8" ht="33" customHeight="1">
      <c r="A8" s="204"/>
      <c r="B8" s="81" t="n">
        <v>4</v>
      </c>
      <c r="C8" s="82" t="n">
        <f>C7+8</f>
        <v>44221</v>
      </c>
      <c r="D8" s="82" t="n">
        <f>C8+7</f>
        <v>44228</v>
      </c>
      <c r="E8" s="93" t="n">
        <v>15</v>
      </c>
      <c r="F8" s="94" t="n">
        <v>60</v>
      </c>
      <c r="G8" s="93"/>
      <c r="H8" s="94"/>
      <c r="I8" s="319" t="n">
        <f>G8/7</f>
        <v>0</v>
      </c>
      <c r="J8" s="108"/>
      <c r="K8" s="109" t="e">
        <f>J8/G8</f>
        <v>#DIV/0!</v>
      </c>
      <c r="L8" s="110" t="n">
        <v>21.99</v>
      </c>
      <c r="M8" s="123" t="n">
        <f>((L8-$J$2-$P$2-$Q$2-$R$2-$S$2-$T$2*L8)*E8-BK8)/E8</f>
        <v>0.2327</v>
      </c>
      <c r="N8" s="124" t="n">
        <f>M8/L8</f>
        <v>0.0105820827648931</v>
      </c>
      <c r="O8" s="320" t="e">
        <f>((L8-$J$2-$P$2-$Q$2-$R$2-$S$2-$T$2*L8)*G8-BL8)/G8</f>
        <v>#DIV/0!</v>
      </c>
      <c r="P8" s="124" t="e">
        <f>O8/L8</f>
        <v>#DIV/0!</v>
      </c>
      <c r="Q8" s="207"/>
      <c r="R8" s="211"/>
      <c r="S8" s="214"/>
      <c r="T8" s="211"/>
      <c r="U8" s="214"/>
      <c r="V8" s="211"/>
      <c r="W8" s="214"/>
      <c r="X8" s="211"/>
      <c r="Y8" s="214"/>
      <c r="Z8" s="211"/>
      <c r="AA8" s="214"/>
      <c r="AB8" s="217"/>
      <c r="AC8" s="220"/>
      <c r="AD8" s="223"/>
      <c r="AE8" s="226"/>
      <c r="AF8" s="226"/>
      <c r="AG8" s="229"/>
      <c r="AH8" s="5" t="n">
        <v>10</v>
      </c>
      <c r="AI8" s="142"/>
      <c r="AJ8" s="5" t="n">
        <v>10</v>
      </c>
      <c r="AK8" s="142"/>
      <c r="AL8" s="5" t="n">
        <v>40</v>
      </c>
      <c r="AM8" s="142"/>
      <c r="AN8" s="5" t="n">
        <v>40</v>
      </c>
      <c r="AO8" s="142"/>
      <c r="AP8" s="5"/>
      <c r="AQ8" s="142"/>
      <c r="AR8" s="146" t="n">
        <v>1</v>
      </c>
      <c r="AS8" s="321" t="n">
        <f>50*L8*0.5</f>
        <v>549.75</v>
      </c>
      <c r="AT8" s="142"/>
      <c r="AU8" s="142"/>
      <c r="AV8" s="5" t="s">
        <v>103</v>
      </c>
      <c r="AW8" s="5"/>
      <c r="AX8" s="142"/>
      <c r="AY8" s="142"/>
      <c r="AZ8" s="5" t="s">
        <v>103</v>
      </c>
      <c r="BA8" s="23"/>
      <c r="BB8" s="108"/>
      <c r="BC8" s="108"/>
      <c r="BD8" s="13" t="s">
        <v>104</v>
      </c>
      <c r="BE8" s="142"/>
      <c r="BF8" s="148" t="n">
        <v>3</v>
      </c>
      <c r="BG8" s="142"/>
      <c r="BH8" s="5" t="s">
        <v>103</v>
      </c>
      <c r="BI8" s="142"/>
      <c r="BJ8" s="13"/>
      <c r="BK8" s="150" t="n">
        <f>E8*L8*0.1</f>
        <v>32.985</v>
      </c>
      <c r="BL8" s="142"/>
    </row>
    <row r="9" ht="33" customHeight="1">
      <c r="A9" s="371" t="s">
        <v>105</v>
      </c>
      <c r="B9" s="81" t="n">
        <v>5</v>
      </c>
      <c r="C9" s="82" t="n">
        <f>C8+8</f>
        <v>44229</v>
      </c>
      <c r="D9" s="82" t="n">
        <f>C9+7</f>
        <v>44236</v>
      </c>
      <c r="E9" s="93" t="n">
        <v>70</v>
      </c>
      <c r="F9" s="94" t="n">
        <v>60</v>
      </c>
      <c r="G9" s="93"/>
      <c r="H9" s="94"/>
      <c r="I9" s="319" t="n">
        <f>G9/7</f>
        <v>0</v>
      </c>
      <c r="J9" s="108"/>
      <c r="K9" s="109" t="e">
        <f>J9/G9</f>
        <v>#DIV/0!</v>
      </c>
      <c r="L9" s="110" t="n">
        <v>22.99</v>
      </c>
      <c r="M9" s="123" t="n">
        <f>((L9-$J$2-$P$2-$Q$2-$R$2-$S$2-$T$2*L9)*E9-BK9)/E9</f>
        <v>1.1327</v>
      </c>
      <c r="N9" s="124" t="n">
        <f>M9/L9</f>
        <v>0.0492692474989126</v>
      </c>
      <c r="O9" s="320" t="e">
        <f>((L9-$J$2-$P$2-$Q$2-$R$2-$S$2-$T$2*L9)*G9-BL9)/G9</f>
        <v>#DIV/0!</v>
      </c>
      <c r="P9" s="124" t="e">
        <f>O9/L9</f>
        <v>#DIV/0!</v>
      </c>
      <c r="Q9" s="207"/>
      <c r="R9" s="209" t="n">
        <f>(SUM(E9:E12)+SUM(F9:F12))*J$2*M$1</f>
        <v>29695.9</v>
      </c>
      <c r="S9" s="212" t="n">
        <f>(SUM(G9:G12)+SUM(H9:H12))*J6*$M$1</f>
        <v>0</v>
      </c>
      <c r="T9" s="209" t="n">
        <f>(SUM(E9:E12)+SUM(F9:F12))*P$2*M$1</f>
        <v>8440.25</v>
      </c>
      <c r="U9" s="212" t="n">
        <f>(SUM(G9:G12)+SUM(H9:H12))*P$2*M$1</f>
        <v>0</v>
      </c>
      <c r="V9" s="209" t="n">
        <f>(AH9*L9+AH10*L10+AH11*L11+AH12*L12)*$M$1+SUM(AH9:AH12)*$U$2+SUM(AJ9:AJ12)*$V$2+SUM(AL9:AL12)*$W$2+SUM(AN9:AN12)*$X$2+SUM(AP9:AP12)*$Y$2+SUM(AR9:AR12)*$M$1*$Z$2+SUM(AV9:AV12)*$M$1*$AA$2+SUM(AZ9:AZ12)*$M$1*$AB$2+SUM(BD9:BD12)*$M$1*$AC$2+SUM(BF9:BF12)*$M$1+SUM(BH9:BH12)*$AD$2*$M$1+SUM(BK9:BK12)*$M$1</f>
        <v>20984.93</v>
      </c>
      <c r="W9" s="212" t="n">
        <f>(AI9*L9+AI10*L10+AI11*L11+AI12*L12)*$M$1+SUM(AI9:AI12)*$U$2+SUM(AK9:AK12)*$V$2+SUM(AM9:AM12)*$W$2+SUM(AO9:AO12)*$X$2+SUM(AQ9:AQ12)*$Y$2+SUM(AT9:AT12)*$M$1*$Z$2+SUM(AX9:AX12)*$M$1*$AA$2+SUM(BB9:BB12)*$M$1*$AB$2+SUM(BE9:BE12)*$M$1*$AC$2+SUM(BG9:BG12)*$M$1+SUM(BI9:BI12)*$AD$2*$M$1+SUM(BL9:BL12)*$M$1</f>
        <v>0</v>
      </c>
      <c r="X9" s="209" t="n">
        <f>((E9*L9+E10*L10+E11*L11+E12*L12)+(SUM(AS9:AS12)+SUM(AW9:AW12)+SUM(BA9:BA12)))*$M$1</f>
        <v>58020.3</v>
      </c>
      <c r="Y9" s="212" t="n">
        <f>((G9*L9+G10*L10+G11*L11+G12*L12)+(SUM(AU9:AU12)+SUM(AY9:AY12)+SUM(BC9:BC12)))*$M$1</f>
        <v>0</v>
      </c>
      <c r="Z9" s="209" t="n">
        <f>R9+T9+V9</f>
        <v>59121.08</v>
      </c>
      <c r="AA9" s="212" t="n">
        <f>S9+U9+W9</f>
        <v>0</v>
      </c>
      <c r="AB9" s="215" t="n">
        <f>X9/Z9</f>
        <v>0.981380921999395</v>
      </c>
      <c r="AC9" s="218" t="e">
        <f>Y9/AA9</f>
        <v>#DIV/0!</v>
      </c>
      <c r="AD9" s="221"/>
      <c r="AE9" s="224"/>
      <c r="AF9" s="224"/>
      <c r="AG9" s="227"/>
      <c r="AH9" s="5" t="n">
        <v>10</v>
      </c>
      <c r="AI9" s="142"/>
      <c r="AJ9" s="5" t="n">
        <v>0</v>
      </c>
      <c r="AK9" s="142"/>
      <c r="AL9" s="5" t="n">
        <v>50</v>
      </c>
      <c r="AM9" s="142"/>
      <c r="AN9" s="5" t="n">
        <v>50</v>
      </c>
      <c r="AO9" s="142"/>
      <c r="AP9" s="5" t="n">
        <v>50</v>
      </c>
      <c r="AQ9" s="142"/>
      <c r="AR9" s="5" t="s">
        <v>103</v>
      </c>
      <c r="AS9" s="23"/>
      <c r="AT9" s="142"/>
      <c r="AU9" s="142"/>
      <c r="AV9" s="146" t="n">
        <v>1</v>
      </c>
      <c r="AW9" s="321" t="n">
        <f>50*L9*0.5</f>
        <v>574.75</v>
      </c>
      <c r="AX9" s="142"/>
      <c r="AY9" s="142"/>
      <c r="AZ9" s="5" t="s">
        <v>103</v>
      </c>
      <c r="BA9" s="23"/>
      <c r="BB9" s="108"/>
      <c r="BC9" s="108"/>
      <c r="BD9" s="13" t="s">
        <v>104</v>
      </c>
      <c r="BE9" s="142"/>
      <c r="BF9" s="148" t="n">
        <v>3</v>
      </c>
      <c r="BG9" s="142"/>
      <c r="BH9" s="5" t="s">
        <v>103</v>
      </c>
      <c r="BI9" s="142"/>
      <c r="BJ9" s="13"/>
      <c r="BK9" s="150" t="n">
        <f>E9*L9*0.1</f>
        <v>160.93</v>
      </c>
      <c r="BL9" s="142"/>
    </row>
    <row r="10" ht="33" customHeight="1">
      <c r="A10" s="204"/>
      <c r="B10" s="81" t="n">
        <v>6</v>
      </c>
      <c r="C10" s="82" t="n">
        <f>C9+8</f>
        <v>44237</v>
      </c>
      <c r="D10" s="82" t="n">
        <f>C10+7</f>
        <v>44244</v>
      </c>
      <c r="E10" s="93" t="n">
        <v>70</v>
      </c>
      <c r="F10" s="94" t="n">
        <v>60</v>
      </c>
      <c r="G10" s="93"/>
      <c r="H10" s="94"/>
      <c r="I10" s="319" t="n">
        <f>G10/7</f>
        <v>0</v>
      </c>
      <c r="J10" s="108"/>
      <c r="K10" s="109" t="e">
        <f>J10/G10</f>
        <v>#DIV/0!</v>
      </c>
      <c r="L10" s="110" t="n">
        <v>22.99</v>
      </c>
      <c r="M10" s="123" t="n">
        <f>((L10-$J$2-$P$2-$Q$2-$R$2-$S$2-$T$2*L10)*E10-BK10)/E10</f>
        <v>1.1327</v>
      </c>
      <c r="N10" s="124" t="n">
        <f>M10/L10</f>
        <v>0.0492692474989126</v>
      </c>
      <c r="O10" s="320" t="e">
        <f>((L10-$J$2-$P$2-$Q$2-$R$2-$S$2-$T$2*L10)*G10-BL10)/G10</f>
        <v>#DIV/0!</v>
      </c>
      <c r="P10" s="124" t="e">
        <f>O10/L10</f>
        <v>#DIV/0!</v>
      </c>
      <c r="Q10" s="207"/>
      <c r="R10" s="210"/>
      <c r="S10" s="213"/>
      <c r="T10" s="210"/>
      <c r="U10" s="213"/>
      <c r="V10" s="210"/>
      <c r="W10" s="213"/>
      <c r="X10" s="210"/>
      <c r="Y10" s="213"/>
      <c r="Z10" s="210"/>
      <c r="AA10" s="213"/>
      <c r="AB10" s="216"/>
      <c r="AC10" s="219"/>
      <c r="AD10" s="222"/>
      <c r="AE10" s="225"/>
      <c r="AF10" s="225"/>
      <c r="AG10" s="228"/>
      <c r="AH10" s="5" t="n">
        <v>10</v>
      </c>
      <c r="AI10" s="142"/>
      <c r="AJ10" s="5" t="n">
        <v>0</v>
      </c>
      <c r="AK10" s="142"/>
      <c r="AL10" s="5" t="n">
        <v>50</v>
      </c>
      <c r="AM10" s="142"/>
      <c r="AN10" s="5" t="n">
        <v>50</v>
      </c>
      <c r="AO10" s="142"/>
      <c r="AP10" s="5" t="n">
        <v>50</v>
      </c>
      <c r="AQ10" s="142"/>
      <c r="AR10" s="5" t="s">
        <v>103</v>
      </c>
      <c r="AS10" s="23"/>
      <c r="AT10" s="142"/>
      <c r="AU10" s="142"/>
      <c r="AV10" s="5" t="s">
        <v>103</v>
      </c>
      <c r="AW10" s="5"/>
      <c r="AX10" s="142"/>
      <c r="AY10" s="142"/>
      <c r="AZ10" s="146" t="n">
        <v>1</v>
      </c>
      <c r="BA10" s="321" t="n">
        <f>50*L10*0.5</f>
        <v>574.75</v>
      </c>
      <c r="BB10" s="108"/>
      <c r="BC10" s="108"/>
      <c r="BD10" s="13" t="s">
        <v>104</v>
      </c>
      <c r="BE10" s="142"/>
      <c r="BF10" s="148" t="n">
        <v>3</v>
      </c>
      <c r="BG10" s="142"/>
      <c r="BH10" s="149" t="n">
        <v>1</v>
      </c>
      <c r="BI10" s="142"/>
      <c r="BJ10" s="13"/>
      <c r="BK10" s="150" t="n">
        <f>E10*L10*0.1</f>
        <v>160.93</v>
      </c>
      <c r="BL10" s="142"/>
    </row>
    <row r="11" ht="33" customHeight="1">
      <c r="A11" s="204"/>
      <c r="B11" s="81" t="n">
        <v>7</v>
      </c>
      <c r="C11" s="82" t="n">
        <f>C10+8</f>
        <v>44245</v>
      </c>
      <c r="D11" s="82" t="n">
        <f>C11+7</f>
        <v>44252</v>
      </c>
      <c r="E11" s="93" t="n">
        <v>70</v>
      </c>
      <c r="F11" s="94" t="n">
        <v>65</v>
      </c>
      <c r="G11" s="93"/>
      <c r="H11" s="94"/>
      <c r="I11" s="319" t="n">
        <f>G11/7</f>
        <v>0</v>
      </c>
      <c r="J11" s="108"/>
      <c r="K11" s="109" t="e">
        <f>J11/G11</f>
        <v>#DIV/0!</v>
      </c>
      <c r="L11" s="110" t="n">
        <v>23.99</v>
      </c>
      <c r="M11" s="123" t="n">
        <f>((L11-$J$2-$P$2-$Q$2-$R$2-$S$2-$T$2*L11)*E11-BK11)/E11</f>
        <v>2.0327</v>
      </c>
      <c r="N11" s="124" t="n">
        <f>M11/L11</f>
        <v>0.0847311379741559</v>
      </c>
      <c r="O11" s="320" t="e">
        <f>((L11-$J$2-$P$2-$Q$2-$R$2-$S$2-$T$2*L11)*G11-BL11)/G11</f>
        <v>#DIV/0!</v>
      </c>
      <c r="P11" s="124" t="e">
        <f>O11/L11</f>
        <v>#DIV/0!</v>
      </c>
      <c r="Q11" s="207"/>
      <c r="R11" s="210"/>
      <c r="S11" s="213"/>
      <c r="T11" s="210"/>
      <c r="U11" s="213"/>
      <c r="V11" s="210"/>
      <c r="W11" s="213"/>
      <c r="X11" s="210"/>
      <c r="Y11" s="213"/>
      <c r="Z11" s="210"/>
      <c r="AA11" s="213"/>
      <c r="AB11" s="216"/>
      <c r="AC11" s="219"/>
      <c r="AD11" s="222"/>
      <c r="AE11" s="225"/>
      <c r="AF11" s="225"/>
      <c r="AG11" s="228"/>
      <c r="AH11" s="5" t="n">
        <v>15</v>
      </c>
      <c r="AI11" s="142"/>
      <c r="AJ11" s="5" t="n">
        <v>0</v>
      </c>
      <c r="AK11" s="142" t="s">
        <v>106</v>
      </c>
      <c r="AL11" s="5" t="n">
        <v>50</v>
      </c>
      <c r="AM11" s="142"/>
      <c r="AN11" s="5" t="n">
        <v>50</v>
      </c>
      <c r="AO11" s="142"/>
      <c r="AP11" s="5" t="n">
        <v>50</v>
      </c>
      <c r="AQ11" s="142"/>
      <c r="AR11" s="146" t="n">
        <v>1</v>
      </c>
      <c r="AS11" s="321" t="n">
        <f>50*L11*0.5</f>
        <v>599.75</v>
      </c>
      <c r="AT11" s="142"/>
      <c r="AU11" s="142"/>
      <c r="AV11" s="5" t="s">
        <v>103</v>
      </c>
      <c r="AW11" s="5"/>
      <c r="AX11" s="142"/>
      <c r="AY11" s="142"/>
      <c r="AZ11" s="5" t="s">
        <v>103</v>
      </c>
      <c r="BA11" s="23"/>
      <c r="BB11" s="108"/>
      <c r="BC11" s="108"/>
      <c r="BD11" s="13" t="s">
        <v>104</v>
      </c>
      <c r="BE11" s="142"/>
      <c r="BF11" s="148" t="n">
        <v>3</v>
      </c>
      <c r="BG11" s="142"/>
      <c r="BH11" s="5" t="s">
        <v>103</v>
      </c>
      <c r="BI11" s="142"/>
      <c r="BJ11" s="13"/>
      <c r="BK11" s="150" t="n">
        <f>E11*L11*0.1</f>
        <v>167.93</v>
      </c>
      <c r="BL11" s="142"/>
    </row>
    <row r="12" ht="33" customHeight="1">
      <c r="A12" s="204"/>
      <c r="B12" s="81" t="n">
        <v>8</v>
      </c>
      <c r="C12" s="82" t="n">
        <f>C11+8</f>
        <v>44253</v>
      </c>
      <c r="D12" s="82" t="n">
        <f>C12+7</f>
        <v>44260</v>
      </c>
      <c r="E12" s="93" t="n">
        <v>70</v>
      </c>
      <c r="F12" s="94" t="n">
        <v>65</v>
      </c>
      <c r="G12" s="93"/>
      <c r="H12" s="94"/>
      <c r="I12" s="319" t="n">
        <f>G12/7</f>
        <v>0</v>
      </c>
      <c r="J12" s="108"/>
      <c r="K12" s="109" t="e">
        <f>J12/G12</f>
        <v>#DIV/0!</v>
      </c>
      <c r="L12" s="110" t="n">
        <v>23.99</v>
      </c>
      <c r="M12" s="123" t="n">
        <f>((L12-$J$2-$P$2-$Q$2-$R$2-$S$2-$T$2*L12)*E12-BK12)/E12</f>
        <v>2.0327</v>
      </c>
      <c r="N12" s="124" t="n">
        <f>M12/L12</f>
        <v>0.0847311379741559</v>
      </c>
      <c r="O12" s="320" t="e">
        <f>((L12-$J$2-$P$2-$Q$2-$R$2-$S$2-$T$2*L12)*G12-BL12)/G12</f>
        <v>#DIV/0!</v>
      </c>
      <c r="P12" s="124" t="e">
        <f>O12/L12</f>
        <v>#DIV/0!</v>
      </c>
      <c r="Q12" s="207"/>
      <c r="R12" s="211"/>
      <c r="S12" s="214"/>
      <c r="T12" s="211"/>
      <c r="U12" s="214"/>
      <c r="V12" s="211"/>
      <c r="W12" s="214"/>
      <c r="X12" s="211"/>
      <c r="Y12" s="214"/>
      <c r="Z12" s="211"/>
      <c r="AA12" s="214"/>
      <c r="AB12" s="217"/>
      <c r="AC12" s="220"/>
      <c r="AD12" s="223"/>
      <c r="AE12" s="226"/>
      <c r="AF12" s="226"/>
      <c r="AG12" s="229"/>
      <c r="AH12" s="5" t="n">
        <v>15</v>
      </c>
      <c r="AI12" s="142"/>
      <c r="AJ12" s="5" t="n">
        <v>0</v>
      </c>
      <c r="AK12" s="142"/>
      <c r="AL12" s="5" t="n">
        <v>50</v>
      </c>
      <c r="AM12" s="142"/>
      <c r="AN12" s="5" t="n">
        <v>50</v>
      </c>
      <c r="AO12" s="142"/>
      <c r="AP12" s="5" t="n">
        <v>50</v>
      </c>
      <c r="AQ12" s="142"/>
      <c r="AR12" s="5" t="s">
        <v>103</v>
      </c>
      <c r="AS12" s="23"/>
      <c r="AT12" s="142"/>
      <c r="AU12" s="142"/>
      <c r="AV12" s="146" t="n">
        <v>1</v>
      </c>
      <c r="AW12" s="321" t="n">
        <f>50*L12*0.5</f>
        <v>599.75</v>
      </c>
      <c r="AX12" s="142"/>
      <c r="AY12" s="142"/>
      <c r="AZ12" s="5" t="s">
        <v>103</v>
      </c>
      <c r="BA12" s="23"/>
      <c r="BB12" s="108"/>
      <c r="BC12" s="108"/>
      <c r="BD12" s="13" t="s">
        <v>104</v>
      </c>
      <c r="BE12" s="142"/>
      <c r="BF12" s="148" t="n">
        <v>3</v>
      </c>
      <c r="BG12" s="142"/>
      <c r="BH12" s="5" t="s">
        <v>103</v>
      </c>
      <c r="BI12" s="142"/>
      <c r="BJ12" s="13"/>
      <c r="BK12" s="150" t="n">
        <f>E12*L12*0.1</f>
        <v>167.93</v>
      </c>
      <c r="BL12" s="142"/>
    </row>
    <row r="13" ht="33" customHeight="1">
      <c r="A13" s="372" t="s">
        <v>107</v>
      </c>
      <c r="B13" s="81" t="n">
        <v>9</v>
      </c>
      <c r="C13" s="82" t="n">
        <f>C12+8</f>
        <v>44261</v>
      </c>
      <c r="D13" s="82" t="n">
        <f>C13+7</f>
        <v>44268</v>
      </c>
      <c r="E13" s="93" t="n">
        <v>140</v>
      </c>
      <c r="F13" s="94" t="n">
        <v>125</v>
      </c>
      <c r="G13" s="93"/>
      <c r="H13" s="94"/>
      <c r="I13" s="319" t="n">
        <f>G13/7</f>
        <v>0</v>
      </c>
      <c r="J13" s="108"/>
      <c r="K13" s="109" t="e">
        <f>J13/G13</f>
        <v>#DIV/0!</v>
      </c>
      <c r="L13" s="110" t="n">
        <v>24.99</v>
      </c>
      <c r="M13" s="123" t="n">
        <f>((L13-$J$2-$P$2-$Q$2-$R$2-$S$2-$T$2*L13)*E13-BK13)/E13</f>
        <v>2.9327</v>
      </c>
      <c r="N13" s="124" t="n">
        <f>M13/L13</f>
        <v>0.117354941976791</v>
      </c>
      <c r="O13" s="320" t="e">
        <f>((L13-$J$2-$P$2-$Q$2-$R$2-$S$2-$T$2*L13)*G13-BL13)/G13</f>
        <v>#DIV/0!</v>
      </c>
      <c r="P13" s="124" t="e">
        <f>O13/L13</f>
        <v>#DIV/0!</v>
      </c>
      <c r="Q13" s="207"/>
      <c r="R13" s="209" t="n">
        <f>(SUM(E13:E16)+SUM(F13:F16))*J$2*M$1</f>
        <v>59391.8</v>
      </c>
      <c r="S13" s="212" t="n">
        <f>(SUM(G13:G16)+SUM(H13:H16))*J10*$M$1</f>
        <v>0</v>
      </c>
      <c r="T13" s="209" t="n">
        <f>(SUM(E13:E16)+SUM(F13:F16))*P$2*M$1</f>
        <v>16880.5</v>
      </c>
      <c r="U13" s="212" t="n">
        <f>(SUM(G13:G16)+SUM(H13:H16))*P$2*M$1</f>
        <v>0</v>
      </c>
      <c r="V13" s="209" t="n">
        <f>(AH13*L13+AH14*L14+AH15*L15+AH16*L16)*$M$1+SUM(AH13:AH16)*$U$2+SUM(AJ13:AJ16)*$V$2+SUM(AL13:AL16)*$W$2+SUM(AN13:AN16)*$X$2+SUM(AP13:AP16)*$Y$2+SUM(AR13:AR16)*$M$1*$Z$2+SUM(AV13:AV16)*$M$1*$AA$2+SUM(AZ13:AZ16)*$M$1*$AB$2+SUM(BD13:BD16)*$M$1*$AC$2+SUM(BF13:BF16)*$M$1+SUM(BH13:BH16)*$AD$2*$M$1+SUM(BK13:BK16)*$M$1</f>
        <v>37389.86</v>
      </c>
      <c r="W13" s="212" t="n">
        <f>(AI13*L13+AI14*L14+AI15*L15+AI16*L16)*$M$1+SUM(AI13:AI16)*$U$2+SUM(AK13:AK16)*$V$2+SUM(AM13:AM16)*$W$2+SUM(AO13:AO16)*$X$2+SUM(AQ13:AQ16)*$Y$2+SUM(AT13:AT16)*$M$1*$Z$2+SUM(AX13:AX16)*$M$1*$AA$2+SUM(BB13:BB16)*$M$1*$AB$2+SUM(BE13:BE16)*$M$1*$AC$2+SUM(BG13:BG16)*$M$1+SUM(BI13:BI16)*$AD$2*$M$1+SUM(BL13:BL16)*$M$1</f>
        <v>0</v>
      </c>
      <c r="X13" s="209" t="n">
        <f>((E13*L13+E14*L14+E15*L15+E16*L16)+(SUM(AS13:AS16)+SUM(AW13:AW16)+SUM(BA13:BA16)))*$M$1</f>
        <v>125920.6</v>
      </c>
      <c r="Y13" s="212" t="n">
        <f>((G13*L13+G14*L14+G15*L15+G16*L16)+(SUM(AU13:AU16)+SUM(AY13:AY16)+SUM(BC13:BC16)))*$M$1</f>
        <v>0</v>
      </c>
      <c r="Z13" s="209" t="n">
        <f>R13+T13+V13</f>
        <v>113662.16</v>
      </c>
      <c r="AA13" s="212" t="n">
        <f>S13+U13+W13</f>
        <v>0</v>
      </c>
      <c r="AB13" s="215" t="n">
        <f>X13/Z13</f>
        <v>1.10784978923505</v>
      </c>
      <c r="AC13" s="218" t="e">
        <f>Y13/AA13</f>
        <v>#DIV/0!</v>
      </c>
      <c r="AD13" s="221"/>
      <c r="AE13" s="224"/>
      <c r="AF13" s="224"/>
      <c r="AG13" s="141"/>
      <c r="AH13" s="5" t="n">
        <v>25</v>
      </c>
      <c r="AI13" s="142"/>
      <c r="AJ13" s="5" t="n">
        <v>0</v>
      </c>
      <c r="AK13" s="142"/>
      <c r="AL13" s="5" t="n">
        <v>50</v>
      </c>
      <c r="AM13" s="142"/>
      <c r="AN13" s="5" t="n">
        <v>50</v>
      </c>
      <c r="AO13" s="142"/>
      <c r="AP13" s="5" t="n">
        <v>50</v>
      </c>
      <c r="AQ13" s="142"/>
      <c r="AR13" s="5" t="s">
        <v>103</v>
      </c>
      <c r="AS13" s="23"/>
      <c r="AT13" s="142"/>
      <c r="AU13" s="142"/>
      <c r="AV13" s="5" t="s">
        <v>103</v>
      </c>
      <c r="AW13" s="5"/>
      <c r="AX13" s="142"/>
      <c r="AY13" s="142"/>
      <c r="AZ13" s="146" t="n">
        <v>1</v>
      </c>
      <c r="BA13" s="321" t="n">
        <f>100*L13*0.5</f>
        <v>1249.5</v>
      </c>
      <c r="BB13" s="108"/>
      <c r="BC13" s="108"/>
      <c r="BD13" s="13" t="s">
        <v>104</v>
      </c>
      <c r="BE13" s="142"/>
      <c r="BF13" s="148" t="n">
        <v>3</v>
      </c>
      <c r="BG13" s="142"/>
      <c r="BH13" s="149" t="n">
        <v>1</v>
      </c>
      <c r="BI13" s="142"/>
      <c r="BJ13" s="13"/>
      <c r="BK13" s="150" t="n">
        <f>E13*L13*0.1</f>
        <v>349.86</v>
      </c>
      <c r="BL13" s="142"/>
    </row>
    <row r="14" ht="33" customHeight="1">
      <c r="A14" s="204"/>
      <c r="B14" s="81" t="n">
        <v>10</v>
      </c>
      <c r="C14" s="82" t="n">
        <f>C13+8</f>
        <v>44269</v>
      </c>
      <c r="D14" s="82" t="n">
        <f>C14+7</f>
        <v>44276</v>
      </c>
      <c r="E14" s="93" t="n">
        <v>140</v>
      </c>
      <c r="F14" s="94" t="n">
        <v>125</v>
      </c>
      <c r="G14" s="93"/>
      <c r="H14" s="94"/>
      <c r="I14" s="319" t="n">
        <f>G14/7</f>
        <v>0</v>
      </c>
      <c r="J14" s="108"/>
      <c r="K14" s="109" t="e">
        <f>J14/G14</f>
        <v>#DIV/0!</v>
      </c>
      <c r="L14" s="110" t="n">
        <v>24.99</v>
      </c>
      <c r="M14" s="123" t="n">
        <f>((L14-$J$2-$P$2-$Q$2-$R$2-$S$2-$T$2*L14)*E14-BK14)/E14</f>
        <v>2.9327</v>
      </c>
      <c r="N14" s="124" t="n">
        <f>M14/L14</f>
        <v>0.117354941976791</v>
      </c>
      <c r="O14" s="320" t="e">
        <f>((L14-$J$2-$P$2-$Q$2-$R$2-$S$2-$T$2*L14)*G14-BL14)/G14</f>
        <v>#DIV/0!</v>
      </c>
      <c r="P14" s="124" t="e">
        <f>O14/L14</f>
        <v>#DIV/0!</v>
      </c>
      <c r="Q14" s="207"/>
      <c r="R14" s="210"/>
      <c r="S14" s="213"/>
      <c r="T14" s="210"/>
      <c r="U14" s="213"/>
      <c r="V14" s="210"/>
      <c r="W14" s="213"/>
      <c r="X14" s="210"/>
      <c r="Y14" s="213"/>
      <c r="Z14" s="210"/>
      <c r="AA14" s="213"/>
      <c r="AB14" s="216"/>
      <c r="AC14" s="219"/>
      <c r="AD14" s="222"/>
      <c r="AE14" s="225"/>
      <c r="AF14" s="225"/>
      <c r="AG14" s="143"/>
      <c r="AH14" s="5" t="n">
        <v>25</v>
      </c>
      <c r="AI14" s="142"/>
      <c r="AJ14" s="5" t="n">
        <v>0</v>
      </c>
      <c r="AK14" s="142"/>
      <c r="AL14" s="5" t="n">
        <v>50</v>
      </c>
      <c r="AM14" s="142"/>
      <c r="AN14" s="5" t="n">
        <v>50</v>
      </c>
      <c r="AO14" s="142"/>
      <c r="AP14" s="5" t="n">
        <v>50</v>
      </c>
      <c r="AQ14" s="142"/>
      <c r="AR14" s="146" t="n">
        <v>1</v>
      </c>
      <c r="AS14" s="321" t="n">
        <f>100*L14*0.5</f>
        <v>1249.5</v>
      </c>
      <c r="AT14" s="142"/>
      <c r="AU14" s="142"/>
      <c r="AV14" s="5" t="s">
        <v>103</v>
      </c>
      <c r="AW14" s="5"/>
      <c r="AX14" s="142"/>
      <c r="AY14" s="142"/>
      <c r="AZ14" s="5" t="s">
        <v>103</v>
      </c>
      <c r="BA14" s="23"/>
      <c r="BB14" s="108"/>
      <c r="BC14" s="108"/>
      <c r="BD14" s="13" t="s">
        <v>104</v>
      </c>
      <c r="BE14" s="142"/>
      <c r="BF14" s="148" t="n">
        <v>3</v>
      </c>
      <c r="BG14" s="142"/>
      <c r="BH14" s="5" t="s">
        <v>103</v>
      </c>
      <c r="BI14" s="142"/>
      <c r="BJ14" s="13"/>
      <c r="BK14" s="150" t="n">
        <f>E14*L14*0.1</f>
        <v>349.86</v>
      </c>
      <c r="BL14" s="142"/>
    </row>
    <row r="15" ht="33" customHeight="1">
      <c r="A15" s="204"/>
      <c r="B15" s="81" t="n">
        <v>11</v>
      </c>
      <c r="C15" s="82" t="n">
        <f>C14+8</f>
        <v>44277</v>
      </c>
      <c r="D15" s="82" t="n">
        <f>C15+7</f>
        <v>44284</v>
      </c>
      <c r="E15" s="93" t="n">
        <v>140</v>
      </c>
      <c r="F15" s="94" t="n">
        <v>125</v>
      </c>
      <c r="G15" s="93"/>
      <c r="H15" s="94"/>
      <c r="I15" s="319" t="n">
        <f>G15/7</f>
        <v>0</v>
      </c>
      <c r="J15" s="108"/>
      <c r="K15" s="109" t="e">
        <f>J15/G15</f>
        <v>#DIV/0!</v>
      </c>
      <c r="L15" s="110" t="n">
        <v>25.99</v>
      </c>
      <c r="M15" s="123" t="n">
        <f>((L15-$J$2-$P$2-$Q$2-$R$2-$S$2-$T$2*L15)*E15-BK15)/E15</f>
        <v>3.8327</v>
      </c>
      <c r="N15" s="124" t="n">
        <f>M15/L15</f>
        <v>0.147468257021932</v>
      </c>
      <c r="O15" s="320" t="e">
        <f>((L15-$J$2-$P$2-$Q$2-$R$2-$S$2-$T$2*L15)*G15-BL15)/G15</f>
        <v>#DIV/0!</v>
      </c>
      <c r="P15" s="124" t="e">
        <f>O15/L15</f>
        <v>#DIV/0!</v>
      </c>
      <c r="Q15" s="207"/>
      <c r="R15" s="210"/>
      <c r="S15" s="213"/>
      <c r="T15" s="210"/>
      <c r="U15" s="213"/>
      <c r="V15" s="210"/>
      <c r="W15" s="213"/>
      <c r="X15" s="210"/>
      <c r="Y15" s="213"/>
      <c r="Z15" s="210"/>
      <c r="AA15" s="213"/>
      <c r="AB15" s="216"/>
      <c r="AC15" s="219"/>
      <c r="AD15" s="222"/>
      <c r="AE15" s="225"/>
      <c r="AF15" s="225"/>
      <c r="AG15" s="143"/>
      <c r="AH15" s="5" t="n">
        <v>25</v>
      </c>
      <c r="AI15" s="142"/>
      <c r="AJ15" s="5" t="n">
        <v>0</v>
      </c>
      <c r="AK15" s="142"/>
      <c r="AL15" s="5" t="n">
        <v>50</v>
      </c>
      <c r="AM15" s="142"/>
      <c r="AN15" s="5" t="n">
        <v>50</v>
      </c>
      <c r="AO15" s="142"/>
      <c r="AP15" s="5" t="n">
        <v>50</v>
      </c>
      <c r="AQ15" s="142"/>
      <c r="AR15" s="5" t="s">
        <v>103</v>
      </c>
      <c r="AS15" s="23"/>
      <c r="AT15" s="142"/>
      <c r="AU15" s="142"/>
      <c r="AV15" s="146" t="n">
        <v>1</v>
      </c>
      <c r="AW15" s="321" t="n">
        <f>100*L15*0.5</f>
        <v>1299.5</v>
      </c>
      <c r="AX15" s="142"/>
      <c r="AY15" s="142"/>
      <c r="AZ15" s="5" t="s">
        <v>103</v>
      </c>
      <c r="BA15" s="23"/>
      <c r="BB15" s="108"/>
      <c r="BC15" s="108"/>
      <c r="BD15" s="13" t="s">
        <v>104</v>
      </c>
      <c r="BE15" s="142"/>
      <c r="BF15" s="148" t="n">
        <v>3</v>
      </c>
      <c r="BG15" s="142"/>
      <c r="BH15" s="5" t="s">
        <v>103</v>
      </c>
      <c r="BI15" s="142"/>
      <c r="BJ15" s="13"/>
      <c r="BK15" s="150" t="n">
        <f>E15*L15*0.1</f>
        <v>363.86</v>
      </c>
      <c r="BL15" s="142"/>
    </row>
    <row r="16" ht="33" customHeight="1">
      <c r="A16" s="204"/>
      <c r="B16" s="81" t="n">
        <v>12</v>
      </c>
      <c r="C16" s="82" t="n">
        <f>C15+8</f>
        <v>44285</v>
      </c>
      <c r="D16" s="82" t="n">
        <f>C16+7</f>
        <v>44292</v>
      </c>
      <c r="E16" s="93" t="n">
        <v>140</v>
      </c>
      <c r="F16" s="94" t="n">
        <v>125</v>
      </c>
      <c r="G16" s="93"/>
      <c r="H16" s="94"/>
      <c r="I16" s="319" t="n">
        <f>G16/7</f>
        <v>0</v>
      </c>
      <c r="J16" s="108"/>
      <c r="K16" s="109" t="e">
        <f>J16/G16</f>
        <v>#DIV/0!</v>
      </c>
      <c r="L16" s="110" t="n">
        <v>25.99</v>
      </c>
      <c r="M16" s="123" t="n">
        <f>((L16-$J$2-$P$2-$Q$2-$R$2-$S$2-$T$2*L16)*E16-BK16)/E16</f>
        <v>3.8327</v>
      </c>
      <c r="N16" s="124" t="n">
        <f>M16/L16</f>
        <v>0.147468257021932</v>
      </c>
      <c r="O16" s="320" t="e">
        <f>((L16-$J$2-$P$2-$Q$2-$R$2-$S$2-$T$2*L16)*G16-BL16)/G16</f>
        <v>#DIV/0!</v>
      </c>
      <c r="P16" s="124" t="e">
        <f>O16/L16</f>
        <v>#DIV/0!</v>
      </c>
      <c r="Q16" s="208"/>
      <c r="R16" s="211"/>
      <c r="S16" s="214"/>
      <c r="T16" s="211"/>
      <c r="U16" s="214"/>
      <c r="V16" s="211"/>
      <c r="W16" s="214"/>
      <c r="X16" s="211"/>
      <c r="Y16" s="214"/>
      <c r="Z16" s="211"/>
      <c r="AA16" s="214"/>
      <c r="AB16" s="217"/>
      <c r="AC16" s="220"/>
      <c r="AD16" s="223"/>
      <c r="AE16" s="226"/>
      <c r="AF16" s="226"/>
      <c r="AG16" s="144"/>
      <c r="AH16" s="5" t="n">
        <v>25</v>
      </c>
      <c r="AI16" s="142"/>
      <c r="AJ16" s="5" t="n">
        <v>0</v>
      </c>
      <c r="AK16" s="142"/>
      <c r="AL16" s="5" t="n">
        <v>50</v>
      </c>
      <c r="AM16" s="142"/>
      <c r="AN16" s="5" t="n">
        <v>50</v>
      </c>
      <c r="AO16" s="142"/>
      <c r="AP16" s="5" t="n">
        <v>50</v>
      </c>
      <c r="AQ16" s="142"/>
      <c r="AR16" s="5" t="s">
        <v>103</v>
      </c>
      <c r="AS16" s="23"/>
      <c r="AT16" s="142"/>
      <c r="AU16" s="142"/>
      <c r="AV16" s="5" t="s">
        <v>103</v>
      </c>
      <c r="AW16" s="5"/>
      <c r="AX16" s="142"/>
      <c r="AY16" s="142"/>
      <c r="AZ16" s="146" t="n">
        <v>1</v>
      </c>
      <c r="BA16" s="321" t="n">
        <f>100*L16*0.5</f>
        <v>1299.5</v>
      </c>
      <c r="BB16" s="108"/>
      <c r="BC16" s="108"/>
      <c r="BD16" s="13" t="s">
        <v>104</v>
      </c>
      <c r="BE16" s="142"/>
      <c r="BF16" s="148" t="n">
        <v>3</v>
      </c>
      <c r="BG16" s="142"/>
      <c r="BH16" s="5" t="s">
        <v>103</v>
      </c>
      <c r="BI16" s="142"/>
      <c r="BJ16" s="13"/>
      <c r="BK16" s="150" t="n">
        <f>E16*L16*0.1</f>
        <v>363.86</v>
      </c>
      <c r="BL16" s="142"/>
    </row>
    <row r="17" s="70" customFormat="1" ht="34.95" customHeight="1">
      <c r="A17" s="83" t="s">
        <v>108</v>
      </c>
      <c r="B17" s="83"/>
      <c r="C17" s="84"/>
      <c r="D17" s="84"/>
      <c r="E17" s="322" t="n">
        <f>SUM(E5:E16)</f>
        <v>900</v>
      </c>
      <c r="F17" s="322" t="n">
        <f>SUM(F5:F16)</f>
        <v>830</v>
      </c>
      <c r="G17" s="323" t="n">
        <f>SUM(G5:G16)</f>
        <v>0</v>
      </c>
      <c r="H17" s="323" t="n">
        <f>SUM(H5:H16)</f>
        <v>0</v>
      </c>
      <c r="I17" s="96"/>
      <c r="J17" s="96"/>
      <c r="K17" s="111"/>
      <c r="L17" s="96"/>
      <c r="M17" s="96"/>
      <c r="N17" s="111"/>
      <c r="O17" s="111"/>
      <c r="P17" s="111"/>
      <c r="Q17" s="96"/>
      <c r="R17" s="129" t="n">
        <f>SUM(R5:R16)</f>
        <v>96931.9</v>
      </c>
      <c r="S17" s="130" t="n">
        <f>SUM(S5:S16)</f>
        <v>0</v>
      </c>
      <c r="T17" s="129" t="n">
        <f>SUM(T5:T16)</f>
        <v>27550.25</v>
      </c>
      <c r="U17" s="130" t="n">
        <f>SUM(U5:U16)</f>
        <v>0</v>
      </c>
      <c r="V17" s="129" t="n">
        <f>SUM(V5:V16)</f>
        <v>67061.2</v>
      </c>
      <c r="W17" s="130" t="n">
        <f>SUM(W5:W16)</f>
        <v>0</v>
      </c>
      <c r="X17" s="129" t="n">
        <f>SUM(X5:X16)</f>
        <v>195992.875</v>
      </c>
      <c r="Y17" s="130" t="n">
        <f>SUM(Y5:Y16)</f>
        <v>0</v>
      </c>
      <c r="Z17" s="129" t="n">
        <f>SUM(Z5:Z16)</f>
        <v>191543.35</v>
      </c>
      <c r="AA17" s="130" t="n">
        <f>SUM(AA5:AA16)</f>
        <v>0</v>
      </c>
      <c r="AB17" s="96"/>
      <c r="AC17" s="137"/>
      <c r="AD17" s="137"/>
      <c r="AE17" s="137"/>
      <c r="AF17" s="137"/>
      <c r="AG17" s="137"/>
      <c r="AH17" s="322" t="n">
        <f>SUM(AH5:AH16)</f>
        <v>180</v>
      </c>
      <c r="AI17" s="323" t="n">
        <f>SUM(AI5:AI16)</f>
        <v>0</v>
      </c>
      <c r="AJ17" s="322" t="n">
        <f>SUM(AJ5:AJ16)</f>
        <v>30</v>
      </c>
      <c r="AK17" s="323" t="n">
        <f>SUM(AK5:AK16)</f>
        <v>0</v>
      </c>
      <c r="AL17" s="322" t="n">
        <f>SUM(AL5:AL16)</f>
        <v>500</v>
      </c>
      <c r="AM17" s="323" t="n">
        <f>SUM(AM5:AM16)</f>
        <v>0</v>
      </c>
      <c r="AN17" s="322" t="n">
        <f>SUM(AN5:AN16)</f>
        <v>500</v>
      </c>
      <c r="AO17" s="323" t="n">
        <f>SUM(AO5:AO16)</f>
        <v>0</v>
      </c>
      <c r="AP17" s="322" t="n">
        <f>SUM(AP5:AP16)</f>
        <v>400</v>
      </c>
      <c r="AQ17" s="323" t="n">
        <f>SUM(AQ5:AQ16)</f>
        <v>0</v>
      </c>
      <c r="AR17" s="322" t="n">
        <f>SUM(AR5:AR16)</f>
        <v>3</v>
      </c>
      <c r="AS17" s="95"/>
      <c r="AT17" s="323" t="n">
        <f>SUM(AT5:AT16)</f>
        <v>0</v>
      </c>
      <c r="AU17" s="96"/>
      <c r="AV17" s="322" t="n">
        <f>SUM(AV5:AV16)</f>
        <v>3</v>
      </c>
      <c r="AW17" s="95"/>
      <c r="AX17" s="323" t="n">
        <f>SUM(AX5:AX16)</f>
        <v>0</v>
      </c>
      <c r="AY17" s="96"/>
      <c r="AZ17" s="322" t="n">
        <f>SUM(AZ5:AZ16)</f>
        <v>3</v>
      </c>
      <c r="BA17" s="95"/>
      <c r="BB17" s="323" t="n">
        <f>SUM(BB5:BB16)</f>
        <v>0</v>
      </c>
      <c r="BC17" s="96"/>
      <c r="BD17" s="322" t="n">
        <f>SUM(BD5:BD16)</f>
        <v>0</v>
      </c>
      <c r="BE17" s="323" t="n">
        <f>SUM(BE5:BE16)</f>
        <v>0</v>
      </c>
      <c r="BF17" s="324" t="n">
        <f>SUM(BF5:BF16)</f>
        <v>36</v>
      </c>
      <c r="BG17" s="323" t="n">
        <f>SUM(BG5:BG16)</f>
        <v>0</v>
      </c>
      <c r="BH17" s="322" t="n">
        <f>SUM(BH5:BH16)</f>
        <v>3</v>
      </c>
      <c r="BI17" s="323" t="n">
        <f>SUM(BI5:BI16)</f>
        <v>0</v>
      </c>
      <c r="BJ17" s="323" t="n">
        <f>SUM(BJ5:BJ16)</f>
        <v>0</v>
      </c>
      <c r="BK17" s="325" t="n">
        <f>SUM(BK5:BK16)</f>
        <v>2215.6</v>
      </c>
      <c r="BL17" s="323" t="n">
        <f>SUM(BL5:BL16)</f>
        <v>0</v>
      </c>
    </row>
    <row r="18" ht="15" customHeight="1">
      <c r="U18" s="132"/>
    </row>
    <row r="19" ht="28.2" customHeight="1">
      <c r="E19" s="185" t="s">
        <v>109</v>
      </c>
      <c r="F19" s="186"/>
      <c r="G19" s="186"/>
      <c r="H19" s="186"/>
      <c r="I19" s="186"/>
      <c r="J19" s="186"/>
      <c r="K19" s="186"/>
      <c r="L19" s="186"/>
      <c r="M19" s="186"/>
      <c r="N19" s="186"/>
      <c r="O19" s="186"/>
      <c r="P19" s="186"/>
      <c r="Q19" s="186"/>
      <c r="R19" s="186"/>
      <c r="S19" s="187"/>
      <c r="U19" s="132"/>
    </row>
    <row r="20" s="311" customFormat="1" ht="15.6" customHeight="1">
      <c r="A20" s="71"/>
      <c r="B20" s="71"/>
      <c r="C20" s="36"/>
      <c r="D20" s="36"/>
      <c r="E20" s="97" t="n">
        <v>44166</v>
      </c>
      <c r="F20" s="97" t="n">
        <v>44197</v>
      </c>
      <c r="G20" s="97" t="n">
        <v>44228</v>
      </c>
      <c r="H20" s="97" t="n">
        <v>44256</v>
      </c>
      <c r="I20" s="97" t="n">
        <v>44287</v>
      </c>
      <c r="J20" s="97" t="n">
        <v>44317</v>
      </c>
      <c r="K20" s="97" t="n">
        <v>44348</v>
      </c>
      <c r="L20" s="97" t="n">
        <v>44378</v>
      </c>
      <c r="M20" s="97" t="n">
        <v>44409</v>
      </c>
      <c r="N20" s="97" t="n">
        <v>44440</v>
      </c>
      <c r="O20" s="97" t="n">
        <v>44470</v>
      </c>
      <c r="P20" s="97" t="n">
        <v>44501</v>
      </c>
      <c r="Q20" s="97" t="n">
        <v>44531</v>
      </c>
      <c r="R20" s="230" t="s">
        <v>108</v>
      </c>
      <c r="S20" s="231"/>
      <c r="T20" s="74"/>
      <c r="U20" s="132"/>
      <c r="AL20" s="145"/>
      <c r="AM20" s="145"/>
      <c r="AN20" s="145"/>
      <c r="AO20" s="145"/>
      <c r="AP20" s="145"/>
      <c r="AQ20" s="145"/>
      <c r="AR20" s="145"/>
      <c r="AS20" s="145"/>
      <c r="AT20" s="145"/>
      <c r="AU20" s="145"/>
      <c r="AV20" s="145"/>
      <c r="AW20" s="145"/>
      <c r="AX20" s="145"/>
      <c r="AY20" s="145"/>
      <c r="AZ20" s="145"/>
      <c r="BA20" s="145"/>
      <c r="BB20" s="145"/>
      <c r="BC20" s="145"/>
      <c r="BE20" s="145"/>
      <c r="BF20" s="145"/>
      <c r="BG20" s="145"/>
      <c r="BH20" s="145"/>
      <c r="BI20" s="145"/>
      <c r="BK20" s="145"/>
      <c r="BL20" s="145"/>
    </row>
    <row r="21" s="311" customFormat="1" ht="15.6" customHeight="1">
      <c r="E21" s="88" t="s">
        <v>110</v>
      </c>
      <c r="F21" s="88" t="s">
        <v>111</v>
      </c>
      <c r="G21" s="88" t="s">
        <v>112</v>
      </c>
      <c r="H21" s="88" t="s">
        <v>113</v>
      </c>
      <c r="I21" s="88" t="s">
        <v>114</v>
      </c>
      <c r="J21" s="88" t="s">
        <v>115</v>
      </c>
      <c r="K21" s="88" t="s">
        <v>116</v>
      </c>
      <c r="L21" s="88" t="s">
        <v>117</v>
      </c>
      <c r="M21" s="88" t="s">
        <v>118</v>
      </c>
      <c r="N21" s="88" t="s">
        <v>119</v>
      </c>
      <c r="O21" s="88" t="s">
        <v>120</v>
      </c>
      <c r="P21" s="88" t="s">
        <v>121</v>
      </c>
      <c r="Q21" s="88" t="s">
        <v>122</v>
      </c>
      <c r="R21" s="232"/>
      <c r="S21" s="233"/>
      <c r="T21" s="74"/>
      <c r="U21" s="132"/>
      <c r="AL21" s="145"/>
      <c r="AM21" s="145"/>
      <c r="AN21" s="145"/>
      <c r="AO21" s="145"/>
      <c r="AP21" s="145"/>
      <c r="AQ21" s="145"/>
      <c r="AR21" s="145"/>
      <c r="AS21" s="145"/>
      <c r="AT21" s="145"/>
      <c r="AU21" s="145"/>
      <c r="AV21" s="145"/>
      <c r="AW21" s="145"/>
      <c r="AX21" s="145"/>
      <c r="AY21" s="145"/>
      <c r="AZ21" s="145"/>
      <c r="BA21" s="145"/>
      <c r="BB21" s="145"/>
      <c r="BC21" s="145"/>
      <c r="BE21" s="145"/>
      <c r="BF21" s="145"/>
      <c r="BG21" s="145"/>
      <c r="BH21" s="145"/>
      <c r="BI21" s="145"/>
      <c r="BK21" s="145"/>
      <c r="BL21" s="145"/>
    </row>
    <row r="22" ht="20.4" customHeight="1">
      <c r="E22" s="188" t="s">
        <v>123</v>
      </c>
      <c r="F22" s="189"/>
      <c r="G22" s="189"/>
      <c r="H22" s="189"/>
      <c r="I22" s="189"/>
      <c r="J22" s="189"/>
      <c r="K22" s="189"/>
      <c r="L22" s="189"/>
      <c r="M22" s="189"/>
      <c r="N22" s="189"/>
      <c r="O22" s="189"/>
      <c r="P22" s="189"/>
      <c r="Q22" s="189"/>
      <c r="R22" s="189"/>
      <c r="S22" s="190"/>
      <c r="U22" s="132"/>
    </row>
    <row r="23" ht="15.6" customHeight="1">
      <c r="A23" s="191" t="s">
        <v>124</v>
      </c>
      <c r="B23" s="192"/>
      <c r="C23" s="192"/>
      <c r="D23" s="192"/>
      <c r="E23" s="98" t="n">
        <f>R5</f>
        <v>7844.2</v>
      </c>
      <c r="F23" s="98" t="n">
        <f>R9</f>
        <v>29695.9</v>
      </c>
      <c r="G23" s="98" t="n">
        <f>R13</f>
        <v>59391.8</v>
      </c>
      <c r="H23" s="98"/>
      <c r="I23" s="98"/>
      <c r="J23" s="98"/>
      <c r="K23" s="112"/>
      <c r="L23" s="112"/>
      <c r="M23" s="98"/>
      <c r="N23" s="98"/>
      <c r="O23" s="98"/>
      <c r="P23" s="98"/>
      <c r="Q23" s="98"/>
      <c r="R23" s="193" t="n">
        <f>SUM(E23:Q23)</f>
        <v>96931.9</v>
      </c>
      <c r="S23" s="193"/>
      <c r="U23" s="132"/>
      <c r="V23" s="36"/>
    </row>
    <row r="24" ht="16.5" customHeight="1">
      <c r="A24" s="191" t="s">
        <v>125</v>
      </c>
      <c r="B24" s="192"/>
      <c r="C24" s="192"/>
      <c r="D24" s="192"/>
      <c r="E24" s="98" t="n">
        <f>T5</f>
        <v>2229.5</v>
      </c>
      <c r="F24" s="98" t="n">
        <f>T9</f>
        <v>8440.25</v>
      </c>
      <c r="G24" s="98" t="n">
        <f>T13</f>
        <v>16880.5</v>
      </c>
      <c r="H24" s="98"/>
      <c r="I24" s="98"/>
      <c r="J24" s="98"/>
      <c r="K24" s="112"/>
      <c r="L24" s="112"/>
      <c r="M24" s="98"/>
      <c r="N24" s="98"/>
      <c r="O24" s="98"/>
      <c r="P24" s="98"/>
      <c r="Q24" s="98"/>
      <c r="R24" s="193" t="n">
        <f>SUM(E24:Q24)</f>
        <v>27550.25</v>
      </c>
      <c r="S24" s="193"/>
      <c r="U24" s="132"/>
      <c r="V24" s="36"/>
    </row>
    <row r="25" ht="16.5" customHeight="1">
      <c r="A25" s="191" t="s">
        <v>126</v>
      </c>
      <c r="B25" s="192"/>
      <c r="C25" s="192"/>
      <c r="D25" s="192"/>
      <c r="E25" s="98" t="n">
        <f>V5</f>
        <v>8686.41</v>
      </c>
      <c r="F25" s="98" t="n">
        <f>V9</f>
        <v>20984.93</v>
      </c>
      <c r="G25" s="98" t="n">
        <f>V13</f>
        <v>37389.86</v>
      </c>
      <c r="H25" s="98"/>
      <c r="I25" s="98"/>
      <c r="J25" s="98"/>
      <c r="K25" s="112"/>
      <c r="L25" s="112"/>
      <c r="M25" s="98"/>
      <c r="N25" s="98"/>
      <c r="O25" s="98"/>
      <c r="P25" s="98"/>
      <c r="Q25" s="98"/>
      <c r="R25" s="193" t="n">
        <f>SUM(E25:Q25)</f>
        <v>67061.2</v>
      </c>
      <c r="S25" s="193"/>
      <c r="U25" s="132"/>
      <c r="V25" s="36"/>
    </row>
    <row r="26" ht="16.5" customHeight="1">
      <c r="A26" s="191" t="s">
        <v>127</v>
      </c>
      <c r="B26" s="192"/>
      <c r="C26" s="192"/>
      <c r="D26" s="192"/>
      <c r="E26" s="99" t="n">
        <f>Z5</f>
        <v>18760.11</v>
      </c>
      <c r="F26" s="99" t="n">
        <f>Z9</f>
        <v>59121.08</v>
      </c>
      <c r="G26" s="99" t="n">
        <f>Z13</f>
        <v>113662.16</v>
      </c>
      <c r="H26" s="99"/>
      <c r="I26" s="99"/>
      <c r="J26" s="99"/>
      <c r="K26" s="113"/>
      <c r="L26" s="113"/>
      <c r="M26" s="113"/>
      <c r="N26" s="113"/>
      <c r="O26" s="113"/>
      <c r="P26" s="113"/>
      <c r="Q26" s="113"/>
      <c r="R26" s="194" t="n">
        <f>SUM(E26:Q26)</f>
        <v>191543.35</v>
      </c>
      <c r="S26" s="194"/>
      <c r="U26" s="132"/>
      <c r="V26" s="36"/>
    </row>
    <row r="27" ht="16.5" customHeight="1">
      <c r="A27" s="191" t="s">
        <v>128</v>
      </c>
      <c r="B27" s="192"/>
      <c r="C27" s="192"/>
      <c r="D27" s="192"/>
      <c r="E27" s="99" t="n">
        <f>X5</f>
        <v>12051.975</v>
      </c>
      <c r="F27" s="99" t="n">
        <f>X9</f>
        <v>58020.3</v>
      </c>
      <c r="G27" s="99" t="n">
        <f>X13</f>
        <v>125920.6</v>
      </c>
      <c r="H27" s="99"/>
      <c r="I27" s="99"/>
      <c r="J27" s="99"/>
      <c r="K27" s="113"/>
      <c r="L27" s="113"/>
      <c r="M27" s="113"/>
      <c r="N27" s="113"/>
      <c r="O27" s="113"/>
      <c r="P27" s="113"/>
      <c r="Q27" s="113"/>
      <c r="R27" s="194" t="n">
        <f>SUM(E27:Q27)</f>
        <v>195992.875</v>
      </c>
      <c r="S27" s="194"/>
      <c r="U27" s="132"/>
      <c r="V27" s="36"/>
    </row>
    <row r="28" ht="16.5" customHeight="1">
      <c r="A28" s="191" t="s">
        <v>129</v>
      </c>
      <c r="B28" s="192"/>
      <c r="C28" s="192"/>
      <c r="D28" s="192"/>
      <c r="E28" s="100" t="n">
        <f>AB5</f>
        <v>0.642425604114262</v>
      </c>
      <c r="F28" s="100" t="n">
        <f>AB9</f>
        <v>0.981380921999395</v>
      </c>
      <c r="G28" s="100" t="n">
        <f>AB13</f>
        <v>1.10784978923505</v>
      </c>
      <c r="H28" s="100"/>
      <c r="I28" s="100"/>
      <c r="J28" s="100"/>
      <c r="K28" s="114"/>
      <c r="L28" s="114"/>
      <c r="M28" s="100"/>
      <c r="N28" s="100"/>
      <c r="O28" s="100"/>
      <c r="P28" s="100"/>
      <c r="Q28" s="100"/>
      <c r="R28" s="195"/>
      <c r="S28" s="195"/>
      <c r="U28" s="132"/>
      <c r="V28" s="36"/>
    </row>
    <row r="29" ht="16.5" customHeight="1">
      <c r="A29" s="191" t="s">
        <v>130</v>
      </c>
      <c r="B29" s="192"/>
      <c r="C29" s="192"/>
      <c r="D29" s="192"/>
      <c r="E29" s="98" t="n">
        <f>E27-E26</f>
        <v>-6708.135</v>
      </c>
      <c r="F29" s="98" t="n">
        <f>F27-F26</f>
        <v>-1100.78</v>
      </c>
      <c r="G29" s="98" t="n">
        <f>G27-G26</f>
        <v>12258.44</v>
      </c>
      <c r="H29" s="98" t="n">
        <f>H27-H26</f>
        <v>0</v>
      </c>
      <c r="I29" s="98" t="n">
        <f>I27-I26</f>
        <v>0</v>
      </c>
      <c r="J29" s="98" t="n">
        <f>J27-J26</f>
        <v>0</v>
      </c>
      <c r="K29" s="98" t="n">
        <f>K27-K26</f>
        <v>0</v>
      </c>
      <c r="L29" s="98" t="n">
        <f>L27-L26</f>
        <v>0</v>
      </c>
      <c r="M29" s="98" t="n">
        <f>M27-M26</f>
        <v>0</v>
      </c>
      <c r="N29" s="98" t="n">
        <f>N27-N26</f>
        <v>0</v>
      </c>
      <c r="O29" s="98" t="n">
        <f>O27-O26</f>
        <v>0</v>
      </c>
      <c r="P29" s="98" t="n">
        <f>P27-P26</f>
        <v>0</v>
      </c>
      <c r="Q29" s="98" t="n">
        <f>Q27-Q26</f>
        <v>0</v>
      </c>
      <c r="R29" s="196" t="n">
        <f>R27-R26</f>
        <v>4449.52499999999</v>
      </c>
      <c r="S29" s="196"/>
      <c r="U29" s="132"/>
      <c r="V29" s="36"/>
    </row>
    <row r="30" ht="16.5" customHeight="1">
      <c r="A30" s="191" t="s">
        <v>131</v>
      </c>
      <c r="B30" s="192"/>
      <c r="C30" s="192"/>
      <c r="D30" s="192"/>
      <c r="E30" s="100" t="n">
        <f>E29/E26</f>
        <v>-0.357574395885738</v>
      </c>
      <c r="F30" s="100" t="n">
        <f>F29/F26</f>
        <v>-0.0186190780006049</v>
      </c>
      <c r="G30" s="100" t="n">
        <f>G29/G26</f>
        <v>0.107849789235045</v>
      </c>
      <c r="H30" s="100" t="e">
        <f>H29/H26</f>
        <v>#DIV/0!</v>
      </c>
      <c r="I30" s="100" t="e">
        <f>I29/I26</f>
        <v>#DIV/0!</v>
      </c>
      <c r="J30" s="100" t="e">
        <f>J29/J26</f>
        <v>#DIV/0!</v>
      </c>
      <c r="K30" s="100" t="e">
        <f>K29/K26</f>
        <v>#DIV/0!</v>
      </c>
      <c r="L30" s="100" t="e">
        <f>L29/L26</f>
        <v>#DIV/0!</v>
      </c>
      <c r="M30" s="100" t="e">
        <f>M29/M26</f>
        <v>#DIV/0!</v>
      </c>
      <c r="N30" s="100" t="e">
        <f>N29/N26</f>
        <v>#DIV/0!</v>
      </c>
      <c r="O30" s="100" t="e">
        <f>O29/O26</f>
        <v>#DIV/0!</v>
      </c>
      <c r="P30" s="100" t="e">
        <f>P29/P26</f>
        <v>#DIV/0!</v>
      </c>
      <c r="Q30" s="326" t="e">
        <f>Q29/Q26</f>
        <v>#DIV/0!</v>
      </c>
      <c r="R30" s="197" t="n">
        <f>R29/R26</f>
        <v>0.0232298589327167</v>
      </c>
      <c r="S30" s="197"/>
      <c r="U30" s="132"/>
      <c r="V30" s="36"/>
    </row>
    <row r="31" ht="15" customHeight="1">
      <c r="E31" s="198"/>
      <c r="F31" s="199"/>
      <c r="G31" s="199"/>
      <c r="H31" s="199"/>
      <c r="I31" s="199"/>
      <c r="J31" s="199"/>
      <c r="K31" s="199"/>
      <c r="L31" s="199"/>
      <c r="M31" s="199"/>
      <c r="N31" s="199"/>
      <c r="O31" s="199"/>
      <c r="P31" s="199"/>
      <c r="Q31" s="199"/>
      <c r="R31" s="199"/>
      <c r="S31" s="200"/>
      <c r="U31" s="132"/>
    </row>
    <row r="32" ht="20.4" customHeight="1">
      <c r="E32" s="188" t="s">
        <v>132</v>
      </c>
      <c r="F32" s="189"/>
      <c r="G32" s="189"/>
      <c r="H32" s="189"/>
      <c r="I32" s="189"/>
      <c r="J32" s="189"/>
      <c r="K32" s="189"/>
      <c r="L32" s="189"/>
      <c r="M32" s="189"/>
      <c r="N32" s="189"/>
      <c r="O32" s="189"/>
      <c r="P32" s="189"/>
      <c r="Q32" s="189"/>
      <c r="R32" s="189"/>
      <c r="S32" s="190"/>
      <c r="U32" s="132"/>
    </row>
    <row r="33" ht="15.6" customHeight="1">
      <c r="E33" s="97" t="n">
        <v>44166</v>
      </c>
      <c r="F33" s="97" t="n">
        <v>44197</v>
      </c>
      <c r="G33" s="97" t="n">
        <v>44228</v>
      </c>
      <c r="H33" s="97" t="n">
        <v>44256</v>
      </c>
      <c r="I33" s="97" t="n">
        <v>44287</v>
      </c>
      <c r="J33" s="97" t="n">
        <v>44317</v>
      </c>
      <c r="K33" s="97" t="n">
        <v>44348</v>
      </c>
      <c r="L33" s="97" t="n">
        <v>44378</v>
      </c>
      <c r="M33" s="97" t="n">
        <v>44409</v>
      </c>
      <c r="N33" s="97" t="n">
        <v>44440</v>
      </c>
      <c r="O33" s="97" t="n">
        <v>44470</v>
      </c>
      <c r="P33" s="97" t="n">
        <v>44501</v>
      </c>
      <c r="Q33" s="97" t="n">
        <v>44531</v>
      </c>
      <c r="R33" s="230" t="s">
        <v>108</v>
      </c>
      <c r="S33" s="231"/>
      <c r="U33" s="132"/>
    </row>
    <row r="34" ht="15.6" customHeight="1">
      <c r="A34" s="191"/>
      <c r="B34" s="192"/>
      <c r="C34" s="192"/>
      <c r="D34" s="192"/>
      <c r="E34" s="88" t="s">
        <v>110</v>
      </c>
      <c r="F34" s="88" t="s">
        <v>111</v>
      </c>
      <c r="G34" s="88" t="s">
        <v>112</v>
      </c>
      <c r="H34" s="88" t="s">
        <v>113</v>
      </c>
      <c r="I34" s="88" t="s">
        <v>114</v>
      </c>
      <c r="J34" s="88" t="s">
        <v>115</v>
      </c>
      <c r="K34" s="88" t="s">
        <v>116</v>
      </c>
      <c r="L34" s="88" t="s">
        <v>117</v>
      </c>
      <c r="M34" s="88" t="s">
        <v>118</v>
      </c>
      <c r="N34" s="88" t="s">
        <v>119</v>
      </c>
      <c r="O34" s="88" t="s">
        <v>120</v>
      </c>
      <c r="P34" s="88" t="s">
        <v>121</v>
      </c>
      <c r="Q34" s="88" t="s">
        <v>122</v>
      </c>
      <c r="R34" s="232"/>
      <c r="S34" s="233"/>
      <c r="U34" s="132"/>
    </row>
    <row r="35" ht="15.6" customHeight="1">
      <c r="A35" s="191" t="s">
        <v>133</v>
      </c>
      <c r="B35" s="192"/>
      <c r="C35" s="192"/>
      <c r="D35" s="192"/>
      <c r="E35" s="101" t="n">
        <f>S5</f>
        <v>0</v>
      </c>
      <c r="F35" s="98" t="n">
        <f>S9</f>
        <v>0</v>
      </c>
      <c r="G35" s="98" t="n">
        <f>S13</f>
        <v>0</v>
      </c>
      <c r="H35" s="98"/>
      <c r="I35" s="98"/>
      <c r="J35" s="98"/>
      <c r="K35" s="112"/>
      <c r="L35" s="112"/>
      <c r="M35" s="98"/>
      <c r="N35" s="98"/>
      <c r="O35" s="98"/>
      <c r="P35" s="98"/>
      <c r="Q35" s="98"/>
      <c r="R35" s="201" t="n">
        <f>SUM(L35:Q35)</f>
        <v>0</v>
      </c>
      <c r="S35" s="201"/>
      <c r="U35" s="132"/>
    </row>
    <row r="36" ht="15.6" customHeight="1">
      <c r="A36" s="191" t="s">
        <v>134</v>
      </c>
      <c r="B36" s="192"/>
      <c r="C36" s="192"/>
      <c r="D36" s="192"/>
      <c r="E36" s="101" t="n">
        <f>U5</f>
        <v>0</v>
      </c>
      <c r="F36" s="98" t="n">
        <f>U9</f>
        <v>0</v>
      </c>
      <c r="G36" s="98" t="n">
        <f>U13</f>
        <v>0</v>
      </c>
      <c r="H36" s="98"/>
      <c r="I36" s="98"/>
      <c r="J36" s="98"/>
      <c r="K36" s="112"/>
      <c r="L36" s="112"/>
      <c r="M36" s="98"/>
      <c r="N36" s="98"/>
      <c r="O36" s="98"/>
      <c r="P36" s="98"/>
      <c r="Q36" s="98"/>
      <c r="R36" s="201" t="n">
        <f>SUM(L36:Q36)</f>
        <v>0</v>
      </c>
      <c r="S36" s="201"/>
      <c r="U36" s="132"/>
    </row>
    <row r="37" ht="15.6" customHeight="1">
      <c r="A37" s="191" t="s">
        <v>135</v>
      </c>
      <c r="B37" s="192"/>
      <c r="C37" s="192"/>
      <c r="D37" s="192"/>
      <c r="E37" s="101" t="n">
        <f>W5</f>
        <v>0</v>
      </c>
      <c r="F37" s="98" t="n">
        <f>W9</f>
        <v>0</v>
      </c>
      <c r="G37" s="98" t="n">
        <f>W13</f>
        <v>0</v>
      </c>
      <c r="H37" s="98"/>
      <c r="I37" s="98"/>
      <c r="J37" s="98"/>
      <c r="K37" s="112"/>
      <c r="L37" s="112"/>
      <c r="M37" s="98"/>
      <c r="N37" s="98"/>
      <c r="O37" s="98"/>
      <c r="P37" s="98"/>
      <c r="Q37" s="98"/>
      <c r="R37" s="201" t="n">
        <f>SUM(L37:Q37)</f>
        <v>0</v>
      </c>
      <c r="S37" s="201"/>
      <c r="U37" s="132"/>
    </row>
    <row r="38" ht="15.6" customHeight="1">
      <c r="A38" s="191" t="s">
        <v>136</v>
      </c>
      <c r="B38" s="192"/>
      <c r="C38" s="192"/>
      <c r="D38" s="192"/>
      <c r="E38" s="102" t="n">
        <f>AA5</f>
        <v>0</v>
      </c>
      <c r="F38" s="99" t="n">
        <f>AA9</f>
        <v>0</v>
      </c>
      <c r="G38" s="99" t="n">
        <f>AA13</f>
        <v>0</v>
      </c>
      <c r="H38" s="99"/>
      <c r="I38" s="99"/>
      <c r="J38" s="99"/>
      <c r="K38" s="113"/>
      <c r="L38" s="113"/>
      <c r="M38" s="113"/>
      <c r="N38" s="113"/>
      <c r="O38" s="113"/>
      <c r="P38" s="113"/>
      <c r="Q38" s="113"/>
      <c r="R38" s="202" t="n">
        <f>SUM(L38:Q38)</f>
        <v>0</v>
      </c>
      <c r="S38" s="202"/>
      <c r="U38" s="132"/>
    </row>
    <row r="39" ht="15.6" customHeight="1">
      <c r="A39" s="191" t="s">
        <v>137</v>
      </c>
      <c r="B39" s="192"/>
      <c r="C39" s="192"/>
      <c r="D39" s="192"/>
      <c r="E39" s="102" t="n">
        <f>Y5</f>
        <v>0</v>
      </c>
      <c r="F39" s="99" t="n">
        <f>Y9</f>
        <v>0</v>
      </c>
      <c r="G39" s="99" t="n">
        <f>Y13</f>
        <v>0</v>
      </c>
      <c r="H39" s="99"/>
      <c r="I39" s="99"/>
      <c r="J39" s="99"/>
      <c r="K39" s="113"/>
      <c r="L39" s="113"/>
      <c r="M39" s="113"/>
      <c r="N39" s="113"/>
      <c r="O39" s="113"/>
      <c r="P39" s="113"/>
      <c r="Q39" s="113"/>
      <c r="R39" s="202" t="n">
        <f>SUM(L39:Q39)</f>
        <v>0</v>
      </c>
      <c r="S39" s="202"/>
      <c r="U39" s="132"/>
    </row>
    <row r="40" ht="15.6" customHeight="1">
      <c r="A40" s="191" t="s">
        <v>138</v>
      </c>
      <c r="B40" s="192"/>
      <c r="C40" s="192"/>
      <c r="D40" s="192"/>
      <c r="E40" s="103" t="e">
        <f>AC5</f>
        <v>#DIV/0!</v>
      </c>
      <c r="F40" s="100" t="e">
        <f>AC9</f>
        <v>#DIV/0!</v>
      </c>
      <c r="G40" s="100" t="e">
        <f>AC13</f>
        <v>#DIV/0!</v>
      </c>
      <c r="H40" s="100"/>
      <c r="I40" s="100"/>
      <c r="J40" s="100"/>
      <c r="K40" s="115"/>
      <c r="L40" s="115"/>
      <c r="M40" s="100"/>
      <c r="N40" s="100"/>
      <c r="O40" s="100"/>
      <c r="P40" s="100"/>
      <c r="Q40" s="100"/>
      <c r="R40" s="203"/>
      <c r="S40" s="203"/>
      <c r="U40" s="132"/>
    </row>
    <row r="41" ht="15.6" customHeight="1">
      <c r="A41" s="191" t="s">
        <v>139</v>
      </c>
      <c r="B41" s="192"/>
      <c r="C41" s="192"/>
      <c r="D41" s="192"/>
      <c r="E41" s="98" t="n">
        <f>E39-E38</f>
        <v>0</v>
      </c>
      <c r="F41" s="98" t="n">
        <f>F39-F38</f>
        <v>0</v>
      </c>
      <c r="G41" s="98" t="n">
        <f>G39-G38</f>
        <v>0</v>
      </c>
      <c r="H41" s="98" t="n">
        <f>H39-H38</f>
        <v>0</v>
      </c>
      <c r="I41" s="98" t="n">
        <f>I39-I38</f>
        <v>0</v>
      </c>
      <c r="J41" s="98" t="n">
        <f>J39-J38</f>
        <v>0</v>
      </c>
      <c r="K41" s="98" t="n">
        <f>K39-K38</f>
        <v>0</v>
      </c>
      <c r="L41" s="98" t="n">
        <f>L39-L38</f>
        <v>0</v>
      </c>
      <c r="M41" s="98" t="n">
        <f>M39-M38</f>
        <v>0</v>
      </c>
      <c r="N41" s="98" t="n">
        <f>N39-N38</f>
        <v>0</v>
      </c>
      <c r="O41" s="98" t="n">
        <f>O39-O38</f>
        <v>0</v>
      </c>
      <c r="P41" s="98" t="n">
        <f>P39-P38</f>
        <v>0</v>
      </c>
      <c r="Q41" s="98" t="n">
        <f>Q39-Q38</f>
        <v>0</v>
      </c>
      <c r="R41" s="196" t="n">
        <f>R39-R38</f>
        <v>0</v>
      </c>
      <c r="S41" s="196"/>
      <c r="U41" s="132"/>
    </row>
    <row r="42" ht="19.8" customHeight="1">
      <c r="A42" s="191" t="s">
        <v>140</v>
      </c>
      <c r="B42" s="192"/>
      <c r="C42" s="192"/>
      <c r="D42" s="192"/>
      <c r="E42" s="100" t="e">
        <f>E41/E38</f>
        <v>#DIV/0!</v>
      </c>
      <c r="F42" s="100" t="e">
        <f>F41/F38</f>
        <v>#DIV/0!</v>
      </c>
      <c r="G42" s="100" t="e">
        <f>G41/G38</f>
        <v>#DIV/0!</v>
      </c>
      <c r="H42" s="100" t="e">
        <f>H41/H38</f>
        <v>#DIV/0!</v>
      </c>
      <c r="I42" s="100" t="e">
        <f>I41/I38</f>
        <v>#DIV/0!</v>
      </c>
      <c r="J42" s="100" t="e">
        <f>J41/J38</f>
        <v>#DIV/0!</v>
      </c>
      <c r="K42" s="100" t="e">
        <f>K41/K38</f>
        <v>#DIV/0!</v>
      </c>
      <c r="L42" s="100" t="e">
        <f>L41/L38</f>
        <v>#DIV/0!</v>
      </c>
      <c r="M42" s="100" t="e">
        <f>M41/M38</f>
        <v>#DIV/0!</v>
      </c>
      <c r="N42" s="100" t="e">
        <f>N41/N38</f>
        <v>#DIV/0!</v>
      </c>
      <c r="O42" s="100" t="e">
        <f>O41/O38</f>
        <v>#DIV/0!</v>
      </c>
      <c r="P42" s="100" t="e">
        <f>P41/P38</f>
        <v>#DIV/0!</v>
      </c>
      <c r="Q42" s="100" t="e">
        <f>Q41/Q38</f>
        <v>#DIV/0!</v>
      </c>
      <c r="R42" s="197" t="e">
        <f>R41/R38</f>
        <v>#DIV/0!</v>
      </c>
      <c r="S42" s="197"/>
      <c r="U42" s="132"/>
    </row>
    <row r="43" ht="15" customHeight="1">
      <c r="U43" s="132"/>
    </row>
  </sheetData>
  <sheetProtection insertHyperlinks="0" autoFilter="0"/>
  <mergeCells count="100">
    <mergeCell ref="T9:T12"/>
    <mergeCell ref="AD5:AD8"/>
    <mergeCell ref="X13:X16"/>
    <mergeCell ref="AA13:AA16"/>
    <mergeCell ref="C1:D3"/>
    <mergeCell ref="R5:R8"/>
    <mergeCell ref="AC5:AC8"/>
    <mergeCell ref="W13:W16"/>
    <mergeCell ref="X5:X8"/>
    <mergeCell ref="V13:V16"/>
    <mergeCell ref="Z5:Z8"/>
    <mergeCell ref="A37:D37"/>
    <mergeCell ref="Y9:Y12"/>
    <mergeCell ref="A34:D34"/>
    <mergeCell ref="Z13:Z16"/>
    <mergeCell ref="Z9:Z12"/>
    <mergeCell ref="AF9:AF12"/>
    <mergeCell ref="AF5:AF8"/>
    <mergeCell ref="A28:D28"/>
    <mergeCell ref="T13:T16"/>
    <mergeCell ref="V5:V8"/>
    <mergeCell ref="A25:D25"/>
    <mergeCell ref="AC13:AC16"/>
    <mergeCell ref="R36:S36"/>
    <mergeCell ref="Y13:Y16"/>
    <mergeCell ref="Y5:Y8"/>
    <mergeCell ref="V9:V12"/>
    <mergeCell ref="AD13:AD16"/>
    <mergeCell ref="AF13:AF16"/>
    <mergeCell ref="R37:S37"/>
    <mergeCell ref="AG9:AG12"/>
    <mergeCell ref="A40:D40"/>
    <mergeCell ref="E1:E3"/>
    <mergeCell ref="W9:W12"/>
    <mergeCell ref="A3:B3"/>
    <mergeCell ref="A35:D35"/>
    <mergeCell ref="A26:D26"/>
    <mergeCell ref="R26:S26"/>
    <mergeCell ref="R28:S28"/>
    <mergeCell ref="A23:D23"/>
    <mergeCell ref="E31:S31"/>
    <mergeCell ref="R9:R12"/>
    <mergeCell ref="R33:S34"/>
    <mergeCell ref="AE9:AE12"/>
    <mergeCell ref="E19:S19"/>
    <mergeCell ref="R41:S41"/>
    <mergeCell ref="A1:B1"/>
    <mergeCell ref="S13:S16"/>
    <mergeCell ref="AA5:AA8"/>
    <mergeCell ref="F1:G1"/>
    <mergeCell ref="A27:D27"/>
    <mergeCell ref="S5:S8"/>
    <mergeCell ref="A36:D36"/>
    <mergeCell ref="F3:N3"/>
    <mergeCell ref="A42:D42"/>
    <mergeCell ref="AC9:AC12"/>
    <mergeCell ref="X9:X12"/>
    <mergeCell ref="A38:D38"/>
    <mergeCell ref="R29:S29"/>
    <mergeCell ref="R23:S23"/>
    <mergeCell ref="S9:S12"/>
    <mergeCell ref="AG5:AG8"/>
    <mergeCell ref="AB9:AB12"/>
    <mergeCell ref="W5:W8"/>
    <mergeCell ref="AA3:AD3"/>
    <mergeCell ref="A9:A12"/>
    <mergeCell ref="R39:S39"/>
    <mergeCell ref="R30:S30"/>
    <mergeCell ref="A2:B2"/>
    <mergeCell ref="R20:S21"/>
    <mergeCell ref="F2:G2"/>
    <mergeCell ref="R13:R16"/>
    <mergeCell ref="R42:S42"/>
    <mergeCell ref="E22:S22"/>
    <mergeCell ref="R38:S38"/>
    <mergeCell ref="A5:A8"/>
    <mergeCell ref="AB5:AB8"/>
    <mergeCell ref="A24:D24"/>
    <mergeCell ref="AE13:AE16"/>
    <mergeCell ref="A29:D29"/>
    <mergeCell ref="AB13:AB16"/>
    <mergeCell ref="R24:S24"/>
    <mergeCell ref="R27:S27"/>
    <mergeCell ref="R40:S40"/>
    <mergeCell ref="AD9:AD12"/>
    <mergeCell ref="A30:D30"/>
    <mergeCell ref="A41:D41"/>
    <mergeCell ref="O3:Z3"/>
    <mergeCell ref="E32:S32"/>
    <mergeCell ref="R25:S25"/>
    <mergeCell ref="U5:U8"/>
    <mergeCell ref="AA9:AA12"/>
    <mergeCell ref="A39:D39"/>
    <mergeCell ref="T5:T8"/>
    <mergeCell ref="Q5:Q16"/>
    <mergeCell ref="AE5:AE8"/>
    <mergeCell ref="U13:U16"/>
    <mergeCell ref="U9:U12"/>
    <mergeCell ref="A13:A16"/>
    <mergeCell ref="R35:S35"/>
  </mergeCells>
  <phoneticPr fontId="1" type="noConversion"/>
  <conditionalFormatting sqref="Z2 AV4 AV5:BG5 AV17:BL17 BI5:BI16 AV6:AV9 AV14 AV16 AX4 BB4 AW6:BG16 AZ4 BD4:BI4 AV31:BI200 AV18:BI19 AV21:BI21 AV23:BI28">
    <cfRule priority="39" type="cellIs" operator="greaterThan" dxfId="0">
      <formula>#REF!</formula>
    </cfRule>
  </conditionalFormatting>
  <conditionalFormatting sqref="AV15">
    <cfRule priority="12" type="cellIs" operator="greaterThan" dxfId="1" stopIfTrue="1">
      <formula>#REF!</formula>
    </cfRule>
  </conditionalFormatting>
  <conditionalFormatting sqref="AV11">
    <cfRule priority="24" type="cellIs" operator="greaterThan" dxfId="1" stopIfTrue="1">
      <formula>#REF!</formula>
    </cfRule>
  </conditionalFormatting>
  <conditionalFormatting sqref="BH7">
    <cfRule priority="29" type="cellIs" operator="greaterThan" dxfId="0">
      <formula>#REF!</formula>
    </cfRule>
  </conditionalFormatting>
  <conditionalFormatting sqref="BH10">
    <cfRule priority="28" type="cellIs" operator="greaterThan" dxfId="1" stopIfTrue="1">
      <formula>#REF!</formula>
    </cfRule>
  </conditionalFormatting>
  <conditionalFormatting sqref="AA2">
    <cfRule priority="38" type="cellIs" operator="greaterThan" dxfId="1" stopIfTrue="1">
      <formula>#REF!</formula>
    </cfRule>
  </conditionalFormatting>
  <conditionalFormatting sqref="AV13">
    <cfRule priority="13" type="cellIs" operator="greaterThan" dxfId="0">
      <formula>#REF!</formula>
    </cfRule>
  </conditionalFormatting>
  <conditionalFormatting sqref="BH5:BH6 BH8:BH9 BH11:BH12 BH14:BH16">
    <cfRule priority="31" type="cellIs" operator="greaterThan" dxfId="0">
      <formula>#REF!</formula>
    </cfRule>
  </conditionalFormatting>
  <conditionalFormatting sqref="AV29:BI29">
    <cfRule priority="7" type="cellIs" operator="greaterThan" dxfId="0">
      <formula>#REF!</formula>
    </cfRule>
  </conditionalFormatting>
  <conditionalFormatting sqref="AV11">
    <cfRule priority="23" type="cellIs" operator="greaterThan" dxfId="0">
      <formula>#REF!</formula>
    </cfRule>
  </conditionalFormatting>
  <conditionalFormatting sqref="AV10">
    <cfRule priority="20" type="cellIs" operator="greaterThan" dxfId="1" stopIfTrue="1">
      <formula>#REF!</formula>
    </cfRule>
  </conditionalFormatting>
  <conditionalFormatting sqref="AV22:BI22">
    <cfRule priority="2" type="cellIs" operator="greaterThan" dxfId="1" stopIfTrue="1">
      <formula>#REF!</formula>
    </cfRule>
  </conditionalFormatting>
  <conditionalFormatting sqref="AV29:BI29">
    <cfRule priority="8" type="cellIs" operator="greaterThan" dxfId="1" stopIfTrue="1">
      <formula>#REF!</formula>
    </cfRule>
  </conditionalFormatting>
  <conditionalFormatting sqref="BH5:BH6 BH8:BH9 BH11:BH12 BH14:BH16">
    <cfRule priority="32" type="cellIs" operator="greaterThan" dxfId="1" stopIfTrue="1">
      <formula>#REF!</formula>
    </cfRule>
  </conditionalFormatting>
  <conditionalFormatting sqref="AB2:AD2">
    <cfRule priority="36" type="cellIs" operator="greaterThan" dxfId="1" stopIfTrue="1">
      <formula>#REF!</formula>
    </cfRule>
  </conditionalFormatting>
  <conditionalFormatting sqref="AV30:BI30">
    <cfRule priority="5" type="cellIs" operator="greaterThan" dxfId="0">
      <formula>#REF!</formula>
    </cfRule>
  </conditionalFormatting>
  <conditionalFormatting sqref="AV22:BI22">
    <cfRule priority="1" type="cellIs" operator="greaterThan" dxfId="0">
      <formula>#REF!</formula>
    </cfRule>
  </conditionalFormatting>
  <conditionalFormatting sqref="AA2:AD2">
    <cfRule priority="37" type="cellIs" operator="greaterThan" dxfId="0">
      <formula>#REF!</formula>
    </cfRule>
  </conditionalFormatting>
  <conditionalFormatting sqref="BH13">
    <cfRule priority="26" type="cellIs" operator="greaterThan" dxfId="1" stopIfTrue="1">
      <formula>#REF!</formula>
    </cfRule>
  </conditionalFormatting>
  <conditionalFormatting sqref="AV15">
    <cfRule priority="11" type="cellIs" operator="greaterThan" dxfId="0">
      <formula>#REF!</formula>
    </cfRule>
  </conditionalFormatting>
  <conditionalFormatting sqref="Z2 AV4 AV5:BG5 AV17:BL17 BI5:BI16 AV6:AV9 AV14 AV16 AX4 BB4 AW6:BG16 AZ4 BD4:BI4 AV31:BI200 AV18:BI19 AV21:BI21 AV23:BI28">
    <cfRule priority="51" type="cellIs" operator="greaterThan" dxfId="1" stopIfTrue="1">
      <formula>#REF!</formula>
    </cfRule>
  </conditionalFormatting>
  <conditionalFormatting sqref="AV13">
    <cfRule priority="14" type="cellIs" operator="greaterThan" dxfId="1" stopIfTrue="1">
      <formula>#REF!</formula>
    </cfRule>
  </conditionalFormatting>
  <conditionalFormatting sqref="BH7">
    <cfRule priority="30" type="cellIs" operator="greaterThan" dxfId="1" stopIfTrue="1">
      <formula>#REF!</formula>
    </cfRule>
  </conditionalFormatting>
  <conditionalFormatting sqref="AV30:BI30">
    <cfRule priority="6" type="cellIs" operator="greaterThan" dxfId="1" stopIfTrue="1">
      <formula>#REF!</formula>
    </cfRule>
  </conditionalFormatting>
  <conditionalFormatting sqref="AV12">
    <cfRule priority="15" type="cellIs" operator="greaterThan" dxfId="0">
      <formula>#REF!</formula>
    </cfRule>
  </conditionalFormatting>
  <conditionalFormatting sqref="BH13">
    <cfRule priority="25" type="cellIs" operator="greaterThan" dxfId="0">
      <formula>#REF!</formula>
    </cfRule>
  </conditionalFormatting>
  <conditionalFormatting sqref="AV20:BI20">
    <cfRule priority="3" type="cellIs" operator="greaterThan" dxfId="0">
      <formula>#REF!</formula>
    </cfRule>
  </conditionalFormatting>
  <conditionalFormatting sqref="AV10">
    <cfRule priority="19" type="cellIs" operator="greaterThan" dxfId="0">
      <formula>#REF!</formula>
    </cfRule>
  </conditionalFormatting>
  <conditionalFormatting sqref="AV20:BI20">
    <cfRule priority="4" type="cellIs" operator="greaterThan" dxfId="1" stopIfTrue="1">
      <formula>#REF!</formula>
    </cfRule>
  </conditionalFormatting>
  <conditionalFormatting sqref="BH10">
    <cfRule priority="27" type="cellIs" operator="greaterThan" dxfId="0">
      <formula>#REF!</formula>
    </cfRule>
  </conditionalFormatting>
  <conditionalFormatting sqref="AV12">
    <cfRule priority="16" type="cellIs" operator="greaterThan" dxfId="1" stopIfTrue="1">
      <formula>#REF!</formula>
    </cfRule>
  </conditionalFormatting>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0000"/>
    <outlinePr summaryBelow="0" summaryRight="0"/>
  </sheetPr>
  <dimension ref="A1"/>
  <sheetViews>
    <sheetView workbookViewId="0">
      <pane topLeftCell="C2" activePane="bottomRight" state="frozen" xSplit="2" ySplit="1"/>
    </sheetView>
  </sheetViews>
  <sheetFormatPr baseColWidth="10" defaultColWidth="9" defaultRowHeight="15" customHeight="1"/>
  <cols>
    <col min="1" max="1" width="9" style="64"/>
    <col min="2" max="2" width="27" customWidth="1" style="64"/>
    <col min="3" max="10" width="9" style="64"/>
    <col min="11" max="12" width="11.1650390625" customWidth="1" style="64"/>
    <col min="13" max="13" width="15.1640625" customWidth="1" style="64"/>
    <col min="14" max="14" width="31.166015625" customWidth="1" style="64"/>
    <col min="15" max="40" width="9" style="45"/>
  </cols>
  <sheetData>
    <row r="1" s="62" customFormat="1" ht="15.6" customHeight="1">
      <c r="A1" s="65" t="s">
        <v>141</v>
      </c>
      <c r="B1" s="66" t="s">
        <v>142</v>
      </c>
      <c r="C1" s="66" t="s">
        <v>143</v>
      </c>
      <c r="D1" s="66" t="s">
        <v>144</v>
      </c>
      <c r="E1" s="66" t="s">
        <v>145</v>
      </c>
      <c r="F1" s="66" t="s">
        <v>146</v>
      </c>
      <c r="G1" s="66" t="s">
        <v>147</v>
      </c>
      <c r="H1" s="66" t="s">
        <v>148</v>
      </c>
      <c r="I1" s="66" t="s">
        <v>149</v>
      </c>
      <c r="J1" s="66" t="s">
        <v>150</v>
      </c>
      <c r="K1" s="66" t="s">
        <v>151</v>
      </c>
      <c r="L1" s="66" t="s">
        <v>152</v>
      </c>
      <c r="M1" s="66" t="s">
        <v>153</v>
      </c>
      <c r="N1" s="66" t="s">
        <v>154</v>
      </c>
    </row>
    <row r="2" s="63" customFormat="1" ht="15" customHeight="1">
      <c r="A2" s="305" t="s">
        <v>155</v>
      </c>
      <c r="B2" s="52"/>
      <c r="C2" s="53"/>
      <c r="D2" s="53"/>
      <c r="E2" s="53"/>
      <c r="F2" s="53"/>
      <c r="G2" s="53"/>
      <c r="H2" s="53"/>
      <c r="I2" s="53"/>
      <c r="J2" s="53"/>
      <c r="K2" s="53"/>
      <c r="L2" s="53"/>
      <c r="M2" s="53"/>
      <c r="N2" s="52"/>
    </row>
    <row r="3" s="63" customFormat="1" ht="15" customHeight="1">
      <c r="A3" s="305" t="s">
        <v>156</v>
      </c>
      <c r="B3" s="52"/>
      <c r="C3" s="53"/>
      <c r="D3" s="53"/>
      <c r="E3" s="53"/>
      <c r="F3" s="53"/>
      <c r="G3" s="53"/>
      <c r="H3" s="53"/>
      <c r="I3" s="53"/>
      <c r="J3" s="53"/>
      <c r="K3" s="53"/>
      <c r="L3" s="53"/>
      <c r="M3" s="53"/>
      <c r="N3" s="52"/>
    </row>
    <row r="4" s="63" customFormat="1" ht="15" customHeight="1">
      <c r="A4" s="305" t="s">
        <v>157</v>
      </c>
      <c r="B4" s="52"/>
      <c r="C4" s="53"/>
      <c r="D4" s="53"/>
      <c r="E4" s="53"/>
      <c r="F4" s="53"/>
      <c r="G4" s="53"/>
      <c r="H4" s="53"/>
      <c r="I4" s="53"/>
      <c r="J4" s="53"/>
      <c r="K4" s="53"/>
      <c r="L4" s="53"/>
      <c r="M4" s="53"/>
      <c r="N4" s="52"/>
    </row>
    <row r="5" s="63" customFormat="1" ht="15" customHeight="1">
      <c r="A5" s="305" t="s">
        <v>158</v>
      </c>
      <c r="B5" s="52"/>
      <c r="C5" s="53"/>
      <c r="D5" s="53"/>
      <c r="E5" s="53"/>
      <c r="F5" s="53"/>
      <c r="G5" s="53"/>
      <c r="H5" s="53"/>
      <c r="I5" s="53"/>
      <c r="J5" s="53"/>
      <c r="K5" s="53"/>
      <c r="L5" s="53"/>
      <c r="M5" s="53"/>
      <c r="N5" s="52"/>
    </row>
    <row r="6" s="63" customFormat="1" ht="15" customHeight="1">
      <c r="A6" s="305" t="s">
        <v>159</v>
      </c>
      <c r="B6" s="52"/>
      <c r="C6" s="53"/>
      <c r="D6" s="53"/>
      <c r="E6" s="53"/>
      <c r="F6" s="53"/>
      <c r="G6" s="53"/>
      <c r="H6" s="53"/>
      <c r="I6" s="53"/>
      <c r="J6" s="53"/>
      <c r="K6" s="53"/>
      <c r="L6" s="53"/>
      <c r="M6" s="53"/>
      <c r="N6" s="52"/>
    </row>
    <row r="7" s="63" customFormat="1" ht="15" customHeight="1">
      <c r="A7" s="305" t="s">
        <v>160</v>
      </c>
      <c r="B7" s="52"/>
      <c r="C7" s="53"/>
      <c r="D7" s="53"/>
      <c r="E7" s="53"/>
      <c r="F7" s="53"/>
      <c r="G7" s="53"/>
      <c r="H7" s="53"/>
      <c r="I7" s="53"/>
      <c r="J7" s="53"/>
      <c r="K7" s="53"/>
      <c r="L7" s="53"/>
      <c r="M7" s="53"/>
      <c r="N7" s="52"/>
    </row>
    <row r="8" s="63" customFormat="1" ht="15" customHeight="1">
      <c r="A8" s="305" t="s">
        <v>161</v>
      </c>
      <c r="B8" s="52"/>
      <c r="C8" s="53"/>
      <c r="D8" s="53"/>
      <c r="E8" s="53"/>
      <c r="F8" s="53"/>
      <c r="G8" s="53"/>
      <c r="H8" s="53"/>
      <c r="I8" s="53"/>
      <c r="J8" s="53"/>
      <c r="K8" s="53"/>
      <c r="L8" s="53"/>
      <c r="M8" s="53"/>
      <c r="N8" s="52"/>
    </row>
    <row r="9" s="63" customFormat="1" ht="15" customHeight="1">
      <c r="A9" s="305" t="s">
        <v>162</v>
      </c>
      <c r="B9" s="52"/>
      <c r="C9" s="53"/>
      <c r="D9" s="53"/>
      <c r="E9" s="53"/>
      <c r="F9" s="53"/>
      <c r="G9" s="53"/>
      <c r="H9" s="53"/>
      <c r="I9" s="53"/>
      <c r="J9" s="53"/>
      <c r="K9" s="53"/>
      <c r="L9" s="53"/>
      <c r="M9" s="53"/>
      <c r="N9" s="52"/>
    </row>
    <row r="10" s="63" customFormat="1" ht="15" customHeight="1">
      <c r="A10" s="305" t="s">
        <v>163</v>
      </c>
      <c r="B10" s="52"/>
      <c r="C10" s="53"/>
      <c r="D10" s="53"/>
      <c r="E10" s="53"/>
      <c r="F10" s="53"/>
      <c r="G10" s="53"/>
      <c r="H10" s="53"/>
      <c r="I10" s="53"/>
      <c r="J10" s="53"/>
      <c r="K10" s="53"/>
      <c r="L10" s="53"/>
      <c r="M10" s="53"/>
      <c r="N10" s="52"/>
    </row>
    <row r="11" s="63" customFormat="1" ht="15" customHeight="1">
      <c r="A11" s="305" t="s">
        <v>164</v>
      </c>
      <c r="B11" s="52"/>
      <c r="C11" s="53"/>
      <c r="D11" s="53"/>
      <c r="E11" s="53"/>
      <c r="F11" s="53"/>
      <c r="G11" s="53"/>
      <c r="H11" s="53"/>
      <c r="I11" s="53"/>
      <c r="J11" s="53"/>
      <c r="K11" s="53"/>
      <c r="L11" s="53"/>
      <c r="M11" s="53"/>
      <c r="N11" s="52"/>
    </row>
    <row r="12" s="63" customFormat="1" ht="15" customHeight="1">
      <c r="A12" s="305" t="s">
        <v>165</v>
      </c>
      <c r="B12" s="52"/>
      <c r="C12" s="53"/>
      <c r="D12" s="53"/>
      <c r="E12" s="53"/>
      <c r="F12" s="53"/>
      <c r="G12" s="53"/>
      <c r="H12" s="53"/>
      <c r="I12" s="53"/>
      <c r="J12" s="53"/>
      <c r="K12" s="53"/>
      <c r="L12" s="53"/>
      <c r="M12" s="53"/>
      <c r="N12" s="52"/>
    </row>
    <row r="13" s="63" customFormat="1" ht="15" customHeight="1">
      <c r="A13" s="67"/>
      <c r="B13" s="52"/>
      <c r="C13" s="53"/>
      <c r="D13" s="53"/>
      <c r="E13" s="53"/>
      <c r="F13" s="53"/>
      <c r="G13" s="53"/>
      <c r="H13" s="53"/>
      <c r="I13" s="53"/>
      <c r="J13" s="53"/>
      <c r="K13" s="53"/>
      <c r="L13" s="53"/>
      <c r="M13" s="53"/>
      <c r="N13" s="52"/>
    </row>
    <row r="14" s="63" customFormat="1" ht="15" customHeight="1">
      <c r="A14" s="68"/>
      <c r="B14" s="52"/>
      <c r="C14" s="53"/>
      <c r="D14" s="53"/>
      <c r="E14" s="53"/>
      <c r="F14" s="53"/>
      <c r="G14" s="53"/>
      <c r="H14" s="53"/>
      <c r="I14" s="53"/>
      <c r="J14" s="53"/>
      <c r="K14" s="53"/>
      <c r="L14" s="53"/>
      <c r="M14" s="53"/>
      <c r="N14" s="52"/>
    </row>
    <row r="15" s="63" customFormat="1" ht="15" customHeight="1">
      <c r="A15" s="67"/>
      <c r="B15" s="52"/>
      <c r="C15" s="53"/>
      <c r="D15" s="53"/>
      <c r="E15" s="53"/>
      <c r="F15" s="53"/>
      <c r="G15" s="53"/>
      <c r="H15" s="53"/>
      <c r="I15" s="53"/>
      <c r="J15" s="53"/>
      <c r="K15" s="53"/>
      <c r="L15" s="53"/>
      <c r="M15" s="53"/>
      <c r="N15" s="52"/>
    </row>
    <row r="16" s="63" customFormat="1" ht="15" customHeight="1">
      <c r="A16" s="67"/>
      <c r="B16" s="52"/>
      <c r="C16" s="53"/>
      <c r="D16" s="53"/>
      <c r="E16" s="53"/>
      <c r="F16" s="53"/>
      <c r="G16" s="53"/>
      <c r="H16" s="53"/>
      <c r="I16" s="53"/>
      <c r="J16" s="53"/>
      <c r="K16" s="53"/>
      <c r="L16" s="53"/>
      <c r="M16" s="53"/>
      <c r="N16" s="52"/>
    </row>
    <row r="17" s="63" customFormat="1" ht="15" customHeight="1">
      <c r="A17" s="67"/>
      <c r="B17" s="52"/>
      <c r="C17" s="53"/>
      <c r="D17" s="53"/>
      <c r="E17" s="53"/>
      <c r="F17" s="53"/>
      <c r="G17" s="53"/>
      <c r="H17" s="53"/>
      <c r="I17" s="53"/>
      <c r="J17" s="53"/>
      <c r="K17" s="53"/>
      <c r="L17" s="53"/>
      <c r="M17" s="53"/>
      <c r="N17" s="52"/>
    </row>
    <row r="18" s="63" customFormat="1" ht="15" customHeight="1">
      <c r="A18" s="67"/>
      <c r="B18" s="52"/>
      <c r="C18" s="53"/>
      <c r="D18" s="53"/>
      <c r="E18" s="53"/>
      <c r="F18" s="53"/>
      <c r="G18" s="53"/>
      <c r="H18" s="53"/>
      <c r="I18" s="53"/>
      <c r="J18" s="53"/>
      <c r="K18" s="53"/>
      <c r="L18" s="53"/>
      <c r="M18" s="53"/>
      <c r="N18" s="52"/>
    </row>
    <row r="19" s="63" customFormat="1" ht="15" customHeight="1">
      <c r="A19" s="67"/>
      <c r="B19" s="52"/>
      <c r="C19" s="53"/>
      <c r="D19" s="53"/>
      <c r="E19" s="53"/>
      <c r="F19" s="53"/>
      <c r="G19" s="53"/>
      <c r="H19" s="53"/>
      <c r="I19" s="53"/>
      <c r="J19" s="53"/>
      <c r="K19" s="53"/>
      <c r="L19" s="53"/>
      <c r="M19" s="53"/>
      <c r="N19" s="52"/>
    </row>
    <row r="20" s="63" customFormat="1" ht="15" customHeight="1">
      <c r="A20" s="67"/>
      <c r="B20" s="52"/>
      <c r="C20" s="53"/>
      <c r="D20" s="53"/>
      <c r="E20" s="53"/>
      <c r="F20" s="53"/>
      <c r="G20" s="53"/>
      <c r="H20" s="53"/>
      <c r="I20" s="53"/>
      <c r="J20" s="53"/>
      <c r="K20" s="53"/>
      <c r="L20" s="53"/>
      <c r="M20" s="53"/>
      <c r="N20" s="52"/>
    </row>
    <row r="21" s="63" customFormat="1" ht="15" customHeight="1">
      <c r="A21" s="67"/>
      <c r="B21" s="52"/>
      <c r="C21" s="53"/>
      <c r="D21" s="53"/>
      <c r="E21" s="53"/>
      <c r="F21" s="53"/>
      <c r="G21" s="53"/>
      <c r="H21" s="53"/>
      <c r="I21" s="53"/>
      <c r="J21" s="53"/>
      <c r="K21" s="53"/>
      <c r="L21" s="53"/>
      <c r="M21" s="53"/>
      <c r="N21" s="52"/>
    </row>
    <row r="22" s="63" customFormat="1" ht="15" customHeight="1">
      <c r="A22" s="67"/>
      <c r="B22" s="52"/>
      <c r="C22" s="53"/>
      <c r="D22" s="53"/>
      <c r="E22" s="53"/>
      <c r="F22" s="53"/>
      <c r="G22" s="53"/>
      <c r="H22" s="53"/>
      <c r="I22" s="53"/>
      <c r="J22" s="53"/>
      <c r="K22" s="53"/>
      <c r="L22" s="53"/>
      <c r="M22" s="53"/>
      <c r="N22" s="52"/>
    </row>
    <row r="23" s="63" customFormat="1" ht="15" customHeight="1">
      <c r="A23" s="67"/>
      <c r="B23" s="52"/>
      <c r="C23" s="53"/>
      <c r="D23" s="53"/>
      <c r="E23" s="53"/>
      <c r="F23" s="53"/>
      <c r="G23" s="53"/>
      <c r="H23" s="53"/>
      <c r="I23" s="53"/>
      <c r="J23" s="53"/>
      <c r="K23" s="53"/>
      <c r="L23" s="53"/>
      <c r="M23" s="53"/>
      <c r="N23" s="52"/>
    </row>
    <row r="24" s="63" customFormat="1" ht="15" customHeight="1">
      <c r="A24" s="67"/>
      <c r="B24" s="52"/>
      <c r="C24" s="53"/>
      <c r="D24" s="53"/>
      <c r="E24" s="53"/>
      <c r="F24" s="53"/>
      <c r="G24" s="53"/>
      <c r="H24" s="53"/>
      <c r="I24" s="53"/>
      <c r="J24" s="53"/>
      <c r="K24" s="53"/>
      <c r="L24" s="53"/>
      <c r="M24" s="53"/>
      <c r="N24" s="52"/>
    </row>
    <row r="25" s="63" customFormat="1" ht="15" customHeight="1">
      <c r="A25" s="67"/>
      <c r="B25" s="52"/>
      <c r="C25" s="53"/>
      <c r="D25" s="53"/>
      <c r="E25" s="53"/>
      <c r="F25" s="53"/>
      <c r="G25" s="53"/>
      <c r="H25" s="53"/>
      <c r="I25" s="53"/>
      <c r="J25" s="53"/>
      <c r="K25" s="53"/>
      <c r="L25" s="53"/>
      <c r="M25" s="53"/>
      <c r="N25" s="52"/>
    </row>
    <row r="26" s="63" customFormat="1" ht="15" customHeight="1">
      <c r="A26" s="67"/>
      <c r="B26" s="52"/>
      <c r="C26" s="53"/>
      <c r="D26" s="53"/>
      <c r="E26" s="53"/>
      <c r="F26" s="53"/>
      <c r="G26" s="53"/>
      <c r="H26" s="53"/>
      <c r="I26" s="53"/>
      <c r="J26" s="53"/>
      <c r="K26" s="53"/>
      <c r="L26" s="53"/>
      <c r="M26" s="53"/>
      <c r="N26" s="52"/>
    </row>
    <row r="27" s="63" customFormat="1" ht="15" customHeight="1">
      <c r="A27" s="68"/>
      <c r="B27" s="52"/>
      <c r="C27" s="53"/>
      <c r="D27" s="53"/>
      <c r="E27" s="53"/>
      <c r="F27" s="53"/>
      <c r="G27" s="53"/>
      <c r="H27" s="53"/>
      <c r="I27" s="53"/>
      <c r="J27" s="53"/>
      <c r="K27" s="53"/>
      <c r="L27" s="53"/>
      <c r="M27" s="53"/>
      <c r="N27" s="52"/>
    </row>
    <row r="28" s="63" customFormat="1" ht="15" customHeight="1">
      <c r="A28" s="68"/>
      <c r="B28" s="52"/>
      <c r="C28" s="53"/>
      <c r="D28" s="53"/>
      <c r="E28" s="53"/>
      <c r="F28" s="53"/>
      <c r="G28" s="53"/>
      <c r="H28" s="53"/>
      <c r="I28" s="53"/>
      <c r="J28" s="53"/>
      <c r="K28" s="53"/>
      <c r="L28" s="53"/>
      <c r="M28" s="53"/>
      <c r="N28" s="52"/>
    </row>
    <row r="29" s="63" customFormat="1" ht="15" customHeight="1">
      <c r="A29" s="67"/>
      <c r="B29" s="52"/>
      <c r="C29" s="53"/>
      <c r="D29" s="53"/>
      <c r="E29" s="53"/>
      <c r="F29" s="53"/>
      <c r="G29" s="53"/>
      <c r="H29" s="53"/>
      <c r="I29" s="53"/>
      <c r="J29" s="53"/>
      <c r="K29" s="53"/>
      <c r="L29" s="53"/>
      <c r="M29" s="53"/>
      <c r="N29" s="52"/>
    </row>
    <row r="30" s="63" customFormat="1" ht="15" customHeight="1">
      <c r="A30" s="67"/>
      <c r="B30" s="52"/>
      <c r="C30" s="53"/>
      <c r="D30" s="53"/>
      <c r="E30" s="53"/>
      <c r="F30" s="53"/>
      <c r="G30" s="53"/>
      <c r="H30" s="53"/>
      <c r="I30" s="53"/>
      <c r="J30" s="53"/>
      <c r="K30" s="53"/>
      <c r="L30" s="53"/>
      <c r="M30" s="53"/>
      <c r="N30" s="52"/>
    </row>
    <row r="31" s="63" customFormat="1" ht="15" customHeight="1">
      <c r="A31" s="68"/>
      <c r="B31" s="52"/>
      <c r="C31" s="53"/>
      <c r="D31" s="53"/>
      <c r="E31" s="53"/>
      <c r="F31" s="53"/>
      <c r="G31" s="53"/>
      <c r="H31" s="53"/>
      <c r="I31" s="53"/>
      <c r="J31" s="53"/>
      <c r="K31" s="53"/>
      <c r="L31" s="53"/>
      <c r="M31" s="53"/>
      <c r="N31" s="52"/>
    </row>
    <row r="32" s="63" customFormat="1" ht="15" customHeight="1">
      <c r="A32" s="67"/>
      <c r="B32" s="52"/>
      <c r="C32" s="53"/>
      <c r="D32" s="53"/>
      <c r="E32" s="53"/>
      <c r="F32" s="53"/>
      <c r="G32" s="53"/>
      <c r="H32" s="53"/>
      <c r="I32" s="53"/>
      <c r="J32" s="53"/>
      <c r="K32" s="53"/>
      <c r="L32" s="53"/>
      <c r="M32" s="53"/>
      <c r="N32" s="52"/>
    </row>
    <row r="33" s="63" customFormat="1" ht="15" customHeight="1">
      <c r="A33" s="67"/>
      <c r="B33" s="52"/>
      <c r="C33" s="53"/>
      <c r="D33" s="53"/>
      <c r="E33" s="53"/>
      <c r="F33" s="53"/>
      <c r="G33" s="53"/>
      <c r="H33" s="53"/>
      <c r="I33" s="53"/>
      <c r="J33" s="53"/>
      <c r="K33" s="53"/>
      <c r="L33" s="53"/>
      <c r="M33" s="53"/>
      <c r="N33" s="52"/>
    </row>
    <row r="34" s="63" customFormat="1" ht="15" customHeight="1">
      <c r="A34" s="67"/>
      <c r="B34" s="52"/>
      <c r="C34" s="53"/>
      <c r="D34" s="53"/>
      <c r="E34" s="53"/>
      <c r="F34" s="53"/>
      <c r="G34" s="53"/>
      <c r="H34" s="53"/>
      <c r="I34" s="53"/>
      <c r="J34" s="53"/>
      <c r="K34" s="53"/>
      <c r="L34" s="53"/>
      <c r="M34" s="53"/>
      <c r="N34" s="52"/>
    </row>
    <row r="35" s="63" customFormat="1" ht="15" customHeight="1">
      <c r="A35" s="67"/>
      <c r="B35" s="52"/>
      <c r="C35" s="53"/>
      <c r="D35" s="53"/>
      <c r="E35" s="53"/>
      <c r="F35" s="53"/>
      <c r="G35" s="53"/>
      <c r="H35" s="53"/>
      <c r="I35" s="53"/>
      <c r="J35" s="53"/>
      <c r="K35" s="53"/>
      <c r="L35" s="53"/>
      <c r="M35" s="53"/>
      <c r="N35" s="52"/>
    </row>
    <row r="36" s="63" customFormat="1" ht="15" customHeight="1">
      <c r="A36" s="67"/>
      <c r="B36" s="52"/>
      <c r="C36" s="53"/>
      <c r="D36" s="53"/>
      <c r="E36" s="53"/>
      <c r="F36" s="53"/>
      <c r="G36" s="53"/>
      <c r="H36" s="53"/>
      <c r="I36" s="53"/>
      <c r="J36" s="53"/>
      <c r="K36" s="53"/>
      <c r="L36" s="53"/>
      <c r="M36" s="53"/>
      <c r="N36" s="52"/>
    </row>
    <row r="37" s="63" customFormat="1" ht="15" customHeight="1">
      <c r="A37" s="67"/>
      <c r="B37" s="52"/>
      <c r="C37" s="53"/>
      <c r="D37" s="53"/>
      <c r="E37" s="53"/>
      <c r="F37" s="53"/>
      <c r="G37" s="53"/>
      <c r="H37" s="53"/>
      <c r="I37" s="53"/>
      <c r="J37" s="53"/>
      <c r="K37" s="53"/>
      <c r="L37" s="53"/>
      <c r="M37" s="53"/>
      <c r="N37" s="52"/>
    </row>
    <row r="38" s="63" customFormat="1" ht="15" customHeight="1">
      <c r="A38" s="67"/>
      <c r="B38" s="52"/>
      <c r="C38" s="53"/>
      <c r="D38" s="53"/>
      <c r="E38" s="53"/>
      <c r="F38" s="53"/>
      <c r="G38" s="53"/>
      <c r="H38" s="53"/>
      <c r="I38" s="53"/>
      <c r="J38" s="53"/>
      <c r="K38" s="53"/>
      <c r="L38" s="53"/>
      <c r="M38" s="53"/>
      <c r="N38" s="52"/>
    </row>
    <row r="39" s="63" customFormat="1" ht="15" customHeight="1">
      <c r="A39" s="67"/>
      <c r="B39" s="52"/>
      <c r="C39" s="53"/>
      <c r="D39" s="53"/>
      <c r="E39" s="53"/>
      <c r="F39" s="53"/>
      <c r="G39" s="53"/>
      <c r="H39" s="53"/>
      <c r="I39" s="53"/>
      <c r="J39" s="53"/>
      <c r="K39" s="53"/>
      <c r="L39" s="53"/>
      <c r="M39" s="53"/>
      <c r="N39" s="52"/>
    </row>
    <row r="40" s="63" customFormat="1" ht="15" customHeight="1">
      <c r="A40" s="67"/>
      <c r="B40" s="52"/>
      <c r="C40" s="53"/>
      <c r="D40" s="53"/>
      <c r="E40" s="53"/>
      <c r="F40" s="53"/>
      <c r="G40" s="53"/>
      <c r="H40" s="53"/>
      <c r="I40" s="53"/>
      <c r="J40" s="53"/>
      <c r="K40" s="53"/>
      <c r="L40" s="53"/>
      <c r="M40" s="53"/>
      <c r="N40" s="52"/>
    </row>
    <row r="41" s="63" customFormat="1" ht="15" customHeight="1">
      <c r="A41" s="67"/>
      <c r="B41" s="52"/>
      <c r="C41" s="53"/>
      <c r="D41" s="53"/>
      <c r="E41" s="53"/>
      <c r="F41" s="53"/>
      <c r="G41" s="53"/>
      <c r="H41" s="53"/>
      <c r="I41" s="53"/>
      <c r="J41" s="53"/>
      <c r="K41" s="53"/>
      <c r="L41" s="53"/>
      <c r="M41" s="53"/>
      <c r="N41" s="52"/>
    </row>
    <row r="42" s="63" customFormat="1" ht="15" customHeight="1">
      <c r="A42" s="67"/>
      <c r="B42" s="52"/>
      <c r="C42" s="53"/>
      <c r="D42" s="53"/>
      <c r="E42" s="53"/>
      <c r="F42" s="53"/>
      <c r="G42" s="53"/>
      <c r="H42" s="53"/>
      <c r="I42" s="53"/>
      <c r="J42" s="53"/>
      <c r="K42" s="53"/>
      <c r="L42" s="53"/>
      <c r="M42" s="53"/>
      <c r="N42" s="52"/>
    </row>
    <row r="43" s="63" customFormat="1" ht="15" customHeight="1">
      <c r="A43" s="67"/>
      <c r="B43" s="52"/>
      <c r="C43" s="53"/>
      <c r="D43" s="53"/>
      <c r="E43" s="53"/>
      <c r="F43" s="53"/>
      <c r="G43" s="53"/>
      <c r="H43" s="53"/>
      <c r="I43" s="53"/>
      <c r="J43" s="53"/>
      <c r="K43" s="53"/>
      <c r="L43" s="53"/>
      <c r="M43" s="53"/>
      <c r="N43" s="52"/>
    </row>
    <row r="44" s="63" customFormat="1" ht="15" customHeight="1">
      <c r="A44" s="67"/>
      <c r="B44" s="52"/>
      <c r="C44" s="53"/>
      <c r="D44" s="53"/>
      <c r="E44" s="53"/>
      <c r="F44" s="53"/>
      <c r="G44" s="53"/>
      <c r="H44" s="53"/>
      <c r="I44" s="53"/>
      <c r="J44" s="53"/>
      <c r="K44" s="53"/>
      <c r="L44" s="53"/>
      <c r="M44" s="53"/>
      <c r="N44" s="52"/>
    </row>
    <row r="45" s="63" customFormat="1" ht="15" customHeight="1">
      <c r="A45" s="68"/>
      <c r="B45" s="52"/>
      <c r="C45" s="53"/>
      <c r="D45" s="53"/>
      <c r="E45" s="53"/>
      <c r="F45" s="53"/>
      <c r="G45" s="53"/>
      <c r="H45" s="53"/>
      <c r="I45" s="53"/>
      <c r="J45" s="53"/>
      <c r="K45" s="53"/>
      <c r="L45" s="53"/>
      <c r="M45" s="53"/>
      <c r="N45" s="52"/>
    </row>
    <row r="46" s="63" customFormat="1" ht="15" customHeight="1">
      <c r="A46" s="67"/>
      <c r="B46" s="52"/>
      <c r="C46" s="53"/>
      <c r="D46" s="53"/>
      <c r="E46" s="53"/>
      <c r="F46" s="53"/>
      <c r="G46" s="53"/>
      <c r="H46" s="53"/>
      <c r="I46" s="53"/>
      <c r="J46" s="53"/>
      <c r="K46" s="53"/>
      <c r="L46" s="53"/>
      <c r="M46" s="53"/>
      <c r="N46" s="52"/>
    </row>
    <row r="47" s="63" customFormat="1" ht="15" customHeight="1">
      <c r="A47" s="67"/>
      <c r="B47" s="52"/>
      <c r="C47" s="53"/>
      <c r="D47" s="53"/>
      <c r="E47" s="53"/>
      <c r="F47" s="53"/>
      <c r="G47" s="53"/>
      <c r="H47" s="53"/>
      <c r="I47" s="53"/>
      <c r="J47" s="53"/>
      <c r="K47" s="53"/>
      <c r="L47" s="53"/>
      <c r="M47" s="53"/>
      <c r="N47" s="52"/>
    </row>
    <row r="48" s="63" customFormat="1" ht="15" customHeight="1">
      <c r="A48" s="67"/>
      <c r="B48" s="52"/>
      <c r="C48" s="53"/>
      <c r="D48" s="53"/>
      <c r="E48" s="53"/>
      <c r="F48" s="53"/>
      <c r="G48" s="53"/>
      <c r="H48" s="53"/>
      <c r="I48" s="53"/>
      <c r="J48" s="53"/>
      <c r="K48" s="53"/>
      <c r="L48" s="53"/>
      <c r="M48" s="53"/>
      <c r="N48" s="52"/>
    </row>
    <row r="49" s="63" customFormat="1" ht="15" customHeight="1">
      <c r="A49" s="67"/>
      <c r="B49" s="52"/>
      <c r="C49" s="53"/>
      <c r="D49" s="53"/>
      <c r="E49" s="53"/>
      <c r="F49" s="53"/>
      <c r="G49" s="53"/>
      <c r="H49" s="53"/>
      <c r="I49" s="53"/>
      <c r="J49" s="53"/>
      <c r="K49" s="53"/>
      <c r="L49" s="53"/>
      <c r="M49" s="53"/>
      <c r="N49" s="52"/>
    </row>
    <row r="50" s="63" customFormat="1" ht="15" customHeight="1">
      <c r="A50" s="67"/>
      <c r="B50" s="52"/>
      <c r="C50" s="53"/>
      <c r="D50" s="53"/>
      <c r="E50" s="53"/>
      <c r="F50" s="53"/>
      <c r="G50" s="53"/>
      <c r="H50" s="53"/>
      <c r="I50" s="53"/>
      <c r="J50" s="53"/>
      <c r="K50" s="53"/>
      <c r="L50" s="53"/>
      <c r="M50" s="53"/>
      <c r="N50" s="52"/>
    </row>
    <row r="51" s="63" customFormat="1" ht="15" customHeight="1">
      <c r="A51" s="67"/>
      <c r="B51" s="52"/>
      <c r="C51" s="53"/>
      <c r="D51" s="53"/>
      <c r="E51" s="53"/>
      <c r="F51" s="53"/>
      <c r="G51" s="53"/>
      <c r="H51" s="53"/>
      <c r="I51" s="53"/>
      <c r="J51" s="53"/>
      <c r="K51" s="53"/>
      <c r="L51" s="53"/>
      <c r="M51" s="53"/>
      <c r="N51" s="52"/>
    </row>
    <row r="52" s="63" customFormat="1" ht="15" customHeight="1">
      <c r="A52" s="67"/>
      <c r="B52" s="52"/>
      <c r="C52" s="53"/>
      <c r="D52" s="53"/>
      <c r="E52" s="53"/>
      <c r="F52" s="53"/>
      <c r="G52" s="53"/>
      <c r="H52" s="53"/>
      <c r="I52" s="53"/>
      <c r="J52" s="53"/>
      <c r="K52" s="53"/>
      <c r="L52" s="53"/>
      <c r="M52" s="53"/>
      <c r="N52" s="52"/>
    </row>
    <row r="53" s="63" customFormat="1" ht="15" customHeight="1">
      <c r="A53" s="68"/>
      <c r="B53" s="52"/>
      <c r="C53" s="53"/>
      <c r="D53" s="53"/>
      <c r="E53" s="53"/>
      <c r="F53" s="53"/>
      <c r="G53" s="53"/>
      <c r="H53" s="53"/>
      <c r="I53" s="53"/>
      <c r="J53" s="53"/>
      <c r="K53" s="53"/>
      <c r="L53" s="53"/>
      <c r="M53" s="53"/>
      <c r="N53" s="52"/>
    </row>
    <row r="54" s="63" customFormat="1" ht="15" customHeight="1">
      <c r="A54" s="68"/>
      <c r="B54" s="52"/>
      <c r="C54" s="53"/>
      <c r="D54" s="53"/>
      <c r="E54" s="53"/>
      <c r="F54" s="53"/>
      <c r="G54" s="53"/>
      <c r="H54" s="53"/>
      <c r="I54" s="53"/>
      <c r="J54" s="53"/>
      <c r="K54" s="53"/>
      <c r="L54" s="53"/>
      <c r="M54" s="53"/>
      <c r="N54" s="52"/>
    </row>
    <row r="55" s="63" customFormat="1" ht="15" customHeight="1">
      <c r="A55" s="67"/>
      <c r="B55" s="52"/>
      <c r="C55" s="53"/>
      <c r="D55" s="53"/>
      <c r="E55" s="53"/>
      <c r="F55" s="53"/>
      <c r="G55" s="53"/>
      <c r="H55" s="53"/>
      <c r="I55" s="53"/>
      <c r="J55" s="53"/>
      <c r="K55" s="53"/>
      <c r="L55" s="53"/>
      <c r="M55" s="53"/>
      <c r="N55" s="52"/>
    </row>
    <row r="56" s="63" customFormat="1" ht="15" customHeight="1">
      <c r="A56" s="67"/>
      <c r="B56" s="52"/>
      <c r="C56" s="53"/>
      <c r="D56" s="53"/>
      <c r="E56" s="53"/>
      <c r="F56" s="53"/>
      <c r="G56" s="53"/>
      <c r="H56" s="53"/>
      <c r="I56" s="53"/>
      <c r="J56" s="53"/>
      <c r="K56" s="53"/>
      <c r="L56" s="53"/>
      <c r="M56" s="53"/>
      <c r="N56" s="52"/>
    </row>
    <row r="57" s="63" customFormat="1" ht="15" customHeight="1">
      <c r="A57" s="67"/>
      <c r="B57" s="52"/>
      <c r="C57" s="53"/>
      <c r="D57" s="53"/>
      <c r="E57" s="53"/>
      <c r="F57" s="53"/>
      <c r="G57" s="53"/>
      <c r="H57" s="53"/>
      <c r="I57" s="53"/>
      <c r="J57" s="53"/>
      <c r="K57" s="53"/>
      <c r="L57" s="53"/>
      <c r="M57" s="53"/>
      <c r="N57" s="52"/>
    </row>
    <row r="58" s="63" customFormat="1" ht="15" customHeight="1">
      <c r="A58" s="67"/>
      <c r="B58" s="52"/>
      <c r="C58" s="53"/>
      <c r="D58" s="53"/>
      <c r="E58" s="53"/>
      <c r="F58" s="53"/>
      <c r="G58" s="53"/>
      <c r="H58" s="53"/>
      <c r="I58" s="53"/>
      <c r="J58" s="53"/>
      <c r="K58" s="53"/>
      <c r="L58" s="53"/>
      <c r="M58" s="53"/>
      <c r="N58" s="52"/>
    </row>
    <row r="59" s="63" customFormat="1" ht="15" customHeight="1">
      <c r="A59" s="67"/>
      <c r="B59" s="52"/>
      <c r="C59" s="53"/>
      <c r="D59" s="53"/>
      <c r="E59" s="53"/>
      <c r="F59" s="53"/>
      <c r="G59" s="53"/>
      <c r="H59" s="53"/>
      <c r="I59" s="53"/>
      <c r="J59" s="53"/>
      <c r="K59" s="53"/>
      <c r="L59" s="53"/>
      <c r="M59" s="53"/>
      <c r="N59" s="52"/>
    </row>
    <row r="60" s="63" customFormat="1" ht="15" customHeight="1">
      <c r="A60" s="67"/>
      <c r="B60" s="52"/>
      <c r="C60" s="53"/>
      <c r="D60" s="53"/>
      <c r="E60" s="53"/>
      <c r="F60" s="53"/>
      <c r="G60" s="53"/>
      <c r="H60" s="53"/>
      <c r="I60" s="53"/>
      <c r="J60" s="53"/>
      <c r="K60" s="53"/>
      <c r="L60" s="53"/>
      <c r="M60" s="53"/>
      <c r="N60" s="52"/>
    </row>
    <row r="61" s="63" customFormat="1" ht="15" customHeight="1">
      <c r="A61" s="67"/>
      <c r="B61" s="52"/>
      <c r="C61" s="53"/>
      <c r="D61" s="53"/>
      <c r="E61" s="53"/>
      <c r="F61" s="53"/>
      <c r="G61" s="53"/>
      <c r="H61" s="53"/>
      <c r="I61" s="53"/>
      <c r="J61" s="53"/>
      <c r="K61" s="53"/>
      <c r="L61" s="53"/>
      <c r="M61" s="53"/>
      <c r="N61" s="52"/>
    </row>
    <row r="62" s="63" customFormat="1" ht="15" customHeight="1">
      <c r="A62" s="67"/>
      <c r="B62" s="52"/>
      <c r="C62" s="53"/>
      <c r="D62" s="53"/>
      <c r="E62" s="53"/>
      <c r="F62" s="53"/>
      <c r="G62" s="53"/>
      <c r="H62" s="53"/>
      <c r="I62" s="53"/>
      <c r="J62" s="53"/>
      <c r="K62" s="53"/>
      <c r="L62" s="53"/>
      <c r="M62" s="53"/>
      <c r="N62" s="52"/>
    </row>
    <row r="63" s="63" customFormat="1" ht="15" customHeight="1">
      <c r="A63" s="67"/>
      <c r="B63" s="52"/>
      <c r="C63" s="53"/>
      <c r="D63" s="53"/>
      <c r="E63" s="53"/>
      <c r="F63" s="53"/>
      <c r="G63" s="53"/>
      <c r="H63" s="53"/>
      <c r="I63" s="53"/>
      <c r="J63" s="53"/>
      <c r="K63" s="53"/>
      <c r="L63" s="53"/>
      <c r="M63" s="53"/>
      <c r="N63" s="52"/>
    </row>
    <row r="64" s="63" customFormat="1" ht="15" customHeight="1">
      <c r="A64" s="67"/>
      <c r="B64" s="52"/>
      <c r="C64" s="53"/>
      <c r="D64" s="53"/>
      <c r="E64" s="53"/>
      <c r="F64" s="53"/>
      <c r="G64" s="53"/>
      <c r="H64" s="53"/>
      <c r="I64" s="53"/>
      <c r="J64" s="53"/>
      <c r="K64" s="53"/>
      <c r="L64" s="53"/>
      <c r="M64" s="53"/>
      <c r="N64" s="52"/>
    </row>
    <row r="65" s="63" customFormat="1" ht="15" customHeight="1">
      <c r="A65" s="67"/>
      <c r="B65" s="52"/>
      <c r="C65" s="53"/>
      <c r="D65" s="53"/>
      <c r="E65" s="53"/>
      <c r="F65" s="53"/>
      <c r="G65" s="53"/>
      <c r="H65" s="53"/>
      <c r="I65" s="53"/>
      <c r="J65" s="53"/>
      <c r="K65" s="53"/>
      <c r="L65" s="53"/>
      <c r="M65" s="53"/>
      <c r="N65" s="52"/>
    </row>
    <row r="66" s="63" customFormat="1" ht="15" customHeight="1">
      <c r="A66" s="67"/>
      <c r="B66" s="52"/>
      <c r="C66" s="53"/>
      <c r="D66" s="53"/>
      <c r="E66" s="53"/>
      <c r="F66" s="53"/>
      <c r="G66" s="53"/>
      <c r="H66" s="53"/>
      <c r="I66" s="53"/>
      <c r="J66" s="53"/>
      <c r="K66" s="53"/>
      <c r="L66" s="53"/>
      <c r="M66" s="53"/>
      <c r="N66" s="52"/>
    </row>
    <row r="67" s="63" customFormat="1" ht="15" customHeight="1">
      <c r="A67" s="67"/>
      <c r="B67" s="52"/>
      <c r="C67" s="53"/>
      <c r="D67" s="53"/>
      <c r="E67" s="53"/>
      <c r="F67" s="53"/>
      <c r="G67" s="53"/>
      <c r="H67" s="53"/>
      <c r="I67" s="53"/>
      <c r="J67" s="53"/>
      <c r="K67" s="53"/>
      <c r="L67" s="53"/>
      <c r="M67" s="53"/>
      <c r="N67" s="52"/>
    </row>
    <row r="68" s="63" customFormat="1" ht="15" customHeight="1">
      <c r="A68" s="67"/>
      <c r="B68" s="52"/>
      <c r="C68" s="53"/>
      <c r="D68" s="53"/>
      <c r="E68" s="53"/>
      <c r="F68" s="53"/>
      <c r="G68" s="53"/>
      <c r="H68" s="53"/>
      <c r="I68" s="53"/>
      <c r="J68" s="53"/>
      <c r="K68" s="53"/>
      <c r="L68" s="53"/>
      <c r="M68" s="53"/>
      <c r="N68" s="52"/>
    </row>
    <row r="69" s="63" customFormat="1" ht="15" customHeight="1">
      <c r="A69" s="67"/>
      <c r="B69" s="52"/>
      <c r="C69" s="53"/>
      <c r="D69" s="53"/>
      <c r="E69" s="53"/>
      <c r="F69" s="53"/>
      <c r="G69" s="53"/>
      <c r="H69" s="53"/>
      <c r="I69" s="53"/>
      <c r="J69" s="53"/>
      <c r="K69" s="53"/>
      <c r="L69" s="53"/>
      <c r="M69" s="53"/>
      <c r="N69" s="52"/>
    </row>
    <row r="70" s="63" customFormat="1" ht="15" customHeight="1">
      <c r="A70" s="68"/>
      <c r="B70" s="52"/>
      <c r="C70" s="53"/>
      <c r="D70" s="53"/>
      <c r="E70" s="53"/>
      <c r="F70" s="53"/>
      <c r="G70" s="53"/>
      <c r="H70" s="53"/>
      <c r="I70" s="53"/>
      <c r="J70" s="53"/>
      <c r="K70" s="53"/>
      <c r="L70" s="53"/>
      <c r="M70" s="53"/>
      <c r="N70" s="52"/>
    </row>
    <row r="71" s="63" customFormat="1" ht="15" customHeight="1">
      <c r="A71" s="67"/>
      <c r="B71" s="52"/>
      <c r="C71" s="53"/>
      <c r="D71" s="53"/>
      <c r="E71" s="53"/>
      <c r="F71" s="53"/>
      <c r="G71" s="53"/>
      <c r="H71" s="53"/>
      <c r="I71" s="53"/>
      <c r="J71" s="53"/>
      <c r="K71" s="53"/>
      <c r="L71" s="53"/>
      <c r="M71" s="53"/>
      <c r="N71" s="52"/>
    </row>
    <row r="72" s="63" customFormat="1" ht="15" customHeight="1">
      <c r="A72" s="67"/>
      <c r="B72" s="52"/>
      <c r="C72" s="53"/>
      <c r="D72" s="53"/>
      <c r="E72" s="53"/>
      <c r="F72" s="53"/>
      <c r="G72" s="53"/>
      <c r="H72" s="53"/>
      <c r="I72" s="53"/>
      <c r="J72" s="53"/>
      <c r="K72" s="53"/>
      <c r="L72" s="53"/>
      <c r="M72" s="53"/>
      <c r="N72" s="52"/>
    </row>
    <row r="73" s="63" customFormat="1" ht="15" customHeight="1">
      <c r="A73" s="67"/>
      <c r="B73" s="52"/>
      <c r="C73" s="53"/>
      <c r="D73" s="53"/>
      <c r="E73" s="53"/>
      <c r="F73" s="53"/>
      <c r="G73" s="53"/>
      <c r="H73" s="53"/>
      <c r="I73" s="53"/>
      <c r="J73" s="53"/>
      <c r="K73" s="53"/>
      <c r="L73" s="53"/>
      <c r="M73" s="53"/>
      <c r="N73" s="52"/>
    </row>
    <row r="74" s="63" customFormat="1" ht="15" customHeight="1">
      <c r="A74" s="67"/>
      <c r="B74" s="52"/>
      <c r="C74" s="53"/>
      <c r="D74" s="53"/>
      <c r="E74" s="53"/>
      <c r="F74" s="53"/>
      <c r="G74" s="53"/>
      <c r="H74" s="53"/>
      <c r="I74" s="53"/>
      <c r="J74" s="53"/>
      <c r="K74" s="53"/>
      <c r="L74" s="53"/>
      <c r="M74" s="53"/>
      <c r="N74" s="52"/>
    </row>
    <row r="75" s="63" customFormat="1" ht="15" customHeight="1">
      <c r="A75" s="67"/>
      <c r="B75" s="52"/>
      <c r="C75" s="53"/>
      <c r="D75" s="53"/>
      <c r="E75" s="53"/>
      <c r="F75" s="53"/>
      <c r="G75" s="53"/>
      <c r="H75" s="53"/>
      <c r="I75" s="53"/>
      <c r="J75" s="53"/>
      <c r="K75" s="53"/>
      <c r="L75" s="53"/>
      <c r="M75" s="53"/>
      <c r="N75" s="52"/>
    </row>
    <row r="76" s="63" customFormat="1" ht="15" customHeight="1">
      <c r="A76" s="67"/>
      <c r="B76" s="52"/>
      <c r="C76" s="53"/>
      <c r="D76" s="53"/>
      <c r="E76" s="53"/>
      <c r="F76" s="53"/>
      <c r="G76" s="53"/>
      <c r="H76" s="53"/>
      <c r="I76" s="53"/>
      <c r="J76" s="53"/>
      <c r="K76" s="53"/>
      <c r="L76" s="53"/>
      <c r="M76" s="53"/>
      <c r="N76" s="52"/>
    </row>
    <row r="77" s="63" customFormat="1" ht="15" customHeight="1">
      <c r="A77" s="67"/>
      <c r="B77" s="52"/>
      <c r="C77" s="53"/>
      <c r="D77" s="53"/>
      <c r="E77" s="53"/>
      <c r="F77" s="53"/>
      <c r="G77" s="53"/>
      <c r="H77" s="53"/>
      <c r="I77" s="53"/>
      <c r="J77" s="53"/>
      <c r="K77" s="53"/>
      <c r="L77" s="53"/>
      <c r="M77" s="53"/>
      <c r="N77" s="52"/>
    </row>
    <row r="78" s="63" customFormat="1" ht="15" customHeight="1">
      <c r="A78" s="67"/>
      <c r="B78" s="52"/>
      <c r="C78" s="53"/>
      <c r="D78" s="53"/>
      <c r="E78" s="53"/>
      <c r="F78" s="53"/>
      <c r="G78" s="53"/>
      <c r="H78" s="53"/>
      <c r="I78" s="53"/>
      <c r="J78" s="53"/>
      <c r="K78" s="53"/>
      <c r="L78" s="53"/>
      <c r="M78" s="53"/>
      <c r="N78" s="52"/>
    </row>
    <row r="79" s="63" customFormat="1" ht="15" customHeight="1">
      <c r="A79" s="67"/>
      <c r="B79" s="52"/>
      <c r="C79" s="53"/>
      <c r="D79" s="53"/>
      <c r="E79" s="53"/>
      <c r="F79" s="53"/>
      <c r="G79" s="53"/>
      <c r="H79" s="53"/>
      <c r="I79" s="53"/>
      <c r="J79" s="53"/>
      <c r="K79" s="53"/>
      <c r="L79" s="53"/>
      <c r="M79" s="53"/>
      <c r="N79" s="52"/>
    </row>
    <row r="80" s="63" customFormat="1" ht="15" customHeight="1">
      <c r="A80" s="67"/>
      <c r="B80" s="52"/>
      <c r="C80" s="53"/>
      <c r="D80" s="53"/>
      <c r="E80" s="53"/>
      <c r="F80" s="53"/>
      <c r="G80" s="53"/>
      <c r="H80" s="53"/>
      <c r="I80" s="53"/>
      <c r="J80" s="53"/>
      <c r="K80" s="53"/>
      <c r="L80" s="53"/>
      <c r="M80" s="53"/>
      <c r="N80" s="52"/>
    </row>
    <row r="81" s="63" customFormat="1" ht="15" customHeight="1">
      <c r="A81" s="67"/>
      <c r="B81" s="52"/>
      <c r="C81" s="53"/>
      <c r="D81" s="53"/>
      <c r="E81" s="53"/>
      <c r="F81" s="53"/>
      <c r="G81" s="53"/>
      <c r="H81" s="53"/>
      <c r="I81" s="53"/>
      <c r="J81" s="53"/>
      <c r="K81" s="53"/>
      <c r="L81" s="53"/>
      <c r="M81" s="53"/>
      <c r="N81" s="52"/>
    </row>
    <row r="82" s="63" customFormat="1" ht="15" customHeight="1">
      <c r="A82" s="68"/>
      <c r="B82" s="52"/>
      <c r="C82" s="53"/>
      <c r="D82" s="53"/>
      <c r="E82" s="53"/>
      <c r="F82" s="53"/>
      <c r="G82" s="53"/>
      <c r="H82" s="53"/>
      <c r="I82" s="53"/>
      <c r="J82" s="53"/>
      <c r="K82" s="53"/>
      <c r="L82" s="53"/>
      <c r="M82" s="53"/>
      <c r="N82" s="52"/>
    </row>
    <row r="83" s="63" customFormat="1" ht="15" customHeight="1">
      <c r="A83" s="67"/>
      <c r="B83" s="52"/>
      <c r="C83" s="53"/>
      <c r="D83" s="53"/>
      <c r="E83" s="53"/>
      <c r="F83" s="53"/>
      <c r="G83" s="53"/>
      <c r="H83" s="53"/>
      <c r="I83" s="53"/>
      <c r="J83" s="53"/>
      <c r="K83" s="53"/>
      <c r="L83" s="53"/>
      <c r="M83" s="53"/>
      <c r="N83" s="52"/>
    </row>
    <row r="84" s="63" customFormat="1" ht="15" customHeight="1">
      <c r="A84" s="67"/>
      <c r="B84" s="52"/>
      <c r="C84" s="53"/>
      <c r="D84" s="53"/>
      <c r="E84" s="53"/>
      <c r="F84" s="53"/>
      <c r="G84" s="53"/>
      <c r="H84" s="53"/>
      <c r="I84" s="53"/>
      <c r="J84" s="53"/>
      <c r="K84" s="53"/>
      <c r="L84" s="53"/>
      <c r="M84" s="53"/>
      <c r="N84" s="52"/>
    </row>
    <row r="85" s="63" customFormat="1" ht="15" customHeight="1">
      <c r="A85" s="67"/>
      <c r="B85" s="52"/>
      <c r="C85" s="53"/>
      <c r="D85" s="53"/>
      <c r="E85" s="53"/>
      <c r="F85" s="53"/>
      <c r="G85" s="53"/>
      <c r="H85" s="53"/>
      <c r="I85" s="53"/>
      <c r="J85" s="53"/>
      <c r="K85" s="53"/>
      <c r="L85" s="53"/>
      <c r="M85" s="53"/>
      <c r="N85" s="52"/>
    </row>
    <row r="86" s="63" customFormat="1" ht="15" customHeight="1">
      <c r="A86" s="68"/>
      <c r="B86" s="52"/>
      <c r="C86" s="53"/>
      <c r="D86" s="53"/>
      <c r="E86" s="53"/>
      <c r="F86" s="53"/>
      <c r="G86" s="53"/>
      <c r="H86" s="53"/>
      <c r="I86" s="53"/>
      <c r="J86" s="53"/>
      <c r="K86" s="53"/>
      <c r="L86" s="53"/>
      <c r="M86" s="53"/>
      <c r="N86" s="52"/>
    </row>
    <row r="87" s="63" customFormat="1" ht="15" customHeight="1">
      <c r="A87" s="67"/>
      <c r="B87" s="52"/>
      <c r="C87" s="53"/>
      <c r="D87" s="53"/>
      <c r="E87" s="53"/>
      <c r="F87" s="53"/>
      <c r="G87" s="53"/>
      <c r="H87" s="53"/>
      <c r="I87" s="53"/>
      <c r="J87" s="53"/>
      <c r="K87" s="53"/>
      <c r="L87" s="53"/>
      <c r="M87" s="53"/>
      <c r="N87" s="52"/>
    </row>
    <row r="88" s="63" customFormat="1" ht="15" customHeight="1">
      <c r="A88" s="67"/>
      <c r="B88" s="52"/>
      <c r="C88" s="53"/>
      <c r="D88" s="53"/>
      <c r="E88" s="53"/>
      <c r="F88" s="53"/>
      <c r="G88" s="53"/>
      <c r="H88" s="53"/>
      <c r="I88" s="53"/>
      <c r="J88" s="53"/>
      <c r="K88" s="53"/>
      <c r="L88" s="53"/>
      <c r="M88" s="53"/>
      <c r="N88" s="52"/>
    </row>
    <row r="89" s="63" customFormat="1" ht="15" customHeight="1">
      <c r="A89" s="68"/>
      <c r="B89" s="52"/>
      <c r="C89" s="53"/>
      <c r="D89" s="53"/>
      <c r="E89" s="53"/>
      <c r="F89" s="53"/>
      <c r="G89" s="53"/>
      <c r="H89" s="53"/>
      <c r="I89" s="53"/>
      <c r="J89" s="53"/>
      <c r="K89" s="53"/>
      <c r="L89" s="53"/>
      <c r="M89" s="53"/>
      <c r="N89" s="52"/>
    </row>
    <row r="90" s="63" customFormat="1" ht="15" customHeight="1">
      <c r="A90" s="67"/>
      <c r="B90" s="52"/>
      <c r="C90" s="53"/>
      <c r="D90" s="53"/>
      <c r="E90" s="53"/>
      <c r="F90" s="53"/>
      <c r="G90" s="53"/>
      <c r="H90" s="53"/>
      <c r="I90" s="53"/>
      <c r="J90" s="53"/>
      <c r="K90" s="53"/>
      <c r="L90" s="53"/>
      <c r="M90" s="53"/>
      <c r="N90" s="52"/>
    </row>
    <row r="91" s="63" customFormat="1" ht="15" customHeight="1">
      <c r="A91" s="67"/>
      <c r="B91" s="52"/>
      <c r="C91" s="53"/>
      <c r="D91" s="53"/>
      <c r="E91" s="53"/>
      <c r="F91" s="53"/>
      <c r="G91" s="53"/>
      <c r="H91" s="53"/>
      <c r="I91" s="53"/>
      <c r="J91" s="53"/>
      <c r="K91" s="53"/>
      <c r="L91" s="53"/>
      <c r="M91" s="53"/>
      <c r="N91" s="52"/>
    </row>
    <row r="92" s="63" customFormat="1" ht="15" customHeight="1">
      <c r="A92" s="67"/>
      <c r="B92" s="52"/>
      <c r="C92" s="53"/>
      <c r="D92" s="53"/>
      <c r="E92" s="53"/>
      <c r="F92" s="53"/>
      <c r="G92" s="53"/>
      <c r="H92" s="53"/>
      <c r="I92" s="53"/>
      <c r="J92" s="53"/>
      <c r="K92" s="53"/>
      <c r="L92" s="53"/>
      <c r="M92" s="53"/>
      <c r="N92" s="52"/>
    </row>
    <row r="93" s="63" customFormat="1" ht="15" customHeight="1">
      <c r="A93" s="67"/>
      <c r="B93" s="52"/>
      <c r="C93" s="53"/>
      <c r="D93" s="53"/>
      <c r="E93" s="53"/>
      <c r="F93" s="53"/>
      <c r="G93" s="53"/>
      <c r="H93" s="53"/>
      <c r="I93" s="53"/>
      <c r="J93" s="53"/>
      <c r="K93" s="53"/>
      <c r="L93" s="53"/>
      <c r="M93" s="53"/>
      <c r="N93" s="52"/>
    </row>
    <row r="94" s="63" customFormat="1" ht="15" customHeight="1">
      <c r="A94" s="67"/>
      <c r="B94" s="52"/>
      <c r="C94" s="53"/>
      <c r="D94" s="53"/>
      <c r="E94" s="53"/>
      <c r="F94" s="53"/>
      <c r="G94" s="53"/>
      <c r="H94" s="53"/>
      <c r="I94" s="53"/>
      <c r="J94" s="53"/>
      <c r="K94" s="53"/>
      <c r="L94" s="53"/>
      <c r="M94" s="53"/>
      <c r="N94" s="52"/>
    </row>
    <row r="95" s="63" customFormat="1" ht="15" customHeight="1">
      <c r="A95" s="67"/>
      <c r="B95" s="52"/>
      <c r="C95" s="53"/>
      <c r="D95" s="53"/>
      <c r="E95" s="53"/>
      <c r="F95" s="53"/>
      <c r="G95" s="53"/>
      <c r="H95" s="53"/>
      <c r="I95" s="53"/>
      <c r="J95" s="53"/>
      <c r="K95" s="53"/>
      <c r="L95" s="53"/>
      <c r="M95" s="53"/>
      <c r="N95" s="52"/>
    </row>
    <row r="96" s="63" customFormat="1" ht="15" customHeight="1">
      <c r="A96" s="67"/>
      <c r="B96" s="52"/>
      <c r="C96" s="53"/>
      <c r="D96" s="53"/>
      <c r="E96" s="53"/>
      <c r="F96" s="53"/>
      <c r="G96" s="53"/>
      <c r="H96" s="53"/>
      <c r="I96" s="53"/>
      <c r="J96" s="53"/>
      <c r="K96" s="53"/>
      <c r="L96" s="53"/>
      <c r="M96" s="53"/>
      <c r="N96" s="52"/>
    </row>
    <row r="97" s="63" customFormat="1" ht="15" customHeight="1">
      <c r="A97" s="67"/>
      <c r="B97" s="52"/>
      <c r="C97" s="53"/>
      <c r="D97" s="53"/>
      <c r="E97" s="53"/>
      <c r="F97" s="53"/>
      <c r="G97" s="53"/>
      <c r="H97" s="53"/>
      <c r="I97" s="53"/>
      <c r="J97" s="53"/>
      <c r="K97" s="53"/>
      <c r="L97" s="53"/>
      <c r="M97" s="53"/>
      <c r="N97" s="52"/>
    </row>
    <row r="98" s="63" customFormat="1" ht="15" customHeight="1">
      <c r="A98" s="67"/>
      <c r="B98" s="52"/>
      <c r="C98" s="53"/>
      <c r="D98" s="53"/>
      <c r="E98" s="53"/>
      <c r="F98" s="53"/>
      <c r="G98" s="53"/>
      <c r="H98" s="53"/>
      <c r="I98" s="53"/>
      <c r="J98" s="53"/>
      <c r="K98" s="53"/>
      <c r="L98" s="53"/>
      <c r="M98" s="53"/>
      <c r="N98" s="52"/>
    </row>
    <row r="99" s="63" customFormat="1" ht="15" customHeight="1">
      <c r="A99" s="67"/>
      <c r="B99" s="52"/>
      <c r="C99" s="53"/>
      <c r="D99" s="53"/>
      <c r="E99" s="53"/>
      <c r="F99" s="53"/>
      <c r="G99" s="53"/>
      <c r="H99" s="53"/>
      <c r="I99" s="53"/>
      <c r="J99" s="53"/>
      <c r="K99" s="53"/>
      <c r="L99" s="53"/>
      <c r="M99" s="53"/>
      <c r="N99" s="52"/>
    </row>
    <row r="100" s="63" customFormat="1" ht="15" customHeight="1">
      <c r="A100" s="68"/>
      <c r="B100" s="52"/>
      <c r="C100" s="53"/>
      <c r="D100" s="53"/>
      <c r="E100" s="53"/>
      <c r="F100" s="53"/>
      <c r="G100" s="53"/>
      <c r="H100" s="53"/>
      <c r="I100" s="53"/>
      <c r="J100" s="53"/>
      <c r="K100" s="53"/>
      <c r="L100" s="53"/>
      <c r="M100" s="53"/>
      <c r="N100" s="52"/>
    </row>
    <row r="101" s="63" customFormat="1" ht="15" customHeight="1">
      <c r="A101" s="67"/>
      <c r="B101" s="52"/>
      <c r="C101" s="53"/>
      <c r="D101" s="53"/>
      <c r="E101" s="53"/>
      <c r="F101" s="53"/>
      <c r="G101" s="53"/>
      <c r="H101" s="53"/>
      <c r="I101" s="53"/>
      <c r="J101" s="53"/>
      <c r="K101" s="53"/>
      <c r="L101" s="53"/>
      <c r="M101" s="53"/>
      <c r="N101" s="52"/>
    </row>
    <row r="102" s="63" customFormat="1" ht="15" customHeight="1">
      <c r="A102" s="67"/>
      <c r="B102" s="52"/>
      <c r="C102" s="53"/>
      <c r="D102" s="53"/>
      <c r="E102" s="53"/>
      <c r="F102" s="53"/>
      <c r="G102" s="53"/>
      <c r="H102" s="53"/>
      <c r="I102" s="53"/>
      <c r="J102" s="53"/>
      <c r="K102" s="53"/>
      <c r="L102" s="53"/>
      <c r="M102" s="53"/>
      <c r="N102" s="52"/>
    </row>
    <row r="103" s="63" customFormat="1" ht="15" customHeight="1">
      <c r="A103" s="67"/>
      <c r="B103" s="52"/>
      <c r="C103" s="53"/>
      <c r="D103" s="53"/>
      <c r="E103" s="53"/>
      <c r="F103" s="53"/>
      <c r="G103" s="53"/>
      <c r="H103" s="53"/>
      <c r="I103" s="53"/>
      <c r="J103" s="53"/>
      <c r="K103" s="53"/>
      <c r="L103" s="53"/>
      <c r="M103" s="53"/>
      <c r="N103" s="52"/>
    </row>
    <row r="104" s="63" customFormat="1" ht="15" customHeight="1">
      <c r="A104" s="67"/>
      <c r="B104" s="52"/>
      <c r="C104" s="53"/>
      <c r="D104" s="53"/>
      <c r="E104" s="53"/>
      <c r="F104" s="53"/>
      <c r="G104" s="53"/>
      <c r="H104" s="53"/>
      <c r="I104" s="53"/>
      <c r="J104" s="53"/>
      <c r="K104" s="53"/>
      <c r="L104" s="53"/>
      <c r="M104" s="53"/>
      <c r="N104" s="52"/>
    </row>
    <row r="105" s="63" customFormat="1" ht="15" customHeight="1">
      <c r="A105" s="67"/>
      <c r="B105" s="52"/>
      <c r="C105" s="53"/>
      <c r="D105" s="53"/>
      <c r="E105" s="53"/>
      <c r="F105" s="53"/>
      <c r="G105" s="53"/>
      <c r="H105" s="53"/>
      <c r="I105" s="53"/>
      <c r="J105" s="53"/>
      <c r="K105" s="53"/>
      <c r="L105" s="53"/>
      <c r="M105" s="53"/>
      <c r="N105" s="52"/>
    </row>
    <row r="106" s="63" customFormat="1" ht="15" customHeight="1">
      <c r="A106" s="67"/>
      <c r="B106" s="52"/>
      <c r="C106" s="53"/>
      <c r="D106" s="53"/>
      <c r="E106" s="53"/>
      <c r="F106" s="53"/>
      <c r="G106" s="53"/>
      <c r="H106" s="53"/>
      <c r="I106" s="53"/>
      <c r="J106" s="53"/>
      <c r="K106" s="53"/>
      <c r="L106" s="53"/>
      <c r="M106" s="53"/>
      <c r="N106" s="52"/>
    </row>
    <row r="107" s="63" customFormat="1" ht="15" customHeight="1">
      <c r="A107" s="67"/>
      <c r="B107" s="52"/>
      <c r="C107" s="53"/>
      <c r="D107" s="53"/>
      <c r="E107" s="53"/>
      <c r="F107" s="53"/>
      <c r="G107" s="53"/>
      <c r="H107" s="53"/>
      <c r="I107" s="53"/>
      <c r="J107" s="53"/>
      <c r="K107" s="53"/>
      <c r="L107" s="53"/>
      <c r="M107" s="53"/>
      <c r="N107" s="52"/>
    </row>
    <row r="108" s="63" customFormat="1" ht="15" customHeight="1">
      <c r="A108" s="67"/>
      <c r="B108" s="52"/>
      <c r="C108" s="53"/>
      <c r="D108" s="53"/>
      <c r="E108" s="53"/>
      <c r="F108" s="53"/>
      <c r="G108" s="53"/>
      <c r="H108" s="53"/>
      <c r="I108" s="53"/>
      <c r="J108" s="53"/>
      <c r="K108" s="53"/>
      <c r="L108" s="53"/>
      <c r="M108" s="53"/>
      <c r="N108" s="52"/>
    </row>
    <row r="109" s="63" customFormat="1" ht="15" customHeight="1">
      <c r="A109" s="67"/>
      <c r="B109" s="52"/>
      <c r="C109" s="53"/>
      <c r="D109" s="53"/>
      <c r="E109" s="53"/>
      <c r="F109" s="53"/>
      <c r="G109" s="53"/>
      <c r="H109" s="53"/>
      <c r="I109" s="53"/>
      <c r="J109" s="53"/>
      <c r="K109" s="53"/>
      <c r="L109" s="53"/>
      <c r="M109" s="53"/>
      <c r="N109" s="52"/>
    </row>
    <row r="110" s="63" customFormat="1" ht="15" customHeight="1">
      <c r="A110" s="68"/>
      <c r="B110" s="52"/>
      <c r="C110" s="53"/>
      <c r="D110" s="53"/>
      <c r="E110" s="53"/>
      <c r="F110" s="53"/>
      <c r="G110" s="53"/>
      <c r="H110" s="53"/>
      <c r="I110" s="53"/>
      <c r="J110" s="53"/>
      <c r="K110" s="53"/>
      <c r="L110" s="53"/>
      <c r="M110" s="53"/>
      <c r="N110" s="52"/>
    </row>
    <row r="111" s="63" customFormat="1" ht="15" customHeight="1">
      <c r="A111" s="68"/>
      <c r="B111" s="52"/>
      <c r="C111" s="53"/>
      <c r="D111" s="53"/>
      <c r="E111" s="53"/>
      <c r="F111" s="53"/>
      <c r="G111" s="53"/>
      <c r="H111" s="53"/>
      <c r="I111" s="53"/>
      <c r="J111" s="53"/>
      <c r="K111" s="53"/>
      <c r="L111" s="53"/>
      <c r="M111" s="53"/>
      <c r="N111" s="52"/>
    </row>
    <row r="112" s="63" customFormat="1" ht="15" customHeight="1">
      <c r="A112" s="67"/>
      <c r="B112" s="52"/>
      <c r="C112" s="53"/>
      <c r="D112" s="53"/>
      <c r="E112" s="53"/>
      <c r="F112" s="53"/>
      <c r="G112" s="53"/>
      <c r="H112" s="53"/>
      <c r="I112" s="53"/>
      <c r="J112" s="53"/>
      <c r="K112" s="53"/>
      <c r="L112" s="53"/>
      <c r="M112" s="53"/>
      <c r="N112" s="52"/>
    </row>
    <row r="113" s="63" customFormat="1" ht="15" customHeight="1">
      <c r="A113" s="68"/>
      <c r="B113" s="52"/>
      <c r="C113" s="53"/>
      <c r="D113" s="53"/>
      <c r="E113" s="53"/>
      <c r="F113" s="53"/>
      <c r="G113" s="53"/>
      <c r="H113" s="53"/>
      <c r="I113" s="53"/>
      <c r="J113" s="53"/>
      <c r="K113" s="53"/>
      <c r="L113" s="53"/>
      <c r="M113" s="53"/>
      <c r="N113" s="52"/>
    </row>
    <row r="114" s="63" customFormat="1" ht="15" customHeight="1">
      <c r="A114" s="67"/>
      <c r="B114" s="52"/>
      <c r="C114" s="53"/>
      <c r="D114" s="53"/>
      <c r="E114" s="53"/>
      <c r="F114" s="53"/>
      <c r="G114" s="53"/>
      <c r="H114" s="53"/>
      <c r="I114" s="53"/>
      <c r="J114" s="53"/>
      <c r="K114" s="53"/>
      <c r="L114" s="53"/>
      <c r="M114" s="53"/>
      <c r="N114" s="52"/>
    </row>
    <row r="115" s="63" customFormat="1" ht="15" customHeight="1">
      <c r="A115" s="67"/>
      <c r="B115" s="52"/>
      <c r="C115" s="53"/>
      <c r="D115" s="53"/>
      <c r="E115" s="53"/>
      <c r="F115" s="53"/>
      <c r="G115" s="53"/>
      <c r="H115" s="53"/>
      <c r="I115" s="53"/>
      <c r="J115" s="53"/>
      <c r="K115" s="53"/>
      <c r="L115" s="53"/>
      <c r="M115" s="53"/>
      <c r="N115" s="52"/>
    </row>
    <row r="116" s="63" customFormat="1" ht="15" customHeight="1">
      <c r="A116" s="67"/>
      <c r="B116" s="52"/>
      <c r="C116" s="53"/>
      <c r="D116" s="53"/>
      <c r="E116" s="53"/>
      <c r="F116" s="53"/>
      <c r="G116" s="53"/>
      <c r="H116" s="53"/>
      <c r="I116" s="53"/>
      <c r="J116" s="53"/>
      <c r="K116" s="53"/>
      <c r="L116" s="53"/>
      <c r="M116" s="53"/>
      <c r="N116" s="52"/>
    </row>
    <row r="117" s="63" customFormat="1" ht="15" customHeight="1">
      <c r="A117" s="67"/>
      <c r="B117" s="52"/>
      <c r="C117" s="53"/>
      <c r="D117" s="53"/>
      <c r="E117" s="53"/>
      <c r="F117" s="53"/>
      <c r="G117" s="53"/>
      <c r="H117" s="53"/>
      <c r="I117" s="53"/>
      <c r="J117" s="53"/>
      <c r="K117" s="53"/>
      <c r="L117" s="53"/>
      <c r="M117" s="53"/>
      <c r="N117" s="52"/>
    </row>
    <row r="118" s="63" customFormat="1" ht="15" customHeight="1">
      <c r="A118" s="67"/>
      <c r="B118" s="52"/>
      <c r="C118" s="53"/>
      <c r="D118" s="53"/>
      <c r="E118" s="53"/>
      <c r="F118" s="53"/>
      <c r="G118" s="53"/>
      <c r="H118" s="53"/>
      <c r="I118" s="53"/>
      <c r="J118" s="53"/>
      <c r="K118" s="53"/>
      <c r="L118" s="53"/>
      <c r="M118" s="53"/>
      <c r="N118" s="52"/>
    </row>
    <row r="119" s="63" customFormat="1" ht="15" customHeight="1">
      <c r="A119" s="67"/>
      <c r="B119" s="52"/>
      <c r="C119" s="53"/>
      <c r="D119" s="53"/>
      <c r="E119" s="53"/>
      <c r="F119" s="53"/>
      <c r="G119" s="53"/>
      <c r="H119" s="53"/>
      <c r="I119" s="53"/>
      <c r="J119" s="53"/>
      <c r="K119" s="53"/>
      <c r="L119" s="53"/>
      <c r="M119" s="53"/>
      <c r="N119" s="52"/>
    </row>
    <row r="120" s="63" customFormat="1" ht="15" customHeight="1">
      <c r="A120" s="67"/>
      <c r="B120" s="52"/>
      <c r="C120" s="53"/>
      <c r="D120" s="53"/>
      <c r="E120" s="53"/>
      <c r="F120" s="53"/>
      <c r="G120" s="53"/>
      <c r="H120" s="53"/>
      <c r="I120" s="53"/>
      <c r="J120" s="53"/>
      <c r="K120" s="53"/>
      <c r="L120" s="53"/>
      <c r="M120" s="53"/>
      <c r="N120" s="52"/>
    </row>
    <row r="121" s="63" customFormat="1" ht="15" customHeight="1">
      <c r="A121" s="67"/>
      <c r="B121" s="52"/>
      <c r="C121" s="53"/>
      <c r="D121" s="53"/>
      <c r="E121" s="53"/>
      <c r="F121" s="53"/>
      <c r="G121" s="53"/>
      <c r="H121" s="53"/>
      <c r="I121" s="53"/>
      <c r="J121" s="53"/>
      <c r="K121" s="53"/>
      <c r="L121" s="53"/>
      <c r="M121" s="53"/>
      <c r="N121" s="52"/>
    </row>
    <row r="122" s="63" customFormat="1" ht="15" customHeight="1">
      <c r="A122" s="68"/>
      <c r="B122" s="52"/>
      <c r="C122" s="53"/>
      <c r="D122" s="53"/>
      <c r="E122" s="53"/>
      <c r="F122" s="53"/>
      <c r="G122" s="53"/>
      <c r="H122" s="53"/>
      <c r="I122" s="53"/>
      <c r="J122" s="53"/>
      <c r="K122" s="53"/>
      <c r="L122" s="53"/>
      <c r="M122" s="53"/>
      <c r="N122" s="52"/>
    </row>
    <row r="123" s="63" customFormat="1" ht="15" customHeight="1">
      <c r="A123" s="67"/>
      <c r="B123" s="52"/>
      <c r="C123" s="53"/>
      <c r="D123" s="53"/>
      <c r="E123" s="53"/>
      <c r="F123" s="53"/>
      <c r="G123" s="53"/>
      <c r="H123" s="53"/>
      <c r="I123" s="53"/>
      <c r="J123" s="53"/>
      <c r="K123" s="53"/>
      <c r="L123" s="53"/>
      <c r="M123" s="53"/>
      <c r="N123" s="52"/>
    </row>
    <row r="124" s="63" customFormat="1" ht="15" customHeight="1">
      <c r="A124" s="67"/>
      <c r="B124" s="52"/>
      <c r="C124" s="53"/>
      <c r="D124" s="53"/>
      <c r="E124" s="53"/>
      <c r="F124" s="53"/>
      <c r="G124" s="53"/>
      <c r="H124" s="53"/>
      <c r="I124" s="53"/>
      <c r="J124" s="53"/>
      <c r="K124" s="53"/>
      <c r="L124" s="53"/>
      <c r="M124" s="53"/>
      <c r="N124" s="52"/>
    </row>
    <row r="125" s="63" customFormat="1" ht="15" customHeight="1">
      <c r="A125" s="67"/>
      <c r="B125" s="52"/>
      <c r="C125" s="53"/>
      <c r="D125" s="53"/>
      <c r="E125" s="53"/>
      <c r="F125" s="53"/>
      <c r="G125" s="53"/>
      <c r="H125" s="53"/>
      <c r="I125" s="53"/>
      <c r="J125" s="53"/>
      <c r="K125" s="53"/>
      <c r="L125" s="53"/>
      <c r="M125" s="53"/>
      <c r="N125" s="52"/>
    </row>
    <row r="126" s="63" customFormat="1" ht="15" customHeight="1">
      <c r="A126" s="67"/>
      <c r="B126" s="52"/>
      <c r="C126" s="53"/>
      <c r="D126" s="53"/>
      <c r="E126" s="53"/>
      <c r="F126" s="53"/>
      <c r="G126" s="53"/>
      <c r="H126" s="53"/>
      <c r="I126" s="53"/>
      <c r="J126" s="53"/>
      <c r="K126" s="53"/>
      <c r="L126" s="53"/>
      <c r="M126" s="53"/>
      <c r="N126" s="52"/>
    </row>
    <row r="127" s="63" customFormat="1" ht="15" customHeight="1">
      <c r="A127" s="67"/>
      <c r="B127" s="52"/>
      <c r="C127" s="53"/>
      <c r="D127" s="53"/>
      <c r="E127" s="53"/>
      <c r="F127" s="53"/>
      <c r="G127" s="53"/>
      <c r="H127" s="53"/>
      <c r="I127" s="53"/>
      <c r="J127" s="53"/>
      <c r="K127" s="53"/>
      <c r="L127" s="53"/>
      <c r="M127" s="53"/>
      <c r="N127" s="52"/>
    </row>
    <row r="128" s="63" customFormat="1" ht="15" customHeight="1">
      <c r="A128" s="68"/>
      <c r="B128" s="52"/>
      <c r="C128" s="53"/>
      <c r="D128" s="53"/>
      <c r="E128" s="53"/>
      <c r="F128" s="53"/>
      <c r="G128" s="53"/>
      <c r="H128" s="53"/>
      <c r="I128" s="53"/>
      <c r="J128" s="53"/>
      <c r="K128" s="53"/>
      <c r="L128" s="53"/>
      <c r="M128" s="53"/>
      <c r="N128" s="52"/>
    </row>
    <row r="129" s="63" customFormat="1" ht="15" customHeight="1">
      <c r="A129" s="67"/>
      <c r="B129" s="52"/>
      <c r="C129" s="53"/>
      <c r="D129" s="53"/>
      <c r="E129" s="53"/>
      <c r="F129" s="53"/>
      <c r="G129" s="53"/>
      <c r="H129" s="53"/>
      <c r="I129" s="53"/>
      <c r="J129" s="53"/>
      <c r="K129" s="53"/>
      <c r="L129" s="53"/>
      <c r="M129" s="53"/>
      <c r="N129" s="52"/>
    </row>
    <row r="130" s="63" customFormat="1" ht="15" customHeight="1">
      <c r="A130" s="68"/>
      <c r="B130" s="52"/>
      <c r="C130" s="53"/>
      <c r="D130" s="53"/>
      <c r="E130" s="53"/>
      <c r="F130" s="53"/>
      <c r="G130" s="53"/>
      <c r="H130" s="53"/>
      <c r="I130" s="53"/>
      <c r="J130" s="53"/>
      <c r="K130" s="53"/>
      <c r="L130" s="53"/>
      <c r="M130" s="53"/>
      <c r="N130" s="52"/>
    </row>
    <row r="131" s="63" customFormat="1" ht="15" customHeight="1">
      <c r="A131" s="67"/>
      <c r="B131" s="52"/>
      <c r="C131" s="53"/>
      <c r="D131" s="53"/>
      <c r="E131" s="53"/>
      <c r="F131" s="53"/>
      <c r="G131" s="53"/>
      <c r="H131" s="53"/>
      <c r="I131" s="53"/>
      <c r="J131" s="53"/>
      <c r="K131" s="53"/>
      <c r="L131" s="53"/>
      <c r="M131" s="53"/>
      <c r="N131" s="52"/>
    </row>
    <row r="132" s="63" customFormat="1" ht="15" customHeight="1">
      <c r="A132" s="67"/>
      <c r="B132" s="52"/>
      <c r="C132" s="53"/>
      <c r="D132" s="53"/>
      <c r="E132" s="53"/>
      <c r="F132" s="53"/>
      <c r="G132" s="53"/>
      <c r="H132" s="53"/>
      <c r="I132" s="53"/>
      <c r="J132" s="53"/>
      <c r="K132" s="53"/>
      <c r="L132" s="53"/>
      <c r="M132" s="53"/>
      <c r="N132" s="52"/>
    </row>
    <row r="133" s="63" customFormat="1" ht="15" customHeight="1">
      <c r="A133" s="67"/>
      <c r="B133" s="52"/>
      <c r="C133" s="53"/>
      <c r="D133" s="53"/>
      <c r="E133" s="53"/>
      <c r="F133" s="53"/>
      <c r="G133" s="53"/>
      <c r="H133" s="53"/>
      <c r="I133" s="53"/>
      <c r="J133" s="53"/>
      <c r="K133" s="53"/>
      <c r="L133" s="53"/>
      <c r="M133" s="53"/>
      <c r="N133" s="52"/>
    </row>
    <row r="134" s="63" customFormat="1" ht="15" customHeight="1">
      <c r="A134" s="67"/>
      <c r="B134" s="52"/>
      <c r="C134" s="53"/>
      <c r="D134" s="53"/>
      <c r="E134" s="53"/>
      <c r="F134" s="53"/>
      <c r="G134" s="53"/>
      <c r="H134" s="53"/>
      <c r="I134" s="53"/>
      <c r="J134" s="53"/>
      <c r="K134" s="53"/>
      <c r="L134" s="53"/>
      <c r="M134" s="53"/>
      <c r="N134" s="52"/>
    </row>
    <row r="135" s="63" customFormat="1" ht="15" customHeight="1">
      <c r="A135" s="67"/>
      <c r="B135" s="52"/>
      <c r="C135" s="53"/>
      <c r="D135" s="53"/>
      <c r="E135" s="53"/>
      <c r="F135" s="53"/>
      <c r="G135" s="53"/>
      <c r="H135" s="53"/>
      <c r="I135" s="53"/>
      <c r="J135" s="53"/>
      <c r="K135" s="53"/>
      <c r="L135" s="53"/>
      <c r="M135" s="53"/>
      <c r="N135" s="52"/>
    </row>
    <row r="136" s="63" customFormat="1" ht="15" customHeight="1">
      <c r="A136" s="68"/>
      <c r="B136" s="52"/>
      <c r="C136" s="53"/>
      <c r="D136" s="53"/>
      <c r="E136" s="53"/>
      <c r="F136" s="53"/>
      <c r="G136" s="53"/>
      <c r="H136" s="53"/>
      <c r="I136" s="53"/>
      <c r="J136" s="53"/>
      <c r="K136" s="53"/>
      <c r="L136" s="53"/>
      <c r="M136" s="53"/>
      <c r="N136" s="52"/>
    </row>
    <row r="137" s="63" customFormat="1" ht="15" customHeight="1">
      <c r="A137" s="67"/>
      <c r="B137" s="52"/>
      <c r="C137" s="53"/>
      <c r="D137" s="53"/>
      <c r="E137" s="53"/>
      <c r="F137" s="53"/>
      <c r="G137" s="53"/>
      <c r="H137" s="53"/>
      <c r="I137" s="53"/>
      <c r="J137" s="53"/>
      <c r="K137" s="53"/>
      <c r="L137" s="53"/>
      <c r="M137" s="53"/>
      <c r="N137" s="52"/>
    </row>
    <row r="138" s="63" customFormat="1" ht="15" customHeight="1">
      <c r="A138" s="67"/>
      <c r="B138" s="52"/>
      <c r="C138" s="53"/>
      <c r="D138" s="53"/>
      <c r="E138" s="53"/>
      <c r="F138" s="53"/>
      <c r="G138" s="53"/>
      <c r="H138" s="53"/>
      <c r="I138" s="53"/>
      <c r="J138" s="53"/>
      <c r="K138" s="53"/>
      <c r="L138" s="53"/>
      <c r="M138" s="53"/>
      <c r="N138" s="52"/>
    </row>
    <row r="139" s="63" customFormat="1" ht="15" customHeight="1">
      <c r="A139" s="67"/>
      <c r="B139" s="52"/>
      <c r="C139" s="53"/>
      <c r="D139" s="53"/>
      <c r="E139" s="53"/>
      <c r="F139" s="53"/>
      <c r="G139" s="53"/>
      <c r="H139" s="53"/>
      <c r="I139" s="53"/>
      <c r="J139" s="53"/>
      <c r="K139" s="53"/>
      <c r="L139" s="53"/>
      <c r="M139" s="53"/>
      <c r="N139" s="52"/>
    </row>
    <row r="140" s="63" customFormat="1" ht="15" customHeight="1">
      <c r="A140" s="67"/>
      <c r="B140" s="52"/>
      <c r="C140" s="53"/>
      <c r="D140" s="53"/>
      <c r="E140" s="53"/>
      <c r="F140" s="53"/>
      <c r="G140" s="53"/>
      <c r="H140" s="53"/>
      <c r="I140" s="53"/>
      <c r="J140" s="53"/>
      <c r="K140" s="53"/>
      <c r="L140" s="53"/>
      <c r="M140" s="53"/>
      <c r="N140" s="52"/>
    </row>
    <row r="141" s="63" customFormat="1" ht="15" customHeight="1">
      <c r="A141" s="67"/>
      <c r="B141" s="52"/>
      <c r="C141" s="53"/>
      <c r="D141" s="53"/>
      <c r="E141" s="53"/>
      <c r="F141" s="53"/>
      <c r="G141" s="53"/>
      <c r="H141" s="53"/>
      <c r="I141" s="53"/>
      <c r="J141" s="53"/>
      <c r="K141" s="53"/>
      <c r="L141" s="53"/>
      <c r="M141" s="53"/>
      <c r="N141" s="52"/>
    </row>
    <row r="142" s="63" customFormat="1" ht="15" customHeight="1">
      <c r="A142" s="68"/>
      <c r="B142" s="52"/>
      <c r="C142" s="53"/>
      <c r="D142" s="53"/>
      <c r="E142" s="53"/>
      <c r="F142" s="53"/>
      <c r="G142" s="53"/>
      <c r="H142" s="53"/>
      <c r="I142" s="53"/>
      <c r="J142" s="53"/>
      <c r="K142" s="53"/>
      <c r="L142" s="53"/>
      <c r="M142" s="53"/>
      <c r="N142" s="52"/>
    </row>
    <row r="143" s="63" customFormat="1" ht="15" customHeight="1">
      <c r="A143" s="67"/>
      <c r="B143" s="52"/>
      <c r="C143" s="53"/>
      <c r="D143" s="53"/>
      <c r="E143" s="53"/>
      <c r="F143" s="53"/>
      <c r="G143" s="53"/>
      <c r="H143" s="53"/>
      <c r="I143" s="53"/>
      <c r="J143" s="53"/>
      <c r="K143" s="53"/>
      <c r="L143" s="53"/>
      <c r="M143" s="53"/>
      <c r="N143" s="52"/>
    </row>
    <row r="144" s="63" customFormat="1" ht="15" customHeight="1">
      <c r="A144" s="67"/>
      <c r="B144" s="52"/>
      <c r="C144" s="53"/>
      <c r="D144" s="53"/>
      <c r="E144" s="53"/>
      <c r="F144" s="53"/>
      <c r="G144" s="53"/>
      <c r="H144" s="53"/>
      <c r="I144" s="53"/>
      <c r="J144" s="53"/>
      <c r="K144" s="53"/>
      <c r="L144" s="53"/>
      <c r="M144" s="53"/>
      <c r="N144" s="52"/>
    </row>
    <row r="145" s="63" customFormat="1" ht="15" customHeight="1">
      <c r="A145" s="67"/>
      <c r="B145" s="52"/>
      <c r="C145" s="53"/>
      <c r="D145" s="53"/>
      <c r="E145" s="53"/>
      <c r="F145" s="53"/>
      <c r="G145" s="53"/>
      <c r="H145" s="53"/>
      <c r="I145" s="53"/>
      <c r="J145" s="53"/>
      <c r="K145" s="53"/>
      <c r="L145" s="53"/>
      <c r="M145" s="53"/>
      <c r="N145" s="52"/>
    </row>
    <row r="146" s="63" customFormat="1" ht="15" customHeight="1">
      <c r="A146" s="68"/>
      <c r="B146" s="52"/>
      <c r="C146" s="53"/>
      <c r="D146" s="53"/>
      <c r="E146" s="53"/>
      <c r="F146" s="53"/>
      <c r="G146" s="53"/>
      <c r="H146" s="53"/>
      <c r="I146" s="53"/>
      <c r="J146" s="53"/>
      <c r="K146" s="53"/>
      <c r="L146" s="53"/>
      <c r="M146" s="53"/>
      <c r="N146" s="52"/>
    </row>
    <row r="147" s="63" customFormat="1" ht="15" customHeight="1">
      <c r="A147" s="67"/>
      <c r="B147" s="52"/>
      <c r="C147" s="53"/>
      <c r="D147" s="53"/>
      <c r="E147" s="53"/>
      <c r="F147" s="53"/>
      <c r="G147" s="53"/>
      <c r="H147" s="53"/>
      <c r="I147" s="53"/>
      <c r="J147" s="53"/>
      <c r="K147" s="53"/>
      <c r="L147" s="53"/>
      <c r="M147" s="53"/>
      <c r="N147" s="52"/>
    </row>
    <row r="148" s="63" customFormat="1" ht="15" customHeight="1">
      <c r="A148" s="68"/>
      <c r="B148" s="52"/>
      <c r="C148" s="53"/>
      <c r="D148" s="53"/>
      <c r="E148" s="53"/>
      <c r="F148" s="53"/>
      <c r="G148" s="53"/>
      <c r="H148" s="53"/>
      <c r="I148" s="53"/>
      <c r="J148" s="53"/>
      <c r="K148" s="53"/>
      <c r="L148" s="53"/>
      <c r="M148" s="53"/>
      <c r="N148" s="52"/>
    </row>
    <row r="149" s="63" customFormat="1" ht="15" customHeight="1">
      <c r="A149" s="67"/>
      <c r="B149" s="52"/>
      <c r="C149" s="53"/>
      <c r="D149" s="53"/>
      <c r="E149" s="53"/>
      <c r="F149" s="53"/>
      <c r="G149" s="53"/>
      <c r="H149" s="53"/>
      <c r="I149" s="53"/>
      <c r="J149" s="53"/>
      <c r="K149" s="53"/>
      <c r="L149" s="53"/>
      <c r="M149" s="53"/>
      <c r="N149" s="52"/>
    </row>
    <row r="150" s="63" customFormat="1" ht="15" customHeight="1">
      <c r="A150" s="67"/>
      <c r="B150" s="52"/>
      <c r="C150" s="53"/>
      <c r="D150" s="53"/>
      <c r="E150" s="53"/>
      <c r="F150" s="53"/>
      <c r="G150" s="53"/>
      <c r="H150" s="53"/>
      <c r="I150" s="53"/>
      <c r="J150" s="53"/>
      <c r="K150" s="53"/>
      <c r="L150" s="53"/>
      <c r="M150" s="53"/>
      <c r="N150" s="52"/>
    </row>
    <row r="151" s="63" customFormat="1" ht="15" customHeight="1">
      <c r="A151" s="67"/>
      <c r="B151" s="52"/>
      <c r="C151" s="53"/>
      <c r="D151" s="53"/>
      <c r="E151" s="53"/>
      <c r="F151" s="53"/>
      <c r="G151" s="53"/>
      <c r="H151" s="53"/>
      <c r="I151" s="53"/>
      <c r="J151" s="53"/>
      <c r="K151" s="53"/>
      <c r="L151" s="53"/>
      <c r="M151" s="53"/>
      <c r="N151" s="52"/>
    </row>
    <row r="152" s="63" customFormat="1" ht="15" customHeight="1">
      <c r="A152" s="67"/>
      <c r="B152" s="52"/>
      <c r="C152" s="53"/>
      <c r="D152" s="53"/>
      <c r="E152" s="53"/>
      <c r="F152" s="53"/>
      <c r="G152" s="53"/>
      <c r="H152" s="53"/>
      <c r="I152" s="53"/>
      <c r="J152" s="53"/>
      <c r="K152" s="53"/>
      <c r="L152" s="53"/>
      <c r="M152" s="53"/>
      <c r="N152" s="52"/>
    </row>
    <row r="153" s="63" customFormat="1" ht="15" customHeight="1">
      <c r="A153" s="67"/>
      <c r="B153" s="52"/>
      <c r="C153" s="53"/>
      <c r="D153" s="53"/>
      <c r="E153" s="53"/>
      <c r="F153" s="53"/>
      <c r="G153" s="53"/>
      <c r="H153" s="53"/>
      <c r="I153" s="53"/>
      <c r="J153" s="53"/>
      <c r="K153" s="53"/>
      <c r="L153" s="53"/>
      <c r="M153" s="53"/>
      <c r="N153" s="52"/>
    </row>
    <row r="154" s="63" customFormat="1" ht="15" customHeight="1">
      <c r="A154" s="67"/>
      <c r="B154" s="52"/>
      <c r="C154" s="53"/>
      <c r="D154" s="53"/>
      <c r="E154" s="53"/>
      <c r="F154" s="53"/>
      <c r="G154" s="53"/>
      <c r="H154" s="53"/>
      <c r="I154" s="53"/>
      <c r="J154" s="53"/>
      <c r="K154" s="53"/>
      <c r="L154" s="53"/>
      <c r="M154" s="53"/>
      <c r="N154" s="52"/>
    </row>
    <row r="155" s="63" customFormat="1" ht="15" customHeight="1">
      <c r="A155" s="67"/>
      <c r="B155" s="52"/>
      <c r="C155" s="53"/>
      <c r="D155" s="53"/>
      <c r="E155" s="53"/>
      <c r="F155" s="53"/>
      <c r="G155" s="53"/>
      <c r="H155" s="53"/>
      <c r="I155" s="53"/>
      <c r="J155" s="53"/>
      <c r="K155" s="53"/>
      <c r="L155" s="53"/>
      <c r="M155" s="53"/>
      <c r="N155" s="52"/>
    </row>
    <row r="156" s="63" customFormat="1" ht="15" customHeight="1">
      <c r="A156" s="67"/>
      <c r="B156" s="52"/>
      <c r="C156" s="53"/>
      <c r="D156" s="53"/>
      <c r="E156" s="53"/>
      <c r="F156" s="53"/>
      <c r="G156" s="53"/>
      <c r="H156" s="53"/>
      <c r="I156" s="53"/>
      <c r="J156" s="53"/>
      <c r="K156" s="53"/>
      <c r="L156" s="53"/>
      <c r="M156" s="53"/>
      <c r="N156" s="52"/>
    </row>
    <row r="157" s="63" customFormat="1" ht="15" customHeight="1">
      <c r="A157" s="67"/>
      <c r="B157" s="52"/>
      <c r="C157" s="53"/>
      <c r="D157" s="53"/>
      <c r="E157" s="53"/>
      <c r="F157" s="53"/>
      <c r="G157" s="53"/>
      <c r="H157" s="53"/>
      <c r="I157" s="53"/>
      <c r="J157" s="53"/>
      <c r="K157" s="53"/>
      <c r="L157" s="53"/>
      <c r="M157" s="53"/>
      <c r="N157" s="52"/>
    </row>
    <row r="158" s="63" customFormat="1" ht="15" customHeight="1">
      <c r="A158" s="67"/>
      <c r="B158" s="52"/>
      <c r="C158" s="53"/>
      <c r="D158" s="53"/>
      <c r="E158" s="53"/>
      <c r="F158" s="53"/>
      <c r="G158" s="53"/>
      <c r="H158" s="53"/>
      <c r="I158" s="53"/>
      <c r="J158" s="53"/>
      <c r="K158" s="53"/>
      <c r="L158" s="53"/>
      <c r="M158" s="53"/>
      <c r="N158" s="52"/>
    </row>
    <row r="159" s="63" customFormat="1" ht="15" customHeight="1">
      <c r="A159" s="67"/>
      <c r="B159" s="52"/>
      <c r="C159" s="53"/>
      <c r="D159" s="53"/>
      <c r="E159" s="53"/>
      <c r="F159" s="53"/>
      <c r="G159" s="53"/>
      <c r="H159" s="53"/>
      <c r="I159" s="53"/>
      <c r="J159" s="53"/>
      <c r="K159" s="53"/>
      <c r="L159" s="53"/>
      <c r="M159" s="53"/>
      <c r="N159" s="52"/>
    </row>
    <row r="160" s="63" customFormat="1" ht="15" customHeight="1">
      <c r="A160" s="68"/>
      <c r="B160" s="52"/>
      <c r="C160" s="53"/>
      <c r="D160" s="53"/>
      <c r="E160" s="53"/>
      <c r="F160" s="53"/>
      <c r="G160" s="53"/>
      <c r="H160" s="53"/>
      <c r="I160" s="53"/>
      <c r="J160" s="53"/>
      <c r="K160" s="53"/>
      <c r="L160" s="53"/>
      <c r="M160" s="53"/>
      <c r="N160" s="52"/>
    </row>
    <row r="161" s="63" customFormat="1" ht="15" customHeight="1">
      <c r="A161" s="67"/>
      <c r="B161" s="52"/>
      <c r="C161" s="53"/>
      <c r="D161" s="53"/>
      <c r="E161" s="53"/>
      <c r="F161" s="53"/>
      <c r="G161" s="53"/>
      <c r="H161" s="53"/>
      <c r="I161" s="53"/>
      <c r="J161" s="53"/>
      <c r="K161" s="53"/>
      <c r="L161" s="53"/>
      <c r="M161" s="53"/>
      <c r="N161" s="52"/>
    </row>
    <row r="162" s="63" customFormat="1" ht="15" customHeight="1">
      <c r="A162" s="68"/>
      <c r="B162" s="52"/>
      <c r="C162" s="53"/>
      <c r="D162" s="53"/>
      <c r="E162" s="53"/>
      <c r="F162" s="53"/>
      <c r="G162" s="53"/>
      <c r="H162" s="53"/>
      <c r="I162" s="53"/>
      <c r="J162" s="53"/>
      <c r="K162" s="53"/>
      <c r="L162" s="53"/>
      <c r="M162" s="53"/>
      <c r="N162" s="52"/>
    </row>
    <row r="163" s="63" customFormat="1" ht="15" customHeight="1">
      <c r="A163" s="67"/>
      <c r="B163" s="52"/>
      <c r="C163" s="53"/>
      <c r="D163" s="53"/>
      <c r="E163" s="53"/>
      <c r="F163" s="53"/>
      <c r="G163" s="53"/>
      <c r="H163" s="53"/>
      <c r="I163" s="53"/>
      <c r="J163" s="53"/>
      <c r="K163" s="53"/>
      <c r="L163" s="53"/>
      <c r="M163" s="53"/>
      <c r="N163" s="52"/>
    </row>
    <row r="164" s="63" customFormat="1" ht="15" customHeight="1">
      <c r="A164" s="67"/>
      <c r="B164" s="52"/>
      <c r="C164" s="53"/>
      <c r="D164" s="53"/>
      <c r="E164" s="53"/>
      <c r="F164" s="53"/>
      <c r="G164" s="53"/>
      <c r="H164" s="53"/>
      <c r="I164" s="53"/>
      <c r="J164" s="53"/>
      <c r="K164" s="53"/>
      <c r="L164" s="53"/>
      <c r="M164" s="53"/>
      <c r="N164" s="52"/>
    </row>
    <row r="165" s="63" customFormat="1" ht="15" customHeight="1">
      <c r="A165" s="67"/>
      <c r="B165" s="52"/>
      <c r="C165" s="53"/>
      <c r="D165" s="53"/>
      <c r="E165" s="53"/>
      <c r="F165" s="53"/>
      <c r="G165" s="53"/>
      <c r="H165" s="53"/>
      <c r="I165" s="53"/>
      <c r="J165" s="53"/>
      <c r="K165" s="53"/>
      <c r="L165" s="53"/>
      <c r="M165" s="53"/>
      <c r="N165" s="52"/>
    </row>
    <row r="166" s="63" customFormat="1" ht="15" customHeight="1">
      <c r="A166" s="67"/>
      <c r="B166" s="52"/>
      <c r="C166" s="53"/>
      <c r="D166" s="53"/>
      <c r="E166" s="53"/>
      <c r="F166" s="53"/>
      <c r="G166" s="53"/>
      <c r="H166" s="53"/>
      <c r="I166" s="53"/>
      <c r="J166" s="53"/>
      <c r="K166" s="53"/>
      <c r="L166" s="53"/>
      <c r="M166" s="53"/>
      <c r="N166" s="52"/>
    </row>
    <row r="167" s="63" customFormat="1" ht="15" customHeight="1">
      <c r="A167" s="67"/>
      <c r="B167" s="52"/>
      <c r="C167" s="53"/>
      <c r="D167" s="53"/>
      <c r="E167" s="53"/>
      <c r="F167" s="53"/>
      <c r="G167" s="53"/>
      <c r="H167" s="53"/>
      <c r="I167" s="53"/>
      <c r="J167" s="53"/>
      <c r="K167" s="53"/>
      <c r="L167" s="53"/>
      <c r="M167" s="53"/>
      <c r="N167" s="52"/>
    </row>
    <row r="168" s="63" customFormat="1" ht="15" customHeight="1">
      <c r="A168" s="67"/>
      <c r="B168" s="52"/>
      <c r="C168" s="53"/>
      <c r="D168" s="53"/>
      <c r="E168" s="53"/>
      <c r="F168" s="53"/>
      <c r="G168" s="53"/>
      <c r="H168" s="53"/>
      <c r="I168" s="53"/>
      <c r="J168" s="53"/>
      <c r="K168" s="53"/>
      <c r="L168" s="53"/>
      <c r="M168" s="53"/>
      <c r="N168" s="52"/>
    </row>
    <row r="169" s="63" customFormat="1" ht="15" customHeight="1">
      <c r="A169" s="67"/>
      <c r="B169" s="52"/>
      <c r="C169" s="53"/>
      <c r="D169" s="53"/>
      <c r="E169" s="53"/>
      <c r="F169" s="53"/>
      <c r="G169" s="53"/>
      <c r="H169" s="53"/>
      <c r="I169" s="53"/>
      <c r="J169" s="53"/>
      <c r="K169" s="53"/>
      <c r="L169" s="53"/>
      <c r="M169" s="53"/>
      <c r="N169" s="52"/>
    </row>
    <row r="170" s="63" customFormat="1" ht="15" customHeight="1">
      <c r="A170" s="67"/>
      <c r="B170" s="52"/>
      <c r="C170" s="53"/>
      <c r="D170" s="53"/>
      <c r="E170" s="53"/>
      <c r="F170" s="53"/>
      <c r="G170" s="53"/>
      <c r="H170" s="53"/>
      <c r="I170" s="53"/>
      <c r="J170" s="53"/>
      <c r="K170" s="53"/>
      <c r="L170" s="53"/>
      <c r="M170" s="53"/>
      <c r="N170" s="52"/>
    </row>
    <row r="171" s="63" customFormat="1" ht="15" customHeight="1">
      <c r="A171" s="67"/>
      <c r="B171" s="52"/>
      <c r="C171" s="53"/>
      <c r="D171" s="53"/>
      <c r="E171" s="53"/>
      <c r="F171" s="53"/>
      <c r="G171" s="53"/>
      <c r="H171" s="53"/>
      <c r="I171" s="53"/>
      <c r="J171" s="53"/>
      <c r="K171" s="53"/>
      <c r="L171" s="53"/>
      <c r="M171" s="53"/>
      <c r="N171" s="52"/>
    </row>
    <row r="172" s="63" customFormat="1" ht="15" customHeight="1">
      <c r="A172" s="67"/>
      <c r="B172" s="52"/>
      <c r="C172" s="53"/>
      <c r="D172" s="53"/>
      <c r="E172" s="53"/>
      <c r="F172" s="53"/>
      <c r="G172" s="53"/>
      <c r="H172" s="53"/>
      <c r="I172" s="53"/>
      <c r="J172" s="53"/>
      <c r="K172" s="53"/>
      <c r="L172" s="53"/>
      <c r="M172" s="53"/>
      <c r="N172" s="52"/>
    </row>
    <row r="173" s="63" customFormat="1" ht="15" customHeight="1">
      <c r="A173" s="68"/>
      <c r="B173" s="52"/>
      <c r="C173" s="53"/>
      <c r="D173" s="53"/>
      <c r="E173" s="53"/>
      <c r="F173" s="53"/>
      <c r="G173" s="53"/>
      <c r="H173" s="53"/>
      <c r="I173" s="53"/>
      <c r="J173" s="53"/>
      <c r="K173" s="53"/>
      <c r="L173" s="53"/>
      <c r="M173" s="53"/>
      <c r="N173" s="52"/>
    </row>
    <row r="174" s="63" customFormat="1" ht="15" customHeight="1">
      <c r="A174" s="67"/>
      <c r="B174" s="52"/>
      <c r="C174" s="53"/>
      <c r="D174" s="53"/>
      <c r="E174" s="53"/>
      <c r="F174" s="53"/>
      <c r="G174" s="53"/>
      <c r="H174" s="53"/>
      <c r="I174" s="53"/>
      <c r="J174" s="53"/>
      <c r="K174" s="53"/>
      <c r="L174" s="53"/>
      <c r="M174" s="53"/>
      <c r="N174" s="52"/>
    </row>
    <row r="175" s="63" customFormat="1" ht="15" customHeight="1">
      <c r="A175" s="67"/>
      <c r="B175" s="52"/>
      <c r="C175" s="53"/>
      <c r="D175" s="53"/>
      <c r="E175" s="53"/>
      <c r="F175" s="53"/>
      <c r="G175" s="53"/>
      <c r="H175" s="53"/>
      <c r="I175" s="53"/>
      <c r="J175" s="53"/>
      <c r="K175" s="53"/>
      <c r="L175" s="53"/>
      <c r="M175" s="53"/>
      <c r="N175" s="52"/>
    </row>
    <row r="176" s="63" customFormat="1" ht="15" customHeight="1">
      <c r="A176" s="68"/>
      <c r="B176" s="52"/>
      <c r="C176" s="53"/>
      <c r="D176" s="53"/>
      <c r="E176" s="53"/>
      <c r="F176" s="53"/>
      <c r="G176" s="53"/>
      <c r="H176" s="53"/>
      <c r="I176" s="53"/>
      <c r="J176" s="53"/>
      <c r="K176" s="53"/>
      <c r="L176" s="53"/>
      <c r="M176" s="53"/>
      <c r="N176" s="52"/>
    </row>
    <row r="177" s="63" customFormat="1" ht="15" customHeight="1">
      <c r="A177" s="67"/>
      <c r="B177" s="52"/>
      <c r="C177" s="53"/>
      <c r="D177" s="53"/>
      <c r="E177" s="53"/>
      <c r="F177" s="53"/>
      <c r="G177" s="53"/>
      <c r="H177" s="53"/>
      <c r="I177" s="53"/>
      <c r="J177" s="53"/>
      <c r="K177" s="53"/>
      <c r="L177" s="53"/>
      <c r="M177" s="53"/>
      <c r="N177" s="52"/>
    </row>
    <row r="178" s="63" customFormat="1" ht="15" customHeight="1">
      <c r="A178" s="68"/>
      <c r="B178" s="52"/>
      <c r="C178" s="53"/>
      <c r="D178" s="53"/>
      <c r="E178" s="53"/>
      <c r="F178" s="53"/>
      <c r="G178" s="53"/>
      <c r="H178" s="53"/>
      <c r="I178" s="53"/>
      <c r="J178" s="53"/>
      <c r="K178" s="53"/>
      <c r="L178" s="53"/>
      <c r="M178" s="53"/>
      <c r="N178" s="52"/>
    </row>
    <row r="179" s="63" customFormat="1" ht="15" customHeight="1">
      <c r="A179" s="67"/>
      <c r="B179" s="52"/>
      <c r="C179" s="53"/>
      <c r="D179" s="53"/>
      <c r="E179" s="53"/>
      <c r="F179" s="53"/>
      <c r="G179" s="53"/>
      <c r="H179" s="53"/>
      <c r="I179" s="53"/>
      <c r="J179" s="53"/>
      <c r="K179" s="53"/>
      <c r="L179" s="53"/>
      <c r="M179" s="53"/>
      <c r="N179" s="52"/>
    </row>
    <row r="180" s="63" customFormat="1" ht="15" customHeight="1">
      <c r="A180" s="67"/>
      <c r="B180" s="52"/>
      <c r="C180" s="53"/>
      <c r="D180" s="53"/>
      <c r="E180" s="53"/>
      <c r="F180" s="53"/>
      <c r="G180" s="53"/>
      <c r="H180" s="53"/>
      <c r="I180" s="53"/>
      <c r="J180" s="53"/>
      <c r="K180" s="53"/>
      <c r="L180" s="53"/>
      <c r="M180" s="53"/>
      <c r="N180" s="52"/>
    </row>
    <row r="181" s="63" customFormat="1" ht="15" customHeight="1">
      <c r="A181" s="67"/>
      <c r="B181" s="52"/>
      <c r="C181" s="53"/>
      <c r="D181" s="53"/>
      <c r="E181" s="53"/>
      <c r="F181" s="53"/>
      <c r="G181" s="53"/>
      <c r="H181" s="53"/>
      <c r="I181" s="53"/>
      <c r="J181" s="53"/>
      <c r="K181" s="53"/>
      <c r="L181" s="53"/>
      <c r="M181" s="53"/>
      <c r="N181" s="52"/>
    </row>
    <row r="182" s="63" customFormat="1" ht="15" customHeight="1">
      <c r="A182" s="67"/>
      <c r="B182" s="52"/>
      <c r="C182" s="53"/>
      <c r="D182" s="53"/>
      <c r="E182" s="53"/>
      <c r="F182" s="53"/>
      <c r="G182" s="53"/>
      <c r="H182" s="53"/>
      <c r="I182" s="53"/>
      <c r="J182" s="53"/>
      <c r="K182" s="53"/>
      <c r="L182" s="53"/>
      <c r="M182" s="53"/>
      <c r="N182" s="52"/>
    </row>
    <row r="183" s="63" customFormat="1" ht="15" customHeight="1">
      <c r="A183" s="67"/>
      <c r="B183" s="52"/>
      <c r="C183" s="53"/>
      <c r="D183" s="53"/>
      <c r="E183" s="53"/>
      <c r="F183" s="53"/>
      <c r="G183" s="53"/>
      <c r="H183" s="53"/>
      <c r="I183" s="53"/>
      <c r="J183" s="53"/>
      <c r="K183" s="53"/>
      <c r="L183" s="53"/>
      <c r="M183" s="53"/>
      <c r="N183" s="52"/>
    </row>
    <row r="184" s="63" customFormat="1" ht="15" customHeight="1">
      <c r="A184" s="67"/>
      <c r="B184" s="52"/>
      <c r="C184" s="53"/>
      <c r="D184" s="53"/>
      <c r="E184" s="53"/>
      <c r="F184" s="53"/>
      <c r="G184" s="53"/>
      <c r="H184" s="53"/>
      <c r="I184" s="53"/>
      <c r="J184" s="53"/>
      <c r="K184" s="53"/>
      <c r="L184" s="53"/>
      <c r="M184" s="53"/>
      <c r="N184" s="52"/>
    </row>
    <row r="185" s="63" customFormat="1" ht="15" customHeight="1">
      <c r="A185" s="67"/>
      <c r="B185" s="52"/>
      <c r="C185" s="53"/>
      <c r="D185" s="53"/>
      <c r="E185" s="53"/>
      <c r="F185" s="53"/>
      <c r="G185" s="53"/>
      <c r="H185" s="53"/>
      <c r="I185" s="53"/>
      <c r="J185" s="53"/>
      <c r="K185" s="53"/>
      <c r="L185" s="53"/>
      <c r="M185" s="53"/>
      <c r="N185" s="52"/>
    </row>
    <row r="186" s="63" customFormat="1" ht="15" customHeight="1">
      <c r="A186" s="67"/>
      <c r="B186" s="52"/>
      <c r="C186" s="53"/>
      <c r="D186" s="53"/>
      <c r="E186" s="53"/>
      <c r="F186" s="53"/>
      <c r="G186" s="53"/>
      <c r="H186" s="53"/>
      <c r="I186" s="53"/>
      <c r="J186" s="53"/>
      <c r="K186" s="53"/>
      <c r="L186" s="53"/>
      <c r="M186" s="53"/>
      <c r="N186" s="52"/>
    </row>
    <row r="187" s="63" customFormat="1" ht="15" customHeight="1">
      <c r="A187" s="67"/>
      <c r="B187" s="52"/>
      <c r="C187" s="53"/>
      <c r="D187" s="53"/>
      <c r="E187" s="53"/>
      <c r="F187" s="53"/>
      <c r="G187" s="53"/>
      <c r="H187" s="53"/>
      <c r="I187" s="53"/>
      <c r="J187" s="53"/>
      <c r="K187" s="53"/>
      <c r="L187" s="53"/>
      <c r="M187" s="53"/>
      <c r="N187" s="52"/>
    </row>
    <row r="188" s="63" customFormat="1" ht="15" customHeight="1">
      <c r="A188" s="67"/>
      <c r="B188" s="52"/>
      <c r="C188" s="53"/>
      <c r="D188" s="53"/>
      <c r="E188" s="53"/>
      <c r="F188" s="53"/>
      <c r="G188" s="53"/>
      <c r="H188" s="53"/>
      <c r="I188" s="53"/>
      <c r="J188" s="53"/>
      <c r="K188" s="53"/>
      <c r="L188" s="53"/>
      <c r="M188" s="53"/>
      <c r="N188" s="52"/>
    </row>
    <row r="189" s="63" customFormat="1" ht="15" customHeight="1">
      <c r="A189" s="67"/>
      <c r="B189" s="52"/>
      <c r="C189" s="53"/>
      <c r="D189" s="53"/>
      <c r="E189" s="53"/>
      <c r="F189" s="53"/>
      <c r="G189" s="53"/>
      <c r="H189" s="53"/>
      <c r="I189" s="53"/>
      <c r="J189" s="53"/>
      <c r="K189" s="53"/>
      <c r="L189" s="53"/>
      <c r="M189" s="53"/>
      <c r="N189" s="52"/>
    </row>
    <row r="190" s="63" customFormat="1" ht="15" customHeight="1">
      <c r="A190" s="67"/>
      <c r="B190" s="52"/>
      <c r="C190" s="53"/>
      <c r="D190" s="53"/>
      <c r="E190" s="53"/>
      <c r="F190" s="53"/>
      <c r="G190" s="53"/>
      <c r="H190" s="53"/>
      <c r="I190" s="53"/>
      <c r="J190" s="53"/>
      <c r="K190" s="53"/>
      <c r="L190" s="53"/>
      <c r="M190" s="53"/>
      <c r="N190" s="52"/>
    </row>
    <row r="191" s="63" customFormat="1" ht="15" customHeight="1">
      <c r="A191" s="67"/>
      <c r="B191" s="52"/>
      <c r="C191" s="53"/>
      <c r="D191" s="53"/>
      <c r="E191" s="53"/>
      <c r="F191" s="53"/>
      <c r="G191" s="53"/>
      <c r="H191" s="53"/>
      <c r="I191" s="53"/>
      <c r="J191" s="53"/>
      <c r="K191" s="53"/>
      <c r="L191" s="53"/>
      <c r="M191" s="53"/>
      <c r="N191" s="52"/>
    </row>
    <row r="192" s="63" customFormat="1" ht="15" customHeight="1">
      <c r="A192" s="67"/>
      <c r="B192" s="52"/>
      <c r="C192" s="53"/>
      <c r="D192" s="53"/>
      <c r="E192" s="53"/>
      <c r="F192" s="53"/>
      <c r="G192" s="53"/>
      <c r="H192" s="53"/>
      <c r="I192" s="53"/>
      <c r="J192" s="53"/>
      <c r="K192" s="53"/>
      <c r="L192" s="53"/>
      <c r="M192" s="53"/>
      <c r="N192" s="52"/>
    </row>
    <row r="193" s="63" customFormat="1" ht="15" customHeight="1">
      <c r="A193" s="68"/>
      <c r="B193" s="52"/>
      <c r="C193" s="53"/>
      <c r="D193" s="53"/>
      <c r="E193" s="53"/>
      <c r="F193" s="53"/>
      <c r="G193" s="53"/>
      <c r="H193" s="53"/>
      <c r="I193" s="53"/>
      <c r="J193" s="53"/>
      <c r="K193" s="53"/>
      <c r="L193" s="53"/>
      <c r="M193" s="53"/>
      <c r="N193" s="52"/>
    </row>
    <row r="194" s="63" customFormat="1" ht="15" customHeight="1">
      <c r="A194" s="67"/>
      <c r="B194" s="52"/>
      <c r="C194" s="53"/>
      <c r="D194" s="53"/>
      <c r="E194" s="53"/>
      <c r="F194" s="53"/>
      <c r="G194" s="53"/>
      <c r="H194" s="53"/>
      <c r="I194" s="53"/>
      <c r="J194" s="53"/>
      <c r="K194" s="53"/>
      <c r="L194" s="53"/>
      <c r="M194" s="53"/>
      <c r="N194" s="52"/>
    </row>
    <row r="195" s="63" customFormat="1" ht="15" customHeight="1">
      <c r="A195" s="68"/>
      <c r="B195" s="52"/>
      <c r="C195" s="53"/>
      <c r="D195" s="53"/>
      <c r="E195" s="53"/>
      <c r="F195" s="53"/>
      <c r="G195" s="53"/>
      <c r="H195" s="53"/>
      <c r="I195" s="53"/>
      <c r="J195" s="53"/>
      <c r="K195" s="53"/>
      <c r="L195" s="53"/>
      <c r="M195" s="53"/>
      <c r="N195" s="52"/>
    </row>
    <row r="196" s="63" customFormat="1" ht="15" customHeight="1">
      <c r="A196" s="67"/>
      <c r="B196" s="52"/>
      <c r="C196" s="53"/>
      <c r="D196" s="53"/>
      <c r="E196" s="53"/>
      <c r="F196" s="53"/>
      <c r="G196" s="53"/>
      <c r="H196" s="53"/>
      <c r="I196" s="53"/>
      <c r="J196" s="53"/>
      <c r="K196" s="53"/>
      <c r="L196" s="53"/>
      <c r="M196" s="53"/>
      <c r="N196" s="52"/>
    </row>
    <row r="197" s="63" customFormat="1" ht="15" customHeight="1">
      <c r="A197" s="67"/>
      <c r="B197" s="52"/>
      <c r="C197" s="53"/>
      <c r="D197" s="53"/>
      <c r="E197" s="53"/>
      <c r="F197" s="53"/>
      <c r="G197" s="53"/>
      <c r="H197" s="53"/>
      <c r="I197" s="53"/>
      <c r="J197" s="53"/>
      <c r="K197" s="53"/>
      <c r="L197" s="53"/>
      <c r="M197" s="53"/>
      <c r="N197" s="52"/>
    </row>
    <row r="198" s="63" customFormat="1" ht="15" customHeight="1">
      <c r="A198" s="67"/>
      <c r="B198" s="52"/>
      <c r="C198" s="53"/>
      <c r="D198" s="53"/>
      <c r="E198" s="53"/>
      <c r="F198" s="53"/>
      <c r="G198" s="53"/>
      <c r="H198" s="53"/>
      <c r="I198" s="53"/>
      <c r="J198" s="53"/>
      <c r="K198" s="53"/>
      <c r="L198" s="53"/>
      <c r="M198" s="53"/>
      <c r="N198" s="52"/>
    </row>
    <row r="199" s="63" customFormat="1" ht="15" customHeight="1">
      <c r="A199" s="67"/>
      <c r="B199" s="52"/>
      <c r="C199" s="53"/>
      <c r="D199" s="53"/>
      <c r="E199" s="53"/>
      <c r="F199" s="53"/>
      <c r="G199" s="53"/>
      <c r="H199" s="53"/>
      <c r="I199" s="53"/>
      <c r="J199" s="53"/>
      <c r="K199" s="53"/>
      <c r="L199" s="53"/>
      <c r="M199" s="53"/>
      <c r="N199" s="52"/>
    </row>
    <row r="200" s="63" customFormat="1" ht="15" customHeight="1">
      <c r="A200" s="67"/>
      <c r="B200" s="52"/>
      <c r="C200" s="53"/>
      <c r="D200" s="53"/>
      <c r="E200" s="53"/>
      <c r="F200" s="53"/>
      <c r="G200" s="53"/>
      <c r="H200" s="53"/>
      <c r="I200" s="53"/>
      <c r="J200" s="53"/>
      <c r="K200" s="53"/>
      <c r="L200" s="53"/>
      <c r="M200" s="53"/>
      <c r="N200" s="52"/>
    </row>
  </sheetData>
  <sheetProtection insertHyperlinks="0" autoFilter="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pane topLeftCell="C7" activePane="bottomRight" state="frozen" xSplit="2" ySplit="6"/>
    </sheetView>
  </sheetViews>
  <sheetFormatPr baseColWidth="10" defaultColWidth="9" defaultRowHeight="15" customHeight="1"/>
  <cols>
    <col min="1" max="1" width="10.6640625" customWidth="1" style="46"/>
    <col min="2" max="2" width="10.6640625" customWidth="1" style="45"/>
    <col min="3" max="3" width="20.666015625" customWidth="1" style="45"/>
    <col min="4" max="6" width="15.6650390625" customWidth="1" style="45"/>
    <col min="7" max="7" width="20.33203125" customWidth="1" style="45"/>
    <col min="8" max="9" width="15.6650390625" customWidth="1" style="45"/>
    <col min="10" max="10" width="16.166015625" customWidth="1" style="45"/>
    <col min="11" max="11" width="20.666015625" customWidth="1" style="47"/>
    <col min="12" max="14" width="15.6650390625" customWidth="1" style="45"/>
    <col min="15" max="40" width="9" style="45"/>
  </cols>
  <sheetData>
    <row r="1" ht="16.5" customHeight="1">
      <c r="A1" s="239" t="s">
        <v>166</v>
      </c>
      <c r="B1" s="239"/>
      <c r="C1" s="303" t="s">
        <v>167</v>
      </c>
      <c r="D1" s="240"/>
      <c r="E1" s="240"/>
      <c r="F1" s="240"/>
      <c r="G1" s="304" t="s">
        <v>168</v>
      </c>
      <c r="H1" s="241"/>
      <c r="I1" s="241"/>
      <c r="J1" s="241"/>
      <c r="K1" s="303" t="s">
        <v>169</v>
      </c>
      <c r="L1" s="242"/>
      <c r="M1" s="240"/>
      <c r="N1" s="240"/>
    </row>
    <row r="2" ht="16.5" customHeight="1">
      <c r="A2" s="239" t="s">
        <v>170</v>
      </c>
      <c r="B2" s="239"/>
      <c r="C2" s="48" t="s">
        <v>171</v>
      </c>
      <c r="D2" s="48" t="s">
        <v>172</v>
      </c>
      <c r="E2" s="48" t="s">
        <v>173</v>
      </c>
      <c r="F2" s="48" t="s">
        <v>174</v>
      </c>
      <c r="G2" s="55" t="s">
        <v>171</v>
      </c>
      <c r="H2" s="55" t="s">
        <v>172</v>
      </c>
      <c r="I2" s="55" t="s">
        <v>173</v>
      </c>
      <c r="J2" s="55" t="s">
        <v>174</v>
      </c>
      <c r="K2" s="48" t="s">
        <v>171</v>
      </c>
      <c r="L2" s="59" t="s">
        <v>172</v>
      </c>
      <c r="M2" s="48" t="s">
        <v>173</v>
      </c>
      <c r="N2" s="48" t="s">
        <v>174</v>
      </c>
    </row>
    <row r="3" ht="16.5" customHeight="1">
      <c r="A3" s="243" t="s">
        <v>175</v>
      </c>
      <c r="B3" s="243"/>
      <c r="C3" s="49"/>
      <c r="D3" s="50"/>
      <c r="E3" s="56"/>
      <c r="F3" s="56"/>
      <c r="G3" s="57"/>
      <c r="H3" s="58"/>
      <c r="I3" s="60"/>
      <c r="J3" s="60"/>
      <c r="K3" s="49"/>
      <c r="L3" s="50"/>
      <c r="M3" s="56"/>
      <c r="N3" s="56"/>
    </row>
    <row r="4" ht="16.5" customHeight="1">
      <c r="A4" s="243" t="s">
        <v>176</v>
      </c>
      <c r="B4" s="243"/>
      <c r="C4" s="49"/>
      <c r="D4" s="50"/>
      <c r="E4" s="56"/>
      <c r="F4" s="56"/>
      <c r="G4" s="57"/>
      <c r="H4" s="58"/>
      <c r="I4" s="60"/>
      <c r="J4" s="60"/>
      <c r="K4" s="49"/>
      <c r="L4" s="61"/>
      <c r="M4" s="56"/>
      <c r="N4" s="56"/>
    </row>
    <row r="5" ht="16.5" customHeight="1">
      <c r="A5" s="373" t="s">
        <v>177</v>
      </c>
      <c r="B5" s="292"/>
      <c r="C5" s="49"/>
      <c r="D5" s="50"/>
      <c r="E5" s="56"/>
      <c r="F5" s="56"/>
      <c r="G5" s="57"/>
      <c r="H5" s="58"/>
      <c r="I5" s="60"/>
      <c r="J5" s="60"/>
      <c r="K5" s="49"/>
      <c r="L5" s="61"/>
      <c r="M5" s="56"/>
      <c r="N5" s="56"/>
    </row>
    <row r="6" ht="16.5" customHeight="1">
      <c r="A6" s="292"/>
      <c r="B6" s="292"/>
      <c r="C6" s="49"/>
      <c r="D6" s="50"/>
      <c r="E6" s="56"/>
      <c r="F6" s="56"/>
      <c r="G6" s="57"/>
      <c r="H6" s="58"/>
      <c r="I6" s="60"/>
      <c r="J6" s="60"/>
      <c r="K6" s="49"/>
      <c r="L6" s="61"/>
      <c r="M6" s="56"/>
      <c r="N6" s="56"/>
    </row>
    <row r="7" ht="16.5" customHeight="1">
      <c r="A7" s="244" t="s">
        <v>178</v>
      </c>
      <c r="B7" s="244"/>
      <c r="C7" s="245"/>
      <c r="D7" s="245"/>
      <c r="E7" s="245"/>
      <c r="F7" s="245"/>
      <c r="G7" s="245"/>
      <c r="H7" s="245"/>
      <c r="I7" s="245"/>
      <c r="J7" s="245"/>
      <c r="K7" s="245"/>
      <c r="L7" s="26"/>
      <c r="M7" s="26"/>
      <c r="N7" s="26"/>
    </row>
    <row r="8" ht="16.5" customHeight="1">
      <c r="A8" s="244" t="s">
        <v>179</v>
      </c>
      <c r="B8" s="244"/>
      <c r="C8" s="246"/>
      <c r="D8" s="246"/>
      <c r="E8" s="246"/>
      <c r="F8" s="246"/>
      <c r="G8" s="246"/>
      <c r="H8" s="246"/>
      <c r="I8" s="246"/>
      <c r="J8" s="246"/>
      <c r="K8" s="246"/>
      <c r="L8" s="26"/>
      <c r="M8" s="26"/>
      <c r="N8" s="26"/>
    </row>
    <row r="9" ht="16.5" customHeight="1">
      <c r="A9" s="247" t="s">
        <v>180</v>
      </c>
      <c r="B9" s="247"/>
      <c r="L9" s="26"/>
      <c r="M9" s="26"/>
      <c r="N9" s="26"/>
    </row>
    <row r="10" ht="16.5" customHeight="1">
      <c r="A10" s="247" t="s">
        <v>181</v>
      </c>
      <c r="B10" s="247"/>
      <c r="C10" s="246"/>
      <c r="D10" s="246"/>
      <c r="E10" s="246"/>
      <c r="F10" s="246"/>
      <c r="G10" s="246"/>
      <c r="H10" s="246"/>
      <c r="I10" s="246"/>
      <c r="J10" s="246"/>
      <c r="K10" s="246"/>
      <c r="L10" s="26"/>
      <c r="M10" s="26"/>
      <c r="N10" s="26"/>
    </row>
    <row r="11" ht="16.5" customHeight="1">
      <c r="A11" s="244" t="s">
        <v>182</v>
      </c>
      <c r="B11" s="244"/>
      <c r="C11" s="246"/>
      <c r="D11" s="246"/>
      <c r="E11" s="246"/>
      <c r="F11" s="246"/>
      <c r="G11" s="246"/>
      <c r="H11" s="246"/>
      <c r="I11" s="246"/>
      <c r="J11" s="246"/>
      <c r="K11" s="246"/>
      <c r="L11" s="26"/>
      <c r="M11" s="26"/>
      <c r="N11" s="26"/>
    </row>
    <row r="12" s="310" customFormat="1" ht="15.6" customHeight="1">
      <c r="A12" s="297" t="s">
        <v>183</v>
      </c>
      <c r="B12" s="298"/>
      <c r="C12" s="248" t="s">
        <v>143</v>
      </c>
      <c r="D12" s="249"/>
      <c r="E12" s="250"/>
      <c r="F12" s="248" t="s">
        <v>144</v>
      </c>
      <c r="G12" s="249"/>
      <c r="H12" s="250"/>
      <c r="I12" s="248" t="s">
        <v>146</v>
      </c>
      <c r="J12" s="249"/>
      <c r="K12" s="250"/>
      <c r="L12" s="45"/>
      <c r="M12" s="45"/>
      <c r="N12" s="45"/>
      <c r="O12" s="45"/>
      <c r="P12" s="45"/>
      <c r="Q12" s="45"/>
      <c r="R12" s="45"/>
      <c r="S12" s="45"/>
      <c r="T12" s="45"/>
      <c r="U12" s="45"/>
      <c r="V12" s="45"/>
    </row>
    <row r="13" s="310" customFormat="1" ht="15.6" customHeight="1">
      <c r="A13" s="297"/>
      <c r="B13" s="298"/>
      <c r="C13" s="51"/>
      <c r="D13" s="51" t="s">
        <v>144</v>
      </c>
      <c r="E13" s="51" t="s">
        <v>146</v>
      </c>
      <c r="F13" s="51"/>
      <c r="G13" s="51" t="s">
        <v>143</v>
      </c>
      <c r="H13" s="51" t="s">
        <v>146</v>
      </c>
      <c r="I13" s="51"/>
      <c r="J13" s="51" t="s">
        <v>143</v>
      </c>
      <c r="K13" s="51" t="s">
        <v>144</v>
      </c>
      <c r="L13" s="45"/>
      <c r="M13" s="45"/>
      <c r="N13" s="45"/>
      <c r="O13" s="45"/>
      <c r="P13" s="45"/>
      <c r="Q13" s="45"/>
      <c r="R13" s="45"/>
      <c r="S13" s="45"/>
      <c r="T13" s="45"/>
      <c r="U13" s="45"/>
      <c r="V13" s="45"/>
    </row>
    <row r="14" s="310" customFormat="1" ht="15.6" customHeight="1">
      <c r="A14" s="297"/>
      <c r="B14" s="298"/>
      <c r="C14" s="52"/>
      <c r="D14" s="53"/>
      <c r="E14" s="53"/>
      <c r="F14" s="52"/>
      <c r="G14" s="53"/>
      <c r="H14" s="53"/>
      <c r="I14" s="52"/>
      <c r="J14" s="53"/>
      <c r="K14" s="53"/>
      <c r="L14" s="45"/>
      <c r="M14" s="45"/>
      <c r="N14" s="45"/>
      <c r="O14" s="45"/>
      <c r="P14" s="45"/>
      <c r="Q14" s="45"/>
      <c r="R14" s="45"/>
      <c r="S14" s="45"/>
      <c r="T14" s="45"/>
      <c r="U14" s="45"/>
      <c r="V14" s="45"/>
    </row>
    <row r="15" s="310" customFormat="1" ht="15.6" customHeight="1">
      <c r="A15" s="297"/>
      <c r="B15" s="298"/>
      <c r="C15" s="52"/>
      <c r="D15" s="53"/>
      <c r="E15" s="53"/>
      <c r="F15" s="52"/>
      <c r="G15" s="53"/>
      <c r="H15" s="53"/>
      <c r="I15" s="52"/>
      <c r="J15" s="53"/>
      <c r="K15" s="53"/>
      <c r="L15" s="45"/>
      <c r="M15" s="45"/>
      <c r="N15" s="45"/>
      <c r="O15" s="45"/>
      <c r="P15" s="45"/>
      <c r="Q15" s="45"/>
      <c r="R15" s="45"/>
      <c r="S15" s="45"/>
      <c r="T15" s="45"/>
      <c r="U15" s="45"/>
      <c r="V15" s="45"/>
    </row>
    <row r="16" s="310" customFormat="1" ht="15.6" customHeight="1">
      <c r="A16" s="297"/>
      <c r="B16" s="298"/>
      <c r="C16" s="52"/>
      <c r="D16" s="53"/>
      <c r="E16" s="53"/>
      <c r="F16" s="52"/>
      <c r="G16" s="53"/>
      <c r="H16" s="53"/>
      <c r="I16" s="52"/>
      <c r="J16" s="53"/>
      <c r="K16" s="53"/>
      <c r="L16" s="45"/>
      <c r="M16" s="45"/>
      <c r="N16" s="45"/>
      <c r="O16" s="45"/>
      <c r="P16" s="45"/>
      <c r="Q16" s="45"/>
      <c r="R16" s="45"/>
      <c r="S16" s="45"/>
      <c r="T16" s="45"/>
      <c r="U16" s="45"/>
      <c r="V16" s="45"/>
    </row>
    <row r="17" s="310" customFormat="1" ht="15.6" customHeight="1">
      <c r="A17" s="297"/>
      <c r="B17" s="298"/>
      <c r="C17" s="52"/>
      <c r="D17" s="53"/>
      <c r="E17" s="53"/>
      <c r="F17" s="52"/>
      <c r="G17" s="53"/>
      <c r="H17" s="53"/>
      <c r="I17" s="52"/>
      <c r="J17" s="53"/>
      <c r="K17" s="53"/>
      <c r="L17" s="45"/>
      <c r="M17" s="45"/>
      <c r="N17" s="45"/>
      <c r="O17" s="45"/>
      <c r="P17" s="45"/>
      <c r="Q17" s="45"/>
      <c r="R17" s="45"/>
      <c r="S17" s="45"/>
      <c r="T17" s="45"/>
      <c r="U17" s="45"/>
      <c r="V17" s="45"/>
    </row>
    <row r="18" s="310" customFormat="1" ht="15.6" customHeight="1">
      <c r="A18" s="297"/>
      <c r="B18" s="298"/>
      <c r="C18" s="52"/>
      <c r="D18" s="53"/>
      <c r="E18" s="53"/>
      <c r="F18" s="52"/>
      <c r="G18" s="53"/>
      <c r="H18" s="53"/>
      <c r="I18" s="52"/>
      <c r="J18" s="53"/>
      <c r="K18" s="53"/>
      <c r="L18" s="45"/>
      <c r="M18" s="45"/>
      <c r="N18" s="45"/>
      <c r="O18" s="45"/>
      <c r="P18" s="45"/>
      <c r="Q18" s="45"/>
      <c r="R18" s="45"/>
      <c r="S18" s="45"/>
      <c r="T18" s="45"/>
      <c r="U18" s="45"/>
      <c r="V18" s="45"/>
    </row>
    <row r="19" s="310" customFormat="1" ht="15.6" customHeight="1">
      <c r="A19" s="251" t="s">
        <v>184</v>
      </c>
      <c r="B19" s="252"/>
      <c r="C19" s="300" t="s">
        <v>185</v>
      </c>
      <c r="D19" s="301"/>
      <c r="E19" s="302"/>
      <c r="F19" s="300" t="s">
        <v>185</v>
      </c>
      <c r="G19" s="301"/>
      <c r="H19" s="302"/>
      <c r="I19" s="300" t="s">
        <v>185</v>
      </c>
      <c r="J19" s="301"/>
      <c r="K19" s="302"/>
      <c r="L19" s="45"/>
      <c r="M19" s="45"/>
      <c r="N19" s="45"/>
      <c r="O19" s="45"/>
      <c r="P19" s="45"/>
      <c r="Q19" s="45"/>
      <c r="R19" s="45"/>
      <c r="S19" s="45"/>
      <c r="T19" s="45"/>
      <c r="U19" s="45"/>
      <c r="V19" s="45"/>
    </row>
    <row r="20" s="310" customFormat="1" ht="16.5" customHeight="1">
      <c r="A20" s="293" t="s">
        <v>186</v>
      </c>
      <c r="B20" s="294"/>
      <c r="C20" s="299" t="s">
        <v>187</v>
      </c>
      <c r="D20" s="253"/>
      <c r="E20" s="253"/>
      <c r="F20" s="253"/>
      <c r="G20" s="253"/>
      <c r="H20" s="253"/>
      <c r="I20" s="253"/>
      <c r="J20" s="253"/>
      <c r="K20" s="253"/>
      <c r="L20" s="26"/>
      <c r="M20" s="26"/>
      <c r="N20" s="26"/>
    </row>
    <row r="21" s="310" customFormat="1" ht="33" customHeight="1">
      <c r="A21" s="295"/>
      <c r="B21" s="296"/>
      <c r="C21" s="254"/>
      <c r="D21" s="255"/>
      <c r="E21" s="255"/>
      <c r="F21" s="255"/>
      <c r="G21" s="255"/>
      <c r="H21" s="255"/>
      <c r="I21" s="255"/>
      <c r="J21" s="255"/>
      <c r="K21" s="255"/>
      <c r="L21" s="26"/>
      <c r="M21" s="26"/>
      <c r="N21" s="26"/>
    </row>
    <row r="22" ht="16.5" customHeight="1">
      <c r="A22" s="256"/>
      <c r="B22" s="257"/>
      <c r="C22" s="257"/>
      <c r="D22" s="257"/>
      <c r="E22" s="257"/>
      <c r="F22" s="257"/>
      <c r="G22" s="257"/>
      <c r="H22" s="257"/>
      <c r="I22" s="257"/>
      <c r="J22" s="257"/>
      <c r="K22" s="258"/>
      <c r="L22" s="26"/>
      <c r="M22" s="26"/>
      <c r="N22" s="26"/>
    </row>
    <row r="23" ht="32.25" customHeight="1">
      <c r="A23" s="259" t="s">
        <v>188</v>
      </c>
      <c r="B23" s="260"/>
      <c r="C23" s="261"/>
      <c r="D23" s="261"/>
      <c r="E23" s="261"/>
      <c r="F23" s="261"/>
      <c r="G23" s="261"/>
      <c r="H23" s="261"/>
      <c r="I23" s="261"/>
      <c r="J23" s="261"/>
      <c r="K23" s="262"/>
      <c r="L23" s="26"/>
      <c r="M23" s="26"/>
      <c r="N23" s="26"/>
    </row>
    <row r="24" ht="16.5" customHeight="1">
      <c r="A24" s="256"/>
      <c r="B24" s="257"/>
      <c r="C24" s="257"/>
      <c r="D24" s="257"/>
      <c r="E24" s="257"/>
      <c r="F24" s="257"/>
      <c r="G24" s="257"/>
      <c r="H24" s="257"/>
      <c r="I24" s="257"/>
      <c r="J24" s="257"/>
      <c r="K24" s="258"/>
      <c r="L24" s="26"/>
      <c r="M24" s="26"/>
      <c r="N24" s="26"/>
    </row>
    <row r="25" ht="30" customHeight="1">
      <c r="A25" s="374" t="s">
        <v>189</v>
      </c>
      <c r="B25" s="54" t="s">
        <v>190</v>
      </c>
      <c r="C25" s="263"/>
      <c r="D25" s="263"/>
      <c r="E25" s="263"/>
      <c r="F25" s="263"/>
      <c r="G25" s="263"/>
      <c r="H25" s="263"/>
      <c r="I25" s="263"/>
      <c r="J25" s="263"/>
      <c r="K25" s="263"/>
      <c r="L25" s="26"/>
      <c r="M25" s="26"/>
      <c r="N25" s="26"/>
    </row>
    <row r="26" ht="30" customHeight="1">
      <c r="A26" s="290"/>
      <c r="B26" s="54" t="s">
        <v>191</v>
      </c>
      <c r="C26" s="263"/>
      <c r="D26" s="263"/>
      <c r="E26" s="263"/>
      <c r="F26" s="263"/>
      <c r="G26" s="263"/>
      <c r="H26" s="263"/>
      <c r="I26" s="263"/>
      <c r="J26" s="263"/>
      <c r="K26" s="263"/>
      <c r="L26" s="26"/>
      <c r="M26" s="26"/>
      <c r="N26" s="26"/>
    </row>
    <row r="27" ht="30" customHeight="1">
      <c r="A27" s="290"/>
      <c r="B27" s="54" t="s">
        <v>192</v>
      </c>
      <c r="C27" s="263"/>
      <c r="D27" s="263"/>
      <c r="E27" s="263"/>
      <c r="F27" s="263"/>
      <c r="G27" s="263"/>
      <c r="H27" s="263"/>
      <c r="I27" s="263"/>
      <c r="J27" s="263"/>
      <c r="K27" s="263"/>
      <c r="L27" s="26"/>
      <c r="M27" s="26"/>
      <c r="N27" s="26"/>
    </row>
    <row r="28" ht="30" customHeight="1">
      <c r="A28" s="290"/>
      <c r="B28" s="54" t="s">
        <v>193</v>
      </c>
      <c r="C28" s="263"/>
      <c r="D28" s="263"/>
      <c r="E28" s="263"/>
      <c r="F28" s="263"/>
      <c r="G28" s="263"/>
      <c r="H28" s="263"/>
      <c r="I28" s="263"/>
      <c r="J28" s="263"/>
      <c r="K28" s="263"/>
      <c r="L28" s="26"/>
      <c r="M28" s="26"/>
      <c r="N28" s="26"/>
    </row>
    <row r="29" ht="30" customHeight="1">
      <c r="A29" s="290"/>
      <c r="B29" s="54" t="s">
        <v>194</v>
      </c>
      <c r="C29" s="263"/>
      <c r="D29" s="263"/>
      <c r="E29" s="263"/>
      <c r="F29" s="263"/>
      <c r="G29" s="263"/>
      <c r="H29" s="263"/>
      <c r="I29" s="263"/>
      <c r="J29" s="263"/>
      <c r="K29" s="263"/>
      <c r="L29" s="26"/>
      <c r="M29" s="26"/>
      <c r="N29" s="26"/>
    </row>
    <row r="30" ht="16.5" customHeight="1">
      <c r="A30" s="256"/>
      <c r="B30" s="257"/>
      <c r="C30" s="257"/>
      <c r="D30" s="257"/>
      <c r="E30" s="257"/>
      <c r="F30" s="257"/>
      <c r="G30" s="257"/>
      <c r="H30" s="257"/>
      <c r="I30" s="257"/>
      <c r="J30" s="257"/>
      <c r="K30" s="258"/>
      <c r="L30" s="26"/>
      <c r="M30" s="26"/>
      <c r="N30" s="26"/>
    </row>
    <row r="31" ht="33" customHeight="1">
      <c r="A31" s="290" t="s">
        <v>195</v>
      </c>
      <c r="B31" s="54" t="s">
        <v>190</v>
      </c>
      <c r="C31" s="375" t="s">
        <v>196</v>
      </c>
      <c r="D31" s="264"/>
      <c r="E31" s="264"/>
      <c r="F31" s="264"/>
      <c r="G31" s="264"/>
      <c r="H31" s="264"/>
      <c r="I31" s="264"/>
      <c r="J31" s="264"/>
      <c r="K31" s="264"/>
      <c r="L31" s="26"/>
      <c r="M31" s="26"/>
      <c r="N31" s="26"/>
    </row>
    <row r="32" ht="33" customHeight="1">
      <c r="A32" s="290"/>
      <c r="B32" s="54" t="s">
        <v>191</v>
      </c>
      <c r="C32" s="376" t="s">
        <v>196</v>
      </c>
      <c r="D32" s="264"/>
      <c r="E32" s="264"/>
      <c r="F32" s="264"/>
      <c r="G32" s="264"/>
      <c r="H32" s="264"/>
      <c r="I32" s="264"/>
      <c r="J32" s="264"/>
      <c r="K32" s="264"/>
      <c r="L32" s="26"/>
      <c r="M32" s="26"/>
      <c r="N32" s="26"/>
    </row>
    <row r="33" ht="33" customHeight="1">
      <c r="A33" s="290"/>
      <c r="B33" s="54" t="s">
        <v>192</v>
      </c>
      <c r="C33" s="377" t="s">
        <v>196</v>
      </c>
      <c r="D33" s="264"/>
      <c r="E33" s="264"/>
      <c r="F33" s="264"/>
      <c r="G33" s="264"/>
      <c r="H33" s="264"/>
      <c r="I33" s="264"/>
      <c r="J33" s="264"/>
      <c r="K33" s="264"/>
      <c r="L33" s="26"/>
      <c r="M33" s="26"/>
      <c r="N33" s="26"/>
    </row>
    <row r="34" ht="33" customHeight="1">
      <c r="A34" s="290"/>
      <c r="B34" s="54" t="s">
        <v>193</v>
      </c>
      <c r="C34" s="378" t="s">
        <v>196</v>
      </c>
      <c r="D34" s="264"/>
      <c r="E34" s="264"/>
      <c r="F34" s="264"/>
      <c r="G34" s="264"/>
      <c r="H34" s="264"/>
      <c r="I34" s="264"/>
      <c r="J34" s="264"/>
      <c r="K34" s="264"/>
      <c r="L34" s="26"/>
      <c r="M34" s="26"/>
      <c r="N34" s="26"/>
    </row>
    <row r="35" ht="33" customHeight="1">
      <c r="A35" s="290"/>
      <c r="B35" s="54" t="s">
        <v>194</v>
      </c>
      <c r="C35" s="379" t="s">
        <v>196</v>
      </c>
      <c r="D35" s="264"/>
      <c r="E35" s="264"/>
      <c r="F35" s="264"/>
      <c r="G35" s="264"/>
      <c r="H35" s="264"/>
      <c r="I35" s="264"/>
      <c r="J35" s="264"/>
      <c r="K35" s="264"/>
      <c r="L35" s="26"/>
      <c r="M35" s="26"/>
      <c r="N35" s="26"/>
    </row>
    <row r="36" ht="33" customHeight="1">
      <c r="A36" s="290"/>
      <c r="B36" s="54" t="s">
        <v>197</v>
      </c>
      <c r="C36" s="380" t="s">
        <v>196</v>
      </c>
      <c r="D36" s="264"/>
      <c r="E36" s="264"/>
      <c r="F36" s="264"/>
      <c r="G36" s="264"/>
      <c r="H36" s="264"/>
      <c r="I36" s="264"/>
      <c r="J36" s="264"/>
      <c r="K36" s="264"/>
      <c r="L36" s="26"/>
      <c r="M36" s="26"/>
      <c r="N36" s="26"/>
    </row>
    <row r="37" ht="33" customHeight="1">
      <c r="A37" s="290"/>
      <c r="B37" s="54" t="s">
        <v>198</v>
      </c>
      <c r="C37" s="381" t="s">
        <v>196</v>
      </c>
      <c r="D37" s="264"/>
      <c r="E37" s="264"/>
      <c r="F37" s="264"/>
      <c r="G37" s="264"/>
      <c r="H37" s="264"/>
      <c r="I37" s="264"/>
      <c r="J37" s="264"/>
      <c r="K37" s="264"/>
      <c r="L37" s="26"/>
      <c r="M37" s="26"/>
      <c r="N37" s="26"/>
    </row>
    <row r="38" ht="33" customHeight="1">
      <c r="A38" s="290"/>
      <c r="B38" s="54" t="s">
        <v>199</v>
      </c>
      <c r="C38" s="382" t="s">
        <v>196</v>
      </c>
      <c r="D38" s="264"/>
      <c r="E38" s="264"/>
      <c r="F38" s="264"/>
      <c r="G38" s="264"/>
      <c r="H38" s="264"/>
      <c r="I38" s="264"/>
      <c r="J38" s="264"/>
      <c r="K38" s="264"/>
      <c r="L38" s="26"/>
      <c r="M38" s="26"/>
      <c r="N38" s="26"/>
    </row>
    <row r="39" ht="33" customHeight="1">
      <c r="A39" s="290"/>
      <c r="B39" s="54" t="s">
        <v>200</v>
      </c>
      <c r="C39" s="383" t="s">
        <v>196</v>
      </c>
      <c r="D39" s="264"/>
      <c r="E39" s="264"/>
      <c r="F39" s="264"/>
      <c r="G39" s="264"/>
      <c r="H39" s="264"/>
      <c r="I39" s="264"/>
      <c r="J39" s="264"/>
      <c r="K39" s="264"/>
      <c r="L39" s="26"/>
      <c r="M39" s="26"/>
      <c r="N39" s="26"/>
    </row>
    <row r="40" ht="33" customHeight="1">
      <c r="A40" s="290"/>
      <c r="B40" s="54" t="s">
        <v>201</v>
      </c>
      <c r="C40" s="384" t="s">
        <v>196</v>
      </c>
      <c r="D40" s="264"/>
      <c r="E40" s="264"/>
      <c r="F40" s="264"/>
      <c r="G40" s="264"/>
      <c r="H40" s="264"/>
      <c r="I40" s="264"/>
      <c r="J40" s="264"/>
      <c r="K40" s="264"/>
      <c r="L40" s="26"/>
      <c r="M40" s="26"/>
      <c r="N40" s="26"/>
    </row>
    <row r="41" ht="16.5" customHeight="1">
      <c r="A41" s="256"/>
      <c r="B41" s="257"/>
      <c r="C41" s="257"/>
      <c r="D41" s="257"/>
      <c r="E41" s="257"/>
      <c r="F41" s="257"/>
      <c r="G41" s="257"/>
      <c r="H41" s="257"/>
      <c r="I41" s="257"/>
      <c r="J41" s="257"/>
      <c r="K41" s="258"/>
      <c r="L41" s="26"/>
      <c r="M41" s="26"/>
      <c r="N41" s="26"/>
    </row>
    <row r="42" ht="33" customHeight="1">
      <c r="A42" s="291" t="s">
        <v>202</v>
      </c>
      <c r="B42" s="54" t="s">
        <v>190</v>
      </c>
      <c r="C42" s="385" t="s">
        <v>203</v>
      </c>
      <c r="D42" s="264"/>
      <c r="E42" s="264"/>
      <c r="F42" s="264"/>
      <c r="G42" s="264"/>
      <c r="H42" s="264"/>
      <c r="I42" s="264"/>
      <c r="J42" s="264"/>
      <c r="K42" s="264"/>
      <c r="L42" s="26"/>
      <c r="M42" s="26"/>
      <c r="N42" s="26"/>
    </row>
    <row r="43" ht="33" customHeight="1">
      <c r="A43" s="291"/>
      <c r="B43" s="54" t="s">
        <v>191</v>
      </c>
      <c r="C43" s="386" t="s">
        <v>203</v>
      </c>
      <c r="D43" s="264"/>
      <c r="E43" s="264"/>
      <c r="F43" s="264"/>
      <c r="G43" s="264"/>
      <c r="H43" s="264"/>
      <c r="I43" s="264"/>
      <c r="J43" s="264"/>
      <c r="K43" s="264"/>
      <c r="L43" s="26"/>
      <c r="M43" s="26"/>
      <c r="N43" s="26"/>
    </row>
    <row r="44" ht="33" customHeight="1">
      <c r="A44" s="291"/>
      <c r="B44" s="54" t="s">
        <v>192</v>
      </c>
      <c r="C44" s="387" t="s">
        <v>203</v>
      </c>
      <c r="D44" s="264"/>
      <c r="E44" s="264"/>
      <c r="F44" s="264"/>
      <c r="G44" s="264"/>
      <c r="H44" s="264"/>
      <c r="I44" s="264"/>
      <c r="J44" s="264"/>
      <c r="K44" s="264"/>
      <c r="L44" s="26"/>
      <c r="M44" s="26"/>
      <c r="N44" s="26"/>
    </row>
    <row r="45" ht="33" customHeight="1">
      <c r="A45" s="291"/>
      <c r="B45" s="54" t="s">
        <v>193</v>
      </c>
      <c r="C45" s="388" t="s">
        <v>203</v>
      </c>
      <c r="D45" s="264"/>
      <c r="E45" s="264"/>
      <c r="F45" s="264"/>
      <c r="G45" s="264"/>
      <c r="H45" s="264"/>
      <c r="I45" s="264"/>
      <c r="J45" s="264"/>
      <c r="K45" s="264"/>
      <c r="L45" s="26"/>
      <c r="M45" s="26"/>
      <c r="N45" s="26"/>
    </row>
    <row r="46" ht="33" customHeight="1">
      <c r="A46" s="291"/>
      <c r="B46" s="54" t="s">
        <v>194</v>
      </c>
      <c r="C46" s="389" t="s">
        <v>203</v>
      </c>
      <c r="D46" s="264"/>
      <c r="E46" s="264"/>
      <c r="F46" s="264"/>
      <c r="G46" s="264"/>
      <c r="H46" s="264"/>
      <c r="I46" s="264"/>
      <c r="J46" s="264"/>
      <c r="K46" s="264"/>
      <c r="L46" s="26"/>
      <c r="M46" s="26"/>
      <c r="N46" s="26"/>
    </row>
    <row r="47" ht="33" customHeight="1">
      <c r="A47" s="291"/>
      <c r="B47" s="54" t="s">
        <v>197</v>
      </c>
      <c r="C47" s="390" t="s">
        <v>203</v>
      </c>
      <c r="D47" s="264"/>
      <c r="E47" s="264"/>
      <c r="F47" s="264"/>
      <c r="G47" s="264"/>
      <c r="H47" s="264"/>
      <c r="I47" s="264"/>
      <c r="J47" s="264"/>
      <c r="K47" s="264"/>
      <c r="L47" s="26"/>
      <c r="M47" s="26"/>
      <c r="N47" s="26"/>
    </row>
    <row r="48" ht="33" customHeight="1">
      <c r="A48" s="291"/>
      <c r="B48" s="54" t="s">
        <v>198</v>
      </c>
      <c r="C48" s="391" t="s">
        <v>203</v>
      </c>
      <c r="D48" s="264"/>
      <c r="E48" s="264"/>
      <c r="F48" s="264"/>
      <c r="G48" s="264"/>
      <c r="H48" s="264"/>
      <c r="I48" s="264"/>
      <c r="J48" s="264"/>
      <c r="K48" s="264"/>
      <c r="L48" s="26"/>
      <c r="M48" s="26"/>
      <c r="N48" s="26"/>
    </row>
    <row r="49" ht="33" customHeight="1">
      <c r="A49" s="291"/>
      <c r="B49" s="54" t="s">
        <v>199</v>
      </c>
      <c r="C49" s="392" t="s">
        <v>203</v>
      </c>
      <c r="D49" s="264"/>
      <c r="E49" s="264"/>
      <c r="F49" s="264"/>
      <c r="G49" s="264"/>
      <c r="H49" s="264"/>
      <c r="I49" s="264"/>
      <c r="J49" s="264"/>
      <c r="K49" s="264"/>
      <c r="L49" s="26"/>
      <c r="M49" s="26"/>
      <c r="N49" s="26"/>
    </row>
    <row r="50" ht="33" customHeight="1">
      <c r="A50" s="291"/>
      <c r="B50" s="54" t="s">
        <v>200</v>
      </c>
      <c r="C50" s="393" t="s">
        <v>203</v>
      </c>
      <c r="D50" s="264"/>
      <c r="E50" s="264"/>
      <c r="F50" s="264"/>
      <c r="G50" s="264"/>
      <c r="H50" s="264"/>
      <c r="I50" s="264"/>
      <c r="J50" s="264"/>
      <c r="K50" s="264"/>
      <c r="L50" s="26"/>
      <c r="M50" s="26"/>
      <c r="N50" s="26"/>
    </row>
    <row r="51" ht="33" customHeight="1">
      <c r="A51" s="291"/>
      <c r="B51" s="54" t="s">
        <v>201</v>
      </c>
      <c r="C51" s="394" t="s">
        <v>203</v>
      </c>
      <c r="D51" s="264"/>
      <c r="E51" s="264"/>
      <c r="F51" s="264"/>
      <c r="G51" s="264"/>
      <c r="H51" s="264"/>
      <c r="I51" s="264"/>
      <c r="J51" s="264"/>
      <c r="K51" s="264"/>
      <c r="L51" s="26"/>
      <c r="M51" s="26"/>
      <c r="N51" s="26"/>
    </row>
    <row r="52" ht="33" customHeight="1">
      <c r="A52" s="291"/>
      <c r="B52" s="54" t="s">
        <v>204</v>
      </c>
      <c r="C52" s="395" t="s">
        <v>203</v>
      </c>
      <c r="D52" s="264"/>
      <c r="E52" s="264"/>
      <c r="F52" s="264"/>
      <c r="G52" s="264"/>
      <c r="H52" s="264"/>
      <c r="I52" s="264"/>
      <c r="J52" s="264"/>
      <c r="K52" s="264"/>
      <c r="L52" s="26"/>
      <c r="M52" s="26"/>
      <c r="N52" s="26"/>
    </row>
    <row r="53" ht="33" customHeight="1">
      <c r="A53" s="291"/>
      <c r="B53" s="54" t="s">
        <v>205</v>
      </c>
      <c r="C53" s="396" t="s">
        <v>203</v>
      </c>
      <c r="D53" s="264"/>
      <c r="E53" s="264"/>
      <c r="F53" s="264"/>
      <c r="G53" s="264"/>
      <c r="H53" s="264"/>
      <c r="I53" s="264"/>
      <c r="J53" s="264"/>
      <c r="K53" s="264"/>
      <c r="L53" s="26"/>
      <c r="M53" s="26"/>
      <c r="N53" s="26"/>
    </row>
    <row r="54" ht="33" customHeight="1">
      <c r="A54" s="291"/>
      <c r="B54" s="54" t="s">
        <v>206</v>
      </c>
      <c r="C54" s="397" t="s">
        <v>203</v>
      </c>
      <c r="D54" s="264"/>
      <c r="E54" s="264"/>
      <c r="F54" s="264"/>
      <c r="G54" s="264"/>
      <c r="H54" s="264"/>
      <c r="I54" s="264"/>
      <c r="J54" s="264"/>
      <c r="K54" s="264"/>
      <c r="L54" s="26"/>
      <c r="M54" s="26"/>
      <c r="N54" s="26"/>
    </row>
    <row r="55" ht="33" customHeight="1">
      <c r="A55" s="291"/>
      <c r="B55" s="54" t="s">
        <v>207</v>
      </c>
      <c r="C55" s="398" t="s">
        <v>203</v>
      </c>
      <c r="D55" s="264"/>
      <c r="E55" s="264"/>
      <c r="F55" s="264"/>
      <c r="G55" s="264"/>
      <c r="H55" s="264"/>
      <c r="I55" s="264"/>
      <c r="J55" s="264"/>
      <c r="K55" s="264"/>
      <c r="L55" s="26"/>
      <c r="M55" s="26"/>
      <c r="N55" s="26"/>
    </row>
    <row r="56" ht="33" customHeight="1">
      <c r="A56" s="291"/>
      <c r="B56" s="54" t="s">
        <v>208</v>
      </c>
      <c r="C56" s="399" t="s">
        <v>203</v>
      </c>
      <c r="D56" s="264"/>
      <c r="E56" s="264"/>
      <c r="F56" s="264"/>
      <c r="G56" s="264"/>
      <c r="H56" s="264"/>
      <c r="I56" s="264"/>
      <c r="J56" s="264"/>
      <c r="K56" s="264"/>
      <c r="L56" s="26"/>
      <c r="M56" s="26"/>
      <c r="N56" s="26"/>
    </row>
    <row r="57" ht="33" customHeight="1">
      <c r="A57" s="291"/>
      <c r="B57" s="54" t="s">
        <v>209</v>
      </c>
      <c r="C57" s="400" t="s">
        <v>203</v>
      </c>
      <c r="D57" s="264"/>
      <c r="E57" s="264"/>
      <c r="F57" s="264"/>
      <c r="G57" s="264"/>
      <c r="H57" s="264"/>
      <c r="I57" s="264"/>
      <c r="J57" s="264"/>
      <c r="K57" s="264"/>
      <c r="L57" s="26"/>
      <c r="M57" s="26"/>
      <c r="N57" s="26"/>
    </row>
    <row r="58" ht="33" customHeight="1">
      <c r="A58" s="291"/>
      <c r="B58" s="54" t="s">
        <v>210</v>
      </c>
      <c r="C58" s="401" t="s">
        <v>203</v>
      </c>
      <c r="D58" s="264"/>
      <c r="E58" s="264"/>
      <c r="F58" s="264"/>
      <c r="G58" s="264"/>
      <c r="H58" s="264"/>
      <c r="I58" s="264"/>
      <c r="J58" s="264"/>
      <c r="K58" s="264"/>
      <c r="L58" s="26"/>
      <c r="M58" s="26"/>
      <c r="N58" s="26"/>
    </row>
    <row r="59" ht="33" customHeight="1">
      <c r="A59" s="291"/>
      <c r="B59" s="54" t="s">
        <v>211</v>
      </c>
      <c r="C59" s="402" t="s">
        <v>203</v>
      </c>
      <c r="D59" s="264"/>
      <c r="E59" s="264"/>
      <c r="F59" s="264"/>
      <c r="G59" s="264"/>
      <c r="H59" s="264"/>
      <c r="I59" s="264"/>
      <c r="J59" s="264"/>
      <c r="K59" s="264"/>
      <c r="L59" s="26"/>
      <c r="M59" s="26"/>
      <c r="N59" s="26"/>
    </row>
    <row r="60" ht="33" customHeight="1">
      <c r="A60" s="291"/>
      <c r="B60" s="54" t="s">
        <v>212</v>
      </c>
      <c r="C60" s="403" t="s">
        <v>203</v>
      </c>
      <c r="D60" s="264"/>
      <c r="E60" s="264"/>
      <c r="F60" s="264"/>
      <c r="G60" s="264"/>
      <c r="H60" s="264"/>
      <c r="I60" s="264"/>
      <c r="J60" s="264"/>
      <c r="K60" s="264"/>
      <c r="L60" s="26"/>
      <c r="M60" s="26"/>
      <c r="N60" s="26"/>
    </row>
    <row r="61" ht="33" customHeight="1">
      <c r="A61" s="291"/>
      <c r="B61" s="54" t="s">
        <v>213</v>
      </c>
      <c r="C61" s="404" t="s">
        <v>203</v>
      </c>
      <c r="D61" s="264"/>
      <c r="E61" s="264"/>
      <c r="F61" s="264"/>
      <c r="G61" s="264"/>
      <c r="H61" s="264"/>
      <c r="I61" s="264"/>
      <c r="J61" s="264"/>
      <c r="K61" s="264"/>
      <c r="L61" s="26"/>
      <c r="M61" s="26"/>
      <c r="N61" s="26"/>
    </row>
    <row r="62" ht="16.5" customHeight="1">
      <c r="A62" s="256"/>
      <c r="B62" s="257"/>
      <c r="C62" s="257"/>
      <c r="D62" s="257"/>
      <c r="E62" s="257"/>
      <c r="F62" s="257"/>
      <c r="G62" s="257"/>
      <c r="H62" s="257"/>
      <c r="I62" s="257"/>
      <c r="J62" s="257"/>
      <c r="K62" s="258"/>
      <c r="L62" s="26"/>
      <c r="M62" s="26"/>
      <c r="N62" s="26"/>
    </row>
    <row r="63" ht="34.5" customHeight="1">
      <c r="A63" s="265" t="s">
        <v>214</v>
      </c>
      <c r="B63" s="266"/>
      <c r="C63" s="266"/>
      <c r="D63" s="266"/>
      <c r="E63" s="266"/>
      <c r="F63" s="266"/>
      <c r="G63" s="266"/>
      <c r="H63" s="266"/>
      <c r="I63" s="266"/>
      <c r="J63" s="266"/>
      <c r="K63" s="267"/>
      <c r="L63" s="26"/>
      <c r="M63" s="26"/>
      <c r="N63" s="26"/>
    </row>
    <row r="64" ht="16.5" customHeight="1">
      <c r="A64" s="268" t="s">
        <v>215</v>
      </c>
      <c r="B64" s="269"/>
      <c r="C64" s="269"/>
      <c r="D64" s="269"/>
      <c r="E64" s="269"/>
      <c r="F64" s="269"/>
      <c r="G64" s="269"/>
      <c r="H64" s="269"/>
      <c r="I64" s="269"/>
      <c r="J64" s="269"/>
      <c r="K64" s="270"/>
      <c r="L64" s="26"/>
      <c r="M64" s="26"/>
      <c r="N64" s="26"/>
    </row>
    <row r="65" ht="101.25" customHeight="1">
      <c r="A65" s="405" t="s">
        <v>216</v>
      </c>
      <c r="B65" s="272"/>
      <c r="C65" s="272"/>
      <c r="D65" s="272"/>
      <c r="E65" s="272"/>
      <c r="F65" s="272"/>
      <c r="G65" s="272"/>
      <c r="H65" s="272"/>
      <c r="I65" s="272"/>
      <c r="J65" s="272"/>
      <c r="K65" s="273"/>
      <c r="L65" s="26"/>
      <c r="M65" s="26"/>
      <c r="N65" s="26"/>
    </row>
    <row r="66" ht="16.5" customHeight="1">
      <c r="A66" s="274" t="s">
        <v>217</v>
      </c>
      <c r="B66" s="275"/>
      <c r="C66" s="275"/>
      <c r="D66" s="275"/>
      <c r="E66" s="275"/>
      <c r="F66" s="275"/>
      <c r="G66" s="275"/>
      <c r="H66" s="275"/>
      <c r="I66" s="275"/>
      <c r="J66" s="275"/>
      <c r="K66" s="276"/>
      <c r="L66" s="26"/>
      <c r="M66" s="26"/>
      <c r="N66" s="26"/>
    </row>
    <row r="67" ht="118.5" customHeight="1">
      <c r="A67" s="406" t="s">
        <v>218</v>
      </c>
      <c r="B67" s="278"/>
      <c r="C67" s="278"/>
      <c r="D67" s="278"/>
      <c r="E67" s="278"/>
      <c r="F67" s="278"/>
      <c r="G67" s="278"/>
      <c r="H67" s="278"/>
      <c r="I67" s="278"/>
      <c r="J67" s="278"/>
      <c r="K67" s="279"/>
      <c r="L67" s="26"/>
      <c r="M67" s="26"/>
      <c r="N67" s="26"/>
    </row>
    <row r="68" ht="16.5" customHeight="1">
      <c r="A68" s="280" t="s">
        <v>219</v>
      </c>
      <c r="B68" s="281"/>
      <c r="C68" s="281"/>
      <c r="D68" s="281"/>
      <c r="E68" s="281"/>
      <c r="F68" s="281"/>
      <c r="G68" s="281"/>
      <c r="H68" s="281"/>
      <c r="I68" s="281"/>
      <c r="J68" s="281"/>
      <c r="K68" s="282"/>
      <c r="L68" s="26"/>
      <c r="M68" s="26"/>
      <c r="N68" s="26"/>
    </row>
    <row r="69" ht="69" customHeight="1">
      <c r="A69" s="407" t="s">
        <v>220</v>
      </c>
      <c r="B69" s="272"/>
      <c r="C69" s="272"/>
      <c r="D69" s="272"/>
      <c r="E69" s="272"/>
      <c r="F69" s="272"/>
      <c r="G69" s="272"/>
      <c r="H69" s="272"/>
      <c r="I69" s="272"/>
      <c r="J69" s="272"/>
      <c r="K69" s="273"/>
      <c r="L69" s="26"/>
      <c r="M69" s="26"/>
      <c r="N69" s="26"/>
    </row>
    <row r="70" ht="16.5" customHeight="1">
      <c r="A70" s="280" t="s">
        <v>221</v>
      </c>
      <c r="B70" s="281"/>
      <c r="C70" s="281"/>
      <c r="D70" s="281"/>
      <c r="E70" s="281"/>
      <c r="F70" s="281"/>
      <c r="G70" s="281"/>
      <c r="H70" s="281"/>
      <c r="I70" s="281"/>
      <c r="J70" s="281"/>
      <c r="K70" s="282"/>
      <c r="L70" s="26"/>
      <c r="M70" s="26"/>
      <c r="N70" s="26"/>
    </row>
    <row r="71" ht="84" customHeight="1">
      <c r="A71" s="408" t="s">
        <v>222</v>
      </c>
      <c r="B71" s="272"/>
      <c r="C71" s="272"/>
      <c r="D71" s="272"/>
      <c r="E71" s="272"/>
      <c r="F71" s="272"/>
      <c r="G71" s="272"/>
      <c r="H71" s="272"/>
      <c r="I71" s="272"/>
      <c r="J71" s="272"/>
      <c r="K71" s="273"/>
      <c r="L71" s="26"/>
      <c r="M71" s="26"/>
      <c r="N71" s="26"/>
    </row>
    <row r="72" ht="16.5" customHeight="1">
      <c r="A72" s="283" t="s">
        <v>221</v>
      </c>
      <c r="B72" s="284"/>
      <c r="C72" s="284"/>
      <c r="D72" s="284"/>
      <c r="E72" s="284"/>
      <c r="F72" s="284"/>
      <c r="G72" s="284"/>
      <c r="H72" s="284"/>
      <c r="I72" s="284"/>
      <c r="J72" s="284"/>
      <c r="K72" s="285"/>
      <c r="L72" s="26"/>
      <c r="M72" s="26"/>
      <c r="N72" s="26"/>
    </row>
    <row r="73" ht="82.5" customHeight="1">
      <c r="A73" s="409" t="s">
        <v>223</v>
      </c>
      <c r="B73" s="272"/>
      <c r="C73" s="272"/>
      <c r="D73" s="272"/>
      <c r="E73" s="272"/>
      <c r="F73" s="272"/>
      <c r="G73" s="272"/>
      <c r="H73" s="272"/>
      <c r="I73" s="272"/>
      <c r="J73" s="272"/>
      <c r="K73" s="273"/>
      <c r="L73" s="26"/>
      <c r="M73" s="26"/>
      <c r="N73" s="26"/>
    </row>
    <row r="74" ht="16.5" customHeight="1">
      <c r="A74" s="286"/>
      <c r="B74" s="287"/>
      <c r="C74" s="287"/>
      <c r="D74" s="287"/>
      <c r="E74" s="287"/>
      <c r="F74" s="287"/>
      <c r="G74" s="287"/>
      <c r="H74" s="287"/>
      <c r="I74" s="287"/>
      <c r="J74" s="287"/>
      <c r="K74" s="288"/>
    </row>
  </sheetData>
  <sheetProtection insertHyperlinks="0" autoFilter="0"/>
  <mergeCells count="85">
    <mergeCell ref="C31:K31"/>
    <mergeCell ref="C43:K43"/>
    <mergeCell ref="C38:K38"/>
    <mergeCell ref="C51:K51"/>
    <mergeCell ref="A74:K74"/>
    <mergeCell ref="A68:K68"/>
    <mergeCell ref="A24:K24"/>
    <mergeCell ref="C26:K26"/>
    <mergeCell ref="C21:K21"/>
    <mergeCell ref="A22:K22"/>
    <mergeCell ref="F19:H19"/>
    <mergeCell ref="A10:B10"/>
    <mergeCell ref="C27:K27"/>
    <mergeCell ref="F12:H12"/>
    <mergeCell ref="C1:F1"/>
    <mergeCell ref="C49:K49"/>
    <mergeCell ref="A69:K69"/>
    <mergeCell ref="C20:K20"/>
    <mergeCell ref="C47:K47"/>
    <mergeCell ref="I12:K12"/>
    <mergeCell ref="A3:B3"/>
    <mergeCell ref="C52:K52"/>
    <mergeCell ref="C7:K7"/>
    <mergeCell ref="K1:N1"/>
    <mergeCell ref="C50:K50"/>
    <mergeCell ref="C32:K32"/>
    <mergeCell ref="G1:J1"/>
    <mergeCell ref="C36:K36"/>
    <mergeCell ref="C42:K42"/>
    <mergeCell ref="A73:K73"/>
    <mergeCell ref="C8:K8"/>
    <mergeCell ref="C54:K54"/>
    <mergeCell ref="C35:K35"/>
    <mergeCell ref="A30:K30"/>
    <mergeCell ref="A2:B2"/>
    <mergeCell ref="C12:E12"/>
    <mergeCell ref="A23:B23"/>
    <mergeCell ref="C44:K44"/>
    <mergeCell ref="C45:K45"/>
    <mergeCell ref="A11:B11"/>
    <mergeCell ref="C34:K34"/>
    <mergeCell ref="C55:K55"/>
    <mergeCell ref="A65:K65"/>
    <mergeCell ref="A41:K41"/>
    <mergeCell ref="A12:B18"/>
    <mergeCell ref="A70:K70"/>
    <mergeCell ref="A42:A61"/>
    <mergeCell ref="A20:B21"/>
    <mergeCell ref="C25:K25"/>
    <mergeCell ref="C10:K10"/>
    <mergeCell ref="C11:K11"/>
    <mergeCell ref="A72:K72"/>
    <mergeCell ref="A31:A40"/>
    <mergeCell ref="C61:K61"/>
    <mergeCell ref="C56:K56"/>
    <mergeCell ref="A71:K71"/>
    <mergeCell ref="C59:K59"/>
    <mergeCell ref="C57:K57"/>
    <mergeCell ref="C58:K58"/>
    <mergeCell ref="C48:K48"/>
    <mergeCell ref="C23:K23"/>
    <mergeCell ref="I19:K19"/>
    <mergeCell ref="A25:A29"/>
    <mergeCell ref="A5:B6"/>
    <mergeCell ref="C29:K29"/>
    <mergeCell ref="C19:E19"/>
    <mergeCell ref="C37:K37"/>
    <mergeCell ref="C60:K60"/>
    <mergeCell ref="A8:B8"/>
    <mergeCell ref="A63:K63"/>
    <mergeCell ref="A9:B9"/>
    <mergeCell ref="A4:B4"/>
    <mergeCell ref="A7:B7"/>
    <mergeCell ref="C28:K28"/>
    <mergeCell ref="A67:K67"/>
    <mergeCell ref="A64:K64"/>
    <mergeCell ref="C39:K39"/>
    <mergeCell ref="A62:K62"/>
    <mergeCell ref="C40:K40"/>
    <mergeCell ref="A66:K66"/>
    <mergeCell ref="C53:K53"/>
    <mergeCell ref="C33:K33"/>
    <mergeCell ref="C46:K46"/>
    <mergeCell ref="A19:B19"/>
    <mergeCell ref="A1:B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pane topLeftCell="D2" activePane="bottomRight" state="frozen" xSplit="3" ySplit="1"/>
    </sheetView>
  </sheetViews>
  <sheetFormatPr baseColWidth="10" defaultColWidth="9.6650390625" defaultRowHeight="15" customHeight="1"/>
  <cols>
    <col min="1" max="1" width="5.1650390625" customWidth="1" style="33"/>
    <col min="2" max="2" width="11.4990234375" customWidth="1" style="34"/>
    <col min="3" max="3" width="9.9990234375" customWidth="1" style="33"/>
    <col min="4" max="4" width="16.5" customWidth="1" style="33"/>
    <col min="5" max="5" width="11.33203125" customWidth="1" style="33"/>
    <col min="6" max="6" width="11.1650390625" customWidth="1" style="35"/>
    <col min="7" max="7" width="22.6640625" customWidth="1" style="33"/>
    <col min="8" max="8" width="8.8330078125" customWidth="1" style="33"/>
    <col min="9" max="9" width="9.3310546875" customWidth="1" style="33"/>
    <col min="10" max="11" width="12.83203125" customWidth="1" style="33"/>
    <col min="12" max="12" width="14.8330078125" customWidth="1" style="33"/>
    <col min="13" max="15" width="22.6640625" customWidth="1" style="33"/>
    <col min="16" max="16" width="8.4990234375" customWidth="1" style="33"/>
    <col min="17" max="18" width="12.498046875" customWidth="1" style="33"/>
    <col min="19" max="19" width="14.1650390625" customWidth="1" style="33"/>
    <col min="20" max="40" width="9.6650390625" style="36"/>
  </cols>
  <sheetData>
    <row r="1" s="311" customFormat="1" ht="16.2" customHeight="1">
      <c r="A1" s="37" t="s">
        <v>224</v>
      </c>
      <c r="B1" s="38" t="s">
        <v>225</v>
      </c>
      <c r="C1" s="39" t="s">
        <v>226</v>
      </c>
      <c r="D1" s="39" t="s">
        <v>227</v>
      </c>
      <c r="E1" s="39" t="s">
        <v>228</v>
      </c>
      <c r="F1" s="40" t="s">
        <v>229</v>
      </c>
      <c r="G1" s="41" t="s">
        <v>230</v>
      </c>
      <c r="H1" s="42" t="s">
        <v>231</v>
      </c>
      <c r="I1" s="42" t="s">
        <v>232</v>
      </c>
      <c r="J1" s="42" t="s">
        <v>233</v>
      </c>
      <c r="K1" s="37" t="s">
        <v>234</v>
      </c>
      <c r="L1" s="37" t="s">
        <v>235</v>
      </c>
      <c r="M1" s="41" t="s">
        <v>236</v>
      </c>
      <c r="N1" s="41" t="s">
        <v>237</v>
      </c>
      <c r="O1" s="41" t="s">
        <v>238</v>
      </c>
      <c r="P1" s="37" t="s">
        <v>1</v>
      </c>
      <c r="Q1" s="44" t="s">
        <v>239</v>
      </c>
      <c r="R1" s="44" t="s">
        <v>240</v>
      </c>
      <c r="S1" s="44" t="s">
        <v>241</v>
      </c>
    </row>
    <row r="2" ht="15" customHeight="1">
      <c r="A2" s="23"/>
      <c r="G2" s="43"/>
      <c r="H2" s="23"/>
      <c r="I2" s="23"/>
      <c r="J2" s="23"/>
      <c r="K2" s="23"/>
      <c r="Q2" s="23"/>
      <c r="R2" s="23"/>
      <c r="S2" s="23"/>
    </row>
    <row r="3" ht="15" customHeight="1">
      <c r="A3" s="23"/>
    </row>
    <row r="4" ht="15" customHeight="1">
      <c r="A4" s="23"/>
    </row>
    <row r="5" ht="15" customHeight="1">
      <c r="A5" s="23"/>
    </row>
    <row r="6" ht="15" customHeight="1">
      <c r="A6" s="23"/>
    </row>
    <row r="7" ht="15" customHeight="1">
      <c r="A7" s="23"/>
    </row>
    <row r="8" ht="15" customHeight="1">
      <c r="A8" s="23"/>
    </row>
    <row r="9" ht="15" customHeight="1">
      <c r="A9" s="23"/>
    </row>
    <row r="10" ht="15" customHeight="1">
      <c r="A10" s="23"/>
    </row>
    <row r="11" ht="15" customHeight="1">
      <c r="A11" s="23"/>
    </row>
    <row r="12" ht="15" customHeight="1">
      <c r="A12" s="23"/>
    </row>
    <row r="13" ht="15" customHeight="1">
      <c r="A13" s="23"/>
    </row>
    <row r="14" ht="15" customHeight="1">
      <c r="A14" s="23"/>
    </row>
    <row r="15" ht="15" customHeight="1">
      <c r="A15" s="23"/>
    </row>
    <row r="16" ht="15" customHeight="1">
      <c r="A16" s="23"/>
    </row>
    <row r="17" ht="15" customHeight="1">
      <c r="A17" s="23"/>
    </row>
    <row r="18" ht="15" customHeight="1">
      <c r="A18" s="23"/>
    </row>
    <row r="19" ht="15" customHeight="1">
      <c r="A19" s="23"/>
    </row>
    <row r="20" ht="15" customHeight="1">
      <c r="A20" s="23"/>
    </row>
    <row r="21" ht="15" customHeight="1">
      <c r="A21" s="23"/>
    </row>
    <row r="22" ht="15" customHeight="1">
      <c r="A22" s="23"/>
    </row>
    <row r="23" ht="15" customHeight="1">
      <c r="A23" s="23"/>
    </row>
    <row r="24" ht="15" customHeight="1">
      <c r="A24" s="23"/>
    </row>
    <row r="25" ht="15" customHeight="1">
      <c r="A25" s="23"/>
    </row>
  </sheetData>
  <sheetProtection insertHyperlinks="0" autoFilter="0"/>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pane topLeftCell="B2" activePane="bottomRight" state="frozen" xSplit="1" ySplit="1"/>
    </sheetView>
  </sheetViews>
  <sheetFormatPr baseColWidth="10" defaultColWidth="8.8330078125" defaultRowHeight="15" customHeight="1"/>
  <cols>
    <col min="1" max="6" width="8.8330078125" style="25"/>
    <col min="7" max="7" width="9.83203125" customWidth="1" style="25"/>
    <col min="8" max="16" width="8.8330078125" style="25"/>
    <col min="17" max="17" width="10.8310546875" customWidth="1" style="25"/>
    <col min="18" max="23" width="8.8330078125" style="25"/>
    <col min="24" max="40" width="8.8330078125" style="26"/>
  </cols>
  <sheetData>
    <row r="1" s="24" customFormat="1" ht="46.79999999999999" customHeight="1">
      <c r="A1" s="27" t="s">
        <v>242</v>
      </c>
      <c r="B1" s="27" t="s">
        <v>243</v>
      </c>
      <c r="C1" s="27" t="s">
        <v>174</v>
      </c>
      <c r="D1" s="27" t="s">
        <v>173</v>
      </c>
      <c r="E1" s="27" t="s">
        <v>244</v>
      </c>
      <c r="F1" s="410" t="s">
        <v>245</v>
      </c>
      <c r="G1" s="27" t="s">
        <v>246</v>
      </c>
      <c r="H1" s="411" t="s">
        <v>247</v>
      </c>
      <c r="I1" s="412" t="s">
        <v>248</v>
      </c>
      <c r="J1" s="27" t="s">
        <v>249</v>
      </c>
      <c r="K1" s="27" t="s">
        <v>250</v>
      </c>
      <c r="L1" s="27" t="s">
        <v>251</v>
      </c>
      <c r="M1" s="27" t="s">
        <v>252</v>
      </c>
      <c r="N1" s="413" t="s">
        <v>253</v>
      </c>
      <c r="O1" s="414" t="s">
        <v>254</v>
      </c>
      <c r="P1" s="415" t="s">
        <v>255</v>
      </c>
      <c r="Q1" s="32" t="s">
        <v>256</v>
      </c>
      <c r="R1" s="27" t="s">
        <v>257</v>
      </c>
      <c r="S1" s="27" t="s">
        <v>258</v>
      </c>
      <c r="T1" s="416" t="s">
        <v>259</v>
      </c>
      <c r="U1" s="417" t="s">
        <v>260</v>
      </c>
      <c r="V1" s="27" t="s">
        <v>261</v>
      </c>
      <c r="W1" s="418" t="s">
        <v>262</v>
      </c>
    </row>
    <row r="2" ht="15" customHeight="1">
      <c r="A2" s="28" t="s">
        <v>263</v>
      </c>
      <c r="B2" s="28"/>
      <c r="C2" s="28"/>
      <c r="D2" s="28"/>
      <c r="E2" s="28"/>
      <c r="F2" s="28"/>
      <c r="G2" s="28"/>
      <c r="H2" s="28"/>
      <c r="I2" s="28"/>
      <c r="J2" s="28"/>
      <c r="K2" s="28"/>
      <c r="L2" s="28"/>
      <c r="M2" s="28"/>
      <c r="N2" s="28"/>
      <c r="O2" s="28"/>
      <c r="P2" s="28"/>
      <c r="Q2" s="28"/>
      <c r="R2" s="28"/>
      <c r="S2" s="28"/>
      <c r="T2" s="28"/>
      <c r="U2" s="28"/>
      <c r="V2" s="28"/>
      <c r="W2" s="28"/>
    </row>
    <row r="3" ht="15" customHeight="1">
      <c r="A3" s="28" t="s">
        <v>264</v>
      </c>
      <c r="B3" s="28"/>
      <c r="C3" s="28"/>
      <c r="D3" s="28"/>
      <c r="E3" s="28"/>
      <c r="F3" s="28"/>
      <c r="G3" s="28"/>
      <c r="H3" s="28"/>
      <c r="I3" s="28"/>
      <c r="J3" s="28"/>
      <c r="K3" s="28"/>
      <c r="L3" s="28"/>
      <c r="M3" s="28"/>
      <c r="N3" s="28"/>
      <c r="O3" s="28"/>
      <c r="P3" s="28"/>
      <c r="Q3" s="28"/>
      <c r="R3" s="28"/>
      <c r="S3" s="28"/>
      <c r="T3" s="28"/>
      <c r="U3" s="28"/>
      <c r="V3" s="28"/>
      <c r="W3" s="28"/>
    </row>
    <row r="4" ht="15" customHeight="1">
      <c r="A4" s="28" t="s">
        <v>265</v>
      </c>
      <c r="B4" s="28"/>
      <c r="C4" s="28"/>
      <c r="D4" s="28"/>
      <c r="E4" s="28"/>
      <c r="F4" s="28"/>
      <c r="G4" s="28"/>
      <c r="H4" s="28"/>
      <c r="I4" s="28"/>
      <c r="J4" s="28"/>
      <c r="K4" s="28"/>
      <c r="L4" s="28"/>
      <c r="M4" s="28"/>
      <c r="N4" s="28"/>
      <c r="O4" s="28"/>
      <c r="P4" s="28"/>
      <c r="Q4" s="28"/>
      <c r="R4" s="28"/>
      <c r="S4" s="28"/>
      <c r="T4" s="28"/>
      <c r="U4" s="28"/>
      <c r="V4" s="28"/>
      <c r="W4" s="28"/>
    </row>
    <row r="5" ht="15" customHeight="1">
      <c r="A5" s="28" t="s">
        <v>266</v>
      </c>
      <c r="B5" s="28"/>
      <c r="C5" s="28"/>
      <c r="D5" s="28"/>
      <c r="E5" s="28"/>
      <c r="F5" s="28"/>
      <c r="G5" s="28"/>
      <c r="H5" s="28"/>
      <c r="I5" s="28"/>
      <c r="J5" s="28"/>
      <c r="K5" s="28"/>
      <c r="L5" s="28"/>
      <c r="M5" s="28"/>
      <c r="N5" s="28"/>
      <c r="O5" s="28"/>
      <c r="P5" s="28"/>
      <c r="Q5" s="28"/>
      <c r="R5" s="28"/>
      <c r="S5" s="28"/>
      <c r="T5" s="28"/>
      <c r="U5" s="28"/>
      <c r="V5" s="28"/>
      <c r="W5" s="28"/>
    </row>
    <row r="6" ht="15" customHeight="1">
      <c r="A6" s="28" t="s">
        <v>267</v>
      </c>
      <c r="B6" s="28"/>
      <c r="C6" s="28"/>
      <c r="D6" s="28"/>
      <c r="E6" s="28"/>
      <c r="F6" s="28"/>
      <c r="G6" s="28"/>
      <c r="H6" s="28"/>
      <c r="I6" s="28"/>
      <c r="J6" s="28"/>
      <c r="K6" s="28"/>
      <c r="L6" s="28"/>
      <c r="M6" s="28"/>
      <c r="N6" s="28"/>
      <c r="O6" s="28"/>
      <c r="P6" s="28"/>
      <c r="Q6" s="28"/>
      <c r="R6" s="28"/>
      <c r="S6" s="28"/>
      <c r="T6" s="28"/>
      <c r="U6" s="28"/>
      <c r="V6" s="28"/>
      <c r="W6" s="28"/>
    </row>
    <row r="7" ht="15" customHeight="1">
      <c r="A7" s="28" t="s">
        <v>268</v>
      </c>
      <c r="B7" s="28"/>
      <c r="C7" s="28"/>
      <c r="D7" s="28"/>
      <c r="E7" s="28"/>
      <c r="F7" s="28"/>
      <c r="G7" s="28"/>
      <c r="H7" s="28"/>
      <c r="I7" s="28"/>
      <c r="J7" s="28"/>
      <c r="K7" s="28"/>
      <c r="L7" s="28"/>
      <c r="M7" s="28"/>
      <c r="N7" s="28"/>
      <c r="O7" s="28"/>
      <c r="P7" s="28"/>
      <c r="Q7" s="28"/>
      <c r="R7" s="28"/>
      <c r="S7" s="28"/>
      <c r="T7" s="28"/>
      <c r="U7" s="28"/>
      <c r="V7" s="28"/>
      <c r="W7" s="28"/>
    </row>
    <row r="8" ht="15" customHeight="1">
      <c r="A8" s="28" t="s">
        <v>269</v>
      </c>
      <c r="B8" s="28"/>
      <c r="C8" s="28"/>
      <c r="D8" s="28"/>
      <c r="E8" s="28"/>
      <c r="F8" s="28"/>
      <c r="G8" s="28"/>
      <c r="H8" s="28"/>
      <c r="I8" s="28"/>
      <c r="J8" s="28"/>
      <c r="K8" s="28"/>
      <c r="L8" s="28"/>
      <c r="M8" s="28"/>
      <c r="N8" s="28"/>
      <c r="O8" s="28"/>
      <c r="P8" s="28"/>
      <c r="Q8" s="28"/>
      <c r="R8" s="28"/>
      <c r="S8" s="28"/>
      <c r="T8" s="28"/>
      <c r="U8" s="28"/>
      <c r="V8" s="28"/>
      <c r="W8" s="28"/>
    </row>
    <row r="9" ht="15" customHeight="1">
      <c r="A9" s="28" t="s">
        <v>270</v>
      </c>
      <c r="B9" s="28"/>
      <c r="C9" s="28"/>
      <c r="D9" s="28"/>
      <c r="E9" s="28"/>
      <c r="F9" s="28"/>
      <c r="G9" s="28"/>
      <c r="H9" s="28"/>
      <c r="I9" s="28"/>
      <c r="J9" s="28"/>
      <c r="K9" s="28"/>
      <c r="L9" s="28"/>
      <c r="M9" s="28"/>
      <c r="N9" s="28"/>
      <c r="O9" s="28"/>
      <c r="P9" s="28"/>
      <c r="Q9" s="28"/>
      <c r="R9" s="28"/>
      <c r="S9" s="28"/>
      <c r="T9" s="28"/>
      <c r="U9" s="28"/>
      <c r="V9" s="28"/>
      <c r="W9" s="28"/>
    </row>
    <row r="10" ht="15" customHeight="1">
      <c r="A10" s="28" t="s">
        <v>271</v>
      </c>
      <c r="B10" s="28"/>
      <c r="C10" s="28"/>
      <c r="D10" s="28"/>
      <c r="E10" s="29"/>
      <c r="F10" s="29"/>
      <c r="G10" s="29"/>
      <c r="H10" s="29"/>
      <c r="I10" s="29"/>
      <c r="J10" s="29"/>
      <c r="K10" s="29"/>
      <c r="L10" s="29"/>
      <c r="M10" s="29"/>
      <c r="N10" s="29"/>
      <c r="O10" s="29"/>
      <c r="P10" s="29"/>
      <c r="Q10" s="29"/>
      <c r="R10" s="29"/>
      <c r="S10" s="29"/>
      <c r="T10" s="29"/>
      <c r="U10" s="29"/>
      <c r="V10" s="29"/>
      <c r="W10" s="29"/>
    </row>
    <row r="11" ht="15" customHeight="1">
      <c r="A11" s="28" t="s">
        <v>272</v>
      </c>
      <c r="B11" s="28"/>
      <c r="C11" s="29"/>
      <c r="D11" s="28"/>
      <c r="E11" s="29"/>
      <c r="F11" s="29"/>
      <c r="G11" s="29"/>
      <c r="H11" s="29"/>
      <c r="I11" s="29"/>
      <c r="J11" s="29"/>
      <c r="K11" s="29"/>
      <c r="L11" s="29"/>
      <c r="M11" s="29"/>
      <c r="N11" s="29"/>
      <c r="O11" s="29"/>
      <c r="P11" s="29"/>
      <c r="Q11" s="29"/>
      <c r="R11" s="29"/>
      <c r="S11" s="29"/>
      <c r="T11" s="29"/>
      <c r="U11" s="29"/>
      <c r="V11" s="29"/>
      <c r="W11" s="29"/>
    </row>
    <row r="12" ht="15" customHeight="1">
      <c r="A12" s="28" t="s">
        <v>273</v>
      </c>
      <c r="B12" s="28"/>
      <c r="C12" s="28"/>
      <c r="D12" s="28"/>
      <c r="E12" s="28"/>
      <c r="F12" s="28"/>
      <c r="G12" s="28"/>
      <c r="H12" s="28"/>
      <c r="I12" s="28"/>
      <c r="J12" s="28"/>
      <c r="K12" s="28"/>
      <c r="L12" s="28"/>
      <c r="M12" s="28"/>
      <c r="N12" s="28"/>
      <c r="O12" s="28"/>
      <c r="P12" s="28"/>
      <c r="Q12" s="28"/>
      <c r="R12" s="28"/>
      <c r="S12" s="28"/>
      <c r="T12" s="28"/>
      <c r="U12" s="28"/>
      <c r="V12" s="28"/>
      <c r="W12" s="28"/>
    </row>
    <row r="13" ht="15" customHeight="1">
      <c r="A13" s="28" t="s">
        <v>274</v>
      </c>
      <c r="B13" s="28"/>
      <c r="C13" s="28"/>
      <c r="D13" s="28"/>
      <c r="E13" s="28"/>
      <c r="F13" s="28"/>
      <c r="G13" s="28"/>
      <c r="H13" s="28"/>
      <c r="I13" s="28"/>
      <c r="J13" s="28"/>
      <c r="K13" s="28"/>
      <c r="L13" s="28"/>
      <c r="M13" s="28"/>
      <c r="N13" s="28"/>
      <c r="O13" s="28"/>
      <c r="P13" s="28"/>
      <c r="Q13" s="28"/>
      <c r="R13" s="28"/>
      <c r="S13" s="28"/>
      <c r="T13" s="28"/>
      <c r="U13" s="28"/>
      <c r="V13" s="28"/>
      <c r="W13" s="28"/>
    </row>
    <row r="14" ht="15" customHeight="1">
      <c r="A14" s="28" t="s">
        <v>275</v>
      </c>
      <c r="B14" s="28"/>
      <c r="C14" s="28"/>
      <c r="D14" s="28"/>
      <c r="E14" s="28"/>
      <c r="F14" s="28"/>
      <c r="G14" s="28"/>
      <c r="H14" s="28"/>
      <c r="I14" s="28"/>
      <c r="J14" s="28"/>
      <c r="K14" s="28"/>
      <c r="L14" s="28"/>
      <c r="M14" s="28"/>
      <c r="N14" s="28"/>
      <c r="O14" s="28"/>
      <c r="P14" s="28"/>
      <c r="Q14" s="28"/>
      <c r="R14" s="28"/>
      <c r="S14" s="28"/>
      <c r="T14" s="28"/>
      <c r="U14" s="28"/>
      <c r="V14" s="28"/>
      <c r="W14" s="28"/>
    </row>
    <row r="15" ht="15" customHeight="1">
      <c r="A15" s="28" t="s">
        <v>276</v>
      </c>
      <c r="B15" s="28"/>
      <c r="C15" s="28"/>
      <c r="D15" s="28"/>
      <c r="E15" s="28"/>
      <c r="F15" s="28"/>
      <c r="G15" s="28"/>
      <c r="H15" s="28"/>
      <c r="I15" s="28"/>
      <c r="J15" s="28"/>
      <c r="K15" s="28"/>
      <c r="L15" s="28"/>
      <c r="M15" s="28"/>
      <c r="N15" s="28"/>
      <c r="O15" s="28"/>
      <c r="P15" s="28"/>
      <c r="Q15" s="28"/>
      <c r="R15" s="28"/>
      <c r="S15" s="28"/>
      <c r="T15" s="28"/>
      <c r="U15" s="28"/>
      <c r="V15" s="28"/>
      <c r="W15" s="28"/>
    </row>
    <row r="16" ht="15" customHeight="1">
      <c r="A16" s="28" t="s">
        <v>277</v>
      </c>
      <c r="B16" s="28"/>
      <c r="C16" s="28"/>
      <c r="D16" s="28"/>
      <c r="E16" s="28"/>
      <c r="F16" s="28"/>
      <c r="G16" s="28"/>
      <c r="H16" s="28"/>
      <c r="I16" s="28"/>
      <c r="J16" s="28"/>
      <c r="K16" s="28"/>
      <c r="L16" s="28"/>
      <c r="M16" s="28"/>
      <c r="N16" s="28"/>
      <c r="O16" s="28"/>
      <c r="P16" s="28"/>
      <c r="Q16" s="28"/>
      <c r="R16" s="28"/>
      <c r="S16" s="28"/>
      <c r="T16" s="28"/>
      <c r="U16" s="28"/>
      <c r="V16" s="28"/>
      <c r="W16" s="28"/>
    </row>
    <row r="17" ht="15" customHeight="1">
      <c r="A17" s="28" t="s">
        <v>278</v>
      </c>
      <c r="B17" s="28"/>
      <c r="C17" s="28"/>
      <c r="D17" s="28"/>
      <c r="E17" s="28"/>
      <c r="F17" s="28"/>
      <c r="G17" s="28"/>
      <c r="H17" s="28"/>
      <c r="I17" s="28"/>
      <c r="J17" s="28"/>
      <c r="K17" s="28"/>
      <c r="L17" s="28"/>
      <c r="M17" s="28"/>
      <c r="N17" s="28"/>
      <c r="O17" s="28"/>
      <c r="P17" s="28"/>
      <c r="Q17" s="28"/>
      <c r="R17" s="28"/>
      <c r="S17" s="28"/>
      <c r="T17" s="28"/>
      <c r="U17" s="28"/>
      <c r="V17" s="28"/>
      <c r="W17" s="28"/>
    </row>
    <row r="18" ht="15" customHeight="1">
      <c r="A18" s="28" t="s">
        <v>279</v>
      </c>
      <c r="B18" s="28"/>
      <c r="C18" s="28"/>
      <c r="D18" s="28"/>
      <c r="E18" s="28"/>
      <c r="F18" s="28"/>
      <c r="G18" s="28"/>
      <c r="H18" s="28"/>
      <c r="I18" s="28"/>
      <c r="J18" s="28"/>
      <c r="K18" s="28"/>
      <c r="L18" s="28"/>
      <c r="M18" s="28"/>
      <c r="N18" s="28"/>
      <c r="O18" s="28"/>
      <c r="P18" s="28"/>
      <c r="Q18" s="28"/>
      <c r="R18" s="28"/>
      <c r="S18" s="28"/>
      <c r="T18" s="28"/>
      <c r="U18" s="28"/>
      <c r="V18" s="28"/>
      <c r="W18" s="28"/>
    </row>
    <row r="19" ht="15" customHeight="1">
      <c r="A19" s="28" t="s">
        <v>280</v>
      </c>
      <c r="B19" s="28"/>
      <c r="C19" s="28"/>
      <c r="D19" s="28"/>
      <c r="E19" s="28"/>
      <c r="F19" s="28"/>
      <c r="G19" s="28"/>
      <c r="H19" s="28"/>
      <c r="I19" s="28"/>
      <c r="J19" s="28"/>
      <c r="K19" s="28"/>
      <c r="L19" s="28"/>
      <c r="M19" s="28"/>
      <c r="N19" s="28"/>
      <c r="O19" s="28"/>
      <c r="P19" s="28"/>
      <c r="Q19" s="28"/>
      <c r="R19" s="28"/>
      <c r="S19" s="28"/>
      <c r="T19" s="28"/>
      <c r="U19" s="28"/>
      <c r="V19" s="28"/>
      <c r="W19" s="28"/>
    </row>
    <row r="20" ht="15" customHeight="1">
      <c r="A20" s="28" t="s">
        <v>281</v>
      </c>
      <c r="B20" s="28"/>
      <c r="C20" s="28"/>
      <c r="D20" s="28"/>
      <c r="E20" s="28"/>
      <c r="F20" s="28"/>
      <c r="G20" s="28"/>
      <c r="H20" s="28"/>
      <c r="I20" s="28"/>
      <c r="J20" s="28"/>
      <c r="K20" s="28"/>
      <c r="L20" s="28"/>
      <c r="M20" s="28"/>
      <c r="N20" s="28"/>
      <c r="O20" s="28"/>
      <c r="P20" s="28"/>
      <c r="Q20" s="28"/>
      <c r="R20" s="28"/>
      <c r="S20" s="28"/>
      <c r="T20" s="28"/>
      <c r="U20" s="28"/>
      <c r="V20" s="28"/>
      <c r="W20" s="28"/>
    </row>
    <row r="21" ht="15" customHeight="1">
      <c r="A21" s="28" t="s">
        <v>282</v>
      </c>
      <c r="B21" s="28"/>
      <c r="C21" s="28"/>
      <c r="D21" s="28"/>
      <c r="E21" s="28"/>
      <c r="F21" s="28"/>
      <c r="G21" s="28"/>
      <c r="H21" s="28"/>
      <c r="I21" s="28"/>
      <c r="J21" s="28"/>
      <c r="K21" s="28"/>
      <c r="L21" s="28"/>
      <c r="M21" s="28"/>
      <c r="N21" s="28"/>
      <c r="O21" s="28"/>
      <c r="P21" s="28"/>
      <c r="Q21" s="28"/>
      <c r="R21" s="28"/>
      <c r="S21" s="28"/>
      <c r="T21" s="28"/>
      <c r="U21" s="28"/>
      <c r="V21" s="28"/>
      <c r="W21" s="28"/>
    </row>
  </sheetData>
  <sheetProtection insertHyperlinks="0" autoFilter="0"/>
  <phoneticPr fontId="1" type="noConversion"/>
  <conditionalFormatting sqref="I1">
    <cfRule priority="44" type="cellIs" operator="greaterThan" dxfId="1">
      <formula>3</formula>
    </cfRule>
  </conditionalFormatting>
  <conditionalFormatting sqref="C1">
    <cfRule priority="51" type="duplicateValues" dxfId="2"/>
  </conditionalFormatting>
  <conditionalFormatting sqref="H1">
    <cfRule priority="49" type="cellIs" operator="equal" dxfId="1">
      <formula>3</formula>
    </cfRule>
  </conditionalFormatting>
  <conditionalFormatting sqref="H1">
    <cfRule priority="48" type="cellIs" operator="greaterThan" dxfId="1">
      <formula>3</formula>
    </cfRule>
  </conditionalFormatting>
  <conditionalFormatting sqref="H1">
    <cfRule priority="50" type="cellIs" operator="greaterThan" dxfId="1">
      <formula>3</formula>
    </cfRule>
  </conditionalFormatting>
  <conditionalFormatting sqref="J1">
    <cfRule priority="42" type="cellIs" operator="lessThan" dxfId="3">
      <formula>1</formula>
    </cfRule>
  </conditionalFormatting>
  <conditionalFormatting sqref="J1">
    <cfRule priority="43" type="cellIs" operator="lessThan" dxfId="1">
      <formula>1</formula>
    </cfRule>
  </conditionalFormatting>
  <conditionalFormatting sqref="N1">
    <cfRule priority="46" type="cellIs" operator="lessThan" dxfId="4">
      <formula>20</formula>
    </cfRule>
  </conditionalFormatting>
  <conditionalFormatting sqref="N1">
    <cfRule priority="47" type="cellIs" operator="greaterThan" dxfId="5">
      <formula>60</formula>
    </cfRule>
  </conditionalFormatting>
  <conditionalFormatting sqref="T1:W1">
    <cfRule priority="41" type="duplicateValues" dxfId="2"/>
  </conditionalFormatting>
  <conditionalFormatting sqref="P1">
    <cfRule priority="45" type="cellIs" operator="lessThan" dxfId="4">
      <formula>1.5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pane topLeftCell="E2" activePane="bottomRight" state="frozen" xSplit="4" ySplit="1"/>
    </sheetView>
  </sheetViews>
  <sheetFormatPr baseColWidth="10" defaultColWidth="15.6650390625" defaultRowHeight="20.1" customHeight="1"/>
  <cols>
    <col min="1" max="3" width="14.33203125" customWidth="1" style="20"/>
    <col min="4" max="4" width="12.83203125" customWidth="1" style="20"/>
    <col min="5" max="7" width="8.1650390625" customWidth="1" style="20"/>
    <col min="8" max="8" width="4.8310546875" customWidth="1" style="20"/>
    <col min="9" max="9" width="7.166015625" customWidth="1" style="20"/>
    <col min="10" max="15" width="8.1650390625" customWidth="1" style="20"/>
    <col min="16" max="16" width="6.498046875" customWidth="1" style="20"/>
    <col min="17" max="17" width="11.666015625" customWidth="1" style="20"/>
    <col min="18" max="18" width="4.8310546875" customWidth="1" style="20"/>
    <col min="19" max="20" width="6.498046875" customWidth="1" style="20"/>
    <col min="21" max="21" width="4.8310546875" customWidth="1" style="20"/>
    <col min="22" max="23" width="11.666015625" customWidth="1" style="20"/>
    <col min="24" max="24" width="13.6640625" customWidth="1" style="20"/>
    <col min="25" max="40" width="10.6640625" customWidth="1" style="21"/>
  </cols>
  <sheetData>
    <row r="1" s="19" customFormat="1" ht="20.1" customHeight="1">
      <c r="A1" s="22" t="s">
        <v>243</v>
      </c>
      <c r="B1" s="22" t="s">
        <v>174</v>
      </c>
      <c r="C1" s="22" t="s">
        <v>173</v>
      </c>
      <c r="D1" s="22" t="s">
        <v>283</v>
      </c>
      <c r="E1" s="22" t="s">
        <v>284</v>
      </c>
      <c r="F1" s="22" t="s">
        <v>285</v>
      </c>
      <c r="G1" s="22" t="s">
        <v>286</v>
      </c>
      <c r="H1" s="22" t="s">
        <v>287</v>
      </c>
      <c r="I1" s="22" t="s">
        <v>288</v>
      </c>
      <c r="J1" s="22" t="s">
        <v>289</v>
      </c>
      <c r="K1" s="22" t="s">
        <v>290</v>
      </c>
      <c r="L1" s="22" t="s">
        <v>291</v>
      </c>
      <c r="M1" s="22" t="s">
        <v>292</v>
      </c>
      <c r="N1" s="22" t="s">
        <v>293</v>
      </c>
      <c r="O1" s="22" t="s">
        <v>294</v>
      </c>
      <c r="P1" s="22" t="s">
        <v>295</v>
      </c>
      <c r="Q1" s="22" t="s">
        <v>296</v>
      </c>
      <c r="R1" s="22" t="s">
        <v>297</v>
      </c>
      <c r="S1" s="22" t="s">
        <v>298</v>
      </c>
      <c r="T1" s="22" t="s">
        <v>4</v>
      </c>
      <c r="U1" s="22" t="s">
        <v>299</v>
      </c>
      <c r="V1" s="22" t="s">
        <v>300</v>
      </c>
      <c r="W1" s="22" t="s">
        <v>301</v>
      </c>
      <c r="X1" s="22" t="s">
        <v>302</v>
      </c>
    </row>
    <row r="2" ht="20.1" customHeight="1">
      <c r="A2" s="23"/>
      <c r="B2" s="23"/>
      <c r="C2" s="23"/>
      <c r="D2" s="23"/>
      <c r="E2" s="23"/>
      <c r="F2" s="23"/>
      <c r="G2" s="23"/>
      <c r="H2" s="23"/>
      <c r="I2" s="23"/>
      <c r="J2" s="23"/>
      <c r="K2" s="23"/>
      <c r="L2" s="23"/>
      <c r="M2" s="23" t="s">
        <v>41</v>
      </c>
      <c r="N2" s="23"/>
      <c r="O2" s="23"/>
      <c r="P2" s="23"/>
      <c r="Q2" s="23"/>
      <c r="R2" s="23"/>
      <c r="S2" s="23"/>
      <c r="T2" s="23"/>
      <c r="U2" s="23"/>
      <c r="V2" s="23"/>
      <c r="W2" s="23"/>
      <c r="X2" s="23"/>
    </row>
    <row r="3" ht="20.1" customHeight="1">
      <c r="A3" s="23"/>
      <c r="B3" s="23"/>
      <c r="C3" s="23"/>
      <c r="D3" s="23"/>
      <c r="E3" s="23"/>
      <c r="F3" s="23"/>
      <c r="G3" s="23"/>
      <c r="H3" s="23"/>
      <c r="I3" s="23"/>
      <c r="J3" s="23"/>
      <c r="K3" s="23"/>
      <c r="L3" s="23"/>
      <c r="M3" s="23" t="s">
        <v>42</v>
      </c>
      <c r="N3" s="23"/>
      <c r="O3" s="23"/>
      <c r="P3" s="23"/>
      <c r="Q3" s="23"/>
      <c r="R3" s="23"/>
      <c r="S3" s="23"/>
      <c r="T3" s="23"/>
      <c r="U3" s="23"/>
      <c r="V3" s="23"/>
      <c r="W3" s="23"/>
      <c r="X3" s="23"/>
    </row>
    <row r="4" ht="20.1" customHeight="1">
      <c r="A4" s="23"/>
      <c r="B4" s="23"/>
      <c r="C4" s="23"/>
      <c r="D4" s="23"/>
      <c r="E4" s="23"/>
      <c r="F4" s="23"/>
      <c r="G4" s="23"/>
      <c r="H4" s="23"/>
      <c r="I4" s="23"/>
      <c r="J4" s="23"/>
      <c r="K4" s="23"/>
      <c r="L4" s="23"/>
      <c r="M4" s="23" t="s">
        <v>303</v>
      </c>
      <c r="N4" s="23"/>
      <c r="O4" s="23"/>
      <c r="P4" s="23"/>
      <c r="Q4" s="23"/>
      <c r="R4" s="23"/>
      <c r="S4" s="23"/>
      <c r="T4" s="23"/>
      <c r="U4" s="23"/>
      <c r="V4" s="23"/>
      <c r="W4" s="23"/>
      <c r="X4" s="23"/>
    </row>
    <row r="5" ht="20.1" customHeight="1">
      <c r="A5" s="23"/>
      <c r="B5" s="23"/>
      <c r="C5" s="23"/>
      <c r="D5" s="23"/>
      <c r="E5" s="23"/>
      <c r="F5" s="23"/>
      <c r="G5" s="23"/>
      <c r="H5" s="23"/>
      <c r="I5" s="23"/>
      <c r="J5" s="23"/>
      <c r="K5" s="23"/>
      <c r="L5" s="23"/>
      <c r="M5" s="23" t="s">
        <v>304</v>
      </c>
      <c r="N5" s="23"/>
      <c r="O5" s="23"/>
      <c r="P5" s="23"/>
      <c r="Q5" s="23"/>
      <c r="R5" s="23"/>
      <c r="S5" s="23"/>
      <c r="T5" s="23"/>
      <c r="U5" s="23"/>
      <c r="V5" s="23"/>
      <c r="W5" s="23"/>
      <c r="X5" s="23"/>
    </row>
    <row r="6" ht="20.1" customHeight="1">
      <c r="A6" s="23"/>
      <c r="B6" s="23"/>
      <c r="C6" s="23"/>
      <c r="D6" s="23"/>
      <c r="E6" s="23"/>
      <c r="F6" s="23"/>
      <c r="G6" s="23"/>
      <c r="H6" s="23"/>
      <c r="I6" s="23"/>
      <c r="J6" s="23"/>
      <c r="K6" s="23"/>
      <c r="L6" s="23"/>
      <c r="M6" s="23"/>
      <c r="N6" s="23"/>
      <c r="O6" s="23"/>
      <c r="P6" s="23"/>
      <c r="Q6" s="23"/>
      <c r="R6" s="23"/>
      <c r="S6" s="23"/>
      <c r="T6" s="23"/>
      <c r="U6" s="23"/>
      <c r="V6" s="23"/>
      <c r="W6" s="23"/>
      <c r="X6" s="23"/>
    </row>
    <row r="7" ht="20.1" customHeight="1">
      <c r="A7" s="23"/>
      <c r="B7" s="23"/>
      <c r="C7" s="23"/>
      <c r="D7" s="23"/>
      <c r="E7" s="23"/>
      <c r="F7" s="23"/>
      <c r="G7" s="23"/>
      <c r="H7" s="23"/>
      <c r="I7" s="23"/>
      <c r="J7" s="23"/>
      <c r="K7" s="23"/>
      <c r="L7" s="23"/>
      <c r="M7" s="23"/>
      <c r="N7" s="23"/>
      <c r="O7" s="23"/>
      <c r="R7" s="23"/>
      <c r="S7" s="23"/>
      <c r="T7" s="23"/>
      <c r="U7" s="23"/>
      <c r="V7" s="23"/>
      <c r="W7" s="23"/>
      <c r="X7" s="23"/>
    </row>
    <row r="8" ht="20.1" customHeight="1">
      <c r="A8" s="23"/>
      <c r="B8" s="23"/>
      <c r="C8" s="23"/>
      <c r="D8" s="23"/>
      <c r="E8" s="23"/>
      <c r="F8" s="23"/>
      <c r="G8" s="23"/>
      <c r="H8" s="23"/>
      <c r="I8" s="23"/>
      <c r="J8" s="23"/>
      <c r="K8" s="23"/>
      <c r="L8" s="23"/>
      <c r="M8" s="23"/>
      <c r="N8" s="23"/>
      <c r="O8" s="23"/>
      <c r="P8" s="23"/>
      <c r="Q8" s="23"/>
      <c r="R8" s="23"/>
      <c r="S8" s="23"/>
      <c r="T8" s="23"/>
      <c r="U8" s="23"/>
      <c r="V8" s="23"/>
      <c r="W8" s="23"/>
      <c r="X8" s="23"/>
    </row>
    <row r="9" ht="20.1" customHeight="1">
      <c r="A9" s="23"/>
      <c r="B9" s="23"/>
      <c r="C9" s="23"/>
      <c r="D9" s="23"/>
      <c r="E9" s="23"/>
      <c r="F9" s="23"/>
      <c r="G9" s="23"/>
      <c r="H9" s="23"/>
      <c r="I9" s="23"/>
      <c r="J9" s="23"/>
      <c r="K9" s="23"/>
      <c r="L9" s="23"/>
      <c r="M9" s="23"/>
      <c r="N9" s="23"/>
      <c r="O9" s="23"/>
      <c r="P9" s="23"/>
      <c r="Q9" s="23"/>
      <c r="R9" s="23"/>
      <c r="S9" s="23"/>
      <c r="T9" s="23"/>
      <c r="U9" s="23"/>
      <c r="V9" s="23"/>
      <c r="W9" s="23"/>
      <c r="X9" s="23"/>
    </row>
    <row r="10" ht="20.1" customHeight="1">
      <c r="A10" s="23"/>
      <c r="B10" s="23"/>
      <c r="C10" s="23"/>
      <c r="D10" s="23"/>
      <c r="E10" s="23"/>
      <c r="F10" s="23"/>
      <c r="G10" s="23"/>
      <c r="H10" s="23"/>
      <c r="I10" s="23"/>
      <c r="J10" s="23"/>
      <c r="K10" s="23"/>
      <c r="L10" s="23"/>
      <c r="M10" s="23"/>
      <c r="N10" s="23"/>
      <c r="O10" s="23"/>
      <c r="P10" s="23"/>
      <c r="Q10" s="23"/>
      <c r="R10" s="23"/>
      <c r="S10" s="23"/>
      <c r="T10" s="23"/>
      <c r="U10" s="23"/>
      <c r="V10" s="23"/>
      <c r="W10" s="23"/>
      <c r="X10" s="23"/>
    </row>
    <row r="11" ht="20.1" customHeight="1">
      <c r="A11" s="23"/>
      <c r="B11" s="23"/>
      <c r="C11" s="23"/>
      <c r="D11" s="23"/>
      <c r="E11" s="23"/>
      <c r="F11" s="23"/>
      <c r="G11" s="23"/>
      <c r="H11" s="23"/>
      <c r="I11" s="23"/>
      <c r="J11" s="23"/>
      <c r="K11" s="23"/>
      <c r="L11" s="23"/>
      <c r="M11" s="23"/>
      <c r="N11" s="23"/>
      <c r="O11" s="23"/>
      <c r="P11" s="23"/>
      <c r="Q11" s="23"/>
      <c r="R11" s="23"/>
      <c r="S11" s="23"/>
      <c r="T11" s="23"/>
      <c r="U11" s="23"/>
      <c r="V11" s="23"/>
      <c r="W11" s="23"/>
      <c r="X11" s="23"/>
    </row>
    <row r="12" ht="20.1" customHeight="1">
      <c r="A12" s="23"/>
      <c r="B12" s="23"/>
      <c r="C12" s="23"/>
      <c r="D12" s="23"/>
      <c r="E12" s="23"/>
      <c r="F12" s="23"/>
      <c r="G12" s="23"/>
      <c r="H12" s="23"/>
      <c r="I12" s="23"/>
      <c r="J12" s="23"/>
      <c r="K12" s="23"/>
      <c r="L12" s="23"/>
      <c r="M12" s="23"/>
      <c r="N12" s="23"/>
      <c r="O12" s="23"/>
      <c r="P12" s="23"/>
      <c r="Q12" s="23"/>
      <c r="R12" s="23"/>
      <c r="S12" s="23"/>
      <c r="T12" s="23"/>
      <c r="U12" s="23"/>
      <c r="V12" s="23"/>
      <c r="W12" s="23"/>
      <c r="X12" s="23"/>
    </row>
    <row r="13" ht="20.1" customHeight="1">
      <c r="A13" s="23"/>
      <c r="B13" s="23"/>
      <c r="C13" s="23"/>
      <c r="D13" s="23"/>
      <c r="E13" s="23"/>
      <c r="F13" s="23"/>
      <c r="G13" s="23"/>
      <c r="H13" s="23"/>
      <c r="I13" s="23"/>
      <c r="J13" s="23"/>
      <c r="K13" s="23"/>
      <c r="L13" s="23"/>
      <c r="M13" s="23"/>
      <c r="N13" s="23"/>
      <c r="O13" s="23"/>
      <c r="P13" s="23"/>
      <c r="Q13" s="23"/>
      <c r="R13" s="23"/>
      <c r="S13" s="23"/>
      <c r="T13" s="23"/>
      <c r="U13" s="23"/>
      <c r="V13" s="23"/>
      <c r="W13" s="23"/>
      <c r="X13" s="23"/>
    </row>
    <row r="14" ht="20.1" customHeight="1">
      <c r="A14" s="23"/>
      <c r="B14" s="23"/>
      <c r="C14" s="23"/>
      <c r="D14" s="23"/>
      <c r="E14" s="23"/>
      <c r="F14" s="23"/>
      <c r="G14" s="23"/>
      <c r="H14" s="23"/>
      <c r="I14" s="23"/>
      <c r="J14" s="23"/>
      <c r="K14" s="23"/>
      <c r="L14" s="23"/>
      <c r="M14" s="23"/>
      <c r="N14" s="23"/>
      <c r="O14" s="23"/>
      <c r="P14" s="23"/>
      <c r="Q14" s="23"/>
      <c r="R14" s="23"/>
      <c r="S14" s="23"/>
      <c r="T14" s="23"/>
      <c r="U14" s="23"/>
      <c r="V14" s="23"/>
      <c r="W14" s="23"/>
      <c r="X14" s="23"/>
    </row>
    <row r="15" ht="20.1" customHeight="1">
      <c r="A15" s="23"/>
      <c r="B15" s="23"/>
      <c r="C15" s="23"/>
      <c r="D15" s="23"/>
      <c r="E15" s="23"/>
      <c r="F15" s="23"/>
      <c r="G15" s="23"/>
      <c r="H15" s="23"/>
      <c r="I15" s="23"/>
      <c r="J15" s="23"/>
      <c r="K15" s="23"/>
      <c r="L15" s="23"/>
      <c r="M15" s="23"/>
      <c r="N15" s="23"/>
      <c r="O15" s="23"/>
      <c r="P15" s="23"/>
      <c r="Q15" s="23"/>
      <c r="R15" s="23"/>
      <c r="S15" s="23"/>
      <c r="T15" s="23"/>
      <c r="U15" s="23"/>
      <c r="V15" s="23"/>
      <c r="W15" s="23"/>
      <c r="X15" s="23"/>
    </row>
    <row r="16" ht="20.1" customHeight="1">
      <c r="A16" s="23"/>
      <c r="B16" s="23"/>
      <c r="C16" s="23"/>
      <c r="D16" s="23"/>
      <c r="E16" s="23"/>
      <c r="F16" s="23"/>
      <c r="G16" s="23"/>
      <c r="H16" s="23"/>
      <c r="I16" s="23"/>
      <c r="J16" s="23"/>
      <c r="K16" s="23"/>
      <c r="L16" s="23"/>
      <c r="M16" s="23"/>
      <c r="N16" s="23"/>
      <c r="O16" s="23"/>
      <c r="P16" s="23"/>
      <c r="Q16" s="23"/>
      <c r="R16" s="23"/>
      <c r="S16" s="23"/>
      <c r="T16" s="23"/>
      <c r="U16" s="23"/>
      <c r="V16" s="23"/>
      <c r="W16" s="23"/>
      <c r="X16" s="23"/>
    </row>
    <row r="17" ht="20.1" customHeight="1">
      <c r="A17" s="23"/>
      <c r="B17" s="23"/>
      <c r="C17" s="23"/>
      <c r="D17" s="23"/>
      <c r="E17" s="23"/>
      <c r="F17" s="23"/>
      <c r="G17" s="23"/>
      <c r="H17" s="23"/>
      <c r="I17" s="23"/>
      <c r="J17" s="23"/>
      <c r="K17" s="23"/>
      <c r="L17" s="23"/>
      <c r="M17" s="23"/>
      <c r="N17" s="23"/>
      <c r="O17" s="23"/>
      <c r="P17" s="23"/>
      <c r="Q17" s="23"/>
      <c r="R17" s="23"/>
      <c r="S17" s="23"/>
      <c r="T17" s="23"/>
      <c r="U17" s="23"/>
      <c r="V17" s="23"/>
      <c r="W17" s="23"/>
      <c r="X17" s="23"/>
    </row>
    <row r="18" ht="20.1" customHeight="1">
      <c r="A18" s="23"/>
      <c r="B18" s="23"/>
      <c r="C18" s="23"/>
      <c r="D18" s="23"/>
      <c r="E18" s="23"/>
      <c r="F18" s="23"/>
      <c r="G18" s="23"/>
      <c r="H18" s="23"/>
      <c r="I18" s="23"/>
      <c r="J18" s="23"/>
      <c r="K18" s="23"/>
      <c r="L18" s="23"/>
      <c r="M18" s="23"/>
      <c r="N18" s="23"/>
      <c r="O18" s="23"/>
      <c r="P18" s="23"/>
      <c r="Q18" s="23"/>
      <c r="R18" s="23"/>
      <c r="S18" s="23"/>
      <c r="T18" s="23"/>
      <c r="U18" s="23"/>
      <c r="V18" s="23"/>
      <c r="W18" s="23"/>
      <c r="X18" s="23"/>
    </row>
    <row r="19" ht="20.1" customHeight="1">
      <c r="A19" s="23"/>
      <c r="B19" s="23"/>
      <c r="C19" s="23"/>
      <c r="D19" s="23"/>
      <c r="E19" s="23"/>
      <c r="F19" s="23"/>
      <c r="G19" s="23"/>
      <c r="H19" s="23"/>
      <c r="I19" s="23"/>
      <c r="J19" s="23"/>
      <c r="K19" s="23"/>
      <c r="L19" s="23"/>
      <c r="M19" s="23"/>
      <c r="N19" s="23"/>
      <c r="O19" s="23"/>
      <c r="P19" s="23"/>
      <c r="Q19" s="23"/>
      <c r="R19" s="23"/>
      <c r="S19" s="23"/>
      <c r="T19" s="23"/>
      <c r="U19" s="23"/>
      <c r="V19" s="23"/>
      <c r="W19" s="23"/>
      <c r="X19" s="23"/>
    </row>
    <row r="20" ht="20.1" customHeight="1">
      <c r="A20" s="23"/>
      <c r="B20" s="23"/>
      <c r="C20" s="23"/>
      <c r="D20" s="23"/>
      <c r="E20" s="23"/>
      <c r="F20" s="23"/>
      <c r="G20" s="23"/>
      <c r="H20" s="23"/>
      <c r="I20" s="23"/>
      <c r="J20" s="23"/>
      <c r="K20" s="23"/>
      <c r="L20" s="23"/>
      <c r="M20" s="23"/>
      <c r="N20" s="23"/>
      <c r="O20" s="23"/>
      <c r="P20" s="23"/>
      <c r="Q20" s="23"/>
      <c r="R20" s="23"/>
      <c r="S20" s="23"/>
      <c r="T20" s="23"/>
      <c r="U20" s="23"/>
      <c r="V20" s="23"/>
      <c r="W20" s="23"/>
      <c r="X20" s="23"/>
    </row>
    <row r="21" ht="20.1" customHeight="1">
      <c r="A21" s="23"/>
      <c r="B21" s="23"/>
      <c r="C21" s="23"/>
      <c r="D21" s="23"/>
      <c r="E21" s="23"/>
      <c r="F21" s="23"/>
      <c r="G21" s="23"/>
      <c r="H21" s="23"/>
      <c r="I21" s="23"/>
      <c r="J21" s="23"/>
      <c r="K21" s="23"/>
      <c r="L21" s="23"/>
      <c r="M21" s="23"/>
      <c r="N21" s="23"/>
      <c r="O21" s="23"/>
      <c r="P21" s="23"/>
      <c r="Q21" s="23"/>
      <c r="R21" s="23"/>
      <c r="S21" s="23"/>
      <c r="T21" s="23"/>
      <c r="U21" s="23"/>
      <c r="V21" s="23"/>
      <c r="W21" s="23"/>
      <c r="X21" s="23"/>
    </row>
    <row r="22" ht="20.1" customHeight="1">
      <c r="A22" s="23"/>
      <c r="B22" s="23"/>
      <c r="C22" s="23"/>
      <c r="D22" s="23"/>
      <c r="E22" s="23"/>
      <c r="F22" s="23"/>
      <c r="G22" s="23"/>
      <c r="H22" s="23"/>
      <c r="I22" s="23"/>
      <c r="J22" s="23"/>
      <c r="K22" s="23"/>
      <c r="L22" s="23"/>
      <c r="M22" s="23"/>
      <c r="N22" s="23"/>
      <c r="O22" s="23"/>
      <c r="P22" s="23"/>
      <c r="Q22" s="23"/>
      <c r="R22" s="23"/>
      <c r="S22" s="23"/>
      <c r="T22" s="23"/>
      <c r="U22" s="23"/>
      <c r="V22" s="23"/>
      <c r="W22" s="23"/>
      <c r="X22" s="23"/>
    </row>
  </sheetData>
  <sheetProtection insertHyperlinks="0" autoFilter="0"/>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pane topLeftCell="B2" activePane="bottomRight" state="frozen" xSplit="1" ySplit="1"/>
    </sheetView>
  </sheetViews>
  <sheetFormatPr baseColWidth="10" defaultColWidth="9.9990234375" defaultRowHeight="15" customHeight="1"/>
  <cols>
    <col min="1" max="1" width="9" customWidth="1" style="5"/>
    <col min="2" max="2" width="18.1640625" customWidth="1" style="5"/>
    <col min="3" max="3" width="14.8330078125" customWidth="1" style="5"/>
    <col min="4" max="4" width="8.33203125" customWidth="1" style="6"/>
    <col min="5" max="5" width="16.3330078125" customWidth="1" style="6"/>
    <col min="6" max="6" width="9" customWidth="1" style="7"/>
    <col min="7" max="7" width="10.3330078125" customWidth="1" style="5"/>
    <col min="8" max="10" width="14.33203125" customWidth="1" style="5"/>
    <col min="11" max="11" width="10.8310546875" customWidth="1" style="5"/>
    <col min="12" max="12" width="5.8330078125" customWidth="1" style="5"/>
    <col min="13" max="13" width="6.3310546875" customWidth="1" style="5"/>
    <col min="14" max="14" width="22.166015625" customWidth="1" style="5"/>
    <col min="15" max="15" width="9.6650390625" customWidth="1" style="6"/>
    <col min="16" max="16" width="18.3310546875" customWidth="1" style="5"/>
    <col min="17" max="17" width="16.6640625" customWidth="1" style="5"/>
    <col min="18" max="21" width="9.83203125" customWidth="1" style="5"/>
    <col min="22" max="22" width="12.6650390625" customWidth="1" style="5"/>
    <col min="23" max="23" width="9.83203125" customWidth="1" style="8"/>
    <col min="24" max="24" width="16.998046875" customWidth="1" style="9"/>
    <col min="25" max="25" width="16.3330078125" customWidth="1" style="9"/>
    <col min="26" max="26" width="15.3310546875" customWidth="1" style="5"/>
    <col min="27" max="27" width="12.3310546875" customWidth="1" style="6"/>
    <col min="28" max="29" width="9.83203125" customWidth="1" style="5"/>
    <col min="30" max="40" width="9.9990234375" style="10"/>
  </cols>
  <sheetData>
    <row r="1" s="311" customFormat="1" ht="15.6" customHeight="1">
      <c r="A1" s="11" t="s">
        <v>305</v>
      </c>
      <c r="B1" s="11" t="s">
        <v>186</v>
      </c>
      <c r="C1" s="11" t="s">
        <v>306</v>
      </c>
      <c r="D1" s="12" t="s">
        <v>307</v>
      </c>
      <c r="E1" s="12" t="s">
        <v>308</v>
      </c>
      <c r="F1" s="14" t="s">
        <v>309</v>
      </c>
      <c r="G1" s="11" t="s">
        <v>310</v>
      </c>
      <c r="H1" s="419" t="s">
        <v>311</v>
      </c>
      <c r="I1" s="420" t="s">
        <v>312</v>
      </c>
      <c r="J1" s="421" t="s">
        <v>313</v>
      </c>
      <c r="K1" s="11" t="s">
        <v>314</v>
      </c>
      <c r="L1" s="11" t="s">
        <v>315</v>
      </c>
      <c r="M1" s="11" t="s">
        <v>316</v>
      </c>
      <c r="N1" s="11" t="s">
        <v>317</v>
      </c>
      <c r="O1" s="12" t="s">
        <v>318</v>
      </c>
      <c r="P1" s="11" t="s">
        <v>319</v>
      </c>
      <c r="Q1" s="422" t="s">
        <v>320</v>
      </c>
      <c r="R1" s="11" t="s">
        <v>321</v>
      </c>
      <c r="S1" s="11" t="s">
        <v>37</v>
      </c>
      <c r="T1" s="11" t="s">
        <v>322</v>
      </c>
      <c r="U1" s="11" t="s">
        <v>323</v>
      </c>
      <c r="V1" s="11" t="s">
        <v>324</v>
      </c>
      <c r="W1" s="14" t="s">
        <v>325</v>
      </c>
      <c r="X1" s="423" t="s">
        <v>326</v>
      </c>
      <c r="Y1" s="424" t="s">
        <v>327</v>
      </c>
      <c r="Z1" s="425" t="s">
        <v>328</v>
      </c>
      <c r="AA1" s="426" t="s">
        <v>329</v>
      </c>
      <c r="AB1" s="11" t="s">
        <v>330</v>
      </c>
      <c r="AC1" s="11" t="s">
        <v>331</v>
      </c>
    </row>
    <row r="2" s="311" customFormat="1" ht="15" customHeight="1">
      <c r="A2" s="5"/>
      <c r="B2" s="13"/>
      <c r="C2" s="5"/>
      <c r="D2" s="6"/>
      <c r="E2" s="6"/>
      <c r="F2" s="7"/>
      <c r="G2" s="5"/>
      <c r="H2" s="5"/>
      <c r="I2" s="5"/>
      <c r="J2" s="5"/>
      <c r="K2" s="5"/>
      <c r="L2" s="5"/>
      <c r="M2" s="5"/>
      <c r="N2" s="15"/>
      <c r="O2" s="6"/>
      <c r="P2" s="16"/>
      <c r="Q2" s="16"/>
      <c r="R2" s="5"/>
      <c r="S2" s="5"/>
      <c r="T2" s="5"/>
      <c r="U2" s="5"/>
      <c r="V2" s="5"/>
      <c r="W2" s="8"/>
      <c r="X2" s="9"/>
      <c r="Y2" s="9"/>
      <c r="Z2" s="5"/>
      <c r="AA2" s="6"/>
      <c r="AB2" s="5"/>
      <c r="AC2" s="18"/>
    </row>
  </sheetData>
  <sheetProtection insertHyperlinks="0" autoFilter="0"/>
  <phoneticPr fontId="1" type="noConversion"/>
  <pageMargins left="0.7" right="0.7" top="0.75" bottom="0.75" header="0.3" footer="0.3"/>
</worksheet>
</file>

<file path=customXml/dingComments.xml><?xml version="1.0" encoding="utf-8"?>
<dingComments>
  <dingCommentList sheetId="2">
    <dingComment ref="AZ10" cmtId="cmt-9ca5664c-14196"/>
    <dingComment ref="AR11" cmtId="cmt-ddc003db-22885"/>
    <dingComment ref="AZ16" cmtId="cmt-21a1cf9c-15839"/>
    <dingComment ref="AH13" cmtId="cmt-3b16eb2d-54342"/>
    <dingComment ref="A9" cmtId="cmt-8504da04-44784"/>
    <dingComment ref="L4" cmtId="cmt-2fbf2d40-12559"/>
    <dingComment ref="AH12" cmtId="cmt-ec420733-73387"/>
    <dingComment ref="AR8" cmtId="cmt-60357d40-35485"/>
    <dingComment ref="H4" cmtId="cmt-9ee24ba6-28552"/>
    <dingComment ref="AH11" cmtId="cmt-15ae9afb-36413"/>
    <dingComment ref="AR14" cmtId="cmt-ee4b9904-72719"/>
    <dingComment ref="A13" cmtId="cmt-59bdcee7-12211"/>
    <dingComment ref="AH10" cmtId="cmt-a43a6dad-57366"/>
    <dingComment ref="E4" cmtId="cmt-61b9c401-38808"/>
    <dingComment ref="AV12" cmtId="cmt-c910ffbe-46465"/>
    <dingComment ref="AZ13" cmtId="cmt-cd719f33-27385"/>
    <dingComment ref="AH16" cmtId="cmt-e11308c6-85561"/>
    <dingComment ref="AV9" cmtId="cmt-2d2c8a1a-58436"/>
    <dingComment ref="AH15" cmtId="cmt-a3c1e86e-14788"/>
    <dingComment ref="G4" cmtId="cmt-77649596-72842"/>
    <dingComment ref="AH14" cmtId="cmt-6450f555-04220"/>
    <dingComment ref="BJ4" cmtId="cmt-f5ea8c36-52738"/>
    <dingComment ref="AH9" cmtId="cmt-3dc4c8e7-93582"/>
    <dingComment ref="A5" cmtId="cmt-9d06180f-90522"/>
    <dingComment ref="F4" cmtId="cmt-f1f2616d-91355"/>
    <dingComment ref="N1" cmtId="cmt-98242d04-37008"/>
    <dingComment ref="AV15" cmtId="cmt-d1acd9a2-40751"/>
    <dingComment ref="J4" cmtId="cmt-da5b9ae4-06535"/>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2006-09-16T00:00:00Z</dcterms:modified>
</cp:coreProperties>
</file>