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tabRatio="906"/>
  </bookViews>
  <sheets>
    <sheet name="1.1核心竞争对手调研" sheetId="14" r:id="rId1"/>
    <sheet name="1.2 产品定价" sheetId="13" r:id="rId2"/>
    <sheet name="2.1 销售和库存规划" sheetId="3" r:id="rId3"/>
    <sheet name="2.2 运营策略" sheetId="15" r:id="rId4"/>
    <sheet name=" 3.1 ASIN数据" sheetId="22" r:id="rId5"/>
    <sheet name="3.2 关键词数据" sheetId="23" r:id="rId6"/>
    <sheet name="3.3 广告数据" sheetId="18" r:id="rId7"/>
    <sheet name="4.1 关键词原始数据" sheetId="19" r:id="rId8"/>
    <sheet name="4.2 产品详情原始数据" sheetId="25" r:id="rId9"/>
  </sheets>
  <calcPr calcId="191029" concurrentCalc="0"/>
  <pivotCaches>
    <pivotCache cacheId="0" r:id="rId13"/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hp</author>
  </authors>
  <commentList>
    <comment ref="A5" authorId="0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自动广告 预算$20 Bid $1.2</t>
        </r>
      </text>
    </comment>
  </commentList>
</comments>
</file>

<file path=xl/sharedStrings.xml><?xml version="1.0" encoding="utf-8"?>
<sst xmlns="http://schemas.openxmlformats.org/spreadsheetml/2006/main" count="3825" uniqueCount="644">
  <si>
    <t>变体形式</t>
  </si>
  <si>
    <t>ASIN</t>
  </si>
  <si>
    <t>品牌</t>
  </si>
  <si>
    <t>图片</t>
  </si>
  <si>
    <t>卖点提炼</t>
  </si>
  <si>
    <t>销售价格</t>
  </si>
  <si>
    <t>尺寸信息</t>
  </si>
  <si>
    <t>FBA配送费</t>
  </si>
  <si>
    <t>reviews星级</t>
  </si>
  <si>
    <t>reviews数量</t>
  </si>
  <si>
    <t>类目</t>
  </si>
  <si>
    <t>review内容分析</t>
  </si>
  <si>
    <t>QA内容分析</t>
  </si>
  <si>
    <t>历史销售数据</t>
  </si>
  <si>
    <t>产品总结</t>
  </si>
  <si>
    <t>1.尺寸对比-分析配送费，优化价格 
2.对比五点，找出共同描述的点，找出自己产品的差异点 
3.查看星级 -是否需要控评 
4.review数量-预估上评数量  
5.reviews布局- 图片review内容（室内or室外），文字review内容（尺寸，材质，颜色，款式，质量），是否中评卡位  
6.对比售价，定位自家价格  
7.对比排名情况，设定目标 
8.关键词分析</t>
  </si>
  <si>
    <t>产品采购信息</t>
  </si>
  <si>
    <t>产品型号</t>
  </si>
  <si>
    <t>每箱毛重</t>
  </si>
  <si>
    <t>每箱体积</t>
  </si>
  <si>
    <t>每箱数量</t>
  </si>
  <si>
    <t>头程运费</t>
  </si>
  <si>
    <t>产品采购成本</t>
  </si>
  <si>
    <t>XXXX-111</t>
  </si>
  <si>
    <t>XXXX-222</t>
  </si>
  <si>
    <t>产品信息</t>
  </si>
  <si>
    <t>亚马逊销售核算公式</t>
  </si>
  <si>
    <t>货号/品名</t>
  </si>
  <si>
    <t>英文品名</t>
  </si>
  <si>
    <t>产品型号
Model No.</t>
  </si>
  <si>
    <t>类目佣金</t>
  </si>
  <si>
    <t>产品成本</t>
  </si>
  <si>
    <t>毛利润</t>
  </si>
  <si>
    <t>毛利润率</t>
  </si>
  <si>
    <t>XXXXX</t>
  </si>
  <si>
    <t>退货</t>
  </si>
  <si>
    <t>广告</t>
  </si>
  <si>
    <t>30天</t>
  </si>
  <si>
    <t>仓储成本</t>
  </si>
  <si>
    <t>500个</t>
  </si>
  <si>
    <t>日期</t>
  </si>
  <si>
    <t>每日销量目标</t>
  </si>
  <si>
    <t>目标剩余库存</t>
  </si>
  <si>
    <t>实际每日销量</t>
  </si>
  <si>
    <t>实际剩余库存</t>
  </si>
  <si>
    <t>实际售价</t>
  </si>
  <si>
    <t>单个利润</t>
  </si>
  <si>
    <t>利润</t>
  </si>
  <si>
    <t>实际广告成本</t>
  </si>
  <si>
    <t>每日销量完成率</t>
  </si>
  <si>
    <t>实际利润</t>
  </si>
  <si>
    <t>2022.8.23</t>
  </si>
  <si>
    <t>2022.8.24</t>
  </si>
  <si>
    <t>2022.8.25</t>
  </si>
  <si>
    <t>2022.8.26</t>
  </si>
  <si>
    <t>2022.8.27</t>
  </si>
  <si>
    <t>2022.8.28</t>
  </si>
  <si>
    <t>2022.8.29</t>
  </si>
  <si>
    <t>2022.8.30</t>
  </si>
  <si>
    <t>2022.8.31</t>
  </si>
  <si>
    <t>2022.9.1</t>
  </si>
  <si>
    <t>2022.9.2</t>
  </si>
  <si>
    <t>2022.9.3</t>
  </si>
  <si>
    <t>2022.9.4</t>
  </si>
  <si>
    <t>2022.9.5</t>
  </si>
  <si>
    <t>2022.9.6</t>
  </si>
  <si>
    <t>2022.9.7</t>
  </si>
  <si>
    <t>2022.9.8</t>
  </si>
  <si>
    <t>2022.9.9</t>
  </si>
  <si>
    <t>2022.9.10</t>
  </si>
  <si>
    <t>2022.9.11</t>
  </si>
  <si>
    <t>2022.9.12</t>
  </si>
  <si>
    <t>2022.9.13</t>
  </si>
  <si>
    <t>2022.9.14</t>
  </si>
  <si>
    <t>2022.9.15</t>
  </si>
  <si>
    <t>2022.9.16</t>
  </si>
  <si>
    <t>2022.9.17</t>
  </si>
  <si>
    <t>2022.9.18</t>
  </si>
  <si>
    <t>2022.9.19</t>
  </si>
  <si>
    <t>2022.9.20</t>
  </si>
  <si>
    <t>2022.9.21</t>
  </si>
  <si>
    <t>2022.9.22</t>
  </si>
  <si>
    <t>2022.9.23</t>
  </si>
  <si>
    <t>2022.9.24</t>
  </si>
  <si>
    <t>2022.9.25</t>
  </si>
  <si>
    <t>2022.9.26</t>
  </si>
  <si>
    <t>2022.9.27</t>
  </si>
  <si>
    <t>2022.9.28</t>
  </si>
  <si>
    <t>2022.9.29</t>
  </si>
  <si>
    <t>2022.9.30</t>
  </si>
  <si>
    <t>2022.10.1</t>
  </si>
  <si>
    <t>2022.10.2</t>
  </si>
  <si>
    <t>2022.10.3</t>
  </si>
  <si>
    <t>2022.10.4</t>
  </si>
  <si>
    <t>2022.10.5</t>
  </si>
  <si>
    <t>2022.10.6</t>
  </si>
  <si>
    <t>2022.10.7</t>
  </si>
  <si>
    <t>2022.10.8</t>
  </si>
  <si>
    <t>2022.10.9</t>
  </si>
  <si>
    <t>2022.10.10</t>
  </si>
  <si>
    <t>2022.10.11</t>
  </si>
  <si>
    <t>2022.10.12</t>
  </si>
  <si>
    <t>2022.10.13</t>
  </si>
  <si>
    <t>2022.10.14</t>
  </si>
  <si>
    <t>2022.10.15</t>
  </si>
  <si>
    <t>2022.10.16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</si>
  <si>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</si>
  <si>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</si>
  <si>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</si>
  <si>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</si>
  <si>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</si>
  <si>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</si>
  <si>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</si>
  <si>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</si>
  <si>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</si>
  <si>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</si>
  <si>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</si>
  <si>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</si>
  <si>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2022.10.29</t>
  </si>
  <si>
    <t>2022.10.30</t>
  </si>
  <si>
    <t>2022.10.31</t>
  </si>
  <si>
    <t>变体合并策略</t>
  </si>
  <si>
    <t>执行细节及实际情况</t>
  </si>
  <si>
    <t>整体推广策略</t>
  </si>
  <si>
    <t>使用指南</t>
  </si>
  <si>
    <t>XXXX-111和XXXX-222合并
使用颜色进行合并
XXXXX等细节</t>
  </si>
  <si>
    <t>记录情况:8.18号 变体合并成功</t>
  </si>
  <si>
    <t>1、XXXX-111和XXXX-222 先开自动广告测款定主推款
3、推广节奏
第一阶段：Listing校验----自动广告
第二阶段：变体策略验证，  提升关键词排序---手动广告， 站外
第三阶段：提升订单量和关键词排序</t>
  </si>
  <si>
    <t>1、根据实际运营情况，每周对整体推广策略进行调整
2、基于上周运营表现，对下一周的核心目标、运营措施等进行更新调整并执行
3、记录运营数据到板块3</t>
  </si>
  <si>
    <t>主推款运营框架</t>
  </si>
  <si>
    <t>次推款运营框架</t>
  </si>
  <si>
    <t>【时间节点】</t>
  </si>
  <si>
    <t>第一阶段：9月第一周</t>
  </si>
  <si>
    <t>【核心目标】</t>
  </si>
  <si>
    <t>1.校正Listing的准确性， 完成LISTING基础收录，积累基础权重
2. 测词， 测款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</si>
  <si>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1. 8.23号， 开自动广告， 预算$20， Bid $1.2
</t>
    </r>
    <r>
      <rPr>
        <b/>
        <sz val="12"/>
        <color rgb="FF000000"/>
        <rFont val="微软雅黑"/>
        <charset val="134"/>
      </rPr>
      <t>【核心指标情况】</t>
    </r>
    <r>
      <rPr>
        <sz val="12"/>
        <color rgb="FF000000"/>
        <rFont val="微软雅黑"/>
        <charset val="134"/>
      </rPr>
      <t xml:space="preserve">
1. 预算$20 能花完，展示量正常，整体点击率0.17%，偏低， 每日访客数在30-40，呈递增趋势，转化率7.88%正常
2. 广告展示量主要在商品页面， 预算花费在商品页面最多， 结合投放来看， 花费主要分布在紧密匹配和宽泛匹配， 说明目前市场上的竞品还不多
3. 从用户搜索词看， 目前主要也是跑的关键词，ASIN少。 关键词与我们Listing定位的关键词非常匹配， 主要是XXXXXXXXXXXX等相关词
，与我们Listing的定位一致
4. 虽然看不到广告展示位， 但是关键词自然排序位置靠前， 可以继续按照现在的自动广告跑。
</t>
    </r>
    <r>
      <rPr>
        <b/>
        <sz val="12"/>
        <color rgb="FF000000"/>
        <rFont val="微软雅黑"/>
        <charset val="134"/>
      </rPr>
      <t>【遇到问题及后续计划】</t>
    </r>
    <r>
      <rPr>
        <sz val="12"/>
        <color rgb="FF000000"/>
        <rFont val="微软雅黑"/>
        <charset val="134"/>
      </rPr>
      <t xml:space="preserve">
问题： 
1. 进一步提升关键词自然排序和订单量
2. 预算花费很分散， 现在没有特别热销的ASIN
计划：
1. 预算增加到$30
2. 自动广告中关掉同类商品和关联商品。</t>
    </r>
  </si>
  <si>
    <t xml:space="preserve">【执行细节】
1. 8.23号， 开自动广告， 预算$20， Bid $1.2
【核心指标情况】
1. 预算$20能花完， 展示量偏低， 点击率正常， 转化率正常
2. 广告位来看， 广告主要展示在商品页面，预算主要花费在搜索结果其余位置， 从投放来看， 预算主要分配在紧密匹配和宽泛匹配， 说明现在竞品还不多。
3.看不到广告位
4. 用户搜索词： 主要是跑的一些跟xxxx相关的关键词，，与我们Listing的定位一致
5. 从关键词排序上看， XXXX-111主要在XXXXXX下有排序， 跟XXXX-222关键词排序形成互补， 所以目前XXXX-111和XXXX-222的自然广告都可以开。 
【遇到问题及后续计划】
问题：
1.  进一步提升关键词自然排序和订单量
2. 预算花费很分散， 现在没有特别热销的ASIN，跑了很多长尾词
计划：
1. 预算增加到$30， Bid提高到$1.5
2. 自动广告中关掉同类商品和关联商品。 </t>
  </si>
  <si>
    <t>【本阶段运营措施】</t>
  </si>
  <si>
    <t xml:space="preserve">广告策略： 开自动广告
价格策略： 
站外策略:
</t>
  </si>
  <si>
    <t>【重点跟进关注指标】</t>
  </si>
  <si>
    <t xml:space="preserve">1.Listing资料定位准确
2. 跑出的关键词与我们定位的关键词一致
3.广告曝光量正常
4. 关注核心关键词的排序， 广告位置展示
</t>
  </si>
  <si>
    <t>【指标变动后的应对策略】</t>
  </si>
  <si>
    <t xml:space="preserve">1. 关键词排序提升， 订单量增长， 广告继续这也跑， 直到每日订单量20， 逐渐减少广告预算， 靠关键词自然位出单
2. 关键词排序和订单量没有增长， 那我们集中预算主要跑核心关键词，关闭同类商品和关联商品
</t>
  </si>
  <si>
    <t>第二阶段：9月第二周</t>
  </si>
  <si>
    <t>提升关键词排序占据流量坑位</t>
  </si>
  <si>
    <r>
      <rPr>
        <sz val="12"/>
        <color rgb="FF000000"/>
        <rFont val="微软雅黑"/>
        <charset val="134"/>
      </rPr>
      <t xml:space="preserve">【执行细节】
1. 9.7号 优化listing
【核心指标情况】
1. 订单量增长明显
2. 关键词XXXXXXXXXX P3， XXXXXXXX P1， 关键词位置提升明显
【遇到问题及后续计划】
</t>
    </r>
    <r>
      <rPr>
        <b/>
        <sz val="12"/>
        <color rgb="FF000000"/>
        <rFont val="微软雅黑"/>
        <charset val="134"/>
      </rPr>
      <t>问题</t>
    </r>
    <r>
      <rPr>
        <sz val="12"/>
        <color rgb="FF000000"/>
        <rFont val="微软雅黑"/>
        <charset val="134"/>
      </rPr>
      <t xml:space="preserve">： 
1.出现了一个3星rating， 影响订单量
</t>
    </r>
    <r>
      <rPr>
        <b/>
        <sz val="12"/>
        <color rgb="FF000000"/>
        <rFont val="微软雅黑"/>
        <charset val="134"/>
      </rPr>
      <t>计划</t>
    </r>
    <r>
      <rPr>
        <sz val="12"/>
        <color rgb="FF000000"/>
        <rFont val="微软雅黑"/>
        <charset val="134"/>
      </rPr>
      <t>： 
1. 与其他链接合并，解决评论的问题</t>
    </r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</si>
  <si>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1. 9.6号 关闭自动广告
2. 9.7号  优化listing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1. 订单量增长明显， 关闭自动广告后 ， 订单量有下降
2. 关键词XXXXXXXX 排序在P3-P4， 变化不大
</t>
    </r>
    <r>
      <rPr>
        <b/>
        <sz val="12"/>
        <color rgb="FF000000"/>
        <rFont val="微软雅黑"/>
        <charset val="134"/>
      </rPr>
      <t xml:space="preserve">
【遇到问题及后续计划】</t>
    </r>
  </si>
  <si>
    <t xml:space="preserve">1. 优化Listing标题， 资料文案， 让关键词跑出 XXXXXXXXXXXXX
</t>
  </si>
  <si>
    <t>1. 优化Listing标题， 资料文案， 让关键词跑出 XXXXXXXX
2. 关闭自动广告</t>
  </si>
  <si>
    <t>【重点关注指标】</t>
  </si>
  <si>
    <t>1. 订单量的增长
2. 关键词排序的变化</t>
  </si>
  <si>
    <t xml:space="preserve">
</t>
  </si>
  <si>
    <t>第三阶段：9月第三周</t>
  </si>
  <si>
    <t>推动关键词排序进一步增长，抢占更靠前位置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</si>
  <si>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9.13号 关闭自动广告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>1.订单量能够稳住， 并有增长
2. 关键词自然排序XXXXXXX 在P2， XXXXXXX在P1 能够稳住
3. 访客数也在增长</t>
    </r>
    <r>
      <rPr>
        <b/>
        <sz val="12"/>
        <color rgb="FF000000"/>
        <rFont val="微软雅黑"/>
        <charset val="134"/>
      </rPr>
      <t xml:space="preserve">
【遇到问题及后续计划】
计划：
</t>
    </r>
    <r>
      <rPr>
        <sz val="12"/>
        <color rgb="FF000000"/>
        <rFont val="微软雅黑"/>
        <charset val="134"/>
      </rPr>
      <t>XXXX-111 涨价</t>
    </r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</si>
  <si>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XXX。</t>
    </r>
  </si>
  <si>
    <t>广告策略： 关闭自动广告， 靠自然出单</t>
  </si>
  <si>
    <t>1. 订单量的变化
2. 关键词排序的变化</t>
  </si>
  <si>
    <t>第四阶段：9月第四周</t>
  </si>
  <si>
    <t>保证每日单量 整个链接40+， 提价做利润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</si>
  <si>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9.17 号 XXXX-111 涨价 $13.99--$15.99
9.19号 XXXX-111 涨价 $15.99-$16.99
XXXX-222 涨价 $13.99-$14.99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1.订单量能够稳住， 并有增长
2. 关键词自然排序XXXXXXXXX 在P2， XXXXXXXX在P1 能够稳住
3. 访客数也在增长
</t>
    </r>
    <r>
      <rPr>
        <b/>
        <sz val="12"/>
        <color rgb="FF000000"/>
        <rFont val="微软雅黑"/>
        <charset val="134"/>
      </rPr>
      <t xml:space="preserve">
【遇到问题及后续计划】</t>
    </r>
  </si>
  <si>
    <t>例：保持库存动销，避免库存积压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</si>
  <si>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XXXX</t>
    </r>
  </si>
  <si>
    <t>价格策略：9.17 号 XXXX-111 涨价 $13.99--$15.99
9.19号 XXXX-111 涨价 $15.99-$16.99
XXXX-222 涨价 $13.99-$14.99</t>
  </si>
  <si>
    <t>第五阶段：10月第一周</t>
  </si>
  <si>
    <t>例：保持每日XX销量，视情况提价释放利润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</si>
  <si>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【遇到问题及后续计划】
</t>
    </r>
    <r>
      <rPr>
        <sz val="12"/>
        <color rgb="FF000000"/>
        <rFont val="微软雅黑"/>
        <charset val="134"/>
      </rPr>
      <t>XXX</t>
    </r>
  </si>
  <si>
    <t>例：转化主推款流量，保持动销</t>
  </si>
  <si>
    <t>第六阶段：10月第二周</t>
  </si>
  <si>
    <r>
      <rPr>
        <b/>
        <sz val="12"/>
        <color rgb="FF000000"/>
        <rFont val="微软雅黑"/>
        <charset val="134"/>
      </rPr>
      <t>【执行细节】</t>
    </r>
    <r>
      <rPr>
        <sz val="12"/>
        <color rgb="FF000000"/>
        <rFont val="微软雅黑"/>
        <charset val="134"/>
      </rPr>
      <t xml:space="preserve">
</t>
    </r>
    <r>
      <rPr>
        <b/>
        <sz val="12"/>
        <color rgb="FF000000"/>
        <rFont val="微软雅黑"/>
        <charset val="134"/>
      </rPr>
      <t xml:space="preserve">【核心指标情况】
</t>
    </r>
    <r>
      <rPr>
        <sz val="12"/>
        <color rgb="FF000000"/>
        <rFont val="微软雅黑"/>
        <charset val="134"/>
      </rPr>
      <t xml:space="preserve">XXX
</t>
    </r>
    <r>
      <rPr>
        <b/>
        <sz val="12"/>
        <color rgb="FF000000"/>
        <rFont val="微软雅黑"/>
        <charset val="134"/>
      </rPr>
      <t xml:space="preserve">
【遇到问题及后续计划】
</t>
    </r>
    <r>
      <rPr>
        <sz val="12"/>
        <color rgb="FF000000"/>
        <rFont val="微软雅黑"/>
        <charset val="134"/>
      </rPr>
      <t>XXX</t>
    </r>
  </si>
  <si>
    <t>分析指南</t>
  </si>
  <si>
    <t>1、关注数据重点：整个链接的整体数据规模到了什么程度？哪些指标需要重点分析？
2、关注产品重点：主推款与次推款之间的数据占比如何？变体之间是否出现任何异常情况？
3、关注工作重点：下阶段的工作重点是什么？如何帮助我们更好完成目标？后续需要重点关注哪些指标？</t>
  </si>
  <si>
    <t>主推款SKU</t>
  </si>
  <si>
    <t>ASIN1</t>
  </si>
  <si>
    <t>主图</t>
  </si>
  <si>
    <t>次推款SKU</t>
  </si>
  <si>
    <t>ASIN2</t>
  </si>
  <si>
    <t>销量</t>
  </si>
  <si>
    <t>SESSION</t>
  </si>
  <si>
    <t>销量转化率</t>
  </si>
  <si>
    <t>价格变动</t>
  </si>
  <si>
    <t>运营细节备注</t>
  </si>
  <si>
    <t>总SESSION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</si>
  <si>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</si>
  <si>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</si>
  <si>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</si>
  <si>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</si>
  <si>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</si>
  <si>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</si>
  <si>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</si>
  <si>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</si>
  <si>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</si>
  <si>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</si>
  <si>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</si>
  <si>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</si>
  <si>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</si>
  <si>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</si>
  <si>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</si>
  <si>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</si>
  <si>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</si>
  <si>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</si>
  <si>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</si>
  <si>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</si>
  <si>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</si>
  <si>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</si>
  <si>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</si>
  <si>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</si>
  <si>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</si>
  <si>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</si>
  <si>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</si>
  <si>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</si>
  <si>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</si>
  <si>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</si>
  <si>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</si>
  <si>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</si>
  <si>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</si>
  <si>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</si>
  <si>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</si>
  <si>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</si>
  <si>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</si>
  <si>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</si>
  <si>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</si>
  <si>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</si>
  <si>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</si>
  <si>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</si>
  <si>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</si>
  <si>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</si>
  <si>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</si>
  <si>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</si>
  <si>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</si>
  <si>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</si>
  <si>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</si>
  <si>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</si>
  <si>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</si>
  <si>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</si>
  <si>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</si>
  <si>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</si>
  <si>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求和项:Sessions-Total</t>
  </si>
  <si>
    <t>MSKU</t>
  </si>
  <si>
    <t>时间</t>
  </si>
  <si>
    <t>总计</t>
  </si>
  <si>
    <t>2022-08-20</t>
  </si>
  <si>
    <t>2022-08-21</t>
  </si>
  <si>
    <t>2022-08-22</t>
  </si>
  <si>
    <t>求和项:销量</t>
  </si>
  <si>
    <t>求和项:销量CVR</t>
  </si>
  <si>
    <r>
      <rPr>
        <sz val="12"/>
        <rFont val="宋体"/>
        <charset val="134"/>
      </rPr>
      <t>辅助列</t>
    </r>
  </si>
  <si>
    <t>关键词1</t>
  </si>
  <si>
    <t>关键词2</t>
  </si>
  <si>
    <t>关键词3</t>
  </si>
  <si>
    <t>关键词4</t>
  </si>
  <si>
    <t>广告位</t>
  </si>
  <si>
    <t>自然位</t>
  </si>
  <si>
    <t>8月31日上午</t>
  </si>
  <si>
    <t>8月31日晚上</t>
  </si>
  <si>
    <t>9月1日上午</t>
  </si>
  <si>
    <t>9月1日晚上</t>
  </si>
  <si>
    <t>9月2日上午</t>
  </si>
  <si>
    <t>9月2日晚上</t>
  </si>
  <si>
    <t>9月3日上午</t>
  </si>
  <si>
    <t>9月4日晚上</t>
  </si>
  <si>
    <t>9月5日上午</t>
  </si>
  <si>
    <t>9月6日晚上</t>
  </si>
  <si>
    <t>9月7日上午</t>
  </si>
  <si>
    <t>9月7日晚上</t>
  </si>
  <si>
    <t>9月8日上午</t>
  </si>
  <si>
    <t>9月8日晚上</t>
  </si>
  <si>
    <t>9月9日上午</t>
  </si>
  <si>
    <t>9月9日晚上</t>
  </si>
  <si>
    <t>9月10日上午</t>
  </si>
  <si>
    <t>9月10日晚上</t>
  </si>
  <si>
    <t>9月11日上午</t>
  </si>
  <si>
    <t>9月11日晚上</t>
  </si>
  <si>
    <t>9月12日上午</t>
  </si>
  <si>
    <t>9月12日晚上</t>
  </si>
  <si>
    <t>9月13日上午</t>
  </si>
  <si>
    <t>9月13日晚上</t>
  </si>
  <si>
    <t>9月14日上午</t>
  </si>
  <si>
    <t>9月14日晚上</t>
  </si>
  <si>
    <t>9月15日上午</t>
  </si>
  <si>
    <t>9月15日晚上</t>
  </si>
  <si>
    <t>9月16日上午</t>
  </si>
  <si>
    <t>9月16日晚上</t>
  </si>
  <si>
    <t>9月17日上午</t>
  </si>
  <si>
    <t>9月17日晚上</t>
  </si>
  <si>
    <t>9月18日上午</t>
  </si>
  <si>
    <t>9月18日晚上</t>
  </si>
  <si>
    <t>9月19日上午</t>
  </si>
  <si>
    <t>9月19日晚上</t>
  </si>
  <si>
    <t>9月20日上午</t>
  </si>
  <si>
    <t>9月20日晚上</t>
  </si>
  <si>
    <t>9月21日上午</t>
  </si>
  <si>
    <t>9月21日晚上</t>
  </si>
  <si>
    <t>9月22日上午</t>
  </si>
  <si>
    <t>9月22日晚上</t>
  </si>
  <si>
    <t>9月23日上午</t>
  </si>
  <si>
    <t>9月23日晚上</t>
  </si>
  <si>
    <t>9月24日上午</t>
  </si>
  <si>
    <t>9月24日晚上</t>
  </si>
  <si>
    <t>9月26日上午</t>
  </si>
  <si>
    <t>9月26日晚上</t>
  </si>
  <si>
    <t>9月27日上午</t>
  </si>
  <si>
    <t>9月27日晚上</t>
  </si>
  <si>
    <t>9月28日上午</t>
  </si>
  <si>
    <t>9月28日晚上</t>
  </si>
  <si>
    <t>9月29日上午</t>
  </si>
  <si>
    <t>9月29日晚上</t>
  </si>
  <si>
    <t>9月30日上午</t>
  </si>
  <si>
    <t>9月30日晚上</t>
  </si>
  <si>
    <t>10月1日晚上</t>
  </si>
  <si>
    <t>10月2日晚上</t>
  </si>
  <si>
    <t>10月3日晚上</t>
  </si>
  <si>
    <t>10月4日晚上</t>
  </si>
  <si>
    <t>10月5日晚上</t>
  </si>
  <si>
    <t>10月6日上午</t>
  </si>
  <si>
    <t>10月6日晚上</t>
  </si>
  <si>
    <t>10月7日上午</t>
  </si>
  <si>
    <t>10月7日晚上</t>
  </si>
  <si>
    <t>10月8日上午</t>
  </si>
  <si>
    <t>10月8日晚上</t>
  </si>
  <si>
    <t>10月9日上午</t>
  </si>
  <si>
    <t>10月9日晚上</t>
  </si>
  <si>
    <t>10月10日上午</t>
  </si>
  <si>
    <t>10月10日晚上</t>
  </si>
  <si>
    <t>10月11日上午</t>
  </si>
  <si>
    <t>10月11日晚上</t>
  </si>
  <si>
    <t>10月12日上午</t>
  </si>
  <si>
    <t>10月12日晚上</t>
  </si>
  <si>
    <t>10月13日上午</t>
  </si>
  <si>
    <t>10月13日晚上</t>
  </si>
  <si>
    <t>10月14日上午</t>
  </si>
  <si>
    <t>10月14日晚上</t>
  </si>
  <si>
    <t>10月15日上午</t>
  </si>
  <si>
    <t>10月15日晚上</t>
  </si>
  <si>
    <t>1、发现问题：整体数据是否正常且符合预期，对主推SKU做重点分析，次推SKU做简要总结（花费、展示位置、搜索词、是否有特殊情况等）
2、业务优化：广告结构是否需要进行一定的优化？
3、数据跟踪：后续应当关注哪些重点指标？（如关键词排序、曝光量、曝光位置等）
4、展示位、搜索词等辅助信息，在分析时如果需要再截取，不要每个SKU每个广告组都截</t>
  </si>
  <si>
    <t>广告总花费</t>
  </si>
  <si>
    <t>广告展示量</t>
  </si>
  <si>
    <t>广告点击量</t>
  </si>
  <si>
    <t>广告点击率</t>
  </si>
  <si>
    <t>广告订单量</t>
  </si>
  <si>
    <t>广告转化率</t>
  </si>
  <si>
    <t>MYTD-157</t>
  </si>
  <si>
    <t>产品系列</t>
  </si>
  <si>
    <t>款式</t>
  </si>
  <si>
    <t>SKU</t>
  </si>
  <si>
    <t>关键词排序</t>
  </si>
  <si>
    <t>辅助标识</t>
  </si>
  <si>
    <t>3-7-2</t>
  </si>
  <si>
    <t>1-17-1</t>
  </si>
  <si>
    <t>6-12-3</t>
  </si>
  <si>
    <t xml:space="preserve">关键词1 </t>
  </si>
  <si>
    <t xml:space="preserve">关键词2 </t>
  </si>
  <si>
    <t>2-12-4</t>
  </si>
  <si>
    <t>2-4-4</t>
  </si>
  <si>
    <t>6-5-1</t>
  </si>
  <si>
    <t>5-4-4</t>
  </si>
  <si>
    <t>2-14-4</t>
  </si>
  <si>
    <t>2-7-4</t>
  </si>
  <si>
    <t>3-16-4</t>
  </si>
  <si>
    <t>5-9-1</t>
  </si>
  <si>
    <t>5-3-2</t>
  </si>
  <si>
    <t>3-12-4</t>
  </si>
  <si>
    <t>1-16-4</t>
  </si>
  <si>
    <t>4-12-4</t>
  </si>
  <si>
    <t>6-9-3</t>
  </si>
  <si>
    <t>5-12-1</t>
  </si>
  <si>
    <t>9月3日晚上</t>
  </si>
  <si>
    <t>9月4日上午</t>
  </si>
  <si>
    <t xml:space="preserve"> 
</t>
  </si>
  <si>
    <t>3-11-1</t>
  </si>
  <si>
    <t>5-11-2</t>
  </si>
  <si>
    <t>1-17-4</t>
  </si>
  <si>
    <t>6-12-4</t>
  </si>
  <si>
    <t>6-12-2</t>
  </si>
  <si>
    <t>6-9-2</t>
  </si>
  <si>
    <t>3-10-3</t>
  </si>
  <si>
    <t>9月5日晚上</t>
  </si>
  <si>
    <t>9月6日上午</t>
  </si>
  <si>
    <t>3-13-3</t>
  </si>
  <si>
    <t>4-14-3</t>
  </si>
  <si>
    <t>3-16-2</t>
  </si>
  <si>
    <t>7-4-2</t>
  </si>
  <si>
    <t>3-12-3</t>
  </si>
  <si>
    <t>2-3-1</t>
  </si>
  <si>
    <t>4-4-4</t>
  </si>
  <si>
    <t>4-14-1</t>
  </si>
  <si>
    <t>6-7-3</t>
  </si>
  <si>
    <t>2-14-2</t>
  </si>
  <si>
    <t>3-14-3</t>
  </si>
  <si>
    <t>1-15-4</t>
  </si>
  <si>
    <t>3-2-3</t>
  </si>
  <si>
    <t>7-4-4</t>
  </si>
  <si>
    <t>3-13-1</t>
  </si>
  <si>
    <t>3-16-3</t>
  </si>
  <si>
    <t>3-11-2</t>
  </si>
  <si>
    <t>5-8-2</t>
  </si>
  <si>
    <t>4-13-4</t>
  </si>
  <si>
    <t>4-8-2</t>
  </si>
  <si>
    <t>7-4-1</t>
  </si>
  <si>
    <t>4-2-3</t>
  </si>
  <si>
    <t>2-7-3</t>
  </si>
  <si>
    <t>1-15-1</t>
  </si>
  <si>
    <t>3-14-1</t>
  </si>
  <si>
    <t>6-15-1</t>
  </si>
  <si>
    <t>3-7-3</t>
  </si>
  <si>
    <t>4-14-4</t>
  </si>
  <si>
    <t>4-9-3</t>
  </si>
  <si>
    <t>2-1-2</t>
  </si>
  <si>
    <t>6-4-3</t>
  </si>
  <si>
    <t>4-10-3</t>
  </si>
  <si>
    <t>6-3-2</t>
  </si>
  <si>
    <t>3-12-1</t>
  </si>
  <si>
    <t>4-13-2</t>
  </si>
  <si>
    <t>1-8-4</t>
  </si>
  <si>
    <t>2-5-2</t>
  </si>
  <si>
    <t>1-12-2</t>
  </si>
  <si>
    <t>6-13-2</t>
  </si>
  <si>
    <t>5-6-3</t>
  </si>
  <si>
    <t>2-13-4</t>
  </si>
  <si>
    <t>7-9-1</t>
  </si>
  <si>
    <t>2-13-3</t>
  </si>
  <si>
    <t>1-16-3</t>
  </si>
  <si>
    <t>1-12-1</t>
  </si>
  <si>
    <t>4-10-4</t>
  </si>
  <si>
    <t>6-8-4</t>
  </si>
  <si>
    <t>4-6-2</t>
  </si>
  <si>
    <t>4-9-4</t>
  </si>
  <si>
    <t>1-17-2</t>
  </si>
  <si>
    <t>6-16-4</t>
  </si>
  <si>
    <t>3-9-4</t>
  </si>
  <si>
    <t>5-15-4</t>
  </si>
  <si>
    <t>4-4-1</t>
  </si>
  <si>
    <t>2-2-2</t>
  </si>
  <si>
    <t>5-8-1</t>
  </si>
  <si>
    <t>1-13-3</t>
  </si>
  <si>
    <t>2-8-1</t>
  </si>
  <si>
    <t>5-10-2</t>
  </si>
  <si>
    <t>7-7-4</t>
  </si>
  <si>
    <t>3-11-4</t>
  </si>
  <si>
    <t>4-12-3</t>
  </si>
  <si>
    <t>2-8-2</t>
  </si>
  <si>
    <t>6-14-4</t>
  </si>
  <si>
    <t>4-10-1</t>
  </si>
  <si>
    <t>2-7-1</t>
  </si>
  <si>
    <t>6-8-3</t>
  </si>
  <si>
    <t>3-11-3</t>
  </si>
  <si>
    <t>5-10-3</t>
  </si>
  <si>
    <t>3-12-2</t>
  </si>
  <si>
    <t>3-15-1</t>
  </si>
  <si>
    <t>3-15-4</t>
  </si>
  <si>
    <t>3-14-4</t>
  </si>
  <si>
    <t>6-4-2</t>
  </si>
  <si>
    <t>4-7-4</t>
  </si>
  <si>
    <t>5-7-1</t>
  </si>
  <si>
    <t>6-13-4</t>
  </si>
  <si>
    <t>2-10-3</t>
  </si>
  <si>
    <t>4-11-4</t>
  </si>
  <si>
    <t>2-11-3</t>
  </si>
  <si>
    <t>1-14-3</t>
  </si>
  <si>
    <t>5-16-4</t>
  </si>
  <si>
    <t>4-12-2</t>
  </si>
  <si>
    <t>6-8-2</t>
  </si>
  <si>
    <t>4-7-2</t>
  </si>
  <si>
    <t>5-9-4</t>
  </si>
  <si>
    <t>2-10-2</t>
  </si>
  <si>
    <t>4-7-3</t>
  </si>
  <si>
    <t>5-13-4</t>
  </si>
  <si>
    <t>2-6-3</t>
  </si>
  <si>
    <t>5-3-4</t>
  </si>
  <si>
    <t>2-13-2</t>
  </si>
  <si>
    <t>4-14-2</t>
  </si>
  <si>
    <t>4-15-1</t>
  </si>
  <si>
    <t>2-11-4</t>
  </si>
  <si>
    <t>4-16-3</t>
  </si>
  <si>
    <t>4-11-3</t>
  </si>
  <si>
    <t>1-1-2</t>
  </si>
  <si>
    <t>3-7-4</t>
  </si>
  <si>
    <t>3-9-2</t>
  </si>
  <si>
    <t>2-9-2</t>
  </si>
  <si>
    <t>1-9-4</t>
  </si>
  <si>
    <t>5-9-3</t>
  </si>
  <si>
    <t>3-3-4</t>
  </si>
  <si>
    <t>5-11-3</t>
  </si>
  <si>
    <t>3-14-2</t>
  </si>
  <si>
    <t>2-13-1</t>
  </si>
  <si>
    <t>1-10-1</t>
  </si>
  <si>
    <t>6-14-1</t>
  </si>
  <si>
    <t>2-6-2</t>
  </si>
  <si>
    <t>3-5-4</t>
  </si>
  <si>
    <t>6-13-1</t>
  </si>
  <si>
    <t>5-10-4</t>
  </si>
  <si>
    <t>5-16-3</t>
  </si>
  <si>
    <t>3-9-1</t>
  </si>
  <si>
    <t>6-14-2</t>
  </si>
  <si>
    <t>7-6-2</t>
  </si>
  <si>
    <t>1-13-1</t>
  </si>
  <si>
    <t>6-3-1</t>
  </si>
  <si>
    <t>2-15-1</t>
  </si>
  <si>
    <t>5-12-4</t>
  </si>
  <si>
    <t>1-10-4</t>
  </si>
  <si>
    <t>5-11-4</t>
  </si>
  <si>
    <t>2-11-2</t>
  </si>
  <si>
    <t>5-15-1</t>
  </si>
  <si>
    <t>1-11-5</t>
  </si>
  <si>
    <t>2-5-1</t>
  </si>
  <si>
    <t>4-9-2</t>
  </si>
  <si>
    <t>1-10-2</t>
  </si>
  <si>
    <t>5-11-1</t>
  </si>
  <si>
    <t>3-5-3</t>
  </si>
  <si>
    <t>2-6-1</t>
  </si>
  <si>
    <t>6-6-3</t>
  </si>
  <si>
    <t>6-9-1</t>
  </si>
  <si>
    <t>5-3-1</t>
  </si>
  <si>
    <t>1-11-4</t>
  </si>
  <si>
    <t>6-6-2</t>
  </si>
  <si>
    <t>2-6-4</t>
  </si>
  <si>
    <t>5-12-3</t>
  </si>
  <si>
    <t>6-3-4</t>
  </si>
  <si>
    <t>1-9-5</t>
  </si>
  <si>
    <t>2-3-3</t>
  </si>
  <si>
    <t>4-13-5</t>
  </si>
  <si>
    <t>1-13-2</t>
  </si>
  <si>
    <t>5-9-2</t>
  </si>
  <si>
    <t>2-4-5</t>
  </si>
  <si>
    <t>5-9-5</t>
  </si>
  <si>
    <t>5-2-5</t>
  </si>
  <si>
    <t>1-13-5</t>
  </si>
  <si>
    <t>5-10-1</t>
  </si>
  <si>
    <t>1-6-2</t>
  </si>
  <si>
    <t>5-2-3</t>
  </si>
  <si>
    <t>2-2-4</t>
  </si>
  <si>
    <t>6-11-2</t>
  </si>
  <si>
    <t>1-1-4</t>
  </si>
  <si>
    <t>1-10-3</t>
  </si>
  <si>
    <t>1-12-5</t>
  </si>
  <si>
    <t>1-13-4</t>
  </si>
  <si>
    <t>6-11-5</t>
  </si>
  <si>
    <t>1-6-4</t>
  </si>
  <si>
    <t>1-14-5</t>
  </si>
  <si>
    <t>1-8-5</t>
  </si>
  <si>
    <t>5-5-4</t>
  </si>
  <si>
    <t>5-7-2</t>
  </si>
  <si>
    <t>4-12-1</t>
  </si>
  <si>
    <t>5-8-4</t>
  </si>
  <si>
    <t>6-6-1</t>
  </si>
  <si>
    <t>4-13-3</t>
  </si>
  <si>
    <t>7-5-5</t>
  </si>
  <si>
    <t>2-5-3</t>
  </si>
  <si>
    <t>6-2-2</t>
  </si>
  <si>
    <t>1-12-3</t>
  </si>
  <si>
    <t>5-4-3</t>
  </si>
  <si>
    <t>1-11-3</t>
  </si>
  <si>
    <t>5-15-2</t>
  </si>
  <si>
    <t>1-8-1</t>
  </si>
  <si>
    <t>5-14-3</t>
  </si>
  <si>
    <t>2-8-3</t>
  </si>
  <si>
    <t>1-14-2</t>
  </si>
  <si>
    <t>4-11-2</t>
  </si>
  <si>
    <t>4-16-2</t>
  </si>
  <si>
    <t>1-9-3</t>
  </si>
  <si>
    <t>4-2-1</t>
  </si>
  <si>
    <t>1-16-2</t>
  </si>
  <si>
    <t>2-2-1</t>
  </si>
  <si>
    <t>1-15-3</t>
  </si>
  <si>
    <t>4-9-1</t>
  </si>
  <si>
    <t>1-11-1</t>
  </si>
  <si>
    <t>3-9-3</t>
  </si>
  <si>
    <t>4-7-1</t>
  </si>
  <si>
    <t>1-11-2</t>
  </si>
  <si>
    <t>4-8-3</t>
  </si>
  <si>
    <t>4-8-4</t>
  </si>
  <si>
    <t>5-2-1</t>
  </si>
  <si>
    <t>1-9-1</t>
  </si>
  <si>
    <t>2-7-2</t>
  </si>
  <si>
    <t>4-16-4</t>
  </si>
  <si>
    <t>2-3-4</t>
  </si>
  <si>
    <t>5-2-4</t>
  </si>
  <si>
    <t>3-8-3</t>
  </si>
  <si>
    <t>4-2-4</t>
  </si>
  <si>
    <t>3-10-4</t>
  </si>
  <si>
    <t>3-8-2</t>
  </si>
  <si>
    <t>1-8-2</t>
  </si>
  <si>
    <t>1-7-3</t>
  </si>
  <si>
    <t>4-4-2</t>
  </si>
  <si>
    <t>3-5-2</t>
  </si>
  <si>
    <t>3-2-2</t>
  </si>
  <si>
    <t>5-1-4</t>
  </si>
  <si>
    <t>4-2-2</t>
  </si>
  <si>
    <t>1-1-1</t>
  </si>
  <si>
    <t>5-13-2</t>
  </si>
  <si>
    <t>7-1-1</t>
  </si>
  <si>
    <t>产品标识</t>
  </si>
  <si>
    <t>父ASIN</t>
  </si>
  <si>
    <t>品名</t>
  </si>
  <si>
    <t>价格</t>
  </si>
  <si>
    <t>FBA可售</t>
  </si>
  <si>
    <t>FBM可售</t>
  </si>
  <si>
    <t>订单量</t>
  </si>
  <si>
    <t>销售额</t>
  </si>
  <si>
    <t>净销售额</t>
  </si>
  <si>
    <t>B2B 销量</t>
  </si>
  <si>
    <t>B2B 销售额</t>
  </si>
  <si>
    <t>B2B 订单量</t>
  </si>
  <si>
    <t>促销销量</t>
  </si>
  <si>
    <t>促销销售额</t>
  </si>
  <si>
    <t>促销订单量</t>
  </si>
  <si>
    <t>平均客单价</t>
  </si>
  <si>
    <t>平均销量</t>
  </si>
  <si>
    <t>大类排名</t>
  </si>
  <si>
    <t>小类排名</t>
  </si>
  <si>
    <t>退款量</t>
  </si>
  <si>
    <t>退款率</t>
  </si>
  <si>
    <t>评分</t>
  </si>
  <si>
    <t>评论数</t>
  </si>
  <si>
    <t>留评率</t>
  </si>
  <si>
    <t>促销折扣</t>
  </si>
  <si>
    <t>毛利率</t>
  </si>
  <si>
    <t>ROI</t>
  </si>
  <si>
    <t>退货量</t>
  </si>
  <si>
    <t>退货率</t>
  </si>
  <si>
    <t>Sessions-Browser</t>
  </si>
  <si>
    <t>Sessions-Mobile</t>
  </si>
  <si>
    <t>Sessions-Total</t>
  </si>
  <si>
    <t>PV-Browser</t>
  </si>
  <si>
    <t>PV-Mobile</t>
  </si>
  <si>
    <t>PV-Total</t>
  </si>
  <si>
    <t>Buybox</t>
  </si>
  <si>
    <t>CVR</t>
  </si>
  <si>
    <t>销量CVR</t>
  </si>
  <si>
    <t>CPC</t>
  </si>
  <si>
    <t>CTR</t>
  </si>
  <si>
    <t>广告花费</t>
  </si>
  <si>
    <t>ROAS</t>
  </si>
  <si>
    <t>ACOS</t>
  </si>
  <si>
    <t>ACoAS</t>
  </si>
  <si>
    <t>ASoAS</t>
  </si>
  <si>
    <t>CPO</t>
  </si>
  <si>
    <t>CPM</t>
  </si>
  <si>
    <t>广告销售额</t>
  </si>
  <si>
    <t>广告订单占比</t>
  </si>
  <si>
    <t>广告CVR</t>
  </si>
  <si>
    <t>展示</t>
  </si>
  <si>
    <t>点击</t>
  </si>
  <si>
    <t>运营日志1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</si>
</sst>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$\-#,##0.00"/>
    <numFmt numFmtId="177" formatCode="#,##0.0;\-#,##0.0"/>
    <numFmt numFmtId="178" formatCode="\$#,##0.00;\-\$#,##0.00"/>
    <numFmt numFmtId="179" formatCode="0_ "/>
    <numFmt numFmtId="180" formatCode="\$#,##0.000;\-\$#,##0.000"/>
    <numFmt numFmtId="181" formatCode="0.000_ "/>
    <numFmt numFmtId="182" formatCode="0.00_ "/>
    <numFmt numFmtId="183" formatCode="&quot;￥&quot;#,##0.00_);[Red]\(&quot;￥&quot;#,##0.00\)"/>
  </numFmts>
  <fonts count="44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2"/>
      <name val="微软雅黑"/>
      <charset val="134"/>
    </font>
    <font>
      <sz val="14"/>
      <name val="Times New Roman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12"/>
      <name val="Times New Roman"/>
      <charset val="134"/>
    </font>
    <font>
      <sz val="10"/>
      <name val="微软雅黑"/>
      <charset val="134"/>
    </font>
    <font>
      <b/>
      <sz val="12"/>
      <color rgb="FF000000"/>
      <name val="微软雅黑"/>
      <charset val="134"/>
    </font>
    <font>
      <b/>
      <sz val="16"/>
      <color rgb="FFFF0000"/>
      <name val="微软雅黑"/>
      <charset val="134"/>
    </font>
    <font>
      <sz val="12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6"/>
      <name val="黑体"/>
      <charset val="134"/>
    </font>
    <font>
      <sz val="11"/>
      <name val="宋体"/>
      <charset val="134"/>
      <scheme val="minor"/>
    </font>
    <font>
      <sz val="18"/>
      <color rgb="FF0F1111"/>
      <name val="Arial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3" fillId="11" borderId="15" applyNumberFormat="0" applyAlignment="0" applyProtection="0">
      <alignment vertical="center"/>
    </xf>
    <xf numFmtId="0" fontId="34" fillId="11" borderId="14" applyNumberFormat="0" applyAlignment="0" applyProtection="0">
      <alignment vertical="center"/>
    </xf>
    <xf numFmtId="0" fontId="35" fillId="12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</cellStyleXfs>
  <cellXfs count="15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/>
    <xf numFmtId="26" fontId="3" fillId="0" borderId="0" xfId="0" applyNumberFormat="1" applyFont="1" applyFill="1" applyAlignment="1"/>
    <xf numFmtId="37" fontId="3" fillId="0" borderId="0" xfId="0" applyNumberFormat="1" applyFont="1" applyFill="1" applyAlignment="1"/>
    <xf numFmtId="176" fontId="3" fillId="0" borderId="0" xfId="0" applyNumberFormat="1" applyFont="1" applyFill="1" applyAlignment="1"/>
    <xf numFmtId="177" fontId="3" fillId="0" borderId="0" xfId="0" applyNumberFormat="1" applyFont="1" applyFill="1" applyAlignment="1"/>
    <xf numFmtId="10" fontId="3" fillId="0" borderId="0" xfId="0" applyNumberFormat="1" applyFont="1" applyFill="1" applyAlignment="1"/>
    <xf numFmtId="39" fontId="3" fillId="0" borderId="0" xfId="0" applyNumberFormat="1" applyFont="1" applyFill="1" applyAlignment="1"/>
    <xf numFmtId="0" fontId="0" fillId="0" borderId="0" xfId="0" applyFill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49" fontId="6" fillId="0" borderId="6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4" borderId="4" xfId="0" applyFont="1" applyFill="1" applyBorder="1">
      <alignment vertical="center"/>
    </xf>
    <xf numFmtId="0" fontId="7" fillId="4" borderId="7" xfId="0" applyFont="1" applyFill="1" applyBorder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49" fontId="7" fillId="0" borderId="0" xfId="0" applyNumberFormat="1" applyFont="1">
      <alignment vertical="center"/>
    </xf>
    <xf numFmtId="10" fontId="7" fillId="0" borderId="0" xfId="0" applyNumberFormat="1" applyFont="1">
      <alignment vertical="center"/>
    </xf>
    <xf numFmtId="0" fontId="7" fillId="0" borderId="0" xfId="0" applyFont="1" applyBorder="1">
      <alignment vertical="center"/>
    </xf>
    <xf numFmtId="10" fontId="7" fillId="0" borderId="0" xfId="0" applyNumberFormat="1" applyFont="1" applyBorder="1">
      <alignment vertical="center"/>
    </xf>
    <xf numFmtId="0" fontId="7" fillId="2" borderId="1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7" fillId="5" borderId="0" xfId="0" applyFont="1" applyFill="1">
      <alignment vertical="center"/>
    </xf>
    <xf numFmtId="0" fontId="8" fillId="0" borderId="1" xfId="0" applyFont="1" applyBorder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3" borderId="6" xfId="0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7" fillId="0" borderId="0" xfId="0" applyNumberFormat="1" applyFont="1">
      <alignment vertical="center"/>
    </xf>
    <xf numFmtId="0" fontId="7" fillId="2" borderId="0" xfId="0" applyFont="1" applyFill="1">
      <alignment vertical="center"/>
    </xf>
    <xf numFmtId="10" fontId="0" fillId="0" borderId="0" xfId="0" applyNumberFormat="1">
      <alignment vertical="center"/>
    </xf>
    <xf numFmtId="0" fontId="12" fillId="0" borderId="9" xfId="0" applyFont="1" applyBorder="1" applyAlignment="1">
      <alignment horizontal="left" vertical="center"/>
    </xf>
    <xf numFmtId="0" fontId="13" fillId="6" borderId="9" xfId="0" applyNumberFormat="1" applyFont="1" applyFill="1" applyBorder="1" applyAlignment="1">
      <alignment horizontal="center" vertical="center"/>
    </xf>
    <xf numFmtId="0" fontId="13" fillId="6" borderId="9" xfId="0" applyNumberFormat="1" applyFont="1" applyFill="1" applyBorder="1">
      <alignment vertical="center"/>
    </xf>
    <xf numFmtId="0" fontId="14" fillId="0" borderId="9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 vertical="center" wrapText="1"/>
    </xf>
    <xf numFmtId="0" fontId="15" fillId="0" borderId="9" xfId="0" applyNumberFormat="1" applyFont="1" applyBorder="1" applyAlignment="1">
      <alignment horizontal="left" vertical="center"/>
    </xf>
    <xf numFmtId="0" fontId="15" fillId="0" borderId="10" xfId="0" applyNumberFormat="1" applyFont="1" applyBorder="1" applyAlignment="1">
      <alignment horizontal="left" vertical="center" wrapText="1"/>
    </xf>
    <xf numFmtId="0" fontId="13" fillId="7" borderId="9" xfId="0" applyNumberFormat="1" applyFont="1" applyFill="1" applyBorder="1" applyAlignment="1">
      <alignment horizontal="center" vertical="center"/>
    </xf>
    <xf numFmtId="0" fontId="13" fillId="7" borderId="9" xfId="0" applyNumberFormat="1" applyFont="1" applyFill="1" applyBorder="1">
      <alignment vertical="center"/>
    </xf>
    <xf numFmtId="0" fontId="13" fillId="8" borderId="9" xfId="0" applyNumberFormat="1" applyFont="1" applyFill="1" applyBorder="1" applyAlignment="1">
      <alignment vertical="center" wrapText="1"/>
    </xf>
    <xf numFmtId="0" fontId="13" fillId="8" borderId="9" xfId="0" applyNumberFormat="1" applyFont="1" applyFill="1" applyBorder="1" applyAlignment="1">
      <alignment horizontal="center" vertical="center" wrapText="1"/>
    </xf>
    <xf numFmtId="0" fontId="15" fillId="0" borderId="9" xfId="0" applyNumberFormat="1" applyFont="1" applyBorder="1" applyAlignment="1">
      <alignment vertical="center" wrapText="1"/>
    </xf>
    <xf numFmtId="0" fontId="13" fillId="0" borderId="9" xfId="0" applyNumberFormat="1" applyFont="1" applyBorder="1" applyAlignment="1">
      <alignment horizontal="left" vertical="top" wrapText="1"/>
    </xf>
    <xf numFmtId="0" fontId="15" fillId="0" borderId="9" xfId="0" applyNumberFormat="1" applyFont="1" applyBorder="1" applyAlignment="1">
      <alignment horizontal="left" vertical="top" wrapText="1"/>
    </xf>
    <xf numFmtId="0" fontId="15" fillId="0" borderId="9" xfId="0" applyNumberFormat="1" applyFont="1" applyBorder="1">
      <alignment vertical="center"/>
    </xf>
    <xf numFmtId="0" fontId="1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78" fontId="16" fillId="0" borderId="0" xfId="0" applyNumberFormat="1" applyFont="1" applyFill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8" fillId="0" borderId="7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178" fontId="12" fillId="0" borderId="0" xfId="0" applyNumberFormat="1" applyFont="1" applyFill="1" applyAlignment="1">
      <alignment horizontal="center" vertical="center"/>
    </xf>
    <xf numFmtId="9" fontId="18" fillId="5" borderId="1" xfId="0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178" fontId="18" fillId="0" borderId="0" xfId="0" applyNumberFormat="1" applyFont="1" applyFill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178" fontId="12" fillId="0" borderId="6" xfId="0" applyNumberFormat="1" applyFont="1" applyFill="1" applyBorder="1" applyAlignment="1">
      <alignment horizontal="center" vertical="center"/>
    </xf>
    <xf numFmtId="179" fontId="12" fillId="0" borderId="6" xfId="0" applyNumberFormat="1" applyFont="1" applyFill="1" applyBorder="1" applyAlignment="1">
      <alignment horizontal="center" vertical="center"/>
    </xf>
    <xf numFmtId="180" fontId="12" fillId="0" borderId="6" xfId="0" applyNumberFormat="1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9" fontId="17" fillId="5" borderId="1" xfId="0" applyNumberFormat="1" applyFont="1" applyFill="1" applyBorder="1" applyAlignment="1">
      <alignment horizontal="center" vertical="center"/>
    </xf>
    <xf numFmtId="179" fontId="17" fillId="5" borderId="1" xfId="0" applyNumberFormat="1" applyFont="1" applyFill="1" applyBorder="1" applyAlignment="1">
      <alignment horizontal="center" vertical="center"/>
    </xf>
    <xf numFmtId="179" fontId="18" fillId="5" borderId="1" xfId="0" applyNumberFormat="1" applyFont="1" applyFill="1" applyBorder="1" applyAlignment="1">
      <alignment horizontal="center" vertical="center"/>
    </xf>
    <xf numFmtId="10" fontId="18" fillId="0" borderId="2" xfId="0" applyNumberFormat="1" applyFont="1" applyFill="1" applyBorder="1" applyAlignment="1">
      <alignment horizontal="center" vertical="center"/>
    </xf>
    <xf numFmtId="180" fontId="18" fillId="0" borderId="1" xfId="0" applyNumberFormat="1" applyFont="1" applyFill="1" applyBorder="1" applyAlignment="1">
      <alignment horizontal="center" vertical="center"/>
    </xf>
    <xf numFmtId="10" fontId="12" fillId="0" borderId="2" xfId="0" applyNumberFormat="1" applyFont="1" applyFill="1" applyBorder="1" applyAlignment="1">
      <alignment horizontal="center" vertical="center"/>
    </xf>
    <xf numFmtId="178" fontId="12" fillId="0" borderId="2" xfId="0" applyNumberFormat="1" applyFont="1" applyFill="1" applyBorder="1" applyAlignment="1">
      <alignment horizontal="center" vertical="center"/>
    </xf>
    <xf numFmtId="181" fontId="12" fillId="0" borderId="0" xfId="0" applyNumberFormat="1" applyFont="1" applyFill="1" applyBorder="1" applyAlignment="1">
      <alignment horizontal="center" vertical="center" wrapText="1"/>
    </xf>
    <xf numFmtId="181" fontId="5" fillId="0" borderId="0" xfId="0" applyNumberFormat="1" applyFont="1" applyFill="1" applyBorder="1" applyAlignment="1">
      <alignment horizontal="center"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181" fontId="5" fillId="0" borderId="0" xfId="0" applyNumberFormat="1" applyFont="1" applyFill="1" applyBorder="1" applyAlignment="1">
      <alignment horizontal="center" vertical="center"/>
    </xf>
    <xf numFmtId="182" fontId="5" fillId="0" borderId="0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83" fontId="16" fillId="5" borderId="3" xfId="0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82" fontId="17" fillId="0" borderId="1" xfId="0" applyNumberFormat="1" applyFont="1" applyFill="1" applyBorder="1" applyAlignment="1">
      <alignment horizontal="center" vertical="center" wrapText="1"/>
    </xf>
    <xf numFmtId="183" fontId="16" fillId="0" borderId="1" xfId="0" applyNumberFormat="1" applyFont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83" fontId="12" fillId="0" borderId="1" xfId="0" applyNumberFormat="1" applyFont="1" applyBorder="1" applyAlignment="1">
      <alignment horizontal="center" vertical="center"/>
    </xf>
    <xf numFmtId="181" fontId="17" fillId="5" borderId="1" xfId="0" applyNumberFormat="1" applyFont="1" applyFill="1" applyBorder="1" applyAlignment="1">
      <alignment horizontal="center" vertical="center" wrapText="1"/>
    </xf>
    <xf numFmtId="182" fontId="4" fillId="5" borderId="1" xfId="0" applyNumberFormat="1" applyFont="1" applyFill="1" applyBorder="1" applyAlignment="1">
      <alignment horizontal="center" vertical="center"/>
    </xf>
    <xf numFmtId="181" fontId="4" fillId="5" borderId="1" xfId="0" applyNumberFormat="1" applyFont="1" applyFill="1" applyBorder="1" applyAlignment="1">
      <alignment horizontal="center" vertical="center"/>
    </xf>
    <xf numFmtId="181" fontId="16" fillId="5" borderId="1" xfId="0" applyNumberFormat="1" applyFont="1" applyFill="1" applyBorder="1" applyAlignment="1">
      <alignment horizontal="center" vertical="center" wrapText="1"/>
    </xf>
    <xf numFmtId="182" fontId="16" fillId="5" borderId="1" xfId="0" applyNumberFormat="1" applyFont="1" applyFill="1" applyBorder="1" applyAlignment="1">
      <alignment horizontal="center" vertical="center"/>
    </xf>
    <xf numFmtId="181" fontId="16" fillId="5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82" fontId="12" fillId="0" borderId="1" xfId="0" applyNumberFormat="1" applyFont="1" applyFill="1" applyBorder="1" applyAlignment="1">
      <alignment horizontal="center" vertical="center"/>
    </xf>
    <xf numFmtId="181" fontId="12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10" fontId="4" fillId="5" borderId="1" xfId="0" applyNumberFormat="1" applyFont="1" applyFill="1" applyBorder="1" applyAlignment="1">
      <alignment horizontal="center" vertical="center"/>
    </xf>
    <xf numFmtId="10" fontId="16" fillId="5" borderId="1" xfId="0" applyNumberFormat="1" applyFont="1" applyFill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0" fillId="0" borderId="1" xfId="6" applyFont="1" applyFill="1" applyBorder="1" applyAlignment="1">
      <alignment horizontal="left" vertical="center" wrapText="1"/>
    </xf>
    <xf numFmtId="0" fontId="21" fillId="0" borderId="0" xfId="0" applyFont="1" applyFill="1" applyAlignment="1">
      <alignment vertical="center" wrapText="1"/>
    </xf>
    <xf numFmtId="26" fontId="1" fillId="0" borderId="1" xfId="0" applyNumberFormat="1" applyFont="1" applyFill="1" applyBorder="1" applyAlignment="1">
      <alignment horizontal="left" vertical="center" wrapText="1"/>
    </xf>
    <xf numFmtId="0" fontId="22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numFmt numFmtId="10" formatCode="0.00%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C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[3.0 销售计划书.xlsx] 3.1 ASIN数据!数据透视表3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3.1 ASIN数据'!$B$76:$B$77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ASIN数据'!$A$78:$A$135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ASIN数据'!$B$78:$B$135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29</c:v>
                </c:pt>
                <c:pt idx="4">
                  <c:v>25</c:v>
                </c:pt>
                <c:pt idx="5">
                  <c:v>17</c:v>
                </c:pt>
                <c:pt idx="6">
                  <c:v>32</c:v>
                </c:pt>
                <c:pt idx="7">
                  <c:v>40</c:v>
                </c:pt>
                <c:pt idx="8">
                  <c:v>54</c:v>
                </c:pt>
                <c:pt idx="9">
                  <c:v>46</c:v>
                </c:pt>
                <c:pt idx="10">
                  <c:v>78</c:v>
                </c:pt>
                <c:pt idx="11">
                  <c:v>71</c:v>
                </c:pt>
                <c:pt idx="12">
                  <c:v>85</c:v>
                </c:pt>
                <c:pt idx="13">
                  <c:v>94</c:v>
                </c:pt>
                <c:pt idx="14">
                  <c:v>124</c:v>
                </c:pt>
                <c:pt idx="15">
                  <c:v>149</c:v>
                </c:pt>
                <c:pt idx="16">
                  <c:v>203</c:v>
                </c:pt>
                <c:pt idx="17">
                  <c:v>138</c:v>
                </c:pt>
                <c:pt idx="18">
                  <c:v>142</c:v>
                </c:pt>
                <c:pt idx="19">
                  <c:v>122</c:v>
                </c:pt>
                <c:pt idx="20">
                  <c:v>102</c:v>
                </c:pt>
                <c:pt idx="21">
                  <c:v>172</c:v>
                </c:pt>
                <c:pt idx="22">
                  <c:v>204</c:v>
                </c:pt>
                <c:pt idx="23">
                  <c:v>165</c:v>
                </c:pt>
                <c:pt idx="24">
                  <c:v>175</c:v>
                </c:pt>
                <c:pt idx="25">
                  <c:v>200</c:v>
                </c:pt>
                <c:pt idx="26">
                  <c:v>176</c:v>
                </c:pt>
                <c:pt idx="27">
                  <c:v>187</c:v>
                </c:pt>
                <c:pt idx="28">
                  <c:v>241</c:v>
                </c:pt>
                <c:pt idx="29">
                  <c:v>341</c:v>
                </c:pt>
                <c:pt idx="30">
                  <c:v>225</c:v>
                </c:pt>
                <c:pt idx="31">
                  <c:v>235</c:v>
                </c:pt>
                <c:pt idx="32">
                  <c:v>226</c:v>
                </c:pt>
                <c:pt idx="33">
                  <c:v>220</c:v>
                </c:pt>
                <c:pt idx="34">
                  <c:v>206</c:v>
                </c:pt>
                <c:pt idx="35">
                  <c:v>250</c:v>
                </c:pt>
                <c:pt idx="36">
                  <c:v>314</c:v>
                </c:pt>
                <c:pt idx="37">
                  <c:v>231</c:v>
                </c:pt>
                <c:pt idx="38">
                  <c:v>214</c:v>
                </c:pt>
                <c:pt idx="39">
                  <c:v>191</c:v>
                </c:pt>
                <c:pt idx="40">
                  <c:v>191</c:v>
                </c:pt>
                <c:pt idx="41">
                  <c:v>216</c:v>
                </c:pt>
                <c:pt idx="42">
                  <c:v>353</c:v>
                </c:pt>
                <c:pt idx="43">
                  <c:v>403</c:v>
                </c:pt>
                <c:pt idx="44">
                  <c:v>285</c:v>
                </c:pt>
                <c:pt idx="45">
                  <c:v>229</c:v>
                </c:pt>
                <c:pt idx="46">
                  <c:v>208</c:v>
                </c:pt>
                <c:pt idx="47">
                  <c:v>167</c:v>
                </c:pt>
                <c:pt idx="48">
                  <c:v>160</c:v>
                </c:pt>
                <c:pt idx="49">
                  <c:v>192</c:v>
                </c:pt>
                <c:pt idx="50">
                  <c:v>195</c:v>
                </c:pt>
                <c:pt idx="51">
                  <c:v>181</c:v>
                </c:pt>
                <c:pt idx="52">
                  <c:v>116</c:v>
                </c:pt>
                <c:pt idx="53">
                  <c:v>105</c:v>
                </c:pt>
                <c:pt idx="54">
                  <c:v>85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ASIN数据'!$C$76:$C$77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ASIN数据'!$A$78:$A$135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ASIN数据'!$C$78:$C$135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</c:v>
                </c:pt>
                <c:pt idx="4">
                  <c:v>16</c:v>
                </c:pt>
                <c:pt idx="5">
                  <c:v>28</c:v>
                </c:pt>
                <c:pt idx="6">
                  <c:v>37</c:v>
                </c:pt>
                <c:pt idx="7">
                  <c:v>47</c:v>
                </c:pt>
                <c:pt idx="8">
                  <c:v>50</c:v>
                </c:pt>
                <c:pt idx="9">
                  <c:v>34</c:v>
                </c:pt>
                <c:pt idx="10">
                  <c:v>48</c:v>
                </c:pt>
                <c:pt idx="11">
                  <c:v>62</c:v>
                </c:pt>
                <c:pt idx="12">
                  <c:v>52</c:v>
                </c:pt>
                <c:pt idx="13">
                  <c:v>61</c:v>
                </c:pt>
                <c:pt idx="14">
                  <c:v>81</c:v>
                </c:pt>
                <c:pt idx="15">
                  <c:v>90</c:v>
                </c:pt>
                <c:pt idx="16">
                  <c:v>129</c:v>
                </c:pt>
                <c:pt idx="17">
                  <c:v>77</c:v>
                </c:pt>
                <c:pt idx="18">
                  <c:v>62</c:v>
                </c:pt>
                <c:pt idx="19">
                  <c:v>61</c:v>
                </c:pt>
                <c:pt idx="20">
                  <c:v>58</c:v>
                </c:pt>
                <c:pt idx="21">
                  <c:v>67</c:v>
                </c:pt>
                <c:pt idx="22">
                  <c:v>81</c:v>
                </c:pt>
                <c:pt idx="23">
                  <c:v>56</c:v>
                </c:pt>
                <c:pt idx="24">
                  <c:v>60</c:v>
                </c:pt>
                <c:pt idx="25">
                  <c:v>71</c:v>
                </c:pt>
                <c:pt idx="26">
                  <c:v>72</c:v>
                </c:pt>
                <c:pt idx="27">
                  <c:v>67</c:v>
                </c:pt>
                <c:pt idx="28">
                  <c:v>91</c:v>
                </c:pt>
                <c:pt idx="29">
                  <c:v>125</c:v>
                </c:pt>
                <c:pt idx="30">
                  <c:v>73</c:v>
                </c:pt>
                <c:pt idx="31">
                  <c:v>92</c:v>
                </c:pt>
                <c:pt idx="32">
                  <c:v>85</c:v>
                </c:pt>
                <c:pt idx="33">
                  <c:v>66</c:v>
                </c:pt>
                <c:pt idx="34">
                  <c:v>74</c:v>
                </c:pt>
                <c:pt idx="35">
                  <c:v>77</c:v>
                </c:pt>
                <c:pt idx="36">
                  <c:v>113</c:v>
                </c:pt>
                <c:pt idx="37">
                  <c:v>85</c:v>
                </c:pt>
                <c:pt idx="38">
                  <c:v>61</c:v>
                </c:pt>
                <c:pt idx="39">
                  <c:v>60</c:v>
                </c:pt>
                <c:pt idx="40">
                  <c:v>69</c:v>
                </c:pt>
                <c:pt idx="41">
                  <c:v>69</c:v>
                </c:pt>
                <c:pt idx="42">
                  <c:v>180</c:v>
                </c:pt>
                <c:pt idx="43">
                  <c:v>221</c:v>
                </c:pt>
                <c:pt idx="44">
                  <c:v>126</c:v>
                </c:pt>
                <c:pt idx="45">
                  <c:v>119</c:v>
                </c:pt>
                <c:pt idx="46">
                  <c:v>117</c:v>
                </c:pt>
                <c:pt idx="47">
                  <c:v>115</c:v>
                </c:pt>
                <c:pt idx="48">
                  <c:v>96</c:v>
                </c:pt>
                <c:pt idx="49">
                  <c:v>134</c:v>
                </c:pt>
                <c:pt idx="50">
                  <c:v>132</c:v>
                </c:pt>
                <c:pt idx="51">
                  <c:v>168</c:v>
                </c:pt>
                <c:pt idx="52">
                  <c:v>158</c:v>
                </c:pt>
                <c:pt idx="53">
                  <c:v>141</c:v>
                </c:pt>
                <c:pt idx="54">
                  <c:v>142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67721184"/>
        <c:axId val="836304277"/>
      </c:lineChart>
      <c:catAx>
        <c:axId val="36772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6304277"/>
        <c:crosses val="autoZero"/>
        <c:auto val="1"/>
        <c:lblAlgn val="ctr"/>
        <c:lblOffset val="100"/>
        <c:noMultiLvlLbl val="0"/>
      </c:catAx>
      <c:valAx>
        <c:axId val="8363042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72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[3.0 销售计划书.xlsx] 3.1 ASIN数据!数据透视表4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468181818181818"/>
          <c:y val="0.140468226527689"/>
          <c:w val="0.776558441558442"/>
          <c:h val="0.538336122195458"/>
        </c:manualLayout>
      </c:layout>
      <c:lineChart>
        <c:grouping val="standard"/>
        <c:varyColors val="0"/>
        <c:ser>
          <c:idx val="0"/>
          <c:order val="0"/>
          <c:tx>
            <c:strRef>
              <c:f>' 3.1 ASIN数据'!$I$76:$I$77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ASIN数据'!$H$78:$H$135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ASIN数据'!$I$78:$I$135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9</c:v>
                </c:pt>
                <c:pt idx="10">
                  <c:v>5</c:v>
                </c:pt>
                <c:pt idx="11">
                  <c:v>9</c:v>
                </c:pt>
                <c:pt idx="12">
                  <c:v>4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23</c:v>
                </c:pt>
                <c:pt idx="17">
                  <c:v>17</c:v>
                </c:pt>
                <c:pt idx="18">
                  <c:v>11</c:v>
                </c:pt>
                <c:pt idx="19">
                  <c:v>12</c:v>
                </c:pt>
                <c:pt idx="20">
                  <c:v>9</c:v>
                </c:pt>
                <c:pt idx="21">
                  <c:v>11</c:v>
                </c:pt>
                <c:pt idx="22">
                  <c:v>14</c:v>
                </c:pt>
                <c:pt idx="23">
                  <c:v>18</c:v>
                </c:pt>
                <c:pt idx="24">
                  <c:v>19</c:v>
                </c:pt>
                <c:pt idx="25">
                  <c:v>21</c:v>
                </c:pt>
                <c:pt idx="26">
                  <c:v>22</c:v>
                </c:pt>
                <c:pt idx="27">
                  <c:v>29</c:v>
                </c:pt>
                <c:pt idx="28">
                  <c:v>18</c:v>
                </c:pt>
                <c:pt idx="29">
                  <c:v>40</c:v>
                </c:pt>
                <c:pt idx="30">
                  <c:v>28</c:v>
                </c:pt>
                <c:pt idx="31">
                  <c:v>26</c:v>
                </c:pt>
                <c:pt idx="32">
                  <c:v>21</c:v>
                </c:pt>
                <c:pt idx="33">
                  <c:v>35</c:v>
                </c:pt>
                <c:pt idx="34">
                  <c:v>27</c:v>
                </c:pt>
                <c:pt idx="35">
                  <c:v>24</c:v>
                </c:pt>
                <c:pt idx="36">
                  <c:v>35</c:v>
                </c:pt>
                <c:pt idx="37">
                  <c:v>25</c:v>
                </c:pt>
                <c:pt idx="38">
                  <c:v>31</c:v>
                </c:pt>
                <c:pt idx="39">
                  <c:v>24</c:v>
                </c:pt>
                <c:pt idx="40">
                  <c:v>29</c:v>
                </c:pt>
                <c:pt idx="41">
                  <c:v>29</c:v>
                </c:pt>
                <c:pt idx="42">
                  <c:v>47</c:v>
                </c:pt>
                <c:pt idx="43">
                  <c:v>49</c:v>
                </c:pt>
                <c:pt idx="44">
                  <c:v>38</c:v>
                </c:pt>
                <c:pt idx="45">
                  <c:v>27</c:v>
                </c:pt>
                <c:pt idx="46">
                  <c:v>32</c:v>
                </c:pt>
                <c:pt idx="47">
                  <c:v>20</c:v>
                </c:pt>
                <c:pt idx="48">
                  <c:v>24</c:v>
                </c:pt>
                <c:pt idx="49">
                  <c:v>10</c:v>
                </c:pt>
                <c:pt idx="50">
                  <c:v>17</c:v>
                </c:pt>
                <c:pt idx="51">
                  <c:v>19</c:v>
                </c:pt>
                <c:pt idx="52">
                  <c:v>19</c:v>
                </c:pt>
                <c:pt idx="53">
                  <c:v>18</c:v>
                </c:pt>
                <c:pt idx="54">
                  <c:v>8</c:v>
                </c:pt>
                <c:pt idx="55">
                  <c:v>4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ASIN数据'!$J$76:$J$77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ASIN数据'!$H$78:$H$135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ASIN数据'!$J$78:$J$135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3</c:v>
                </c:pt>
                <c:pt idx="14">
                  <c:v>2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10</c:v>
                </c:pt>
                <c:pt idx="23">
                  <c:v>5</c:v>
                </c:pt>
                <c:pt idx="24">
                  <c:v>10</c:v>
                </c:pt>
                <c:pt idx="25">
                  <c:v>6</c:v>
                </c:pt>
                <c:pt idx="26">
                  <c:v>14</c:v>
                </c:pt>
                <c:pt idx="27">
                  <c:v>7</c:v>
                </c:pt>
                <c:pt idx="28">
                  <c:v>8</c:v>
                </c:pt>
                <c:pt idx="29">
                  <c:v>20</c:v>
                </c:pt>
                <c:pt idx="30">
                  <c:v>8</c:v>
                </c:pt>
                <c:pt idx="31">
                  <c:v>10</c:v>
                </c:pt>
                <c:pt idx="32">
                  <c:v>13</c:v>
                </c:pt>
                <c:pt idx="33">
                  <c:v>7</c:v>
                </c:pt>
                <c:pt idx="34">
                  <c:v>13</c:v>
                </c:pt>
                <c:pt idx="35">
                  <c:v>18</c:v>
                </c:pt>
                <c:pt idx="36">
                  <c:v>8</c:v>
                </c:pt>
                <c:pt idx="37">
                  <c:v>12</c:v>
                </c:pt>
                <c:pt idx="38">
                  <c:v>14</c:v>
                </c:pt>
                <c:pt idx="39">
                  <c:v>9</c:v>
                </c:pt>
                <c:pt idx="40">
                  <c:v>6</c:v>
                </c:pt>
                <c:pt idx="41">
                  <c:v>10</c:v>
                </c:pt>
                <c:pt idx="42">
                  <c:v>36</c:v>
                </c:pt>
                <c:pt idx="43">
                  <c:v>40</c:v>
                </c:pt>
                <c:pt idx="44">
                  <c:v>23</c:v>
                </c:pt>
                <c:pt idx="45">
                  <c:v>18</c:v>
                </c:pt>
                <c:pt idx="46">
                  <c:v>26</c:v>
                </c:pt>
                <c:pt idx="47">
                  <c:v>22</c:v>
                </c:pt>
                <c:pt idx="48">
                  <c:v>12</c:v>
                </c:pt>
                <c:pt idx="49">
                  <c:v>20</c:v>
                </c:pt>
                <c:pt idx="50">
                  <c:v>24</c:v>
                </c:pt>
                <c:pt idx="51">
                  <c:v>18</c:v>
                </c:pt>
                <c:pt idx="52">
                  <c:v>38</c:v>
                </c:pt>
                <c:pt idx="53">
                  <c:v>34</c:v>
                </c:pt>
                <c:pt idx="54">
                  <c:v>27</c:v>
                </c:pt>
                <c:pt idx="55">
                  <c:v>28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990175"/>
        <c:axId val="141198309"/>
      </c:lineChart>
      <c:catAx>
        <c:axId val="52990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1198309"/>
        <c:crosses val="autoZero"/>
        <c:auto val="1"/>
        <c:lblAlgn val="ctr"/>
        <c:lblOffset val="100"/>
        <c:noMultiLvlLbl val="0"/>
      </c:catAx>
      <c:valAx>
        <c:axId val="1411983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[3.0 销售计划书.xlsx] 3.1 ASIN数据!数据透视表5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 3.1 ASIN数据'!$O$76:$O$77</c:f>
              <c:strCache>
                <c:ptCount val="1"/>
                <c:pt idx="0">
                  <c:v>XXXX-111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ASIN数据'!$N$78:$N$135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ASIN数据'!$O$78:$O$135</c:f>
              <c:numCache>
                <c:formatCode>0.00%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0.069</c:v>
                </c:pt>
                <c:pt idx="4">
                  <c:v>0.04</c:v>
                </c:pt>
                <c:pt idx="5">
                  <c:v>0</c:v>
                </c:pt>
                <c:pt idx="6">
                  <c:v>0.0312</c:v>
                </c:pt>
                <c:pt idx="7">
                  <c:v>0.075</c:v>
                </c:pt>
                <c:pt idx="8">
                  <c:v>0.0556</c:v>
                </c:pt>
                <c:pt idx="9">
                  <c:v>0.1957</c:v>
                </c:pt>
                <c:pt idx="10">
                  <c:v>0.0641</c:v>
                </c:pt>
                <c:pt idx="11">
                  <c:v>0.1268</c:v>
                </c:pt>
                <c:pt idx="12">
                  <c:v>0.0471</c:v>
                </c:pt>
                <c:pt idx="13">
                  <c:v>0.0957</c:v>
                </c:pt>
                <c:pt idx="14">
                  <c:v>0.0726</c:v>
                </c:pt>
                <c:pt idx="15">
                  <c:v>0.0537</c:v>
                </c:pt>
                <c:pt idx="16">
                  <c:v>0.1133</c:v>
                </c:pt>
                <c:pt idx="17">
                  <c:v>0.1232</c:v>
                </c:pt>
                <c:pt idx="18">
                  <c:v>0.0775</c:v>
                </c:pt>
                <c:pt idx="19">
                  <c:v>0.0984</c:v>
                </c:pt>
                <c:pt idx="20">
                  <c:v>0.0882</c:v>
                </c:pt>
                <c:pt idx="21">
                  <c:v>0.064</c:v>
                </c:pt>
                <c:pt idx="22">
                  <c:v>0.0686</c:v>
                </c:pt>
                <c:pt idx="23">
                  <c:v>0.1091</c:v>
                </c:pt>
                <c:pt idx="24">
                  <c:v>0.1086</c:v>
                </c:pt>
                <c:pt idx="25">
                  <c:v>0.105</c:v>
                </c:pt>
                <c:pt idx="26">
                  <c:v>0.125</c:v>
                </c:pt>
                <c:pt idx="27">
                  <c:v>0.1551</c:v>
                </c:pt>
                <c:pt idx="28">
                  <c:v>0.0747</c:v>
                </c:pt>
                <c:pt idx="29">
                  <c:v>0.1173</c:v>
                </c:pt>
                <c:pt idx="30">
                  <c:v>0.1244</c:v>
                </c:pt>
                <c:pt idx="31">
                  <c:v>0.1106</c:v>
                </c:pt>
                <c:pt idx="32">
                  <c:v>0.0929</c:v>
                </c:pt>
                <c:pt idx="33">
                  <c:v>0.1591</c:v>
                </c:pt>
                <c:pt idx="34">
                  <c:v>0.1311</c:v>
                </c:pt>
                <c:pt idx="35">
                  <c:v>0.096</c:v>
                </c:pt>
                <c:pt idx="36">
                  <c:v>0.1115</c:v>
                </c:pt>
                <c:pt idx="37">
                  <c:v>0.1082</c:v>
                </c:pt>
                <c:pt idx="38">
                  <c:v>0.1449</c:v>
                </c:pt>
                <c:pt idx="39">
                  <c:v>0.1257</c:v>
                </c:pt>
                <c:pt idx="40">
                  <c:v>0.1518</c:v>
                </c:pt>
                <c:pt idx="41">
                  <c:v>0.1343</c:v>
                </c:pt>
                <c:pt idx="42">
                  <c:v>0.1331</c:v>
                </c:pt>
                <c:pt idx="43">
                  <c:v>0.1216</c:v>
                </c:pt>
                <c:pt idx="44">
                  <c:v>0.1333</c:v>
                </c:pt>
                <c:pt idx="45">
                  <c:v>0.1179</c:v>
                </c:pt>
                <c:pt idx="46">
                  <c:v>0.1538</c:v>
                </c:pt>
                <c:pt idx="47">
                  <c:v>0.1198</c:v>
                </c:pt>
                <c:pt idx="48">
                  <c:v>0.15</c:v>
                </c:pt>
                <c:pt idx="49">
                  <c:v>0.0521</c:v>
                </c:pt>
                <c:pt idx="50">
                  <c:v>0.0872</c:v>
                </c:pt>
                <c:pt idx="51">
                  <c:v>0.105</c:v>
                </c:pt>
                <c:pt idx="52">
                  <c:v>0.1638</c:v>
                </c:pt>
                <c:pt idx="53">
                  <c:v>0.1714</c:v>
                </c:pt>
                <c:pt idx="54">
                  <c:v>0.0941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 3.1 ASIN数据'!$P$76:$P$77</c:f>
              <c:strCache>
                <c:ptCount val="1"/>
                <c:pt idx="0">
                  <c:v>XXXX-222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 3.1 ASIN数据'!$N$78:$N$135</c:f>
              <c:strCache>
                <c:ptCount val="57"/>
                <c:pt idx="0">
                  <c:v>2022-08-20</c:v>
                </c:pt>
                <c:pt idx="1">
                  <c:v>2022-08-21</c:v>
                </c:pt>
                <c:pt idx="2">
                  <c:v>2022-08-22</c:v>
                </c:pt>
                <c:pt idx="3">
                  <c:v>2022-08-23</c:v>
                </c:pt>
                <c:pt idx="4">
                  <c:v>2022-08-24</c:v>
                </c:pt>
                <c:pt idx="5">
                  <c:v>2022-08-25</c:v>
                </c:pt>
                <c:pt idx="6">
                  <c:v>2022-08-26</c:v>
                </c:pt>
                <c:pt idx="7">
                  <c:v>2022-08-27</c:v>
                </c:pt>
                <c:pt idx="8">
                  <c:v>2022-08-28</c:v>
                </c:pt>
                <c:pt idx="9">
                  <c:v>2022-08-29</c:v>
                </c:pt>
                <c:pt idx="10">
                  <c:v>2022-08-30</c:v>
                </c:pt>
                <c:pt idx="11">
                  <c:v>2022-08-31</c:v>
                </c:pt>
                <c:pt idx="12">
                  <c:v>2022-09-01</c:v>
                </c:pt>
                <c:pt idx="13">
                  <c:v>2022-09-02</c:v>
                </c:pt>
                <c:pt idx="14">
                  <c:v>2022-09-03</c:v>
                </c:pt>
                <c:pt idx="15">
                  <c:v>2022-09-04</c:v>
                </c:pt>
                <c:pt idx="16">
                  <c:v>2022-09-05</c:v>
                </c:pt>
                <c:pt idx="17">
                  <c:v>2022-09-06</c:v>
                </c:pt>
                <c:pt idx="18">
                  <c:v>2022-09-07</c:v>
                </c:pt>
                <c:pt idx="19">
                  <c:v>2022-09-08</c:v>
                </c:pt>
                <c:pt idx="20">
                  <c:v>2022-09-09</c:v>
                </c:pt>
                <c:pt idx="21">
                  <c:v>2022-09-10</c:v>
                </c:pt>
                <c:pt idx="22">
                  <c:v>2022-09-11</c:v>
                </c:pt>
                <c:pt idx="23">
                  <c:v>2022-09-12</c:v>
                </c:pt>
                <c:pt idx="24">
                  <c:v>2022-09-13</c:v>
                </c:pt>
                <c:pt idx="25">
                  <c:v>2022-09-14</c:v>
                </c:pt>
                <c:pt idx="26">
                  <c:v>2022-09-15</c:v>
                </c:pt>
                <c:pt idx="27">
                  <c:v>2022-09-16</c:v>
                </c:pt>
                <c:pt idx="28">
                  <c:v>2022-09-17</c:v>
                </c:pt>
                <c:pt idx="29">
                  <c:v>2022-09-18</c:v>
                </c:pt>
                <c:pt idx="30">
                  <c:v>2022-09-19</c:v>
                </c:pt>
                <c:pt idx="31">
                  <c:v>2022-09-20</c:v>
                </c:pt>
                <c:pt idx="32">
                  <c:v>2022-09-21</c:v>
                </c:pt>
                <c:pt idx="33">
                  <c:v>2022-09-22</c:v>
                </c:pt>
                <c:pt idx="34">
                  <c:v>2022-09-23</c:v>
                </c:pt>
                <c:pt idx="35">
                  <c:v>2022-09-24</c:v>
                </c:pt>
                <c:pt idx="36">
                  <c:v>2022-09-25</c:v>
                </c:pt>
                <c:pt idx="37">
                  <c:v>2022-09-26</c:v>
                </c:pt>
                <c:pt idx="38">
                  <c:v>2022-09-27</c:v>
                </c:pt>
                <c:pt idx="39">
                  <c:v>2022-09-28</c:v>
                </c:pt>
                <c:pt idx="40">
                  <c:v>2022-09-29</c:v>
                </c:pt>
                <c:pt idx="41">
                  <c:v>2022-09-30</c:v>
                </c:pt>
                <c:pt idx="42">
                  <c:v>2022-10-01</c:v>
                </c:pt>
                <c:pt idx="43">
                  <c:v>2022-10-02</c:v>
                </c:pt>
                <c:pt idx="44">
                  <c:v>2022-10-03</c:v>
                </c:pt>
                <c:pt idx="45">
                  <c:v>2022-10-04</c:v>
                </c:pt>
                <c:pt idx="46">
                  <c:v>2022-10-05</c:v>
                </c:pt>
                <c:pt idx="47">
                  <c:v>2022-10-06</c:v>
                </c:pt>
                <c:pt idx="48">
                  <c:v>2022-10-07</c:v>
                </c:pt>
                <c:pt idx="49">
                  <c:v>2022-10-08</c:v>
                </c:pt>
                <c:pt idx="50">
                  <c:v>2022-10-09</c:v>
                </c:pt>
                <c:pt idx="51">
                  <c:v>2022-10-10</c:v>
                </c:pt>
                <c:pt idx="52">
                  <c:v>2022-10-11</c:v>
                </c:pt>
                <c:pt idx="53">
                  <c:v>2022-10-12</c:v>
                </c:pt>
                <c:pt idx="54">
                  <c:v>2022-10-13</c:v>
                </c:pt>
                <c:pt idx="55">
                  <c:v>2022-10-14</c:v>
                </c:pt>
                <c:pt idx="56">
                  <c:v>2022-10-15</c:v>
                </c:pt>
              </c:strCache>
            </c:strRef>
          </c:cat>
          <c:val>
            <c:numRef>
              <c:f>' 3.1 ASIN数据'!$P$78:$P$135</c:f>
              <c:numCache>
                <c:formatCode>0.00%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0.04</c:v>
                </c:pt>
                <c:pt idx="4">
                  <c:v>0</c:v>
                </c:pt>
                <c:pt idx="5">
                  <c:v>0.0357</c:v>
                </c:pt>
                <c:pt idx="6">
                  <c:v>0.1351</c:v>
                </c:pt>
                <c:pt idx="7">
                  <c:v>0.0426</c:v>
                </c:pt>
                <c:pt idx="8">
                  <c:v>0.02</c:v>
                </c:pt>
                <c:pt idx="9">
                  <c:v>0.0294</c:v>
                </c:pt>
                <c:pt idx="10">
                  <c:v>0.1042</c:v>
                </c:pt>
                <c:pt idx="11">
                  <c:v>0.0484</c:v>
                </c:pt>
                <c:pt idx="12">
                  <c:v>0.0962</c:v>
                </c:pt>
                <c:pt idx="13">
                  <c:v>0.0492</c:v>
                </c:pt>
                <c:pt idx="14">
                  <c:v>0.0247</c:v>
                </c:pt>
                <c:pt idx="15">
                  <c:v>0.1222</c:v>
                </c:pt>
                <c:pt idx="16">
                  <c:v>0.0853</c:v>
                </c:pt>
                <c:pt idx="17">
                  <c:v>0.1299</c:v>
                </c:pt>
                <c:pt idx="18">
                  <c:v>0.0645</c:v>
                </c:pt>
                <c:pt idx="19">
                  <c:v>0.0656</c:v>
                </c:pt>
                <c:pt idx="20">
                  <c:v>0.0862</c:v>
                </c:pt>
                <c:pt idx="21">
                  <c:v>0.0746</c:v>
                </c:pt>
                <c:pt idx="22">
                  <c:v>0.1235</c:v>
                </c:pt>
                <c:pt idx="23">
                  <c:v>0.0893</c:v>
                </c:pt>
                <c:pt idx="24">
                  <c:v>0.1667</c:v>
                </c:pt>
                <c:pt idx="25">
                  <c:v>0.0845</c:v>
                </c:pt>
                <c:pt idx="26">
                  <c:v>0.1944</c:v>
                </c:pt>
                <c:pt idx="27">
                  <c:v>0.1045</c:v>
                </c:pt>
                <c:pt idx="28">
                  <c:v>0.0879</c:v>
                </c:pt>
                <c:pt idx="29">
                  <c:v>0.16</c:v>
                </c:pt>
                <c:pt idx="30">
                  <c:v>0.1096</c:v>
                </c:pt>
                <c:pt idx="31">
                  <c:v>0.1087</c:v>
                </c:pt>
                <c:pt idx="32">
                  <c:v>0.1529</c:v>
                </c:pt>
                <c:pt idx="33">
                  <c:v>0.1061</c:v>
                </c:pt>
                <c:pt idx="34">
                  <c:v>0.1757</c:v>
                </c:pt>
                <c:pt idx="35">
                  <c:v>0.2338</c:v>
                </c:pt>
                <c:pt idx="36">
                  <c:v>0.0708</c:v>
                </c:pt>
                <c:pt idx="37">
                  <c:v>0.1412</c:v>
                </c:pt>
                <c:pt idx="38">
                  <c:v>0.2295</c:v>
                </c:pt>
                <c:pt idx="39">
                  <c:v>0.15</c:v>
                </c:pt>
                <c:pt idx="40">
                  <c:v>0.087</c:v>
                </c:pt>
                <c:pt idx="41">
                  <c:v>0.1449</c:v>
                </c:pt>
                <c:pt idx="42">
                  <c:v>0.2</c:v>
                </c:pt>
                <c:pt idx="43">
                  <c:v>0.181</c:v>
                </c:pt>
                <c:pt idx="44">
                  <c:v>0.1825</c:v>
                </c:pt>
                <c:pt idx="45">
                  <c:v>0.1513</c:v>
                </c:pt>
                <c:pt idx="46">
                  <c:v>0.2222</c:v>
                </c:pt>
                <c:pt idx="47">
                  <c:v>0.1913</c:v>
                </c:pt>
                <c:pt idx="48">
                  <c:v>0.125</c:v>
                </c:pt>
                <c:pt idx="49">
                  <c:v>0.1493</c:v>
                </c:pt>
                <c:pt idx="50">
                  <c:v>0.1818</c:v>
                </c:pt>
                <c:pt idx="51">
                  <c:v>0.1071</c:v>
                </c:pt>
                <c:pt idx="52">
                  <c:v>0.2405</c:v>
                </c:pt>
                <c:pt idx="53">
                  <c:v>0.2411</c:v>
                </c:pt>
                <c:pt idx="54">
                  <c:v>0.1901</c:v>
                </c:pt>
                <c:pt idx="55">
                  <c:v>0</c:v>
                </c:pt>
                <c:pt idx="5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1363978"/>
        <c:axId val="70075672"/>
      </c:lineChart>
      <c:catAx>
        <c:axId val="5013639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75672"/>
        <c:crosses val="autoZero"/>
        <c:auto val="1"/>
        <c:lblAlgn val="ctr"/>
        <c:lblOffset val="100"/>
        <c:noMultiLvlLbl val="0"/>
      </c:catAx>
      <c:valAx>
        <c:axId val="7007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3639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47625</xdr:colOff>
      <xdr:row>59</xdr:row>
      <xdr:rowOff>107950</xdr:rowOff>
    </xdr:from>
    <xdr:to>
      <xdr:col>4</xdr:col>
      <xdr:colOff>295910</xdr:colOff>
      <xdr:row>73</xdr:row>
      <xdr:rowOff>202565</xdr:rowOff>
    </xdr:to>
    <xdr:graphicFrame>
      <xdr:nvGraphicFramePr>
        <xdr:cNvPr id="4" name="图表 3"/>
        <xdr:cNvGraphicFramePr/>
      </xdr:nvGraphicFramePr>
      <xdr:xfrm>
        <a:off x="47625" y="14262100"/>
        <a:ext cx="5420360" cy="2959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765175</xdr:colOff>
      <xdr:row>59</xdr:row>
      <xdr:rowOff>203835</xdr:rowOff>
    </xdr:from>
    <xdr:to>
      <xdr:col>9</xdr:col>
      <xdr:colOff>174625</xdr:colOff>
      <xdr:row>74</xdr:row>
      <xdr:rowOff>12065</xdr:rowOff>
    </xdr:to>
    <xdr:graphicFrame>
      <xdr:nvGraphicFramePr>
        <xdr:cNvPr id="7" name="图表 6"/>
        <xdr:cNvGraphicFramePr/>
      </xdr:nvGraphicFramePr>
      <xdr:xfrm>
        <a:off x="5937250" y="14357985"/>
        <a:ext cx="5334000" cy="287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635000</xdr:colOff>
      <xdr:row>58</xdr:row>
      <xdr:rowOff>203200</xdr:rowOff>
    </xdr:from>
    <xdr:to>
      <xdr:col>12</xdr:col>
      <xdr:colOff>1644015</xdr:colOff>
      <xdr:row>73</xdr:row>
      <xdr:rowOff>135890</xdr:rowOff>
    </xdr:to>
    <xdr:graphicFrame>
      <xdr:nvGraphicFramePr>
        <xdr:cNvPr id="9" name="图表 8"/>
        <xdr:cNvGraphicFramePr/>
      </xdr:nvGraphicFramePr>
      <xdr:xfrm>
        <a:off x="11731625" y="14147800"/>
        <a:ext cx="480949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56.606087963" refreshedBy="86131" recordCount="117">
  <cacheSource type="worksheet">
    <worksheetSource ref="A1:A1" sheet="1.1核心竞争对手调研"/>
  </cacheSource>
  <cacheFields count="59">
    <cacheField name="产品标识" numFmtId="0">
      <sharedItems containsBlank="1" count="117">
        <s v="2022-08-20XXXX-111"/>
        <s v="2022-08-21XXXX-111"/>
        <s v="2022-08-22XXXX-111"/>
        <s v="2022-08-23XXXX-111"/>
        <s v="2022-08-24XXXX-111"/>
        <s v="2022-08-25XXXX-111"/>
        <s v="2022-08-26XXXX-111"/>
        <s v="2022-08-27XXXX-111"/>
        <s v="2022-08-28XXXX-111"/>
        <s v="2022-08-29XXXX-111"/>
        <s v="2022-08-30XXXX-111"/>
        <s v="2022-08-31XXXX-111"/>
        <s v="2022-09-01XXXX-111"/>
        <s v="2022-09-02XXXX-111"/>
        <s v="2022-09-03XXXX-111"/>
        <s v="2022-09-04XXXX-111"/>
        <s v="2022-09-05XXXX-111"/>
        <s v="2022-09-06XXXX-111"/>
        <s v="2022-09-07XXXX-111"/>
        <s v="2022-09-08XXXX-111"/>
        <s v="2022-09-09XXXX-111"/>
        <s v="2022-09-10XXXX-111"/>
        <s v="2022-09-11XXXX-111"/>
        <s v="2022-09-12XXXX-111"/>
        <s v="2022-09-13XXXX-111"/>
        <s v="2022-09-14XXXX-111"/>
        <s v="2022-09-15XXXX-111"/>
        <s v="2022-09-16XXXX-111"/>
        <s v="2022-09-17XXXX-111"/>
        <s v="2022-09-18XXXX-111"/>
        <s v="2022-09-19XXXX-111"/>
        <s v="2022-09-20XXXX-111"/>
        <s v="2022-09-21XXXX-111"/>
        <s v="2022-09-22XXXX-111"/>
        <s v="2022-09-23XXXX-111"/>
        <s v="2022-09-24XXXX-111"/>
        <s v="2022-09-25XXXX-111"/>
        <s v="2022-09-26XXXX-111"/>
        <s v="2022-09-27XXXX-111"/>
        <s v="2022-09-28XXXX-111"/>
        <s v="2022-09-29XXXX-111"/>
        <s v="2022-09-30XXXX-111"/>
        <s v="2022-10-01XXXX-111"/>
        <s v="2022-10-02XXXX-111"/>
        <s v="2022-10-03XXXX-111"/>
        <s v="2022-10-04XXXX-111"/>
        <s v="2022-10-05XXXX-111"/>
        <s v="2022-10-06XXXX-111"/>
        <s v="2022-10-07XXXX-111"/>
        <s v="2022-10-08XXXX-111"/>
        <s v="2022-10-09XXXX-111"/>
        <s v="2022-10-10XXXX-111"/>
        <s v="2022-10-11XXXX-111"/>
        <s v="2022-10-12XXXX-111"/>
        <s v="2022-10-13XXXX-111"/>
        <s v="2022-10-14XXXX-111"/>
        <s v="2022-10-15XXXX-111"/>
        <s v=""/>
        <s v="时间MSKU"/>
        <s v="2022-08-20XXXX-222"/>
        <s v="2022-08-21XXXX-222"/>
        <s v="2022-08-22XXXX-222"/>
        <s v="2022-08-23XXXX-222"/>
        <s v="2022-08-24XXXX-222"/>
        <s v="2022-08-25XXXX-222"/>
        <s v="2022-08-26XXXX-222"/>
        <s v="2022-08-27XXXX-222"/>
        <s v="2022-08-28XXXX-222"/>
        <s v="2022-08-29XXXX-222"/>
        <s v="2022-08-30XXXX-222"/>
        <s v="2022-08-31XXXX-222"/>
        <s v="2022-09-01XXXX-222"/>
        <s v="2022-09-02XXXX-222"/>
        <s v="2022-09-03XXXX-222"/>
        <s v="2022-09-04XXXX-222"/>
        <s v="2022-09-05XXXX-222"/>
        <s v="2022-09-06XXXX-222"/>
        <s v="2022-09-07XXXX-222"/>
        <s v="2022-09-08XXXX-222"/>
        <s v="2022-09-09XXXX-222"/>
        <s v="2022-09-10XXXX-222"/>
        <s v="2022-09-11XXXX-222"/>
        <s v="2022-09-12XXXX-222"/>
        <s v="2022-09-13XXXX-222"/>
        <s v="2022-09-14XXXX-222"/>
        <s v="2022-09-15XXXX-222"/>
        <s v="2022-09-16XXXX-222"/>
        <s v="2022-09-17XXXX-222"/>
        <s v="2022-09-18XXXX-222"/>
        <s v="2022-09-19XXXX-222"/>
        <s v="2022-09-20XXXX-222"/>
        <s v="2022-09-21XXXX-222"/>
        <s v="2022-09-22XXXX-222"/>
        <s v="2022-09-23XXXX-222"/>
        <s v="2022-09-24XXXX-222"/>
        <s v="2022-09-25XXXX-222"/>
        <s v="2022-09-26XXXX-222"/>
        <s v="2022-09-27XXXX-222"/>
        <s v="2022-09-28XXXX-222"/>
        <s v="2022-09-29XXXX-222"/>
        <s v="2022-09-30XXXX-222"/>
        <s v="2022-10-01XXXX-222"/>
        <s v="2022-10-02XXXX-222"/>
        <s v="2022-10-03XXXX-222"/>
        <s v="2022-10-04XXXX-222"/>
        <s v="2022-10-05XXXX-222"/>
        <s v="2022-10-06XXXX-222"/>
        <s v="2022-10-07XXXX-222"/>
        <s v="2022-10-08XXXX-222"/>
        <s v="2022-10-09XXXX-222"/>
        <s v="2022-10-10XXXX-222"/>
        <s v="2022-10-11XXXX-222"/>
        <s v="2022-10-12XXXX-222"/>
        <s v="2022-10-13XXXX-222"/>
        <s v="2022-10-14XXXX-222"/>
        <s v="2022-10-15XXXX-222"/>
        <m/>
      </sharedItems>
    </cacheField>
    <cacheField name="时间" numFmtId="0">
      <sharedItems containsBlank="1" count="59"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m/>
        <s v="时间"/>
      </sharedItems>
    </cacheField>
    <cacheField name="ASIN" numFmtId="0">
      <sharedItems containsBlank="1" count="4">
        <s v="ASIN1"/>
        <m/>
        <s v="ASIN"/>
        <s v="ASIN2"/>
      </sharedItems>
    </cacheField>
    <cacheField name="父ASIN" numFmtId="0">
      <sharedItems containsBlank="1" count="3">
        <s v="B0B9ZKN8JG"/>
        <m/>
        <s v="父ASIN"/>
      </sharedItems>
    </cacheField>
    <cacheField name="MSKU" numFmtId="0">
      <sharedItems containsBlank="1" count="6">
        <s v="XXXX-111"/>
        <m/>
        <s v="MSKU"/>
        <s v="XXXX-222"/>
        <s v="MYTD-156" u="1"/>
        <s v="MYTD-157" u="1"/>
      </sharedItems>
    </cacheField>
    <cacheField name="品名" numFmtId="0">
      <sharedItems containsBlank="1" count="2">
        <m/>
        <s v="品名"/>
      </sharedItems>
    </cacheField>
    <cacheField name="价格" numFmtId="0">
      <sharedItems containsBlank="1" count="11">
        <s v="$13.99"/>
        <s v="$15.99"/>
        <s v="$16.99"/>
        <s v="$17.99"/>
        <s v="$19.99"/>
        <s v="$21.99"/>
        <m/>
        <s v="价格"/>
        <s v="$14.99"/>
        <s v="$11.99"/>
        <s v="$9.99"/>
      </sharedItems>
    </cacheField>
    <cacheField name="FBA可售" numFmtId="0">
      <sharedItems containsBlank="1" containsNumber="1" containsInteger="1" containsMixedTypes="1" count="108">
        <n v="199"/>
        <n v="259"/>
        <n v="319"/>
        <n v="340"/>
        <n v="337"/>
        <n v="334"/>
        <n v="493"/>
        <n v="513"/>
        <n v="526"/>
        <n v="524"/>
        <n v="555"/>
        <n v="613"/>
        <n v="758"/>
        <n v="812"/>
        <n v="803"/>
        <n v="797"/>
        <n v="835"/>
        <n v="863"/>
        <n v="842"/>
        <n v="838"/>
        <n v="843"/>
        <n v="830"/>
        <n v="818"/>
        <n v="807"/>
        <n v="781"/>
        <n v="759"/>
        <n v="736"/>
        <n v="706"/>
        <n v="682"/>
        <n v="653"/>
        <n v="612"/>
        <n v="584"/>
        <n v="572"/>
        <n v="546"/>
        <n v="530"/>
        <n v="507"/>
        <n v="476"/>
        <n v="452"/>
        <n v="423"/>
        <n v="389"/>
        <n v="362"/>
        <n v="330"/>
        <n v="293"/>
        <n v="241"/>
        <n v="204"/>
        <n v="172"/>
        <n v="148"/>
        <n v="130"/>
        <n v="96"/>
        <n v="89"/>
        <n v="72"/>
        <n v="54"/>
        <n v="37"/>
        <n v="22"/>
        <n v="6"/>
        <n v="1"/>
        <m/>
        <s v="FBA可售"/>
        <n v="240"/>
        <n v="284"/>
        <n v="344"/>
        <n v="365"/>
        <n v="364"/>
        <n v="379"/>
        <n v="497"/>
        <n v="551"/>
        <n v="550"/>
        <n v="565"/>
        <n v="644"/>
        <n v="780"/>
        <n v="819"/>
        <n v="816"/>
        <n v="827"/>
        <n v="859"/>
        <n v="886"/>
        <n v="882"/>
        <n v="878"/>
        <n v="872"/>
        <n v="861"/>
        <n v="849"/>
        <n v="821"/>
        <n v="804"/>
        <n v="785"/>
        <n v="790"/>
        <n v="782"/>
        <n v="777"/>
        <n v="762"/>
        <n v="793"/>
        <n v="778"/>
        <n v="765"/>
        <n v="754"/>
        <n v="742"/>
        <n v="733"/>
        <n v="728"/>
        <n v="716"/>
        <n v="685"/>
        <n v="611"/>
        <n v="601"/>
        <n v="574"/>
        <n v="562"/>
        <n v="541"/>
        <n v="504"/>
        <n v="471"/>
        <n v="444"/>
        <n v="417"/>
        <n v="385"/>
        <n v="355"/>
        <n v="342"/>
      </sharedItems>
    </cacheField>
    <cacheField name="FBM可售" numFmtId="0">
      <sharedItems containsBlank="1" containsNumber="1" containsInteger="1" containsMixedTypes="1" count="3">
        <n v="0"/>
        <m/>
        <s v="FBM可售"/>
      </sharedItems>
    </cacheField>
    <cacheField name="销量" numFmtId="0">
      <sharedItems containsBlank="1" containsNumber="1" containsInteger="1" containsMixedTypes="1" count="39">
        <n v="0"/>
        <n v="2"/>
        <n v="1"/>
        <n v="3"/>
        <n v="9"/>
        <n v="5"/>
        <n v="4"/>
        <n v="8"/>
        <n v="23"/>
        <n v="17"/>
        <n v="11"/>
        <n v="12"/>
        <n v="14"/>
        <n v="18"/>
        <n v="19"/>
        <n v="21"/>
        <n v="22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m/>
        <s v="销量"/>
        <n v="6"/>
        <n v="7"/>
        <n v="13"/>
        <n v="36"/>
        <n v="34"/>
      </sharedItems>
    </cacheField>
    <cacheField name="订单量" numFmtId="0">
      <sharedItems containsBlank="1" containsNumber="1" containsInteger="1" containsMixedTypes="1" count="41">
        <n v="0"/>
        <n v="2"/>
        <n v="1"/>
        <n v="3"/>
        <n v="9"/>
        <n v="5"/>
        <n v="7"/>
        <n v="4"/>
        <n v="8"/>
        <n v="22"/>
        <n v="16"/>
        <n v="11"/>
        <n v="12"/>
        <n v="14"/>
        <n v="18"/>
        <n v="19"/>
        <n v="21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n v="17"/>
        <m/>
        <s v="订单量"/>
        <n v="6"/>
        <n v="13"/>
        <n v="36"/>
        <n v="39"/>
        <n v="23"/>
        <n v="33"/>
      </sharedItems>
    </cacheField>
    <cacheField name="销售额" numFmtId="0">
      <sharedItems containsBlank="1" containsNumber="1" containsMixedTypes="1" count="72">
        <n v="0"/>
        <n v="27.98"/>
        <n v="13.99"/>
        <n v="41.97"/>
        <n v="125.91"/>
        <n v="69.95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87.82"/>
        <n v="639.6"/>
        <n v="475.72"/>
        <n v="441.74"/>
        <n v="356.79"/>
        <n v="594.65"/>
        <n v="458.73"/>
        <n v="407.76"/>
        <n v="449.75"/>
        <n v="557.69"/>
        <n v="431.76"/>
        <n v="521.71"/>
        <n v="845.53"/>
        <n v="881.51"/>
        <n v="761.62"/>
        <n v="593.73"/>
        <n v="703.68"/>
        <n v="439.8"/>
        <n v="487.76"/>
        <n v="189.9"/>
        <n v="297.83"/>
        <n v="303.81"/>
        <n v="349.81"/>
        <n v="359.82"/>
        <n v="159.92"/>
        <n v="79.96"/>
        <m/>
        <s v="销售额"/>
        <n v="139.9"/>
        <n v="83.94"/>
        <n v="97.93"/>
        <n v="279.8"/>
        <n v="119.92"/>
        <n v="149.9"/>
        <n v="194.87"/>
        <n v="104.93"/>
        <n v="254.83"/>
        <n v="179.88"/>
        <n v="209.86"/>
        <n v="134.91"/>
        <n v="89.94"/>
        <n v="431.64"/>
        <n v="479.6"/>
        <n v="319.77"/>
        <n v="363.74"/>
        <n v="263.78"/>
        <n v="143.88"/>
        <n v="239.8"/>
        <n v="273.76"/>
        <n v="179.82"/>
        <n v="379.62"/>
        <n v="329.67"/>
        <n v="269.73"/>
        <n v="279.72"/>
      </sharedItems>
    </cacheField>
    <cacheField name="净销售额" numFmtId="0">
      <sharedItems containsBlank="1" containsNumber="1" containsMixedTypes="1" count="79">
        <n v="0"/>
        <n v="27.98"/>
        <n v="13.99"/>
        <n v="41.97"/>
        <n v="125.91"/>
        <n v="69.95"/>
        <n v="113.6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75.51"/>
        <n v="627.29"/>
        <n v="475.72"/>
        <n v="441.74"/>
        <n v="356.79"/>
        <n v="594.65"/>
        <n v="446.42"/>
        <n v="407.76"/>
        <n v="434.8"/>
        <n v="557.69"/>
        <n v="416.81"/>
        <n v="506.76"/>
        <n v="509.4"/>
        <n v="829.7"/>
        <n v="865.68"/>
        <n v="761.62"/>
        <n v="579.66"/>
        <n v="687.85"/>
        <n v="439.8"/>
        <n v="472.81"/>
        <n v="172.31"/>
        <n v="285.52"/>
        <n v="303.81"/>
        <n v="337.5"/>
        <n v="329.04"/>
        <n v="159.92"/>
        <n v="79.96"/>
        <m/>
        <s v="净销售额"/>
        <n v="1.68"/>
        <n v="141.58"/>
        <n v="139.9"/>
        <n v="31.34"/>
        <n v="71.63"/>
        <n v="183.55"/>
        <n v="85.62"/>
        <n v="279.8"/>
        <n v="119.92"/>
        <n v="149.9"/>
        <n v="194.87"/>
        <n v="104.93"/>
        <n v="254.83"/>
        <n v="179.88"/>
        <n v="209.86"/>
        <n v="134.91"/>
        <n v="64.44"/>
        <n v="405.26"/>
        <n v="479.6"/>
        <n v="319.77"/>
        <n v="238.63"/>
        <n v="363.74"/>
        <n v="263.78"/>
        <n v="143.88"/>
        <n v="229.25"/>
        <n v="273.76"/>
        <n v="169.27"/>
        <n v="358.52"/>
        <n v="306.81"/>
        <n v="260.94"/>
        <n v="279.72"/>
      </sharedItems>
    </cacheField>
    <cacheField name="B2B 销量" numFmtId="0">
      <sharedItems containsBlank="1" containsNumber="1" containsInteger="1" containsMixedTypes="1" count="9">
        <n v="0"/>
        <n v="1"/>
        <n v="2"/>
        <n v="6"/>
        <n v="3"/>
        <n v="4"/>
        <m/>
        <s v="B2B 销量"/>
        <n v="5"/>
      </sharedItems>
    </cacheField>
    <cacheField name="B2B 销售额" numFmtId="0">
      <sharedItems containsBlank="1" containsNumber="1" containsMixedTypes="1" count="22">
        <n v="0"/>
        <n v="13.99"/>
        <n v="33.98"/>
        <n v="16.99"/>
        <n v="17.99"/>
        <n v="107.94"/>
        <n v="35.98"/>
        <n v="59.97"/>
        <n v="43.98"/>
        <n v="39.98"/>
        <n v="19.99"/>
        <n v="15.99"/>
        <n v="79.96"/>
        <m/>
        <s v="B2B 销售额"/>
        <n v="55.96"/>
        <n v="14.99"/>
        <n v="11.99"/>
        <n v="49.95"/>
        <n v="19.98"/>
        <n v="29.97"/>
        <n v="9.99"/>
      </sharedItems>
    </cacheField>
    <cacheField name="B2B 订单量" numFmtId="0">
      <sharedItems containsBlank="1" containsNumber="1" containsInteger="1" containsMixedTypes="1" count="9">
        <n v="0"/>
        <n v="1"/>
        <n v="2"/>
        <n v="6"/>
        <n v="3"/>
        <n v="4"/>
        <m/>
        <s v="B2B 订单量"/>
        <n v="5"/>
      </sharedItems>
    </cacheField>
    <cacheField name="促销销量" numFmtId="0">
      <sharedItems containsBlank="1" containsNumber="1" containsInteger="1" containsMixedTypes="1" count="3">
        <n v="0"/>
        <m/>
        <s v="促销销量"/>
      </sharedItems>
    </cacheField>
    <cacheField name="促销销售额" numFmtId="0">
      <sharedItems containsBlank="1" containsNumber="1" containsInteger="1" containsMixedTypes="1" count="3">
        <n v="0"/>
        <m/>
        <s v="促销销售额"/>
      </sharedItems>
    </cacheField>
    <cacheField name="促销订单量" numFmtId="0">
      <sharedItems containsBlank="1" containsNumber="1" containsInteger="1" containsMixedTypes="1" count="3">
        <n v="0"/>
        <m/>
        <s v="促销订单量"/>
      </sharedItems>
    </cacheField>
    <cacheField name="平均客单价" numFmtId="0">
      <sharedItems containsBlank="1" containsNumber="1" containsMixedTypes="1" count="47">
        <m/>
        <n v="13.99"/>
        <n v="12.62"/>
        <n v="14.27"/>
        <n v="15.31"/>
        <n v="15.68"/>
        <n v="16.99"/>
        <n v="16.53"/>
        <n v="17.39"/>
        <n v="17.99"/>
        <n v="17.37"/>
        <n v="17.47"/>
        <n v="17.57"/>
        <n v="17.65"/>
        <n v="17.67"/>
        <n v="20.04"/>
        <n v="21.47"/>
        <n v="21.5"/>
        <n v="21.99"/>
        <n v="19.7"/>
        <n v="17.23"/>
        <n v="16.8"/>
        <n v="15.99"/>
        <n v="17.76"/>
        <n v="18.28"/>
        <n v="19.99"/>
        <s v="平均客单价"/>
        <n v="1.68"/>
        <n v="12.87"/>
        <n v="7.84"/>
        <n v="11.94"/>
        <n v="13.11"/>
        <n v="12.23"/>
        <n v="14.99"/>
        <n v="14.16"/>
        <n v="10.74"/>
        <n v="11.26"/>
        <n v="11.99"/>
        <n v="13.9"/>
        <n v="13.26"/>
        <n v="11.46"/>
        <n v="11.41"/>
        <n v="9.4"/>
        <n v="9.43"/>
        <n v="9.02"/>
        <n v="9.66"/>
        <n v="9.99"/>
      </sharedItems>
    </cacheField>
    <cacheField name="平均销量" numFmtId="0">
      <sharedItems containsBlank="1" containsNumber="1" containsMixedTypes="1" count="12">
        <n v="0"/>
        <n v="0.1"/>
        <n v="0.2"/>
        <n v="0.4"/>
        <n v="0.3"/>
        <n v="0.5"/>
        <n v="0.7"/>
        <n v="0.6"/>
        <n v="0.8"/>
        <n v="0.9"/>
        <m/>
        <s v="平均销量"/>
      </sharedItems>
    </cacheField>
    <cacheField name="大类排名" numFmtId="0">
      <sharedItems containsString="0" containsBlank="1" containsNonDate="0" count="1">
        <m/>
      </sharedItems>
    </cacheField>
    <cacheField name="小类排名" numFmtId="0">
      <sharedItems containsString="0" containsBlank="1" containsNonDate="0" count="1">
        <m/>
      </sharedItems>
    </cacheField>
    <cacheField name="退款量" numFmtId="0">
      <sharedItems containsBlank="1" containsNumber="1" containsInteger="1" containsMixedTypes="1" count="5">
        <n v="0"/>
        <n v="1"/>
        <n v="2"/>
        <m/>
        <s v="退款量"/>
      </sharedItems>
    </cacheField>
    <cacheField name="退款率" numFmtId="0">
      <sharedItems containsBlank="1" count="26">
        <s v="0.00%"/>
        <s v="11.11%"/>
        <s v="5.56%"/>
        <s v="2.50%"/>
        <s v="7.41%"/>
        <s v="4.00%"/>
        <s v="4.17%"/>
        <s v="3.45%"/>
        <s v="2.13%"/>
        <s v="2.04%"/>
        <s v="3.70%"/>
        <s v="3.12%"/>
        <s v="10.00%"/>
        <s v="5.88%"/>
        <s v="5.26%"/>
        <s v="50.00%"/>
        <m/>
        <s v="退款率"/>
        <s v="100.00%"/>
        <s v="9.09%"/>
        <s v="16.67%"/>
        <s v="7.14%"/>
        <s v="14.29%"/>
        <s v="33.33%"/>
        <s v="5.00%"/>
        <s v="3.57%"/>
      </sharedItems>
    </cacheField>
    <cacheField name="评分" numFmtId="0">
      <sharedItems containsBlank="1" containsNumber="1" containsMixedTypes="1" count="8">
        <n v="0"/>
        <n v="3"/>
        <n v="4.6"/>
        <n v="4.7"/>
        <n v="4.5"/>
        <n v="4.4"/>
        <m/>
        <s v="评分"/>
      </sharedItems>
    </cacheField>
    <cacheField name="评论数" numFmtId="0">
      <sharedItems containsBlank="1" containsNumber="1" containsInteger="1" containsMixedTypes="1" count="13">
        <n v="0"/>
        <n v="1"/>
        <n v="16"/>
        <n v="18"/>
        <n v="21"/>
        <n v="22"/>
        <n v="24"/>
        <n v="28"/>
        <n v="30"/>
        <n v="33"/>
        <n v="36"/>
        <m/>
        <s v="评论数"/>
      </sharedItems>
    </cacheField>
    <cacheField name="留评率" numFmtId="0">
      <sharedItems containsBlank="1" count="10">
        <s v="0.00%"/>
        <s v="3.57%"/>
        <s v="3.23%"/>
        <s v="2.13%"/>
        <s v="5.56%"/>
        <m/>
        <s v="留评率"/>
        <s v="8.33%"/>
        <s v="2.56%"/>
        <s v="3.85%"/>
      </sharedItems>
    </cacheField>
    <cacheField name="促销折扣" numFmtId="0">
      <sharedItems containsBlank="1" containsNumber="1" containsInteger="1" containsMixedTypes="1" count="3">
        <n v="0"/>
        <m/>
        <s v="促销折扣"/>
      </sharedItems>
    </cacheField>
    <cacheField name="毛利润" numFmtId="0">
      <sharedItems containsBlank="1" containsNumber="1" containsMixedTypes="1" count="109">
        <n v="0"/>
        <n v="-20.95"/>
        <n v="-18.32"/>
        <n v="-1.13"/>
        <n v="-20.26"/>
        <n v="-22.85"/>
        <n v="-23.48"/>
        <n v="-0.2"/>
        <n v="19.73"/>
        <n v="-0.9"/>
        <n v="-5.41"/>
        <n v="1.98"/>
        <n v="6.54"/>
        <n v="10.03"/>
        <n v="30.29"/>
        <n v="54.47"/>
        <n v="40.68"/>
        <n v="23.06"/>
        <n v="10.64"/>
        <n v="28.77"/>
        <n v="18.01"/>
        <n v="42.39"/>
        <n v="77.09"/>
        <n v="75.64"/>
        <n v="57.52"/>
        <n v="79.12"/>
        <n v="106.15"/>
        <n v="112.65"/>
        <n v="165.68"/>
        <n v="196.97"/>
        <n v="136.59"/>
        <n v="127.92"/>
        <n v="195.34"/>
        <n v="153.31"/>
        <n v="171.36"/>
        <n v="248.13"/>
        <n v="191.92"/>
        <n v="165.62"/>
        <n v="182.2"/>
        <n v="214.21"/>
        <n v="203.19"/>
        <n v="262.16"/>
        <n v="312.2"/>
        <n v="312.99"/>
        <n v="311.23"/>
        <n v="304.8"/>
        <n v="285.44"/>
        <n v="66.74"/>
        <n v="117.39"/>
        <n v="174.85"/>
        <n v="95"/>
        <n v="116.31"/>
        <n v="67.39"/>
        <n v="30.12"/>
        <m/>
        <s v="毛利润"/>
        <n v="-15.72"/>
        <n v="-6.68"/>
        <n v="-25.23"/>
        <n v="-14.15"/>
        <n v="-11.46"/>
        <n v="-27.75"/>
        <n v="-11.42"/>
        <n v="-16.15"/>
        <n v="-8.25"/>
        <n v="12.65"/>
        <n v="-15.83"/>
        <n v="-16.01"/>
        <n v="-13.09"/>
        <n v="6.5"/>
        <n v="58.96"/>
        <n v="25.87"/>
        <n v="-2.77"/>
        <n v="11.21"/>
        <n v="14.94"/>
        <n v="22.91"/>
        <n v="34.8"/>
        <n v="23.13"/>
        <n v="11.57"/>
        <n v="22.84"/>
        <n v="40.45"/>
        <n v="30.44"/>
        <n v="42.49"/>
        <n v="40.66"/>
        <n v="53.01"/>
        <n v="40.51"/>
        <n v="43.97"/>
        <n v="42.53"/>
        <n v="58.86"/>
        <n v="70.2"/>
        <n v="56.21"/>
        <n v="87.57"/>
        <n v="52.91"/>
        <n v="-1.39"/>
        <n v="43.5"/>
        <n v="29.65"/>
        <n v="46.3"/>
        <n v="103.22"/>
        <n v="61.2"/>
        <n v="90.89"/>
        <n v="93.75"/>
        <n v="48.16"/>
        <n v="32.08"/>
        <n v="48.74"/>
        <n v="20.23"/>
        <n v="-12.84"/>
        <n v="-47.36"/>
        <n v="-20.93"/>
        <n v="-36.52"/>
      </sharedItems>
    </cacheField>
    <cacheField name="毛利率" numFmtId="0">
      <sharedItems containsBlank="1" count="101">
        <s v="0.00%"/>
        <s v="-8.10%"/>
        <s v="-163.35%"/>
        <s v="-0.29%"/>
        <s v="14.09%"/>
        <s v="-0.81%"/>
        <s v="-9.67%"/>
        <s v="2.36%"/>
        <s v="6.68%"/>
        <s v="8.96%"/>
        <s v="16.30%"/>
        <s v="19.26%"/>
        <s v="17.11%"/>
        <s v="13.73%"/>
        <s v="9.50%"/>
        <s v="15.63%"/>
        <s v="12.88%"/>
        <s v="18.94%"/>
        <s v="27.55%"/>
        <s v="28.46%"/>
        <s v="22.52%"/>
        <s v="26.93%"/>
        <s v="26.94%"/>
        <s v="30.30%"/>
        <s v="35.27%"/>
        <s v="33.44%"/>
        <s v="33.43%"/>
        <s v="37.10%"/>
        <s v="34.66%"/>
        <s v="37.49%"/>
        <s v="37.44%"/>
        <s v="36.63%"/>
        <s v="40.17%"/>
        <s v="36.99%"/>
        <s v="37.05%"/>
        <s v="38.24%"/>
        <s v="37.65%"/>
        <s v="38.35%"/>
        <s v="41.63%"/>
        <s v="40.48%"/>
        <s v="44.82%"/>
        <s v="47.42%"/>
        <s v="44.76%"/>
        <s v="36.29%"/>
        <s v="39.95%"/>
        <s v="40.69%"/>
        <s v="34.23%"/>
        <s v="29.84%"/>
        <s v="46.65%"/>
        <s v="30.75%"/>
        <m/>
        <s v="毛利率"/>
        <s v="-31.46%"/>
        <s v="-27.29%"/>
        <s v="-198.38%"/>
        <s v="-40.80%"/>
        <s v="-115.46%"/>
        <s v="-19.24%"/>
        <s v="10.05%"/>
        <s v="-113.17%"/>
        <s v="-114.46%"/>
        <s v="-18.72%"/>
        <s v="6.44%"/>
        <s v="28.10%"/>
        <s v="26.42%"/>
        <s v="-3.30%"/>
        <s v="26.71%"/>
        <s v="26.70%"/>
        <s v="27.30%"/>
        <s v="27.64%"/>
        <s v="27.56%"/>
        <s v="13.79%"/>
        <s v="14.55%"/>
        <s v="20.65%"/>
        <s v="27.20%"/>
        <s v="27.61%"/>
        <s v="28.66%"/>
        <s v="27.89%"/>
        <s v="30.03%"/>
        <s v="32.83%"/>
        <s v="31.53%"/>
        <s v="29.93%"/>
        <s v="31.36%"/>
        <s v="34.09%"/>
        <s v="32.45%"/>
        <s v="31.91%"/>
        <s v="-1.86%"/>
        <s v="30.23%"/>
        <s v="11.33%"/>
        <s v="20.10%"/>
        <s v="22.91%"/>
        <s v="19.92%"/>
        <s v="28.60%"/>
        <s v="26.06%"/>
        <s v="14.86%"/>
        <s v="19.83%"/>
        <s v="6.86%"/>
        <s v="-4.09%"/>
        <s v="-17.30%"/>
        <s v="-7.71%"/>
        <s v="-73.12%"/>
      </sharedItems>
    </cacheField>
    <cacheField name="ROI" numFmtId="0">
      <sharedItems containsBlank="1" count="79">
        <s v="0.00%"/>
        <s v="24.52%"/>
        <s v="-253.39%"/>
        <s v="-322.12%"/>
        <s v="88.58%"/>
        <s v="118.34%"/>
        <s v="315.07%"/>
        <s v="256.88%"/>
        <s v="315.39%"/>
        <s v="215.82%"/>
        <s v="316.02%"/>
        <s v="318.89%"/>
        <s v="326.79%"/>
        <s v="371.23%"/>
        <s v="353.16%"/>
        <s v="324.27%"/>
        <s v="334.65%"/>
        <s v="328.81%"/>
        <s v="331.88%"/>
        <s v="344.55%"/>
        <s v="357.25%"/>
        <s v="402.40%"/>
        <s v="406.27%"/>
        <s v="395.61%"/>
        <s v="405.38%"/>
        <s v="466.46%"/>
        <s v="466.87%"/>
        <s v="502.58%"/>
        <s v="501.89%"/>
        <s v="515.86%"/>
        <s v="509.10%"/>
        <s v="506.06%"/>
        <s v="502.46%"/>
        <s v="537.31%"/>
        <s v="548.91%"/>
        <s v="273.39%"/>
        <s v="342.42%"/>
        <s v="404.40%"/>
        <s v="402.75%"/>
        <s v="408.10%"/>
        <s v="343.65%"/>
        <s v="303.50%"/>
        <s v="274.74%"/>
        <s v="226.50%"/>
        <s v="300.52%"/>
        <s v="379.39%"/>
        <s v="608.17%"/>
        <m/>
        <s v="ROI"/>
        <s v="-161.29%"/>
        <s v="-498.19%"/>
        <s v="236.90%"/>
        <s v="25.59%"/>
        <s v="-297.68%"/>
        <s v="-298.03%"/>
        <s v="259.72%"/>
        <s v="157.43%"/>
        <s v="247.88%"/>
        <s v="164.99%"/>
        <s v="46.13%"/>
        <s v="333.58%"/>
        <s v="340.89%"/>
        <s v="398.23%"/>
        <s v="401.58%"/>
        <s v="396.00%"/>
        <s v="431.04%"/>
        <s v="435.91%"/>
        <s v="401.53%"/>
        <s v="433.69%"/>
        <s v="92.72%"/>
        <s v="92.73%"/>
        <s v="150.32%"/>
        <s v="152.94%"/>
        <s v="75.15%"/>
        <s v="19.11%"/>
        <s v="12.97%"/>
        <s v="10.19%"/>
        <s v="109.38%"/>
        <s v="218.29%"/>
      </sharedItems>
    </cacheField>
    <cacheField name="退货量" numFmtId="0">
      <sharedItems containsBlank="1" containsNumber="1" containsInteger="1" containsMixedTypes="1" count="5">
        <n v="0"/>
        <n v="1"/>
        <n v="2"/>
        <m/>
        <s v="退货量"/>
      </sharedItems>
    </cacheField>
    <cacheField name="退货率" numFmtId="0">
      <sharedItems containsBlank="1" count="17">
        <s v="0.00%"/>
        <s v="7.14%"/>
        <s v="2.50%"/>
        <s v="2.86%"/>
        <s v="4.26%"/>
        <s v="2.63%"/>
        <s v="3.70%"/>
        <s v="11.11%"/>
        <m/>
        <s v="退货率"/>
        <s v="10.00%"/>
        <s v="20.00%"/>
        <s v="7.69%"/>
        <s v="14.29%"/>
        <s v="16.67%"/>
        <s v="5.56%"/>
        <s v="2.94%"/>
      </sharedItems>
    </cacheField>
    <cacheField name="Sessions-Browser" numFmtId="0">
      <sharedItems containsBlank="1" containsNumber="1" containsInteger="1" containsMixedTypes="1" count="64">
        <n v="0"/>
        <n v="9"/>
        <n v="8"/>
        <n v="15"/>
        <n v="16"/>
        <n v="17"/>
        <n v="23"/>
        <n v="25"/>
        <n v="24"/>
        <n v="31"/>
        <n v="35"/>
        <n v="47"/>
        <n v="64"/>
        <n v="37"/>
        <n v="43"/>
        <n v="41"/>
        <n v="29"/>
        <n v="46"/>
        <n v="54"/>
        <n v="55"/>
        <n v="59"/>
        <n v="53"/>
        <n v="61"/>
        <n v="67"/>
        <n v="96"/>
        <n v="78"/>
        <n v="91"/>
        <n v="88"/>
        <n v="76"/>
        <n v="73"/>
        <n v="99"/>
        <n v="93"/>
        <n v="84"/>
        <n v="70"/>
        <n v="106"/>
        <n v="107"/>
        <n v="112"/>
        <n v="89"/>
        <n v="86"/>
        <n v="62"/>
        <n v="58"/>
        <n v="60"/>
        <n v="27"/>
        <m/>
        <s v="Sessions-Browser"/>
        <n v="6"/>
        <n v="7"/>
        <n v="11"/>
        <n v="14"/>
        <n v="10"/>
        <n v="13"/>
        <n v="19"/>
        <n v="12"/>
        <n v="28"/>
        <n v="20"/>
        <n v="22"/>
        <n v="21"/>
        <n v="32"/>
        <n v="26"/>
        <n v="44"/>
        <n v="50"/>
        <n v="38"/>
        <n v="57"/>
        <n v="40"/>
      </sharedItems>
    </cacheField>
    <cacheField name="Sessions-Mobile" numFmtId="0">
      <sharedItems containsBlank="1" containsNumber="1" containsInteger="1" containsMixedTypes="1" count="85">
        <n v="0"/>
        <n v="20"/>
        <n v="16"/>
        <n v="9"/>
        <n v="17"/>
        <n v="24"/>
        <n v="37"/>
        <n v="30"/>
        <n v="55"/>
        <n v="46"/>
        <n v="61"/>
        <n v="63"/>
        <n v="89"/>
        <n v="102"/>
        <n v="139"/>
        <n v="101"/>
        <n v="99"/>
        <n v="81"/>
        <n v="73"/>
        <n v="131"/>
        <n v="158"/>
        <n v="111"/>
        <n v="120"/>
        <n v="141"/>
        <n v="123"/>
        <n v="126"/>
        <n v="174"/>
        <n v="245"/>
        <n v="147"/>
        <n v="144"/>
        <n v="138"/>
        <n v="177"/>
        <n v="215"/>
        <n v="107"/>
        <n v="121"/>
        <n v="149"/>
        <n v="247"/>
        <n v="296"/>
        <n v="173"/>
        <n v="140"/>
        <n v="122"/>
        <n v="108"/>
        <n v="98"/>
        <n v="137"/>
        <n v="117"/>
        <n v="56"/>
        <n v="64"/>
        <n v="58"/>
        <m/>
        <s v="Sessions-Mobile"/>
        <n v="19"/>
        <n v="23"/>
        <n v="36"/>
        <n v="34"/>
        <n v="18"/>
        <n v="38"/>
        <n v="45"/>
        <n v="39"/>
        <n v="42"/>
        <n v="69"/>
        <n v="62"/>
        <n v="92"/>
        <n v="65"/>
        <n v="41"/>
        <n v="44"/>
        <n v="51"/>
        <n v="31"/>
        <n v="49"/>
        <n v="50"/>
        <n v="52"/>
        <n v="70"/>
        <n v="100"/>
        <n v="60"/>
        <n v="57"/>
        <n v="40"/>
        <n v="53"/>
        <n v="85"/>
        <n v="43"/>
        <n v="161"/>
        <n v="82"/>
        <n v="76"/>
        <n v="67"/>
        <n v="77"/>
        <n v="91"/>
        <n v="96"/>
      </sharedItems>
    </cacheField>
    <cacheField name="Sessions-Total" numFmtId="0">
      <sharedItems containsBlank="1" containsNumber="1" containsInteger="1" containsMixedTypes="1" count="92">
        <n v="0"/>
        <n v="29"/>
        <n v="25"/>
        <n v="17"/>
        <n v="32"/>
        <n v="40"/>
        <n v="54"/>
        <n v="46"/>
        <n v="78"/>
        <n v="71"/>
        <n v="85"/>
        <n v="94"/>
        <n v="124"/>
        <n v="149"/>
        <n v="203"/>
        <n v="138"/>
        <n v="142"/>
        <n v="122"/>
        <n v="102"/>
        <n v="172"/>
        <n v="204"/>
        <n v="165"/>
        <n v="175"/>
        <n v="200"/>
        <n v="176"/>
        <n v="187"/>
        <n v="241"/>
        <n v="341"/>
        <n v="225"/>
        <n v="235"/>
        <n v="226"/>
        <n v="220"/>
        <n v="206"/>
        <n v="250"/>
        <n v="314"/>
        <n v="231"/>
        <n v="214"/>
        <n v="191"/>
        <n v="216"/>
        <n v="353"/>
        <n v="403"/>
        <n v="285"/>
        <n v="229"/>
        <n v="208"/>
        <n v="167"/>
        <n v="160"/>
        <n v="192"/>
        <n v="195"/>
        <n v="181"/>
        <n v="116"/>
        <n v="105"/>
        <m/>
        <s v="Sessions-Total"/>
        <n v="16"/>
        <n v="28"/>
        <n v="37"/>
        <n v="47"/>
        <n v="50"/>
        <n v="34"/>
        <n v="48"/>
        <n v="62"/>
        <n v="52"/>
        <n v="61"/>
        <n v="81"/>
        <n v="90"/>
        <n v="129"/>
        <n v="77"/>
        <n v="58"/>
        <n v="67"/>
        <n v="56"/>
        <n v="60"/>
        <n v="72"/>
        <n v="91"/>
        <n v="125"/>
        <n v="73"/>
        <n v="92"/>
        <n v="66"/>
        <n v="74"/>
        <n v="113"/>
        <n v="69"/>
        <n v="180"/>
        <n v="221"/>
        <n v="126"/>
        <n v="119"/>
        <n v="117"/>
        <n v="115"/>
        <n v="96"/>
        <n v="134"/>
        <n v="132"/>
        <n v="168"/>
        <n v="158"/>
        <n v="141"/>
      </sharedItems>
    </cacheField>
    <cacheField name="PV-Browser" numFmtId="0">
      <sharedItems containsBlank="1" containsNumber="1" containsInteger="1" containsMixedTypes="1" count="69">
        <n v="0"/>
        <n v="14"/>
        <n v="11"/>
        <n v="8"/>
        <n v="23"/>
        <n v="18"/>
        <n v="21"/>
        <n v="19"/>
        <n v="32"/>
        <n v="35"/>
        <n v="34"/>
        <n v="44"/>
        <n v="41"/>
        <n v="66"/>
        <n v="82"/>
        <n v="52"/>
        <n v="68"/>
        <n v="58"/>
        <n v="39"/>
        <n v="54"/>
        <n v="60"/>
        <n v="77"/>
        <n v="71"/>
        <n v="91"/>
        <n v="78"/>
        <n v="79"/>
        <n v="93"/>
        <n v="128"/>
        <n v="103"/>
        <n v="120"/>
        <n v="121"/>
        <n v="100"/>
        <n v="87"/>
        <n v="127"/>
        <n v="130"/>
        <n v="94"/>
        <n v="113"/>
        <n v="88"/>
        <n v="86"/>
        <n v="138"/>
        <n v="141"/>
        <n v="89"/>
        <n v="69"/>
        <n v="75"/>
        <n v="73"/>
        <n v="48"/>
        <n v="33"/>
        <m/>
        <s v="PV-Browser"/>
        <n v="7"/>
        <n v="13"/>
        <n v="16"/>
        <n v="20"/>
        <n v="17"/>
        <n v="25"/>
        <n v="40"/>
        <n v="46"/>
        <n v="15"/>
        <n v="31"/>
        <n v="29"/>
        <n v="27"/>
        <n v="28"/>
        <n v="36"/>
        <n v="62"/>
        <n v="80"/>
        <n v="56"/>
        <n v="57"/>
        <n v="51"/>
        <n v="81"/>
      </sharedItems>
    </cacheField>
    <cacheField name="PV-Mobile" numFmtId="0">
      <sharedItems containsBlank="1" containsNumber="1" containsInteger="1" containsMixedTypes="1" count="88">
        <n v="0"/>
        <n v="23"/>
        <n v="22"/>
        <n v="15"/>
        <n v="19"/>
        <n v="37"/>
        <n v="52"/>
        <n v="34"/>
        <n v="64"/>
        <n v="51"/>
        <n v="75"/>
        <n v="84"/>
        <n v="110"/>
        <n v="126"/>
        <n v="168"/>
        <n v="128"/>
        <n v="115"/>
        <n v="101"/>
        <n v="96"/>
        <n v="153"/>
        <n v="182"/>
        <n v="131"/>
        <n v="151"/>
        <n v="172"/>
        <n v="147"/>
        <n v="149"/>
        <n v="207"/>
        <n v="303"/>
        <n v="175"/>
        <n v="183"/>
        <n v="186"/>
        <n v="179"/>
        <n v="176"/>
        <n v="224"/>
        <n v="275"/>
        <n v="167"/>
        <n v="160"/>
        <n v="130"/>
        <n v="202"/>
        <n v="317"/>
        <n v="355"/>
        <n v="235"/>
        <n v="178"/>
        <n v="143"/>
        <n v="123"/>
        <n v="185"/>
        <n v="177"/>
        <n v="146"/>
        <n v="67"/>
        <n v="76"/>
        <n v="69"/>
        <m/>
        <s v="PV-Mobile"/>
        <n v="10"/>
        <n v="24"/>
        <n v="31"/>
        <n v="42"/>
        <n v="43"/>
        <n v="46"/>
        <n v="57"/>
        <n v="48"/>
        <n v="89"/>
        <n v="80"/>
        <n v="117"/>
        <n v="61"/>
        <n v="50"/>
        <n v="53"/>
        <n v="63"/>
        <n v="77"/>
        <n v="38"/>
        <n v="65"/>
        <n v="85"/>
        <n v="60"/>
        <n v="70"/>
        <n v="72"/>
        <n v="44"/>
        <n v="62"/>
        <n v="105"/>
        <n v="166"/>
        <n v="203"/>
        <n v="104"/>
        <n v="97"/>
        <n v="90"/>
        <n v="112"/>
        <n v="119"/>
        <n v="133"/>
        <n v="132"/>
        <n v="102"/>
      </sharedItems>
    </cacheField>
    <cacheField name="PV-Total" numFmtId="0">
      <sharedItems containsBlank="1" containsNumber="1" containsInteger="1" containsMixedTypes="1" count="88">
        <n v="0"/>
        <n v="37"/>
        <n v="33"/>
        <n v="23"/>
        <n v="42"/>
        <n v="55"/>
        <n v="73"/>
        <n v="53"/>
        <n v="96"/>
        <n v="86"/>
        <n v="109"/>
        <n v="128"/>
        <n v="151"/>
        <n v="192"/>
        <n v="250"/>
        <n v="180"/>
        <n v="183"/>
        <n v="159"/>
        <n v="135"/>
        <n v="207"/>
        <n v="242"/>
        <n v="208"/>
        <n v="222"/>
        <n v="263"/>
        <n v="225"/>
        <n v="228"/>
        <n v="300"/>
        <n v="431"/>
        <n v="278"/>
        <n v="303"/>
        <n v="307"/>
        <n v="279"/>
        <n v="317"/>
        <n v="402"/>
        <n v="297"/>
        <n v="254"/>
        <n v="243"/>
        <n v="239"/>
        <n v="288"/>
        <n v="447"/>
        <n v="493"/>
        <n v="376"/>
        <n v="298"/>
        <n v="256"/>
        <n v="220"/>
        <n v="210"/>
        <n v="252"/>
        <n v="140"/>
        <n v="124"/>
        <n v="102"/>
        <m/>
        <s v="PV-Total"/>
        <n v="30"/>
        <n v="17"/>
        <n v="47"/>
        <n v="63"/>
        <n v="40"/>
        <n v="57"/>
        <n v="75"/>
        <n v="69"/>
        <n v="108"/>
        <n v="120"/>
        <n v="163"/>
        <n v="95"/>
        <n v="81"/>
        <n v="82"/>
        <n v="100"/>
        <n v="88"/>
        <n v="90"/>
        <n v="112"/>
        <n v="155"/>
        <n v="85"/>
        <n v="110"/>
        <n v="104"/>
        <n v="89"/>
        <n v="138"/>
        <n v="79"/>
        <n v="77"/>
        <n v="283"/>
        <n v="160"/>
        <n v="154"/>
        <n v="145"/>
        <n v="122"/>
        <n v="164"/>
        <n v="175"/>
        <n v="202"/>
        <n v="226"/>
        <n v="176"/>
      </sharedItems>
    </cacheField>
    <cacheField name="Buybox" numFmtId="0">
      <sharedItems containsBlank="1" count="10">
        <m/>
        <s v="100.00%"/>
        <s v="83.00%"/>
        <s v="88.00%"/>
        <s v="96.00%"/>
        <s v="98.00%"/>
        <s v="95.00%"/>
        <s v="99.00%"/>
        <s v="97.00%"/>
        <s v="Buybox"/>
      </sharedItems>
    </cacheField>
    <cacheField name="CVR" numFmtId="0">
      <sharedItems containsBlank="1" count="101">
        <s v="0.00%"/>
        <s v="6.90%"/>
        <s v="4.00%"/>
        <s v="3.12%"/>
        <s v="7.50%"/>
        <s v="3.70%"/>
        <s v="19.57%"/>
        <s v="6.41%"/>
        <s v="9.86%"/>
        <s v="4.71%"/>
        <s v="9.57%"/>
        <s v="7.26%"/>
        <s v="5.37%"/>
        <s v="10.84%"/>
        <s v="11.59%"/>
        <s v="7.75%"/>
        <s v="9.84%"/>
        <s v="8.82%"/>
        <s v="6.40%"/>
        <s v="6.86%"/>
        <s v="10.91%"/>
        <s v="10.86%"/>
        <s v="10.50%"/>
        <s v="12.50%"/>
        <s v="15.51%"/>
        <s v="7.47%"/>
        <s v="11.73%"/>
        <s v="12.44%"/>
        <s v="11.06%"/>
        <s v="9.29%"/>
        <s v="15.91%"/>
        <s v="13.11%"/>
        <s v="9.60%"/>
        <s v="11.15%"/>
        <s v="10.82%"/>
        <s v="14.49%"/>
        <s v="12.57%"/>
        <s v="15.18%"/>
        <s v="13.43%"/>
        <s v="13.31%"/>
        <s v="12.16%"/>
        <s v="13.33%"/>
        <s v="11.79%"/>
        <s v="15.38%"/>
        <s v="11.98%"/>
        <s v="15.00%"/>
        <s v="5.21%"/>
        <s v="8.72%"/>
        <s v="9.94%"/>
        <s v="16.38%"/>
        <s v="16.19%"/>
        <s v="9.41%"/>
        <m/>
        <s v="CVR"/>
        <s v="3.57%"/>
        <s v="13.51%"/>
        <s v="4.26%"/>
        <s v="2.00%"/>
        <s v="2.94%"/>
        <s v="10.42%"/>
        <s v="4.84%"/>
        <s v="9.62%"/>
        <s v="4.92%"/>
        <s v="2.47%"/>
        <s v="12.22%"/>
        <s v="8.53%"/>
        <s v="9.09%"/>
        <s v="6.45%"/>
        <s v="6.56%"/>
        <s v="8.62%"/>
        <s v="7.46%"/>
        <s v="12.35%"/>
        <s v="8.93%"/>
        <s v="16.67%"/>
        <s v="8.45%"/>
        <s v="18.06%"/>
        <s v="10.45%"/>
        <s v="8.79%"/>
        <s v="16.00%"/>
        <s v="10.96%"/>
        <s v="10.87%"/>
        <s v="15.29%"/>
        <s v="10.61%"/>
        <s v="17.57%"/>
        <s v="23.38%"/>
        <s v="7.08%"/>
        <s v="14.12%"/>
        <s v="22.95%"/>
        <s v="8.70%"/>
        <s v="20.00%"/>
        <s v="17.65%"/>
        <s v="18.25%"/>
        <s v="15.13%"/>
        <s v="22.22%"/>
        <s v="18.26%"/>
        <s v="14.93%"/>
        <s v="18.18%"/>
        <s v="10.71%"/>
        <s v="24.05%"/>
        <s v="23.40%"/>
        <s v="16.20%"/>
      </sharedItems>
    </cacheField>
    <cacheField name="销量CVR" numFmtId="0">
      <sharedItems containsBlank="1" count="100">
        <s v="0.00%"/>
        <s v="6.90%"/>
        <s v="4.00%"/>
        <s v="3.12%"/>
        <s v="7.50%"/>
        <s v="5.56%"/>
        <s v="19.57%"/>
        <s v="6.41%"/>
        <s v="12.68%"/>
        <s v="4.71%"/>
        <s v="9.57%"/>
        <s v="7.26%"/>
        <s v="5.37%"/>
        <s v="11.33%"/>
        <s v="12.32%"/>
        <s v="7.75%"/>
        <s v="9.84%"/>
        <s v="8.82%"/>
        <s v="6.40%"/>
        <s v="6.86%"/>
        <s v="10.91%"/>
        <s v="10.86%"/>
        <s v="10.50%"/>
        <s v="12.50%"/>
        <s v="15.51%"/>
        <s v="7.47%"/>
        <s v="11.73%"/>
        <s v="12.44%"/>
        <s v="11.06%"/>
        <s v="9.29%"/>
        <s v="15.91%"/>
        <s v="13.11%"/>
        <s v="9.60%"/>
        <s v="11.15%"/>
        <s v="10.82%"/>
        <s v="14.49%"/>
        <s v="12.57%"/>
        <s v="15.18%"/>
        <s v="13.43%"/>
        <s v="13.31%"/>
        <s v="12.16%"/>
        <s v="13.33%"/>
        <s v="11.79%"/>
        <s v="15.38%"/>
        <s v="11.98%"/>
        <s v="15.00%"/>
        <s v="5.21%"/>
        <s v="8.72%"/>
        <s v="16.38%"/>
        <s v="17.14%"/>
        <s v="9.41%"/>
        <m/>
        <s v="销量CVR"/>
        <s v="3.57%"/>
        <s v="13.51%"/>
        <s v="4.26%"/>
        <s v="2.00%"/>
        <s v="2.94%"/>
        <s v="10.42%"/>
        <s v="4.84%"/>
        <s v="9.62%"/>
        <s v="4.92%"/>
        <s v="2.47%"/>
        <s v="12.22%"/>
        <s v="8.53%"/>
        <s v="12.99%"/>
        <s v="6.45%"/>
        <s v="6.56%"/>
        <s v="8.62%"/>
        <s v="7.46%"/>
        <s v="12.35%"/>
        <s v="8.93%"/>
        <s v="16.67%"/>
        <s v="8.45%"/>
        <s v="19.44%"/>
        <s v="10.45%"/>
        <s v="8.79%"/>
        <s v="16.00%"/>
        <s v="10.96%"/>
        <s v="10.87%"/>
        <s v="15.29%"/>
        <s v="10.61%"/>
        <s v="17.57%"/>
        <s v="23.38%"/>
        <s v="7.08%"/>
        <s v="14.12%"/>
        <s v="22.95%"/>
        <s v="8.70%"/>
        <s v="20.00%"/>
        <s v="18.10%"/>
        <s v="18.25%"/>
        <s v="15.13%"/>
        <s v="22.22%"/>
        <s v="19.13%"/>
        <s v="14.93%"/>
        <s v="18.18%"/>
        <s v="10.71%"/>
        <s v="24.05%"/>
        <s v="24.11%"/>
        <s v="19.01%"/>
      </sharedItems>
    </cacheField>
    <cacheField name="CPC" numFmtId="0">
      <sharedItems containsBlank="1" containsNumber="1" containsMixedTypes="1" count="25">
        <m/>
        <n v="0.91"/>
        <n v="0.92"/>
        <n v="0.79"/>
        <n v="1.07"/>
        <n v="1.08"/>
        <n v="1.09"/>
        <n v="1.13"/>
        <n v="1.19"/>
        <n v="1.15"/>
        <n v="1.18"/>
        <n v="1.11"/>
        <n v="1.1"/>
        <s v="CPC"/>
        <n v="0.98"/>
        <n v="0.83"/>
        <n v="1.01"/>
        <n v="1.02"/>
        <n v="1.04"/>
        <n v="1.03"/>
        <n v="1.12"/>
        <n v="1.16"/>
        <n v="0.85"/>
        <n v="0.84"/>
        <n v="0.78"/>
      </sharedItems>
    </cacheField>
    <cacheField name="CTR" numFmtId="0">
      <sharedItems containsBlank="1" count="35">
        <s v="0.00%"/>
        <s v="0.20%"/>
        <s v="0.24%"/>
        <s v="0.17%"/>
        <s v="0.19%"/>
        <s v="0.27%"/>
        <s v="0.13%"/>
        <s v="0.14%"/>
        <s v="0.33%"/>
        <s v="0.36%"/>
        <s v="0.43%"/>
        <s v="0.42%"/>
        <s v="0.38%"/>
        <s v="0.34%"/>
        <s v="0.28%"/>
        <s v="0.37%"/>
        <s v="0.45%"/>
        <s v="0.32%"/>
        <s v="0.35%"/>
        <m/>
        <s v="CTR"/>
        <s v="0.31%"/>
        <s v="0.59%"/>
        <s v="0.30%"/>
        <s v="0.99%"/>
        <s v="0.81%"/>
        <s v="0.63%"/>
        <s v="0.44%"/>
        <s v="0.53%"/>
        <s v="0.82%"/>
        <s v="0.78%"/>
        <s v="1.13%"/>
        <s v="0.57%"/>
        <s v="0.73%"/>
        <s v="0.49%"/>
      </sharedItems>
    </cacheField>
    <cacheField name="广告花费" numFmtId="0">
      <sharedItems containsBlank="1" containsNumber="1" containsMixedTypes="1" count="40">
        <n v="0"/>
        <n v="-20.95"/>
        <n v="-18.32"/>
        <n v="-4.72"/>
        <n v="-20.26"/>
        <n v="-26"/>
        <n v="-23.48"/>
        <n v="-20.61"/>
        <n v="-19.58"/>
        <n v="-20.38"/>
        <n v="-20.3"/>
        <n v="-20.22"/>
        <n v="-19.49"/>
        <n v="-19.53"/>
        <n v="-18.89"/>
        <n v="-20.37"/>
        <n v="-22.15"/>
        <n v="-20.65"/>
        <n v="-19.25"/>
        <n v="-19.79"/>
        <n v="-20.18"/>
        <m/>
        <s v="广告花费"/>
        <n v="-15.72"/>
        <n v="-6.68"/>
        <n v="-25.23"/>
        <n v="-25.39"/>
        <n v="-20.89"/>
        <n v="-19.57"/>
        <n v="-20.08"/>
        <n v="-20.17"/>
        <n v="-20.85"/>
        <n v="-19.73"/>
        <n v="-19.26"/>
        <n v="-19.98"/>
        <n v="-6.8"/>
        <n v="-27.19"/>
        <n v="-30.18"/>
        <n v="-28.91"/>
        <n v="-33.32"/>
      </sharedItems>
    </cacheField>
    <cacheField name="ROAS" numFmtId="0">
      <sharedItems containsBlank="1" containsNumber="1" containsMixedTypes="1" count="34">
        <n v="0"/>
        <n v="2.67"/>
        <n v="1.38"/>
        <n v="0.54"/>
        <n v="1.79"/>
        <n v="1.36"/>
        <n v="3.57"/>
        <n v="1.37"/>
        <n v="0.69"/>
        <n v="2.08"/>
        <n v="2.15"/>
        <n v="2.87"/>
        <n v="1.26"/>
        <n v="2.03"/>
        <n v="1.45"/>
        <n v="1.41"/>
        <n v="1.39"/>
        <m/>
        <s v="ROAS"/>
        <n v="1.66"/>
        <n v="1.65"/>
        <n v="0.67"/>
        <n v="2.14"/>
        <n v="0.71"/>
        <n v="0.7"/>
        <n v="2.01"/>
        <n v="0.72"/>
        <n v="1.42"/>
        <n v="2.18"/>
        <n v="1.47"/>
        <n v="0.37"/>
        <n v="2.85"/>
        <n v="2.7"/>
        <n v="1.5"/>
      </sharedItems>
    </cacheField>
    <cacheField name="ACOS" numFmtId="0">
      <sharedItems containsBlank="1" count="36">
        <s v="0.00%"/>
        <s v="37.44%"/>
        <s v="100.00%"/>
        <s v="72.41%"/>
        <s v="185.85%"/>
        <s v="55.94%"/>
        <s v="73.66%"/>
        <s v="27.99%"/>
        <s v="72.84%"/>
        <s v="145.10%"/>
        <s v="48.18%"/>
        <s v="46.44%"/>
        <s v="34.90%"/>
        <s v="79.16%"/>
        <s v="49.20%"/>
        <s v="68.80%"/>
        <s v="70.73%"/>
        <s v="72.12%"/>
        <m/>
        <s v="ACOS"/>
        <s v="60.11%"/>
        <s v="60.50%"/>
        <s v="149.32%"/>
        <s v="46.63%"/>
        <s v="139.96%"/>
        <s v="143.53%"/>
        <s v="49.68%"/>
        <s v="139.60%"/>
        <s v="70.51%"/>
        <s v="45.89%"/>
        <s v="142.82%"/>
        <s v="68.07%"/>
        <s v="272.17%"/>
        <s v="35.12%"/>
        <s v="37.10%"/>
        <s v="66.71%"/>
      </sharedItems>
    </cacheField>
    <cacheField name="ACoAS" numFmtId="0">
      <sharedItems containsBlank="1" count="42">
        <s v="0.00%"/>
        <s v="74.87%"/>
        <s v="130.95%"/>
        <s v="100.00%"/>
        <s v="144.82%"/>
        <s v="61.95%"/>
        <s v="55.94%"/>
        <s v="16.37%"/>
        <s v="27.99%"/>
        <s v="16.19%"/>
        <s v="36.28%"/>
        <s v="16.06%"/>
        <s v="15.48%"/>
        <s v="17.45%"/>
        <s v="5.87%"/>
        <s v="8.56%"/>
        <s v="14.39%"/>
        <s v="12.30%"/>
        <s v="15.29%"/>
        <s v="12.86%"/>
        <s v="10.30%"/>
        <s v="7.74%"/>
        <m/>
        <s v="ACoAS"/>
        <s v="112.37%"/>
        <s v="180.34%"/>
        <s v="36.30%"/>
        <s v="74.66%"/>
        <s v="139.89%"/>
        <s v="139.96%"/>
        <s v="28.71%"/>
        <s v="48.06%"/>
        <s v="29.81%"/>
        <s v="46.53%"/>
        <s v="70.51%"/>
        <s v="12.52%"/>
        <s v="12.98%"/>
        <s v="3.78%"/>
        <s v="7.16%"/>
        <s v="9.15%"/>
        <s v="10.72%"/>
        <s v="11.91%"/>
      </sharedItems>
    </cacheField>
    <cacheField name="ASoAS" numFmtId="0">
      <sharedItems containsBlank="1" count="22">
        <s v="0.00%"/>
        <s v="200.00%"/>
        <s v="33.33%"/>
        <s v="100.00%"/>
        <s v="22.22%"/>
        <s v="25.00%"/>
        <s v="50.00%"/>
        <s v="18.18%"/>
        <s v="14.29%"/>
        <s v="16.67%"/>
        <m/>
        <s v="ASoAS"/>
        <s v="300.00%"/>
        <s v="60.00%"/>
        <s v="20.00%"/>
        <s v="27.27%"/>
        <s v="9.09%"/>
        <s v="5.56%"/>
        <s v="2.63%"/>
        <s v="26.07%"/>
        <s v="28.89%"/>
        <s v="17.86%"/>
      </sharedItems>
    </cacheField>
    <cacheField name="CPO" numFmtId="0">
      <sharedItems containsBlank="1" containsNumber="1" containsMixedTypes="1" count="34">
        <m/>
        <n v="5.24"/>
        <n v="10.13"/>
        <n v="26"/>
        <n v="7.83"/>
        <n v="10.3"/>
        <n v="3.92"/>
        <n v="10.19"/>
        <n v="20.3"/>
        <n v="6.74"/>
        <n v="6.5"/>
        <n v="4.88"/>
        <n v="11.07"/>
        <n v="6.88"/>
        <n v="9.62"/>
        <n v="9.89"/>
        <n v="10.09"/>
        <s v="CPO"/>
        <n v="8.41"/>
        <n v="8.46"/>
        <n v="20.89"/>
        <n v="9.79"/>
        <n v="19.58"/>
        <n v="20.08"/>
        <n v="6.95"/>
        <n v="19.53"/>
        <n v="9.87"/>
        <n v="6.42"/>
        <n v="19.98"/>
        <n v="3.4"/>
        <n v="27.19"/>
        <n v="4.31"/>
        <n v="3.61"/>
        <n v="6.66"/>
      </sharedItems>
    </cacheField>
    <cacheField name="CPM" numFmtId="0">
      <sharedItems containsBlank="1" containsNumber="1" containsMixedTypes="1" count="43">
        <n v="0"/>
        <n v="1.81"/>
        <n v="2.19"/>
        <n v="1.35"/>
        <n v="1.98"/>
        <n v="2.97"/>
        <n v="1.4"/>
        <n v="1.51"/>
        <n v="1.52"/>
        <n v="3.69"/>
        <n v="4.35"/>
        <n v="5.13"/>
        <n v="3.86"/>
        <n v="4.83"/>
        <n v="4.5"/>
        <n v="4.79"/>
        <n v="3.73"/>
        <n v="3.26"/>
        <n v="4.16"/>
        <n v="4.91"/>
        <n v="3.75"/>
        <n v="3.79"/>
        <m/>
        <s v="CPM"/>
        <n v="4.43"/>
        <n v="2.57"/>
        <n v="5.94"/>
        <n v="3.03"/>
        <n v="4.46"/>
        <n v="9.65"/>
        <n v="8.35"/>
        <n v="7.49"/>
        <n v="4.97"/>
        <n v="6.19"/>
        <n v="9.37"/>
        <n v="9.09"/>
        <n v="8.85"/>
        <n v="4.22"/>
        <n v="9.6"/>
        <n v="4.84"/>
        <n v="6.1"/>
        <n v="3.81"/>
        <n v="3.38"/>
      </sharedItems>
    </cacheField>
    <cacheField name="广告销售额" numFmtId="0">
      <sharedItems containsBlank="1" containsNumber="1" containsMixedTypes="1" count="12">
        <n v="0"/>
        <n v="55.96"/>
        <n v="27.98"/>
        <n v="13.99"/>
        <n v="41.97"/>
        <n v="69.95"/>
        <m/>
        <s v="广告销售额"/>
        <n v="9.99"/>
        <n v="85.93"/>
        <n v="77.92"/>
        <n v="49.95"/>
      </sharedItems>
    </cacheField>
    <cacheField name="广告订单量" numFmtId="0">
      <sharedItems containsBlank="1" containsNumber="1" containsInteger="1" containsMixedTypes="1" count="10">
        <n v="0"/>
        <n v="4"/>
        <n v="2"/>
        <n v="1"/>
        <n v="3"/>
        <n v="5"/>
        <m/>
        <s v="广告订单量"/>
        <n v="7"/>
        <n v="8"/>
      </sharedItems>
    </cacheField>
    <cacheField name="广告订单占比" numFmtId="0">
      <sharedItems containsBlank="1" count="24">
        <s v="0.00%"/>
        <s v="200.00%"/>
        <s v="33.33%"/>
        <s v="150.00%"/>
        <s v="22.22%"/>
        <s v="100.00%"/>
        <s v="28.57%"/>
        <s v="25.00%"/>
        <s v="50.00%"/>
        <s v="18.18%"/>
        <s v="14.29%"/>
        <s v="16.67%"/>
        <m/>
        <s v="广告订单占比"/>
        <s v="300.00%"/>
        <s v="60.00%"/>
        <s v="20.00%"/>
        <s v="27.27%"/>
        <s v="9.09%"/>
        <s v="11.11%"/>
        <s v="2.63%"/>
        <s v="21.21%"/>
        <s v="34.78%"/>
        <s v="19.23%"/>
      </sharedItems>
    </cacheField>
    <cacheField name="广告CVR" numFmtId="0">
      <sharedItems containsBlank="1" count="23">
        <s v="0.00%"/>
        <s v="17.39%"/>
        <s v="10.53%"/>
        <s v="4.17%"/>
        <s v="13.64%"/>
        <s v="27.78%"/>
        <s v="11.11%"/>
        <s v="5.88%"/>
        <s v="17.65%"/>
        <s v="16.67%"/>
        <s v="23.53%"/>
        <s v="10.00%"/>
        <s v="11.76%"/>
        <m/>
        <s v="广告CVR"/>
        <s v="12.00%"/>
        <s v="5.00%"/>
        <s v="5.26%"/>
        <s v="25.00%"/>
        <s v="3.12%"/>
        <s v="19.44%"/>
        <s v="21.62%"/>
        <s v="14.71%"/>
      </sharedItems>
    </cacheField>
    <cacheField name="展示" numFmtId="0">
      <sharedItems containsBlank="1" containsNumber="1" containsInteger="1" containsMixedTypes="1" count="44">
        <n v="0"/>
        <n v="11582"/>
        <n v="8355"/>
        <n v="3488"/>
        <n v="10230"/>
        <n v="8753"/>
        <n v="16751"/>
        <n v="13659"/>
        <n v="12849"/>
        <n v="5518"/>
        <n v="4668"/>
        <n v="3943"/>
        <n v="5051"/>
        <n v="4046"/>
        <n v="4194"/>
        <n v="4253"/>
        <n v="5936"/>
        <n v="6325"/>
        <n v="4629"/>
        <n v="4027"/>
        <n v="5376"/>
        <n v="5139"/>
        <m/>
        <s v="展示"/>
        <n v="3551"/>
        <n v="2595"/>
        <n v="4249"/>
        <n v="8366"/>
        <n v="4684"/>
        <n v="2027"/>
        <n v="2344"/>
        <n v="2680"/>
        <n v="4058"/>
        <n v="3370"/>
        <n v="2085"/>
        <n v="2171"/>
        <n v="2177"/>
        <n v="4737"/>
        <n v="299"/>
        <n v="708"/>
        <n v="5618"/>
        <n v="4948"/>
        <n v="7592"/>
        <n v="9844"/>
      </sharedItems>
    </cacheField>
    <cacheField name="点击" numFmtId="0">
      <sharedItems containsBlank="1" containsNumber="1" containsInteger="1" containsMixedTypes="1" count="18">
        <n v="0"/>
        <n v="23"/>
        <n v="20"/>
        <n v="6"/>
        <n v="19"/>
        <n v="24"/>
        <n v="22"/>
        <n v="18"/>
        <n v="17"/>
        <n v="16"/>
        <m/>
        <s v="点击"/>
        <n v="8"/>
        <n v="25"/>
        <n v="32"/>
        <n v="36"/>
        <n v="37"/>
        <n v="34"/>
      </sharedItems>
    </cacheField>
    <cacheField name="运营日志1" numFmtId="0">
      <sharedItems containsString="0" containsBlank="1" containsNonDate="0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856.6170023148" refreshedBy="86131" recordCount="117">
  <cacheSource type="worksheet">
    <worksheetSource ref="A1:BG1048576" sheet="4.2 产品详情原始数据"/>
  </cacheSource>
  <cacheFields count="59">
    <cacheField name="产品标识" numFmtId="0">
      <sharedItems containsBlank="1" count="117">
        <s v="2022-08-20XXXX-111"/>
        <s v="2022-08-21XXXX-111"/>
        <s v="2022-08-22XXXX-111"/>
        <s v="2022-08-23XXXX-111"/>
        <s v="2022-08-24XXXX-111"/>
        <s v="2022-08-25XXXX-111"/>
        <s v="2022-08-26XXXX-111"/>
        <s v="2022-08-27XXXX-111"/>
        <s v="2022-08-28XXXX-111"/>
        <s v="2022-08-29XXXX-111"/>
        <s v="2022-08-30XXXX-111"/>
        <s v="2022-08-31XXXX-111"/>
        <s v="2022-09-01XXXX-111"/>
        <s v="2022-09-02XXXX-111"/>
        <s v="2022-09-03XXXX-111"/>
        <s v="2022-09-04XXXX-111"/>
        <s v="2022-09-05XXXX-111"/>
        <s v="2022-09-06XXXX-111"/>
        <s v="2022-09-07XXXX-111"/>
        <s v="2022-09-08XXXX-111"/>
        <s v="2022-09-09XXXX-111"/>
        <s v="2022-09-10XXXX-111"/>
        <s v="2022-09-11XXXX-111"/>
        <s v="2022-09-12XXXX-111"/>
        <s v="2022-09-13XXXX-111"/>
        <s v="2022-09-14XXXX-111"/>
        <s v="2022-09-15XXXX-111"/>
        <s v="2022-09-16XXXX-111"/>
        <s v="2022-09-17XXXX-111"/>
        <s v="2022-09-18XXXX-111"/>
        <s v="2022-09-19XXXX-111"/>
        <s v="2022-09-20XXXX-111"/>
        <s v="2022-09-21XXXX-111"/>
        <s v="2022-09-22XXXX-111"/>
        <s v="2022-09-23XXXX-111"/>
        <s v="2022-09-24XXXX-111"/>
        <s v="2022-09-25XXXX-111"/>
        <s v="2022-09-26XXXX-111"/>
        <s v="2022-09-27XXXX-111"/>
        <s v="2022-09-28XXXX-111"/>
        <s v="2022-09-29XXXX-111"/>
        <s v="2022-09-30XXXX-111"/>
        <s v="2022-10-01XXXX-111"/>
        <s v="2022-10-02XXXX-111"/>
        <s v="2022-10-03XXXX-111"/>
        <s v="2022-10-04XXXX-111"/>
        <s v="2022-10-05XXXX-111"/>
        <s v="2022-10-06XXXX-111"/>
        <s v="2022-10-07XXXX-111"/>
        <s v="2022-10-08XXXX-111"/>
        <s v="2022-10-09XXXX-111"/>
        <s v="2022-10-10XXXX-111"/>
        <s v="2022-10-11XXXX-111"/>
        <s v="2022-10-12XXXX-111"/>
        <s v="2022-10-13XXXX-111"/>
        <s v="2022-10-14XXXX-111"/>
        <s v="2022-10-15XXXX-111"/>
        <s v=""/>
        <s v="时间MSKU"/>
        <s v="2022-08-20XXXX-222"/>
        <s v="2022-08-21XXXX-222"/>
        <s v="2022-08-22XXXX-222"/>
        <s v="2022-08-23XXXX-222"/>
        <s v="2022-08-24XXXX-222"/>
        <s v="2022-08-25XXXX-222"/>
        <s v="2022-08-26XXXX-222"/>
        <s v="2022-08-27XXXX-222"/>
        <s v="2022-08-28XXXX-222"/>
        <s v="2022-08-29XXXX-222"/>
        <s v="2022-08-30XXXX-222"/>
        <s v="2022-08-31XXXX-222"/>
        <s v="2022-09-01XXXX-222"/>
        <s v="2022-09-02XXXX-222"/>
        <s v="2022-09-03XXXX-222"/>
        <s v="2022-09-04XXXX-222"/>
        <s v="2022-09-05XXXX-222"/>
        <s v="2022-09-06XXXX-222"/>
        <s v="2022-09-07XXXX-222"/>
        <s v="2022-09-08XXXX-222"/>
        <s v="2022-09-09XXXX-222"/>
        <s v="2022-09-10XXXX-222"/>
        <s v="2022-09-11XXXX-222"/>
        <s v="2022-09-12XXXX-222"/>
        <s v="2022-09-13XXXX-222"/>
        <s v="2022-09-14XXXX-222"/>
        <s v="2022-09-15XXXX-222"/>
        <s v="2022-09-16XXXX-222"/>
        <s v="2022-09-17XXXX-222"/>
        <s v="2022-09-18XXXX-222"/>
        <s v="2022-09-19XXXX-222"/>
        <s v="2022-09-20XXXX-222"/>
        <s v="2022-09-21XXXX-222"/>
        <s v="2022-09-22XXXX-222"/>
        <s v="2022-09-23XXXX-222"/>
        <s v="2022-09-24XXXX-222"/>
        <s v="2022-09-25XXXX-222"/>
        <s v="2022-09-26XXXX-222"/>
        <s v="2022-09-27XXXX-222"/>
        <s v="2022-09-28XXXX-222"/>
        <s v="2022-09-29XXXX-222"/>
        <s v="2022-09-30XXXX-222"/>
        <s v="2022-10-01XXXX-222"/>
        <s v="2022-10-02XXXX-222"/>
        <s v="2022-10-03XXXX-222"/>
        <s v="2022-10-04XXXX-222"/>
        <s v="2022-10-05XXXX-222"/>
        <s v="2022-10-06XXXX-222"/>
        <s v="2022-10-07XXXX-222"/>
        <s v="2022-10-08XXXX-222"/>
        <s v="2022-10-09XXXX-222"/>
        <s v="2022-10-10XXXX-222"/>
        <s v="2022-10-11XXXX-222"/>
        <s v="2022-10-12XXXX-222"/>
        <s v="2022-10-13XXXX-222"/>
        <s v="2022-10-14XXXX-222"/>
        <s v="2022-10-15XXXX-222"/>
        <m/>
      </sharedItems>
    </cacheField>
    <cacheField name="时间" numFmtId="0">
      <sharedItems containsBlank="1" count="59"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m/>
        <s v="时间"/>
      </sharedItems>
    </cacheField>
    <cacheField name="ASIN" numFmtId="0">
      <sharedItems containsBlank="1" count="4">
        <s v="ASIN1"/>
        <m/>
        <s v="ASIN"/>
        <s v="ASIN2"/>
      </sharedItems>
    </cacheField>
    <cacheField name="父ASIN" numFmtId="0">
      <sharedItems containsBlank="1" count="2">
        <m/>
        <s v="父ASIN"/>
      </sharedItems>
    </cacheField>
    <cacheField name="MSKU" numFmtId="0">
      <sharedItems containsBlank="1" count="4">
        <s v="XXXX-111"/>
        <m/>
        <s v="MSKU"/>
        <s v="XXXX-222"/>
      </sharedItems>
    </cacheField>
    <cacheField name="品名" numFmtId="0">
      <sharedItems containsBlank="1" count="2">
        <m/>
        <s v="品名"/>
      </sharedItems>
    </cacheField>
    <cacheField name="价格" numFmtId="0">
      <sharedItems containsBlank="1" containsNumber="1" containsMixedTypes="1" count="11">
        <n v="13.99"/>
        <n v="15.99"/>
        <n v="16.99"/>
        <n v="17.99"/>
        <n v="19.99"/>
        <n v="21.99"/>
        <m/>
        <s v="价格"/>
        <n v="14.99"/>
        <n v="11.99"/>
        <n v="9.99"/>
      </sharedItems>
    </cacheField>
    <cacheField name="FBA可售" numFmtId="0">
      <sharedItems containsBlank="1" containsNumber="1" containsInteger="1" containsMixedTypes="1" count="108">
        <n v="199"/>
        <n v="259"/>
        <n v="319"/>
        <n v="340"/>
        <n v="337"/>
        <n v="334"/>
        <n v="493"/>
        <n v="513"/>
        <n v="526"/>
        <n v="524"/>
        <n v="555"/>
        <n v="613"/>
        <n v="758"/>
        <n v="812"/>
        <n v="803"/>
        <n v="797"/>
        <n v="835"/>
        <n v="863"/>
        <n v="842"/>
        <n v="838"/>
        <n v="843"/>
        <n v="830"/>
        <n v="818"/>
        <n v="807"/>
        <n v="781"/>
        <n v="759"/>
        <n v="736"/>
        <n v="706"/>
        <n v="682"/>
        <n v="653"/>
        <n v="612"/>
        <n v="584"/>
        <n v="572"/>
        <n v="546"/>
        <n v="530"/>
        <n v="507"/>
        <n v="476"/>
        <n v="452"/>
        <n v="423"/>
        <n v="389"/>
        <n v="362"/>
        <n v="330"/>
        <n v="293"/>
        <n v="241"/>
        <n v="204"/>
        <n v="172"/>
        <n v="148"/>
        <n v="130"/>
        <n v="96"/>
        <n v="89"/>
        <n v="72"/>
        <n v="54"/>
        <n v="37"/>
        <n v="22"/>
        <n v="6"/>
        <n v="1"/>
        <m/>
        <s v="FBA可售"/>
        <n v="240"/>
        <n v="284"/>
        <n v="344"/>
        <n v="365"/>
        <n v="364"/>
        <n v="379"/>
        <n v="497"/>
        <n v="551"/>
        <n v="550"/>
        <n v="565"/>
        <n v="644"/>
        <n v="780"/>
        <n v="819"/>
        <n v="816"/>
        <n v="827"/>
        <n v="859"/>
        <n v="886"/>
        <n v="882"/>
        <n v="878"/>
        <n v="872"/>
        <n v="861"/>
        <n v="849"/>
        <n v="821"/>
        <n v="804"/>
        <n v="785"/>
        <n v="790"/>
        <n v="782"/>
        <n v="777"/>
        <n v="762"/>
        <n v="793"/>
        <n v="778"/>
        <n v="765"/>
        <n v="754"/>
        <n v="742"/>
        <n v="733"/>
        <n v="728"/>
        <n v="716"/>
        <n v="685"/>
        <n v="611"/>
        <n v="601"/>
        <n v="574"/>
        <n v="562"/>
        <n v="541"/>
        <n v="504"/>
        <n v="471"/>
        <n v="444"/>
        <n v="417"/>
        <n v="385"/>
        <n v="355"/>
        <n v="342"/>
      </sharedItems>
    </cacheField>
    <cacheField name="FBM可售" numFmtId="0">
      <sharedItems containsBlank="1" containsNumber="1" containsInteger="1" containsMixedTypes="1" count="3">
        <n v="0"/>
        <m/>
        <s v="FBM可售"/>
      </sharedItems>
    </cacheField>
    <cacheField name="销量" numFmtId="0">
      <sharedItems containsBlank="1" containsNumber="1" containsInteger="1" containsMixedTypes="1" count="39">
        <n v="0"/>
        <n v="2"/>
        <n v="1"/>
        <n v="3"/>
        <n v="9"/>
        <n v="5"/>
        <n v="4"/>
        <n v="8"/>
        <n v="23"/>
        <n v="17"/>
        <n v="11"/>
        <n v="12"/>
        <n v="14"/>
        <n v="18"/>
        <n v="19"/>
        <n v="21"/>
        <n v="22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m/>
        <s v="销量"/>
        <n v="6"/>
        <n v="7"/>
        <n v="13"/>
        <n v="36"/>
        <n v="34"/>
      </sharedItems>
    </cacheField>
    <cacheField name="订单量" numFmtId="0">
      <sharedItems containsBlank="1" containsNumber="1" containsInteger="1" containsMixedTypes="1" count="41">
        <n v="0"/>
        <n v="2"/>
        <n v="1"/>
        <n v="3"/>
        <n v="9"/>
        <n v="5"/>
        <n v="7"/>
        <n v="4"/>
        <n v="8"/>
        <n v="22"/>
        <n v="16"/>
        <n v="11"/>
        <n v="12"/>
        <n v="14"/>
        <n v="18"/>
        <n v="19"/>
        <n v="21"/>
        <n v="29"/>
        <n v="40"/>
        <n v="28"/>
        <n v="26"/>
        <n v="35"/>
        <n v="27"/>
        <n v="24"/>
        <n v="25"/>
        <n v="31"/>
        <n v="47"/>
        <n v="49"/>
        <n v="38"/>
        <n v="32"/>
        <n v="20"/>
        <n v="10"/>
        <n v="17"/>
        <m/>
        <s v="订单量"/>
        <n v="6"/>
        <n v="13"/>
        <n v="36"/>
        <n v="39"/>
        <n v="23"/>
        <n v="33"/>
      </sharedItems>
    </cacheField>
    <cacheField name="销售额" numFmtId="0">
      <sharedItems containsBlank="1" containsNumber="1" containsMixedTypes="1" count="72">
        <n v="0"/>
        <n v="27.98"/>
        <n v="13.99"/>
        <n v="41.97"/>
        <n v="125.91"/>
        <n v="69.95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87.82"/>
        <n v="639.6"/>
        <n v="475.72"/>
        <n v="441.74"/>
        <n v="356.79"/>
        <n v="594.65"/>
        <n v="458.73"/>
        <n v="407.76"/>
        <n v="449.75"/>
        <n v="557.69"/>
        <n v="431.76"/>
        <n v="521.71"/>
        <n v="845.53"/>
        <n v="881.51"/>
        <n v="761.62"/>
        <n v="593.73"/>
        <n v="703.68"/>
        <n v="439.8"/>
        <n v="487.76"/>
        <n v="189.9"/>
        <n v="297.83"/>
        <n v="303.81"/>
        <n v="349.81"/>
        <n v="359.82"/>
        <n v="159.92"/>
        <n v="79.96"/>
        <m/>
        <s v="销售额"/>
        <n v="139.9"/>
        <n v="83.94"/>
        <n v="97.93"/>
        <n v="279.8"/>
        <n v="119.92"/>
        <n v="149.9"/>
        <n v="194.87"/>
        <n v="104.93"/>
        <n v="254.83"/>
        <n v="179.88"/>
        <n v="209.86"/>
        <n v="134.91"/>
        <n v="89.94"/>
        <n v="431.64"/>
        <n v="479.6"/>
        <n v="319.77"/>
        <n v="363.74"/>
        <n v="263.78"/>
        <n v="143.88"/>
        <n v="239.8"/>
        <n v="273.76"/>
        <n v="179.82"/>
        <n v="379.62"/>
        <n v="329.67"/>
        <n v="269.73"/>
        <n v="279.72"/>
      </sharedItems>
    </cacheField>
    <cacheField name="净销售额" numFmtId="0">
      <sharedItems containsBlank="1" containsNumber="1" containsMixedTypes="1" count="79">
        <n v="0"/>
        <n v="27.98"/>
        <n v="13.99"/>
        <n v="41.97"/>
        <n v="125.91"/>
        <n v="69.95"/>
        <n v="113.6"/>
        <n v="55.96"/>
        <n v="111.92"/>
        <n v="321.77"/>
        <n v="237.83"/>
        <n v="153.89"/>
        <n v="167.88"/>
        <n v="195.86"/>
        <n v="251.82"/>
        <n v="265.81"/>
        <n v="293.79"/>
        <n v="307.78"/>
        <n v="413.71"/>
        <n v="275.51"/>
        <n v="627.29"/>
        <n v="475.72"/>
        <n v="441.74"/>
        <n v="356.79"/>
        <n v="594.65"/>
        <n v="446.42"/>
        <n v="407.76"/>
        <n v="434.8"/>
        <n v="557.69"/>
        <n v="416.81"/>
        <n v="506.76"/>
        <n v="509.4"/>
        <n v="829.7"/>
        <n v="865.68"/>
        <n v="761.62"/>
        <n v="579.66"/>
        <n v="687.85"/>
        <n v="439.8"/>
        <n v="472.81"/>
        <n v="172.31"/>
        <n v="285.52"/>
        <n v="303.81"/>
        <n v="337.5"/>
        <n v="329.04"/>
        <n v="159.92"/>
        <n v="79.96"/>
        <m/>
        <s v="净销售额"/>
        <n v="1.68"/>
        <n v="141.58"/>
        <n v="139.9"/>
        <n v="31.34"/>
        <n v="71.63"/>
        <n v="183.55"/>
        <n v="85.62"/>
        <n v="279.8"/>
        <n v="119.92"/>
        <n v="149.9"/>
        <n v="194.87"/>
        <n v="104.93"/>
        <n v="254.83"/>
        <n v="179.88"/>
        <n v="209.86"/>
        <n v="134.91"/>
        <n v="64.44"/>
        <n v="405.26"/>
        <n v="479.6"/>
        <n v="319.77"/>
        <n v="238.63"/>
        <n v="363.74"/>
        <n v="263.78"/>
        <n v="143.88"/>
        <n v="229.25"/>
        <n v="273.76"/>
        <n v="169.27"/>
        <n v="358.52"/>
        <n v="306.81"/>
        <n v="260.94"/>
        <n v="279.72"/>
      </sharedItems>
    </cacheField>
    <cacheField name="B2B 销量" numFmtId="0">
      <sharedItems containsBlank="1" containsNumber="1" containsInteger="1" containsMixedTypes="1" count="9">
        <n v="0"/>
        <n v="1"/>
        <n v="2"/>
        <n v="6"/>
        <n v="3"/>
        <n v="4"/>
        <m/>
        <s v="B2B 销量"/>
        <n v="5"/>
      </sharedItems>
    </cacheField>
    <cacheField name="B2B 销售额" numFmtId="0">
      <sharedItems containsBlank="1" containsNumber="1" containsMixedTypes="1" count="22">
        <n v="0"/>
        <n v="13.99"/>
        <n v="33.98"/>
        <n v="16.99"/>
        <n v="17.99"/>
        <n v="107.94"/>
        <n v="35.98"/>
        <n v="59.97"/>
        <n v="43.98"/>
        <n v="39.98"/>
        <n v="19.99"/>
        <n v="15.99"/>
        <n v="79.96"/>
        <m/>
        <s v="B2B 销售额"/>
        <n v="55.96"/>
        <n v="14.99"/>
        <n v="11.99"/>
        <n v="49.95"/>
        <n v="19.98"/>
        <n v="29.97"/>
        <n v="9.99"/>
      </sharedItems>
    </cacheField>
    <cacheField name="B2B 订单量" numFmtId="0">
      <sharedItems containsBlank="1" containsNumber="1" containsInteger="1" containsMixedTypes="1" count="9">
        <n v="0"/>
        <n v="1"/>
        <n v="2"/>
        <n v="6"/>
        <n v="3"/>
        <n v="4"/>
        <m/>
        <s v="B2B 订单量"/>
        <n v="5"/>
      </sharedItems>
    </cacheField>
    <cacheField name="促销销量" numFmtId="0">
      <sharedItems containsBlank="1" containsNumber="1" containsInteger="1" containsMixedTypes="1" count="3">
        <n v="0"/>
        <m/>
        <s v="促销销量"/>
      </sharedItems>
    </cacheField>
    <cacheField name="促销销售额" numFmtId="0">
      <sharedItems containsBlank="1" containsNumber="1" containsInteger="1" containsMixedTypes="1" count="3">
        <n v="0"/>
        <m/>
        <s v="促销销售额"/>
      </sharedItems>
    </cacheField>
    <cacheField name="促销订单量" numFmtId="0">
      <sharedItems containsBlank="1" containsNumber="1" containsInteger="1" containsMixedTypes="1" count="3">
        <n v="0"/>
        <m/>
        <s v="促销订单量"/>
      </sharedItems>
    </cacheField>
    <cacheField name="平均客单价" numFmtId="0">
      <sharedItems containsBlank="1" containsNumber="1" containsMixedTypes="1" count="47">
        <m/>
        <n v="13.99"/>
        <n v="12.62"/>
        <n v="14.27"/>
        <n v="15.31"/>
        <n v="15.68"/>
        <n v="16.99"/>
        <n v="16.53"/>
        <n v="17.39"/>
        <n v="17.99"/>
        <n v="17.37"/>
        <n v="17.47"/>
        <n v="17.57"/>
        <n v="17.65"/>
        <n v="17.67"/>
        <n v="20.04"/>
        <n v="21.47"/>
        <n v="21.5"/>
        <n v="21.99"/>
        <n v="19.7"/>
        <n v="17.23"/>
        <n v="16.8"/>
        <n v="15.99"/>
        <n v="17.76"/>
        <n v="18.28"/>
        <n v="19.99"/>
        <s v="平均客单价"/>
        <n v="1.68"/>
        <n v="12.87"/>
        <n v="7.84"/>
        <n v="11.94"/>
        <n v="13.11"/>
        <n v="12.23"/>
        <n v="14.99"/>
        <n v="14.16"/>
        <n v="10.74"/>
        <n v="11.26"/>
        <n v="11.99"/>
        <n v="13.9"/>
        <n v="13.26"/>
        <n v="11.46"/>
        <n v="11.41"/>
        <n v="9.4"/>
        <n v="9.43"/>
        <n v="9.02"/>
        <n v="9.66"/>
        <n v="9.99"/>
      </sharedItems>
    </cacheField>
    <cacheField name="平均销量" numFmtId="0">
      <sharedItems containsBlank="1" containsNumber="1" containsMixedTypes="1" count="12">
        <n v="0"/>
        <n v="0.1"/>
        <n v="0.2"/>
        <n v="0.4"/>
        <n v="0.3"/>
        <n v="0.5"/>
        <n v="0.7"/>
        <n v="0.6"/>
        <n v="0.8"/>
        <n v="0.9"/>
        <m/>
        <s v="平均销量"/>
      </sharedItems>
    </cacheField>
    <cacheField name="大类排名" numFmtId="0">
      <sharedItems containsString="0" containsBlank="1" containsNonDate="0" count="1">
        <m/>
      </sharedItems>
    </cacheField>
    <cacheField name="小类排名" numFmtId="0">
      <sharedItems containsString="0" containsBlank="1" containsNonDate="0" count="1">
        <m/>
      </sharedItems>
    </cacheField>
    <cacheField name="退款量" numFmtId="0">
      <sharedItems containsBlank="1" containsNumber="1" containsInteger="1" containsMixedTypes="1" count="5">
        <n v="0"/>
        <n v="1"/>
        <n v="2"/>
        <m/>
        <s v="退款量"/>
      </sharedItems>
    </cacheField>
    <cacheField name="退款率" numFmtId="0">
      <sharedItems containsBlank="1" containsNumber="1" containsMixedTypes="1" count="26">
        <n v="0"/>
        <n v="0.1111"/>
        <n v="0.0556"/>
        <n v="0.025"/>
        <n v="0.0741"/>
        <n v="0.04"/>
        <n v="0.0417"/>
        <n v="0.0345"/>
        <n v="0.0213"/>
        <n v="0.0204"/>
        <n v="0.037"/>
        <n v="0.0312"/>
        <n v="0.1"/>
        <n v="0.0588"/>
        <n v="0.0526"/>
        <n v="0.5"/>
        <m/>
        <s v="退款率"/>
        <n v="1"/>
        <n v="0.0909"/>
        <n v="0.1667"/>
        <n v="0.0714"/>
        <n v="0.1429"/>
        <n v="0.3333"/>
        <n v="0.05"/>
        <n v="0.0357"/>
      </sharedItems>
    </cacheField>
    <cacheField name="评分" numFmtId="0">
      <sharedItems containsBlank="1" containsNumber="1" containsMixedTypes="1" count="8">
        <n v="0"/>
        <n v="3"/>
        <n v="4.6"/>
        <n v="4.7"/>
        <n v="4.5"/>
        <n v="4.4"/>
        <m/>
        <s v="评分"/>
      </sharedItems>
    </cacheField>
    <cacheField name="评论数" numFmtId="0">
      <sharedItems containsBlank="1" containsNumber="1" containsInteger="1" containsMixedTypes="1" count="13">
        <n v="0"/>
        <n v="1"/>
        <n v="16"/>
        <n v="18"/>
        <n v="21"/>
        <n v="22"/>
        <n v="24"/>
        <n v="28"/>
        <n v="30"/>
        <n v="33"/>
        <n v="36"/>
        <m/>
        <s v="评论数"/>
      </sharedItems>
    </cacheField>
    <cacheField name="留评率" numFmtId="0">
      <sharedItems containsBlank="1" containsNumber="1" containsMixedTypes="1" count="10">
        <n v="0"/>
        <n v="0.0357"/>
        <n v="0.0323"/>
        <n v="0.0213"/>
        <n v="0.0556"/>
        <m/>
        <s v="留评率"/>
        <n v="0.0833"/>
        <n v="0.0256"/>
        <n v="0.0385"/>
      </sharedItems>
    </cacheField>
    <cacheField name="促销折扣" numFmtId="0">
      <sharedItems containsBlank="1" containsNumber="1" containsInteger="1" containsMixedTypes="1" count="3">
        <n v="0"/>
        <m/>
        <s v="促销折扣"/>
      </sharedItems>
    </cacheField>
    <cacheField name="毛利润" numFmtId="0">
      <sharedItems containsBlank="1" containsNumber="1" containsMixedTypes="1" count="109">
        <n v="0"/>
        <n v="-20.95"/>
        <n v="-18.32"/>
        <n v="-1.13"/>
        <n v="-20.26"/>
        <n v="-22.85"/>
        <n v="-23.48"/>
        <n v="-0.2"/>
        <n v="19.73"/>
        <n v="-0.9"/>
        <n v="-5.41"/>
        <n v="1.98"/>
        <n v="6.54"/>
        <n v="10.03"/>
        <n v="30.29"/>
        <n v="54.47"/>
        <n v="40.68"/>
        <n v="23.06"/>
        <n v="10.64"/>
        <n v="28.77"/>
        <n v="18.01"/>
        <n v="42.39"/>
        <n v="77.09"/>
        <n v="75.64"/>
        <n v="57.52"/>
        <n v="79.12"/>
        <n v="106.15"/>
        <n v="112.65"/>
        <n v="165.68"/>
        <n v="196.97"/>
        <n v="136.59"/>
        <n v="127.92"/>
        <n v="195.34"/>
        <n v="153.31"/>
        <n v="171.36"/>
        <n v="248.13"/>
        <n v="191.92"/>
        <n v="165.62"/>
        <n v="182.2"/>
        <n v="214.21"/>
        <n v="203.19"/>
        <n v="262.16"/>
        <n v="312.2"/>
        <n v="312.99"/>
        <n v="311.23"/>
        <n v="304.8"/>
        <n v="285.44"/>
        <n v="66.74"/>
        <n v="117.39"/>
        <n v="174.85"/>
        <n v="95"/>
        <n v="116.31"/>
        <n v="67.39"/>
        <n v="30.12"/>
        <m/>
        <s v="毛利润"/>
        <n v="-15.72"/>
        <n v="-6.68"/>
        <n v="-25.23"/>
        <n v="-14.15"/>
        <n v="-11.46"/>
        <n v="-27.75"/>
        <n v="-11.42"/>
        <n v="-16.15"/>
        <n v="-8.25"/>
        <n v="12.65"/>
        <n v="-15.83"/>
        <n v="-16.01"/>
        <n v="-13.09"/>
        <n v="6.5"/>
        <n v="58.96"/>
        <n v="25.87"/>
        <n v="-2.77"/>
        <n v="11.21"/>
        <n v="14.94"/>
        <n v="22.91"/>
        <n v="34.8"/>
        <n v="23.13"/>
        <n v="11.57"/>
        <n v="22.84"/>
        <n v="40.45"/>
        <n v="30.44"/>
        <n v="42.49"/>
        <n v="40.66"/>
        <n v="53.01"/>
        <n v="40.51"/>
        <n v="43.97"/>
        <n v="42.53"/>
        <n v="58.86"/>
        <n v="70.2"/>
        <n v="56.21"/>
        <n v="87.57"/>
        <n v="52.91"/>
        <n v="-1.39"/>
        <n v="43.5"/>
        <n v="29.65"/>
        <n v="46.3"/>
        <n v="103.22"/>
        <n v="61.2"/>
        <n v="90.89"/>
        <n v="93.75"/>
        <n v="48.16"/>
        <n v="32.08"/>
        <n v="48.74"/>
        <n v="20.23"/>
        <n v="-12.84"/>
        <n v="-47.36"/>
        <n v="-20.93"/>
        <n v="-36.52"/>
      </sharedItems>
    </cacheField>
    <cacheField name="毛利率" numFmtId="0">
      <sharedItems containsBlank="1" containsNumber="1" containsMixedTypes="1" count="101">
        <n v="0"/>
        <n v="-0.081"/>
        <n v="-1.6335"/>
        <n v="-0.0029"/>
        <n v="0.1409"/>
        <n v="-0.0081"/>
        <n v="-0.0967"/>
        <n v="0.0236"/>
        <n v="0.0668"/>
        <n v="0.0896"/>
        <n v="0.163"/>
        <n v="0.1926"/>
        <n v="0.1711"/>
        <n v="0.1373"/>
        <n v="0.095"/>
        <n v="0.1563"/>
        <n v="0.1288"/>
        <n v="0.1894"/>
        <n v="0.2755"/>
        <n v="0.2846"/>
        <n v="0.2252"/>
        <n v="0.2693"/>
        <n v="0.2694"/>
        <n v="0.303"/>
        <n v="0.3527"/>
        <n v="0.3344"/>
        <n v="0.3343"/>
        <n v="0.371"/>
        <n v="0.3466"/>
        <n v="0.3749"/>
        <n v="0.3744"/>
        <n v="0.3663"/>
        <n v="0.4017"/>
        <n v="0.3699"/>
        <n v="0.3705"/>
        <n v="0.3824"/>
        <n v="0.3765"/>
        <n v="0.3835"/>
        <n v="0.4163"/>
        <n v="0.4048"/>
        <n v="0.4482"/>
        <n v="0.4742"/>
        <n v="0.4476"/>
        <n v="0.3629"/>
        <n v="0.3995"/>
        <n v="0.4069"/>
        <n v="0.3423"/>
        <n v="0.2984"/>
        <n v="0.4665"/>
        <n v="0.3075"/>
        <m/>
        <s v="毛利率"/>
        <n v="-0.3146"/>
        <n v="-0.2729"/>
        <n v="-1.9838"/>
        <n v="-0.408"/>
        <n v="-1.1546"/>
        <n v="-0.1924"/>
        <n v="0.1005"/>
        <n v="-1.1317"/>
        <n v="-1.1446"/>
        <n v="-0.1872"/>
        <n v="0.0644"/>
        <n v="0.281"/>
        <n v="0.2642"/>
        <n v="-0.033"/>
        <n v="0.2671"/>
        <n v="0.267"/>
        <n v="0.273"/>
        <n v="0.2764"/>
        <n v="0.2756"/>
        <n v="0.1379"/>
        <n v="0.1455"/>
        <n v="0.2065"/>
        <n v="0.272"/>
        <n v="0.2761"/>
        <n v="0.2866"/>
        <n v="0.2789"/>
        <n v="0.3003"/>
        <n v="0.3283"/>
        <n v="0.3153"/>
        <n v="0.2993"/>
        <n v="0.3136"/>
        <n v="0.3409"/>
        <n v="0.3245"/>
        <n v="0.3191"/>
        <n v="-0.0186"/>
        <n v="0.3023"/>
        <n v="0.1133"/>
        <n v="0.201"/>
        <n v="0.2291"/>
        <n v="0.1992"/>
        <n v="0.286"/>
        <n v="0.2606"/>
        <n v="0.1486"/>
        <n v="0.1983"/>
        <n v="0.0686"/>
        <n v="-0.0409"/>
        <n v="-0.173"/>
        <n v="-0.0771"/>
        <n v="-0.7312"/>
      </sharedItems>
    </cacheField>
    <cacheField name="ROI" numFmtId="0">
      <sharedItems containsBlank="1" containsNumber="1" containsMixedTypes="1" count="79">
        <n v="0"/>
        <n v="0.2452"/>
        <n v="-2.5339"/>
        <n v="-3.2212"/>
        <n v="0.8858"/>
        <n v="1.1834"/>
        <n v="3.1507"/>
        <n v="2.5688"/>
        <n v="3.1539"/>
        <n v="2.1582"/>
        <n v="3.1602"/>
        <n v="3.1889"/>
        <n v="3.2679"/>
        <n v="3.7123"/>
        <n v="3.5316"/>
        <n v="3.2427"/>
        <n v="3.3465"/>
        <n v="3.2881"/>
        <n v="3.3188"/>
        <n v="3.4455"/>
        <n v="3.5725"/>
        <n v="4.024"/>
        <n v="4.0627"/>
        <n v="3.9561"/>
        <n v="4.0538"/>
        <n v="4.6646"/>
        <n v="4.6687"/>
        <n v="5.0258"/>
        <n v="5.0189"/>
        <n v="5.1586"/>
        <n v="5.091"/>
        <n v="5.0606"/>
        <n v="5.0246"/>
        <n v="5.3731"/>
        <n v="5.4891"/>
        <n v="2.7339"/>
        <n v="3.4242"/>
        <n v="4.044"/>
        <n v="4.0275"/>
        <n v="4.081"/>
        <n v="3.4365"/>
        <n v="3.035"/>
        <n v="2.7474"/>
        <n v="2.265"/>
        <n v="3.0052"/>
        <n v="3.7939"/>
        <n v="6.0817"/>
        <m/>
        <s v="ROI"/>
        <n v="-1.6129"/>
        <n v="-4.9819"/>
        <n v="2.369"/>
        <n v="0.2559"/>
        <n v="-2.9768"/>
        <n v="-2.9803"/>
        <n v="2.5972"/>
        <n v="1.5743"/>
        <n v="2.4788"/>
        <n v="1.6499"/>
        <n v="0.4613"/>
        <n v="3.3358"/>
        <n v="3.4089"/>
        <n v="3.9823"/>
        <n v="4.0158"/>
        <n v="3.96"/>
        <n v="4.3104"/>
        <n v="4.3591"/>
        <n v="4.0153"/>
        <n v="4.3369"/>
        <n v="0.9272"/>
        <n v="0.9273"/>
        <n v="1.5032"/>
        <n v="1.5294"/>
        <n v="0.7515"/>
        <n v="0.1911"/>
        <n v="0.1297"/>
        <n v="0.1019"/>
        <n v="1.0938"/>
        <n v="2.1829"/>
      </sharedItems>
    </cacheField>
    <cacheField name="退货量" numFmtId="0">
      <sharedItems containsBlank="1" containsNumber="1" containsInteger="1" containsMixedTypes="1" count="5">
        <n v="0"/>
        <n v="1"/>
        <n v="2"/>
        <m/>
        <s v="退货量"/>
      </sharedItems>
    </cacheField>
    <cacheField name="退货率" numFmtId="0">
      <sharedItems containsBlank="1" containsNumber="1" containsMixedTypes="1" count="17">
        <n v="0"/>
        <n v="0.0714"/>
        <n v="0.025"/>
        <n v="0.0286"/>
        <n v="0.0426"/>
        <n v="0.0263"/>
        <n v="0.037"/>
        <n v="0.1111"/>
        <m/>
        <s v="退货率"/>
        <n v="0.1"/>
        <n v="0.2"/>
        <n v="0.0769"/>
        <n v="0.1429"/>
        <n v="0.1667"/>
        <n v="0.0556"/>
        <n v="0.0294"/>
      </sharedItems>
    </cacheField>
    <cacheField name="Sessions-Browser" numFmtId="0">
      <sharedItems containsBlank="1" containsNumber="1" containsInteger="1" containsMixedTypes="1" count="64">
        <n v="0"/>
        <n v="9"/>
        <n v="8"/>
        <n v="15"/>
        <n v="16"/>
        <n v="17"/>
        <n v="23"/>
        <n v="25"/>
        <n v="24"/>
        <n v="31"/>
        <n v="35"/>
        <n v="47"/>
        <n v="64"/>
        <n v="37"/>
        <n v="43"/>
        <n v="41"/>
        <n v="29"/>
        <n v="46"/>
        <n v="54"/>
        <n v="55"/>
        <n v="59"/>
        <n v="53"/>
        <n v="61"/>
        <n v="67"/>
        <n v="96"/>
        <n v="78"/>
        <n v="91"/>
        <n v="88"/>
        <n v="76"/>
        <n v="73"/>
        <n v="99"/>
        <n v="93"/>
        <n v="84"/>
        <n v="70"/>
        <n v="106"/>
        <n v="107"/>
        <n v="112"/>
        <n v="89"/>
        <n v="86"/>
        <n v="62"/>
        <n v="58"/>
        <n v="60"/>
        <n v="27"/>
        <m/>
        <s v="Sessions-Browser"/>
        <n v="6"/>
        <n v="7"/>
        <n v="11"/>
        <n v="14"/>
        <n v="10"/>
        <n v="13"/>
        <n v="19"/>
        <n v="12"/>
        <n v="28"/>
        <n v="20"/>
        <n v="22"/>
        <n v="21"/>
        <n v="32"/>
        <n v="26"/>
        <n v="44"/>
        <n v="50"/>
        <n v="38"/>
        <n v="57"/>
        <n v="40"/>
      </sharedItems>
    </cacheField>
    <cacheField name="Sessions-Mobile" numFmtId="0">
      <sharedItems containsBlank="1" containsNumber="1" containsInteger="1" containsMixedTypes="1" count="85">
        <n v="0"/>
        <n v="20"/>
        <n v="16"/>
        <n v="9"/>
        <n v="17"/>
        <n v="24"/>
        <n v="37"/>
        <n v="30"/>
        <n v="55"/>
        <n v="46"/>
        <n v="61"/>
        <n v="63"/>
        <n v="89"/>
        <n v="102"/>
        <n v="139"/>
        <n v="101"/>
        <n v="99"/>
        <n v="81"/>
        <n v="73"/>
        <n v="131"/>
        <n v="158"/>
        <n v="111"/>
        <n v="120"/>
        <n v="141"/>
        <n v="123"/>
        <n v="126"/>
        <n v="174"/>
        <n v="245"/>
        <n v="147"/>
        <n v="144"/>
        <n v="138"/>
        <n v="177"/>
        <n v="215"/>
        <n v="107"/>
        <n v="121"/>
        <n v="149"/>
        <n v="247"/>
        <n v="296"/>
        <n v="173"/>
        <n v="140"/>
        <n v="122"/>
        <n v="108"/>
        <n v="98"/>
        <n v="137"/>
        <n v="117"/>
        <n v="56"/>
        <n v="64"/>
        <n v="58"/>
        <m/>
        <s v="Sessions-Mobile"/>
        <n v="19"/>
        <n v="23"/>
        <n v="36"/>
        <n v="34"/>
        <n v="18"/>
        <n v="38"/>
        <n v="45"/>
        <n v="39"/>
        <n v="42"/>
        <n v="69"/>
        <n v="62"/>
        <n v="92"/>
        <n v="65"/>
        <n v="41"/>
        <n v="44"/>
        <n v="51"/>
        <n v="31"/>
        <n v="49"/>
        <n v="50"/>
        <n v="52"/>
        <n v="70"/>
        <n v="100"/>
        <n v="60"/>
        <n v="57"/>
        <n v="40"/>
        <n v="53"/>
        <n v="85"/>
        <n v="43"/>
        <n v="161"/>
        <n v="82"/>
        <n v="76"/>
        <n v="67"/>
        <n v="77"/>
        <n v="91"/>
        <n v="96"/>
      </sharedItems>
    </cacheField>
    <cacheField name="Sessions-Total" numFmtId="0">
      <sharedItems containsBlank="1" containsNumber="1" containsInteger="1" containsMixedTypes="1" count="92">
        <n v="0"/>
        <n v="29"/>
        <n v="25"/>
        <n v="17"/>
        <n v="32"/>
        <n v="40"/>
        <n v="54"/>
        <n v="46"/>
        <n v="78"/>
        <n v="71"/>
        <n v="85"/>
        <n v="94"/>
        <n v="124"/>
        <n v="149"/>
        <n v="203"/>
        <n v="138"/>
        <n v="142"/>
        <n v="122"/>
        <n v="102"/>
        <n v="172"/>
        <n v="204"/>
        <n v="165"/>
        <n v="175"/>
        <n v="200"/>
        <n v="176"/>
        <n v="187"/>
        <n v="241"/>
        <n v="341"/>
        <n v="225"/>
        <n v="235"/>
        <n v="226"/>
        <n v="220"/>
        <n v="206"/>
        <n v="250"/>
        <n v="314"/>
        <n v="231"/>
        <n v="214"/>
        <n v="191"/>
        <n v="216"/>
        <n v="353"/>
        <n v="403"/>
        <n v="285"/>
        <n v="229"/>
        <n v="208"/>
        <n v="167"/>
        <n v="160"/>
        <n v="192"/>
        <n v="195"/>
        <n v="181"/>
        <n v="116"/>
        <n v="105"/>
        <m/>
        <s v="Sessions-Total"/>
        <n v="16"/>
        <n v="28"/>
        <n v="37"/>
        <n v="47"/>
        <n v="50"/>
        <n v="34"/>
        <n v="48"/>
        <n v="62"/>
        <n v="52"/>
        <n v="61"/>
        <n v="81"/>
        <n v="90"/>
        <n v="129"/>
        <n v="77"/>
        <n v="58"/>
        <n v="67"/>
        <n v="56"/>
        <n v="60"/>
        <n v="72"/>
        <n v="91"/>
        <n v="125"/>
        <n v="73"/>
        <n v="92"/>
        <n v="66"/>
        <n v="74"/>
        <n v="113"/>
        <n v="69"/>
        <n v="180"/>
        <n v="221"/>
        <n v="126"/>
        <n v="119"/>
        <n v="117"/>
        <n v="115"/>
        <n v="96"/>
        <n v="134"/>
        <n v="132"/>
        <n v="168"/>
        <n v="158"/>
        <n v="141"/>
      </sharedItems>
    </cacheField>
    <cacheField name="PV-Browser" numFmtId="0">
      <sharedItems containsBlank="1" containsNumber="1" containsInteger="1" containsMixedTypes="1" count="69">
        <n v="0"/>
        <n v="14"/>
        <n v="11"/>
        <n v="8"/>
        <n v="23"/>
        <n v="18"/>
        <n v="21"/>
        <n v="19"/>
        <n v="32"/>
        <n v="35"/>
        <n v="34"/>
        <n v="44"/>
        <n v="41"/>
        <n v="66"/>
        <n v="82"/>
        <n v="52"/>
        <n v="68"/>
        <n v="58"/>
        <n v="39"/>
        <n v="54"/>
        <n v="60"/>
        <n v="77"/>
        <n v="71"/>
        <n v="91"/>
        <n v="78"/>
        <n v="79"/>
        <n v="93"/>
        <n v="128"/>
        <n v="103"/>
        <n v="120"/>
        <n v="121"/>
        <n v="100"/>
        <n v="87"/>
        <n v="127"/>
        <n v="130"/>
        <n v="94"/>
        <n v="113"/>
        <n v="88"/>
        <n v="86"/>
        <n v="138"/>
        <n v="141"/>
        <n v="89"/>
        <n v="69"/>
        <n v="75"/>
        <n v="73"/>
        <n v="48"/>
        <n v="33"/>
        <m/>
        <s v="PV-Browser"/>
        <n v="7"/>
        <n v="13"/>
        <n v="16"/>
        <n v="20"/>
        <n v="17"/>
        <n v="25"/>
        <n v="40"/>
        <n v="46"/>
        <n v="15"/>
        <n v="31"/>
        <n v="29"/>
        <n v="27"/>
        <n v="28"/>
        <n v="36"/>
        <n v="62"/>
        <n v="80"/>
        <n v="56"/>
        <n v="57"/>
        <n v="51"/>
        <n v="81"/>
      </sharedItems>
    </cacheField>
    <cacheField name="PV-Mobile" numFmtId="0">
      <sharedItems containsBlank="1" containsNumber="1" containsInteger="1" containsMixedTypes="1" count="88">
        <n v="0"/>
        <n v="23"/>
        <n v="22"/>
        <n v="15"/>
        <n v="19"/>
        <n v="37"/>
        <n v="52"/>
        <n v="34"/>
        <n v="64"/>
        <n v="51"/>
        <n v="75"/>
        <n v="84"/>
        <n v="110"/>
        <n v="126"/>
        <n v="168"/>
        <n v="128"/>
        <n v="115"/>
        <n v="101"/>
        <n v="96"/>
        <n v="153"/>
        <n v="182"/>
        <n v="131"/>
        <n v="151"/>
        <n v="172"/>
        <n v="147"/>
        <n v="149"/>
        <n v="207"/>
        <n v="303"/>
        <n v="175"/>
        <n v="183"/>
        <n v="186"/>
        <n v="179"/>
        <n v="176"/>
        <n v="224"/>
        <n v="275"/>
        <n v="167"/>
        <n v="160"/>
        <n v="130"/>
        <n v="202"/>
        <n v="317"/>
        <n v="355"/>
        <n v="235"/>
        <n v="178"/>
        <n v="143"/>
        <n v="123"/>
        <n v="185"/>
        <n v="177"/>
        <n v="146"/>
        <n v="67"/>
        <n v="76"/>
        <n v="69"/>
        <m/>
        <s v="PV-Mobile"/>
        <n v="10"/>
        <n v="24"/>
        <n v="31"/>
        <n v="42"/>
        <n v="43"/>
        <n v="46"/>
        <n v="57"/>
        <n v="48"/>
        <n v="89"/>
        <n v="80"/>
        <n v="117"/>
        <n v="61"/>
        <n v="50"/>
        <n v="53"/>
        <n v="63"/>
        <n v="77"/>
        <n v="38"/>
        <n v="65"/>
        <n v="85"/>
        <n v="60"/>
        <n v="70"/>
        <n v="72"/>
        <n v="44"/>
        <n v="62"/>
        <n v="105"/>
        <n v="166"/>
        <n v="203"/>
        <n v="104"/>
        <n v="97"/>
        <n v="90"/>
        <n v="112"/>
        <n v="119"/>
        <n v="133"/>
        <n v="132"/>
        <n v="102"/>
      </sharedItems>
    </cacheField>
    <cacheField name="PV-Total" numFmtId="0">
      <sharedItems containsBlank="1" containsNumber="1" containsInteger="1" containsMixedTypes="1" count="88">
        <n v="0"/>
        <n v="37"/>
        <n v="33"/>
        <n v="23"/>
        <n v="42"/>
        <n v="55"/>
        <n v="73"/>
        <n v="53"/>
        <n v="96"/>
        <n v="86"/>
        <n v="109"/>
        <n v="128"/>
        <n v="151"/>
        <n v="192"/>
        <n v="250"/>
        <n v="180"/>
        <n v="183"/>
        <n v="159"/>
        <n v="135"/>
        <n v="207"/>
        <n v="242"/>
        <n v="208"/>
        <n v="222"/>
        <n v="263"/>
        <n v="225"/>
        <n v="228"/>
        <n v="300"/>
        <n v="431"/>
        <n v="278"/>
        <n v="303"/>
        <n v="307"/>
        <n v="279"/>
        <n v="317"/>
        <n v="402"/>
        <n v="297"/>
        <n v="254"/>
        <n v="243"/>
        <n v="239"/>
        <n v="288"/>
        <n v="447"/>
        <n v="493"/>
        <n v="376"/>
        <n v="298"/>
        <n v="256"/>
        <n v="220"/>
        <n v="210"/>
        <n v="252"/>
        <n v="140"/>
        <n v="124"/>
        <n v="102"/>
        <m/>
        <s v="PV-Total"/>
        <n v="30"/>
        <n v="17"/>
        <n v="47"/>
        <n v="63"/>
        <n v="40"/>
        <n v="57"/>
        <n v="75"/>
        <n v="69"/>
        <n v="108"/>
        <n v="120"/>
        <n v="163"/>
        <n v="95"/>
        <n v="81"/>
        <n v="82"/>
        <n v="100"/>
        <n v="88"/>
        <n v="90"/>
        <n v="112"/>
        <n v="155"/>
        <n v="85"/>
        <n v="110"/>
        <n v="104"/>
        <n v="89"/>
        <n v="138"/>
        <n v="79"/>
        <n v="77"/>
        <n v="283"/>
        <n v="160"/>
        <n v="154"/>
        <n v="145"/>
        <n v="122"/>
        <n v="164"/>
        <n v="175"/>
        <n v="202"/>
        <n v="226"/>
        <n v="176"/>
      </sharedItems>
    </cacheField>
    <cacheField name="Buybox" numFmtId="0">
      <sharedItems containsBlank="1" containsNumber="1" containsMixedTypes="1" count="10">
        <m/>
        <n v="1"/>
        <n v="0.83"/>
        <n v="0.88"/>
        <n v="0.96"/>
        <n v="0.98"/>
        <n v="0.95"/>
        <n v="0.99"/>
        <n v="0.97"/>
        <s v="Buybox"/>
      </sharedItems>
    </cacheField>
    <cacheField name="CVR" numFmtId="0">
      <sharedItems containsBlank="1" containsNumber="1" containsMixedTypes="1" count="101">
        <n v="0"/>
        <n v="0.069"/>
        <n v="0.04"/>
        <n v="0.0312"/>
        <n v="0.075"/>
        <n v="0.037"/>
        <n v="0.1957"/>
        <n v="0.0641"/>
        <n v="0.0986"/>
        <n v="0.0471"/>
        <n v="0.0957"/>
        <n v="0.0726"/>
        <n v="0.0537"/>
        <n v="0.1084"/>
        <n v="0.1159"/>
        <n v="0.0775"/>
        <n v="0.0984"/>
        <n v="0.0882"/>
        <n v="0.064"/>
        <n v="0.0686"/>
        <n v="0.1091"/>
        <n v="0.1086"/>
        <n v="0.105"/>
        <n v="0.125"/>
        <n v="0.1551"/>
        <n v="0.0747"/>
        <n v="0.1173"/>
        <n v="0.1244"/>
        <n v="0.1106"/>
        <n v="0.0929"/>
        <n v="0.1591"/>
        <n v="0.1311"/>
        <n v="0.096"/>
        <n v="0.1115"/>
        <n v="0.1082"/>
        <n v="0.1449"/>
        <n v="0.1257"/>
        <n v="0.1518"/>
        <n v="0.1343"/>
        <n v="0.1331"/>
        <n v="0.1216"/>
        <n v="0.1333"/>
        <n v="0.1179"/>
        <n v="0.1538"/>
        <n v="0.1198"/>
        <n v="0.15"/>
        <n v="0.0521"/>
        <n v="0.0872"/>
        <n v="0.0994"/>
        <n v="0.1638"/>
        <n v="0.1619"/>
        <n v="0.0941"/>
        <m/>
        <s v="CVR"/>
        <n v="0.0357"/>
        <n v="0.1351"/>
        <n v="0.0426"/>
        <n v="0.02"/>
        <n v="0.0294"/>
        <n v="0.1042"/>
        <n v="0.0484"/>
        <n v="0.0962"/>
        <n v="0.0492"/>
        <n v="0.0247"/>
        <n v="0.1222"/>
        <n v="0.0853"/>
        <n v="0.0909"/>
        <n v="0.0645"/>
        <n v="0.0656"/>
        <n v="0.0862"/>
        <n v="0.0746"/>
        <n v="0.1235"/>
        <n v="0.0893"/>
        <n v="0.1667"/>
        <n v="0.0845"/>
        <n v="0.1806"/>
        <n v="0.1045"/>
        <n v="0.0879"/>
        <n v="0.16"/>
        <n v="0.1096"/>
        <n v="0.1087"/>
        <n v="0.1529"/>
        <n v="0.1061"/>
        <n v="0.1757"/>
        <n v="0.2338"/>
        <n v="0.0708"/>
        <n v="0.1412"/>
        <n v="0.2295"/>
        <n v="0.087"/>
        <n v="0.2"/>
        <n v="0.1765"/>
        <n v="0.1825"/>
        <n v="0.1513"/>
        <n v="0.2222"/>
        <n v="0.1826"/>
        <n v="0.1493"/>
        <n v="0.1818"/>
        <n v="0.1071"/>
        <n v="0.2405"/>
        <n v="0.234"/>
        <n v="0.162"/>
      </sharedItems>
    </cacheField>
    <cacheField name="销量CVR" numFmtId="0">
      <sharedItems containsBlank="1" containsNumber="1" containsMixedTypes="1" count="100">
        <n v="0"/>
        <n v="0.069"/>
        <n v="0.04"/>
        <n v="0.0312"/>
        <n v="0.075"/>
        <n v="0.0556"/>
        <n v="0.1957"/>
        <n v="0.0641"/>
        <n v="0.1268"/>
        <n v="0.0471"/>
        <n v="0.0957"/>
        <n v="0.0726"/>
        <n v="0.0537"/>
        <n v="0.1133"/>
        <n v="0.1232"/>
        <n v="0.0775"/>
        <n v="0.0984"/>
        <n v="0.0882"/>
        <n v="0.064"/>
        <n v="0.0686"/>
        <n v="0.1091"/>
        <n v="0.1086"/>
        <n v="0.105"/>
        <n v="0.125"/>
        <n v="0.1551"/>
        <n v="0.0747"/>
        <n v="0.1173"/>
        <n v="0.1244"/>
        <n v="0.1106"/>
        <n v="0.0929"/>
        <n v="0.1591"/>
        <n v="0.1311"/>
        <n v="0.096"/>
        <n v="0.1115"/>
        <n v="0.1082"/>
        <n v="0.1449"/>
        <n v="0.1257"/>
        <n v="0.1518"/>
        <n v="0.1343"/>
        <n v="0.1331"/>
        <n v="0.1216"/>
        <n v="0.1333"/>
        <n v="0.1179"/>
        <n v="0.1538"/>
        <n v="0.1198"/>
        <n v="0.15"/>
        <n v="0.0521"/>
        <n v="0.0872"/>
        <n v="0.1638"/>
        <n v="0.1714"/>
        <n v="0.0941"/>
        <m/>
        <s v="销量CVR"/>
        <n v="0.0357"/>
        <n v="0.1351"/>
        <n v="0.0426"/>
        <n v="0.02"/>
        <n v="0.0294"/>
        <n v="0.1042"/>
        <n v="0.0484"/>
        <n v="0.0962"/>
        <n v="0.0492"/>
        <n v="0.0247"/>
        <n v="0.1222"/>
        <n v="0.0853"/>
        <n v="0.1299"/>
        <n v="0.0645"/>
        <n v="0.0656"/>
        <n v="0.0862"/>
        <n v="0.0746"/>
        <n v="0.1235"/>
        <n v="0.0893"/>
        <n v="0.1667"/>
        <n v="0.0845"/>
        <n v="0.1944"/>
        <n v="0.1045"/>
        <n v="0.0879"/>
        <n v="0.16"/>
        <n v="0.1096"/>
        <n v="0.1087"/>
        <n v="0.1529"/>
        <n v="0.1061"/>
        <n v="0.1757"/>
        <n v="0.2338"/>
        <n v="0.0708"/>
        <n v="0.1412"/>
        <n v="0.2295"/>
        <n v="0.087"/>
        <n v="0.2"/>
        <n v="0.181"/>
        <n v="0.1825"/>
        <n v="0.1513"/>
        <n v="0.2222"/>
        <n v="0.1913"/>
        <n v="0.1493"/>
        <n v="0.1818"/>
        <n v="0.1071"/>
        <n v="0.2405"/>
        <n v="0.2411"/>
        <n v="0.1901"/>
      </sharedItems>
    </cacheField>
    <cacheField name="CPC" numFmtId="0">
      <sharedItems containsBlank="1" containsNumber="1" containsMixedTypes="1" count="25">
        <m/>
        <n v="0.91"/>
        <n v="0.92"/>
        <n v="0.79"/>
        <n v="1.07"/>
        <n v="1.08"/>
        <n v="1.09"/>
        <n v="1.13"/>
        <n v="1.19"/>
        <n v="1.15"/>
        <n v="1.18"/>
        <n v="1.11"/>
        <n v="1.1"/>
        <s v="CPC"/>
        <n v="0.98"/>
        <n v="0.83"/>
        <n v="1.01"/>
        <n v="1.02"/>
        <n v="1.04"/>
        <n v="1.03"/>
        <n v="1.12"/>
        <n v="1.16"/>
        <n v="0.85"/>
        <n v="0.84"/>
        <n v="0.78"/>
      </sharedItems>
    </cacheField>
    <cacheField name="CTR" numFmtId="0">
      <sharedItems containsBlank="1" containsNumber="1" containsMixedTypes="1" count="35">
        <n v="0"/>
        <n v="0.002"/>
        <n v="0.0024"/>
        <n v="0.0017"/>
        <n v="0.0019"/>
        <n v="0.0027"/>
        <n v="0.0013"/>
        <n v="0.0014"/>
        <n v="0.0033"/>
        <n v="0.0036"/>
        <n v="0.0043"/>
        <n v="0.0042"/>
        <n v="0.0038"/>
        <n v="0.0034"/>
        <n v="0.0028"/>
        <n v="0.0037"/>
        <n v="0.0045"/>
        <n v="0.0032"/>
        <n v="0.0035"/>
        <m/>
        <s v="CTR"/>
        <n v="0.0031"/>
        <n v="0.0059"/>
        <n v="0.003"/>
        <n v="0.0099"/>
        <n v="0.0081"/>
        <n v="0.0063"/>
        <n v="0.0044"/>
        <n v="0.0053"/>
        <n v="0.0082"/>
        <n v="0.0078"/>
        <n v="0.0113"/>
        <n v="0.0057"/>
        <n v="0.0073"/>
        <n v="0.0049"/>
      </sharedItems>
    </cacheField>
    <cacheField name="广告花费" numFmtId="0">
      <sharedItems containsBlank="1" containsNumber="1" containsMixedTypes="1" count="40">
        <n v="0"/>
        <n v="-20.95"/>
        <n v="-18.32"/>
        <n v="-4.72"/>
        <n v="-20.26"/>
        <n v="-26"/>
        <n v="-23.48"/>
        <n v="-20.61"/>
        <n v="-19.58"/>
        <n v="-20.38"/>
        <n v="-20.3"/>
        <n v="-20.22"/>
        <n v="-19.49"/>
        <n v="-19.53"/>
        <n v="-18.89"/>
        <n v="-20.37"/>
        <n v="-22.15"/>
        <n v="-20.65"/>
        <n v="-19.25"/>
        <n v="-19.79"/>
        <n v="-20.18"/>
        <m/>
        <s v="广告花费"/>
        <n v="-15.72"/>
        <n v="-6.68"/>
        <n v="-25.23"/>
        <n v="-25.39"/>
        <n v="-20.89"/>
        <n v="-19.57"/>
        <n v="-20.08"/>
        <n v="-20.17"/>
        <n v="-20.85"/>
        <n v="-19.73"/>
        <n v="-19.26"/>
        <n v="-19.98"/>
        <n v="-6.8"/>
        <n v="-27.19"/>
        <n v="-30.18"/>
        <n v="-28.91"/>
        <n v="-33.32"/>
      </sharedItems>
    </cacheField>
    <cacheField name="ROAS" numFmtId="0">
      <sharedItems containsBlank="1" containsNumber="1" containsMixedTypes="1" count="34">
        <n v="0"/>
        <n v="2.67"/>
        <n v="1.38"/>
        <n v="0.54"/>
        <n v="1.79"/>
        <n v="1.36"/>
        <n v="3.57"/>
        <n v="1.37"/>
        <n v="0.69"/>
        <n v="2.08"/>
        <n v="2.15"/>
        <n v="2.87"/>
        <n v="1.26"/>
        <n v="2.03"/>
        <n v="1.45"/>
        <n v="1.41"/>
        <n v="1.39"/>
        <m/>
        <s v="ROAS"/>
        <n v="1.66"/>
        <n v="1.65"/>
        <n v="0.67"/>
        <n v="2.14"/>
        <n v="0.71"/>
        <n v="0.7"/>
        <n v="2.01"/>
        <n v="0.72"/>
        <n v="1.42"/>
        <n v="2.18"/>
        <n v="1.47"/>
        <n v="0.37"/>
        <n v="2.85"/>
        <n v="2.7"/>
        <n v="1.5"/>
      </sharedItems>
    </cacheField>
    <cacheField name="ACOS" numFmtId="0">
      <sharedItems containsBlank="1" containsNumber="1" containsMixedTypes="1" count="36">
        <n v="0"/>
        <n v="0.3744"/>
        <n v="1"/>
        <n v="0.7241"/>
        <n v="1.8585"/>
        <n v="0.5594"/>
        <n v="0.7366"/>
        <n v="0.2799"/>
        <n v="0.7284"/>
        <n v="1.451"/>
        <n v="0.4818"/>
        <n v="0.4644"/>
        <n v="0.349"/>
        <n v="0.7916"/>
        <n v="0.492"/>
        <n v="0.688"/>
        <n v="0.7073"/>
        <n v="0.7212"/>
        <m/>
        <s v="ACOS"/>
        <n v="0.6011"/>
        <n v="0.605"/>
        <n v="1.4932"/>
        <n v="0.4663"/>
        <n v="1.3996"/>
        <n v="1.4353"/>
        <n v="0.4968"/>
        <n v="1.396"/>
        <n v="0.7051"/>
        <n v="0.4589"/>
        <n v="1.4282"/>
        <n v="0.6807"/>
        <n v="2.7217"/>
        <n v="0.3512"/>
        <n v="0.371"/>
        <n v="0.6671"/>
      </sharedItems>
    </cacheField>
    <cacheField name="ACoAS" numFmtId="0">
      <sharedItems containsBlank="1" containsNumber="1" containsMixedTypes="1" count="42">
        <n v="0"/>
        <n v="0.7487"/>
        <n v="1.3095"/>
        <n v="1"/>
        <n v="1.4482"/>
        <n v="0.6195"/>
        <n v="0.5594"/>
        <n v="0.1637"/>
        <n v="0.2799"/>
        <n v="0.1619"/>
        <n v="0.3628"/>
        <n v="0.1606"/>
        <n v="0.1548"/>
        <n v="0.1745"/>
        <n v="0.0587"/>
        <n v="0.0856"/>
        <n v="0.1439"/>
        <n v="0.123"/>
        <n v="0.1529"/>
        <n v="0.1286"/>
        <n v="0.103"/>
        <n v="0.0774"/>
        <m/>
        <s v="ACoAS"/>
        <n v="1.1237"/>
        <n v="1.8034"/>
        <n v="0.363"/>
        <n v="0.7466"/>
        <n v="1.3989"/>
        <n v="1.3996"/>
        <n v="0.2871"/>
        <n v="0.4806"/>
        <n v="0.2981"/>
        <n v="0.4653"/>
        <n v="0.7051"/>
        <n v="0.1252"/>
        <n v="0.1298"/>
        <n v="0.0378"/>
        <n v="0.0716"/>
        <n v="0.0915"/>
        <n v="0.1072"/>
        <n v="0.1191"/>
      </sharedItems>
    </cacheField>
    <cacheField name="ASoAS" numFmtId="0">
      <sharedItems containsBlank="1" containsNumber="1" containsMixedTypes="1" count="22">
        <n v="0"/>
        <n v="2"/>
        <n v="0.3333"/>
        <n v="1"/>
        <n v="0.2222"/>
        <n v="0.25"/>
        <n v="0.5"/>
        <n v="0.1818"/>
        <n v="0.1429"/>
        <n v="0.1667"/>
        <m/>
        <s v="ASoAS"/>
        <n v="3"/>
        <n v="0.6"/>
        <n v="0.2"/>
        <n v="0.2727"/>
        <n v="0.0909"/>
        <n v="0.0556"/>
        <n v="0.0263"/>
        <n v="0.2607"/>
        <n v="0.2889"/>
        <n v="0.1786"/>
      </sharedItems>
    </cacheField>
    <cacheField name="CPO" numFmtId="0">
      <sharedItems containsBlank="1" containsNumber="1" containsMixedTypes="1" count="34">
        <m/>
        <n v="5.24"/>
        <n v="10.13"/>
        <n v="26"/>
        <n v="7.83"/>
        <n v="10.3"/>
        <n v="3.92"/>
        <n v="10.19"/>
        <n v="20.3"/>
        <n v="6.74"/>
        <n v="6.5"/>
        <n v="4.88"/>
        <n v="11.07"/>
        <n v="6.88"/>
        <n v="9.62"/>
        <n v="9.89"/>
        <n v="10.09"/>
        <s v="CPO"/>
        <n v="8.41"/>
        <n v="8.46"/>
        <n v="20.89"/>
        <n v="9.79"/>
        <n v="19.58"/>
        <n v="20.08"/>
        <n v="6.95"/>
        <n v="19.53"/>
        <n v="9.87"/>
        <n v="6.42"/>
        <n v="19.98"/>
        <n v="3.4"/>
        <n v="27.19"/>
        <n v="4.31"/>
        <n v="3.61"/>
        <n v="6.66"/>
      </sharedItems>
    </cacheField>
    <cacheField name="CPM" numFmtId="0">
      <sharedItems containsBlank="1" containsNumber="1" containsMixedTypes="1" count="43">
        <n v="0"/>
        <n v="1.81"/>
        <n v="2.19"/>
        <n v="1.35"/>
        <n v="1.98"/>
        <n v="2.97"/>
        <n v="1.4"/>
        <n v="1.51"/>
        <n v="1.52"/>
        <n v="3.69"/>
        <n v="4.35"/>
        <n v="5.13"/>
        <n v="3.86"/>
        <n v="4.83"/>
        <n v="4.5"/>
        <n v="4.79"/>
        <n v="3.73"/>
        <n v="3.26"/>
        <n v="4.16"/>
        <n v="4.91"/>
        <n v="3.75"/>
        <n v="3.79"/>
        <m/>
        <s v="CPM"/>
        <n v="4.43"/>
        <n v="2.57"/>
        <n v="5.94"/>
        <n v="3.03"/>
        <n v="4.46"/>
        <n v="9.65"/>
        <n v="8.35"/>
        <n v="7.49"/>
        <n v="4.97"/>
        <n v="6.19"/>
        <n v="9.37"/>
        <n v="9.09"/>
        <n v="8.85"/>
        <n v="4.22"/>
        <n v="9.6"/>
        <n v="4.84"/>
        <n v="6.1"/>
        <n v="3.81"/>
        <n v="3.38"/>
      </sharedItems>
    </cacheField>
    <cacheField name="广告销售额" numFmtId="0">
      <sharedItems containsBlank="1" containsNumber="1" containsMixedTypes="1" count="12">
        <n v="0"/>
        <n v="55.96"/>
        <n v="27.98"/>
        <n v="13.99"/>
        <n v="41.97"/>
        <n v="69.95"/>
        <m/>
        <s v="广告销售额"/>
        <n v="9.99"/>
        <n v="85.93"/>
        <n v="77.92"/>
        <n v="49.95"/>
      </sharedItems>
    </cacheField>
    <cacheField name="广告订单量" numFmtId="0">
      <sharedItems containsBlank="1" containsNumber="1" containsInteger="1" containsMixedTypes="1" count="10">
        <n v="0"/>
        <n v="4"/>
        <n v="2"/>
        <n v="1"/>
        <n v="3"/>
        <n v="5"/>
        <m/>
        <s v="广告订单量"/>
        <n v="7"/>
        <n v="8"/>
      </sharedItems>
    </cacheField>
    <cacheField name="广告订单占比" numFmtId="0">
      <sharedItems containsBlank="1" containsNumber="1" containsMixedTypes="1" count="24">
        <n v="0"/>
        <n v="2"/>
        <n v="0.3333"/>
        <n v="1.5"/>
        <n v="0.2222"/>
        <n v="1"/>
        <n v="0.2857"/>
        <n v="0.25"/>
        <n v="0.5"/>
        <n v="0.1818"/>
        <n v="0.1429"/>
        <n v="0.1667"/>
        <m/>
        <s v="广告订单占比"/>
        <n v="3"/>
        <n v="0.6"/>
        <n v="0.2"/>
        <n v="0.2727"/>
        <n v="0.0909"/>
        <n v="0.1111"/>
        <n v="0.0263"/>
        <n v="0.2121"/>
        <n v="0.3478"/>
        <n v="0.1923"/>
      </sharedItems>
    </cacheField>
    <cacheField name="广告CVR" numFmtId="0">
      <sharedItems containsBlank="1" containsNumber="1" containsMixedTypes="1" count="23">
        <n v="0"/>
        <n v="0.1739"/>
        <n v="0.1053"/>
        <n v="0.0417"/>
        <n v="0.1364"/>
        <n v="0.2778"/>
        <n v="0.1111"/>
        <n v="0.0588"/>
        <n v="0.1765"/>
        <n v="0.1667"/>
        <n v="0.2353"/>
        <n v="0.1"/>
        <n v="0.1176"/>
        <m/>
        <s v="广告CVR"/>
        <n v="0.12"/>
        <n v="0.05"/>
        <n v="0.0526"/>
        <n v="0.25"/>
        <n v="0.0312"/>
        <n v="0.1944"/>
        <n v="0.2162"/>
        <n v="0.1471"/>
      </sharedItems>
    </cacheField>
    <cacheField name="展示" numFmtId="0">
      <sharedItems containsBlank="1" containsNumber="1" containsInteger="1" containsMixedTypes="1" count="44">
        <n v="0"/>
        <n v="11582"/>
        <n v="8355"/>
        <n v="3488"/>
        <n v="10230"/>
        <n v="8753"/>
        <n v="16751"/>
        <n v="13659"/>
        <n v="12849"/>
        <n v="5518"/>
        <n v="4668"/>
        <n v="3943"/>
        <n v="5051"/>
        <n v="4046"/>
        <n v="4194"/>
        <n v="4253"/>
        <n v="5936"/>
        <n v="6325"/>
        <n v="4629"/>
        <n v="4027"/>
        <n v="5376"/>
        <n v="5139"/>
        <m/>
        <s v="展示"/>
        <n v="3551"/>
        <n v="2595"/>
        <n v="4249"/>
        <n v="8366"/>
        <n v="4684"/>
        <n v="2027"/>
        <n v="2344"/>
        <n v="2680"/>
        <n v="4058"/>
        <n v="3370"/>
        <n v="2085"/>
        <n v="2171"/>
        <n v="2177"/>
        <n v="4737"/>
        <n v="299"/>
        <n v="708"/>
        <n v="5618"/>
        <n v="4948"/>
        <n v="7592"/>
        <n v="9844"/>
      </sharedItems>
    </cacheField>
    <cacheField name="点击" numFmtId="0">
      <sharedItems containsBlank="1" containsNumber="1" containsInteger="1" containsMixedTypes="1" count="18">
        <n v="0"/>
        <n v="23"/>
        <n v="20"/>
        <n v="6"/>
        <n v="19"/>
        <n v="24"/>
        <n v="22"/>
        <n v="18"/>
        <n v="17"/>
        <n v="16"/>
        <m/>
        <s v="点击"/>
        <n v="8"/>
        <n v="25"/>
        <n v="32"/>
        <n v="36"/>
        <n v="37"/>
        <n v="34"/>
      </sharedItems>
    </cacheField>
    <cacheField name="运营日志1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2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3"/>
    <x v="0"/>
    <x v="0"/>
    <x v="0"/>
    <x v="0"/>
    <x v="0"/>
    <x v="3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</r>
  <r>
    <x v="4"/>
    <x v="4"/>
    <x v="0"/>
    <x v="0"/>
    <x v="0"/>
    <x v="0"/>
    <x v="0"/>
    <x v="4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2"/>
    <x v="0"/>
    <x v="2"/>
    <x v="0"/>
    <x v="0"/>
    <x v="1"/>
    <x v="2"/>
    <x v="2"/>
    <x v="2"/>
    <x v="2"/>
    <x v="2"/>
    <x v="1"/>
    <x v="2"/>
    <x v="2"/>
    <x v="2"/>
    <x v="2"/>
    <x v="2"/>
    <x v="0"/>
    <x v="2"/>
    <x v="2"/>
    <x v="0"/>
    <x v="0"/>
    <x v="2"/>
    <x v="0"/>
    <x v="0"/>
    <x v="0"/>
    <x v="0"/>
    <x v="2"/>
    <x v="2"/>
    <x v="0"/>
  </r>
  <r>
    <x v="5"/>
    <x v="5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2"/>
    <x v="3"/>
    <x v="3"/>
    <x v="3"/>
    <x v="3"/>
    <x v="3"/>
    <x v="2"/>
    <x v="0"/>
    <x v="0"/>
    <x v="3"/>
    <x v="3"/>
    <x v="3"/>
    <x v="0"/>
    <x v="2"/>
    <x v="3"/>
    <x v="0"/>
    <x v="0"/>
    <x v="3"/>
    <x v="0"/>
    <x v="0"/>
    <x v="0"/>
    <x v="0"/>
    <x v="3"/>
    <x v="3"/>
    <x v="0"/>
  </r>
  <r>
    <x v="6"/>
    <x v="6"/>
    <x v="0"/>
    <x v="0"/>
    <x v="0"/>
    <x v="0"/>
    <x v="0"/>
    <x v="6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4"/>
    <x v="0"/>
    <x v="3"/>
    <x v="0"/>
    <x v="0"/>
    <x v="3"/>
    <x v="4"/>
    <x v="4"/>
    <x v="4"/>
    <x v="4"/>
    <x v="4"/>
    <x v="3"/>
    <x v="3"/>
    <x v="3"/>
    <x v="4"/>
    <x v="4"/>
    <x v="4"/>
    <x v="2"/>
    <x v="3"/>
    <x v="4"/>
    <x v="1"/>
    <x v="2"/>
    <x v="4"/>
    <x v="2"/>
    <x v="2"/>
    <x v="1"/>
    <x v="2"/>
    <x v="4"/>
    <x v="4"/>
    <x v="0"/>
  </r>
  <r>
    <x v="7"/>
    <x v="7"/>
    <x v="0"/>
    <x v="0"/>
    <x v="0"/>
    <x v="0"/>
    <x v="0"/>
    <x v="7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5"/>
    <x v="2"/>
    <x v="4"/>
    <x v="0"/>
    <x v="0"/>
    <x v="4"/>
    <x v="5"/>
    <x v="5"/>
    <x v="5"/>
    <x v="5"/>
    <x v="5"/>
    <x v="4"/>
    <x v="4"/>
    <x v="4"/>
    <x v="5"/>
    <x v="5"/>
    <x v="5"/>
    <x v="3"/>
    <x v="4"/>
    <x v="5"/>
    <x v="2"/>
    <x v="3"/>
    <x v="5"/>
    <x v="3"/>
    <x v="3"/>
    <x v="2"/>
    <x v="3"/>
    <x v="5"/>
    <x v="5"/>
    <x v="0"/>
  </r>
  <r>
    <x v="8"/>
    <x v="8"/>
    <x v="0"/>
    <x v="0"/>
    <x v="0"/>
    <x v="0"/>
    <x v="0"/>
    <x v="8"/>
    <x v="0"/>
    <x v="3"/>
    <x v="1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"/>
    <x v="0"/>
    <x v="5"/>
    <x v="0"/>
    <x v="0"/>
    <x v="5"/>
    <x v="6"/>
    <x v="6"/>
    <x v="6"/>
    <x v="6"/>
    <x v="6"/>
    <x v="4"/>
    <x v="5"/>
    <x v="5"/>
    <x v="4"/>
    <x v="6"/>
    <x v="6"/>
    <x v="4"/>
    <x v="5"/>
    <x v="6"/>
    <x v="3"/>
    <x v="4"/>
    <x v="6"/>
    <x v="4"/>
    <x v="4"/>
    <x v="3"/>
    <x v="4"/>
    <x v="6"/>
    <x v="6"/>
    <x v="0"/>
  </r>
  <r>
    <x v="9"/>
    <x v="9"/>
    <x v="0"/>
    <x v="0"/>
    <x v="0"/>
    <x v="0"/>
    <x v="0"/>
    <x v="9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7"/>
    <x v="3"/>
    <x v="6"/>
    <x v="0"/>
    <x v="0"/>
    <x v="4"/>
    <x v="7"/>
    <x v="7"/>
    <x v="7"/>
    <x v="7"/>
    <x v="7"/>
    <x v="4"/>
    <x v="6"/>
    <x v="6"/>
    <x v="5"/>
    <x v="7"/>
    <x v="7"/>
    <x v="5"/>
    <x v="6"/>
    <x v="7"/>
    <x v="4"/>
    <x v="5"/>
    <x v="7"/>
    <x v="2"/>
    <x v="2"/>
    <x v="4"/>
    <x v="2"/>
    <x v="7"/>
    <x v="4"/>
    <x v="0"/>
  </r>
  <r>
    <x v="10"/>
    <x v="10"/>
    <x v="0"/>
    <x v="0"/>
    <x v="0"/>
    <x v="0"/>
    <x v="0"/>
    <x v="10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8"/>
    <x v="4"/>
    <x v="7"/>
    <x v="0"/>
    <x v="0"/>
    <x v="6"/>
    <x v="8"/>
    <x v="8"/>
    <x v="8"/>
    <x v="8"/>
    <x v="8"/>
    <x v="5"/>
    <x v="7"/>
    <x v="7"/>
    <x v="6"/>
    <x v="7"/>
    <x v="8"/>
    <x v="6"/>
    <x v="7"/>
    <x v="8"/>
    <x v="3"/>
    <x v="6"/>
    <x v="8"/>
    <x v="5"/>
    <x v="5"/>
    <x v="5"/>
    <x v="5"/>
    <x v="8"/>
    <x v="7"/>
    <x v="0"/>
  </r>
  <r>
    <x v="11"/>
    <x v="11"/>
    <x v="0"/>
    <x v="0"/>
    <x v="0"/>
    <x v="0"/>
    <x v="0"/>
    <x v="11"/>
    <x v="0"/>
    <x v="4"/>
    <x v="6"/>
    <x v="4"/>
    <x v="6"/>
    <x v="0"/>
    <x v="0"/>
    <x v="0"/>
    <x v="0"/>
    <x v="0"/>
    <x v="0"/>
    <x v="2"/>
    <x v="2"/>
    <x v="0"/>
    <x v="0"/>
    <x v="1"/>
    <x v="1"/>
    <x v="0"/>
    <x v="0"/>
    <x v="0"/>
    <x v="0"/>
    <x v="9"/>
    <x v="5"/>
    <x v="8"/>
    <x v="0"/>
    <x v="0"/>
    <x v="7"/>
    <x v="9"/>
    <x v="9"/>
    <x v="9"/>
    <x v="9"/>
    <x v="9"/>
    <x v="6"/>
    <x v="8"/>
    <x v="8"/>
    <x v="7"/>
    <x v="8"/>
    <x v="9"/>
    <x v="7"/>
    <x v="8"/>
    <x v="9"/>
    <x v="4"/>
    <x v="7"/>
    <x v="9"/>
    <x v="2"/>
    <x v="2"/>
    <x v="6"/>
    <x v="6"/>
    <x v="9"/>
    <x v="7"/>
    <x v="0"/>
  </r>
  <r>
    <x v="12"/>
    <x v="12"/>
    <x v="0"/>
    <x v="0"/>
    <x v="0"/>
    <x v="0"/>
    <x v="0"/>
    <x v="12"/>
    <x v="0"/>
    <x v="6"/>
    <x v="7"/>
    <x v="6"/>
    <x v="7"/>
    <x v="0"/>
    <x v="0"/>
    <x v="0"/>
    <x v="0"/>
    <x v="0"/>
    <x v="0"/>
    <x v="1"/>
    <x v="1"/>
    <x v="0"/>
    <x v="0"/>
    <x v="0"/>
    <x v="0"/>
    <x v="0"/>
    <x v="0"/>
    <x v="0"/>
    <x v="0"/>
    <x v="10"/>
    <x v="6"/>
    <x v="9"/>
    <x v="0"/>
    <x v="0"/>
    <x v="8"/>
    <x v="10"/>
    <x v="10"/>
    <x v="10"/>
    <x v="10"/>
    <x v="10"/>
    <x v="7"/>
    <x v="9"/>
    <x v="9"/>
    <x v="8"/>
    <x v="9"/>
    <x v="10"/>
    <x v="8"/>
    <x v="9"/>
    <x v="10"/>
    <x v="5"/>
    <x v="8"/>
    <x v="10"/>
    <x v="3"/>
    <x v="3"/>
    <x v="7"/>
    <x v="7"/>
    <x v="10"/>
    <x v="8"/>
    <x v="0"/>
  </r>
  <r>
    <x v="13"/>
    <x v="13"/>
    <x v="0"/>
    <x v="0"/>
    <x v="0"/>
    <x v="0"/>
    <x v="0"/>
    <x v="13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11"/>
    <x v="7"/>
    <x v="10"/>
    <x v="0"/>
    <x v="0"/>
    <x v="9"/>
    <x v="11"/>
    <x v="11"/>
    <x v="11"/>
    <x v="11"/>
    <x v="11"/>
    <x v="5"/>
    <x v="10"/>
    <x v="10"/>
    <x v="8"/>
    <x v="10"/>
    <x v="11"/>
    <x v="9"/>
    <x v="10"/>
    <x v="11"/>
    <x v="2"/>
    <x v="9"/>
    <x v="11"/>
    <x v="4"/>
    <x v="4"/>
    <x v="2"/>
    <x v="8"/>
    <x v="11"/>
    <x v="8"/>
    <x v="0"/>
  </r>
  <r>
    <x v="14"/>
    <x v="14"/>
    <x v="0"/>
    <x v="0"/>
    <x v="0"/>
    <x v="0"/>
    <x v="0"/>
    <x v="14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12"/>
    <x v="8"/>
    <x v="11"/>
    <x v="0"/>
    <x v="0"/>
    <x v="10"/>
    <x v="12"/>
    <x v="12"/>
    <x v="12"/>
    <x v="12"/>
    <x v="12"/>
    <x v="5"/>
    <x v="11"/>
    <x v="11"/>
    <x v="5"/>
    <x v="9"/>
    <x v="12"/>
    <x v="10"/>
    <x v="11"/>
    <x v="12"/>
    <x v="2"/>
    <x v="10"/>
    <x v="12"/>
    <x v="4"/>
    <x v="4"/>
    <x v="2"/>
    <x v="9"/>
    <x v="12"/>
    <x v="7"/>
    <x v="0"/>
  </r>
  <r>
    <x v="15"/>
    <x v="15"/>
    <x v="0"/>
    <x v="0"/>
    <x v="0"/>
    <x v="0"/>
    <x v="0"/>
    <x v="15"/>
    <x v="0"/>
    <x v="7"/>
    <x v="8"/>
    <x v="7"/>
    <x v="8"/>
    <x v="0"/>
    <x v="0"/>
    <x v="0"/>
    <x v="0"/>
    <x v="0"/>
    <x v="0"/>
    <x v="1"/>
    <x v="1"/>
    <x v="0"/>
    <x v="0"/>
    <x v="0"/>
    <x v="0"/>
    <x v="0"/>
    <x v="0"/>
    <x v="0"/>
    <x v="0"/>
    <x v="13"/>
    <x v="9"/>
    <x v="12"/>
    <x v="0"/>
    <x v="0"/>
    <x v="11"/>
    <x v="13"/>
    <x v="13"/>
    <x v="13"/>
    <x v="13"/>
    <x v="13"/>
    <x v="7"/>
    <x v="12"/>
    <x v="12"/>
    <x v="9"/>
    <x v="11"/>
    <x v="13"/>
    <x v="11"/>
    <x v="12"/>
    <x v="13"/>
    <x v="6"/>
    <x v="11"/>
    <x v="13"/>
    <x v="1"/>
    <x v="1"/>
    <x v="8"/>
    <x v="10"/>
    <x v="13"/>
    <x v="8"/>
    <x v="0"/>
  </r>
  <r>
    <x v="16"/>
    <x v="16"/>
    <x v="0"/>
    <x v="0"/>
    <x v="0"/>
    <x v="0"/>
    <x v="0"/>
    <x v="16"/>
    <x v="0"/>
    <x v="8"/>
    <x v="9"/>
    <x v="8"/>
    <x v="9"/>
    <x v="0"/>
    <x v="0"/>
    <x v="0"/>
    <x v="0"/>
    <x v="0"/>
    <x v="0"/>
    <x v="1"/>
    <x v="3"/>
    <x v="0"/>
    <x v="0"/>
    <x v="0"/>
    <x v="0"/>
    <x v="0"/>
    <x v="0"/>
    <x v="0"/>
    <x v="0"/>
    <x v="14"/>
    <x v="10"/>
    <x v="13"/>
    <x v="0"/>
    <x v="0"/>
    <x v="12"/>
    <x v="14"/>
    <x v="14"/>
    <x v="14"/>
    <x v="14"/>
    <x v="14"/>
    <x v="7"/>
    <x v="13"/>
    <x v="13"/>
    <x v="10"/>
    <x v="12"/>
    <x v="14"/>
    <x v="0"/>
    <x v="2"/>
    <x v="14"/>
    <x v="0"/>
    <x v="0"/>
    <x v="14"/>
    <x v="0"/>
    <x v="0"/>
    <x v="0"/>
    <x v="0"/>
    <x v="14"/>
    <x v="9"/>
    <x v="0"/>
  </r>
  <r>
    <x v="17"/>
    <x v="17"/>
    <x v="0"/>
    <x v="0"/>
    <x v="0"/>
    <x v="0"/>
    <x v="0"/>
    <x v="17"/>
    <x v="0"/>
    <x v="9"/>
    <x v="10"/>
    <x v="9"/>
    <x v="10"/>
    <x v="1"/>
    <x v="1"/>
    <x v="1"/>
    <x v="0"/>
    <x v="0"/>
    <x v="0"/>
    <x v="1"/>
    <x v="4"/>
    <x v="0"/>
    <x v="0"/>
    <x v="0"/>
    <x v="0"/>
    <x v="0"/>
    <x v="0"/>
    <x v="0"/>
    <x v="0"/>
    <x v="15"/>
    <x v="11"/>
    <x v="14"/>
    <x v="0"/>
    <x v="0"/>
    <x v="13"/>
    <x v="15"/>
    <x v="15"/>
    <x v="15"/>
    <x v="15"/>
    <x v="15"/>
    <x v="5"/>
    <x v="14"/>
    <x v="14"/>
    <x v="7"/>
    <x v="11"/>
    <x v="15"/>
    <x v="0"/>
    <x v="2"/>
    <x v="15"/>
    <x v="0"/>
    <x v="0"/>
    <x v="15"/>
    <x v="0"/>
    <x v="0"/>
    <x v="0"/>
    <x v="0"/>
    <x v="15"/>
    <x v="7"/>
    <x v="0"/>
  </r>
  <r>
    <x v="18"/>
    <x v="18"/>
    <x v="0"/>
    <x v="0"/>
    <x v="0"/>
    <x v="0"/>
    <x v="0"/>
    <x v="18"/>
    <x v="0"/>
    <x v="10"/>
    <x v="11"/>
    <x v="10"/>
    <x v="11"/>
    <x v="1"/>
    <x v="1"/>
    <x v="1"/>
    <x v="0"/>
    <x v="0"/>
    <x v="0"/>
    <x v="1"/>
    <x v="2"/>
    <x v="0"/>
    <x v="0"/>
    <x v="0"/>
    <x v="0"/>
    <x v="0"/>
    <x v="0"/>
    <x v="0"/>
    <x v="0"/>
    <x v="16"/>
    <x v="12"/>
    <x v="15"/>
    <x v="0"/>
    <x v="0"/>
    <x v="14"/>
    <x v="16"/>
    <x v="16"/>
    <x v="16"/>
    <x v="16"/>
    <x v="16"/>
    <x v="5"/>
    <x v="15"/>
    <x v="15"/>
    <x v="11"/>
    <x v="13"/>
    <x v="16"/>
    <x v="12"/>
    <x v="13"/>
    <x v="16"/>
    <x v="7"/>
    <x v="12"/>
    <x v="16"/>
    <x v="2"/>
    <x v="2"/>
    <x v="9"/>
    <x v="11"/>
    <x v="16"/>
    <x v="2"/>
    <x v="0"/>
  </r>
  <r>
    <x v="19"/>
    <x v="19"/>
    <x v="0"/>
    <x v="0"/>
    <x v="0"/>
    <x v="0"/>
    <x v="0"/>
    <x v="19"/>
    <x v="0"/>
    <x v="11"/>
    <x v="12"/>
    <x v="11"/>
    <x v="12"/>
    <x v="0"/>
    <x v="0"/>
    <x v="0"/>
    <x v="0"/>
    <x v="0"/>
    <x v="0"/>
    <x v="1"/>
    <x v="2"/>
    <x v="0"/>
    <x v="0"/>
    <x v="0"/>
    <x v="0"/>
    <x v="0"/>
    <x v="0"/>
    <x v="0"/>
    <x v="0"/>
    <x v="17"/>
    <x v="13"/>
    <x v="16"/>
    <x v="0"/>
    <x v="0"/>
    <x v="15"/>
    <x v="17"/>
    <x v="17"/>
    <x v="17"/>
    <x v="17"/>
    <x v="17"/>
    <x v="5"/>
    <x v="16"/>
    <x v="16"/>
    <x v="9"/>
    <x v="14"/>
    <x v="17"/>
    <x v="13"/>
    <x v="14"/>
    <x v="17"/>
    <x v="5"/>
    <x v="13"/>
    <x v="17"/>
    <x v="4"/>
    <x v="4"/>
    <x v="7"/>
    <x v="9"/>
    <x v="17"/>
    <x v="7"/>
    <x v="0"/>
  </r>
  <r>
    <x v="20"/>
    <x v="20"/>
    <x v="0"/>
    <x v="0"/>
    <x v="0"/>
    <x v="0"/>
    <x v="0"/>
    <x v="20"/>
    <x v="0"/>
    <x v="4"/>
    <x v="4"/>
    <x v="4"/>
    <x v="4"/>
    <x v="1"/>
    <x v="1"/>
    <x v="1"/>
    <x v="0"/>
    <x v="0"/>
    <x v="0"/>
    <x v="1"/>
    <x v="2"/>
    <x v="0"/>
    <x v="0"/>
    <x v="0"/>
    <x v="0"/>
    <x v="1"/>
    <x v="1"/>
    <x v="0"/>
    <x v="0"/>
    <x v="18"/>
    <x v="14"/>
    <x v="17"/>
    <x v="0"/>
    <x v="0"/>
    <x v="16"/>
    <x v="18"/>
    <x v="18"/>
    <x v="18"/>
    <x v="18"/>
    <x v="18"/>
    <x v="4"/>
    <x v="17"/>
    <x v="17"/>
    <x v="7"/>
    <x v="15"/>
    <x v="18"/>
    <x v="14"/>
    <x v="15"/>
    <x v="18"/>
    <x v="4"/>
    <x v="14"/>
    <x v="18"/>
    <x v="2"/>
    <x v="2"/>
    <x v="4"/>
    <x v="12"/>
    <x v="18"/>
    <x v="8"/>
    <x v="0"/>
  </r>
  <r>
    <x v="21"/>
    <x v="21"/>
    <x v="0"/>
    <x v="0"/>
    <x v="0"/>
    <x v="0"/>
    <x v="0"/>
    <x v="21"/>
    <x v="0"/>
    <x v="10"/>
    <x v="11"/>
    <x v="10"/>
    <x v="11"/>
    <x v="0"/>
    <x v="0"/>
    <x v="0"/>
    <x v="0"/>
    <x v="0"/>
    <x v="0"/>
    <x v="1"/>
    <x v="2"/>
    <x v="0"/>
    <x v="0"/>
    <x v="0"/>
    <x v="0"/>
    <x v="1"/>
    <x v="1"/>
    <x v="0"/>
    <x v="0"/>
    <x v="19"/>
    <x v="15"/>
    <x v="18"/>
    <x v="0"/>
    <x v="0"/>
    <x v="15"/>
    <x v="19"/>
    <x v="19"/>
    <x v="19"/>
    <x v="19"/>
    <x v="19"/>
    <x v="7"/>
    <x v="18"/>
    <x v="18"/>
    <x v="12"/>
    <x v="16"/>
    <x v="19"/>
    <x v="15"/>
    <x v="16"/>
    <x v="19"/>
    <x v="7"/>
    <x v="15"/>
    <x v="19"/>
    <x v="2"/>
    <x v="2"/>
    <x v="9"/>
    <x v="6"/>
    <x v="19"/>
    <x v="7"/>
    <x v="0"/>
  </r>
  <r>
    <x v="22"/>
    <x v="22"/>
    <x v="0"/>
    <x v="0"/>
    <x v="0"/>
    <x v="0"/>
    <x v="0"/>
    <x v="22"/>
    <x v="0"/>
    <x v="12"/>
    <x v="13"/>
    <x v="12"/>
    <x v="13"/>
    <x v="0"/>
    <x v="0"/>
    <x v="0"/>
    <x v="0"/>
    <x v="0"/>
    <x v="0"/>
    <x v="1"/>
    <x v="2"/>
    <x v="0"/>
    <x v="0"/>
    <x v="0"/>
    <x v="0"/>
    <x v="1"/>
    <x v="1"/>
    <x v="0"/>
    <x v="0"/>
    <x v="20"/>
    <x v="16"/>
    <x v="19"/>
    <x v="1"/>
    <x v="1"/>
    <x v="17"/>
    <x v="20"/>
    <x v="20"/>
    <x v="20"/>
    <x v="20"/>
    <x v="20"/>
    <x v="5"/>
    <x v="19"/>
    <x v="19"/>
    <x v="8"/>
    <x v="17"/>
    <x v="20"/>
    <x v="16"/>
    <x v="17"/>
    <x v="20"/>
    <x v="8"/>
    <x v="16"/>
    <x v="20"/>
    <x v="2"/>
    <x v="2"/>
    <x v="10"/>
    <x v="12"/>
    <x v="20"/>
    <x v="8"/>
    <x v="0"/>
  </r>
  <r>
    <x v="23"/>
    <x v="23"/>
    <x v="0"/>
    <x v="0"/>
    <x v="0"/>
    <x v="0"/>
    <x v="0"/>
    <x v="23"/>
    <x v="0"/>
    <x v="13"/>
    <x v="14"/>
    <x v="13"/>
    <x v="14"/>
    <x v="1"/>
    <x v="1"/>
    <x v="1"/>
    <x v="0"/>
    <x v="0"/>
    <x v="0"/>
    <x v="1"/>
    <x v="4"/>
    <x v="0"/>
    <x v="0"/>
    <x v="0"/>
    <x v="0"/>
    <x v="2"/>
    <x v="2"/>
    <x v="0"/>
    <x v="0"/>
    <x v="21"/>
    <x v="17"/>
    <x v="20"/>
    <x v="0"/>
    <x v="0"/>
    <x v="18"/>
    <x v="21"/>
    <x v="21"/>
    <x v="21"/>
    <x v="21"/>
    <x v="21"/>
    <x v="7"/>
    <x v="20"/>
    <x v="20"/>
    <x v="5"/>
    <x v="18"/>
    <x v="12"/>
    <x v="10"/>
    <x v="11"/>
    <x v="21"/>
    <x v="9"/>
    <x v="10"/>
    <x v="21"/>
    <x v="4"/>
    <x v="4"/>
    <x v="11"/>
    <x v="9"/>
    <x v="21"/>
    <x v="7"/>
    <x v="0"/>
  </r>
  <r>
    <x v="24"/>
    <x v="24"/>
    <x v="0"/>
    <x v="0"/>
    <x v="0"/>
    <x v="0"/>
    <x v="0"/>
    <x v="24"/>
    <x v="0"/>
    <x v="14"/>
    <x v="15"/>
    <x v="14"/>
    <x v="15"/>
    <x v="0"/>
    <x v="0"/>
    <x v="0"/>
    <x v="0"/>
    <x v="0"/>
    <x v="0"/>
    <x v="1"/>
    <x v="4"/>
    <x v="0"/>
    <x v="0"/>
    <x v="0"/>
    <x v="0"/>
    <x v="2"/>
    <x v="2"/>
    <x v="0"/>
    <x v="0"/>
    <x v="22"/>
    <x v="18"/>
    <x v="21"/>
    <x v="0"/>
    <x v="0"/>
    <x v="19"/>
    <x v="22"/>
    <x v="22"/>
    <x v="22"/>
    <x v="22"/>
    <x v="22"/>
    <x v="5"/>
    <x v="21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25"/>
    <x v="25"/>
    <x v="0"/>
    <x v="0"/>
    <x v="0"/>
    <x v="0"/>
    <x v="0"/>
    <x v="25"/>
    <x v="0"/>
    <x v="15"/>
    <x v="16"/>
    <x v="15"/>
    <x v="16"/>
    <x v="0"/>
    <x v="0"/>
    <x v="0"/>
    <x v="0"/>
    <x v="0"/>
    <x v="0"/>
    <x v="1"/>
    <x v="3"/>
    <x v="0"/>
    <x v="0"/>
    <x v="0"/>
    <x v="0"/>
    <x v="2"/>
    <x v="2"/>
    <x v="0"/>
    <x v="0"/>
    <x v="23"/>
    <x v="19"/>
    <x v="22"/>
    <x v="0"/>
    <x v="0"/>
    <x v="20"/>
    <x v="23"/>
    <x v="23"/>
    <x v="23"/>
    <x v="23"/>
    <x v="23"/>
    <x v="5"/>
    <x v="22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26"/>
    <x v="26"/>
    <x v="0"/>
    <x v="0"/>
    <x v="0"/>
    <x v="0"/>
    <x v="0"/>
    <x v="26"/>
    <x v="0"/>
    <x v="16"/>
    <x v="9"/>
    <x v="16"/>
    <x v="17"/>
    <x v="0"/>
    <x v="0"/>
    <x v="0"/>
    <x v="0"/>
    <x v="0"/>
    <x v="0"/>
    <x v="1"/>
    <x v="3"/>
    <x v="0"/>
    <x v="0"/>
    <x v="0"/>
    <x v="0"/>
    <x v="2"/>
    <x v="2"/>
    <x v="0"/>
    <x v="0"/>
    <x v="24"/>
    <x v="20"/>
    <x v="23"/>
    <x v="0"/>
    <x v="0"/>
    <x v="21"/>
    <x v="24"/>
    <x v="24"/>
    <x v="24"/>
    <x v="24"/>
    <x v="24"/>
    <x v="8"/>
    <x v="23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27"/>
    <x v="27"/>
    <x v="0"/>
    <x v="0"/>
    <x v="0"/>
    <x v="0"/>
    <x v="0"/>
    <x v="27"/>
    <x v="0"/>
    <x v="17"/>
    <x v="17"/>
    <x v="17"/>
    <x v="18"/>
    <x v="0"/>
    <x v="0"/>
    <x v="0"/>
    <x v="0"/>
    <x v="0"/>
    <x v="0"/>
    <x v="3"/>
    <x v="5"/>
    <x v="0"/>
    <x v="0"/>
    <x v="0"/>
    <x v="0"/>
    <x v="2"/>
    <x v="2"/>
    <x v="0"/>
    <x v="0"/>
    <x v="25"/>
    <x v="21"/>
    <x v="24"/>
    <x v="0"/>
    <x v="0"/>
    <x v="22"/>
    <x v="25"/>
    <x v="25"/>
    <x v="25"/>
    <x v="25"/>
    <x v="25"/>
    <x v="8"/>
    <x v="24"/>
    <x v="24"/>
    <x v="0"/>
    <x v="0"/>
    <x v="0"/>
    <x v="0"/>
    <x v="0"/>
    <x v="0"/>
    <x v="0"/>
    <x v="0"/>
    <x v="0"/>
    <x v="0"/>
    <x v="0"/>
    <x v="0"/>
    <x v="0"/>
    <x v="0"/>
    <x v="0"/>
    <x v="0"/>
  </r>
  <r>
    <x v="28"/>
    <x v="28"/>
    <x v="0"/>
    <x v="0"/>
    <x v="0"/>
    <x v="0"/>
    <x v="1"/>
    <x v="28"/>
    <x v="0"/>
    <x v="13"/>
    <x v="14"/>
    <x v="18"/>
    <x v="19"/>
    <x v="0"/>
    <x v="0"/>
    <x v="0"/>
    <x v="0"/>
    <x v="0"/>
    <x v="0"/>
    <x v="4"/>
    <x v="4"/>
    <x v="0"/>
    <x v="0"/>
    <x v="1"/>
    <x v="2"/>
    <x v="2"/>
    <x v="2"/>
    <x v="0"/>
    <x v="0"/>
    <x v="26"/>
    <x v="22"/>
    <x v="25"/>
    <x v="0"/>
    <x v="0"/>
    <x v="23"/>
    <x v="26"/>
    <x v="26"/>
    <x v="26"/>
    <x v="26"/>
    <x v="26"/>
    <x v="5"/>
    <x v="25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29"/>
    <x v="29"/>
    <x v="0"/>
    <x v="0"/>
    <x v="0"/>
    <x v="0"/>
    <x v="1"/>
    <x v="29"/>
    <x v="0"/>
    <x v="18"/>
    <x v="18"/>
    <x v="19"/>
    <x v="20"/>
    <x v="0"/>
    <x v="0"/>
    <x v="0"/>
    <x v="0"/>
    <x v="0"/>
    <x v="0"/>
    <x v="5"/>
    <x v="6"/>
    <x v="0"/>
    <x v="0"/>
    <x v="1"/>
    <x v="3"/>
    <x v="2"/>
    <x v="2"/>
    <x v="0"/>
    <x v="0"/>
    <x v="27"/>
    <x v="23"/>
    <x v="26"/>
    <x v="1"/>
    <x v="2"/>
    <x v="24"/>
    <x v="27"/>
    <x v="27"/>
    <x v="27"/>
    <x v="27"/>
    <x v="27"/>
    <x v="8"/>
    <x v="26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30"/>
    <x v="30"/>
    <x v="0"/>
    <x v="0"/>
    <x v="0"/>
    <x v="0"/>
    <x v="2"/>
    <x v="30"/>
    <x v="0"/>
    <x v="19"/>
    <x v="19"/>
    <x v="20"/>
    <x v="21"/>
    <x v="0"/>
    <x v="0"/>
    <x v="0"/>
    <x v="0"/>
    <x v="0"/>
    <x v="0"/>
    <x v="6"/>
    <x v="5"/>
    <x v="0"/>
    <x v="0"/>
    <x v="0"/>
    <x v="0"/>
    <x v="2"/>
    <x v="2"/>
    <x v="1"/>
    <x v="0"/>
    <x v="28"/>
    <x v="24"/>
    <x v="27"/>
    <x v="0"/>
    <x v="0"/>
    <x v="25"/>
    <x v="28"/>
    <x v="28"/>
    <x v="28"/>
    <x v="28"/>
    <x v="28"/>
    <x v="5"/>
    <x v="27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31"/>
    <x v="31"/>
    <x v="0"/>
    <x v="0"/>
    <x v="0"/>
    <x v="0"/>
    <x v="2"/>
    <x v="31"/>
    <x v="0"/>
    <x v="20"/>
    <x v="20"/>
    <x v="21"/>
    <x v="22"/>
    <x v="2"/>
    <x v="2"/>
    <x v="2"/>
    <x v="0"/>
    <x v="0"/>
    <x v="0"/>
    <x v="6"/>
    <x v="5"/>
    <x v="0"/>
    <x v="0"/>
    <x v="0"/>
    <x v="0"/>
    <x v="3"/>
    <x v="3"/>
    <x v="0"/>
    <x v="0"/>
    <x v="29"/>
    <x v="25"/>
    <x v="28"/>
    <x v="0"/>
    <x v="0"/>
    <x v="26"/>
    <x v="29"/>
    <x v="29"/>
    <x v="29"/>
    <x v="29"/>
    <x v="29"/>
    <x v="8"/>
    <x v="28"/>
    <x v="28"/>
    <x v="0"/>
    <x v="0"/>
    <x v="0"/>
    <x v="0"/>
    <x v="0"/>
    <x v="0"/>
    <x v="0"/>
    <x v="0"/>
    <x v="0"/>
    <x v="0"/>
    <x v="0"/>
    <x v="0"/>
    <x v="0"/>
    <x v="0"/>
    <x v="0"/>
    <x v="0"/>
  </r>
  <r>
    <x v="32"/>
    <x v="32"/>
    <x v="0"/>
    <x v="0"/>
    <x v="0"/>
    <x v="0"/>
    <x v="2"/>
    <x v="32"/>
    <x v="0"/>
    <x v="15"/>
    <x v="16"/>
    <x v="22"/>
    <x v="23"/>
    <x v="0"/>
    <x v="0"/>
    <x v="0"/>
    <x v="0"/>
    <x v="0"/>
    <x v="0"/>
    <x v="6"/>
    <x v="3"/>
    <x v="0"/>
    <x v="0"/>
    <x v="0"/>
    <x v="0"/>
    <x v="3"/>
    <x v="3"/>
    <x v="0"/>
    <x v="0"/>
    <x v="30"/>
    <x v="26"/>
    <x v="29"/>
    <x v="0"/>
    <x v="0"/>
    <x v="27"/>
    <x v="30"/>
    <x v="30"/>
    <x v="30"/>
    <x v="30"/>
    <x v="30"/>
    <x v="5"/>
    <x v="29"/>
    <x v="29"/>
    <x v="0"/>
    <x v="0"/>
    <x v="0"/>
    <x v="0"/>
    <x v="0"/>
    <x v="0"/>
    <x v="0"/>
    <x v="0"/>
    <x v="0"/>
    <x v="0"/>
    <x v="0"/>
    <x v="0"/>
    <x v="0"/>
    <x v="0"/>
    <x v="0"/>
    <x v="0"/>
  </r>
  <r>
    <x v="33"/>
    <x v="33"/>
    <x v="0"/>
    <x v="0"/>
    <x v="0"/>
    <x v="0"/>
    <x v="2"/>
    <x v="33"/>
    <x v="0"/>
    <x v="21"/>
    <x v="21"/>
    <x v="23"/>
    <x v="24"/>
    <x v="2"/>
    <x v="2"/>
    <x v="2"/>
    <x v="0"/>
    <x v="0"/>
    <x v="0"/>
    <x v="6"/>
    <x v="7"/>
    <x v="0"/>
    <x v="0"/>
    <x v="0"/>
    <x v="0"/>
    <x v="3"/>
    <x v="3"/>
    <x v="0"/>
    <x v="0"/>
    <x v="31"/>
    <x v="27"/>
    <x v="30"/>
    <x v="1"/>
    <x v="3"/>
    <x v="28"/>
    <x v="29"/>
    <x v="31"/>
    <x v="31"/>
    <x v="31"/>
    <x v="31"/>
    <x v="7"/>
    <x v="30"/>
    <x v="30"/>
    <x v="0"/>
    <x v="0"/>
    <x v="0"/>
    <x v="0"/>
    <x v="0"/>
    <x v="0"/>
    <x v="0"/>
    <x v="0"/>
    <x v="0"/>
    <x v="0"/>
    <x v="0"/>
    <x v="0"/>
    <x v="0"/>
    <x v="0"/>
    <x v="0"/>
    <x v="0"/>
  </r>
  <r>
    <x v="34"/>
    <x v="34"/>
    <x v="0"/>
    <x v="0"/>
    <x v="0"/>
    <x v="0"/>
    <x v="2"/>
    <x v="34"/>
    <x v="0"/>
    <x v="22"/>
    <x v="22"/>
    <x v="24"/>
    <x v="25"/>
    <x v="0"/>
    <x v="0"/>
    <x v="0"/>
    <x v="0"/>
    <x v="0"/>
    <x v="0"/>
    <x v="7"/>
    <x v="5"/>
    <x v="0"/>
    <x v="0"/>
    <x v="2"/>
    <x v="4"/>
    <x v="3"/>
    <x v="4"/>
    <x v="0"/>
    <x v="0"/>
    <x v="32"/>
    <x v="28"/>
    <x v="31"/>
    <x v="0"/>
    <x v="0"/>
    <x v="23"/>
    <x v="14"/>
    <x v="32"/>
    <x v="32"/>
    <x v="32"/>
    <x v="23"/>
    <x v="7"/>
    <x v="31"/>
    <x v="31"/>
    <x v="0"/>
    <x v="0"/>
    <x v="0"/>
    <x v="0"/>
    <x v="0"/>
    <x v="0"/>
    <x v="0"/>
    <x v="0"/>
    <x v="0"/>
    <x v="0"/>
    <x v="0"/>
    <x v="0"/>
    <x v="0"/>
    <x v="0"/>
    <x v="0"/>
    <x v="0"/>
  </r>
  <r>
    <x v="35"/>
    <x v="35"/>
    <x v="0"/>
    <x v="0"/>
    <x v="0"/>
    <x v="0"/>
    <x v="2"/>
    <x v="35"/>
    <x v="0"/>
    <x v="23"/>
    <x v="23"/>
    <x v="25"/>
    <x v="26"/>
    <x v="0"/>
    <x v="0"/>
    <x v="0"/>
    <x v="0"/>
    <x v="0"/>
    <x v="0"/>
    <x v="6"/>
    <x v="3"/>
    <x v="0"/>
    <x v="0"/>
    <x v="0"/>
    <x v="0"/>
    <x v="3"/>
    <x v="4"/>
    <x v="0"/>
    <x v="0"/>
    <x v="33"/>
    <x v="29"/>
    <x v="28"/>
    <x v="0"/>
    <x v="0"/>
    <x v="29"/>
    <x v="31"/>
    <x v="33"/>
    <x v="26"/>
    <x v="33"/>
    <x v="32"/>
    <x v="5"/>
    <x v="32"/>
    <x v="32"/>
    <x v="0"/>
    <x v="0"/>
    <x v="0"/>
    <x v="0"/>
    <x v="0"/>
    <x v="0"/>
    <x v="0"/>
    <x v="0"/>
    <x v="0"/>
    <x v="0"/>
    <x v="0"/>
    <x v="0"/>
    <x v="0"/>
    <x v="0"/>
    <x v="0"/>
    <x v="0"/>
  </r>
  <r>
    <x v="36"/>
    <x v="36"/>
    <x v="0"/>
    <x v="0"/>
    <x v="0"/>
    <x v="0"/>
    <x v="2"/>
    <x v="36"/>
    <x v="0"/>
    <x v="21"/>
    <x v="21"/>
    <x v="23"/>
    <x v="24"/>
    <x v="1"/>
    <x v="3"/>
    <x v="1"/>
    <x v="0"/>
    <x v="0"/>
    <x v="0"/>
    <x v="6"/>
    <x v="7"/>
    <x v="0"/>
    <x v="0"/>
    <x v="0"/>
    <x v="0"/>
    <x v="3"/>
    <x v="4"/>
    <x v="0"/>
    <x v="0"/>
    <x v="34"/>
    <x v="30"/>
    <x v="32"/>
    <x v="0"/>
    <x v="0"/>
    <x v="30"/>
    <x v="32"/>
    <x v="34"/>
    <x v="33"/>
    <x v="34"/>
    <x v="33"/>
    <x v="5"/>
    <x v="33"/>
    <x v="33"/>
    <x v="0"/>
    <x v="0"/>
    <x v="0"/>
    <x v="0"/>
    <x v="0"/>
    <x v="0"/>
    <x v="0"/>
    <x v="0"/>
    <x v="0"/>
    <x v="0"/>
    <x v="0"/>
    <x v="0"/>
    <x v="0"/>
    <x v="0"/>
    <x v="0"/>
    <x v="0"/>
  </r>
  <r>
    <x v="37"/>
    <x v="37"/>
    <x v="0"/>
    <x v="0"/>
    <x v="0"/>
    <x v="0"/>
    <x v="3"/>
    <x v="37"/>
    <x v="0"/>
    <x v="24"/>
    <x v="24"/>
    <x v="26"/>
    <x v="27"/>
    <x v="1"/>
    <x v="4"/>
    <x v="1"/>
    <x v="0"/>
    <x v="0"/>
    <x v="0"/>
    <x v="8"/>
    <x v="3"/>
    <x v="0"/>
    <x v="0"/>
    <x v="1"/>
    <x v="5"/>
    <x v="3"/>
    <x v="5"/>
    <x v="0"/>
    <x v="0"/>
    <x v="35"/>
    <x v="31"/>
    <x v="33"/>
    <x v="0"/>
    <x v="0"/>
    <x v="31"/>
    <x v="30"/>
    <x v="35"/>
    <x v="34"/>
    <x v="35"/>
    <x v="34"/>
    <x v="5"/>
    <x v="34"/>
    <x v="34"/>
    <x v="0"/>
    <x v="0"/>
    <x v="0"/>
    <x v="0"/>
    <x v="0"/>
    <x v="0"/>
    <x v="0"/>
    <x v="0"/>
    <x v="0"/>
    <x v="0"/>
    <x v="0"/>
    <x v="0"/>
    <x v="0"/>
    <x v="0"/>
    <x v="0"/>
    <x v="0"/>
  </r>
  <r>
    <x v="38"/>
    <x v="38"/>
    <x v="0"/>
    <x v="0"/>
    <x v="0"/>
    <x v="0"/>
    <x v="3"/>
    <x v="38"/>
    <x v="0"/>
    <x v="25"/>
    <x v="25"/>
    <x v="27"/>
    <x v="28"/>
    <x v="3"/>
    <x v="5"/>
    <x v="3"/>
    <x v="0"/>
    <x v="0"/>
    <x v="0"/>
    <x v="9"/>
    <x v="5"/>
    <x v="0"/>
    <x v="0"/>
    <x v="0"/>
    <x v="0"/>
    <x v="3"/>
    <x v="5"/>
    <x v="2"/>
    <x v="0"/>
    <x v="36"/>
    <x v="32"/>
    <x v="33"/>
    <x v="0"/>
    <x v="0"/>
    <x v="28"/>
    <x v="30"/>
    <x v="36"/>
    <x v="35"/>
    <x v="36"/>
    <x v="35"/>
    <x v="4"/>
    <x v="35"/>
    <x v="35"/>
    <x v="0"/>
    <x v="0"/>
    <x v="0"/>
    <x v="0"/>
    <x v="0"/>
    <x v="0"/>
    <x v="0"/>
    <x v="0"/>
    <x v="0"/>
    <x v="0"/>
    <x v="0"/>
    <x v="0"/>
    <x v="0"/>
    <x v="0"/>
    <x v="0"/>
    <x v="0"/>
  </r>
  <r>
    <x v="39"/>
    <x v="39"/>
    <x v="0"/>
    <x v="0"/>
    <x v="0"/>
    <x v="0"/>
    <x v="3"/>
    <x v="39"/>
    <x v="0"/>
    <x v="23"/>
    <x v="23"/>
    <x v="28"/>
    <x v="29"/>
    <x v="2"/>
    <x v="6"/>
    <x v="2"/>
    <x v="0"/>
    <x v="0"/>
    <x v="0"/>
    <x v="10"/>
    <x v="3"/>
    <x v="0"/>
    <x v="0"/>
    <x v="1"/>
    <x v="6"/>
    <x v="3"/>
    <x v="5"/>
    <x v="0"/>
    <x v="0"/>
    <x v="37"/>
    <x v="33"/>
    <x v="33"/>
    <x v="0"/>
    <x v="0"/>
    <x v="32"/>
    <x v="33"/>
    <x v="37"/>
    <x v="36"/>
    <x v="37"/>
    <x v="36"/>
    <x v="8"/>
    <x v="36"/>
    <x v="36"/>
    <x v="0"/>
    <x v="0"/>
    <x v="0"/>
    <x v="0"/>
    <x v="0"/>
    <x v="0"/>
    <x v="0"/>
    <x v="0"/>
    <x v="0"/>
    <x v="0"/>
    <x v="0"/>
    <x v="0"/>
    <x v="0"/>
    <x v="0"/>
    <x v="0"/>
    <x v="0"/>
  </r>
  <r>
    <x v="40"/>
    <x v="40"/>
    <x v="0"/>
    <x v="0"/>
    <x v="0"/>
    <x v="0"/>
    <x v="3"/>
    <x v="40"/>
    <x v="0"/>
    <x v="17"/>
    <x v="17"/>
    <x v="29"/>
    <x v="30"/>
    <x v="1"/>
    <x v="4"/>
    <x v="1"/>
    <x v="0"/>
    <x v="0"/>
    <x v="0"/>
    <x v="11"/>
    <x v="5"/>
    <x v="0"/>
    <x v="0"/>
    <x v="1"/>
    <x v="7"/>
    <x v="3"/>
    <x v="6"/>
    <x v="0"/>
    <x v="0"/>
    <x v="38"/>
    <x v="34"/>
    <x v="34"/>
    <x v="0"/>
    <x v="0"/>
    <x v="33"/>
    <x v="34"/>
    <x v="37"/>
    <x v="37"/>
    <x v="22"/>
    <x v="37"/>
    <x v="7"/>
    <x v="37"/>
    <x v="37"/>
    <x v="0"/>
    <x v="0"/>
    <x v="0"/>
    <x v="0"/>
    <x v="0"/>
    <x v="0"/>
    <x v="0"/>
    <x v="0"/>
    <x v="0"/>
    <x v="0"/>
    <x v="0"/>
    <x v="0"/>
    <x v="0"/>
    <x v="0"/>
    <x v="0"/>
    <x v="0"/>
  </r>
  <r>
    <x v="41"/>
    <x v="41"/>
    <x v="0"/>
    <x v="0"/>
    <x v="0"/>
    <x v="0"/>
    <x v="3"/>
    <x v="41"/>
    <x v="0"/>
    <x v="17"/>
    <x v="17"/>
    <x v="29"/>
    <x v="31"/>
    <x v="1"/>
    <x v="4"/>
    <x v="1"/>
    <x v="0"/>
    <x v="0"/>
    <x v="0"/>
    <x v="12"/>
    <x v="5"/>
    <x v="0"/>
    <x v="0"/>
    <x v="1"/>
    <x v="7"/>
    <x v="3"/>
    <x v="6"/>
    <x v="0"/>
    <x v="0"/>
    <x v="39"/>
    <x v="35"/>
    <x v="33"/>
    <x v="0"/>
    <x v="0"/>
    <x v="23"/>
    <x v="35"/>
    <x v="38"/>
    <x v="38"/>
    <x v="38"/>
    <x v="38"/>
    <x v="7"/>
    <x v="38"/>
    <x v="38"/>
    <x v="0"/>
    <x v="0"/>
    <x v="0"/>
    <x v="0"/>
    <x v="0"/>
    <x v="0"/>
    <x v="0"/>
    <x v="0"/>
    <x v="0"/>
    <x v="0"/>
    <x v="0"/>
    <x v="0"/>
    <x v="0"/>
    <x v="0"/>
    <x v="0"/>
    <x v="0"/>
  </r>
  <r>
    <x v="42"/>
    <x v="42"/>
    <x v="0"/>
    <x v="0"/>
    <x v="0"/>
    <x v="0"/>
    <x v="3"/>
    <x v="42"/>
    <x v="0"/>
    <x v="26"/>
    <x v="26"/>
    <x v="30"/>
    <x v="32"/>
    <x v="0"/>
    <x v="0"/>
    <x v="0"/>
    <x v="0"/>
    <x v="0"/>
    <x v="0"/>
    <x v="13"/>
    <x v="8"/>
    <x v="0"/>
    <x v="0"/>
    <x v="1"/>
    <x v="8"/>
    <x v="3"/>
    <x v="6"/>
    <x v="3"/>
    <x v="0"/>
    <x v="40"/>
    <x v="36"/>
    <x v="35"/>
    <x v="2"/>
    <x v="4"/>
    <x v="34"/>
    <x v="36"/>
    <x v="39"/>
    <x v="34"/>
    <x v="39"/>
    <x v="39"/>
    <x v="5"/>
    <x v="39"/>
    <x v="39"/>
    <x v="0"/>
    <x v="0"/>
    <x v="0"/>
    <x v="0"/>
    <x v="0"/>
    <x v="0"/>
    <x v="0"/>
    <x v="0"/>
    <x v="0"/>
    <x v="0"/>
    <x v="0"/>
    <x v="0"/>
    <x v="0"/>
    <x v="0"/>
    <x v="0"/>
    <x v="0"/>
  </r>
  <r>
    <x v="43"/>
    <x v="43"/>
    <x v="0"/>
    <x v="0"/>
    <x v="0"/>
    <x v="0"/>
    <x v="3"/>
    <x v="43"/>
    <x v="0"/>
    <x v="27"/>
    <x v="27"/>
    <x v="31"/>
    <x v="33"/>
    <x v="1"/>
    <x v="4"/>
    <x v="1"/>
    <x v="0"/>
    <x v="0"/>
    <x v="0"/>
    <x v="14"/>
    <x v="9"/>
    <x v="0"/>
    <x v="0"/>
    <x v="1"/>
    <x v="9"/>
    <x v="3"/>
    <x v="6"/>
    <x v="0"/>
    <x v="0"/>
    <x v="41"/>
    <x v="37"/>
    <x v="35"/>
    <x v="0"/>
    <x v="0"/>
    <x v="35"/>
    <x v="37"/>
    <x v="40"/>
    <x v="39"/>
    <x v="40"/>
    <x v="40"/>
    <x v="5"/>
    <x v="40"/>
    <x v="40"/>
    <x v="0"/>
    <x v="0"/>
    <x v="0"/>
    <x v="0"/>
    <x v="0"/>
    <x v="0"/>
    <x v="0"/>
    <x v="0"/>
    <x v="0"/>
    <x v="0"/>
    <x v="0"/>
    <x v="0"/>
    <x v="0"/>
    <x v="0"/>
    <x v="0"/>
    <x v="0"/>
  </r>
  <r>
    <x v="44"/>
    <x v="44"/>
    <x v="0"/>
    <x v="0"/>
    <x v="0"/>
    <x v="0"/>
    <x v="4"/>
    <x v="44"/>
    <x v="0"/>
    <x v="28"/>
    <x v="28"/>
    <x v="32"/>
    <x v="34"/>
    <x v="4"/>
    <x v="7"/>
    <x v="4"/>
    <x v="0"/>
    <x v="0"/>
    <x v="0"/>
    <x v="15"/>
    <x v="6"/>
    <x v="0"/>
    <x v="0"/>
    <x v="0"/>
    <x v="0"/>
    <x v="3"/>
    <x v="6"/>
    <x v="0"/>
    <x v="0"/>
    <x v="42"/>
    <x v="38"/>
    <x v="36"/>
    <x v="1"/>
    <x v="5"/>
    <x v="36"/>
    <x v="38"/>
    <x v="41"/>
    <x v="40"/>
    <x v="41"/>
    <x v="41"/>
    <x v="5"/>
    <x v="41"/>
    <x v="41"/>
    <x v="0"/>
    <x v="0"/>
    <x v="0"/>
    <x v="0"/>
    <x v="0"/>
    <x v="0"/>
    <x v="0"/>
    <x v="0"/>
    <x v="0"/>
    <x v="0"/>
    <x v="0"/>
    <x v="0"/>
    <x v="0"/>
    <x v="0"/>
    <x v="0"/>
    <x v="0"/>
  </r>
  <r>
    <x v="45"/>
    <x v="45"/>
    <x v="0"/>
    <x v="0"/>
    <x v="0"/>
    <x v="0"/>
    <x v="5"/>
    <x v="45"/>
    <x v="0"/>
    <x v="22"/>
    <x v="22"/>
    <x v="33"/>
    <x v="35"/>
    <x v="2"/>
    <x v="8"/>
    <x v="2"/>
    <x v="0"/>
    <x v="0"/>
    <x v="0"/>
    <x v="16"/>
    <x v="5"/>
    <x v="0"/>
    <x v="0"/>
    <x v="1"/>
    <x v="10"/>
    <x v="4"/>
    <x v="7"/>
    <x v="0"/>
    <x v="0"/>
    <x v="43"/>
    <x v="39"/>
    <x v="37"/>
    <x v="1"/>
    <x v="6"/>
    <x v="37"/>
    <x v="39"/>
    <x v="42"/>
    <x v="29"/>
    <x v="42"/>
    <x v="42"/>
    <x v="5"/>
    <x v="42"/>
    <x v="42"/>
    <x v="0"/>
    <x v="0"/>
    <x v="0"/>
    <x v="0"/>
    <x v="0"/>
    <x v="0"/>
    <x v="0"/>
    <x v="0"/>
    <x v="0"/>
    <x v="0"/>
    <x v="0"/>
    <x v="0"/>
    <x v="0"/>
    <x v="0"/>
    <x v="0"/>
    <x v="0"/>
  </r>
  <r>
    <x v="46"/>
    <x v="46"/>
    <x v="0"/>
    <x v="0"/>
    <x v="0"/>
    <x v="0"/>
    <x v="5"/>
    <x v="46"/>
    <x v="0"/>
    <x v="29"/>
    <x v="29"/>
    <x v="34"/>
    <x v="36"/>
    <x v="2"/>
    <x v="8"/>
    <x v="2"/>
    <x v="0"/>
    <x v="0"/>
    <x v="0"/>
    <x v="17"/>
    <x v="7"/>
    <x v="0"/>
    <x v="0"/>
    <x v="1"/>
    <x v="11"/>
    <x v="4"/>
    <x v="7"/>
    <x v="0"/>
    <x v="0"/>
    <x v="44"/>
    <x v="40"/>
    <x v="38"/>
    <x v="0"/>
    <x v="0"/>
    <x v="38"/>
    <x v="40"/>
    <x v="43"/>
    <x v="36"/>
    <x v="43"/>
    <x v="43"/>
    <x v="8"/>
    <x v="43"/>
    <x v="43"/>
    <x v="0"/>
    <x v="0"/>
    <x v="0"/>
    <x v="0"/>
    <x v="0"/>
    <x v="0"/>
    <x v="0"/>
    <x v="0"/>
    <x v="0"/>
    <x v="0"/>
    <x v="0"/>
    <x v="0"/>
    <x v="0"/>
    <x v="0"/>
    <x v="0"/>
    <x v="0"/>
  </r>
  <r>
    <x v="47"/>
    <x v="47"/>
    <x v="0"/>
    <x v="0"/>
    <x v="0"/>
    <x v="0"/>
    <x v="5"/>
    <x v="47"/>
    <x v="0"/>
    <x v="30"/>
    <x v="30"/>
    <x v="35"/>
    <x v="37"/>
    <x v="2"/>
    <x v="8"/>
    <x v="2"/>
    <x v="0"/>
    <x v="0"/>
    <x v="0"/>
    <x v="18"/>
    <x v="3"/>
    <x v="0"/>
    <x v="0"/>
    <x v="0"/>
    <x v="0"/>
    <x v="4"/>
    <x v="7"/>
    <x v="0"/>
    <x v="0"/>
    <x v="45"/>
    <x v="41"/>
    <x v="39"/>
    <x v="0"/>
    <x v="0"/>
    <x v="20"/>
    <x v="41"/>
    <x v="44"/>
    <x v="41"/>
    <x v="21"/>
    <x v="44"/>
    <x v="7"/>
    <x v="44"/>
    <x v="44"/>
    <x v="0"/>
    <x v="0"/>
    <x v="0"/>
    <x v="0"/>
    <x v="0"/>
    <x v="0"/>
    <x v="0"/>
    <x v="0"/>
    <x v="0"/>
    <x v="0"/>
    <x v="0"/>
    <x v="0"/>
    <x v="0"/>
    <x v="0"/>
    <x v="0"/>
    <x v="0"/>
  </r>
  <r>
    <x v="48"/>
    <x v="48"/>
    <x v="0"/>
    <x v="0"/>
    <x v="0"/>
    <x v="0"/>
    <x v="4"/>
    <x v="48"/>
    <x v="0"/>
    <x v="23"/>
    <x v="23"/>
    <x v="36"/>
    <x v="38"/>
    <x v="2"/>
    <x v="9"/>
    <x v="2"/>
    <x v="0"/>
    <x v="0"/>
    <x v="0"/>
    <x v="19"/>
    <x v="3"/>
    <x v="0"/>
    <x v="0"/>
    <x v="1"/>
    <x v="6"/>
    <x v="5"/>
    <x v="8"/>
    <x v="0"/>
    <x v="0"/>
    <x v="46"/>
    <x v="42"/>
    <x v="40"/>
    <x v="0"/>
    <x v="0"/>
    <x v="39"/>
    <x v="42"/>
    <x v="45"/>
    <x v="32"/>
    <x v="44"/>
    <x v="45"/>
    <x v="1"/>
    <x v="45"/>
    <x v="45"/>
    <x v="0"/>
    <x v="0"/>
    <x v="0"/>
    <x v="0"/>
    <x v="0"/>
    <x v="0"/>
    <x v="0"/>
    <x v="0"/>
    <x v="0"/>
    <x v="0"/>
    <x v="0"/>
    <x v="0"/>
    <x v="0"/>
    <x v="0"/>
    <x v="0"/>
    <x v="0"/>
  </r>
  <r>
    <x v="49"/>
    <x v="49"/>
    <x v="0"/>
    <x v="0"/>
    <x v="0"/>
    <x v="0"/>
    <x v="4"/>
    <x v="49"/>
    <x v="0"/>
    <x v="31"/>
    <x v="31"/>
    <x v="37"/>
    <x v="39"/>
    <x v="1"/>
    <x v="10"/>
    <x v="1"/>
    <x v="0"/>
    <x v="0"/>
    <x v="0"/>
    <x v="20"/>
    <x v="2"/>
    <x v="0"/>
    <x v="0"/>
    <x v="1"/>
    <x v="12"/>
    <x v="5"/>
    <x v="8"/>
    <x v="0"/>
    <x v="0"/>
    <x v="47"/>
    <x v="43"/>
    <x v="41"/>
    <x v="0"/>
    <x v="0"/>
    <x v="18"/>
    <x v="30"/>
    <x v="46"/>
    <x v="42"/>
    <x v="45"/>
    <x v="35"/>
    <x v="1"/>
    <x v="46"/>
    <x v="46"/>
    <x v="0"/>
    <x v="0"/>
    <x v="0"/>
    <x v="0"/>
    <x v="0"/>
    <x v="0"/>
    <x v="0"/>
    <x v="0"/>
    <x v="0"/>
    <x v="0"/>
    <x v="0"/>
    <x v="0"/>
    <x v="0"/>
    <x v="0"/>
    <x v="0"/>
    <x v="0"/>
  </r>
  <r>
    <x v="50"/>
    <x v="50"/>
    <x v="0"/>
    <x v="0"/>
    <x v="0"/>
    <x v="0"/>
    <x v="3"/>
    <x v="50"/>
    <x v="0"/>
    <x v="9"/>
    <x v="32"/>
    <x v="38"/>
    <x v="40"/>
    <x v="1"/>
    <x v="11"/>
    <x v="1"/>
    <x v="0"/>
    <x v="0"/>
    <x v="0"/>
    <x v="21"/>
    <x v="4"/>
    <x v="0"/>
    <x v="0"/>
    <x v="1"/>
    <x v="13"/>
    <x v="5"/>
    <x v="8"/>
    <x v="0"/>
    <x v="0"/>
    <x v="48"/>
    <x v="44"/>
    <x v="42"/>
    <x v="0"/>
    <x v="0"/>
    <x v="40"/>
    <x v="43"/>
    <x v="47"/>
    <x v="43"/>
    <x v="46"/>
    <x v="46"/>
    <x v="1"/>
    <x v="47"/>
    <x v="47"/>
    <x v="0"/>
    <x v="0"/>
    <x v="0"/>
    <x v="0"/>
    <x v="0"/>
    <x v="0"/>
    <x v="0"/>
    <x v="0"/>
    <x v="0"/>
    <x v="0"/>
    <x v="0"/>
    <x v="0"/>
    <x v="0"/>
    <x v="0"/>
    <x v="0"/>
    <x v="0"/>
  </r>
  <r>
    <x v="51"/>
    <x v="51"/>
    <x v="0"/>
    <x v="0"/>
    <x v="0"/>
    <x v="0"/>
    <x v="1"/>
    <x v="51"/>
    <x v="0"/>
    <x v="14"/>
    <x v="14"/>
    <x v="39"/>
    <x v="41"/>
    <x v="1"/>
    <x v="11"/>
    <x v="1"/>
    <x v="0"/>
    <x v="0"/>
    <x v="0"/>
    <x v="22"/>
    <x v="4"/>
    <x v="0"/>
    <x v="0"/>
    <x v="0"/>
    <x v="0"/>
    <x v="5"/>
    <x v="9"/>
    <x v="4"/>
    <x v="0"/>
    <x v="49"/>
    <x v="45"/>
    <x v="43"/>
    <x v="0"/>
    <x v="0"/>
    <x v="12"/>
    <x v="44"/>
    <x v="48"/>
    <x v="14"/>
    <x v="47"/>
    <x v="25"/>
    <x v="1"/>
    <x v="48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52"/>
    <x v="52"/>
    <x v="0"/>
    <x v="0"/>
    <x v="0"/>
    <x v="0"/>
    <x v="3"/>
    <x v="52"/>
    <x v="0"/>
    <x v="14"/>
    <x v="15"/>
    <x v="40"/>
    <x v="42"/>
    <x v="1"/>
    <x v="10"/>
    <x v="1"/>
    <x v="0"/>
    <x v="0"/>
    <x v="0"/>
    <x v="23"/>
    <x v="4"/>
    <x v="0"/>
    <x v="0"/>
    <x v="1"/>
    <x v="14"/>
    <x v="5"/>
    <x v="9"/>
    <x v="0"/>
    <x v="0"/>
    <x v="50"/>
    <x v="46"/>
    <x v="44"/>
    <x v="0"/>
    <x v="0"/>
    <x v="41"/>
    <x v="45"/>
    <x v="49"/>
    <x v="44"/>
    <x v="48"/>
    <x v="47"/>
    <x v="7"/>
    <x v="49"/>
    <x v="48"/>
    <x v="0"/>
    <x v="0"/>
    <x v="0"/>
    <x v="0"/>
    <x v="0"/>
    <x v="0"/>
    <x v="0"/>
    <x v="0"/>
    <x v="0"/>
    <x v="0"/>
    <x v="0"/>
    <x v="0"/>
    <x v="0"/>
    <x v="0"/>
    <x v="0"/>
    <x v="0"/>
  </r>
  <r>
    <x v="53"/>
    <x v="53"/>
    <x v="0"/>
    <x v="0"/>
    <x v="0"/>
    <x v="0"/>
    <x v="4"/>
    <x v="53"/>
    <x v="0"/>
    <x v="13"/>
    <x v="32"/>
    <x v="41"/>
    <x v="43"/>
    <x v="5"/>
    <x v="12"/>
    <x v="5"/>
    <x v="0"/>
    <x v="0"/>
    <x v="0"/>
    <x v="24"/>
    <x v="4"/>
    <x v="0"/>
    <x v="0"/>
    <x v="2"/>
    <x v="1"/>
    <x v="5"/>
    <x v="9"/>
    <x v="0"/>
    <x v="0"/>
    <x v="51"/>
    <x v="47"/>
    <x v="45"/>
    <x v="2"/>
    <x v="7"/>
    <x v="15"/>
    <x v="46"/>
    <x v="50"/>
    <x v="45"/>
    <x v="49"/>
    <x v="48"/>
    <x v="1"/>
    <x v="50"/>
    <x v="49"/>
    <x v="0"/>
    <x v="0"/>
    <x v="0"/>
    <x v="0"/>
    <x v="0"/>
    <x v="0"/>
    <x v="0"/>
    <x v="0"/>
    <x v="0"/>
    <x v="0"/>
    <x v="0"/>
    <x v="0"/>
    <x v="0"/>
    <x v="0"/>
    <x v="0"/>
    <x v="0"/>
  </r>
  <r>
    <x v="54"/>
    <x v="54"/>
    <x v="0"/>
    <x v="0"/>
    <x v="0"/>
    <x v="0"/>
    <x v="4"/>
    <x v="54"/>
    <x v="0"/>
    <x v="7"/>
    <x v="8"/>
    <x v="42"/>
    <x v="44"/>
    <x v="2"/>
    <x v="9"/>
    <x v="2"/>
    <x v="0"/>
    <x v="0"/>
    <x v="0"/>
    <x v="25"/>
    <x v="1"/>
    <x v="0"/>
    <x v="0"/>
    <x v="0"/>
    <x v="0"/>
    <x v="5"/>
    <x v="10"/>
    <x v="0"/>
    <x v="0"/>
    <x v="52"/>
    <x v="48"/>
    <x v="46"/>
    <x v="0"/>
    <x v="0"/>
    <x v="42"/>
    <x v="47"/>
    <x v="10"/>
    <x v="46"/>
    <x v="50"/>
    <x v="49"/>
    <x v="7"/>
    <x v="51"/>
    <x v="50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55"/>
    <x v="0"/>
    <x v="0"/>
    <x v="0"/>
    <x v="0"/>
    <x v="4"/>
    <x v="55"/>
    <x v="0"/>
    <x v="6"/>
    <x v="7"/>
    <x v="43"/>
    <x v="45"/>
    <x v="1"/>
    <x v="10"/>
    <x v="1"/>
    <x v="0"/>
    <x v="0"/>
    <x v="0"/>
    <x v="25"/>
    <x v="1"/>
    <x v="0"/>
    <x v="0"/>
    <x v="2"/>
    <x v="15"/>
    <x v="5"/>
    <x v="10"/>
    <x v="0"/>
    <x v="0"/>
    <x v="53"/>
    <x v="49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"/>
    <x v="56"/>
    <x v="0"/>
    <x v="0"/>
    <x v="0"/>
    <x v="0"/>
    <x v="4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"/>
    <x v="57"/>
    <x v="1"/>
    <x v="1"/>
    <x v="1"/>
    <x v="0"/>
    <x v="6"/>
    <x v="56"/>
    <x v="1"/>
    <x v="32"/>
    <x v="33"/>
    <x v="44"/>
    <x v="46"/>
    <x v="6"/>
    <x v="13"/>
    <x v="6"/>
    <x v="1"/>
    <x v="1"/>
    <x v="1"/>
    <x v="0"/>
    <x v="10"/>
    <x v="0"/>
    <x v="0"/>
    <x v="3"/>
    <x v="16"/>
    <x v="6"/>
    <x v="11"/>
    <x v="5"/>
    <x v="1"/>
    <x v="54"/>
    <x v="50"/>
    <x v="47"/>
    <x v="3"/>
    <x v="8"/>
    <x v="43"/>
    <x v="48"/>
    <x v="51"/>
    <x v="47"/>
    <x v="51"/>
    <x v="50"/>
    <x v="0"/>
    <x v="52"/>
    <x v="51"/>
    <x v="0"/>
    <x v="19"/>
    <x v="21"/>
    <x v="17"/>
    <x v="18"/>
    <x v="22"/>
    <x v="10"/>
    <x v="0"/>
    <x v="22"/>
    <x v="6"/>
    <x v="6"/>
    <x v="12"/>
    <x v="13"/>
    <x v="22"/>
    <x v="10"/>
    <x v="0"/>
  </r>
  <r>
    <x v="58"/>
    <x v="58"/>
    <x v="2"/>
    <x v="2"/>
    <x v="2"/>
    <x v="1"/>
    <x v="7"/>
    <x v="57"/>
    <x v="2"/>
    <x v="33"/>
    <x v="34"/>
    <x v="45"/>
    <x v="47"/>
    <x v="7"/>
    <x v="14"/>
    <x v="7"/>
    <x v="2"/>
    <x v="2"/>
    <x v="2"/>
    <x v="26"/>
    <x v="11"/>
    <x v="0"/>
    <x v="0"/>
    <x v="4"/>
    <x v="17"/>
    <x v="7"/>
    <x v="12"/>
    <x v="6"/>
    <x v="2"/>
    <x v="55"/>
    <x v="51"/>
    <x v="48"/>
    <x v="4"/>
    <x v="9"/>
    <x v="44"/>
    <x v="49"/>
    <x v="52"/>
    <x v="48"/>
    <x v="52"/>
    <x v="51"/>
    <x v="9"/>
    <x v="53"/>
    <x v="52"/>
    <x v="13"/>
    <x v="20"/>
    <x v="22"/>
    <x v="18"/>
    <x v="19"/>
    <x v="23"/>
    <x v="11"/>
    <x v="17"/>
    <x v="23"/>
    <x v="7"/>
    <x v="7"/>
    <x v="13"/>
    <x v="14"/>
    <x v="23"/>
    <x v="11"/>
    <x v="0"/>
  </r>
  <r>
    <x v="59"/>
    <x v="0"/>
    <x v="3"/>
    <x v="0"/>
    <x v="3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"/>
    <x v="1"/>
    <x v="3"/>
    <x v="0"/>
    <x v="3"/>
    <x v="0"/>
    <x v="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"/>
    <x v="2"/>
    <x v="3"/>
    <x v="0"/>
    <x v="3"/>
    <x v="0"/>
    <x v="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"/>
    <x v="3"/>
    <x v="3"/>
    <x v="0"/>
    <x v="3"/>
    <x v="0"/>
    <x v="0"/>
    <x v="61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56"/>
    <x v="0"/>
    <x v="49"/>
    <x v="0"/>
    <x v="0"/>
    <x v="45"/>
    <x v="50"/>
    <x v="2"/>
    <x v="49"/>
    <x v="1"/>
    <x v="52"/>
    <x v="1"/>
    <x v="2"/>
    <x v="2"/>
    <x v="14"/>
    <x v="16"/>
    <x v="23"/>
    <x v="0"/>
    <x v="2"/>
    <x v="24"/>
    <x v="0"/>
    <x v="0"/>
    <x v="24"/>
    <x v="0"/>
    <x v="0"/>
    <x v="0"/>
    <x v="0"/>
    <x v="24"/>
    <x v="9"/>
    <x v="0"/>
  </r>
  <r>
    <x v="63"/>
    <x v="4"/>
    <x v="3"/>
    <x v="0"/>
    <x v="3"/>
    <x v="0"/>
    <x v="0"/>
    <x v="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7"/>
    <x v="0"/>
    <x v="0"/>
    <x v="0"/>
    <x v="0"/>
    <x v="46"/>
    <x v="3"/>
    <x v="53"/>
    <x v="49"/>
    <x v="53"/>
    <x v="53"/>
    <x v="1"/>
    <x v="0"/>
    <x v="0"/>
    <x v="15"/>
    <x v="21"/>
    <x v="24"/>
    <x v="0"/>
    <x v="2"/>
    <x v="3"/>
    <x v="0"/>
    <x v="0"/>
    <x v="25"/>
    <x v="0"/>
    <x v="0"/>
    <x v="0"/>
    <x v="0"/>
    <x v="25"/>
    <x v="12"/>
    <x v="0"/>
  </r>
  <r>
    <x v="64"/>
    <x v="5"/>
    <x v="3"/>
    <x v="0"/>
    <x v="3"/>
    <x v="0"/>
    <x v="0"/>
    <x v="63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58"/>
    <x v="0"/>
    <x v="50"/>
    <x v="0"/>
    <x v="0"/>
    <x v="47"/>
    <x v="4"/>
    <x v="54"/>
    <x v="50"/>
    <x v="54"/>
    <x v="1"/>
    <x v="1"/>
    <x v="54"/>
    <x v="53"/>
    <x v="16"/>
    <x v="22"/>
    <x v="25"/>
    <x v="19"/>
    <x v="20"/>
    <x v="25"/>
    <x v="12"/>
    <x v="18"/>
    <x v="26"/>
    <x v="4"/>
    <x v="4"/>
    <x v="14"/>
    <x v="15"/>
    <x v="26"/>
    <x v="13"/>
    <x v="0"/>
  </r>
  <r>
    <x v="65"/>
    <x v="6"/>
    <x v="3"/>
    <x v="0"/>
    <x v="3"/>
    <x v="0"/>
    <x v="0"/>
    <x v="64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59"/>
    <x v="52"/>
    <x v="51"/>
    <x v="0"/>
    <x v="0"/>
    <x v="48"/>
    <x v="51"/>
    <x v="55"/>
    <x v="51"/>
    <x v="55"/>
    <x v="54"/>
    <x v="1"/>
    <x v="55"/>
    <x v="54"/>
    <x v="17"/>
    <x v="23"/>
    <x v="26"/>
    <x v="20"/>
    <x v="21"/>
    <x v="26"/>
    <x v="13"/>
    <x v="19"/>
    <x v="27"/>
    <x v="4"/>
    <x v="4"/>
    <x v="15"/>
    <x v="15"/>
    <x v="27"/>
    <x v="13"/>
    <x v="0"/>
  </r>
  <r>
    <x v="66"/>
    <x v="7"/>
    <x v="3"/>
    <x v="0"/>
    <x v="3"/>
    <x v="0"/>
    <x v="0"/>
    <x v="7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60"/>
    <x v="53"/>
    <x v="52"/>
    <x v="0"/>
    <x v="0"/>
    <x v="47"/>
    <x v="52"/>
    <x v="56"/>
    <x v="50"/>
    <x v="56"/>
    <x v="5"/>
    <x v="1"/>
    <x v="56"/>
    <x v="55"/>
    <x v="18"/>
    <x v="10"/>
    <x v="27"/>
    <x v="21"/>
    <x v="22"/>
    <x v="27"/>
    <x v="6"/>
    <x v="20"/>
    <x v="28"/>
    <x v="3"/>
    <x v="3"/>
    <x v="8"/>
    <x v="16"/>
    <x v="28"/>
    <x v="2"/>
    <x v="0"/>
  </r>
  <r>
    <x v="67"/>
    <x v="8"/>
    <x v="3"/>
    <x v="0"/>
    <x v="3"/>
    <x v="0"/>
    <x v="0"/>
    <x v="65"/>
    <x v="0"/>
    <x v="2"/>
    <x v="2"/>
    <x v="2"/>
    <x v="48"/>
    <x v="0"/>
    <x v="0"/>
    <x v="0"/>
    <x v="0"/>
    <x v="0"/>
    <x v="0"/>
    <x v="27"/>
    <x v="0"/>
    <x v="0"/>
    <x v="0"/>
    <x v="1"/>
    <x v="18"/>
    <x v="0"/>
    <x v="0"/>
    <x v="0"/>
    <x v="0"/>
    <x v="61"/>
    <x v="54"/>
    <x v="53"/>
    <x v="0"/>
    <x v="0"/>
    <x v="4"/>
    <x v="53"/>
    <x v="57"/>
    <x v="52"/>
    <x v="57"/>
    <x v="55"/>
    <x v="1"/>
    <x v="57"/>
    <x v="56"/>
    <x v="14"/>
    <x v="24"/>
    <x v="28"/>
    <x v="22"/>
    <x v="23"/>
    <x v="28"/>
    <x v="12"/>
    <x v="21"/>
    <x v="29"/>
    <x v="4"/>
    <x v="2"/>
    <x v="1"/>
    <x v="11"/>
    <x v="29"/>
    <x v="2"/>
    <x v="0"/>
  </r>
  <r>
    <x v="68"/>
    <x v="9"/>
    <x v="3"/>
    <x v="0"/>
    <x v="3"/>
    <x v="0"/>
    <x v="0"/>
    <x v="66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62"/>
    <x v="55"/>
    <x v="54"/>
    <x v="0"/>
    <x v="0"/>
    <x v="4"/>
    <x v="54"/>
    <x v="58"/>
    <x v="6"/>
    <x v="4"/>
    <x v="56"/>
    <x v="1"/>
    <x v="58"/>
    <x v="57"/>
    <x v="19"/>
    <x v="25"/>
    <x v="8"/>
    <x v="23"/>
    <x v="24"/>
    <x v="29"/>
    <x v="3"/>
    <x v="22"/>
    <x v="30"/>
    <x v="3"/>
    <x v="3"/>
    <x v="5"/>
    <x v="17"/>
    <x v="30"/>
    <x v="4"/>
    <x v="0"/>
  </r>
  <r>
    <x v="69"/>
    <x v="10"/>
    <x v="3"/>
    <x v="0"/>
    <x v="3"/>
    <x v="0"/>
    <x v="0"/>
    <x v="67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63"/>
    <x v="56"/>
    <x v="55"/>
    <x v="0"/>
    <x v="0"/>
    <x v="49"/>
    <x v="55"/>
    <x v="59"/>
    <x v="2"/>
    <x v="58"/>
    <x v="57"/>
    <x v="1"/>
    <x v="59"/>
    <x v="58"/>
    <x v="10"/>
    <x v="26"/>
    <x v="29"/>
    <x v="24"/>
    <x v="25"/>
    <x v="30"/>
    <x v="14"/>
    <x v="23"/>
    <x v="31"/>
    <x v="3"/>
    <x v="3"/>
    <x v="16"/>
    <x v="7"/>
    <x v="31"/>
    <x v="8"/>
    <x v="0"/>
  </r>
  <r>
    <x v="70"/>
    <x v="11"/>
    <x v="3"/>
    <x v="0"/>
    <x v="3"/>
    <x v="0"/>
    <x v="0"/>
    <x v="68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4"/>
    <x v="57"/>
    <x v="56"/>
    <x v="0"/>
    <x v="0"/>
    <x v="5"/>
    <x v="56"/>
    <x v="60"/>
    <x v="5"/>
    <x v="59"/>
    <x v="58"/>
    <x v="1"/>
    <x v="60"/>
    <x v="59"/>
    <x v="20"/>
    <x v="27"/>
    <x v="30"/>
    <x v="0"/>
    <x v="2"/>
    <x v="31"/>
    <x v="0"/>
    <x v="0"/>
    <x v="32"/>
    <x v="0"/>
    <x v="0"/>
    <x v="0"/>
    <x v="0"/>
    <x v="32"/>
    <x v="7"/>
    <x v="0"/>
  </r>
  <r>
    <x v="71"/>
    <x v="12"/>
    <x v="3"/>
    <x v="0"/>
    <x v="3"/>
    <x v="0"/>
    <x v="0"/>
    <x v="69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65"/>
    <x v="58"/>
    <x v="57"/>
    <x v="0"/>
    <x v="0"/>
    <x v="50"/>
    <x v="57"/>
    <x v="61"/>
    <x v="53"/>
    <x v="6"/>
    <x v="59"/>
    <x v="1"/>
    <x v="61"/>
    <x v="60"/>
    <x v="21"/>
    <x v="28"/>
    <x v="31"/>
    <x v="25"/>
    <x v="26"/>
    <x v="32"/>
    <x v="13"/>
    <x v="24"/>
    <x v="33"/>
    <x v="4"/>
    <x v="4"/>
    <x v="15"/>
    <x v="9"/>
    <x v="33"/>
    <x v="7"/>
    <x v="0"/>
  </r>
  <r>
    <x v="72"/>
    <x v="13"/>
    <x v="3"/>
    <x v="0"/>
    <x v="3"/>
    <x v="0"/>
    <x v="0"/>
    <x v="70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6"/>
    <x v="59"/>
    <x v="58"/>
    <x v="0"/>
    <x v="0"/>
    <x v="51"/>
    <x v="58"/>
    <x v="62"/>
    <x v="54"/>
    <x v="60"/>
    <x v="6"/>
    <x v="1"/>
    <x v="62"/>
    <x v="61"/>
    <x v="9"/>
    <x v="29"/>
    <x v="13"/>
    <x v="26"/>
    <x v="27"/>
    <x v="33"/>
    <x v="2"/>
    <x v="25"/>
    <x v="34"/>
    <x v="3"/>
    <x v="3"/>
    <x v="2"/>
    <x v="7"/>
    <x v="34"/>
    <x v="8"/>
    <x v="0"/>
  </r>
  <r>
    <x v="73"/>
    <x v="14"/>
    <x v="3"/>
    <x v="0"/>
    <x v="3"/>
    <x v="0"/>
    <x v="0"/>
    <x v="71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67"/>
    <x v="60"/>
    <x v="59"/>
    <x v="0"/>
    <x v="0"/>
    <x v="52"/>
    <x v="59"/>
    <x v="63"/>
    <x v="7"/>
    <x v="61"/>
    <x v="60"/>
    <x v="1"/>
    <x v="63"/>
    <x v="62"/>
    <x v="21"/>
    <x v="30"/>
    <x v="32"/>
    <x v="27"/>
    <x v="28"/>
    <x v="34"/>
    <x v="3"/>
    <x v="26"/>
    <x v="35"/>
    <x v="2"/>
    <x v="2"/>
    <x v="5"/>
    <x v="12"/>
    <x v="35"/>
    <x v="8"/>
    <x v="0"/>
  </r>
  <r>
    <x v="74"/>
    <x v="15"/>
    <x v="3"/>
    <x v="0"/>
    <x v="3"/>
    <x v="0"/>
    <x v="0"/>
    <x v="14"/>
    <x v="0"/>
    <x v="10"/>
    <x v="11"/>
    <x v="10"/>
    <x v="49"/>
    <x v="1"/>
    <x v="1"/>
    <x v="1"/>
    <x v="0"/>
    <x v="0"/>
    <x v="0"/>
    <x v="28"/>
    <x v="2"/>
    <x v="0"/>
    <x v="0"/>
    <x v="1"/>
    <x v="19"/>
    <x v="0"/>
    <x v="0"/>
    <x v="0"/>
    <x v="0"/>
    <x v="68"/>
    <x v="61"/>
    <x v="60"/>
    <x v="0"/>
    <x v="0"/>
    <x v="53"/>
    <x v="60"/>
    <x v="64"/>
    <x v="55"/>
    <x v="62"/>
    <x v="61"/>
    <x v="1"/>
    <x v="64"/>
    <x v="63"/>
    <x v="7"/>
    <x v="30"/>
    <x v="33"/>
    <x v="28"/>
    <x v="29"/>
    <x v="35"/>
    <x v="15"/>
    <x v="27"/>
    <x v="36"/>
    <x v="4"/>
    <x v="4"/>
    <x v="17"/>
    <x v="8"/>
    <x v="36"/>
    <x v="8"/>
    <x v="0"/>
  </r>
  <r>
    <x v="75"/>
    <x v="16"/>
    <x v="3"/>
    <x v="0"/>
    <x v="3"/>
    <x v="0"/>
    <x v="0"/>
    <x v="72"/>
    <x v="0"/>
    <x v="10"/>
    <x v="11"/>
    <x v="10"/>
    <x v="11"/>
    <x v="1"/>
    <x v="1"/>
    <x v="1"/>
    <x v="0"/>
    <x v="0"/>
    <x v="0"/>
    <x v="1"/>
    <x v="2"/>
    <x v="0"/>
    <x v="0"/>
    <x v="0"/>
    <x v="0"/>
    <x v="0"/>
    <x v="0"/>
    <x v="0"/>
    <x v="0"/>
    <x v="69"/>
    <x v="62"/>
    <x v="61"/>
    <x v="0"/>
    <x v="0"/>
    <x v="13"/>
    <x v="61"/>
    <x v="65"/>
    <x v="56"/>
    <x v="63"/>
    <x v="62"/>
    <x v="1"/>
    <x v="65"/>
    <x v="64"/>
    <x v="10"/>
    <x v="9"/>
    <x v="34"/>
    <x v="24"/>
    <x v="30"/>
    <x v="36"/>
    <x v="16"/>
    <x v="28"/>
    <x v="37"/>
    <x v="3"/>
    <x v="3"/>
    <x v="18"/>
    <x v="7"/>
    <x v="37"/>
    <x v="8"/>
    <x v="0"/>
  </r>
  <r>
    <x v="76"/>
    <x v="17"/>
    <x v="3"/>
    <x v="0"/>
    <x v="3"/>
    <x v="0"/>
    <x v="0"/>
    <x v="73"/>
    <x v="0"/>
    <x v="31"/>
    <x v="6"/>
    <x v="46"/>
    <x v="50"/>
    <x v="5"/>
    <x v="15"/>
    <x v="1"/>
    <x v="0"/>
    <x v="0"/>
    <x v="0"/>
    <x v="1"/>
    <x v="2"/>
    <x v="0"/>
    <x v="0"/>
    <x v="0"/>
    <x v="0"/>
    <x v="0"/>
    <x v="0"/>
    <x v="0"/>
    <x v="0"/>
    <x v="70"/>
    <x v="63"/>
    <x v="23"/>
    <x v="1"/>
    <x v="10"/>
    <x v="52"/>
    <x v="62"/>
    <x v="66"/>
    <x v="57"/>
    <x v="62"/>
    <x v="63"/>
    <x v="1"/>
    <x v="66"/>
    <x v="65"/>
    <x v="0"/>
    <x v="0"/>
    <x v="0"/>
    <x v="0"/>
    <x v="0"/>
    <x v="0"/>
    <x v="0"/>
    <x v="0"/>
    <x v="0"/>
    <x v="0"/>
    <x v="0"/>
    <x v="0"/>
    <x v="0"/>
    <x v="38"/>
    <x v="0"/>
    <x v="0"/>
  </r>
  <r>
    <x v="77"/>
    <x v="18"/>
    <x v="3"/>
    <x v="0"/>
    <x v="3"/>
    <x v="0"/>
    <x v="0"/>
    <x v="74"/>
    <x v="0"/>
    <x v="6"/>
    <x v="7"/>
    <x v="6"/>
    <x v="7"/>
    <x v="1"/>
    <x v="1"/>
    <x v="1"/>
    <x v="0"/>
    <x v="0"/>
    <x v="0"/>
    <x v="1"/>
    <x v="1"/>
    <x v="0"/>
    <x v="0"/>
    <x v="0"/>
    <x v="0"/>
    <x v="0"/>
    <x v="0"/>
    <x v="0"/>
    <x v="0"/>
    <x v="71"/>
    <x v="64"/>
    <x v="23"/>
    <x v="0"/>
    <x v="0"/>
    <x v="4"/>
    <x v="9"/>
    <x v="60"/>
    <x v="52"/>
    <x v="64"/>
    <x v="64"/>
    <x v="1"/>
    <x v="67"/>
    <x v="66"/>
    <x v="0"/>
    <x v="0"/>
    <x v="0"/>
    <x v="0"/>
    <x v="0"/>
    <x v="0"/>
    <x v="0"/>
    <x v="0"/>
    <x v="0"/>
    <x v="0"/>
    <x v="0"/>
    <x v="0"/>
    <x v="0"/>
    <x v="0"/>
    <x v="0"/>
    <x v="0"/>
  </r>
  <r>
    <x v="78"/>
    <x v="19"/>
    <x v="3"/>
    <x v="0"/>
    <x v="3"/>
    <x v="0"/>
    <x v="0"/>
    <x v="75"/>
    <x v="0"/>
    <x v="6"/>
    <x v="7"/>
    <x v="6"/>
    <x v="51"/>
    <x v="0"/>
    <x v="0"/>
    <x v="0"/>
    <x v="0"/>
    <x v="0"/>
    <x v="0"/>
    <x v="29"/>
    <x v="1"/>
    <x v="0"/>
    <x v="0"/>
    <x v="2"/>
    <x v="15"/>
    <x v="0"/>
    <x v="0"/>
    <x v="0"/>
    <x v="0"/>
    <x v="72"/>
    <x v="65"/>
    <x v="23"/>
    <x v="0"/>
    <x v="0"/>
    <x v="54"/>
    <x v="63"/>
    <x v="62"/>
    <x v="54"/>
    <x v="65"/>
    <x v="58"/>
    <x v="1"/>
    <x v="68"/>
    <x v="67"/>
    <x v="0"/>
    <x v="0"/>
    <x v="0"/>
    <x v="0"/>
    <x v="0"/>
    <x v="0"/>
    <x v="0"/>
    <x v="0"/>
    <x v="0"/>
    <x v="0"/>
    <x v="0"/>
    <x v="0"/>
    <x v="0"/>
    <x v="0"/>
    <x v="0"/>
    <x v="0"/>
  </r>
  <r>
    <x v="79"/>
    <x v="20"/>
    <x v="3"/>
    <x v="0"/>
    <x v="3"/>
    <x v="0"/>
    <x v="0"/>
    <x v="76"/>
    <x v="0"/>
    <x v="5"/>
    <x v="5"/>
    <x v="5"/>
    <x v="5"/>
    <x v="0"/>
    <x v="0"/>
    <x v="0"/>
    <x v="0"/>
    <x v="0"/>
    <x v="0"/>
    <x v="1"/>
    <x v="1"/>
    <x v="0"/>
    <x v="0"/>
    <x v="0"/>
    <x v="0"/>
    <x v="1"/>
    <x v="1"/>
    <x v="0"/>
    <x v="0"/>
    <x v="73"/>
    <x v="66"/>
    <x v="23"/>
    <x v="0"/>
    <x v="0"/>
    <x v="48"/>
    <x v="64"/>
    <x v="67"/>
    <x v="51"/>
    <x v="66"/>
    <x v="59"/>
    <x v="1"/>
    <x v="69"/>
    <x v="68"/>
    <x v="0"/>
    <x v="0"/>
    <x v="0"/>
    <x v="0"/>
    <x v="0"/>
    <x v="0"/>
    <x v="0"/>
    <x v="0"/>
    <x v="0"/>
    <x v="0"/>
    <x v="0"/>
    <x v="0"/>
    <x v="0"/>
    <x v="0"/>
    <x v="0"/>
    <x v="0"/>
  </r>
  <r>
    <x v="80"/>
    <x v="21"/>
    <x v="3"/>
    <x v="0"/>
    <x v="3"/>
    <x v="0"/>
    <x v="0"/>
    <x v="77"/>
    <x v="0"/>
    <x v="5"/>
    <x v="5"/>
    <x v="5"/>
    <x v="5"/>
    <x v="0"/>
    <x v="0"/>
    <x v="0"/>
    <x v="0"/>
    <x v="0"/>
    <x v="0"/>
    <x v="1"/>
    <x v="1"/>
    <x v="0"/>
    <x v="0"/>
    <x v="0"/>
    <x v="0"/>
    <x v="1"/>
    <x v="1"/>
    <x v="0"/>
    <x v="0"/>
    <x v="74"/>
    <x v="67"/>
    <x v="23"/>
    <x v="1"/>
    <x v="11"/>
    <x v="4"/>
    <x v="65"/>
    <x v="68"/>
    <x v="7"/>
    <x v="67"/>
    <x v="65"/>
    <x v="1"/>
    <x v="70"/>
    <x v="69"/>
    <x v="0"/>
    <x v="0"/>
    <x v="0"/>
    <x v="0"/>
    <x v="0"/>
    <x v="0"/>
    <x v="0"/>
    <x v="0"/>
    <x v="0"/>
    <x v="0"/>
    <x v="0"/>
    <x v="0"/>
    <x v="0"/>
    <x v="0"/>
    <x v="0"/>
    <x v="0"/>
  </r>
  <r>
    <x v="81"/>
    <x v="22"/>
    <x v="3"/>
    <x v="0"/>
    <x v="3"/>
    <x v="0"/>
    <x v="0"/>
    <x v="78"/>
    <x v="0"/>
    <x v="31"/>
    <x v="31"/>
    <x v="46"/>
    <x v="50"/>
    <x v="0"/>
    <x v="0"/>
    <x v="0"/>
    <x v="0"/>
    <x v="0"/>
    <x v="0"/>
    <x v="1"/>
    <x v="2"/>
    <x v="0"/>
    <x v="0"/>
    <x v="0"/>
    <x v="0"/>
    <x v="1"/>
    <x v="1"/>
    <x v="0"/>
    <x v="0"/>
    <x v="75"/>
    <x v="68"/>
    <x v="23"/>
    <x v="0"/>
    <x v="0"/>
    <x v="51"/>
    <x v="60"/>
    <x v="63"/>
    <x v="4"/>
    <x v="68"/>
    <x v="66"/>
    <x v="1"/>
    <x v="71"/>
    <x v="70"/>
    <x v="0"/>
    <x v="0"/>
    <x v="0"/>
    <x v="0"/>
    <x v="0"/>
    <x v="0"/>
    <x v="0"/>
    <x v="0"/>
    <x v="0"/>
    <x v="0"/>
    <x v="0"/>
    <x v="0"/>
    <x v="0"/>
    <x v="0"/>
    <x v="0"/>
    <x v="0"/>
  </r>
  <r>
    <x v="82"/>
    <x v="23"/>
    <x v="3"/>
    <x v="0"/>
    <x v="3"/>
    <x v="0"/>
    <x v="0"/>
    <x v="73"/>
    <x v="0"/>
    <x v="5"/>
    <x v="5"/>
    <x v="5"/>
    <x v="5"/>
    <x v="0"/>
    <x v="0"/>
    <x v="0"/>
    <x v="0"/>
    <x v="0"/>
    <x v="0"/>
    <x v="1"/>
    <x v="1"/>
    <x v="0"/>
    <x v="0"/>
    <x v="0"/>
    <x v="0"/>
    <x v="2"/>
    <x v="2"/>
    <x v="0"/>
    <x v="0"/>
    <x v="76"/>
    <x v="69"/>
    <x v="23"/>
    <x v="0"/>
    <x v="0"/>
    <x v="51"/>
    <x v="6"/>
    <x v="69"/>
    <x v="54"/>
    <x v="60"/>
    <x v="6"/>
    <x v="1"/>
    <x v="72"/>
    <x v="71"/>
    <x v="0"/>
    <x v="0"/>
    <x v="0"/>
    <x v="0"/>
    <x v="0"/>
    <x v="0"/>
    <x v="0"/>
    <x v="0"/>
    <x v="0"/>
    <x v="0"/>
    <x v="0"/>
    <x v="0"/>
    <x v="0"/>
    <x v="0"/>
    <x v="0"/>
    <x v="0"/>
  </r>
  <r>
    <x v="83"/>
    <x v="24"/>
    <x v="3"/>
    <x v="0"/>
    <x v="3"/>
    <x v="0"/>
    <x v="0"/>
    <x v="79"/>
    <x v="0"/>
    <x v="31"/>
    <x v="31"/>
    <x v="46"/>
    <x v="50"/>
    <x v="1"/>
    <x v="1"/>
    <x v="1"/>
    <x v="0"/>
    <x v="0"/>
    <x v="0"/>
    <x v="1"/>
    <x v="2"/>
    <x v="0"/>
    <x v="0"/>
    <x v="0"/>
    <x v="0"/>
    <x v="2"/>
    <x v="2"/>
    <x v="0"/>
    <x v="0"/>
    <x v="77"/>
    <x v="70"/>
    <x v="62"/>
    <x v="0"/>
    <x v="0"/>
    <x v="16"/>
    <x v="66"/>
    <x v="70"/>
    <x v="11"/>
    <x v="69"/>
    <x v="65"/>
    <x v="1"/>
    <x v="73"/>
    <x v="72"/>
    <x v="0"/>
    <x v="0"/>
    <x v="0"/>
    <x v="0"/>
    <x v="0"/>
    <x v="0"/>
    <x v="0"/>
    <x v="0"/>
    <x v="0"/>
    <x v="0"/>
    <x v="0"/>
    <x v="0"/>
    <x v="0"/>
    <x v="0"/>
    <x v="0"/>
    <x v="0"/>
  </r>
  <r>
    <x v="84"/>
    <x v="25"/>
    <x v="3"/>
    <x v="0"/>
    <x v="3"/>
    <x v="0"/>
    <x v="0"/>
    <x v="72"/>
    <x v="0"/>
    <x v="34"/>
    <x v="35"/>
    <x v="47"/>
    <x v="52"/>
    <x v="1"/>
    <x v="1"/>
    <x v="1"/>
    <x v="0"/>
    <x v="0"/>
    <x v="0"/>
    <x v="30"/>
    <x v="1"/>
    <x v="0"/>
    <x v="0"/>
    <x v="1"/>
    <x v="20"/>
    <x v="2"/>
    <x v="2"/>
    <x v="0"/>
    <x v="0"/>
    <x v="78"/>
    <x v="71"/>
    <x v="23"/>
    <x v="0"/>
    <x v="0"/>
    <x v="55"/>
    <x v="67"/>
    <x v="9"/>
    <x v="58"/>
    <x v="59"/>
    <x v="67"/>
    <x v="1"/>
    <x v="74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85"/>
    <x v="26"/>
    <x v="3"/>
    <x v="0"/>
    <x v="3"/>
    <x v="0"/>
    <x v="0"/>
    <x v="80"/>
    <x v="0"/>
    <x v="12"/>
    <x v="36"/>
    <x v="12"/>
    <x v="53"/>
    <x v="0"/>
    <x v="0"/>
    <x v="0"/>
    <x v="0"/>
    <x v="0"/>
    <x v="0"/>
    <x v="31"/>
    <x v="2"/>
    <x v="0"/>
    <x v="0"/>
    <x v="1"/>
    <x v="21"/>
    <x v="2"/>
    <x v="2"/>
    <x v="0"/>
    <x v="0"/>
    <x v="79"/>
    <x v="72"/>
    <x v="63"/>
    <x v="1"/>
    <x v="1"/>
    <x v="55"/>
    <x v="68"/>
    <x v="71"/>
    <x v="59"/>
    <x v="64"/>
    <x v="68"/>
    <x v="1"/>
    <x v="75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86"/>
    <x v="27"/>
    <x v="3"/>
    <x v="0"/>
    <x v="3"/>
    <x v="0"/>
    <x v="0"/>
    <x v="13"/>
    <x v="0"/>
    <x v="35"/>
    <x v="6"/>
    <x v="48"/>
    <x v="54"/>
    <x v="0"/>
    <x v="0"/>
    <x v="0"/>
    <x v="0"/>
    <x v="0"/>
    <x v="0"/>
    <x v="32"/>
    <x v="1"/>
    <x v="0"/>
    <x v="0"/>
    <x v="1"/>
    <x v="22"/>
    <x v="2"/>
    <x v="2"/>
    <x v="0"/>
    <x v="0"/>
    <x v="80"/>
    <x v="73"/>
    <x v="23"/>
    <x v="0"/>
    <x v="0"/>
    <x v="3"/>
    <x v="69"/>
    <x v="68"/>
    <x v="53"/>
    <x v="70"/>
    <x v="65"/>
    <x v="1"/>
    <x v="76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87"/>
    <x v="28"/>
    <x v="3"/>
    <x v="0"/>
    <x v="3"/>
    <x v="0"/>
    <x v="0"/>
    <x v="81"/>
    <x v="0"/>
    <x v="7"/>
    <x v="8"/>
    <x v="7"/>
    <x v="8"/>
    <x v="0"/>
    <x v="0"/>
    <x v="0"/>
    <x v="0"/>
    <x v="0"/>
    <x v="0"/>
    <x v="1"/>
    <x v="1"/>
    <x v="0"/>
    <x v="0"/>
    <x v="0"/>
    <x v="0"/>
    <x v="2"/>
    <x v="2"/>
    <x v="0"/>
    <x v="0"/>
    <x v="81"/>
    <x v="74"/>
    <x v="23"/>
    <x v="0"/>
    <x v="0"/>
    <x v="56"/>
    <x v="70"/>
    <x v="72"/>
    <x v="60"/>
    <x v="71"/>
    <x v="69"/>
    <x v="1"/>
    <x v="77"/>
    <x v="76"/>
    <x v="0"/>
    <x v="0"/>
    <x v="0"/>
    <x v="0"/>
    <x v="0"/>
    <x v="0"/>
    <x v="0"/>
    <x v="0"/>
    <x v="0"/>
    <x v="0"/>
    <x v="0"/>
    <x v="0"/>
    <x v="0"/>
    <x v="0"/>
    <x v="0"/>
    <x v="0"/>
  </r>
  <r>
    <x v="88"/>
    <x v="29"/>
    <x v="3"/>
    <x v="0"/>
    <x v="3"/>
    <x v="0"/>
    <x v="0"/>
    <x v="82"/>
    <x v="0"/>
    <x v="30"/>
    <x v="30"/>
    <x v="49"/>
    <x v="55"/>
    <x v="0"/>
    <x v="0"/>
    <x v="0"/>
    <x v="0"/>
    <x v="0"/>
    <x v="0"/>
    <x v="1"/>
    <x v="3"/>
    <x v="0"/>
    <x v="0"/>
    <x v="0"/>
    <x v="0"/>
    <x v="2"/>
    <x v="2"/>
    <x v="0"/>
    <x v="0"/>
    <x v="82"/>
    <x v="75"/>
    <x v="64"/>
    <x v="0"/>
    <x v="0"/>
    <x v="7"/>
    <x v="71"/>
    <x v="73"/>
    <x v="59"/>
    <x v="13"/>
    <x v="70"/>
    <x v="1"/>
    <x v="78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89"/>
    <x v="30"/>
    <x v="3"/>
    <x v="0"/>
    <x v="3"/>
    <x v="0"/>
    <x v="8"/>
    <x v="83"/>
    <x v="0"/>
    <x v="7"/>
    <x v="8"/>
    <x v="50"/>
    <x v="56"/>
    <x v="0"/>
    <x v="0"/>
    <x v="0"/>
    <x v="0"/>
    <x v="0"/>
    <x v="0"/>
    <x v="33"/>
    <x v="1"/>
    <x v="0"/>
    <x v="0"/>
    <x v="0"/>
    <x v="0"/>
    <x v="2"/>
    <x v="2"/>
    <x v="0"/>
    <x v="0"/>
    <x v="83"/>
    <x v="76"/>
    <x v="65"/>
    <x v="0"/>
    <x v="0"/>
    <x v="56"/>
    <x v="69"/>
    <x v="74"/>
    <x v="54"/>
    <x v="72"/>
    <x v="71"/>
    <x v="1"/>
    <x v="79"/>
    <x v="78"/>
    <x v="0"/>
    <x v="0"/>
    <x v="0"/>
    <x v="0"/>
    <x v="0"/>
    <x v="0"/>
    <x v="0"/>
    <x v="0"/>
    <x v="0"/>
    <x v="0"/>
    <x v="0"/>
    <x v="0"/>
    <x v="0"/>
    <x v="0"/>
    <x v="0"/>
    <x v="0"/>
  </r>
  <r>
    <x v="90"/>
    <x v="31"/>
    <x v="3"/>
    <x v="0"/>
    <x v="3"/>
    <x v="0"/>
    <x v="8"/>
    <x v="84"/>
    <x v="0"/>
    <x v="31"/>
    <x v="31"/>
    <x v="51"/>
    <x v="57"/>
    <x v="1"/>
    <x v="16"/>
    <x v="1"/>
    <x v="0"/>
    <x v="0"/>
    <x v="0"/>
    <x v="33"/>
    <x v="2"/>
    <x v="0"/>
    <x v="0"/>
    <x v="0"/>
    <x v="0"/>
    <x v="3"/>
    <x v="3"/>
    <x v="0"/>
    <x v="0"/>
    <x v="84"/>
    <x v="77"/>
    <x v="65"/>
    <x v="0"/>
    <x v="0"/>
    <x v="57"/>
    <x v="72"/>
    <x v="75"/>
    <x v="55"/>
    <x v="73"/>
    <x v="72"/>
    <x v="1"/>
    <x v="80"/>
    <x v="79"/>
    <x v="0"/>
    <x v="0"/>
    <x v="0"/>
    <x v="0"/>
    <x v="0"/>
    <x v="0"/>
    <x v="0"/>
    <x v="0"/>
    <x v="0"/>
    <x v="0"/>
    <x v="0"/>
    <x v="0"/>
    <x v="0"/>
    <x v="0"/>
    <x v="0"/>
    <x v="0"/>
  </r>
  <r>
    <x v="91"/>
    <x v="32"/>
    <x v="3"/>
    <x v="0"/>
    <x v="3"/>
    <x v="0"/>
    <x v="8"/>
    <x v="85"/>
    <x v="0"/>
    <x v="36"/>
    <x v="36"/>
    <x v="52"/>
    <x v="58"/>
    <x v="0"/>
    <x v="0"/>
    <x v="0"/>
    <x v="0"/>
    <x v="0"/>
    <x v="0"/>
    <x v="33"/>
    <x v="2"/>
    <x v="0"/>
    <x v="0"/>
    <x v="0"/>
    <x v="0"/>
    <x v="3"/>
    <x v="3"/>
    <x v="0"/>
    <x v="0"/>
    <x v="85"/>
    <x v="78"/>
    <x v="65"/>
    <x v="1"/>
    <x v="12"/>
    <x v="53"/>
    <x v="73"/>
    <x v="10"/>
    <x v="8"/>
    <x v="74"/>
    <x v="73"/>
    <x v="1"/>
    <x v="81"/>
    <x v="80"/>
    <x v="0"/>
    <x v="0"/>
    <x v="0"/>
    <x v="0"/>
    <x v="0"/>
    <x v="0"/>
    <x v="0"/>
    <x v="0"/>
    <x v="0"/>
    <x v="0"/>
    <x v="0"/>
    <x v="0"/>
    <x v="0"/>
    <x v="0"/>
    <x v="0"/>
    <x v="0"/>
  </r>
  <r>
    <x v="92"/>
    <x v="33"/>
    <x v="3"/>
    <x v="0"/>
    <x v="3"/>
    <x v="0"/>
    <x v="8"/>
    <x v="86"/>
    <x v="0"/>
    <x v="35"/>
    <x v="6"/>
    <x v="53"/>
    <x v="59"/>
    <x v="1"/>
    <x v="16"/>
    <x v="1"/>
    <x v="0"/>
    <x v="0"/>
    <x v="0"/>
    <x v="33"/>
    <x v="1"/>
    <x v="0"/>
    <x v="0"/>
    <x v="0"/>
    <x v="0"/>
    <x v="3"/>
    <x v="3"/>
    <x v="0"/>
    <x v="0"/>
    <x v="86"/>
    <x v="79"/>
    <x v="65"/>
    <x v="1"/>
    <x v="13"/>
    <x v="58"/>
    <x v="74"/>
    <x v="76"/>
    <x v="59"/>
    <x v="75"/>
    <x v="6"/>
    <x v="1"/>
    <x v="82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93"/>
    <x v="34"/>
    <x v="3"/>
    <x v="0"/>
    <x v="3"/>
    <x v="0"/>
    <x v="8"/>
    <x v="87"/>
    <x v="0"/>
    <x v="36"/>
    <x v="36"/>
    <x v="52"/>
    <x v="58"/>
    <x v="0"/>
    <x v="0"/>
    <x v="0"/>
    <x v="0"/>
    <x v="0"/>
    <x v="0"/>
    <x v="33"/>
    <x v="2"/>
    <x v="0"/>
    <x v="0"/>
    <x v="0"/>
    <x v="0"/>
    <x v="3"/>
    <x v="4"/>
    <x v="0"/>
    <x v="0"/>
    <x v="87"/>
    <x v="80"/>
    <x v="66"/>
    <x v="0"/>
    <x v="0"/>
    <x v="56"/>
    <x v="75"/>
    <x v="77"/>
    <x v="59"/>
    <x v="72"/>
    <x v="74"/>
    <x v="1"/>
    <x v="83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94"/>
    <x v="35"/>
    <x v="3"/>
    <x v="0"/>
    <x v="3"/>
    <x v="0"/>
    <x v="8"/>
    <x v="88"/>
    <x v="0"/>
    <x v="13"/>
    <x v="14"/>
    <x v="54"/>
    <x v="60"/>
    <x v="0"/>
    <x v="0"/>
    <x v="0"/>
    <x v="0"/>
    <x v="0"/>
    <x v="0"/>
    <x v="34"/>
    <x v="4"/>
    <x v="0"/>
    <x v="0"/>
    <x v="0"/>
    <x v="0"/>
    <x v="3"/>
    <x v="4"/>
    <x v="0"/>
    <x v="0"/>
    <x v="88"/>
    <x v="81"/>
    <x v="67"/>
    <x v="0"/>
    <x v="0"/>
    <x v="7"/>
    <x v="69"/>
    <x v="66"/>
    <x v="61"/>
    <x v="76"/>
    <x v="68"/>
    <x v="1"/>
    <x v="84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95"/>
    <x v="36"/>
    <x v="3"/>
    <x v="0"/>
    <x v="3"/>
    <x v="0"/>
    <x v="8"/>
    <x v="89"/>
    <x v="0"/>
    <x v="7"/>
    <x v="8"/>
    <x v="50"/>
    <x v="56"/>
    <x v="0"/>
    <x v="0"/>
    <x v="0"/>
    <x v="0"/>
    <x v="0"/>
    <x v="0"/>
    <x v="33"/>
    <x v="1"/>
    <x v="0"/>
    <x v="0"/>
    <x v="0"/>
    <x v="0"/>
    <x v="3"/>
    <x v="4"/>
    <x v="0"/>
    <x v="0"/>
    <x v="89"/>
    <x v="82"/>
    <x v="65"/>
    <x v="0"/>
    <x v="0"/>
    <x v="53"/>
    <x v="76"/>
    <x v="78"/>
    <x v="46"/>
    <x v="77"/>
    <x v="75"/>
    <x v="1"/>
    <x v="85"/>
    <x v="84"/>
    <x v="0"/>
    <x v="0"/>
    <x v="0"/>
    <x v="0"/>
    <x v="0"/>
    <x v="0"/>
    <x v="0"/>
    <x v="0"/>
    <x v="0"/>
    <x v="0"/>
    <x v="0"/>
    <x v="0"/>
    <x v="0"/>
    <x v="0"/>
    <x v="0"/>
    <x v="0"/>
  </r>
  <r>
    <x v="96"/>
    <x v="37"/>
    <x v="3"/>
    <x v="0"/>
    <x v="3"/>
    <x v="0"/>
    <x v="8"/>
    <x v="90"/>
    <x v="0"/>
    <x v="11"/>
    <x v="12"/>
    <x v="55"/>
    <x v="61"/>
    <x v="0"/>
    <x v="0"/>
    <x v="0"/>
    <x v="0"/>
    <x v="0"/>
    <x v="0"/>
    <x v="33"/>
    <x v="2"/>
    <x v="0"/>
    <x v="0"/>
    <x v="0"/>
    <x v="0"/>
    <x v="3"/>
    <x v="5"/>
    <x v="7"/>
    <x v="0"/>
    <x v="90"/>
    <x v="83"/>
    <x v="68"/>
    <x v="2"/>
    <x v="14"/>
    <x v="7"/>
    <x v="72"/>
    <x v="10"/>
    <x v="10"/>
    <x v="73"/>
    <x v="73"/>
    <x v="7"/>
    <x v="86"/>
    <x v="85"/>
    <x v="0"/>
    <x v="0"/>
    <x v="0"/>
    <x v="0"/>
    <x v="0"/>
    <x v="0"/>
    <x v="0"/>
    <x v="0"/>
    <x v="0"/>
    <x v="0"/>
    <x v="0"/>
    <x v="0"/>
    <x v="0"/>
    <x v="0"/>
    <x v="0"/>
    <x v="0"/>
  </r>
  <r>
    <x v="97"/>
    <x v="38"/>
    <x v="3"/>
    <x v="0"/>
    <x v="3"/>
    <x v="0"/>
    <x v="8"/>
    <x v="91"/>
    <x v="0"/>
    <x v="12"/>
    <x v="13"/>
    <x v="56"/>
    <x v="62"/>
    <x v="1"/>
    <x v="16"/>
    <x v="1"/>
    <x v="0"/>
    <x v="0"/>
    <x v="0"/>
    <x v="33"/>
    <x v="2"/>
    <x v="0"/>
    <x v="0"/>
    <x v="0"/>
    <x v="0"/>
    <x v="3"/>
    <x v="5"/>
    <x v="0"/>
    <x v="0"/>
    <x v="91"/>
    <x v="84"/>
    <x v="65"/>
    <x v="0"/>
    <x v="0"/>
    <x v="4"/>
    <x v="56"/>
    <x v="62"/>
    <x v="7"/>
    <x v="72"/>
    <x v="76"/>
    <x v="1"/>
    <x v="87"/>
    <x v="86"/>
    <x v="0"/>
    <x v="0"/>
    <x v="0"/>
    <x v="0"/>
    <x v="0"/>
    <x v="0"/>
    <x v="0"/>
    <x v="0"/>
    <x v="0"/>
    <x v="0"/>
    <x v="0"/>
    <x v="0"/>
    <x v="0"/>
    <x v="0"/>
    <x v="0"/>
    <x v="0"/>
  </r>
  <r>
    <x v="98"/>
    <x v="39"/>
    <x v="3"/>
    <x v="0"/>
    <x v="3"/>
    <x v="0"/>
    <x v="8"/>
    <x v="92"/>
    <x v="0"/>
    <x v="4"/>
    <x v="4"/>
    <x v="57"/>
    <x v="63"/>
    <x v="0"/>
    <x v="0"/>
    <x v="0"/>
    <x v="0"/>
    <x v="0"/>
    <x v="0"/>
    <x v="33"/>
    <x v="2"/>
    <x v="0"/>
    <x v="0"/>
    <x v="0"/>
    <x v="0"/>
    <x v="3"/>
    <x v="5"/>
    <x v="0"/>
    <x v="0"/>
    <x v="92"/>
    <x v="85"/>
    <x v="65"/>
    <x v="0"/>
    <x v="0"/>
    <x v="55"/>
    <x v="55"/>
    <x v="70"/>
    <x v="58"/>
    <x v="58"/>
    <x v="77"/>
    <x v="1"/>
    <x v="45"/>
    <x v="45"/>
    <x v="0"/>
    <x v="0"/>
    <x v="0"/>
    <x v="0"/>
    <x v="0"/>
    <x v="0"/>
    <x v="0"/>
    <x v="0"/>
    <x v="0"/>
    <x v="0"/>
    <x v="0"/>
    <x v="0"/>
    <x v="0"/>
    <x v="0"/>
    <x v="0"/>
    <x v="0"/>
  </r>
  <r>
    <x v="99"/>
    <x v="40"/>
    <x v="3"/>
    <x v="0"/>
    <x v="3"/>
    <x v="0"/>
    <x v="8"/>
    <x v="93"/>
    <x v="0"/>
    <x v="34"/>
    <x v="35"/>
    <x v="58"/>
    <x v="64"/>
    <x v="0"/>
    <x v="0"/>
    <x v="0"/>
    <x v="0"/>
    <x v="0"/>
    <x v="0"/>
    <x v="35"/>
    <x v="1"/>
    <x v="0"/>
    <x v="0"/>
    <x v="2"/>
    <x v="23"/>
    <x v="3"/>
    <x v="6"/>
    <x v="0"/>
    <x v="0"/>
    <x v="93"/>
    <x v="86"/>
    <x v="65"/>
    <x v="0"/>
    <x v="0"/>
    <x v="58"/>
    <x v="77"/>
    <x v="79"/>
    <x v="62"/>
    <x v="66"/>
    <x v="74"/>
    <x v="1"/>
    <x v="88"/>
    <x v="87"/>
    <x v="0"/>
    <x v="0"/>
    <x v="0"/>
    <x v="0"/>
    <x v="0"/>
    <x v="0"/>
    <x v="0"/>
    <x v="0"/>
    <x v="0"/>
    <x v="0"/>
    <x v="0"/>
    <x v="0"/>
    <x v="0"/>
    <x v="0"/>
    <x v="0"/>
    <x v="0"/>
  </r>
  <r>
    <x v="100"/>
    <x v="41"/>
    <x v="3"/>
    <x v="0"/>
    <x v="3"/>
    <x v="0"/>
    <x v="0"/>
    <x v="94"/>
    <x v="0"/>
    <x v="31"/>
    <x v="31"/>
    <x v="46"/>
    <x v="50"/>
    <x v="0"/>
    <x v="0"/>
    <x v="0"/>
    <x v="0"/>
    <x v="0"/>
    <x v="0"/>
    <x v="1"/>
    <x v="2"/>
    <x v="0"/>
    <x v="0"/>
    <x v="0"/>
    <x v="0"/>
    <x v="3"/>
    <x v="6"/>
    <x v="0"/>
    <x v="0"/>
    <x v="94"/>
    <x v="87"/>
    <x v="23"/>
    <x v="0"/>
    <x v="0"/>
    <x v="42"/>
    <x v="58"/>
    <x v="79"/>
    <x v="10"/>
    <x v="9"/>
    <x v="71"/>
    <x v="1"/>
    <x v="35"/>
    <x v="35"/>
    <x v="0"/>
    <x v="0"/>
    <x v="0"/>
    <x v="0"/>
    <x v="0"/>
    <x v="0"/>
    <x v="0"/>
    <x v="0"/>
    <x v="0"/>
    <x v="0"/>
    <x v="0"/>
    <x v="0"/>
    <x v="0"/>
    <x v="0"/>
    <x v="0"/>
    <x v="0"/>
  </r>
  <r>
    <x v="101"/>
    <x v="42"/>
    <x v="3"/>
    <x v="0"/>
    <x v="3"/>
    <x v="0"/>
    <x v="9"/>
    <x v="95"/>
    <x v="0"/>
    <x v="37"/>
    <x v="37"/>
    <x v="59"/>
    <x v="65"/>
    <x v="0"/>
    <x v="0"/>
    <x v="0"/>
    <x v="0"/>
    <x v="0"/>
    <x v="0"/>
    <x v="36"/>
    <x v="7"/>
    <x v="0"/>
    <x v="0"/>
    <x v="2"/>
    <x v="2"/>
    <x v="3"/>
    <x v="6"/>
    <x v="0"/>
    <x v="0"/>
    <x v="95"/>
    <x v="88"/>
    <x v="69"/>
    <x v="0"/>
    <x v="0"/>
    <x v="15"/>
    <x v="14"/>
    <x v="80"/>
    <x v="63"/>
    <x v="78"/>
    <x v="25"/>
    <x v="1"/>
    <x v="89"/>
    <x v="88"/>
    <x v="0"/>
    <x v="0"/>
    <x v="0"/>
    <x v="0"/>
    <x v="0"/>
    <x v="0"/>
    <x v="0"/>
    <x v="0"/>
    <x v="0"/>
    <x v="0"/>
    <x v="0"/>
    <x v="0"/>
    <x v="0"/>
    <x v="0"/>
    <x v="0"/>
    <x v="0"/>
  </r>
  <r>
    <x v="102"/>
    <x v="43"/>
    <x v="3"/>
    <x v="0"/>
    <x v="3"/>
    <x v="0"/>
    <x v="9"/>
    <x v="68"/>
    <x v="0"/>
    <x v="18"/>
    <x v="38"/>
    <x v="60"/>
    <x v="66"/>
    <x v="1"/>
    <x v="17"/>
    <x v="1"/>
    <x v="0"/>
    <x v="0"/>
    <x v="0"/>
    <x v="37"/>
    <x v="6"/>
    <x v="0"/>
    <x v="0"/>
    <x v="0"/>
    <x v="0"/>
    <x v="3"/>
    <x v="6"/>
    <x v="8"/>
    <x v="0"/>
    <x v="96"/>
    <x v="89"/>
    <x v="70"/>
    <x v="0"/>
    <x v="0"/>
    <x v="41"/>
    <x v="78"/>
    <x v="81"/>
    <x v="64"/>
    <x v="79"/>
    <x v="78"/>
    <x v="1"/>
    <x v="90"/>
    <x v="89"/>
    <x v="0"/>
    <x v="0"/>
    <x v="0"/>
    <x v="0"/>
    <x v="0"/>
    <x v="0"/>
    <x v="0"/>
    <x v="0"/>
    <x v="0"/>
    <x v="0"/>
    <x v="0"/>
    <x v="0"/>
    <x v="0"/>
    <x v="0"/>
    <x v="0"/>
    <x v="0"/>
  </r>
  <r>
    <x v="103"/>
    <x v="44"/>
    <x v="3"/>
    <x v="0"/>
    <x v="3"/>
    <x v="0"/>
    <x v="0"/>
    <x v="96"/>
    <x v="0"/>
    <x v="8"/>
    <x v="39"/>
    <x v="61"/>
    <x v="67"/>
    <x v="0"/>
    <x v="0"/>
    <x v="0"/>
    <x v="0"/>
    <x v="0"/>
    <x v="0"/>
    <x v="38"/>
    <x v="3"/>
    <x v="0"/>
    <x v="0"/>
    <x v="0"/>
    <x v="0"/>
    <x v="3"/>
    <x v="6"/>
    <x v="0"/>
    <x v="0"/>
    <x v="97"/>
    <x v="90"/>
    <x v="71"/>
    <x v="0"/>
    <x v="0"/>
    <x v="59"/>
    <x v="79"/>
    <x v="82"/>
    <x v="65"/>
    <x v="80"/>
    <x v="79"/>
    <x v="7"/>
    <x v="91"/>
    <x v="90"/>
    <x v="0"/>
    <x v="0"/>
    <x v="0"/>
    <x v="0"/>
    <x v="0"/>
    <x v="0"/>
    <x v="0"/>
    <x v="0"/>
    <x v="0"/>
    <x v="0"/>
    <x v="0"/>
    <x v="0"/>
    <x v="0"/>
    <x v="0"/>
    <x v="0"/>
    <x v="0"/>
  </r>
  <r>
    <x v="104"/>
    <x v="45"/>
    <x v="3"/>
    <x v="0"/>
    <x v="3"/>
    <x v="0"/>
    <x v="0"/>
    <x v="97"/>
    <x v="0"/>
    <x v="13"/>
    <x v="14"/>
    <x v="13"/>
    <x v="68"/>
    <x v="1"/>
    <x v="1"/>
    <x v="1"/>
    <x v="0"/>
    <x v="0"/>
    <x v="0"/>
    <x v="39"/>
    <x v="4"/>
    <x v="0"/>
    <x v="0"/>
    <x v="1"/>
    <x v="2"/>
    <x v="4"/>
    <x v="7"/>
    <x v="0"/>
    <x v="0"/>
    <x v="98"/>
    <x v="91"/>
    <x v="72"/>
    <x v="1"/>
    <x v="15"/>
    <x v="14"/>
    <x v="80"/>
    <x v="83"/>
    <x v="66"/>
    <x v="81"/>
    <x v="80"/>
    <x v="1"/>
    <x v="92"/>
    <x v="91"/>
    <x v="0"/>
    <x v="0"/>
    <x v="0"/>
    <x v="0"/>
    <x v="0"/>
    <x v="0"/>
    <x v="0"/>
    <x v="0"/>
    <x v="0"/>
    <x v="0"/>
    <x v="0"/>
    <x v="0"/>
    <x v="0"/>
    <x v="0"/>
    <x v="0"/>
    <x v="0"/>
  </r>
  <r>
    <x v="105"/>
    <x v="46"/>
    <x v="3"/>
    <x v="0"/>
    <x v="3"/>
    <x v="0"/>
    <x v="0"/>
    <x v="98"/>
    <x v="0"/>
    <x v="20"/>
    <x v="20"/>
    <x v="62"/>
    <x v="69"/>
    <x v="5"/>
    <x v="15"/>
    <x v="5"/>
    <x v="0"/>
    <x v="0"/>
    <x v="0"/>
    <x v="1"/>
    <x v="5"/>
    <x v="0"/>
    <x v="0"/>
    <x v="0"/>
    <x v="0"/>
    <x v="4"/>
    <x v="7"/>
    <x v="9"/>
    <x v="0"/>
    <x v="99"/>
    <x v="92"/>
    <x v="72"/>
    <x v="0"/>
    <x v="0"/>
    <x v="60"/>
    <x v="81"/>
    <x v="84"/>
    <x v="16"/>
    <x v="68"/>
    <x v="81"/>
    <x v="7"/>
    <x v="93"/>
    <x v="92"/>
    <x v="0"/>
    <x v="0"/>
    <x v="0"/>
    <x v="0"/>
    <x v="0"/>
    <x v="0"/>
    <x v="0"/>
    <x v="0"/>
    <x v="0"/>
    <x v="0"/>
    <x v="0"/>
    <x v="0"/>
    <x v="0"/>
    <x v="0"/>
    <x v="0"/>
    <x v="0"/>
  </r>
  <r>
    <x v="106"/>
    <x v="47"/>
    <x v="3"/>
    <x v="0"/>
    <x v="3"/>
    <x v="0"/>
    <x v="9"/>
    <x v="99"/>
    <x v="0"/>
    <x v="16"/>
    <x v="16"/>
    <x v="63"/>
    <x v="70"/>
    <x v="0"/>
    <x v="0"/>
    <x v="0"/>
    <x v="0"/>
    <x v="0"/>
    <x v="0"/>
    <x v="37"/>
    <x v="3"/>
    <x v="0"/>
    <x v="0"/>
    <x v="0"/>
    <x v="0"/>
    <x v="4"/>
    <x v="7"/>
    <x v="0"/>
    <x v="0"/>
    <x v="100"/>
    <x v="93"/>
    <x v="70"/>
    <x v="0"/>
    <x v="0"/>
    <x v="61"/>
    <x v="82"/>
    <x v="85"/>
    <x v="67"/>
    <x v="61"/>
    <x v="47"/>
    <x v="7"/>
    <x v="94"/>
    <x v="93"/>
    <x v="0"/>
    <x v="0"/>
    <x v="0"/>
    <x v="0"/>
    <x v="0"/>
    <x v="0"/>
    <x v="0"/>
    <x v="0"/>
    <x v="0"/>
    <x v="0"/>
    <x v="0"/>
    <x v="0"/>
    <x v="0"/>
    <x v="0"/>
    <x v="0"/>
    <x v="0"/>
  </r>
  <r>
    <x v="107"/>
    <x v="48"/>
    <x v="3"/>
    <x v="0"/>
    <x v="3"/>
    <x v="0"/>
    <x v="9"/>
    <x v="100"/>
    <x v="0"/>
    <x v="11"/>
    <x v="12"/>
    <x v="64"/>
    <x v="71"/>
    <x v="0"/>
    <x v="0"/>
    <x v="0"/>
    <x v="0"/>
    <x v="0"/>
    <x v="0"/>
    <x v="37"/>
    <x v="2"/>
    <x v="0"/>
    <x v="0"/>
    <x v="0"/>
    <x v="0"/>
    <x v="5"/>
    <x v="8"/>
    <x v="0"/>
    <x v="0"/>
    <x v="101"/>
    <x v="20"/>
    <x v="69"/>
    <x v="0"/>
    <x v="0"/>
    <x v="42"/>
    <x v="59"/>
    <x v="86"/>
    <x v="8"/>
    <x v="82"/>
    <x v="82"/>
    <x v="7"/>
    <x v="23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108"/>
    <x v="49"/>
    <x v="3"/>
    <x v="0"/>
    <x v="3"/>
    <x v="0"/>
    <x v="9"/>
    <x v="9"/>
    <x v="0"/>
    <x v="30"/>
    <x v="30"/>
    <x v="65"/>
    <x v="72"/>
    <x v="0"/>
    <x v="0"/>
    <x v="0"/>
    <x v="0"/>
    <x v="0"/>
    <x v="0"/>
    <x v="40"/>
    <x v="3"/>
    <x v="0"/>
    <x v="0"/>
    <x v="1"/>
    <x v="24"/>
    <x v="5"/>
    <x v="8"/>
    <x v="0"/>
    <x v="0"/>
    <x v="102"/>
    <x v="94"/>
    <x v="69"/>
    <x v="0"/>
    <x v="0"/>
    <x v="14"/>
    <x v="83"/>
    <x v="87"/>
    <x v="15"/>
    <x v="83"/>
    <x v="83"/>
    <x v="1"/>
    <x v="95"/>
    <x v="94"/>
    <x v="0"/>
    <x v="0"/>
    <x v="0"/>
    <x v="0"/>
    <x v="0"/>
    <x v="0"/>
    <x v="0"/>
    <x v="0"/>
    <x v="0"/>
    <x v="0"/>
    <x v="0"/>
    <x v="0"/>
    <x v="0"/>
    <x v="0"/>
    <x v="0"/>
    <x v="0"/>
  </r>
  <r>
    <x v="109"/>
    <x v="50"/>
    <x v="3"/>
    <x v="0"/>
    <x v="3"/>
    <x v="0"/>
    <x v="9"/>
    <x v="101"/>
    <x v="0"/>
    <x v="23"/>
    <x v="23"/>
    <x v="66"/>
    <x v="73"/>
    <x v="0"/>
    <x v="0"/>
    <x v="0"/>
    <x v="0"/>
    <x v="0"/>
    <x v="0"/>
    <x v="41"/>
    <x v="3"/>
    <x v="0"/>
    <x v="0"/>
    <x v="0"/>
    <x v="0"/>
    <x v="5"/>
    <x v="8"/>
    <x v="0"/>
    <x v="0"/>
    <x v="103"/>
    <x v="95"/>
    <x v="73"/>
    <x v="0"/>
    <x v="0"/>
    <x v="15"/>
    <x v="83"/>
    <x v="88"/>
    <x v="65"/>
    <x v="84"/>
    <x v="84"/>
    <x v="1"/>
    <x v="96"/>
    <x v="95"/>
    <x v="0"/>
    <x v="0"/>
    <x v="0"/>
    <x v="0"/>
    <x v="0"/>
    <x v="0"/>
    <x v="0"/>
    <x v="0"/>
    <x v="0"/>
    <x v="0"/>
    <x v="0"/>
    <x v="0"/>
    <x v="0"/>
    <x v="0"/>
    <x v="0"/>
    <x v="0"/>
  </r>
  <r>
    <x v="110"/>
    <x v="51"/>
    <x v="3"/>
    <x v="0"/>
    <x v="3"/>
    <x v="0"/>
    <x v="10"/>
    <x v="102"/>
    <x v="0"/>
    <x v="13"/>
    <x v="14"/>
    <x v="67"/>
    <x v="74"/>
    <x v="0"/>
    <x v="0"/>
    <x v="0"/>
    <x v="0"/>
    <x v="0"/>
    <x v="0"/>
    <x v="42"/>
    <x v="4"/>
    <x v="0"/>
    <x v="0"/>
    <x v="1"/>
    <x v="2"/>
    <x v="5"/>
    <x v="9"/>
    <x v="0"/>
    <x v="0"/>
    <x v="104"/>
    <x v="96"/>
    <x v="74"/>
    <x v="1"/>
    <x v="15"/>
    <x v="62"/>
    <x v="21"/>
    <x v="89"/>
    <x v="42"/>
    <x v="85"/>
    <x v="85"/>
    <x v="1"/>
    <x v="97"/>
    <x v="96"/>
    <x v="22"/>
    <x v="31"/>
    <x v="35"/>
    <x v="29"/>
    <x v="31"/>
    <x v="37"/>
    <x v="17"/>
    <x v="29"/>
    <x v="38"/>
    <x v="8"/>
    <x v="2"/>
    <x v="19"/>
    <x v="18"/>
    <x v="39"/>
    <x v="12"/>
    <x v="0"/>
  </r>
  <r>
    <x v="111"/>
    <x v="52"/>
    <x v="3"/>
    <x v="0"/>
    <x v="3"/>
    <x v="0"/>
    <x v="10"/>
    <x v="103"/>
    <x v="0"/>
    <x v="28"/>
    <x v="28"/>
    <x v="68"/>
    <x v="75"/>
    <x v="8"/>
    <x v="18"/>
    <x v="8"/>
    <x v="0"/>
    <x v="0"/>
    <x v="0"/>
    <x v="43"/>
    <x v="6"/>
    <x v="0"/>
    <x v="0"/>
    <x v="2"/>
    <x v="14"/>
    <x v="5"/>
    <x v="9"/>
    <x v="0"/>
    <x v="0"/>
    <x v="105"/>
    <x v="97"/>
    <x v="75"/>
    <x v="1"/>
    <x v="5"/>
    <x v="39"/>
    <x v="84"/>
    <x v="90"/>
    <x v="35"/>
    <x v="86"/>
    <x v="86"/>
    <x v="7"/>
    <x v="98"/>
    <x v="97"/>
    <x v="22"/>
    <x v="32"/>
    <x v="36"/>
    <x v="30"/>
    <x v="32"/>
    <x v="38"/>
    <x v="18"/>
    <x v="30"/>
    <x v="39"/>
    <x v="8"/>
    <x v="3"/>
    <x v="20"/>
    <x v="19"/>
    <x v="40"/>
    <x v="14"/>
    <x v="0"/>
  </r>
  <r>
    <x v="112"/>
    <x v="53"/>
    <x v="3"/>
    <x v="0"/>
    <x v="3"/>
    <x v="0"/>
    <x v="10"/>
    <x v="104"/>
    <x v="0"/>
    <x v="38"/>
    <x v="40"/>
    <x v="69"/>
    <x v="76"/>
    <x v="2"/>
    <x v="19"/>
    <x v="2"/>
    <x v="0"/>
    <x v="0"/>
    <x v="0"/>
    <x v="44"/>
    <x v="7"/>
    <x v="0"/>
    <x v="0"/>
    <x v="2"/>
    <x v="13"/>
    <x v="5"/>
    <x v="9"/>
    <x v="0"/>
    <x v="0"/>
    <x v="106"/>
    <x v="98"/>
    <x v="76"/>
    <x v="1"/>
    <x v="16"/>
    <x v="63"/>
    <x v="15"/>
    <x v="91"/>
    <x v="45"/>
    <x v="15"/>
    <x v="87"/>
    <x v="1"/>
    <x v="99"/>
    <x v="98"/>
    <x v="23"/>
    <x v="33"/>
    <x v="37"/>
    <x v="31"/>
    <x v="33"/>
    <x v="39"/>
    <x v="19"/>
    <x v="31"/>
    <x v="40"/>
    <x v="9"/>
    <x v="8"/>
    <x v="21"/>
    <x v="20"/>
    <x v="41"/>
    <x v="15"/>
    <x v="0"/>
  </r>
  <r>
    <x v="113"/>
    <x v="54"/>
    <x v="3"/>
    <x v="0"/>
    <x v="3"/>
    <x v="0"/>
    <x v="10"/>
    <x v="105"/>
    <x v="0"/>
    <x v="22"/>
    <x v="39"/>
    <x v="70"/>
    <x v="77"/>
    <x v="4"/>
    <x v="20"/>
    <x v="1"/>
    <x v="0"/>
    <x v="0"/>
    <x v="0"/>
    <x v="45"/>
    <x v="5"/>
    <x v="0"/>
    <x v="0"/>
    <x v="1"/>
    <x v="10"/>
    <x v="5"/>
    <x v="10"/>
    <x v="0"/>
    <x v="0"/>
    <x v="107"/>
    <x v="99"/>
    <x v="77"/>
    <x v="0"/>
    <x v="0"/>
    <x v="22"/>
    <x v="17"/>
    <x v="16"/>
    <x v="68"/>
    <x v="87"/>
    <x v="16"/>
    <x v="7"/>
    <x v="100"/>
    <x v="99"/>
    <x v="24"/>
    <x v="34"/>
    <x v="38"/>
    <x v="32"/>
    <x v="34"/>
    <x v="40"/>
    <x v="20"/>
    <x v="32"/>
    <x v="41"/>
    <x v="10"/>
    <x v="9"/>
    <x v="22"/>
    <x v="21"/>
    <x v="42"/>
    <x v="16"/>
    <x v="0"/>
  </r>
  <r>
    <x v="114"/>
    <x v="55"/>
    <x v="3"/>
    <x v="0"/>
    <x v="3"/>
    <x v="0"/>
    <x v="10"/>
    <x v="106"/>
    <x v="0"/>
    <x v="19"/>
    <x v="20"/>
    <x v="71"/>
    <x v="78"/>
    <x v="1"/>
    <x v="21"/>
    <x v="1"/>
    <x v="0"/>
    <x v="0"/>
    <x v="0"/>
    <x v="46"/>
    <x v="5"/>
    <x v="0"/>
    <x v="0"/>
    <x v="1"/>
    <x v="25"/>
    <x v="5"/>
    <x v="10"/>
    <x v="0"/>
    <x v="0"/>
    <x v="108"/>
    <x v="100"/>
    <x v="78"/>
    <x v="0"/>
    <x v="0"/>
    <x v="0"/>
    <x v="0"/>
    <x v="0"/>
    <x v="0"/>
    <x v="0"/>
    <x v="0"/>
    <x v="0"/>
    <x v="0"/>
    <x v="0"/>
    <x v="14"/>
    <x v="18"/>
    <x v="39"/>
    <x v="33"/>
    <x v="35"/>
    <x v="41"/>
    <x v="21"/>
    <x v="33"/>
    <x v="42"/>
    <x v="11"/>
    <x v="5"/>
    <x v="23"/>
    <x v="22"/>
    <x v="43"/>
    <x v="17"/>
    <x v="0"/>
  </r>
  <r>
    <x v="115"/>
    <x v="56"/>
    <x v="3"/>
    <x v="0"/>
    <x v="3"/>
    <x v="0"/>
    <x v="10"/>
    <x v="107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6"/>
    <x v="57"/>
    <x v="1"/>
    <x v="1"/>
    <x v="1"/>
    <x v="0"/>
    <x v="6"/>
    <x v="56"/>
    <x v="1"/>
    <x v="32"/>
    <x v="33"/>
    <x v="44"/>
    <x v="46"/>
    <x v="6"/>
    <x v="13"/>
    <x v="6"/>
    <x v="1"/>
    <x v="1"/>
    <x v="1"/>
    <x v="0"/>
    <x v="10"/>
    <x v="0"/>
    <x v="0"/>
    <x v="3"/>
    <x v="16"/>
    <x v="6"/>
    <x v="11"/>
    <x v="5"/>
    <x v="1"/>
    <x v="54"/>
    <x v="50"/>
    <x v="47"/>
    <x v="3"/>
    <x v="8"/>
    <x v="43"/>
    <x v="48"/>
    <x v="51"/>
    <x v="47"/>
    <x v="51"/>
    <x v="50"/>
    <x v="0"/>
    <x v="52"/>
    <x v="51"/>
    <x v="0"/>
    <x v="19"/>
    <x v="21"/>
    <x v="17"/>
    <x v="18"/>
    <x v="22"/>
    <x v="10"/>
    <x v="0"/>
    <x v="22"/>
    <x v="6"/>
    <x v="6"/>
    <x v="12"/>
    <x v="13"/>
    <x v="22"/>
    <x v="1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2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3"/>
    <x v="3"/>
    <x v="0"/>
    <x v="0"/>
    <x v="0"/>
    <x v="0"/>
    <x v="0"/>
    <x v="3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</r>
  <r>
    <x v="4"/>
    <x v="4"/>
    <x v="0"/>
    <x v="0"/>
    <x v="0"/>
    <x v="0"/>
    <x v="0"/>
    <x v="4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2"/>
    <x v="0"/>
    <x v="2"/>
    <x v="0"/>
    <x v="0"/>
    <x v="1"/>
    <x v="2"/>
    <x v="2"/>
    <x v="2"/>
    <x v="2"/>
    <x v="2"/>
    <x v="1"/>
    <x v="2"/>
    <x v="2"/>
    <x v="2"/>
    <x v="2"/>
    <x v="2"/>
    <x v="0"/>
    <x v="2"/>
    <x v="2"/>
    <x v="0"/>
    <x v="0"/>
    <x v="2"/>
    <x v="0"/>
    <x v="0"/>
    <x v="0"/>
    <x v="0"/>
    <x v="2"/>
    <x v="2"/>
    <x v="0"/>
  </r>
  <r>
    <x v="5"/>
    <x v="5"/>
    <x v="0"/>
    <x v="0"/>
    <x v="0"/>
    <x v="0"/>
    <x v="0"/>
    <x v="5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2"/>
    <x v="3"/>
    <x v="3"/>
    <x v="3"/>
    <x v="3"/>
    <x v="3"/>
    <x v="2"/>
    <x v="0"/>
    <x v="0"/>
    <x v="3"/>
    <x v="3"/>
    <x v="3"/>
    <x v="0"/>
    <x v="2"/>
    <x v="3"/>
    <x v="0"/>
    <x v="0"/>
    <x v="3"/>
    <x v="0"/>
    <x v="0"/>
    <x v="0"/>
    <x v="0"/>
    <x v="3"/>
    <x v="3"/>
    <x v="0"/>
  </r>
  <r>
    <x v="6"/>
    <x v="6"/>
    <x v="0"/>
    <x v="0"/>
    <x v="0"/>
    <x v="0"/>
    <x v="0"/>
    <x v="6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4"/>
    <x v="0"/>
    <x v="3"/>
    <x v="0"/>
    <x v="0"/>
    <x v="3"/>
    <x v="4"/>
    <x v="4"/>
    <x v="4"/>
    <x v="4"/>
    <x v="4"/>
    <x v="3"/>
    <x v="3"/>
    <x v="3"/>
    <x v="4"/>
    <x v="4"/>
    <x v="4"/>
    <x v="2"/>
    <x v="3"/>
    <x v="4"/>
    <x v="1"/>
    <x v="2"/>
    <x v="4"/>
    <x v="2"/>
    <x v="2"/>
    <x v="1"/>
    <x v="2"/>
    <x v="4"/>
    <x v="4"/>
    <x v="0"/>
  </r>
  <r>
    <x v="7"/>
    <x v="7"/>
    <x v="0"/>
    <x v="0"/>
    <x v="0"/>
    <x v="0"/>
    <x v="0"/>
    <x v="7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5"/>
    <x v="2"/>
    <x v="4"/>
    <x v="0"/>
    <x v="0"/>
    <x v="4"/>
    <x v="5"/>
    <x v="5"/>
    <x v="5"/>
    <x v="5"/>
    <x v="5"/>
    <x v="4"/>
    <x v="4"/>
    <x v="4"/>
    <x v="5"/>
    <x v="5"/>
    <x v="5"/>
    <x v="3"/>
    <x v="4"/>
    <x v="5"/>
    <x v="2"/>
    <x v="3"/>
    <x v="5"/>
    <x v="3"/>
    <x v="3"/>
    <x v="2"/>
    <x v="3"/>
    <x v="5"/>
    <x v="5"/>
    <x v="0"/>
  </r>
  <r>
    <x v="8"/>
    <x v="8"/>
    <x v="0"/>
    <x v="0"/>
    <x v="0"/>
    <x v="0"/>
    <x v="0"/>
    <x v="8"/>
    <x v="0"/>
    <x v="3"/>
    <x v="1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"/>
    <x v="0"/>
    <x v="5"/>
    <x v="0"/>
    <x v="0"/>
    <x v="5"/>
    <x v="6"/>
    <x v="6"/>
    <x v="6"/>
    <x v="6"/>
    <x v="6"/>
    <x v="4"/>
    <x v="5"/>
    <x v="5"/>
    <x v="4"/>
    <x v="6"/>
    <x v="6"/>
    <x v="4"/>
    <x v="5"/>
    <x v="6"/>
    <x v="3"/>
    <x v="4"/>
    <x v="6"/>
    <x v="4"/>
    <x v="4"/>
    <x v="3"/>
    <x v="4"/>
    <x v="6"/>
    <x v="6"/>
    <x v="0"/>
  </r>
  <r>
    <x v="9"/>
    <x v="9"/>
    <x v="0"/>
    <x v="0"/>
    <x v="0"/>
    <x v="0"/>
    <x v="0"/>
    <x v="9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7"/>
    <x v="3"/>
    <x v="6"/>
    <x v="0"/>
    <x v="0"/>
    <x v="4"/>
    <x v="7"/>
    <x v="7"/>
    <x v="7"/>
    <x v="7"/>
    <x v="7"/>
    <x v="4"/>
    <x v="6"/>
    <x v="6"/>
    <x v="5"/>
    <x v="7"/>
    <x v="7"/>
    <x v="5"/>
    <x v="6"/>
    <x v="7"/>
    <x v="4"/>
    <x v="5"/>
    <x v="7"/>
    <x v="2"/>
    <x v="2"/>
    <x v="4"/>
    <x v="2"/>
    <x v="7"/>
    <x v="4"/>
    <x v="0"/>
  </r>
  <r>
    <x v="10"/>
    <x v="10"/>
    <x v="0"/>
    <x v="0"/>
    <x v="0"/>
    <x v="0"/>
    <x v="0"/>
    <x v="10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8"/>
    <x v="4"/>
    <x v="7"/>
    <x v="0"/>
    <x v="0"/>
    <x v="6"/>
    <x v="8"/>
    <x v="8"/>
    <x v="8"/>
    <x v="8"/>
    <x v="8"/>
    <x v="5"/>
    <x v="7"/>
    <x v="7"/>
    <x v="6"/>
    <x v="7"/>
    <x v="8"/>
    <x v="6"/>
    <x v="7"/>
    <x v="8"/>
    <x v="3"/>
    <x v="6"/>
    <x v="8"/>
    <x v="5"/>
    <x v="5"/>
    <x v="5"/>
    <x v="5"/>
    <x v="8"/>
    <x v="7"/>
    <x v="0"/>
  </r>
  <r>
    <x v="11"/>
    <x v="11"/>
    <x v="0"/>
    <x v="0"/>
    <x v="0"/>
    <x v="0"/>
    <x v="0"/>
    <x v="11"/>
    <x v="0"/>
    <x v="4"/>
    <x v="6"/>
    <x v="4"/>
    <x v="6"/>
    <x v="0"/>
    <x v="0"/>
    <x v="0"/>
    <x v="0"/>
    <x v="0"/>
    <x v="0"/>
    <x v="2"/>
    <x v="2"/>
    <x v="0"/>
    <x v="0"/>
    <x v="1"/>
    <x v="1"/>
    <x v="0"/>
    <x v="0"/>
    <x v="0"/>
    <x v="0"/>
    <x v="9"/>
    <x v="5"/>
    <x v="8"/>
    <x v="0"/>
    <x v="0"/>
    <x v="7"/>
    <x v="9"/>
    <x v="9"/>
    <x v="9"/>
    <x v="9"/>
    <x v="9"/>
    <x v="6"/>
    <x v="8"/>
    <x v="8"/>
    <x v="7"/>
    <x v="8"/>
    <x v="9"/>
    <x v="7"/>
    <x v="8"/>
    <x v="9"/>
    <x v="4"/>
    <x v="7"/>
    <x v="9"/>
    <x v="2"/>
    <x v="2"/>
    <x v="6"/>
    <x v="6"/>
    <x v="9"/>
    <x v="7"/>
    <x v="0"/>
  </r>
  <r>
    <x v="12"/>
    <x v="12"/>
    <x v="0"/>
    <x v="0"/>
    <x v="0"/>
    <x v="0"/>
    <x v="0"/>
    <x v="12"/>
    <x v="0"/>
    <x v="6"/>
    <x v="7"/>
    <x v="6"/>
    <x v="7"/>
    <x v="0"/>
    <x v="0"/>
    <x v="0"/>
    <x v="0"/>
    <x v="0"/>
    <x v="0"/>
    <x v="1"/>
    <x v="1"/>
    <x v="0"/>
    <x v="0"/>
    <x v="0"/>
    <x v="0"/>
    <x v="0"/>
    <x v="0"/>
    <x v="0"/>
    <x v="0"/>
    <x v="10"/>
    <x v="6"/>
    <x v="9"/>
    <x v="0"/>
    <x v="0"/>
    <x v="8"/>
    <x v="10"/>
    <x v="10"/>
    <x v="10"/>
    <x v="10"/>
    <x v="10"/>
    <x v="7"/>
    <x v="9"/>
    <x v="9"/>
    <x v="8"/>
    <x v="9"/>
    <x v="10"/>
    <x v="8"/>
    <x v="9"/>
    <x v="10"/>
    <x v="5"/>
    <x v="8"/>
    <x v="10"/>
    <x v="3"/>
    <x v="3"/>
    <x v="7"/>
    <x v="7"/>
    <x v="10"/>
    <x v="8"/>
    <x v="0"/>
  </r>
  <r>
    <x v="13"/>
    <x v="13"/>
    <x v="0"/>
    <x v="0"/>
    <x v="0"/>
    <x v="0"/>
    <x v="0"/>
    <x v="13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11"/>
    <x v="7"/>
    <x v="10"/>
    <x v="0"/>
    <x v="0"/>
    <x v="9"/>
    <x v="11"/>
    <x v="11"/>
    <x v="11"/>
    <x v="11"/>
    <x v="11"/>
    <x v="5"/>
    <x v="10"/>
    <x v="10"/>
    <x v="8"/>
    <x v="10"/>
    <x v="11"/>
    <x v="9"/>
    <x v="10"/>
    <x v="11"/>
    <x v="2"/>
    <x v="9"/>
    <x v="11"/>
    <x v="4"/>
    <x v="4"/>
    <x v="2"/>
    <x v="8"/>
    <x v="11"/>
    <x v="8"/>
    <x v="0"/>
  </r>
  <r>
    <x v="14"/>
    <x v="14"/>
    <x v="0"/>
    <x v="0"/>
    <x v="0"/>
    <x v="0"/>
    <x v="0"/>
    <x v="14"/>
    <x v="0"/>
    <x v="4"/>
    <x v="4"/>
    <x v="4"/>
    <x v="4"/>
    <x v="0"/>
    <x v="0"/>
    <x v="0"/>
    <x v="0"/>
    <x v="0"/>
    <x v="0"/>
    <x v="1"/>
    <x v="2"/>
    <x v="0"/>
    <x v="0"/>
    <x v="0"/>
    <x v="0"/>
    <x v="0"/>
    <x v="0"/>
    <x v="0"/>
    <x v="0"/>
    <x v="12"/>
    <x v="8"/>
    <x v="11"/>
    <x v="0"/>
    <x v="0"/>
    <x v="10"/>
    <x v="12"/>
    <x v="12"/>
    <x v="12"/>
    <x v="12"/>
    <x v="12"/>
    <x v="5"/>
    <x v="11"/>
    <x v="11"/>
    <x v="5"/>
    <x v="9"/>
    <x v="12"/>
    <x v="10"/>
    <x v="11"/>
    <x v="12"/>
    <x v="2"/>
    <x v="10"/>
    <x v="12"/>
    <x v="4"/>
    <x v="4"/>
    <x v="2"/>
    <x v="9"/>
    <x v="12"/>
    <x v="7"/>
    <x v="0"/>
  </r>
  <r>
    <x v="15"/>
    <x v="15"/>
    <x v="0"/>
    <x v="0"/>
    <x v="0"/>
    <x v="0"/>
    <x v="0"/>
    <x v="15"/>
    <x v="0"/>
    <x v="7"/>
    <x v="8"/>
    <x v="7"/>
    <x v="8"/>
    <x v="0"/>
    <x v="0"/>
    <x v="0"/>
    <x v="0"/>
    <x v="0"/>
    <x v="0"/>
    <x v="1"/>
    <x v="1"/>
    <x v="0"/>
    <x v="0"/>
    <x v="0"/>
    <x v="0"/>
    <x v="0"/>
    <x v="0"/>
    <x v="0"/>
    <x v="0"/>
    <x v="13"/>
    <x v="9"/>
    <x v="12"/>
    <x v="0"/>
    <x v="0"/>
    <x v="11"/>
    <x v="13"/>
    <x v="13"/>
    <x v="13"/>
    <x v="13"/>
    <x v="13"/>
    <x v="7"/>
    <x v="12"/>
    <x v="12"/>
    <x v="9"/>
    <x v="11"/>
    <x v="13"/>
    <x v="11"/>
    <x v="12"/>
    <x v="13"/>
    <x v="6"/>
    <x v="11"/>
    <x v="13"/>
    <x v="1"/>
    <x v="1"/>
    <x v="8"/>
    <x v="10"/>
    <x v="13"/>
    <x v="8"/>
    <x v="0"/>
  </r>
  <r>
    <x v="16"/>
    <x v="16"/>
    <x v="0"/>
    <x v="0"/>
    <x v="0"/>
    <x v="0"/>
    <x v="0"/>
    <x v="16"/>
    <x v="0"/>
    <x v="8"/>
    <x v="9"/>
    <x v="8"/>
    <x v="9"/>
    <x v="0"/>
    <x v="0"/>
    <x v="0"/>
    <x v="0"/>
    <x v="0"/>
    <x v="0"/>
    <x v="1"/>
    <x v="3"/>
    <x v="0"/>
    <x v="0"/>
    <x v="0"/>
    <x v="0"/>
    <x v="0"/>
    <x v="0"/>
    <x v="0"/>
    <x v="0"/>
    <x v="14"/>
    <x v="10"/>
    <x v="13"/>
    <x v="0"/>
    <x v="0"/>
    <x v="12"/>
    <x v="14"/>
    <x v="14"/>
    <x v="14"/>
    <x v="14"/>
    <x v="14"/>
    <x v="7"/>
    <x v="13"/>
    <x v="13"/>
    <x v="10"/>
    <x v="12"/>
    <x v="14"/>
    <x v="0"/>
    <x v="2"/>
    <x v="14"/>
    <x v="0"/>
    <x v="0"/>
    <x v="14"/>
    <x v="0"/>
    <x v="0"/>
    <x v="0"/>
    <x v="0"/>
    <x v="14"/>
    <x v="9"/>
    <x v="0"/>
  </r>
  <r>
    <x v="17"/>
    <x v="17"/>
    <x v="0"/>
    <x v="0"/>
    <x v="0"/>
    <x v="0"/>
    <x v="0"/>
    <x v="17"/>
    <x v="0"/>
    <x v="9"/>
    <x v="10"/>
    <x v="9"/>
    <x v="10"/>
    <x v="1"/>
    <x v="1"/>
    <x v="1"/>
    <x v="0"/>
    <x v="0"/>
    <x v="0"/>
    <x v="1"/>
    <x v="4"/>
    <x v="0"/>
    <x v="0"/>
    <x v="0"/>
    <x v="0"/>
    <x v="0"/>
    <x v="0"/>
    <x v="0"/>
    <x v="0"/>
    <x v="15"/>
    <x v="11"/>
    <x v="14"/>
    <x v="0"/>
    <x v="0"/>
    <x v="13"/>
    <x v="15"/>
    <x v="15"/>
    <x v="15"/>
    <x v="15"/>
    <x v="15"/>
    <x v="5"/>
    <x v="14"/>
    <x v="14"/>
    <x v="7"/>
    <x v="11"/>
    <x v="15"/>
    <x v="0"/>
    <x v="2"/>
    <x v="15"/>
    <x v="0"/>
    <x v="0"/>
    <x v="15"/>
    <x v="0"/>
    <x v="0"/>
    <x v="0"/>
    <x v="0"/>
    <x v="15"/>
    <x v="7"/>
    <x v="0"/>
  </r>
  <r>
    <x v="18"/>
    <x v="18"/>
    <x v="0"/>
    <x v="0"/>
    <x v="0"/>
    <x v="0"/>
    <x v="0"/>
    <x v="18"/>
    <x v="0"/>
    <x v="10"/>
    <x v="11"/>
    <x v="10"/>
    <x v="11"/>
    <x v="1"/>
    <x v="1"/>
    <x v="1"/>
    <x v="0"/>
    <x v="0"/>
    <x v="0"/>
    <x v="1"/>
    <x v="2"/>
    <x v="0"/>
    <x v="0"/>
    <x v="0"/>
    <x v="0"/>
    <x v="0"/>
    <x v="0"/>
    <x v="0"/>
    <x v="0"/>
    <x v="16"/>
    <x v="12"/>
    <x v="15"/>
    <x v="0"/>
    <x v="0"/>
    <x v="14"/>
    <x v="16"/>
    <x v="16"/>
    <x v="16"/>
    <x v="16"/>
    <x v="16"/>
    <x v="5"/>
    <x v="15"/>
    <x v="15"/>
    <x v="11"/>
    <x v="13"/>
    <x v="16"/>
    <x v="12"/>
    <x v="13"/>
    <x v="16"/>
    <x v="7"/>
    <x v="12"/>
    <x v="16"/>
    <x v="2"/>
    <x v="2"/>
    <x v="9"/>
    <x v="11"/>
    <x v="16"/>
    <x v="2"/>
    <x v="0"/>
  </r>
  <r>
    <x v="19"/>
    <x v="19"/>
    <x v="0"/>
    <x v="0"/>
    <x v="0"/>
    <x v="0"/>
    <x v="0"/>
    <x v="19"/>
    <x v="0"/>
    <x v="11"/>
    <x v="12"/>
    <x v="11"/>
    <x v="12"/>
    <x v="0"/>
    <x v="0"/>
    <x v="0"/>
    <x v="0"/>
    <x v="0"/>
    <x v="0"/>
    <x v="1"/>
    <x v="2"/>
    <x v="0"/>
    <x v="0"/>
    <x v="0"/>
    <x v="0"/>
    <x v="0"/>
    <x v="0"/>
    <x v="0"/>
    <x v="0"/>
    <x v="17"/>
    <x v="13"/>
    <x v="16"/>
    <x v="0"/>
    <x v="0"/>
    <x v="15"/>
    <x v="17"/>
    <x v="17"/>
    <x v="17"/>
    <x v="17"/>
    <x v="17"/>
    <x v="5"/>
    <x v="16"/>
    <x v="16"/>
    <x v="9"/>
    <x v="14"/>
    <x v="17"/>
    <x v="13"/>
    <x v="14"/>
    <x v="17"/>
    <x v="5"/>
    <x v="13"/>
    <x v="17"/>
    <x v="4"/>
    <x v="4"/>
    <x v="7"/>
    <x v="9"/>
    <x v="17"/>
    <x v="7"/>
    <x v="0"/>
  </r>
  <r>
    <x v="20"/>
    <x v="20"/>
    <x v="0"/>
    <x v="0"/>
    <x v="0"/>
    <x v="0"/>
    <x v="0"/>
    <x v="20"/>
    <x v="0"/>
    <x v="4"/>
    <x v="4"/>
    <x v="4"/>
    <x v="4"/>
    <x v="1"/>
    <x v="1"/>
    <x v="1"/>
    <x v="0"/>
    <x v="0"/>
    <x v="0"/>
    <x v="1"/>
    <x v="2"/>
    <x v="0"/>
    <x v="0"/>
    <x v="0"/>
    <x v="0"/>
    <x v="1"/>
    <x v="1"/>
    <x v="0"/>
    <x v="0"/>
    <x v="18"/>
    <x v="14"/>
    <x v="17"/>
    <x v="0"/>
    <x v="0"/>
    <x v="16"/>
    <x v="18"/>
    <x v="18"/>
    <x v="18"/>
    <x v="18"/>
    <x v="18"/>
    <x v="4"/>
    <x v="17"/>
    <x v="17"/>
    <x v="7"/>
    <x v="15"/>
    <x v="18"/>
    <x v="14"/>
    <x v="15"/>
    <x v="18"/>
    <x v="4"/>
    <x v="14"/>
    <x v="18"/>
    <x v="2"/>
    <x v="2"/>
    <x v="4"/>
    <x v="12"/>
    <x v="18"/>
    <x v="8"/>
    <x v="0"/>
  </r>
  <r>
    <x v="21"/>
    <x v="21"/>
    <x v="0"/>
    <x v="0"/>
    <x v="0"/>
    <x v="0"/>
    <x v="0"/>
    <x v="21"/>
    <x v="0"/>
    <x v="10"/>
    <x v="11"/>
    <x v="10"/>
    <x v="11"/>
    <x v="0"/>
    <x v="0"/>
    <x v="0"/>
    <x v="0"/>
    <x v="0"/>
    <x v="0"/>
    <x v="1"/>
    <x v="2"/>
    <x v="0"/>
    <x v="0"/>
    <x v="0"/>
    <x v="0"/>
    <x v="1"/>
    <x v="1"/>
    <x v="0"/>
    <x v="0"/>
    <x v="19"/>
    <x v="15"/>
    <x v="18"/>
    <x v="0"/>
    <x v="0"/>
    <x v="15"/>
    <x v="19"/>
    <x v="19"/>
    <x v="19"/>
    <x v="19"/>
    <x v="19"/>
    <x v="7"/>
    <x v="18"/>
    <x v="18"/>
    <x v="12"/>
    <x v="16"/>
    <x v="19"/>
    <x v="15"/>
    <x v="16"/>
    <x v="19"/>
    <x v="7"/>
    <x v="15"/>
    <x v="19"/>
    <x v="2"/>
    <x v="2"/>
    <x v="9"/>
    <x v="6"/>
    <x v="19"/>
    <x v="7"/>
    <x v="0"/>
  </r>
  <r>
    <x v="22"/>
    <x v="22"/>
    <x v="0"/>
    <x v="0"/>
    <x v="0"/>
    <x v="0"/>
    <x v="0"/>
    <x v="22"/>
    <x v="0"/>
    <x v="12"/>
    <x v="13"/>
    <x v="12"/>
    <x v="13"/>
    <x v="0"/>
    <x v="0"/>
    <x v="0"/>
    <x v="0"/>
    <x v="0"/>
    <x v="0"/>
    <x v="1"/>
    <x v="2"/>
    <x v="0"/>
    <x v="0"/>
    <x v="0"/>
    <x v="0"/>
    <x v="1"/>
    <x v="1"/>
    <x v="0"/>
    <x v="0"/>
    <x v="20"/>
    <x v="16"/>
    <x v="19"/>
    <x v="1"/>
    <x v="1"/>
    <x v="17"/>
    <x v="20"/>
    <x v="20"/>
    <x v="20"/>
    <x v="20"/>
    <x v="20"/>
    <x v="5"/>
    <x v="19"/>
    <x v="19"/>
    <x v="8"/>
    <x v="17"/>
    <x v="20"/>
    <x v="16"/>
    <x v="17"/>
    <x v="20"/>
    <x v="8"/>
    <x v="16"/>
    <x v="20"/>
    <x v="2"/>
    <x v="2"/>
    <x v="10"/>
    <x v="12"/>
    <x v="20"/>
    <x v="8"/>
    <x v="0"/>
  </r>
  <r>
    <x v="23"/>
    <x v="23"/>
    <x v="0"/>
    <x v="0"/>
    <x v="0"/>
    <x v="0"/>
    <x v="0"/>
    <x v="23"/>
    <x v="0"/>
    <x v="13"/>
    <x v="14"/>
    <x v="13"/>
    <x v="14"/>
    <x v="1"/>
    <x v="1"/>
    <x v="1"/>
    <x v="0"/>
    <x v="0"/>
    <x v="0"/>
    <x v="1"/>
    <x v="4"/>
    <x v="0"/>
    <x v="0"/>
    <x v="0"/>
    <x v="0"/>
    <x v="2"/>
    <x v="2"/>
    <x v="0"/>
    <x v="0"/>
    <x v="21"/>
    <x v="17"/>
    <x v="20"/>
    <x v="0"/>
    <x v="0"/>
    <x v="18"/>
    <x v="21"/>
    <x v="21"/>
    <x v="21"/>
    <x v="21"/>
    <x v="21"/>
    <x v="7"/>
    <x v="20"/>
    <x v="20"/>
    <x v="5"/>
    <x v="18"/>
    <x v="12"/>
    <x v="10"/>
    <x v="11"/>
    <x v="21"/>
    <x v="9"/>
    <x v="10"/>
    <x v="21"/>
    <x v="4"/>
    <x v="4"/>
    <x v="11"/>
    <x v="9"/>
    <x v="21"/>
    <x v="7"/>
    <x v="0"/>
  </r>
  <r>
    <x v="24"/>
    <x v="24"/>
    <x v="0"/>
    <x v="0"/>
    <x v="0"/>
    <x v="0"/>
    <x v="0"/>
    <x v="24"/>
    <x v="0"/>
    <x v="14"/>
    <x v="15"/>
    <x v="14"/>
    <x v="15"/>
    <x v="0"/>
    <x v="0"/>
    <x v="0"/>
    <x v="0"/>
    <x v="0"/>
    <x v="0"/>
    <x v="1"/>
    <x v="4"/>
    <x v="0"/>
    <x v="0"/>
    <x v="0"/>
    <x v="0"/>
    <x v="2"/>
    <x v="2"/>
    <x v="0"/>
    <x v="0"/>
    <x v="22"/>
    <x v="18"/>
    <x v="21"/>
    <x v="0"/>
    <x v="0"/>
    <x v="19"/>
    <x v="22"/>
    <x v="22"/>
    <x v="22"/>
    <x v="22"/>
    <x v="22"/>
    <x v="5"/>
    <x v="21"/>
    <x v="21"/>
    <x v="0"/>
    <x v="0"/>
    <x v="0"/>
    <x v="0"/>
    <x v="0"/>
    <x v="0"/>
    <x v="0"/>
    <x v="0"/>
    <x v="0"/>
    <x v="0"/>
    <x v="0"/>
    <x v="0"/>
    <x v="0"/>
    <x v="0"/>
    <x v="0"/>
    <x v="0"/>
  </r>
  <r>
    <x v="25"/>
    <x v="25"/>
    <x v="0"/>
    <x v="0"/>
    <x v="0"/>
    <x v="0"/>
    <x v="0"/>
    <x v="25"/>
    <x v="0"/>
    <x v="15"/>
    <x v="16"/>
    <x v="15"/>
    <x v="16"/>
    <x v="0"/>
    <x v="0"/>
    <x v="0"/>
    <x v="0"/>
    <x v="0"/>
    <x v="0"/>
    <x v="1"/>
    <x v="3"/>
    <x v="0"/>
    <x v="0"/>
    <x v="0"/>
    <x v="0"/>
    <x v="2"/>
    <x v="2"/>
    <x v="0"/>
    <x v="0"/>
    <x v="23"/>
    <x v="19"/>
    <x v="22"/>
    <x v="0"/>
    <x v="0"/>
    <x v="20"/>
    <x v="23"/>
    <x v="23"/>
    <x v="23"/>
    <x v="23"/>
    <x v="23"/>
    <x v="5"/>
    <x v="22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26"/>
    <x v="26"/>
    <x v="0"/>
    <x v="0"/>
    <x v="0"/>
    <x v="0"/>
    <x v="0"/>
    <x v="26"/>
    <x v="0"/>
    <x v="16"/>
    <x v="9"/>
    <x v="16"/>
    <x v="17"/>
    <x v="0"/>
    <x v="0"/>
    <x v="0"/>
    <x v="0"/>
    <x v="0"/>
    <x v="0"/>
    <x v="1"/>
    <x v="3"/>
    <x v="0"/>
    <x v="0"/>
    <x v="0"/>
    <x v="0"/>
    <x v="2"/>
    <x v="2"/>
    <x v="0"/>
    <x v="0"/>
    <x v="24"/>
    <x v="20"/>
    <x v="23"/>
    <x v="0"/>
    <x v="0"/>
    <x v="21"/>
    <x v="24"/>
    <x v="24"/>
    <x v="24"/>
    <x v="24"/>
    <x v="24"/>
    <x v="8"/>
    <x v="23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27"/>
    <x v="27"/>
    <x v="0"/>
    <x v="0"/>
    <x v="0"/>
    <x v="0"/>
    <x v="0"/>
    <x v="27"/>
    <x v="0"/>
    <x v="17"/>
    <x v="17"/>
    <x v="17"/>
    <x v="18"/>
    <x v="0"/>
    <x v="0"/>
    <x v="0"/>
    <x v="0"/>
    <x v="0"/>
    <x v="0"/>
    <x v="3"/>
    <x v="5"/>
    <x v="0"/>
    <x v="0"/>
    <x v="0"/>
    <x v="0"/>
    <x v="2"/>
    <x v="2"/>
    <x v="0"/>
    <x v="0"/>
    <x v="25"/>
    <x v="21"/>
    <x v="24"/>
    <x v="0"/>
    <x v="0"/>
    <x v="22"/>
    <x v="25"/>
    <x v="25"/>
    <x v="25"/>
    <x v="25"/>
    <x v="25"/>
    <x v="8"/>
    <x v="24"/>
    <x v="24"/>
    <x v="0"/>
    <x v="0"/>
    <x v="0"/>
    <x v="0"/>
    <x v="0"/>
    <x v="0"/>
    <x v="0"/>
    <x v="0"/>
    <x v="0"/>
    <x v="0"/>
    <x v="0"/>
    <x v="0"/>
    <x v="0"/>
    <x v="0"/>
    <x v="0"/>
    <x v="0"/>
  </r>
  <r>
    <x v="28"/>
    <x v="28"/>
    <x v="0"/>
    <x v="0"/>
    <x v="0"/>
    <x v="0"/>
    <x v="1"/>
    <x v="28"/>
    <x v="0"/>
    <x v="13"/>
    <x v="14"/>
    <x v="18"/>
    <x v="19"/>
    <x v="0"/>
    <x v="0"/>
    <x v="0"/>
    <x v="0"/>
    <x v="0"/>
    <x v="0"/>
    <x v="4"/>
    <x v="4"/>
    <x v="0"/>
    <x v="0"/>
    <x v="1"/>
    <x v="2"/>
    <x v="2"/>
    <x v="2"/>
    <x v="0"/>
    <x v="0"/>
    <x v="26"/>
    <x v="22"/>
    <x v="25"/>
    <x v="0"/>
    <x v="0"/>
    <x v="23"/>
    <x v="26"/>
    <x v="26"/>
    <x v="26"/>
    <x v="26"/>
    <x v="26"/>
    <x v="5"/>
    <x v="25"/>
    <x v="25"/>
    <x v="0"/>
    <x v="0"/>
    <x v="0"/>
    <x v="0"/>
    <x v="0"/>
    <x v="0"/>
    <x v="0"/>
    <x v="0"/>
    <x v="0"/>
    <x v="0"/>
    <x v="0"/>
    <x v="0"/>
    <x v="0"/>
    <x v="0"/>
    <x v="0"/>
    <x v="0"/>
  </r>
  <r>
    <x v="29"/>
    <x v="29"/>
    <x v="0"/>
    <x v="0"/>
    <x v="0"/>
    <x v="0"/>
    <x v="1"/>
    <x v="29"/>
    <x v="0"/>
    <x v="18"/>
    <x v="18"/>
    <x v="19"/>
    <x v="20"/>
    <x v="0"/>
    <x v="0"/>
    <x v="0"/>
    <x v="0"/>
    <x v="0"/>
    <x v="0"/>
    <x v="5"/>
    <x v="6"/>
    <x v="0"/>
    <x v="0"/>
    <x v="1"/>
    <x v="3"/>
    <x v="2"/>
    <x v="2"/>
    <x v="0"/>
    <x v="0"/>
    <x v="27"/>
    <x v="23"/>
    <x v="26"/>
    <x v="1"/>
    <x v="2"/>
    <x v="24"/>
    <x v="27"/>
    <x v="27"/>
    <x v="27"/>
    <x v="27"/>
    <x v="27"/>
    <x v="8"/>
    <x v="26"/>
    <x v="26"/>
    <x v="0"/>
    <x v="0"/>
    <x v="0"/>
    <x v="0"/>
    <x v="0"/>
    <x v="0"/>
    <x v="0"/>
    <x v="0"/>
    <x v="0"/>
    <x v="0"/>
    <x v="0"/>
    <x v="0"/>
    <x v="0"/>
    <x v="0"/>
    <x v="0"/>
    <x v="0"/>
  </r>
  <r>
    <x v="30"/>
    <x v="30"/>
    <x v="0"/>
    <x v="0"/>
    <x v="0"/>
    <x v="0"/>
    <x v="2"/>
    <x v="30"/>
    <x v="0"/>
    <x v="19"/>
    <x v="19"/>
    <x v="20"/>
    <x v="21"/>
    <x v="0"/>
    <x v="0"/>
    <x v="0"/>
    <x v="0"/>
    <x v="0"/>
    <x v="0"/>
    <x v="6"/>
    <x v="5"/>
    <x v="0"/>
    <x v="0"/>
    <x v="0"/>
    <x v="0"/>
    <x v="2"/>
    <x v="2"/>
    <x v="1"/>
    <x v="0"/>
    <x v="28"/>
    <x v="24"/>
    <x v="27"/>
    <x v="0"/>
    <x v="0"/>
    <x v="25"/>
    <x v="28"/>
    <x v="28"/>
    <x v="28"/>
    <x v="28"/>
    <x v="28"/>
    <x v="5"/>
    <x v="27"/>
    <x v="27"/>
    <x v="0"/>
    <x v="0"/>
    <x v="0"/>
    <x v="0"/>
    <x v="0"/>
    <x v="0"/>
    <x v="0"/>
    <x v="0"/>
    <x v="0"/>
    <x v="0"/>
    <x v="0"/>
    <x v="0"/>
    <x v="0"/>
    <x v="0"/>
    <x v="0"/>
    <x v="0"/>
  </r>
  <r>
    <x v="31"/>
    <x v="31"/>
    <x v="0"/>
    <x v="0"/>
    <x v="0"/>
    <x v="0"/>
    <x v="2"/>
    <x v="31"/>
    <x v="0"/>
    <x v="20"/>
    <x v="20"/>
    <x v="21"/>
    <x v="22"/>
    <x v="2"/>
    <x v="2"/>
    <x v="2"/>
    <x v="0"/>
    <x v="0"/>
    <x v="0"/>
    <x v="6"/>
    <x v="5"/>
    <x v="0"/>
    <x v="0"/>
    <x v="0"/>
    <x v="0"/>
    <x v="3"/>
    <x v="3"/>
    <x v="0"/>
    <x v="0"/>
    <x v="29"/>
    <x v="25"/>
    <x v="28"/>
    <x v="0"/>
    <x v="0"/>
    <x v="26"/>
    <x v="29"/>
    <x v="29"/>
    <x v="29"/>
    <x v="29"/>
    <x v="29"/>
    <x v="8"/>
    <x v="28"/>
    <x v="28"/>
    <x v="0"/>
    <x v="0"/>
    <x v="0"/>
    <x v="0"/>
    <x v="0"/>
    <x v="0"/>
    <x v="0"/>
    <x v="0"/>
    <x v="0"/>
    <x v="0"/>
    <x v="0"/>
    <x v="0"/>
    <x v="0"/>
    <x v="0"/>
    <x v="0"/>
    <x v="0"/>
  </r>
  <r>
    <x v="32"/>
    <x v="32"/>
    <x v="0"/>
    <x v="0"/>
    <x v="0"/>
    <x v="0"/>
    <x v="2"/>
    <x v="32"/>
    <x v="0"/>
    <x v="15"/>
    <x v="16"/>
    <x v="22"/>
    <x v="23"/>
    <x v="0"/>
    <x v="0"/>
    <x v="0"/>
    <x v="0"/>
    <x v="0"/>
    <x v="0"/>
    <x v="6"/>
    <x v="3"/>
    <x v="0"/>
    <x v="0"/>
    <x v="0"/>
    <x v="0"/>
    <x v="3"/>
    <x v="3"/>
    <x v="0"/>
    <x v="0"/>
    <x v="30"/>
    <x v="26"/>
    <x v="29"/>
    <x v="0"/>
    <x v="0"/>
    <x v="27"/>
    <x v="30"/>
    <x v="30"/>
    <x v="30"/>
    <x v="30"/>
    <x v="30"/>
    <x v="5"/>
    <x v="29"/>
    <x v="29"/>
    <x v="0"/>
    <x v="0"/>
    <x v="0"/>
    <x v="0"/>
    <x v="0"/>
    <x v="0"/>
    <x v="0"/>
    <x v="0"/>
    <x v="0"/>
    <x v="0"/>
    <x v="0"/>
    <x v="0"/>
    <x v="0"/>
    <x v="0"/>
    <x v="0"/>
    <x v="0"/>
  </r>
  <r>
    <x v="33"/>
    <x v="33"/>
    <x v="0"/>
    <x v="0"/>
    <x v="0"/>
    <x v="0"/>
    <x v="2"/>
    <x v="33"/>
    <x v="0"/>
    <x v="21"/>
    <x v="21"/>
    <x v="23"/>
    <x v="24"/>
    <x v="2"/>
    <x v="2"/>
    <x v="2"/>
    <x v="0"/>
    <x v="0"/>
    <x v="0"/>
    <x v="6"/>
    <x v="7"/>
    <x v="0"/>
    <x v="0"/>
    <x v="0"/>
    <x v="0"/>
    <x v="3"/>
    <x v="3"/>
    <x v="0"/>
    <x v="0"/>
    <x v="31"/>
    <x v="27"/>
    <x v="30"/>
    <x v="1"/>
    <x v="3"/>
    <x v="28"/>
    <x v="29"/>
    <x v="31"/>
    <x v="31"/>
    <x v="31"/>
    <x v="31"/>
    <x v="7"/>
    <x v="30"/>
    <x v="30"/>
    <x v="0"/>
    <x v="0"/>
    <x v="0"/>
    <x v="0"/>
    <x v="0"/>
    <x v="0"/>
    <x v="0"/>
    <x v="0"/>
    <x v="0"/>
    <x v="0"/>
    <x v="0"/>
    <x v="0"/>
    <x v="0"/>
    <x v="0"/>
    <x v="0"/>
    <x v="0"/>
  </r>
  <r>
    <x v="34"/>
    <x v="34"/>
    <x v="0"/>
    <x v="0"/>
    <x v="0"/>
    <x v="0"/>
    <x v="2"/>
    <x v="34"/>
    <x v="0"/>
    <x v="22"/>
    <x v="22"/>
    <x v="24"/>
    <x v="25"/>
    <x v="0"/>
    <x v="0"/>
    <x v="0"/>
    <x v="0"/>
    <x v="0"/>
    <x v="0"/>
    <x v="7"/>
    <x v="5"/>
    <x v="0"/>
    <x v="0"/>
    <x v="2"/>
    <x v="4"/>
    <x v="3"/>
    <x v="4"/>
    <x v="0"/>
    <x v="0"/>
    <x v="32"/>
    <x v="28"/>
    <x v="31"/>
    <x v="0"/>
    <x v="0"/>
    <x v="23"/>
    <x v="14"/>
    <x v="32"/>
    <x v="32"/>
    <x v="32"/>
    <x v="23"/>
    <x v="7"/>
    <x v="31"/>
    <x v="31"/>
    <x v="0"/>
    <x v="0"/>
    <x v="0"/>
    <x v="0"/>
    <x v="0"/>
    <x v="0"/>
    <x v="0"/>
    <x v="0"/>
    <x v="0"/>
    <x v="0"/>
    <x v="0"/>
    <x v="0"/>
    <x v="0"/>
    <x v="0"/>
    <x v="0"/>
    <x v="0"/>
  </r>
  <r>
    <x v="35"/>
    <x v="35"/>
    <x v="0"/>
    <x v="0"/>
    <x v="0"/>
    <x v="0"/>
    <x v="2"/>
    <x v="35"/>
    <x v="0"/>
    <x v="23"/>
    <x v="23"/>
    <x v="25"/>
    <x v="26"/>
    <x v="0"/>
    <x v="0"/>
    <x v="0"/>
    <x v="0"/>
    <x v="0"/>
    <x v="0"/>
    <x v="6"/>
    <x v="3"/>
    <x v="0"/>
    <x v="0"/>
    <x v="0"/>
    <x v="0"/>
    <x v="3"/>
    <x v="4"/>
    <x v="0"/>
    <x v="0"/>
    <x v="33"/>
    <x v="29"/>
    <x v="28"/>
    <x v="0"/>
    <x v="0"/>
    <x v="29"/>
    <x v="31"/>
    <x v="33"/>
    <x v="26"/>
    <x v="33"/>
    <x v="32"/>
    <x v="5"/>
    <x v="32"/>
    <x v="32"/>
    <x v="0"/>
    <x v="0"/>
    <x v="0"/>
    <x v="0"/>
    <x v="0"/>
    <x v="0"/>
    <x v="0"/>
    <x v="0"/>
    <x v="0"/>
    <x v="0"/>
    <x v="0"/>
    <x v="0"/>
    <x v="0"/>
    <x v="0"/>
    <x v="0"/>
    <x v="0"/>
  </r>
  <r>
    <x v="36"/>
    <x v="36"/>
    <x v="0"/>
    <x v="0"/>
    <x v="0"/>
    <x v="0"/>
    <x v="2"/>
    <x v="36"/>
    <x v="0"/>
    <x v="21"/>
    <x v="21"/>
    <x v="23"/>
    <x v="24"/>
    <x v="1"/>
    <x v="3"/>
    <x v="1"/>
    <x v="0"/>
    <x v="0"/>
    <x v="0"/>
    <x v="6"/>
    <x v="7"/>
    <x v="0"/>
    <x v="0"/>
    <x v="0"/>
    <x v="0"/>
    <x v="3"/>
    <x v="4"/>
    <x v="0"/>
    <x v="0"/>
    <x v="34"/>
    <x v="30"/>
    <x v="32"/>
    <x v="0"/>
    <x v="0"/>
    <x v="30"/>
    <x v="32"/>
    <x v="34"/>
    <x v="33"/>
    <x v="34"/>
    <x v="33"/>
    <x v="5"/>
    <x v="33"/>
    <x v="33"/>
    <x v="0"/>
    <x v="0"/>
    <x v="0"/>
    <x v="0"/>
    <x v="0"/>
    <x v="0"/>
    <x v="0"/>
    <x v="0"/>
    <x v="0"/>
    <x v="0"/>
    <x v="0"/>
    <x v="0"/>
    <x v="0"/>
    <x v="0"/>
    <x v="0"/>
    <x v="0"/>
  </r>
  <r>
    <x v="37"/>
    <x v="37"/>
    <x v="0"/>
    <x v="0"/>
    <x v="0"/>
    <x v="0"/>
    <x v="3"/>
    <x v="37"/>
    <x v="0"/>
    <x v="24"/>
    <x v="24"/>
    <x v="26"/>
    <x v="27"/>
    <x v="1"/>
    <x v="4"/>
    <x v="1"/>
    <x v="0"/>
    <x v="0"/>
    <x v="0"/>
    <x v="8"/>
    <x v="3"/>
    <x v="0"/>
    <x v="0"/>
    <x v="1"/>
    <x v="5"/>
    <x v="3"/>
    <x v="5"/>
    <x v="0"/>
    <x v="0"/>
    <x v="35"/>
    <x v="31"/>
    <x v="33"/>
    <x v="0"/>
    <x v="0"/>
    <x v="31"/>
    <x v="30"/>
    <x v="35"/>
    <x v="34"/>
    <x v="35"/>
    <x v="34"/>
    <x v="5"/>
    <x v="34"/>
    <x v="34"/>
    <x v="0"/>
    <x v="0"/>
    <x v="0"/>
    <x v="0"/>
    <x v="0"/>
    <x v="0"/>
    <x v="0"/>
    <x v="0"/>
    <x v="0"/>
    <x v="0"/>
    <x v="0"/>
    <x v="0"/>
    <x v="0"/>
    <x v="0"/>
    <x v="0"/>
    <x v="0"/>
  </r>
  <r>
    <x v="38"/>
    <x v="38"/>
    <x v="0"/>
    <x v="0"/>
    <x v="0"/>
    <x v="0"/>
    <x v="3"/>
    <x v="38"/>
    <x v="0"/>
    <x v="25"/>
    <x v="25"/>
    <x v="27"/>
    <x v="28"/>
    <x v="3"/>
    <x v="5"/>
    <x v="3"/>
    <x v="0"/>
    <x v="0"/>
    <x v="0"/>
    <x v="9"/>
    <x v="5"/>
    <x v="0"/>
    <x v="0"/>
    <x v="0"/>
    <x v="0"/>
    <x v="3"/>
    <x v="5"/>
    <x v="2"/>
    <x v="0"/>
    <x v="36"/>
    <x v="32"/>
    <x v="33"/>
    <x v="0"/>
    <x v="0"/>
    <x v="28"/>
    <x v="30"/>
    <x v="36"/>
    <x v="35"/>
    <x v="36"/>
    <x v="35"/>
    <x v="4"/>
    <x v="35"/>
    <x v="35"/>
    <x v="0"/>
    <x v="0"/>
    <x v="0"/>
    <x v="0"/>
    <x v="0"/>
    <x v="0"/>
    <x v="0"/>
    <x v="0"/>
    <x v="0"/>
    <x v="0"/>
    <x v="0"/>
    <x v="0"/>
    <x v="0"/>
    <x v="0"/>
    <x v="0"/>
    <x v="0"/>
  </r>
  <r>
    <x v="39"/>
    <x v="39"/>
    <x v="0"/>
    <x v="0"/>
    <x v="0"/>
    <x v="0"/>
    <x v="3"/>
    <x v="39"/>
    <x v="0"/>
    <x v="23"/>
    <x v="23"/>
    <x v="28"/>
    <x v="29"/>
    <x v="2"/>
    <x v="6"/>
    <x v="2"/>
    <x v="0"/>
    <x v="0"/>
    <x v="0"/>
    <x v="10"/>
    <x v="3"/>
    <x v="0"/>
    <x v="0"/>
    <x v="1"/>
    <x v="6"/>
    <x v="3"/>
    <x v="5"/>
    <x v="0"/>
    <x v="0"/>
    <x v="37"/>
    <x v="33"/>
    <x v="33"/>
    <x v="0"/>
    <x v="0"/>
    <x v="32"/>
    <x v="33"/>
    <x v="37"/>
    <x v="36"/>
    <x v="37"/>
    <x v="36"/>
    <x v="8"/>
    <x v="36"/>
    <x v="36"/>
    <x v="0"/>
    <x v="0"/>
    <x v="0"/>
    <x v="0"/>
    <x v="0"/>
    <x v="0"/>
    <x v="0"/>
    <x v="0"/>
    <x v="0"/>
    <x v="0"/>
    <x v="0"/>
    <x v="0"/>
    <x v="0"/>
    <x v="0"/>
    <x v="0"/>
    <x v="0"/>
  </r>
  <r>
    <x v="40"/>
    <x v="40"/>
    <x v="0"/>
    <x v="0"/>
    <x v="0"/>
    <x v="0"/>
    <x v="3"/>
    <x v="40"/>
    <x v="0"/>
    <x v="17"/>
    <x v="17"/>
    <x v="29"/>
    <x v="30"/>
    <x v="1"/>
    <x v="4"/>
    <x v="1"/>
    <x v="0"/>
    <x v="0"/>
    <x v="0"/>
    <x v="11"/>
    <x v="5"/>
    <x v="0"/>
    <x v="0"/>
    <x v="1"/>
    <x v="7"/>
    <x v="3"/>
    <x v="6"/>
    <x v="0"/>
    <x v="0"/>
    <x v="38"/>
    <x v="34"/>
    <x v="34"/>
    <x v="0"/>
    <x v="0"/>
    <x v="33"/>
    <x v="34"/>
    <x v="37"/>
    <x v="37"/>
    <x v="22"/>
    <x v="37"/>
    <x v="7"/>
    <x v="37"/>
    <x v="37"/>
    <x v="0"/>
    <x v="0"/>
    <x v="0"/>
    <x v="0"/>
    <x v="0"/>
    <x v="0"/>
    <x v="0"/>
    <x v="0"/>
    <x v="0"/>
    <x v="0"/>
    <x v="0"/>
    <x v="0"/>
    <x v="0"/>
    <x v="0"/>
    <x v="0"/>
    <x v="0"/>
  </r>
  <r>
    <x v="41"/>
    <x v="41"/>
    <x v="0"/>
    <x v="0"/>
    <x v="0"/>
    <x v="0"/>
    <x v="3"/>
    <x v="41"/>
    <x v="0"/>
    <x v="17"/>
    <x v="17"/>
    <x v="29"/>
    <x v="31"/>
    <x v="1"/>
    <x v="4"/>
    <x v="1"/>
    <x v="0"/>
    <x v="0"/>
    <x v="0"/>
    <x v="12"/>
    <x v="5"/>
    <x v="0"/>
    <x v="0"/>
    <x v="1"/>
    <x v="7"/>
    <x v="3"/>
    <x v="6"/>
    <x v="0"/>
    <x v="0"/>
    <x v="39"/>
    <x v="35"/>
    <x v="33"/>
    <x v="0"/>
    <x v="0"/>
    <x v="23"/>
    <x v="35"/>
    <x v="38"/>
    <x v="38"/>
    <x v="38"/>
    <x v="38"/>
    <x v="7"/>
    <x v="38"/>
    <x v="38"/>
    <x v="0"/>
    <x v="0"/>
    <x v="0"/>
    <x v="0"/>
    <x v="0"/>
    <x v="0"/>
    <x v="0"/>
    <x v="0"/>
    <x v="0"/>
    <x v="0"/>
    <x v="0"/>
    <x v="0"/>
    <x v="0"/>
    <x v="0"/>
    <x v="0"/>
    <x v="0"/>
  </r>
  <r>
    <x v="42"/>
    <x v="42"/>
    <x v="0"/>
    <x v="0"/>
    <x v="0"/>
    <x v="0"/>
    <x v="3"/>
    <x v="42"/>
    <x v="0"/>
    <x v="26"/>
    <x v="26"/>
    <x v="30"/>
    <x v="32"/>
    <x v="0"/>
    <x v="0"/>
    <x v="0"/>
    <x v="0"/>
    <x v="0"/>
    <x v="0"/>
    <x v="13"/>
    <x v="8"/>
    <x v="0"/>
    <x v="0"/>
    <x v="1"/>
    <x v="8"/>
    <x v="3"/>
    <x v="6"/>
    <x v="3"/>
    <x v="0"/>
    <x v="40"/>
    <x v="36"/>
    <x v="35"/>
    <x v="2"/>
    <x v="4"/>
    <x v="34"/>
    <x v="36"/>
    <x v="39"/>
    <x v="34"/>
    <x v="39"/>
    <x v="39"/>
    <x v="5"/>
    <x v="39"/>
    <x v="39"/>
    <x v="0"/>
    <x v="0"/>
    <x v="0"/>
    <x v="0"/>
    <x v="0"/>
    <x v="0"/>
    <x v="0"/>
    <x v="0"/>
    <x v="0"/>
    <x v="0"/>
    <x v="0"/>
    <x v="0"/>
    <x v="0"/>
    <x v="0"/>
    <x v="0"/>
    <x v="0"/>
  </r>
  <r>
    <x v="43"/>
    <x v="43"/>
    <x v="0"/>
    <x v="0"/>
    <x v="0"/>
    <x v="0"/>
    <x v="3"/>
    <x v="43"/>
    <x v="0"/>
    <x v="27"/>
    <x v="27"/>
    <x v="31"/>
    <x v="33"/>
    <x v="1"/>
    <x v="4"/>
    <x v="1"/>
    <x v="0"/>
    <x v="0"/>
    <x v="0"/>
    <x v="14"/>
    <x v="9"/>
    <x v="0"/>
    <x v="0"/>
    <x v="1"/>
    <x v="9"/>
    <x v="3"/>
    <x v="6"/>
    <x v="0"/>
    <x v="0"/>
    <x v="41"/>
    <x v="37"/>
    <x v="35"/>
    <x v="0"/>
    <x v="0"/>
    <x v="35"/>
    <x v="37"/>
    <x v="40"/>
    <x v="39"/>
    <x v="40"/>
    <x v="40"/>
    <x v="5"/>
    <x v="40"/>
    <x v="40"/>
    <x v="0"/>
    <x v="0"/>
    <x v="0"/>
    <x v="0"/>
    <x v="0"/>
    <x v="0"/>
    <x v="0"/>
    <x v="0"/>
    <x v="0"/>
    <x v="0"/>
    <x v="0"/>
    <x v="0"/>
    <x v="0"/>
    <x v="0"/>
    <x v="0"/>
    <x v="0"/>
  </r>
  <r>
    <x v="44"/>
    <x v="44"/>
    <x v="0"/>
    <x v="0"/>
    <x v="0"/>
    <x v="0"/>
    <x v="4"/>
    <x v="44"/>
    <x v="0"/>
    <x v="28"/>
    <x v="28"/>
    <x v="32"/>
    <x v="34"/>
    <x v="4"/>
    <x v="7"/>
    <x v="4"/>
    <x v="0"/>
    <x v="0"/>
    <x v="0"/>
    <x v="15"/>
    <x v="6"/>
    <x v="0"/>
    <x v="0"/>
    <x v="0"/>
    <x v="0"/>
    <x v="3"/>
    <x v="6"/>
    <x v="0"/>
    <x v="0"/>
    <x v="42"/>
    <x v="38"/>
    <x v="36"/>
    <x v="1"/>
    <x v="5"/>
    <x v="36"/>
    <x v="38"/>
    <x v="41"/>
    <x v="40"/>
    <x v="41"/>
    <x v="41"/>
    <x v="5"/>
    <x v="41"/>
    <x v="41"/>
    <x v="0"/>
    <x v="0"/>
    <x v="0"/>
    <x v="0"/>
    <x v="0"/>
    <x v="0"/>
    <x v="0"/>
    <x v="0"/>
    <x v="0"/>
    <x v="0"/>
    <x v="0"/>
    <x v="0"/>
    <x v="0"/>
    <x v="0"/>
    <x v="0"/>
    <x v="0"/>
  </r>
  <r>
    <x v="45"/>
    <x v="45"/>
    <x v="0"/>
    <x v="0"/>
    <x v="0"/>
    <x v="0"/>
    <x v="5"/>
    <x v="45"/>
    <x v="0"/>
    <x v="22"/>
    <x v="22"/>
    <x v="33"/>
    <x v="35"/>
    <x v="2"/>
    <x v="8"/>
    <x v="2"/>
    <x v="0"/>
    <x v="0"/>
    <x v="0"/>
    <x v="16"/>
    <x v="5"/>
    <x v="0"/>
    <x v="0"/>
    <x v="1"/>
    <x v="10"/>
    <x v="4"/>
    <x v="7"/>
    <x v="0"/>
    <x v="0"/>
    <x v="43"/>
    <x v="39"/>
    <x v="37"/>
    <x v="1"/>
    <x v="6"/>
    <x v="37"/>
    <x v="39"/>
    <x v="42"/>
    <x v="29"/>
    <x v="42"/>
    <x v="42"/>
    <x v="5"/>
    <x v="42"/>
    <x v="42"/>
    <x v="0"/>
    <x v="0"/>
    <x v="0"/>
    <x v="0"/>
    <x v="0"/>
    <x v="0"/>
    <x v="0"/>
    <x v="0"/>
    <x v="0"/>
    <x v="0"/>
    <x v="0"/>
    <x v="0"/>
    <x v="0"/>
    <x v="0"/>
    <x v="0"/>
    <x v="0"/>
  </r>
  <r>
    <x v="46"/>
    <x v="46"/>
    <x v="0"/>
    <x v="0"/>
    <x v="0"/>
    <x v="0"/>
    <x v="5"/>
    <x v="46"/>
    <x v="0"/>
    <x v="29"/>
    <x v="29"/>
    <x v="34"/>
    <x v="36"/>
    <x v="2"/>
    <x v="8"/>
    <x v="2"/>
    <x v="0"/>
    <x v="0"/>
    <x v="0"/>
    <x v="17"/>
    <x v="7"/>
    <x v="0"/>
    <x v="0"/>
    <x v="1"/>
    <x v="11"/>
    <x v="4"/>
    <x v="7"/>
    <x v="0"/>
    <x v="0"/>
    <x v="44"/>
    <x v="40"/>
    <x v="38"/>
    <x v="0"/>
    <x v="0"/>
    <x v="38"/>
    <x v="40"/>
    <x v="43"/>
    <x v="36"/>
    <x v="43"/>
    <x v="43"/>
    <x v="8"/>
    <x v="43"/>
    <x v="43"/>
    <x v="0"/>
    <x v="0"/>
    <x v="0"/>
    <x v="0"/>
    <x v="0"/>
    <x v="0"/>
    <x v="0"/>
    <x v="0"/>
    <x v="0"/>
    <x v="0"/>
    <x v="0"/>
    <x v="0"/>
    <x v="0"/>
    <x v="0"/>
    <x v="0"/>
    <x v="0"/>
  </r>
  <r>
    <x v="47"/>
    <x v="47"/>
    <x v="0"/>
    <x v="0"/>
    <x v="0"/>
    <x v="0"/>
    <x v="5"/>
    <x v="47"/>
    <x v="0"/>
    <x v="30"/>
    <x v="30"/>
    <x v="35"/>
    <x v="37"/>
    <x v="2"/>
    <x v="8"/>
    <x v="2"/>
    <x v="0"/>
    <x v="0"/>
    <x v="0"/>
    <x v="18"/>
    <x v="3"/>
    <x v="0"/>
    <x v="0"/>
    <x v="0"/>
    <x v="0"/>
    <x v="4"/>
    <x v="7"/>
    <x v="0"/>
    <x v="0"/>
    <x v="45"/>
    <x v="41"/>
    <x v="39"/>
    <x v="0"/>
    <x v="0"/>
    <x v="20"/>
    <x v="41"/>
    <x v="44"/>
    <x v="41"/>
    <x v="21"/>
    <x v="44"/>
    <x v="7"/>
    <x v="44"/>
    <x v="44"/>
    <x v="0"/>
    <x v="0"/>
    <x v="0"/>
    <x v="0"/>
    <x v="0"/>
    <x v="0"/>
    <x v="0"/>
    <x v="0"/>
    <x v="0"/>
    <x v="0"/>
    <x v="0"/>
    <x v="0"/>
    <x v="0"/>
    <x v="0"/>
    <x v="0"/>
    <x v="0"/>
  </r>
  <r>
    <x v="48"/>
    <x v="48"/>
    <x v="0"/>
    <x v="0"/>
    <x v="0"/>
    <x v="0"/>
    <x v="4"/>
    <x v="48"/>
    <x v="0"/>
    <x v="23"/>
    <x v="23"/>
    <x v="36"/>
    <x v="38"/>
    <x v="2"/>
    <x v="9"/>
    <x v="2"/>
    <x v="0"/>
    <x v="0"/>
    <x v="0"/>
    <x v="19"/>
    <x v="3"/>
    <x v="0"/>
    <x v="0"/>
    <x v="1"/>
    <x v="6"/>
    <x v="5"/>
    <x v="8"/>
    <x v="0"/>
    <x v="0"/>
    <x v="46"/>
    <x v="42"/>
    <x v="40"/>
    <x v="0"/>
    <x v="0"/>
    <x v="39"/>
    <x v="42"/>
    <x v="45"/>
    <x v="32"/>
    <x v="44"/>
    <x v="45"/>
    <x v="1"/>
    <x v="45"/>
    <x v="45"/>
    <x v="0"/>
    <x v="0"/>
    <x v="0"/>
    <x v="0"/>
    <x v="0"/>
    <x v="0"/>
    <x v="0"/>
    <x v="0"/>
    <x v="0"/>
    <x v="0"/>
    <x v="0"/>
    <x v="0"/>
    <x v="0"/>
    <x v="0"/>
    <x v="0"/>
    <x v="0"/>
  </r>
  <r>
    <x v="49"/>
    <x v="49"/>
    <x v="0"/>
    <x v="0"/>
    <x v="0"/>
    <x v="0"/>
    <x v="4"/>
    <x v="49"/>
    <x v="0"/>
    <x v="31"/>
    <x v="31"/>
    <x v="37"/>
    <x v="39"/>
    <x v="1"/>
    <x v="10"/>
    <x v="1"/>
    <x v="0"/>
    <x v="0"/>
    <x v="0"/>
    <x v="20"/>
    <x v="2"/>
    <x v="0"/>
    <x v="0"/>
    <x v="1"/>
    <x v="12"/>
    <x v="5"/>
    <x v="8"/>
    <x v="0"/>
    <x v="0"/>
    <x v="47"/>
    <x v="43"/>
    <x v="41"/>
    <x v="0"/>
    <x v="0"/>
    <x v="18"/>
    <x v="30"/>
    <x v="46"/>
    <x v="42"/>
    <x v="45"/>
    <x v="35"/>
    <x v="1"/>
    <x v="46"/>
    <x v="46"/>
    <x v="0"/>
    <x v="0"/>
    <x v="0"/>
    <x v="0"/>
    <x v="0"/>
    <x v="0"/>
    <x v="0"/>
    <x v="0"/>
    <x v="0"/>
    <x v="0"/>
    <x v="0"/>
    <x v="0"/>
    <x v="0"/>
    <x v="0"/>
    <x v="0"/>
    <x v="0"/>
  </r>
  <r>
    <x v="50"/>
    <x v="50"/>
    <x v="0"/>
    <x v="0"/>
    <x v="0"/>
    <x v="0"/>
    <x v="3"/>
    <x v="50"/>
    <x v="0"/>
    <x v="9"/>
    <x v="32"/>
    <x v="38"/>
    <x v="40"/>
    <x v="1"/>
    <x v="11"/>
    <x v="1"/>
    <x v="0"/>
    <x v="0"/>
    <x v="0"/>
    <x v="21"/>
    <x v="4"/>
    <x v="0"/>
    <x v="0"/>
    <x v="1"/>
    <x v="13"/>
    <x v="5"/>
    <x v="8"/>
    <x v="0"/>
    <x v="0"/>
    <x v="48"/>
    <x v="44"/>
    <x v="42"/>
    <x v="0"/>
    <x v="0"/>
    <x v="40"/>
    <x v="43"/>
    <x v="47"/>
    <x v="43"/>
    <x v="46"/>
    <x v="46"/>
    <x v="1"/>
    <x v="47"/>
    <x v="47"/>
    <x v="0"/>
    <x v="0"/>
    <x v="0"/>
    <x v="0"/>
    <x v="0"/>
    <x v="0"/>
    <x v="0"/>
    <x v="0"/>
    <x v="0"/>
    <x v="0"/>
    <x v="0"/>
    <x v="0"/>
    <x v="0"/>
    <x v="0"/>
    <x v="0"/>
    <x v="0"/>
  </r>
  <r>
    <x v="51"/>
    <x v="51"/>
    <x v="0"/>
    <x v="0"/>
    <x v="0"/>
    <x v="0"/>
    <x v="1"/>
    <x v="51"/>
    <x v="0"/>
    <x v="14"/>
    <x v="14"/>
    <x v="39"/>
    <x v="41"/>
    <x v="1"/>
    <x v="11"/>
    <x v="1"/>
    <x v="0"/>
    <x v="0"/>
    <x v="0"/>
    <x v="22"/>
    <x v="4"/>
    <x v="0"/>
    <x v="0"/>
    <x v="0"/>
    <x v="0"/>
    <x v="5"/>
    <x v="9"/>
    <x v="4"/>
    <x v="0"/>
    <x v="49"/>
    <x v="45"/>
    <x v="43"/>
    <x v="0"/>
    <x v="0"/>
    <x v="12"/>
    <x v="44"/>
    <x v="48"/>
    <x v="14"/>
    <x v="47"/>
    <x v="25"/>
    <x v="1"/>
    <x v="48"/>
    <x v="22"/>
    <x v="0"/>
    <x v="0"/>
    <x v="0"/>
    <x v="0"/>
    <x v="0"/>
    <x v="0"/>
    <x v="0"/>
    <x v="0"/>
    <x v="0"/>
    <x v="0"/>
    <x v="0"/>
    <x v="0"/>
    <x v="0"/>
    <x v="0"/>
    <x v="0"/>
    <x v="0"/>
  </r>
  <r>
    <x v="52"/>
    <x v="52"/>
    <x v="0"/>
    <x v="0"/>
    <x v="0"/>
    <x v="0"/>
    <x v="3"/>
    <x v="52"/>
    <x v="0"/>
    <x v="14"/>
    <x v="15"/>
    <x v="40"/>
    <x v="42"/>
    <x v="1"/>
    <x v="10"/>
    <x v="1"/>
    <x v="0"/>
    <x v="0"/>
    <x v="0"/>
    <x v="23"/>
    <x v="4"/>
    <x v="0"/>
    <x v="0"/>
    <x v="1"/>
    <x v="14"/>
    <x v="5"/>
    <x v="9"/>
    <x v="0"/>
    <x v="0"/>
    <x v="50"/>
    <x v="46"/>
    <x v="44"/>
    <x v="0"/>
    <x v="0"/>
    <x v="41"/>
    <x v="45"/>
    <x v="49"/>
    <x v="44"/>
    <x v="48"/>
    <x v="47"/>
    <x v="7"/>
    <x v="49"/>
    <x v="48"/>
    <x v="0"/>
    <x v="0"/>
    <x v="0"/>
    <x v="0"/>
    <x v="0"/>
    <x v="0"/>
    <x v="0"/>
    <x v="0"/>
    <x v="0"/>
    <x v="0"/>
    <x v="0"/>
    <x v="0"/>
    <x v="0"/>
    <x v="0"/>
    <x v="0"/>
    <x v="0"/>
  </r>
  <r>
    <x v="53"/>
    <x v="53"/>
    <x v="0"/>
    <x v="0"/>
    <x v="0"/>
    <x v="0"/>
    <x v="4"/>
    <x v="53"/>
    <x v="0"/>
    <x v="13"/>
    <x v="32"/>
    <x v="41"/>
    <x v="43"/>
    <x v="5"/>
    <x v="12"/>
    <x v="5"/>
    <x v="0"/>
    <x v="0"/>
    <x v="0"/>
    <x v="24"/>
    <x v="4"/>
    <x v="0"/>
    <x v="0"/>
    <x v="2"/>
    <x v="1"/>
    <x v="5"/>
    <x v="9"/>
    <x v="0"/>
    <x v="0"/>
    <x v="51"/>
    <x v="47"/>
    <x v="45"/>
    <x v="2"/>
    <x v="7"/>
    <x v="15"/>
    <x v="46"/>
    <x v="50"/>
    <x v="45"/>
    <x v="49"/>
    <x v="48"/>
    <x v="1"/>
    <x v="50"/>
    <x v="49"/>
    <x v="0"/>
    <x v="0"/>
    <x v="0"/>
    <x v="0"/>
    <x v="0"/>
    <x v="0"/>
    <x v="0"/>
    <x v="0"/>
    <x v="0"/>
    <x v="0"/>
    <x v="0"/>
    <x v="0"/>
    <x v="0"/>
    <x v="0"/>
    <x v="0"/>
    <x v="0"/>
  </r>
  <r>
    <x v="54"/>
    <x v="54"/>
    <x v="0"/>
    <x v="0"/>
    <x v="0"/>
    <x v="0"/>
    <x v="4"/>
    <x v="54"/>
    <x v="0"/>
    <x v="7"/>
    <x v="8"/>
    <x v="42"/>
    <x v="44"/>
    <x v="2"/>
    <x v="9"/>
    <x v="2"/>
    <x v="0"/>
    <x v="0"/>
    <x v="0"/>
    <x v="25"/>
    <x v="1"/>
    <x v="0"/>
    <x v="0"/>
    <x v="0"/>
    <x v="0"/>
    <x v="5"/>
    <x v="10"/>
    <x v="0"/>
    <x v="0"/>
    <x v="52"/>
    <x v="48"/>
    <x v="46"/>
    <x v="0"/>
    <x v="0"/>
    <x v="42"/>
    <x v="47"/>
    <x v="10"/>
    <x v="46"/>
    <x v="50"/>
    <x v="49"/>
    <x v="7"/>
    <x v="51"/>
    <x v="50"/>
    <x v="0"/>
    <x v="0"/>
    <x v="0"/>
    <x v="0"/>
    <x v="0"/>
    <x v="0"/>
    <x v="0"/>
    <x v="0"/>
    <x v="0"/>
    <x v="0"/>
    <x v="0"/>
    <x v="0"/>
    <x v="0"/>
    <x v="0"/>
    <x v="0"/>
    <x v="0"/>
  </r>
  <r>
    <x v="55"/>
    <x v="55"/>
    <x v="0"/>
    <x v="0"/>
    <x v="0"/>
    <x v="0"/>
    <x v="4"/>
    <x v="55"/>
    <x v="0"/>
    <x v="6"/>
    <x v="7"/>
    <x v="43"/>
    <x v="45"/>
    <x v="1"/>
    <x v="10"/>
    <x v="1"/>
    <x v="0"/>
    <x v="0"/>
    <x v="0"/>
    <x v="25"/>
    <x v="1"/>
    <x v="0"/>
    <x v="0"/>
    <x v="2"/>
    <x v="15"/>
    <x v="5"/>
    <x v="10"/>
    <x v="0"/>
    <x v="0"/>
    <x v="53"/>
    <x v="49"/>
    <x v="4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6"/>
    <x v="56"/>
    <x v="0"/>
    <x v="0"/>
    <x v="0"/>
    <x v="0"/>
    <x v="4"/>
    <x v="55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57"/>
    <x v="57"/>
    <x v="1"/>
    <x v="0"/>
    <x v="1"/>
    <x v="0"/>
    <x v="6"/>
    <x v="56"/>
    <x v="1"/>
    <x v="32"/>
    <x v="33"/>
    <x v="44"/>
    <x v="46"/>
    <x v="6"/>
    <x v="13"/>
    <x v="6"/>
    <x v="1"/>
    <x v="1"/>
    <x v="1"/>
    <x v="0"/>
    <x v="10"/>
    <x v="0"/>
    <x v="0"/>
    <x v="3"/>
    <x v="16"/>
    <x v="6"/>
    <x v="11"/>
    <x v="5"/>
    <x v="1"/>
    <x v="54"/>
    <x v="50"/>
    <x v="47"/>
    <x v="3"/>
    <x v="8"/>
    <x v="43"/>
    <x v="48"/>
    <x v="51"/>
    <x v="47"/>
    <x v="51"/>
    <x v="50"/>
    <x v="0"/>
    <x v="52"/>
    <x v="51"/>
    <x v="0"/>
    <x v="19"/>
    <x v="21"/>
    <x v="17"/>
    <x v="18"/>
    <x v="22"/>
    <x v="10"/>
    <x v="0"/>
    <x v="22"/>
    <x v="6"/>
    <x v="6"/>
    <x v="12"/>
    <x v="13"/>
    <x v="22"/>
    <x v="10"/>
    <x v="0"/>
  </r>
  <r>
    <x v="58"/>
    <x v="58"/>
    <x v="2"/>
    <x v="1"/>
    <x v="2"/>
    <x v="1"/>
    <x v="7"/>
    <x v="57"/>
    <x v="2"/>
    <x v="33"/>
    <x v="34"/>
    <x v="45"/>
    <x v="47"/>
    <x v="7"/>
    <x v="14"/>
    <x v="7"/>
    <x v="2"/>
    <x v="2"/>
    <x v="2"/>
    <x v="26"/>
    <x v="11"/>
    <x v="0"/>
    <x v="0"/>
    <x v="4"/>
    <x v="17"/>
    <x v="7"/>
    <x v="12"/>
    <x v="6"/>
    <x v="2"/>
    <x v="55"/>
    <x v="51"/>
    <x v="48"/>
    <x v="4"/>
    <x v="9"/>
    <x v="44"/>
    <x v="49"/>
    <x v="52"/>
    <x v="48"/>
    <x v="52"/>
    <x v="51"/>
    <x v="9"/>
    <x v="53"/>
    <x v="52"/>
    <x v="13"/>
    <x v="20"/>
    <x v="22"/>
    <x v="18"/>
    <x v="19"/>
    <x v="23"/>
    <x v="11"/>
    <x v="17"/>
    <x v="23"/>
    <x v="7"/>
    <x v="7"/>
    <x v="13"/>
    <x v="14"/>
    <x v="23"/>
    <x v="11"/>
    <x v="0"/>
  </r>
  <r>
    <x v="59"/>
    <x v="0"/>
    <x v="3"/>
    <x v="0"/>
    <x v="3"/>
    <x v="0"/>
    <x v="0"/>
    <x v="58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0"/>
    <x v="1"/>
    <x v="3"/>
    <x v="0"/>
    <x v="3"/>
    <x v="0"/>
    <x v="0"/>
    <x v="59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1"/>
    <x v="2"/>
    <x v="3"/>
    <x v="0"/>
    <x v="3"/>
    <x v="0"/>
    <x v="0"/>
    <x v="6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62"/>
    <x v="3"/>
    <x v="3"/>
    <x v="0"/>
    <x v="3"/>
    <x v="0"/>
    <x v="0"/>
    <x v="61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56"/>
    <x v="0"/>
    <x v="49"/>
    <x v="0"/>
    <x v="0"/>
    <x v="45"/>
    <x v="50"/>
    <x v="2"/>
    <x v="49"/>
    <x v="1"/>
    <x v="52"/>
    <x v="1"/>
    <x v="2"/>
    <x v="2"/>
    <x v="14"/>
    <x v="16"/>
    <x v="23"/>
    <x v="0"/>
    <x v="2"/>
    <x v="24"/>
    <x v="0"/>
    <x v="0"/>
    <x v="24"/>
    <x v="0"/>
    <x v="0"/>
    <x v="0"/>
    <x v="0"/>
    <x v="24"/>
    <x v="9"/>
    <x v="0"/>
  </r>
  <r>
    <x v="63"/>
    <x v="4"/>
    <x v="3"/>
    <x v="0"/>
    <x v="3"/>
    <x v="0"/>
    <x v="0"/>
    <x v="6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7"/>
    <x v="0"/>
    <x v="0"/>
    <x v="0"/>
    <x v="0"/>
    <x v="46"/>
    <x v="3"/>
    <x v="53"/>
    <x v="49"/>
    <x v="53"/>
    <x v="53"/>
    <x v="1"/>
    <x v="0"/>
    <x v="0"/>
    <x v="15"/>
    <x v="21"/>
    <x v="24"/>
    <x v="0"/>
    <x v="2"/>
    <x v="3"/>
    <x v="0"/>
    <x v="0"/>
    <x v="25"/>
    <x v="0"/>
    <x v="0"/>
    <x v="0"/>
    <x v="0"/>
    <x v="25"/>
    <x v="12"/>
    <x v="0"/>
  </r>
  <r>
    <x v="64"/>
    <x v="5"/>
    <x v="3"/>
    <x v="0"/>
    <x v="3"/>
    <x v="0"/>
    <x v="0"/>
    <x v="63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58"/>
    <x v="0"/>
    <x v="50"/>
    <x v="0"/>
    <x v="0"/>
    <x v="47"/>
    <x v="4"/>
    <x v="54"/>
    <x v="50"/>
    <x v="54"/>
    <x v="1"/>
    <x v="1"/>
    <x v="54"/>
    <x v="53"/>
    <x v="16"/>
    <x v="22"/>
    <x v="25"/>
    <x v="19"/>
    <x v="20"/>
    <x v="25"/>
    <x v="12"/>
    <x v="18"/>
    <x v="26"/>
    <x v="4"/>
    <x v="4"/>
    <x v="14"/>
    <x v="15"/>
    <x v="26"/>
    <x v="13"/>
    <x v="0"/>
  </r>
  <r>
    <x v="65"/>
    <x v="6"/>
    <x v="3"/>
    <x v="0"/>
    <x v="3"/>
    <x v="0"/>
    <x v="0"/>
    <x v="64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59"/>
    <x v="52"/>
    <x v="51"/>
    <x v="0"/>
    <x v="0"/>
    <x v="48"/>
    <x v="51"/>
    <x v="55"/>
    <x v="51"/>
    <x v="55"/>
    <x v="54"/>
    <x v="1"/>
    <x v="55"/>
    <x v="54"/>
    <x v="17"/>
    <x v="23"/>
    <x v="26"/>
    <x v="20"/>
    <x v="21"/>
    <x v="26"/>
    <x v="13"/>
    <x v="19"/>
    <x v="27"/>
    <x v="4"/>
    <x v="4"/>
    <x v="15"/>
    <x v="15"/>
    <x v="27"/>
    <x v="13"/>
    <x v="0"/>
  </r>
  <r>
    <x v="66"/>
    <x v="7"/>
    <x v="3"/>
    <x v="0"/>
    <x v="3"/>
    <x v="0"/>
    <x v="0"/>
    <x v="7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60"/>
    <x v="53"/>
    <x v="52"/>
    <x v="0"/>
    <x v="0"/>
    <x v="47"/>
    <x v="52"/>
    <x v="56"/>
    <x v="50"/>
    <x v="56"/>
    <x v="5"/>
    <x v="1"/>
    <x v="56"/>
    <x v="55"/>
    <x v="18"/>
    <x v="10"/>
    <x v="27"/>
    <x v="21"/>
    <x v="22"/>
    <x v="27"/>
    <x v="6"/>
    <x v="20"/>
    <x v="28"/>
    <x v="3"/>
    <x v="3"/>
    <x v="8"/>
    <x v="16"/>
    <x v="28"/>
    <x v="2"/>
    <x v="0"/>
  </r>
  <r>
    <x v="67"/>
    <x v="8"/>
    <x v="3"/>
    <x v="0"/>
    <x v="3"/>
    <x v="0"/>
    <x v="0"/>
    <x v="65"/>
    <x v="0"/>
    <x v="2"/>
    <x v="2"/>
    <x v="2"/>
    <x v="48"/>
    <x v="0"/>
    <x v="0"/>
    <x v="0"/>
    <x v="0"/>
    <x v="0"/>
    <x v="0"/>
    <x v="27"/>
    <x v="0"/>
    <x v="0"/>
    <x v="0"/>
    <x v="1"/>
    <x v="18"/>
    <x v="0"/>
    <x v="0"/>
    <x v="0"/>
    <x v="0"/>
    <x v="61"/>
    <x v="54"/>
    <x v="53"/>
    <x v="0"/>
    <x v="0"/>
    <x v="4"/>
    <x v="53"/>
    <x v="57"/>
    <x v="52"/>
    <x v="57"/>
    <x v="55"/>
    <x v="1"/>
    <x v="57"/>
    <x v="56"/>
    <x v="14"/>
    <x v="24"/>
    <x v="28"/>
    <x v="22"/>
    <x v="23"/>
    <x v="28"/>
    <x v="12"/>
    <x v="21"/>
    <x v="29"/>
    <x v="4"/>
    <x v="2"/>
    <x v="1"/>
    <x v="11"/>
    <x v="29"/>
    <x v="2"/>
    <x v="0"/>
  </r>
  <r>
    <x v="68"/>
    <x v="9"/>
    <x v="3"/>
    <x v="0"/>
    <x v="3"/>
    <x v="0"/>
    <x v="0"/>
    <x v="66"/>
    <x v="0"/>
    <x v="2"/>
    <x v="2"/>
    <x v="2"/>
    <x v="2"/>
    <x v="0"/>
    <x v="0"/>
    <x v="0"/>
    <x v="0"/>
    <x v="0"/>
    <x v="0"/>
    <x v="1"/>
    <x v="0"/>
    <x v="0"/>
    <x v="0"/>
    <x v="0"/>
    <x v="0"/>
    <x v="0"/>
    <x v="0"/>
    <x v="0"/>
    <x v="0"/>
    <x v="62"/>
    <x v="55"/>
    <x v="54"/>
    <x v="0"/>
    <x v="0"/>
    <x v="4"/>
    <x v="54"/>
    <x v="58"/>
    <x v="6"/>
    <x v="4"/>
    <x v="56"/>
    <x v="1"/>
    <x v="58"/>
    <x v="57"/>
    <x v="19"/>
    <x v="25"/>
    <x v="8"/>
    <x v="23"/>
    <x v="24"/>
    <x v="29"/>
    <x v="3"/>
    <x v="22"/>
    <x v="30"/>
    <x v="3"/>
    <x v="3"/>
    <x v="5"/>
    <x v="17"/>
    <x v="30"/>
    <x v="4"/>
    <x v="0"/>
  </r>
  <r>
    <x v="69"/>
    <x v="10"/>
    <x v="3"/>
    <x v="0"/>
    <x v="3"/>
    <x v="0"/>
    <x v="0"/>
    <x v="67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63"/>
    <x v="56"/>
    <x v="55"/>
    <x v="0"/>
    <x v="0"/>
    <x v="49"/>
    <x v="55"/>
    <x v="59"/>
    <x v="2"/>
    <x v="58"/>
    <x v="57"/>
    <x v="1"/>
    <x v="59"/>
    <x v="58"/>
    <x v="10"/>
    <x v="26"/>
    <x v="29"/>
    <x v="24"/>
    <x v="25"/>
    <x v="30"/>
    <x v="14"/>
    <x v="23"/>
    <x v="31"/>
    <x v="3"/>
    <x v="3"/>
    <x v="16"/>
    <x v="7"/>
    <x v="31"/>
    <x v="8"/>
    <x v="0"/>
  </r>
  <r>
    <x v="70"/>
    <x v="11"/>
    <x v="3"/>
    <x v="0"/>
    <x v="3"/>
    <x v="0"/>
    <x v="0"/>
    <x v="68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4"/>
    <x v="57"/>
    <x v="56"/>
    <x v="0"/>
    <x v="0"/>
    <x v="5"/>
    <x v="56"/>
    <x v="60"/>
    <x v="5"/>
    <x v="59"/>
    <x v="58"/>
    <x v="1"/>
    <x v="60"/>
    <x v="59"/>
    <x v="20"/>
    <x v="27"/>
    <x v="30"/>
    <x v="0"/>
    <x v="2"/>
    <x v="31"/>
    <x v="0"/>
    <x v="0"/>
    <x v="32"/>
    <x v="0"/>
    <x v="0"/>
    <x v="0"/>
    <x v="0"/>
    <x v="32"/>
    <x v="7"/>
    <x v="0"/>
  </r>
  <r>
    <x v="71"/>
    <x v="12"/>
    <x v="3"/>
    <x v="0"/>
    <x v="3"/>
    <x v="0"/>
    <x v="0"/>
    <x v="69"/>
    <x v="0"/>
    <x v="5"/>
    <x v="5"/>
    <x v="5"/>
    <x v="5"/>
    <x v="0"/>
    <x v="0"/>
    <x v="0"/>
    <x v="0"/>
    <x v="0"/>
    <x v="0"/>
    <x v="1"/>
    <x v="1"/>
    <x v="0"/>
    <x v="0"/>
    <x v="0"/>
    <x v="0"/>
    <x v="0"/>
    <x v="0"/>
    <x v="0"/>
    <x v="0"/>
    <x v="65"/>
    <x v="58"/>
    <x v="57"/>
    <x v="0"/>
    <x v="0"/>
    <x v="50"/>
    <x v="57"/>
    <x v="61"/>
    <x v="53"/>
    <x v="6"/>
    <x v="59"/>
    <x v="1"/>
    <x v="61"/>
    <x v="60"/>
    <x v="21"/>
    <x v="28"/>
    <x v="31"/>
    <x v="25"/>
    <x v="26"/>
    <x v="32"/>
    <x v="13"/>
    <x v="24"/>
    <x v="33"/>
    <x v="4"/>
    <x v="4"/>
    <x v="15"/>
    <x v="9"/>
    <x v="33"/>
    <x v="7"/>
    <x v="0"/>
  </r>
  <r>
    <x v="72"/>
    <x v="13"/>
    <x v="3"/>
    <x v="0"/>
    <x v="3"/>
    <x v="0"/>
    <x v="0"/>
    <x v="70"/>
    <x v="0"/>
    <x v="3"/>
    <x v="3"/>
    <x v="3"/>
    <x v="3"/>
    <x v="0"/>
    <x v="0"/>
    <x v="0"/>
    <x v="0"/>
    <x v="0"/>
    <x v="0"/>
    <x v="1"/>
    <x v="1"/>
    <x v="0"/>
    <x v="0"/>
    <x v="0"/>
    <x v="0"/>
    <x v="0"/>
    <x v="0"/>
    <x v="0"/>
    <x v="0"/>
    <x v="66"/>
    <x v="59"/>
    <x v="58"/>
    <x v="0"/>
    <x v="0"/>
    <x v="51"/>
    <x v="58"/>
    <x v="62"/>
    <x v="54"/>
    <x v="60"/>
    <x v="6"/>
    <x v="1"/>
    <x v="62"/>
    <x v="61"/>
    <x v="9"/>
    <x v="29"/>
    <x v="13"/>
    <x v="26"/>
    <x v="27"/>
    <x v="33"/>
    <x v="2"/>
    <x v="25"/>
    <x v="34"/>
    <x v="3"/>
    <x v="3"/>
    <x v="2"/>
    <x v="7"/>
    <x v="34"/>
    <x v="8"/>
    <x v="0"/>
  </r>
  <r>
    <x v="73"/>
    <x v="14"/>
    <x v="3"/>
    <x v="0"/>
    <x v="3"/>
    <x v="0"/>
    <x v="0"/>
    <x v="71"/>
    <x v="0"/>
    <x v="1"/>
    <x v="1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67"/>
    <x v="60"/>
    <x v="59"/>
    <x v="0"/>
    <x v="0"/>
    <x v="52"/>
    <x v="59"/>
    <x v="63"/>
    <x v="7"/>
    <x v="61"/>
    <x v="60"/>
    <x v="1"/>
    <x v="63"/>
    <x v="62"/>
    <x v="21"/>
    <x v="30"/>
    <x v="32"/>
    <x v="27"/>
    <x v="28"/>
    <x v="34"/>
    <x v="3"/>
    <x v="26"/>
    <x v="35"/>
    <x v="2"/>
    <x v="2"/>
    <x v="5"/>
    <x v="12"/>
    <x v="35"/>
    <x v="8"/>
    <x v="0"/>
  </r>
  <r>
    <x v="74"/>
    <x v="15"/>
    <x v="3"/>
    <x v="0"/>
    <x v="3"/>
    <x v="0"/>
    <x v="0"/>
    <x v="14"/>
    <x v="0"/>
    <x v="10"/>
    <x v="11"/>
    <x v="10"/>
    <x v="49"/>
    <x v="1"/>
    <x v="1"/>
    <x v="1"/>
    <x v="0"/>
    <x v="0"/>
    <x v="0"/>
    <x v="28"/>
    <x v="2"/>
    <x v="0"/>
    <x v="0"/>
    <x v="1"/>
    <x v="19"/>
    <x v="0"/>
    <x v="0"/>
    <x v="0"/>
    <x v="0"/>
    <x v="68"/>
    <x v="61"/>
    <x v="60"/>
    <x v="0"/>
    <x v="0"/>
    <x v="53"/>
    <x v="60"/>
    <x v="64"/>
    <x v="55"/>
    <x v="62"/>
    <x v="61"/>
    <x v="1"/>
    <x v="64"/>
    <x v="63"/>
    <x v="7"/>
    <x v="30"/>
    <x v="33"/>
    <x v="28"/>
    <x v="29"/>
    <x v="35"/>
    <x v="15"/>
    <x v="27"/>
    <x v="36"/>
    <x v="4"/>
    <x v="4"/>
    <x v="17"/>
    <x v="8"/>
    <x v="36"/>
    <x v="8"/>
    <x v="0"/>
  </r>
  <r>
    <x v="75"/>
    <x v="16"/>
    <x v="3"/>
    <x v="0"/>
    <x v="3"/>
    <x v="0"/>
    <x v="0"/>
    <x v="72"/>
    <x v="0"/>
    <x v="10"/>
    <x v="11"/>
    <x v="10"/>
    <x v="11"/>
    <x v="1"/>
    <x v="1"/>
    <x v="1"/>
    <x v="0"/>
    <x v="0"/>
    <x v="0"/>
    <x v="1"/>
    <x v="2"/>
    <x v="0"/>
    <x v="0"/>
    <x v="0"/>
    <x v="0"/>
    <x v="0"/>
    <x v="0"/>
    <x v="0"/>
    <x v="0"/>
    <x v="69"/>
    <x v="62"/>
    <x v="61"/>
    <x v="0"/>
    <x v="0"/>
    <x v="13"/>
    <x v="61"/>
    <x v="65"/>
    <x v="56"/>
    <x v="63"/>
    <x v="62"/>
    <x v="1"/>
    <x v="65"/>
    <x v="64"/>
    <x v="10"/>
    <x v="9"/>
    <x v="34"/>
    <x v="24"/>
    <x v="30"/>
    <x v="36"/>
    <x v="16"/>
    <x v="28"/>
    <x v="37"/>
    <x v="3"/>
    <x v="3"/>
    <x v="18"/>
    <x v="7"/>
    <x v="37"/>
    <x v="8"/>
    <x v="0"/>
  </r>
  <r>
    <x v="76"/>
    <x v="17"/>
    <x v="3"/>
    <x v="0"/>
    <x v="3"/>
    <x v="0"/>
    <x v="0"/>
    <x v="73"/>
    <x v="0"/>
    <x v="31"/>
    <x v="6"/>
    <x v="46"/>
    <x v="50"/>
    <x v="5"/>
    <x v="15"/>
    <x v="1"/>
    <x v="0"/>
    <x v="0"/>
    <x v="0"/>
    <x v="1"/>
    <x v="2"/>
    <x v="0"/>
    <x v="0"/>
    <x v="0"/>
    <x v="0"/>
    <x v="0"/>
    <x v="0"/>
    <x v="0"/>
    <x v="0"/>
    <x v="70"/>
    <x v="63"/>
    <x v="23"/>
    <x v="1"/>
    <x v="10"/>
    <x v="52"/>
    <x v="62"/>
    <x v="66"/>
    <x v="57"/>
    <x v="62"/>
    <x v="63"/>
    <x v="1"/>
    <x v="66"/>
    <x v="65"/>
    <x v="0"/>
    <x v="0"/>
    <x v="0"/>
    <x v="0"/>
    <x v="0"/>
    <x v="0"/>
    <x v="0"/>
    <x v="0"/>
    <x v="0"/>
    <x v="0"/>
    <x v="0"/>
    <x v="0"/>
    <x v="0"/>
    <x v="38"/>
    <x v="0"/>
    <x v="0"/>
  </r>
  <r>
    <x v="77"/>
    <x v="18"/>
    <x v="3"/>
    <x v="0"/>
    <x v="3"/>
    <x v="0"/>
    <x v="0"/>
    <x v="74"/>
    <x v="0"/>
    <x v="6"/>
    <x v="7"/>
    <x v="6"/>
    <x v="7"/>
    <x v="1"/>
    <x v="1"/>
    <x v="1"/>
    <x v="0"/>
    <x v="0"/>
    <x v="0"/>
    <x v="1"/>
    <x v="1"/>
    <x v="0"/>
    <x v="0"/>
    <x v="0"/>
    <x v="0"/>
    <x v="0"/>
    <x v="0"/>
    <x v="0"/>
    <x v="0"/>
    <x v="71"/>
    <x v="64"/>
    <x v="23"/>
    <x v="0"/>
    <x v="0"/>
    <x v="4"/>
    <x v="9"/>
    <x v="60"/>
    <x v="52"/>
    <x v="64"/>
    <x v="64"/>
    <x v="1"/>
    <x v="67"/>
    <x v="66"/>
    <x v="0"/>
    <x v="0"/>
    <x v="0"/>
    <x v="0"/>
    <x v="0"/>
    <x v="0"/>
    <x v="0"/>
    <x v="0"/>
    <x v="0"/>
    <x v="0"/>
    <x v="0"/>
    <x v="0"/>
    <x v="0"/>
    <x v="0"/>
    <x v="0"/>
    <x v="0"/>
  </r>
  <r>
    <x v="78"/>
    <x v="19"/>
    <x v="3"/>
    <x v="0"/>
    <x v="3"/>
    <x v="0"/>
    <x v="0"/>
    <x v="75"/>
    <x v="0"/>
    <x v="6"/>
    <x v="7"/>
    <x v="6"/>
    <x v="51"/>
    <x v="0"/>
    <x v="0"/>
    <x v="0"/>
    <x v="0"/>
    <x v="0"/>
    <x v="0"/>
    <x v="29"/>
    <x v="1"/>
    <x v="0"/>
    <x v="0"/>
    <x v="2"/>
    <x v="15"/>
    <x v="0"/>
    <x v="0"/>
    <x v="0"/>
    <x v="0"/>
    <x v="72"/>
    <x v="65"/>
    <x v="23"/>
    <x v="0"/>
    <x v="0"/>
    <x v="54"/>
    <x v="63"/>
    <x v="62"/>
    <x v="54"/>
    <x v="65"/>
    <x v="58"/>
    <x v="1"/>
    <x v="68"/>
    <x v="67"/>
    <x v="0"/>
    <x v="0"/>
    <x v="0"/>
    <x v="0"/>
    <x v="0"/>
    <x v="0"/>
    <x v="0"/>
    <x v="0"/>
    <x v="0"/>
    <x v="0"/>
    <x v="0"/>
    <x v="0"/>
    <x v="0"/>
    <x v="0"/>
    <x v="0"/>
    <x v="0"/>
  </r>
  <r>
    <x v="79"/>
    <x v="20"/>
    <x v="3"/>
    <x v="0"/>
    <x v="3"/>
    <x v="0"/>
    <x v="0"/>
    <x v="76"/>
    <x v="0"/>
    <x v="5"/>
    <x v="5"/>
    <x v="5"/>
    <x v="5"/>
    <x v="0"/>
    <x v="0"/>
    <x v="0"/>
    <x v="0"/>
    <x v="0"/>
    <x v="0"/>
    <x v="1"/>
    <x v="1"/>
    <x v="0"/>
    <x v="0"/>
    <x v="0"/>
    <x v="0"/>
    <x v="1"/>
    <x v="1"/>
    <x v="0"/>
    <x v="0"/>
    <x v="73"/>
    <x v="66"/>
    <x v="23"/>
    <x v="0"/>
    <x v="0"/>
    <x v="48"/>
    <x v="64"/>
    <x v="67"/>
    <x v="51"/>
    <x v="66"/>
    <x v="59"/>
    <x v="1"/>
    <x v="69"/>
    <x v="68"/>
    <x v="0"/>
    <x v="0"/>
    <x v="0"/>
    <x v="0"/>
    <x v="0"/>
    <x v="0"/>
    <x v="0"/>
    <x v="0"/>
    <x v="0"/>
    <x v="0"/>
    <x v="0"/>
    <x v="0"/>
    <x v="0"/>
    <x v="0"/>
    <x v="0"/>
    <x v="0"/>
  </r>
  <r>
    <x v="80"/>
    <x v="21"/>
    <x v="3"/>
    <x v="0"/>
    <x v="3"/>
    <x v="0"/>
    <x v="0"/>
    <x v="77"/>
    <x v="0"/>
    <x v="5"/>
    <x v="5"/>
    <x v="5"/>
    <x v="5"/>
    <x v="0"/>
    <x v="0"/>
    <x v="0"/>
    <x v="0"/>
    <x v="0"/>
    <x v="0"/>
    <x v="1"/>
    <x v="1"/>
    <x v="0"/>
    <x v="0"/>
    <x v="0"/>
    <x v="0"/>
    <x v="1"/>
    <x v="1"/>
    <x v="0"/>
    <x v="0"/>
    <x v="74"/>
    <x v="67"/>
    <x v="23"/>
    <x v="1"/>
    <x v="11"/>
    <x v="4"/>
    <x v="65"/>
    <x v="68"/>
    <x v="7"/>
    <x v="67"/>
    <x v="65"/>
    <x v="1"/>
    <x v="70"/>
    <x v="69"/>
    <x v="0"/>
    <x v="0"/>
    <x v="0"/>
    <x v="0"/>
    <x v="0"/>
    <x v="0"/>
    <x v="0"/>
    <x v="0"/>
    <x v="0"/>
    <x v="0"/>
    <x v="0"/>
    <x v="0"/>
    <x v="0"/>
    <x v="0"/>
    <x v="0"/>
    <x v="0"/>
  </r>
  <r>
    <x v="81"/>
    <x v="22"/>
    <x v="3"/>
    <x v="0"/>
    <x v="3"/>
    <x v="0"/>
    <x v="0"/>
    <x v="78"/>
    <x v="0"/>
    <x v="31"/>
    <x v="31"/>
    <x v="46"/>
    <x v="50"/>
    <x v="0"/>
    <x v="0"/>
    <x v="0"/>
    <x v="0"/>
    <x v="0"/>
    <x v="0"/>
    <x v="1"/>
    <x v="2"/>
    <x v="0"/>
    <x v="0"/>
    <x v="0"/>
    <x v="0"/>
    <x v="1"/>
    <x v="1"/>
    <x v="0"/>
    <x v="0"/>
    <x v="75"/>
    <x v="68"/>
    <x v="23"/>
    <x v="0"/>
    <x v="0"/>
    <x v="51"/>
    <x v="60"/>
    <x v="63"/>
    <x v="4"/>
    <x v="68"/>
    <x v="66"/>
    <x v="1"/>
    <x v="71"/>
    <x v="70"/>
    <x v="0"/>
    <x v="0"/>
    <x v="0"/>
    <x v="0"/>
    <x v="0"/>
    <x v="0"/>
    <x v="0"/>
    <x v="0"/>
    <x v="0"/>
    <x v="0"/>
    <x v="0"/>
    <x v="0"/>
    <x v="0"/>
    <x v="0"/>
    <x v="0"/>
    <x v="0"/>
  </r>
  <r>
    <x v="82"/>
    <x v="23"/>
    <x v="3"/>
    <x v="0"/>
    <x v="3"/>
    <x v="0"/>
    <x v="0"/>
    <x v="73"/>
    <x v="0"/>
    <x v="5"/>
    <x v="5"/>
    <x v="5"/>
    <x v="5"/>
    <x v="0"/>
    <x v="0"/>
    <x v="0"/>
    <x v="0"/>
    <x v="0"/>
    <x v="0"/>
    <x v="1"/>
    <x v="1"/>
    <x v="0"/>
    <x v="0"/>
    <x v="0"/>
    <x v="0"/>
    <x v="2"/>
    <x v="2"/>
    <x v="0"/>
    <x v="0"/>
    <x v="76"/>
    <x v="69"/>
    <x v="23"/>
    <x v="0"/>
    <x v="0"/>
    <x v="51"/>
    <x v="6"/>
    <x v="69"/>
    <x v="54"/>
    <x v="60"/>
    <x v="6"/>
    <x v="1"/>
    <x v="72"/>
    <x v="71"/>
    <x v="0"/>
    <x v="0"/>
    <x v="0"/>
    <x v="0"/>
    <x v="0"/>
    <x v="0"/>
    <x v="0"/>
    <x v="0"/>
    <x v="0"/>
    <x v="0"/>
    <x v="0"/>
    <x v="0"/>
    <x v="0"/>
    <x v="0"/>
    <x v="0"/>
    <x v="0"/>
  </r>
  <r>
    <x v="83"/>
    <x v="24"/>
    <x v="3"/>
    <x v="0"/>
    <x v="3"/>
    <x v="0"/>
    <x v="0"/>
    <x v="79"/>
    <x v="0"/>
    <x v="31"/>
    <x v="31"/>
    <x v="46"/>
    <x v="50"/>
    <x v="1"/>
    <x v="1"/>
    <x v="1"/>
    <x v="0"/>
    <x v="0"/>
    <x v="0"/>
    <x v="1"/>
    <x v="2"/>
    <x v="0"/>
    <x v="0"/>
    <x v="0"/>
    <x v="0"/>
    <x v="2"/>
    <x v="2"/>
    <x v="0"/>
    <x v="0"/>
    <x v="77"/>
    <x v="70"/>
    <x v="62"/>
    <x v="0"/>
    <x v="0"/>
    <x v="16"/>
    <x v="66"/>
    <x v="70"/>
    <x v="11"/>
    <x v="69"/>
    <x v="65"/>
    <x v="1"/>
    <x v="73"/>
    <x v="72"/>
    <x v="0"/>
    <x v="0"/>
    <x v="0"/>
    <x v="0"/>
    <x v="0"/>
    <x v="0"/>
    <x v="0"/>
    <x v="0"/>
    <x v="0"/>
    <x v="0"/>
    <x v="0"/>
    <x v="0"/>
    <x v="0"/>
    <x v="0"/>
    <x v="0"/>
    <x v="0"/>
  </r>
  <r>
    <x v="84"/>
    <x v="25"/>
    <x v="3"/>
    <x v="0"/>
    <x v="3"/>
    <x v="0"/>
    <x v="0"/>
    <x v="72"/>
    <x v="0"/>
    <x v="34"/>
    <x v="35"/>
    <x v="47"/>
    <x v="52"/>
    <x v="1"/>
    <x v="1"/>
    <x v="1"/>
    <x v="0"/>
    <x v="0"/>
    <x v="0"/>
    <x v="30"/>
    <x v="1"/>
    <x v="0"/>
    <x v="0"/>
    <x v="1"/>
    <x v="20"/>
    <x v="2"/>
    <x v="2"/>
    <x v="0"/>
    <x v="0"/>
    <x v="78"/>
    <x v="71"/>
    <x v="23"/>
    <x v="0"/>
    <x v="0"/>
    <x v="55"/>
    <x v="67"/>
    <x v="9"/>
    <x v="58"/>
    <x v="59"/>
    <x v="67"/>
    <x v="1"/>
    <x v="74"/>
    <x v="73"/>
    <x v="0"/>
    <x v="0"/>
    <x v="0"/>
    <x v="0"/>
    <x v="0"/>
    <x v="0"/>
    <x v="0"/>
    <x v="0"/>
    <x v="0"/>
    <x v="0"/>
    <x v="0"/>
    <x v="0"/>
    <x v="0"/>
    <x v="0"/>
    <x v="0"/>
    <x v="0"/>
  </r>
  <r>
    <x v="85"/>
    <x v="26"/>
    <x v="3"/>
    <x v="0"/>
    <x v="3"/>
    <x v="0"/>
    <x v="0"/>
    <x v="80"/>
    <x v="0"/>
    <x v="12"/>
    <x v="36"/>
    <x v="12"/>
    <x v="53"/>
    <x v="0"/>
    <x v="0"/>
    <x v="0"/>
    <x v="0"/>
    <x v="0"/>
    <x v="0"/>
    <x v="31"/>
    <x v="2"/>
    <x v="0"/>
    <x v="0"/>
    <x v="1"/>
    <x v="21"/>
    <x v="2"/>
    <x v="2"/>
    <x v="0"/>
    <x v="0"/>
    <x v="79"/>
    <x v="72"/>
    <x v="63"/>
    <x v="1"/>
    <x v="1"/>
    <x v="55"/>
    <x v="68"/>
    <x v="71"/>
    <x v="59"/>
    <x v="64"/>
    <x v="68"/>
    <x v="1"/>
    <x v="75"/>
    <x v="74"/>
    <x v="0"/>
    <x v="0"/>
    <x v="0"/>
    <x v="0"/>
    <x v="0"/>
    <x v="0"/>
    <x v="0"/>
    <x v="0"/>
    <x v="0"/>
    <x v="0"/>
    <x v="0"/>
    <x v="0"/>
    <x v="0"/>
    <x v="0"/>
    <x v="0"/>
    <x v="0"/>
  </r>
  <r>
    <x v="86"/>
    <x v="27"/>
    <x v="3"/>
    <x v="0"/>
    <x v="3"/>
    <x v="0"/>
    <x v="0"/>
    <x v="13"/>
    <x v="0"/>
    <x v="35"/>
    <x v="6"/>
    <x v="48"/>
    <x v="54"/>
    <x v="0"/>
    <x v="0"/>
    <x v="0"/>
    <x v="0"/>
    <x v="0"/>
    <x v="0"/>
    <x v="32"/>
    <x v="1"/>
    <x v="0"/>
    <x v="0"/>
    <x v="1"/>
    <x v="22"/>
    <x v="2"/>
    <x v="2"/>
    <x v="0"/>
    <x v="0"/>
    <x v="80"/>
    <x v="73"/>
    <x v="23"/>
    <x v="0"/>
    <x v="0"/>
    <x v="3"/>
    <x v="69"/>
    <x v="68"/>
    <x v="53"/>
    <x v="70"/>
    <x v="65"/>
    <x v="1"/>
    <x v="76"/>
    <x v="75"/>
    <x v="0"/>
    <x v="0"/>
    <x v="0"/>
    <x v="0"/>
    <x v="0"/>
    <x v="0"/>
    <x v="0"/>
    <x v="0"/>
    <x v="0"/>
    <x v="0"/>
    <x v="0"/>
    <x v="0"/>
    <x v="0"/>
    <x v="0"/>
    <x v="0"/>
    <x v="0"/>
  </r>
  <r>
    <x v="87"/>
    <x v="28"/>
    <x v="3"/>
    <x v="0"/>
    <x v="3"/>
    <x v="0"/>
    <x v="0"/>
    <x v="81"/>
    <x v="0"/>
    <x v="7"/>
    <x v="8"/>
    <x v="7"/>
    <x v="8"/>
    <x v="0"/>
    <x v="0"/>
    <x v="0"/>
    <x v="0"/>
    <x v="0"/>
    <x v="0"/>
    <x v="1"/>
    <x v="1"/>
    <x v="0"/>
    <x v="0"/>
    <x v="0"/>
    <x v="0"/>
    <x v="2"/>
    <x v="2"/>
    <x v="0"/>
    <x v="0"/>
    <x v="81"/>
    <x v="74"/>
    <x v="23"/>
    <x v="0"/>
    <x v="0"/>
    <x v="56"/>
    <x v="70"/>
    <x v="72"/>
    <x v="60"/>
    <x v="71"/>
    <x v="69"/>
    <x v="1"/>
    <x v="77"/>
    <x v="76"/>
    <x v="0"/>
    <x v="0"/>
    <x v="0"/>
    <x v="0"/>
    <x v="0"/>
    <x v="0"/>
    <x v="0"/>
    <x v="0"/>
    <x v="0"/>
    <x v="0"/>
    <x v="0"/>
    <x v="0"/>
    <x v="0"/>
    <x v="0"/>
    <x v="0"/>
    <x v="0"/>
  </r>
  <r>
    <x v="88"/>
    <x v="29"/>
    <x v="3"/>
    <x v="0"/>
    <x v="3"/>
    <x v="0"/>
    <x v="0"/>
    <x v="82"/>
    <x v="0"/>
    <x v="30"/>
    <x v="30"/>
    <x v="49"/>
    <x v="55"/>
    <x v="0"/>
    <x v="0"/>
    <x v="0"/>
    <x v="0"/>
    <x v="0"/>
    <x v="0"/>
    <x v="1"/>
    <x v="3"/>
    <x v="0"/>
    <x v="0"/>
    <x v="0"/>
    <x v="0"/>
    <x v="2"/>
    <x v="2"/>
    <x v="0"/>
    <x v="0"/>
    <x v="82"/>
    <x v="75"/>
    <x v="64"/>
    <x v="0"/>
    <x v="0"/>
    <x v="7"/>
    <x v="71"/>
    <x v="73"/>
    <x v="59"/>
    <x v="13"/>
    <x v="70"/>
    <x v="1"/>
    <x v="78"/>
    <x v="77"/>
    <x v="0"/>
    <x v="0"/>
    <x v="0"/>
    <x v="0"/>
    <x v="0"/>
    <x v="0"/>
    <x v="0"/>
    <x v="0"/>
    <x v="0"/>
    <x v="0"/>
    <x v="0"/>
    <x v="0"/>
    <x v="0"/>
    <x v="0"/>
    <x v="0"/>
    <x v="0"/>
  </r>
  <r>
    <x v="89"/>
    <x v="30"/>
    <x v="3"/>
    <x v="0"/>
    <x v="3"/>
    <x v="0"/>
    <x v="8"/>
    <x v="83"/>
    <x v="0"/>
    <x v="7"/>
    <x v="8"/>
    <x v="50"/>
    <x v="56"/>
    <x v="0"/>
    <x v="0"/>
    <x v="0"/>
    <x v="0"/>
    <x v="0"/>
    <x v="0"/>
    <x v="33"/>
    <x v="1"/>
    <x v="0"/>
    <x v="0"/>
    <x v="0"/>
    <x v="0"/>
    <x v="2"/>
    <x v="2"/>
    <x v="0"/>
    <x v="0"/>
    <x v="83"/>
    <x v="76"/>
    <x v="65"/>
    <x v="0"/>
    <x v="0"/>
    <x v="56"/>
    <x v="69"/>
    <x v="74"/>
    <x v="54"/>
    <x v="72"/>
    <x v="71"/>
    <x v="1"/>
    <x v="79"/>
    <x v="78"/>
    <x v="0"/>
    <x v="0"/>
    <x v="0"/>
    <x v="0"/>
    <x v="0"/>
    <x v="0"/>
    <x v="0"/>
    <x v="0"/>
    <x v="0"/>
    <x v="0"/>
    <x v="0"/>
    <x v="0"/>
    <x v="0"/>
    <x v="0"/>
    <x v="0"/>
    <x v="0"/>
  </r>
  <r>
    <x v="90"/>
    <x v="31"/>
    <x v="3"/>
    <x v="0"/>
    <x v="3"/>
    <x v="0"/>
    <x v="8"/>
    <x v="84"/>
    <x v="0"/>
    <x v="31"/>
    <x v="31"/>
    <x v="51"/>
    <x v="57"/>
    <x v="1"/>
    <x v="16"/>
    <x v="1"/>
    <x v="0"/>
    <x v="0"/>
    <x v="0"/>
    <x v="33"/>
    <x v="2"/>
    <x v="0"/>
    <x v="0"/>
    <x v="0"/>
    <x v="0"/>
    <x v="3"/>
    <x v="3"/>
    <x v="0"/>
    <x v="0"/>
    <x v="84"/>
    <x v="77"/>
    <x v="65"/>
    <x v="0"/>
    <x v="0"/>
    <x v="57"/>
    <x v="72"/>
    <x v="75"/>
    <x v="55"/>
    <x v="73"/>
    <x v="72"/>
    <x v="1"/>
    <x v="80"/>
    <x v="79"/>
    <x v="0"/>
    <x v="0"/>
    <x v="0"/>
    <x v="0"/>
    <x v="0"/>
    <x v="0"/>
    <x v="0"/>
    <x v="0"/>
    <x v="0"/>
    <x v="0"/>
    <x v="0"/>
    <x v="0"/>
    <x v="0"/>
    <x v="0"/>
    <x v="0"/>
    <x v="0"/>
  </r>
  <r>
    <x v="91"/>
    <x v="32"/>
    <x v="3"/>
    <x v="0"/>
    <x v="3"/>
    <x v="0"/>
    <x v="8"/>
    <x v="85"/>
    <x v="0"/>
    <x v="36"/>
    <x v="36"/>
    <x v="52"/>
    <x v="58"/>
    <x v="0"/>
    <x v="0"/>
    <x v="0"/>
    <x v="0"/>
    <x v="0"/>
    <x v="0"/>
    <x v="33"/>
    <x v="2"/>
    <x v="0"/>
    <x v="0"/>
    <x v="0"/>
    <x v="0"/>
    <x v="3"/>
    <x v="3"/>
    <x v="0"/>
    <x v="0"/>
    <x v="85"/>
    <x v="78"/>
    <x v="65"/>
    <x v="1"/>
    <x v="12"/>
    <x v="53"/>
    <x v="73"/>
    <x v="10"/>
    <x v="8"/>
    <x v="74"/>
    <x v="73"/>
    <x v="1"/>
    <x v="81"/>
    <x v="80"/>
    <x v="0"/>
    <x v="0"/>
    <x v="0"/>
    <x v="0"/>
    <x v="0"/>
    <x v="0"/>
    <x v="0"/>
    <x v="0"/>
    <x v="0"/>
    <x v="0"/>
    <x v="0"/>
    <x v="0"/>
    <x v="0"/>
    <x v="0"/>
    <x v="0"/>
    <x v="0"/>
  </r>
  <r>
    <x v="92"/>
    <x v="33"/>
    <x v="3"/>
    <x v="0"/>
    <x v="3"/>
    <x v="0"/>
    <x v="8"/>
    <x v="86"/>
    <x v="0"/>
    <x v="35"/>
    <x v="6"/>
    <x v="53"/>
    <x v="59"/>
    <x v="1"/>
    <x v="16"/>
    <x v="1"/>
    <x v="0"/>
    <x v="0"/>
    <x v="0"/>
    <x v="33"/>
    <x v="1"/>
    <x v="0"/>
    <x v="0"/>
    <x v="0"/>
    <x v="0"/>
    <x v="3"/>
    <x v="3"/>
    <x v="0"/>
    <x v="0"/>
    <x v="86"/>
    <x v="79"/>
    <x v="65"/>
    <x v="1"/>
    <x v="13"/>
    <x v="58"/>
    <x v="74"/>
    <x v="76"/>
    <x v="59"/>
    <x v="75"/>
    <x v="6"/>
    <x v="1"/>
    <x v="82"/>
    <x v="81"/>
    <x v="0"/>
    <x v="0"/>
    <x v="0"/>
    <x v="0"/>
    <x v="0"/>
    <x v="0"/>
    <x v="0"/>
    <x v="0"/>
    <x v="0"/>
    <x v="0"/>
    <x v="0"/>
    <x v="0"/>
    <x v="0"/>
    <x v="0"/>
    <x v="0"/>
    <x v="0"/>
  </r>
  <r>
    <x v="93"/>
    <x v="34"/>
    <x v="3"/>
    <x v="0"/>
    <x v="3"/>
    <x v="0"/>
    <x v="8"/>
    <x v="87"/>
    <x v="0"/>
    <x v="36"/>
    <x v="36"/>
    <x v="52"/>
    <x v="58"/>
    <x v="0"/>
    <x v="0"/>
    <x v="0"/>
    <x v="0"/>
    <x v="0"/>
    <x v="0"/>
    <x v="33"/>
    <x v="2"/>
    <x v="0"/>
    <x v="0"/>
    <x v="0"/>
    <x v="0"/>
    <x v="3"/>
    <x v="4"/>
    <x v="0"/>
    <x v="0"/>
    <x v="87"/>
    <x v="80"/>
    <x v="66"/>
    <x v="0"/>
    <x v="0"/>
    <x v="56"/>
    <x v="75"/>
    <x v="77"/>
    <x v="59"/>
    <x v="72"/>
    <x v="74"/>
    <x v="1"/>
    <x v="83"/>
    <x v="82"/>
    <x v="0"/>
    <x v="0"/>
    <x v="0"/>
    <x v="0"/>
    <x v="0"/>
    <x v="0"/>
    <x v="0"/>
    <x v="0"/>
    <x v="0"/>
    <x v="0"/>
    <x v="0"/>
    <x v="0"/>
    <x v="0"/>
    <x v="0"/>
    <x v="0"/>
    <x v="0"/>
  </r>
  <r>
    <x v="94"/>
    <x v="35"/>
    <x v="3"/>
    <x v="0"/>
    <x v="3"/>
    <x v="0"/>
    <x v="8"/>
    <x v="88"/>
    <x v="0"/>
    <x v="13"/>
    <x v="14"/>
    <x v="54"/>
    <x v="60"/>
    <x v="0"/>
    <x v="0"/>
    <x v="0"/>
    <x v="0"/>
    <x v="0"/>
    <x v="0"/>
    <x v="34"/>
    <x v="4"/>
    <x v="0"/>
    <x v="0"/>
    <x v="0"/>
    <x v="0"/>
    <x v="3"/>
    <x v="4"/>
    <x v="0"/>
    <x v="0"/>
    <x v="88"/>
    <x v="81"/>
    <x v="67"/>
    <x v="0"/>
    <x v="0"/>
    <x v="7"/>
    <x v="69"/>
    <x v="66"/>
    <x v="61"/>
    <x v="76"/>
    <x v="68"/>
    <x v="1"/>
    <x v="84"/>
    <x v="83"/>
    <x v="0"/>
    <x v="0"/>
    <x v="0"/>
    <x v="0"/>
    <x v="0"/>
    <x v="0"/>
    <x v="0"/>
    <x v="0"/>
    <x v="0"/>
    <x v="0"/>
    <x v="0"/>
    <x v="0"/>
    <x v="0"/>
    <x v="0"/>
    <x v="0"/>
    <x v="0"/>
  </r>
  <r>
    <x v="95"/>
    <x v="36"/>
    <x v="3"/>
    <x v="0"/>
    <x v="3"/>
    <x v="0"/>
    <x v="8"/>
    <x v="89"/>
    <x v="0"/>
    <x v="7"/>
    <x v="8"/>
    <x v="50"/>
    <x v="56"/>
    <x v="0"/>
    <x v="0"/>
    <x v="0"/>
    <x v="0"/>
    <x v="0"/>
    <x v="0"/>
    <x v="33"/>
    <x v="1"/>
    <x v="0"/>
    <x v="0"/>
    <x v="0"/>
    <x v="0"/>
    <x v="3"/>
    <x v="4"/>
    <x v="0"/>
    <x v="0"/>
    <x v="89"/>
    <x v="82"/>
    <x v="65"/>
    <x v="0"/>
    <x v="0"/>
    <x v="53"/>
    <x v="76"/>
    <x v="78"/>
    <x v="46"/>
    <x v="77"/>
    <x v="75"/>
    <x v="1"/>
    <x v="85"/>
    <x v="84"/>
    <x v="0"/>
    <x v="0"/>
    <x v="0"/>
    <x v="0"/>
    <x v="0"/>
    <x v="0"/>
    <x v="0"/>
    <x v="0"/>
    <x v="0"/>
    <x v="0"/>
    <x v="0"/>
    <x v="0"/>
    <x v="0"/>
    <x v="0"/>
    <x v="0"/>
    <x v="0"/>
  </r>
  <r>
    <x v="96"/>
    <x v="37"/>
    <x v="3"/>
    <x v="0"/>
    <x v="3"/>
    <x v="0"/>
    <x v="8"/>
    <x v="90"/>
    <x v="0"/>
    <x v="11"/>
    <x v="12"/>
    <x v="55"/>
    <x v="61"/>
    <x v="0"/>
    <x v="0"/>
    <x v="0"/>
    <x v="0"/>
    <x v="0"/>
    <x v="0"/>
    <x v="33"/>
    <x v="2"/>
    <x v="0"/>
    <x v="0"/>
    <x v="0"/>
    <x v="0"/>
    <x v="3"/>
    <x v="5"/>
    <x v="7"/>
    <x v="0"/>
    <x v="90"/>
    <x v="83"/>
    <x v="68"/>
    <x v="2"/>
    <x v="14"/>
    <x v="7"/>
    <x v="72"/>
    <x v="10"/>
    <x v="10"/>
    <x v="73"/>
    <x v="73"/>
    <x v="7"/>
    <x v="86"/>
    <x v="85"/>
    <x v="0"/>
    <x v="0"/>
    <x v="0"/>
    <x v="0"/>
    <x v="0"/>
    <x v="0"/>
    <x v="0"/>
    <x v="0"/>
    <x v="0"/>
    <x v="0"/>
    <x v="0"/>
    <x v="0"/>
    <x v="0"/>
    <x v="0"/>
    <x v="0"/>
    <x v="0"/>
  </r>
  <r>
    <x v="97"/>
    <x v="38"/>
    <x v="3"/>
    <x v="0"/>
    <x v="3"/>
    <x v="0"/>
    <x v="8"/>
    <x v="91"/>
    <x v="0"/>
    <x v="12"/>
    <x v="13"/>
    <x v="56"/>
    <x v="62"/>
    <x v="1"/>
    <x v="16"/>
    <x v="1"/>
    <x v="0"/>
    <x v="0"/>
    <x v="0"/>
    <x v="33"/>
    <x v="2"/>
    <x v="0"/>
    <x v="0"/>
    <x v="0"/>
    <x v="0"/>
    <x v="3"/>
    <x v="5"/>
    <x v="0"/>
    <x v="0"/>
    <x v="91"/>
    <x v="84"/>
    <x v="65"/>
    <x v="0"/>
    <x v="0"/>
    <x v="4"/>
    <x v="56"/>
    <x v="62"/>
    <x v="7"/>
    <x v="72"/>
    <x v="76"/>
    <x v="1"/>
    <x v="87"/>
    <x v="86"/>
    <x v="0"/>
    <x v="0"/>
    <x v="0"/>
    <x v="0"/>
    <x v="0"/>
    <x v="0"/>
    <x v="0"/>
    <x v="0"/>
    <x v="0"/>
    <x v="0"/>
    <x v="0"/>
    <x v="0"/>
    <x v="0"/>
    <x v="0"/>
    <x v="0"/>
    <x v="0"/>
  </r>
  <r>
    <x v="98"/>
    <x v="39"/>
    <x v="3"/>
    <x v="0"/>
    <x v="3"/>
    <x v="0"/>
    <x v="8"/>
    <x v="92"/>
    <x v="0"/>
    <x v="4"/>
    <x v="4"/>
    <x v="57"/>
    <x v="63"/>
    <x v="0"/>
    <x v="0"/>
    <x v="0"/>
    <x v="0"/>
    <x v="0"/>
    <x v="0"/>
    <x v="33"/>
    <x v="2"/>
    <x v="0"/>
    <x v="0"/>
    <x v="0"/>
    <x v="0"/>
    <x v="3"/>
    <x v="5"/>
    <x v="0"/>
    <x v="0"/>
    <x v="92"/>
    <x v="85"/>
    <x v="65"/>
    <x v="0"/>
    <x v="0"/>
    <x v="55"/>
    <x v="55"/>
    <x v="70"/>
    <x v="58"/>
    <x v="58"/>
    <x v="77"/>
    <x v="1"/>
    <x v="45"/>
    <x v="45"/>
    <x v="0"/>
    <x v="0"/>
    <x v="0"/>
    <x v="0"/>
    <x v="0"/>
    <x v="0"/>
    <x v="0"/>
    <x v="0"/>
    <x v="0"/>
    <x v="0"/>
    <x v="0"/>
    <x v="0"/>
    <x v="0"/>
    <x v="0"/>
    <x v="0"/>
    <x v="0"/>
  </r>
  <r>
    <x v="99"/>
    <x v="40"/>
    <x v="3"/>
    <x v="0"/>
    <x v="3"/>
    <x v="0"/>
    <x v="8"/>
    <x v="93"/>
    <x v="0"/>
    <x v="34"/>
    <x v="35"/>
    <x v="58"/>
    <x v="64"/>
    <x v="0"/>
    <x v="0"/>
    <x v="0"/>
    <x v="0"/>
    <x v="0"/>
    <x v="0"/>
    <x v="35"/>
    <x v="1"/>
    <x v="0"/>
    <x v="0"/>
    <x v="2"/>
    <x v="23"/>
    <x v="3"/>
    <x v="6"/>
    <x v="0"/>
    <x v="0"/>
    <x v="93"/>
    <x v="86"/>
    <x v="65"/>
    <x v="0"/>
    <x v="0"/>
    <x v="58"/>
    <x v="77"/>
    <x v="79"/>
    <x v="62"/>
    <x v="66"/>
    <x v="74"/>
    <x v="1"/>
    <x v="88"/>
    <x v="87"/>
    <x v="0"/>
    <x v="0"/>
    <x v="0"/>
    <x v="0"/>
    <x v="0"/>
    <x v="0"/>
    <x v="0"/>
    <x v="0"/>
    <x v="0"/>
    <x v="0"/>
    <x v="0"/>
    <x v="0"/>
    <x v="0"/>
    <x v="0"/>
    <x v="0"/>
    <x v="0"/>
  </r>
  <r>
    <x v="100"/>
    <x v="41"/>
    <x v="3"/>
    <x v="0"/>
    <x v="3"/>
    <x v="0"/>
    <x v="0"/>
    <x v="94"/>
    <x v="0"/>
    <x v="31"/>
    <x v="31"/>
    <x v="46"/>
    <x v="50"/>
    <x v="0"/>
    <x v="0"/>
    <x v="0"/>
    <x v="0"/>
    <x v="0"/>
    <x v="0"/>
    <x v="1"/>
    <x v="2"/>
    <x v="0"/>
    <x v="0"/>
    <x v="0"/>
    <x v="0"/>
    <x v="3"/>
    <x v="6"/>
    <x v="0"/>
    <x v="0"/>
    <x v="94"/>
    <x v="87"/>
    <x v="23"/>
    <x v="0"/>
    <x v="0"/>
    <x v="42"/>
    <x v="58"/>
    <x v="79"/>
    <x v="10"/>
    <x v="9"/>
    <x v="71"/>
    <x v="1"/>
    <x v="35"/>
    <x v="35"/>
    <x v="0"/>
    <x v="0"/>
    <x v="0"/>
    <x v="0"/>
    <x v="0"/>
    <x v="0"/>
    <x v="0"/>
    <x v="0"/>
    <x v="0"/>
    <x v="0"/>
    <x v="0"/>
    <x v="0"/>
    <x v="0"/>
    <x v="0"/>
    <x v="0"/>
    <x v="0"/>
  </r>
  <r>
    <x v="101"/>
    <x v="42"/>
    <x v="3"/>
    <x v="0"/>
    <x v="3"/>
    <x v="0"/>
    <x v="9"/>
    <x v="95"/>
    <x v="0"/>
    <x v="37"/>
    <x v="37"/>
    <x v="59"/>
    <x v="65"/>
    <x v="0"/>
    <x v="0"/>
    <x v="0"/>
    <x v="0"/>
    <x v="0"/>
    <x v="0"/>
    <x v="36"/>
    <x v="7"/>
    <x v="0"/>
    <x v="0"/>
    <x v="2"/>
    <x v="2"/>
    <x v="3"/>
    <x v="6"/>
    <x v="0"/>
    <x v="0"/>
    <x v="95"/>
    <x v="88"/>
    <x v="69"/>
    <x v="0"/>
    <x v="0"/>
    <x v="15"/>
    <x v="14"/>
    <x v="80"/>
    <x v="63"/>
    <x v="78"/>
    <x v="25"/>
    <x v="1"/>
    <x v="89"/>
    <x v="88"/>
    <x v="0"/>
    <x v="0"/>
    <x v="0"/>
    <x v="0"/>
    <x v="0"/>
    <x v="0"/>
    <x v="0"/>
    <x v="0"/>
    <x v="0"/>
    <x v="0"/>
    <x v="0"/>
    <x v="0"/>
    <x v="0"/>
    <x v="0"/>
    <x v="0"/>
    <x v="0"/>
  </r>
  <r>
    <x v="102"/>
    <x v="43"/>
    <x v="3"/>
    <x v="0"/>
    <x v="3"/>
    <x v="0"/>
    <x v="9"/>
    <x v="68"/>
    <x v="0"/>
    <x v="18"/>
    <x v="38"/>
    <x v="60"/>
    <x v="66"/>
    <x v="1"/>
    <x v="17"/>
    <x v="1"/>
    <x v="0"/>
    <x v="0"/>
    <x v="0"/>
    <x v="37"/>
    <x v="6"/>
    <x v="0"/>
    <x v="0"/>
    <x v="0"/>
    <x v="0"/>
    <x v="3"/>
    <x v="6"/>
    <x v="8"/>
    <x v="0"/>
    <x v="96"/>
    <x v="89"/>
    <x v="70"/>
    <x v="0"/>
    <x v="0"/>
    <x v="41"/>
    <x v="78"/>
    <x v="81"/>
    <x v="64"/>
    <x v="79"/>
    <x v="78"/>
    <x v="1"/>
    <x v="90"/>
    <x v="89"/>
    <x v="0"/>
    <x v="0"/>
    <x v="0"/>
    <x v="0"/>
    <x v="0"/>
    <x v="0"/>
    <x v="0"/>
    <x v="0"/>
    <x v="0"/>
    <x v="0"/>
    <x v="0"/>
    <x v="0"/>
    <x v="0"/>
    <x v="0"/>
    <x v="0"/>
    <x v="0"/>
  </r>
  <r>
    <x v="103"/>
    <x v="44"/>
    <x v="3"/>
    <x v="0"/>
    <x v="3"/>
    <x v="0"/>
    <x v="0"/>
    <x v="96"/>
    <x v="0"/>
    <x v="8"/>
    <x v="39"/>
    <x v="61"/>
    <x v="67"/>
    <x v="0"/>
    <x v="0"/>
    <x v="0"/>
    <x v="0"/>
    <x v="0"/>
    <x v="0"/>
    <x v="38"/>
    <x v="3"/>
    <x v="0"/>
    <x v="0"/>
    <x v="0"/>
    <x v="0"/>
    <x v="3"/>
    <x v="6"/>
    <x v="0"/>
    <x v="0"/>
    <x v="97"/>
    <x v="90"/>
    <x v="71"/>
    <x v="0"/>
    <x v="0"/>
    <x v="59"/>
    <x v="79"/>
    <x v="82"/>
    <x v="65"/>
    <x v="80"/>
    <x v="79"/>
    <x v="7"/>
    <x v="91"/>
    <x v="90"/>
    <x v="0"/>
    <x v="0"/>
    <x v="0"/>
    <x v="0"/>
    <x v="0"/>
    <x v="0"/>
    <x v="0"/>
    <x v="0"/>
    <x v="0"/>
    <x v="0"/>
    <x v="0"/>
    <x v="0"/>
    <x v="0"/>
    <x v="0"/>
    <x v="0"/>
    <x v="0"/>
  </r>
  <r>
    <x v="104"/>
    <x v="45"/>
    <x v="3"/>
    <x v="0"/>
    <x v="3"/>
    <x v="0"/>
    <x v="0"/>
    <x v="97"/>
    <x v="0"/>
    <x v="13"/>
    <x v="14"/>
    <x v="13"/>
    <x v="68"/>
    <x v="1"/>
    <x v="1"/>
    <x v="1"/>
    <x v="0"/>
    <x v="0"/>
    <x v="0"/>
    <x v="39"/>
    <x v="4"/>
    <x v="0"/>
    <x v="0"/>
    <x v="1"/>
    <x v="2"/>
    <x v="4"/>
    <x v="7"/>
    <x v="0"/>
    <x v="0"/>
    <x v="98"/>
    <x v="91"/>
    <x v="72"/>
    <x v="1"/>
    <x v="15"/>
    <x v="14"/>
    <x v="80"/>
    <x v="83"/>
    <x v="66"/>
    <x v="81"/>
    <x v="80"/>
    <x v="1"/>
    <x v="92"/>
    <x v="91"/>
    <x v="0"/>
    <x v="0"/>
    <x v="0"/>
    <x v="0"/>
    <x v="0"/>
    <x v="0"/>
    <x v="0"/>
    <x v="0"/>
    <x v="0"/>
    <x v="0"/>
    <x v="0"/>
    <x v="0"/>
    <x v="0"/>
    <x v="0"/>
    <x v="0"/>
    <x v="0"/>
  </r>
  <r>
    <x v="105"/>
    <x v="46"/>
    <x v="3"/>
    <x v="0"/>
    <x v="3"/>
    <x v="0"/>
    <x v="0"/>
    <x v="98"/>
    <x v="0"/>
    <x v="20"/>
    <x v="20"/>
    <x v="62"/>
    <x v="69"/>
    <x v="5"/>
    <x v="15"/>
    <x v="5"/>
    <x v="0"/>
    <x v="0"/>
    <x v="0"/>
    <x v="1"/>
    <x v="5"/>
    <x v="0"/>
    <x v="0"/>
    <x v="0"/>
    <x v="0"/>
    <x v="4"/>
    <x v="7"/>
    <x v="9"/>
    <x v="0"/>
    <x v="99"/>
    <x v="92"/>
    <x v="72"/>
    <x v="0"/>
    <x v="0"/>
    <x v="60"/>
    <x v="81"/>
    <x v="84"/>
    <x v="16"/>
    <x v="68"/>
    <x v="81"/>
    <x v="7"/>
    <x v="93"/>
    <x v="92"/>
    <x v="0"/>
    <x v="0"/>
    <x v="0"/>
    <x v="0"/>
    <x v="0"/>
    <x v="0"/>
    <x v="0"/>
    <x v="0"/>
    <x v="0"/>
    <x v="0"/>
    <x v="0"/>
    <x v="0"/>
    <x v="0"/>
    <x v="0"/>
    <x v="0"/>
    <x v="0"/>
  </r>
  <r>
    <x v="106"/>
    <x v="47"/>
    <x v="3"/>
    <x v="0"/>
    <x v="3"/>
    <x v="0"/>
    <x v="9"/>
    <x v="99"/>
    <x v="0"/>
    <x v="16"/>
    <x v="16"/>
    <x v="63"/>
    <x v="70"/>
    <x v="0"/>
    <x v="0"/>
    <x v="0"/>
    <x v="0"/>
    <x v="0"/>
    <x v="0"/>
    <x v="37"/>
    <x v="3"/>
    <x v="0"/>
    <x v="0"/>
    <x v="0"/>
    <x v="0"/>
    <x v="4"/>
    <x v="7"/>
    <x v="0"/>
    <x v="0"/>
    <x v="100"/>
    <x v="93"/>
    <x v="70"/>
    <x v="0"/>
    <x v="0"/>
    <x v="61"/>
    <x v="82"/>
    <x v="85"/>
    <x v="67"/>
    <x v="61"/>
    <x v="47"/>
    <x v="7"/>
    <x v="94"/>
    <x v="93"/>
    <x v="0"/>
    <x v="0"/>
    <x v="0"/>
    <x v="0"/>
    <x v="0"/>
    <x v="0"/>
    <x v="0"/>
    <x v="0"/>
    <x v="0"/>
    <x v="0"/>
    <x v="0"/>
    <x v="0"/>
    <x v="0"/>
    <x v="0"/>
    <x v="0"/>
    <x v="0"/>
  </r>
  <r>
    <x v="107"/>
    <x v="48"/>
    <x v="3"/>
    <x v="0"/>
    <x v="3"/>
    <x v="0"/>
    <x v="9"/>
    <x v="100"/>
    <x v="0"/>
    <x v="11"/>
    <x v="12"/>
    <x v="64"/>
    <x v="71"/>
    <x v="0"/>
    <x v="0"/>
    <x v="0"/>
    <x v="0"/>
    <x v="0"/>
    <x v="0"/>
    <x v="37"/>
    <x v="2"/>
    <x v="0"/>
    <x v="0"/>
    <x v="0"/>
    <x v="0"/>
    <x v="5"/>
    <x v="8"/>
    <x v="0"/>
    <x v="0"/>
    <x v="101"/>
    <x v="20"/>
    <x v="69"/>
    <x v="0"/>
    <x v="0"/>
    <x v="42"/>
    <x v="59"/>
    <x v="86"/>
    <x v="8"/>
    <x v="82"/>
    <x v="82"/>
    <x v="7"/>
    <x v="23"/>
    <x v="23"/>
    <x v="0"/>
    <x v="0"/>
    <x v="0"/>
    <x v="0"/>
    <x v="0"/>
    <x v="0"/>
    <x v="0"/>
    <x v="0"/>
    <x v="0"/>
    <x v="0"/>
    <x v="0"/>
    <x v="0"/>
    <x v="0"/>
    <x v="0"/>
    <x v="0"/>
    <x v="0"/>
  </r>
  <r>
    <x v="108"/>
    <x v="49"/>
    <x v="3"/>
    <x v="0"/>
    <x v="3"/>
    <x v="0"/>
    <x v="9"/>
    <x v="9"/>
    <x v="0"/>
    <x v="30"/>
    <x v="30"/>
    <x v="65"/>
    <x v="72"/>
    <x v="0"/>
    <x v="0"/>
    <x v="0"/>
    <x v="0"/>
    <x v="0"/>
    <x v="0"/>
    <x v="40"/>
    <x v="3"/>
    <x v="0"/>
    <x v="0"/>
    <x v="1"/>
    <x v="24"/>
    <x v="5"/>
    <x v="8"/>
    <x v="0"/>
    <x v="0"/>
    <x v="102"/>
    <x v="94"/>
    <x v="69"/>
    <x v="0"/>
    <x v="0"/>
    <x v="14"/>
    <x v="83"/>
    <x v="87"/>
    <x v="15"/>
    <x v="83"/>
    <x v="83"/>
    <x v="1"/>
    <x v="95"/>
    <x v="94"/>
    <x v="0"/>
    <x v="0"/>
    <x v="0"/>
    <x v="0"/>
    <x v="0"/>
    <x v="0"/>
    <x v="0"/>
    <x v="0"/>
    <x v="0"/>
    <x v="0"/>
    <x v="0"/>
    <x v="0"/>
    <x v="0"/>
    <x v="0"/>
    <x v="0"/>
    <x v="0"/>
  </r>
  <r>
    <x v="109"/>
    <x v="50"/>
    <x v="3"/>
    <x v="0"/>
    <x v="3"/>
    <x v="0"/>
    <x v="9"/>
    <x v="101"/>
    <x v="0"/>
    <x v="23"/>
    <x v="23"/>
    <x v="66"/>
    <x v="73"/>
    <x v="0"/>
    <x v="0"/>
    <x v="0"/>
    <x v="0"/>
    <x v="0"/>
    <x v="0"/>
    <x v="41"/>
    <x v="3"/>
    <x v="0"/>
    <x v="0"/>
    <x v="0"/>
    <x v="0"/>
    <x v="5"/>
    <x v="8"/>
    <x v="0"/>
    <x v="0"/>
    <x v="103"/>
    <x v="95"/>
    <x v="73"/>
    <x v="0"/>
    <x v="0"/>
    <x v="15"/>
    <x v="83"/>
    <x v="88"/>
    <x v="65"/>
    <x v="84"/>
    <x v="84"/>
    <x v="1"/>
    <x v="96"/>
    <x v="95"/>
    <x v="0"/>
    <x v="0"/>
    <x v="0"/>
    <x v="0"/>
    <x v="0"/>
    <x v="0"/>
    <x v="0"/>
    <x v="0"/>
    <x v="0"/>
    <x v="0"/>
    <x v="0"/>
    <x v="0"/>
    <x v="0"/>
    <x v="0"/>
    <x v="0"/>
    <x v="0"/>
  </r>
  <r>
    <x v="110"/>
    <x v="51"/>
    <x v="3"/>
    <x v="0"/>
    <x v="3"/>
    <x v="0"/>
    <x v="10"/>
    <x v="102"/>
    <x v="0"/>
    <x v="13"/>
    <x v="14"/>
    <x v="67"/>
    <x v="74"/>
    <x v="0"/>
    <x v="0"/>
    <x v="0"/>
    <x v="0"/>
    <x v="0"/>
    <x v="0"/>
    <x v="42"/>
    <x v="4"/>
    <x v="0"/>
    <x v="0"/>
    <x v="1"/>
    <x v="2"/>
    <x v="5"/>
    <x v="9"/>
    <x v="0"/>
    <x v="0"/>
    <x v="104"/>
    <x v="96"/>
    <x v="74"/>
    <x v="1"/>
    <x v="15"/>
    <x v="62"/>
    <x v="21"/>
    <x v="89"/>
    <x v="42"/>
    <x v="85"/>
    <x v="85"/>
    <x v="1"/>
    <x v="97"/>
    <x v="96"/>
    <x v="22"/>
    <x v="31"/>
    <x v="35"/>
    <x v="29"/>
    <x v="31"/>
    <x v="37"/>
    <x v="17"/>
    <x v="29"/>
    <x v="38"/>
    <x v="8"/>
    <x v="2"/>
    <x v="19"/>
    <x v="18"/>
    <x v="39"/>
    <x v="12"/>
    <x v="0"/>
  </r>
  <r>
    <x v="111"/>
    <x v="52"/>
    <x v="3"/>
    <x v="0"/>
    <x v="3"/>
    <x v="0"/>
    <x v="10"/>
    <x v="103"/>
    <x v="0"/>
    <x v="28"/>
    <x v="28"/>
    <x v="68"/>
    <x v="75"/>
    <x v="8"/>
    <x v="18"/>
    <x v="8"/>
    <x v="0"/>
    <x v="0"/>
    <x v="0"/>
    <x v="43"/>
    <x v="6"/>
    <x v="0"/>
    <x v="0"/>
    <x v="2"/>
    <x v="14"/>
    <x v="5"/>
    <x v="9"/>
    <x v="0"/>
    <x v="0"/>
    <x v="105"/>
    <x v="97"/>
    <x v="75"/>
    <x v="1"/>
    <x v="5"/>
    <x v="39"/>
    <x v="84"/>
    <x v="90"/>
    <x v="35"/>
    <x v="86"/>
    <x v="86"/>
    <x v="7"/>
    <x v="98"/>
    <x v="97"/>
    <x v="22"/>
    <x v="32"/>
    <x v="36"/>
    <x v="30"/>
    <x v="32"/>
    <x v="38"/>
    <x v="18"/>
    <x v="30"/>
    <x v="39"/>
    <x v="8"/>
    <x v="3"/>
    <x v="20"/>
    <x v="19"/>
    <x v="40"/>
    <x v="14"/>
    <x v="0"/>
  </r>
  <r>
    <x v="112"/>
    <x v="53"/>
    <x v="3"/>
    <x v="0"/>
    <x v="3"/>
    <x v="0"/>
    <x v="10"/>
    <x v="104"/>
    <x v="0"/>
    <x v="38"/>
    <x v="40"/>
    <x v="69"/>
    <x v="76"/>
    <x v="2"/>
    <x v="19"/>
    <x v="2"/>
    <x v="0"/>
    <x v="0"/>
    <x v="0"/>
    <x v="44"/>
    <x v="7"/>
    <x v="0"/>
    <x v="0"/>
    <x v="2"/>
    <x v="13"/>
    <x v="5"/>
    <x v="9"/>
    <x v="0"/>
    <x v="0"/>
    <x v="106"/>
    <x v="98"/>
    <x v="76"/>
    <x v="1"/>
    <x v="16"/>
    <x v="63"/>
    <x v="15"/>
    <x v="91"/>
    <x v="45"/>
    <x v="15"/>
    <x v="87"/>
    <x v="1"/>
    <x v="99"/>
    <x v="98"/>
    <x v="23"/>
    <x v="33"/>
    <x v="37"/>
    <x v="31"/>
    <x v="33"/>
    <x v="39"/>
    <x v="19"/>
    <x v="31"/>
    <x v="40"/>
    <x v="9"/>
    <x v="8"/>
    <x v="21"/>
    <x v="20"/>
    <x v="41"/>
    <x v="15"/>
    <x v="0"/>
  </r>
  <r>
    <x v="113"/>
    <x v="54"/>
    <x v="3"/>
    <x v="0"/>
    <x v="3"/>
    <x v="0"/>
    <x v="10"/>
    <x v="105"/>
    <x v="0"/>
    <x v="22"/>
    <x v="39"/>
    <x v="70"/>
    <x v="77"/>
    <x v="4"/>
    <x v="20"/>
    <x v="1"/>
    <x v="0"/>
    <x v="0"/>
    <x v="0"/>
    <x v="45"/>
    <x v="5"/>
    <x v="0"/>
    <x v="0"/>
    <x v="1"/>
    <x v="10"/>
    <x v="5"/>
    <x v="10"/>
    <x v="0"/>
    <x v="0"/>
    <x v="107"/>
    <x v="99"/>
    <x v="77"/>
    <x v="0"/>
    <x v="0"/>
    <x v="22"/>
    <x v="17"/>
    <x v="16"/>
    <x v="68"/>
    <x v="87"/>
    <x v="16"/>
    <x v="7"/>
    <x v="100"/>
    <x v="99"/>
    <x v="24"/>
    <x v="34"/>
    <x v="38"/>
    <x v="32"/>
    <x v="34"/>
    <x v="40"/>
    <x v="20"/>
    <x v="32"/>
    <x v="41"/>
    <x v="10"/>
    <x v="9"/>
    <x v="22"/>
    <x v="21"/>
    <x v="42"/>
    <x v="16"/>
    <x v="0"/>
  </r>
  <r>
    <x v="114"/>
    <x v="55"/>
    <x v="3"/>
    <x v="0"/>
    <x v="3"/>
    <x v="0"/>
    <x v="10"/>
    <x v="106"/>
    <x v="0"/>
    <x v="19"/>
    <x v="20"/>
    <x v="71"/>
    <x v="78"/>
    <x v="1"/>
    <x v="21"/>
    <x v="1"/>
    <x v="0"/>
    <x v="0"/>
    <x v="0"/>
    <x v="46"/>
    <x v="5"/>
    <x v="0"/>
    <x v="0"/>
    <x v="1"/>
    <x v="25"/>
    <x v="5"/>
    <x v="10"/>
    <x v="0"/>
    <x v="0"/>
    <x v="108"/>
    <x v="100"/>
    <x v="78"/>
    <x v="0"/>
    <x v="0"/>
    <x v="0"/>
    <x v="0"/>
    <x v="0"/>
    <x v="0"/>
    <x v="0"/>
    <x v="0"/>
    <x v="0"/>
    <x v="0"/>
    <x v="0"/>
    <x v="14"/>
    <x v="18"/>
    <x v="39"/>
    <x v="33"/>
    <x v="35"/>
    <x v="41"/>
    <x v="21"/>
    <x v="33"/>
    <x v="42"/>
    <x v="11"/>
    <x v="5"/>
    <x v="23"/>
    <x v="22"/>
    <x v="43"/>
    <x v="17"/>
    <x v="0"/>
  </r>
  <r>
    <x v="115"/>
    <x v="56"/>
    <x v="3"/>
    <x v="0"/>
    <x v="3"/>
    <x v="0"/>
    <x v="10"/>
    <x v="107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1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16"/>
    <x v="57"/>
    <x v="1"/>
    <x v="0"/>
    <x v="1"/>
    <x v="0"/>
    <x v="6"/>
    <x v="56"/>
    <x v="1"/>
    <x v="32"/>
    <x v="33"/>
    <x v="44"/>
    <x v="46"/>
    <x v="6"/>
    <x v="13"/>
    <x v="6"/>
    <x v="1"/>
    <x v="1"/>
    <x v="1"/>
    <x v="0"/>
    <x v="10"/>
    <x v="0"/>
    <x v="0"/>
    <x v="3"/>
    <x v="16"/>
    <x v="6"/>
    <x v="11"/>
    <x v="5"/>
    <x v="1"/>
    <x v="54"/>
    <x v="50"/>
    <x v="47"/>
    <x v="3"/>
    <x v="8"/>
    <x v="43"/>
    <x v="48"/>
    <x v="51"/>
    <x v="47"/>
    <x v="51"/>
    <x v="50"/>
    <x v="0"/>
    <x v="52"/>
    <x v="51"/>
    <x v="0"/>
    <x v="19"/>
    <x v="21"/>
    <x v="17"/>
    <x v="18"/>
    <x v="22"/>
    <x v="10"/>
    <x v="0"/>
    <x v="22"/>
    <x v="6"/>
    <x v="6"/>
    <x v="12"/>
    <x v="13"/>
    <x v="22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20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F69:AI93" firstHeaderRow="1" firstDataRow="2" firstDataCol="1"/>
  <pivotFields count="59">
    <pivotField compact="0" showAll="0">
      <items count="118">
        <item x="57"/>
        <item x="58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axis="axisRow" compact="0" multipleItemSelectionAllowed="1" showAll="0">
      <items count="60">
        <item x="0"/>
        <item x="1"/>
        <item x="2"/>
        <item x="3"/>
        <item x="4"/>
        <item h="1" x="58"/>
        <item x="5"/>
        <item x="6"/>
        <item h="1" x="5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showAll="0">
      <items count="7">
        <item x="2"/>
        <item x="1"/>
        <item m="1" x="4"/>
        <item m="1" x="5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2">
        <item x="7"/>
        <item x="6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57"/>
        <item x="56"/>
        <item x="3"/>
        <item x="4"/>
        <item x="5"/>
        <item x="6"/>
        <item x="7"/>
        <item x="8"/>
        <item x="9"/>
        <item x="10"/>
        <item x="11"/>
        <item x="12"/>
        <item x="13"/>
        <item x="61"/>
        <item x="62"/>
        <item x="63"/>
        <item x="64"/>
        <item x="65"/>
        <item x="66"/>
        <item x="67"/>
        <item x="68"/>
        <item x="69"/>
        <item x="70"/>
        <item x="14"/>
        <item x="15"/>
        <item x="16"/>
        <item x="17"/>
        <item x="18"/>
        <item x="19"/>
        <item x="20"/>
        <item x="21"/>
        <item x="71"/>
        <item x="72"/>
        <item x="73"/>
        <item x="74"/>
        <item x="75"/>
        <item x="76"/>
        <item x="77"/>
        <item x="0"/>
        <item x="1"/>
        <item x="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0">
        <item x="2"/>
        <item x="1"/>
        <item x="6"/>
        <item x="5"/>
        <item x="33"/>
        <item x="32"/>
        <item x="0"/>
        <item x="3"/>
        <item x="4"/>
        <item x="7"/>
        <item x="8"/>
        <item x="9"/>
        <item x="10"/>
        <item x="36"/>
        <item x="31"/>
        <item x="3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5"/>
        <item x="37"/>
        <item x="38"/>
        <item t="default"/>
      </items>
    </pivotField>
    <pivotField compact="0" showAll="0">
      <items count="42">
        <item x="2"/>
        <item x="1"/>
        <item x="7"/>
        <item x="5"/>
        <item x="34"/>
        <item x="6"/>
        <item x="4"/>
        <item x="33"/>
        <item x="0"/>
        <item x="3"/>
        <item x="8"/>
        <item x="9"/>
        <item x="10"/>
        <item x="11"/>
        <item x="36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7"/>
        <item x="38"/>
        <item x="39"/>
        <item x="40"/>
        <item t="default"/>
      </items>
    </pivotField>
    <pivotField compact="0" showAll="0">
      <items count="73">
        <item x="45"/>
        <item x="44"/>
        <item x="1"/>
        <item x="2"/>
        <item x="0"/>
        <item x="3"/>
        <item x="4"/>
        <item x="5"/>
        <item x="6"/>
        <item x="7"/>
        <item x="8"/>
        <item x="9"/>
        <item x="10"/>
        <item x="46"/>
        <item x="4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47"/>
        <item x="46"/>
        <item x="1"/>
        <item x="2"/>
        <item x="0"/>
        <item x="3"/>
        <item x="4"/>
        <item x="5"/>
        <item x="6"/>
        <item x="7"/>
        <item x="48"/>
        <item x="8"/>
        <item x="9"/>
        <item x="10"/>
        <item x="11"/>
        <item x="49"/>
        <item x="50"/>
        <item x="5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7"/>
        <item x="6"/>
        <item x="1"/>
        <item x="5"/>
        <item x="2"/>
        <item x="3"/>
        <item x="4"/>
        <item x="8"/>
        <item t="default"/>
      </items>
    </pivotField>
    <pivotField compact="0" showAll="0">
      <items count="23">
        <item x="0"/>
        <item x="14"/>
        <item x="13"/>
        <item x="1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7"/>
        <item x="6"/>
        <item x="1"/>
        <item x="2"/>
        <item x="3"/>
        <item x="4"/>
        <item x="5"/>
        <item x="8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8">
        <item x="26"/>
        <item x="0"/>
        <item x="1"/>
        <item x="9"/>
        <item x="25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11"/>
        <item x="10"/>
        <item x="4"/>
        <item x="1"/>
        <item x="2"/>
        <item x="0"/>
        <item x="3"/>
        <item x="5"/>
        <item x="9"/>
        <item x="7"/>
        <item x="6"/>
        <item x="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27">
        <item x="17"/>
        <item x="0"/>
        <item x="16"/>
        <item x="1"/>
        <item x="18"/>
        <item x="19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compact="0" showAll="0">
      <items count="14">
        <item x="12"/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1">
        <item x="6"/>
        <item x="0"/>
        <item x="5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10">
        <item x="55"/>
        <item x="54"/>
        <item x="1"/>
        <item x="2"/>
        <item x="3"/>
        <item x="4"/>
        <item x="5"/>
        <item x="6"/>
        <item x="7"/>
        <item x="8"/>
        <item x="56"/>
        <item x="57"/>
        <item x="58"/>
        <item x="60"/>
        <item x="62"/>
        <item x="63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61"/>
        <item x="65"/>
        <item x="66"/>
        <item x="68"/>
        <item x="69"/>
        <item x="71"/>
        <item x="72"/>
        <item x="73"/>
        <item x="74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9"/>
        <item x="67"/>
        <item x="70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1"/>
        <item x="50"/>
        <item x="0"/>
        <item x="1"/>
        <item x="2"/>
        <item x="3"/>
        <item x="4"/>
        <item x="53"/>
        <item x="55"/>
        <item x="56"/>
        <item x="57"/>
        <item x="5"/>
        <item x="6"/>
        <item x="7"/>
        <item x="8"/>
        <item x="9"/>
        <item x="10"/>
        <item x="11"/>
        <item x="12"/>
        <item x="13"/>
        <item x="14"/>
        <item x="15"/>
        <item x="54"/>
        <item x="58"/>
        <item x="59"/>
        <item x="61"/>
        <item x="62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60"/>
        <item x="63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8"/>
        <item x="47"/>
        <item x="0"/>
        <item x="1"/>
        <item x="2"/>
        <item x="3"/>
        <item x="4"/>
        <item x="49"/>
        <item x="50"/>
        <item x="52"/>
        <item x="72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18">
        <item x="9"/>
        <item x="0"/>
        <item x="8"/>
        <item x="10"/>
        <item x="11"/>
        <item x="1"/>
        <item x="2"/>
        <item x="3"/>
        <item x="4"/>
        <item x="5"/>
        <item x="6"/>
        <item x="7"/>
        <item x="12"/>
        <item x="13"/>
        <item x="14"/>
        <item x="15"/>
        <item x="16"/>
        <item t="default"/>
      </items>
    </pivotField>
    <pivotField compact="0" showAll="0">
      <items count="65">
        <item x="45"/>
        <item x="48"/>
        <item x="5"/>
        <item x="44"/>
        <item x="6"/>
        <item x="43"/>
        <item x="1"/>
        <item x="2"/>
        <item x="3"/>
        <item x="4"/>
        <item x="7"/>
        <item x="8"/>
        <item x="0"/>
        <item x="46"/>
        <item x="47"/>
        <item x="49"/>
        <item x="50"/>
        <item x="9"/>
        <item x="10"/>
        <item x="11"/>
        <item x="12"/>
        <item x="13"/>
        <item x="14"/>
        <item x="51"/>
        <item x="52"/>
        <item x="5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3"/>
        <item x="53"/>
        <item x="52"/>
        <item x="49"/>
        <item x="55"/>
        <item x="48"/>
        <item x="1"/>
        <item x="2"/>
        <item x="4"/>
        <item x="5"/>
        <item x="6"/>
        <item x="7"/>
        <item x="8"/>
        <item x="9"/>
        <item x="10"/>
        <item x="0"/>
        <item x="50"/>
        <item x="51"/>
        <item x="54"/>
        <item x="56"/>
        <item x="57"/>
        <item x="11"/>
        <item x="12"/>
        <item x="13"/>
        <item x="14"/>
        <item x="15"/>
        <item x="16"/>
        <item x="58"/>
        <item x="59"/>
        <item x="60"/>
        <item x="61"/>
        <item x="6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compact="0" showAll="0">
      <items count="93">
        <item x="59"/>
        <item x="52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6"/>
        <item x="57"/>
        <item x="58"/>
        <item x="60"/>
        <item x="61"/>
        <item x="11"/>
        <item x="12"/>
        <item x="13"/>
        <item x="14"/>
        <item x="15"/>
        <item x="16"/>
        <item x="62"/>
        <item x="63"/>
        <item x="64"/>
        <item x="65"/>
        <item x="6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49"/>
        <item x="5"/>
        <item x="48"/>
        <item x="47"/>
        <item x="1"/>
        <item x="2"/>
        <item x="3"/>
        <item x="4"/>
        <item x="6"/>
        <item x="7"/>
        <item x="8"/>
        <item x="9"/>
        <item x="10"/>
        <item x="0"/>
        <item x="50"/>
        <item x="51"/>
        <item x="52"/>
        <item x="53"/>
        <item x="11"/>
        <item x="12"/>
        <item x="13"/>
        <item x="14"/>
        <item x="15"/>
        <item x="16"/>
        <item x="54"/>
        <item x="55"/>
        <item x="56"/>
        <item x="57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56"/>
        <item x="57"/>
        <item x="52"/>
        <item x="58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53"/>
        <item x="51"/>
        <item x="50"/>
        <item x="1"/>
        <item x="2"/>
        <item x="3"/>
        <item x="4"/>
        <item x="5"/>
        <item x="6"/>
        <item x="7"/>
        <item x="8"/>
        <item x="9"/>
        <item x="10"/>
        <item x="0"/>
        <item x="52"/>
        <item x="54"/>
        <item x="55"/>
        <item x="56"/>
        <item x="57"/>
        <item x="58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9"/>
        <item x="0"/>
        <item x="1"/>
        <item x="5"/>
        <item x="6"/>
        <item x="2"/>
        <item x="3"/>
        <item x="4"/>
        <item x="7"/>
        <item x="8"/>
        <item t="default"/>
      </items>
    </pivotField>
    <pivotField compact="0" showAll="0">
      <items count="102">
        <item x="53"/>
        <item x="52"/>
        <item x="1"/>
        <item x="2"/>
        <item x="0"/>
        <item x="3"/>
        <item x="4"/>
        <item x="5"/>
        <item x="6"/>
        <item x="7"/>
        <item x="8"/>
        <item x="9"/>
        <item x="54"/>
        <item x="55"/>
        <item x="56"/>
        <item x="57"/>
        <item x="58"/>
        <item x="59"/>
        <item x="60"/>
        <item x="61"/>
        <item x="10"/>
        <item x="11"/>
        <item x="12"/>
        <item x="13"/>
        <item x="14"/>
        <item x="15"/>
        <item x="62"/>
        <item x="63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2"/>
        <item x="51"/>
        <item x="1"/>
        <item x="2"/>
        <item x="0"/>
        <item x="3"/>
        <item x="4"/>
        <item x="5"/>
        <item x="6"/>
        <item x="7"/>
        <item x="8"/>
        <item x="9"/>
        <item x="53"/>
        <item x="54"/>
        <item x="55"/>
        <item x="56"/>
        <item x="57"/>
        <item x="58"/>
        <item x="59"/>
        <item x="60"/>
        <item x="10"/>
        <item x="11"/>
        <item x="12"/>
        <item x="13"/>
        <item x="14"/>
        <item x="15"/>
        <item x="61"/>
        <item x="62"/>
        <item x="63"/>
        <item x="64"/>
        <item x="65"/>
        <item x="6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1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8"/>
        <item x="19"/>
        <item x="10"/>
        <item x="20"/>
        <item x="21"/>
        <item x="9"/>
        <item x="11"/>
        <item x="12"/>
        <item x="17"/>
        <item x="22"/>
        <item x="23"/>
        <item x="24"/>
        <item t="default"/>
      </items>
    </pivotField>
    <pivotField compact="0" showAll="0">
      <items count="36">
        <item x="20"/>
        <item x="11"/>
        <item x="8"/>
        <item x="1"/>
        <item x="21"/>
        <item x="19"/>
        <item x="0"/>
        <item x="2"/>
        <item x="3"/>
        <item x="5"/>
        <item x="6"/>
        <item x="7"/>
        <item x="9"/>
        <item x="16"/>
        <item x="22"/>
        <item x="10"/>
        <item x="25"/>
        <item x="26"/>
        <item x="27"/>
        <item x="28"/>
        <item x="12"/>
        <item x="13"/>
        <item x="14"/>
        <item x="15"/>
        <item x="29"/>
        <item x="30"/>
        <item x="4"/>
        <item x="17"/>
        <item x="18"/>
        <item x="23"/>
        <item x="24"/>
        <item x="31"/>
        <item x="32"/>
        <item x="33"/>
        <item x="34"/>
        <item t="default"/>
      </items>
    </pivotField>
    <pivotField compact="0" showAll="0">
      <items count="41">
        <item x="0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24"/>
        <item x="25"/>
        <item x="27"/>
        <item x="28"/>
        <item x="29"/>
        <item x="30"/>
        <item x="31"/>
        <item x="13"/>
        <item x="12"/>
        <item x="14"/>
        <item x="15"/>
        <item x="16"/>
        <item x="17"/>
        <item x="18"/>
        <item x="19"/>
        <item x="33"/>
        <item x="34"/>
        <item x="20"/>
        <item x="26"/>
        <item x="32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8"/>
        <item x="17"/>
        <item x="8"/>
        <item x="3"/>
        <item x="5"/>
        <item x="7"/>
        <item x="9"/>
        <item x="19"/>
        <item x="21"/>
        <item x="22"/>
        <item x="23"/>
        <item x="24"/>
        <item x="25"/>
        <item x="26"/>
        <item x="1"/>
        <item x="6"/>
        <item x="10"/>
        <item x="11"/>
        <item x="14"/>
        <item x="15"/>
        <item x="28"/>
        <item x="2"/>
        <item x="4"/>
        <item x="12"/>
        <item x="13"/>
        <item x="16"/>
        <item x="20"/>
        <item x="27"/>
        <item x="29"/>
        <item x="30"/>
        <item x="31"/>
        <item x="32"/>
        <item x="33"/>
        <item t="default"/>
      </items>
    </pivotField>
    <pivotField compact="0" showAll="0">
      <items count="37">
        <item x="19"/>
        <item x="18"/>
        <item x="0"/>
        <item x="2"/>
        <item x="4"/>
        <item x="6"/>
        <item x="8"/>
        <item x="9"/>
        <item x="10"/>
        <item x="20"/>
        <item x="22"/>
        <item x="23"/>
        <item x="24"/>
        <item x="25"/>
        <item x="26"/>
        <item x="27"/>
        <item x="1"/>
        <item x="7"/>
        <item x="11"/>
        <item x="12"/>
        <item x="15"/>
        <item x="16"/>
        <item x="29"/>
        <item x="30"/>
        <item x="3"/>
        <item x="5"/>
        <item x="13"/>
        <item x="14"/>
        <item x="17"/>
        <item x="21"/>
        <item x="28"/>
        <item x="31"/>
        <item x="32"/>
        <item x="33"/>
        <item x="34"/>
        <item x="35"/>
        <item t="default"/>
      </items>
    </pivotField>
    <pivotField compact="0" showAll="0">
      <items count="43"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4"/>
        <item x="25"/>
        <item x="27"/>
        <item x="28"/>
        <item x="29"/>
        <item x="30"/>
        <item x="31"/>
        <item x="32"/>
        <item x="33"/>
        <item x="12"/>
        <item x="13"/>
        <item x="14"/>
        <item x="15"/>
        <item x="16"/>
        <item x="18"/>
        <item x="19"/>
        <item x="35"/>
        <item x="36"/>
        <item x="17"/>
        <item x="20"/>
        <item x="21"/>
        <item x="26"/>
        <item x="34"/>
        <item x="37"/>
        <item x="38"/>
        <item x="39"/>
        <item x="40"/>
        <item x="41"/>
        <item t="default"/>
      </items>
    </pivotField>
    <pivotField compact="0" showAll="0">
      <items count="23">
        <item x="11"/>
        <item x="6"/>
        <item x="5"/>
        <item x="2"/>
        <item x="10"/>
        <item x="0"/>
        <item x="3"/>
        <item x="4"/>
        <item x="12"/>
        <item x="13"/>
        <item x="14"/>
        <item x="1"/>
        <item x="15"/>
        <item x="7"/>
        <item x="16"/>
        <item x="8"/>
        <item x="9"/>
        <item x="17"/>
        <item x="18"/>
        <item x="19"/>
        <item x="20"/>
        <item x="21"/>
        <item t="default"/>
      </items>
    </pivotField>
    <pivotField compact="0" showAll="0">
      <items count="35">
        <item x="17"/>
        <item x="0"/>
        <item x="3"/>
        <item x="5"/>
        <item x="7"/>
        <item x="8"/>
        <item x="9"/>
        <item x="18"/>
        <item x="20"/>
        <item x="21"/>
        <item x="22"/>
        <item x="23"/>
        <item x="24"/>
        <item x="25"/>
        <item x="1"/>
        <item x="6"/>
        <item x="10"/>
        <item x="11"/>
        <item x="14"/>
        <item x="15"/>
        <item x="27"/>
        <item x="28"/>
        <item x="2"/>
        <item x="4"/>
        <item x="12"/>
        <item x="13"/>
        <item x="16"/>
        <item x="19"/>
        <item x="26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23"/>
        <item x="22"/>
        <item x="2"/>
        <item x="3"/>
        <item x="5"/>
        <item x="6"/>
        <item x="8"/>
        <item x="9"/>
        <item x="10"/>
        <item x="25"/>
        <item x="28"/>
        <item x="32"/>
        <item x="33"/>
        <item x="1"/>
        <item x="11"/>
        <item x="14"/>
        <item x="15"/>
        <item x="24"/>
        <item x="31"/>
        <item x="34"/>
        <item x="4"/>
        <item x="7"/>
        <item x="12"/>
        <item x="13"/>
        <item x="16"/>
        <item x="17"/>
        <item x="18"/>
        <item x="19"/>
        <item x="20"/>
        <item x="21"/>
        <item x="26"/>
        <item x="27"/>
        <item x="29"/>
        <item x="30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7"/>
        <item x="6"/>
        <item x="4"/>
        <item x="3"/>
        <item x="2"/>
        <item x="1"/>
        <item x="5"/>
        <item x="8"/>
        <item x="9"/>
        <item x="10"/>
        <item x="11"/>
        <item t="default"/>
      </items>
    </pivotField>
    <pivotField compact="0" showAll="0">
      <items count="11">
        <item x="0"/>
        <item x="3"/>
        <item x="2"/>
        <item x="7"/>
        <item x="4"/>
        <item x="1"/>
        <item x="6"/>
        <item x="5"/>
        <item x="8"/>
        <item x="9"/>
        <item t="default"/>
      </items>
    </pivotField>
    <pivotField compact="0" showAll="0">
      <items count="25">
        <item x="13"/>
        <item x="8"/>
        <item x="7"/>
        <item x="12"/>
        <item x="0"/>
        <item x="5"/>
        <item x="2"/>
        <item x="4"/>
        <item x="6"/>
        <item x="14"/>
        <item x="15"/>
        <item x="1"/>
        <item x="16"/>
        <item x="17"/>
        <item x="9"/>
        <item x="18"/>
        <item x="3"/>
        <item x="10"/>
        <item x="11"/>
        <item x="19"/>
        <item x="20"/>
        <item x="21"/>
        <item x="22"/>
        <item x="23"/>
        <item t="default"/>
      </items>
    </pivotField>
    <pivotField compact="0" showAll="0">
      <items count="24">
        <item x="14"/>
        <item x="6"/>
        <item x="13"/>
        <item x="0"/>
        <item x="17"/>
        <item x="3"/>
        <item x="2"/>
        <item x="7"/>
        <item x="8"/>
        <item x="15"/>
        <item x="16"/>
        <item x="11"/>
        <item x="9"/>
        <item x="1"/>
        <item x="5"/>
        <item x="10"/>
        <item x="12"/>
        <item x="4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23"/>
        <item x="22"/>
        <item x="5"/>
        <item x="9"/>
        <item x="10"/>
        <item x="28"/>
        <item x="32"/>
        <item x="33"/>
        <item x="11"/>
        <item x="15"/>
        <item x="34"/>
        <item x="38"/>
        <item x="1"/>
        <item x="2"/>
        <item x="3"/>
        <item x="4"/>
        <item x="6"/>
        <item x="7"/>
        <item x="8"/>
        <item x="12"/>
        <item x="13"/>
        <item x="14"/>
        <item x="16"/>
        <item x="17"/>
        <item x="18"/>
        <item x="19"/>
        <item x="20"/>
        <item x="21"/>
        <item x="24"/>
        <item x="25"/>
        <item x="26"/>
        <item x="27"/>
        <item x="29"/>
        <item x="30"/>
        <item x="31"/>
        <item x="35"/>
        <item x="36"/>
        <item x="37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1"/>
        <item x="1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4"/>
  </colFields>
  <colItems count="3">
    <i>
      <x v="4"/>
    </i>
    <i>
      <x v="5"/>
    </i>
    <i t="grand">
      <x/>
    </i>
  </colItems>
  <dataFields count="1">
    <dataField name="求和项:Sessions-Total" fld="36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C110:AD112" firstHeaderRow="1" firstDataRow="2" firstDataCol="1"/>
  <pivotFields count="59">
    <pivotField compact="0" showAll="0">
      <items count="118">
        <item x="57"/>
        <item x="58"/>
        <item x="1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axis="axisRow" compact="0" showAll="0">
      <items count="60">
        <item x="0"/>
        <item x="1"/>
        <item x="2"/>
        <item x="3"/>
        <item x="4"/>
        <item x="58"/>
        <item x="5"/>
        <item x="6"/>
        <item x="57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4">
        <item x="2"/>
        <item x="1"/>
        <item x="0"/>
        <item t="default"/>
      </items>
    </pivotField>
    <pivotField axis="axisCol" compact="0" multipleItemSelectionAllowed="1" showAll="0">
      <items count="7">
        <item h="1" x="2"/>
        <item h="1" x="1"/>
        <item m="1" x="4"/>
        <item m="1" x="5"/>
        <item h="1" x="0"/>
        <item h="1"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2">
        <item x="7"/>
        <item x="6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57"/>
        <item x="56"/>
        <item x="3"/>
        <item x="4"/>
        <item x="5"/>
        <item x="6"/>
        <item x="7"/>
        <item x="8"/>
        <item x="9"/>
        <item x="10"/>
        <item x="11"/>
        <item x="12"/>
        <item x="13"/>
        <item x="61"/>
        <item x="62"/>
        <item x="63"/>
        <item x="64"/>
        <item x="65"/>
        <item x="66"/>
        <item x="67"/>
        <item x="68"/>
        <item x="69"/>
        <item x="70"/>
        <item x="14"/>
        <item x="15"/>
        <item x="16"/>
        <item x="17"/>
        <item x="18"/>
        <item x="19"/>
        <item x="20"/>
        <item x="21"/>
        <item x="71"/>
        <item x="72"/>
        <item x="73"/>
        <item x="74"/>
        <item x="75"/>
        <item x="76"/>
        <item x="77"/>
        <item x="0"/>
        <item x="1"/>
        <item x="2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0">
        <item x="2"/>
        <item x="1"/>
        <item x="6"/>
        <item x="5"/>
        <item x="33"/>
        <item x="32"/>
        <item x="0"/>
        <item x="3"/>
        <item x="4"/>
        <item x="7"/>
        <item x="8"/>
        <item x="9"/>
        <item x="10"/>
        <item x="36"/>
        <item x="31"/>
        <item x="34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5"/>
        <item x="37"/>
        <item x="38"/>
        <item t="default"/>
      </items>
    </pivotField>
    <pivotField compact="0" showAll="0">
      <items count="42">
        <item x="2"/>
        <item x="1"/>
        <item x="7"/>
        <item x="5"/>
        <item x="34"/>
        <item x="6"/>
        <item x="4"/>
        <item x="33"/>
        <item x="0"/>
        <item x="3"/>
        <item x="8"/>
        <item x="9"/>
        <item x="10"/>
        <item x="11"/>
        <item x="36"/>
        <item x="3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7"/>
        <item x="38"/>
        <item x="39"/>
        <item x="40"/>
        <item t="default"/>
      </items>
    </pivotField>
    <pivotField compact="0" showAll="0">
      <items count="73">
        <item x="45"/>
        <item x="44"/>
        <item x="1"/>
        <item x="2"/>
        <item x="0"/>
        <item x="3"/>
        <item x="4"/>
        <item x="5"/>
        <item x="6"/>
        <item x="7"/>
        <item x="8"/>
        <item x="9"/>
        <item x="10"/>
        <item x="46"/>
        <item x="47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47"/>
        <item x="46"/>
        <item x="1"/>
        <item x="2"/>
        <item x="0"/>
        <item x="3"/>
        <item x="4"/>
        <item x="5"/>
        <item x="6"/>
        <item x="7"/>
        <item x="48"/>
        <item x="8"/>
        <item x="9"/>
        <item x="10"/>
        <item x="11"/>
        <item x="49"/>
        <item x="50"/>
        <item x="5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7"/>
        <item x="6"/>
        <item x="1"/>
        <item x="5"/>
        <item x="2"/>
        <item x="3"/>
        <item x="4"/>
        <item x="8"/>
        <item t="default"/>
      </items>
    </pivotField>
    <pivotField compact="0" showAll="0">
      <items count="23">
        <item x="0"/>
        <item x="14"/>
        <item x="13"/>
        <item x="1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7"/>
        <item x="6"/>
        <item x="1"/>
        <item x="2"/>
        <item x="3"/>
        <item x="4"/>
        <item x="5"/>
        <item x="8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8">
        <item x="26"/>
        <item x="0"/>
        <item x="1"/>
        <item x="9"/>
        <item x="25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11"/>
        <item x="10"/>
        <item x="4"/>
        <item x="1"/>
        <item x="2"/>
        <item x="0"/>
        <item x="3"/>
        <item x="5"/>
        <item x="9"/>
        <item x="7"/>
        <item x="6"/>
        <item x="8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27">
        <item x="17"/>
        <item x="0"/>
        <item x="16"/>
        <item x="1"/>
        <item x="18"/>
        <item x="19"/>
        <item x="1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7"/>
        <item x="6"/>
        <item x="0"/>
        <item x="1"/>
        <item x="2"/>
        <item x="3"/>
        <item x="4"/>
        <item x="5"/>
        <item t="default"/>
      </items>
    </pivotField>
    <pivotField compact="0" showAll="0">
      <items count="14">
        <item x="12"/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11">
        <item x="6"/>
        <item x="0"/>
        <item x="5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110">
        <item x="55"/>
        <item x="54"/>
        <item x="1"/>
        <item x="2"/>
        <item x="3"/>
        <item x="4"/>
        <item x="5"/>
        <item x="6"/>
        <item x="7"/>
        <item x="8"/>
        <item x="56"/>
        <item x="57"/>
        <item x="58"/>
        <item x="60"/>
        <item x="62"/>
        <item x="63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61"/>
        <item x="65"/>
        <item x="66"/>
        <item x="68"/>
        <item x="69"/>
        <item x="71"/>
        <item x="72"/>
        <item x="73"/>
        <item x="74"/>
        <item x="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9"/>
        <item x="67"/>
        <item x="70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1"/>
        <item x="50"/>
        <item x="0"/>
        <item x="1"/>
        <item x="2"/>
        <item x="3"/>
        <item x="4"/>
        <item x="53"/>
        <item x="55"/>
        <item x="56"/>
        <item x="57"/>
        <item x="5"/>
        <item x="6"/>
        <item x="7"/>
        <item x="8"/>
        <item x="9"/>
        <item x="10"/>
        <item x="11"/>
        <item x="12"/>
        <item x="13"/>
        <item x="14"/>
        <item x="15"/>
        <item x="54"/>
        <item x="58"/>
        <item x="59"/>
        <item x="61"/>
        <item x="62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60"/>
        <item x="63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8"/>
        <item x="47"/>
        <item x="0"/>
        <item x="1"/>
        <item x="2"/>
        <item x="3"/>
        <item x="4"/>
        <item x="49"/>
        <item x="50"/>
        <item x="52"/>
        <item x="72"/>
        <item x="2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18">
        <item x="9"/>
        <item x="0"/>
        <item x="8"/>
        <item x="10"/>
        <item x="11"/>
        <item x="1"/>
        <item x="2"/>
        <item x="3"/>
        <item x="4"/>
        <item x="5"/>
        <item x="6"/>
        <item x="7"/>
        <item x="12"/>
        <item x="13"/>
        <item x="14"/>
        <item x="15"/>
        <item x="16"/>
        <item t="default"/>
      </items>
    </pivotField>
    <pivotField compact="0" showAll="0">
      <items count="65">
        <item x="45"/>
        <item x="48"/>
        <item x="5"/>
        <item x="44"/>
        <item x="6"/>
        <item x="43"/>
        <item x="1"/>
        <item x="2"/>
        <item x="3"/>
        <item x="4"/>
        <item x="7"/>
        <item x="8"/>
        <item x="0"/>
        <item x="46"/>
        <item x="47"/>
        <item x="49"/>
        <item x="50"/>
        <item x="9"/>
        <item x="10"/>
        <item x="11"/>
        <item x="12"/>
        <item x="13"/>
        <item x="14"/>
        <item x="51"/>
        <item x="52"/>
        <item x="5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3"/>
        <item x="53"/>
        <item x="52"/>
        <item x="49"/>
        <item x="55"/>
        <item x="48"/>
        <item x="1"/>
        <item x="2"/>
        <item x="4"/>
        <item x="5"/>
        <item x="6"/>
        <item x="7"/>
        <item x="8"/>
        <item x="9"/>
        <item x="10"/>
        <item x="0"/>
        <item x="50"/>
        <item x="51"/>
        <item x="54"/>
        <item x="56"/>
        <item x="57"/>
        <item x="11"/>
        <item x="12"/>
        <item x="13"/>
        <item x="14"/>
        <item x="15"/>
        <item x="16"/>
        <item x="58"/>
        <item x="59"/>
        <item x="60"/>
        <item x="61"/>
        <item x="6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59"/>
        <item x="52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6"/>
        <item x="57"/>
        <item x="58"/>
        <item x="60"/>
        <item x="61"/>
        <item x="11"/>
        <item x="12"/>
        <item x="13"/>
        <item x="14"/>
        <item x="15"/>
        <item x="16"/>
        <item x="62"/>
        <item x="63"/>
        <item x="64"/>
        <item x="65"/>
        <item x="6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49"/>
        <item x="5"/>
        <item x="48"/>
        <item x="47"/>
        <item x="1"/>
        <item x="2"/>
        <item x="3"/>
        <item x="4"/>
        <item x="6"/>
        <item x="7"/>
        <item x="8"/>
        <item x="9"/>
        <item x="10"/>
        <item x="0"/>
        <item x="50"/>
        <item x="51"/>
        <item x="52"/>
        <item x="53"/>
        <item x="11"/>
        <item x="12"/>
        <item x="13"/>
        <item x="14"/>
        <item x="15"/>
        <item x="16"/>
        <item x="54"/>
        <item x="55"/>
        <item x="56"/>
        <item x="57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56"/>
        <item x="57"/>
        <item x="52"/>
        <item x="58"/>
        <item x="51"/>
        <item x="1"/>
        <item x="2"/>
        <item x="3"/>
        <item x="4"/>
        <item x="5"/>
        <item x="6"/>
        <item x="7"/>
        <item x="8"/>
        <item x="9"/>
        <item x="10"/>
        <item x="0"/>
        <item x="53"/>
        <item x="54"/>
        <item x="55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53"/>
        <item x="51"/>
        <item x="50"/>
        <item x="1"/>
        <item x="2"/>
        <item x="3"/>
        <item x="4"/>
        <item x="5"/>
        <item x="6"/>
        <item x="7"/>
        <item x="8"/>
        <item x="9"/>
        <item x="10"/>
        <item x="0"/>
        <item x="52"/>
        <item x="54"/>
        <item x="55"/>
        <item x="56"/>
        <item x="57"/>
        <item x="58"/>
        <item x="59"/>
        <item x="11"/>
        <item x="12"/>
        <item x="13"/>
        <item x="14"/>
        <item x="15"/>
        <item x="16"/>
        <item x="60"/>
        <item x="61"/>
        <item x="62"/>
        <item x="63"/>
        <item x="6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9"/>
        <item x="0"/>
        <item x="1"/>
        <item x="5"/>
        <item x="6"/>
        <item x="2"/>
        <item x="3"/>
        <item x="4"/>
        <item x="7"/>
        <item x="8"/>
        <item t="default"/>
      </items>
    </pivotField>
    <pivotField compact="0" showAll="0">
      <items count="102">
        <item x="53"/>
        <item x="52"/>
        <item x="1"/>
        <item x="2"/>
        <item x="0"/>
        <item x="3"/>
        <item x="4"/>
        <item x="5"/>
        <item x="6"/>
        <item x="7"/>
        <item x="8"/>
        <item x="9"/>
        <item x="54"/>
        <item x="55"/>
        <item x="56"/>
        <item x="57"/>
        <item x="58"/>
        <item x="59"/>
        <item x="60"/>
        <item x="61"/>
        <item x="10"/>
        <item x="11"/>
        <item x="12"/>
        <item x="13"/>
        <item x="14"/>
        <item x="15"/>
        <item x="62"/>
        <item x="63"/>
        <item x="64"/>
        <item x="65"/>
        <item x="66"/>
        <item x="6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1">
        <item x="52"/>
        <item x="51"/>
        <item x="1"/>
        <item x="2"/>
        <item x="0"/>
        <item x="3"/>
        <item x="4"/>
        <item x="5"/>
        <item x="6"/>
        <item x="7"/>
        <item x="8"/>
        <item x="9"/>
        <item x="53"/>
        <item x="54"/>
        <item x="55"/>
        <item x="56"/>
        <item x="57"/>
        <item x="58"/>
        <item x="59"/>
        <item x="60"/>
        <item x="10"/>
        <item x="11"/>
        <item x="12"/>
        <item x="13"/>
        <item x="14"/>
        <item x="15"/>
        <item x="61"/>
        <item x="62"/>
        <item x="63"/>
        <item x="64"/>
        <item x="65"/>
        <item x="66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1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8"/>
        <item x="19"/>
        <item x="10"/>
        <item x="20"/>
        <item x="21"/>
        <item x="9"/>
        <item x="11"/>
        <item x="12"/>
        <item x="17"/>
        <item x="22"/>
        <item x="23"/>
        <item x="24"/>
        <item t="default"/>
      </items>
    </pivotField>
    <pivotField compact="0" showAll="0">
      <items count="36">
        <item x="20"/>
        <item x="11"/>
        <item x="8"/>
        <item x="1"/>
        <item x="21"/>
        <item x="19"/>
        <item x="0"/>
        <item x="2"/>
        <item x="3"/>
        <item x="5"/>
        <item x="6"/>
        <item x="7"/>
        <item x="9"/>
        <item x="16"/>
        <item x="22"/>
        <item x="10"/>
        <item x="25"/>
        <item x="26"/>
        <item x="27"/>
        <item x="28"/>
        <item x="12"/>
        <item x="13"/>
        <item x="14"/>
        <item x="15"/>
        <item x="29"/>
        <item x="30"/>
        <item x="4"/>
        <item x="17"/>
        <item x="18"/>
        <item x="23"/>
        <item x="24"/>
        <item x="31"/>
        <item x="32"/>
        <item x="33"/>
        <item x="34"/>
        <item t="default"/>
      </items>
    </pivotField>
    <pivotField compact="0" showAll="0">
      <items count="41">
        <item x="0"/>
        <item x="22"/>
        <item x="21"/>
        <item x="1"/>
        <item x="2"/>
        <item x="3"/>
        <item x="4"/>
        <item x="5"/>
        <item x="6"/>
        <item x="7"/>
        <item x="8"/>
        <item x="9"/>
        <item x="10"/>
        <item x="11"/>
        <item x="23"/>
        <item x="24"/>
        <item x="25"/>
        <item x="27"/>
        <item x="28"/>
        <item x="29"/>
        <item x="30"/>
        <item x="31"/>
        <item x="13"/>
        <item x="12"/>
        <item x="14"/>
        <item x="15"/>
        <item x="16"/>
        <item x="17"/>
        <item x="18"/>
        <item x="19"/>
        <item x="33"/>
        <item x="34"/>
        <item x="20"/>
        <item x="26"/>
        <item x="32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8"/>
        <item x="17"/>
        <item x="8"/>
        <item x="3"/>
        <item x="5"/>
        <item x="7"/>
        <item x="9"/>
        <item x="19"/>
        <item x="21"/>
        <item x="22"/>
        <item x="23"/>
        <item x="24"/>
        <item x="25"/>
        <item x="26"/>
        <item x="1"/>
        <item x="6"/>
        <item x="10"/>
        <item x="11"/>
        <item x="14"/>
        <item x="15"/>
        <item x="28"/>
        <item x="2"/>
        <item x="4"/>
        <item x="12"/>
        <item x="13"/>
        <item x="16"/>
        <item x="20"/>
        <item x="27"/>
        <item x="29"/>
        <item x="30"/>
        <item x="31"/>
        <item x="32"/>
        <item x="33"/>
        <item t="default"/>
      </items>
    </pivotField>
    <pivotField compact="0" showAll="0">
      <items count="37">
        <item x="19"/>
        <item x="18"/>
        <item x="0"/>
        <item x="2"/>
        <item x="4"/>
        <item x="6"/>
        <item x="8"/>
        <item x="9"/>
        <item x="10"/>
        <item x="20"/>
        <item x="22"/>
        <item x="23"/>
        <item x="24"/>
        <item x="25"/>
        <item x="26"/>
        <item x="27"/>
        <item x="1"/>
        <item x="7"/>
        <item x="11"/>
        <item x="12"/>
        <item x="15"/>
        <item x="16"/>
        <item x="29"/>
        <item x="30"/>
        <item x="3"/>
        <item x="5"/>
        <item x="13"/>
        <item x="14"/>
        <item x="17"/>
        <item x="21"/>
        <item x="28"/>
        <item x="31"/>
        <item x="32"/>
        <item x="33"/>
        <item x="34"/>
        <item x="35"/>
        <item t="default"/>
      </items>
    </pivotField>
    <pivotField compact="0" showAll="0">
      <items count="43"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24"/>
        <item x="25"/>
        <item x="27"/>
        <item x="28"/>
        <item x="29"/>
        <item x="30"/>
        <item x="31"/>
        <item x="32"/>
        <item x="33"/>
        <item x="12"/>
        <item x="13"/>
        <item x="14"/>
        <item x="15"/>
        <item x="16"/>
        <item x="18"/>
        <item x="19"/>
        <item x="35"/>
        <item x="36"/>
        <item x="17"/>
        <item x="20"/>
        <item x="21"/>
        <item x="26"/>
        <item x="34"/>
        <item x="37"/>
        <item x="38"/>
        <item x="39"/>
        <item x="40"/>
        <item x="41"/>
        <item t="default"/>
      </items>
    </pivotField>
    <pivotField compact="0" showAll="0">
      <items count="23">
        <item x="11"/>
        <item x="6"/>
        <item x="5"/>
        <item x="2"/>
        <item x="10"/>
        <item x="0"/>
        <item x="3"/>
        <item x="4"/>
        <item x="12"/>
        <item x="13"/>
        <item x="14"/>
        <item x="1"/>
        <item x="15"/>
        <item x="7"/>
        <item x="16"/>
        <item x="8"/>
        <item x="9"/>
        <item x="17"/>
        <item x="18"/>
        <item x="19"/>
        <item x="20"/>
        <item x="21"/>
        <item t="default"/>
      </items>
    </pivotField>
    <pivotField compact="0" showAll="0">
      <items count="35">
        <item x="17"/>
        <item x="0"/>
        <item x="3"/>
        <item x="5"/>
        <item x="7"/>
        <item x="8"/>
        <item x="9"/>
        <item x="18"/>
        <item x="20"/>
        <item x="21"/>
        <item x="22"/>
        <item x="23"/>
        <item x="24"/>
        <item x="25"/>
        <item x="1"/>
        <item x="6"/>
        <item x="10"/>
        <item x="11"/>
        <item x="14"/>
        <item x="15"/>
        <item x="27"/>
        <item x="28"/>
        <item x="2"/>
        <item x="4"/>
        <item x="12"/>
        <item x="13"/>
        <item x="16"/>
        <item x="19"/>
        <item x="26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23"/>
        <item x="22"/>
        <item x="2"/>
        <item x="3"/>
        <item x="5"/>
        <item x="6"/>
        <item x="8"/>
        <item x="9"/>
        <item x="10"/>
        <item x="25"/>
        <item x="28"/>
        <item x="32"/>
        <item x="33"/>
        <item x="1"/>
        <item x="11"/>
        <item x="14"/>
        <item x="15"/>
        <item x="24"/>
        <item x="31"/>
        <item x="34"/>
        <item x="4"/>
        <item x="7"/>
        <item x="12"/>
        <item x="13"/>
        <item x="16"/>
        <item x="17"/>
        <item x="18"/>
        <item x="19"/>
        <item x="20"/>
        <item x="21"/>
        <item x="26"/>
        <item x="27"/>
        <item x="29"/>
        <item x="30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7"/>
        <item x="6"/>
        <item x="4"/>
        <item x="3"/>
        <item x="2"/>
        <item x="1"/>
        <item x="5"/>
        <item x="8"/>
        <item x="9"/>
        <item x="10"/>
        <item x="11"/>
        <item t="default"/>
      </items>
    </pivotField>
    <pivotField compact="0" showAll="0">
      <items count="11">
        <item x="0"/>
        <item x="3"/>
        <item x="2"/>
        <item x="7"/>
        <item x="4"/>
        <item x="1"/>
        <item x="6"/>
        <item x="5"/>
        <item x="8"/>
        <item x="9"/>
        <item t="default"/>
      </items>
    </pivotField>
    <pivotField compact="0" showAll="0">
      <items count="25">
        <item x="13"/>
        <item x="8"/>
        <item x="7"/>
        <item x="12"/>
        <item x="0"/>
        <item x="5"/>
        <item x="2"/>
        <item x="4"/>
        <item x="6"/>
        <item x="14"/>
        <item x="15"/>
        <item x="1"/>
        <item x="16"/>
        <item x="17"/>
        <item x="9"/>
        <item x="18"/>
        <item x="3"/>
        <item x="10"/>
        <item x="11"/>
        <item x="19"/>
        <item x="20"/>
        <item x="21"/>
        <item x="22"/>
        <item x="23"/>
        <item t="default"/>
      </items>
    </pivotField>
    <pivotField compact="0" showAll="0">
      <items count="24">
        <item x="14"/>
        <item x="6"/>
        <item x="13"/>
        <item x="0"/>
        <item x="17"/>
        <item x="3"/>
        <item x="2"/>
        <item x="7"/>
        <item x="8"/>
        <item x="15"/>
        <item x="16"/>
        <item x="11"/>
        <item x="9"/>
        <item x="1"/>
        <item x="5"/>
        <item x="10"/>
        <item x="12"/>
        <item x="4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23"/>
        <item x="22"/>
        <item x="5"/>
        <item x="9"/>
        <item x="10"/>
        <item x="28"/>
        <item x="32"/>
        <item x="33"/>
        <item x="11"/>
        <item x="15"/>
        <item x="34"/>
        <item x="38"/>
        <item x="1"/>
        <item x="2"/>
        <item x="3"/>
        <item x="4"/>
        <item x="6"/>
        <item x="7"/>
        <item x="8"/>
        <item x="12"/>
        <item x="13"/>
        <item x="14"/>
        <item x="16"/>
        <item x="17"/>
        <item x="18"/>
        <item x="19"/>
        <item x="20"/>
        <item x="21"/>
        <item x="24"/>
        <item x="25"/>
        <item x="26"/>
        <item x="27"/>
        <item x="29"/>
        <item x="30"/>
        <item x="31"/>
        <item x="35"/>
        <item x="36"/>
        <item x="37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1"/>
        <item x="1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1">
    <i t="grand">
      <x/>
    </i>
  </rowItems>
  <colFields count="1">
    <field x="4"/>
  </colFields>
  <colItems count="1">
    <i t="grand">
      <x/>
    </i>
  </colItems>
  <dataFields count="1">
    <dataField name="求和项:销量CVR" fld="42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76:D135" firstHeaderRow="1" firstDataRow="2" firstDataCol="1"/>
  <pivotFields count="59">
    <pivotField compact="0" showAll="0">
      <items count="1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dataField="1"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Sessions-Total" fld="3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H76:K135" firstHeaderRow="1" firstDataRow="2" firstDataCol="1"/>
  <pivotFields count="59">
    <pivotField compact="0" showAll="0">
      <items count="118">
        <item x="57"/>
        <item x="0"/>
        <item x="59"/>
        <item x="1"/>
        <item x="60"/>
        <item x="2"/>
        <item x="61"/>
        <item x="3"/>
        <item x="62"/>
        <item x="4"/>
        <item x="63"/>
        <item x="5"/>
        <item x="64"/>
        <item x="6"/>
        <item x="65"/>
        <item x="7"/>
        <item x="66"/>
        <item x="8"/>
        <item x="67"/>
        <item x="9"/>
        <item x="68"/>
        <item x="10"/>
        <item x="69"/>
        <item x="11"/>
        <item x="70"/>
        <item x="12"/>
        <item x="71"/>
        <item x="13"/>
        <item x="72"/>
        <item x="14"/>
        <item x="73"/>
        <item x="15"/>
        <item x="74"/>
        <item x="16"/>
        <item x="75"/>
        <item x="17"/>
        <item x="76"/>
        <item x="18"/>
        <item x="77"/>
        <item x="19"/>
        <item x="78"/>
        <item x="20"/>
        <item x="79"/>
        <item x="21"/>
        <item x="80"/>
        <item x="22"/>
        <item x="81"/>
        <item x="23"/>
        <item x="82"/>
        <item x="24"/>
        <item x="83"/>
        <item x="25"/>
        <item x="84"/>
        <item x="26"/>
        <item x="85"/>
        <item x="27"/>
        <item x="86"/>
        <item x="28"/>
        <item x="87"/>
        <item x="29"/>
        <item x="88"/>
        <item x="30"/>
        <item x="89"/>
        <item x="31"/>
        <item x="90"/>
        <item x="32"/>
        <item x="91"/>
        <item x="33"/>
        <item x="92"/>
        <item x="34"/>
        <item x="93"/>
        <item x="35"/>
        <item x="94"/>
        <item x="36"/>
        <item x="95"/>
        <item x="37"/>
        <item x="96"/>
        <item x="38"/>
        <item x="97"/>
        <item x="39"/>
        <item x="98"/>
        <item x="40"/>
        <item x="99"/>
        <item x="41"/>
        <item x="100"/>
        <item x="42"/>
        <item x="101"/>
        <item x="43"/>
        <item x="102"/>
        <item x="44"/>
        <item x="103"/>
        <item x="45"/>
        <item x="104"/>
        <item x="46"/>
        <item x="105"/>
        <item x="47"/>
        <item x="106"/>
        <item x="48"/>
        <item x="107"/>
        <item x="49"/>
        <item x="108"/>
        <item x="50"/>
        <item x="109"/>
        <item x="51"/>
        <item x="110"/>
        <item x="52"/>
        <item x="111"/>
        <item x="53"/>
        <item x="112"/>
        <item x="54"/>
        <item x="113"/>
        <item x="55"/>
        <item x="114"/>
        <item x="56"/>
        <item x="115"/>
        <item x="58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销量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N76:Q135" firstHeaderRow="1" firstDataRow="2" firstDataCol="1"/>
  <pivotFields count="59">
    <pivotField compact="0" showAll="0">
      <items count="118">
        <item x="57"/>
        <item x="0"/>
        <item x="59"/>
        <item x="1"/>
        <item x="60"/>
        <item x="2"/>
        <item x="61"/>
        <item x="3"/>
        <item x="62"/>
        <item x="4"/>
        <item x="63"/>
        <item x="5"/>
        <item x="64"/>
        <item x="6"/>
        <item x="65"/>
        <item x="7"/>
        <item x="66"/>
        <item x="8"/>
        <item x="67"/>
        <item x="9"/>
        <item x="68"/>
        <item x="10"/>
        <item x="69"/>
        <item x="11"/>
        <item x="70"/>
        <item x="12"/>
        <item x="71"/>
        <item x="13"/>
        <item x="72"/>
        <item x="14"/>
        <item x="73"/>
        <item x="15"/>
        <item x="74"/>
        <item x="16"/>
        <item x="75"/>
        <item x="17"/>
        <item x="76"/>
        <item x="18"/>
        <item x="77"/>
        <item x="19"/>
        <item x="78"/>
        <item x="20"/>
        <item x="79"/>
        <item x="21"/>
        <item x="80"/>
        <item x="22"/>
        <item x="81"/>
        <item x="23"/>
        <item x="82"/>
        <item x="24"/>
        <item x="83"/>
        <item x="25"/>
        <item x="84"/>
        <item x="26"/>
        <item x="85"/>
        <item x="27"/>
        <item x="86"/>
        <item x="28"/>
        <item x="87"/>
        <item x="29"/>
        <item x="88"/>
        <item x="30"/>
        <item x="89"/>
        <item x="31"/>
        <item x="90"/>
        <item x="32"/>
        <item x="91"/>
        <item x="33"/>
        <item x="92"/>
        <item x="34"/>
        <item x="93"/>
        <item x="35"/>
        <item x="94"/>
        <item x="36"/>
        <item x="95"/>
        <item x="37"/>
        <item x="96"/>
        <item x="38"/>
        <item x="97"/>
        <item x="39"/>
        <item x="98"/>
        <item x="40"/>
        <item x="99"/>
        <item x="41"/>
        <item x="100"/>
        <item x="42"/>
        <item x="101"/>
        <item x="43"/>
        <item x="102"/>
        <item x="44"/>
        <item x="103"/>
        <item x="45"/>
        <item x="104"/>
        <item x="46"/>
        <item x="105"/>
        <item x="47"/>
        <item x="106"/>
        <item x="48"/>
        <item x="107"/>
        <item x="49"/>
        <item x="108"/>
        <item x="50"/>
        <item x="109"/>
        <item x="51"/>
        <item x="110"/>
        <item x="52"/>
        <item x="111"/>
        <item x="53"/>
        <item x="112"/>
        <item x="54"/>
        <item x="113"/>
        <item x="55"/>
        <item x="114"/>
        <item x="56"/>
        <item x="115"/>
        <item x="58"/>
        <item x="116"/>
        <item t="default"/>
      </items>
    </pivotField>
    <pivotField axis="axisRow" compact="0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8"/>
        <item x="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5">
        <item h="1" x="2"/>
        <item x="0"/>
        <item x="3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2">
        <item x="6"/>
        <item x="7"/>
        <item x="0"/>
        <item x="1"/>
        <item x="2"/>
        <item x="3"/>
        <item x="4"/>
        <item x="5"/>
        <item x="8"/>
        <item x="9"/>
        <item x="10"/>
        <item t="default"/>
      </items>
    </pivotField>
    <pivotField compact="0" showAll="0">
      <items count="1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0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7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11">
        <item x="5"/>
        <item x="6"/>
        <item x="0"/>
        <item x="1"/>
        <item x="2"/>
        <item x="3"/>
        <item x="4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compact="0" showAll="0">
      <items count="102">
        <item x="50"/>
        <item x="5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compact="0" showAll="0">
      <items count="80">
        <item x="47"/>
        <item x="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8">
        <item x="8"/>
        <item x="9"/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compact="0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compact="0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compact="0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compact="0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102">
        <item x="52"/>
        <item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dataField="1" compact="0" showAll="0">
      <items count="101">
        <item x="51"/>
        <item x="5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36">
        <item x="19"/>
        <item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37"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43">
        <item x="22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showAll="0">
      <items count="2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5"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24">
        <item x="13"/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Fields count="1">
    <field x="4"/>
  </colFields>
  <colItems count="3">
    <i>
      <x v="1"/>
    </i>
    <i>
      <x v="2"/>
    </i>
    <i t="grand">
      <x/>
    </i>
  </colItems>
  <dataFields count="1">
    <dataField name="求和项:销量CVR" fld="42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pane xSplit="1" topLeftCell="B1" activePane="topRight" state="frozen"/>
      <selection/>
      <selection pane="topRight" activeCell="E7" sqref="E7"/>
    </sheetView>
  </sheetViews>
  <sheetFormatPr defaultColWidth="8.1" defaultRowHeight="15" outlineLevelCol="6"/>
  <cols>
    <col min="1" max="1" width="17.6666666666667" style="154" customWidth="1"/>
    <col min="2" max="7" width="32.375" style="154" customWidth="1"/>
    <col min="8" max="19" width="17.6666666666667" style="154" customWidth="1"/>
    <col min="20" max="252" width="8.1" style="154"/>
    <col min="253" max="16384" width="8.1" style="10"/>
  </cols>
  <sheetData>
    <row r="1" s="152" customFormat="1" ht="39" customHeight="1" spans="1:1">
      <c r="A1" s="152" t="s">
        <v>0</v>
      </c>
    </row>
    <row r="2" s="153" customFormat="1" ht="39" customHeight="1" spans="1:6">
      <c r="A2" s="153" t="s">
        <v>1</v>
      </c>
      <c r="B2" s="155"/>
      <c r="C2" s="155"/>
      <c r="D2" s="155"/>
      <c r="E2" s="155"/>
      <c r="F2" s="155"/>
    </row>
    <row r="3" s="152" customFormat="1" ht="25" customHeight="1" spans="1:1">
      <c r="A3" s="152" t="s">
        <v>2</v>
      </c>
    </row>
    <row r="4" s="152" customFormat="1" ht="174" customHeight="1" spans="1:1">
      <c r="A4" s="152" t="s">
        <v>3</v>
      </c>
    </row>
    <row r="5" s="152" customFormat="1" ht="123" customHeight="1" spans="1:1">
      <c r="A5" s="152" t="s">
        <v>4</v>
      </c>
    </row>
    <row r="6" s="152" customFormat="1" ht="43" customHeight="1" spans="1:1">
      <c r="A6" s="152" t="s">
        <v>5</v>
      </c>
    </row>
    <row r="7" s="152" customFormat="1" ht="41" customHeight="1" spans="1:5">
      <c r="A7" s="152" t="s">
        <v>6</v>
      </c>
      <c r="C7" s="156"/>
      <c r="E7" s="156"/>
    </row>
    <row r="8" s="152" customFormat="1" ht="41" customHeight="1" spans="1:6">
      <c r="A8" s="152" t="s">
        <v>7</v>
      </c>
      <c r="F8" s="157"/>
    </row>
    <row r="9" s="152" customFormat="1" ht="25" customHeight="1" spans="1:7">
      <c r="A9" s="152" t="s">
        <v>8</v>
      </c>
      <c r="G9" s="158"/>
    </row>
    <row r="10" s="152" customFormat="1" ht="25" customHeight="1" spans="1:1">
      <c r="A10" s="152" t="s">
        <v>9</v>
      </c>
    </row>
    <row r="11" s="152" customFormat="1" ht="25" customHeight="1" spans="1:1">
      <c r="A11" s="152" t="s">
        <v>10</v>
      </c>
    </row>
    <row r="12" s="152" customFormat="1" ht="211" customHeight="1" spans="1:1">
      <c r="A12" s="152" t="s">
        <v>11</v>
      </c>
    </row>
    <row r="13" s="152" customFormat="1" ht="263" customHeight="1" spans="1:1">
      <c r="A13" s="152" t="s">
        <v>12</v>
      </c>
    </row>
    <row r="14" s="152" customFormat="1" ht="144" customHeight="1" spans="1:1">
      <c r="A14" s="152" t="s">
        <v>13</v>
      </c>
    </row>
    <row r="15" s="152" customFormat="1" ht="147" customHeight="1" spans="1:2">
      <c r="A15" s="152" t="s">
        <v>14</v>
      </c>
      <c r="B15" s="152" t="s">
        <v>15</v>
      </c>
    </row>
  </sheetData>
  <sheetProtection formatCells="0" insertHyperlinks="0" autoFilter="0"/>
  <mergeCells count="1">
    <mergeCell ref="B15:G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9" sqref="$A1:$XFD9"/>
    </sheetView>
  </sheetViews>
  <sheetFormatPr defaultColWidth="9" defaultRowHeight="15"/>
  <cols>
    <col min="1" max="1" width="12.5" style="124" customWidth="1"/>
    <col min="2" max="2" width="15.0833333333333" style="124" customWidth="1"/>
    <col min="3" max="3" width="16.125" style="124" customWidth="1"/>
    <col min="4" max="4" width="12.125" style="124" customWidth="1"/>
    <col min="5" max="5" width="16.425" style="125" customWidth="1"/>
    <col min="6" max="6" width="15.875" style="124" customWidth="1"/>
    <col min="7" max="7" width="13.6083333333333" style="124" customWidth="1"/>
    <col min="8" max="9" width="11.9416666666667" style="124" customWidth="1"/>
    <col min="10" max="10" width="12.0833333333333" style="124" customWidth="1"/>
    <col min="11" max="11" width="12.6416666666667" style="126" customWidth="1"/>
    <col min="12" max="12" width="15.375" style="124" customWidth="1"/>
    <col min="13" max="256" width="9" style="124"/>
  </cols>
  <sheetData>
    <row r="1" ht="34" customHeight="1" spans="1:7">
      <c r="A1" s="127" t="s">
        <v>16</v>
      </c>
      <c r="B1" s="128"/>
      <c r="C1" s="128"/>
      <c r="D1" s="128"/>
      <c r="E1" s="129"/>
      <c r="F1" s="129"/>
      <c r="G1" s="130"/>
    </row>
    <row r="2" ht="34" customHeight="1" spans="1:7">
      <c r="A2" s="131" t="s">
        <v>17</v>
      </c>
      <c r="B2" s="132" t="s">
        <v>18</v>
      </c>
      <c r="C2" s="133" t="s">
        <v>19</v>
      </c>
      <c r="D2" s="132" t="s">
        <v>20</v>
      </c>
      <c r="E2" s="134" t="s">
        <v>21</v>
      </c>
      <c r="F2" s="134" t="s">
        <v>22</v>
      </c>
      <c r="G2" s="135"/>
    </row>
    <row r="3" ht="34" customHeight="1" spans="1:7">
      <c r="A3" s="113" t="s">
        <v>23</v>
      </c>
      <c r="B3" s="136">
        <v>5</v>
      </c>
      <c r="C3" s="136">
        <v>1</v>
      </c>
      <c r="D3" s="136">
        <v>20</v>
      </c>
      <c r="E3" s="137">
        <f>C3*1500/D3</f>
        <v>75</v>
      </c>
      <c r="F3" s="137">
        <v>20</v>
      </c>
      <c r="G3" s="135"/>
    </row>
    <row r="4" ht="34" customHeight="1" spans="1:7">
      <c r="A4" s="113" t="s">
        <v>24</v>
      </c>
      <c r="B4" s="136">
        <v>5</v>
      </c>
      <c r="C4" s="136">
        <v>1</v>
      </c>
      <c r="D4" s="136">
        <v>20</v>
      </c>
      <c r="E4" s="137">
        <f>C4*1500/D4</f>
        <v>75</v>
      </c>
      <c r="F4" s="137">
        <v>20</v>
      </c>
      <c r="G4" s="137"/>
    </row>
    <row r="6" s="121" customFormat="1" ht="49.55" customHeight="1" spans="1:11">
      <c r="A6" s="138" t="s">
        <v>25</v>
      </c>
      <c r="B6" s="138"/>
      <c r="C6" s="138"/>
      <c r="D6" s="138"/>
      <c r="E6" s="139" t="s">
        <v>26</v>
      </c>
      <c r="F6" s="140"/>
      <c r="G6" s="140"/>
      <c r="H6" s="140"/>
      <c r="I6" s="140"/>
      <c r="J6" s="140"/>
      <c r="K6" s="149"/>
    </row>
    <row r="7" s="122" customFormat="1" ht="42" customHeight="1" spans="1:11">
      <c r="A7" s="141" t="s">
        <v>27</v>
      </c>
      <c r="B7" s="141" t="s">
        <v>3</v>
      </c>
      <c r="C7" s="141" t="s">
        <v>28</v>
      </c>
      <c r="D7" s="141" t="s">
        <v>29</v>
      </c>
      <c r="E7" s="142" t="s">
        <v>5</v>
      </c>
      <c r="F7" s="143" t="s">
        <v>30</v>
      </c>
      <c r="G7" s="143" t="s">
        <v>7</v>
      </c>
      <c r="H7" s="143" t="s">
        <v>21</v>
      </c>
      <c r="I7" s="143" t="s">
        <v>31</v>
      </c>
      <c r="J7" s="143" t="s">
        <v>32</v>
      </c>
      <c r="K7" s="150" t="s">
        <v>33</v>
      </c>
    </row>
    <row r="8" s="123" customFormat="1" ht="66" customHeight="1" spans="1:11">
      <c r="A8" s="144"/>
      <c r="B8" s="145"/>
      <c r="C8" s="113" t="s">
        <v>34</v>
      </c>
      <c r="D8" s="113" t="s">
        <v>23</v>
      </c>
      <c r="E8" s="146">
        <v>25</v>
      </c>
      <c r="F8" s="147">
        <f>E8*0.15</f>
        <v>3.75</v>
      </c>
      <c r="G8" s="147">
        <v>4.75</v>
      </c>
      <c r="H8" s="147">
        <f>E3/6.5</f>
        <v>11.5384615384615</v>
      </c>
      <c r="I8" s="147">
        <f>F3/6.5</f>
        <v>3.07692307692308</v>
      </c>
      <c r="J8" s="147">
        <f>E8-F8-G8-H8-I8</f>
        <v>1.88461538461538</v>
      </c>
      <c r="K8" s="151">
        <f>J8/E8</f>
        <v>0.0753846153846154</v>
      </c>
    </row>
    <row r="9" s="123" customFormat="1" ht="66" customHeight="1" spans="1:11">
      <c r="A9" s="144"/>
      <c r="B9" s="148"/>
      <c r="C9" s="113" t="s">
        <v>34</v>
      </c>
      <c r="D9" s="113" t="s">
        <v>24</v>
      </c>
      <c r="E9" s="146">
        <v>25</v>
      </c>
      <c r="F9" s="147">
        <f>E9*0.15</f>
        <v>3.75</v>
      </c>
      <c r="G9" s="147">
        <v>4.75</v>
      </c>
      <c r="H9" s="147">
        <f>E4/6.5</f>
        <v>11.5384615384615</v>
      </c>
      <c r="I9" s="147">
        <f>F4/6.5</f>
        <v>3.07692307692308</v>
      </c>
      <c r="J9" s="147">
        <f>E9-F9-G9-H9-I9</f>
        <v>1.88461538461538</v>
      </c>
      <c r="K9" s="151">
        <f>J9/E9</f>
        <v>0.0753846153846154</v>
      </c>
    </row>
  </sheetData>
  <sheetProtection formatCells="0" insertHyperlinks="0" autoFilter="0"/>
  <mergeCells count="3">
    <mergeCell ref="A1:G1"/>
    <mergeCell ref="A6:D6"/>
    <mergeCell ref="E6:K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7"/>
  <sheetViews>
    <sheetView zoomScale="175" zoomScaleNormal="175" workbookViewId="0">
      <pane ySplit="4" topLeftCell="A5" activePane="bottomLeft" state="frozen"/>
      <selection/>
      <selection pane="bottomLeft" activeCell="W34" sqref="W34"/>
    </sheetView>
  </sheetViews>
  <sheetFormatPr defaultColWidth="9" defaultRowHeight="14.5"/>
  <cols>
    <col min="1" max="1" width="14.5" style="88" customWidth="1"/>
    <col min="2" max="2" width="16" style="88" customWidth="1"/>
    <col min="3" max="5" width="13.5" style="88" customWidth="1"/>
    <col min="6" max="6" width="13.5" style="89" customWidth="1"/>
    <col min="7" max="7" width="13.5" style="90" customWidth="1"/>
    <col min="8" max="8" width="13.5" style="91" customWidth="1"/>
    <col min="9" max="9" width="13.5" style="92" customWidth="1"/>
    <col min="10" max="11" width="13.5" style="91" customWidth="1"/>
    <col min="12" max="16384" width="9" style="87"/>
  </cols>
  <sheetData>
    <row r="1" s="87" customFormat="1" ht="31" customHeight="1" spans="1:11">
      <c r="A1" s="93" t="s">
        <v>3</v>
      </c>
      <c r="B1" s="94" t="s">
        <v>17</v>
      </c>
      <c r="C1" s="95"/>
      <c r="D1" s="95"/>
      <c r="E1" s="95"/>
      <c r="F1" s="96"/>
      <c r="G1" s="95"/>
      <c r="H1" s="97" t="s">
        <v>35</v>
      </c>
      <c r="I1" s="114">
        <v>0.05</v>
      </c>
      <c r="J1" s="97">
        <v>25</v>
      </c>
      <c r="K1" s="115">
        <f>J1*('1.2 产品定价'!I8+'1.2 产品定价'!H8+'1.2 产品定价'!G8*0.15)</f>
        <v>383.197115384615</v>
      </c>
    </row>
    <row r="2" s="87" customFormat="1" ht="31" customHeight="1" spans="1:11">
      <c r="A2" s="98"/>
      <c r="B2" s="99" t="s">
        <v>23</v>
      </c>
      <c r="C2" s="100"/>
      <c r="D2" s="100"/>
      <c r="E2" s="100"/>
      <c r="F2" s="101"/>
      <c r="G2" s="100"/>
      <c r="H2" s="102" t="s">
        <v>36</v>
      </c>
      <c r="I2" s="106">
        <v>30</v>
      </c>
      <c r="J2" s="106" t="s">
        <v>37</v>
      </c>
      <c r="K2" s="116">
        <v>900</v>
      </c>
    </row>
    <row r="3" s="87" customFormat="1" ht="31" customHeight="1" spans="1:11">
      <c r="A3" s="103"/>
      <c r="B3" s="104">
        <v>1000</v>
      </c>
      <c r="C3" s="104"/>
      <c r="D3" s="104"/>
      <c r="E3" s="104"/>
      <c r="F3" s="105"/>
      <c r="G3" s="104"/>
      <c r="H3" s="106" t="s">
        <v>38</v>
      </c>
      <c r="I3" s="106" t="s">
        <v>37</v>
      </c>
      <c r="J3" s="106" t="s">
        <v>39</v>
      </c>
      <c r="K3" s="116">
        <f>(1000/'1.2 产品定价'!D4*'1.2 产品定价'!C4)*35*0.83</f>
        <v>1452.5</v>
      </c>
    </row>
    <row r="4" s="87" customFormat="1" ht="38" customHeight="1" spans="1:11">
      <c r="A4" s="107" t="s">
        <v>40</v>
      </c>
      <c r="B4" s="108" t="s">
        <v>41</v>
      </c>
      <c r="C4" s="108" t="s">
        <v>42</v>
      </c>
      <c r="D4" s="108" t="s">
        <v>43</v>
      </c>
      <c r="E4" s="108" t="s">
        <v>44</v>
      </c>
      <c r="F4" s="109" t="s">
        <v>45</v>
      </c>
      <c r="G4" s="108" t="s">
        <v>46</v>
      </c>
      <c r="H4" s="108" t="s">
        <v>47</v>
      </c>
      <c r="I4" s="108" t="s">
        <v>48</v>
      </c>
      <c r="J4" s="108" t="s">
        <v>49</v>
      </c>
      <c r="K4" s="108" t="s">
        <v>50</v>
      </c>
    </row>
    <row r="5" s="87" customFormat="1" ht="18" customHeight="1" spans="1:11">
      <c r="A5" s="108" t="s">
        <v>51</v>
      </c>
      <c r="B5" s="108">
        <v>1</v>
      </c>
      <c r="C5" s="108">
        <f>B3-B5</f>
        <v>999</v>
      </c>
      <c r="D5" s="110">
        <v>2</v>
      </c>
      <c r="E5" s="110">
        <f>B3-D5</f>
        <v>998</v>
      </c>
      <c r="F5" s="109">
        <v>13.99</v>
      </c>
      <c r="G5" s="111">
        <v>3.528</v>
      </c>
      <c r="H5" s="112">
        <f>G5*D5</f>
        <v>7.056</v>
      </c>
      <c r="I5" s="91">
        <v>20.95</v>
      </c>
      <c r="J5" s="117">
        <f>D5/B5</f>
        <v>2</v>
      </c>
      <c r="K5" s="118">
        <f>H5-I5</f>
        <v>-13.894</v>
      </c>
    </row>
    <row r="6" s="87" customFormat="1" ht="18" customHeight="1" spans="1:11">
      <c r="A6" s="108" t="s">
        <v>52</v>
      </c>
      <c r="B6" s="108">
        <v>1</v>
      </c>
      <c r="C6" s="108">
        <f>C5-B6</f>
        <v>998</v>
      </c>
      <c r="D6" s="110">
        <v>1</v>
      </c>
      <c r="E6" s="110">
        <f>E5-D6</f>
        <v>997</v>
      </c>
      <c r="F6" s="109">
        <v>13.99</v>
      </c>
      <c r="G6" s="111">
        <v>3.528</v>
      </c>
      <c r="H6" s="112">
        <f t="shared" ref="H6:H12" si="0">G6*D6</f>
        <v>3.528</v>
      </c>
      <c r="I6" s="91">
        <v>18.32</v>
      </c>
      <c r="J6" s="117">
        <f t="shared" ref="J6:J12" si="1">D6/B6</f>
        <v>1</v>
      </c>
      <c r="K6" s="118">
        <f t="shared" ref="K6:K12" si="2">H6-I6</f>
        <v>-14.792</v>
      </c>
    </row>
    <row r="7" s="87" customFormat="1" ht="18" customHeight="1" spans="1:11">
      <c r="A7" s="108" t="s">
        <v>53</v>
      </c>
      <c r="B7" s="108">
        <v>1</v>
      </c>
      <c r="C7" s="108">
        <f t="shared" ref="C7:C38" si="3">C6-B7</f>
        <v>997</v>
      </c>
      <c r="D7" s="110">
        <v>0</v>
      </c>
      <c r="E7" s="110">
        <f t="shared" ref="E7:E49" si="4">E6-D7</f>
        <v>997</v>
      </c>
      <c r="F7" s="109">
        <v>13.99</v>
      </c>
      <c r="G7" s="111">
        <v>3.528</v>
      </c>
      <c r="H7" s="112">
        <f t="shared" si="0"/>
        <v>0</v>
      </c>
      <c r="I7" s="91">
        <v>4.72</v>
      </c>
      <c r="J7" s="117">
        <f t="shared" si="1"/>
        <v>0</v>
      </c>
      <c r="K7" s="118">
        <f t="shared" si="2"/>
        <v>-4.72</v>
      </c>
    </row>
    <row r="8" s="87" customFormat="1" spans="1:11">
      <c r="A8" s="88" t="s">
        <v>54</v>
      </c>
      <c r="B8" s="113">
        <v>1</v>
      </c>
      <c r="C8" s="108">
        <f t="shared" si="3"/>
        <v>996</v>
      </c>
      <c r="D8" s="90">
        <v>1</v>
      </c>
      <c r="E8" s="110">
        <f t="shared" si="4"/>
        <v>996</v>
      </c>
      <c r="F8" s="109">
        <v>13.99</v>
      </c>
      <c r="G8" s="111">
        <v>3.528</v>
      </c>
      <c r="H8" s="112">
        <f t="shared" si="0"/>
        <v>3.528</v>
      </c>
      <c r="I8" s="91">
        <v>20.26</v>
      </c>
      <c r="J8" s="117">
        <f t="shared" si="1"/>
        <v>1</v>
      </c>
      <c r="K8" s="118">
        <f t="shared" si="2"/>
        <v>-16.732</v>
      </c>
    </row>
    <row r="9" s="87" customFormat="1" spans="1:11">
      <c r="A9" s="88" t="s">
        <v>55</v>
      </c>
      <c r="B9" s="113">
        <v>1</v>
      </c>
      <c r="C9" s="108">
        <f t="shared" si="3"/>
        <v>995</v>
      </c>
      <c r="D9" s="90">
        <v>3</v>
      </c>
      <c r="E9" s="110">
        <f t="shared" si="4"/>
        <v>993</v>
      </c>
      <c r="F9" s="109">
        <v>13.99</v>
      </c>
      <c r="G9" s="111">
        <v>3.528</v>
      </c>
      <c r="H9" s="112">
        <f t="shared" si="0"/>
        <v>10.584</v>
      </c>
      <c r="I9" s="91">
        <v>26</v>
      </c>
      <c r="J9" s="117">
        <f t="shared" si="1"/>
        <v>3</v>
      </c>
      <c r="K9" s="118">
        <f t="shared" si="2"/>
        <v>-15.416</v>
      </c>
    </row>
    <row r="10" s="87" customFormat="1" spans="1:11">
      <c r="A10" s="88" t="s">
        <v>56</v>
      </c>
      <c r="B10" s="113">
        <v>1</v>
      </c>
      <c r="C10" s="108">
        <f t="shared" si="3"/>
        <v>994</v>
      </c>
      <c r="D10" s="90">
        <v>3</v>
      </c>
      <c r="E10" s="110">
        <f t="shared" si="4"/>
        <v>990</v>
      </c>
      <c r="F10" s="109">
        <v>13.99</v>
      </c>
      <c r="G10" s="111">
        <v>3.528</v>
      </c>
      <c r="H10" s="112">
        <f t="shared" si="0"/>
        <v>10.584</v>
      </c>
      <c r="I10" s="91">
        <v>23.48</v>
      </c>
      <c r="J10" s="117">
        <f t="shared" si="1"/>
        <v>3</v>
      </c>
      <c r="K10" s="118">
        <f t="shared" si="2"/>
        <v>-12.896</v>
      </c>
    </row>
    <row r="11" s="87" customFormat="1" spans="1:11">
      <c r="A11" s="88" t="s">
        <v>57</v>
      </c>
      <c r="B11" s="113">
        <v>1</v>
      </c>
      <c r="C11" s="108">
        <f t="shared" si="3"/>
        <v>993</v>
      </c>
      <c r="D11" s="90">
        <v>9</v>
      </c>
      <c r="E11" s="110">
        <f t="shared" si="4"/>
        <v>981</v>
      </c>
      <c r="F11" s="109">
        <v>13.99</v>
      </c>
      <c r="G11" s="111">
        <v>3.528</v>
      </c>
      <c r="H11" s="112">
        <f t="shared" si="0"/>
        <v>31.752</v>
      </c>
      <c r="I11" s="91">
        <v>20.61</v>
      </c>
      <c r="J11" s="117">
        <f t="shared" si="1"/>
        <v>9</v>
      </c>
      <c r="K11" s="118">
        <f t="shared" si="2"/>
        <v>11.142</v>
      </c>
    </row>
    <row r="12" s="87" customFormat="1" spans="1:11">
      <c r="A12" s="88" t="s">
        <v>58</v>
      </c>
      <c r="B12" s="113">
        <v>1</v>
      </c>
      <c r="C12" s="108">
        <f t="shared" si="3"/>
        <v>992</v>
      </c>
      <c r="D12" s="90">
        <v>5</v>
      </c>
      <c r="E12" s="110">
        <f t="shared" si="4"/>
        <v>976</v>
      </c>
      <c r="F12" s="109">
        <v>13.99</v>
      </c>
      <c r="G12" s="111">
        <v>3.528</v>
      </c>
      <c r="H12" s="112">
        <f t="shared" si="0"/>
        <v>17.64</v>
      </c>
      <c r="I12" s="91">
        <v>19.58</v>
      </c>
      <c r="J12" s="117">
        <f t="shared" ref="J12:J49" si="5">D12/B12</f>
        <v>5</v>
      </c>
      <c r="K12" s="118">
        <f t="shared" si="2"/>
        <v>-1.94</v>
      </c>
    </row>
    <row r="13" s="87" customFormat="1" spans="1:11">
      <c r="A13" s="88" t="s">
        <v>59</v>
      </c>
      <c r="B13" s="113">
        <v>2</v>
      </c>
      <c r="C13" s="108">
        <f t="shared" si="3"/>
        <v>990</v>
      </c>
      <c r="D13" s="90">
        <v>9</v>
      </c>
      <c r="E13" s="110">
        <f t="shared" si="4"/>
        <v>967</v>
      </c>
      <c r="F13" s="109">
        <v>13.99</v>
      </c>
      <c r="G13" s="111">
        <v>3.528</v>
      </c>
      <c r="H13" s="112">
        <f t="shared" ref="H13:H49" si="6">G13*D13</f>
        <v>31.752</v>
      </c>
      <c r="I13" s="91">
        <v>20.38</v>
      </c>
      <c r="J13" s="117">
        <f t="shared" si="5"/>
        <v>4.5</v>
      </c>
      <c r="K13" s="118">
        <f t="shared" ref="K13:K49" si="7">H13-I13</f>
        <v>11.372</v>
      </c>
    </row>
    <row r="14" s="87" customFormat="1" spans="1:11">
      <c r="A14" s="88" t="s">
        <v>60</v>
      </c>
      <c r="B14" s="113">
        <v>5</v>
      </c>
      <c r="C14" s="108">
        <f t="shared" si="3"/>
        <v>985</v>
      </c>
      <c r="D14" s="90">
        <v>4</v>
      </c>
      <c r="E14" s="110">
        <f t="shared" si="4"/>
        <v>963</v>
      </c>
      <c r="F14" s="109">
        <v>13.99</v>
      </c>
      <c r="G14" s="111">
        <v>3.528</v>
      </c>
      <c r="H14" s="112">
        <f t="shared" si="6"/>
        <v>14.112</v>
      </c>
      <c r="I14" s="91">
        <v>20.3</v>
      </c>
      <c r="J14" s="117">
        <f t="shared" si="5"/>
        <v>0.8</v>
      </c>
      <c r="K14" s="118">
        <f t="shared" si="7"/>
        <v>-6.188</v>
      </c>
    </row>
    <row r="15" s="87" customFormat="1" spans="1:11">
      <c r="A15" s="88" t="s">
        <v>61</v>
      </c>
      <c r="B15" s="113">
        <v>5</v>
      </c>
      <c r="C15" s="108">
        <f t="shared" si="3"/>
        <v>980</v>
      </c>
      <c r="D15" s="90">
        <v>9</v>
      </c>
      <c r="E15" s="110">
        <f t="shared" si="4"/>
        <v>954</v>
      </c>
      <c r="F15" s="109">
        <v>13.99</v>
      </c>
      <c r="G15" s="111">
        <v>3.528</v>
      </c>
      <c r="H15" s="112">
        <f t="shared" si="6"/>
        <v>31.752</v>
      </c>
      <c r="I15" s="91">
        <v>20.22</v>
      </c>
      <c r="J15" s="117">
        <f t="shared" si="5"/>
        <v>1.8</v>
      </c>
      <c r="K15" s="118">
        <f t="shared" si="7"/>
        <v>11.532</v>
      </c>
    </row>
    <row r="16" s="87" customFormat="1" spans="1:11">
      <c r="A16" s="88" t="s">
        <v>62</v>
      </c>
      <c r="B16" s="113">
        <v>5</v>
      </c>
      <c r="C16" s="108">
        <f t="shared" si="3"/>
        <v>975</v>
      </c>
      <c r="D16" s="90">
        <v>9</v>
      </c>
      <c r="E16" s="110">
        <f t="shared" si="4"/>
        <v>945</v>
      </c>
      <c r="F16" s="109">
        <v>13.99</v>
      </c>
      <c r="G16" s="111">
        <v>3.528</v>
      </c>
      <c r="H16" s="112">
        <f t="shared" si="6"/>
        <v>31.752</v>
      </c>
      <c r="I16" s="91">
        <v>19.49</v>
      </c>
      <c r="J16" s="117">
        <f t="shared" si="5"/>
        <v>1.8</v>
      </c>
      <c r="K16" s="118">
        <f t="shared" si="7"/>
        <v>12.262</v>
      </c>
    </row>
    <row r="17" s="87" customFormat="1" spans="1:11">
      <c r="A17" s="88" t="s">
        <v>63</v>
      </c>
      <c r="B17" s="113">
        <v>5</v>
      </c>
      <c r="C17" s="108">
        <f t="shared" si="3"/>
        <v>970</v>
      </c>
      <c r="D17" s="90">
        <v>8</v>
      </c>
      <c r="E17" s="110">
        <f t="shared" si="4"/>
        <v>937</v>
      </c>
      <c r="F17" s="109">
        <v>13.99</v>
      </c>
      <c r="G17" s="111">
        <v>3.528</v>
      </c>
      <c r="H17" s="112">
        <f t="shared" si="6"/>
        <v>28.224</v>
      </c>
      <c r="I17" s="91">
        <v>19.53</v>
      </c>
      <c r="J17" s="117">
        <f t="shared" si="5"/>
        <v>1.6</v>
      </c>
      <c r="K17" s="118">
        <f t="shared" si="7"/>
        <v>8.694</v>
      </c>
    </row>
    <row r="18" s="87" customFormat="1" spans="1:11">
      <c r="A18" s="88" t="s">
        <v>64</v>
      </c>
      <c r="B18" s="113">
        <v>5</v>
      </c>
      <c r="C18" s="108">
        <f t="shared" si="3"/>
        <v>965</v>
      </c>
      <c r="D18" s="90">
        <v>23</v>
      </c>
      <c r="E18" s="110">
        <f t="shared" si="4"/>
        <v>914</v>
      </c>
      <c r="F18" s="109">
        <v>13.99</v>
      </c>
      <c r="G18" s="111">
        <v>3.528</v>
      </c>
      <c r="H18" s="112">
        <f t="shared" si="6"/>
        <v>81.144</v>
      </c>
      <c r="I18" s="91">
        <v>18.89</v>
      </c>
      <c r="J18" s="117">
        <f t="shared" si="5"/>
        <v>4.6</v>
      </c>
      <c r="K18" s="118">
        <f t="shared" si="7"/>
        <v>62.254</v>
      </c>
    </row>
    <row r="19" s="87" customFormat="1" spans="1:11">
      <c r="A19" s="88" t="s">
        <v>65</v>
      </c>
      <c r="B19" s="113">
        <v>5</v>
      </c>
      <c r="C19" s="108">
        <f t="shared" si="3"/>
        <v>960</v>
      </c>
      <c r="D19" s="90">
        <v>17</v>
      </c>
      <c r="E19" s="110">
        <f t="shared" si="4"/>
        <v>897</v>
      </c>
      <c r="F19" s="109">
        <v>13.99</v>
      </c>
      <c r="G19" s="111">
        <v>3.528</v>
      </c>
      <c r="H19" s="112">
        <f t="shared" si="6"/>
        <v>59.976</v>
      </c>
      <c r="I19" s="91">
        <v>20.37</v>
      </c>
      <c r="J19" s="117">
        <f t="shared" si="5"/>
        <v>3.4</v>
      </c>
      <c r="K19" s="118">
        <f t="shared" si="7"/>
        <v>39.606</v>
      </c>
    </row>
    <row r="20" s="87" customFormat="1" spans="1:11">
      <c r="A20" s="88" t="s">
        <v>66</v>
      </c>
      <c r="B20" s="113">
        <v>5</v>
      </c>
      <c r="C20" s="108">
        <f t="shared" si="3"/>
        <v>955</v>
      </c>
      <c r="D20" s="90">
        <v>11</v>
      </c>
      <c r="E20" s="110">
        <f t="shared" si="4"/>
        <v>886</v>
      </c>
      <c r="F20" s="109">
        <v>13.99</v>
      </c>
      <c r="G20" s="111">
        <v>3.528</v>
      </c>
      <c r="H20" s="112">
        <f t="shared" si="6"/>
        <v>38.808</v>
      </c>
      <c r="I20" s="91">
        <v>22.15</v>
      </c>
      <c r="J20" s="117">
        <f t="shared" si="5"/>
        <v>2.2</v>
      </c>
      <c r="K20" s="118">
        <f t="shared" si="7"/>
        <v>16.658</v>
      </c>
    </row>
    <row r="21" s="87" customFormat="1" spans="1:11">
      <c r="A21" s="88" t="s">
        <v>67</v>
      </c>
      <c r="B21" s="113">
        <v>5</v>
      </c>
      <c r="C21" s="108">
        <f t="shared" si="3"/>
        <v>950</v>
      </c>
      <c r="D21" s="90">
        <v>12</v>
      </c>
      <c r="E21" s="110">
        <f t="shared" si="4"/>
        <v>874</v>
      </c>
      <c r="F21" s="109">
        <v>13.99</v>
      </c>
      <c r="G21" s="111">
        <v>3.528</v>
      </c>
      <c r="H21" s="112">
        <f t="shared" si="6"/>
        <v>42.336</v>
      </c>
      <c r="I21" s="91">
        <v>20.65</v>
      </c>
      <c r="J21" s="117">
        <f t="shared" si="5"/>
        <v>2.4</v>
      </c>
      <c r="K21" s="118">
        <f t="shared" si="7"/>
        <v>21.686</v>
      </c>
    </row>
    <row r="22" s="87" customFormat="1" spans="1:11">
      <c r="A22" s="88" t="s">
        <v>68</v>
      </c>
      <c r="B22" s="113">
        <v>5</v>
      </c>
      <c r="C22" s="108">
        <f t="shared" si="3"/>
        <v>945</v>
      </c>
      <c r="D22" s="90">
        <v>9</v>
      </c>
      <c r="E22" s="110">
        <f t="shared" si="4"/>
        <v>865</v>
      </c>
      <c r="F22" s="109">
        <v>13.99</v>
      </c>
      <c r="G22" s="111">
        <v>3.528</v>
      </c>
      <c r="H22" s="112">
        <f t="shared" si="6"/>
        <v>31.752</v>
      </c>
      <c r="I22" s="91">
        <v>19.25</v>
      </c>
      <c r="J22" s="117">
        <f t="shared" si="5"/>
        <v>1.8</v>
      </c>
      <c r="K22" s="118">
        <f t="shared" si="7"/>
        <v>12.502</v>
      </c>
    </row>
    <row r="23" s="87" customFormat="1" spans="1:11">
      <c r="A23" s="88" t="s">
        <v>69</v>
      </c>
      <c r="B23" s="113">
        <v>5</v>
      </c>
      <c r="C23" s="108">
        <f t="shared" si="3"/>
        <v>940</v>
      </c>
      <c r="D23" s="90">
        <v>11</v>
      </c>
      <c r="E23" s="110">
        <f t="shared" si="4"/>
        <v>854</v>
      </c>
      <c r="F23" s="109">
        <v>13.99</v>
      </c>
      <c r="G23" s="111">
        <v>3.528</v>
      </c>
      <c r="H23" s="112">
        <f t="shared" si="6"/>
        <v>38.808</v>
      </c>
      <c r="I23" s="91">
        <v>19.79</v>
      </c>
      <c r="J23" s="117">
        <f t="shared" si="5"/>
        <v>2.2</v>
      </c>
      <c r="K23" s="118">
        <f t="shared" si="7"/>
        <v>19.018</v>
      </c>
    </row>
    <row r="24" s="87" customFormat="1" spans="1:11">
      <c r="A24" s="88" t="s">
        <v>70</v>
      </c>
      <c r="B24" s="113">
        <v>10</v>
      </c>
      <c r="C24" s="108">
        <f t="shared" si="3"/>
        <v>930</v>
      </c>
      <c r="D24" s="90">
        <v>14</v>
      </c>
      <c r="E24" s="110">
        <f t="shared" si="4"/>
        <v>840</v>
      </c>
      <c r="F24" s="109">
        <v>13.99</v>
      </c>
      <c r="G24" s="111">
        <v>3.528</v>
      </c>
      <c r="H24" s="112">
        <f t="shared" si="6"/>
        <v>49.392</v>
      </c>
      <c r="I24" s="91">
        <v>20.18</v>
      </c>
      <c r="J24" s="117">
        <f t="shared" si="5"/>
        <v>1.4</v>
      </c>
      <c r="K24" s="118">
        <f t="shared" si="7"/>
        <v>29.212</v>
      </c>
    </row>
    <row r="25" s="87" customFormat="1" spans="1:11">
      <c r="A25" s="88" t="s">
        <v>71</v>
      </c>
      <c r="B25" s="113">
        <v>10</v>
      </c>
      <c r="C25" s="108">
        <f t="shared" si="3"/>
        <v>920</v>
      </c>
      <c r="D25" s="90">
        <v>18</v>
      </c>
      <c r="E25" s="110">
        <f t="shared" si="4"/>
        <v>822</v>
      </c>
      <c r="F25" s="109">
        <v>13.99</v>
      </c>
      <c r="G25" s="111">
        <v>3.528</v>
      </c>
      <c r="H25" s="112">
        <f t="shared" si="6"/>
        <v>63.504</v>
      </c>
      <c r="I25" s="91">
        <v>19.49</v>
      </c>
      <c r="J25" s="117">
        <f t="shared" si="5"/>
        <v>1.8</v>
      </c>
      <c r="K25" s="118">
        <f t="shared" si="7"/>
        <v>44.014</v>
      </c>
    </row>
    <row r="26" spans="1:11">
      <c r="A26" s="88" t="s">
        <v>72</v>
      </c>
      <c r="B26" s="113">
        <v>10</v>
      </c>
      <c r="C26" s="108">
        <f t="shared" si="3"/>
        <v>910</v>
      </c>
      <c r="D26" s="90">
        <v>19</v>
      </c>
      <c r="E26" s="110">
        <f t="shared" si="4"/>
        <v>803</v>
      </c>
      <c r="F26" s="109">
        <v>13.99</v>
      </c>
      <c r="G26" s="111">
        <v>3.528</v>
      </c>
      <c r="H26" s="112">
        <f t="shared" si="6"/>
        <v>67.032</v>
      </c>
      <c r="I26" s="91">
        <v>0</v>
      </c>
      <c r="J26" s="117">
        <f t="shared" si="5"/>
        <v>1.9</v>
      </c>
      <c r="K26" s="118">
        <f t="shared" si="7"/>
        <v>67.032</v>
      </c>
    </row>
    <row r="27" spans="1:11">
      <c r="A27" s="88" t="s">
        <v>73</v>
      </c>
      <c r="B27" s="113">
        <v>10</v>
      </c>
      <c r="C27" s="108">
        <f t="shared" si="3"/>
        <v>900</v>
      </c>
      <c r="D27" s="90">
        <v>21</v>
      </c>
      <c r="E27" s="110">
        <f t="shared" si="4"/>
        <v>782</v>
      </c>
      <c r="F27" s="109">
        <v>13.99</v>
      </c>
      <c r="G27" s="111">
        <v>3.528</v>
      </c>
      <c r="H27" s="112">
        <f t="shared" si="6"/>
        <v>74.088</v>
      </c>
      <c r="I27" s="91">
        <v>0</v>
      </c>
      <c r="J27" s="117">
        <f t="shared" si="5"/>
        <v>2.1</v>
      </c>
      <c r="K27" s="118">
        <f t="shared" si="7"/>
        <v>74.088</v>
      </c>
    </row>
    <row r="28" spans="1:11">
      <c r="A28" s="88" t="s">
        <v>74</v>
      </c>
      <c r="B28" s="113">
        <v>10</v>
      </c>
      <c r="C28" s="108">
        <f t="shared" si="3"/>
        <v>890</v>
      </c>
      <c r="D28" s="90">
        <v>22</v>
      </c>
      <c r="E28" s="110">
        <f t="shared" si="4"/>
        <v>760</v>
      </c>
      <c r="F28" s="109">
        <v>13.99</v>
      </c>
      <c r="G28" s="111">
        <v>3.528</v>
      </c>
      <c r="H28" s="112">
        <f t="shared" si="6"/>
        <v>77.616</v>
      </c>
      <c r="I28" s="91">
        <v>0</v>
      </c>
      <c r="J28" s="117">
        <f t="shared" si="5"/>
        <v>2.2</v>
      </c>
      <c r="K28" s="118">
        <f t="shared" si="7"/>
        <v>77.616</v>
      </c>
    </row>
    <row r="29" spans="1:11">
      <c r="A29" s="88" t="s">
        <v>75</v>
      </c>
      <c r="B29" s="113">
        <v>15</v>
      </c>
      <c r="C29" s="108">
        <f t="shared" si="3"/>
        <v>875</v>
      </c>
      <c r="D29" s="90">
        <v>29</v>
      </c>
      <c r="E29" s="110">
        <f t="shared" si="4"/>
        <v>731</v>
      </c>
      <c r="F29" s="91">
        <v>15.99</v>
      </c>
      <c r="G29" s="112">
        <v>5.228</v>
      </c>
      <c r="H29" s="112">
        <f t="shared" si="6"/>
        <v>151.612</v>
      </c>
      <c r="I29" s="91">
        <v>0</v>
      </c>
      <c r="J29" s="117">
        <f t="shared" si="5"/>
        <v>1.93333333333333</v>
      </c>
      <c r="K29" s="118">
        <f t="shared" si="7"/>
        <v>151.612</v>
      </c>
    </row>
    <row r="30" spans="1:11">
      <c r="A30" s="88" t="s">
        <v>76</v>
      </c>
      <c r="B30" s="113">
        <v>15</v>
      </c>
      <c r="C30" s="108">
        <f t="shared" si="3"/>
        <v>860</v>
      </c>
      <c r="D30" s="90">
        <v>18</v>
      </c>
      <c r="E30" s="110">
        <f t="shared" si="4"/>
        <v>713</v>
      </c>
      <c r="F30" s="91">
        <v>15.99</v>
      </c>
      <c r="G30" s="112">
        <v>5.228</v>
      </c>
      <c r="H30" s="112">
        <f t="shared" si="6"/>
        <v>94.104</v>
      </c>
      <c r="I30" s="91">
        <v>0</v>
      </c>
      <c r="J30" s="117">
        <f t="shared" si="5"/>
        <v>1.2</v>
      </c>
      <c r="K30" s="118">
        <f t="shared" si="7"/>
        <v>94.104</v>
      </c>
    </row>
    <row r="31" spans="1:11">
      <c r="A31" s="88" t="s">
        <v>77</v>
      </c>
      <c r="B31" s="113">
        <v>15</v>
      </c>
      <c r="C31" s="108">
        <f t="shared" si="3"/>
        <v>845</v>
      </c>
      <c r="D31" s="90">
        <v>40</v>
      </c>
      <c r="E31" s="110">
        <f t="shared" si="4"/>
        <v>673</v>
      </c>
      <c r="F31" s="91">
        <v>15.99</v>
      </c>
      <c r="G31" s="112">
        <v>5.228</v>
      </c>
      <c r="H31" s="112">
        <f t="shared" si="6"/>
        <v>209.12</v>
      </c>
      <c r="I31" s="91">
        <v>0</v>
      </c>
      <c r="J31" s="117">
        <f t="shared" si="5"/>
        <v>2.66666666666667</v>
      </c>
      <c r="K31" s="118">
        <f t="shared" si="7"/>
        <v>209.12</v>
      </c>
    </row>
    <row r="32" spans="1:11">
      <c r="A32" s="88" t="s">
        <v>78</v>
      </c>
      <c r="B32" s="113">
        <v>15</v>
      </c>
      <c r="C32" s="108">
        <f t="shared" si="3"/>
        <v>830</v>
      </c>
      <c r="D32" s="90">
        <v>28</v>
      </c>
      <c r="E32" s="110">
        <f t="shared" si="4"/>
        <v>645</v>
      </c>
      <c r="F32" s="91">
        <v>16.99</v>
      </c>
      <c r="G32" s="112">
        <v>6.078</v>
      </c>
      <c r="H32" s="112">
        <f t="shared" si="6"/>
        <v>170.184</v>
      </c>
      <c r="I32" s="91">
        <v>0</v>
      </c>
      <c r="J32" s="117">
        <f t="shared" si="5"/>
        <v>1.86666666666667</v>
      </c>
      <c r="K32" s="118">
        <f t="shared" si="7"/>
        <v>170.184</v>
      </c>
    </row>
    <row r="33" spans="1:11">
      <c r="A33" s="88" t="s">
        <v>79</v>
      </c>
      <c r="B33" s="113">
        <v>15</v>
      </c>
      <c r="C33" s="108">
        <f t="shared" si="3"/>
        <v>815</v>
      </c>
      <c r="D33" s="90">
        <v>26</v>
      </c>
      <c r="E33" s="110">
        <f t="shared" si="4"/>
        <v>619</v>
      </c>
      <c r="F33" s="91">
        <v>16.99</v>
      </c>
      <c r="G33" s="112">
        <v>6.078</v>
      </c>
      <c r="H33" s="112">
        <f t="shared" si="6"/>
        <v>158.028</v>
      </c>
      <c r="I33" s="91">
        <v>0</v>
      </c>
      <c r="J33" s="117">
        <f t="shared" si="5"/>
        <v>1.73333333333333</v>
      </c>
      <c r="K33" s="118">
        <f t="shared" si="7"/>
        <v>158.028</v>
      </c>
    </row>
    <row r="34" spans="1:11">
      <c r="A34" s="88" t="s">
        <v>80</v>
      </c>
      <c r="B34" s="113">
        <v>15</v>
      </c>
      <c r="C34" s="108">
        <f t="shared" si="3"/>
        <v>800</v>
      </c>
      <c r="D34" s="90">
        <v>21</v>
      </c>
      <c r="E34" s="110">
        <f t="shared" si="4"/>
        <v>598</v>
      </c>
      <c r="F34" s="91">
        <v>16.99</v>
      </c>
      <c r="G34" s="112">
        <v>6.078</v>
      </c>
      <c r="H34" s="112">
        <f t="shared" si="6"/>
        <v>127.638</v>
      </c>
      <c r="I34" s="91">
        <v>0</v>
      </c>
      <c r="J34" s="117">
        <f t="shared" si="5"/>
        <v>1.4</v>
      </c>
      <c r="K34" s="118">
        <f t="shared" si="7"/>
        <v>127.638</v>
      </c>
    </row>
    <row r="35" spans="1:11">
      <c r="A35" s="88" t="s">
        <v>81</v>
      </c>
      <c r="B35" s="113">
        <v>15</v>
      </c>
      <c r="C35" s="108">
        <f t="shared" si="3"/>
        <v>785</v>
      </c>
      <c r="D35" s="90">
        <v>35</v>
      </c>
      <c r="E35" s="110">
        <f t="shared" si="4"/>
        <v>563</v>
      </c>
      <c r="F35" s="91">
        <v>16.99</v>
      </c>
      <c r="G35" s="112">
        <v>6.078</v>
      </c>
      <c r="H35" s="112">
        <f t="shared" si="6"/>
        <v>212.73</v>
      </c>
      <c r="I35" s="91">
        <v>0</v>
      </c>
      <c r="J35" s="117">
        <f t="shared" si="5"/>
        <v>2.33333333333333</v>
      </c>
      <c r="K35" s="118">
        <f t="shared" si="7"/>
        <v>212.73</v>
      </c>
    </row>
    <row r="36" spans="1:11">
      <c r="A36" s="88" t="s">
        <v>82</v>
      </c>
      <c r="B36" s="113">
        <v>15</v>
      </c>
      <c r="C36" s="108">
        <f t="shared" si="3"/>
        <v>770</v>
      </c>
      <c r="D36" s="90">
        <v>27</v>
      </c>
      <c r="E36" s="110">
        <f t="shared" si="4"/>
        <v>536</v>
      </c>
      <c r="F36" s="91">
        <v>16.99</v>
      </c>
      <c r="G36" s="112">
        <v>6.078</v>
      </c>
      <c r="H36" s="112">
        <f t="shared" si="6"/>
        <v>164.106</v>
      </c>
      <c r="I36" s="91">
        <v>0</v>
      </c>
      <c r="J36" s="117">
        <f t="shared" si="5"/>
        <v>1.8</v>
      </c>
      <c r="K36" s="118">
        <f t="shared" si="7"/>
        <v>164.106</v>
      </c>
    </row>
    <row r="37" spans="1:11">
      <c r="A37" s="88" t="s">
        <v>83</v>
      </c>
      <c r="B37" s="113">
        <v>20</v>
      </c>
      <c r="C37" s="108">
        <f t="shared" si="3"/>
        <v>750</v>
      </c>
      <c r="D37" s="90">
        <v>24</v>
      </c>
      <c r="E37" s="110">
        <f t="shared" si="4"/>
        <v>512</v>
      </c>
      <c r="F37" s="91">
        <v>16.99</v>
      </c>
      <c r="G37" s="112">
        <v>6.078</v>
      </c>
      <c r="H37" s="112">
        <f t="shared" si="6"/>
        <v>145.872</v>
      </c>
      <c r="I37" s="91">
        <v>0</v>
      </c>
      <c r="J37" s="117">
        <f t="shared" si="5"/>
        <v>1.2</v>
      </c>
      <c r="K37" s="118">
        <f t="shared" si="7"/>
        <v>145.872</v>
      </c>
    </row>
    <row r="38" spans="1:11">
      <c r="A38" s="88" t="s">
        <v>84</v>
      </c>
      <c r="B38" s="113">
        <v>20</v>
      </c>
      <c r="C38" s="108">
        <f t="shared" si="3"/>
        <v>730</v>
      </c>
      <c r="D38" s="90">
        <v>35</v>
      </c>
      <c r="E38" s="110">
        <f t="shared" si="4"/>
        <v>477</v>
      </c>
      <c r="F38" s="91">
        <v>16.99</v>
      </c>
      <c r="G38" s="112">
        <v>6.078</v>
      </c>
      <c r="H38" s="112">
        <f t="shared" si="6"/>
        <v>212.73</v>
      </c>
      <c r="I38" s="91">
        <v>0</v>
      </c>
      <c r="J38" s="117">
        <f t="shared" si="5"/>
        <v>1.75</v>
      </c>
      <c r="K38" s="118">
        <f t="shared" si="7"/>
        <v>212.73</v>
      </c>
    </row>
    <row r="39" spans="1:11">
      <c r="A39" s="88" t="s">
        <v>85</v>
      </c>
      <c r="B39" s="113">
        <v>20</v>
      </c>
      <c r="C39" s="108">
        <f t="shared" ref="C39:C74" si="8">C38-B39</f>
        <v>710</v>
      </c>
      <c r="D39" s="90">
        <v>25</v>
      </c>
      <c r="E39" s="110">
        <f t="shared" si="4"/>
        <v>452</v>
      </c>
      <c r="F39" s="91">
        <v>17.99</v>
      </c>
      <c r="G39" s="112">
        <v>6.928</v>
      </c>
      <c r="H39" s="112">
        <f t="shared" si="6"/>
        <v>173.2</v>
      </c>
      <c r="I39" s="91">
        <v>0</v>
      </c>
      <c r="J39" s="117">
        <f t="shared" si="5"/>
        <v>1.25</v>
      </c>
      <c r="K39" s="118">
        <f t="shared" si="7"/>
        <v>173.2</v>
      </c>
    </row>
    <row r="40" spans="1:11">
      <c r="A40" s="88" t="s">
        <v>86</v>
      </c>
      <c r="B40" s="113">
        <v>20</v>
      </c>
      <c r="C40" s="108">
        <f t="shared" si="8"/>
        <v>690</v>
      </c>
      <c r="D40" s="90">
        <v>31</v>
      </c>
      <c r="E40" s="110">
        <f t="shared" si="4"/>
        <v>421</v>
      </c>
      <c r="F40" s="89">
        <v>17.99</v>
      </c>
      <c r="G40" s="112">
        <v>6.928</v>
      </c>
      <c r="H40" s="112">
        <f t="shared" si="6"/>
        <v>214.768</v>
      </c>
      <c r="I40" s="91">
        <v>0</v>
      </c>
      <c r="J40" s="117">
        <f t="shared" si="5"/>
        <v>1.55</v>
      </c>
      <c r="K40" s="118">
        <f t="shared" si="7"/>
        <v>214.768</v>
      </c>
    </row>
    <row r="41" spans="1:11">
      <c r="A41" s="88" t="s">
        <v>87</v>
      </c>
      <c r="B41" s="113">
        <v>20</v>
      </c>
      <c r="C41" s="108">
        <f t="shared" si="8"/>
        <v>670</v>
      </c>
      <c r="D41" s="90">
        <v>24</v>
      </c>
      <c r="E41" s="110">
        <f t="shared" si="4"/>
        <v>397</v>
      </c>
      <c r="F41" s="89">
        <v>17.99</v>
      </c>
      <c r="G41" s="112">
        <v>6.928</v>
      </c>
      <c r="H41" s="112">
        <f t="shared" si="6"/>
        <v>166.272</v>
      </c>
      <c r="I41" s="91">
        <v>0</v>
      </c>
      <c r="J41" s="117">
        <f t="shared" si="5"/>
        <v>1.2</v>
      </c>
      <c r="K41" s="118">
        <f t="shared" si="7"/>
        <v>166.272</v>
      </c>
    </row>
    <row r="42" spans="1:11">
      <c r="A42" s="88" t="s">
        <v>88</v>
      </c>
      <c r="B42" s="113">
        <v>20</v>
      </c>
      <c r="C42" s="108">
        <f t="shared" si="8"/>
        <v>650</v>
      </c>
      <c r="D42" s="90">
        <v>29</v>
      </c>
      <c r="E42" s="110">
        <f t="shared" si="4"/>
        <v>368</v>
      </c>
      <c r="F42" s="89">
        <v>17.99</v>
      </c>
      <c r="G42" s="112">
        <v>6.928</v>
      </c>
      <c r="H42" s="112">
        <f t="shared" si="6"/>
        <v>200.912</v>
      </c>
      <c r="I42" s="91">
        <v>0</v>
      </c>
      <c r="J42" s="117">
        <f t="shared" si="5"/>
        <v>1.45</v>
      </c>
      <c r="K42" s="118">
        <f t="shared" si="7"/>
        <v>200.912</v>
      </c>
    </row>
    <row r="43" spans="1:11">
      <c r="A43" s="88" t="s">
        <v>89</v>
      </c>
      <c r="B43" s="113">
        <v>20</v>
      </c>
      <c r="C43" s="108">
        <f t="shared" si="8"/>
        <v>630</v>
      </c>
      <c r="D43" s="90">
        <v>29</v>
      </c>
      <c r="E43" s="110">
        <f t="shared" si="4"/>
        <v>339</v>
      </c>
      <c r="F43" s="89">
        <v>17.99</v>
      </c>
      <c r="G43" s="112">
        <v>6.928</v>
      </c>
      <c r="H43" s="112">
        <f t="shared" si="6"/>
        <v>200.912</v>
      </c>
      <c r="I43" s="91">
        <v>0</v>
      </c>
      <c r="J43" s="117">
        <f t="shared" si="5"/>
        <v>1.45</v>
      </c>
      <c r="K43" s="118">
        <f t="shared" si="7"/>
        <v>200.912</v>
      </c>
    </row>
    <row r="44" spans="1:11">
      <c r="A44" s="88" t="s">
        <v>90</v>
      </c>
      <c r="B44" s="113">
        <v>20</v>
      </c>
      <c r="C44" s="108">
        <f t="shared" si="8"/>
        <v>610</v>
      </c>
      <c r="D44" s="90">
        <v>47</v>
      </c>
      <c r="E44" s="110">
        <f t="shared" si="4"/>
        <v>292</v>
      </c>
      <c r="F44" s="89">
        <v>17.99</v>
      </c>
      <c r="G44" s="112">
        <v>6.928</v>
      </c>
      <c r="H44" s="112">
        <f t="shared" si="6"/>
        <v>325.616</v>
      </c>
      <c r="I44" s="91">
        <v>0</v>
      </c>
      <c r="J44" s="117">
        <f t="shared" si="5"/>
        <v>2.35</v>
      </c>
      <c r="K44" s="118">
        <f t="shared" si="7"/>
        <v>325.616</v>
      </c>
    </row>
    <row r="45" spans="1:11">
      <c r="A45" s="88" t="s">
        <v>91</v>
      </c>
      <c r="B45" s="88">
        <v>20</v>
      </c>
      <c r="C45" s="108">
        <f t="shared" si="8"/>
        <v>590</v>
      </c>
      <c r="D45" s="90">
        <v>49</v>
      </c>
      <c r="E45" s="110">
        <f t="shared" si="4"/>
        <v>243</v>
      </c>
      <c r="F45" s="89">
        <v>17.99</v>
      </c>
      <c r="G45" s="112">
        <v>6.928</v>
      </c>
      <c r="H45" s="112">
        <f t="shared" si="6"/>
        <v>339.472</v>
      </c>
      <c r="I45" s="91">
        <v>0</v>
      </c>
      <c r="J45" s="117">
        <f t="shared" si="5"/>
        <v>2.45</v>
      </c>
      <c r="K45" s="118">
        <f t="shared" si="7"/>
        <v>339.472</v>
      </c>
    </row>
    <row r="46" spans="1:11">
      <c r="A46" s="88" t="s">
        <v>92</v>
      </c>
      <c r="B46" s="88">
        <v>20</v>
      </c>
      <c r="C46" s="108">
        <f t="shared" si="8"/>
        <v>570</v>
      </c>
      <c r="D46" s="90">
        <v>39</v>
      </c>
      <c r="E46" s="110">
        <f t="shared" si="4"/>
        <v>204</v>
      </c>
      <c r="F46" s="89">
        <v>19.99</v>
      </c>
      <c r="G46" s="112">
        <v>8.628</v>
      </c>
      <c r="H46" s="112">
        <f t="shared" si="6"/>
        <v>336.492</v>
      </c>
      <c r="I46" s="91">
        <v>0</v>
      </c>
      <c r="J46" s="117">
        <f t="shared" si="5"/>
        <v>1.95</v>
      </c>
      <c r="K46" s="118">
        <f t="shared" si="7"/>
        <v>336.492</v>
      </c>
    </row>
    <row r="47" spans="1:11">
      <c r="A47" s="88" t="s">
        <v>93</v>
      </c>
      <c r="B47" s="88">
        <v>20</v>
      </c>
      <c r="C47" s="108">
        <f t="shared" si="8"/>
        <v>550</v>
      </c>
      <c r="D47" s="90">
        <v>27</v>
      </c>
      <c r="E47" s="110">
        <f t="shared" si="4"/>
        <v>177</v>
      </c>
      <c r="F47" s="89">
        <v>21.99</v>
      </c>
      <c r="G47" s="112">
        <v>10.328</v>
      </c>
      <c r="H47" s="112">
        <f t="shared" si="6"/>
        <v>278.856</v>
      </c>
      <c r="I47" s="91">
        <v>0</v>
      </c>
      <c r="J47" s="117">
        <f t="shared" si="5"/>
        <v>1.35</v>
      </c>
      <c r="K47" s="118">
        <f t="shared" si="7"/>
        <v>278.856</v>
      </c>
    </row>
    <row r="48" spans="1:11">
      <c r="A48" s="88" t="s">
        <v>94</v>
      </c>
      <c r="B48" s="88">
        <v>25</v>
      </c>
      <c r="C48" s="108">
        <f t="shared" si="8"/>
        <v>525</v>
      </c>
      <c r="D48" s="90">
        <v>32</v>
      </c>
      <c r="E48" s="110">
        <f t="shared" si="4"/>
        <v>145</v>
      </c>
      <c r="F48" s="89">
        <v>21.99</v>
      </c>
      <c r="G48" s="112">
        <v>10.328</v>
      </c>
      <c r="H48" s="112">
        <f t="shared" si="6"/>
        <v>330.496</v>
      </c>
      <c r="I48" s="91">
        <v>0</v>
      </c>
      <c r="J48" s="117">
        <f t="shared" si="5"/>
        <v>1.28</v>
      </c>
      <c r="K48" s="118">
        <f t="shared" si="7"/>
        <v>330.496</v>
      </c>
    </row>
    <row r="49" spans="1:11">
      <c r="A49" s="88" t="s">
        <v>95</v>
      </c>
      <c r="B49" s="88">
        <v>25</v>
      </c>
      <c r="C49" s="108">
        <f t="shared" si="8"/>
        <v>500</v>
      </c>
      <c r="D49" s="90">
        <v>18</v>
      </c>
      <c r="E49" s="110">
        <f t="shared" si="4"/>
        <v>127</v>
      </c>
      <c r="F49" s="89">
        <v>21.99</v>
      </c>
      <c r="G49" s="112">
        <v>10.328</v>
      </c>
      <c r="H49" s="112">
        <f t="shared" si="6"/>
        <v>185.904</v>
      </c>
      <c r="I49" s="91">
        <v>0</v>
      </c>
      <c r="J49" s="117">
        <f t="shared" si="5"/>
        <v>0.72</v>
      </c>
      <c r="K49" s="118">
        <f t="shared" si="7"/>
        <v>185.904</v>
      </c>
    </row>
    <row r="50" spans="1:11">
      <c r="A50" s="88" t="s">
        <v>96</v>
      </c>
      <c r="B50" s="88">
        <v>25</v>
      </c>
      <c r="C50" s="108">
        <f t="shared" si="8"/>
        <v>475</v>
      </c>
      <c r="D50" s="90"/>
      <c r="E50" s="90"/>
      <c r="G50" s="112"/>
      <c r="H50" s="112"/>
      <c r="I50" s="91"/>
      <c r="J50" s="119"/>
      <c r="K50" s="112"/>
    </row>
    <row r="51" spans="1:11">
      <c r="A51" s="88" t="s">
        <v>97</v>
      </c>
      <c r="B51" s="88">
        <v>25</v>
      </c>
      <c r="C51" s="108">
        <f t="shared" si="8"/>
        <v>450</v>
      </c>
      <c r="D51" s="90"/>
      <c r="E51" s="90"/>
      <c r="G51" s="112"/>
      <c r="H51" s="112"/>
      <c r="I51" s="91"/>
      <c r="J51" s="119"/>
      <c r="K51" s="112"/>
    </row>
    <row r="52" spans="1:11">
      <c r="A52" s="88" t="s">
        <v>98</v>
      </c>
      <c r="B52" s="88">
        <v>25</v>
      </c>
      <c r="C52" s="108">
        <f t="shared" si="8"/>
        <v>425</v>
      </c>
      <c r="D52" s="90"/>
      <c r="E52" s="90"/>
      <c r="G52" s="112"/>
      <c r="H52" s="112"/>
      <c r="I52" s="91"/>
      <c r="J52" s="119"/>
      <c r="K52" s="112"/>
    </row>
    <row r="53" spans="1:11">
      <c r="A53" s="88" t="s">
        <v>99</v>
      </c>
      <c r="B53" s="88">
        <v>25</v>
      </c>
      <c r="C53" s="108">
        <f t="shared" si="8"/>
        <v>400</v>
      </c>
      <c r="D53" s="90"/>
      <c r="E53" s="90"/>
      <c r="G53" s="112"/>
      <c r="H53" s="112"/>
      <c r="I53" s="91"/>
      <c r="J53" s="119"/>
      <c r="K53" s="112"/>
    </row>
    <row r="54" spans="1:11">
      <c r="A54" s="88" t="s">
        <v>100</v>
      </c>
      <c r="B54" s="88">
        <v>25</v>
      </c>
      <c r="C54" s="108">
        <f t="shared" si="8"/>
        <v>375</v>
      </c>
      <c r="D54" s="90"/>
      <c r="E54" s="90"/>
      <c r="G54" s="112"/>
      <c r="H54" s="112"/>
      <c r="I54" s="91"/>
      <c r="J54" s="119"/>
      <c r="K54" s="112"/>
    </row>
    <row r="55" spans="1:11">
      <c r="A55" s="88" t="s">
        <v>101</v>
      </c>
      <c r="B55" s="88">
        <v>30</v>
      </c>
      <c r="C55" s="108">
        <f t="shared" si="8"/>
        <v>345</v>
      </c>
      <c r="D55" s="90"/>
      <c r="E55" s="90"/>
      <c r="G55" s="112"/>
      <c r="H55" s="112"/>
      <c r="I55" s="91"/>
      <c r="J55" s="119"/>
      <c r="K55" s="112"/>
    </row>
    <row r="56" spans="1:11">
      <c r="A56" s="88" t="s">
        <v>102</v>
      </c>
      <c r="B56" s="88">
        <v>30</v>
      </c>
      <c r="C56" s="108">
        <f t="shared" si="8"/>
        <v>315</v>
      </c>
      <c r="D56" s="90"/>
      <c r="E56" s="90"/>
      <c r="G56" s="112"/>
      <c r="H56" s="112"/>
      <c r="I56" s="91"/>
      <c r="J56" s="119"/>
      <c r="K56" s="112"/>
    </row>
    <row r="57" spans="1:11">
      <c r="A57" s="88" t="s">
        <v>103</v>
      </c>
      <c r="B57" s="88">
        <v>30</v>
      </c>
      <c r="C57" s="108">
        <f t="shared" si="8"/>
        <v>285</v>
      </c>
      <c r="D57" s="90"/>
      <c r="E57" s="90"/>
      <c r="G57" s="112"/>
      <c r="H57" s="112"/>
      <c r="I57" s="91"/>
      <c r="J57" s="119"/>
      <c r="K57" s="112"/>
    </row>
    <row r="58" spans="1:11">
      <c r="A58" s="88" t="s">
        <v>104</v>
      </c>
      <c r="B58" s="88">
        <v>30</v>
      </c>
      <c r="C58" s="108">
        <f t="shared" si="8"/>
        <v>255</v>
      </c>
      <c r="D58" s="90"/>
      <c r="E58" s="90"/>
      <c r="G58" s="112"/>
      <c r="H58" s="112"/>
      <c r="I58" s="91"/>
      <c r="J58" s="119"/>
      <c r="K58" s="112"/>
    </row>
    <row r="59" spans="1:11">
      <c r="A59" s="88" t="s">
        <v>105</v>
      </c>
      <c r="B59" s="88">
        <v>30</v>
      </c>
      <c r="C59" s="108">
        <f t="shared" si="8"/>
        <v>225</v>
      </c>
      <c r="D59" s="90"/>
      <c r="E59" s="90"/>
      <c r="G59" s="112"/>
      <c r="H59" s="112"/>
      <c r="I59" s="91"/>
      <c r="J59" s="119"/>
      <c r="K59" s="112"/>
    </row>
    <row r="60" spans="1:11">
      <c r="A60" s="88" t="s">
        <v>106</v>
      </c>
      <c r="B60" s="88">
        <v>30</v>
      </c>
      <c r="C60" s="108">
        <f t="shared" si="8"/>
        <v>195</v>
      </c>
      <c r="D60" s="90"/>
      <c r="E60" s="90"/>
      <c r="G60" s="112"/>
      <c r="H60" s="112"/>
      <c r="I60" s="91"/>
      <c r="J60" s="119"/>
      <c r="K60" s="112"/>
    </row>
    <row r="61" spans="1:11">
      <c r="A61" s="88" t="s">
        <v>107</v>
      </c>
      <c r="B61" s="88">
        <v>30</v>
      </c>
      <c r="C61" s="108">
        <f t="shared" si="8"/>
        <v>165</v>
      </c>
      <c r="D61" s="90"/>
      <c r="E61" s="90"/>
      <c r="G61" s="112"/>
      <c r="H61" s="112"/>
      <c r="I61" s="91"/>
      <c r="J61" s="119"/>
      <c r="K61" s="112"/>
    </row>
    <row r="62" spans="1:11">
      <c r="A62" s="88" t="s">
        <v>108</v>
      </c>
      <c r="B62" s="88">
        <v>30</v>
      </c>
      <c r="C62" s="108">
        <f t="shared" si="8"/>
        <v>135</v>
      </c>
      <c r="D62" s="90"/>
      <c r="E62" s="90"/>
      <c r="G62" s="112"/>
      <c r="H62" s="112"/>
      <c r="I62" s="91"/>
      <c r="J62" s="119"/>
      <c r="K62" s="112"/>
    </row>
    <row r="63" spans="1:11">
      <c r="A63" s="88" t="s">
        <v>109</v>
      </c>
      <c r="B63" s="88">
        <v>30</v>
      </c>
      <c r="C63" s="108">
        <f t="shared" si="8"/>
        <v>105</v>
      </c>
      <c r="D63" s="90"/>
      <c r="E63" s="90"/>
      <c r="G63" s="112"/>
      <c r="H63" s="112"/>
      <c r="I63" s="91"/>
      <c r="J63" s="119"/>
      <c r="K63" s="112"/>
    </row>
    <row r="64" spans="1:11">
      <c r="A64" s="88" t="s">
        <v>110</v>
      </c>
      <c r="B64" s="88">
        <v>15</v>
      </c>
      <c r="C64" s="108">
        <f t="shared" si="8"/>
        <v>90</v>
      </c>
      <c r="D64" s="90"/>
      <c r="E64" s="90"/>
      <c r="G64" s="112"/>
      <c r="H64" s="112"/>
      <c r="I64" s="91"/>
      <c r="J64" s="119"/>
      <c r="K64" s="112"/>
    </row>
    <row r="65" spans="1:11">
      <c r="A65" s="88" t="s">
        <v>111</v>
      </c>
      <c r="B65" s="88">
        <v>15</v>
      </c>
      <c r="C65" s="108">
        <f t="shared" si="8"/>
        <v>75</v>
      </c>
      <c r="D65" s="90"/>
      <c r="E65" s="90"/>
      <c r="G65" s="112"/>
      <c r="H65" s="112"/>
      <c r="I65" s="91"/>
      <c r="J65" s="119"/>
      <c r="K65" s="112"/>
    </row>
    <row r="66" spans="1:11">
      <c r="A66" s="88" t="s">
        <v>112</v>
      </c>
      <c r="B66" s="88">
        <v>15</v>
      </c>
      <c r="C66" s="108">
        <f t="shared" si="8"/>
        <v>60</v>
      </c>
      <c r="D66" s="90"/>
      <c r="E66" s="90"/>
      <c r="G66" s="112"/>
      <c r="H66" s="112"/>
      <c r="I66" s="91"/>
      <c r="J66" s="119"/>
      <c r="K66" s="112"/>
    </row>
    <row r="67" spans="1:11">
      <c r="A67" s="88" t="s">
        <v>113</v>
      </c>
      <c r="B67" s="88">
        <v>15</v>
      </c>
      <c r="C67" s="108">
        <f t="shared" si="8"/>
        <v>45</v>
      </c>
      <c r="D67" s="90"/>
      <c r="E67" s="90"/>
      <c r="G67" s="112"/>
      <c r="H67" s="112"/>
      <c r="I67" s="91"/>
      <c r="J67" s="119"/>
      <c r="K67" s="112"/>
    </row>
    <row r="68" spans="1:11">
      <c r="A68" s="88" t="s">
        <v>114</v>
      </c>
      <c r="B68" s="88">
        <v>15</v>
      </c>
      <c r="C68" s="108">
        <f t="shared" si="8"/>
        <v>30</v>
      </c>
      <c r="D68" s="90"/>
      <c r="E68" s="90"/>
      <c r="G68" s="112"/>
      <c r="H68" s="112"/>
      <c r="I68" s="91"/>
      <c r="J68" s="119"/>
      <c r="K68" s="112"/>
    </row>
    <row r="69" spans="1:11">
      <c r="A69" s="88" t="s">
        <v>115</v>
      </c>
      <c r="B69" s="88">
        <v>5</v>
      </c>
      <c r="C69" s="108">
        <f t="shared" si="8"/>
        <v>25</v>
      </c>
      <c r="D69" s="90"/>
      <c r="E69" s="90"/>
      <c r="G69" s="112"/>
      <c r="H69" s="112"/>
      <c r="I69" s="91"/>
      <c r="J69" s="119"/>
      <c r="K69" s="112"/>
    </row>
    <row r="70" spans="1:11">
      <c r="A70" s="88" t="s">
        <v>116</v>
      </c>
      <c r="B70" s="88">
        <v>5</v>
      </c>
      <c r="C70" s="108">
        <f t="shared" si="8"/>
        <v>20</v>
      </c>
      <c r="D70" s="90"/>
      <c r="E70" s="90"/>
      <c r="G70" s="112"/>
      <c r="H70" s="112"/>
      <c r="I70" s="91"/>
      <c r="J70" s="119"/>
      <c r="K70" s="112"/>
    </row>
    <row r="71" spans="1:11">
      <c r="A71" s="88" t="s">
        <v>117</v>
      </c>
      <c r="B71" s="88">
        <v>5</v>
      </c>
      <c r="C71" s="108">
        <f t="shared" si="8"/>
        <v>15</v>
      </c>
      <c r="D71" s="90"/>
      <c r="E71" s="90"/>
      <c r="G71" s="112"/>
      <c r="H71" s="112"/>
      <c r="I71" s="91"/>
      <c r="J71" s="119"/>
      <c r="K71" s="112"/>
    </row>
    <row r="72" spans="1:11">
      <c r="A72" s="88" t="s">
        <v>118</v>
      </c>
      <c r="B72" s="88">
        <v>5</v>
      </c>
      <c r="C72" s="108">
        <f t="shared" si="8"/>
        <v>10</v>
      </c>
      <c r="D72" s="90"/>
      <c r="E72" s="90"/>
      <c r="G72" s="112"/>
      <c r="H72" s="112"/>
      <c r="I72" s="91"/>
      <c r="J72" s="119"/>
      <c r="K72" s="112"/>
    </row>
    <row r="73" spans="1:11">
      <c r="A73" s="88" t="s">
        <v>119</v>
      </c>
      <c r="B73" s="88">
        <v>5</v>
      </c>
      <c r="C73" s="108">
        <f t="shared" si="8"/>
        <v>5</v>
      </c>
      <c r="D73" s="90"/>
      <c r="E73" s="90"/>
      <c r="G73" s="112"/>
      <c r="H73" s="112"/>
      <c r="I73" s="91"/>
      <c r="J73" s="119"/>
      <c r="K73" s="112"/>
    </row>
    <row r="74" spans="1:11">
      <c r="A74" s="88" t="s">
        <v>120</v>
      </c>
      <c r="B74" s="88">
        <v>5</v>
      </c>
      <c r="C74" s="108">
        <f t="shared" si="8"/>
        <v>0</v>
      </c>
      <c r="D74" s="90"/>
      <c r="E74" s="90"/>
      <c r="G74" s="112"/>
      <c r="H74" s="112"/>
      <c r="I74" s="91"/>
      <c r="J74" s="119"/>
      <c r="K74" s="112"/>
    </row>
    <row r="75" spans="7:11">
      <c r="G75" s="112"/>
      <c r="H75" s="112"/>
      <c r="I75" s="91"/>
      <c r="J75" s="119"/>
      <c r="K75" s="112"/>
    </row>
    <row r="76" spans="7:11">
      <c r="G76" s="112"/>
      <c r="H76" s="112"/>
      <c r="I76" s="91"/>
      <c r="J76" s="119"/>
      <c r="K76" s="112"/>
    </row>
    <row r="77" spans="7:11">
      <c r="G77" s="112"/>
      <c r="H77" s="112"/>
      <c r="I77" s="91"/>
      <c r="J77" s="119"/>
      <c r="K77" s="112"/>
    </row>
    <row r="78" spans="7:11">
      <c r="G78" s="112"/>
      <c r="H78" s="112"/>
      <c r="I78" s="91"/>
      <c r="J78" s="119"/>
      <c r="K78" s="112"/>
    </row>
    <row r="79" spans="7:10">
      <c r="G79" s="112"/>
      <c r="H79" s="112"/>
      <c r="I79" s="91"/>
      <c r="J79" s="119"/>
    </row>
    <row r="80" spans="7:10">
      <c r="G80" s="112"/>
      <c r="H80" s="112"/>
      <c r="I80" s="91"/>
      <c r="J80" s="119"/>
    </row>
    <row r="81" spans="7:10">
      <c r="G81" s="112"/>
      <c r="H81" s="112"/>
      <c r="I81" s="91"/>
      <c r="J81" s="119"/>
    </row>
    <row r="82" spans="7:10">
      <c r="G82" s="112"/>
      <c r="H82" s="112"/>
      <c r="I82" s="91"/>
      <c r="J82" s="119"/>
    </row>
    <row r="83" spans="7:10">
      <c r="G83" s="112"/>
      <c r="H83" s="112"/>
      <c r="I83" s="91"/>
      <c r="J83" s="119"/>
    </row>
    <row r="84" spans="7:10">
      <c r="G84" s="112"/>
      <c r="H84" s="112"/>
      <c r="I84" s="91"/>
      <c r="J84" s="119"/>
    </row>
    <row r="85" spans="7:10">
      <c r="G85" s="112"/>
      <c r="H85" s="112"/>
      <c r="I85" s="91"/>
      <c r="J85" s="119"/>
    </row>
    <row r="86" spans="7:10">
      <c r="G86" s="112"/>
      <c r="H86" s="112"/>
      <c r="I86" s="91"/>
      <c r="J86" s="120"/>
    </row>
    <row r="87" spans="7:10">
      <c r="G87" s="112"/>
      <c r="H87" s="112"/>
      <c r="I87" s="91"/>
      <c r="J87" s="120"/>
    </row>
    <row r="88" spans="7:10">
      <c r="G88" s="112"/>
      <c r="H88" s="112"/>
      <c r="I88" s="91"/>
      <c r="J88" s="120"/>
    </row>
    <row r="89" spans="7:10">
      <c r="G89" s="112"/>
      <c r="H89" s="112"/>
      <c r="I89" s="91"/>
      <c r="J89" s="120"/>
    </row>
    <row r="90" spans="7:10">
      <c r="G90" s="112"/>
      <c r="H90" s="112"/>
      <c r="I90" s="91"/>
      <c r="J90" s="120"/>
    </row>
    <row r="91" spans="7:10">
      <c r="G91" s="112"/>
      <c r="H91" s="112"/>
      <c r="I91" s="91"/>
      <c r="J91" s="120"/>
    </row>
    <row r="92" spans="7:10">
      <c r="G92" s="112"/>
      <c r="H92" s="112"/>
      <c r="I92" s="91"/>
      <c r="J92" s="120"/>
    </row>
    <row r="93" spans="7:10">
      <c r="G93" s="112"/>
      <c r="H93" s="112"/>
      <c r="I93" s="91"/>
      <c r="J93" s="120"/>
    </row>
    <row r="94" spans="7:10">
      <c r="G94" s="112"/>
      <c r="H94" s="112"/>
      <c r="I94" s="91"/>
      <c r="J94" s="120"/>
    </row>
    <row r="95" spans="7:10">
      <c r="G95" s="112"/>
      <c r="H95" s="112"/>
      <c r="I95" s="91"/>
      <c r="J95" s="120"/>
    </row>
    <row r="96" spans="7:10">
      <c r="G96" s="112"/>
      <c r="H96" s="112"/>
      <c r="I96" s="91"/>
      <c r="J96" s="120"/>
    </row>
    <row r="97" spans="7:10">
      <c r="G97" s="112"/>
      <c r="H97" s="112"/>
      <c r="I97" s="91"/>
      <c r="J97" s="120"/>
    </row>
    <row r="98" spans="7:10">
      <c r="G98" s="112"/>
      <c r="H98" s="112"/>
      <c r="I98" s="91"/>
      <c r="J98" s="120"/>
    </row>
    <row r="99" spans="7:10">
      <c r="G99" s="112"/>
      <c r="H99" s="112"/>
      <c r="I99" s="91"/>
      <c r="J99" s="120"/>
    </row>
    <row r="100" spans="7:10">
      <c r="G100" s="112"/>
      <c r="H100" s="112"/>
      <c r="I100" s="91"/>
      <c r="J100" s="120"/>
    </row>
    <row r="101" spans="7:10">
      <c r="G101" s="112"/>
      <c r="H101" s="112"/>
      <c r="I101" s="91"/>
      <c r="J101" s="120"/>
    </row>
    <row r="102" spans="7:10">
      <c r="G102" s="112"/>
      <c r="H102" s="112"/>
      <c r="I102" s="91"/>
      <c r="J102" s="120"/>
    </row>
    <row r="103" spans="7:10">
      <c r="G103" s="112"/>
      <c r="H103" s="112"/>
      <c r="I103" s="91"/>
      <c r="J103" s="120"/>
    </row>
    <row r="104" spans="7:10">
      <c r="G104" s="112"/>
      <c r="H104" s="112"/>
      <c r="J104" s="120"/>
    </row>
    <row r="105" spans="7:10">
      <c r="G105" s="112"/>
      <c r="H105" s="112"/>
      <c r="J105" s="120"/>
    </row>
    <row r="106" spans="7:10">
      <c r="G106" s="112"/>
      <c r="H106" s="112"/>
      <c r="J106" s="120"/>
    </row>
    <row r="107" spans="7:10">
      <c r="G107" s="112"/>
      <c r="H107" s="112"/>
      <c r="J107" s="120"/>
    </row>
    <row r="108" spans="7:10">
      <c r="G108" s="112"/>
      <c r="H108" s="112"/>
      <c r="J108" s="120"/>
    </row>
    <row r="109" spans="7:10">
      <c r="G109" s="112"/>
      <c r="H109" s="112"/>
      <c r="J109" s="120"/>
    </row>
    <row r="110" spans="7:10">
      <c r="G110" s="112"/>
      <c r="H110" s="112"/>
      <c r="J110" s="120"/>
    </row>
    <row r="111" spans="7:10">
      <c r="G111" s="112"/>
      <c r="J111" s="120"/>
    </row>
    <row r="112" spans="7:7">
      <c r="G112" s="112"/>
    </row>
    <row r="113" spans="7:7">
      <c r="G113" s="112"/>
    </row>
    <row r="114" spans="7:7">
      <c r="G114" s="112"/>
    </row>
    <row r="115" spans="7:7">
      <c r="G115" s="112"/>
    </row>
    <row r="116" spans="7:7">
      <c r="G116" s="112"/>
    </row>
    <row r="117" spans="7:7">
      <c r="G117" s="112"/>
    </row>
    <row r="118" spans="7:7">
      <c r="G118" s="112"/>
    </row>
    <row r="119" spans="7:7">
      <c r="G119" s="112"/>
    </row>
    <row r="120" spans="7:7">
      <c r="G120" s="112"/>
    </row>
    <row r="121" spans="7:7">
      <c r="G121" s="112"/>
    </row>
    <row r="122" spans="7:7">
      <c r="G122" s="112"/>
    </row>
    <row r="123" spans="7:7">
      <c r="G123" s="112"/>
    </row>
    <row r="124" spans="7:7">
      <c r="G124" s="112"/>
    </row>
    <row r="125" spans="7:7">
      <c r="G125" s="112"/>
    </row>
    <row r="126" spans="7:7">
      <c r="G126" s="112"/>
    </row>
    <row r="127" spans="7:7">
      <c r="G127" s="112"/>
    </row>
    <row r="128" spans="7:7">
      <c r="G128" s="112"/>
    </row>
    <row r="129" spans="7:7">
      <c r="G129" s="112"/>
    </row>
    <row r="130" spans="7:7">
      <c r="G130" s="112"/>
    </row>
    <row r="131" spans="7:7">
      <c r="G131" s="112"/>
    </row>
    <row r="132" spans="7:7">
      <c r="G132" s="112"/>
    </row>
    <row r="133" spans="7:7">
      <c r="G133" s="112"/>
    </row>
    <row r="134" spans="7:7">
      <c r="G134" s="112"/>
    </row>
    <row r="135" spans="7:7">
      <c r="G135" s="112"/>
    </row>
    <row r="136" spans="7:7">
      <c r="G136" s="112"/>
    </row>
    <row r="137" spans="7:7">
      <c r="G137" s="112"/>
    </row>
  </sheetData>
  <sheetProtection formatCells="0" insertHyperlinks="0" autoFilter="0"/>
  <mergeCells count="3">
    <mergeCell ref="B1:G1"/>
    <mergeCell ref="B2:G2"/>
    <mergeCell ref="B3:G3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zoomScale="115" zoomScaleNormal="115" topLeftCell="A2" workbookViewId="0">
      <selection activeCell="D7" sqref="D7"/>
    </sheetView>
  </sheetViews>
  <sheetFormatPr defaultColWidth="9" defaultRowHeight="15" outlineLevelCol="5"/>
  <cols>
    <col min="1" max="6" width="42.875" customWidth="1"/>
    <col min="7" max="252" width="9" style="72"/>
  </cols>
  <sheetData>
    <row r="1" ht="22" customHeight="1" spans="1:6">
      <c r="A1" s="73" t="s">
        <v>121</v>
      </c>
      <c r="B1" s="73"/>
      <c r="C1" s="74" t="s">
        <v>122</v>
      </c>
      <c r="D1" s="73" t="s">
        <v>123</v>
      </c>
      <c r="E1" s="73"/>
      <c r="F1" s="75" t="s">
        <v>124</v>
      </c>
    </row>
    <row r="2" ht="214" customHeight="1" spans="1:6">
      <c r="A2" s="76" t="s">
        <v>125</v>
      </c>
      <c r="B2" s="77"/>
      <c r="C2" s="76" t="s">
        <v>126</v>
      </c>
      <c r="D2" s="76" t="s">
        <v>127</v>
      </c>
      <c r="E2" s="76"/>
      <c r="F2" s="78" t="s">
        <v>128</v>
      </c>
    </row>
    <row r="3" ht="44" customHeight="1" spans="1:6">
      <c r="A3" s="73" t="s">
        <v>129</v>
      </c>
      <c r="B3" s="73"/>
      <c r="C3" s="74" t="s">
        <v>122</v>
      </c>
      <c r="D3" s="79" t="s">
        <v>130</v>
      </c>
      <c r="E3" s="79"/>
      <c r="F3" s="80" t="s">
        <v>122</v>
      </c>
    </row>
    <row r="4" ht="46" customHeight="1" spans="1:6">
      <c r="A4" s="81" t="s">
        <v>131</v>
      </c>
      <c r="B4" s="82" t="s">
        <v>132</v>
      </c>
      <c r="C4" s="82"/>
      <c r="D4" s="81" t="s">
        <v>131</v>
      </c>
      <c r="E4" s="82" t="s">
        <v>132</v>
      </c>
      <c r="F4" s="82"/>
    </row>
    <row r="5" ht="86" customHeight="1" spans="1:6">
      <c r="A5" s="83" t="s">
        <v>133</v>
      </c>
      <c r="B5" s="83" t="s">
        <v>134</v>
      </c>
      <c r="C5" s="84" t="s">
        <v>135</v>
      </c>
      <c r="D5" s="83" t="s">
        <v>133</v>
      </c>
      <c r="E5" s="83" t="s">
        <v>134</v>
      </c>
      <c r="F5" s="85" t="s">
        <v>136</v>
      </c>
    </row>
    <row r="6" ht="165" spans="1:6">
      <c r="A6" s="83" t="s">
        <v>137</v>
      </c>
      <c r="B6" s="83" t="s">
        <v>138</v>
      </c>
      <c r="C6" s="84"/>
      <c r="D6" s="83" t="s">
        <v>137</v>
      </c>
      <c r="E6" s="83" t="s">
        <v>138</v>
      </c>
      <c r="F6" s="85"/>
    </row>
    <row r="7" ht="82.5" spans="1:6">
      <c r="A7" s="83" t="s">
        <v>139</v>
      </c>
      <c r="B7" s="83" t="s">
        <v>140</v>
      </c>
      <c r="C7" s="84"/>
      <c r="D7" s="83" t="s">
        <v>139</v>
      </c>
      <c r="E7" s="83" t="s">
        <v>140</v>
      </c>
      <c r="F7" s="85"/>
    </row>
    <row r="8" ht="144" customHeight="1" spans="1:6">
      <c r="A8" s="83" t="s">
        <v>141</v>
      </c>
      <c r="B8" s="83" t="s">
        <v>142</v>
      </c>
      <c r="C8" s="84"/>
      <c r="D8" s="83" t="s">
        <v>141</v>
      </c>
      <c r="E8" s="83" t="s">
        <v>142</v>
      </c>
      <c r="F8" s="85"/>
    </row>
    <row r="9" ht="16.5" spans="1:6">
      <c r="A9" s="81" t="s">
        <v>131</v>
      </c>
      <c r="B9" s="82" t="s">
        <v>143</v>
      </c>
      <c r="C9" s="82"/>
      <c r="D9" s="81" t="s">
        <v>131</v>
      </c>
      <c r="E9" s="82" t="s">
        <v>143</v>
      </c>
      <c r="F9" s="82"/>
    </row>
    <row r="10" ht="16.5" spans="1:6">
      <c r="A10" s="83" t="s">
        <v>133</v>
      </c>
      <c r="B10" s="83" t="s">
        <v>144</v>
      </c>
      <c r="C10" s="85" t="s">
        <v>145</v>
      </c>
      <c r="D10" s="83" t="s">
        <v>133</v>
      </c>
      <c r="E10" s="83" t="s">
        <v>144</v>
      </c>
      <c r="F10" s="84" t="s">
        <v>146</v>
      </c>
    </row>
    <row r="11" ht="99" spans="1:6">
      <c r="A11" s="83" t="s">
        <v>137</v>
      </c>
      <c r="B11" s="83" t="s">
        <v>147</v>
      </c>
      <c r="C11" s="85"/>
      <c r="D11" s="83" t="s">
        <v>137</v>
      </c>
      <c r="E11" s="83" t="s">
        <v>148</v>
      </c>
      <c r="F11" s="84"/>
    </row>
    <row r="12" ht="33" spans="1:6">
      <c r="A12" s="83" t="s">
        <v>149</v>
      </c>
      <c r="B12" s="83" t="s">
        <v>150</v>
      </c>
      <c r="C12" s="85"/>
      <c r="D12" s="83" t="s">
        <v>149</v>
      </c>
      <c r="E12" s="83" t="s">
        <v>150</v>
      </c>
      <c r="F12" s="84"/>
    </row>
    <row r="13" ht="107" customHeight="1" spans="1:6">
      <c r="A13" s="83" t="s">
        <v>141</v>
      </c>
      <c r="B13" s="83" t="s">
        <v>151</v>
      </c>
      <c r="C13" s="85"/>
      <c r="D13" s="83" t="s">
        <v>141</v>
      </c>
      <c r="E13" s="83"/>
      <c r="F13" s="84"/>
    </row>
    <row r="14" ht="16.5" spans="1:6">
      <c r="A14" s="81" t="s">
        <v>131</v>
      </c>
      <c r="B14" s="82" t="s">
        <v>152</v>
      </c>
      <c r="C14" s="82"/>
      <c r="D14" s="81" t="s">
        <v>131</v>
      </c>
      <c r="E14" s="82" t="s">
        <v>152</v>
      </c>
      <c r="F14" s="82"/>
    </row>
    <row r="15" ht="46" customHeight="1" spans="1:6">
      <c r="A15" s="83" t="s">
        <v>133</v>
      </c>
      <c r="B15" s="83" t="s">
        <v>153</v>
      </c>
      <c r="C15" s="84" t="s">
        <v>154</v>
      </c>
      <c r="D15" s="83" t="s">
        <v>133</v>
      </c>
      <c r="E15" s="83"/>
      <c r="F15" s="84" t="s">
        <v>155</v>
      </c>
    </row>
    <row r="16" ht="105" customHeight="1" spans="1:6">
      <c r="A16" s="83" t="s">
        <v>137</v>
      </c>
      <c r="B16" s="83" t="s">
        <v>156</v>
      </c>
      <c r="C16" s="84"/>
      <c r="D16" s="83" t="s">
        <v>137</v>
      </c>
      <c r="E16" s="83"/>
      <c r="F16" s="84"/>
    </row>
    <row r="17" ht="105" customHeight="1" spans="1:6">
      <c r="A17" s="83" t="s">
        <v>149</v>
      </c>
      <c r="B17" s="83" t="s">
        <v>157</v>
      </c>
      <c r="C17" s="84"/>
      <c r="D17" s="83" t="s">
        <v>149</v>
      </c>
      <c r="E17" s="83"/>
      <c r="F17" s="84"/>
    </row>
    <row r="18" ht="105" customHeight="1" spans="1:6">
      <c r="A18" s="83" t="s">
        <v>141</v>
      </c>
      <c r="B18" s="83"/>
      <c r="C18" s="84"/>
      <c r="D18" s="83" t="s">
        <v>141</v>
      </c>
      <c r="E18" s="83"/>
      <c r="F18" s="84"/>
    </row>
    <row r="19" ht="16.5" spans="1:6">
      <c r="A19" s="81" t="s">
        <v>131</v>
      </c>
      <c r="B19" s="82" t="s">
        <v>158</v>
      </c>
      <c r="C19" s="82"/>
      <c r="D19" s="81" t="s">
        <v>131</v>
      </c>
      <c r="E19" s="82" t="s">
        <v>158</v>
      </c>
      <c r="F19" s="82"/>
    </row>
    <row r="20" ht="69" customHeight="1" spans="1:6">
      <c r="A20" s="83" t="s">
        <v>133</v>
      </c>
      <c r="B20" s="83" t="s">
        <v>159</v>
      </c>
      <c r="C20" s="84" t="s">
        <v>160</v>
      </c>
      <c r="D20" s="83" t="s">
        <v>133</v>
      </c>
      <c r="E20" s="83" t="s">
        <v>161</v>
      </c>
      <c r="F20" s="84" t="s">
        <v>162</v>
      </c>
    </row>
    <row r="21" ht="132" customHeight="1" spans="1:6">
      <c r="A21" s="83" t="s">
        <v>137</v>
      </c>
      <c r="B21" s="83" t="s">
        <v>163</v>
      </c>
      <c r="C21" s="84"/>
      <c r="D21" s="83" t="s">
        <v>137</v>
      </c>
      <c r="E21" s="83"/>
      <c r="F21" s="84"/>
    </row>
    <row r="22" ht="132" customHeight="1" spans="1:6">
      <c r="A22" s="83" t="s">
        <v>149</v>
      </c>
      <c r="B22" s="83"/>
      <c r="C22" s="84"/>
      <c r="D22" s="83" t="s">
        <v>149</v>
      </c>
      <c r="E22" s="83"/>
      <c r="F22" s="84"/>
    </row>
    <row r="23" ht="132" customHeight="1" spans="1:6">
      <c r="A23" s="83" t="s">
        <v>141</v>
      </c>
      <c r="B23" s="83"/>
      <c r="C23" s="84"/>
      <c r="D23" s="83" t="s">
        <v>141</v>
      </c>
      <c r="E23" s="83"/>
      <c r="F23" s="84"/>
    </row>
    <row r="24" ht="16.5" spans="1:6">
      <c r="A24" s="86"/>
      <c r="B24" s="86"/>
      <c r="C24" s="86"/>
      <c r="D24" s="86"/>
      <c r="E24" s="86"/>
      <c r="F24" s="86"/>
    </row>
    <row r="25" ht="16.5" spans="1:6">
      <c r="A25" s="81" t="s">
        <v>131</v>
      </c>
      <c r="B25" s="82" t="s">
        <v>164</v>
      </c>
      <c r="C25" s="82"/>
      <c r="D25" s="81" t="s">
        <v>131</v>
      </c>
      <c r="E25" s="82" t="s">
        <v>164</v>
      </c>
      <c r="F25" s="82"/>
    </row>
    <row r="26" ht="69" customHeight="1" spans="1:6">
      <c r="A26" s="83" t="s">
        <v>133</v>
      </c>
      <c r="B26" s="83" t="s">
        <v>165</v>
      </c>
      <c r="C26" s="84" t="s">
        <v>166</v>
      </c>
      <c r="D26" s="83" t="s">
        <v>133</v>
      </c>
      <c r="E26" s="83" t="s">
        <v>167</v>
      </c>
      <c r="F26" s="84" t="s">
        <v>155</v>
      </c>
    </row>
    <row r="27" ht="140" customHeight="1" spans="1:6">
      <c r="A27" s="83" t="s">
        <v>137</v>
      </c>
      <c r="B27" s="83"/>
      <c r="C27" s="84"/>
      <c r="D27" s="83" t="s">
        <v>137</v>
      </c>
      <c r="E27" s="83"/>
      <c r="F27" s="84"/>
    </row>
    <row r="28" ht="140" customHeight="1" spans="1:6">
      <c r="A28" s="83" t="s">
        <v>149</v>
      </c>
      <c r="B28" s="83"/>
      <c r="C28" s="84"/>
      <c r="D28" s="83" t="s">
        <v>149</v>
      </c>
      <c r="E28" s="83"/>
      <c r="F28" s="84"/>
    </row>
    <row r="29" ht="140" customHeight="1" spans="1:6">
      <c r="A29" s="83" t="s">
        <v>141</v>
      </c>
      <c r="B29" s="83"/>
      <c r="C29" s="84"/>
      <c r="D29" s="83" t="s">
        <v>141</v>
      </c>
      <c r="E29" s="83"/>
      <c r="F29" s="84"/>
    </row>
    <row r="30" ht="16.5" spans="1:6">
      <c r="A30" s="81" t="s">
        <v>131</v>
      </c>
      <c r="B30" s="82" t="s">
        <v>168</v>
      </c>
      <c r="C30" s="82"/>
      <c r="D30" s="81" t="s">
        <v>131</v>
      </c>
      <c r="E30" s="82" t="s">
        <v>168</v>
      </c>
      <c r="F30" s="82"/>
    </row>
    <row r="31" ht="75" customHeight="1" spans="1:6">
      <c r="A31" s="83" t="s">
        <v>133</v>
      </c>
      <c r="B31" s="83" t="s">
        <v>165</v>
      </c>
      <c r="C31" s="84" t="s">
        <v>169</v>
      </c>
      <c r="D31" s="83" t="s">
        <v>133</v>
      </c>
      <c r="E31" s="83" t="s">
        <v>161</v>
      </c>
      <c r="F31" s="84" t="s">
        <v>162</v>
      </c>
    </row>
    <row r="32" ht="131" customHeight="1" spans="1:6">
      <c r="A32" s="83" t="s">
        <v>137</v>
      </c>
      <c r="B32" s="83"/>
      <c r="C32" s="84"/>
      <c r="D32" s="83" t="s">
        <v>137</v>
      </c>
      <c r="E32" s="83"/>
      <c r="F32" s="84"/>
    </row>
    <row r="33" ht="131" customHeight="1" spans="1:6">
      <c r="A33" s="83" t="s">
        <v>149</v>
      </c>
      <c r="B33" s="83"/>
      <c r="C33" s="84"/>
      <c r="D33" s="83" t="s">
        <v>149</v>
      </c>
      <c r="E33" s="83"/>
      <c r="F33" s="84"/>
    </row>
    <row r="34" ht="131" customHeight="1" spans="1:6">
      <c r="A34" s="83" t="s">
        <v>141</v>
      </c>
      <c r="B34" s="83"/>
      <c r="C34" s="84"/>
      <c r="D34" s="83" t="s">
        <v>141</v>
      </c>
      <c r="E34" s="83"/>
      <c r="F34" s="84"/>
    </row>
    <row r="35" ht="16.5" spans="1:6">
      <c r="A35" s="86"/>
      <c r="B35" s="86"/>
      <c r="C35" s="86"/>
      <c r="D35" s="86"/>
      <c r="E35" s="86"/>
      <c r="F35" s="86"/>
    </row>
    <row r="36" ht="16.5" spans="1:6">
      <c r="A36" s="86"/>
      <c r="B36" s="86"/>
      <c r="C36" s="86"/>
      <c r="D36" s="86"/>
      <c r="E36" s="86"/>
      <c r="F36" s="86"/>
    </row>
    <row r="37" ht="16.5" spans="1:6">
      <c r="A37" s="86"/>
      <c r="B37" s="86"/>
      <c r="C37" s="86"/>
      <c r="D37" s="86"/>
      <c r="E37" s="86"/>
      <c r="F37" s="86"/>
    </row>
    <row r="38" ht="16.5" spans="1:6">
      <c r="A38" s="86"/>
      <c r="B38" s="86"/>
      <c r="C38" s="86"/>
      <c r="D38" s="86"/>
      <c r="E38" s="86"/>
      <c r="F38" s="86"/>
    </row>
    <row r="39" ht="16.5" spans="1:6">
      <c r="A39" s="86"/>
      <c r="B39" s="86"/>
      <c r="C39" s="86"/>
      <c r="D39" s="86"/>
      <c r="E39" s="86"/>
      <c r="F39" s="86"/>
    </row>
    <row r="40" ht="16.5" spans="1:6">
      <c r="A40" s="86"/>
      <c r="B40" s="86"/>
      <c r="C40" s="86"/>
      <c r="D40" s="86"/>
      <c r="E40" s="86"/>
      <c r="F40" s="86"/>
    </row>
  </sheetData>
  <sheetProtection formatCells="0" insertHyperlinks="0" autoFilter="0"/>
  <mergeCells count="30">
    <mergeCell ref="A1:B1"/>
    <mergeCell ref="D1:E1"/>
    <mergeCell ref="A2:B2"/>
    <mergeCell ref="D2:E2"/>
    <mergeCell ref="A3:B3"/>
    <mergeCell ref="D3:E3"/>
    <mergeCell ref="B4:C4"/>
    <mergeCell ref="E4:F4"/>
    <mergeCell ref="B9:C9"/>
    <mergeCell ref="E9:F9"/>
    <mergeCell ref="B14:C14"/>
    <mergeCell ref="E14:F14"/>
    <mergeCell ref="B19:C19"/>
    <mergeCell ref="E19:F19"/>
    <mergeCell ref="B25:C25"/>
    <mergeCell ref="E25:F25"/>
    <mergeCell ref="B30:C30"/>
    <mergeCell ref="E30:F30"/>
    <mergeCell ref="C5:C8"/>
    <mergeCell ref="C10:C13"/>
    <mergeCell ref="C15:C18"/>
    <mergeCell ref="C20:C23"/>
    <mergeCell ref="C26:C29"/>
    <mergeCell ref="C31:C34"/>
    <mergeCell ref="F5:F8"/>
    <mergeCell ref="F10:F13"/>
    <mergeCell ref="F15:F18"/>
    <mergeCell ref="F20:F23"/>
    <mergeCell ref="F26:F29"/>
    <mergeCell ref="F31:F3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5"/>
  <sheetViews>
    <sheetView zoomScale="115" zoomScaleNormal="115" workbookViewId="0">
      <pane ySplit="3" topLeftCell="A22" activePane="bottomLeft" state="frozen"/>
      <selection/>
      <selection pane="bottomLeft" activeCell="E34" sqref="E34:E43"/>
    </sheetView>
  </sheetViews>
  <sheetFormatPr defaultColWidth="9" defaultRowHeight="16.5"/>
  <cols>
    <col min="1" max="1" width="26.25" style="37"/>
    <col min="2" max="2" width="14.25" style="37" customWidth="1"/>
    <col min="3" max="3" width="13" style="37" customWidth="1"/>
    <col min="4" max="4" width="14.375" style="37" customWidth="1"/>
    <col min="5" max="5" width="14.75" style="37" customWidth="1"/>
    <col min="6" max="6" width="18.625" style="37" customWidth="1"/>
    <col min="7" max="7" width="16.25" style="37" customWidth="1"/>
    <col min="8" max="8" width="13.5" style="37"/>
    <col min="9" max="9" width="14.625" style="37" customWidth="1"/>
    <col min="10" max="10" width="13.5" style="37" customWidth="1"/>
    <col min="11" max="11" width="12.625" style="37" customWidth="1"/>
    <col min="12" max="12" width="23.75" style="37"/>
    <col min="13" max="13" width="28.25" style="37"/>
    <col min="14" max="14" width="13.75" style="37" customWidth="1"/>
    <col min="15" max="17" width="9.375" style="37"/>
    <col min="18" max="18" width="5.375" style="37"/>
    <col min="19" max="19" width="17.125" style="37"/>
    <col min="20" max="20" width="20.375" style="37"/>
    <col min="21" max="21" width="18.75" style="37" customWidth="1"/>
    <col min="22" max="22" width="7.625" style="37"/>
    <col min="23" max="23" width="17.125" style="37"/>
    <col min="24" max="24" width="28.25" style="37"/>
    <col min="25" max="26" width="23.75"/>
    <col min="27" max="27" width="17.125"/>
    <col min="28" max="28" width="28.25"/>
    <col min="29" max="29" width="17.25"/>
    <col min="30" max="30" width="7.375"/>
    <col min="31" max="31" width="9.375"/>
    <col min="32" max="32" width="26.25"/>
    <col min="33" max="34" width="9.375"/>
    <col min="35" max="35" width="5.375"/>
    <col min="36" max="36" width="9.375"/>
    <col min="37" max="37" width="5.375"/>
  </cols>
  <sheetData>
    <row r="1" ht="78" customHeight="1" spans="1:10">
      <c r="A1" s="43" t="s">
        <v>170</v>
      </c>
      <c r="B1" s="65" t="s">
        <v>171</v>
      </c>
      <c r="C1" s="65"/>
      <c r="D1" s="65"/>
      <c r="E1" s="65"/>
      <c r="F1" s="65"/>
      <c r="G1" s="65"/>
      <c r="H1" s="65"/>
      <c r="I1" s="65"/>
      <c r="J1" s="65"/>
    </row>
    <row r="2" ht="96" customHeight="1" spans="1:18">
      <c r="A2" s="66" t="s">
        <v>172</v>
      </c>
      <c r="B2" s="66" t="s">
        <v>23</v>
      </c>
      <c r="C2" s="66" t="s">
        <v>1</v>
      </c>
      <c r="D2" s="66" t="s">
        <v>173</v>
      </c>
      <c r="E2" s="66" t="s">
        <v>174</v>
      </c>
      <c r="F2" s="66"/>
      <c r="H2" s="67" t="s">
        <v>175</v>
      </c>
      <c r="I2" s="67" t="s">
        <v>24</v>
      </c>
      <c r="J2" s="67" t="s">
        <v>1</v>
      </c>
      <c r="K2" s="48" t="s">
        <v>176</v>
      </c>
      <c r="L2" s="48" t="s">
        <v>174</v>
      </c>
      <c r="M2" s="48"/>
      <c r="N2" s="70"/>
      <c r="O2" s="44"/>
      <c r="R2" s="44"/>
    </row>
    <row r="3" spans="1:21">
      <c r="A3" s="43" t="s">
        <v>40</v>
      </c>
      <c r="B3" s="43" t="s">
        <v>177</v>
      </c>
      <c r="C3" s="43" t="s">
        <v>178</v>
      </c>
      <c r="D3" s="43" t="s">
        <v>179</v>
      </c>
      <c r="E3" s="43" t="s">
        <v>180</v>
      </c>
      <c r="F3" s="43" t="s">
        <v>181</v>
      </c>
      <c r="H3" s="68" t="s">
        <v>40</v>
      </c>
      <c r="I3" s="68" t="s">
        <v>177</v>
      </c>
      <c r="J3" s="68" t="s">
        <v>182</v>
      </c>
      <c r="K3" s="68" t="s">
        <v>179</v>
      </c>
      <c r="L3" s="68" t="s">
        <v>181</v>
      </c>
      <c r="O3" s="44"/>
      <c r="R3" s="44"/>
      <c r="U3" s="44"/>
    </row>
    <row r="4" spans="1:15">
      <c r="A4" s="44" t="s">
        <v>183</v>
      </c>
      <c r="B4" s="37">
        <f>VLOOKUP($A4&amp;$B$2,'4.2 产品详情原始数据'!$A:$BG,10,FALSE)</f>
        <v>2</v>
      </c>
      <c r="C4" s="37">
        <f>VLOOKUP($A4&amp;$B$2,'4.2 产品详情原始数据'!$A:$BG,37,FALSE)</f>
        <v>29</v>
      </c>
      <c r="D4" s="45">
        <f>VLOOKUP($A4&amp;$B$2,'4.2 产品详情原始数据'!$A:$BG,43,FALSE)</f>
        <v>0.069</v>
      </c>
      <c r="E4" s="69">
        <f>VLOOKUP($A4&amp;$B$2,'4.2 产品详情原始数据'!$A:$BG,7,FALSE)</f>
        <v>13.99</v>
      </c>
      <c r="H4" s="44" t="s">
        <v>183</v>
      </c>
      <c r="I4" s="37">
        <f>VLOOKUP(H4&amp;$I$2,'4.2 产品详情原始数据'!$A:$BG,10,FALSE)</f>
        <v>1</v>
      </c>
      <c r="J4" s="37">
        <f>VLOOKUP($H4&amp;$I$2,'4.2 产品详情原始数据'!$A:$BG,37,FALSE)</f>
        <v>25</v>
      </c>
      <c r="K4" s="45">
        <f>VLOOKUP($H4&amp;$I$2,'4.2 产品详情原始数据'!$A:$BG,43,FALSE)</f>
        <v>0.04</v>
      </c>
      <c r="O4" s="44"/>
    </row>
    <row r="5" spans="1:15">
      <c r="A5" s="44" t="s">
        <v>184</v>
      </c>
      <c r="B5" s="37">
        <f>VLOOKUP($A5&amp;$B$2,'4.2 产品详情原始数据'!$A:$BG,10,FALSE)</f>
        <v>1</v>
      </c>
      <c r="C5" s="37">
        <f>VLOOKUP($A5&amp;$B$2,'4.2 产品详情原始数据'!$A:$BG,37,FALSE)</f>
        <v>25</v>
      </c>
      <c r="D5" s="45">
        <f>VLOOKUP($A5&amp;$B$2,'4.2 产品详情原始数据'!$A:$BG,43,FALSE)</f>
        <v>0.04</v>
      </c>
      <c r="E5" s="69">
        <f>VLOOKUP($A5&amp;$B$2,'4.2 产品详情原始数据'!$A:$BG,7,FALSE)</f>
        <v>13.99</v>
      </c>
      <c r="H5" s="44" t="s">
        <v>184</v>
      </c>
      <c r="I5" s="37">
        <f>VLOOKUP(H5&amp;$I$2,'4.2 产品详情原始数据'!$A:$BG,10,FALSE)</f>
        <v>0</v>
      </c>
      <c r="J5" s="37">
        <f>VLOOKUP($H5&amp;$I$2,'4.2 产品详情原始数据'!$A:$BG,37,FALSE)</f>
        <v>16</v>
      </c>
      <c r="K5" s="45">
        <f>VLOOKUP($H5&amp;$I$2,'4.2 产品详情原始数据'!$A:$BG,43,FALSE)</f>
        <v>0</v>
      </c>
      <c r="O5" s="44"/>
    </row>
    <row r="6" spans="1:11">
      <c r="A6" s="44" t="s">
        <v>185</v>
      </c>
      <c r="B6" s="37">
        <f>VLOOKUP($A6&amp;$B$2,'4.2 产品详情原始数据'!$A:$BG,10,FALSE)</f>
        <v>0</v>
      </c>
      <c r="C6" s="37">
        <f>VLOOKUP($A6&amp;$B$2,'4.2 产品详情原始数据'!$A:$BG,37,FALSE)</f>
        <v>17</v>
      </c>
      <c r="D6" s="45">
        <f>VLOOKUP($A6&amp;$B$2,'4.2 产品详情原始数据'!$A:$BG,43,FALSE)</f>
        <v>0</v>
      </c>
      <c r="E6" s="69">
        <f>VLOOKUP($A6&amp;$B$2,'4.2 产品详情原始数据'!$A:$BG,7,FALSE)</f>
        <v>13.99</v>
      </c>
      <c r="H6" s="44" t="s">
        <v>185</v>
      </c>
      <c r="I6" s="37">
        <f>VLOOKUP(H6&amp;$I$2,'4.2 产品详情原始数据'!$A:$BG,10,FALSE)</f>
        <v>1</v>
      </c>
      <c r="J6" s="37">
        <f>VLOOKUP($H6&amp;$I$2,'4.2 产品详情原始数据'!$A:$BG,37,FALSE)</f>
        <v>28</v>
      </c>
      <c r="K6" s="45">
        <f>VLOOKUP($H6&amp;$I$2,'4.2 产品详情原始数据'!$A:$BG,43,FALSE)</f>
        <v>0.0357</v>
      </c>
    </row>
    <row r="7" spans="1:11">
      <c r="A7" s="44" t="s">
        <v>186</v>
      </c>
      <c r="B7" s="37">
        <f>VLOOKUP($A7&amp;$B$2,'4.2 产品详情原始数据'!$A:$BG,10,FALSE)</f>
        <v>1</v>
      </c>
      <c r="C7" s="37">
        <f>VLOOKUP($A7&amp;$B$2,'4.2 产品详情原始数据'!$A:$BG,37,FALSE)</f>
        <v>32</v>
      </c>
      <c r="D7" s="45">
        <f>VLOOKUP($A7&amp;$B$2,'4.2 产品详情原始数据'!$A:$BG,43,FALSE)</f>
        <v>0.0312</v>
      </c>
      <c r="E7" s="69">
        <f>VLOOKUP($A7&amp;$B$2,'4.2 产品详情原始数据'!$A:$BG,7,FALSE)</f>
        <v>13.99</v>
      </c>
      <c r="H7" s="44" t="s">
        <v>186</v>
      </c>
      <c r="I7" s="37">
        <f>VLOOKUP(H7&amp;$I$2,'4.2 产品详情原始数据'!$A:$BG,10,FALSE)</f>
        <v>5</v>
      </c>
      <c r="J7" s="37">
        <f>VLOOKUP($H7&amp;$I$2,'4.2 产品详情原始数据'!$A:$BG,37,FALSE)</f>
        <v>37</v>
      </c>
      <c r="K7" s="45">
        <f>VLOOKUP($H7&amp;$I$2,'4.2 产品详情原始数据'!$A:$BG,43,FALSE)</f>
        <v>0.1351</v>
      </c>
    </row>
    <row r="8" spans="1:11">
      <c r="A8" s="44" t="s">
        <v>187</v>
      </c>
      <c r="B8" s="37">
        <f>VLOOKUP($A8&amp;$B$2,'4.2 产品详情原始数据'!$A:$BG,10,FALSE)</f>
        <v>3</v>
      </c>
      <c r="C8" s="37">
        <f>VLOOKUP($A8&amp;$B$2,'4.2 产品详情原始数据'!$A:$BG,37,FALSE)</f>
        <v>40</v>
      </c>
      <c r="D8" s="45">
        <f>VLOOKUP($A8&amp;$B$2,'4.2 产品详情原始数据'!$A:$BG,43,FALSE)</f>
        <v>0.075</v>
      </c>
      <c r="E8" s="69">
        <f>VLOOKUP($A8&amp;$B$2,'4.2 产品详情原始数据'!$A:$BG,7,FALSE)</f>
        <v>13.99</v>
      </c>
      <c r="H8" s="44" t="s">
        <v>187</v>
      </c>
      <c r="I8" s="37">
        <f>VLOOKUP(H8&amp;$I$2,'4.2 产品详情原始数据'!$A:$BG,10,FALSE)</f>
        <v>2</v>
      </c>
      <c r="J8" s="37">
        <f>VLOOKUP($H8&amp;$I$2,'4.2 产品详情原始数据'!$A:$BG,37,FALSE)</f>
        <v>47</v>
      </c>
      <c r="K8" s="45">
        <f>VLOOKUP($H8&amp;$I$2,'4.2 产品详情原始数据'!$A:$BG,43,FALSE)</f>
        <v>0.0426</v>
      </c>
    </row>
    <row r="9" spans="1:11">
      <c r="A9" s="44" t="s">
        <v>188</v>
      </c>
      <c r="B9" s="37">
        <f>VLOOKUP($A9&amp;$B$2,'4.2 产品详情原始数据'!$A:$BG,10,FALSE)</f>
        <v>3</v>
      </c>
      <c r="C9" s="37">
        <f>VLOOKUP($A9&amp;$B$2,'4.2 产品详情原始数据'!$A:$BG,37,FALSE)</f>
        <v>54</v>
      </c>
      <c r="D9" s="45">
        <f>VLOOKUP($A9&amp;$B$2,'4.2 产品详情原始数据'!$A:$BG,43,FALSE)</f>
        <v>0.0556</v>
      </c>
      <c r="E9" s="69">
        <f>VLOOKUP($A9&amp;$B$2,'4.2 产品详情原始数据'!$A:$BG,7,FALSE)</f>
        <v>13.99</v>
      </c>
      <c r="H9" s="44" t="s">
        <v>188</v>
      </c>
      <c r="I9" s="37">
        <f>VLOOKUP(H9&amp;$I$2,'4.2 产品详情原始数据'!$A:$BG,10,FALSE)</f>
        <v>1</v>
      </c>
      <c r="J9" s="37">
        <f>VLOOKUP($H9&amp;$I$2,'4.2 产品详情原始数据'!$A:$BG,37,FALSE)</f>
        <v>50</v>
      </c>
      <c r="K9" s="45">
        <f>VLOOKUP($H9&amp;$I$2,'4.2 产品详情原始数据'!$A:$BG,43,FALSE)</f>
        <v>0.02</v>
      </c>
    </row>
    <row r="10" spans="1:11">
      <c r="A10" s="44" t="s">
        <v>189</v>
      </c>
      <c r="B10" s="37">
        <f>VLOOKUP($A10&amp;$B$2,'4.2 产品详情原始数据'!$A:$BG,10,FALSE)</f>
        <v>9</v>
      </c>
      <c r="C10" s="37">
        <f>VLOOKUP($A10&amp;$B$2,'4.2 产品详情原始数据'!$A:$BG,37,FALSE)</f>
        <v>46</v>
      </c>
      <c r="D10" s="45">
        <f>VLOOKUP($A10&amp;$B$2,'4.2 产品详情原始数据'!$A:$BG,43,FALSE)</f>
        <v>0.1957</v>
      </c>
      <c r="E10" s="69">
        <f>VLOOKUP($A10&amp;$B$2,'4.2 产品详情原始数据'!$A:$BG,7,FALSE)</f>
        <v>13.99</v>
      </c>
      <c r="H10" s="44" t="s">
        <v>189</v>
      </c>
      <c r="I10" s="37">
        <f>VLOOKUP(H10&amp;$I$2,'4.2 产品详情原始数据'!$A:$BG,10,FALSE)</f>
        <v>1</v>
      </c>
      <c r="J10" s="37">
        <f>VLOOKUP($H10&amp;$I$2,'4.2 产品详情原始数据'!$A:$BG,37,FALSE)</f>
        <v>34</v>
      </c>
      <c r="K10" s="45">
        <f>VLOOKUP($H10&amp;$I$2,'4.2 产品详情原始数据'!$A:$BG,43,FALSE)</f>
        <v>0.0294</v>
      </c>
    </row>
    <row r="11" spans="1:11">
      <c r="A11" s="44" t="s">
        <v>190</v>
      </c>
      <c r="B11" s="37">
        <f>VLOOKUP($A11&amp;$B$2,'4.2 产品详情原始数据'!$A:$BG,10,FALSE)</f>
        <v>5</v>
      </c>
      <c r="C11" s="37">
        <f>VLOOKUP($A11&amp;$B$2,'4.2 产品详情原始数据'!$A:$BG,37,FALSE)</f>
        <v>78</v>
      </c>
      <c r="D11" s="45">
        <f>VLOOKUP($A11&amp;$B$2,'4.2 产品详情原始数据'!$A:$BG,43,FALSE)</f>
        <v>0.0641</v>
      </c>
      <c r="E11" s="69">
        <f>VLOOKUP($A11&amp;$B$2,'4.2 产品详情原始数据'!$A:$BG,7,FALSE)</f>
        <v>13.99</v>
      </c>
      <c r="H11" s="44" t="s">
        <v>190</v>
      </c>
      <c r="I11" s="37">
        <f>VLOOKUP(H11&amp;$I$2,'4.2 产品详情原始数据'!$A:$BG,10,FALSE)</f>
        <v>5</v>
      </c>
      <c r="J11" s="37">
        <f>VLOOKUP($H11&amp;$I$2,'4.2 产品详情原始数据'!$A:$BG,37,FALSE)</f>
        <v>48</v>
      </c>
      <c r="K11" s="45">
        <f>VLOOKUP($H11&amp;$I$2,'4.2 产品详情原始数据'!$A:$BG,43,FALSE)</f>
        <v>0.1042</v>
      </c>
    </row>
    <row r="12" spans="1:11">
      <c r="A12" s="44" t="s">
        <v>191</v>
      </c>
      <c r="B12" s="37">
        <f>VLOOKUP($A12&amp;$B$2,'4.2 产品详情原始数据'!$A:$BG,10,FALSE)</f>
        <v>9</v>
      </c>
      <c r="C12" s="37">
        <f>VLOOKUP($A12&amp;$B$2,'4.2 产品详情原始数据'!$A:$BG,37,FALSE)</f>
        <v>71</v>
      </c>
      <c r="D12" s="45">
        <f>VLOOKUP($A12&amp;$B$2,'4.2 产品详情原始数据'!$A:$BG,43,FALSE)</f>
        <v>0.1268</v>
      </c>
      <c r="E12" s="69">
        <f>VLOOKUP($A12&amp;$B$2,'4.2 产品详情原始数据'!$A:$BG,7,FALSE)</f>
        <v>13.99</v>
      </c>
      <c r="H12" s="44" t="s">
        <v>191</v>
      </c>
      <c r="I12" s="37">
        <f>VLOOKUP(H12&amp;$I$2,'4.2 产品详情原始数据'!$A:$BG,10,FALSE)</f>
        <v>3</v>
      </c>
      <c r="J12" s="37">
        <f>VLOOKUP($H12&amp;$I$2,'4.2 产品详情原始数据'!$A:$BG,37,FALSE)</f>
        <v>62</v>
      </c>
      <c r="K12" s="45">
        <f>VLOOKUP($H12&amp;$I$2,'4.2 产品详情原始数据'!$A:$BG,43,FALSE)</f>
        <v>0.0484</v>
      </c>
    </row>
    <row r="13" spans="1:11">
      <c r="A13" s="44" t="s">
        <v>192</v>
      </c>
      <c r="B13" s="37">
        <f>VLOOKUP($A13&amp;$B$2,'4.2 产品详情原始数据'!$A:$BG,10,FALSE)</f>
        <v>4</v>
      </c>
      <c r="C13" s="37">
        <f>VLOOKUP($A13&amp;$B$2,'4.2 产品详情原始数据'!$A:$BG,37,FALSE)</f>
        <v>85</v>
      </c>
      <c r="D13" s="45">
        <f>VLOOKUP($A13&amp;$B$2,'4.2 产品详情原始数据'!$A:$BG,43,FALSE)</f>
        <v>0.0471</v>
      </c>
      <c r="E13" s="69">
        <f>VLOOKUP($A13&amp;$B$2,'4.2 产品详情原始数据'!$A:$BG,7,FALSE)</f>
        <v>13.99</v>
      </c>
      <c r="H13" s="44" t="s">
        <v>192</v>
      </c>
      <c r="I13" s="37">
        <f>VLOOKUP(H13&amp;$I$2,'4.2 产品详情原始数据'!$A:$BG,10,FALSE)</f>
        <v>5</v>
      </c>
      <c r="J13" s="37">
        <f>VLOOKUP($H13&amp;$I$2,'4.2 产品详情原始数据'!$A:$BG,37,FALSE)</f>
        <v>52</v>
      </c>
      <c r="K13" s="45">
        <f>VLOOKUP($H13&amp;$I$2,'4.2 产品详情原始数据'!$A:$BG,43,FALSE)</f>
        <v>0.0962</v>
      </c>
    </row>
    <row r="14" spans="1:11">
      <c r="A14" s="44" t="s">
        <v>193</v>
      </c>
      <c r="B14" s="37">
        <f>VLOOKUP($A14&amp;$B$2,'4.2 产品详情原始数据'!$A:$BG,10,FALSE)</f>
        <v>9</v>
      </c>
      <c r="C14" s="37">
        <f>VLOOKUP($A14&amp;$B$2,'4.2 产品详情原始数据'!$A:$BG,37,FALSE)</f>
        <v>94</v>
      </c>
      <c r="D14" s="45">
        <f>VLOOKUP($A14&amp;$B$2,'4.2 产品详情原始数据'!$A:$BG,43,FALSE)</f>
        <v>0.0957</v>
      </c>
      <c r="E14" s="69">
        <f>VLOOKUP($A14&amp;$B$2,'4.2 产品详情原始数据'!$A:$BG,7,FALSE)</f>
        <v>13.99</v>
      </c>
      <c r="H14" s="44" t="s">
        <v>193</v>
      </c>
      <c r="I14" s="37">
        <f>VLOOKUP(H14&amp;$I$2,'4.2 产品详情原始数据'!$A:$BG,10,FALSE)</f>
        <v>3</v>
      </c>
      <c r="J14" s="37">
        <f>VLOOKUP($H14&amp;$I$2,'4.2 产品详情原始数据'!$A:$BG,37,FALSE)</f>
        <v>61</v>
      </c>
      <c r="K14" s="45">
        <f>VLOOKUP($H14&amp;$I$2,'4.2 产品详情原始数据'!$A:$BG,43,FALSE)</f>
        <v>0.0492</v>
      </c>
    </row>
    <row r="15" spans="1:11">
      <c r="A15" s="44" t="s">
        <v>194</v>
      </c>
      <c r="B15" s="37">
        <f>VLOOKUP($A15&amp;$B$2,'4.2 产品详情原始数据'!$A:$BG,10,FALSE)</f>
        <v>9</v>
      </c>
      <c r="C15" s="37">
        <f>VLOOKUP($A15&amp;$B$2,'4.2 产品详情原始数据'!$A:$BG,37,FALSE)</f>
        <v>124</v>
      </c>
      <c r="D15" s="45">
        <f>VLOOKUP($A15&amp;$B$2,'4.2 产品详情原始数据'!$A:$BG,43,FALSE)</f>
        <v>0.0726</v>
      </c>
      <c r="E15" s="69">
        <f>VLOOKUP($A15&amp;$B$2,'4.2 产品详情原始数据'!$A:$BG,7,FALSE)</f>
        <v>13.99</v>
      </c>
      <c r="H15" s="44" t="s">
        <v>194</v>
      </c>
      <c r="I15" s="37">
        <f>VLOOKUP(H15&amp;$I$2,'4.2 产品详情原始数据'!$A:$BG,10,FALSE)</f>
        <v>2</v>
      </c>
      <c r="J15" s="37">
        <f>VLOOKUP($H15&amp;$I$2,'4.2 产品详情原始数据'!$A:$BG,37,FALSE)</f>
        <v>81</v>
      </c>
      <c r="K15" s="45">
        <f>VLOOKUP($H15&amp;$I$2,'4.2 产品详情原始数据'!$A:$BG,43,FALSE)</f>
        <v>0.0247</v>
      </c>
    </row>
    <row r="16" spans="1:11">
      <c r="A16" s="44" t="s">
        <v>195</v>
      </c>
      <c r="B16" s="37">
        <f>VLOOKUP($A16&amp;$B$2,'4.2 产品详情原始数据'!$A:$BG,10,FALSE)</f>
        <v>8</v>
      </c>
      <c r="C16" s="37">
        <f>VLOOKUP($A16&amp;$B$2,'4.2 产品详情原始数据'!$A:$BG,37,FALSE)</f>
        <v>149</v>
      </c>
      <c r="D16" s="45">
        <f>VLOOKUP($A16&amp;$B$2,'4.2 产品详情原始数据'!$A:$BG,43,FALSE)</f>
        <v>0.0537</v>
      </c>
      <c r="E16" s="69">
        <f>VLOOKUP($A16&amp;$B$2,'4.2 产品详情原始数据'!$A:$BG,7,FALSE)</f>
        <v>13.99</v>
      </c>
      <c r="H16" s="44" t="s">
        <v>195</v>
      </c>
      <c r="I16" s="37">
        <f>VLOOKUP(H16&amp;$I$2,'4.2 产品详情原始数据'!$A:$BG,10,FALSE)</f>
        <v>11</v>
      </c>
      <c r="J16" s="37">
        <f>VLOOKUP($H16&amp;$I$2,'4.2 产品详情原始数据'!$A:$BG,37,FALSE)</f>
        <v>90</v>
      </c>
      <c r="K16" s="45">
        <f>VLOOKUP($H16&amp;$I$2,'4.2 产品详情原始数据'!$A:$BG,43,FALSE)</f>
        <v>0.1222</v>
      </c>
    </row>
    <row r="17" spans="1:11">
      <c r="A17" s="44" t="s">
        <v>196</v>
      </c>
      <c r="B17" s="37">
        <f>VLOOKUP($A17&amp;$B$2,'4.2 产品详情原始数据'!$A:$BG,10,FALSE)</f>
        <v>23</v>
      </c>
      <c r="C17" s="37">
        <f>VLOOKUP($A17&amp;$B$2,'4.2 产品详情原始数据'!$A:$BG,37,FALSE)</f>
        <v>203</v>
      </c>
      <c r="D17" s="45">
        <f>VLOOKUP($A17&amp;$B$2,'4.2 产品详情原始数据'!$A:$BG,43,FALSE)</f>
        <v>0.1133</v>
      </c>
      <c r="E17" s="69">
        <f>VLOOKUP($A17&amp;$B$2,'4.2 产品详情原始数据'!$A:$BG,7,FALSE)</f>
        <v>13.99</v>
      </c>
      <c r="H17" s="44" t="s">
        <v>196</v>
      </c>
      <c r="I17" s="37">
        <f>VLOOKUP(H17&amp;$I$2,'4.2 产品详情原始数据'!$A:$BG,10,FALSE)</f>
        <v>11</v>
      </c>
      <c r="J17" s="37">
        <f>VLOOKUP($H17&amp;$I$2,'4.2 产品详情原始数据'!$A:$BG,37,FALSE)</f>
        <v>129</v>
      </c>
      <c r="K17" s="45">
        <f>VLOOKUP($H17&amp;$I$2,'4.2 产品详情原始数据'!$A:$BG,43,FALSE)</f>
        <v>0.0853</v>
      </c>
    </row>
    <row r="18" spans="1:11">
      <c r="A18" s="44" t="s">
        <v>197</v>
      </c>
      <c r="B18" s="37">
        <f>VLOOKUP($A18&amp;$B$2,'4.2 产品详情原始数据'!$A:$BG,10,FALSE)</f>
        <v>17</v>
      </c>
      <c r="C18" s="37">
        <f>VLOOKUP($A18&amp;$B$2,'4.2 产品详情原始数据'!$A:$BG,37,FALSE)</f>
        <v>138</v>
      </c>
      <c r="D18" s="45">
        <f>VLOOKUP($A18&amp;$B$2,'4.2 产品详情原始数据'!$A:$BG,43,FALSE)</f>
        <v>0.1232</v>
      </c>
      <c r="E18" s="69">
        <f>VLOOKUP($A18&amp;$B$2,'4.2 产品详情原始数据'!$A:$BG,7,FALSE)</f>
        <v>13.99</v>
      </c>
      <c r="H18" s="44" t="s">
        <v>197</v>
      </c>
      <c r="I18" s="37">
        <f>VLOOKUP(H18&amp;$I$2,'4.2 产品详情原始数据'!$A:$BG,10,FALSE)</f>
        <v>10</v>
      </c>
      <c r="J18" s="37">
        <f>VLOOKUP($H18&amp;$I$2,'4.2 产品详情原始数据'!$A:$BG,37,FALSE)</f>
        <v>77</v>
      </c>
      <c r="K18" s="45">
        <f>VLOOKUP($H18&amp;$I$2,'4.2 产品详情原始数据'!$A:$BG,43,FALSE)</f>
        <v>0.1299</v>
      </c>
    </row>
    <row r="19" spans="1:11">
      <c r="A19" s="44" t="s">
        <v>198</v>
      </c>
      <c r="B19" s="37">
        <f>VLOOKUP($A19&amp;$B$2,'4.2 产品详情原始数据'!$A:$BG,10,FALSE)</f>
        <v>11</v>
      </c>
      <c r="C19" s="37">
        <f>VLOOKUP($A19&amp;$B$2,'4.2 产品详情原始数据'!$A:$BG,37,FALSE)</f>
        <v>142</v>
      </c>
      <c r="D19" s="45">
        <f>VLOOKUP($A19&amp;$B$2,'4.2 产品详情原始数据'!$A:$BG,43,FALSE)</f>
        <v>0.0775</v>
      </c>
      <c r="E19" s="69">
        <f>VLOOKUP($A19&amp;$B$2,'4.2 产品详情原始数据'!$A:$BG,7,FALSE)</f>
        <v>13.99</v>
      </c>
      <c r="H19" s="44" t="s">
        <v>198</v>
      </c>
      <c r="I19" s="37">
        <f>VLOOKUP(H19&amp;$I$2,'4.2 产品详情原始数据'!$A:$BG,10,FALSE)</f>
        <v>4</v>
      </c>
      <c r="J19" s="37">
        <f>VLOOKUP($H19&amp;$I$2,'4.2 产品详情原始数据'!$A:$BG,37,FALSE)</f>
        <v>62</v>
      </c>
      <c r="K19" s="45">
        <f>VLOOKUP($H19&amp;$I$2,'4.2 产品详情原始数据'!$A:$BG,43,FALSE)</f>
        <v>0.0645</v>
      </c>
    </row>
    <row r="20" spans="1:11">
      <c r="A20" s="44" t="s">
        <v>199</v>
      </c>
      <c r="B20" s="37">
        <f>VLOOKUP($A20&amp;$B$2,'4.2 产品详情原始数据'!$A:$BG,10,FALSE)</f>
        <v>12</v>
      </c>
      <c r="C20" s="37">
        <f>VLOOKUP($A20&amp;$B$2,'4.2 产品详情原始数据'!$A:$BG,37,FALSE)</f>
        <v>122</v>
      </c>
      <c r="D20" s="45">
        <f>VLOOKUP($A20&amp;$B$2,'4.2 产品详情原始数据'!$A:$BG,43,FALSE)</f>
        <v>0.0984</v>
      </c>
      <c r="E20" s="69">
        <f>VLOOKUP($A20&amp;$B$2,'4.2 产品详情原始数据'!$A:$BG,7,FALSE)</f>
        <v>13.99</v>
      </c>
      <c r="H20" s="44" t="s">
        <v>199</v>
      </c>
      <c r="I20" s="37">
        <f>VLOOKUP(H20&amp;$I$2,'4.2 产品详情原始数据'!$A:$BG,10,FALSE)</f>
        <v>4</v>
      </c>
      <c r="J20" s="37">
        <f>VLOOKUP($H20&amp;$I$2,'4.2 产品详情原始数据'!$A:$BG,37,FALSE)</f>
        <v>61</v>
      </c>
      <c r="K20" s="45">
        <f>VLOOKUP($H20&amp;$I$2,'4.2 产品详情原始数据'!$A:$BG,43,FALSE)</f>
        <v>0.0656</v>
      </c>
    </row>
    <row r="21" spans="1:11">
      <c r="A21" s="44" t="s">
        <v>200</v>
      </c>
      <c r="B21" s="37">
        <f>VLOOKUP($A21&amp;$B$2,'4.2 产品详情原始数据'!$A:$BG,10,FALSE)</f>
        <v>9</v>
      </c>
      <c r="C21" s="37">
        <f>VLOOKUP($A21&amp;$B$2,'4.2 产品详情原始数据'!$A:$BG,37,FALSE)</f>
        <v>102</v>
      </c>
      <c r="D21" s="45">
        <f>VLOOKUP($A21&amp;$B$2,'4.2 产品详情原始数据'!$A:$BG,43,FALSE)</f>
        <v>0.0882</v>
      </c>
      <c r="E21" s="69">
        <f>VLOOKUP($A21&amp;$B$2,'4.2 产品详情原始数据'!$A:$BG,7,FALSE)</f>
        <v>13.99</v>
      </c>
      <c r="H21" s="44" t="s">
        <v>200</v>
      </c>
      <c r="I21" s="37">
        <f>VLOOKUP(H21&amp;$I$2,'4.2 产品详情原始数据'!$A:$BG,10,FALSE)</f>
        <v>5</v>
      </c>
      <c r="J21" s="37">
        <f>VLOOKUP($H21&amp;$I$2,'4.2 产品详情原始数据'!$A:$BG,37,FALSE)</f>
        <v>58</v>
      </c>
      <c r="K21" s="45">
        <f>VLOOKUP($H21&amp;$I$2,'4.2 产品详情原始数据'!$A:$BG,43,FALSE)</f>
        <v>0.0862</v>
      </c>
    </row>
    <row r="22" spans="1:11">
      <c r="A22" s="44" t="s">
        <v>201</v>
      </c>
      <c r="B22" s="37">
        <f>VLOOKUP($A22&amp;$B$2,'4.2 产品详情原始数据'!$A:$BG,10,FALSE)</f>
        <v>11</v>
      </c>
      <c r="C22" s="37">
        <f>VLOOKUP($A22&amp;$B$2,'4.2 产品详情原始数据'!$A:$BG,37,FALSE)</f>
        <v>172</v>
      </c>
      <c r="D22" s="45">
        <f>VLOOKUP($A22&amp;$B$2,'4.2 产品详情原始数据'!$A:$BG,43,FALSE)</f>
        <v>0.064</v>
      </c>
      <c r="E22" s="69">
        <f>VLOOKUP($A22&amp;$B$2,'4.2 产品详情原始数据'!$A:$BG,7,FALSE)</f>
        <v>13.99</v>
      </c>
      <c r="H22" s="44" t="s">
        <v>201</v>
      </c>
      <c r="I22" s="37">
        <f>VLOOKUP(H22&amp;$I$2,'4.2 产品详情原始数据'!$A:$BG,10,FALSE)</f>
        <v>5</v>
      </c>
      <c r="J22" s="37">
        <f>VLOOKUP($H22&amp;$I$2,'4.2 产品详情原始数据'!$A:$BG,37,FALSE)</f>
        <v>67</v>
      </c>
      <c r="K22" s="45">
        <f>VLOOKUP($H22&amp;$I$2,'4.2 产品详情原始数据'!$A:$BG,43,FALSE)</f>
        <v>0.0746</v>
      </c>
    </row>
    <row r="23" spans="1:11">
      <c r="A23" s="44" t="s">
        <v>202</v>
      </c>
      <c r="B23" s="37">
        <f>VLOOKUP($A23&amp;$B$2,'4.2 产品详情原始数据'!$A:$BG,10,FALSE)</f>
        <v>14</v>
      </c>
      <c r="C23" s="37">
        <f>VLOOKUP($A23&amp;$B$2,'4.2 产品详情原始数据'!$A:$BG,37,FALSE)</f>
        <v>204</v>
      </c>
      <c r="D23" s="45">
        <f>VLOOKUP($A23&amp;$B$2,'4.2 产品详情原始数据'!$A:$BG,43,FALSE)</f>
        <v>0.0686</v>
      </c>
      <c r="E23" s="69">
        <f>VLOOKUP($A23&amp;$B$2,'4.2 产品详情原始数据'!$A:$BG,7,FALSE)</f>
        <v>13.99</v>
      </c>
      <c r="H23" s="44" t="s">
        <v>202</v>
      </c>
      <c r="I23" s="37">
        <f>VLOOKUP(H23&amp;$I$2,'4.2 产品详情原始数据'!$A:$BG,10,FALSE)</f>
        <v>10</v>
      </c>
      <c r="J23" s="37">
        <f>VLOOKUP($H23&amp;$I$2,'4.2 产品详情原始数据'!$A:$BG,37,FALSE)</f>
        <v>81</v>
      </c>
      <c r="K23" s="45">
        <f>VLOOKUP($H23&amp;$I$2,'4.2 产品详情原始数据'!$A:$BG,43,FALSE)</f>
        <v>0.1235</v>
      </c>
    </row>
    <row r="24" spans="1:11">
      <c r="A24" s="44" t="s">
        <v>203</v>
      </c>
      <c r="B24" s="37">
        <f>VLOOKUP($A24&amp;$B$2,'4.2 产品详情原始数据'!$A:$BG,10,FALSE)</f>
        <v>18</v>
      </c>
      <c r="C24" s="37">
        <f>VLOOKUP($A24&amp;$B$2,'4.2 产品详情原始数据'!$A:$BG,37,FALSE)</f>
        <v>165</v>
      </c>
      <c r="D24" s="45">
        <f>VLOOKUP($A24&amp;$B$2,'4.2 产品详情原始数据'!$A:$BG,43,FALSE)</f>
        <v>0.1091</v>
      </c>
      <c r="E24" s="69">
        <f>VLOOKUP($A24&amp;$B$2,'4.2 产品详情原始数据'!$A:$BG,7,FALSE)</f>
        <v>13.99</v>
      </c>
      <c r="H24" s="44" t="s">
        <v>203</v>
      </c>
      <c r="I24" s="37">
        <f>VLOOKUP(H24&amp;$I$2,'4.2 产品详情原始数据'!$A:$BG,10,FALSE)</f>
        <v>5</v>
      </c>
      <c r="J24" s="37">
        <f>VLOOKUP($H24&amp;$I$2,'4.2 产品详情原始数据'!$A:$BG,37,FALSE)</f>
        <v>56</v>
      </c>
      <c r="K24" s="45">
        <f>VLOOKUP($H24&amp;$I$2,'4.2 产品详情原始数据'!$A:$BG,43,FALSE)</f>
        <v>0.0893</v>
      </c>
    </row>
    <row r="25" spans="1:11">
      <c r="A25" s="44" t="s">
        <v>204</v>
      </c>
      <c r="B25" s="37">
        <f>VLOOKUP($A25&amp;$B$2,'4.2 产品详情原始数据'!$A:$BG,10,FALSE)</f>
        <v>19</v>
      </c>
      <c r="C25" s="37">
        <f>VLOOKUP($A25&amp;$B$2,'4.2 产品详情原始数据'!$A:$BG,37,FALSE)</f>
        <v>175</v>
      </c>
      <c r="D25" s="45">
        <f>VLOOKUP($A25&amp;$B$2,'4.2 产品详情原始数据'!$A:$BG,43,FALSE)</f>
        <v>0.1086</v>
      </c>
      <c r="E25" s="69">
        <f>VLOOKUP($A25&amp;$B$2,'4.2 产品详情原始数据'!$A:$BG,7,FALSE)</f>
        <v>13.99</v>
      </c>
      <c r="H25" s="44" t="s">
        <v>204</v>
      </c>
      <c r="I25" s="37">
        <f>VLOOKUP(H25&amp;$I$2,'4.2 产品详情原始数据'!$A:$BG,10,FALSE)</f>
        <v>10</v>
      </c>
      <c r="J25" s="37">
        <f>VLOOKUP($H25&amp;$I$2,'4.2 产品详情原始数据'!$A:$BG,37,FALSE)</f>
        <v>60</v>
      </c>
      <c r="K25" s="45">
        <f>VLOOKUP($H25&amp;$I$2,'4.2 产品详情原始数据'!$A:$BG,43,FALSE)</f>
        <v>0.1667</v>
      </c>
    </row>
    <row r="26" spans="1:11">
      <c r="A26" s="44" t="s">
        <v>205</v>
      </c>
      <c r="B26" s="37">
        <f>VLOOKUP($A26&amp;$B$2,'4.2 产品详情原始数据'!$A:$BG,10,FALSE)</f>
        <v>21</v>
      </c>
      <c r="C26" s="37">
        <f>VLOOKUP($A26&amp;$B$2,'4.2 产品详情原始数据'!$A:$BG,37,FALSE)</f>
        <v>200</v>
      </c>
      <c r="D26" s="45">
        <f>VLOOKUP($A26&amp;$B$2,'4.2 产品详情原始数据'!$A:$BG,43,FALSE)</f>
        <v>0.105</v>
      </c>
      <c r="E26" s="69">
        <f>VLOOKUP($A26&amp;$B$2,'4.2 产品详情原始数据'!$A:$BG,7,FALSE)</f>
        <v>13.99</v>
      </c>
      <c r="H26" s="44" t="s">
        <v>205</v>
      </c>
      <c r="I26" s="37">
        <f>VLOOKUP(H26&amp;$I$2,'4.2 产品详情原始数据'!$A:$BG,10,FALSE)</f>
        <v>6</v>
      </c>
      <c r="J26" s="37">
        <f>VLOOKUP($H26&amp;$I$2,'4.2 产品详情原始数据'!$A:$BG,37,FALSE)</f>
        <v>71</v>
      </c>
      <c r="K26" s="45">
        <f>VLOOKUP($H26&amp;$I$2,'4.2 产品详情原始数据'!$A:$BG,43,FALSE)</f>
        <v>0.0845</v>
      </c>
    </row>
    <row r="27" spans="1:11">
      <c r="A27" s="44" t="s">
        <v>206</v>
      </c>
      <c r="B27" s="37">
        <f>VLOOKUP($A27&amp;$B$2,'4.2 产品详情原始数据'!$A:$BG,10,FALSE)</f>
        <v>22</v>
      </c>
      <c r="C27" s="37">
        <f>VLOOKUP($A27&amp;$B$2,'4.2 产品详情原始数据'!$A:$BG,37,FALSE)</f>
        <v>176</v>
      </c>
      <c r="D27" s="45">
        <f>VLOOKUP($A27&amp;$B$2,'4.2 产品详情原始数据'!$A:$BG,43,FALSE)</f>
        <v>0.125</v>
      </c>
      <c r="E27" s="69">
        <f>VLOOKUP($A27&amp;$B$2,'4.2 产品详情原始数据'!$A:$BG,7,FALSE)</f>
        <v>13.99</v>
      </c>
      <c r="H27" s="44" t="s">
        <v>206</v>
      </c>
      <c r="I27" s="37">
        <f>VLOOKUP(H27&amp;$I$2,'4.2 产品详情原始数据'!$A:$BG,10,FALSE)</f>
        <v>14</v>
      </c>
      <c r="J27" s="37">
        <f>VLOOKUP($H27&amp;$I$2,'4.2 产品详情原始数据'!$A:$BG,37,FALSE)</f>
        <v>72</v>
      </c>
      <c r="K27" s="45">
        <f>VLOOKUP($H27&amp;$I$2,'4.2 产品详情原始数据'!$A:$BG,43,FALSE)</f>
        <v>0.1944</v>
      </c>
    </row>
    <row r="28" spans="1:11">
      <c r="A28" s="44" t="s">
        <v>207</v>
      </c>
      <c r="B28" s="37">
        <f>VLOOKUP($A28&amp;$B$2,'4.2 产品详情原始数据'!$A:$BG,10,FALSE)</f>
        <v>29</v>
      </c>
      <c r="C28" s="37">
        <f>VLOOKUP($A28&amp;$B$2,'4.2 产品详情原始数据'!$A:$BG,37,FALSE)</f>
        <v>187</v>
      </c>
      <c r="D28" s="45">
        <f>VLOOKUP($A28&amp;$B$2,'4.2 产品详情原始数据'!$A:$BG,43,FALSE)</f>
        <v>0.1551</v>
      </c>
      <c r="E28" s="69">
        <f>VLOOKUP($A28&amp;$B$2,'4.2 产品详情原始数据'!$A:$BG,7,FALSE)</f>
        <v>13.99</v>
      </c>
      <c r="H28" s="44" t="s">
        <v>207</v>
      </c>
      <c r="I28" s="37">
        <f>VLOOKUP(H28&amp;$I$2,'4.2 产品详情原始数据'!$A:$BG,10,FALSE)</f>
        <v>7</v>
      </c>
      <c r="J28" s="37">
        <f>VLOOKUP($H28&amp;$I$2,'4.2 产品详情原始数据'!$A:$BG,37,FALSE)</f>
        <v>67</v>
      </c>
      <c r="K28" s="45">
        <f>VLOOKUP($H28&amp;$I$2,'4.2 产品详情原始数据'!$A:$BG,43,FALSE)</f>
        <v>0.1045</v>
      </c>
    </row>
    <row r="29" spans="1:11">
      <c r="A29" s="44" t="s">
        <v>208</v>
      </c>
      <c r="B29" s="37">
        <f>VLOOKUP($A29&amp;$B$2,'4.2 产品详情原始数据'!$A:$BG,10,FALSE)</f>
        <v>18</v>
      </c>
      <c r="C29" s="37">
        <f>VLOOKUP($A29&amp;$B$2,'4.2 产品详情原始数据'!$A:$BG,37,FALSE)</f>
        <v>241</v>
      </c>
      <c r="D29" s="45">
        <f>VLOOKUP($A29&amp;$B$2,'4.2 产品详情原始数据'!$A:$BG,43,FALSE)</f>
        <v>0.0747</v>
      </c>
      <c r="E29" s="69">
        <f>VLOOKUP($A29&amp;$B$2,'4.2 产品详情原始数据'!$A:$BG,7,FALSE)</f>
        <v>15.99</v>
      </c>
      <c r="H29" s="44" t="s">
        <v>208</v>
      </c>
      <c r="I29" s="37">
        <f>VLOOKUP(H29&amp;$I$2,'4.2 产品详情原始数据'!$A:$BG,10,FALSE)</f>
        <v>8</v>
      </c>
      <c r="J29" s="37">
        <f>VLOOKUP($H29&amp;$I$2,'4.2 产品详情原始数据'!$A:$BG,37,FALSE)</f>
        <v>91</v>
      </c>
      <c r="K29" s="45">
        <f>VLOOKUP($H29&amp;$I$2,'4.2 产品详情原始数据'!$A:$BG,43,FALSE)</f>
        <v>0.0879</v>
      </c>
    </row>
    <row r="30" spans="1:11">
      <c r="A30" s="44" t="s">
        <v>209</v>
      </c>
      <c r="B30" s="37">
        <f>VLOOKUP($A30&amp;$B$2,'4.2 产品详情原始数据'!$A:$BG,10,FALSE)</f>
        <v>40</v>
      </c>
      <c r="C30" s="37">
        <f>VLOOKUP($A30&amp;$B$2,'4.2 产品详情原始数据'!$A:$BG,37,FALSE)</f>
        <v>341</v>
      </c>
      <c r="D30" s="45">
        <f>VLOOKUP($A30&amp;$B$2,'4.2 产品详情原始数据'!$A:$BG,43,FALSE)</f>
        <v>0.1173</v>
      </c>
      <c r="E30" s="69">
        <f>VLOOKUP($A30&amp;$B$2,'4.2 产品详情原始数据'!$A:$BG,7,FALSE)</f>
        <v>15.99</v>
      </c>
      <c r="H30" s="44" t="s">
        <v>209</v>
      </c>
      <c r="I30" s="37">
        <f>VLOOKUP(H30&amp;$I$2,'4.2 产品详情原始数据'!$A:$BG,10,FALSE)</f>
        <v>20</v>
      </c>
      <c r="J30" s="37">
        <f>VLOOKUP($H30&amp;$I$2,'4.2 产品详情原始数据'!$A:$BG,37,FALSE)</f>
        <v>125</v>
      </c>
      <c r="K30" s="45">
        <f>VLOOKUP($H30&amp;$I$2,'4.2 产品详情原始数据'!$A:$BG,43,FALSE)</f>
        <v>0.16</v>
      </c>
    </row>
    <row r="31" spans="1:11">
      <c r="A31" s="44" t="s">
        <v>210</v>
      </c>
      <c r="B31" s="37">
        <f>VLOOKUP($A31&amp;$B$2,'4.2 产品详情原始数据'!$A:$BG,10,FALSE)</f>
        <v>28</v>
      </c>
      <c r="C31" s="37">
        <f>VLOOKUP($A31&amp;$B$2,'4.2 产品详情原始数据'!$A:$BG,37,FALSE)</f>
        <v>225</v>
      </c>
      <c r="D31" s="45">
        <f>VLOOKUP($A31&amp;$B$2,'4.2 产品详情原始数据'!$A:$BG,43,FALSE)</f>
        <v>0.1244</v>
      </c>
      <c r="E31" s="69">
        <f>VLOOKUP($A31&amp;$B$2,'4.2 产品详情原始数据'!$A:$BG,7,FALSE)</f>
        <v>16.99</v>
      </c>
      <c r="H31" s="44" t="s">
        <v>210</v>
      </c>
      <c r="I31" s="37">
        <f>VLOOKUP(H31&amp;$I$2,'4.2 产品详情原始数据'!$A:$BG,10,FALSE)</f>
        <v>8</v>
      </c>
      <c r="J31" s="37">
        <f>VLOOKUP($H31&amp;$I$2,'4.2 产品详情原始数据'!$A:$BG,37,FALSE)</f>
        <v>73</v>
      </c>
      <c r="K31" s="45">
        <f>VLOOKUP($H31&amp;$I$2,'4.2 产品详情原始数据'!$A:$BG,43,FALSE)</f>
        <v>0.1096</v>
      </c>
    </row>
    <row r="32" spans="1:11">
      <c r="A32" s="44" t="s">
        <v>211</v>
      </c>
      <c r="B32" s="37">
        <f>VLOOKUP($A32&amp;$B$2,'4.2 产品详情原始数据'!$A:$BG,10,FALSE)</f>
        <v>26</v>
      </c>
      <c r="C32" s="37">
        <f>VLOOKUP($A32&amp;$B$2,'4.2 产品详情原始数据'!$A:$BG,37,FALSE)</f>
        <v>235</v>
      </c>
      <c r="D32" s="45">
        <f>VLOOKUP($A32&amp;$B$2,'4.2 产品详情原始数据'!$A:$BG,43,FALSE)</f>
        <v>0.1106</v>
      </c>
      <c r="E32" s="69">
        <f>VLOOKUP($A32&amp;$B$2,'4.2 产品详情原始数据'!$A:$BG,7,FALSE)</f>
        <v>16.99</v>
      </c>
      <c r="H32" s="44" t="s">
        <v>211</v>
      </c>
      <c r="I32" s="37">
        <f>VLOOKUP(H32&amp;$I$2,'4.2 产品详情原始数据'!$A:$BG,10,FALSE)</f>
        <v>10</v>
      </c>
      <c r="J32" s="37">
        <f>VLOOKUP($H32&amp;$I$2,'4.2 产品详情原始数据'!$A:$BG,37,FALSE)</f>
        <v>92</v>
      </c>
      <c r="K32" s="45">
        <f>VLOOKUP($H32&amp;$I$2,'4.2 产品详情原始数据'!$A:$BG,43,FALSE)</f>
        <v>0.1087</v>
      </c>
    </row>
    <row r="33" spans="1:11">
      <c r="A33" s="44" t="s">
        <v>212</v>
      </c>
      <c r="B33" s="37">
        <f>VLOOKUP($A33&amp;$B$2,'4.2 产品详情原始数据'!$A:$BG,10,FALSE)</f>
        <v>21</v>
      </c>
      <c r="C33" s="37">
        <f>VLOOKUP($A33&amp;$B$2,'4.2 产品详情原始数据'!$A:$BG,37,FALSE)</f>
        <v>226</v>
      </c>
      <c r="D33" s="45">
        <f>VLOOKUP($A33&amp;$B$2,'4.2 产品详情原始数据'!$A:$BG,43,FALSE)</f>
        <v>0.0929</v>
      </c>
      <c r="E33" s="69">
        <f>VLOOKUP($A33&amp;$B$2,'4.2 产品详情原始数据'!$A:$BG,7,FALSE)</f>
        <v>16.99</v>
      </c>
      <c r="H33" s="44" t="s">
        <v>212</v>
      </c>
      <c r="I33" s="37">
        <f>VLOOKUP(H33&amp;$I$2,'4.2 产品详情原始数据'!$A:$BG,10,FALSE)</f>
        <v>13</v>
      </c>
      <c r="J33" s="37">
        <f>VLOOKUP($H33&amp;$I$2,'4.2 产品详情原始数据'!$A:$BG,37,FALSE)</f>
        <v>85</v>
      </c>
      <c r="K33" s="45">
        <f>VLOOKUP($H33&amp;$I$2,'4.2 产品详情原始数据'!$A:$BG,43,FALSE)</f>
        <v>0.1529</v>
      </c>
    </row>
    <row r="34" spans="1:11">
      <c r="A34" s="44" t="s">
        <v>213</v>
      </c>
      <c r="B34" s="37">
        <f>VLOOKUP($A34&amp;$B$2,'4.2 产品详情原始数据'!$A:$BG,10,FALSE)</f>
        <v>35</v>
      </c>
      <c r="C34" s="37">
        <f>VLOOKUP($A34&amp;$B$2,'4.2 产品详情原始数据'!$A:$BG,37,FALSE)</f>
        <v>220</v>
      </c>
      <c r="D34" s="45">
        <f>VLOOKUP($A34&amp;$B$2,'4.2 产品详情原始数据'!$A:$BG,43,FALSE)</f>
        <v>0.1591</v>
      </c>
      <c r="E34" s="69">
        <f>VLOOKUP($A34&amp;$B$2,'4.2 产品详情原始数据'!$A:$BG,7,FALSE)</f>
        <v>16.99</v>
      </c>
      <c r="H34" s="44" t="s">
        <v>213</v>
      </c>
      <c r="I34" s="37">
        <f>VLOOKUP(H34&amp;$I$2,'4.2 产品详情原始数据'!$A:$BG,10,FALSE)</f>
        <v>7</v>
      </c>
      <c r="J34" s="37">
        <f>VLOOKUP($H34&amp;$I$2,'4.2 产品详情原始数据'!$A:$BG,37,FALSE)</f>
        <v>66</v>
      </c>
      <c r="K34" s="45">
        <f>VLOOKUP($H34&amp;$I$2,'4.2 产品详情原始数据'!$A:$BG,43,FALSE)</f>
        <v>0.1061</v>
      </c>
    </row>
    <row r="35" spans="1:11">
      <c r="A35" s="44" t="s">
        <v>214</v>
      </c>
      <c r="B35" s="37">
        <f>VLOOKUP($A35&amp;$B$2,'4.2 产品详情原始数据'!$A:$BG,10,FALSE)</f>
        <v>27</v>
      </c>
      <c r="C35" s="37">
        <f>VLOOKUP($A35&amp;$B$2,'4.2 产品详情原始数据'!$A:$BG,37,FALSE)</f>
        <v>206</v>
      </c>
      <c r="D35" s="45">
        <f>VLOOKUP($A35&amp;$B$2,'4.2 产品详情原始数据'!$A:$BG,43,FALSE)</f>
        <v>0.1311</v>
      </c>
      <c r="E35" s="69">
        <f>VLOOKUP($A35&amp;$B$2,'4.2 产品详情原始数据'!$A:$BG,7,FALSE)</f>
        <v>16.99</v>
      </c>
      <c r="H35" s="44" t="s">
        <v>214</v>
      </c>
      <c r="I35" s="37">
        <f>VLOOKUP(H35&amp;$I$2,'4.2 产品详情原始数据'!$A:$BG,10,FALSE)</f>
        <v>13</v>
      </c>
      <c r="J35" s="37">
        <f>VLOOKUP($H35&amp;$I$2,'4.2 产品详情原始数据'!$A:$BG,37,FALSE)</f>
        <v>74</v>
      </c>
      <c r="K35" s="45">
        <f>VLOOKUP($H35&amp;$I$2,'4.2 产品详情原始数据'!$A:$BG,43,FALSE)</f>
        <v>0.1757</v>
      </c>
    </row>
    <row r="36" spans="1:11">
      <c r="A36" s="44" t="s">
        <v>215</v>
      </c>
      <c r="B36" s="37">
        <f>VLOOKUP($A36&amp;$B$2,'4.2 产品详情原始数据'!$A:$BG,10,FALSE)</f>
        <v>24</v>
      </c>
      <c r="C36" s="37">
        <f>VLOOKUP($A36&amp;$B$2,'4.2 产品详情原始数据'!$A:$BG,37,FALSE)</f>
        <v>250</v>
      </c>
      <c r="D36" s="45">
        <f>VLOOKUP($A36&amp;$B$2,'4.2 产品详情原始数据'!$A:$BG,43,FALSE)</f>
        <v>0.096</v>
      </c>
      <c r="E36" s="69">
        <f>VLOOKUP($A36&amp;$B$2,'4.2 产品详情原始数据'!$A:$BG,7,FALSE)</f>
        <v>16.99</v>
      </c>
      <c r="H36" s="44" t="s">
        <v>215</v>
      </c>
      <c r="I36" s="37">
        <f>VLOOKUP(H36&amp;$I$2,'4.2 产品详情原始数据'!$A:$BG,10,FALSE)</f>
        <v>18</v>
      </c>
      <c r="J36" s="37">
        <f>VLOOKUP($H36&amp;$I$2,'4.2 产品详情原始数据'!$A:$BG,37,FALSE)</f>
        <v>77</v>
      </c>
      <c r="K36" s="45">
        <f>VLOOKUP($H36&amp;$I$2,'4.2 产品详情原始数据'!$A:$BG,43,FALSE)</f>
        <v>0.2338</v>
      </c>
    </row>
    <row r="37" spans="1:11">
      <c r="A37" s="44" t="s">
        <v>216</v>
      </c>
      <c r="B37" s="37">
        <f>VLOOKUP($A37&amp;$B$2,'4.2 产品详情原始数据'!$A:$BG,10,FALSE)</f>
        <v>35</v>
      </c>
      <c r="C37" s="37">
        <f>VLOOKUP($A37&amp;$B$2,'4.2 产品详情原始数据'!$A:$BG,37,FALSE)</f>
        <v>314</v>
      </c>
      <c r="D37" s="45">
        <f>VLOOKUP($A37&amp;$B$2,'4.2 产品详情原始数据'!$A:$BG,43,FALSE)</f>
        <v>0.1115</v>
      </c>
      <c r="E37" s="69">
        <f>VLOOKUP($A37&amp;$B$2,'4.2 产品详情原始数据'!$A:$BG,7,FALSE)</f>
        <v>16.99</v>
      </c>
      <c r="H37" s="44" t="s">
        <v>216</v>
      </c>
      <c r="I37" s="37">
        <f>VLOOKUP(H37&amp;$I$2,'4.2 产品详情原始数据'!$A:$BG,10,FALSE)</f>
        <v>8</v>
      </c>
      <c r="J37" s="37">
        <f>VLOOKUP($H37&amp;$I$2,'4.2 产品详情原始数据'!$A:$BG,37,FALSE)</f>
        <v>113</v>
      </c>
      <c r="K37" s="45">
        <f>VLOOKUP($H37&amp;$I$2,'4.2 产品详情原始数据'!$A:$BG,43,FALSE)</f>
        <v>0.0708</v>
      </c>
    </row>
    <row r="38" spans="1:11">
      <c r="A38" s="44" t="s">
        <v>217</v>
      </c>
      <c r="B38" s="37">
        <f>VLOOKUP($A38&amp;$B$2,'4.2 产品详情原始数据'!$A:$BG,10,FALSE)</f>
        <v>25</v>
      </c>
      <c r="C38" s="37">
        <f>VLOOKUP($A38&amp;$B$2,'4.2 产品详情原始数据'!$A:$BG,37,FALSE)</f>
        <v>231</v>
      </c>
      <c r="D38" s="45">
        <f>VLOOKUP($A38&amp;$B$2,'4.2 产品详情原始数据'!$A:$BG,43,FALSE)</f>
        <v>0.1082</v>
      </c>
      <c r="E38" s="69">
        <f>VLOOKUP($A38&amp;$B$2,'4.2 产品详情原始数据'!$A:$BG,7,FALSE)</f>
        <v>17.99</v>
      </c>
      <c r="H38" s="44" t="s">
        <v>217</v>
      </c>
      <c r="I38" s="37">
        <f>VLOOKUP(H38&amp;$I$2,'4.2 产品详情原始数据'!$A:$BG,10,FALSE)</f>
        <v>12</v>
      </c>
      <c r="J38" s="37">
        <f>VLOOKUP($H38&amp;$I$2,'4.2 产品详情原始数据'!$A:$BG,37,FALSE)</f>
        <v>85</v>
      </c>
      <c r="K38" s="45">
        <f>VLOOKUP($H38&amp;$I$2,'4.2 产品详情原始数据'!$A:$BG,43,FALSE)</f>
        <v>0.1412</v>
      </c>
    </row>
    <row r="39" spans="1:11">
      <c r="A39" s="44" t="s">
        <v>218</v>
      </c>
      <c r="B39" s="37">
        <f>VLOOKUP($A39&amp;$B$2,'4.2 产品详情原始数据'!$A:$BG,10,FALSE)</f>
        <v>31</v>
      </c>
      <c r="C39" s="37">
        <f>VLOOKUP($A39&amp;$B$2,'4.2 产品详情原始数据'!$A:$BG,37,FALSE)</f>
        <v>214</v>
      </c>
      <c r="D39" s="45">
        <f>VLOOKUP($A39&amp;$B$2,'4.2 产品详情原始数据'!$A:$BG,43,FALSE)</f>
        <v>0.1449</v>
      </c>
      <c r="E39" s="69">
        <f>VLOOKUP($A39&amp;$B$2,'4.2 产品详情原始数据'!$A:$BG,7,FALSE)</f>
        <v>17.99</v>
      </c>
      <c r="H39" s="44" t="s">
        <v>218</v>
      </c>
      <c r="I39" s="37">
        <f>VLOOKUP(H39&amp;$I$2,'4.2 产品详情原始数据'!$A:$BG,10,FALSE)</f>
        <v>14</v>
      </c>
      <c r="J39" s="37">
        <f>VLOOKUP($H39&amp;$I$2,'4.2 产品详情原始数据'!$A:$BG,37,FALSE)</f>
        <v>61</v>
      </c>
      <c r="K39" s="45">
        <f>VLOOKUP($H39&amp;$I$2,'4.2 产品详情原始数据'!$A:$BG,43,FALSE)</f>
        <v>0.2295</v>
      </c>
    </row>
    <row r="40" spans="1:11">
      <c r="A40" s="44" t="s">
        <v>219</v>
      </c>
      <c r="B40" s="37">
        <f>VLOOKUP($A40&amp;$B$2,'4.2 产品详情原始数据'!$A:$BG,10,FALSE)</f>
        <v>24</v>
      </c>
      <c r="C40" s="37">
        <f>VLOOKUP($A40&amp;$B$2,'4.2 产品详情原始数据'!$A:$BG,37,FALSE)</f>
        <v>191</v>
      </c>
      <c r="D40" s="45">
        <f>VLOOKUP($A40&amp;$B$2,'4.2 产品详情原始数据'!$A:$BG,43,FALSE)</f>
        <v>0.1257</v>
      </c>
      <c r="E40" s="69">
        <f>VLOOKUP($A40&amp;$B$2,'4.2 产品详情原始数据'!$A:$BG,7,FALSE)</f>
        <v>17.99</v>
      </c>
      <c r="H40" s="44" t="s">
        <v>219</v>
      </c>
      <c r="I40" s="37">
        <f>VLOOKUP(H40&amp;$I$2,'4.2 产品详情原始数据'!$A:$BG,10,FALSE)</f>
        <v>9</v>
      </c>
      <c r="J40" s="37">
        <f>VLOOKUP($H40&amp;$I$2,'4.2 产品详情原始数据'!$A:$BG,37,FALSE)</f>
        <v>60</v>
      </c>
      <c r="K40" s="45">
        <f>VLOOKUP($H40&amp;$I$2,'4.2 产品详情原始数据'!$A:$BG,43,FALSE)</f>
        <v>0.15</v>
      </c>
    </row>
    <row r="41" spans="1:11">
      <c r="A41" s="44" t="s">
        <v>220</v>
      </c>
      <c r="B41" s="37">
        <f>VLOOKUP($A41&amp;$B$2,'4.2 产品详情原始数据'!$A:$BG,10,FALSE)</f>
        <v>29</v>
      </c>
      <c r="C41" s="37">
        <f>VLOOKUP($A41&amp;$B$2,'4.2 产品详情原始数据'!$A:$BG,37,FALSE)</f>
        <v>191</v>
      </c>
      <c r="D41" s="45">
        <f>VLOOKUP($A41&amp;$B$2,'4.2 产品详情原始数据'!$A:$BG,43,FALSE)</f>
        <v>0.1518</v>
      </c>
      <c r="E41" s="69">
        <f>VLOOKUP($A41&amp;$B$2,'4.2 产品详情原始数据'!$A:$BG,7,FALSE)</f>
        <v>17.99</v>
      </c>
      <c r="H41" s="44" t="s">
        <v>220</v>
      </c>
      <c r="I41" s="37">
        <f>VLOOKUP(H41&amp;$I$2,'4.2 产品详情原始数据'!$A:$BG,10,FALSE)</f>
        <v>6</v>
      </c>
      <c r="J41" s="37">
        <f>VLOOKUP($H41&amp;$I$2,'4.2 产品详情原始数据'!$A:$BG,37,FALSE)</f>
        <v>69</v>
      </c>
      <c r="K41" s="45">
        <f>VLOOKUP($H41&amp;$I$2,'4.2 产品详情原始数据'!$A:$BG,43,FALSE)</f>
        <v>0.087</v>
      </c>
    </row>
    <row r="42" spans="1:11">
      <c r="A42" s="44" t="s">
        <v>221</v>
      </c>
      <c r="B42" s="37">
        <f>VLOOKUP($A42&amp;$B$2,'4.2 产品详情原始数据'!$A:$BG,10,FALSE)</f>
        <v>29</v>
      </c>
      <c r="C42" s="37">
        <f>VLOOKUP($A42&amp;$B$2,'4.2 产品详情原始数据'!$A:$BG,37,FALSE)</f>
        <v>216</v>
      </c>
      <c r="D42" s="45">
        <f>VLOOKUP($A42&amp;$B$2,'4.2 产品详情原始数据'!$A:$BG,43,FALSE)</f>
        <v>0.1343</v>
      </c>
      <c r="E42" s="69">
        <f>VLOOKUP($A42&amp;$B$2,'4.2 产品详情原始数据'!$A:$BG,7,FALSE)</f>
        <v>17.99</v>
      </c>
      <c r="H42" s="44" t="s">
        <v>221</v>
      </c>
      <c r="I42" s="37">
        <f>VLOOKUP(H42&amp;$I$2,'4.2 产品详情原始数据'!$A:$BG,10,FALSE)</f>
        <v>10</v>
      </c>
      <c r="J42" s="37">
        <f>VLOOKUP($H42&amp;$I$2,'4.2 产品详情原始数据'!$A:$BG,37,FALSE)</f>
        <v>69</v>
      </c>
      <c r="K42" s="45">
        <f>VLOOKUP($H42&amp;$I$2,'4.2 产品详情原始数据'!$A:$BG,43,FALSE)</f>
        <v>0.1449</v>
      </c>
    </row>
    <row r="43" spans="1:11">
      <c r="A43" s="44" t="s">
        <v>222</v>
      </c>
      <c r="B43" s="37">
        <f>VLOOKUP($A43&amp;$B$2,'4.2 产品详情原始数据'!$A:$BG,10,FALSE)</f>
        <v>47</v>
      </c>
      <c r="C43" s="37">
        <f>VLOOKUP($A43&amp;$B$2,'4.2 产品详情原始数据'!$A:$BG,37,FALSE)</f>
        <v>353</v>
      </c>
      <c r="D43" s="45">
        <f>VLOOKUP($A43&amp;$B$2,'4.2 产品详情原始数据'!$A:$BG,43,FALSE)</f>
        <v>0.1331</v>
      </c>
      <c r="E43" s="69">
        <f>VLOOKUP($A43&amp;$B$2,'4.2 产品详情原始数据'!$A:$BG,7,FALSE)</f>
        <v>17.99</v>
      </c>
      <c r="H43" s="44" t="s">
        <v>222</v>
      </c>
      <c r="I43" s="37">
        <f>VLOOKUP(H43&amp;$I$2,'4.2 产品详情原始数据'!$A:$BG,10,FALSE)</f>
        <v>36</v>
      </c>
      <c r="J43" s="37">
        <f>VLOOKUP($H43&amp;$I$2,'4.2 产品详情原始数据'!$A:$BG,37,FALSE)</f>
        <v>180</v>
      </c>
      <c r="K43" s="45">
        <f>VLOOKUP($H43&amp;$I$2,'4.2 产品详情原始数据'!$A:$BG,43,FALSE)</f>
        <v>0.2</v>
      </c>
    </row>
    <row r="44" spans="1:11">
      <c r="A44" s="44" t="s">
        <v>223</v>
      </c>
      <c r="B44" s="37">
        <f>VLOOKUP($A44&amp;$B$2,'4.2 产品详情原始数据'!$A:$BG,10,FALSE)</f>
        <v>49</v>
      </c>
      <c r="C44" s="37">
        <f>VLOOKUP($A44&amp;$B$2,'4.2 产品详情原始数据'!$A:$BG,37,FALSE)</f>
        <v>403</v>
      </c>
      <c r="D44" s="45">
        <f>VLOOKUP($A44&amp;$B$2,'4.2 产品详情原始数据'!$A:$BG,43,FALSE)</f>
        <v>0.1216</v>
      </c>
      <c r="E44" s="69">
        <f>VLOOKUP($A44&amp;$B$2,'4.2 产品详情原始数据'!$A:$BG,7,FALSE)</f>
        <v>17.99</v>
      </c>
      <c r="H44" s="44" t="s">
        <v>223</v>
      </c>
      <c r="I44" s="37">
        <f>VLOOKUP(H44&amp;$I$2,'4.2 产品详情原始数据'!$A:$BG,10,FALSE)</f>
        <v>40</v>
      </c>
      <c r="J44" s="37">
        <f>VLOOKUP($H44&amp;$I$2,'4.2 产品详情原始数据'!$A:$BG,37,FALSE)</f>
        <v>221</v>
      </c>
      <c r="K44" s="45">
        <f>VLOOKUP($H44&amp;$I$2,'4.2 产品详情原始数据'!$A:$BG,43,FALSE)</f>
        <v>0.181</v>
      </c>
    </row>
    <row r="45" spans="1:11">
      <c r="A45" s="44" t="s">
        <v>224</v>
      </c>
      <c r="B45" s="37">
        <f>VLOOKUP($A45&amp;$B$2,'4.2 产品详情原始数据'!$A:$BG,10,FALSE)</f>
        <v>38</v>
      </c>
      <c r="C45" s="37">
        <f>VLOOKUP($A45&amp;$B$2,'4.2 产品详情原始数据'!$A:$BG,37,FALSE)</f>
        <v>285</v>
      </c>
      <c r="D45" s="45">
        <f>VLOOKUP($A45&amp;$B$2,'4.2 产品详情原始数据'!$A:$BG,43,FALSE)</f>
        <v>0.1333</v>
      </c>
      <c r="E45" s="69">
        <f>VLOOKUP($A45&amp;$B$2,'4.2 产品详情原始数据'!$A:$BG,7,FALSE)</f>
        <v>19.99</v>
      </c>
      <c r="H45" s="44" t="s">
        <v>224</v>
      </c>
      <c r="I45" s="37">
        <f>VLOOKUP(H45&amp;$I$2,'4.2 产品详情原始数据'!$A:$BG,10,FALSE)</f>
        <v>23</v>
      </c>
      <c r="J45" s="37">
        <f>VLOOKUP($H45&amp;$I$2,'4.2 产品详情原始数据'!$A:$BG,37,FALSE)</f>
        <v>126</v>
      </c>
      <c r="K45" s="45">
        <f>VLOOKUP($H45&amp;$I$2,'4.2 产品详情原始数据'!$A:$BG,43,FALSE)</f>
        <v>0.1825</v>
      </c>
    </row>
    <row r="46" spans="1:11">
      <c r="A46" s="44" t="s">
        <v>225</v>
      </c>
      <c r="B46" s="37">
        <f>VLOOKUP($A46&amp;$B$2,'4.2 产品详情原始数据'!$A:$BG,10,FALSE)</f>
        <v>27</v>
      </c>
      <c r="C46" s="37">
        <f>VLOOKUP($A46&amp;$B$2,'4.2 产品详情原始数据'!$A:$BG,37,FALSE)</f>
        <v>229</v>
      </c>
      <c r="D46" s="45">
        <f>VLOOKUP($A46&amp;$B$2,'4.2 产品详情原始数据'!$A:$BG,43,FALSE)</f>
        <v>0.1179</v>
      </c>
      <c r="E46" s="69">
        <f>VLOOKUP($A46&amp;$B$2,'4.2 产品详情原始数据'!$A:$BG,7,FALSE)</f>
        <v>21.99</v>
      </c>
      <c r="H46" s="44" t="s">
        <v>225</v>
      </c>
      <c r="I46" s="37">
        <f>VLOOKUP(H46&amp;$I$2,'4.2 产品详情原始数据'!$A:$BG,10,FALSE)</f>
        <v>18</v>
      </c>
      <c r="J46" s="37">
        <f>VLOOKUP($H46&amp;$I$2,'4.2 产品详情原始数据'!$A:$BG,37,FALSE)</f>
        <v>119</v>
      </c>
      <c r="K46" s="45">
        <f>VLOOKUP($H46&amp;$I$2,'4.2 产品详情原始数据'!$A:$BG,43,FALSE)</f>
        <v>0.1513</v>
      </c>
    </row>
    <row r="47" spans="1:11">
      <c r="A47" s="44" t="s">
        <v>226</v>
      </c>
      <c r="B47" s="37">
        <f>VLOOKUP($A47&amp;$B$2,'4.2 产品详情原始数据'!$A:$BG,10,FALSE)</f>
        <v>32</v>
      </c>
      <c r="C47" s="37">
        <f>VLOOKUP($A47&amp;$B$2,'4.2 产品详情原始数据'!$A:$BG,37,FALSE)</f>
        <v>208</v>
      </c>
      <c r="D47" s="45">
        <f>VLOOKUP($A47&amp;$B$2,'4.2 产品详情原始数据'!$A:$BG,43,FALSE)</f>
        <v>0.1538</v>
      </c>
      <c r="E47" s="69">
        <f>VLOOKUP($A47&amp;$B$2,'4.2 产品详情原始数据'!$A:$BG,7,FALSE)</f>
        <v>21.99</v>
      </c>
      <c r="H47" s="44" t="s">
        <v>226</v>
      </c>
      <c r="I47" s="37">
        <f>VLOOKUP(H47&amp;$I$2,'4.2 产品详情原始数据'!$A:$BG,10,FALSE)</f>
        <v>26</v>
      </c>
      <c r="J47" s="37">
        <f>VLOOKUP($H47&amp;$I$2,'4.2 产品详情原始数据'!$A:$BG,37,FALSE)</f>
        <v>117</v>
      </c>
      <c r="K47" s="45">
        <f>VLOOKUP($H47&amp;$I$2,'4.2 产品详情原始数据'!$A:$BG,43,FALSE)</f>
        <v>0.2222</v>
      </c>
    </row>
    <row r="48" spans="1:11">
      <c r="A48" s="44" t="s">
        <v>227</v>
      </c>
      <c r="B48" s="37">
        <f>VLOOKUP($A48&amp;$B$2,'4.2 产品详情原始数据'!$A:$BG,10,FALSE)</f>
        <v>20</v>
      </c>
      <c r="C48" s="37">
        <f>VLOOKUP($A48&amp;$B$2,'4.2 产品详情原始数据'!$A:$BG,37,FALSE)</f>
        <v>167</v>
      </c>
      <c r="D48" s="45">
        <f>VLOOKUP($A48&amp;$B$2,'4.2 产品详情原始数据'!$A:$BG,43,FALSE)</f>
        <v>0.1198</v>
      </c>
      <c r="E48" s="69">
        <f>VLOOKUP($A48&amp;$B$2,'4.2 产品详情原始数据'!$A:$BG,7,FALSE)</f>
        <v>21.99</v>
      </c>
      <c r="H48" s="44" t="s">
        <v>227</v>
      </c>
      <c r="I48" s="37">
        <f>VLOOKUP(H48&amp;$I$2,'4.2 产品详情原始数据'!$A:$BG,10,FALSE)</f>
        <v>22</v>
      </c>
      <c r="J48" s="37">
        <f>VLOOKUP($H48&amp;$I$2,'4.2 产品详情原始数据'!$A:$BG,37,FALSE)</f>
        <v>115</v>
      </c>
      <c r="K48" s="45">
        <f>VLOOKUP($H48&amp;$I$2,'4.2 产品详情原始数据'!$A:$BG,43,FALSE)</f>
        <v>0.1913</v>
      </c>
    </row>
    <row r="49" spans="1:11">
      <c r="A49" s="44" t="s">
        <v>228</v>
      </c>
      <c r="B49" s="37">
        <f>VLOOKUP($A49&amp;$B$2,'4.2 产品详情原始数据'!$A:$BG,10,FALSE)</f>
        <v>24</v>
      </c>
      <c r="C49" s="37">
        <f>VLOOKUP($A49&amp;$B$2,'4.2 产品详情原始数据'!$A:$BG,37,FALSE)</f>
        <v>160</v>
      </c>
      <c r="D49" s="45">
        <f>VLOOKUP($A49&amp;$B$2,'4.2 产品详情原始数据'!$A:$BG,43,FALSE)</f>
        <v>0.15</v>
      </c>
      <c r="E49" s="69">
        <f>VLOOKUP($A49&amp;$B$2,'4.2 产品详情原始数据'!$A:$BG,7,FALSE)</f>
        <v>19.99</v>
      </c>
      <c r="H49" s="44" t="s">
        <v>228</v>
      </c>
      <c r="I49" s="37">
        <f>VLOOKUP(H49&amp;$I$2,'4.2 产品详情原始数据'!$A:$BG,10,FALSE)</f>
        <v>12</v>
      </c>
      <c r="J49" s="37">
        <f>VLOOKUP($H49&amp;$I$2,'4.2 产品详情原始数据'!$A:$BG,37,FALSE)</f>
        <v>96</v>
      </c>
      <c r="K49" s="45">
        <f>VLOOKUP($H49&amp;$I$2,'4.2 产品详情原始数据'!$A:$BG,43,FALSE)</f>
        <v>0.125</v>
      </c>
    </row>
    <row r="50" spans="1:11">
      <c r="A50" s="44" t="s">
        <v>229</v>
      </c>
      <c r="B50" s="37">
        <f>VLOOKUP($A50&amp;$B$2,'4.2 产品详情原始数据'!$A:$BG,10,FALSE)</f>
        <v>10</v>
      </c>
      <c r="C50" s="37">
        <f>VLOOKUP($A50&amp;$B$2,'4.2 产品详情原始数据'!$A:$BG,37,FALSE)</f>
        <v>192</v>
      </c>
      <c r="D50" s="45">
        <f>VLOOKUP($A50&amp;$B$2,'4.2 产品详情原始数据'!$A:$BG,43,FALSE)</f>
        <v>0.0521</v>
      </c>
      <c r="E50" s="69">
        <f>VLOOKUP($A50&amp;$B$2,'4.2 产品详情原始数据'!$A:$BG,7,FALSE)</f>
        <v>19.99</v>
      </c>
      <c r="H50" s="44" t="s">
        <v>229</v>
      </c>
      <c r="I50" s="37">
        <f>VLOOKUP(H50&amp;$I$2,'4.2 产品详情原始数据'!$A:$BG,10,FALSE)</f>
        <v>20</v>
      </c>
      <c r="J50" s="37">
        <f>VLOOKUP($H50&amp;$I$2,'4.2 产品详情原始数据'!$A:$BG,37,FALSE)</f>
        <v>134</v>
      </c>
      <c r="K50" s="45">
        <f>VLOOKUP($H50&amp;$I$2,'4.2 产品详情原始数据'!$A:$BG,43,FALSE)</f>
        <v>0.1493</v>
      </c>
    </row>
    <row r="51" spans="1:11">
      <c r="A51" s="44" t="s">
        <v>230</v>
      </c>
      <c r="B51" s="37">
        <f>VLOOKUP($A51&amp;$B$2,'4.2 产品详情原始数据'!$A:$BG,10,FALSE)</f>
        <v>17</v>
      </c>
      <c r="C51" s="37">
        <f>VLOOKUP($A51&amp;$B$2,'4.2 产品详情原始数据'!$A:$BG,37,FALSE)</f>
        <v>195</v>
      </c>
      <c r="D51" s="45">
        <f>VLOOKUP($A51&amp;$B$2,'4.2 产品详情原始数据'!$A:$BG,43,FALSE)</f>
        <v>0.0872</v>
      </c>
      <c r="E51" s="69">
        <f>VLOOKUP($A51&amp;$B$2,'4.2 产品详情原始数据'!$A:$BG,7,FALSE)</f>
        <v>17.99</v>
      </c>
      <c r="H51" s="44" t="s">
        <v>230</v>
      </c>
      <c r="I51" s="37">
        <f>VLOOKUP(H51&amp;$I$2,'4.2 产品详情原始数据'!$A:$BG,10,FALSE)</f>
        <v>24</v>
      </c>
      <c r="J51" s="37">
        <f>VLOOKUP($H51&amp;$I$2,'4.2 产品详情原始数据'!$A:$BG,37,FALSE)</f>
        <v>132</v>
      </c>
      <c r="K51" s="45">
        <f>VLOOKUP($H51&amp;$I$2,'4.2 产品详情原始数据'!$A:$BG,43,FALSE)</f>
        <v>0.1818</v>
      </c>
    </row>
    <row r="52" spans="1:11">
      <c r="A52" s="44" t="s">
        <v>231</v>
      </c>
      <c r="B52" s="37">
        <f>VLOOKUP($A52&amp;$B$2,'4.2 产品详情原始数据'!$A:$BG,10,FALSE)</f>
        <v>19</v>
      </c>
      <c r="C52" s="37">
        <f>VLOOKUP($A52&amp;$B$2,'4.2 产品详情原始数据'!$A:$BG,37,FALSE)</f>
        <v>181</v>
      </c>
      <c r="D52" s="45">
        <f>VLOOKUP($A52&amp;$B$2,'4.2 产品详情原始数据'!$A:$BG,43,FALSE)</f>
        <v>0.105</v>
      </c>
      <c r="E52" s="69">
        <f>VLOOKUP($A52&amp;$B$2,'4.2 产品详情原始数据'!$A:$BG,7,FALSE)</f>
        <v>15.99</v>
      </c>
      <c r="H52" s="44" t="s">
        <v>231</v>
      </c>
      <c r="I52" s="37">
        <f>VLOOKUP(H52&amp;$I$2,'4.2 产品详情原始数据'!$A:$BG,10,FALSE)</f>
        <v>18</v>
      </c>
      <c r="J52" s="37">
        <f>VLOOKUP($H52&amp;$I$2,'4.2 产品详情原始数据'!$A:$BG,37,FALSE)</f>
        <v>168</v>
      </c>
      <c r="K52" s="45">
        <f>VLOOKUP($H52&amp;$I$2,'4.2 产品详情原始数据'!$A:$BG,43,FALSE)</f>
        <v>0.1071</v>
      </c>
    </row>
    <row r="53" spans="1:11">
      <c r="A53" s="44" t="s">
        <v>232</v>
      </c>
      <c r="B53" s="37">
        <f>VLOOKUP($A53&amp;$B$2,'4.2 产品详情原始数据'!$A:$BG,10,FALSE)</f>
        <v>19</v>
      </c>
      <c r="C53" s="37">
        <f>VLOOKUP($A53&amp;$B$2,'4.2 产品详情原始数据'!$A:$BG,37,FALSE)</f>
        <v>116</v>
      </c>
      <c r="D53" s="45">
        <f>VLOOKUP($A53&amp;$B$2,'4.2 产品详情原始数据'!$A:$BG,43,FALSE)</f>
        <v>0.1638</v>
      </c>
      <c r="E53" s="69">
        <f>VLOOKUP($A53&amp;$B$2,'4.2 产品详情原始数据'!$A:$BG,7,FALSE)</f>
        <v>17.99</v>
      </c>
      <c r="H53" s="44" t="s">
        <v>232</v>
      </c>
      <c r="I53" s="37">
        <f>VLOOKUP(H53&amp;$I$2,'4.2 产品详情原始数据'!$A:$BG,10,FALSE)</f>
        <v>38</v>
      </c>
      <c r="J53" s="37">
        <f>VLOOKUP($H53&amp;$I$2,'4.2 产品详情原始数据'!$A:$BG,37,FALSE)</f>
        <v>158</v>
      </c>
      <c r="K53" s="45">
        <f>VLOOKUP($H53&amp;$I$2,'4.2 产品详情原始数据'!$A:$BG,43,FALSE)</f>
        <v>0.2405</v>
      </c>
    </row>
    <row r="54" spans="1:11">
      <c r="A54" s="44" t="s">
        <v>233</v>
      </c>
      <c r="B54" s="37">
        <f>VLOOKUP($A54&amp;$B$2,'4.2 产品详情原始数据'!$A:$BG,10,FALSE)</f>
        <v>18</v>
      </c>
      <c r="C54" s="37">
        <f>VLOOKUP($A54&amp;$B$2,'4.2 产品详情原始数据'!$A:$BG,37,FALSE)</f>
        <v>105</v>
      </c>
      <c r="D54" s="45">
        <f>VLOOKUP($A54&amp;$B$2,'4.2 产品详情原始数据'!$A:$BG,43,FALSE)</f>
        <v>0.1714</v>
      </c>
      <c r="E54" s="69">
        <f>VLOOKUP($A54&amp;$B$2,'4.2 产品详情原始数据'!$A:$BG,7,FALSE)</f>
        <v>19.99</v>
      </c>
      <c r="H54" s="44" t="s">
        <v>233</v>
      </c>
      <c r="I54" s="37">
        <f>VLOOKUP(H54&amp;$I$2,'4.2 产品详情原始数据'!$A:$BG,10,FALSE)</f>
        <v>34</v>
      </c>
      <c r="J54" s="37">
        <f>VLOOKUP($H54&amp;$I$2,'4.2 产品详情原始数据'!$A:$BG,37,FALSE)</f>
        <v>141</v>
      </c>
      <c r="K54" s="45">
        <f>VLOOKUP($H54&amp;$I$2,'4.2 产品详情原始数据'!$A:$BG,43,FALSE)</f>
        <v>0.2411</v>
      </c>
    </row>
    <row r="55" spans="1:11">
      <c r="A55" s="44" t="s">
        <v>234</v>
      </c>
      <c r="B55" s="37">
        <f>VLOOKUP($A55&amp;$B$2,'4.2 产品详情原始数据'!$A:$BG,10,FALSE)</f>
        <v>8</v>
      </c>
      <c r="C55" s="37">
        <f>VLOOKUP($A55&amp;$B$2,'4.2 产品详情原始数据'!$A:$BG,37,FALSE)</f>
        <v>85</v>
      </c>
      <c r="D55" s="45">
        <f>VLOOKUP($A55&amp;$B$2,'4.2 产品详情原始数据'!$A:$BG,43,FALSE)</f>
        <v>0.0941</v>
      </c>
      <c r="E55" s="69">
        <f>VLOOKUP($A55&amp;$B$2,'4.2 产品详情原始数据'!$A:$BG,7,FALSE)</f>
        <v>19.99</v>
      </c>
      <c r="H55" s="44" t="s">
        <v>234</v>
      </c>
      <c r="I55" s="37">
        <f>VLOOKUP(H55&amp;$I$2,'4.2 产品详情原始数据'!$A:$BG,10,FALSE)</f>
        <v>27</v>
      </c>
      <c r="J55" s="37">
        <f>VLOOKUP($H55&amp;$I$2,'4.2 产品详情原始数据'!$A:$BG,37,FALSE)</f>
        <v>142</v>
      </c>
      <c r="K55" s="45">
        <f>VLOOKUP($H55&amp;$I$2,'4.2 产品详情原始数据'!$A:$BG,43,FALSE)</f>
        <v>0.1901</v>
      </c>
    </row>
    <row r="56" spans="1:11">
      <c r="A56" s="44" t="s">
        <v>235</v>
      </c>
      <c r="B56" s="37">
        <f>VLOOKUP($A56&amp;$B$2,'4.2 产品详情原始数据'!$A:$BG,10,FALSE)</f>
        <v>4</v>
      </c>
      <c r="C56" s="37">
        <f>VLOOKUP($A56&amp;$B$2,'4.2 产品详情原始数据'!$A:$BG,37,FALSE)</f>
        <v>0</v>
      </c>
      <c r="D56" s="45">
        <f>VLOOKUP($A56&amp;$B$2,'4.2 产品详情原始数据'!$A:$BG,43,FALSE)</f>
        <v>0</v>
      </c>
      <c r="E56" s="69">
        <f>VLOOKUP($A56&amp;$B$2,'4.2 产品详情原始数据'!$A:$BG,7,FALSE)</f>
        <v>19.99</v>
      </c>
      <c r="H56" s="44" t="s">
        <v>235</v>
      </c>
      <c r="I56" s="37">
        <f>VLOOKUP(H56&amp;$I$2,'4.2 产品详情原始数据'!$A:$BG,10,FALSE)</f>
        <v>28</v>
      </c>
      <c r="J56" s="37">
        <f>VLOOKUP($H56&amp;$I$2,'4.2 产品详情原始数据'!$A:$BG,37,FALSE)</f>
        <v>0</v>
      </c>
      <c r="K56" s="45">
        <f>VLOOKUP($H56&amp;$I$2,'4.2 产品详情原始数据'!$A:$BG,43,FALSE)</f>
        <v>0</v>
      </c>
    </row>
    <row r="57" spans="1:11">
      <c r="A57" s="44" t="s">
        <v>236</v>
      </c>
      <c r="B57" s="37">
        <f>VLOOKUP($A57&amp;$B$2,'4.2 产品详情原始数据'!$A:$BG,10,FALSE)</f>
        <v>0</v>
      </c>
      <c r="C57" s="37">
        <f>VLOOKUP($A57&amp;$B$2,'4.2 产品详情原始数据'!$A:$BG,37,FALSE)</f>
        <v>0</v>
      </c>
      <c r="D57" s="45">
        <f>VLOOKUP($A57&amp;$B$2,'4.2 产品详情原始数据'!$A:$BG,43,FALSE)</f>
        <v>0</v>
      </c>
      <c r="E57" s="69">
        <f>VLOOKUP($A57&amp;$B$2,'4.2 产品详情原始数据'!$A:$BG,7,FALSE)</f>
        <v>19.99</v>
      </c>
      <c r="H57" s="44" t="s">
        <v>236</v>
      </c>
      <c r="I57" s="37">
        <f>VLOOKUP(H57&amp;$I$2,'4.2 产品详情原始数据'!$A:$BG,10,FALSE)</f>
        <v>0</v>
      </c>
      <c r="J57" s="37">
        <f>VLOOKUP($H57&amp;$I$2,'4.2 产品详情原始数据'!$A:$BG,37,FALSE)</f>
        <v>0</v>
      </c>
      <c r="K57" s="45">
        <f>VLOOKUP($H57&amp;$I$2,'4.2 产品详情原始数据'!$A:$BG,43,FALSE)</f>
        <v>0</v>
      </c>
    </row>
    <row r="58" spans="1:11">
      <c r="A58" s="44"/>
      <c r="D58" s="45"/>
      <c r="E58" s="45"/>
      <c r="H58" s="44"/>
      <c r="K58" s="45"/>
    </row>
    <row r="59" spans="1:11">
      <c r="A59" s="44"/>
      <c r="D59" s="45"/>
      <c r="E59" s="45"/>
      <c r="H59" s="44"/>
      <c r="K59" s="45"/>
    </row>
    <row r="60" spans="1:11">
      <c r="A60" s="44"/>
      <c r="D60" s="45"/>
      <c r="E60" s="45"/>
      <c r="H60" s="44"/>
      <c r="K60" s="45"/>
    </row>
    <row r="61" spans="1:11">
      <c r="A61" s="44"/>
      <c r="D61" s="45"/>
      <c r="E61" s="45"/>
      <c r="H61" s="44"/>
      <c r="K61" s="45"/>
    </row>
    <row r="62" spans="1:11">
      <c r="A62" s="44"/>
      <c r="D62" s="45"/>
      <c r="E62" s="45"/>
      <c r="H62" s="44"/>
      <c r="K62" s="45"/>
    </row>
    <row r="63" spans="1:11">
      <c r="A63" s="44"/>
      <c r="D63" s="45"/>
      <c r="E63" s="45"/>
      <c r="H63" s="44"/>
      <c r="K63" s="45"/>
    </row>
    <row r="64" spans="1:11">
      <c r="A64" s="44"/>
      <c r="D64" s="45"/>
      <c r="E64" s="45"/>
      <c r="H64" s="44"/>
      <c r="K64" s="45"/>
    </row>
    <row r="65" spans="1:11">
      <c r="A65" s="44"/>
      <c r="D65" s="45"/>
      <c r="E65" s="45"/>
      <c r="H65" s="44"/>
      <c r="K65" s="45"/>
    </row>
    <row r="66" spans="1:11">
      <c r="A66" s="44"/>
      <c r="D66" s="45"/>
      <c r="E66" s="45"/>
      <c r="H66" s="44"/>
      <c r="K66" s="45"/>
    </row>
    <row r="67" spans="1:11">
      <c r="A67" s="44"/>
      <c r="D67" s="45"/>
      <c r="E67" s="45"/>
      <c r="H67" s="44"/>
      <c r="K67" s="45"/>
    </row>
    <row r="68" spans="1:8">
      <c r="A68" s="44"/>
      <c r="H68" s="44"/>
    </row>
    <row r="69" spans="1:33">
      <c r="A69" s="44"/>
      <c r="V69"/>
      <c r="W69"/>
      <c r="X69"/>
      <c r="AF69" t="s">
        <v>237</v>
      </c>
      <c r="AG69" t="s">
        <v>238</v>
      </c>
    </row>
    <row r="70" spans="1:35">
      <c r="A70" s="69"/>
      <c r="V70"/>
      <c r="W70"/>
      <c r="X70"/>
      <c r="AF70" t="s">
        <v>239</v>
      </c>
      <c r="AG70" t="s">
        <v>23</v>
      </c>
      <c r="AH70" t="s">
        <v>24</v>
      </c>
      <c r="AI70" t="s">
        <v>240</v>
      </c>
    </row>
    <row r="71" ht="15" spans="1:35">
      <c r="A71"/>
      <c r="B71"/>
      <c r="C71"/>
      <c r="D71"/>
      <c r="E71"/>
      <c r="F71"/>
      <c r="H71"/>
      <c r="I71"/>
      <c r="J71"/>
      <c r="K71"/>
      <c r="L71"/>
      <c r="M71"/>
      <c r="O71"/>
      <c r="P71"/>
      <c r="Q71"/>
      <c r="R71"/>
      <c r="S71"/>
      <c r="T71"/>
      <c r="V71"/>
      <c r="W71"/>
      <c r="X71"/>
      <c r="AF71" t="s">
        <v>241</v>
      </c>
      <c r="AG71">
        <v>0</v>
      </c>
      <c r="AH71">
        <v>0</v>
      </c>
      <c r="AI71">
        <v>0</v>
      </c>
    </row>
    <row r="72" ht="15" spans="1:35">
      <c r="A72"/>
      <c r="B72"/>
      <c r="C72"/>
      <c r="D72"/>
      <c r="E72"/>
      <c r="F72"/>
      <c r="H72"/>
      <c r="I72"/>
      <c r="J72"/>
      <c r="K72"/>
      <c r="L72"/>
      <c r="M72"/>
      <c r="O72"/>
      <c r="P72"/>
      <c r="Q72"/>
      <c r="R72"/>
      <c r="S72"/>
      <c r="T72"/>
      <c r="V72"/>
      <c r="W72"/>
      <c r="X72"/>
      <c r="AF72" t="s">
        <v>242</v>
      </c>
      <c r="AG72">
        <v>0</v>
      </c>
      <c r="AH72">
        <v>0</v>
      </c>
      <c r="AI72">
        <v>0</v>
      </c>
    </row>
    <row r="73" ht="15" spans="1:35">
      <c r="A73"/>
      <c r="B73"/>
      <c r="C73"/>
      <c r="D73"/>
      <c r="E73"/>
      <c r="F73"/>
      <c r="H73"/>
      <c r="I73"/>
      <c r="J73"/>
      <c r="K73"/>
      <c r="L73"/>
      <c r="M73"/>
      <c r="O73"/>
      <c r="P73"/>
      <c r="Q73"/>
      <c r="R73"/>
      <c r="S73"/>
      <c r="T73"/>
      <c r="V73"/>
      <c r="W73"/>
      <c r="X73"/>
      <c r="AF73" t="s">
        <v>243</v>
      </c>
      <c r="AG73">
        <v>0</v>
      </c>
      <c r="AH73">
        <v>0</v>
      </c>
      <c r="AI73">
        <v>0</v>
      </c>
    </row>
    <row r="74" ht="15" spans="1:35">
      <c r="A74"/>
      <c r="B74"/>
      <c r="C74"/>
      <c r="D74"/>
      <c r="E74"/>
      <c r="F74"/>
      <c r="H74"/>
      <c r="I74"/>
      <c r="J74"/>
      <c r="K74"/>
      <c r="L74"/>
      <c r="M74"/>
      <c r="N74"/>
      <c r="O74"/>
      <c r="P74"/>
      <c r="Q74"/>
      <c r="R74"/>
      <c r="S74"/>
      <c r="T74"/>
      <c r="V74"/>
      <c r="W74"/>
      <c r="X74"/>
      <c r="AF74" t="s">
        <v>183</v>
      </c>
      <c r="AG74">
        <v>29</v>
      </c>
      <c r="AH74">
        <v>25</v>
      </c>
      <c r="AI74">
        <v>54</v>
      </c>
    </row>
    <row r="75" ht="15" spans="1:35">
      <c r="A75"/>
      <c r="B75"/>
      <c r="C75"/>
      <c r="D75"/>
      <c r="E75"/>
      <c r="F75"/>
      <c r="H75"/>
      <c r="I75"/>
      <c r="J75"/>
      <c r="K75"/>
      <c r="L75"/>
      <c r="M75"/>
      <c r="O75"/>
      <c r="P75"/>
      <c r="Q75"/>
      <c r="R75"/>
      <c r="S75"/>
      <c r="T75"/>
      <c r="V75"/>
      <c r="W75"/>
      <c r="X75"/>
      <c r="AF75" t="s">
        <v>184</v>
      </c>
      <c r="AG75">
        <v>25</v>
      </c>
      <c r="AH75">
        <v>16</v>
      </c>
      <c r="AI75">
        <v>41</v>
      </c>
    </row>
    <row r="76" ht="15" spans="1:35">
      <c r="A76" t="s">
        <v>237</v>
      </c>
      <c r="B76" t="s">
        <v>238</v>
      </c>
      <c r="C76"/>
      <c r="D76"/>
      <c r="E76"/>
      <c r="F76"/>
      <c r="H76" t="s">
        <v>244</v>
      </c>
      <c r="I76" t="s">
        <v>238</v>
      </c>
      <c r="J76"/>
      <c r="K76"/>
      <c r="L76"/>
      <c r="M76"/>
      <c r="N76" t="s">
        <v>245</v>
      </c>
      <c r="O76" t="s">
        <v>238</v>
      </c>
      <c r="P76"/>
      <c r="Q76"/>
      <c r="R76"/>
      <c r="S76"/>
      <c r="T76"/>
      <c r="V76"/>
      <c r="W76"/>
      <c r="X76"/>
      <c r="AF76" t="s">
        <v>185</v>
      </c>
      <c r="AG76">
        <v>17</v>
      </c>
      <c r="AH76">
        <v>28</v>
      </c>
      <c r="AI76">
        <v>45</v>
      </c>
    </row>
    <row r="77" ht="15" spans="1:35">
      <c r="A77" t="s">
        <v>239</v>
      </c>
      <c r="B77" t="s">
        <v>23</v>
      </c>
      <c r="C77" t="s">
        <v>24</v>
      </c>
      <c r="D77" t="s">
        <v>240</v>
      </c>
      <c r="E77"/>
      <c r="F77"/>
      <c r="H77" t="s">
        <v>239</v>
      </c>
      <c r="I77" t="s">
        <v>23</v>
      </c>
      <c r="J77" t="s">
        <v>24</v>
      </c>
      <c r="K77" t="s">
        <v>240</v>
      </c>
      <c r="L77"/>
      <c r="M77"/>
      <c r="N77" t="s">
        <v>239</v>
      </c>
      <c r="O77" t="s">
        <v>23</v>
      </c>
      <c r="P77" t="s">
        <v>24</v>
      </c>
      <c r="Q77" t="s">
        <v>240</v>
      </c>
      <c r="R77"/>
      <c r="S77"/>
      <c r="T77"/>
      <c r="V77"/>
      <c r="W77"/>
      <c r="X77"/>
      <c r="AF77" t="s">
        <v>186</v>
      </c>
      <c r="AG77">
        <v>32</v>
      </c>
      <c r="AH77">
        <v>37</v>
      </c>
      <c r="AI77">
        <v>69</v>
      </c>
    </row>
    <row r="78" ht="15" spans="1:35">
      <c r="A78" t="s">
        <v>241</v>
      </c>
      <c r="B78">
        <v>0</v>
      </c>
      <c r="C78">
        <v>0</v>
      </c>
      <c r="D78">
        <v>0</v>
      </c>
      <c r="E78"/>
      <c r="F78"/>
      <c r="H78" t="s">
        <v>241</v>
      </c>
      <c r="I78">
        <v>0</v>
      </c>
      <c r="J78">
        <v>0</v>
      </c>
      <c r="K78">
        <v>0</v>
      </c>
      <c r="L78"/>
      <c r="M78"/>
      <c r="N78" t="s">
        <v>241</v>
      </c>
      <c r="O78" s="71">
        <v>0</v>
      </c>
      <c r="P78" s="71">
        <v>0</v>
      </c>
      <c r="Q78" s="71">
        <v>0</v>
      </c>
      <c r="R78"/>
      <c r="S78"/>
      <c r="T78"/>
      <c r="V78"/>
      <c r="W78"/>
      <c r="X78"/>
      <c r="AF78" t="s">
        <v>187</v>
      </c>
      <c r="AG78">
        <v>40</v>
      </c>
      <c r="AH78">
        <v>47</v>
      </c>
      <c r="AI78">
        <v>87</v>
      </c>
    </row>
    <row r="79" ht="15" spans="1:35">
      <c r="A79" t="s">
        <v>242</v>
      </c>
      <c r="B79">
        <v>0</v>
      </c>
      <c r="C79">
        <v>0</v>
      </c>
      <c r="D79">
        <v>0</v>
      </c>
      <c r="E79"/>
      <c r="F79"/>
      <c r="H79" t="s">
        <v>242</v>
      </c>
      <c r="I79">
        <v>0</v>
      </c>
      <c r="J79">
        <v>0</v>
      </c>
      <c r="K79">
        <v>0</v>
      </c>
      <c r="L79"/>
      <c r="M79"/>
      <c r="N79" t="s">
        <v>242</v>
      </c>
      <c r="O79" s="71">
        <v>0</v>
      </c>
      <c r="P79" s="71">
        <v>0</v>
      </c>
      <c r="Q79" s="71">
        <v>0</v>
      </c>
      <c r="R79"/>
      <c r="S79"/>
      <c r="T79"/>
      <c r="V79"/>
      <c r="W79"/>
      <c r="X79"/>
      <c r="AF79" t="s">
        <v>188</v>
      </c>
      <c r="AG79">
        <v>54</v>
      </c>
      <c r="AH79">
        <v>50</v>
      </c>
      <c r="AI79">
        <v>104</v>
      </c>
    </row>
    <row r="80" ht="15" spans="1:35">
      <c r="A80" t="s">
        <v>243</v>
      </c>
      <c r="B80">
        <v>0</v>
      </c>
      <c r="C80">
        <v>0</v>
      </c>
      <c r="D80">
        <v>0</v>
      </c>
      <c r="E80"/>
      <c r="F80"/>
      <c r="H80" t="s">
        <v>243</v>
      </c>
      <c r="I80">
        <v>0</v>
      </c>
      <c r="J80">
        <v>0</v>
      </c>
      <c r="K80">
        <v>0</v>
      </c>
      <c r="L80"/>
      <c r="M80"/>
      <c r="N80" t="s">
        <v>243</v>
      </c>
      <c r="O80" s="71">
        <v>0</v>
      </c>
      <c r="P80" s="71">
        <v>0</v>
      </c>
      <c r="Q80" s="71">
        <v>0</v>
      </c>
      <c r="R80"/>
      <c r="S80"/>
      <c r="T80"/>
      <c r="V80"/>
      <c r="W80"/>
      <c r="X80"/>
      <c r="AF80" t="s">
        <v>189</v>
      </c>
      <c r="AG80">
        <v>46</v>
      </c>
      <c r="AH80">
        <v>34</v>
      </c>
      <c r="AI80">
        <v>80</v>
      </c>
    </row>
    <row r="81" ht="15" spans="1:35">
      <c r="A81" t="s">
        <v>183</v>
      </c>
      <c r="B81">
        <v>29</v>
      </c>
      <c r="C81">
        <v>25</v>
      </c>
      <c r="D81">
        <v>54</v>
      </c>
      <c r="E81"/>
      <c r="F81"/>
      <c r="H81" t="s">
        <v>183</v>
      </c>
      <c r="I81">
        <v>2</v>
      </c>
      <c r="J81">
        <v>1</v>
      </c>
      <c r="K81">
        <v>3</v>
      </c>
      <c r="L81"/>
      <c r="M81"/>
      <c r="N81" t="s">
        <v>183</v>
      </c>
      <c r="O81" s="71">
        <v>0.069</v>
      </c>
      <c r="P81" s="71">
        <v>0.04</v>
      </c>
      <c r="Q81" s="71">
        <v>0.109</v>
      </c>
      <c r="R81"/>
      <c r="S81"/>
      <c r="T81"/>
      <c r="V81"/>
      <c r="W81"/>
      <c r="X81"/>
      <c r="AF81" t="s">
        <v>190</v>
      </c>
      <c r="AG81">
        <v>78</v>
      </c>
      <c r="AH81">
        <v>48</v>
      </c>
      <c r="AI81">
        <v>126</v>
      </c>
    </row>
    <row r="82" ht="15" spans="1:35">
      <c r="A82" t="s">
        <v>184</v>
      </c>
      <c r="B82">
        <v>25</v>
      </c>
      <c r="C82">
        <v>16</v>
      </c>
      <c r="D82">
        <v>41</v>
      </c>
      <c r="E82"/>
      <c r="F82"/>
      <c r="H82" t="s">
        <v>184</v>
      </c>
      <c r="I82">
        <v>1</v>
      </c>
      <c r="J82">
        <v>0</v>
      </c>
      <c r="K82">
        <v>1</v>
      </c>
      <c r="L82"/>
      <c r="M82"/>
      <c r="N82" t="s">
        <v>184</v>
      </c>
      <c r="O82" s="71">
        <v>0.04</v>
      </c>
      <c r="P82" s="71">
        <v>0</v>
      </c>
      <c r="Q82" s="71">
        <v>0.04</v>
      </c>
      <c r="R82"/>
      <c r="S82"/>
      <c r="T82"/>
      <c r="V82"/>
      <c r="W82"/>
      <c r="X82"/>
      <c r="AF82" t="s">
        <v>191</v>
      </c>
      <c r="AG82">
        <v>71</v>
      </c>
      <c r="AH82">
        <v>62</v>
      </c>
      <c r="AI82">
        <v>133</v>
      </c>
    </row>
    <row r="83" ht="15" spans="1:35">
      <c r="A83" t="s">
        <v>185</v>
      </c>
      <c r="B83">
        <v>17</v>
      </c>
      <c r="C83">
        <v>28</v>
      </c>
      <c r="D83">
        <v>45</v>
      </c>
      <c r="E83"/>
      <c r="F83"/>
      <c r="H83" t="s">
        <v>185</v>
      </c>
      <c r="I83">
        <v>0</v>
      </c>
      <c r="J83">
        <v>1</v>
      </c>
      <c r="K83">
        <v>1</v>
      </c>
      <c r="L83"/>
      <c r="M83"/>
      <c r="N83" t="s">
        <v>185</v>
      </c>
      <c r="O83" s="71">
        <v>0</v>
      </c>
      <c r="P83" s="71">
        <v>0.0357</v>
      </c>
      <c r="Q83" s="71">
        <v>0.0357</v>
      </c>
      <c r="R83"/>
      <c r="S83"/>
      <c r="T83"/>
      <c r="V83"/>
      <c r="W83"/>
      <c r="X83"/>
      <c r="AF83" t="s">
        <v>192</v>
      </c>
      <c r="AG83">
        <v>85</v>
      </c>
      <c r="AH83">
        <v>52</v>
      </c>
      <c r="AI83">
        <v>137</v>
      </c>
    </row>
    <row r="84" ht="15" spans="1:35">
      <c r="A84" t="s">
        <v>186</v>
      </c>
      <c r="B84">
        <v>32</v>
      </c>
      <c r="C84">
        <v>37</v>
      </c>
      <c r="D84">
        <v>69</v>
      </c>
      <c r="E84"/>
      <c r="F84"/>
      <c r="H84" t="s">
        <v>186</v>
      </c>
      <c r="I84">
        <v>1</v>
      </c>
      <c r="J84">
        <v>5</v>
      </c>
      <c r="K84">
        <v>6</v>
      </c>
      <c r="L84"/>
      <c r="M84"/>
      <c r="N84" t="s">
        <v>186</v>
      </c>
      <c r="O84" s="71">
        <v>0.0312</v>
      </c>
      <c r="P84" s="71">
        <v>0.1351</v>
      </c>
      <c r="Q84" s="71">
        <v>0.1663</v>
      </c>
      <c r="R84"/>
      <c r="S84"/>
      <c r="T84"/>
      <c r="V84"/>
      <c r="W84"/>
      <c r="X84"/>
      <c r="AF84" t="s">
        <v>193</v>
      </c>
      <c r="AG84">
        <v>94</v>
      </c>
      <c r="AH84">
        <v>61</v>
      </c>
      <c r="AI84">
        <v>155</v>
      </c>
    </row>
    <row r="85" ht="15" spans="1:35">
      <c r="A85" t="s">
        <v>187</v>
      </c>
      <c r="B85">
        <v>40</v>
      </c>
      <c r="C85">
        <v>47</v>
      </c>
      <c r="D85">
        <v>87</v>
      </c>
      <c r="E85"/>
      <c r="F85"/>
      <c r="H85" t="s">
        <v>187</v>
      </c>
      <c r="I85">
        <v>3</v>
      </c>
      <c r="J85">
        <v>2</v>
      </c>
      <c r="K85">
        <v>5</v>
      </c>
      <c r="L85"/>
      <c r="M85"/>
      <c r="N85" t="s">
        <v>187</v>
      </c>
      <c r="O85" s="71">
        <v>0.075</v>
      </c>
      <c r="P85" s="71">
        <v>0.0426</v>
      </c>
      <c r="Q85" s="71">
        <v>0.1176</v>
      </c>
      <c r="R85"/>
      <c r="S85"/>
      <c r="T85"/>
      <c r="V85"/>
      <c r="W85"/>
      <c r="X85"/>
      <c r="AF85" t="s">
        <v>194</v>
      </c>
      <c r="AG85">
        <v>124</v>
      </c>
      <c r="AH85">
        <v>81</v>
      </c>
      <c r="AI85">
        <v>205</v>
      </c>
    </row>
    <row r="86" ht="15" spans="1:35">
      <c r="A86" t="s">
        <v>188</v>
      </c>
      <c r="B86">
        <v>54</v>
      </c>
      <c r="C86">
        <v>50</v>
      </c>
      <c r="D86">
        <v>104</v>
      </c>
      <c r="E86"/>
      <c r="F86"/>
      <c r="H86" t="s">
        <v>188</v>
      </c>
      <c r="I86">
        <v>3</v>
      </c>
      <c r="J86">
        <v>1</v>
      </c>
      <c r="K86">
        <v>4</v>
      </c>
      <c r="L86"/>
      <c r="M86"/>
      <c r="N86" t="s">
        <v>188</v>
      </c>
      <c r="O86" s="71">
        <v>0.0556</v>
      </c>
      <c r="P86" s="71">
        <v>0.02</v>
      </c>
      <c r="Q86" s="71">
        <v>0.0756</v>
      </c>
      <c r="R86"/>
      <c r="S86"/>
      <c r="T86"/>
      <c r="V86"/>
      <c r="W86"/>
      <c r="X86"/>
      <c r="AF86" t="s">
        <v>195</v>
      </c>
      <c r="AG86">
        <v>149</v>
      </c>
      <c r="AH86">
        <v>90</v>
      </c>
      <c r="AI86">
        <v>239</v>
      </c>
    </row>
    <row r="87" ht="15" spans="1:35">
      <c r="A87" t="s">
        <v>189</v>
      </c>
      <c r="B87">
        <v>46</v>
      </c>
      <c r="C87">
        <v>34</v>
      </c>
      <c r="D87">
        <v>80</v>
      </c>
      <c r="E87"/>
      <c r="F87"/>
      <c r="H87" t="s">
        <v>189</v>
      </c>
      <c r="I87">
        <v>9</v>
      </c>
      <c r="J87">
        <v>1</v>
      </c>
      <c r="K87">
        <v>10</v>
      </c>
      <c r="L87"/>
      <c r="M87"/>
      <c r="N87" t="s">
        <v>189</v>
      </c>
      <c r="O87" s="71">
        <v>0.1957</v>
      </c>
      <c r="P87" s="71">
        <v>0.0294</v>
      </c>
      <c r="Q87" s="71">
        <v>0.2251</v>
      </c>
      <c r="R87"/>
      <c r="S87"/>
      <c r="T87"/>
      <c r="V87"/>
      <c r="W87"/>
      <c r="X87"/>
      <c r="AF87" t="s">
        <v>196</v>
      </c>
      <c r="AG87">
        <v>203</v>
      </c>
      <c r="AH87">
        <v>129</v>
      </c>
      <c r="AI87">
        <v>332</v>
      </c>
    </row>
    <row r="88" ht="15" spans="1:35">
      <c r="A88" t="s">
        <v>190</v>
      </c>
      <c r="B88">
        <v>78</v>
      </c>
      <c r="C88">
        <v>48</v>
      </c>
      <c r="D88">
        <v>126</v>
      </c>
      <c r="E88"/>
      <c r="F88"/>
      <c r="H88" t="s">
        <v>190</v>
      </c>
      <c r="I88">
        <v>5</v>
      </c>
      <c r="J88">
        <v>5</v>
      </c>
      <c r="K88">
        <v>10</v>
      </c>
      <c r="L88"/>
      <c r="M88"/>
      <c r="N88" t="s">
        <v>190</v>
      </c>
      <c r="O88" s="71">
        <v>0.0641</v>
      </c>
      <c r="P88" s="71">
        <v>0.1042</v>
      </c>
      <c r="Q88" s="71">
        <v>0.1683</v>
      </c>
      <c r="R88"/>
      <c r="S88"/>
      <c r="T88"/>
      <c r="V88"/>
      <c r="W88"/>
      <c r="X88"/>
      <c r="AF88" t="s">
        <v>197</v>
      </c>
      <c r="AG88">
        <v>138</v>
      </c>
      <c r="AH88">
        <v>77</v>
      </c>
      <c r="AI88">
        <v>215</v>
      </c>
    </row>
    <row r="89" ht="15" spans="1:35">
      <c r="A89" t="s">
        <v>191</v>
      </c>
      <c r="B89">
        <v>71</v>
      </c>
      <c r="C89">
        <v>62</v>
      </c>
      <c r="D89">
        <v>133</v>
      </c>
      <c r="E89"/>
      <c r="F89"/>
      <c r="H89" t="s">
        <v>191</v>
      </c>
      <c r="I89">
        <v>9</v>
      </c>
      <c r="J89">
        <v>3</v>
      </c>
      <c r="K89">
        <v>12</v>
      </c>
      <c r="L89"/>
      <c r="M89"/>
      <c r="N89" t="s">
        <v>191</v>
      </c>
      <c r="O89" s="71">
        <v>0.1268</v>
      </c>
      <c r="P89" s="71">
        <v>0.0484</v>
      </c>
      <c r="Q89" s="71">
        <v>0.1752</v>
      </c>
      <c r="R89"/>
      <c r="S89"/>
      <c r="T89"/>
      <c r="V89"/>
      <c r="W89"/>
      <c r="X89"/>
      <c r="AF89" t="s">
        <v>198</v>
      </c>
      <c r="AG89">
        <v>142</v>
      </c>
      <c r="AH89">
        <v>62</v>
      </c>
      <c r="AI89">
        <v>204</v>
      </c>
    </row>
    <row r="90" ht="15" spans="1:35">
      <c r="A90" t="s">
        <v>192</v>
      </c>
      <c r="B90">
        <v>85</v>
      </c>
      <c r="C90">
        <v>52</v>
      </c>
      <c r="D90">
        <v>137</v>
      </c>
      <c r="E90"/>
      <c r="F90"/>
      <c r="H90" t="s">
        <v>192</v>
      </c>
      <c r="I90">
        <v>4</v>
      </c>
      <c r="J90">
        <v>5</v>
      </c>
      <c r="K90">
        <v>9</v>
      </c>
      <c r="L90"/>
      <c r="M90"/>
      <c r="N90" t="s">
        <v>192</v>
      </c>
      <c r="O90" s="71">
        <v>0.0471</v>
      </c>
      <c r="P90" s="71">
        <v>0.0962</v>
      </c>
      <c r="Q90" s="71">
        <v>0.1433</v>
      </c>
      <c r="R90"/>
      <c r="S90"/>
      <c r="T90"/>
      <c r="V90"/>
      <c r="W90"/>
      <c r="X90"/>
      <c r="AF90" t="s">
        <v>199</v>
      </c>
      <c r="AG90">
        <v>122</v>
      </c>
      <c r="AH90">
        <v>61</v>
      </c>
      <c r="AI90">
        <v>183</v>
      </c>
    </row>
    <row r="91" ht="15" spans="1:35">
      <c r="A91" t="s">
        <v>193</v>
      </c>
      <c r="B91">
        <v>94</v>
      </c>
      <c r="C91">
        <v>61</v>
      </c>
      <c r="D91">
        <v>155</v>
      </c>
      <c r="E91"/>
      <c r="F91"/>
      <c r="H91" t="s">
        <v>193</v>
      </c>
      <c r="I91">
        <v>9</v>
      </c>
      <c r="J91">
        <v>3</v>
      </c>
      <c r="K91">
        <v>12</v>
      </c>
      <c r="L91"/>
      <c r="M91"/>
      <c r="N91" t="s">
        <v>193</v>
      </c>
      <c r="O91" s="71">
        <v>0.0957</v>
      </c>
      <c r="P91" s="71">
        <v>0.0492</v>
      </c>
      <c r="Q91" s="71">
        <v>0.1449</v>
      </c>
      <c r="R91"/>
      <c r="S91"/>
      <c r="T91"/>
      <c r="V91"/>
      <c r="W91"/>
      <c r="X91"/>
      <c r="AF91" t="s">
        <v>200</v>
      </c>
      <c r="AG91">
        <v>102</v>
      </c>
      <c r="AH91">
        <v>58</v>
      </c>
      <c r="AI91">
        <v>160</v>
      </c>
    </row>
    <row r="92" ht="15" spans="1:35">
      <c r="A92" t="s">
        <v>194</v>
      </c>
      <c r="B92">
        <v>124</v>
      </c>
      <c r="C92">
        <v>81</v>
      </c>
      <c r="D92">
        <v>205</v>
      </c>
      <c r="E92"/>
      <c r="F92"/>
      <c r="H92" t="s">
        <v>194</v>
      </c>
      <c r="I92">
        <v>9</v>
      </c>
      <c r="J92">
        <v>2</v>
      </c>
      <c r="K92">
        <v>11</v>
      </c>
      <c r="L92"/>
      <c r="M92"/>
      <c r="N92" t="s">
        <v>194</v>
      </c>
      <c r="O92" s="71">
        <v>0.0726</v>
      </c>
      <c r="P92" s="71">
        <v>0.0247</v>
      </c>
      <c r="Q92" s="71">
        <v>0.0973</v>
      </c>
      <c r="R92"/>
      <c r="S92"/>
      <c r="T92"/>
      <c r="AF92" t="s">
        <v>201</v>
      </c>
      <c r="AG92">
        <v>172</v>
      </c>
      <c r="AH92">
        <v>67</v>
      </c>
      <c r="AI92">
        <v>239</v>
      </c>
    </row>
    <row r="93" ht="15" spans="1:35">
      <c r="A93" t="s">
        <v>195</v>
      </c>
      <c r="B93">
        <v>149</v>
      </c>
      <c r="C93">
        <v>90</v>
      </c>
      <c r="D93">
        <v>239</v>
      </c>
      <c r="E93"/>
      <c r="F93"/>
      <c r="H93" t="s">
        <v>195</v>
      </c>
      <c r="I93">
        <v>8</v>
      </c>
      <c r="J93">
        <v>11</v>
      </c>
      <c r="K93">
        <v>19</v>
      </c>
      <c r="L93"/>
      <c r="M93"/>
      <c r="N93" t="s">
        <v>195</v>
      </c>
      <c r="O93" s="71">
        <v>0.0537</v>
      </c>
      <c r="P93" s="71">
        <v>0.1222</v>
      </c>
      <c r="Q93" s="71">
        <v>0.1759</v>
      </c>
      <c r="R93"/>
      <c r="S93"/>
      <c r="T93"/>
      <c r="AF93" t="s">
        <v>240</v>
      </c>
      <c r="AG93">
        <v>1723</v>
      </c>
      <c r="AH93">
        <v>1085</v>
      </c>
      <c r="AI93">
        <v>2808</v>
      </c>
    </row>
    <row r="94" ht="15" spans="1:20">
      <c r="A94" t="s">
        <v>196</v>
      </c>
      <c r="B94">
        <v>203</v>
      </c>
      <c r="C94">
        <v>129</v>
      </c>
      <c r="D94">
        <v>332</v>
      </c>
      <c r="E94"/>
      <c r="F94"/>
      <c r="H94" t="s">
        <v>196</v>
      </c>
      <c r="I94">
        <v>23</v>
      </c>
      <c r="J94">
        <v>11</v>
      </c>
      <c r="K94">
        <v>34</v>
      </c>
      <c r="L94"/>
      <c r="M94"/>
      <c r="N94" t="s">
        <v>196</v>
      </c>
      <c r="O94" s="71">
        <v>0.1133</v>
      </c>
      <c r="P94" s="71">
        <v>0.0853</v>
      </c>
      <c r="Q94" s="71">
        <v>0.1986</v>
      </c>
      <c r="R94"/>
      <c r="S94"/>
      <c r="T94"/>
    </row>
    <row r="95" ht="15" spans="1:20">
      <c r="A95" t="s">
        <v>197</v>
      </c>
      <c r="B95">
        <v>138</v>
      </c>
      <c r="C95">
        <v>77</v>
      </c>
      <c r="D95">
        <v>215</v>
      </c>
      <c r="E95"/>
      <c r="F95"/>
      <c r="H95" t="s">
        <v>197</v>
      </c>
      <c r="I95">
        <v>17</v>
      </c>
      <c r="J95">
        <v>10</v>
      </c>
      <c r="K95">
        <v>27</v>
      </c>
      <c r="L95"/>
      <c r="M95"/>
      <c r="N95" t="s">
        <v>197</v>
      </c>
      <c r="O95" s="71">
        <v>0.1232</v>
      </c>
      <c r="P95" s="71">
        <v>0.1299</v>
      </c>
      <c r="Q95" s="71">
        <v>0.2531</v>
      </c>
      <c r="R95"/>
      <c r="S95"/>
      <c r="T95"/>
    </row>
    <row r="96" ht="15" spans="1:20">
      <c r="A96" t="s">
        <v>198</v>
      </c>
      <c r="B96">
        <v>142</v>
      </c>
      <c r="C96">
        <v>62</v>
      </c>
      <c r="D96">
        <v>204</v>
      </c>
      <c r="E96"/>
      <c r="F96"/>
      <c r="H96" t="s">
        <v>198</v>
      </c>
      <c r="I96">
        <v>11</v>
      </c>
      <c r="J96">
        <v>4</v>
      </c>
      <c r="K96">
        <v>15</v>
      </c>
      <c r="L96"/>
      <c r="M96"/>
      <c r="N96" t="s">
        <v>198</v>
      </c>
      <c r="O96" s="71">
        <v>0.0775</v>
      </c>
      <c r="P96" s="71">
        <v>0.0645</v>
      </c>
      <c r="Q96" s="71">
        <v>0.142</v>
      </c>
      <c r="R96"/>
      <c r="S96"/>
      <c r="T96"/>
    </row>
    <row r="97" ht="15" spans="1:20">
      <c r="A97" t="s">
        <v>199</v>
      </c>
      <c r="B97">
        <v>122</v>
      </c>
      <c r="C97">
        <v>61</v>
      </c>
      <c r="D97">
        <v>183</v>
      </c>
      <c r="E97"/>
      <c r="F97"/>
      <c r="H97" t="s">
        <v>199</v>
      </c>
      <c r="I97">
        <v>12</v>
      </c>
      <c r="J97">
        <v>4</v>
      </c>
      <c r="K97">
        <v>16</v>
      </c>
      <c r="L97"/>
      <c r="M97"/>
      <c r="N97" t="s">
        <v>199</v>
      </c>
      <c r="O97" s="71">
        <v>0.0984</v>
      </c>
      <c r="P97" s="71">
        <v>0.0656</v>
      </c>
      <c r="Q97" s="71">
        <v>0.164</v>
      </c>
      <c r="R97"/>
      <c r="S97"/>
      <c r="T97"/>
    </row>
    <row r="98" ht="15" spans="1:20">
      <c r="A98" t="s">
        <v>200</v>
      </c>
      <c r="B98">
        <v>102</v>
      </c>
      <c r="C98">
        <v>58</v>
      </c>
      <c r="D98">
        <v>160</v>
      </c>
      <c r="E98"/>
      <c r="F98"/>
      <c r="H98" t="s">
        <v>200</v>
      </c>
      <c r="I98">
        <v>9</v>
      </c>
      <c r="J98">
        <v>5</v>
      </c>
      <c r="K98">
        <v>14</v>
      </c>
      <c r="L98"/>
      <c r="M98"/>
      <c r="N98" t="s">
        <v>200</v>
      </c>
      <c r="O98" s="71">
        <v>0.0882</v>
      </c>
      <c r="P98" s="71">
        <v>0.0862</v>
      </c>
      <c r="Q98" s="71">
        <v>0.1744</v>
      </c>
      <c r="R98"/>
      <c r="S98"/>
      <c r="T98"/>
    </row>
    <row r="99" ht="15" spans="1:20">
      <c r="A99" t="s">
        <v>201</v>
      </c>
      <c r="B99">
        <v>172</v>
      </c>
      <c r="C99">
        <v>67</v>
      </c>
      <c r="D99">
        <v>239</v>
      </c>
      <c r="E99"/>
      <c r="F99"/>
      <c r="H99" t="s">
        <v>201</v>
      </c>
      <c r="I99">
        <v>11</v>
      </c>
      <c r="J99">
        <v>5</v>
      </c>
      <c r="K99">
        <v>16</v>
      </c>
      <c r="L99"/>
      <c r="M99"/>
      <c r="N99" t="s">
        <v>201</v>
      </c>
      <c r="O99" s="71">
        <v>0.064</v>
      </c>
      <c r="P99" s="71">
        <v>0.0746</v>
      </c>
      <c r="Q99" s="71">
        <v>0.1386</v>
      </c>
      <c r="R99"/>
      <c r="S99"/>
      <c r="T99"/>
    </row>
    <row r="100" ht="15" spans="1:20">
      <c r="A100" t="s">
        <v>202</v>
      </c>
      <c r="B100">
        <v>204</v>
      </c>
      <c r="C100">
        <v>81</v>
      </c>
      <c r="D100">
        <v>285</v>
      </c>
      <c r="E100"/>
      <c r="F100"/>
      <c r="H100" t="s">
        <v>202</v>
      </c>
      <c r="I100">
        <v>14</v>
      </c>
      <c r="J100">
        <v>10</v>
      </c>
      <c r="K100">
        <v>24</v>
      </c>
      <c r="L100"/>
      <c r="M100"/>
      <c r="N100" t="s">
        <v>202</v>
      </c>
      <c r="O100" s="71">
        <v>0.0686</v>
      </c>
      <c r="P100" s="71">
        <v>0.1235</v>
      </c>
      <c r="Q100" s="71">
        <v>0.1921</v>
      </c>
      <c r="R100"/>
      <c r="S100"/>
      <c r="T100"/>
    </row>
    <row r="101" ht="15" spans="1:20">
      <c r="A101" t="s">
        <v>203</v>
      </c>
      <c r="B101">
        <v>165</v>
      </c>
      <c r="C101">
        <v>56</v>
      </c>
      <c r="D101">
        <v>221</v>
      </c>
      <c r="E101"/>
      <c r="F101"/>
      <c r="H101" t="s">
        <v>203</v>
      </c>
      <c r="I101">
        <v>18</v>
      </c>
      <c r="J101">
        <v>5</v>
      </c>
      <c r="K101">
        <v>23</v>
      </c>
      <c r="L101"/>
      <c r="M101"/>
      <c r="N101" t="s">
        <v>203</v>
      </c>
      <c r="O101" s="71">
        <v>0.1091</v>
      </c>
      <c r="P101" s="71">
        <v>0.0893</v>
      </c>
      <c r="Q101" s="71">
        <v>0.1984</v>
      </c>
      <c r="R101"/>
      <c r="S101"/>
      <c r="T101"/>
    </row>
    <row r="102" ht="15" spans="1:20">
      <c r="A102" t="s">
        <v>204</v>
      </c>
      <c r="B102">
        <v>175</v>
      </c>
      <c r="C102">
        <v>60</v>
      </c>
      <c r="D102">
        <v>235</v>
      </c>
      <c r="E102"/>
      <c r="F102"/>
      <c r="H102" t="s">
        <v>204</v>
      </c>
      <c r="I102">
        <v>19</v>
      </c>
      <c r="J102">
        <v>10</v>
      </c>
      <c r="K102">
        <v>29</v>
      </c>
      <c r="L102"/>
      <c r="M102"/>
      <c r="N102" t="s">
        <v>204</v>
      </c>
      <c r="O102" s="71">
        <v>0.1086</v>
      </c>
      <c r="P102" s="71">
        <v>0.1667</v>
      </c>
      <c r="Q102" s="71">
        <v>0.2753</v>
      </c>
      <c r="R102"/>
      <c r="S102"/>
      <c r="T102"/>
    </row>
    <row r="103" ht="15" spans="1:20">
      <c r="A103" t="s">
        <v>205</v>
      </c>
      <c r="B103">
        <v>200</v>
      </c>
      <c r="C103">
        <v>71</v>
      </c>
      <c r="D103">
        <v>271</v>
      </c>
      <c r="E103"/>
      <c r="F103"/>
      <c r="H103" t="s">
        <v>205</v>
      </c>
      <c r="I103">
        <v>21</v>
      </c>
      <c r="J103">
        <v>6</v>
      </c>
      <c r="K103">
        <v>27</v>
      </c>
      <c r="L103"/>
      <c r="M103"/>
      <c r="N103" t="s">
        <v>205</v>
      </c>
      <c r="O103" s="71">
        <v>0.105</v>
      </c>
      <c r="P103" s="71">
        <v>0.0845</v>
      </c>
      <c r="Q103" s="71">
        <v>0.1895</v>
      </c>
      <c r="R103"/>
      <c r="S103"/>
      <c r="T103"/>
    </row>
    <row r="104" ht="15" spans="1:20">
      <c r="A104" t="s">
        <v>206</v>
      </c>
      <c r="B104">
        <v>176</v>
      </c>
      <c r="C104">
        <v>72</v>
      </c>
      <c r="D104">
        <v>248</v>
      </c>
      <c r="E104"/>
      <c r="F104"/>
      <c r="H104" t="s">
        <v>206</v>
      </c>
      <c r="I104">
        <v>22</v>
      </c>
      <c r="J104">
        <v>14</v>
      </c>
      <c r="K104">
        <v>36</v>
      </c>
      <c r="L104"/>
      <c r="M104"/>
      <c r="N104" t="s">
        <v>206</v>
      </c>
      <c r="O104" s="71">
        <v>0.125</v>
      </c>
      <c r="P104" s="71">
        <v>0.1944</v>
      </c>
      <c r="Q104" s="71">
        <v>0.3194</v>
      </c>
      <c r="R104"/>
      <c r="S104"/>
      <c r="T104"/>
    </row>
    <row r="105" ht="15" spans="1:20">
      <c r="A105" t="s">
        <v>207</v>
      </c>
      <c r="B105">
        <v>187</v>
      </c>
      <c r="C105">
        <v>67</v>
      </c>
      <c r="D105">
        <v>254</v>
      </c>
      <c r="E105"/>
      <c r="F105"/>
      <c r="H105" t="s">
        <v>207</v>
      </c>
      <c r="I105">
        <v>29</v>
      </c>
      <c r="J105">
        <v>7</v>
      </c>
      <c r="K105">
        <v>36</v>
      </c>
      <c r="L105"/>
      <c r="M105"/>
      <c r="N105" t="s">
        <v>207</v>
      </c>
      <c r="O105" s="71">
        <v>0.1551</v>
      </c>
      <c r="P105" s="71">
        <v>0.1045</v>
      </c>
      <c r="Q105" s="71">
        <v>0.2596</v>
      </c>
      <c r="R105"/>
      <c r="S105"/>
      <c r="T105"/>
    </row>
    <row r="106" ht="15" spans="1:20">
      <c r="A106" t="s">
        <v>208</v>
      </c>
      <c r="B106">
        <v>241</v>
      </c>
      <c r="C106">
        <v>91</v>
      </c>
      <c r="D106">
        <v>332</v>
      </c>
      <c r="E106"/>
      <c r="F106"/>
      <c r="H106" t="s">
        <v>208</v>
      </c>
      <c r="I106">
        <v>18</v>
      </c>
      <c r="J106">
        <v>8</v>
      </c>
      <c r="K106">
        <v>26</v>
      </c>
      <c r="L106"/>
      <c r="M106"/>
      <c r="N106" t="s">
        <v>208</v>
      </c>
      <c r="O106" s="71">
        <v>0.0747</v>
      </c>
      <c r="P106" s="71">
        <v>0.0879</v>
      </c>
      <c r="Q106" s="71">
        <v>0.1626</v>
      </c>
      <c r="R106"/>
      <c r="S106"/>
      <c r="T106"/>
    </row>
    <row r="107" ht="15" spans="1:20">
      <c r="A107" t="s">
        <v>209</v>
      </c>
      <c r="B107">
        <v>341</v>
      </c>
      <c r="C107">
        <v>125</v>
      </c>
      <c r="D107">
        <v>466</v>
      </c>
      <c r="E107"/>
      <c r="F107"/>
      <c r="H107" t="s">
        <v>209</v>
      </c>
      <c r="I107">
        <v>40</v>
      </c>
      <c r="J107">
        <v>20</v>
      </c>
      <c r="K107">
        <v>60</v>
      </c>
      <c r="L107"/>
      <c r="M107"/>
      <c r="N107" t="s">
        <v>209</v>
      </c>
      <c r="O107" s="71">
        <v>0.1173</v>
      </c>
      <c r="P107" s="71">
        <v>0.16</v>
      </c>
      <c r="Q107" s="71">
        <v>0.2773</v>
      </c>
      <c r="R107"/>
      <c r="S107"/>
      <c r="T107"/>
    </row>
    <row r="108" ht="15" spans="1:20">
      <c r="A108" t="s">
        <v>210</v>
      </c>
      <c r="B108">
        <v>225</v>
      </c>
      <c r="C108">
        <v>73</v>
      </c>
      <c r="D108">
        <v>298</v>
      </c>
      <c r="E108"/>
      <c r="F108"/>
      <c r="H108" t="s">
        <v>210</v>
      </c>
      <c r="I108">
        <v>28</v>
      </c>
      <c r="J108">
        <v>8</v>
      </c>
      <c r="K108">
        <v>36</v>
      </c>
      <c r="L108"/>
      <c r="M108"/>
      <c r="N108" t="s">
        <v>210</v>
      </c>
      <c r="O108" s="71">
        <v>0.1244</v>
      </c>
      <c r="P108" s="71">
        <v>0.1096</v>
      </c>
      <c r="Q108" s="71">
        <v>0.234</v>
      </c>
      <c r="R108"/>
      <c r="S108"/>
      <c r="T108"/>
    </row>
    <row r="109" ht="15" spans="1:20">
      <c r="A109" t="s">
        <v>211</v>
      </c>
      <c r="B109">
        <v>235</v>
      </c>
      <c r="C109">
        <v>92</v>
      </c>
      <c r="D109">
        <v>327</v>
      </c>
      <c r="E109"/>
      <c r="F109"/>
      <c r="H109" t="s">
        <v>211</v>
      </c>
      <c r="I109">
        <v>26</v>
      </c>
      <c r="J109">
        <v>10</v>
      </c>
      <c r="K109">
        <v>36</v>
      </c>
      <c r="L109"/>
      <c r="M109"/>
      <c r="N109" t="s">
        <v>211</v>
      </c>
      <c r="O109" s="71">
        <v>0.1106</v>
      </c>
      <c r="P109" s="71">
        <v>0.1087</v>
      </c>
      <c r="Q109" s="71">
        <v>0.2193</v>
      </c>
      <c r="R109"/>
      <c r="S109"/>
      <c r="T109"/>
    </row>
    <row r="110" ht="15" spans="1:30">
      <c r="A110" t="s">
        <v>212</v>
      </c>
      <c r="B110">
        <v>226</v>
      </c>
      <c r="C110">
        <v>85</v>
      </c>
      <c r="D110">
        <v>311</v>
      </c>
      <c r="E110"/>
      <c r="F110"/>
      <c r="H110" t="s">
        <v>212</v>
      </c>
      <c r="I110">
        <v>21</v>
      </c>
      <c r="J110">
        <v>13</v>
      </c>
      <c r="K110">
        <v>34</v>
      </c>
      <c r="L110"/>
      <c r="M110"/>
      <c r="N110" t="s">
        <v>212</v>
      </c>
      <c r="O110" s="71">
        <v>0.0929</v>
      </c>
      <c r="P110" s="71">
        <v>0.1529</v>
      </c>
      <c r="Q110" s="71">
        <v>0.2458</v>
      </c>
      <c r="R110"/>
      <c r="S110"/>
      <c r="T110"/>
      <c r="V110"/>
      <c r="W110"/>
      <c r="X110"/>
      <c r="AC110" t="s">
        <v>245</v>
      </c>
      <c r="AD110" t="s">
        <v>238</v>
      </c>
    </row>
    <row r="111" ht="15" spans="1:30">
      <c r="A111" t="s">
        <v>213</v>
      </c>
      <c r="B111">
        <v>220</v>
      </c>
      <c r="C111">
        <v>66</v>
      </c>
      <c r="D111">
        <v>286</v>
      </c>
      <c r="E111"/>
      <c r="F111"/>
      <c r="H111" t="s">
        <v>213</v>
      </c>
      <c r="I111">
        <v>35</v>
      </c>
      <c r="J111">
        <v>7</v>
      </c>
      <c r="K111">
        <v>42</v>
      </c>
      <c r="L111"/>
      <c r="M111"/>
      <c r="N111" t="s">
        <v>213</v>
      </c>
      <c r="O111" s="71">
        <v>0.1591</v>
      </c>
      <c r="P111" s="71">
        <v>0.1061</v>
      </c>
      <c r="Q111" s="71">
        <v>0.2652</v>
      </c>
      <c r="R111"/>
      <c r="S111"/>
      <c r="T111"/>
      <c r="V111"/>
      <c r="W111"/>
      <c r="X111"/>
      <c r="AC111" t="s">
        <v>239</v>
      </c>
      <c r="AD111" t="s">
        <v>240</v>
      </c>
    </row>
    <row r="112" ht="15" spans="1:29">
      <c r="A112" t="s">
        <v>214</v>
      </c>
      <c r="B112">
        <v>206</v>
      </c>
      <c r="C112">
        <v>74</v>
      </c>
      <c r="D112">
        <v>280</v>
      </c>
      <c r="E112"/>
      <c r="F112"/>
      <c r="H112" t="s">
        <v>214</v>
      </c>
      <c r="I112">
        <v>27</v>
      </c>
      <c r="J112">
        <v>13</v>
      </c>
      <c r="K112">
        <v>40</v>
      </c>
      <c r="L112"/>
      <c r="M112"/>
      <c r="N112" t="s">
        <v>214</v>
      </c>
      <c r="O112" s="71">
        <v>0.1311</v>
      </c>
      <c r="P112" s="71">
        <v>0.1757</v>
      </c>
      <c r="Q112" s="71">
        <v>0.3068</v>
      </c>
      <c r="R112"/>
      <c r="S112"/>
      <c r="T112"/>
      <c r="V112"/>
      <c r="W112"/>
      <c r="X112"/>
      <c r="AC112" t="s">
        <v>240</v>
      </c>
    </row>
    <row r="113" ht="15" spans="1:24">
      <c r="A113" t="s">
        <v>215</v>
      </c>
      <c r="B113">
        <v>250</v>
      </c>
      <c r="C113">
        <v>77</v>
      </c>
      <c r="D113">
        <v>327</v>
      </c>
      <c r="E113"/>
      <c r="F113"/>
      <c r="H113" t="s">
        <v>215</v>
      </c>
      <c r="I113">
        <v>24</v>
      </c>
      <c r="J113">
        <v>18</v>
      </c>
      <c r="K113">
        <v>42</v>
      </c>
      <c r="L113"/>
      <c r="M113"/>
      <c r="N113" t="s">
        <v>215</v>
      </c>
      <c r="O113" s="71">
        <v>0.096</v>
      </c>
      <c r="P113" s="71">
        <v>0.2338</v>
      </c>
      <c r="Q113" s="71">
        <v>0.3298</v>
      </c>
      <c r="R113"/>
      <c r="S113"/>
      <c r="T113"/>
      <c r="V113"/>
      <c r="W113"/>
      <c r="X113"/>
    </row>
    <row r="114" ht="15" spans="1:24">
      <c r="A114" t="s">
        <v>216</v>
      </c>
      <c r="B114">
        <v>314</v>
      </c>
      <c r="C114">
        <v>113</v>
      </c>
      <c r="D114">
        <v>427</v>
      </c>
      <c r="E114"/>
      <c r="F114"/>
      <c r="H114" t="s">
        <v>216</v>
      </c>
      <c r="I114">
        <v>35</v>
      </c>
      <c r="J114">
        <v>8</v>
      </c>
      <c r="K114">
        <v>43</v>
      </c>
      <c r="L114"/>
      <c r="M114"/>
      <c r="N114" t="s">
        <v>216</v>
      </c>
      <c r="O114" s="71">
        <v>0.1115</v>
      </c>
      <c r="P114" s="71">
        <v>0.0708</v>
      </c>
      <c r="Q114" s="71">
        <v>0.1823</v>
      </c>
      <c r="R114"/>
      <c r="S114"/>
      <c r="T114"/>
      <c r="V114"/>
      <c r="W114"/>
      <c r="X114"/>
    </row>
    <row r="115" ht="15" spans="1:24">
      <c r="A115" t="s">
        <v>217</v>
      </c>
      <c r="B115">
        <v>231</v>
      </c>
      <c r="C115">
        <v>85</v>
      </c>
      <c r="D115">
        <v>316</v>
      </c>
      <c r="E115"/>
      <c r="F115"/>
      <c r="H115" t="s">
        <v>217</v>
      </c>
      <c r="I115">
        <v>25</v>
      </c>
      <c r="J115">
        <v>12</v>
      </c>
      <c r="K115">
        <v>37</v>
      </c>
      <c r="L115"/>
      <c r="M115"/>
      <c r="N115" t="s">
        <v>217</v>
      </c>
      <c r="O115" s="71">
        <v>0.1082</v>
      </c>
      <c r="P115" s="71">
        <v>0.1412</v>
      </c>
      <c r="Q115" s="71">
        <v>0.2494</v>
      </c>
      <c r="R115"/>
      <c r="S115"/>
      <c r="T115"/>
      <c r="V115"/>
      <c r="W115"/>
      <c r="X115"/>
    </row>
    <row r="116" ht="15" spans="1:24">
      <c r="A116" t="s">
        <v>218</v>
      </c>
      <c r="B116">
        <v>214</v>
      </c>
      <c r="C116">
        <v>61</v>
      </c>
      <c r="D116">
        <v>275</v>
      </c>
      <c r="E116"/>
      <c r="F116"/>
      <c r="H116" t="s">
        <v>218</v>
      </c>
      <c r="I116">
        <v>31</v>
      </c>
      <c r="J116">
        <v>14</v>
      </c>
      <c r="K116">
        <v>45</v>
      </c>
      <c r="L116"/>
      <c r="M116"/>
      <c r="N116" t="s">
        <v>218</v>
      </c>
      <c r="O116" s="71">
        <v>0.1449</v>
      </c>
      <c r="P116" s="71">
        <v>0.2295</v>
      </c>
      <c r="Q116" s="71">
        <v>0.3744</v>
      </c>
      <c r="R116"/>
      <c r="S116"/>
      <c r="T116"/>
      <c r="V116"/>
      <c r="W116"/>
      <c r="X116"/>
    </row>
    <row r="117" ht="15" spans="1:24">
      <c r="A117" t="s">
        <v>219</v>
      </c>
      <c r="B117">
        <v>191</v>
      </c>
      <c r="C117">
        <v>60</v>
      </c>
      <c r="D117">
        <v>251</v>
      </c>
      <c r="E117"/>
      <c r="F117"/>
      <c r="H117" t="s">
        <v>219</v>
      </c>
      <c r="I117">
        <v>24</v>
      </c>
      <c r="J117">
        <v>9</v>
      </c>
      <c r="K117">
        <v>33</v>
      </c>
      <c r="L117"/>
      <c r="M117"/>
      <c r="N117" t="s">
        <v>219</v>
      </c>
      <c r="O117" s="71">
        <v>0.1257</v>
      </c>
      <c r="P117" s="71">
        <v>0.15</v>
      </c>
      <c r="Q117" s="71">
        <v>0.2757</v>
      </c>
      <c r="R117"/>
      <c r="S117"/>
      <c r="T117"/>
      <c r="V117"/>
      <c r="W117"/>
      <c r="X117"/>
    </row>
    <row r="118" ht="15" spans="1:24">
      <c r="A118" t="s">
        <v>220</v>
      </c>
      <c r="B118">
        <v>191</v>
      </c>
      <c r="C118">
        <v>69</v>
      </c>
      <c r="D118">
        <v>260</v>
      </c>
      <c r="E118"/>
      <c r="F118"/>
      <c r="H118" t="s">
        <v>220</v>
      </c>
      <c r="I118">
        <v>29</v>
      </c>
      <c r="J118">
        <v>6</v>
      </c>
      <c r="K118">
        <v>35</v>
      </c>
      <c r="L118"/>
      <c r="M118"/>
      <c r="N118" t="s">
        <v>220</v>
      </c>
      <c r="O118" s="71">
        <v>0.1518</v>
      </c>
      <c r="P118" s="71">
        <v>0.087</v>
      </c>
      <c r="Q118" s="71">
        <v>0.2388</v>
      </c>
      <c r="R118"/>
      <c r="S118"/>
      <c r="T118"/>
      <c r="V118"/>
      <c r="W118"/>
      <c r="X118"/>
    </row>
    <row r="119" ht="15" spans="1:24">
      <c r="A119" t="s">
        <v>221</v>
      </c>
      <c r="B119">
        <v>216</v>
      </c>
      <c r="C119">
        <v>69</v>
      </c>
      <c r="D119">
        <v>285</v>
      </c>
      <c r="E119"/>
      <c r="F119"/>
      <c r="H119" t="s">
        <v>221</v>
      </c>
      <c r="I119">
        <v>29</v>
      </c>
      <c r="J119">
        <v>10</v>
      </c>
      <c r="K119">
        <v>39</v>
      </c>
      <c r="L119"/>
      <c r="M119"/>
      <c r="N119" t="s">
        <v>221</v>
      </c>
      <c r="O119" s="71">
        <v>0.1343</v>
      </c>
      <c r="P119" s="71">
        <v>0.1449</v>
      </c>
      <c r="Q119" s="71">
        <v>0.2792</v>
      </c>
      <c r="R119"/>
      <c r="S119"/>
      <c r="T119"/>
      <c r="V119"/>
      <c r="W119"/>
      <c r="X119"/>
    </row>
    <row r="120" ht="15" spans="1:24">
      <c r="A120" t="s">
        <v>222</v>
      </c>
      <c r="B120">
        <v>353</v>
      </c>
      <c r="C120">
        <v>180</v>
      </c>
      <c r="D120">
        <v>533</v>
      </c>
      <c r="E120"/>
      <c r="F120"/>
      <c r="H120" t="s">
        <v>222</v>
      </c>
      <c r="I120">
        <v>47</v>
      </c>
      <c r="J120">
        <v>36</v>
      </c>
      <c r="K120">
        <v>83</v>
      </c>
      <c r="L120"/>
      <c r="M120"/>
      <c r="N120" t="s">
        <v>222</v>
      </c>
      <c r="O120" s="71">
        <v>0.1331</v>
      </c>
      <c r="P120" s="71">
        <v>0.2</v>
      </c>
      <c r="Q120" s="71">
        <v>0.3331</v>
      </c>
      <c r="R120"/>
      <c r="S120"/>
      <c r="T120"/>
      <c r="V120"/>
      <c r="W120"/>
      <c r="X120"/>
    </row>
    <row r="121" ht="15" spans="1:24">
      <c r="A121" t="s">
        <v>223</v>
      </c>
      <c r="B121">
        <v>403</v>
      </c>
      <c r="C121">
        <v>221</v>
      </c>
      <c r="D121">
        <v>624</v>
      </c>
      <c r="E121"/>
      <c r="F121"/>
      <c r="H121" t="s">
        <v>223</v>
      </c>
      <c r="I121">
        <v>49</v>
      </c>
      <c r="J121">
        <v>40</v>
      </c>
      <c r="K121">
        <v>89</v>
      </c>
      <c r="L121"/>
      <c r="M121"/>
      <c r="N121" t="s">
        <v>223</v>
      </c>
      <c r="O121" s="71">
        <v>0.1216</v>
      </c>
      <c r="P121" s="71">
        <v>0.181</v>
      </c>
      <c r="Q121" s="71">
        <v>0.3026</v>
      </c>
      <c r="R121"/>
      <c r="S121"/>
      <c r="T121"/>
      <c r="V121"/>
      <c r="W121"/>
      <c r="X121"/>
    </row>
    <row r="122" ht="15" spans="1:24">
      <c r="A122" t="s">
        <v>224</v>
      </c>
      <c r="B122">
        <v>285</v>
      </c>
      <c r="C122">
        <v>126</v>
      </c>
      <c r="D122">
        <v>411</v>
      </c>
      <c r="E122"/>
      <c r="F122"/>
      <c r="H122" t="s">
        <v>224</v>
      </c>
      <c r="I122">
        <v>38</v>
      </c>
      <c r="J122">
        <v>23</v>
      </c>
      <c r="K122">
        <v>61</v>
      </c>
      <c r="L122"/>
      <c r="M122"/>
      <c r="N122" t="s">
        <v>224</v>
      </c>
      <c r="O122" s="71">
        <v>0.1333</v>
      </c>
      <c r="P122" s="71">
        <v>0.1825</v>
      </c>
      <c r="Q122" s="71">
        <v>0.3158</v>
      </c>
      <c r="R122"/>
      <c r="S122"/>
      <c r="T122"/>
      <c r="V122"/>
      <c r="W122"/>
      <c r="X122"/>
    </row>
    <row r="123" ht="15" spans="1:24">
      <c r="A123" t="s">
        <v>225</v>
      </c>
      <c r="B123">
        <v>229</v>
      </c>
      <c r="C123">
        <v>119</v>
      </c>
      <c r="D123">
        <v>348</v>
      </c>
      <c r="E123"/>
      <c r="F123"/>
      <c r="H123" t="s">
        <v>225</v>
      </c>
      <c r="I123">
        <v>27</v>
      </c>
      <c r="J123">
        <v>18</v>
      </c>
      <c r="K123">
        <v>45</v>
      </c>
      <c r="L123"/>
      <c r="M123"/>
      <c r="N123" t="s">
        <v>225</v>
      </c>
      <c r="O123" s="71">
        <v>0.1179</v>
      </c>
      <c r="P123" s="71">
        <v>0.1513</v>
      </c>
      <c r="Q123" s="71">
        <v>0.2692</v>
      </c>
      <c r="R123"/>
      <c r="S123"/>
      <c r="T123"/>
      <c r="V123"/>
      <c r="W123"/>
      <c r="X123"/>
    </row>
    <row r="124" ht="15" spans="1:24">
      <c r="A124" t="s">
        <v>226</v>
      </c>
      <c r="B124">
        <v>208</v>
      </c>
      <c r="C124">
        <v>117</v>
      </c>
      <c r="D124">
        <v>325</v>
      </c>
      <c r="E124"/>
      <c r="F124"/>
      <c r="H124" t="s">
        <v>226</v>
      </c>
      <c r="I124">
        <v>32</v>
      </c>
      <c r="J124">
        <v>26</v>
      </c>
      <c r="K124">
        <v>58</v>
      </c>
      <c r="L124"/>
      <c r="M124"/>
      <c r="N124" t="s">
        <v>226</v>
      </c>
      <c r="O124" s="71">
        <v>0.1538</v>
      </c>
      <c r="P124" s="71">
        <v>0.2222</v>
      </c>
      <c r="Q124" s="71">
        <v>0.376</v>
      </c>
      <c r="R124"/>
      <c r="S124"/>
      <c r="T124"/>
      <c r="V124"/>
      <c r="W124"/>
      <c r="X124"/>
    </row>
    <row r="125" ht="15" spans="1:24">
      <c r="A125" t="s">
        <v>227</v>
      </c>
      <c r="B125">
        <v>167</v>
      </c>
      <c r="C125">
        <v>115</v>
      </c>
      <c r="D125">
        <v>282</v>
      </c>
      <c r="E125"/>
      <c r="F125"/>
      <c r="H125" t="s">
        <v>227</v>
      </c>
      <c r="I125">
        <v>20</v>
      </c>
      <c r="J125">
        <v>22</v>
      </c>
      <c r="K125">
        <v>42</v>
      </c>
      <c r="L125"/>
      <c r="M125"/>
      <c r="N125" t="s">
        <v>227</v>
      </c>
      <c r="O125" s="71">
        <v>0.1198</v>
      </c>
      <c r="P125" s="71">
        <v>0.1913</v>
      </c>
      <c r="Q125" s="71">
        <v>0.3111</v>
      </c>
      <c r="R125"/>
      <c r="S125"/>
      <c r="T125"/>
      <c r="V125"/>
      <c r="W125"/>
      <c r="X125"/>
    </row>
    <row r="126" ht="15" spans="1:20">
      <c r="A126" t="s">
        <v>228</v>
      </c>
      <c r="B126">
        <v>160</v>
      </c>
      <c r="C126">
        <v>96</v>
      </c>
      <c r="D126">
        <v>256</v>
      </c>
      <c r="E126"/>
      <c r="F126"/>
      <c r="H126" t="s">
        <v>228</v>
      </c>
      <c r="I126">
        <v>24</v>
      </c>
      <c r="J126">
        <v>12</v>
      </c>
      <c r="K126">
        <v>36</v>
      </c>
      <c r="L126"/>
      <c r="M126"/>
      <c r="N126" t="s">
        <v>228</v>
      </c>
      <c r="O126" s="71">
        <v>0.15</v>
      </c>
      <c r="P126" s="71">
        <v>0.125</v>
      </c>
      <c r="Q126" s="71">
        <v>0.275</v>
      </c>
      <c r="R126"/>
      <c r="S126"/>
      <c r="T126"/>
    </row>
    <row r="127" ht="15" spans="1:20">
      <c r="A127" t="s">
        <v>229</v>
      </c>
      <c r="B127">
        <v>192</v>
      </c>
      <c r="C127">
        <v>134</v>
      </c>
      <c r="D127">
        <v>326</v>
      </c>
      <c r="E127"/>
      <c r="F127"/>
      <c r="H127" t="s">
        <v>229</v>
      </c>
      <c r="I127">
        <v>10</v>
      </c>
      <c r="J127">
        <v>20</v>
      </c>
      <c r="K127">
        <v>30</v>
      </c>
      <c r="L127"/>
      <c r="M127"/>
      <c r="N127" t="s">
        <v>229</v>
      </c>
      <c r="O127" s="71">
        <v>0.0521</v>
      </c>
      <c r="P127" s="71">
        <v>0.1493</v>
      </c>
      <c r="Q127" s="71">
        <v>0.2014</v>
      </c>
      <c r="R127"/>
      <c r="S127"/>
      <c r="T127"/>
    </row>
    <row r="128" ht="15" spans="1:20">
      <c r="A128" t="s">
        <v>230</v>
      </c>
      <c r="B128">
        <v>195</v>
      </c>
      <c r="C128">
        <v>132</v>
      </c>
      <c r="D128">
        <v>327</v>
      </c>
      <c r="E128"/>
      <c r="F128"/>
      <c r="H128" t="s">
        <v>230</v>
      </c>
      <c r="I128">
        <v>17</v>
      </c>
      <c r="J128">
        <v>24</v>
      </c>
      <c r="K128">
        <v>41</v>
      </c>
      <c r="L128"/>
      <c r="M128"/>
      <c r="N128" t="s">
        <v>230</v>
      </c>
      <c r="O128" s="71">
        <v>0.0872</v>
      </c>
      <c r="P128" s="71">
        <v>0.1818</v>
      </c>
      <c r="Q128" s="71">
        <v>0.269</v>
      </c>
      <c r="R128"/>
      <c r="S128"/>
      <c r="T128"/>
    </row>
    <row r="129" ht="15" spans="1:20">
      <c r="A129" t="s">
        <v>231</v>
      </c>
      <c r="B129">
        <v>181</v>
      </c>
      <c r="C129">
        <v>168</v>
      </c>
      <c r="D129">
        <v>349</v>
      </c>
      <c r="E129"/>
      <c r="F129"/>
      <c r="H129" t="s">
        <v>231</v>
      </c>
      <c r="I129">
        <v>19</v>
      </c>
      <c r="J129">
        <v>18</v>
      </c>
      <c r="K129">
        <v>37</v>
      </c>
      <c r="L129"/>
      <c r="M129"/>
      <c r="N129" t="s">
        <v>231</v>
      </c>
      <c r="O129" s="71">
        <v>0.105</v>
      </c>
      <c r="P129" s="71">
        <v>0.1071</v>
      </c>
      <c r="Q129" s="71">
        <v>0.2121</v>
      </c>
      <c r="R129"/>
      <c r="S129"/>
      <c r="T129"/>
    </row>
    <row r="130" ht="15" spans="1:20">
      <c r="A130" t="s">
        <v>232</v>
      </c>
      <c r="B130">
        <v>116</v>
      </c>
      <c r="C130">
        <v>158</v>
      </c>
      <c r="D130">
        <v>274</v>
      </c>
      <c r="E130"/>
      <c r="F130"/>
      <c r="H130" t="s">
        <v>232</v>
      </c>
      <c r="I130">
        <v>19</v>
      </c>
      <c r="J130">
        <v>38</v>
      </c>
      <c r="K130">
        <v>57</v>
      </c>
      <c r="L130"/>
      <c r="M130"/>
      <c r="N130" t="s">
        <v>232</v>
      </c>
      <c r="O130" s="71">
        <v>0.1638</v>
      </c>
      <c r="P130" s="71">
        <v>0.2405</v>
      </c>
      <c r="Q130" s="71">
        <v>0.4043</v>
      </c>
      <c r="R130"/>
      <c r="S130"/>
      <c r="T130"/>
    </row>
    <row r="131" ht="15" spans="1:20">
      <c r="A131" t="s">
        <v>233</v>
      </c>
      <c r="B131">
        <v>105</v>
      </c>
      <c r="C131">
        <v>141</v>
      </c>
      <c r="D131">
        <v>246</v>
      </c>
      <c r="E131"/>
      <c r="F131"/>
      <c r="H131" t="s">
        <v>233</v>
      </c>
      <c r="I131">
        <v>18</v>
      </c>
      <c r="J131">
        <v>34</v>
      </c>
      <c r="K131">
        <v>52</v>
      </c>
      <c r="L131"/>
      <c r="M131"/>
      <c r="N131" t="s">
        <v>233</v>
      </c>
      <c r="O131" s="71">
        <v>0.1714</v>
      </c>
      <c r="P131" s="71">
        <v>0.2411</v>
      </c>
      <c r="Q131" s="71">
        <v>0.4125</v>
      </c>
      <c r="R131"/>
      <c r="S131"/>
      <c r="T131"/>
    </row>
    <row r="132" ht="15" spans="1:20">
      <c r="A132" t="s">
        <v>234</v>
      </c>
      <c r="B132">
        <v>85</v>
      </c>
      <c r="C132">
        <v>142</v>
      </c>
      <c r="D132">
        <v>227</v>
      </c>
      <c r="E132"/>
      <c r="F132"/>
      <c r="H132" t="s">
        <v>234</v>
      </c>
      <c r="I132">
        <v>8</v>
      </c>
      <c r="J132">
        <v>27</v>
      </c>
      <c r="K132">
        <v>35</v>
      </c>
      <c r="L132"/>
      <c r="M132"/>
      <c r="N132" t="s">
        <v>234</v>
      </c>
      <c r="O132" s="71">
        <v>0.0941</v>
      </c>
      <c r="P132" s="71">
        <v>0.1901</v>
      </c>
      <c r="Q132" s="71">
        <v>0.2842</v>
      </c>
      <c r="R132"/>
      <c r="S132"/>
      <c r="T132"/>
    </row>
    <row r="133" ht="15" spans="1:20">
      <c r="A133" t="s">
        <v>235</v>
      </c>
      <c r="B133">
        <v>0</v>
      </c>
      <c r="C133">
        <v>0</v>
      </c>
      <c r="D133">
        <v>0</v>
      </c>
      <c r="E133"/>
      <c r="F133"/>
      <c r="H133" t="s">
        <v>235</v>
      </c>
      <c r="I133">
        <v>4</v>
      </c>
      <c r="J133">
        <v>28</v>
      </c>
      <c r="K133">
        <v>32</v>
      </c>
      <c r="L133"/>
      <c r="M133"/>
      <c r="N133" t="s">
        <v>235</v>
      </c>
      <c r="O133" s="71">
        <v>0</v>
      </c>
      <c r="P133" s="71">
        <v>0</v>
      </c>
      <c r="Q133" s="71">
        <v>0</v>
      </c>
      <c r="R133"/>
      <c r="S133"/>
      <c r="T133"/>
    </row>
    <row r="134" ht="15" spans="1:20">
      <c r="A134" t="s">
        <v>236</v>
      </c>
      <c r="B134">
        <v>0</v>
      </c>
      <c r="C134">
        <v>0</v>
      </c>
      <c r="D134">
        <v>0</v>
      </c>
      <c r="E134"/>
      <c r="F134"/>
      <c r="H134" t="s">
        <v>236</v>
      </c>
      <c r="I134">
        <v>0</v>
      </c>
      <c r="J134">
        <v>0</v>
      </c>
      <c r="K134">
        <v>0</v>
      </c>
      <c r="L134"/>
      <c r="M134"/>
      <c r="N134" t="s">
        <v>236</v>
      </c>
      <c r="O134" s="71">
        <v>0</v>
      </c>
      <c r="P134" s="71">
        <v>0</v>
      </c>
      <c r="Q134" s="71">
        <v>0</v>
      </c>
      <c r="R134"/>
      <c r="S134"/>
      <c r="T134"/>
    </row>
    <row r="135" ht="15" spans="1:20">
      <c r="A135" t="s">
        <v>240</v>
      </c>
      <c r="B135">
        <v>8810</v>
      </c>
      <c r="C135">
        <v>4481</v>
      </c>
      <c r="D135">
        <v>13291</v>
      </c>
      <c r="E135"/>
      <c r="F135"/>
      <c r="H135" t="s">
        <v>240</v>
      </c>
      <c r="I135">
        <v>993</v>
      </c>
      <c r="J135">
        <v>653</v>
      </c>
      <c r="K135">
        <v>1646</v>
      </c>
      <c r="L135"/>
      <c r="M135"/>
      <c r="N135" t="s">
        <v>240</v>
      </c>
      <c r="O135" s="71">
        <v>5.4481</v>
      </c>
      <c r="P135" s="71">
        <v>6.338</v>
      </c>
      <c r="Q135" s="71">
        <v>11.7861</v>
      </c>
      <c r="R135"/>
      <c r="S135"/>
      <c r="T135"/>
    </row>
    <row r="136" ht="15" spans="1:20">
      <c r="A136"/>
      <c r="B136"/>
      <c r="C136"/>
      <c r="D136"/>
      <c r="E136"/>
      <c r="F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5" spans="1:18">
      <c r="A137"/>
      <c r="B137"/>
      <c r="C137"/>
      <c r="D137"/>
      <c r="E137"/>
      <c r="F137"/>
      <c r="N137"/>
      <c r="O137"/>
      <c r="P137"/>
      <c r="Q137"/>
      <c r="R137"/>
    </row>
    <row r="138" ht="15" spans="1:18">
      <c r="A138"/>
      <c r="B138"/>
      <c r="C138"/>
      <c r="D138"/>
      <c r="N138"/>
      <c r="O138"/>
      <c r="P138"/>
      <c r="Q138"/>
      <c r="R138"/>
    </row>
    <row r="139" ht="15" spans="1:18">
      <c r="A139"/>
      <c r="B139"/>
      <c r="C139"/>
      <c r="D139"/>
      <c r="N139"/>
      <c r="O139"/>
      <c r="P139"/>
      <c r="Q139"/>
      <c r="R139"/>
    </row>
    <row r="140" ht="15" spans="1:18">
      <c r="A140"/>
      <c r="B140"/>
      <c r="C140"/>
      <c r="D140"/>
      <c r="N140"/>
      <c r="O140"/>
      <c r="P140"/>
      <c r="Q140"/>
      <c r="R140"/>
    </row>
    <row r="141" ht="15" spans="1:18">
      <c r="A141"/>
      <c r="B141"/>
      <c r="C141"/>
      <c r="D141"/>
      <c r="N141"/>
      <c r="O141"/>
      <c r="P141"/>
      <c r="Q141"/>
      <c r="R141"/>
    </row>
    <row r="142" ht="15" spans="1:18">
      <c r="A142"/>
      <c r="B142"/>
      <c r="C142"/>
      <c r="D142"/>
      <c r="N142"/>
      <c r="O142"/>
      <c r="P142"/>
      <c r="Q142"/>
      <c r="R142"/>
    </row>
    <row r="143" ht="15" spans="1:18">
      <c r="A143"/>
      <c r="B143"/>
      <c r="C143"/>
      <c r="D143"/>
      <c r="N143"/>
      <c r="O143"/>
      <c r="P143"/>
      <c r="Q143"/>
      <c r="R143"/>
    </row>
    <row r="144" ht="15" spans="1:18">
      <c r="A144"/>
      <c r="B144"/>
      <c r="C144"/>
      <c r="D144"/>
      <c r="N144"/>
      <c r="O144"/>
      <c r="P144"/>
      <c r="Q144"/>
      <c r="R144"/>
    </row>
    <row r="145" ht="15" spans="1:18">
      <c r="A145"/>
      <c r="B145"/>
      <c r="C145"/>
      <c r="D145"/>
      <c r="N145"/>
      <c r="O145"/>
      <c r="P145"/>
      <c r="Q145"/>
      <c r="R145"/>
    </row>
    <row r="146" ht="15" spans="1:18">
      <c r="A146"/>
      <c r="B146"/>
      <c r="C146"/>
      <c r="D146"/>
      <c r="N146"/>
      <c r="O146"/>
      <c r="P146"/>
      <c r="Q146"/>
      <c r="R146"/>
    </row>
    <row r="147" ht="15" spans="1:18">
      <c r="A147"/>
      <c r="B147"/>
      <c r="C147"/>
      <c r="D147"/>
      <c r="N147"/>
      <c r="O147"/>
      <c r="P147"/>
      <c r="Q147"/>
      <c r="R147"/>
    </row>
    <row r="148" ht="15" spans="1:18">
      <c r="A148"/>
      <c r="B148"/>
      <c r="C148"/>
      <c r="D148"/>
      <c r="N148"/>
      <c r="O148"/>
      <c r="P148"/>
      <c r="Q148"/>
      <c r="R148"/>
    </row>
    <row r="149" ht="15" spans="1:18">
      <c r="A149"/>
      <c r="B149"/>
      <c r="C149"/>
      <c r="D149"/>
      <c r="N149"/>
      <c r="O149"/>
      <c r="P149"/>
      <c r="Q149"/>
      <c r="R149"/>
    </row>
    <row r="150" ht="15" spans="1:18">
      <c r="A150"/>
      <c r="B150"/>
      <c r="C150"/>
      <c r="D150"/>
      <c r="N150"/>
      <c r="O150"/>
      <c r="P150"/>
      <c r="Q150"/>
      <c r="R150"/>
    </row>
    <row r="151" ht="15" spans="1:18">
      <c r="A151"/>
      <c r="B151"/>
      <c r="C151"/>
      <c r="D151"/>
      <c r="N151"/>
      <c r="O151"/>
      <c r="P151"/>
      <c r="Q151"/>
      <c r="R151"/>
    </row>
    <row r="152" ht="15" spans="1:18">
      <c r="A152"/>
      <c r="B152"/>
      <c r="C152"/>
      <c r="D152"/>
      <c r="N152"/>
      <c r="O152"/>
      <c r="P152"/>
      <c r="Q152"/>
      <c r="R152"/>
    </row>
    <row r="153" ht="15" spans="1:18">
      <c r="A153"/>
      <c r="B153"/>
      <c r="C153"/>
      <c r="D153"/>
      <c r="N153"/>
      <c r="O153"/>
      <c r="P153"/>
      <c r="Q153"/>
      <c r="R153"/>
    </row>
    <row r="154" ht="15" spans="1:18">
      <c r="A154"/>
      <c r="B154"/>
      <c r="C154"/>
      <c r="D154"/>
      <c r="N154"/>
      <c r="O154"/>
      <c r="P154"/>
      <c r="Q154"/>
      <c r="R154"/>
    </row>
    <row r="155" ht="15" spans="1:18">
      <c r="A155"/>
      <c r="B155"/>
      <c r="C155"/>
      <c r="D155"/>
      <c r="N155"/>
      <c r="O155"/>
      <c r="P155"/>
      <c r="Q155"/>
      <c r="R155"/>
    </row>
    <row r="156" ht="15" spans="1:18">
      <c r="A156"/>
      <c r="B156"/>
      <c r="C156"/>
      <c r="D156"/>
      <c r="N156"/>
      <c r="O156"/>
      <c r="P156"/>
      <c r="Q156"/>
      <c r="R156"/>
    </row>
    <row r="157" ht="15" spans="1:18">
      <c r="A157"/>
      <c r="B157"/>
      <c r="C157"/>
      <c r="D157"/>
      <c r="N157"/>
      <c r="O157"/>
      <c r="P157"/>
      <c r="Q157"/>
      <c r="R157"/>
    </row>
    <row r="158" ht="15" spans="1:18">
      <c r="A158"/>
      <c r="B158"/>
      <c r="C158"/>
      <c r="D158"/>
      <c r="N158"/>
      <c r="O158"/>
      <c r="P158"/>
      <c r="Q158"/>
      <c r="R158"/>
    </row>
    <row r="159" ht="15" spans="1:18">
      <c r="A159"/>
      <c r="B159"/>
      <c r="C159"/>
      <c r="D159"/>
      <c r="N159"/>
      <c r="O159"/>
      <c r="P159"/>
      <c r="Q159"/>
      <c r="R159"/>
    </row>
    <row r="160" ht="15" spans="1:18">
      <c r="A160"/>
      <c r="B160"/>
      <c r="C160"/>
      <c r="D160"/>
      <c r="N160"/>
      <c r="O160"/>
      <c r="P160"/>
      <c r="Q160"/>
      <c r="R160"/>
    </row>
    <row r="161" ht="15" spans="1:18">
      <c r="A161"/>
      <c r="B161"/>
      <c r="C161"/>
      <c r="D161"/>
      <c r="N161"/>
      <c r="O161"/>
      <c r="P161"/>
      <c r="Q161"/>
      <c r="R161"/>
    </row>
    <row r="162" ht="15" spans="1:18">
      <c r="A162"/>
      <c r="B162"/>
      <c r="C162"/>
      <c r="D162"/>
      <c r="N162"/>
      <c r="O162"/>
      <c r="P162"/>
      <c r="Q162"/>
      <c r="R162"/>
    </row>
    <row r="163" ht="15" spans="1:18">
      <c r="A163"/>
      <c r="B163"/>
      <c r="C163"/>
      <c r="D163"/>
      <c r="N163"/>
      <c r="O163"/>
      <c r="P163"/>
      <c r="Q163"/>
      <c r="R163"/>
    </row>
    <row r="164" ht="15" spans="1:18">
      <c r="A164"/>
      <c r="B164"/>
      <c r="C164"/>
      <c r="D164"/>
      <c r="N164"/>
      <c r="O164"/>
      <c r="P164"/>
      <c r="Q164"/>
      <c r="R164"/>
    </row>
    <row r="165" ht="15" spans="1:18">
      <c r="A165"/>
      <c r="B165"/>
      <c r="C165"/>
      <c r="D165"/>
      <c r="N165"/>
      <c r="O165"/>
      <c r="P165"/>
      <c r="Q165"/>
      <c r="R165"/>
    </row>
    <row r="166" ht="15" spans="1:18">
      <c r="A166"/>
      <c r="B166"/>
      <c r="C166"/>
      <c r="D166"/>
      <c r="N166"/>
      <c r="O166"/>
      <c r="P166"/>
      <c r="Q166"/>
      <c r="R166"/>
    </row>
    <row r="167" ht="15" spans="1:18">
      <c r="A167"/>
      <c r="B167"/>
      <c r="C167"/>
      <c r="D167"/>
      <c r="N167"/>
      <c r="O167"/>
      <c r="P167"/>
      <c r="Q167"/>
      <c r="R167"/>
    </row>
    <row r="168" ht="15" spans="1:18">
      <c r="A168"/>
      <c r="B168"/>
      <c r="C168"/>
      <c r="D168"/>
      <c r="N168"/>
      <c r="O168"/>
      <c r="P168"/>
      <c r="Q168"/>
      <c r="R168"/>
    </row>
    <row r="169" ht="15" spans="1:18">
      <c r="A169"/>
      <c r="B169"/>
      <c r="C169"/>
      <c r="D169"/>
      <c r="N169"/>
      <c r="O169"/>
      <c r="P169"/>
      <c r="Q169"/>
      <c r="R169"/>
    </row>
    <row r="170" ht="15" spans="1:18">
      <c r="A170"/>
      <c r="B170"/>
      <c r="C170"/>
      <c r="D170"/>
      <c r="N170"/>
      <c r="O170"/>
      <c r="P170"/>
      <c r="Q170"/>
      <c r="R170"/>
    </row>
    <row r="171" ht="15" spans="1:18">
      <c r="A171"/>
      <c r="B171"/>
      <c r="C171"/>
      <c r="D171"/>
      <c r="N171"/>
      <c r="O171"/>
      <c r="P171"/>
      <c r="Q171"/>
      <c r="R171"/>
    </row>
    <row r="172" ht="15" spans="1:18">
      <c r="A172"/>
      <c r="B172"/>
      <c r="C172"/>
      <c r="D172"/>
      <c r="N172"/>
      <c r="O172"/>
      <c r="P172"/>
      <c r="Q172"/>
      <c r="R172"/>
    </row>
    <row r="173" ht="15" spans="1:18">
      <c r="A173"/>
      <c r="B173"/>
      <c r="C173"/>
      <c r="D173"/>
      <c r="N173"/>
      <c r="O173"/>
      <c r="P173"/>
      <c r="Q173"/>
      <c r="R173"/>
    </row>
    <row r="174" ht="15" spans="1:18">
      <c r="A174"/>
      <c r="B174"/>
      <c r="C174"/>
      <c r="D174"/>
      <c r="N174"/>
      <c r="O174"/>
      <c r="P174"/>
      <c r="Q174"/>
      <c r="R174"/>
    </row>
    <row r="175" ht="15" spans="1:18">
      <c r="A175"/>
      <c r="B175"/>
      <c r="C175"/>
      <c r="D175"/>
      <c r="N175"/>
      <c r="O175"/>
      <c r="P175"/>
      <c r="Q175"/>
      <c r="R175"/>
    </row>
    <row r="176" ht="15" spans="1:18">
      <c r="A176"/>
      <c r="B176"/>
      <c r="C176"/>
      <c r="D176"/>
      <c r="N176"/>
      <c r="O176"/>
      <c r="P176"/>
      <c r="Q176"/>
      <c r="R176"/>
    </row>
    <row r="177" ht="15" spans="1:18">
      <c r="A177"/>
      <c r="B177"/>
      <c r="C177"/>
      <c r="D177"/>
      <c r="N177"/>
      <c r="O177"/>
      <c r="P177"/>
      <c r="Q177"/>
      <c r="R177"/>
    </row>
    <row r="178" ht="15" spans="1:18">
      <c r="A178"/>
      <c r="B178"/>
      <c r="C178"/>
      <c r="D178"/>
      <c r="N178"/>
      <c r="O178"/>
      <c r="P178"/>
      <c r="Q178"/>
      <c r="R178"/>
    </row>
    <row r="179" ht="15" spans="1:18">
      <c r="A179"/>
      <c r="B179"/>
      <c r="C179"/>
      <c r="D179"/>
      <c r="N179"/>
      <c r="O179"/>
      <c r="P179"/>
      <c r="Q179"/>
      <c r="R179"/>
    </row>
    <row r="180" ht="15" spans="1:18">
      <c r="A180"/>
      <c r="B180"/>
      <c r="C180"/>
      <c r="D180"/>
      <c r="N180"/>
      <c r="O180"/>
      <c r="P180"/>
      <c r="Q180"/>
      <c r="R180"/>
    </row>
    <row r="181" ht="15" spans="1:18">
      <c r="A181"/>
      <c r="B181"/>
      <c r="C181"/>
      <c r="D181"/>
      <c r="N181"/>
      <c r="O181"/>
      <c r="P181"/>
      <c r="Q181"/>
      <c r="R181"/>
    </row>
    <row r="182" ht="15" spans="1:18">
      <c r="A182"/>
      <c r="B182"/>
      <c r="C182"/>
      <c r="D182"/>
      <c r="N182"/>
      <c r="O182"/>
      <c r="P182"/>
      <c r="Q182"/>
      <c r="R182"/>
    </row>
    <row r="183" ht="15" spans="1:18">
      <c r="A183"/>
      <c r="B183"/>
      <c r="C183"/>
      <c r="D183"/>
      <c r="N183"/>
      <c r="O183"/>
      <c r="P183"/>
      <c r="Q183"/>
      <c r="R183"/>
    </row>
    <row r="184" ht="15" spans="1:18">
      <c r="A184"/>
      <c r="B184"/>
      <c r="C184"/>
      <c r="D184"/>
      <c r="N184"/>
      <c r="O184"/>
      <c r="P184"/>
      <c r="Q184"/>
      <c r="R184"/>
    </row>
    <row r="185" ht="15" spans="1:18">
      <c r="A185"/>
      <c r="B185"/>
      <c r="C185"/>
      <c r="D185"/>
      <c r="N185"/>
      <c r="O185"/>
      <c r="P185"/>
      <c r="Q185"/>
      <c r="R185"/>
    </row>
    <row r="186" ht="15" spans="1:18">
      <c r="A186"/>
      <c r="B186"/>
      <c r="C186"/>
      <c r="D186"/>
      <c r="N186"/>
      <c r="O186"/>
      <c r="P186"/>
      <c r="Q186"/>
      <c r="R186"/>
    </row>
    <row r="187" ht="15" spans="1:18">
      <c r="A187"/>
      <c r="B187"/>
      <c r="C187"/>
      <c r="D187"/>
      <c r="N187"/>
      <c r="O187"/>
      <c r="P187"/>
      <c r="Q187"/>
      <c r="R187"/>
    </row>
    <row r="188" ht="15" spans="1:18">
      <c r="A188"/>
      <c r="B188"/>
      <c r="C188"/>
      <c r="D188"/>
      <c r="N188"/>
      <c r="O188"/>
      <c r="P188"/>
      <c r="Q188"/>
      <c r="R188"/>
    </row>
    <row r="189" ht="15" spans="1:18">
      <c r="A189"/>
      <c r="B189"/>
      <c r="C189"/>
      <c r="D189"/>
      <c r="N189"/>
      <c r="O189"/>
      <c r="P189"/>
      <c r="Q189"/>
      <c r="R189"/>
    </row>
    <row r="190" ht="15" spans="1:18">
      <c r="A190"/>
      <c r="B190"/>
      <c r="C190"/>
      <c r="D190"/>
      <c r="N190"/>
      <c r="O190"/>
      <c r="P190"/>
      <c r="Q190"/>
      <c r="R190"/>
    </row>
    <row r="191" ht="15" spans="1:18">
      <c r="A191"/>
      <c r="B191"/>
      <c r="C191"/>
      <c r="D191"/>
      <c r="N191"/>
      <c r="O191"/>
      <c r="P191"/>
      <c r="Q191"/>
      <c r="R191"/>
    </row>
    <row r="192" ht="15" spans="1:18">
      <c r="A192"/>
      <c r="B192"/>
      <c r="C192"/>
      <c r="D192"/>
      <c r="N192"/>
      <c r="O192"/>
      <c r="P192"/>
      <c r="Q192"/>
      <c r="R192"/>
    </row>
    <row r="193" spans="14:18">
      <c r="N193"/>
      <c r="O193"/>
      <c r="P193"/>
      <c r="Q193"/>
      <c r="R193"/>
    </row>
    <row r="194" ht="15" spans="1:18">
      <c r="A194"/>
      <c r="B194"/>
      <c r="C194"/>
      <c r="D194"/>
      <c r="E194"/>
      <c r="F194"/>
      <c r="N194"/>
      <c r="O194"/>
      <c r="P194"/>
      <c r="Q194"/>
      <c r="R194"/>
    </row>
    <row r="195" ht="15" spans="1:18">
      <c r="A195"/>
      <c r="B195"/>
      <c r="C195"/>
      <c r="D195"/>
      <c r="E195"/>
      <c r="F195"/>
      <c r="N195"/>
      <c r="O195"/>
      <c r="P195"/>
      <c r="Q195"/>
      <c r="R195"/>
    </row>
    <row r="196" ht="15" spans="1:18">
      <c r="A196"/>
      <c r="B196"/>
      <c r="C196"/>
      <c r="D196"/>
      <c r="E196"/>
      <c r="F196"/>
      <c r="N196"/>
      <c r="O196"/>
      <c r="P196"/>
      <c r="Q196"/>
      <c r="R196"/>
    </row>
    <row r="197" ht="15" spans="1:18">
      <c r="A197"/>
      <c r="B197"/>
      <c r="C197"/>
      <c r="D197"/>
      <c r="E197"/>
      <c r="F197"/>
      <c r="N197"/>
      <c r="O197"/>
      <c r="P197"/>
      <c r="Q197"/>
      <c r="R197"/>
    </row>
    <row r="198" ht="15" spans="1:18">
      <c r="A198"/>
      <c r="B198"/>
      <c r="C198"/>
      <c r="D198"/>
      <c r="E198"/>
      <c r="F198"/>
      <c r="N198"/>
      <c r="O198"/>
      <c r="P198"/>
      <c r="Q198"/>
      <c r="R198"/>
    </row>
    <row r="199" ht="15" spans="1:18">
      <c r="A199"/>
      <c r="B199"/>
      <c r="C199"/>
      <c r="D199"/>
      <c r="E199"/>
      <c r="F199"/>
      <c r="N199"/>
      <c r="O199"/>
      <c r="P199"/>
      <c r="Q199"/>
      <c r="R199"/>
    </row>
    <row r="200" ht="15" spans="1:18">
      <c r="A200"/>
      <c r="B200"/>
      <c r="C200"/>
      <c r="D200"/>
      <c r="E200"/>
      <c r="F200"/>
      <c r="N200"/>
      <c r="O200"/>
      <c r="P200"/>
      <c r="Q200"/>
      <c r="R200"/>
    </row>
    <row r="201" ht="15" spans="1:18">
      <c r="A201"/>
      <c r="B201"/>
      <c r="C201"/>
      <c r="D201"/>
      <c r="E201"/>
      <c r="F201"/>
      <c r="N201"/>
      <c r="O201"/>
      <c r="P201"/>
      <c r="Q201"/>
      <c r="R201"/>
    </row>
    <row r="202" ht="15" spans="1:18">
      <c r="A202"/>
      <c r="B202"/>
      <c r="C202"/>
      <c r="D202"/>
      <c r="E202"/>
      <c r="F202"/>
      <c r="N202"/>
      <c r="O202"/>
      <c r="P202"/>
      <c r="Q202"/>
      <c r="R202"/>
    </row>
    <row r="203" ht="15" spans="1:18">
      <c r="A203"/>
      <c r="B203"/>
      <c r="C203"/>
      <c r="D203"/>
      <c r="E203"/>
      <c r="F203"/>
      <c r="N203"/>
      <c r="O203"/>
      <c r="P203"/>
      <c r="Q203"/>
      <c r="R203"/>
    </row>
    <row r="204" ht="15" spans="1:18">
      <c r="A204"/>
      <c r="B204"/>
      <c r="C204"/>
      <c r="D204"/>
      <c r="E204"/>
      <c r="F204"/>
      <c r="N204"/>
      <c r="O204"/>
      <c r="P204"/>
      <c r="Q204"/>
      <c r="R204"/>
    </row>
    <row r="205" ht="15" spans="1:18">
      <c r="A205"/>
      <c r="B205"/>
      <c r="C205"/>
      <c r="D205"/>
      <c r="E205"/>
      <c r="F205"/>
      <c r="N205"/>
      <c r="O205"/>
      <c r="P205"/>
      <c r="Q205"/>
      <c r="R205"/>
    </row>
    <row r="206" ht="15" spans="1:18">
      <c r="A206"/>
      <c r="B206"/>
      <c r="C206"/>
      <c r="D206"/>
      <c r="E206"/>
      <c r="F206"/>
      <c r="N206"/>
      <c r="O206"/>
      <c r="P206"/>
      <c r="Q206"/>
      <c r="R206"/>
    </row>
    <row r="207" ht="15" spans="1:18">
      <c r="A207"/>
      <c r="B207"/>
      <c r="C207"/>
      <c r="D207"/>
      <c r="E207"/>
      <c r="F207"/>
      <c r="N207"/>
      <c r="O207"/>
      <c r="P207"/>
      <c r="Q207"/>
      <c r="R207"/>
    </row>
    <row r="208" ht="15" spans="1:18">
      <c r="A208"/>
      <c r="B208"/>
      <c r="C208"/>
      <c r="D208"/>
      <c r="E208"/>
      <c r="F208"/>
      <c r="N208"/>
      <c r="O208"/>
      <c r="P208"/>
      <c r="Q208"/>
      <c r="R208"/>
    </row>
    <row r="209" ht="15" spans="1:18">
      <c r="A209"/>
      <c r="B209"/>
      <c r="C209"/>
      <c r="D209"/>
      <c r="E209"/>
      <c r="F209"/>
      <c r="N209"/>
      <c r="O209"/>
      <c r="P209"/>
      <c r="Q209"/>
      <c r="R209"/>
    </row>
    <row r="210" ht="15" spans="1:18">
      <c r="A210"/>
      <c r="B210"/>
      <c r="C210"/>
      <c r="D210"/>
      <c r="E210"/>
      <c r="F210"/>
      <c r="N210"/>
      <c r="O210"/>
      <c r="P210"/>
      <c r="Q210"/>
      <c r="R210"/>
    </row>
    <row r="211" ht="15" spans="1:18">
      <c r="A211"/>
      <c r="B211"/>
      <c r="C211"/>
      <c r="D211"/>
      <c r="E211"/>
      <c r="F211"/>
      <c r="N211"/>
      <c r="O211"/>
      <c r="P211"/>
      <c r="Q211"/>
      <c r="R211"/>
    </row>
    <row r="212" ht="15" spans="1:18">
      <c r="A212"/>
      <c r="B212"/>
      <c r="C212"/>
      <c r="D212"/>
      <c r="E212"/>
      <c r="F212"/>
      <c r="N212"/>
      <c r="O212"/>
      <c r="P212"/>
      <c r="Q212"/>
      <c r="R212"/>
    </row>
    <row r="213" ht="15" spans="1:18">
      <c r="A213"/>
      <c r="B213"/>
      <c r="C213"/>
      <c r="D213"/>
      <c r="E213"/>
      <c r="F213"/>
      <c r="N213"/>
      <c r="O213"/>
      <c r="P213"/>
      <c r="Q213"/>
      <c r="R213"/>
    </row>
    <row r="214" ht="15" spans="1:18">
      <c r="A214"/>
      <c r="B214"/>
      <c r="C214"/>
      <c r="D214"/>
      <c r="E214"/>
      <c r="F214"/>
      <c r="N214"/>
      <c r="O214"/>
      <c r="P214"/>
      <c r="Q214"/>
      <c r="R214"/>
    </row>
    <row r="215" ht="15" spans="1:18">
      <c r="A215"/>
      <c r="B215"/>
      <c r="C215"/>
      <c r="D215"/>
      <c r="E215"/>
      <c r="F215"/>
      <c r="N215"/>
      <c r="O215"/>
      <c r="P215"/>
      <c r="Q215"/>
      <c r="R215"/>
    </row>
    <row r="216" ht="15" spans="1:18">
      <c r="A216"/>
      <c r="B216"/>
      <c r="C216"/>
      <c r="D216"/>
      <c r="E216"/>
      <c r="F216"/>
      <c r="N216"/>
      <c r="O216"/>
      <c r="P216"/>
      <c r="Q216"/>
      <c r="R216"/>
    </row>
    <row r="217" ht="15" spans="1:18">
      <c r="A217"/>
      <c r="B217"/>
      <c r="C217"/>
      <c r="D217"/>
      <c r="E217"/>
      <c r="F217"/>
      <c r="N217"/>
      <c r="O217"/>
      <c r="P217"/>
      <c r="Q217"/>
      <c r="R217"/>
    </row>
    <row r="218" ht="15" spans="1:18">
      <c r="A218"/>
      <c r="B218"/>
      <c r="C218"/>
      <c r="D218"/>
      <c r="E218"/>
      <c r="F218"/>
      <c r="N218"/>
      <c r="O218"/>
      <c r="P218"/>
      <c r="Q218"/>
      <c r="R218"/>
    </row>
    <row r="219" ht="15" spans="1:18">
      <c r="A219"/>
      <c r="B219"/>
      <c r="C219"/>
      <c r="D219"/>
      <c r="E219"/>
      <c r="F219"/>
      <c r="N219"/>
      <c r="O219"/>
      <c r="P219"/>
      <c r="Q219"/>
      <c r="R219"/>
    </row>
    <row r="220" ht="15" spans="1:18">
      <c r="A220"/>
      <c r="B220"/>
      <c r="C220"/>
      <c r="D220"/>
      <c r="E220"/>
      <c r="F220"/>
      <c r="N220"/>
      <c r="O220"/>
      <c r="P220"/>
      <c r="Q220"/>
      <c r="R220"/>
    </row>
    <row r="221" ht="15" spans="1:18">
      <c r="A221"/>
      <c r="B221"/>
      <c r="C221"/>
      <c r="D221"/>
      <c r="E221"/>
      <c r="F221"/>
      <c r="N221"/>
      <c r="O221"/>
      <c r="P221"/>
      <c r="Q221"/>
      <c r="R221"/>
    </row>
    <row r="222" ht="15" spans="1:18">
      <c r="A222"/>
      <c r="B222"/>
      <c r="C222"/>
      <c r="D222"/>
      <c r="E222"/>
      <c r="F222"/>
      <c r="N222"/>
      <c r="O222"/>
      <c r="P222"/>
      <c r="Q222"/>
      <c r="R222"/>
    </row>
    <row r="223" ht="15" spans="1:18">
      <c r="A223"/>
      <c r="B223"/>
      <c r="C223"/>
      <c r="D223"/>
      <c r="E223"/>
      <c r="F223"/>
      <c r="N223"/>
      <c r="O223"/>
      <c r="P223"/>
      <c r="Q223"/>
      <c r="R223"/>
    </row>
    <row r="224" ht="15" spans="1:18">
      <c r="A224"/>
      <c r="B224"/>
      <c r="C224"/>
      <c r="D224"/>
      <c r="E224"/>
      <c r="F224"/>
      <c r="N224"/>
      <c r="O224"/>
      <c r="P224"/>
      <c r="Q224"/>
      <c r="R224"/>
    </row>
    <row r="225" ht="15" spans="1:18">
      <c r="A225"/>
      <c r="B225"/>
      <c r="C225"/>
      <c r="D225"/>
      <c r="E225"/>
      <c r="F225"/>
      <c r="N225"/>
      <c r="O225"/>
      <c r="P225"/>
      <c r="Q225"/>
      <c r="R225"/>
    </row>
    <row r="226" ht="15" spans="1:18">
      <c r="A226"/>
      <c r="B226"/>
      <c r="C226"/>
      <c r="D226"/>
      <c r="E226"/>
      <c r="F226"/>
      <c r="N226"/>
      <c r="O226"/>
      <c r="P226"/>
      <c r="Q226"/>
      <c r="R226"/>
    </row>
    <row r="227" ht="15" spans="1:18">
      <c r="A227"/>
      <c r="B227"/>
      <c r="C227"/>
      <c r="D227"/>
      <c r="E227"/>
      <c r="F227"/>
      <c r="N227"/>
      <c r="O227"/>
      <c r="P227"/>
      <c r="Q227"/>
      <c r="R227"/>
    </row>
    <row r="228" ht="15" spans="1:18">
      <c r="A228"/>
      <c r="B228"/>
      <c r="C228"/>
      <c r="D228"/>
      <c r="E228"/>
      <c r="F228"/>
      <c r="N228"/>
      <c r="O228"/>
      <c r="P228"/>
      <c r="Q228"/>
      <c r="R228"/>
    </row>
    <row r="229" ht="15" spans="1:18">
      <c r="A229"/>
      <c r="B229"/>
      <c r="C229"/>
      <c r="D229"/>
      <c r="E229"/>
      <c r="F229"/>
      <c r="N229"/>
      <c r="O229"/>
      <c r="P229"/>
      <c r="Q229"/>
      <c r="R229"/>
    </row>
    <row r="230" ht="15" spans="1:18">
      <c r="A230"/>
      <c r="B230"/>
      <c r="C230"/>
      <c r="D230"/>
      <c r="E230"/>
      <c r="F230"/>
      <c r="N230"/>
      <c r="O230"/>
      <c r="P230"/>
      <c r="Q230"/>
      <c r="R230"/>
    </row>
    <row r="231" ht="15" spans="1:18">
      <c r="A231"/>
      <c r="B231"/>
      <c r="C231"/>
      <c r="D231"/>
      <c r="E231"/>
      <c r="F231"/>
      <c r="N231"/>
      <c r="O231"/>
      <c r="P231"/>
      <c r="Q231"/>
      <c r="R231"/>
    </row>
    <row r="232" ht="15" spans="1:18">
      <c r="A232"/>
      <c r="B232"/>
      <c r="C232"/>
      <c r="D232"/>
      <c r="E232"/>
      <c r="F232"/>
      <c r="N232"/>
      <c r="O232"/>
      <c r="P232"/>
      <c r="Q232"/>
      <c r="R232"/>
    </row>
    <row r="233" ht="15" spans="1:18">
      <c r="A233"/>
      <c r="B233"/>
      <c r="C233"/>
      <c r="D233"/>
      <c r="E233"/>
      <c r="F233"/>
      <c r="N233"/>
      <c r="O233"/>
      <c r="P233"/>
      <c r="Q233"/>
      <c r="R233"/>
    </row>
    <row r="234" ht="15" spans="1:18">
      <c r="A234"/>
      <c r="B234"/>
      <c r="C234"/>
      <c r="D234"/>
      <c r="E234"/>
      <c r="F234"/>
      <c r="N234"/>
      <c r="O234"/>
      <c r="P234"/>
      <c r="Q234"/>
      <c r="R234"/>
    </row>
    <row r="235" ht="15" spans="1:18">
      <c r="A235"/>
      <c r="B235"/>
      <c r="C235"/>
      <c r="D235"/>
      <c r="E235"/>
      <c r="F235"/>
      <c r="N235"/>
      <c r="O235"/>
      <c r="P235"/>
      <c r="Q235"/>
      <c r="R235"/>
    </row>
    <row r="236" ht="15" spans="1:18">
      <c r="A236"/>
      <c r="B236"/>
      <c r="C236"/>
      <c r="D236"/>
      <c r="E236"/>
      <c r="F236"/>
      <c r="N236"/>
      <c r="O236"/>
      <c r="P236"/>
      <c r="Q236"/>
      <c r="R236"/>
    </row>
    <row r="237" ht="15" spans="1:18">
      <c r="A237"/>
      <c r="B237"/>
      <c r="C237"/>
      <c r="D237"/>
      <c r="E237"/>
      <c r="F237"/>
      <c r="N237"/>
      <c r="O237"/>
      <c r="P237"/>
      <c r="Q237"/>
      <c r="R237"/>
    </row>
    <row r="238" ht="15" spans="1:18">
      <c r="A238"/>
      <c r="B238"/>
      <c r="C238"/>
      <c r="D238"/>
      <c r="E238"/>
      <c r="F238"/>
      <c r="N238"/>
      <c r="O238"/>
      <c r="P238"/>
      <c r="Q238"/>
      <c r="R238"/>
    </row>
    <row r="239" ht="15" spans="1:18">
      <c r="A239"/>
      <c r="B239"/>
      <c r="C239"/>
      <c r="D239"/>
      <c r="E239"/>
      <c r="F239"/>
      <c r="N239"/>
      <c r="O239"/>
      <c r="P239"/>
      <c r="Q239"/>
      <c r="R239"/>
    </row>
    <row r="240" ht="15" spans="1:18">
      <c r="A240"/>
      <c r="B240"/>
      <c r="C240"/>
      <c r="D240"/>
      <c r="E240"/>
      <c r="F240"/>
      <c r="N240"/>
      <c r="O240"/>
      <c r="P240"/>
      <c r="Q240"/>
      <c r="R240"/>
    </row>
    <row r="241" ht="15" spans="1:18">
      <c r="A241"/>
      <c r="B241"/>
      <c r="C241"/>
      <c r="D241"/>
      <c r="E241"/>
      <c r="F241"/>
      <c r="N241"/>
      <c r="O241"/>
      <c r="P241"/>
      <c r="Q241"/>
      <c r="R241"/>
    </row>
    <row r="242" ht="15" spans="1:18">
      <c r="A242"/>
      <c r="B242"/>
      <c r="C242"/>
      <c r="D242"/>
      <c r="E242"/>
      <c r="F242"/>
      <c r="N242"/>
      <c r="O242"/>
      <c r="P242"/>
      <c r="Q242"/>
      <c r="R242"/>
    </row>
    <row r="243" ht="15" spans="1:18">
      <c r="A243"/>
      <c r="B243"/>
      <c r="C243"/>
      <c r="D243"/>
      <c r="E243"/>
      <c r="F243"/>
      <c r="N243"/>
      <c r="O243"/>
      <c r="P243"/>
      <c r="Q243"/>
      <c r="R243"/>
    </row>
    <row r="244" ht="15" spans="1:18">
      <c r="A244"/>
      <c r="B244"/>
      <c r="C244"/>
      <c r="D244"/>
      <c r="E244"/>
      <c r="F244"/>
      <c r="N244"/>
      <c r="O244"/>
      <c r="P244"/>
      <c r="Q244"/>
      <c r="R244"/>
    </row>
    <row r="245" ht="15" spans="1:6">
      <c r="A245"/>
      <c r="B245"/>
      <c r="C245"/>
      <c r="D245"/>
      <c r="E245"/>
      <c r="F245"/>
    </row>
    <row r="246" ht="15" spans="1:6">
      <c r="A246"/>
      <c r="B246"/>
      <c r="C246"/>
      <c r="D246"/>
      <c r="E246"/>
      <c r="F246"/>
    </row>
    <row r="247" ht="15" spans="1:6">
      <c r="A247"/>
      <c r="B247"/>
      <c r="C247"/>
      <c r="D247"/>
      <c r="E247"/>
      <c r="F247"/>
    </row>
    <row r="248" ht="15" spans="1:6">
      <c r="A248"/>
      <c r="B248"/>
      <c r="C248"/>
      <c r="D248"/>
      <c r="E248"/>
      <c r="F248"/>
    </row>
    <row r="249" ht="15" spans="1:6">
      <c r="A249"/>
      <c r="B249"/>
      <c r="C249"/>
      <c r="D249"/>
      <c r="E249"/>
      <c r="F249"/>
    </row>
    <row r="250" ht="15" spans="1:6">
      <c r="A250"/>
      <c r="B250"/>
      <c r="C250"/>
      <c r="D250"/>
      <c r="E250"/>
      <c r="F250"/>
    </row>
    <row r="251" ht="15" spans="1:6">
      <c r="A251"/>
      <c r="B251"/>
      <c r="C251"/>
      <c r="D251"/>
      <c r="E251"/>
      <c r="F251"/>
    </row>
    <row r="252" ht="15" spans="1:6">
      <c r="A252"/>
      <c r="B252"/>
      <c r="C252"/>
      <c r="D252"/>
      <c r="E252"/>
      <c r="F252"/>
    </row>
    <row r="253" ht="15" spans="1:6">
      <c r="A253"/>
      <c r="B253"/>
      <c r="C253"/>
      <c r="D253"/>
      <c r="E253"/>
      <c r="F253"/>
    </row>
    <row r="254" ht="15" spans="1:6">
      <c r="A254"/>
      <c r="B254"/>
      <c r="C254"/>
      <c r="D254"/>
      <c r="E254"/>
      <c r="F254"/>
    </row>
    <row r="255" ht="15" spans="1:6">
      <c r="A255"/>
      <c r="B255"/>
      <c r="C255"/>
      <c r="D255"/>
      <c r="E255"/>
      <c r="F255"/>
    </row>
  </sheetData>
  <sheetProtection formatCells="0" insertHyperlinks="0" autoFilter="0"/>
  <mergeCells count="1">
    <mergeCell ref="B1:J1"/>
  </mergeCells>
  <conditionalFormatting sqref="B4:B6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{08be9225-ec2d-4de0-9a05-e04cf8ad4b1e}</x14:id>
        </ext>
      </extLst>
    </cfRule>
  </conditionalFormatting>
  <conditionalFormatting sqref="C4:C6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{150bc20c-90e0-4738-91f7-308de4e4d57b}</x14:id>
        </ext>
      </extLst>
    </cfRule>
  </conditionalFormatting>
  <conditionalFormatting sqref="D4:D5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{86222400-de47-4e9c-8e6a-96d4c9958c75}</x14:id>
        </ext>
      </extLst>
    </cfRule>
  </conditionalFormatting>
  <conditionalFormatting sqref="I4:I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{54c30a0b-bbc7-41fb-9135-45a7ab797435}</x14:id>
        </ext>
      </extLst>
    </cfRule>
  </conditionalFormatting>
  <conditionalFormatting sqref="I57:I67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{a9d7b3a6-7ec6-486c-bc64-802282e6d40e}</x14:id>
        </ext>
      </extLst>
    </cfRule>
  </conditionalFormatting>
  <conditionalFormatting sqref="J4:J6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{ca379992-e8b9-445a-83ac-dc06a5d936dc}</x14:id>
        </ext>
      </extLst>
    </cfRule>
  </conditionalFormatting>
  <conditionalFormatting sqref="K4:K5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{823faa37-117b-4d74-9623-54d0b2e71741}</x14:id>
        </ext>
      </extLs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{d36e3778-0a8b-4762-8a7e-950eb7891347}</x14:id>
        </ext>
      </extLst>
    </cfRule>
  </conditionalFormatting>
  <conditionalFormatting sqref="D1:D70 D193 D256:D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{f189cb18-3abc-4546-b9a8-9c0c7a6008e9}</x14:id>
        </ext>
      </extLst>
    </cfRule>
  </conditionalFormatting>
  <pageMargins left="0.75" right="0.75" top="1" bottom="1" header="0.5" footer="0.5"/>
  <headerFooter/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be9225-ec2d-4de0-9a05-e04cf8ad4b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B4:B67</xm:sqref>
        </x14:conditionalFormatting>
        <x14:conditionalFormatting xmlns:xm="http://schemas.microsoft.com/office/excel/2006/main">
          <x14:cfRule type="dataBar" id="{150bc20c-90e0-4738-91f7-308de4e4d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C4:C67</xm:sqref>
        </x14:conditionalFormatting>
        <x14:conditionalFormatting xmlns:xm="http://schemas.microsoft.com/office/excel/2006/main">
          <x14:cfRule type="dataBar" id="{86222400-de47-4e9c-8e6a-96d4c9958c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D4:D58</xm:sqref>
        </x14:conditionalFormatting>
        <x14:conditionalFormatting xmlns:xm="http://schemas.microsoft.com/office/excel/2006/main">
          <x14:cfRule type="dataBar" id="{54c30a0b-bbc7-41fb-9135-45a7ab7974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I4:I56</xm:sqref>
        </x14:conditionalFormatting>
        <x14:conditionalFormatting xmlns:xm="http://schemas.microsoft.com/office/excel/2006/main">
          <x14:cfRule type="dataBar" id="{a9d7b3a6-7ec6-486c-bc64-802282e6d4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I57:I67</xm:sqref>
        </x14:conditionalFormatting>
        <x14:conditionalFormatting xmlns:xm="http://schemas.microsoft.com/office/excel/2006/main">
          <x14:cfRule type="dataBar" id="{ca379992-e8b9-445a-83ac-dc06a5d936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J4:J67</xm:sqref>
        </x14:conditionalFormatting>
        <x14:conditionalFormatting xmlns:xm="http://schemas.microsoft.com/office/excel/2006/main">
          <x14:cfRule type="dataBar" id="{823faa37-117b-4d74-9623-54d0b2e717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36e3778-0a8b-4762-8a7e-950eb7891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K4:K57</xm:sqref>
        </x14:conditionalFormatting>
        <x14:conditionalFormatting xmlns:xm="http://schemas.microsoft.com/office/excel/2006/main">
          <x14:cfRule type="dataBar" id="{f189cb18-3abc-4546-b9a8-9c0c7a6008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D1:D70 D193 D256:D1048576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85"/>
  <sheetViews>
    <sheetView workbookViewId="0">
      <pane ySplit="4" topLeftCell="A5" activePane="bottomLeft" state="frozen"/>
      <selection/>
      <selection pane="bottomLeft" activeCell="J34" sqref="J34"/>
    </sheetView>
  </sheetViews>
  <sheetFormatPr defaultColWidth="9" defaultRowHeight="15"/>
  <cols>
    <col min="1" max="1" width="15.125" customWidth="1"/>
    <col min="2" max="17" width="16" customWidth="1"/>
  </cols>
  <sheetData>
    <row r="1" ht="18" spans="1:31">
      <c r="A1" s="54"/>
      <c r="B1" s="55" t="s">
        <v>23</v>
      </c>
      <c r="C1" s="56"/>
      <c r="D1" s="56"/>
      <c r="E1" s="56"/>
      <c r="F1" s="56"/>
      <c r="G1" s="56"/>
      <c r="H1" s="56"/>
      <c r="I1" s="56"/>
      <c r="J1" s="64" t="s">
        <v>24</v>
      </c>
      <c r="K1" s="64"/>
      <c r="L1" s="64"/>
      <c r="M1" s="64"/>
      <c r="N1" s="64"/>
      <c r="O1" s="64"/>
      <c r="P1" s="64"/>
      <c r="Q1" s="64"/>
      <c r="S1" s="63" t="s">
        <v>246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</row>
    <row r="2" ht="91" customHeight="1" spans="1:47">
      <c r="A2" s="54"/>
      <c r="B2" s="57"/>
      <c r="C2" s="58"/>
      <c r="D2" s="58"/>
      <c r="E2" s="58"/>
      <c r="F2" s="58"/>
      <c r="G2" s="58"/>
      <c r="H2" s="58"/>
      <c r="I2" s="58"/>
      <c r="J2" s="64"/>
      <c r="K2" s="64"/>
      <c r="L2" s="64"/>
      <c r="M2" s="64"/>
      <c r="N2" s="64"/>
      <c r="O2" s="64"/>
      <c r="P2" s="64"/>
      <c r="Q2" s="64"/>
      <c r="S2" s="63">
        <v>7</v>
      </c>
      <c r="T2" s="63">
        <v>8</v>
      </c>
      <c r="U2" s="63">
        <v>9</v>
      </c>
      <c r="V2" s="63">
        <v>10</v>
      </c>
      <c r="W2" s="63">
        <v>11</v>
      </c>
      <c r="X2" s="63">
        <v>12</v>
      </c>
      <c r="Y2" s="63">
        <v>13</v>
      </c>
      <c r="Z2" s="63">
        <v>14</v>
      </c>
      <c r="AA2" s="63">
        <v>15</v>
      </c>
      <c r="AB2" s="63">
        <v>16</v>
      </c>
      <c r="AC2" s="63">
        <v>17</v>
      </c>
      <c r="AD2" s="63">
        <v>18</v>
      </c>
      <c r="AE2" s="63">
        <v>19</v>
      </c>
      <c r="AF2" s="63">
        <v>20</v>
      </c>
      <c r="AG2" s="63">
        <v>21</v>
      </c>
      <c r="AH2" s="63">
        <v>22</v>
      </c>
      <c r="AI2" s="63">
        <v>23</v>
      </c>
      <c r="AJ2" s="63">
        <v>24</v>
      </c>
      <c r="AK2" s="63">
        <v>25</v>
      </c>
      <c r="AL2" s="63">
        <v>26</v>
      </c>
      <c r="AM2" s="63">
        <v>27</v>
      </c>
      <c r="AN2" s="63">
        <v>28</v>
      </c>
      <c r="AO2" s="63">
        <v>29</v>
      </c>
      <c r="AP2" s="63">
        <v>30</v>
      </c>
      <c r="AQ2" s="63">
        <v>31</v>
      </c>
      <c r="AR2" s="63">
        <v>32</v>
      </c>
      <c r="AS2" s="63">
        <v>33</v>
      </c>
      <c r="AT2" s="63">
        <v>34</v>
      </c>
      <c r="AU2" s="63">
        <v>35</v>
      </c>
    </row>
    <row r="3" ht="18" spans="1:17">
      <c r="A3" s="59"/>
      <c r="B3" s="12" t="s">
        <v>247</v>
      </c>
      <c r="C3" s="13"/>
      <c r="D3" s="12" t="s">
        <v>248</v>
      </c>
      <c r="E3" s="13"/>
      <c r="F3" s="12" t="s">
        <v>249</v>
      </c>
      <c r="G3" s="13"/>
      <c r="H3" s="17" t="s">
        <v>250</v>
      </c>
      <c r="I3" s="17"/>
      <c r="J3" s="12" t="s">
        <v>247</v>
      </c>
      <c r="K3" s="13"/>
      <c r="L3" s="12" t="s">
        <v>248</v>
      </c>
      <c r="M3" s="13"/>
      <c r="N3" s="12" t="s">
        <v>249</v>
      </c>
      <c r="O3" s="13"/>
      <c r="P3" s="17" t="s">
        <v>250</v>
      </c>
      <c r="Q3" s="17"/>
    </row>
    <row r="4" ht="19" spans="1:17">
      <c r="A4" s="60" t="s">
        <v>40</v>
      </c>
      <c r="B4" s="61" t="s">
        <v>251</v>
      </c>
      <c r="C4" s="61" t="s">
        <v>252</v>
      </c>
      <c r="D4" s="61" t="s">
        <v>251</v>
      </c>
      <c r="E4" s="61" t="s">
        <v>252</v>
      </c>
      <c r="F4" s="61" t="s">
        <v>251</v>
      </c>
      <c r="G4" s="61" t="s">
        <v>252</v>
      </c>
      <c r="H4" s="61" t="s">
        <v>251</v>
      </c>
      <c r="I4" s="61" t="s">
        <v>252</v>
      </c>
      <c r="J4" s="61" t="s">
        <v>251</v>
      </c>
      <c r="K4" s="61" t="s">
        <v>252</v>
      </c>
      <c r="L4" s="61" t="s">
        <v>251</v>
      </c>
      <c r="M4" s="61" t="s">
        <v>252</v>
      </c>
      <c r="N4" s="61" t="s">
        <v>251</v>
      </c>
      <c r="O4" s="61" t="s">
        <v>252</v>
      </c>
      <c r="P4" s="61" t="s">
        <v>251</v>
      </c>
      <c r="Q4" s="61" t="s">
        <v>252</v>
      </c>
    </row>
    <row r="5" ht="16.5" spans="1:17">
      <c r="A5" s="62" t="s">
        <v>253</v>
      </c>
      <c r="B5" s="63" t="str">
        <f>_xlfn.IFNA(IF(VLOOKUP($B$1&amp;$A5,'4.1 关键词原始数据'!$A:$N,S$2,FALSE)=0," ",VLOOKUP($B$1&amp;$A5,'4.1 关键词原始数据'!$A:$N,S$2,FALSE))," ")</f>
        <v> </v>
      </c>
      <c r="C5" s="63" t="str">
        <f>_xlfn.IFNA(IF(VLOOKUP($B$1&amp;$A5,'4.1 关键词原始数据'!$A:$N,T$2,FALSE)=0," ",VLOOKUP($B$1&amp;$A5,'4.1 关键词原始数据'!$A:$N,T$2,FALSE))," ")</f>
        <v>3-7-2</v>
      </c>
      <c r="D5" s="63" t="str">
        <f>_xlfn.IFNA(IF(VLOOKUP($B$1&amp;$A5,'4.1 关键词原始数据'!$A:$N,U$2,FALSE)=0," ",VLOOKUP($B$1&amp;$A5,'4.1 关键词原始数据'!$A:$N,U$2,FALSE))," ")</f>
        <v> </v>
      </c>
      <c r="E5" s="63" t="str">
        <f>_xlfn.IFNA(IF(VLOOKUP($B$1&amp;$A5,'4.1 关键词原始数据'!$A:$N,V$2,FALSE)=0," ",VLOOKUP($B$1&amp;$A5,'4.1 关键词原始数据'!$A:$N,V$2,FALSE))," ")</f>
        <v> </v>
      </c>
      <c r="F5" s="63" t="str">
        <f>_xlfn.IFNA(IF(VLOOKUP($B$1&amp;$A5,'4.1 关键词原始数据'!$A:$N,W$2,FALSE)=0," ",VLOOKUP($B$1&amp;$A5,'4.1 关键词原始数据'!$A:$N,W$2,FALSE))," ")</f>
        <v> </v>
      </c>
      <c r="G5" s="63" t="str">
        <f>_xlfn.IFNA(IF(VLOOKUP($B$1&amp;$A5,'4.1 关键词原始数据'!$A:$N,X$2,FALSE)=0," ",VLOOKUP($B$1&amp;$A5,'4.1 关键词原始数据'!$A:$N,X$2,FALSE))," ")</f>
        <v>1-17-1</v>
      </c>
      <c r="H5" s="63" t="str">
        <f>_xlfn.IFNA(IF(VLOOKUP($B$1&amp;$A5,'4.1 关键词原始数据'!$A:$N,Y$2,FALSE)=0," ",VLOOKUP($B$1&amp;$A5,'4.1 关键词原始数据'!$A:$N,Y$2,FALSE))," ")</f>
        <v> </v>
      </c>
      <c r="I5" s="63" t="str">
        <f>_xlfn.IFNA(IF(VLOOKUP($B$1&amp;$A5,'4.1 关键词原始数据'!$A:$N,Z$2,FALSE)=0," ",VLOOKUP($B$1&amp;$A5,'4.1 关键词原始数据'!$A:$N,Z$2,FALSE))," ")</f>
        <v> </v>
      </c>
      <c r="J5" s="63" t="str">
        <f>_xlfn.IFNA(IF(VLOOKUP($J$1&amp;$A5,'4.1 关键词原始数据'!$A:$N,S$2,FALSE)=0," ",VLOOKUP($J$1&amp;$A5,'4.1 关键词原始数据'!$A:$N,S$2,FALSE))," ")</f>
        <v> </v>
      </c>
      <c r="K5" s="63" t="str">
        <f>_xlfn.IFNA(IF(VLOOKUP($J$1&amp;$A5,'4.1 关键词原始数据'!$A:$N,T$2,FALSE)=0," ",VLOOKUP($J$1&amp;$A5,'4.1 关键词原始数据'!$A:$N,T$2,FALSE))," ")</f>
        <v> </v>
      </c>
      <c r="L5" s="63" t="str">
        <f>_xlfn.IFNA(IF(VLOOKUP($J$1&amp;$A5,'4.1 关键词原始数据'!$A:$N,U$2,FALSE)=0," ",VLOOKUP($J$1&amp;$A5,'4.1 关键词原始数据'!$A:$N,U$2,FALSE))," ")</f>
        <v> </v>
      </c>
      <c r="M5" s="63" t="str">
        <f>_xlfn.IFNA(IF(VLOOKUP($J$1&amp;$A5,'4.1 关键词原始数据'!$A:$N,V$2,FALSE)=0," ",VLOOKUP($J$1&amp;$A5,'4.1 关键词原始数据'!$A:$N,V$2,FALSE))," ")</f>
        <v> </v>
      </c>
      <c r="N5" s="63" t="str">
        <f>_xlfn.IFNA(IF(VLOOKUP($J$1&amp;$A5,'4.1 关键词原始数据'!$A:$N,W$2,FALSE)=0," ",VLOOKUP($J$1&amp;$A5,'4.1 关键词原始数据'!$A:$N,W$2,FALSE))," ")</f>
        <v> </v>
      </c>
      <c r="O5" s="63" t="str">
        <f>_xlfn.IFNA(IF(VLOOKUP($J$1&amp;$A5,'4.1 关键词原始数据'!$A:$N,X$2,FALSE)=0," ",VLOOKUP($J$1&amp;$A5,'4.1 关键词原始数据'!$A:$N,X$2,FALSE))," ")</f>
        <v> </v>
      </c>
      <c r="P5" s="63" t="str">
        <f>_xlfn.IFNA(IF(VLOOKUP($J$1&amp;$A5,'4.1 关键词原始数据'!$A:$N,Y$2,FALSE)=0," ",VLOOKUP($J$1&amp;$A5,'4.1 关键词原始数据'!$A:$N,Y$2,FALSE))," ")</f>
        <v> </v>
      </c>
      <c r="Q5" s="63" t="str">
        <f>_xlfn.IFNA(IF(VLOOKUP($J$1&amp;$A5,'4.1 关键词原始数据'!$A:$N,Z$2,FALSE)=0," ",VLOOKUP($J$1&amp;$A5,'4.1 关键词原始数据'!$A:$N,Z$2,FALSE))," ")</f>
        <v> </v>
      </c>
    </row>
    <row r="6" ht="16.5" spans="1:17">
      <c r="A6" s="62" t="s">
        <v>254</v>
      </c>
      <c r="B6" s="63" t="str">
        <f>_xlfn.IFNA(IF(VLOOKUP($B$1&amp;$A6,'4.1 关键词原始数据'!$A:$N,S$2,FALSE)=0," ",VLOOKUP($B$1&amp;$A6,'4.1 关键词原始数据'!$A:$N,S$2,FALSE))," ")</f>
        <v> </v>
      </c>
      <c r="C6" s="63" t="str">
        <f>_xlfn.IFNA(IF(VLOOKUP($B$1&amp;$A6,'4.1 关键词原始数据'!$A:$N,T$2,FALSE)=0," ",VLOOKUP($B$1&amp;$A6,'4.1 关键词原始数据'!$A:$N,T$2,FALSE))," ")</f>
        <v> </v>
      </c>
      <c r="D6" s="63" t="str">
        <f>_xlfn.IFNA(IF(VLOOKUP($B$1&amp;$A6,'4.1 关键词原始数据'!$A:$N,U$2,FALSE)=0," ",VLOOKUP($B$1&amp;$A6,'4.1 关键词原始数据'!$A:$N,U$2,FALSE))," ")</f>
        <v> </v>
      </c>
      <c r="E6" s="63" t="str">
        <f>_xlfn.IFNA(IF(VLOOKUP($B$1&amp;$A6,'4.1 关键词原始数据'!$A:$N,V$2,FALSE)=0," ",VLOOKUP($B$1&amp;$A6,'4.1 关键词原始数据'!$A:$N,V$2,FALSE))," ")</f>
        <v> </v>
      </c>
      <c r="F6" s="63" t="str">
        <f>_xlfn.IFNA(IF(VLOOKUP($B$1&amp;$A6,'4.1 关键词原始数据'!$A:$N,W$2,FALSE)=0," ",VLOOKUP($B$1&amp;$A6,'4.1 关键词原始数据'!$A:$N,W$2,FALSE))," ")</f>
        <v> </v>
      </c>
      <c r="G6" s="63" t="str">
        <f>_xlfn.IFNA(IF(VLOOKUP($B$1&amp;$A6,'4.1 关键词原始数据'!$A:$N,X$2,FALSE)=0," ",VLOOKUP($B$1&amp;$A6,'4.1 关键词原始数据'!$A:$N,X$2,FALSE))," ")</f>
        <v> </v>
      </c>
      <c r="H6" s="63" t="str">
        <f>_xlfn.IFNA(IF(VLOOKUP($B$1&amp;$A6,'4.1 关键词原始数据'!$A:$N,Y$2,FALSE)=0," ",VLOOKUP($B$1&amp;$A6,'4.1 关键词原始数据'!$A:$N,Y$2,FALSE))," ")</f>
        <v> </v>
      </c>
      <c r="I6" s="63" t="str">
        <f>_xlfn.IFNA(IF(VLOOKUP($B$1&amp;$A6,'4.1 关键词原始数据'!$A:$N,Z$2,FALSE)=0," ",VLOOKUP($B$1&amp;$A6,'4.1 关键词原始数据'!$A:$N,Z$2,FALSE))," ")</f>
        <v> </v>
      </c>
      <c r="J6" s="63" t="str">
        <f>_xlfn.IFNA(IF(VLOOKUP($J$1&amp;$A6,'4.1 关键词原始数据'!$A:$N,S$2,FALSE)=0," ",VLOOKUP($J$1&amp;$A6,'4.1 关键词原始数据'!$A:$N,S$2,FALSE))," ")</f>
        <v> </v>
      </c>
      <c r="K6" s="63" t="str">
        <f>_xlfn.IFNA(IF(VLOOKUP($J$1&amp;$A6,'4.1 关键词原始数据'!$A:$N,T$2,FALSE)=0," ",VLOOKUP($J$1&amp;$A6,'4.1 关键词原始数据'!$A:$N,T$2,FALSE))," ")</f>
        <v> </v>
      </c>
      <c r="L6" s="63" t="str">
        <f>_xlfn.IFNA(IF(VLOOKUP($J$1&amp;$A6,'4.1 关键词原始数据'!$A:$N,U$2,FALSE)=0," ",VLOOKUP($J$1&amp;$A6,'4.1 关键词原始数据'!$A:$N,U$2,FALSE))," ")</f>
        <v> </v>
      </c>
      <c r="M6" s="63" t="str">
        <f>_xlfn.IFNA(IF(VLOOKUP($J$1&amp;$A6,'4.1 关键词原始数据'!$A:$N,V$2,FALSE)=0," ",VLOOKUP($J$1&amp;$A6,'4.1 关键词原始数据'!$A:$N,V$2,FALSE))," ")</f>
        <v> </v>
      </c>
      <c r="N6" s="63" t="str">
        <f>_xlfn.IFNA(IF(VLOOKUP($J$1&amp;$A6,'4.1 关键词原始数据'!$A:$N,W$2,FALSE)=0," ",VLOOKUP($J$1&amp;$A6,'4.1 关键词原始数据'!$A:$N,W$2,FALSE))," ")</f>
        <v> </v>
      </c>
      <c r="O6" s="63" t="str">
        <f>_xlfn.IFNA(IF(VLOOKUP($J$1&amp;$A6,'4.1 关键词原始数据'!$A:$N,X$2,FALSE)=0," ",VLOOKUP($J$1&amp;$A6,'4.1 关键词原始数据'!$A:$N,X$2,FALSE))," ")</f>
        <v> </v>
      </c>
      <c r="P6" s="63" t="str">
        <f>_xlfn.IFNA(IF(VLOOKUP($J$1&amp;$A6,'4.1 关键词原始数据'!$A:$N,Y$2,FALSE)=0," ",VLOOKUP($J$1&amp;$A6,'4.1 关键词原始数据'!$A:$N,Y$2,FALSE))," ")</f>
        <v> </v>
      </c>
      <c r="Q6" s="63" t="str">
        <f>_xlfn.IFNA(IF(VLOOKUP($J$1&amp;$A6,'4.1 关键词原始数据'!$A:$N,Z$2,FALSE)=0," ",VLOOKUP($J$1&amp;$A6,'4.1 关键词原始数据'!$A:$N,Z$2,FALSE))," ")</f>
        <v> </v>
      </c>
    </row>
    <row r="7" ht="16.5" spans="1:17">
      <c r="A7" s="62" t="s">
        <v>255</v>
      </c>
      <c r="B7" s="63" t="str">
        <f>_xlfn.IFNA(IF(VLOOKUP($B$1&amp;$A7,'4.1 关键词原始数据'!$A:$N,S$2,FALSE)=0," ",VLOOKUP($B$1&amp;$A7,'4.1 关键词原始数据'!$A:$N,S$2,FALSE))," ")</f>
        <v> </v>
      </c>
      <c r="C7" s="63" t="str">
        <f>_xlfn.IFNA(IF(VLOOKUP($B$1&amp;$A7,'4.1 关键词原始数据'!$A:$N,T$2,FALSE)=0," ",VLOOKUP($B$1&amp;$A7,'4.1 关键词原始数据'!$A:$N,T$2,FALSE))," ")</f>
        <v>2-12-4</v>
      </c>
      <c r="D7" s="63" t="str">
        <f>_xlfn.IFNA(IF(VLOOKUP($B$1&amp;$A7,'4.1 关键词原始数据'!$A:$N,U$2,FALSE)=0," ",VLOOKUP($B$1&amp;$A7,'4.1 关键词原始数据'!$A:$N,U$2,FALSE))," ")</f>
        <v> </v>
      </c>
      <c r="E7" s="63" t="str">
        <f>_xlfn.IFNA(IF(VLOOKUP($B$1&amp;$A7,'4.1 关键词原始数据'!$A:$N,V$2,FALSE)=0," ",VLOOKUP($B$1&amp;$A7,'4.1 关键词原始数据'!$A:$N,V$2,FALSE))," ")</f>
        <v>2-4-4</v>
      </c>
      <c r="F7" s="63" t="str">
        <f>_xlfn.IFNA(IF(VLOOKUP($B$1&amp;$A7,'4.1 关键词原始数据'!$A:$N,W$2,FALSE)=0," ",VLOOKUP($B$1&amp;$A7,'4.1 关键词原始数据'!$A:$N,W$2,FALSE))," ")</f>
        <v> </v>
      </c>
      <c r="G7" s="63" t="str">
        <f>_xlfn.IFNA(IF(VLOOKUP($B$1&amp;$A7,'4.1 关键词原始数据'!$A:$N,X$2,FALSE)=0," ",VLOOKUP($B$1&amp;$A7,'4.1 关键词原始数据'!$A:$N,X$2,FALSE))," ")</f>
        <v> </v>
      </c>
      <c r="H7" s="63" t="str">
        <f>_xlfn.IFNA(IF(VLOOKUP($B$1&amp;$A7,'4.1 关键词原始数据'!$A:$N,Y$2,FALSE)=0," ",VLOOKUP($B$1&amp;$A7,'4.1 关键词原始数据'!$A:$N,Y$2,FALSE))," ")</f>
        <v> </v>
      </c>
      <c r="I7" s="63" t="str">
        <f>_xlfn.IFNA(IF(VLOOKUP($B$1&amp;$A7,'4.1 关键词原始数据'!$A:$N,Z$2,FALSE)=0," ",VLOOKUP($B$1&amp;$A7,'4.1 关键词原始数据'!$A:$N,Z$2,FALSE))," ")</f>
        <v> </v>
      </c>
      <c r="J7" s="63" t="str">
        <f>_xlfn.IFNA(IF(VLOOKUP($J$1&amp;$A7,'4.1 关键词原始数据'!$A:$N,S$2,FALSE)=0," ",VLOOKUP($J$1&amp;$A7,'4.1 关键词原始数据'!$A:$N,S$2,FALSE))," ")</f>
        <v> </v>
      </c>
      <c r="K7" s="63" t="str">
        <f>_xlfn.IFNA(IF(VLOOKUP($J$1&amp;$A7,'4.1 关键词原始数据'!$A:$N,T$2,FALSE)=0," ",VLOOKUP($J$1&amp;$A7,'4.1 关键词原始数据'!$A:$N,T$2,FALSE))," ")</f>
        <v> </v>
      </c>
      <c r="L7" s="63" t="str">
        <f>_xlfn.IFNA(IF(VLOOKUP($J$1&amp;$A7,'4.1 关键词原始数据'!$A:$N,U$2,FALSE)=0," ",VLOOKUP($J$1&amp;$A7,'4.1 关键词原始数据'!$A:$N,U$2,FALSE))," ")</f>
        <v> </v>
      </c>
      <c r="M7" s="63" t="str">
        <f>_xlfn.IFNA(IF(VLOOKUP($J$1&amp;$A7,'4.1 关键词原始数据'!$A:$N,V$2,FALSE)=0," ",VLOOKUP($J$1&amp;$A7,'4.1 关键词原始数据'!$A:$N,V$2,FALSE))," ")</f>
        <v> </v>
      </c>
      <c r="N7" s="63" t="str">
        <f>_xlfn.IFNA(IF(VLOOKUP($J$1&amp;$A7,'4.1 关键词原始数据'!$A:$N,W$2,FALSE)=0," ",VLOOKUP($J$1&amp;$A7,'4.1 关键词原始数据'!$A:$N,W$2,FALSE))," ")</f>
        <v> </v>
      </c>
      <c r="O7" s="63" t="str">
        <f>_xlfn.IFNA(IF(VLOOKUP($J$1&amp;$A7,'4.1 关键词原始数据'!$A:$N,X$2,FALSE)=0," ",VLOOKUP($J$1&amp;$A7,'4.1 关键词原始数据'!$A:$N,X$2,FALSE))," ")</f>
        <v> </v>
      </c>
      <c r="P7" s="63" t="str">
        <f>_xlfn.IFNA(IF(VLOOKUP($J$1&amp;$A7,'4.1 关键词原始数据'!$A:$N,Y$2,FALSE)=0," ",VLOOKUP($J$1&amp;$A7,'4.1 关键词原始数据'!$A:$N,Y$2,FALSE))," ")</f>
        <v> </v>
      </c>
      <c r="Q7" s="63" t="str">
        <f>_xlfn.IFNA(IF(VLOOKUP($J$1&amp;$A7,'4.1 关键词原始数据'!$A:$N,Z$2,FALSE)=0," ",VLOOKUP($J$1&amp;$A7,'4.1 关键词原始数据'!$A:$N,Z$2,FALSE))," ")</f>
        <v> </v>
      </c>
    </row>
    <row r="8" ht="16.5" spans="1:17">
      <c r="A8" s="62" t="s">
        <v>256</v>
      </c>
      <c r="B8" s="63" t="str">
        <f>_xlfn.IFNA(IF(VLOOKUP($B$1&amp;$A8,'4.1 关键词原始数据'!$A:$N,S$2,FALSE)=0," ",VLOOKUP($B$1&amp;$A8,'4.1 关键词原始数据'!$A:$N,S$2,FALSE))," ")</f>
        <v> </v>
      </c>
      <c r="C8" s="63" t="str">
        <f>_xlfn.IFNA(IF(VLOOKUP($B$1&amp;$A8,'4.1 关键词原始数据'!$A:$N,T$2,FALSE)=0," ",VLOOKUP($B$1&amp;$A8,'4.1 关键词原始数据'!$A:$N,T$2,FALSE))," ")</f>
        <v> </v>
      </c>
      <c r="D8" s="63" t="str">
        <f>_xlfn.IFNA(IF(VLOOKUP($B$1&amp;$A8,'4.1 关键词原始数据'!$A:$N,U$2,FALSE)=0," ",VLOOKUP($B$1&amp;$A8,'4.1 关键词原始数据'!$A:$N,U$2,FALSE))," ")</f>
        <v> </v>
      </c>
      <c r="E8" s="63" t="str">
        <f>_xlfn.IFNA(IF(VLOOKUP($B$1&amp;$A8,'4.1 关键词原始数据'!$A:$N,V$2,FALSE)=0," ",VLOOKUP($B$1&amp;$A8,'4.1 关键词原始数据'!$A:$N,V$2,FALSE))," ")</f>
        <v> </v>
      </c>
      <c r="F8" s="63" t="str">
        <f>_xlfn.IFNA(IF(VLOOKUP($B$1&amp;$A8,'4.1 关键词原始数据'!$A:$N,W$2,FALSE)=0," ",VLOOKUP($B$1&amp;$A8,'4.1 关键词原始数据'!$A:$N,W$2,FALSE))," ")</f>
        <v> </v>
      </c>
      <c r="G8" s="63" t="str">
        <f>_xlfn.IFNA(IF(VLOOKUP($B$1&amp;$A8,'4.1 关键词原始数据'!$A:$N,X$2,FALSE)=0," ",VLOOKUP($B$1&amp;$A8,'4.1 关键词原始数据'!$A:$N,X$2,FALSE))," ")</f>
        <v> </v>
      </c>
      <c r="H8" s="63" t="str">
        <f>_xlfn.IFNA(IF(VLOOKUP($B$1&amp;$A8,'4.1 关键词原始数据'!$A:$N,Y$2,FALSE)=0," ",VLOOKUP($B$1&amp;$A8,'4.1 关键词原始数据'!$A:$N,Y$2,FALSE))," ")</f>
        <v> </v>
      </c>
      <c r="I8" s="63" t="str">
        <f>_xlfn.IFNA(IF(VLOOKUP($B$1&amp;$A8,'4.1 关键词原始数据'!$A:$N,Z$2,FALSE)=0," ",VLOOKUP($B$1&amp;$A8,'4.1 关键词原始数据'!$A:$N,Z$2,FALSE))," ")</f>
        <v> </v>
      </c>
      <c r="J8" s="63" t="str">
        <f>_xlfn.IFNA(IF(VLOOKUP($J$1&amp;$A8,'4.1 关键词原始数据'!$A:$N,S$2,FALSE)=0," ",VLOOKUP($J$1&amp;$A8,'4.1 关键词原始数据'!$A:$N,S$2,FALSE))," ")</f>
        <v> </v>
      </c>
      <c r="K8" s="63" t="str">
        <f>_xlfn.IFNA(IF(VLOOKUP($J$1&amp;$A8,'4.1 关键词原始数据'!$A:$N,T$2,FALSE)=0," ",VLOOKUP($J$1&amp;$A8,'4.1 关键词原始数据'!$A:$N,T$2,FALSE))," ")</f>
        <v> </v>
      </c>
      <c r="L8" s="63" t="str">
        <f>_xlfn.IFNA(IF(VLOOKUP($J$1&amp;$A8,'4.1 关键词原始数据'!$A:$N,U$2,FALSE)=0," ",VLOOKUP($J$1&amp;$A8,'4.1 关键词原始数据'!$A:$N,U$2,FALSE))," ")</f>
        <v> </v>
      </c>
      <c r="M8" s="63" t="str">
        <f>_xlfn.IFNA(IF(VLOOKUP($J$1&amp;$A8,'4.1 关键词原始数据'!$A:$N,V$2,FALSE)=0," ",VLOOKUP($J$1&amp;$A8,'4.1 关键词原始数据'!$A:$N,V$2,FALSE))," ")</f>
        <v> </v>
      </c>
      <c r="N8" s="63" t="str">
        <f>_xlfn.IFNA(IF(VLOOKUP($J$1&amp;$A8,'4.1 关键词原始数据'!$A:$N,W$2,FALSE)=0," ",VLOOKUP($J$1&amp;$A8,'4.1 关键词原始数据'!$A:$N,W$2,FALSE))," ")</f>
        <v> </v>
      </c>
      <c r="O8" s="63" t="str">
        <f>_xlfn.IFNA(IF(VLOOKUP($J$1&amp;$A8,'4.1 关键词原始数据'!$A:$N,X$2,FALSE)=0," ",VLOOKUP($J$1&amp;$A8,'4.1 关键词原始数据'!$A:$N,X$2,FALSE))," ")</f>
        <v> </v>
      </c>
      <c r="P8" s="63" t="str">
        <f>_xlfn.IFNA(IF(VLOOKUP($J$1&amp;$A8,'4.1 关键词原始数据'!$A:$N,Y$2,FALSE)=0," ",VLOOKUP($J$1&amp;$A8,'4.1 关键词原始数据'!$A:$N,Y$2,FALSE))," ")</f>
        <v> </v>
      </c>
      <c r="Q8" s="63" t="str">
        <f>_xlfn.IFNA(IF(VLOOKUP($J$1&amp;$A8,'4.1 关键词原始数据'!$A:$N,Z$2,FALSE)=0," ",VLOOKUP($J$1&amp;$A8,'4.1 关键词原始数据'!$A:$N,Z$2,FALSE))," ")</f>
        <v> </v>
      </c>
    </row>
    <row r="9" ht="16.5" spans="1:17">
      <c r="A9" s="62" t="s">
        <v>257</v>
      </c>
      <c r="B9" s="63" t="str">
        <f>_xlfn.IFNA(IF(VLOOKUP($B$1&amp;$A9,'4.1 关键词原始数据'!$A:$N,S$2,FALSE)=0," ",VLOOKUP($B$1&amp;$A9,'4.1 关键词原始数据'!$A:$N,S$2,FALSE))," ")</f>
        <v> </v>
      </c>
      <c r="C9" s="63" t="str">
        <f>_xlfn.IFNA(IF(VLOOKUP($B$1&amp;$A9,'4.1 关键词原始数据'!$A:$N,T$2,FALSE)=0," ",VLOOKUP($B$1&amp;$A9,'4.1 关键词原始数据'!$A:$N,T$2,FALSE))," ")</f>
        <v>2-14-4</v>
      </c>
      <c r="D9" s="63" t="str">
        <f>_xlfn.IFNA(IF(VLOOKUP($B$1&amp;$A9,'4.1 关键词原始数据'!$A:$N,U$2,FALSE)=0," ",VLOOKUP($B$1&amp;$A9,'4.1 关键词原始数据'!$A:$N,U$2,FALSE))," ")</f>
        <v> </v>
      </c>
      <c r="E9" s="63" t="str">
        <f>_xlfn.IFNA(IF(VLOOKUP($B$1&amp;$A9,'4.1 关键词原始数据'!$A:$N,V$2,FALSE)=0," ",VLOOKUP($B$1&amp;$A9,'4.1 关键词原始数据'!$A:$N,V$2,FALSE))," ")</f>
        <v> </v>
      </c>
      <c r="F9" s="63" t="str">
        <f>_xlfn.IFNA(IF(VLOOKUP($B$1&amp;$A9,'4.1 关键词原始数据'!$A:$N,W$2,FALSE)=0," ",VLOOKUP($B$1&amp;$A9,'4.1 关键词原始数据'!$A:$N,W$2,FALSE))," ")</f>
        <v> </v>
      </c>
      <c r="G9" s="63" t="str">
        <f>_xlfn.IFNA(IF(VLOOKUP($B$1&amp;$A9,'4.1 关键词原始数据'!$A:$N,X$2,FALSE)=0," ",VLOOKUP($B$1&amp;$A9,'4.1 关键词原始数据'!$A:$N,X$2,FALSE))," ")</f>
        <v>2-7-4</v>
      </c>
      <c r="H9" s="63" t="str">
        <f>_xlfn.IFNA(IF(VLOOKUP($B$1&amp;$A9,'4.1 关键词原始数据'!$A:$N,Y$2,FALSE)=0," ",VLOOKUP($B$1&amp;$A9,'4.1 关键词原始数据'!$A:$N,Y$2,FALSE))," ")</f>
        <v> </v>
      </c>
      <c r="I9" s="63" t="str">
        <f>_xlfn.IFNA(IF(VLOOKUP($B$1&amp;$A9,'4.1 关键词原始数据'!$A:$N,Z$2,FALSE)=0," ",VLOOKUP($B$1&amp;$A9,'4.1 关键词原始数据'!$A:$N,Z$2,FALSE))," ")</f>
        <v> </v>
      </c>
      <c r="J9" s="63" t="str">
        <f>_xlfn.IFNA(IF(VLOOKUP($J$1&amp;$A9,'4.1 关键词原始数据'!$A:$N,S$2,FALSE)=0," ",VLOOKUP($J$1&amp;$A9,'4.1 关键词原始数据'!$A:$N,S$2,FALSE))," ")</f>
        <v> </v>
      </c>
      <c r="K9" s="63" t="str">
        <f>_xlfn.IFNA(IF(VLOOKUP($J$1&amp;$A9,'4.1 关键词原始数据'!$A:$N,T$2,FALSE)=0," ",VLOOKUP($J$1&amp;$A9,'4.1 关键词原始数据'!$A:$N,T$2,FALSE))," ")</f>
        <v> </v>
      </c>
      <c r="L9" s="63" t="str">
        <f>_xlfn.IFNA(IF(VLOOKUP($J$1&amp;$A9,'4.1 关键词原始数据'!$A:$N,U$2,FALSE)=0," ",VLOOKUP($J$1&amp;$A9,'4.1 关键词原始数据'!$A:$N,U$2,FALSE))," ")</f>
        <v> </v>
      </c>
      <c r="M9" s="63" t="str">
        <f>_xlfn.IFNA(IF(VLOOKUP($J$1&amp;$A9,'4.1 关键词原始数据'!$A:$N,V$2,FALSE)=0," ",VLOOKUP($J$1&amp;$A9,'4.1 关键词原始数据'!$A:$N,V$2,FALSE))," ")</f>
        <v>3-16-4</v>
      </c>
      <c r="N9" s="63" t="str">
        <f>_xlfn.IFNA(IF(VLOOKUP($J$1&amp;$A9,'4.1 关键词原始数据'!$A:$N,W$2,FALSE)=0," ",VLOOKUP($J$1&amp;$A9,'4.1 关键词原始数据'!$A:$N,W$2,FALSE))," ")</f>
        <v> </v>
      </c>
      <c r="O9" s="63" t="str">
        <f>_xlfn.IFNA(IF(VLOOKUP($J$1&amp;$A9,'4.1 关键词原始数据'!$A:$N,X$2,FALSE)=0," ",VLOOKUP($J$1&amp;$A9,'4.1 关键词原始数据'!$A:$N,X$2,FALSE))," ")</f>
        <v> </v>
      </c>
      <c r="P9" s="63" t="str">
        <f>_xlfn.IFNA(IF(VLOOKUP($J$1&amp;$A9,'4.1 关键词原始数据'!$A:$N,Y$2,FALSE)=0," ",VLOOKUP($J$1&amp;$A9,'4.1 关键词原始数据'!$A:$N,Y$2,FALSE))," ")</f>
        <v> </v>
      </c>
      <c r="Q9" s="63" t="str">
        <f>_xlfn.IFNA(IF(VLOOKUP($J$1&amp;$A9,'4.1 关键词原始数据'!$A:$N,Z$2,FALSE)=0," ",VLOOKUP($J$1&amp;$A9,'4.1 关键词原始数据'!$A:$N,Z$2,FALSE))," ")</f>
        <v> </v>
      </c>
    </row>
    <row r="10" ht="16.5" spans="1:17">
      <c r="A10" s="62" t="s">
        <v>258</v>
      </c>
      <c r="B10" s="63" t="str">
        <f>_xlfn.IFNA(IF(VLOOKUP($B$1&amp;$A10,'4.1 关键词原始数据'!$A:$N,S$2,FALSE)=0," ",VLOOKUP($B$1&amp;$A10,'4.1 关键词原始数据'!$A:$N,S$2,FALSE))," ")</f>
        <v> </v>
      </c>
      <c r="C10" s="63" t="str">
        <f>_xlfn.IFNA(IF(VLOOKUP($B$1&amp;$A10,'4.1 关键词原始数据'!$A:$N,T$2,FALSE)=0," ",VLOOKUP($B$1&amp;$A10,'4.1 关键词原始数据'!$A:$N,T$2,FALSE))," ")</f>
        <v> </v>
      </c>
      <c r="D10" s="63" t="str">
        <f>_xlfn.IFNA(IF(VLOOKUP($B$1&amp;$A10,'4.1 关键词原始数据'!$A:$N,U$2,FALSE)=0," ",VLOOKUP($B$1&amp;$A10,'4.1 关键词原始数据'!$A:$N,U$2,FALSE))," ")</f>
        <v> </v>
      </c>
      <c r="E10" s="63" t="str">
        <f>_xlfn.IFNA(IF(VLOOKUP($B$1&amp;$A10,'4.1 关键词原始数据'!$A:$N,V$2,FALSE)=0," ",VLOOKUP($B$1&amp;$A10,'4.1 关键词原始数据'!$A:$N,V$2,FALSE))," ")</f>
        <v> </v>
      </c>
      <c r="F10" s="63" t="str">
        <f>_xlfn.IFNA(IF(VLOOKUP($B$1&amp;$A10,'4.1 关键词原始数据'!$A:$N,W$2,FALSE)=0," ",VLOOKUP($B$1&amp;$A10,'4.1 关键词原始数据'!$A:$N,W$2,FALSE))," ")</f>
        <v> </v>
      </c>
      <c r="G10" s="63" t="str">
        <f>_xlfn.IFNA(IF(VLOOKUP($B$1&amp;$A10,'4.1 关键词原始数据'!$A:$N,X$2,FALSE)=0," ",VLOOKUP($B$1&amp;$A10,'4.1 关键词原始数据'!$A:$N,X$2,FALSE))," ")</f>
        <v> </v>
      </c>
      <c r="H10" s="63" t="str">
        <f>_xlfn.IFNA(IF(VLOOKUP($B$1&amp;$A10,'4.1 关键词原始数据'!$A:$N,Y$2,FALSE)=0," ",VLOOKUP($B$1&amp;$A10,'4.1 关键词原始数据'!$A:$N,Y$2,FALSE))," ")</f>
        <v> </v>
      </c>
      <c r="I10" s="63" t="str">
        <f>_xlfn.IFNA(IF(VLOOKUP($B$1&amp;$A10,'4.1 关键词原始数据'!$A:$N,Z$2,FALSE)=0," ",VLOOKUP($B$1&amp;$A10,'4.1 关键词原始数据'!$A:$N,Z$2,FALSE))," ")</f>
        <v> </v>
      </c>
      <c r="J10" s="63" t="str">
        <f>_xlfn.IFNA(IF(VLOOKUP($J$1&amp;$A10,'4.1 关键词原始数据'!$A:$N,S$2,FALSE)=0," ",VLOOKUP($J$1&amp;$A10,'4.1 关键词原始数据'!$A:$N,S$2,FALSE))," ")</f>
        <v> </v>
      </c>
      <c r="K10" s="63" t="str">
        <f>_xlfn.IFNA(IF(VLOOKUP($J$1&amp;$A10,'4.1 关键词原始数据'!$A:$N,T$2,FALSE)=0," ",VLOOKUP($J$1&amp;$A10,'4.1 关键词原始数据'!$A:$N,T$2,FALSE))," ")</f>
        <v> </v>
      </c>
      <c r="L10" s="63" t="str">
        <f>_xlfn.IFNA(IF(VLOOKUP($J$1&amp;$A10,'4.1 关键词原始数据'!$A:$N,U$2,FALSE)=0," ",VLOOKUP($J$1&amp;$A10,'4.1 关键词原始数据'!$A:$N,U$2,FALSE))," ")</f>
        <v> </v>
      </c>
      <c r="M10" s="63" t="str">
        <f>_xlfn.IFNA(IF(VLOOKUP($J$1&amp;$A10,'4.1 关键词原始数据'!$A:$N,V$2,FALSE)=0," ",VLOOKUP($J$1&amp;$A10,'4.1 关键词原始数据'!$A:$N,V$2,FALSE))," ")</f>
        <v> </v>
      </c>
      <c r="N10" s="63" t="str">
        <f>_xlfn.IFNA(IF(VLOOKUP($J$1&amp;$A10,'4.1 关键词原始数据'!$A:$N,W$2,FALSE)=0," ",VLOOKUP($J$1&amp;$A10,'4.1 关键词原始数据'!$A:$N,W$2,FALSE))," ")</f>
        <v> </v>
      </c>
      <c r="O10" s="63" t="str">
        <f>_xlfn.IFNA(IF(VLOOKUP($J$1&amp;$A10,'4.1 关键词原始数据'!$A:$N,X$2,FALSE)=0," ",VLOOKUP($J$1&amp;$A10,'4.1 关键词原始数据'!$A:$N,X$2,FALSE))," ")</f>
        <v> </v>
      </c>
      <c r="P10" s="63" t="str">
        <f>_xlfn.IFNA(IF(VLOOKUP($J$1&amp;$A10,'4.1 关键词原始数据'!$A:$N,Y$2,FALSE)=0," ",VLOOKUP($J$1&amp;$A10,'4.1 关键词原始数据'!$A:$N,Y$2,FALSE))," ")</f>
        <v> </v>
      </c>
      <c r="Q10" s="63" t="str">
        <f>_xlfn.IFNA(IF(VLOOKUP($J$1&amp;$A10,'4.1 关键词原始数据'!$A:$N,Z$2,FALSE)=0," ",VLOOKUP($J$1&amp;$A10,'4.1 关键词原始数据'!$A:$N,Z$2,FALSE))," ")</f>
        <v> </v>
      </c>
    </row>
    <row r="11" ht="16.5" spans="1:17">
      <c r="A11" s="62" t="s">
        <v>259</v>
      </c>
      <c r="B11" s="63" t="str">
        <f>_xlfn.IFNA(IF(VLOOKUP($B$1&amp;$A11,'4.1 关键词原始数据'!$A:$N,S$2,FALSE)=0," ",VLOOKUP($B$1&amp;$A11,'4.1 关键词原始数据'!$A:$N,S$2,FALSE))," ")</f>
        <v> </v>
      </c>
      <c r="C11" s="63" t="str">
        <f>_xlfn.IFNA(IF(VLOOKUP($B$1&amp;$A11,'4.1 关键词原始数据'!$A:$N,T$2,FALSE)=0," ",VLOOKUP($B$1&amp;$A11,'4.1 关键词原始数据'!$A:$N,T$2,FALSE))," ")</f>
        <v>3-12-4</v>
      </c>
      <c r="D11" s="63" t="str">
        <f>_xlfn.IFNA(IF(VLOOKUP($B$1&amp;$A11,'4.1 关键词原始数据'!$A:$N,U$2,FALSE)=0," ",VLOOKUP($B$1&amp;$A11,'4.1 关键词原始数据'!$A:$N,U$2,FALSE))," ")</f>
        <v> </v>
      </c>
      <c r="E11" s="63" t="str">
        <f>_xlfn.IFNA(IF(VLOOKUP($B$1&amp;$A11,'4.1 关键词原始数据'!$A:$N,V$2,FALSE)=0," ",VLOOKUP($B$1&amp;$A11,'4.1 关键词原始数据'!$A:$N,V$2,FALSE))," ")</f>
        <v> </v>
      </c>
      <c r="F11" s="63" t="str">
        <f>_xlfn.IFNA(IF(VLOOKUP($B$1&amp;$A11,'4.1 关键词原始数据'!$A:$N,W$2,FALSE)=0," ",VLOOKUP($B$1&amp;$A11,'4.1 关键词原始数据'!$A:$N,W$2,FALSE))," ")</f>
        <v> </v>
      </c>
      <c r="G11" s="63" t="str">
        <f>_xlfn.IFNA(IF(VLOOKUP($B$1&amp;$A11,'4.1 关键词原始数据'!$A:$N,X$2,FALSE)=0," ",VLOOKUP($B$1&amp;$A11,'4.1 关键词原始数据'!$A:$N,X$2,FALSE))," ")</f>
        <v>1-16-4</v>
      </c>
      <c r="H11" s="63" t="str">
        <f>_xlfn.IFNA(IF(VLOOKUP($B$1&amp;$A11,'4.1 关键词原始数据'!$A:$N,Y$2,FALSE)=0," ",VLOOKUP($B$1&amp;$A11,'4.1 关键词原始数据'!$A:$N,Y$2,FALSE))," ")</f>
        <v> </v>
      </c>
      <c r="I11" s="63" t="str">
        <f>_xlfn.IFNA(IF(VLOOKUP($B$1&amp;$A11,'4.1 关键词原始数据'!$A:$N,Z$2,FALSE)=0," ",VLOOKUP($B$1&amp;$A11,'4.1 关键词原始数据'!$A:$N,Z$2,FALSE))," ")</f>
        <v> </v>
      </c>
      <c r="J11" s="63" t="str">
        <f>_xlfn.IFNA(IF(VLOOKUP($J$1&amp;$A11,'4.1 关键词原始数据'!$A:$N,S$2,FALSE)=0," ",VLOOKUP($J$1&amp;$A11,'4.1 关键词原始数据'!$A:$N,S$2,FALSE))," ")</f>
        <v> </v>
      </c>
      <c r="K11" s="63" t="str">
        <f>_xlfn.IFNA(IF(VLOOKUP($J$1&amp;$A11,'4.1 关键词原始数据'!$A:$N,T$2,FALSE)=0," ",VLOOKUP($J$1&amp;$A11,'4.1 关键词原始数据'!$A:$N,T$2,FALSE))," ")</f>
        <v> </v>
      </c>
      <c r="L11" s="63" t="str">
        <f>_xlfn.IFNA(IF(VLOOKUP($J$1&amp;$A11,'4.1 关键词原始数据'!$A:$N,U$2,FALSE)=0," ",VLOOKUP($J$1&amp;$A11,'4.1 关键词原始数据'!$A:$N,U$2,FALSE))," ")</f>
        <v> </v>
      </c>
      <c r="M11" s="63" t="str">
        <f>_xlfn.IFNA(IF(VLOOKUP($J$1&amp;$A11,'4.1 关键词原始数据'!$A:$N,V$2,FALSE)=0," ",VLOOKUP($J$1&amp;$A11,'4.1 关键词原始数据'!$A:$N,V$2,FALSE))," ")</f>
        <v>4-12-4</v>
      </c>
      <c r="N11" s="63" t="str">
        <f>_xlfn.IFNA(IF(VLOOKUP($J$1&amp;$A11,'4.1 关键词原始数据'!$A:$N,W$2,FALSE)=0," ",VLOOKUP($J$1&amp;$A11,'4.1 关键词原始数据'!$A:$N,W$2,FALSE))," ")</f>
        <v> </v>
      </c>
      <c r="O11" s="63" t="str">
        <f>_xlfn.IFNA(IF(VLOOKUP($J$1&amp;$A11,'4.1 关键词原始数据'!$A:$N,X$2,FALSE)=0," ",VLOOKUP($J$1&amp;$A11,'4.1 关键词原始数据'!$A:$N,X$2,FALSE))," ")</f>
        <v> </v>
      </c>
      <c r="P11" s="63" t="str">
        <f>_xlfn.IFNA(IF(VLOOKUP($J$1&amp;$A11,'4.1 关键词原始数据'!$A:$N,Y$2,FALSE)=0," ",VLOOKUP($J$1&amp;$A11,'4.1 关键词原始数据'!$A:$N,Y$2,FALSE))," ")</f>
        <v> </v>
      </c>
      <c r="Q11" s="63" t="str">
        <f>_xlfn.IFNA(IF(VLOOKUP($J$1&amp;$A11,'4.1 关键词原始数据'!$A:$N,Z$2,FALSE)=0," ",VLOOKUP($J$1&amp;$A11,'4.1 关键词原始数据'!$A:$N,Z$2,FALSE))," ")</f>
        <v> </v>
      </c>
    </row>
    <row r="12" ht="16.5" spans="1:17">
      <c r="A12" s="62" t="s">
        <v>260</v>
      </c>
      <c r="B12" s="63" t="str">
        <f>_xlfn.IFNA(IF(VLOOKUP($B$1&amp;$A12,'4.1 关键词原始数据'!$A:$N,S$2,FALSE)=0," ",VLOOKUP($B$1&amp;$A12,'4.1 关键词原始数据'!$A:$N,S$2,FALSE))," ")</f>
        <v> </v>
      </c>
      <c r="C12" s="63" t="str">
        <f>_xlfn.IFNA(IF(VLOOKUP($B$1&amp;$A12,'4.1 关键词原始数据'!$A:$N,T$2,FALSE)=0," ",VLOOKUP($B$1&amp;$A12,'4.1 关键词原始数据'!$A:$N,T$2,FALSE))," ")</f>
        <v> </v>
      </c>
      <c r="D12" s="63" t="str">
        <f>_xlfn.IFNA(IF(VLOOKUP($B$1&amp;$A12,'4.1 关键词原始数据'!$A:$N,U$2,FALSE)=0," ",VLOOKUP($B$1&amp;$A12,'4.1 关键词原始数据'!$A:$N,U$2,FALSE))," ")</f>
        <v> </v>
      </c>
      <c r="E12" s="63" t="str">
        <f>_xlfn.IFNA(IF(VLOOKUP($B$1&amp;$A12,'4.1 关键词原始数据'!$A:$N,V$2,FALSE)=0," ",VLOOKUP($B$1&amp;$A12,'4.1 关键词原始数据'!$A:$N,V$2,FALSE))," ")</f>
        <v> </v>
      </c>
      <c r="F12" s="63" t="str">
        <f>_xlfn.IFNA(IF(VLOOKUP($B$1&amp;$A12,'4.1 关键词原始数据'!$A:$N,W$2,FALSE)=0," ",VLOOKUP($B$1&amp;$A12,'4.1 关键词原始数据'!$A:$N,W$2,FALSE))," ")</f>
        <v> </v>
      </c>
      <c r="G12" s="63" t="str">
        <f>_xlfn.IFNA(IF(VLOOKUP($B$1&amp;$A12,'4.1 关键词原始数据'!$A:$N,X$2,FALSE)=0," ",VLOOKUP($B$1&amp;$A12,'4.1 关键词原始数据'!$A:$N,X$2,FALSE))," ")</f>
        <v> </v>
      </c>
      <c r="H12" s="63" t="str">
        <f>_xlfn.IFNA(IF(VLOOKUP($B$1&amp;$A12,'4.1 关键词原始数据'!$A:$N,Y$2,FALSE)=0," ",VLOOKUP($B$1&amp;$A12,'4.1 关键词原始数据'!$A:$N,Y$2,FALSE))," ")</f>
        <v> </v>
      </c>
      <c r="I12" s="63" t="str">
        <f>_xlfn.IFNA(IF(VLOOKUP($B$1&amp;$A12,'4.1 关键词原始数据'!$A:$N,Z$2,FALSE)=0," ",VLOOKUP($B$1&amp;$A12,'4.1 关键词原始数据'!$A:$N,Z$2,FALSE))," ")</f>
        <v> </v>
      </c>
      <c r="J12" s="63" t="str">
        <f>_xlfn.IFNA(IF(VLOOKUP($J$1&amp;$A12,'4.1 关键词原始数据'!$A:$N,S$2,FALSE)=0," ",VLOOKUP($J$1&amp;$A12,'4.1 关键词原始数据'!$A:$N,S$2,FALSE))," ")</f>
        <v> </v>
      </c>
      <c r="K12" s="63" t="str">
        <f>_xlfn.IFNA(IF(VLOOKUP($J$1&amp;$A12,'4.1 关键词原始数据'!$A:$N,T$2,FALSE)=0," ",VLOOKUP($J$1&amp;$A12,'4.1 关键词原始数据'!$A:$N,T$2,FALSE))," ")</f>
        <v> </v>
      </c>
      <c r="L12" s="63" t="str">
        <f>_xlfn.IFNA(IF(VLOOKUP($J$1&amp;$A12,'4.1 关键词原始数据'!$A:$N,U$2,FALSE)=0," ",VLOOKUP($J$1&amp;$A12,'4.1 关键词原始数据'!$A:$N,U$2,FALSE))," ")</f>
        <v> </v>
      </c>
      <c r="M12" s="63" t="str">
        <f>_xlfn.IFNA(IF(VLOOKUP($J$1&amp;$A12,'4.1 关键词原始数据'!$A:$N,V$2,FALSE)=0," ",VLOOKUP($J$1&amp;$A12,'4.1 关键词原始数据'!$A:$N,V$2,FALSE))," ")</f>
        <v> </v>
      </c>
      <c r="N12" s="63" t="str">
        <f>_xlfn.IFNA(IF(VLOOKUP($J$1&amp;$A12,'4.1 关键词原始数据'!$A:$N,W$2,FALSE)=0," ",VLOOKUP($J$1&amp;$A12,'4.1 关键词原始数据'!$A:$N,W$2,FALSE))," ")</f>
        <v> </v>
      </c>
      <c r="O12" s="63" t="str">
        <f>_xlfn.IFNA(IF(VLOOKUP($J$1&amp;$A12,'4.1 关键词原始数据'!$A:$N,X$2,FALSE)=0," ",VLOOKUP($J$1&amp;$A12,'4.1 关键词原始数据'!$A:$N,X$2,FALSE))," ")</f>
        <v> </v>
      </c>
      <c r="P12" s="63" t="str">
        <f>_xlfn.IFNA(IF(VLOOKUP($J$1&amp;$A12,'4.1 关键词原始数据'!$A:$N,Y$2,FALSE)=0," ",VLOOKUP($J$1&amp;$A12,'4.1 关键词原始数据'!$A:$N,Y$2,FALSE))," ")</f>
        <v> </v>
      </c>
      <c r="Q12" s="63" t="str">
        <f>_xlfn.IFNA(IF(VLOOKUP($J$1&amp;$A12,'4.1 关键词原始数据'!$A:$N,Z$2,FALSE)=0," ",VLOOKUP($J$1&amp;$A12,'4.1 关键词原始数据'!$A:$N,Z$2,FALSE))," ")</f>
        <v> </v>
      </c>
    </row>
    <row r="13" ht="16.5" spans="1:17">
      <c r="A13" s="62" t="s">
        <v>261</v>
      </c>
      <c r="B13" s="63" t="str">
        <f>_xlfn.IFNA(IF(VLOOKUP($B$1&amp;$A13,'4.1 关键词原始数据'!$A:$N,S$2,FALSE)=0," ",VLOOKUP($B$1&amp;$A13,'4.1 关键词原始数据'!$A:$N,S$2,FALSE))," ")</f>
        <v> </v>
      </c>
      <c r="C13" s="63" t="str">
        <f>_xlfn.IFNA(IF(VLOOKUP($B$1&amp;$A13,'4.1 关键词原始数据'!$A:$N,T$2,FALSE)=0," ",VLOOKUP($B$1&amp;$A13,'4.1 关键词原始数据'!$A:$N,T$2,FALSE))," ")</f>
        <v>3-11-1</v>
      </c>
      <c r="D13" s="63" t="str">
        <f>_xlfn.IFNA(IF(VLOOKUP($B$1&amp;$A13,'4.1 关键词原始数据'!$A:$N,U$2,FALSE)=0," ",VLOOKUP($B$1&amp;$A13,'4.1 关键词原始数据'!$A:$N,U$2,FALSE))," ")</f>
        <v> </v>
      </c>
      <c r="E13" s="63" t="str">
        <f>_xlfn.IFNA(IF(VLOOKUP($B$1&amp;$A13,'4.1 关键词原始数据'!$A:$N,V$2,FALSE)=0," ",VLOOKUP($B$1&amp;$A13,'4.1 关键词原始数据'!$A:$N,V$2,FALSE))," ")</f>
        <v>5-11-2</v>
      </c>
      <c r="F13" s="63" t="str">
        <f>_xlfn.IFNA(IF(VLOOKUP($B$1&amp;$A13,'4.1 关键词原始数据'!$A:$N,W$2,FALSE)=0," ",VLOOKUP($B$1&amp;$A13,'4.1 关键词原始数据'!$A:$N,W$2,FALSE))," ")</f>
        <v> </v>
      </c>
      <c r="G13" s="63" t="str">
        <f>_xlfn.IFNA(IF(VLOOKUP($B$1&amp;$A13,'4.1 关键词原始数据'!$A:$N,X$2,FALSE)=0," ",VLOOKUP($B$1&amp;$A13,'4.1 关键词原始数据'!$A:$N,X$2,FALSE))," ")</f>
        <v>1-17-4</v>
      </c>
      <c r="H13" s="63" t="str">
        <f>_xlfn.IFNA(IF(VLOOKUP($B$1&amp;$A13,'4.1 关键词原始数据'!$A:$N,Y$2,FALSE)=0," ",VLOOKUP($B$1&amp;$A13,'4.1 关键词原始数据'!$A:$N,Y$2,FALSE))," ")</f>
        <v> </v>
      </c>
      <c r="I13" s="63" t="str">
        <f>_xlfn.IFNA(IF(VLOOKUP($B$1&amp;$A13,'4.1 关键词原始数据'!$A:$N,Z$2,FALSE)=0," ",VLOOKUP($B$1&amp;$A13,'4.1 关键词原始数据'!$A:$N,Z$2,FALSE))," ")</f>
        <v> </v>
      </c>
      <c r="J13" s="63" t="str">
        <f>_xlfn.IFNA(IF(VLOOKUP($J$1&amp;$A13,'4.1 关键词原始数据'!$A:$N,S$2,FALSE)=0," ",VLOOKUP($J$1&amp;$A13,'4.1 关键词原始数据'!$A:$N,S$2,FALSE))," ")</f>
        <v> </v>
      </c>
      <c r="K13" s="63" t="str">
        <f>_xlfn.IFNA(IF(VLOOKUP($J$1&amp;$A13,'4.1 关键词原始数据'!$A:$N,T$2,FALSE)=0," ",VLOOKUP($J$1&amp;$A13,'4.1 关键词原始数据'!$A:$N,T$2,FALSE))," ")</f>
        <v> </v>
      </c>
      <c r="L13" s="63" t="str">
        <f>_xlfn.IFNA(IF(VLOOKUP($J$1&amp;$A13,'4.1 关键词原始数据'!$A:$N,U$2,FALSE)=0," ",VLOOKUP($J$1&amp;$A13,'4.1 关键词原始数据'!$A:$N,U$2,FALSE))," ")</f>
        <v> </v>
      </c>
      <c r="M13" s="63" t="str">
        <f>_xlfn.IFNA(IF(VLOOKUP($J$1&amp;$A13,'4.1 关键词原始数据'!$A:$N,V$2,FALSE)=0," ",VLOOKUP($J$1&amp;$A13,'4.1 关键词原始数据'!$A:$N,V$2,FALSE))," ")</f>
        <v> </v>
      </c>
      <c r="N13" s="63" t="str">
        <f>_xlfn.IFNA(IF(VLOOKUP($J$1&amp;$A13,'4.1 关键词原始数据'!$A:$N,W$2,FALSE)=0," ",VLOOKUP($J$1&amp;$A13,'4.1 关键词原始数据'!$A:$N,W$2,FALSE))," ")</f>
        <v> </v>
      </c>
      <c r="O13" s="63" t="str">
        <f>_xlfn.IFNA(IF(VLOOKUP($J$1&amp;$A13,'4.1 关键词原始数据'!$A:$N,X$2,FALSE)=0," ",VLOOKUP($J$1&amp;$A13,'4.1 关键词原始数据'!$A:$N,X$2,FALSE))," ")</f>
        <v> </v>
      </c>
      <c r="P13" s="63" t="str">
        <f>_xlfn.IFNA(IF(VLOOKUP($J$1&amp;$A13,'4.1 关键词原始数据'!$A:$N,Y$2,FALSE)=0," ",VLOOKUP($J$1&amp;$A13,'4.1 关键词原始数据'!$A:$N,Y$2,FALSE))," ")</f>
        <v> </v>
      </c>
      <c r="Q13" s="63" t="str">
        <f>_xlfn.IFNA(IF(VLOOKUP($J$1&amp;$A13,'4.1 关键词原始数据'!$A:$N,Z$2,FALSE)=0," ",VLOOKUP($J$1&amp;$A13,'4.1 关键词原始数据'!$A:$N,Z$2,FALSE))," ")</f>
        <v> </v>
      </c>
    </row>
    <row r="14" ht="16.5" spans="1:17">
      <c r="A14" s="62" t="s">
        <v>262</v>
      </c>
      <c r="B14" s="63" t="str">
        <f>_xlfn.IFNA(IF(VLOOKUP($B$1&amp;$A14,'4.1 关键词原始数据'!$A:$N,S$2,FALSE)=0," ",VLOOKUP($B$1&amp;$A14,'4.1 关键词原始数据'!$A:$N,S$2,FALSE))," ")</f>
        <v> </v>
      </c>
      <c r="C14" s="63" t="str">
        <f>_xlfn.IFNA(IF(VLOOKUP($B$1&amp;$A14,'4.1 关键词原始数据'!$A:$N,T$2,FALSE)=0," ",VLOOKUP($B$1&amp;$A14,'4.1 关键词原始数据'!$A:$N,T$2,FALSE))," ")</f>
        <v> </v>
      </c>
      <c r="D14" s="63" t="str">
        <f>_xlfn.IFNA(IF(VLOOKUP($B$1&amp;$A14,'4.1 关键词原始数据'!$A:$N,U$2,FALSE)=0," ",VLOOKUP($B$1&amp;$A14,'4.1 关键词原始数据'!$A:$N,U$2,FALSE))," ")</f>
        <v> </v>
      </c>
      <c r="E14" s="63" t="str">
        <f>_xlfn.IFNA(IF(VLOOKUP($B$1&amp;$A14,'4.1 关键词原始数据'!$A:$N,V$2,FALSE)=0," ",VLOOKUP($B$1&amp;$A14,'4.1 关键词原始数据'!$A:$N,V$2,FALSE))," ")</f>
        <v> </v>
      </c>
      <c r="F14" s="63" t="str">
        <f>_xlfn.IFNA(IF(VLOOKUP($B$1&amp;$A14,'4.1 关键词原始数据'!$A:$N,W$2,FALSE)=0," ",VLOOKUP($B$1&amp;$A14,'4.1 关键词原始数据'!$A:$N,W$2,FALSE))," ")</f>
        <v> </v>
      </c>
      <c r="G14" s="63" t="str">
        <f>_xlfn.IFNA(IF(VLOOKUP($B$1&amp;$A14,'4.1 关键词原始数据'!$A:$N,X$2,FALSE)=0," ",VLOOKUP($B$1&amp;$A14,'4.1 关键词原始数据'!$A:$N,X$2,FALSE))," ")</f>
        <v> </v>
      </c>
      <c r="H14" s="63" t="str">
        <f>_xlfn.IFNA(IF(VLOOKUP($B$1&amp;$A14,'4.1 关键词原始数据'!$A:$N,Y$2,FALSE)=0," ",VLOOKUP($B$1&amp;$A14,'4.1 关键词原始数据'!$A:$N,Y$2,FALSE))," ")</f>
        <v> </v>
      </c>
      <c r="I14" s="63" t="str">
        <f>_xlfn.IFNA(IF(VLOOKUP($B$1&amp;$A14,'4.1 关键词原始数据'!$A:$N,Z$2,FALSE)=0," ",VLOOKUP($B$1&amp;$A14,'4.1 关键词原始数据'!$A:$N,Z$2,FALSE))," ")</f>
        <v> </v>
      </c>
      <c r="J14" s="63" t="str">
        <f>_xlfn.IFNA(IF(VLOOKUP($J$1&amp;$A14,'4.1 关键词原始数据'!$A:$N,S$2,FALSE)=0," ",VLOOKUP($J$1&amp;$A14,'4.1 关键词原始数据'!$A:$N,S$2,FALSE))," ")</f>
        <v> </v>
      </c>
      <c r="K14" s="63" t="str">
        <f>_xlfn.IFNA(IF(VLOOKUP($J$1&amp;$A14,'4.1 关键词原始数据'!$A:$N,T$2,FALSE)=0," ",VLOOKUP($J$1&amp;$A14,'4.1 关键词原始数据'!$A:$N,T$2,FALSE))," ")</f>
        <v> </v>
      </c>
      <c r="L14" s="63" t="str">
        <f>_xlfn.IFNA(IF(VLOOKUP($J$1&amp;$A14,'4.1 关键词原始数据'!$A:$N,U$2,FALSE)=0," ",VLOOKUP($J$1&amp;$A14,'4.1 关键词原始数据'!$A:$N,U$2,FALSE))," ")</f>
        <v> </v>
      </c>
      <c r="M14" s="63" t="str">
        <f>_xlfn.IFNA(IF(VLOOKUP($J$1&amp;$A14,'4.1 关键词原始数据'!$A:$N,V$2,FALSE)=0," ",VLOOKUP($J$1&amp;$A14,'4.1 关键词原始数据'!$A:$N,V$2,FALSE))," ")</f>
        <v> </v>
      </c>
      <c r="N14" s="63" t="str">
        <f>_xlfn.IFNA(IF(VLOOKUP($J$1&amp;$A14,'4.1 关键词原始数据'!$A:$N,W$2,FALSE)=0," ",VLOOKUP($J$1&amp;$A14,'4.1 关键词原始数据'!$A:$N,W$2,FALSE))," ")</f>
        <v> </v>
      </c>
      <c r="O14" s="63" t="str">
        <f>_xlfn.IFNA(IF(VLOOKUP($J$1&amp;$A14,'4.1 关键词原始数据'!$A:$N,X$2,FALSE)=0," ",VLOOKUP($J$1&amp;$A14,'4.1 关键词原始数据'!$A:$N,X$2,FALSE))," ")</f>
        <v> </v>
      </c>
      <c r="P14" s="63" t="str">
        <f>_xlfn.IFNA(IF(VLOOKUP($J$1&amp;$A14,'4.1 关键词原始数据'!$A:$N,Y$2,FALSE)=0," ",VLOOKUP($J$1&amp;$A14,'4.1 关键词原始数据'!$A:$N,Y$2,FALSE))," ")</f>
        <v> </v>
      </c>
      <c r="Q14" s="63" t="str">
        <f>_xlfn.IFNA(IF(VLOOKUP($J$1&amp;$A14,'4.1 关键词原始数据'!$A:$N,Z$2,FALSE)=0," ",VLOOKUP($J$1&amp;$A14,'4.1 关键词原始数据'!$A:$N,Z$2,FALSE))," ")</f>
        <v> </v>
      </c>
    </row>
    <row r="15" ht="16.5" spans="1:17">
      <c r="A15" s="62" t="s">
        <v>263</v>
      </c>
      <c r="B15" s="63" t="str">
        <f>_xlfn.IFNA(IF(VLOOKUP($B$1&amp;$A15,'4.1 关键词原始数据'!$A:$N,S$2,FALSE)=0," ",VLOOKUP($B$1&amp;$A15,'4.1 关键词原始数据'!$A:$N,S$2,FALSE))," ")</f>
        <v> </v>
      </c>
      <c r="C15" s="63" t="str">
        <f>_xlfn.IFNA(IF(VLOOKUP($B$1&amp;$A15,'4.1 关键词原始数据'!$A:$N,T$2,FALSE)=0," ",VLOOKUP($B$1&amp;$A15,'4.1 关键词原始数据'!$A:$N,T$2,FALSE))," ")</f>
        <v>3-12-3</v>
      </c>
      <c r="D15" s="63" t="str">
        <f>_xlfn.IFNA(IF(VLOOKUP($B$1&amp;$A15,'4.1 关键词原始数据'!$A:$N,U$2,FALSE)=0," ",VLOOKUP($B$1&amp;$A15,'4.1 关键词原始数据'!$A:$N,U$2,FALSE))," ")</f>
        <v> </v>
      </c>
      <c r="E15" s="63" t="str">
        <f>_xlfn.IFNA(IF(VLOOKUP($B$1&amp;$A15,'4.1 关键词原始数据'!$A:$N,V$2,FALSE)=0," ",VLOOKUP($B$1&amp;$A15,'4.1 关键词原始数据'!$A:$N,V$2,FALSE))," ")</f>
        <v> </v>
      </c>
      <c r="F15" s="63" t="str">
        <f>_xlfn.IFNA(IF(VLOOKUP($B$1&amp;$A15,'4.1 关键词原始数据'!$A:$N,W$2,FALSE)=0," ",VLOOKUP($B$1&amp;$A15,'4.1 关键词原始数据'!$A:$N,W$2,FALSE))," ")</f>
        <v> </v>
      </c>
      <c r="G15" s="63" t="str">
        <f>_xlfn.IFNA(IF(VLOOKUP($B$1&amp;$A15,'4.1 关键词原始数据'!$A:$N,X$2,FALSE)=0," ",VLOOKUP($B$1&amp;$A15,'4.1 关键词原始数据'!$A:$N,X$2,FALSE))," ")</f>
        <v>2-3-1</v>
      </c>
      <c r="H15" s="63" t="str">
        <f>_xlfn.IFNA(IF(VLOOKUP($B$1&amp;$A15,'4.1 关键词原始数据'!$A:$N,Y$2,FALSE)=0," ",VLOOKUP($B$1&amp;$A15,'4.1 关键词原始数据'!$A:$N,Y$2,FALSE))," ")</f>
        <v> </v>
      </c>
      <c r="I15" s="63" t="str">
        <f>_xlfn.IFNA(IF(VLOOKUP($B$1&amp;$A15,'4.1 关键词原始数据'!$A:$N,Z$2,FALSE)=0," ",VLOOKUP($B$1&amp;$A15,'4.1 关键词原始数据'!$A:$N,Z$2,FALSE))," ")</f>
        <v> </v>
      </c>
      <c r="J15" s="63" t="str">
        <f>_xlfn.IFNA(IF(VLOOKUP($J$1&amp;$A15,'4.1 关键词原始数据'!$A:$N,S$2,FALSE)=0," ",VLOOKUP($J$1&amp;$A15,'4.1 关键词原始数据'!$A:$N,S$2,FALSE))," ")</f>
        <v> </v>
      </c>
      <c r="K15" s="63" t="str">
        <f>_xlfn.IFNA(IF(VLOOKUP($J$1&amp;$A15,'4.1 关键词原始数据'!$A:$N,T$2,FALSE)=0," ",VLOOKUP($J$1&amp;$A15,'4.1 关键词原始数据'!$A:$N,T$2,FALSE))," ")</f>
        <v> </v>
      </c>
      <c r="L15" s="63" t="str">
        <f>_xlfn.IFNA(IF(VLOOKUP($J$1&amp;$A15,'4.1 关键词原始数据'!$A:$N,U$2,FALSE)=0," ",VLOOKUP($J$1&amp;$A15,'4.1 关键词原始数据'!$A:$N,U$2,FALSE))," ")</f>
        <v> </v>
      </c>
      <c r="M15" s="63" t="str">
        <f>_xlfn.IFNA(IF(VLOOKUP($J$1&amp;$A15,'4.1 关键词原始数据'!$A:$N,V$2,FALSE)=0," ",VLOOKUP($J$1&amp;$A15,'4.1 关键词原始数据'!$A:$N,V$2,FALSE))," ")</f>
        <v>4-4-4</v>
      </c>
      <c r="N15" s="63" t="str">
        <f>_xlfn.IFNA(IF(VLOOKUP($J$1&amp;$A15,'4.1 关键词原始数据'!$A:$N,W$2,FALSE)=0," ",VLOOKUP($J$1&amp;$A15,'4.1 关键词原始数据'!$A:$N,W$2,FALSE))," ")</f>
        <v> </v>
      </c>
      <c r="O15" s="63" t="str">
        <f>_xlfn.IFNA(IF(VLOOKUP($J$1&amp;$A15,'4.1 关键词原始数据'!$A:$N,X$2,FALSE)=0," ",VLOOKUP($J$1&amp;$A15,'4.1 关键词原始数据'!$A:$N,X$2,FALSE))," ")</f>
        <v> </v>
      </c>
      <c r="P15" s="63" t="str">
        <f>_xlfn.IFNA(IF(VLOOKUP($J$1&amp;$A15,'4.1 关键词原始数据'!$A:$N,Y$2,FALSE)=0," ",VLOOKUP($J$1&amp;$A15,'4.1 关键词原始数据'!$A:$N,Y$2,FALSE))," ")</f>
        <v> </v>
      </c>
      <c r="Q15" s="63" t="str">
        <f>_xlfn.IFNA(IF(VLOOKUP($J$1&amp;$A15,'4.1 关键词原始数据'!$A:$N,Z$2,FALSE)=0," ",VLOOKUP($J$1&amp;$A15,'4.1 关键词原始数据'!$A:$N,Z$2,FALSE))," ")</f>
        <v> </v>
      </c>
    </row>
    <row r="16" ht="16.5" spans="1:17">
      <c r="A16" s="62" t="s">
        <v>264</v>
      </c>
      <c r="B16" s="63" t="str">
        <f>_xlfn.IFNA(IF(VLOOKUP($B$1&amp;$A16,'4.1 关键词原始数据'!$A:$N,S$2,FALSE)=0," ",VLOOKUP($B$1&amp;$A16,'4.1 关键词原始数据'!$A:$N,S$2,FALSE))," ")</f>
        <v> </v>
      </c>
      <c r="C16" s="63" t="str">
        <f>_xlfn.IFNA(IF(VLOOKUP($B$1&amp;$A16,'4.1 关键词原始数据'!$A:$N,T$2,FALSE)=0," ",VLOOKUP($B$1&amp;$A16,'4.1 关键词原始数据'!$A:$N,T$2,FALSE))," ")</f>
        <v> </v>
      </c>
      <c r="D16" s="63" t="str">
        <f>_xlfn.IFNA(IF(VLOOKUP($B$1&amp;$A16,'4.1 关键词原始数据'!$A:$N,U$2,FALSE)=0," ",VLOOKUP($B$1&amp;$A16,'4.1 关键词原始数据'!$A:$N,U$2,FALSE))," ")</f>
        <v> </v>
      </c>
      <c r="E16" s="63" t="str">
        <f>_xlfn.IFNA(IF(VLOOKUP($B$1&amp;$A16,'4.1 关键词原始数据'!$A:$N,V$2,FALSE)=0," ",VLOOKUP($B$1&amp;$A16,'4.1 关键词原始数据'!$A:$N,V$2,FALSE))," ")</f>
        <v> </v>
      </c>
      <c r="F16" s="63" t="str">
        <f>_xlfn.IFNA(IF(VLOOKUP($B$1&amp;$A16,'4.1 关键词原始数据'!$A:$N,W$2,FALSE)=0," ",VLOOKUP($B$1&amp;$A16,'4.1 关键词原始数据'!$A:$N,W$2,FALSE))," ")</f>
        <v> </v>
      </c>
      <c r="G16" s="63" t="str">
        <f>_xlfn.IFNA(IF(VLOOKUP($B$1&amp;$A16,'4.1 关键词原始数据'!$A:$N,X$2,FALSE)=0," ",VLOOKUP($B$1&amp;$A16,'4.1 关键词原始数据'!$A:$N,X$2,FALSE))," ")</f>
        <v> </v>
      </c>
      <c r="H16" s="63" t="str">
        <f>_xlfn.IFNA(IF(VLOOKUP($B$1&amp;$A16,'4.1 关键词原始数据'!$A:$N,Y$2,FALSE)=0," ",VLOOKUP($B$1&amp;$A16,'4.1 关键词原始数据'!$A:$N,Y$2,FALSE))," ")</f>
        <v> </v>
      </c>
      <c r="I16" s="63" t="str">
        <f>_xlfn.IFNA(IF(VLOOKUP($B$1&amp;$A16,'4.1 关键词原始数据'!$A:$N,Z$2,FALSE)=0," ",VLOOKUP($B$1&amp;$A16,'4.1 关键词原始数据'!$A:$N,Z$2,FALSE))," ")</f>
        <v> </v>
      </c>
      <c r="J16" s="63" t="str">
        <f>_xlfn.IFNA(IF(VLOOKUP($J$1&amp;$A16,'4.1 关键词原始数据'!$A:$N,S$2,FALSE)=0," ",VLOOKUP($J$1&amp;$A16,'4.1 关键词原始数据'!$A:$N,S$2,FALSE))," ")</f>
        <v> </v>
      </c>
      <c r="K16" s="63" t="str">
        <f>_xlfn.IFNA(IF(VLOOKUP($J$1&amp;$A16,'4.1 关键词原始数据'!$A:$N,T$2,FALSE)=0," ",VLOOKUP($J$1&amp;$A16,'4.1 关键词原始数据'!$A:$N,T$2,FALSE))," ")</f>
        <v> </v>
      </c>
      <c r="L16" s="63" t="str">
        <f>_xlfn.IFNA(IF(VLOOKUP($J$1&amp;$A16,'4.1 关键词原始数据'!$A:$N,U$2,FALSE)=0," ",VLOOKUP($J$1&amp;$A16,'4.1 关键词原始数据'!$A:$N,U$2,FALSE))," ")</f>
        <v> </v>
      </c>
      <c r="M16" s="63" t="str">
        <f>_xlfn.IFNA(IF(VLOOKUP($J$1&amp;$A16,'4.1 关键词原始数据'!$A:$N,V$2,FALSE)=0," ",VLOOKUP($J$1&amp;$A16,'4.1 关键词原始数据'!$A:$N,V$2,FALSE))," ")</f>
        <v> </v>
      </c>
      <c r="N16" s="63" t="str">
        <f>_xlfn.IFNA(IF(VLOOKUP($J$1&amp;$A16,'4.1 关键词原始数据'!$A:$N,W$2,FALSE)=0," ",VLOOKUP($J$1&amp;$A16,'4.1 关键词原始数据'!$A:$N,W$2,FALSE))," ")</f>
        <v> </v>
      </c>
      <c r="O16" s="63" t="str">
        <f>_xlfn.IFNA(IF(VLOOKUP($J$1&amp;$A16,'4.1 关键词原始数据'!$A:$N,X$2,FALSE)=0," ",VLOOKUP($J$1&amp;$A16,'4.1 关键词原始数据'!$A:$N,X$2,FALSE))," ")</f>
        <v> </v>
      </c>
      <c r="P16" s="63" t="str">
        <f>_xlfn.IFNA(IF(VLOOKUP($J$1&amp;$A16,'4.1 关键词原始数据'!$A:$N,Y$2,FALSE)=0," ",VLOOKUP($J$1&amp;$A16,'4.1 关键词原始数据'!$A:$N,Y$2,FALSE))," ")</f>
        <v> </v>
      </c>
      <c r="Q16" s="63" t="str">
        <f>_xlfn.IFNA(IF(VLOOKUP($J$1&amp;$A16,'4.1 关键词原始数据'!$A:$N,Z$2,FALSE)=0," ",VLOOKUP($J$1&amp;$A16,'4.1 关键词原始数据'!$A:$N,Z$2,FALSE))," ")</f>
        <v> </v>
      </c>
    </row>
    <row r="17" ht="16.5" spans="1:17">
      <c r="A17" s="62" t="s">
        <v>265</v>
      </c>
      <c r="B17" s="63" t="str">
        <f>_xlfn.IFNA(IF(VLOOKUP($B$1&amp;$A17,'4.1 关键词原始数据'!$A:$N,S$2,FALSE)=0," ",VLOOKUP($B$1&amp;$A17,'4.1 关键词原始数据'!$A:$N,S$2,FALSE))," ")</f>
        <v> </v>
      </c>
      <c r="C17" s="63" t="str">
        <f>_xlfn.IFNA(IF(VLOOKUP($B$1&amp;$A17,'4.1 关键词原始数据'!$A:$N,T$2,FALSE)=0," ",VLOOKUP($B$1&amp;$A17,'4.1 关键词原始数据'!$A:$N,T$2,FALSE))," ")</f>
        <v>3-14-3</v>
      </c>
      <c r="D17" s="63" t="str">
        <f>_xlfn.IFNA(IF(VLOOKUP($B$1&amp;$A17,'4.1 关键词原始数据'!$A:$N,U$2,FALSE)=0," ",VLOOKUP($B$1&amp;$A17,'4.1 关键词原始数据'!$A:$N,U$2,FALSE))," ")</f>
        <v> </v>
      </c>
      <c r="E17" s="63" t="str">
        <f>_xlfn.IFNA(IF(VLOOKUP($B$1&amp;$A17,'4.1 关键词原始数据'!$A:$N,V$2,FALSE)=0," ",VLOOKUP($B$1&amp;$A17,'4.1 关键词原始数据'!$A:$N,V$2,FALSE))," ")</f>
        <v> </v>
      </c>
      <c r="F17" s="63" t="str">
        <f>_xlfn.IFNA(IF(VLOOKUP($B$1&amp;$A17,'4.1 关键词原始数据'!$A:$N,W$2,FALSE)=0," ",VLOOKUP($B$1&amp;$A17,'4.1 关键词原始数据'!$A:$N,W$2,FALSE))," ")</f>
        <v> </v>
      </c>
      <c r="G17" s="63" t="str">
        <f>_xlfn.IFNA(IF(VLOOKUP($B$1&amp;$A17,'4.1 关键词原始数据'!$A:$N,X$2,FALSE)=0," ",VLOOKUP($B$1&amp;$A17,'4.1 关键词原始数据'!$A:$N,X$2,FALSE))," ")</f>
        <v>1-15-4</v>
      </c>
      <c r="H17" s="63" t="str">
        <f>_xlfn.IFNA(IF(VLOOKUP($B$1&amp;$A17,'4.1 关键词原始数据'!$A:$N,Y$2,FALSE)=0," ",VLOOKUP($B$1&amp;$A17,'4.1 关键词原始数据'!$A:$N,Y$2,FALSE))," ")</f>
        <v> </v>
      </c>
      <c r="I17" s="63" t="str">
        <f>_xlfn.IFNA(IF(VLOOKUP($B$1&amp;$A17,'4.1 关键词原始数据'!$A:$N,Z$2,FALSE)=0," ",VLOOKUP($B$1&amp;$A17,'4.1 关键词原始数据'!$A:$N,Z$2,FALSE))," ")</f>
        <v> </v>
      </c>
      <c r="J17" s="63" t="str">
        <f>_xlfn.IFNA(IF(VLOOKUP($J$1&amp;$A17,'4.1 关键词原始数据'!$A:$N,S$2,FALSE)=0," ",VLOOKUP($J$1&amp;$A17,'4.1 关键词原始数据'!$A:$N,S$2,FALSE))," ")</f>
        <v> </v>
      </c>
      <c r="K17" s="63" t="str">
        <f>_xlfn.IFNA(IF(VLOOKUP($J$1&amp;$A17,'4.1 关键词原始数据'!$A:$N,T$2,FALSE)=0," ",VLOOKUP($J$1&amp;$A17,'4.1 关键词原始数据'!$A:$N,T$2,FALSE))," ")</f>
        <v> </v>
      </c>
      <c r="L17" s="63" t="str">
        <f>_xlfn.IFNA(IF(VLOOKUP($J$1&amp;$A17,'4.1 关键词原始数据'!$A:$N,U$2,FALSE)=0," ",VLOOKUP($J$1&amp;$A17,'4.1 关键词原始数据'!$A:$N,U$2,FALSE))," ")</f>
        <v> </v>
      </c>
      <c r="M17" s="63" t="str">
        <f>_xlfn.IFNA(IF(VLOOKUP($J$1&amp;$A17,'4.1 关键词原始数据'!$A:$N,V$2,FALSE)=0," ",VLOOKUP($J$1&amp;$A17,'4.1 关键词原始数据'!$A:$N,V$2,FALSE))," ")</f>
        <v>3-2-3</v>
      </c>
      <c r="N17" s="63" t="str">
        <f>_xlfn.IFNA(IF(VLOOKUP($J$1&amp;$A17,'4.1 关键词原始数据'!$A:$N,W$2,FALSE)=0," ",VLOOKUP($J$1&amp;$A17,'4.1 关键词原始数据'!$A:$N,W$2,FALSE))," ")</f>
        <v> </v>
      </c>
      <c r="O17" s="63" t="str">
        <f>_xlfn.IFNA(IF(VLOOKUP($J$1&amp;$A17,'4.1 关键词原始数据'!$A:$N,X$2,FALSE)=0," ",VLOOKUP($J$1&amp;$A17,'4.1 关键词原始数据'!$A:$N,X$2,FALSE))," ")</f>
        <v> </v>
      </c>
      <c r="P17" s="63" t="str">
        <f>_xlfn.IFNA(IF(VLOOKUP($J$1&amp;$A17,'4.1 关键词原始数据'!$A:$N,Y$2,FALSE)=0," ",VLOOKUP($J$1&amp;$A17,'4.1 关键词原始数据'!$A:$N,Y$2,FALSE))," ")</f>
        <v> </v>
      </c>
      <c r="Q17" s="63" t="str">
        <f>_xlfn.IFNA(IF(VLOOKUP($J$1&amp;$A17,'4.1 关键词原始数据'!$A:$N,Z$2,FALSE)=0," ",VLOOKUP($J$1&amp;$A17,'4.1 关键词原始数据'!$A:$N,Z$2,FALSE))," ")</f>
        <v> </v>
      </c>
    </row>
    <row r="18" ht="16.5" spans="1:17">
      <c r="A18" s="62" t="s">
        <v>266</v>
      </c>
      <c r="B18" s="63" t="str">
        <f>_xlfn.IFNA(IF(VLOOKUP($B$1&amp;$A18,'4.1 关键词原始数据'!$A:$N,S$2,FALSE)=0," ",VLOOKUP($B$1&amp;$A18,'4.1 关键词原始数据'!$A:$N,S$2,FALSE))," ")</f>
        <v> </v>
      </c>
      <c r="C18" s="63" t="str">
        <f>_xlfn.IFNA(IF(VLOOKUP($B$1&amp;$A18,'4.1 关键词原始数据'!$A:$N,T$2,FALSE)=0," ",VLOOKUP($B$1&amp;$A18,'4.1 关键词原始数据'!$A:$N,T$2,FALSE))," ")</f>
        <v> </v>
      </c>
      <c r="D18" s="63" t="str">
        <f>_xlfn.IFNA(IF(VLOOKUP($B$1&amp;$A18,'4.1 关键词原始数据'!$A:$N,U$2,FALSE)=0," ",VLOOKUP($B$1&amp;$A18,'4.1 关键词原始数据'!$A:$N,U$2,FALSE))," ")</f>
        <v> </v>
      </c>
      <c r="E18" s="63" t="str">
        <f>_xlfn.IFNA(IF(VLOOKUP($B$1&amp;$A18,'4.1 关键词原始数据'!$A:$N,V$2,FALSE)=0," ",VLOOKUP($B$1&amp;$A18,'4.1 关键词原始数据'!$A:$N,V$2,FALSE))," ")</f>
        <v> </v>
      </c>
      <c r="F18" s="63" t="str">
        <f>_xlfn.IFNA(IF(VLOOKUP($B$1&amp;$A18,'4.1 关键词原始数据'!$A:$N,W$2,FALSE)=0," ",VLOOKUP($B$1&amp;$A18,'4.1 关键词原始数据'!$A:$N,W$2,FALSE))," ")</f>
        <v> </v>
      </c>
      <c r="G18" s="63" t="str">
        <f>_xlfn.IFNA(IF(VLOOKUP($B$1&amp;$A18,'4.1 关键词原始数据'!$A:$N,X$2,FALSE)=0," ",VLOOKUP($B$1&amp;$A18,'4.1 关键词原始数据'!$A:$N,X$2,FALSE))," ")</f>
        <v> </v>
      </c>
      <c r="H18" s="63" t="str">
        <f>_xlfn.IFNA(IF(VLOOKUP($B$1&amp;$A18,'4.1 关键词原始数据'!$A:$N,Y$2,FALSE)=0," ",VLOOKUP($B$1&amp;$A18,'4.1 关键词原始数据'!$A:$N,Y$2,FALSE))," ")</f>
        <v> </v>
      </c>
      <c r="I18" s="63" t="str">
        <f>_xlfn.IFNA(IF(VLOOKUP($B$1&amp;$A18,'4.1 关键词原始数据'!$A:$N,Z$2,FALSE)=0," ",VLOOKUP($B$1&amp;$A18,'4.1 关键词原始数据'!$A:$N,Z$2,FALSE))," ")</f>
        <v> </v>
      </c>
      <c r="J18" s="63" t="str">
        <f>_xlfn.IFNA(IF(VLOOKUP($J$1&amp;$A18,'4.1 关键词原始数据'!$A:$N,S$2,FALSE)=0," ",VLOOKUP($J$1&amp;$A18,'4.1 关键词原始数据'!$A:$N,S$2,FALSE))," ")</f>
        <v> </v>
      </c>
      <c r="K18" s="63" t="str">
        <f>_xlfn.IFNA(IF(VLOOKUP($J$1&amp;$A18,'4.1 关键词原始数据'!$A:$N,T$2,FALSE)=0," ",VLOOKUP($J$1&amp;$A18,'4.1 关键词原始数据'!$A:$N,T$2,FALSE))," ")</f>
        <v> </v>
      </c>
      <c r="L18" s="63" t="str">
        <f>_xlfn.IFNA(IF(VLOOKUP($J$1&amp;$A18,'4.1 关键词原始数据'!$A:$N,U$2,FALSE)=0," ",VLOOKUP($J$1&amp;$A18,'4.1 关键词原始数据'!$A:$N,U$2,FALSE))," ")</f>
        <v> </v>
      </c>
      <c r="M18" s="63" t="str">
        <f>_xlfn.IFNA(IF(VLOOKUP($J$1&amp;$A18,'4.1 关键词原始数据'!$A:$N,V$2,FALSE)=0," ",VLOOKUP($J$1&amp;$A18,'4.1 关键词原始数据'!$A:$N,V$2,FALSE))," ")</f>
        <v> </v>
      </c>
      <c r="N18" s="63" t="str">
        <f>_xlfn.IFNA(IF(VLOOKUP($J$1&amp;$A18,'4.1 关键词原始数据'!$A:$N,W$2,FALSE)=0," ",VLOOKUP($J$1&amp;$A18,'4.1 关键词原始数据'!$A:$N,W$2,FALSE))," ")</f>
        <v> </v>
      </c>
      <c r="O18" s="63" t="str">
        <f>_xlfn.IFNA(IF(VLOOKUP($J$1&amp;$A18,'4.1 关键词原始数据'!$A:$N,X$2,FALSE)=0," ",VLOOKUP($J$1&amp;$A18,'4.1 关键词原始数据'!$A:$N,X$2,FALSE))," ")</f>
        <v> </v>
      </c>
      <c r="P18" s="63" t="str">
        <f>_xlfn.IFNA(IF(VLOOKUP($J$1&amp;$A18,'4.1 关键词原始数据'!$A:$N,Y$2,FALSE)=0," ",VLOOKUP($J$1&amp;$A18,'4.1 关键词原始数据'!$A:$N,Y$2,FALSE))," ")</f>
        <v> </v>
      </c>
      <c r="Q18" s="63" t="str">
        <f>_xlfn.IFNA(IF(VLOOKUP($J$1&amp;$A18,'4.1 关键词原始数据'!$A:$N,Z$2,FALSE)=0," ",VLOOKUP($J$1&amp;$A18,'4.1 关键词原始数据'!$A:$N,Z$2,FALSE))," ")</f>
        <v> </v>
      </c>
    </row>
    <row r="19" ht="16.5" spans="1:17">
      <c r="A19" s="62" t="s">
        <v>267</v>
      </c>
      <c r="B19" s="63" t="str">
        <f>_xlfn.IFNA(IF(VLOOKUP($B$1&amp;$A19,'4.1 关键词原始数据'!$A:$N,S$2,FALSE)=0," ",VLOOKUP($B$1&amp;$A19,'4.1 关键词原始数据'!$A:$N,S$2,FALSE))," ")</f>
        <v> </v>
      </c>
      <c r="C19" s="63" t="str">
        <f>_xlfn.IFNA(IF(VLOOKUP($B$1&amp;$A19,'4.1 关键词原始数据'!$A:$N,T$2,FALSE)=0," ",VLOOKUP($B$1&amp;$A19,'4.1 关键词原始数据'!$A:$N,T$2,FALSE))," ")</f>
        <v>3-16-3</v>
      </c>
      <c r="D19" s="63" t="str">
        <f>_xlfn.IFNA(IF(VLOOKUP($B$1&amp;$A19,'4.1 关键词原始数据'!$A:$N,U$2,FALSE)=0," ",VLOOKUP($B$1&amp;$A19,'4.1 关键词原始数据'!$A:$N,U$2,FALSE))," ")</f>
        <v> </v>
      </c>
      <c r="E19" s="63" t="str">
        <f>_xlfn.IFNA(IF(VLOOKUP($B$1&amp;$A19,'4.1 关键词原始数据'!$A:$N,V$2,FALSE)=0," ",VLOOKUP($B$1&amp;$A19,'4.1 关键词原始数据'!$A:$N,V$2,FALSE))," ")</f>
        <v> </v>
      </c>
      <c r="F19" s="63" t="str">
        <f>_xlfn.IFNA(IF(VLOOKUP($B$1&amp;$A19,'4.1 关键词原始数据'!$A:$N,W$2,FALSE)=0," ",VLOOKUP($B$1&amp;$A19,'4.1 关键词原始数据'!$A:$N,W$2,FALSE))," ")</f>
        <v> </v>
      </c>
      <c r="G19" s="63" t="str">
        <f>_xlfn.IFNA(IF(VLOOKUP($B$1&amp;$A19,'4.1 关键词原始数据'!$A:$N,X$2,FALSE)=0," ",VLOOKUP($B$1&amp;$A19,'4.1 关键词原始数据'!$A:$N,X$2,FALSE))," ")</f>
        <v>1-15-4</v>
      </c>
      <c r="H19" s="63" t="str">
        <f>_xlfn.IFNA(IF(VLOOKUP($B$1&amp;$A19,'4.1 关键词原始数据'!$A:$N,Y$2,FALSE)=0," ",VLOOKUP($B$1&amp;$A19,'4.1 关键词原始数据'!$A:$N,Y$2,FALSE))," ")</f>
        <v> </v>
      </c>
      <c r="I19" s="63" t="str">
        <f>_xlfn.IFNA(IF(VLOOKUP($B$1&amp;$A19,'4.1 关键词原始数据'!$A:$N,Z$2,FALSE)=0," ",VLOOKUP($B$1&amp;$A19,'4.1 关键词原始数据'!$A:$N,Z$2,FALSE))," ")</f>
        <v> </v>
      </c>
      <c r="J19" s="63" t="str">
        <f>_xlfn.IFNA(IF(VLOOKUP($J$1&amp;$A19,'4.1 关键词原始数据'!$A:$N,S$2,FALSE)=0," ",VLOOKUP($J$1&amp;$A19,'4.1 关键词原始数据'!$A:$N,S$2,FALSE))," ")</f>
        <v> </v>
      </c>
      <c r="K19" s="63" t="str">
        <f>_xlfn.IFNA(IF(VLOOKUP($J$1&amp;$A19,'4.1 关键词原始数据'!$A:$N,T$2,FALSE)=0," ",VLOOKUP($J$1&amp;$A19,'4.1 关键词原始数据'!$A:$N,T$2,FALSE))," ")</f>
        <v> </v>
      </c>
      <c r="L19" s="63" t="str">
        <f>_xlfn.IFNA(IF(VLOOKUP($J$1&amp;$A19,'4.1 关键词原始数据'!$A:$N,U$2,FALSE)=0," ",VLOOKUP($J$1&amp;$A19,'4.1 关键词原始数据'!$A:$N,U$2,FALSE))," ")</f>
        <v> </v>
      </c>
      <c r="M19" s="63" t="str">
        <f>_xlfn.IFNA(IF(VLOOKUP($J$1&amp;$A19,'4.1 关键词原始数据'!$A:$N,V$2,FALSE)=0," ",VLOOKUP($J$1&amp;$A19,'4.1 关键词原始数据'!$A:$N,V$2,FALSE))," ")</f>
        <v>3-11-2</v>
      </c>
      <c r="N19" s="63" t="str">
        <f>_xlfn.IFNA(IF(VLOOKUP($J$1&amp;$A19,'4.1 关键词原始数据'!$A:$N,W$2,FALSE)=0," ",VLOOKUP($J$1&amp;$A19,'4.1 关键词原始数据'!$A:$N,W$2,FALSE))," ")</f>
        <v> </v>
      </c>
      <c r="O19" s="63" t="str">
        <f>_xlfn.IFNA(IF(VLOOKUP($J$1&amp;$A19,'4.1 关键词原始数据'!$A:$N,X$2,FALSE)=0," ",VLOOKUP($J$1&amp;$A19,'4.1 关键词原始数据'!$A:$N,X$2,FALSE))," ")</f>
        <v> </v>
      </c>
      <c r="P19" s="63" t="str">
        <f>_xlfn.IFNA(IF(VLOOKUP($J$1&amp;$A19,'4.1 关键词原始数据'!$A:$N,Y$2,FALSE)=0," ",VLOOKUP($J$1&amp;$A19,'4.1 关键词原始数据'!$A:$N,Y$2,FALSE))," ")</f>
        <v> </v>
      </c>
      <c r="Q19" s="63" t="str">
        <f>_xlfn.IFNA(IF(VLOOKUP($J$1&amp;$A19,'4.1 关键词原始数据'!$A:$N,Z$2,FALSE)=0," ",VLOOKUP($J$1&amp;$A19,'4.1 关键词原始数据'!$A:$N,Z$2,FALSE))," ")</f>
        <v> </v>
      </c>
    </row>
    <row r="20" ht="16.5" spans="1:17">
      <c r="A20" s="62" t="s">
        <v>268</v>
      </c>
      <c r="B20" s="63" t="str">
        <f>_xlfn.IFNA(IF(VLOOKUP($B$1&amp;$A20,'4.1 关键词原始数据'!$A:$N,S$2,FALSE)=0," ",VLOOKUP($B$1&amp;$A20,'4.1 关键词原始数据'!$A:$N,S$2,FALSE))," ")</f>
        <v> </v>
      </c>
      <c r="C20" s="63" t="str">
        <f>_xlfn.IFNA(IF(VLOOKUP($B$1&amp;$A20,'4.1 关键词原始数据'!$A:$N,T$2,FALSE)=0," ",VLOOKUP($B$1&amp;$A20,'4.1 关键词原始数据'!$A:$N,T$2,FALSE))," ")</f>
        <v>4-2-3</v>
      </c>
      <c r="D20" s="63" t="str">
        <f>_xlfn.IFNA(IF(VLOOKUP($B$1&amp;$A20,'4.1 关键词原始数据'!$A:$N,U$2,FALSE)=0," ",VLOOKUP($B$1&amp;$A20,'4.1 关键词原始数据'!$A:$N,U$2,FALSE))," ")</f>
        <v> </v>
      </c>
      <c r="E20" s="63" t="str">
        <f>_xlfn.IFNA(IF(VLOOKUP($B$1&amp;$A20,'4.1 关键词原始数据'!$A:$N,V$2,FALSE)=0," ",VLOOKUP($B$1&amp;$A20,'4.1 关键词原始数据'!$A:$N,V$2,FALSE))," ")</f>
        <v> </v>
      </c>
      <c r="F20" s="63" t="str">
        <f>_xlfn.IFNA(IF(VLOOKUP($B$1&amp;$A20,'4.1 关键词原始数据'!$A:$N,W$2,FALSE)=0," ",VLOOKUP($B$1&amp;$A20,'4.1 关键词原始数据'!$A:$N,W$2,FALSE))," ")</f>
        <v>2-7-3</v>
      </c>
      <c r="G20" s="63" t="str">
        <f>_xlfn.IFNA(IF(VLOOKUP($B$1&amp;$A20,'4.1 关键词原始数据'!$A:$N,X$2,FALSE)=0," ",VLOOKUP($B$1&amp;$A20,'4.1 关键词原始数据'!$A:$N,X$2,FALSE))," ")</f>
        <v>1-15-1</v>
      </c>
      <c r="H20" s="63" t="str">
        <f>_xlfn.IFNA(IF(VLOOKUP($B$1&amp;$A20,'4.1 关键词原始数据'!$A:$N,Y$2,FALSE)=0," ",VLOOKUP($B$1&amp;$A20,'4.1 关键词原始数据'!$A:$N,Y$2,FALSE))," ")</f>
        <v> </v>
      </c>
      <c r="I20" s="63" t="str">
        <f>_xlfn.IFNA(IF(VLOOKUP($B$1&amp;$A20,'4.1 关键词原始数据'!$A:$N,Z$2,FALSE)=0," ",VLOOKUP($B$1&amp;$A20,'4.1 关键词原始数据'!$A:$N,Z$2,FALSE))," ")</f>
        <v> </v>
      </c>
      <c r="J20" s="63" t="str">
        <f>_xlfn.IFNA(IF(VLOOKUP($J$1&amp;$A20,'4.1 关键词原始数据'!$A:$N,S$2,FALSE)=0," ",VLOOKUP($J$1&amp;$A20,'4.1 关键词原始数据'!$A:$N,S$2,FALSE))," ")</f>
        <v> </v>
      </c>
      <c r="K20" s="63" t="str">
        <f>_xlfn.IFNA(IF(VLOOKUP($J$1&amp;$A20,'4.1 关键词原始数据'!$A:$N,T$2,FALSE)=0," ",VLOOKUP($J$1&amp;$A20,'4.1 关键词原始数据'!$A:$N,T$2,FALSE))," ")</f>
        <v> </v>
      </c>
      <c r="L20" s="63" t="str">
        <f>_xlfn.IFNA(IF(VLOOKUP($J$1&amp;$A20,'4.1 关键词原始数据'!$A:$N,U$2,FALSE)=0," ",VLOOKUP($J$1&amp;$A20,'4.1 关键词原始数据'!$A:$N,U$2,FALSE))," ")</f>
        <v> </v>
      </c>
      <c r="M20" s="63" t="str">
        <f>_xlfn.IFNA(IF(VLOOKUP($J$1&amp;$A20,'4.1 关键词原始数据'!$A:$N,V$2,FALSE)=0," ",VLOOKUP($J$1&amp;$A20,'4.1 关键词原始数据'!$A:$N,V$2,FALSE))," ")</f>
        <v>3-14-1</v>
      </c>
      <c r="N20" s="63" t="str">
        <f>_xlfn.IFNA(IF(VLOOKUP($J$1&amp;$A20,'4.1 关键词原始数据'!$A:$N,W$2,FALSE)=0," ",VLOOKUP($J$1&amp;$A20,'4.1 关键词原始数据'!$A:$N,W$2,FALSE))," ")</f>
        <v> </v>
      </c>
      <c r="O20" s="63" t="str">
        <f>_xlfn.IFNA(IF(VLOOKUP($J$1&amp;$A20,'4.1 关键词原始数据'!$A:$N,X$2,FALSE)=0," ",VLOOKUP($J$1&amp;$A20,'4.1 关键词原始数据'!$A:$N,X$2,FALSE))," ")</f>
        <v> </v>
      </c>
      <c r="P20" s="63" t="str">
        <f>_xlfn.IFNA(IF(VLOOKUP($J$1&amp;$A20,'4.1 关键词原始数据'!$A:$N,Y$2,FALSE)=0," ",VLOOKUP($J$1&amp;$A20,'4.1 关键词原始数据'!$A:$N,Y$2,FALSE))," ")</f>
        <v> </v>
      </c>
      <c r="Q20" s="63" t="str">
        <f>_xlfn.IFNA(IF(VLOOKUP($J$1&amp;$A20,'4.1 关键词原始数据'!$A:$N,Z$2,FALSE)=0," ",VLOOKUP($J$1&amp;$A20,'4.1 关键词原始数据'!$A:$N,Z$2,FALSE))," ")</f>
        <v> </v>
      </c>
    </row>
    <row r="21" ht="16.5" spans="1:17">
      <c r="A21" s="62" t="s">
        <v>269</v>
      </c>
      <c r="B21" s="63" t="str">
        <f>_xlfn.IFNA(IF(VLOOKUP($B$1&amp;$A21,'4.1 关键词原始数据'!$A:$N,S$2,FALSE)=0," ",VLOOKUP($B$1&amp;$A21,'4.1 关键词原始数据'!$A:$N,S$2,FALSE))," ")</f>
        <v> </v>
      </c>
      <c r="C21" s="63" t="str">
        <f>_xlfn.IFNA(IF(VLOOKUP($B$1&amp;$A21,'4.1 关键词原始数据'!$A:$N,T$2,FALSE)=0," ",VLOOKUP($B$1&amp;$A21,'4.1 关键词原始数据'!$A:$N,T$2,FALSE))," ")</f>
        <v> </v>
      </c>
      <c r="D21" s="63" t="str">
        <f>_xlfn.IFNA(IF(VLOOKUP($B$1&amp;$A21,'4.1 关键词原始数据'!$A:$N,U$2,FALSE)=0," ",VLOOKUP($B$1&amp;$A21,'4.1 关键词原始数据'!$A:$N,U$2,FALSE))," ")</f>
        <v> </v>
      </c>
      <c r="E21" s="63" t="str">
        <f>_xlfn.IFNA(IF(VLOOKUP($B$1&amp;$A21,'4.1 关键词原始数据'!$A:$N,V$2,FALSE)=0," ",VLOOKUP($B$1&amp;$A21,'4.1 关键词原始数据'!$A:$N,V$2,FALSE))," ")</f>
        <v> </v>
      </c>
      <c r="F21" s="63" t="str">
        <f>_xlfn.IFNA(IF(VLOOKUP($B$1&amp;$A21,'4.1 关键词原始数据'!$A:$N,W$2,FALSE)=0," ",VLOOKUP($B$1&amp;$A21,'4.1 关键词原始数据'!$A:$N,W$2,FALSE))," ")</f>
        <v> </v>
      </c>
      <c r="G21" s="63" t="str">
        <f>_xlfn.IFNA(IF(VLOOKUP($B$1&amp;$A21,'4.1 关键词原始数据'!$A:$N,X$2,FALSE)=0," ",VLOOKUP($B$1&amp;$A21,'4.1 关键词原始数据'!$A:$N,X$2,FALSE))," ")</f>
        <v> </v>
      </c>
      <c r="H21" s="63" t="str">
        <f>_xlfn.IFNA(IF(VLOOKUP($B$1&amp;$A21,'4.1 关键词原始数据'!$A:$N,Y$2,FALSE)=0," ",VLOOKUP($B$1&amp;$A21,'4.1 关键词原始数据'!$A:$N,Y$2,FALSE))," ")</f>
        <v> </v>
      </c>
      <c r="I21" s="63" t="str">
        <f>_xlfn.IFNA(IF(VLOOKUP($B$1&amp;$A21,'4.1 关键词原始数据'!$A:$N,Z$2,FALSE)=0," ",VLOOKUP($B$1&amp;$A21,'4.1 关键词原始数据'!$A:$N,Z$2,FALSE))," ")</f>
        <v> </v>
      </c>
      <c r="J21" s="63" t="str">
        <f>_xlfn.IFNA(IF(VLOOKUP($J$1&amp;$A21,'4.1 关键词原始数据'!$A:$N,S$2,FALSE)=0," ",VLOOKUP($J$1&amp;$A21,'4.1 关键词原始数据'!$A:$N,S$2,FALSE))," ")</f>
        <v> </v>
      </c>
      <c r="K21" s="63" t="str">
        <f>_xlfn.IFNA(IF(VLOOKUP($J$1&amp;$A21,'4.1 关键词原始数据'!$A:$N,T$2,FALSE)=0," ",VLOOKUP($J$1&amp;$A21,'4.1 关键词原始数据'!$A:$N,T$2,FALSE))," ")</f>
        <v> </v>
      </c>
      <c r="L21" s="63" t="str">
        <f>_xlfn.IFNA(IF(VLOOKUP($J$1&amp;$A21,'4.1 关键词原始数据'!$A:$N,U$2,FALSE)=0," ",VLOOKUP($J$1&amp;$A21,'4.1 关键词原始数据'!$A:$N,U$2,FALSE))," ")</f>
        <v> </v>
      </c>
      <c r="M21" s="63" t="str">
        <f>_xlfn.IFNA(IF(VLOOKUP($J$1&amp;$A21,'4.1 关键词原始数据'!$A:$N,V$2,FALSE)=0," ",VLOOKUP($J$1&amp;$A21,'4.1 关键词原始数据'!$A:$N,V$2,FALSE))," ")</f>
        <v> </v>
      </c>
      <c r="N21" s="63" t="str">
        <f>_xlfn.IFNA(IF(VLOOKUP($J$1&amp;$A21,'4.1 关键词原始数据'!$A:$N,W$2,FALSE)=0," ",VLOOKUP($J$1&amp;$A21,'4.1 关键词原始数据'!$A:$N,W$2,FALSE))," ")</f>
        <v> </v>
      </c>
      <c r="O21" s="63" t="str">
        <f>_xlfn.IFNA(IF(VLOOKUP($J$1&amp;$A21,'4.1 关键词原始数据'!$A:$N,X$2,FALSE)=0," ",VLOOKUP($J$1&amp;$A21,'4.1 关键词原始数据'!$A:$N,X$2,FALSE))," ")</f>
        <v> </v>
      </c>
      <c r="P21" s="63" t="str">
        <f>_xlfn.IFNA(IF(VLOOKUP($J$1&amp;$A21,'4.1 关键词原始数据'!$A:$N,Y$2,FALSE)=0," ",VLOOKUP($J$1&amp;$A21,'4.1 关键词原始数据'!$A:$N,Y$2,FALSE))," ")</f>
        <v> </v>
      </c>
      <c r="Q21" s="63" t="str">
        <f>_xlfn.IFNA(IF(VLOOKUP($J$1&amp;$A21,'4.1 关键词原始数据'!$A:$N,Z$2,FALSE)=0," ",VLOOKUP($J$1&amp;$A21,'4.1 关键词原始数据'!$A:$N,Z$2,FALSE))," ")</f>
        <v> </v>
      </c>
    </row>
    <row r="22" ht="16.5" spans="1:17">
      <c r="A22" s="62" t="s">
        <v>270</v>
      </c>
      <c r="B22" s="63" t="str">
        <f>_xlfn.IFNA(IF(VLOOKUP($B$1&amp;$A22,'4.1 关键词原始数据'!$A:$N,S$2,FALSE)=0," ",VLOOKUP($B$1&amp;$A22,'4.1 关键词原始数据'!$A:$N,S$2,FALSE))," ")</f>
        <v> </v>
      </c>
      <c r="C22" s="63" t="str">
        <f>_xlfn.IFNA(IF(VLOOKUP($B$1&amp;$A22,'4.1 关键词原始数据'!$A:$N,T$2,FALSE)=0," ",VLOOKUP($B$1&amp;$A22,'4.1 关键词原始数据'!$A:$N,T$2,FALSE))," ")</f>
        <v> </v>
      </c>
      <c r="D22" s="63" t="str">
        <f>_xlfn.IFNA(IF(VLOOKUP($B$1&amp;$A22,'4.1 关键词原始数据'!$A:$N,U$2,FALSE)=0," ",VLOOKUP($B$1&amp;$A22,'4.1 关键词原始数据'!$A:$N,U$2,FALSE))," ")</f>
        <v> </v>
      </c>
      <c r="E22" s="63" t="str">
        <f>_xlfn.IFNA(IF(VLOOKUP($B$1&amp;$A22,'4.1 关键词原始数据'!$A:$N,V$2,FALSE)=0," ",VLOOKUP($B$1&amp;$A22,'4.1 关键词原始数据'!$A:$N,V$2,FALSE))," ")</f>
        <v> </v>
      </c>
      <c r="F22" s="63" t="str">
        <f>_xlfn.IFNA(IF(VLOOKUP($B$1&amp;$A22,'4.1 关键词原始数据'!$A:$N,W$2,FALSE)=0," ",VLOOKUP($B$1&amp;$A22,'4.1 关键词原始数据'!$A:$N,W$2,FALSE))," ")</f>
        <v> </v>
      </c>
      <c r="G22" s="63" t="str">
        <f>_xlfn.IFNA(IF(VLOOKUP($B$1&amp;$A22,'4.1 关键词原始数据'!$A:$N,X$2,FALSE)=0," ",VLOOKUP($B$1&amp;$A22,'4.1 关键词原始数据'!$A:$N,X$2,FALSE))," ")</f>
        <v> </v>
      </c>
      <c r="H22" s="63" t="str">
        <f>_xlfn.IFNA(IF(VLOOKUP($B$1&amp;$A22,'4.1 关键词原始数据'!$A:$N,Y$2,FALSE)=0," ",VLOOKUP($B$1&amp;$A22,'4.1 关键词原始数据'!$A:$N,Y$2,FALSE))," ")</f>
        <v> </v>
      </c>
      <c r="I22" s="63" t="str">
        <f>_xlfn.IFNA(IF(VLOOKUP($B$1&amp;$A22,'4.1 关键词原始数据'!$A:$N,Z$2,FALSE)=0," ",VLOOKUP($B$1&amp;$A22,'4.1 关键词原始数据'!$A:$N,Z$2,FALSE))," ")</f>
        <v> </v>
      </c>
      <c r="J22" s="63" t="str">
        <f>_xlfn.IFNA(IF(VLOOKUP($J$1&amp;$A22,'4.1 关键词原始数据'!$A:$N,S$2,FALSE)=0," ",VLOOKUP($J$1&amp;$A22,'4.1 关键词原始数据'!$A:$N,S$2,FALSE))," ")</f>
        <v> </v>
      </c>
      <c r="K22" s="63" t="str">
        <f>_xlfn.IFNA(IF(VLOOKUP($J$1&amp;$A22,'4.1 关键词原始数据'!$A:$N,T$2,FALSE)=0," ",VLOOKUP($J$1&amp;$A22,'4.1 关键词原始数据'!$A:$N,T$2,FALSE))," ")</f>
        <v> </v>
      </c>
      <c r="L22" s="63" t="str">
        <f>_xlfn.IFNA(IF(VLOOKUP($J$1&amp;$A22,'4.1 关键词原始数据'!$A:$N,U$2,FALSE)=0," ",VLOOKUP($J$1&amp;$A22,'4.1 关键词原始数据'!$A:$N,U$2,FALSE))," ")</f>
        <v> </v>
      </c>
      <c r="M22" s="63" t="str">
        <f>_xlfn.IFNA(IF(VLOOKUP($J$1&amp;$A22,'4.1 关键词原始数据'!$A:$N,V$2,FALSE)=0," ",VLOOKUP($J$1&amp;$A22,'4.1 关键词原始数据'!$A:$N,V$2,FALSE))," ")</f>
        <v> </v>
      </c>
      <c r="N22" s="63" t="str">
        <f>_xlfn.IFNA(IF(VLOOKUP($J$1&amp;$A22,'4.1 关键词原始数据'!$A:$N,W$2,FALSE)=0," ",VLOOKUP($J$1&amp;$A22,'4.1 关键词原始数据'!$A:$N,W$2,FALSE))," ")</f>
        <v> </v>
      </c>
      <c r="O22" s="63" t="str">
        <f>_xlfn.IFNA(IF(VLOOKUP($J$1&amp;$A22,'4.1 关键词原始数据'!$A:$N,X$2,FALSE)=0," ",VLOOKUP($J$1&amp;$A22,'4.1 关键词原始数据'!$A:$N,X$2,FALSE))," ")</f>
        <v> </v>
      </c>
      <c r="P22" s="63" t="str">
        <f>_xlfn.IFNA(IF(VLOOKUP($J$1&amp;$A22,'4.1 关键词原始数据'!$A:$N,Y$2,FALSE)=0," ",VLOOKUP($J$1&amp;$A22,'4.1 关键词原始数据'!$A:$N,Y$2,FALSE))," ")</f>
        <v> </v>
      </c>
      <c r="Q22" s="63" t="str">
        <f>_xlfn.IFNA(IF(VLOOKUP($J$1&amp;$A22,'4.1 关键词原始数据'!$A:$N,Z$2,FALSE)=0," ",VLOOKUP($J$1&amp;$A22,'4.1 关键词原始数据'!$A:$N,Z$2,FALSE))," ")</f>
        <v> </v>
      </c>
    </row>
    <row r="23" ht="16.5" spans="1:17">
      <c r="A23" s="62" t="s">
        <v>271</v>
      </c>
      <c r="B23" s="63" t="str">
        <f>_xlfn.IFNA(IF(VLOOKUP($B$1&amp;$A23,'4.1 关键词原始数据'!$A:$N,S$2,FALSE)=0," ",VLOOKUP($B$1&amp;$A23,'4.1 关键词原始数据'!$A:$N,S$2,FALSE))," ")</f>
        <v> </v>
      </c>
      <c r="C23" s="63" t="str">
        <f>_xlfn.IFNA(IF(VLOOKUP($B$1&amp;$A23,'4.1 关键词原始数据'!$A:$N,T$2,FALSE)=0," ",VLOOKUP($B$1&amp;$A23,'4.1 关键词原始数据'!$A:$N,T$2,FALSE))," ")</f>
        <v> </v>
      </c>
      <c r="D23" s="63" t="str">
        <f>_xlfn.IFNA(IF(VLOOKUP($B$1&amp;$A23,'4.1 关键词原始数据'!$A:$N,U$2,FALSE)=0," ",VLOOKUP($B$1&amp;$A23,'4.1 关键词原始数据'!$A:$N,U$2,FALSE))," ")</f>
        <v> </v>
      </c>
      <c r="E23" s="63" t="str">
        <f>_xlfn.IFNA(IF(VLOOKUP($B$1&amp;$A23,'4.1 关键词原始数据'!$A:$N,V$2,FALSE)=0," ",VLOOKUP($B$1&amp;$A23,'4.1 关键词原始数据'!$A:$N,V$2,FALSE))," ")</f>
        <v> </v>
      </c>
      <c r="F23" s="63" t="str">
        <f>_xlfn.IFNA(IF(VLOOKUP($B$1&amp;$A23,'4.1 关键词原始数据'!$A:$N,W$2,FALSE)=0," ",VLOOKUP($B$1&amp;$A23,'4.1 关键词原始数据'!$A:$N,W$2,FALSE))," ")</f>
        <v> </v>
      </c>
      <c r="G23" s="63" t="str">
        <f>_xlfn.IFNA(IF(VLOOKUP($B$1&amp;$A23,'4.1 关键词原始数据'!$A:$N,X$2,FALSE)=0," ",VLOOKUP($B$1&amp;$A23,'4.1 关键词原始数据'!$A:$N,X$2,FALSE))," ")</f>
        <v> </v>
      </c>
      <c r="H23" s="63" t="str">
        <f>_xlfn.IFNA(IF(VLOOKUP($B$1&amp;$A23,'4.1 关键词原始数据'!$A:$N,Y$2,FALSE)=0," ",VLOOKUP($B$1&amp;$A23,'4.1 关键词原始数据'!$A:$N,Y$2,FALSE))," ")</f>
        <v> </v>
      </c>
      <c r="I23" s="63" t="str">
        <f>_xlfn.IFNA(IF(VLOOKUP($B$1&amp;$A23,'4.1 关键词原始数据'!$A:$N,Z$2,FALSE)=0," ",VLOOKUP($B$1&amp;$A23,'4.1 关键词原始数据'!$A:$N,Z$2,FALSE))," ")</f>
        <v> </v>
      </c>
      <c r="J23" s="63" t="str">
        <f>_xlfn.IFNA(IF(VLOOKUP($J$1&amp;$A23,'4.1 关键词原始数据'!$A:$N,S$2,FALSE)=0," ",VLOOKUP($J$1&amp;$A23,'4.1 关键词原始数据'!$A:$N,S$2,FALSE))," ")</f>
        <v> </v>
      </c>
      <c r="K23" s="63" t="str">
        <f>_xlfn.IFNA(IF(VLOOKUP($J$1&amp;$A23,'4.1 关键词原始数据'!$A:$N,T$2,FALSE)=0," ",VLOOKUP($J$1&amp;$A23,'4.1 关键词原始数据'!$A:$N,T$2,FALSE))," ")</f>
        <v> </v>
      </c>
      <c r="L23" s="63" t="str">
        <f>_xlfn.IFNA(IF(VLOOKUP($J$1&amp;$A23,'4.1 关键词原始数据'!$A:$N,U$2,FALSE)=0," ",VLOOKUP($J$1&amp;$A23,'4.1 关键词原始数据'!$A:$N,U$2,FALSE))," ")</f>
        <v> </v>
      </c>
      <c r="M23" s="63" t="str">
        <f>_xlfn.IFNA(IF(VLOOKUP($J$1&amp;$A23,'4.1 关键词原始数据'!$A:$N,V$2,FALSE)=0," ",VLOOKUP($J$1&amp;$A23,'4.1 关键词原始数据'!$A:$N,V$2,FALSE))," ")</f>
        <v> </v>
      </c>
      <c r="N23" s="63" t="str">
        <f>_xlfn.IFNA(IF(VLOOKUP($J$1&amp;$A23,'4.1 关键词原始数据'!$A:$N,W$2,FALSE)=0," ",VLOOKUP($J$1&amp;$A23,'4.1 关键词原始数据'!$A:$N,W$2,FALSE))," ")</f>
        <v> </v>
      </c>
      <c r="O23" s="63" t="str">
        <f>_xlfn.IFNA(IF(VLOOKUP($J$1&amp;$A23,'4.1 关键词原始数据'!$A:$N,X$2,FALSE)=0," ",VLOOKUP($J$1&amp;$A23,'4.1 关键词原始数据'!$A:$N,X$2,FALSE))," ")</f>
        <v> </v>
      </c>
      <c r="P23" s="63" t="str">
        <f>_xlfn.IFNA(IF(VLOOKUP($J$1&amp;$A23,'4.1 关键词原始数据'!$A:$N,Y$2,FALSE)=0," ",VLOOKUP($J$1&amp;$A23,'4.1 关键词原始数据'!$A:$N,Y$2,FALSE))," ")</f>
        <v> </v>
      </c>
      <c r="Q23" s="63" t="str">
        <f>_xlfn.IFNA(IF(VLOOKUP($J$1&amp;$A23,'4.1 关键词原始数据'!$A:$N,Z$2,FALSE)=0," ",VLOOKUP($J$1&amp;$A23,'4.1 关键词原始数据'!$A:$N,Z$2,FALSE))," ")</f>
        <v> </v>
      </c>
    </row>
    <row r="24" ht="16.5" spans="1:17">
      <c r="A24" s="62" t="s">
        <v>272</v>
      </c>
      <c r="B24" s="63" t="str">
        <f>_xlfn.IFNA(IF(VLOOKUP($B$1&amp;$A24,'4.1 关键词原始数据'!$A:$N,S$2,FALSE)=0," ",VLOOKUP($B$1&amp;$A24,'4.1 关键词原始数据'!$A:$N,S$2,FALSE))," ")</f>
        <v> </v>
      </c>
      <c r="C24" s="63" t="str">
        <f>_xlfn.IFNA(IF(VLOOKUP($B$1&amp;$A24,'4.1 关键词原始数据'!$A:$N,T$2,FALSE)=0," ",VLOOKUP($B$1&amp;$A24,'4.1 关键词原始数据'!$A:$N,T$2,FALSE))," ")</f>
        <v> </v>
      </c>
      <c r="D24" s="63" t="str">
        <f>_xlfn.IFNA(IF(VLOOKUP($B$1&amp;$A24,'4.1 关键词原始数据'!$A:$N,U$2,FALSE)=0," ",VLOOKUP($B$1&amp;$A24,'4.1 关键词原始数据'!$A:$N,U$2,FALSE))," ")</f>
        <v> </v>
      </c>
      <c r="E24" s="63" t="str">
        <f>_xlfn.IFNA(IF(VLOOKUP($B$1&amp;$A24,'4.1 关键词原始数据'!$A:$N,V$2,FALSE)=0," ",VLOOKUP($B$1&amp;$A24,'4.1 关键词原始数据'!$A:$N,V$2,FALSE))," ")</f>
        <v> </v>
      </c>
      <c r="F24" s="63" t="str">
        <f>_xlfn.IFNA(IF(VLOOKUP($B$1&amp;$A24,'4.1 关键词原始数据'!$A:$N,W$2,FALSE)=0," ",VLOOKUP($B$1&amp;$A24,'4.1 关键词原始数据'!$A:$N,W$2,FALSE))," ")</f>
        <v> </v>
      </c>
      <c r="G24" s="63" t="str">
        <f>_xlfn.IFNA(IF(VLOOKUP($B$1&amp;$A24,'4.1 关键词原始数据'!$A:$N,X$2,FALSE)=0," ",VLOOKUP($B$1&amp;$A24,'4.1 关键词原始数据'!$A:$N,X$2,FALSE))," ")</f>
        <v> </v>
      </c>
      <c r="H24" s="63" t="str">
        <f>_xlfn.IFNA(IF(VLOOKUP($B$1&amp;$A24,'4.1 关键词原始数据'!$A:$N,Y$2,FALSE)=0," ",VLOOKUP($B$1&amp;$A24,'4.1 关键词原始数据'!$A:$N,Y$2,FALSE))," ")</f>
        <v> </v>
      </c>
      <c r="I24" s="63" t="str">
        <f>_xlfn.IFNA(IF(VLOOKUP($B$1&amp;$A24,'4.1 关键词原始数据'!$A:$N,Z$2,FALSE)=0," ",VLOOKUP($B$1&amp;$A24,'4.1 关键词原始数据'!$A:$N,Z$2,FALSE))," ")</f>
        <v> </v>
      </c>
      <c r="J24" s="63" t="str">
        <f>_xlfn.IFNA(IF(VLOOKUP($J$1&amp;$A24,'4.1 关键词原始数据'!$A:$N,S$2,FALSE)=0," ",VLOOKUP($J$1&amp;$A24,'4.1 关键词原始数据'!$A:$N,S$2,FALSE))," ")</f>
        <v> </v>
      </c>
      <c r="K24" s="63" t="str">
        <f>_xlfn.IFNA(IF(VLOOKUP($J$1&amp;$A24,'4.1 关键词原始数据'!$A:$N,T$2,FALSE)=0," ",VLOOKUP($J$1&amp;$A24,'4.1 关键词原始数据'!$A:$N,T$2,FALSE))," ")</f>
        <v> </v>
      </c>
      <c r="L24" s="63" t="str">
        <f>_xlfn.IFNA(IF(VLOOKUP($J$1&amp;$A24,'4.1 关键词原始数据'!$A:$N,U$2,FALSE)=0," ",VLOOKUP($J$1&amp;$A24,'4.1 关键词原始数据'!$A:$N,U$2,FALSE))," ")</f>
        <v> </v>
      </c>
      <c r="M24" s="63" t="str">
        <f>_xlfn.IFNA(IF(VLOOKUP($J$1&amp;$A24,'4.1 关键词原始数据'!$A:$N,V$2,FALSE)=0," ",VLOOKUP($J$1&amp;$A24,'4.1 关键词原始数据'!$A:$N,V$2,FALSE))," ")</f>
        <v> </v>
      </c>
      <c r="N24" s="63" t="str">
        <f>_xlfn.IFNA(IF(VLOOKUP($J$1&amp;$A24,'4.1 关键词原始数据'!$A:$N,W$2,FALSE)=0," ",VLOOKUP($J$1&amp;$A24,'4.1 关键词原始数据'!$A:$N,W$2,FALSE))," ")</f>
        <v> </v>
      </c>
      <c r="O24" s="63" t="str">
        <f>_xlfn.IFNA(IF(VLOOKUP($J$1&amp;$A24,'4.1 关键词原始数据'!$A:$N,X$2,FALSE)=0," ",VLOOKUP($J$1&amp;$A24,'4.1 关键词原始数据'!$A:$N,X$2,FALSE))," ")</f>
        <v> </v>
      </c>
      <c r="P24" s="63" t="str">
        <f>_xlfn.IFNA(IF(VLOOKUP($J$1&amp;$A24,'4.1 关键词原始数据'!$A:$N,Y$2,FALSE)=0," ",VLOOKUP($J$1&amp;$A24,'4.1 关键词原始数据'!$A:$N,Y$2,FALSE))," ")</f>
        <v> </v>
      </c>
      <c r="Q24" s="63" t="str">
        <f>_xlfn.IFNA(IF(VLOOKUP($J$1&amp;$A24,'4.1 关键词原始数据'!$A:$N,Z$2,FALSE)=0," ",VLOOKUP($J$1&amp;$A24,'4.1 关键词原始数据'!$A:$N,Z$2,FALSE))," ")</f>
        <v> </v>
      </c>
    </row>
    <row r="25" ht="16.5" spans="1:17">
      <c r="A25" s="62" t="s">
        <v>273</v>
      </c>
      <c r="B25" s="63" t="str">
        <f>_xlfn.IFNA(IF(VLOOKUP($B$1&amp;$A25,'4.1 关键词原始数据'!$A:$N,S$2,FALSE)=0," ",VLOOKUP($B$1&amp;$A25,'4.1 关键词原始数据'!$A:$N,S$2,FALSE))," ")</f>
        <v> </v>
      </c>
      <c r="C25" s="63" t="str">
        <f>_xlfn.IFNA(IF(VLOOKUP($B$1&amp;$A25,'4.1 关键词原始数据'!$A:$N,T$2,FALSE)=0," ",VLOOKUP($B$1&amp;$A25,'4.1 关键词原始数据'!$A:$N,T$2,FALSE))," ")</f>
        <v>4-9-3</v>
      </c>
      <c r="D25" s="63" t="str">
        <f>_xlfn.IFNA(IF(VLOOKUP($B$1&amp;$A25,'4.1 关键词原始数据'!$A:$N,U$2,FALSE)=0," ",VLOOKUP($B$1&amp;$A25,'4.1 关键词原始数据'!$A:$N,U$2,FALSE))," ")</f>
        <v> </v>
      </c>
      <c r="E25" s="63" t="str">
        <f>_xlfn.IFNA(IF(VLOOKUP($B$1&amp;$A25,'4.1 关键词原始数据'!$A:$N,V$2,FALSE)=0," ",VLOOKUP($B$1&amp;$A25,'4.1 关键词原始数据'!$A:$N,V$2,FALSE))," ")</f>
        <v> </v>
      </c>
      <c r="F25" s="63" t="str">
        <f>_xlfn.IFNA(IF(VLOOKUP($B$1&amp;$A25,'4.1 关键词原始数据'!$A:$N,W$2,FALSE)=0," ",VLOOKUP($B$1&amp;$A25,'4.1 关键词原始数据'!$A:$N,W$2,FALSE))," ")</f>
        <v> </v>
      </c>
      <c r="G25" s="63" t="str">
        <f>_xlfn.IFNA(IF(VLOOKUP($B$1&amp;$A25,'4.1 关键词原始数据'!$A:$N,X$2,FALSE)=0," ",VLOOKUP($B$1&amp;$A25,'4.1 关键词原始数据'!$A:$N,X$2,FALSE))," ")</f>
        <v>2-1-2</v>
      </c>
      <c r="H25" s="63" t="str">
        <f>_xlfn.IFNA(IF(VLOOKUP($B$1&amp;$A25,'4.1 关键词原始数据'!$A:$N,Y$2,FALSE)=0," ",VLOOKUP($B$1&amp;$A25,'4.1 关键词原始数据'!$A:$N,Y$2,FALSE))," ")</f>
        <v> </v>
      </c>
      <c r="I25" s="63" t="str">
        <f>_xlfn.IFNA(IF(VLOOKUP($B$1&amp;$A25,'4.1 关键词原始数据'!$A:$N,Z$2,FALSE)=0," ",VLOOKUP($B$1&amp;$A25,'4.1 关键词原始数据'!$A:$N,Z$2,FALSE))," ")</f>
        <v> </v>
      </c>
      <c r="J25" s="63" t="str">
        <f>_xlfn.IFNA(IF(VLOOKUP($J$1&amp;$A25,'4.1 关键词原始数据'!$A:$N,S$2,FALSE)=0," ",VLOOKUP($J$1&amp;$A25,'4.1 关键词原始数据'!$A:$N,S$2,FALSE))," ")</f>
        <v> </v>
      </c>
      <c r="K25" s="63" t="str">
        <f>_xlfn.IFNA(IF(VLOOKUP($J$1&amp;$A25,'4.1 关键词原始数据'!$A:$N,T$2,FALSE)=0," ",VLOOKUP($J$1&amp;$A25,'4.1 关键词原始数据'!$A:$N,T$2,FALSE))," ")</f>
        <v> </v>
      </c>
      <c r="L25" s="63" t="str">
        <f>_xlfn.IFNA(IF(VLOOKUP($J$1&amp;$A25,'4.1 关键词原始数据'!$A:$N,U$2,FALSE)=0," ",VLOOKUP($J$1&amp;$A25,'4.1 关键词原始数据'!$A:$N,U$2,FALSE))," ")</f>
        <v> </v>
      </c>
      <c r="M25" s="63" t="str">
        <f>_xlfn.IFNA(IF(VLOOKUP($J$1&amp;$A25,'4.1 关键词原始数据'!$A:$N,V$2,FALSE)=0," ",VLOOKUP($J$1&amp;$A25,'4.1 关键词原始数据'!$A:$N,V$2,FALSE))," ")</f>
        <v>6-4-3</v>
      </c>
      <c r="N25" s="63" t="str">
        <f>_xlfn.IFNA(IF(VLOOKUP($J$1&amp;$A25,'4.1 关键词原始数据'!$A:$N,W$2,FALSE)=0," ",VLOOKUP($J$1&amp;$A25,'4.1 关键词原始数据'!$A:$N,W$2,FALSE))," ")</f>
        <v> </v>
      </c>
      <c r="O25" s="63" t="str">
        <f>_xlfn.IFNA(IF(VLOOKUP($J$1&amp;$A25,'4.1 关键词原始数据'!$A:$N,X$2,FALSE)=0," ",VLOOKUP($J$1&amp;$A25,'4.1 关键词原始数据'!$A:$N,X$2,FALSE))," ")</f>
        <v> </v>
      </c>
      <c r="P25" s="63" t="str">
        <f>_xlfn.IFNA(IF(VLOOKUP($J$1&amp;$A25,'4.1 关键词原始数据'!$A:$N,Y$2,FALSE)=0," ",VLOOKUP($J$1&amp;$A25,'4.1 关键词原始数据'!$A:$N,Y$2,FALSE))," ")</f>
        <v> </v>
      </c>
      <c r="Q25" s="63" t="str">
        <f>_xlfn.IFNA(IF(VLOOKUP($J$1&amp;$A25,'4.1 关键词原始数据'!$A:$N,Z$2,FALSE)=0," ",VLOOKUP($J$1&amp;$A25,'4.1 关键词原始数据'!$A:$N,Z$2,FALSE))," ")</f>
        <v> </v>
      </c>
    </row>
    <row r="26" ht="16.5" spans="1:17">
      <c r="A26" s="62" t="s">
        <v>274</v>
      </c>
      <c r="B26" s="63" t="str">
        <f>_xlfn.IFNA(IF(VLOOKUP($B$1&amp;$A26,'4.1 关键词原始数据'!$A:$N,S$2,FALSE)=0," ",VLOOKUP($B$1&amp;$A26,'4.1 关键词原始数据'!$A:$N,S$2,FALSE))," ")</f>
        <v> </v>
      </c>
      <c r="C26" s="63" t="str">
        <f>_xlfn.IFNA(IF(VLOOKUP($B$1&amp;$A26,'4.1 关键词原始数据'!$A:$N,T$2,FALSE)=0," ",VLOOKUP($B$1&amp;$A26,'4.1 关键词原始数据'!$A:$N,T$2,FALSE))," ")</f>
        <v>4-13-2</v>
      </c>
      <c r="D26" s="63" t="str">
        <f>_xlfn.IFNA(IF(VLOOKUP($B$1&amp;$A26,'4.1 关键词原始数据'!$A:$N,U$2,FALSE)=0," ",VLOOKUP($B$1&amp;$A26,'4.1 关键词原始数据'!$A:$N,U$2,FALSE))," ")</f>
        <v> </v>
      </c>
      <c r="E26" s="63" t="str">
        <f>_xlfn.IFNA(IF(VLOOKUP($B$1&amp;$A26,'4.1 关键词原始数据'!$A:$N,V$2,FALSE)=0," ",VLOOKUP($B$1&amp;$A26,'4.1 关键词原始数据'!$A:$N,V$2,FALSE))," ")</f>
        <v> </v>
      </c>
      <c r="F26" s="63" t="str">
        <f>_xlfn.IFNA(IF(VLOOKUP($B$1&amp;$A26,'4.1 关键词原始数据'!$A:$N,W$2,FALSE)=0," ",VLOOKUP($B$1&amp;$A26,'4.1 关键词原始数据'!$A:$N,W$2,FALSE))," ")</f>
        <v>1-8-4</v>
      </c>
      <c r="G26" s="63" t="str">
        <f>_xlfn.IFNA(IF(VLOOKUP($B$1&amp;$A26,'4.1 关键词原始数据'!$A:$N,X$2,FALSE)=0," ",VLOOKUP($B$1&amp;$A26,'4.1 关键词原始数据'!$A:$N,X$2,FALSE))," ")</f>
        <v>2-5-2</v>
      </c>
      <c r="H26" s="63" t="str">
        <f>_xlfn.IFNA(IF(VLOOKUP($B$1&amp;$A26,'4.1 关键词原始数据'!$A:$N,Y$2,FALSE)=0," ",VLOOKUP($B$1&amp;$A26,'4.1 关键词原始数据'!$A:$N,Y$2,FALSE))," ")</f>
        <v> </v>
      </c>
      <c r="I26" s="63" t="str">
        <f>_xlfn.IFNA(IF(VLOOKUP($B$1&amp;$A26,'4.1 关键词原始数据'!$A:$N,Z$2,FALSE)=0," ",VLOOKUP($B$1&amp;$A26,'4.1 关键词原始数据'!$A:$N,Z$2,FALSE))," ")</f>
        <v> </v>
      </c>
      <c r="J26" s="63" t="str">
        <f>_xlfn.IFNA(IF(VLOOKUP($J$1&amp;$A26,'4.1 关键词原始数据'!$A:$N,S$2,FALSE)=0," ",VLOOKUP($J$1&amp;$A26,'4.1 关键词原始数据'!$A:$N,S$2,FALSE))," ")</f>
        <v> </v>
      </c>
      <c r="K26" s="63" t="str">
        <f>_xlfn.IFNA(IF(VLOOKUP($J$1&amp;$A26,'4.1 关键词原始数据'!$A:$N,T$2,FALSE)=0," ",VLOOKUP($J$1&amp;$A26,'4.1 关键词原始数据'!$A:$N,T$2,FALSE))," ")</f>
        <v> </v>
      </c>
      <c r="L26" s="63" t="str">
        <f>_xlfn.IFNA(IF(VLOOKUP($J$1&amp;$A26,'4.1 关键词原始数据'!$A:$N,U$2,FALSE)=0," ",VLOOKUP($J$1&amp;$A26,'4.1 关键词原始数据'!$A:$N,U$2,FALSE))," ")</f>
        <v> </v>
      </c>
      <c r="M26" s="63" t="str">
        <f>_xlfn.IFNA(IF(VLOOKUP($J$1&amp;$A26,'4.1 关键词原始数据'!$A:$N,V$2,FALSE)=0," ",VLOOKUP($J$1&amp;$A26,'4.1 关键词原始数据'!$A:$N,V$2,FALSE))," ")</f>
        <v> </v>
      </c>
      <c r="N26" s="63" t="str">
        <f>_xlfn.IFNA(IF(VLOOKUP($J$1&amp;$A26,'4.1 关键词原始数据'!$A:$N,W$2,FALSE)=0," ",VLOOKUP($J$1&amp;$A26,'4.1 关键词原始数据'!$A:$N,W$2,FALSE))," ")</f>
        <v> </v>
      </c>
      <c r="O26" s="63" t="str">
        <f>_xlfn.IFNA(IF(VLOOKUP($J$1&amp;$A26,'4.1 关键词原始数据'!$A:$N,X$2,FALSE)=0," ",VLOOKUP($J$1&amp;$A26,'4.1 关键词原始数据'!$A:$N,X$2,FALSE))," ")</f>
        <v> </v>
      </c>
      <c r="P26" s="63" t="str">
        <f>_xlfn.IFNA(IF(VLOOKUP($J$1&amp;$A26,'4.1 关键词原始数据'!$A:$N,Y$2,FALSE)=0," ",VLOOKUP($J$1&amp;$A26,'4.1 关键词原始数据'!$A:$N,Y$2,FALSE))," ")</f>
        <v> </v>
      </c>
      <c r="Q26" s="63" t="str">
        <f>_xlfn.IFNA(IF(VLOOKUP($J$1&amp;$A26,'4.1 关键词原始数据'!$A:$N,Z$2,FALSE)=0," ",VLOOKUP($J$1&amp;$A26,'4.1 关键词原始数据'!$A:$N,Z$2,FALSE))," ")</f>
        <v> </v>
      </c>
    </row>
    <row r="27" ht="16.5" spans="1:17">
      <c r="A27" s="62" t="s">
        <v>275</v>
      </c>
      <c r="B27" s="63" t="str">
        <f>_xlfn.IFNA(IF(VLOOKUP($B$1&amp;$A27,'4.1 关键词原始数据'!$A:$N,S$2,FALSE)=0," ",VLOOKUP($B$1&amp;$A27,'4.1 关键词原始数据'!$A:$N,S$2,FALSE))," ")</f>
        <v> </v>
      </c>
      <c r="C27" s="63" t="str">
        <f>_xlfn.IFNA(IF(VLOOKUP($B$1&amp;$A27,'4.1 关键词原始数据'!$A:$N,T$2,FALSE)=0," ",VLOOKUP($B$1&amp;$A27,'4.1 关键词原始数据'!$A:$N,T$2,FALSE))," ")</f>
        <v>2-13-4</v>
      </c>
      <c r="D27" s="63" t="str">
        <f>_xlfn.IFNA(IF(VLOOKUP($B$1&amp;$A27,'4.1 关键词原始数据'!$A:$N,U$2,FALSE)=0," ",VLOOKUP($B$1&amp;$A27,'4.1 关键词原始数据'!$A:$N,U$2,FALSE))," ")</f>
        <v> </v>
      </c>
      <c r="E27" s="63" t="str">
        <f>_xlfn.IFNA(IF(VLOOKUP($B$1&amp;$A27,'4.1 关键词原始数据'!$A:$N,V$2,FALSE)=0," ",VLOOKUP($B$1&amp;$A27,'4.1 关键词原始数据'!$A:$N,V$2,FALSE))," ")</f>
        <v> </v>
      </c>
      <c r="F27" s="63" t="str">
        <f>_xlfn.IFNA(IF(VLOOKUP($B$1&amp;$A27,'4.1 关键词原始数据'!$A:$N,W$2,FALSE)=0," ",VLOOKUP($B$1&amp;$A27,'4.1 关键词原始数据'!$A:$N,W$2,FALSE))," ")</f>
        <v> </v>
      </c>
      <c r="G27" s="63" t="str">
        <f>_xlfn.IFNA(IF(VLOOKUP($B$1&amp;$A27,'4.1 关键词原始数据'!$A:$N,X$2,FALSE)=0," ",VLOOKUP($B$1&amp;$A27,'4.1 关键词原始数据'!$A:$N,X$2,FALSE))," ")</f>
        <v>1-15-4</v>
      </c>
      <c r="H27" s="63" t="str">
        <f>_xlfn.IFNA(IF(VLOOKUP($B$1&amp;$A27,'4.1 关键词原始数据'!$A:$N,Y$2,FALSE)=0," ",VLOOKUP($B$1&amp;$A27,'4.1 关键词原始数据'!$A:$N,Y$2,FALSE))," ")</f>
        <v> </v>
      </c>
      <c r="I27" s="63" t="str">
        <f>_xlfn.IFNA(IF(VLOOKUP($B$1&amp;$A27,'4.1 关键词原始数据'!$A:$N,Z$2,FALSE)=0," ",VLOOKUP($B$1&amp;$A27,'4.1 关键词原始数据'!$A:$N,Z$2,FALSE))," ")</f>
        <v> </v>
      </c>
      <c r="J27" s="63" t="str">
        <f>_xlfn.IFNA(IF(VLOOKUP($J$1&amp;$A27,'4.1 关键词原始数据'!$A:$N,S$2,FALSE)=0," ",VLOOKUP($J$1&amp;$A27,'4.1 关键词原始数据'!$A:$N,S$2,FALSE))," ")</f>
        <v> </v>
      </c>
      <c r="K27" s="63" t="str">
        <f>_xlfn.IFNA(IF(VLOOKUP($J$1&amp;$A27,'4.1 关键词原始数据'!$A:$N,T$2,FALSE)=0," ",VLOOKUP($J$1&amp;$A27,'4.1 关键词原始数据'!$A:$N,T$2,FALSE))," ")</f>
        <v> </v>
      </c>
      <c r="L27" s="63" t="str">
        <f>_xlfn.IFNA(IF(VLOOKUP($J$1&amp;$A27,'4.1 关键词原始数据'!$A:$N,U$2,FALSE)=0," ",VLOOKUP($J$1&amp;$A27,'4.1 关键词原始数据'!$A:$N,U$2,FALSE))," ")</f>
        <v> </v>
      </c>
      <c r="M27" s="63" t="str">
        <f>_xlfn.IFNA(IF(VLOOKUP($J$1&amp;$A27,'4.1 关键词原始数据'!$A:$N,V$2,FALSE)=0," ",VLOOKUP($J$1&amp;$A27,'4.1 关键词原始数据'!$A:$N,V$2,FALSE))," ")</f>
        <v>7-9-1</v>
      </c>
      <c r="N27" s="63" t="str">
        <f>_xlfn.IFNA(IF(VLOOKUP($J$1&amp;$A27,'4.1 关键词原始数据'!$A:$N,W$2,FALSE)=0," ",VLOOKUP($J$1&amp;$A27,'4.1 关键词原始数据'!$A:$N,W$2,FALSE))," ")</f>
        <v> </v>
      </c>
      <c r="O27" s="63" t="str">
        <f>_xlfn.IFNA(IF(VLOOKUP($J$1&amp;$A27,'4.1 关键词原始数据'!$A:$N,X$2,FALSE)=0," ",VLOOKUP($J$1&amp;$A27,'4.1 关键词原始数据'!$A:$N,X$2,FALSE))," ")</f>
        <v> </v>
      </c>
      <c r="P27" s="63" t="str">
        <f>_xlfn.IFNA(IF(VLOOKUP($J$1&amp;$A27,'4.1 关键词原始数据'!$A:$N,Y$2,FALSE)=0," ",VLOOKUP($J$1&amp;$A27,'4.1 关键词原始数据'!$A:$N,Y$2,FALSE))," ")</f>
        <v> </v>
      </c>
      <c r="Q27" s="63" t="str">
        <f>_xlfn.IFNA(IF(VLOOKUP($J$1&amp;$A27,'4.1 关键词原始数据'!$A:$N,Z$2,FALSE)=0," ",VLOOKUP($J$1&amp;$A27,'4.1 关键词原始数据'!$A:$N,Z$2,FALSE))," ")</f>
        <v> </v>
      </c>
    </row>
    <row r="28" ht="16.5" spans="1:17">
      <c r="A28" s="62" t="s">
        <v>276</v>
      </c>
      <c r="B28" s="63" t="str">
        <f>_xlfn.IFNA(IF(VLOOKUP($B$1&amp;$A28,'4.1 关键词原始数据'!$A:$N,S$2,FALSE)=0," ",VLOOKUP($B$1&amp;$A28,'4.1 关键词原始数据'!$A:$N,S$2,FALSE))," ")</f>
        <v> </v>
      </c>
      <c r="C28" s="63" t="str">
        <f>_xlfn.IFNA(IF(VLOOKUP($B$1&amp;$A28,'4.1 关键词原始数据'!$A:$N,T$2,FALSE)=0," ",VLOOKUP($B$1&amp;$A28,'4.1 关键词原始数据'!$A:$N,T$2,FALSE))," ")</f>
        <v>2-13-3</v>
      </c>
      <c r="D28" s="63" t="str">
        <f>_xlfn.IFNA(IF(VLOOKUP($B$1&amp;$A28,'4.1 关键词原始数据'!$A:$N,U$2,FALSE)=0," ",VLOOKUP($B$1&amp;$A28,'4.1 关键词原始数据'!$A:$N,U$2,FALSE))," ")</f>
        <v> </v>
      </c>
      <c r="E28" s="63" t="str">
        <f>_xlfn.IFNA(IF(VLOOKUP($B$1&amp;$A28,'4.1 关键词原始数据'!$A:$N,V$2,FALSE)=0," ",VLOOKUP($B$1&amp;$A28,'4.1 关键词原始数据'!$A:$N,V$2,FALSE))," ")</f>
        <v> </v>
      </c>
      <c r="F28" s="63" t="str">
        <f>_xlfn.IFNA(IF(VLOOKUP($B$1&amp;$A28,'4.1 关键词原始数据'!$A:$N,W$2,FALSE)=0," ",VLOOKUP($B$1&amp;$A28,'4.1 关键词原始数据'!$A:$N,W$2,FALSE))," ")</f>
        <v> </v>
      </c>
      <c r="G28" s="63" t="str">
        <f>_xlfn.IFNA(IF(VLOOKUP($B$1&amp;$A28,'4.1 关键词原始数据'!$A:$N,X$2,FALSE)=0," ",VLOOKUP($B$1&amp;$A28,'4.1 关键词原始数据'!$A:$N,X$2,FALSE))," ")</f>
        <v>1-16-3</v>
      </c>
      <c r="H28" s="63" t="str">
        <f>_xlfn.IFNA(IF(VLOOKUP($B$1&amp;$A28,'4.1 关键词原始数据'!$A:$N,Y$2,FALSE)=0," ",VLOOKUP($B$1&amp;$A28,'4.1 关键词原始数据'!$A:$N,Y$2,FALSE))," ")</f>
        <v> </v>
      </c>
      <c r="I28" s="63" t="str">
        <f>_xlfn.IFNA(IF(VLOOKUP($B$1&amp;$A28,'4.1 关键词原始数据'!$A:$N,Z$2,FALSE)=0," ",VLOOKUP($B$1&amp;$A28,'4.1 关键词原始数据'!$A:$N,Z$2,FALSE))," ")</f>
        <v> </v>
      </c>
      <c r="J28" s="63" t="str">
        <f>_xlfn.IFNA(IF(VLOOKUP($J$1&amp;$A28,'4.1 关键词原始数据'!$A:$N,S$2,FALSE)=0," ",VLOOKUP($J$1&amp;$A28,'4.1 关键词原始数据'!$A:$N,S$2,FALSE))," ")</f>
        <v> </v>
      </c>
      <c r="K28" s="63" t="str">
        <f>_xlfn.IFNA(IF(VLOOKUP($J$1&amp;$A28,'4.1 关键词原始数据'!$A:$N,T$2,FALSE)=0," ",VLOOKUP($J$1&amp;$A28,'4.1 关键词原始数据'!$A:$N,T$2,FALSE))," ")</f>
        <v> </v>
      </c>
      <c r="L28" s="63" t="str">
        <f>_xlfn.IFNA(IF(VLOOKUP($J$1&amp;$A28,'4.1 关键词原始数据'!$A:$N,U$2,FALSE)=0," ",VLOOKUP($J$1&amp;$A28,'4.1 关键词原始数据'!$A:$N,U$2,FALSE))," ")</f>
        <v> </v>
      </c>
      <c r="M28" s="63" t="str">
        <f>_xlfn.IFNA(IF(VLOOKUP($J$1&amp;$A28,'4.1 关键词原始数据'!$A:$N,V$2,FALSE)=0," ",VLOOKUP($J$1&amp;$A28,'4.1 关键词原始数据'!$A:$N,V$2,FALSE))," ")</f>
        <v> </v>
      </c>
      <c r="N28" s="63" t="str">
        <f>_xlfn.IFNA(IF(VLOOKUP($J$1&amp;$A28,'4.1 关键词原始数据'!$A:$N,W$2,FALSE)=0," ",VLOOKUP($J$1&amp;$A28,'4.1 关键词原始数据'!$A:$N,W$2,FALSE))," ")</f>
        <v> </v>
      </c>
      <c r="O28" s="63" t="str">
        <f>_xlfn.IFNA(IF(VLOOKUP($J$1&amp;$A28,'4.1 关键词原始数据'!$A:$N,X$2,FALSE)=0," ",VLOOKUP($J$1&amp;$A28,'4.1 关键词原始数据'!$A:$N,X$2,FALSE))," ")</f>
        <v> </v>
      </c>
      <c r="P28" s="63" t="str">
        <f>_xlfn.IFNA(IF(VLOOKUP($J$1&amp;$A28,'4.1 关键词原始数据'!$A:$N,Y$2,FALSE)=0," ",VLOOKUP($J$1&amp;$A28,'4.1 关键词原始数据'!$A:$N,Y$2,FALSE))," ")</f>
        <v> </v>
      </c>
      <c r="Q28" s="63" t="str">
        <f>_xlfn.IFNA(IF(VLOOKUP($J$1&amp;$A28,'4.1 关键词原始数据'!$A:$N,Z$2,FALSE)=0," ",VLOOKUP($J$1&amp;$A28,'4.1 关键词原始数据'!$A:$N,Z$2,FALSE))," ")</f>
        <v> </v>
      </c>
    </row>
    <row r="29" ht="16.5" spans="1:17">
      <c r="A29" s="62" t="s">
        <v>277</v>
      </c>
      <c r="B29" s="63" t="str">
        <f>_xlfn.IFNA(IF(VLOOKUP($B$1&amp;$A29,'4.1 关键词原始数据'!$A:$N,S$2,FALSE)=0," ",VLOOKUP($B$1&amp;$A29,'4.1 关键词原始数据'!$A:$N,S$2,FALSE))," ")</f>
        <v> </v>
      </c>
      <c r="C29" s="63" t="str">
        <f>_xlfn.IFNA(IF(VLOOKUP($B$1&amp;$A29,'4.1 关键词原始数据'!$A:$N,T$2,FALSE)=0," ",VLOOKUP($B$1&amp;$A29,'4.1 关键词原始数据'!$A:$N,T$2,FALSE))," ")</f>
        <v>2-7-3</v>
      </c>
      <c r="D29" s="63" t="str">
        <f>_xlfn.IFNA(IF(VLOOKUP($B$1&amp;$A29,'4.1 关键词原始数据'!$A:$N,U$2,FALSE)=0," ",VLOOKUP($B$1&amp;$A29,'4.1 关键词原始数据'!$A:$N,U$2,FALSE))," ")</f>
        <v> </v>
      </c>
      <c r="E29" s="63" t="str">
        <f>_xlfn.IFNA(IF(VLOOKUP($B$1&amp;$A29,'4.1 关键词原始数据'!$A:$N,V$2,FALSE)=0," ",VLOOKUP($B$1&amp;$A29,'4.1 关键词原始数据'!$A:$N,V$2,FALSE))," ")</f>
        <v> </v>
      </c>
      <c r="F29" s="63" t="str">
        <f>_xlfn.IFNA(IF(VLOOKUP($B$1&amp;$A29,'4.1 关键词原始数据'!$A:$N,W$2,FALSE)=0," ",VLOOKUP($B$1&amp;$A29,'4.1 关键词原始数据'!$A:$N,W$2,FALSE))," ")</f>
        <v> </v>
      </c>
      <c r="G29" s="63" t="str">
        <f>_xlfn.IFNA(IF(VLOOKUP($B$1&amp;$A29,'4.1 关键词原始数据'!$A:$N,X$2,FALSE)=0," ",VLOOKUP($B$1&amp;$A29,'4.1 关键词原始数据'!$A:$N,X$2,FALSE))," ")</f>
        <v>1-17-2</v>
      </c>
      <c r="H29" s="63" t="str">
        <f>_xlfn.IFNA(IF(VLOOKUP($B$1&amp;$A29,'4.1 关键词原始数据'!$A:$N,Y$2,FALSE)=0," ",VLOOKUP($B$1&amp;$A29,'4.1 关键词原始数据'!$A:$N,Y$2,FALSE))," ")</f>
        <v> </v>
      </c>
      <c r="I29" s="63" t="str">
        <f>_xlfn.IFNA(IF(VLOOKUP($B$1&amp;$A29,'4.1 关键词原始数据'!$A:$N,Z$2,FALSE)=0," ",VLOOKUP($B$1&amp;$A29,'4.1 关键词原始数据'!$A:$N,Z$2,FALSE))," ")</f>
        <v> </v>
      </c>
      <c r="J29" s="63" t="str">
        <f>_xlfn.IFNA(IF(VLOOKUP($J$1&amp;$A29,'4.1 关键词原始数据'!$A:$N,S$2,FALSE)=0," ",VLOOKUP($J$1&amp;$A29,'4.1 关键词原始数据'!$A:$N,S$2,FALSE))," ")</f>
        <v> </v>
      </c>
      <c r="K29" s="63" t="str">
        <f>_xlfn.IFNA(IF(VLOOKUP($J$1&amp;$A29,'4.1 关键词原始数据'!$A:$N,T$2,FALSE)=0," ",VLOOKUP($J$1&amp;$A29,'4.1 关键词原始数据'!$A:$N,T$2,FALSE))," ")</f>
        <v> </v>
      </c>
      <c r="L29" s="63" t="str">
        <f>_xlfn.IFNA(IF(VLOOKUP($J$1&amp;$A29,'4.1 关键词原始数据'!$A:$N,U$2,FALSE)=0," ",VLOOKUP($J$1&amp;$A29,'4.1 关键词原始数据'!$A:$N,U$2,FALSE))," ")</f>
        <v> </v>
      </c>
      <c r="M29" s="63" t="str">
        <f>_xlfn.IFNA(IF(VLOOKUP($J$1&amp;$A29,'4.1 关键词原始数据'!$A:$N,V$2,FALSE)=0," ",VLOOKUP($J$1&amp;$A29,'4.1 关键词原始数据'!$A:$N,V$2,FALSE))," ")</f>
        <v>6-16-4</v>
      </c>
      <c r="N29" s="63" t="str">
        <f>_xlfn.IFNA(IF(VLOOKUP($J$1&amp;$A29,'4.1 关键词原始数据'!$A:$N,W$2,FALSE)=0," ",VLOOKUP($J$1&amp;$A29,'4.1 关键词原始数据'!$A:$N,W$2,FALSE))," ")</f>
        <v> </v>
      </c>
      <c r="O29" s="63" t="str">
        <f>_xlfn.IFNA(IF(VLOOKUP($J$1&amp;$A29,'4.1 关键词原始数据'!$A:$N,X$2,FALSE)=0," ",VLOOKUP($J$1&amp;$A29,'4.1 关键词原始数据'!$A:$N,X$2,FALSE))," ")</f>
        <v> </v>
      </c>
      <c r="P29" s="63" t="str">
        <f>_xlfn.IFNA(IF(VLOOKUP($J$1&amp;$A29,'4.1 关键词原始数据'!$A:$N,Y$2,FALSE)=0," ",VLOOKUP($J$1&amp;$A29,'4.1 关键词原始数据'!$A:$N,Y$2,FALSE))," ")</f>
        <v> </v>
      </c>
      <c r="Q29" s="63" t="str">
        <f>_xlfn.IFNA(IF(VLOOKUP($J$1&amp;$A29,'4.1 关键词原始数据'!$A:$N,Z$2,FALSE)=0," ",VLOOKUP($J$1&amp;$A29,'4.1 关键词原始数据'!$A:$N,Z$2,FALSE))," ")</f>
        <v> </v>
      </c>
    </row>
    <row r="30" ht="16.5" spans="1:17">
      <c r="A30" s="62" t="s">
        <v>278</v>
      </c>
      <c r="B30" s="63" t="str">
        <f>_xlfn.IFNA(IF(VLOOKUP($B$1&amp;$A30,'4.1 关键词原始数据'!$A:$N,S$2,FALSE)=0," ",VLOOKUP($B$1&amp;$A30,'4.1 关键词原始数据'!$A:$N,S$2,FALSE))," ")</f>
        <v> </v>
      </c>
      <c r="C30" s="63" t="str">
        <f>_xlfn.IFNA(IF(VLOOKUP($B$1&amp;$A30,'4.1 关键词原始数据'!$A:$N,T$2,FALSE)=0," ",VLOOKUP($B$1&amp;$A30,'4.1 关键词原始数据'!$A:$N,T$2,FALSE))," ")</f>
        <v>2-2-2</v>
      </c>
      <c r="D30" s="63" t="str">
        <f>_xlfn.IFNA(IF(VLOOKUP($B$1&amp;$A30,'4.1 关键词原始数据'!$A:$N,U$2,FALSE)=0," ",VLOOKUP($B$1&amp;$A30,'4.1 关键词原始数据'!$A:$N,U$2,FALSE))," ")</f>
        <v> </v>
      </c>
      <c r="E30" s="63" t="str">
        <f>_xlfn.IFNA(IF(VLOOKUP($B$1&amp;$A30,'4.1 关键词原始数据'!$A:$N,V$2,FALSE)=0," ",VLOOKUP($B$1&amp;$A30,'4.1 关键词原始数据'!$A:$N,V$2,FALSE))," ")</f>
        <v> </v>
      </c>
      <c r="F30" s="63" t="str">
        <f>_xlfn.IFNA(IF(VLOOKUP($B$1&amp;$A30,'4.1 关键词原始数据'!$A:$N,W$2,FALSE)=0," ",VLOOKUP($B$1&amp;$A30,'4.1 关键词原始数据'!$A:$N,W$2,FALSE))," ")</f>
        <v> </v>
      </c>
      <c r="G30" s="63" t="str">
        <f>_xlfn.IFNA(IF(VLOOKUP($B$1&amp;$A30,'4.1 关键词原始数据'!$A:$N,X$2,FALSE)=0," ",VLOOKUP($B$1&amp;$A30,'4.1 关键词原始数据'!$A:$N,X$2,FALSE))," ")</f>
        <v>1-16-3</v>
      </c>
      <c r="H30" s="63" t="str">
        <f>_xlfn.IFNA(IF(VLOOKUP($B$1&amp;$A30,'4.1 关键词原始数据'!$A:$N,Y$2,FALSE)=0," ",VLOOKUP($B$1&amp;$A30,'4.1 关键词原始数据'!$A:$N,Y$2,FALSE))," ")</f>
        <v> </v>
      </c>
      <c r="I30" s="63" t="str">
        <f>_xlfn.IFNA(IF(VLOOKUP($B$1&amp;$A30,'4.1 关键词原始数据'!$A:$N,Z$2,FALSE)=0," ",VLOOKUP($B$1&amp;$A30,'4.1 关键词原始数据'!$A:$N,Z$2,FALSE))," ")</f>
        <v> </v>
      </c>
      <c r="J30" s="63" t="str">
        <f>_xlfn.IFNA(IF(VLOOKUP($J$1&amp;$A30,'4.1 关键词原始数据'!$A:$N,S$2,FALSE)=0," ",VLOOKUP($J$1&amp;$A30,'4.1 关键词原始数据'!$A:$N,S$2,FALSE))," ")</f>
        <v> </v>
      </c>
      <c r="K30" s="63" t="str">
        <f>_xlfn.IFNA(IF(VLOOKUP($J$1&amp;$A30,'4.1 关键词原始数据'!$A:$N,T$2,FALSE)=0," ",VLOOKUP($J$1&amp;$A30,'4.1 关键词原始数据'!$A:$N,T$2,FALSE))," ")</f>
        <v> </v>
      </c>
      <c r="L30" s="63" t="str">
        <f>_xlfn.IFNA(IF(VLOOKUP($J$1&amp;$A30,'4.1 关键词原始数据'!$A:$N,U$2,FALSE)=0," ",VLOOKUP($J$1&amp;$A30,'4.1 关键词原始数据'!$A:$N,U$2,FALSE))," ")</f>
        <v> </v>
      </c>
      <c r="M30" s="63" t="str">
        <f>_xlfn.IFNA(IF(VLOOKUP($J$1&amp;$A30,'4.1 关键词原始数据'!$A:$N,V$2,FALSE)=0," ",VLOOKUP($J$1&amp;$A30,'4.1 关键词原始数据'!$A:$N,V$2,FALSE))," ")</f>
        <v> </v>
      </c>
      <c r="N30" s="63" t="str">
        <f>_xlfn.IFNA(IF(VLOOKUP($J$1&amp;$A30,'4.1 关键词原始数据'!$A:$N,W$2,FALSE)=0," ",VLOOKUP($J$1&amp;$A30,'4.1 关键词原始数据'!$A:$N,W$2,FALSE))," ")</f>
        <v> </v>
      </c>
      <c r="O30" s="63" t="str">
        <f>_xlfn.IFNA(IF(VLOOKUP($J$1&amp;$A30,'4.1 关键词原始数据'!$A:$N,X$2,FALSE)=0," ",VLOOKUP($J$1&amp;$A30,'4.1 关键词原始数据'!$A:$N,X$2,FALSE))," ")</f>
        <v> </v>
      </c>
      <c r="P30" s="63" t="str">
        <f>_xlfn.IFNA(IF(VLOOKUP($J$1&amp;$A30,'4.1 关键词原始数据'!$A:$N,Y$2,FALSE)=0," ",VLOOKUP($J$1&amp;$A30,'4.1 关键词原始数据'!$A:$N,Y$2,FALSE))," ")</f>
        <v> </v>
      </c>
      <c r="Q30" s="63" t="str">
        <f>_xlfn.IFNA(IF(VLOOKUP($J$1&amp;$A30,'4.1 关键词原始数据'!$A:$N,Z$2,FALSE)=0," ",VLOOKUP($J$1&amp;$A30,'4.1 关键词原始数据'!$A:$N,Z$2,FALSE))," ")</f>
        <v> </v>
      </c>
    </row>
    <row r="31" ht="16.5" spans="1:17">
      <c r="A31" s="62" t="s">
        <v>279</v>
      </c>
      <c r="B31" s="63" t="str">
        <f>_xlfn.IFNA(IF(VLOOKUP($B$1&amp;$A31,'4.1 关键词原始数据'!$A:$N,S$2,FALSE)=0," ",VLOOKUP($B$1&amp;$A31,'4.1 关键词原始数据'!$A:$N,S$2,FALSE))," ")</f>
        <v> </v>
      </c>
      <c r="C31" s="63" t="str">
        <f>_xlfn.IFNA(IF(VLOOKUP($B$1&amp;$A31,'4.1 关键词原始数据'!$A:$N,T$2,FALSE)=0," ",VLOOKUP($B$1&amp;$A31,'4.1 关键词原始数据'!$A:$N,T$2,FALSE))," ")</f>
        <v>2-8-1</v>
      </c>
      <c r="D31" s="63" t="str">
        <f>_xlfn.IFNA(IF(VLOOKUP($B$1&amp;$A31,'4.1 关键词原始数据'!$A:$N,U$2,FALSE)=0," ",VLOOKUP($B$1&amp;$A31,'4.1 关键词原始数据'!$A:$N,U$2,FALSE))," ")</f>
        <v> </v>
      </c>
      <c r="E31" s="63" t="str">
        <f>_xlfn.IFNA(IF(VLOOKUP($B$1&amp;$A31,'4.1 关键词原始数据'!$A:$N,V$2,FALSE)=0," ",VLOOKUP($B$1&amp;$A31,'4.1 关键词原始数据'!$A:$N,V$2,FALSE))," ")</f>
        <v> </v>
      </c>
      <c r="F31" s="63" t="str">
        <f>_xlfn.IFNA(IF(VLOOKUP($B$1&amp;$A31,'4.1 关键词原始数据'!$A:$N,W$2,FALSE)=0," ",VLOOKUP($B$1&amp;$A31,'4.1 关键词原始数据'!$A:$N,W$2,FALSE))," ")</f>
        <v> </v>
      </c>
      <c r="G31" s="63" t="str">
        <f>_xlfn.IFNA(IF(VLOOKUP($B$1&amp;$A31,'4.1 关键词原始数据'!$A:$N,X$2,FALSE)=0," ",VLOOKUP($B$1&amp;$A31,'4.1 关键词原始数据'!$A:$N,X$2,FALSE))," ")</f>
        <v>1-16-3</v>
      </c>
      <c r="H31" s="63" t="str">
        <f>_xlfn.IFNA(IF(VLOOKUP($B$1&amp;$A31,'4.1 关键词原始数据'!$A:$N,Y$2,FALSE)=0," ",VLOOKUP($B$1&amp;$A31,'4.1 关键词原始数据'!$A:$N,Y$2,FALSE))," ")</f>
        <v> </v>
      </c>
      <c r="I31" s="63" t="str">
        <f>_xlfn.IFNA(IF(VLOOKUP($B$1&amp;$A31,'4.1 关键词原始数据'!$A:$N,Z$2,FALSE)=0," ",VLOOKUP($B$1&amp;$A31,'4.1 关键词原始数据'!$A:$N,Z$2,FALSE))," ")</f>
        <v> </v>
      </c>
      <c r="J31" s="63" t="str">
        <f>_xlfn.IFNA(IF(VLOOKUP($J$1&amp;$A31,'4.1 关键词原始数据'!$A:$N,S$2,FALSE)=0," ",VLOOKUP($J$1&amp;$A31,'4.1 关键词原始数据'!$A:$N,S$2,FALSE))," ")</f>
        <v> </v>
      </c>
      <c r="K31" s="63" t="str">
        <f>_xlfn.IFNA(IF(VLOOKUP($J$1&amp;$A31,'4.1 关键词原始数据'!$A:$N,T$2,FALSE)=0," ",VLOOKUP($J$1&amp;$A31,'4.1 关键词原始数据'!$A:$N,T$2,FALSE))," ")</f>
        <v> </v>
      </c>
      <c r="L31" s="63" t="str">
        <f>_xlfn.IFNA(IF(VLOOKUP($J$1&amp;$A31,'4.1 关键词原始数据'!$A:$N,U$2,FALSE)=0," ",VLOOKUP($J$1&amp;$A31,'4.1 关键词原始数据'!$A:$N,U$2,FALSE))," ")</f>
        <v> </v>
      </c>
      <c r="M31" s="63" t="str">
        <f>_xlfn.IFNA(IF(VLOOKUP($J$1&amp;$A31,'4.1 关键词原始数据'!$A:$N,V$2,FALSE)=0," ",VLOOKUP($J$1&amp;$A31,'4.1 关键词原始数据'!$A:$N,V$2,FALSE))," ")</f>
        <v>6-15-1</v>
      </c>
      <c r="N31" s="63" t="str">
        <f>_xlfn.IFNA(IF(VLOOKUP($J$1&amp;$A31,'4.1 关键词原始数据'!$A:$N,W$2,FALSE)=0," ",VLOOKUP($J$1&amp;$A31,'4.1 关键词原始数据'!$A:$N,W$2,FALSE))," ")</f>
        <v> </v>
      </c>
      <c r="O31" s="63" t="str">
        <f>_xlfn.IFNA(IF(VLOOKUP($J$1&amp;$A31,'4.1 关键词原始数据'!$A:$N,X$2,FALSE)=0," ",VLOOKUP($J$1&amp;$A31,'4.1 关键词原始数据'!$A:$N,X$2,FALSE))," ")</f>
        <v> </v>
      </c>
      <c r="P31" s="63" t="str">
        <f>_xlfn.IFNA(IF(VLOOKUP($J$1&amp;$A31,'4.1 关键词原始数据'!$A:$N,Y$2,FALSE)=0," ",VLOOKUP($J$1&amp;$A31,'4.1 关键词原始数据'!$A:$N,Y$2,FALSE))," ")</f>
        <v> </v>
      </c>
      <c r="Q31" s="63" t="str">
        <f>_xlfn.IFNA(IF(VLOOKUP($J$1&amp;$A31,'4.1 关键词原始数据'!$A:$N,Z$2,FALSE)=0," ",VLOOKUP($J$1&amp;$A31,'4.1 关键词原始数据'!$A:$N,Z$2,FALSE))," ")</f>
        <v> </v>
      </c>
    </row>
    <row r="32" ht="16.5" spans="1:17">
      <c r="A32" s="62" t="s">
        <v>280</v>
      </c>
      <c r="B32" s="63" t="str">
        <f>_xlfn.IFNA(IF(VLOOKUP($B$1&amp;$A32,'4.1 关键词原始数据'!$A:$N,S$2,FALSE)=0," ",VLOOKUP($B$1&amp;$A32,'4.1 关键词原始数据'!$A:$N,S$2,FALSE))," ")</f>
        <v> </v>
      </c>
      <c r="C32" s="63" t="str">
        <f>_xlfn.IFNA(IF(VLOOKUP($B$1&amp;$A32,'4.1 关键词原始数据'!$A:$N,T$2,FALSE)=0," ",VLOOKUP($B$1&amp;$A32,'4.1 关键词原始数据'!$A:$N,T$2,FALSE))," ")</f>
        <v>2-8-2</v>
      </c>
      <c r="D32" s="63" t="str">
        <f>_xlfn.IFNA(IF(VLOOKUP($B$1&amp;$A32,'4.1 关键词原始数据'!$A:$N,U$2,FALSE)=0," ",VLOOKUP($B$1&amp;$A32,'4.1 关键词原始数据'!$A:$N,U$2,FALSE))," ")</f>
        <v> </v>
      </c>
      <c r="E32" s="63" t="str">
        <f>_xlfn.IFNA(IF(VLOOKUP($B$1&amp;$A32,'4.1 关键词原始数据'!$A:$N,V$2,FALSE)=0," ",VLOOKUP($B$1&amp;$A32,'4.1 关键词原始数据'!$A:$N,V$2,FALSE))," ")</f>
        <v> </v>
      </c>
      <c r="F32" s="63" t="str">
        <f>_xlfn.IFNA(IF(VLOOKUP($B$1&amp;$A32,'4.1 关键词原始数据'!$A:$N,W$2,FALSE)=0," ",VLOOKUP($B$1&amp;$A32,'4.1 关键词原始数据'!$A:$N,W$2,FALSE))," ")</f>
        <v> </v>
      </c>
      <c r="G32" s="63" t="str">
        <f>_xlfn.IFNA(IF(VLOOKUP($B$1&amp;$A32,'4.1 关键词原始数据'!$A:$N,X$2,FALSE)=0," ",VLOOKUP($B$1&amp;$A32,'4.1 关键词原始数据'!$A:$N,X$2,FALSE))," ")</f>
        <v>1-15-4</v>
      </c>
      <c r="H32" s="63" t="str">
        <f>_xlfn.IFNA(IF(VLOOKUP($B$1&amp;$A32,'4.1 关键词原始数据'!$A:$N,Y$2,FALSE)=0," ",VLOOKUP($B$1&amp;$A32,'4.1 关键词原始数据'!$A:$N,Y$2,FALSE))," ")</f>
        <v> </v>
      </c>
      <c r="I32" s="63" t="str">
        <f>_xlfn.IFNA(IF(VLOOKUP($B$1&amp;$A32,'4.1 关键词原始数据'!$A:$N,Z$2,FALSE)=0," ",VLOOKUP($B$1&amp;$A32,'4.1 关键词原始数据'!$A:$N,Z$2,FALSE))," ")</f>
        <v> </v>
      </c>
      <c r="J32" s="63" t="str">
        <f>_xlfn.IFNA(IF(VLOOKUP($J$1&amp;$A32,'4.1 关键词原始数据'!$A:$N,S$2,FALSE)=0," ",VLOOKUP($J$1&amp;$A32,'4.1 关键词原始数据'!$A:$N,S$2,FALSE))," ")</f>
        <v> </v>
      </c>
      <c r="K32" s="63" t="str">
        <f>_xlfn.IFNA(IF(VLOOKUP($J$1&amp;$A32,'4.1 关键词原始数据'!$A:$N,T$2,FALSE)=0," ",VLOOKUP($J$1&amp;$A32,'4.1 关键词原始数据'!$A:$N,T$2,FALSE))," ")</f>
        <v> </v>
      </c>
      <c r="L32" s="63" t="str">
        <f>_xlfn.IFNA(IF(VLOOKUP($J$1&amp;$A32,'4.1 关键词原始数据'!$A:$N,U$2,FALSE)=0," ",VLOOKUP($J$1&amp;$A32,'4.1 关键词原始数据'!$A:$N,U$2,FALSE))," ")</f>
        <v> </v>
      </c>
      <c r="M32" s="63" t="str">
        <f>_xlfn.IFNA(IF(VLOOKUP($J$1&amp;$A32,'4.1 关键词原始数据'!$A:$N,V$2,FALSE)=0," ",VLOOKUP($J$1&amp;$A32,'4.1 关键词原始数据'!$A:$N,V$2,FALSE))," ")</f>
        <v>6-14-4</v>
      </c>
      <c r="N32" s="63" t="str">
        <f>_xlfn.IFNA(IF(VLOOKUP($J$1&amp;$A32,'4.1 关键词原始数据'!$A:$N,W$2,FALSE)=0," ",VLOOKUP($J$1&amp;$A32,'4.1 关键词原始数据'!$A:$N,W$2,FALSE))," ")</f>
        <v> </v>
      </c>
      <c r="O32" s="63" t="str">
        <f>_xlfn.IFNA(IF(VLOOKUP($J$1&amp;$A32,'4.1 关键词原始数据'!$A:$N,X$2,FALSE)=0," ",VLOOKUP($J$1&amp;$A32,'4.1 关键词原始数据'!$A:$N,X$2,FALSE))," ")</f>
        <v> </v>
      </c>
      <c r="P32" s="63" t="str">
        <f>_xlfn.IFNA(IF(VLOOKUP($J$1&amp;$A32,'4.1 关键词原始数据'!$A:$N,Y$2,FALSE)=0," ",VLOOKUP($J$1&amp;$A32,'4.1 关键词原始数据'!$A:$N,Y$2,FALSE))," ")</f>
        <v> </v>
      </c>
      <c r="Q32" s="63" t="str">
        <f>_xlfn.IFNA(IF(VLOOKUP($J$1&amp;$A32,'4.1 关键词原始数据'!$A:$N,Z$2,FALSE)=0," ",VLOOKUP($J$1&amp;$A32,'4.1 关键词原始数据'!$A:$N,Z$2,FALSE))," ")</f>
        <v> </v>
      </c>
    </row>
    <row r="33" ht="16.5" spans="1:17">
      <c r="A33" s="62" t="s">
        <v>281</v>
      </c>
      <c r="B33" s="63" t="str">
        <f>_xlfn.IFNA(IF(VLOOKUP($B$1&amp;$A33,'4.1 关键词原始数据'!$A:$N,S$2,FALSE)=0," ",VLOOKUP($B$1&amp;$A33,'4.1 关键词原始数据'!$A:$N,S$2,FALSE))," ")</f>
        <v> </v>
      </c>
      <c r="C33" s="63" t="str">
        <f>_xlfn.IFNA(IF(VLOOKUP($B$1&amp;$A33,'4.1 关键词原始数据'!$A:$N,T$2,FALSE)=0," ",VLOOKUP($B$1&amp;$A33,'4.1 关键词原始数据'!$A:$N,T$2,FALSE))," ")</f>
        <v> </v>
      </c>
      <c r="D33" s="63" t="str">
        <f>_xlfn.IFNA(IF(VLOOKUP($B$1&amp;$A33,'4.1 关键词原始数据'!$A:$N,U$2,FALSE)=0," ",VLOOKUP($B$1&amp;$A33,'4.1 关键词原始数据'!$A:$N,U$2,FALSE))," ")</f>
        <v> </v>
      </c>
      <c r="E33" s="63" t="str">
        <f>_xlfn.IFNA(IF(VLOOKUP($B$1&amp;$A33,'4.1 关键词原始数据'!$A:$N,V$2,FALSE)=0," ",VLOOKUP($B$1&amp;$A33,'4.1 关键词原始数据'!$A:$N,V$2,FALSE))," ")</f>
        <v> </v>
      </c>
      <c r="F33" s="63" t="str">
        <f>_xlfn.IFNA(IF(VLOOKUP($B$1&amp;$A33,'4.1 关键词原始数据'!$A:$N,W$2,FALSE)=0," ",VLOOKUP($B$1&amp;$A33,'4.1 关键词原始数据'!$A:$N,W$2,FALSE))," ")</f>
        <v> </v>
      </c>
      <c r="G33" s="63" t="str">
        <f>_xlfn.IFNA(IF(VLOOKUP($B$1&amp;$A33,'4.1 关键词原始数据'!$A:$N,X$2,FALSE)=0," ",VLOOKUP($B$1&amp;$A33,'4.1 关键词原始数据'!$A:$N,X$2,FALSE))," ")</f>
        <v>1-16-4</v>
      </c>
      <c r="H33" s="63" t="str">
        <f>_xlfn.IFNA(IF(VLOOKUP($B$1&amp;$A33,'4.1 关键词原始数据'!$A:$N,Y$2,FALSE)=0," ",VLOOKUP($B$1&amp;$A33,'4.1 关键词原始数据'!$A:$N,Y$2,FALSE))," ")</f>
        <v> </v>
      </c>
      <c r="I33" s="63" t="str">
        <f>_xlfn.IFNA(IF(VLOOKUP($B$1&amp;$A33,'4.1 关键词原始数据'!$A:$N,Z$2,FALSE)=0," ",VLOOKUP($B$1&amp;$A33,'4.1 关键词原始数据'!$A:$N,Z$2,FALSE))," ")</f>
        <v> </v>
      </c>
      <c r="J33" s="63" t="str">
        <f>_xlfn.IFNA(IF(VLOOKUP($J$1&amp;$A33,'4.1 关键词原始数据'!$A:$N,S$2,FALSE)=0," ",VLOOKUP($J$1&amp;$A33,'4.1 关键词原始数据'!$A:$N,S$2,FALSE))," ")</f>
        <v> </v>
      </c>
      <c r="K33" s="63" t="str">
        <f>_xlfn.IFNA(IF(VLOOKUP($J$1&amp;$A33,'4.1 关键词原始数据'!$A:$N,T$2,FALSE)=0," ",VLOOKUP($J$1&amp;$A33,'4.1 关键词原始数据'!$A:$N,T$2,FALSE))," ")</f>
        <v> </v>
      </c>
      <c r="L33" s="63" t="str">
        <f>_xlfn.IFNA(IF(VLOOKUP($J$1&amp;$A33,'4.1 关键词原始数据'!$A:$N,U$2,FALSE)=0," ",VLOOKUP($J$1&amp;$A33,'4.1 关键词原始数据'!$A:$N,U$2,FALSE))," ")</f>
        <v> </v>
      </c>
      <c r="M33" s="63" t="str">
        <f>_xlfn.IFNA(IF(VLOOKUP($J$1&amp;$A33,'4.1 关键词原始数据'!$A:$N,V$2,FALSE)=0," ",VLOOKUP($J$1&amp;$A33,'4.1 关键词原始数据'!$A:$N,V$2,FALSE))," ")</f>
        <v> </v>
      </c>
      <c r="N33" s="63" t="str">
        <f>_xlfn.IFNA(IF(VLOOKUP($J$1&amp;$A33,'4.1 关键词原始数据'!$A:$N,W$2,FALSE)=0," ",VLOOKUP($J$1&amp;$A33,'4.1 关键词原始数据'!$A:$N,W$2,FALSE))," ")</f>
        <v> </v>
      </c>
      <c r="O33" s="63" t="str">
        <f>_xlfn.IFNA(IF(VLOOKUP($J$1&amp;$A33,'4.1 关键词原始数据'!$A:$N,X$2,FALSE)=0," ",VLOOKUP($J$1&amp;$A33,'4.1 关键词原始数据'!$A:$N,X$2,FALSE))," ")</f>
        <v> </v>
      </c>
      <c r="P33" s="63" t="str">
        <f>_xlfn.IFNA(IF(VLOOKUP($J$1&amp;$A33,'4.1 关键词原始数据'!$A:$N,Y$2,FALSE)=0," ",VLOOKUP($J$1&amp;$A33,'4.1 关键词原始数据'!$A:$N,Y$2,FALSE))," ")</f>
        <v> </v>
      </c>
      <c r="Q33" s="63" t="str">
        <f>_xlfn.IFNA(IF(VLOOKUP($J$1&amp;$A33,'4.1 关键词原始数据'!$A:$N,Z$2,FALSE)=0," ",VLOOKUP($J$1&amp;$A33,'4.1 关键词原始数据'!$A:$N,Z$2,FALSE))," ")</f>
        <v> </v>
      </c>
    </row>
    <row r="34" ht="16.5" spans="1:17">
      <c r="A34" s="62" t="s">
        <v>282</v>
      </c>
      <c r="B34" s="63" t="str">
        <f>_xlfn.IFNA(IF(VLOOKUP($B$1&amp;$A34,'4.1 关键词原始数据'!$A:$N,S$2,FALSE)=0," ",VLOOKUP($B$1&amp;$A34,'4.1 关键词原始数据'!$A:$N,S$2,FALSE))," ")</f>
        <v> </v>
      </c>
      <c r="C34" s="63" t="str">
        <f>_xlfn.IFNA(IF(VLOOKUP($B$1&amp;$A34,'4.1 关键词原始数据'!$A:$N,T$2,FALSE)=0," ",VLOOKUP($B$1&amp;$A34,'4.1 关键词原始数据'!$A:$N,T$2,FALSE))," ")</f>
        <v>2-14-4</v>
      </c>
      <c r="D34" s="63" t="str">
        <f>_xlfn.IFNA(IF(VLOOKUP($B$1&amp;$A34,'4.1 关键词原始数据'!$A:$N,U$2,FALSE)=0," ",VLOOKUP($B$1&amp;$A34,'4.1 关键词原始数据'!$A:$N,U$2,FALSE))," ")</f>
        <v> </v>
      </c>
      <c r="E34" s="63" t="str">
        <f>_xlfn.IFNA(IF(VLOOKUP($B$1&amp;$A34,'4.1 关键词原始数据'!$A:$N,V$2,FALSE)=0," ",VLOOKUP($B$1&amp;$A34,'4.1 关键词原始数据'!$A:$N,V$2,FALSE))," ")</f>
        <v> </v>
      </c>
      <c r="F34" s="63" t="str">
        <f>_xlfn.IFNA(IF(VLOOKUP($B$1&amp;$A34,'4.1 关键词原始数据'!$A:$N,W$2,FALSE)=0," ",VLOOKUP($B$1&amp;$A34,'4.1 关键词原始数据'!$A:$N,W$2,FALSE))," ")</f>
        <v> </v>
      </c>
      <c r="G34" s="63" t="str">
        <f>_xlfn.IFNA(IF(VLOOKUP($B$1&amp;$A34,'4.1 关键词原始数据'!$A:$N,X$2,FALSE)=0," ",VLOOKUP($B$1&amp;$A34,'4.1 关键词原始数据'!$A:$N,X$2,FALSE))," ")</f>
        <v>1-17-1</v>
      </c>
      <c r="H34" s="63" t="str">
        <f>_xlfn.IFNA(IF(VLOOKUP($B$1&amp;$A34,'4.1 关键词原始数据'!$A:$N,Y$2,FALSE)=0," ",VLOOKUP($B$1&amp;$A34,'4.1 关键词原始数据'!$A:$N,Y$2,FALSE))," ")</f>
        <v> </v>
      </c>
      <c r="I34" s="63" t="str">
        <f>_xlfn.IFNA(IF(VLOOKUP($B$1&amp;$A34,'4.1 关键词原始数据'!$A:$N,Z$2,FALSE)=0," ",VLOOKUP($B$1&amp;$A34,'4.1 关键词原始数据'!$A:$N,Z$2,FALSE))," ")</f>
        <v> </v>
      </c>
      <c r="J34" s="63" t="str">
        <f>_xlfn.IFNA(IF(VLOOKUP($J$1&amp;$A34,'4.1 关键词原始数据'!$A:$N,S$2,FALSE)=0," ",VLOOKUP($J$1&amp;$A34,'4.1 关键词原始数据'!$A:$N,S$2,FALSE))," ")</f>
        <v> </v>
      </c>
      <c r="K34" s="63" t="str">
        <f>_xlfn.IFNA(IF(VLOOKUP($J$1&amp;$A34,'4.1 关键词原始数据'!$A:$N,T$2,FALSE)=0," ",VLOOKUP($J$1&amp;$A34,'4.1 关键词原始数据'!$A:$N,T$2,FALSE))," ")</f>
        <v> </v>
      </c>
      <c r="L34" s="63" t="str">
        <f>_xlfn.IFNA(IF(VLOOKUP($J$1&amp;$A34,'4.1 关键词原始数据'!$A:$N,U$2,FALSE)=0," ",VLOOKUP($J$1&amp;$A34,'4.1 关键词原始数据'!$A:$N,U$2,FALSE))," ")</f>
        <v> </v>
      </c>
      <c r="M34" s="63" t="str">
        <f>_xlfn.IFNA(IF(VLOOKUP($J$1&amp;$A34,'4.1 关键词原始数据'!$A:$N,V$2,FALSE)=0," ",VLOOKUP($J$1&amp;$A34,'4.1 关键词原始数据'!$A:$N,V$2,FALSE))," ")</f>
        <v>6-4-2</v>
      </c>
      <c r="N34" s="63" t="str">
        <f>_xlfn.IFNA(IF(VLOOKUP($J$1&amp;$A34,'4.1 关键词原始数据'!$A:$N,W$2,FALSE)=0," ",VLOOKUP($J$1&amp;$A34,'4.1 关键词原始数据'!$A:$N,W$2,FALSE))," ")</f>
        <v> </v>
      </c>
      <c r="O34" s="63" t="str">
        <f>_xlfn.IFNA(IF(VLOOKUP($J$1&amp;$A34,'4.1 关键词原始数据'!$A:$N,X$2,FALSE)=0," ",VLOOKUP($J$1&amp;$A34,'4.1 关键词原始数据'!$A:$N,X$2,FALSE))," ")</f>
        <v> </v>
      </c>
      <c r="P34" s="63" t="str">
        <f>_xlfn.IFNA(IF(VLOOKUP($J$1&amp;$A34,'4.1 关键词原始数据'!$A:$N,Y$2,FALSE)=0," ",VLOOKUP($J$1&amp;$A34,'4.1 关键词原始数据'!$A:$N,Y$2,FALSE))," ")</f>
        <v> </v>
      </c>
      <c r="Q34" s="63" t="str">
        <f>_xlfn.IFNA(IF(VLOOKUP($J$1&amp;$A34,'4.1 关键词原始数据'!$A:$N,Z$2,FALSE)=0," ",VLOOKUP($J$1&amp;$A34,'4.1 关键词原始数据'!$A:$N,Z$2,FALSE))," ")</f>
        <v> </v>
      </c>
    </row>
    <row r="35" ht="16.5" spans="1:17">
      <c r="A35" s="62" t="s">
        <v>283</v>
      </c>
      <c r="B35" s="63" t="str">
        <f>_xlfn.IFNA(IF(VLOOKUP($B$1&amp;$A35,'4.1 关键词原始数据'!$A:$N,S$2,FALSE)=0," ",VLOOKUP($B$1&amp;$A35,'4.1 关键词原始数据'!$A:$N,S$2,FALSE))," ")</f>
        <v> </v>
      </c>
      <c r="C35" s="63" t="str">
        <f>_xlfn.IFNA(IF(VLOOKUP($B$1&amp;$A35,'4.1 关键词原始数据'!$A:$N,T$2,FALSE)=0," ",VLOOKUP($B$1&amp;$A35,'4.1 关键词原始数据'!$A:$N,T$2,FALSE))," ")</f>
        <v>2-11-3</v>
      </c>
      <c r="D35" s="63" t="str">
        <f>_xlfn.IFNA(IF(VLOOKUP($B$1&amp;$A35,'4.1 关键词原始数据'!$A:$N,U$2,FALSE)=0," ",VLOOKUP($B$1&amp;$A35,'4.1 关键词原始数据'!$A:$N,U$2,FALSE))," ")</f>
        <v> </v>
      </c>
      <c r="E35" s="63" t="str">
        <f>_xlfn.IFNA(IF(VLOOKUP($B$1&amp;$A35,'4.1 关键词原始数据'!$A:$N,V$2,FALSE)=0," ",VLOOKUP($B$1&amp;$A35,'4.1 关键词原始数据'!$A:$N,V$2,FALSE))," ")</f>
        <v> </v>
      </c>
      <c r="F35" s="63" t="str">
        <f>_xlfn.IFNA(IF(VLOOKUP($B$1&amp;$A35,'4.1 关键词原始数据'!$A:$N,W$2,FALSE)=0," ",VLOOKUP($B$1&amp;$A35,'4.1 关键词原始数据'!$A:$N,W$2,FALSE))," ")</f>
        <v> </v>
      </c>
      <c r="G35" s="63" t="str">
        <f>_xlfn.IFNA(IF(VLOOKUP($B$1&amp;$A35,'4.1 关键词原始数据'!$A:$N,X$2,FALSE)=0," ",VLOOKUP($B$1&amp;$A35,'4.1 关键词原始数据'!$A:$N,X$2,FALSE))," ")</f>
        <v>1-14-3</v>
      </c>
      <c r="H35" s="63" t="str">
        <f>_xlfn.IFNA(IF(VLOOKUP($B$1&amp;$A35,'4.1 关键词原始数据'!$A:$N,Y$2,FALSE)=0," ",VLOOKUP($B$1&amp;$A35,'4.1 关键词原始数据'!$A:$N,Y$2,FALSE))," ")</f>
        <v> </v>
      </c>
      <c r="I35" s="63" t="str">
        <f>_xlfn.IFNA(IF(VLOOKUP($B$1&amp;$A35,'4.1 关键词原始数据'!$A:$N,Z$2,FALSE)=0," ",VLOOKUP($B$1&amp;$A35,'4.1 关键词原始数据'!$A:$N,Z$2,FALSE))," ")</f>
        <v> </v>
      </c>
      <c r="J35" s="63" t="str">
        <f>_xlfn.IFNA(IF(VLOOKUP($J$1&amp;$A35,'4.1 关键词原始数据'!$A:$N,S$2,FALSE)=0," ",VLOOKUP($J$1&amp;$A35,'4.1 关键词原始数据'!$A:$N,S$2,FALSE))," ")</f>
        <v> </v>
      </c>
      <c r="K35" s="63" t="str">
        <f>_xlfn.IFNA(IF(VLOOKUP($J$1&amp;$A35,'4.1 关键词原始数据'!$A:$N,T$2,FALSE)=0," ",VLOOKUP($J$1&amp;$A35,'4.1 关键词原始数据'!$A:$N,T$2,FALSE))," ")</f>
        <v> </v>
      </c>
      <c r="L35" s="63" t="str">
        <f>_xlfn.IFNA(IF(VLOOKUP($J$1&amp;$A35,'4.1 关键词原始数据'!$A:$N,U$2,FALSE)=0," ",VLOOKUP($J$1&amp;$A35,'4.1 关键词原始数据'!$A:$N,U$2,FALSE))," ")</f>
        <v> </v>
      </c>
      <c r="M35" s="63" t="str">
        <f>_xlfn.IFNA(IF(VLOOKUP($J$1&amp;$A35,'4.1 关键词原始数据'!$A:$N,V$2,FALSE)=0," ",VLOOKUP($J$1&amp;$A35,'4.1 关键词原始数据'!$A:$N,V$2,FALSE))," ")</f>
        <v>5-16-4</v>
      </c>
      <c r="N35" s="63" t="str">
        <f>_xlfn.IFNA(IF(VLOOKUP($J$1&amp;$A35,'4.1 关键词原始数据'!$A:$N,W$2,FALSE)=0," ",VLOOKUP($J$1&amp;$A35,'4.1 关键词原始数据'!$A:$N,W$2,FALSE))," ")</f>
        <v> </v>
      </c>
      <c r="O35" s="63" t="str">
        <f>_xlfn.IFNA(IF(VLOOKUP($J$1&amp;$A35,'4.1 关键词原始数据'!$A:$N,X$2,FALSE)=0," ",VLOOKUP($J$1&amp;$A35,'4.1 关键词原始数据'!$A:$N,X$2,FALSE))," ")</f>
        <v> </v>
      </c>
      <c r="P35" s="63" t="str">
        <f>_xlfn.IFNA(IF(VLOOKUP($J$1&amp;$A35,'4.1 关键词原始数据'!$A:$N,Y$2,FALSE)=0," ",VLOOKUP($J$1&amp;$A35,'4.1 关键词原始数据'!$A:$N,Y$2,FALSE))," ")</f>
        <v> </v>
      </c>
      <c r="Q35" s="63" t="str">
        <f>_xlfn.IFNA(IF(VLOOKUP($J$1&amp;$A35,'4.1 关键词原始数据'!$A:$N,Z$2,FALSE)=0," ",VLOOKUP($J$1&amp;$A35,'4.1 关键词原始数据'!$A:$N,Z$2,FALSE))," ")</f>
        <v> </v>
      </c>
    </row>
    <row r="36" ht="16.5" spans="1:17">
      <c r="A36" s="62" t="s">
        <v>284</v>
      </c>
      <c r="B36" s="63" t="str">
        <f>_xlfn.IFNA(IF(VLOOKUP($B$1&amp;$A36,'4.1 关键词原始数据'!$A:$N,S$2,FALSE)=0," ",VLOOKUP($B$1&amp;$A36,'4.1 关键词原始数据'!$A:$N,S$2,FALSE))," ")</f>
        <v> </v>
      </c>
      <c r="C36" s="63" t="str">
        <f>_xlfn.IFNA(IF(VLOOKUP($B$1&amp;$A36,'4.1 关键词原始数据'!$A:$N,T$2,FALSE)=0," ",VLOOKUP($B$1&amp;$A36,'4.1 关键词原始数据'!$A:$N,T$2,FALSE))," ")</f>
        <v>2-11-3</v>
      </c>
      <c r="D36" s="63" t="str">
        <f>_xlfn.IFNA(IF(VLOOKUP($B$1&amp;$A36,'4.1 关键词原始数据'!$A:$N,U$2,FALSE)=0," ",VLOOKUP($B$1&amp;$A36,'4.1 关键词原始数据'!$A:$N,U$2,FALSE))," ")</f>
        <v> </v>
      </c>
      <c r="E36" s="63" t="str">
        <f>_xlfn.IFNA(IF(VLOOKUP($B$1&amp;$A36,'4.1 关键词原始数据'!$A:$N,V$2,FALSE)=0," ",VLOOKUP($B$1&amp;$A36,'4.1 关键词原始数据'!$A:$N,V$2,FALSE))," ")</f>
        <v> </v>
      </c>
      <c r="F36" s="63" t="str">
        <f>_xlfn.IFNA(IF(VLOOKUP($B$1&amp;$A36,'4.1 关键词原始数据'!$A:$N,W$2,FALSE)=0," ",VLOOKUP($B$1&amp;$A36,'4.1 关键词原始数据'!$A:$N,W$2,FALSE))," ")</f>
        <v> </v>
      </c>
      <c r="G36" s="63" t="str">
        <f>_xlfn.IFNA(IF(VLOOKUP($B$1&amp;$A36,'4.1 关键词原始数据'!$A:$N,X$2,FALSE)=0," ",VLOOKUP($B$1&amp;$A36,'4.1 关键词原始数据'!$A:$N,X$2,FALSE))," ")</f>
        <v>1-14-3</v>
      </c>
      <c r="H36" s="63" t="str">
        <f>_xlfn.IFNA(IF(VLOOKUP($B$1&amp;$A36,'4.1 关键词原始数据'!$A:$N,Y$2,FALSE)=0," ",VLOOKUP($B$1&amp;$A36,'4.1 关键词原始数据'!$A:$N,Y$2,FALSE))," ")</f>
        <v> </v>
      </c>
      <c r="I36" s="63" t="str">
        <f>_xlfn.IFNA(IF(VLOOKUP($B$1&amp;$A36,'4.1 关键词原始数据'!$A:$N,Z$2,FALSE)=0," ",VLOOKUP($B$1&amp;$A36,'4.1 关键词原始数据'!$A:$N,Z$2,FALSE))," ")</f>
        <v> </v>
      </c>
      <c r="J36" s="63" t="str">
        <f>_xlfn.IFNA(IF(VLOOKUP($J$1&amp;$A36,'4.1 关键词原始数据'!$A:$N,S$2,FALSE)=0," ",VLOOKUP($J$1&amp;$A36,'4.1 关键词原始数据'!$A:$N,S$2,FALSE))," ")</f>
        <v> </v>
      </c>
      <c r="K36" s="63" t="str">
        <f>_xlfn.IFNA(IF(VLOOKUP($J$1&amp;$A36,'4.1 关键词原始数据'!$A:$N,T$2,FALSE)=0," ",VLOOKUP($J$1&amp;$A36,'4.1 关键词原始数据'!$A:$N,T$2,FALSE))," ")</f>
        <v> </v>
      </c>
      <c r="L36" s="63" t="str">
        <f>_xlfn.IFNA(IF(VLOOKUP($J$1&amp;$A36,'4.1 关键词原始数据'!$A:$N,U$2,FALSE)=0," ",VLOOKUP($J$1&amp;$A36,'4.1 关键词原始数据'!$A:$N,U$2,FALSE))," ")</f>
        <v> </v>
      </c>
      <c r="M36" s="63" t="str">
        <f>_xlfn.IFNA(IF(VLOOKUP($J$1&amp;$A36,'4.1 关键词原始数据'!$A:$N,V$2,FALSE)=0," ",VLOOKUP($J$1&amp;$A36,'4.1 关键词原始数据'!$A:$N,V$2,FALSE))," ")</f>
        <v>5-9-4</v>
      </c>
      <c r="N36" s="63" t="str">
        <f>_xlfn.IFNA(IF(VLOOKUP($J$1&amp;$A36,'4.1 关键词原始数据'!$A:$N,W$2,FALSE)=0," ",VLOOKUP($J$1&amp;$A36,'4.1 关键词原始数据'!$A:$N,W$2,FALSE))," ")</f>
        <v> </v>
      </c>
      <c r="O36" s="63" t="str">
        <f>_xlfn.IFNA(IF(VLOOKUP($J$1&amp;$A36,'4.1 关键词原始数据'!$A:$N,X$2,FALSE)=0," ",VLOOKUP($J$1&amp;$A36,'4.1 关键词原始数据'!$A:$N,X$2,FALSE))," ")</f>
        <v> </v>
      </c>
      <c r="P36" s="63" t="str">
        <f>_xlfn.IFNA(IF(VLOOKUP($J$1&amp;$A36,'4.1 关键词原始数据'!$A:$N,Y$2,FALSE)=0," ",VLOOKUP($J$1&amp;$A36,'4.1 关键词原始数据'!$A:$N,Y$2,FALSE))," ")</f>
        <v> </v>
      </c>
      <c r="Q36" s="63" t="str">
        <f>_xlfn.IFNA(IF(VLOOKUP($J$1&amp;$A36,'4.1 关键词原始数据'!$A:$N,Z$2,FALSE)=0," ",VLOOKUP($J$1&amp;$A36,'4.1 关键词原始数据'!$A:$N,Z$2,FALSE))," ")</f>
        <v> </v>
      </c>
    </row>
    <row r="37" ht="16.5" spans="1:17">
      <c r="A37" s="62" t="s">
        <v>285</v>
      </c>
      <c r="B37" s="63" t="str">
        <f>_xlfn.IFNA(IF(VLOOKUP($B$1&amp;$A37,'4.1 关键词原始数据'!$A:$N,S$2,FALSE)=0," ",VLOOKUP($B$1&amp;$A37,'4.1 关键词原始数据'!$A:$N,S$2,FALSE))," ")</f>
        <v> </v>
      </c>
      <c r="C37" s="63" t="str">
        <f>_xlfn.IFNA(IF(VLOOKUP($B$1&amp;$A37,'4.1 关键词原始数据'!$A:$N,T$2,FALSE)=0," ",VLOOKUP($B$1&amp;$A37,'4.1 关键词原始数据'!$A:$N,T$2,FALSE))," ")</f>
        <v> </v>
      </c>
      <c r="D37" s="63" t="str">
        <f>_xlfn.IFNA(IF(VLOOKUP($B$1&amp;$A37,'4.1 关键词原始数据'!$A:$N,U$2,FALSE)=0," ",VLOOKUP($B$1&amp;$A37,'4.1 关键词原始数据'!$A:$N,U$2,FALSE))," ")</f>
        <v> </v>
      </c>
      <c r="E37" s="63" t="str">
        <f>_xlfn.IFNA(IF(VLOOKUP($B$1&amp;$A37,'4.1 关键词原始数据'!$A:$N,V$2,FALSE)=0," ",VLOOKUP($B$1&amp;$A37,'4.1 关键词原始数据'!$A:$N,V$2,FALSE))," ")</f>
        <v> </v>
      </c>
      <c r="F37" s="63" t="str">
        <f>_xlfn.IFNA(IF(VLOOKUP($B$1&amp;$A37,'4.1 关键词原始数据'!$A:$N,W$2,FALSE)=0," ",VLOOKUP($B$1&amp;$A37,'4.1 关键词原始数据'!$A:$N,W$2,FALSE))," ")</f>
        <v> </v>
      </c>
      <c r="G37" s="63" t="str">
        <f>_xlfn.IFNA(IF(VLOOKUP($B$1&amp;$A37,'4.1 关键词原始数据'!$A:$N,X$2,FALSE)=0," ",VLOOKUP($B$1&amp;$A37,'4.1 关键词原始数据'!$A:$N,X$2,FALSE))," ")</f>
        <v> </v>
      </c>
      <c r="H37" s="63" t="str">
        <f>_xlfn.IFNA(IF(VLOOKUP($B$1&amp;$A37,'4.1 关键词原始数据'!$A:$N,Y$2,FALSE)=0," ",VLOOKUP($B$1&amp;$A37,'4.1 关键词原始数据'!$A:$N,Y$2,FALSE))," ")</f>
        <v> </v>
      </c>
      <c r="I37" s="63" t="str">
        <f>_xlfn.IFNA(IF(VLOOKUP($B$1&amp;$A37,'4.1 关键词原始数据'!$A:$N,Z$2,FALSE)=0," ",VLOOKUP($B$1&amp;$A37,'4.1 关键词原始数据'!$A:$N,Z$2,FALSE))," ")</f>
        <v> </v>
      </c>
      <c r="J37" s="63" t="str">
        <f>_xlfn.IFNA(IF(VLOOKUP($J$1&amp;$A37,'4.1 关键词原始数据'!$A:$N,S$2,FALSE)=0," ",VLOOKUP($J$1&amp;$A37,'4.1 关键词原始数据'!$A:$N,S$2,FALSE))," ")</f>
        <v> </v>
      </c>
      <c r="K37" s="63" t="str">
        <f>_xlfn.IFNA(IF(VLOOKUP($J$1&amp;$A37,'4.1 关键词原始数据'!$A:$N,T$2,FALSE)=0," ",VLOOKUP($J$1&amp;$A37,'4.1 关键词原始数据'!$A:$N,T$2,FALSE))," ")</f>
        <v> </v>
      </c>
      <c r="L37" s="63" t="str">
        <f>_xlfn.IFNA(IF(VLOOKUP($J$1&amp;$A37,'4.1 关键词原始数据'!$A:$N,U$2,FALSE)=0," ",VLOOKUP($J$1&amp;$A37,'4.1 关键词原始数据'!$A:$N,U$2,FALSE))," ")</f>
        <v> </v>
      </c>
      <c r="M37" s="63" t="str">
        <f>_xlfn.IFNA(IF(VLOOKUP($J$1&amp;$A37,'4.1 关键词原始数据'!$A:$N,V$2,FALSE)=0," ",VLOOKUP($J$1&amp;$A37,'4.1 关键词原始数据'!$A:$N,V$2,FALSE))," ")</f>
        <v> </v>
      </c>
      <c r="N37" s="63" t="str">
        <f>_xlfn.IFNA(IF(VLOOKUP($J$1&amp;$A37,'4.1 关键词原始数据'!$A:$N,W$2,FALSE)=0," ",VLOOKUP($J$1&amp;$A37,'4.1 关键词原始数据'!$A:$N,W$2,FALSE))," ")</f>
        <v> </v>
      </c>
      <c r="O37" s="63" t="str">
        <f>_xlfn.IFNA(IF(VLOOKUP($J$1&amp;$A37,'4.1 关键词原始数据'!$A:$N,X$2,FALSE)=0," ",VLOOKUP($J$1&amp;$A37,'4.1 关键词原始数据'!$A:$N,X$2,FALSE))," ")</f>
        <v> </v>
      </c>
      <c r="P37" s="63" t="str">
        <f>_xlfn.IFNA(IF(VLOOKUP($J$1&amp;$A37,'4.1 关键词原始数据'!$A:$N,Y$2,FALSE)=0," ",VLOOKUP($J$1&amp;$A37,'4.1 关键词原始数据'!$A:$N,Y$2,FALSE))," ")</f>
        <v> </v>
      </c>
      <c r="Q37" s="63" t="str">
        <f>_xlfn.IFNA(IF(VLOOKUP($J$1&amp;$A37,'4.1 关键词原始数据'!$A:$N,Z$2,FALSE)=0," ",VLOOKUP($J$1&amp;$A37,'4.1 关键词原始数据'!$A:$N,Z$2,FALSE))," ")</f>
        <v> </v>
      </c>
    </row>
    <row r="38" ht="16.5" spans="1:17">
      <c r="A38" s="62" t="s">
        <v>286</v>
      </c>
      <c r="B38" s="63" t="str">
        <f>_xlfn.IFNA(IF(VLOOKUP($B$1&amp;$A38,'4.1 关键词原始数据'!$A:$N,S$2,FALSE)=0," ",VLOOKUP($B$1&amp;$A38,'4.1 关键词原始数据'!$A:$N,S$2,FALSE))," ")</f>
        <v> </v>
      </c>
      <c r="C38" s="63" t="str">
        <f>_xlfn.IFNA(IF(VLOOKUP($B$1&amp;$A38,'4.1 关键词原始数据'!$A:$N,T$2,FALSE)=0," ",VLOOKUP($B$1&amp;$A38,'4.1 关键词原始数据'!$A:$N,T$2,FALSE))," ")</f>
        <v> </v>
      </c>
      <c r="D38" s="63" t="str">
        <f>_xlfn.IFNA(IF(VLOOKUP($B$1&amp;$A38,'4.1 关键词原始数据'!$A:$N,U$2,FALSE)=0," ",VLOOKUP($B$1&amp;$A38,'4.1 关键词原始数据'!$A:$N,U$2,FALSE))," ")</f>
        <v> </v>
      </c>
      <c r="E38" s="63" t="str">
        <f>_xlfn.IFNA(IF(VLOOKUP($B$1&amp;$A38,'4.1 关键词原始数据'!$A:$N,V$2,FALSE)=0," ",VLOOKUP($B$1&amp;$A38,'4.1 关键词原始数据'!$A:$N,V$2,FALSE))," ")</f>
        <v> </v>
      </c>
      <c r="F38" s="63" t="str">
        <f>_xlfn.IFNA(IF(VLOOKUP($B$1&amp;$A38,'4.1 关键词原始数据'!$A:$N,W$2,FALSE)=0," ",VLOOKUP($B$1&amp;$A38,'4.1 关键词原始数据'!$A:$N,W$2,FALSE))," ")</f>
        <v> </v>
      </c>
      <c r="G38" s="63" t="str">
        <f>_xlfn.IFNA(IF(VLOOKUP($B$1&amp;$A38,'4.1 关键词原始数据'!$A:$N,X$2,FALSE)=0," ",VLOOKUP($B$1&amp;$A38,'4.1 关键词原始数据'!$A:$N,X$2,FALSE))," ")</f>
        <v> </v>
      </c>
      <c r="H38" s="63" t="str">
        <f>_xlfn.IFNA(IF(VLOOKUP($B$1&amp;$A38,'4.1 关键词原始数据'!$A:$N,Y$2,FALSE)=0," ",VLOOKUP($B$1&amp;$A38,'4.1 关键词原始数据'!$A:$N,Y$2,FALSE))," ")</f>
        <v> </v>
      </c>
      <c r="I38" s="63" t="str">
        <f>_xlfn.IFNA(IF(VLOOKUP($B$1&amp;$A38,'4.1 关键词原始数据'!$A:$N,Z$2,FALSE)=0," ",VLOOKUP($B$1&amp;$A38,'4.1 关键词原始数据'!$A:$N,Z$2,FALSE))," ")</f>
        <v> </v>
      </c>
      <c r="J38" s="63" t="str">
        <f>_xlfn.IFNA(IF(VLOOKUP($J$1&amp;$A38,'4.1 关键词原始数据'!$A:$N,S$2,FALSE)=0," ",VLOOKUP($J$1&amp;$A38,'4.1 关键词原始数据'!$A:$N,S$2,FALSE))," ")</f>
        <v> </v>
      </c>
      <c r="K38" s="63" t="str">
        <f>_xlfn.IFNA(IF(VLOOKUP($J$1&amp;$A38,'4.1 关键词原始数据'!$A:$N,T$2,FALSE)=0," ",VLOOKUP($J$1&amp;$A38,'4.1 关键词原始数据'!$A:$N,T$2,FALSE))," ")</f>
        <v> </v>
      </c>
      <c r="L38" s="63" t="str">
        <f>_xlfn.IFNA(IF(VLOOKUP($J$1&amp;$A38,'4.1 关键词原始数据'!$A:$N,U$2,FALSE)=0," ",VLOOKUP($J$1&amp;$A38,'4.1 关键词原始数据'!$A:$N,U$2,FALSE))," ")</f>
        <v> </v>
      </c>
      <c r="M38" s="63" t="str">
        <f>_xlfn.IFNA(IF(VLOOKUP($J$1&amp;$A38,'4.1 关键词原始数据'!$A:$N,V$2,FALSE)=0," ",VLOOKUP($J$1&amp;$A38,'4.1 关键词原始数据'!$A:$N,V$2,FALSE))," ")</f>
        <v> </v>
      </c>
      <c r="N38" s="63" t="str">
        <f>_xlfn.IFNA(IF(VLOOKUP($J$1&amp;$A38,'4.1 关键词原始数据'!$A:$N,W$2,FALSE)=0," ",VLOOKUP($J$1&amp;$A38,'4.1 关键词原始数据'!$A:$N,W$2,FALSE))," ")</f>
        <v> </v>
      </c>
      <c r="O38" s="63" t="str">
        <f>_xlfn.IFNA(IF(VLOOKUP($J$1&amp;$A38,'4.1 关键词原始数据'!$A:$N,X$2,FALSE)=0," ",VLOOKUP($J$1&amp;$A38,'4.1 关键词原始数据'!$A:$N,X$2,FALSE))," ")</f>
        <v> </v>
      </c>
      <c r="P38" s="63" t="str">
        <f>_xlfn.IFNA(IF(VLOOKUP($J$1&amp;$A38,'4.1 关键词原始数据'!$A:$N,Y$2,FALSE)=0," ",VLOOKUP($J$1&amp;$A38,'4.1 关键词原始数据'!$A:$N,Y$2,FALSE))," ")</f>
        <v> </v>
      </c>
      <c r="Q38" s="63" t="str">
        <f>_xlfn.IFNA(IF(VLOOKUP($J$1&amp;$A38,'4.1 关键词原始数据'!$A:$N,Z$2,FALSE)=0," ",VLOOKUP($J$1&amp;$A38,'4.1 关键词原始数据'!$A:$N,Z$2,FALSE))," ")</f>
        <v> </v>
      </c>
    </row>
    <row r="39" ht="16.5" spans="1:17">
      <c r="A39" s="62" t="s">
        <v>287</v>
      </c>
      <c r="B39" s="63" t="str">
        <f>_xlfn.IFNA(IF(VLOOKUP($B$1&amp;$A39,'4.1 关键词原始数据'!$A:$N,S$2,FALSE)=0," ",VLOOKUP($B$1&amp;$A39,'4.1 关键词原始数据'!$A:$N,S$2,FALSE))," ")</f>
        <v> </v>
      </c>
      <c r="C39" s="63" t="str">
        <f>_xlfn.IFNA(IF(VLOOKUP($B$1&amp;$A39,'4.1 关键词原始数据'!$A:$N,T$2,FALSE)=0," ",VLOOKUP($B$1&amp;$A39,'4.1 关键词原始数据'!$A:$N,T$2,FALSE))," ")</f>
        <v>2-13-2</v>
      </c>
      <c r="D39" s="63" t="str">
        <f>_xlfn.IFNA(IF(VLOOKUP($B$1&amp;$A39,'4.1 关键词原始数据'!$A:$N,U$2,FALSE)=0," ",VLOOKUP($B$1&amp;$A39,'4.1 关键词原始数据'!$A:$N,U$2,FALSE))," ")</f>
        <v> </v>
      </c>
      <c r="E39" s="63" t="str">
        <f>_xlfn.IFNA(IF(VLOOKUP($B$1&amp;$A39,'4.1 关键词原始数据'!$A:$N,V$2,FALSE)=0," ",VLOOKUP($B$1&amp;$A39,'4.1 关键词原始数据'!$A:$N,V$2,FALSE))," ")</f>
        <v> </v>
      </c>
      <c r="F39" s="63" t="str">
        <f>_xlfn.IFNA(IF(VLOOKUP($B$1&amp;$A39,'4.1 关键词原始数据'!$A:$N,W$2,FALSE)=0," ",VLOOKUP($B$1&amp;$A39,'4.1 关键词原始数据'!$A:$N,W$2,FALSE))," ")</f>
        <v> </v>
      </c>
      <c r="G39" s="63" t="str">
        <f>_xlfn.IFNA(IF(VLOOKUP($B$1&amp;$A39,'4.1 关键词原始数据'!$A:$N,X$2,FALSE)=0," ",VLOOKUP($B$1&amp;$A39,'4.1 关键词原始数据'!$A:$N,X$2,FALSE))," ")</f>
        <v>1-14-3</v>
      </c>
      <c r="H39" s="63" t="str">
        <f>_xlfn.IFNA(IF(VLOOKUP($B$1&amp;$A39,'4.1 关键词原始数据'!$A:$N,Y$2,FALSE)=0," ",VLOOKUP($B$1&amp;$A39,'4.1 关键词原始数据'!$A:$N,Y$2,FALSE))," ")</f>
        <v> </v>
      </c>
      <c r="I39" s="63" t="str">
        <f>_xlfn.IFNA(IF(VLOOKUP($B$1&amp;$A39,'4.1 关键词原始数据'!$A:$N,Z$2,FALSE)=0," ",VLOOKUP($B$1&amp;$A39,'4.1 关键词原始数据'!$A:$N,Z$2,FALSE))," ")</f>
        <v> </v>
      </c>
      <c r="J39" s="63" t="str">
        <f>_xlfn.IFNA(IF(VLOOKUP($J$1&amp;$A39,'4.1 关键词原始数据'!$A:$N,S$2,FALSE)=0," ",VLOOKUP($J$1&amp;$A39,'4.1 关键词原始数据'!$A:$N,S$2,FALSE))," ")</f>
        <v> </v>
      </c>
      <c r="K39" s="63" t="str">
        <f>_xlfn.IFNA(IF(VLOOKUP($J$1&amp;$A39,'4.1 关键词原始数据'!$A:$N,T$2,FALSE)=0," ",VLOOKUP($J$1&amp;$A39,'4.1 关键词原始数据'!$A:$N,T$2,FALSE))," ")</f>
        <v> </v>
      </c>
      <c r="L39" s="63" t="str">
        <f>_xlfn.IFNA(IF(VLOOKUP($J$1&amp;$A39,'4.1 关键词原始数据'!$A:$N,U$2,FALSE)=0," ",VLOOKUP($J$1&amp;$A39,'4.1 关键词原始数据'!$A:$N,U$2,FALSE))," ")</f>
        <v> </v>
      </c>
      <c r="M39" s="63" t="str">
        <f>_xlfn.IFNA(IF(VLOOKUP($J$1&amp;$A39,'4.1 关键词原始数据'!$A:$N,V$2,FALSE)=0," ",VLOOKUP($J$1&amp;$A39,'4.1 关键词原始数据'!$A:$N,V$2,FALSE))," ")</f>
        <v>4-14-2</v>
      </c>
      <c r="N39" s="63" t="str">
        <f>_xlfn.IFNA(IF(VLOOKUP($J$1&amp;$A39,'4.1 关键词原始数据'!$A:$N,W$2,FALSE)=0," ",VLOOKUP($J$1&amp;$A39,'4.1 关键词原始数据'!$A:$N,W$2,FALSE))," ")</f>
        <v> </v>
      </c>
      <c r="O39" s="63" t="str">
        <f>_xlfn.IFNA(IF(VLOOKUP($J$1&amp;$A39,'4.1 关键词原始数据'!$A:$N,X$2,FALSE)=0," ",VLOOKUP($J$1&amp;$A39,'4.1 关键词原始数据'!$A:$N,X$2,FALSE))," ")</f>
        <v> </v>
      </c>
      <c r="P39" s="63" t="str">
        <f>_xlfn.IFNA(IF(VLOOKUP($J$1&amp;$A39,'4.1 关键词原始数据'!$A:$N,Y$2,FALSE)=0," ",VLOOKUP($J$1&amp;$A39,'4.1 关键词原始数据'!$A:$N,Y$2,FALSE))," ")</f>
        <v> </v>
      </c>
      <c r="Q39" s="63" t="str">
        <f>_xlfn.IFNA(IF(VLOOKUP($J$1&amp;$A39,'4.1 关键词原始数据'!$A:$N,Z$2,FALSE)=0," ",VLOOKUP($J$1&amp;$A39,'4.1 关键词原始数据'!$A:$N,Z$2,FALSE))," ")</f>
        <v> </v>
      </c>
    </row>
    <row r="40" ht="16.5" spans="1:17">
      <c r="A40" s="62" t="s">
        <v>288</v>
      </c>
      <c r="B40" s="63" t="str">
        <f>_xlfn.IFNA(IF(VLOOKUP($B$1&amp;$A40,'4.1 关键词原始数据'!$A:$N,S$2,FALSE)=0," ",VLOOKUP($B$1&amp;$A40,'4.1 关键词原始数据'!$A:$N,S$2,FALSE))," ")</f>
        <v> </v>
      </c>
      <c r="C40" s="63" t="str">
        <f>_xlfn.IFNA(IF(VLOOKUP($B$1&amp;$A40,'4.1 关键词原始数据'!$A:$N,T$2,FALSE)=0," ",VLOOKUP($B$1&amp;$A40,'4.1 关键词原始数据'!$A:$N,T$2,FALSE))," ")</f>
        <v>2-11-4</v>
      </c>
      <c r="D40" s="63" t="str">
        <f>_xlfn.IFNA(IF(VLOOKUP($B$1&amp;$A40,'4.1 关键词原始数据'!$A:$N,U$2,FALSE)=0," ",VLOOKUP($B$1&amp;$A40,'4.1 关键词原始数据'!$A:$N,U$2,FALSE))," ")</f>
        <v> </v>
      </c>
      <c r="E40" s="63" t="str">
        <f>_xlfn.IFNA(IF(VLOOKUP($B$1&amp;$A40,'4.1 关键词原始数据'!$A:$N,V$2,FALSE)=0," ",VLOOKUP($B$1&amp;$A40,'4.1 关键词原始数据'!$A:$N,V$2,FALSE))," ")</f>
        <v> </v>
      </c>
      <c r="F40" s="63" t="str">
        <f>_xlfn.IFNA(IF(VLOOKUP($B$1&amp;$A40,'4.1 关键词原始数据'!$A:$N,W$2,FALSE)=0," ",VLOOKUP($B$1&amp;$A40,'4.1 关键词原始数据'!$A:$N,W$2,FALSE))," ")</f>
        <v> </v>
      </c>
      <c r="G40" s="63" t="str">
        <f>_xlfn.IFNA(IF(VLOOKUP($B$1&amp;$A40,'4.1 关键词原始数据'!$A:$N,X$2,FALSE)=0," ",VLOOKUP($B$1&amp;$A40,'4.1 关键词原始数据'!$A:$N,X$2,FALSE))," ")</f>
        <v>1-12-2</v>
      </c>
      <c r="H40" s="63" t="str">
        <f>_xlfn.IFNA(IF(VLOOKUP($B$1&amp;$A40,'4.1 关键词原始数据'!$A:$N,Y$2,FALSE)=0," ",VLOOKUP($B$1&amp;$A40,'4.1 关键词原始数据'!$A:$N,Y$2,FALSE))," ")</f>
        <v> </v>
      </c>
      <c r="I40" s="63" t="str">
        <f>_xlfn.IFNA(IF(VLOOKUP($B$1&amp;$A40,'4.1 关键词原始数据'!$A:$N,Z$2,FALSE)=0," ",VLOOKUP($B$1&amp;$A40,'4.1 关键词原始数据'!$A:$N,Z$2,FALSE))," ")</f>
        <v> </v>
      </c>
      <c r="J40" s="63" t="str">
        <f>_xlfn.IFNA(IF(VLOOKUP($J$1&amp;$A40,'4.1 关键词原始数据'!$A:$N,S$2,FALSE)=0," ",VLOOKUP($J$1&amp;$A40,'4.1 关键词原始数据'!$A:$N,S$2,FALSE))," ")</f>
        <v> </v>
      </c>
      <c r="K40" s="63" t="str">
        <f>_xlfn.IFNA(IF(VLOOKUP($J$1&amp;$A40,'4.1 关键词原始数据'!$A:$N,T$2,FALSE)=0," ",VLOOKUP($J$1&amp;$A40,'4.1 关键词原始数据'!$A:$N,T$2,FALSE))," ")</f>
        <v> </v>
      </c>
      <c r="L40" s="63" t="str">
        <f>_xlfn.IFNA(IF(VLOOKUP($J$1&amp;$A40,'4.1 关键词原始数据'!$A:$N,U$2,FALSE)=0," ",VLOOKUP($J$1&amp;$A40,'4.1 关键词原始数据'!$A:$N,U$2,FALSE))," ")</f>
        <v> </v>
      </c>
      <c r="M40" s="63" t="str">
        <f>_xlfn.IFNA(IF(VLOOKUP($J$1&amp;$A40,'4.1 关键词原始数据'!$A:$N,V$2,FALSE)=0," ",VLOOKUP($J$1&amp;$A40,'4.1 关键词原始数据'!$A:$N,V$2,FALSE))," ")</f>
        <v>4-16-3</v>
      </c>
      <c r="N40" s="63" t="str">
        <f>_xlfn.IFNA(IF(VLOOKUP($J$1&amp;$A40,'4.1 关键词原始数据'!$A:$N,W$2,FALSE)=0," ",VLOOKUP($J$1&amp;$A40,'4.1 关键词原始数据'!$A:$N,W$2,FALSE))," ")</f>
        <v> </v>
      </c>
      <c r="O40" s="63" t="str">
        <f>_xlfn.IFNA(IF(VLOOKUP($J$1&amp;$A40,'4.1 关键词原始数据'!$A:$N,X$2,FALSE)=0," ",VLOOKUP($J$1&amp;$A40,'4.1 关键词原始数据'!$A:$N,X$2,FALSE))," ")</f>
        <v> </v>
      </c>
      <c r="P40" s="63" t="str">
        <f>_xlfn.IFNA(IF(VLOOKUP($J$1&amp;$A40,'4.1 关键词原始数据'!$A:$N,Y$2,FALSE)=0," ",VLOOKUP($J$1&amp;$A40,'4.1 关键词原始数据'!$A:$N,Y$2,FALSE))," ")</f>
        <v> </v>
      </c>
      <c r="Q40" s="63" t="str">
        <f>_xlfn.IFNA(IF(VLOOKUP($J$1&amp;$A40,'4.1 关键词原始数据'!$A:$N,Z$2,FALSE)=0," ",VLOOKUP($J$1&amp;$A40,'4.1 关键词原始数据'!$A:$N,Z$2,FALSE))," ")</f>
        <v> </v>
      </c>
    </row>
    <row r="41" ht="16.5" spans="1:17">
      <c r="A41" s="62" t="s">
        <v>289</v>
      </c>
      <c r="B41" s="63" t="str">
        <f>_xlfn.IFNA(IF(VLOOKUP($B$1&amp;$A41,'4.1 关键词原始数据'!$A:$N,S$2,FALSE)=0," ",VLOOKUP($B$1&amp;$A41,'4.1 关键词原始数据'!$A:$N,S$2,FALSE))," ")</f>
        <v> </v>
      </c>
      <c r="C41" s="63" t="str">
        <f>_xlfn.IFNA(IF(VLOOKUP($B$1&amp;$A41,'4.1 关键词原始数据'!$A:$N,T$2,FALSE)=0," ",VLOOKUP($B$1&amp;$A41,'4.1 关键词原始数据'!$A:$N,T$2,FALSE))," ")</f>
        <v>2-9-2</v>
      </c>
      <c r="D41" s="63" t="str">
        <f>_xlfn.IFNA(IF(VLOOKUP($B$1&amp;$A41,'4.1 关键词原始数据'!$A:$N,U$2,FALSE)=0," ",VLOOKUP($B$1&amp;$A41,'4.1 关键词原始数据'!$A:$N,U$2,FALSE))," ")</f>
        <v> </v>
      </c>
      <c r="E41" s="63" t="str">
        <f>_xlfn.IFNA(IF(VLOOKUP($B$1&amp;$A41,'4.1 关键词原始数据'!$A:$N,V$2,FALSE)=0," ",VLOOKUP($B$1&amp;$A41,'4.1 关键词原始数据'!$A:$N,V$2,FALSE))," ")</f>
        <v> </v>
      </c>
      <c r="F41" s="63" t="str">
        <f>_xlfn.IFNA(IF(VLOOKUP($B$1&amp;$A41,'4.1 关键词原始数据'!$A:$N,W$2,FALSE)=0," ",VLOOKUP($B$1&amp;$A41,'4.1 关键词原始数据'!$A:$N,W$2,FALSE))," ")</f>
        <v> </v>
      </c>
      <c r="G41" s="63" t="str">
        <f>_xlfn.IFNA(IF(VLOOKUP($B$1&amp;$A41,'4.1 关键词原始数据'!$A:$N,X$2,FALSE)=0," ",VLOOKUP($B$1&amp;$A41,'4.1 关键词原始数据'!$A:$N,X$2,FALSE))," ")</f>
        <v>1-9-4</v>
      </c>
      <c r="H41" s="63" t="str">
        <f>_xlfn.IFNA(IF(VLOOKUP($B$1&amp;$A41,'4.1 关键词原始数据'!$A:$N,Y$2,FALSE)=0," ",VLOOKUP($B$1&amp;$A41,'4.1 关键词原始数据'!$A:$N,Y$2,FALSE))," ")</f>
        <v> </v>
      </c>
      <c r="I41" s="63" t="str">
        <f>_xlfn.IFNA(IF(VLOOKUP($B$1&amp;$A41,'4.1 关键词原始数据'!$A:$N,Z$2,FALSE)=0," ",VLOOKUP($B$1&amp;$A41,'4.1 关键词原始数据'!$A:$N,Z$2,FALSE))," ")</f>
        <v> </v>
      </c>
      <c r="J41" s="63" t="str">
        <f>_xlfn.IFNA(IF(VLOOKUP($J$1&amp;$A41,'4.1 关键词原始数据'!$A:$N,S$2,FALSE)=0," ",VLOOKUP($J$1&amp;$A41,'4.1 关键词原始数据'!$A:$N,S$2,FALSE))," ")</f>
        <v> </v>
      </c>
      <c r="K41" s="63" t="str">
        <f>_xlfn.IFNA(IF(VLOOKUP($J$1&amp;$A41,'4.1 关键词原始数据'!$A:$N,T$2,FALSE)=0," ",VLOOKUP($J$1&amp;$A41,'4.1 关键词原始数据'!$A:$N,T$2,FALSE))," ")</f>
        <v> </v>
      </c>
      <c r="L41" s="63" t="str">
        <f>_xlfn.IFNA(IF(VLOOKUP($J$1&amp;$A41,'4.1 关键词原始数据'!$A:$N,U$2,FALSE)=0," ",VLOOKUP($J$1&amp;$A41,'4.1 关键词原始数据'!$A:$N,U$2,FALSE))," ")</f>
        <v> </v>
      </c>
      <c r="M41" s="63" t="str">
        <f>_xlfn.IFNA(IF(VLOOKUP($J$1&amp;$A41,'4.1 关键词原始数据'!$A:$N,V$2,FALSE)=0," ",VLOOKUP($J$1&amp;$A41,'4.1 关键词原始数据'!$A:$N,V$2,FALSE))," ")</f>
        <v> </v>
      </c>
      <c r="N41" s="63" t="str">
        <f>_xlfn.IFNA(IF(VLOOKUP($J$1&amp;$A41,'4.1 关键词原始数据'!$A:$N,W$2,FALSE)=0," ",VLOOKUP($J$1&amp;$A41,'4.1 关键词原始数据'!$A:$N,W$2,FALSE))," ")</f>
        <v> </v>
      </c>
      <c r="O41" s="63" t="str">
        <f>_xlfn.IFNA(IF(VLOOKUP($J$1&amp;$A41,'4.1 关键词原始数据'!$A:$N,X$2,FALSE)=0," ",VLOOKUP($J$1&amp;$A41,'4.1 关键词原始数据'!$A:$N,X$2,FALSE))," ")</f>
        <v> </v>
      </c>
      <c r="P41" s="63" t="str">
        <f>_xlfn.IFNA(IF(VLOOKUP($J$1&amp;$A41,'4.1 关键词原始数据'!$A:$N,Y$2,FALSE)=0," ",VLOOKUP($J$1&amp;$A41,'4.1 关键词原始数据'!$A:$N,Y$2,FALSE))," ")</f>
        <v> </v>
      </c>
      <c r="Q41" s="63" t="str">
        <f>_xlfn.IFNA(IF(VLOOKUP($J$1&amp;$A41,'4.1 关键词原始数据'!$A:$N,Z$2,FALSE)=0," ",VLOOKUP($J$1&amp;$A41,'4.1 关键词原始数据'!$A:$N,Z$2,FALSE))," ")</f>
        <v> </v>
      </c>
    </row>
    <row r="42" ht="16.5" spans="1:17">
      <c r="A42" s="62" t="s">
        <v>290</v>
      </c>
      <c r="B42" s="63" t="str">
        <f>_xlfn.IFNA(IF(VLOOKUP($B$1&amp;$A42,'4.1 关键词原始数据'!$A:$N,S$2,FALSE)=0," ",VLOOKUP($B$1&amp;$A42,'4.1 关键词原始数据'!$A:$N,S$2,FALSE))," ")</f>
        <v> </v>
      </c>
      <c r="C42" s="63" t="str">
        <f>_xlfn.IFNA(IF(VLOOKUP($B$1&amp;$A42,'4.1 关键词原始数据'!$A:$N,T$2,FALSE)=0," ",VLOOKUP($B$1&amp;$A42,'4.1 关键词原始数据'!$A:$N,T$2,FALSE))," ")</f>
        <v>2-13-1</v>
      </c>
      <c r="D42" s="63" t="str">
        <f>_xlfn.IFNA(IF(VLOOKUP($B$1&amp;$A42,'4.1 关键词原始数据'!$A:$N,U$2,FALSE)=0," ",VLOOKUP($B$1&amp;$A42,'4.1 关键词原始数据'!$A:$N,U$2,FALSE))," ")</f>
        <v> </v>
      </c>
      <c r="E42" s="63" t="str">
        <f>_xlfn.IFNA(IF(VLOOKUP($B$1&amp;$A42,'4.1 关键词原始数据'!$A:$N,V$2,FALSE)=0," ",VLOOKUP($B$1&amp;$A42,'4.1 关键词原始数据'!$A:$N,V$2,FALSE))," ")</f>
        <v> </v>
      </c>
      <c r="F42" s="63" t="str">
        <f>_xlfn.IFNA(IF(VLOOKUP($B$1&amp;$A42,'4.1 关键词原始数据'!$A:$N,W$2,FALSE)=0," ",VLOOKUP($B$1&amp;$A42,'4.1 关键词原始数据'!$A:$N,W$2,FALSE))," ")</f>
        <v> </v>
      </c>
      <c r="G42" s="63" t="str">
        <f>_xlfn.IFNA(IF(VLOOKUP($B$1&amp;$A42,'4.1 关键词原始数据'!$A:$N,X$2,FALSE)=0," ",VLOOKUP($B$1&amp;$A42,'4.1 关键词原始数据'!$A:$N,X$2,FALSE))," ")</f>
        <v>1-10-1</v>
      </c>
      <c r="H42" s="63" t="str">
        <f>_xlfn.IFNA(IF(VLOOKUP($B$1&amp;$A42,'4.1 关键词原始数据'!$A:$N,Y$2,FALSE)=0," ",VLOOKUP($B$1&amp;$A42,'4.1 关键词原始数据'!$A:$N,Y$2,FALSE))," ")</f>
        <v> </v>
      </c>
      <c r="I42" s="63" t="str">
        <f>_xlfn.IFNA(IF(VLOOKUP($B$1&amp;$A42,'4.1 关键词原始数据'!$A:$N,Z$2,FALSE)=0," ",VLOOKUP($B$1&amp;$A42,'4.1 关键词原始数据'!$A:$N,Z$2,FALSE))," ")</f>
        <v> </v>
      </c>
      <c r="J42" s="63" t="str">
        <f>_xlfn.IFNA(IF(VLOOKUP($J$1&amp;$A42,'4.1 关键词原始数据'!$A:$N,S$2,FALSE)=0," ",VLOOKUP($J$1&amp;$A42,'4.1 关键词原始数据'!$A:$N,S$2,FALSE))," ")</f>
        <v> </v>
      </c>
      <c r="K42" s="63" t="str">
        <f>_xlfn.IFNA(IF(VLOOKUP($J$1&amp;$A42,'4.1 关键词原始数据'!$A:$N,T$2,FALSE)=0," ",VLOOKUP($J$1&amp;$A42,'4.1 关键词原始数据'!$A:$N,T$2,FALSE))," ")</f>
        <v> </v>
      </c>
      <c r="L42" s="63" t="str">
        <f>_xlfn.IFNA(IF(VLOOKUP($J$1&amp;$A42,'4.1 关键词原始数据'!$A:$N,U$2,FALSE)=0," ",VLOOKUP($J$1&amp;$A42,'4.1 关键词原始数据'!$A:$N,U$2,FALSE))," ")</f>
        <v> </v>
      </c>
      <c r="M42" s="63" t="str">
        <f>_xlfn.IFNA(IF(VLOOKUP($J$1&amp;$A42,'4.1 关键词原始数据'!$A:$N,V$2,FALSE)=0," ",VLOOKUP($J$1&amp;$A42,'4.1 关键词原始数据'!$A:$N,V$2,FALSE))," ")</f>
        <v>5-13-4</v>
      </c>
      <c r="N42" s="63" t="str">
        <f>_xlfn.IFNA(IF(VLOOKUP($J$1&amp;$A42,'4.1 关键词原始数据'!$A:$N,W$2,FALSE)=0," ",VLOOKUP($J$1&amp;$A42,'4.1 关键词原始数据'!$A:$N,W$2,FALSE))," ")</f>
        <v> </v>
      </c>
      <c r="O42" s="63" t="str">
        <f>_xlfn.IFNA(IF(VLOOKUP($J$1&amp;$A42,'4.1 关键词原始数据'!$A:$N,X$2,FALSE)=0," ",VLOOKUP($J$1&amp;$A42,'4.1 关键词原始数据'!$A:$N,X$2,FALSE))," ")</f>
        <v> </v>
      </c>
      <c r="P42" s="63" t="str">
        <f>_xlfn.IFNA(IF(VLOOKUP($J$1&amp;$A42,'4.1 关键词原始数据'!$A:$N,Y$2,FALSE)=0," ",VLOOKUP($J$1&amp;$A42,'4.1 关键词原始数据'!$A:$N,Y$2,FALSE))," ")</f>
        <v> </v>
      </c>
      <c r="Q42" s="63" t="str">
        <f>_xlfn.IFNA(IF(VLOOKUP($J$1&amp;$A42,'4.1 关键词原始数据'!$A:$N,Z$2,FALSE)=0," ",VLOOKUP($J$1&amp;$A42,'4.1 关键词原始数据'!$A:$N,Z$2,FALSE))," ")</f>
        <v> </v>
      </c>
    </row>
    <row r="43" ht="16.5" spans="1:17">
      <c r="A43" s="62" t="s">
        <v>291</v>
      </c>
      <c r="B43" s="63" t="str">
        <f>_xlfn.IFNA(IF(VLOOKUP($B$1&amp;$A43,'4.1 关键词原始数据'!$A:$N,S$2,FALSE)=0," ",VLOOKUP($B$1&amp;$A43,'4.1 关键词原始数据'!$A:$N,S$2,FALSE))," ")</f>
        <v> </v>
      </c>
      <c r="C43" s="63" t="str">
        <f>_xlfn.IFNA(IF(VLOOKUP($B$1&amp;$A43,'4.1 关键词原始数据'!$A:$N,T$2,FALSE)=0," ",VLOOKUP($B$1&amp;$A43,'4.1 关键词原始数据'!$A:$N,T$2,FALSE))," ")</f>
        <v> </v>
      </c>
      <c r="D43" s="63" t="str">
        <f>_xlfn.IFNA(IF(VLOOKUP($B$1&amp;$A43,'4.1 关键词原始数据'!$A:$N,U$2,FALSE)=0," ",VLOOKUP($B$1&amp;$A43,'4.1 关键词原始数据'!$A:$N,U$2,FALSE))," ")</f>
        <v> </v>
      </c>
      <c r="E43" s="63" t="str">
        <f>_xlfn.IFNA(IF(VLOOKUP($B$1&amp;$A43,'4.1 关键词原始数据'!$A:$N,V$2,FALSE)=0," ",VLOOKUP($B$1&amp;$A43,'4.1 关键词原始数据'!$A:$N,V$2,FALSE))," ")</f>
        <v> </v>
      </c>
      <c r="F43" s="63" t="str">
        <f>_xlfn.IFNA(IF(VLOOKUP($B$1&amp;$A43,'4.1 关键词原始数据'!$A:$N,W$2,FALSE)=0," ",VLOOKUP($B$1&amp;$A43,'4.1 关键词原始数据'!$A:$N,W$2,FALSE))," ")</f>
        <v> </v>
      </c>
      <c r="G43" s="63" t="str">
        <f>_xlfn.IFNA(IF(VLOOKUP($B$1&amp;$A43,'4.1 关键词原始数据'!$A:$N,X$2,FALSE)=0," ",VLOOKUP($B$1&amp;$A43,'4.1 关键词原始数据'!$A:$N,X$2,FALSE))," ")</f>
        <v>1-13-3</v>
      </c>
      <c r="H43" s="63" t="str">
        <f>_xlfn.IFNA(IF(VLOOKUP($B$1&amp;$A43,'4.1 关键词原始数据'!$A:$N,Y$2,FALSE)=0," ",VLOOKUP($B$1&amp;$A43,'4.1 关键词原始数据'!$A:$N,Y$2,FALSE))," ")</f>
        <v> </v>
      </c>
      <c r="I43" s="63" t="str">
        <f>_xlfn.IFNA(IF(VLOOKUP($B$1&amp;$A43,'4.1 关键词原始数据'!$A:$N,Z$2,FALSE)=0," ",VLOOKUP($B$1&amp;$A43,'4.1 关键词原始数据'!$A:$N,Z$2,FALSE))," ")</f>
        <v> </v>
      </c>
      <c r="J43" s="63" t="str">
        <f>_xlfn.IFNA(IF(VLOOKUP($J$1&amp;$A43,'4.1 关键词原始数据'!$A:$N,S$2,FALSE)=0," ",VLOOKUP($J$1&amp;$A43,'4.1 关键词原始数据'!$A:$N,S$2,FALSE))," ")</f>
        <v> </v>
      </c>
      <c r="K43" s="63" t="str">
        <f>_xlfn.IFNA(IF(VLOOKUP($J$1&amp;$A43,'4.1 关键词原始数据'!$A:$N,T$2,FALSE)=0," ",VLOOKUP($J$1&amp;$A43,'4.1 关键词原始数据'!$A:$N,T$2,FALSE))," ")</f>
        <v> </v>
      </c>
      <c r="L43" s="63" t="str">
        <f>_xlfn.IFNA(IF(VLOOKUP($J$1&amp;$A43,'4.1 关键词原始数据'!$A:$N,U$2,FALSE)=0," ",VLOOKUP($J$1&amp;$A43,'4.1 关键词原始数据'!$A:$N,U$2,FALSE))," ")</f>
        <v> </v>
      </c>
      <c r="M43" s="63" t="str">
        <f>_xlfn.IFNA(IF(VLOOKUP($J$1&amp;$A43,'4.1 关键词原始数据'!$A:$N,V$2,FALSE)=0," ",VLOOKUP($J$1&amp;$A43,'4.1 关键词原始数据'!$A:$N,V$2,FALSE))," ")</f>
        <v>5-16-4</v>
      </c>
      <c r="N43" s="63" t="str">
        <f>_xlfn.IFNA(IF(VLOOKUP($J$1&amp;$A43,'4.1 关键词原始数据'!$A:$N,W$2,FALSE)=0," ",VLOOKUP($J$1&amp;$A43,'4.1 关键词原始数据'!$A:$N,W$2,FALSE))," ")</f>
        <v> </v>
      </c>
      <c r="O43" s="63" t="str">
        <f>_xlfn.IFNA(IF(VLOOKUP($J$1&amp;$A43,'4.1 关键词原始数据'!$A:$N,X$2,FALSE)=0," ",VLOOKUP($J$1&amp;$A43,'4.1 关键词原始数据'!$A:$N,X$2,FALSE))," ")</f>
        <v> </v>
      </c>
      <c r="P43" s="63" t="str">
        <f>_xlfn.IFNA(IF(VLOOKUP($J$1&amp;$A43,'4.1 关键词原始数据'!$A:$N,Y$2,FALSE)=0," ",VLOOKUP($J$1&amp;$A43,'4.1 关键词原始数据'!$A:$N,Y$2,FALSE))," ")</f>
        <v> </v>
      </c>
      <c r="Q43" s="63" t="str">
        <f>_xlfn.IFNA(IF(VLOOKUP($J$1&amp;$A43,'4.1 关键词原始数据'!$A:$N,Z$2,FALSE)=0," ",VLOOKUP($J$1&amp;$A43,'4.1 关键词原始数据'!$A:$N,Z$2,FALSE))," ")</f>
        <v> </v>
      </c>
    </row>
    <row r="44" ht="16.5" spans="1:17">
      <c r="A44" s="62" t="s">
        <v>292</v>
      </c>
      <c r="B44" s="63" t="str">
        <f>_xlfn.IFNA(IF(VLOOKUP($B$1&amp;$A44,'4.1 关键词原始数据'!$A:$N,S$2,FALSE)=0," ",VLOOKUP($B$1&amp;$A44,'4.1 关键词原始数据'!$A:$N,S$2,FALSE))," ")</f>
        <v> </v>
      </c>
      <c r="C44" s="63" t="str">
        <f>_xlfn.IFNA(IF(VLOOKUP($B$1&amp;$A44,'4.1 关键词原始数据'!$A:$N,T$2,FALSE)=0," ",VLOOKUP($B$1&amp;$A44,'4.1 关键词原始数据'!$A:$N,T$2,FALSE))," ")</f>
        <v>4-9-4</v>
      </c>
      <c r="D44" s="63" t="str">
        <f>_xlfn.IFNA(IF(VLOOKUP($B$1&amp;$A44,'4.1 关键词原始数据'!$A:$N,U$2,FALSE)=0," ",VLOOKUP($B$1&amp;$A44,'4.1 关键词原始数据'!$A:$N,U$2,FALSE))," ")</f>
        <v> </v>
      </c>
      <c r="E44" s="63" t="str">
        <f>_xlfn.IFNA(IF(VLOOKUP($B$1&amp;$A44,'4.1 关键词原始数据'!$A:$N,V$2,FALSE)=0," ",VLOOKUP($B$1&amp;$A44,'4.1 关键词原始数据'!$A:$N,V$2,FALSE))," ")</f>
        <v> </v>
      </c>
      <c r="F44" s="63" t="str">
        <f>_xlfn.IFNA(IF(VLOOKUP($B$1&amp;$A44,'4.1 关键词原始数据'!$A:$N,W$2,FALSE)=0," ",VLOOKUP($B$1&amp;$A44,'4.1 关键词原始数据'!$A:$N,W$2,FALSE))," ")</f>
        <v> </v>
      </c>
      <c r="G44" s="63" t="str">
        <f>_xlfn.IFNA(IF(VLOOKUP($B$1&amp;$A44,'4.1 关键词原始数据'!$A:$N,X$2,FALSE)=0," ",VLOOKUP($B$1&amp;$A44,'4.1 关键词原始数据'!$A:$N,X$2,FALSE))," ")</f>
        <v>1-12-2</v>
      </c>
      <c r="H44" s="63" t="str">
        <f>_xlfn.IFNA(IF(VLOOKUP($B$1&amp;$A44,'4.1 关键词原始数据'!$A:$N,Y$2,FALSE)=0," ",VLOOKUP($B$1&amp;$A44,'4.1 关键词原始数据'!$A:$N,Y$2,FALSE))," ")</f>
        <v> </v>
      </c>
      <c r="I44" s="63" t="str">
        <f>_xlfn.IFNA(IF(VLOOKUP($B$1&amp;$A44,'4.1 关键词原始数据'!$A:$N,Z$2,FALSE)=0," ",VLOOKUP($B$1&amp;$A44,'4.1 关键词原始数据'!$A:$N,Z$2,FALSE))," ")</f>
        <v> </v>
      </c>
      <c r="J44" s="63" t="str">
        <f>_xlfn.IFNA(IF(VLOOKUP($J$1&amp;$A44,'4.1 关键词原始数据'!$A:$N,S$2,FALSE)=0," ",VLOOKUP($J$1&amp;$A44,'4.1 关键词原始数据'!$A:$N,S$2,FALSE))," ")</f>
        <v> </v>
      </c>
      <c r="K44" s="63" t="str">
        <f>_xlfn.IFNA(IF(VLOOKUP($J$1&amp;$A44,'4.1 关键词原始数据'!$A:$N,T$2,FALSE)=0," ",VLOOKUP($J$1&amp;$A44,'4.1 关键词原始数据'!$A:$N,T$2,FALSE))," ")</f>
        <v> </v>
      </c>
      <c r="L44" s="63" t="str">
        <f>_xlfn.IFNA(IF(VLOOKUP($J$1&amp;$A44,'4.1 关键词原始数据'!$A:$N,U$2,FALSE)=0," ",VLOOKUP($J$1&amp;$A44,'4.1 关键词原始数据'!$A:$N,U$2,FALSE))," ")</f>
        <v> </v>
      </c>
      <c r="M44" s="63" t="str">
        <f>_xlfn.IFNA(IF(VLOOKUP($J$1&amp;$A44,'4.1 关键词原始数据'!$A:$N,V$2,FALSE)=0," ",VLOOKUP($J$1&amp;$A44,'4.1 关键词原始数据'!$A:$N,V$2,FALSE))," ")</f>
        <v>5-16-3</v>
      </c>
      <c r="N44" s="63" t="str">
        <f>_xlfn.IFNA(IF(VLOOKUP($J$1&amp;$A44,'4.1 关键词原始数据'!$A:$N,W$2,FALSE)=0," ",VLOOKUP($J$1&amp;$A44,'4.1 关键词原始数据'!$A:$N,W$2,FALSE))," ")</f>
        <v> </v>
      </c>
      <c r="O44" s="63" t="str">
        <f>_xlfn.IFNA(IF(VLOOKUP($J$1&amp;$A44,'4.1 关键词原始数据'!$A:$N,X$2,FALSE)=0," ",VLOOKUP($J$1&amp;$A44,'4.1 关键词原始数据'!$A:$N,X$2,FALSE))," ")</f>
        <v> </v>
      </c>
      <c r="P44" s="63" t="str">
        <f>_xlfn.IFNA(IF(VLOOKUP($J$1&amp;$A44,'4.1 关键词原始数据'!$A:$N,Y$2,FALSE)=0," ",VLOOKUP($J$1&amp;$A44,'4.1 关键词原始数据'!$A:$N,Y$2,FALSE))," ")</f>
        <v> </v>
      </c>
      <c r="Q44" s="63" t="str">
        <f>_xlfn.IFNA(IF(VLOOKUP($J$1&amp;$A44,'4.1 关键词原始数据'!$A:$N,Z$2,FALSE)=0," ",VLOOKUP($J$1&amp;$A44,'4.1 关键词原始数据'!$A:$N,Z$2,FALSE))," ")</f>
        <v> </v>
      </c>
    </row>
    <row r="45" ht="16.5" spans="1:17">
      <c r="A45" s="62" t="s">
        <v>293</v>
      </c>
      <c r="B45" s="63" t="str">
        <f>_xlfn.IFNA(IF(VLOOKUP($B$1&amp;$A45,'4.1 关键词原始数据'!$A:$N,S$2,FALSE)=0," ",VLOOKUP($B$1&amp;$A45,'4.1 关键词原始数据'!$A:$N,S$2,FALSE))," ")</f>
        <v> </v>
      </c>
      <c r="C45" s="63" t="str">
        <f>_xlfn.IFNA(IF(VLOOKUP($B$1&amp;$A45,'4.1 关键词原始数据'!$A:$N,T$2,FALSE)=0," ",VLOOKUP($B$1&amp;$A45,'4.1 关键词原始数据'!$A:$N,T$2,FALSE))," ")</f>
        <v>3-13-3</v>
      </c>
      <c r="D45" s="63" t="str">
        <f>_xlfn.IFNA(IF(VLOOKUP($B$1&amp;$A45,'4.1 关键词原始数据'!$A:$N,U$2,FALSE)=0," ",VLOOKUP($B$1&amp;$A45,'4.1 关键词原始数据'!$A:$N,U$2,FALSE))," ")</f>
        <v> </v>
      </c>
      <c r="E45" s="63" t="str">
        <f>_xlfn.IFNA(IF(VLOOKUP($B$1&amp;$A45,'4.1 关键词原始数据'!$A:$N,V$2,FALSE)=0," ",VLOOKUP($B$1&amp;$A45,'4.1 关键词原始数据'!$A:$N,V$2,FALSE))," ")</f>
        <v> </v>
      </c>
      <c r="F45" s="63" t="str">
        <f>_xlfn.IFNA(IF(VLOOKUP($B$1&amp;$A45,'4.1 关键词原始数据'!$A:$N,W$2,FALSE)=0," ",VLOOKUP($B$1&amp;$A45,'4.1 关键词原始数据'!$A:$N,W$2,FALSE))," ")</f>
        <v> </v>
      </c>
      <c r="G45" s="63" t="str">
        <f>_xlfn.IFNA(IF(VLOOKUP($B$1&amp;$A45,'4.1 关键词原始数据'!$A:$N,X$2,FALSE)=0," ",VLOOKUP($B$1&amp;$A45,'4.1 关键词原始数据'!$A:$N,X$2,FALSE))," ")</f>
        <v>1-13-1</v>
      </c>
      <c r="H45" s="63" t="str">
        <f>_xlfn.IFNA(IF(VLOOKUP($B$1&amp;$A45,'4.1 关键词原始数据'!$A:$N,Y$2,FALSE)=0," ",VLOOKUP($B$1&amp;$A45,'4.1 关键词原始数据'!$A:$N,Y$2,FALSE))," ")</f>
        <v> </v>
      </c>
      <c r="I45" s="63" t="str">
        <f>_xlfn.IFNA(IF(VLOOKUP($B$1&amp;$A45,'4.1 关键词原始数据'!$A:$N,Z$2,FALSE)=0," ",VLOOKUP($B$1&amp;$A45,'4.1 关键词原始数据'!$A:$N,Z$2,FALSE))," ")</f>
        <v> </v>
      </c>
      <c r="J45" s="63" t="str">
        <f>_xlfn.IFNA(IF(VLOOKUP($J$1&amp;$A45,'4.1 关键词原始数据'!$A:$N,S$2,FALSE)=0," ",VLOOKUP($J$1&amp;$A45,'4.1 关键词原始数据'!$A:$N,S$2,FALSE))," ")</f>
        <v> </v>
      </c>
      <c r="K45" s="63" t="str">
        <f>_xlfn.IFNA(IF(VLOOKUP($J$1&amp;$A45,'4.1 关键词原始数据'!$A:$N,T$2,FALSE)=0," ",VLOOKUP($J$1&amp;$A45,'4.1 关键词原始数据'!$A:$N,T$2,FALSE))," ")</f>
        <v> </v>
      </c>
      <c r="L45" s="63" t="str">
        <f>_xlfn.IFNA(IF(VLOOKUP($J$1&amp;$A45,'4.1 关键词原始数据'!$A:$N,U$2,FALSE)=0," ",VLOOKUP($J$1&amp;$A45,'4.1 关键词原始数据'!$A:$N,U$2,FALSE))," ")</f>
        <v> </v>
      </c>
      <c r="M45" s="63" t="str">
        <f>_xlfn.IFNA(IF(VLOOKUP($J$1&amp;$A45,'4.1 关键词原始数据'!$A:$N,V$2,FALSE)=0," ",VLOOKUP($J$1&amp;$A45,'4.1 关键词原始数据'!$A:$N,V$2,FALSE))," ")</f>
        <v>4-12-3</v>
      </c>
      <c r="N45" s="63" t="str">
        <f>_xlfn.IFNA(IF(VLOOKUP($J$1&amp;$A45,'4.1 关键词原始数据'!$A:$N,W$2,FALSE)=0," ",VLOOKUP($J$1&amp;$A45,'4.1 关键词原始数据'!$A:$N,W$2,FALSE))," ")</f>
        <v> </v>
      </c>
      <c r="O45" s="63" t="str">
        <f>_xlfn.IFNA(IF(VLOOKUP($J$1&amp;$A45,'4.1 关键词原始数据'!$A:$N,X$2,FALSE)=0," ",VLOOKUP($J$1&amp;$A45,'4.1 关键词原始数据'!$A:$N,X$2,FALSE))," ")</f>
        <v> </v>
      </c>
      <c r="P45" s="63" t="str">
        <f>_xlfn.IFNA(IF(VLOOKUP($J$1&amp;$A45,'4.1 关键词原始数据'!$A:$N,Y$2,FALSE)=0," ",VLOOKUP($J$1&amp;$A45,'4.1 关键词原始数据'!$A:$N,Y$2,FALSE))," ")</f>
        <v> </v>
      </c>
      <c r="Q45" s="63" t="str">
        <f>_xlfn.IFNA(IF(VLOOKUP($J$1&amp;$A45,'4.1 关键词原始数据'!$A:$N,Z$2,FALSE)=0," ",VLOOKUP($J$1&amp;$A45,'4.1 关键词原始数据'!$A:$N,Z$2,FALSE))," ")</f>
        <v> </v>
      </c>
    </row>
    <row r="46" ht="16.5" spans="1:17">
      <c r="A46" s="62" t="s">
        <v>294</v>
      </c>
      <c r="B46" s="63" t="str">
        <f>_xlfn.IFNA(IF(VLOOKUP($B$1&amp;$A46,'4.1 关键词原始数据'!$A:$N,S$2,FALSE)=0," ",VLOOKUP($B$1&amp;$A46,'4.1 关键词原始数据'!$A:$N,S$2,FALSE))," ")</f>
        <v> </v>
      </c>
      <c r="C46" s="63" t="str">
        <f>_xlfn.IFNA(IF(VLOOKUP($B$1&amp;$A46,'4.1 关键词原始数据'!$A:$N,T$2,FALSE)=0," ",VLOOKUP($B$1&amp;$A46,'4.1 关键词原始数据'!$A:$N,T$2,FALSE))," ")</f>
        <v>4-9-4</v>
      </c>
      <c r="D46" s="63" t="str">
        <f>_xlfn.IFNA(IF(VLOOKUP($B$1&amp;$A46,'4.1 关键词原始数据'!$A:$N,U$2,FALSE)=0," ",VLOOKUP($B$1&amp;$A46,'4.1 关键词原始数据'!$A:$N,U$2,FALSE))," ")</f>
        <v> </v>
      </c>
      <c r="E46" s="63" t="str">
        <f>_xlfn.IFNA(IF(VLOOKUP($B$1&amp;$A46,'4.1 关键词原始数据'!$A:$N,V$2,FALSE)=0," ",VLOOKUP($B$1&amp;$A46,'4.1 关键词原始数据'!$A:$N,V$2,FALSE))," ")</f>
        <v> </v>
      </c>
      <c r="F46" s="63" t="str">
        <f>_xlfn.IFNA(IF(VLOOKUP($B$1&amp;$A46,'4.1 关键词原始数据'!$A:$N,W$2,FALSE)=0," ",VLOOKUP($B$1&amp;$A46,'4.1 关键词原始数据'!$A:$N,W$2,FALSE))," ")</f>
        <v> </v>
      </c>
      <c r="G46" s="63" t="str">
        <f>_xlfn.IFNA(IF(VLOOKUP($B$1&amp;$A46,'4.1 关键词原始数据'!$A:$N,X$2,FALSE)=0," ",VLOOKUP($B$1&amp;$A46,'4.1 关键词原始数据'!$A:$N,X$2,FALSE))," ")</f>
        <v>1-10-4</v>
      </c>
      <c r="H46" s="63" t="str">
        <f>_xlfn.IFNA(IF(VLOOKUP($B$1&amp;$A46,'4.1 关键词原始数据'!$A:$N,Y$2,FALSE)=0," ",VLOOKUP($B$1&amp;$A46,'4.1 关键词原始数据'!$A:$N,Y$2,FALSE))," ")</f>
        <v> </v>
      </c>
      <c r="I46" s="63" t="str">
        <f>_xlfn.IFNA(IF(VLOOKUP($B$1&amp;$A46,'4.1 关键词原始数据'!$A:$N,Z$2,FALSE)=0," ",VLOOKUP($B$1&amp;$A46,'4.1 关键词原始数据'!$A:$N,Z$2,FALSE))," ")</f>
        <v> </v>
      </c>
      <c r="J46" s="63" t="str">
        <f>_xlfn.IFNA(IF(VLOOKUP($J$1&amp;$A46,'4.1 关键词原始数据'!$A:$N,S$2,FALSE)=0," ",VLOOKUP($J$1&amp;$A46,'4.1 关键词原始数据'!$A:$N,S$2,FALSE))," ")</f>
        <v> </v>
      </c>
      <c r="K46" s="63" t="str">
        <f>_xlfn.IFNA(IF(VLOOKUP($J$1&amp;$A46,'4.1 关键词原始数据'!$A:$N,T$2,FALSE)=0," ",VLOOKUP($J$1&amp;$A46,'4.1 关键词原始数据'!$A:$N,T$2,FALSE))," ")</f>
        <v> </v>
      </c>
      <c r="L46" s="63" t="str">
        <f>_xlfn.IFNA(IF(VLOOKUP($J$1&amp;$A46,'4.1 关键词原始数据'!$A:$N,U$2,FALSE)=0," ",VLOOKUP($J$1&amp;$A46,'4.1 关键词原始数据'!$A:$N,U$2,FALSE))," ")</f>
        <v> </v>
      </c>
      <c r="M46" s="63" t="str">
        <f>_xlfn.IFNA(IF(VLOOKUP($J$1&amp;$A46,'4.1 关键词原始数据'!$A:$N,V$2,FALSE)=0," ",VLOOKUP($J$1&amp;$A46,'4.1 关键词原始数据'!$A:$N,V$2,FALSE))," ")</f>
        <v>5-11-4</v>
      </c>
      <c r="N46" s="63" t="str">
        <f>_xlfn.IFNA(IF(VLOOKUP($J$1&amp;$A46,'4.1 关键词原始数据'!$A:$N,W$2,FALSE)=0," ",VLOOKUP($J$1&amp;$A46,'4.1 关键词原始数据'!$A:$N,W$2,FALSE))," ")</f>
        <v> </v>
      </c>
      <c r="O46" s="63" t="str">
        <f>_xlfn.IFNA(IF(VLOOKUP($J$1&amp;$A46,'4.1 关键词原始数据'!$A:$N,X$2,FALSE)=0," ",VLOOKUP($J$1&amp;$A46,'4.1 关键词原始数据'!$A:$N,X$2,FALSE))," ")</f>
        <v> </v>
      </c>
      <c r="P46" s="63" t="str">
        <f>_xlfn.IFNA(IF(VLOOKUP($J$1&amp;$A46,'4.1 关键词原始数据'!$A:$N,Y$2,FALSE)=0," ",VLOOKUP($J$1&amp;$A46,'4.1 关键词原始数据'!$A:$N,Y$2,FALSE))," ")</f>
        <v> </v>
      </c>
      <c r="Q46" s="63" t="str">
        <f>_xlfn.IFNA(IF(VLOOKUP($J$1&amp;$A46,'4.1 关键词原始数据'!$A:$N,Z$2,FALSE)=0," ",VLOOKUP($J$1&amp;$A46,'4.1 关键词原始数据'!$A:$N,Z$2,FALSE))," ")</f>
        <v> </v>
      </c>
    </row>
    <row r="47" ht="16.5" spans="1:17">
      <c r="A47" s="62" t="s">
        <v>295</v>
      </c>
      <c r="B47" s="63" t="str">
        <f>_xlfn.IFNA(IF(VLOOKUP($B$1&amp;$A47,'4.1 关键词原始数据'!$A:$N,S$2,FALSE)=0," ",VLOOKUP($B$1&amp;$A47,'4.1 关键词原始数据'!$A:$N,S$2,FALSE))," ")</f>
        <v> </v>
      </c>
      <c r="C47" s="63" t="str">
        <f>_xlfn.IFNA(IF(VLOOKUP($B$1&amp;$A47,'4.1 关键词原始数据'!$A:$N,T$2,FALSE)=0," ",VLOOKUP($B$1&amp;$A47,'4.1 关键词原始数据'!$A:$N,T$2,FALSE))," ")</f>
        <v> </v>
      </c>
      <c r="D47" s="63" t="str">
        <f>_xlfn.IFNA(IF(VLOOKUP($B$1&amp;$A47,'4.1 关键词原始数据'!$A:$N,U$2,FALSE)=0," ",VLOOKUP($B$1&amp;$A47,'4.1 关键词原始数据'!$A:$N,U$2,FALSE))," ")</f>
        <v> </v>
      </c>
      <c r="E47" s="63" t="str">
        <f>_xlfn.IFNA(IF(VLOOKUP($B$1&amp;$A47,'4.1 关键词原始数据'!$A:$N,V$2,FALSE)=0," ",VLOOKUP($B$1&amp;$A47,'4.1 关键词原始数据'!$A:$N,V$2,FALSE))," ")</f>
        <v> </v>
      </c>
      <c r="F47" s="63" t="str">
        <f>_xlfn.IFNA(IF(VLOOKUP($B$1&amp;$A47,'4.1 关键词原始数据'!$A:$N,W$2,FALSE)=0," ",VLOOKUP($B$1&amp;$A47,'4.1 关键词原始数据'!$A:$N,W$2,FALSE))," ")</f>
        <v> </v>
      </c>
      <c r="G47" s="63" t="str">
        <f>_xlfn.IFNA(IF(VLOOKUP($B$1&amp;$A47,'4.1 关键词原始数据'!$A:$N,X$2,FALSE)=0," ",VLOOKUP($B$1&amp;$A47,'4.1 关键词原始数据'!$A:$N,X$2,FALSE))," ")</f>
        <v>1-11-5</v>
      </c>
      <c r="H47" s="63" t="str">
        <f>_xlfn.IFNA(IF(VLOOKUP($B$1&amp;$A47,'4.1 关键词原始数据'!$A:$N,Y$2,FALSE)=0," ",VLOOKUP($B$1&amp;$A47,'4.1 关键词原始数据'!$A:$N,Y$2,FALSE))," ")</f>
        <v> </v>
      </c>
      <c r="I47" s="63" t="str">
        <f>_xlfn.IFNA(IF(VLOOKUP($B$1&amp;$A47,'4.1 关键词原始数据'!$A:$N,Z$2,FALSE)=0," ",VLOOKUP($B$1&amp;$A47,'4.1 关键词原始数据'!$A:$N,Z$2,FALSE))," ")</f>
        <v> </v>
      </c>
      <c r="J47" s="63" t="str">
        <f>_xlfn.IFNA(IF(VLOOKUP($J$1&amp;$A47,'4.1 关键词原始数据'!$A:$N,S$2,FALSE)=0," ",VLOOKUP($J$1&amp;$A47,'4.1 关键词原始数据'!$A:$N,S$2,FALSE))," ")</f>
        <v> </v>
      </c>
      <c r="K47" s="63" t="str">
        <f>_xlfn.IFNA(IF(VLOOKUP($J$1&amp;$A47,'4.1 关键词原始数据'!$A:$N,T$2,FALSE)=0," ",VLOOKUP($J$1&amp;$A47,'4.1 关键词原始数据'!$A:$N,T$2,FALSE))," ")</f>
        <v> </v>
      </c>
      <c r="L47" s="63" t="str">
        <f>_xlfn.IFNA(IF(VLOOKUP($J$1&amp;$A47,'4.1 关键词原始数据'!$A:$N,U$2,FALSE)=0," ",VLOOKUP($J$1&amp;$A47,'4.1 关键词原始数据'!$A:$N,U$2,FALSE))," ")</f>
        <v> </v>
      </c>
      <c r="M47" s="63" t="str">
        <f>_xlfn.IFNA(IF(VLOOKUP($J$1&amp;$A47,'4.1 关键词原始数据'!$A:$N,V$2,FALSE)=0," ",VLOOKUP($J$1&amp;$A47,'4.1 关键词原始数据'!$A:$N,V$2,FALSE))," ")</f>
        <v>5-3-4</v>
      </c>
      <c r="N47" s="63" t="str">
        <f>_xlfn.IFNA(IF(VLOOKUP($J$1&amp;$A47,'4.1 关键词原始数据'!$A:$N,W$2,FALSE)=0," ",VLOOKUP($J$1&amp;$A47,'4.1 关键词原始数据'!$A:$N,W$2,FALSE))," ")</f>
        <v> </v>
      </c>
      <c r="O47" s="63" t="str">
        <f>_xlfn.IFNA(IF(VLOOKUP($J$1&amp;$A47,'4.1 关键词原始数据'!$A:$N,X$2,FALSE)=0," ",VLOOKUP($J$1&amp;$A47,'4.1 关键词原始数据'!$A:$N,X$2,FALSE))," ")</f>
        <v> </v>
      </c>
      <c r="P47" s="63" t="str">
        <f>_xlfn.IFNA(IF(VLOOKUP($J$1&amp;$A47,'4.1 关键词原始数据'!$A:$N,Y$2,FALSE)=0," ",VLOOKUP($J$1&amp;$A47,'4.1 关键词原始数据'!$A:$N,Y$2,FALSE))," ")</f>
        <v> </v>
      </c>
      <c r="Q47" s="63" t="str">
        <f>_xlfn.IFNA(IF(VLOOKUP($J$1&amp;$A47,'4.1 关键词原始数据'!$A:$N,Z$2,FALSE)=0," ",VLOOKUP($J$1&amp;$A47,'4.1 关键词原始数据'!$A:$N,Z$2,FALSE))," ")</f>
        <v> </v>
      </c>
    </row>
    <row r="48" ht="16.5" spans="1:17">
      <c r="A48" s="62" t="s">
        <v>296</v>
      </c>
      <c r="B48" s="63" t="str">
        <f>_xlfn.IFNA(IF(VLOOKUP($B$1&amp;$A48,'4.1 关键词原始数据'!$A:$N,S$2,FALSE)=0," ",VLOOKUP($B$1&amp;$A48,'4.1 关键词原始数据'!$A:$N,S$2,FALSE))," ")</f>
        <v> </v>
      </c>
      <c r="C48" s="63" t="str">
        <f>_xlfn.IFNA(IF(VLOOKUP($B$1&amp;$A48,'4.1 关键词原始数据'!$A:$N,T$2,FALSE)=0," ",VLOOKUP($B$1&amp;$A48,'4.1 关键词原始数据'!$A:$N,T$2,FALSE))," ")</f>
        <v>4-9-2</v>
      </c>
      <c r="D48" s="63" t="str">
        <f>_xlfn.IFNA(IF(VLOOKUP($B$1&amp;$A48,'4.1 关键词原始数据'!$A:$N,U$2,FALSE)=0," ",VLOOKUP($B$1&amp;$A48,'4.1 关键词原始数据'!$A:$N,U$2,FALSE))," ")</f>
        <v> </v>
      </c>
      <c r="E48" s="63" t="str">
        <f>_xlfn.IFNA(IF(VLOOKUP($B$1&amp;$A48,'4.1 关键词原始数据'!$A:$N,V$2,FALSE)=0," ",VLOOKUP($B$1&amp;$A48,'4.1 关键词原始数据'!$A:$N,V$2,FALSE))," ")</f>
        <v> </v>
      </c>
      <c r="F48" s="63" t="str">
        <f>_xlfn.IFNA(IF(VLOOKUP($B$1&amp;$A48,'4.1 关键词原始数据'!$A:$N,W$2,FALSE)=0," ",VLOOKUP($B$1&amp;$A48,'4.1 关键词原始数据'!$A:$N,W$2,FALSE))," ")</f>
        <v> </v>
      </c>
      <c r="G48" s="63" t="str">
        <f>_xlfn.IFNA(IF(VLOOKUP($B$1&amp;$A48,'4.1 关键词原始数据'!$A:$N,X$2,FALSE)=0," ",VLOOKUP($B$1&amp;$A48,'4.1 关键词原始数据'!$A:$N,X$2,FALSE))," ")</f>
        <v>1-10-2</v>
      </c>
      <c r="H48" s="63" t="str">
        <f>_xlfn.IFNA(IF(VLOOKUP($B$1&amp;$A48,'4.1 关键词原始数据'!$A:$N,Y$2,FALSE)=0," ",VLOOKUP($B$1&amp;$A48,'4.1 关键词原始数据'!$A:$N,Y$2,FALSE))," ")</f>
        <v> </v>
      </c>
      <c r="I48" s="63" t="str">
        <f>_xlfn.IFNA(IF(VLOOKUP($B$1&amp;$A48,'4.1 关键词原始数据'!$A:$N,Z$2,FALSE)=0," ",VLOOKUP($B$1&amp;$A48,'4.1 关键词原始数据'!$A:$N,Z$2,FALSE))," ")</f>
        <v> </v>
      </c>
      <c r="J48" s="63" t="str">
        <f>_xlfn.IFNA(IF(VLOOKUP($J$1&amp;$A48,'4.1 关键词原始数据'!$A:$N,S$2,FALSE)=0," ",VLOOKUP($J$1&amp;$A48,'4.1 关键词原始数据'!$A:$N,S$2,FALSE))," ")</f>
        <v> </v>
      </c>
      <c r="K48" s="63" t="str">
        <f>_xlfn.IFNA(IF(VLOOKUP($J$1&amp;$A48,'4.1 关键词原始数据'!$A:$N,T$2,FALSE)=0," ",VLOOKUP($J$1&amp;$A48,'4.1 关键词原始数据'!$A:$N,T$2,FALSE))," ")</f>
        <v> </v>
      </c>
      <c r="L48" s="63" t="str">
        <f>_xlfn.IFNA(IF(VLOOKUP($J$1&amp;$A48,'4.1 关键词原始数据'!$A:$N,U$2,FALSE)=0," ",VLOOKUP($J$1&amp;$A48,'4.1 关键词原始数据'!$A:$N,U$2,FALSE))," ")</f>
        <v> </v>
      </c>
      <c r="M48" s="63" t="str">
        <f>_xlfn.IFNA(IF(VLOOKUP($J$1&amp;$A48,'4.1 关键词原始数据'!$A:$N,V$2,FALSE)=0," ",VLOOKUP($J$1&amp;$A48,'4.1 关键词原始数据'!$A:$N,V$2,FALSE))," ")</f>
        <v>5-11-1</v>
      </c>
      <c r="N48" s="63" t="str">
        <f>_xlfn.IFNA(IF(VLOOKUP($J$1&amp;$A48,'4.1 关键词原始数据'!$A:$N,W$2,FALSE)=0," ",VLOOKUP($J$1&amp;$A48,'4.1 关键词原始数据'!$A:$N,W$2,FALSE))," ")</f>
        <v> </v>
      </c>
      <c r="O48" s="63" t="str">
        <f>_xlfn.IFNA(IF(VLOOKUP($J$1&amp;$A48,'4.1 关键词原始数据'!$A:$N,X$2,FALSE)=0," ",VLOOKUP($J$1&amp;$A48,'4.1 关键词原始数据'!$A:$N,X$2,FALSE))," ")</f>
        <v> </v>
      </c>
      <c r="P48" s="63" t="str">
        <f>_xlfn.IFNA(IF(VLOOKUP($J$1&amp;$A48,'4.1 关键词原始数据'!$A:$N,Y$2,FALSE)=0," ",VLOOKUP($J$1&amp;$A48,'4.1 关键词原始数据'!$A:$N,Y$2,FALSE))," ")</f>
        <v> </v>
      </c>
      <c r="Q48" s="63" t="str">
        <f>_xlfn.IFNA(IF(VLOOKUP($J$1&amp;$A48,'4.1 关键词原始数据'!$A:$N,Z$2,FALSE)=0," ",VLOOKUP($J$1&amp;$A48,'4.1 关键词原始数据'!$A:$N,Z$2,FALSE))," ")</f>
        <v> </v>
      </c>
    </row>
    <row r="49" ht="16.5" spans="1:17">
      <c r="A49" s="62" t="s">
        <v>297</v>
      </c>
      <c r="B49" s="63" t="str">
        <f>_xlfn.IFNA(IF(VLOOKUP($B$1&amp;$A49,'4.1 关键词原始数据'!$A:$N,S$2,FALSE)=0," ",VLOOKUP($B$1&amp;$A49,'4.1 关键词原始数据'!$A:$N,S$2,FALSE))," ")</f>
        <v> </v>
      </c>
      <c r="C49" s="63" t="str">
        <f>_xlfn.IFNA(IF(VLOOKUP($B$1&amp;$A49,'4.1 关键词原始数据'!$A:$N,T$2,FALSE)=0," ",VLOOKUP($B$1&amp;$A49,'4.1 关键词原始数据'!$A:$N,T$2,FALSE))," ")</f>
        <v>4-12-2</v>
      </c>
      <c r="D49" s="63" t="str">
        <f>_xlfn.IFNA(IF(VLOOKUP($B$1&amp;$A49,'4.1 关键词原始数据'!$A:$N,U$2,FALSE)=0," ",VLOOKUP($B$1&amp;$A49,'4.1 关键词原始数据'!$A:$N,U$2,FALSE))," ")</f>
        <v> </v>
      </c>
      <c r="E49" s="63" t="str">
        <f>_xlfn.IFNA(IF(VLOOKUP($B$1&amp;$A49,'4.1 关键词原始数据'!$A:$N,V$2,FALSE)=0," ",VLOOKUP($B$1&amp;$A49,'4.1 关键词原始数据'!$A:$N,V$2,FALSE))," ")</f>
        <v> </v>
      </c>
      <c r="F49" s="63" t="str">
        <f>_xlfn.IFNA(IF(VLOOKUP($B$1&amp;$A49,'4.1 关键词原始数据'!$A:$N,W$2,FALSE)=0," ",VLOOKUP($B$1&amp;$A49,'4.1 关键词原始数据'!$A:$N,W$2,FALSE))," ")</f>
        <v> </v>
      </c>
      <c r="G49" s="63" t="str">
        <f>_xlfn.IFNA(IF(VLOOKUP($B$1&amp;$A49,'4.1 关键词原始数据'!$A:$N,X$2,FALSE)=0," ",VLOOKUP($B$1&amp;$A49,'4.1 关键词原始数据'!$A:$N,X$2,FALSE))," ")</f>
        <v>1-11-4</v>
      </c>
      <c r="H49" s="63" t="str">
        <f>_xlfn.IFNA(IF(VLOOKUP($B$1&amp;$A49,'4.1 关键词原始数据'!$A:$N,Y$2,FALSE)=0," ",VLOOKUP($B$1&amp;$A49,'4.1 关键词原始数据'!$A:$N,Y$2,FALSE))," ")</f>
        <v> </v>
      </c>
      <c r="I49" s="63" t="str">
        <f>_xlfn.IFNA(IF(VLOOKUP($B$1&amp;$A49,'4.1 关键词原始数据'!$A:$N,Z$2,FALSE)=0," ",VLOOKUP($B$1&amp;$A49,'4.1 关键词原始数据'!$A:$N,Z$2,FALSE))," ")</f>
        <v> </v>
      </c>
      <c r="J49" s="63" t="str">
        <f>_xlfn.IFNA(IF(VLOOKUP($J$1&amp;$A49,'4.1 关键词原始数据'!$A:$N,S$2,FALSE)=0," ",VLOOKUP($J$1&amp;$A49,'4.1 关键词原始数据'!$A:$N,S$2,FALSE))," ")</f>
        <v> </v>
      </c>
      <c r="K49" s="63" t="str">
        <f>_xlfn.IFNA(IF(VLOOKUP($J$1&amp;$A49,'4.1 关键词原始数据'!$A:$N,T$2,FALSE)=0," ",VLOOKUP($J$1&amp;$A49,'4.1 关键词原始数据'!$A:$N,T$2,FALSE))," ")</f>
        <v> </v>
      </c>
      <c r="L49" s="63" t="str">
        <f>_xlfn.IFNA(IF(VLOOKUP($J$1&amp;$A49,'4.1 关键词原始数据'!$A:$N,U$2,FALSE)=0," ",VLOOKUP($J$1&amp;$A49,'4.1 关键词原始数据'!$A:$N,U$2,FALSE))," ")</f>
        <v> </v>
      </c>
      <c r="M49" s="63" t="str">
        <f>_xlfn.IFNA(IF(VLOOKUP($J$1&amp;$A49,'4.1 关键词原始数据'!$A:$N,V$2,FALSE)=0," ",VLOOKUP($J$1&amp;$A49,'4.1 关键词原始数据'!$A:$N,V$2,FALSE))," ")</f>
        <v>6-6-2</v>
      </c>
      <c r="N49" s="63" t="str">
        <f>_xlfn.IFNA(IF(VLOOKUP($J$1&amp;$A49,'4.1 关键词原始数据'!$A:$N,W$2,FALSE)=0," ",VLOOKUP($J$1&amp;$A49,'4.1 关键词原始数据'!$A:$N,W$2,FALSE))," ")</f>
        <v> </v>
      </c>
      <c r="O49" s="63" t="str">
        <f>_xlfn.IFNA(IF(VLOOKUP($J$1&amp;$A49,'4.1 关键词原始数据'!$A:$N,X$2,FALSE)=0," ",VLOOKUP($J$1&amp;$A49,'4.1 关键词原始数据'!$A:$N,X$2,FALSE))," ")</f>
        <v> </v>
      </c>
      <c r="P49" s="63" t="str">
        <f>_xlfn.IFNA(IF(VLOOKUP($J$1&amp;$A49,'4.1 关键词原始数据'!$A:$N,Y$2,FALSE)=0," ",VLOOKUP($J$1&amp;$A49,'4.1 关键词原始数据'!$A:$N,Y$2,FALSE))," ")</f>
        <v> </v>
      </c>
      <c r="Q49" s="63" t="str">
        <f>_xlfn.IFNA(IF(VLOOKUP($J$1&amp;$A49,'4.1 关键词原始数据'!$A:$N,Z$2,FALSE)=0," ",VLOOKUP($J$1&amp;$A49,'4.1 关键词原始数据'!$A:$N,Z$2,FALSE))," ")</f>
        <v> </v>
      </c>
    </row>
    <row r="50" ht="16.5" spans="1:17">
      <c r="A50" s="62" t="s">
        <v>298</v>
      </c>
      <c r="B50" s="63" t="str">
        <f>_xlfn.IFNA(IF(VLOOKUP($B$1&amp;$A50,'4.1 关键词原始数据'!$A:$N,S$2,FALSE)=0," ",VLOOKUP($B$1&amp;$A50,'4.1 关键词原始数据'!$A:$N,S$2,FALSE))," ")</f>
        <v> </v>
      </c>
      <c r="C50" s="63" t="str">
        <f>_xlfn.IFNA(IF(VLOOKUP($B$1&amp;$A50,'4.1 关键词原始数据'!$A:$N,T$2,FALSE)=0," ",VLOOKUP($B$1&amp;$A50,'4.1 关键词原始数据'!$A:$N,T$2,FALSE))," ")</f>
        <v>4-10-1</v>
      </c>
      <c r="D50" s="63" t="str">
        <f>_xlfn.IFNA(IF(VLOOKUP($B$1&amp;$A50,'4.1 关键词原始数据'!$A:$N,U$2,FALSE)=0," ",VLOOKUP($B$1&amp;$A50,'4.1 关键词原始数据'!$A:$N,U$2,FALSE))," ")</f>
        <v> </v>
      </c>
      <c r="E50" s="63" t="str">
        <f>_xlfn.IFNA(IF(VLOOKUP($B$1&amp;$A50,'4.1 关键词原始数据'!$A:$N,V$2,FALSE)=0," ",VLOOKUP($B$1&amp;$A50,'4.1 关键词原始数据'!$A:$N,V$2,FALSE))," ")</f>
        <v> </v>
      </c>
      <c r="F50" s="63" t="str">
        <f>_xlfn.IFNA(IF(VLOOKUP($B$1&amp;$A50,'4.1 关键词原始数据'!$A:$N,W$2,FALSE)=0," ",VLOOKUP($B$1&amp;$A50,'4.1 关键词原始数据'!$A:$N,W$2,FALSE))," ")</f>
        <v> </v>
      </c>
      <c r="G50" s="63" t="str">
        <f>_xlfn.IFNA(IF(VLOOKUP($B$1&amp;$A50,'4.1 关键词原始数据'!$A:$N,X$2,FALSE)=0," ",VLOOKUP($B$1&amp;$A50,'4.1 关键词原始数据'!$A:$N,X$2,FALSE))," ")</f>
        <v>1-13-1</v>
      </c>
      <c r="H50" s="63" t="str">
        <f>_xlfn.IFNA(IF(VLOOKUP($B$1&amp;$A50,'4.1 关键词原始数据'!$A:$N,Y$2,FALSE)=0," ",VLOOKUP($B$1&amp;$A50,'4.1 关键词原始数据'!$A:$N,Y$2,FALSE))," ")</f>
        <v> </v>
      </c>
      <c r="I50" s="63" t="str">
        <f>_xlfn.IFNA(IF(VLOOKUP($B$1&amp;$A50,'4.1 关键词原始数据'!$A:$N,Z$2,FALSE)=0," ",VLOOKUP($B$1&amp;$A50,'4.1 关键词原始数据'!$A:$N,Z$2,FALSE))," ")</f>
        <v> </v>
      </c>
      <c r="J50" s="63" t="str">
        <f>_xlfn.IFNA(IF(VLOOKUP($J$1&amp;$A50,'4.1 关键词原始数据'!$A:$N,S$2,FALSE)=0," ",VLOOKUP($J$1&amp;$A50,'4.1 关键词原始数据'!$A:$N,S$2,FALSE))," ")</f>
        <v> </v>
      </c>
      <c r="K50" s="63" t="str">
        <f>_xlfn.IFNA(IF(VLOOKUP($J$1&amp;$A50,'4.1 关键词原始数据'!$A:$N,T$2,FALSE)=0," ",VLOOKUP($J$1&amp;$A50,'4.1 关键词原始数据'!$A:$N,T$2,FALSE))," ")</f>
        <v> </v>
      </c>
      <c r="L50" s="63" t="str">
        <f>_xlfn.IFNA(IF(VLOOKUP($J$1&amp;$A50,'4.1 关键词原始数据'!$A:$N,U$2,FALSE)=0," ",VLOOKUP($J$1&amp;$A50,'4.1 关键词原始数据'!$A:$N,U$2,FALSE))," ")</f>
        <v> </v>
      </c>
      <c r="M50" s="63" t="str">
        <f>_xlfn.IFNA(IF(VLOOKUP($J$1&amp;$A50,'4.1 关键词原始数据'!$A:$N,V$2,FALSE)=0," ",VLOOKUP($J$1&amp;$A50,'4.1 关键词原始数据'!$A:$N,V$2,FALSE))," ")</f>
        <v>6-3-4</v>
      </c>
      <c r="N50" s="63" t="str">
        <f>_xlfn.IFNA(IF(VLOOKUP($J$1&amp;$A50,'4.1 关键词原始数据'!$A:$N,W$2,FALSE)=0," ",VLOOKUP($J$1&amp;$A50,'4.1 关键词原始数据'!$A:$N,W$2,FALSE))," ")</f>
        <v> </v>
      </c>
      <c r="O50" s="63" t="str">
        <f>_xlfn.IFNA(IF(VLOOKUP($J$1&amp;$A50,'4.1 关键词原始数据'!$A:$N,X$2,FALSE)=0," ",VLOOKUP($J$1&amp;$A50,'4.1 关键词原始数据'!$A:$N,X$2,FALSE))," ")</f>
        <v> </v>
      </c>
      <c r="P50" s="63" t="str">
        <f>_xlfn.IFNA(IF(VLOOKUP($J$1&amp;$A50,'4.1 关键词原始数据'!$A:$N,Y$2,FALSE)=0," ",VLOOKUP($J$1&amp;$A50,'4.1 关键词原始数据'!$A:$N,Y$2,FALSE))," ")</f>
        <v> </v>
      </c>
      <c r="Q50" s="63" t="str">
        <f>_xlfn.IFNA(IF(VLOOKUP($J$1&amp;$A50,'4.1 关键词原始数据'!$A:$N,Z$2,FALSE)=0," ",VLOOKUP($J$1&amp;$A50,'4.1 关键词原始数据'!$A:$N,Z$2,FALSE))," ")</f>
        <v> </v>
      </c>
    </row>
    <row r="51" ht="16.5" spans="1:17">
      <c r="A51" s="62" t="s">
        <v>299</v>
      </c>
      <c r="B51" s="63" t="str">
        <f>_xlfn.IFNA(IF(VLOOKUP($B$1&amp;$A51,'4.1 关键词原始数据'!$A:$N,S$2,FALSE)=0," ",VLOOKUP($B$1&amp;$A51,'4.1 关键词原始数据'!$A:$N,S$2,FALSE))," ")</f>
        <v> </v>
      </c>
      <c r="C51" s="63" t="str">
        <f>_xlfn.IFNA(IF(VLOOKUP($B$1&amp;$A51,'4.1 关键词原始数据'!$A:$N,T$2,FALSE)=0," ",VLOOKUP($B$1&amp;$A51,'4.1 关键词原始数据'!$A:$N,T$2,FALSE))," ")</f>
        <v>4-13-5</v>
      </c>
      <c r="D51" s="63" t="str">
        <f>_xlfn.IFNA(IF(VLOOKUP($B$1&amp;$A51,'4.1 关键词原始数据'!$A:$N,U$2,FALSE)=0," ",VLOOKUP($B$1&amp;$A51,'4.1 关键词原始数据'!$A:$N,U$2,FALSE))," ")</f>
        <v> </v>
      </c>
      <c r="E51" s="63" t="str">
        <f>_xlfn.IFNA(IF(VLOOKUP($B$1&amp;$A51,'4.1 关键词原始数据'!$A:$N,V$2,FALSE)=0," ",VLOOKUP($B$1&amp;$A51,'4.1 关键词原始数据'!$A:$N,V$2,FALSE))," ")</f>
        <v> </v>
      </c>
      <c r="F51" s="63" t="str">
        <f>_xlfn.IFNA(IF(VLOOKUP($B$1&amp;$A51,'4.1 关键词原始数据'!$A:$N,W$2,FALSE)=0," ",VLOOKUP($B$1&amp;$A51,'4.1 关键词原始数据'!$A:$N,W$2,FALSE))," ")</f>
        <v> </v>
      </c>
      <c r="G51" s="63" t="str">
        <f>_xlfn.IFNA(IF(VLOOKUP($B$1&amp;$A51,'4.1 关键词原始数据'!$A:$N,X$2,FALSE)=0," ",VLOOKUP($B$1&amp;$A51,'4.1 关键词原始数据'!$A:$N,X$2,FALSE))," ")</f>
        <v>1-13-2</v>
      </c>
      <c r="H51" s="63" t="str">
        <f>_xlfn.IFNA(IF(VLOOKUP($B$1&amp;$A51,'4.1 关键词原始数据'!$A:$N,Y$2,FALSE)=0," ",VLOOKUP($B$1&amp;$A51,'4.1 关键词原始数据'!$A:$N,Y$2,FALSE))," ")</f>
        <v> </v>
      </c>
      <c r="I51" s="63" t="str">
        <f>_xlfn.IFNA(IF(VLOOKUP($B$1&amp;$A51,'4.1 关键词原始数据'!$A:$N,Z$2,FALSE)=0," ",VLOOKUP($B$1&amp;$A51,'4.1 关键词原始数据'!$A:$N,Z$2,FALSE))," ")</f>
        <v> </v>
      </c>
      <c r="J51" s="63" t="str">
        <f>_xlfn.IFNA(IF(VLOOKUP($J$1&amp;$A51,'4.1 关键词原始数据'!$A:$N,S$2,FALSE)=0," ",VLOOKUP($J$1&amp;$A51,'4.1 关键词原始数据'!$A:$N,S$2,FALSE))," ")</f>
        <v> </v>
      </c>
      <c r="K51" s="63" t="str">
        <f>_xlfn.IFNA(IF(VLOOKUP($J$1&amp;$A51,'4.1 关键词原始数据'!$A:$N,T$2,FALSE)=0," ",VLOOKUP($J$1&amp;$A51,'4.1 关键词原始数据'!$A:$N,T$2,FALSE))," ")</f>
        <v> </v>
      </c>
      <c r="L51" s="63" t="str">
        <f>_xlfn.IFNA(IF(VLOOKUP($J$1&amp;$A51,'4.1 关键词原始数据'!$A:$N,U$2,FALSE)=0," ",VLOOKUP($J$1&amp;$A51,'4.1 关键词原始数据'!$A:$N,U$2,FALSE))," ")</f>
        <v> </v>
      </c>
      <c r="M51" s="63" t="str">
        <f>_xlfn.IFNA(IF(VLOOKUP($J$1&amp;$A51,'4.1 关键词原始数据'!$A:$N,V$2,FALSE)=0," ",VLOOKUP($J$1&amp;$A51,'4.1 关键词原始数据'!$A:$N,V$2,FALSE))," ")</f>
        <v>5-9-2</v>
      </c>
      <c r="N51" s="63" t="str">
        <f>_xlfn.IFNA(IF(VLOOKUP($J$1&amp;$A51,'4.1 关键词原始数据'!$A:$N,W$2,FALSE)=0," ",VLOOKUP($J$1&amp;$A51,'4.1 关键词原始数据'!$A:$N,W$2,FALSE))," ")</f>
        <v> </v>
      </c>
      <c r="O51" s="63" t="str">
        <f>_xlfn.IFNA(IF(VLOOKUP($J$1&amp;$A51,'4.1 关键词原始数据'!$A:$N,X$2,FALSE)=0," ",VLOOKUP($J$1&amp;$A51,'4.1 关键词原始数据'!$A:$N,X$2,FALSE))," ")</f>
        <v> </v>
      </c>
      <c r="P51" s="63" t="str">
        <f>_xlfn.IFNA(IF(VLOOKUP($J$1&amp;$A51,'4.1 关键词原始数据'!$A:$N,Y$2,FALSE)=0," ",VLOOKUP($J$1&amp;$A51,'4.1 关键词原始数据'!$A:$N,Y$2,FALSE))," ")</f>
        <v> </v>
      </c>
      <c r="Q51" s="63" t="str">
        <f>_xlfn.IFNA(IF(VLOOKUP($J$1&amp;$A51,'4.1 关键词原始数据'!$A:$N,Z$2,FALSE)=0," ",VLOOKUP($J$1&amp;$A51,'4.1 关键词原始数据'!$A:$N,Z$2,FALSE))," ")</f>
        <v> </v>
      </c>
    </row>
    <row r="52" ht="16.5" spans="1:17">
      <c r="A52" s="62" t="s">
        <v>300</v>
      </c>
      <c r="B52" s="63" t="str">
        <f>_xlfn.IFNA(IF(VLOOKUP($B$1&amp;$A52,'4.1 关键词原始数据'!$A:$N,S$2,FALSE)=0," ",VLOOKUP($B$1&amp;$A52,'4.1 关键词原始数据'!$A:$N,S$2,FALSE))," ")</f>
        <v> </v>
      </c>
      <c r="C52" s="63" t="str">
        <f>_xlfn.IFNA(IF(VLOOKUP($B$1&amp;$A52,'4.1 关键词原始数据'!$A:$N,T$2,FALSE)=0," ",VLOOKUP($B$1&amp;$A52,'4.1 关键词原始数据'!$A:$N,T$2,FALSE))," ")</f>
        <v>5-2-5</v>
      </c>
      <c r="D52" s="63" t="str">
        <f>_xlfn.IFNA(IF(VLOOKUP($B$1&amp;$A52,'4.1 关键词原始数据'!$A:$N,U$2,FALSE)=0," ",VLOOKUP($B$1&amp;$A52,'4.1 关键词原始数据'!$A:$N,U$2,FALSE))," ")</f>
        <v> </v>
      </c>
      <c r="E52" s="63" t="str">
        <f>_xlfn.IFNA(IF(VLOOKUP($B$1&amp;$A52,'4.1 关键词原始数据'!$A:$N,V$2,FALSE)=0," ",VLOOKUP($B$1&amp;$A52,'4.1 关键词原始数据'!$A:$N,V$2,FALSE))," ")</f>
        <v> </v>
      </c>
      <c r="F52" s="63" t="str">
        <f>_xlfn.IFNA(IF(VLOOKUP($B$1&amp;$A52,'4.1 关键词原始数据'!$A:$N,W$2,FALSE)=0," ",VLOOKUP($B$1&amp;$A52,'4.1 关键词原始数据'!$A:$N,W$2,FALSE))," ")</f>
        <v> </v>
      </c>
      <c r="G52" s="63" t="str">
        <f>_xlfn.IFNA(IF(VLOOKUP($B$1&amp;$A52,'4.1 关键词原始数据'!$A:$N,X$2,FALSE)=0," ",VLOOKUP($B$1&amp;$A52,'4.1 关键词原始数据'!$A:$N,X$2,FALSE))," ")</f>
        <v>1-13-5</v>
      </c>
      <c r="H52" s="63" t="str">
        <f>_xlfn.IFNA(IF(VLOOKUP($B$1&amp;$A52,'4.1 关键词原始数据'!$A:$N,Y$2,FALSE)=0," ",VLOOKUP($B$1&amp;$A52,'4.1 关键词原始数据'!$A:$N,Y$2,FALSE))," ")</f>
        <v> </v>
      </c>
      <c r="I52" s="63" t="str">
        <f>_xlfn.IFNA(IF(VLOOKUP($B$1&amp;$A52,'4.1 关键词原始数据'!$A:$N,Z$2,FALSE)=0," ",VLOOKUP($B$1&amp;$A52,'4.1 关键词原始数据'!$A:$N,Z$2,FALSE))," ")</f>
        <v> </v>
      </c>
      <c r="J52" s="63" t="str">
        <f>_xlfn.IFNA(IF(VLOOKUP($J$1&amp;$A52,'4.1 关键词原始数据'!$A:$N,S$2,FALSE)=0," ",VLOOKUP($J$1&amp;$A52,'4.1 关键词原始数据'!$A:$N,S$2,FALSE))," ")</f>
        <v> </v>
      </c>
      <c r="K52" s="63" t="str">
        <f>_xlfn.IFNA(IF(VLOOKUP($J$1&amp;$A52,'4.1 关键词原始数据'!$A:$N,T$2,FALSE)=0," ",VLOOKUP($J$1&amp;$A52,'4.1 关键词原始数据'!$A:$N,T$2,FALSE))," ")</f>
        <v> </v>
      </c>
      <c r="L52" s="63" t="str">
        <f>_xlfn.IFNA(IF(VLOOKUP($J$1&amp;$A52,'4.1 关键词原始数据'!$A:$N,U$2,FALSE)=0," ",VLOOKUP($J$1&amp;$A52,'4.1 关键词原始数据'!$A:$N,U$2,FALSE))," ")</f>
        <v> </v>
      </c>
      <c r="M52" s="63" t="str">
        <f>_xlfn.IFNA(IF(VLOOKUP($J$1&amp;$A52,'4.1 关键词原始数据'!$A:$N,V$2,FALSE)=0," ",VLOOKUP($J$1&amp;$A52,'4.1 关键词原始数据'!$A:$N,V$2,FALSE))," ")</f>
        <v>5-10-1</v>
      </c>
      <c r="N52" s="63" t="str">
        <f>_xlfn.IFNA(IF(VLOOKUP($J$1&amp;$A52,'4.1 关键词原始数据'!$A:$N,W$2,FALSE)=0," ",VLOOKUP($J$1&amp;$A52,'4.1 关键词原始数据'!$A:$N,W$2,FALSE))," ")</f>
        <v> </v>
      </c>
      <c r="O52" s="63" t="str">
        <f>_xlfn.IFNA(IF(VLOOKUP($J$1&amp;$A52,'4.1 关键词原始数据'!$A:$N,X$2,FALSE)=0," ",VLOOKUP($J$1&amp;$A52,'4.1 关键词原始数据'!$A:$N,X$2,FALSE))," ")</f>
        <v> </v>
      </c>
      <c r="P52" s="63" t="str">
        <f>_xlfn.IFNA(IF(VLOOKUP($J$1&amp;$A52,'4.1 关键词原始数据'!$A:$N,Y$2,FALSE)=0," ",VLOOKUP($J$1&amp;$A52,'4.1 关键词原始数据'!$A:$N,Y$2,FALSE))," ")</f>
        <v> </v>
      </c>
      <c r="Q52" s="63" t="str">
        <f>_xlfn.IFNA(IF(VLOOKUP($J$1&amp;$A52,'4.1 关键词原始数据'!$A:$N,Z$2,FALSE)=0," ",VLOOKUP($J$1&amp;$A52,'4.1 关键词原始数据'!$A:$N,Z$2,FALSE))," ")</f>
        <v> </v>
      </c>
    </row>
    <row r="53" ht="16.5" spans="1:17">
      <c r="A53" s="62" t="s">
        <v>301</v>
      </c>
      <c r="B53" s="63" t="str">
        <f>_xlfn.IFNA(IF(VLOOKUP($B$1&amp;$A53,'4.1 关键词原始数据'!$A:$N,S$2,FALSE)=0," ",VLOOKUP($B$1&amp;$A53,'4.1 关键词原始数据'!$A:$N,S$2,FALSE))," ")</f>
        <v> </v>
      </c>
      <c r="C53" s="63" t="str">
        <f>_xlfn.IFNA(IF(VLOOKUP($B$1&amp;$A53,'4.1 关键词原始数据'!$A:$N,T$2,FALSE)=0," ",VLOOKUP($B$1&amp;$A53,'4.1 关键词原始数据'!$A:$N,T$2,FALSE))," ")</f>
        <v>5-3-4</v>
      </c>
      <c r="D53" s="63" t="str">
        <f>_xlfn.IFNA(IF(VLOOKUP($B$1&amp;$A53,'4.1 关键词原始数据'!$A:$N,U$2,FALSE)=0," ",VLOOKUP($B$1&amp;$A53,'4.1 关键词原始数据'!$A:$N,U$2,FALSE))," ")</f>
        <v> </v>
      </c>
      <c r="E53" s="63" t="str">
        <f>_xlfn.IFNA(IF(VLOOKUP($B$1&amp;$A53,'4.1 关键词原始数据'!$A:$N,V$2,FALSE)=0," ",VLOOKUP($B$1&amp;$A53,'4.1 关键词原始数据'!$A:$N,V$2,FALSE))," ")</f>
        <v> </v>
      </c>
      <c r="F53" s="63" t="str">
        <f>_xlfn.IFNA(IF(VLOOKUP($B$1&amp;$A53,'4.1 关键词原始数据'!$A:$N,W$2,FALSE)=0," ",VLOOKUP($B$1&amp;$A53,'4.1 关键词原始数据'!$A:$N,W$2,FALSE))," ")</f>
        <v> </v>
      </c>
      <c r="G53" s="63" t="str">
        <f>_xlfn.IFNA(IF(VLOOKUP($B$1&amp;$A53,'4.1 关键词原始数据'!$A:$N,X$2,FALSE)=0," ",VLOOKUP($B$1&amp;$A53,'4.1 关键词原始数据'!$A:$N,X$2,FALSE))," ")</f>
        <v>1-13-5</v>
      </c>
      <c r="H53" s="63" t="str">
        <f>_xlfn.IFNA(IF(VLOOKUP($B$1&amp;$A53,'4.1 关键词原始数据'!$A:$N,Y$2,FALSE)=0," ",VLOOKUP($B$1&amp;$A53,'4.1 关键词原始数据'!$A:$N,Y$2,FALSE))," ")</f>
        <v> </v>
      </c>
      <c r="I53" s="63" t="str">
        <f>_xlfn.IFNA(IF(VLOOKUP($B$1&amp;$A53,'4.1 关键词原始数据'!$A:$N,Z$2,FALSE)=0," ",VLOOKUP($B$1&amp;$A53,'4.1 关键词原始数据'!$A:$N,Z$2,FALSE))," ")</f>
        <v> </v>
      </c>
      <c r="J53" s="63" t="str">
        <f>_xlfn.IFNA(IF(VLOOKUP($J$1&amp;$A53,'4.1 关键词原始数据'!$A:$N,S$2,FALSE)=0," ",VLOOKUP($J$1&amp;$A53,'4.1 关键词原始数据'!$A:$N,S$2,FALSE))," ")</f>
        <v> </v>
      </c>
      <c r="K53" s="63" t="str">
        <f>_xlfn.IFNA(IF(VLOOKUP($J$1&amp;$A53,'4.1 关键词原始数据'!$A:$N,T$2,FALSE)=0," ",VLOOKUP($J$1&amp;$A53,'4.1 关键词原始数据'!$A:$N,T$2,FALSE))," ")</f>
        <v> </v>
      </c>
      <c r="L53" s="63" t="str">
        <f>_xlfn.IFNA(IF(VLOOKUP($J$1&amp;$A53,'4.1 关键词原始数据'!$A:$N,U$2,FALSE)=0," ",VLOOKUP($J$1&amp;$A53,'4.1 关键词原始数据'!$A:$N,U$2,FALSE))," ")</f>
        <v> </v>
      </c>
      <c r="M53" s="63" t="str">
        <f>_xlfn.IFNA(IF(VLOOKUP($J$1&amp;$A53,'4.1 关键词原始数据'!$A:$N,V$2,FALSE)=0," ",VLOOKUP($J$1&amp;$A53,'4.1 关键词原始数据'!$A:$N,V$2,FALSE))," ")</f>
        <v>6-7-3</v>
      </c>
      <c r="N53" s="63" t="str">
        <f>_xlfn.IFNA(IF(VLOOKUP($J$1&amp;$A53,'4.1 关键词原始数据'!$A:$N,W$2,FALSE)=0," ",VLOOKUP($J$1&amp;$A53,'4.1 关键词原始数据'!$A:$N,W$2,FALSE))," ")</f>
        <v> </v>
      </c>
      <c r="O53" s="63" t="str">
        <f>_xlfn.IFNA(IF(VLOOKUP($J$1&amp;$A53,'4.1 关键词原始数据'!$A:$N,X$2,FALSE)=0," ",VLOOKUP($J$1&amp;$A53,'4.1 关键词原始数据'!$A:$N,X$2,FALSE))," ")</f>
        <v> </v>
      </c>
      <c r="P53" s="63" t="str">
        <f>_xlfn.IFNA(IF(VLOOKUP($J$1&amp;$A53,'4.1 关键词原始数据'!$A:$N,Y$2,FALSE)=0," ",VLOOKUP($J$1&amp;$A53,'4.1 关键词原始数据'!$A:$N,Y$2,FALSE))," ")</f>
        <v> </v>
      </c>
      <c r="Q53" s="63" t="str">
        <f>_xlfn.IFNA(IF(VLOOKUP($J$1&amp;$A53,'4.1 关键词原始数据'!$A:$N,Z$2,FALSE)=0," ",VLOOKUP($J$1&amp;$A53,'4.1 关键词原始数据'!$A:$N,Z$2,FALSE))," ")</f>
        <v> </v>
      </c>
    </row>
    <row r="54" ht="16.5" spans="1:17">
      <c r="A54" s="62" t="s">
        <v>302</v>
      </c>
      <c r="B54" s="63" t="str">
        <f>_xlfn.IFNA(IF(VLOOKUP($B$1&amp;$A54,'4.1 关键词原始数据'!$A:$N,S$2,FALSE)=0," ",VLOOKUP($B$1&amp;$A54,'4.1 关键词原始数据'!$A:$N,S$2,FALSE))," ")</f>
        <v> </v>
      </c>
      <c r="C54" s="63" t="str">
        <f>_xlfn.IFNA(IF(VLOOKUP($B$1&amp;$A54,'4.1 关键词原始数据'!$A:$N,T$2,FALSE)=0," ",VLOOKUP($B$1&amp;$A54,'4.1 关键词原始数据'!$A:$N,T$2,FALSE))," ")</f>
        <v>5-2-3</v>
      </c>
      <c r="D54" s="63" t="str">
        <f>_xlfn.IFNA(IF(VLOOKUP($B$1&amp;$A54,'4.1 关键词原始数据'!$A:$N,U$2,FALSE)=0," ",VLOOKUP($B$1&amp;$A54,'4.1 关键词原始数据'!$A:$N,U$2,FALSE))," ")</f>
        <v> </v>
      </c>
      <c r="E54" s="63" t="str">
        <f>_xlfn.IFNA(IF(VLOOKUP($B$1&amp;$A54,'4.1 关键词原始数据'!$A:$N,V$2,FALSE)=0," ",VLOOKUP($B$1&amp;$A54,'4.1 关键词原始数据'!$A:$N,V$2,FALSE))," ")</f>
        <v> </v>
      </c>
      <c r="F54" s="63" t="str">
        <f>_xlfn.IFNA(IF(VLOOKUP($B$1&amp;$A54,'4.1 关键词原始数据'!$A:$N,W$2,FALSE)=0," ",VLOOKUP($B$1&amp;$A54,'4.1 关键词原始数据'!$A:$N,W$2,FALSE))," ")</f>
        <v> </v>
      </c>
      <c r="G54" s="63" t="str">
        <f>_xlfn.IFNA(IF(VLOOKUP($B$1&amp;$A54,'4.1 关键词原始数据'!$A:$N,X$2,FALSE)=0," ",VLOOKUP($B$1&amp;$A54,'4.1 关键词原始数据'!$A:$N,X$2,FALSE))," ")</f>
        <v>2-2-4</v>
      </c>
      <c r="H54" s="63" t="str">
        <f>_xlfn.IFNA(IF(VLOOKUP($B$1&amp;$A54,'4.1 关键词原始数据'!$A:$N,Y$2,FALSE)=0," ",VLOOKUP($B$1&amp;$A54,'4.1 关键词原始数据'!$A:$N,Y$2,FALSE))," ")</f>
        <v> </v>
      </c>
      <c r="I54" s="63" t="str">
        <f>_xlfn.IFNA(IF(VLOOKUP($B$1&amp;$A54,'4.1 关键词原始数据'!$A:$N,Z$2,FALSE)=0," ",VLOOKUP($B$1&amp;$A54,'4.1 关键词原始数据'!$A:$N,Z$2,FALSE))," ")</f>
        <v> </v>
      </c>
      <c r="J54" s="63" t="str">
        <f>_xlfn.IFNA(IF(VLOOKUP($J$1&amp;$A54,'4.1 关键词原始数据'!$A:$N,S$2,FALSE)=0," ",VLOOKUP($J$1&amp;$A54,'4.1 关键词原始数据'!$A:$N,S$2,FALSE))," ")</f>
        <v> </v>
      </c>
      <c r="K54" s="63" t="str">
        <f>_xlfn.IFNA(IF(VLOOKUP($J$1&amp;$A54,'4.1 关键词原始数据'!$A:$N,T$2,FALSE)=0," ",VLOOKUP($J$1&amp;$A54,'4.1 关键词原始数据'!$A:$N,T$2,FALSE))," ")</f>
        <v> </v>
      </c>
      <c r="L54" s="63" t="str">
        <f>_xlfn.IFNA(IF(VLOOKUP($J$1&amp;$A54,'4.1 关键词原始数据'!$A:$N,U$2,FALSE)=0," ",VLOOKUP($J$1&amp;$A54,'4.1 关键词原始数据'!$A:$N,U$2,FALSE))," ")</f>
        <v> </v>
      </c>
      <c r="M54" s="63" t="str">
        <f>_xlfn.IFNA(IF(VLOOKUP($J$1&amp;$A54,'4.1 关键词原始数据'!$A:$N,V$2,FALSE)=0," ",VLOOKUP($J$1&amp;$A54,'4.1 关键词原始数据'!$A:$N,V$2,FALSE))," ")</f>
        <v>6-11-2</v>
      </c>
      <c r="N54" s="63" t="str">
        <f>_xlfn.IFNA(IF(VLOOKUP($J$1&amp;$A54,'4.1 关键词原始数据'!$A:$N,W$2,FALSE)=0," ",VLOOKUP($J$1&amp;$A54,'4.1 关键词原始数据'!$A:$N,W$2,FALSE))," ")</f>
        <v> </v>
      </c>
      <c r="O54" s="63" t="str">
        <f>_xlfn.IFNA(IF(VLOOKUP($J$1&amp;$A54,'4.1 关键词原始数据'!$A:$N,X$2,FALSE)=0," ",VLOOKUP($J$1&amp;$A54,'4.1 关键词原始数据'!$A:$N,X$2,FALSE))," ")</f>
        <v> </v>
      </c>
      <c r="P54" s="63" t="str">
        <f>_xlfn.IFNA(IF(VLOOKUP($J$1&amp;$A54,'4.1 关键词原始数据'!$A:$N,Y$2,FALSE)=0," ",VLOOKUP($J$1&amp;$A54,'4.1 关键词原始数据'!$A:$N,Y$2,FALSE))," ")</f>
        <v> </v>
      </c>
      <c r="Q54" s="63" t="str">
        <f>_xlfn.IFNA(IF(VLOOKUP($J$1&amp;$A54,'4.1 关键词原始数据'!$A:$N,Z$2,FALSE)=0," ",VLOOKUP($J$1&amp;$A54,'4.1 关键词原始数据'!$A:$N,Z$2,FALSE))," ")</f>
        <v> </v>
      </c>
    </row>
    <row r="55" ht="16.5" spans="1:17">
      <c r="A55" s="62" t="s">
        <v>303</v>
      </c>
      <c r="B55" s="63" t="str">
        <f>_xlfn.IFNA(IF(VLOOKUP($B$1&amp;$A55,'4.1 关键词原始数据'!$A:$N,S$2,FALSE)=0," ",VLOOKUP($B$1&amp;$A55,'4.1 关键词原始数据'!$A:$N,S$2,FALSE))," ")</f>
        <v> </v>
      </c>
      <c r="C55" s="63" t="str">
        <f>_xlfn.IFNA(IF(VLOOKUP($B$1&amp;$A55,'4.1 关键词原始数据'!$A:$N,T$2,FALSE)=0," ",VLOOKUP($B$1&amp;$A55,'4.1 关键词原始数据'!$A:$N,T$2,FALSE))," ")</f>
        <v>4-12-4</v>
      </c>
      <c r="D55" s="63" t="str">
        <f>_xlfn.IFNA(IF(VLOOKUP($B$1&amp;$A55,'4.1 关键词原始数据'!$A:$N,U$2,FALSE)=0," ",VLOOKUP($B$1&amp;$A55,'4.1 关键词原始数据'!$A:$N,U$2,FALSE))," ")</f>
        <v> </v>
      </c>
      <c r="E55" s="63" t="str">
        <f>_xlfn.IFNA(IF(VLOOKUP($B$1&amp;$A55,'4.1 关键词原始数据'!$A:$N,V$2,FALSE)=0," ",VLOOKUP($B$1&amp;$A55,'4.1 关键词原始数据'!$A:$N,V$2,FALSE))," ")</f>
        <v> </v>
      </c>
      <c r="F55" s="63" t="str">
        <f>_xlfn.IFNA(IF(VLOOKUP($B$1&amp;$A55,'4.1 关键词原始数据'!$A:$N,W$2,FALSE)=0," ",VLOOKUP($B$1&amp;$A55,'4.1 关键词原始数据'!$A:$N,W$2,FALSE))," ")</f>
        <v> </v>
      </c>
      <c r="G55" s="63" t="str">
        <f>_xlfn.IFNA(IF(VLOOKUP($B$1&amp;$A55,'4.1 关键词原始数据'!$A:$N,X$2,FALSE)=0," ",VLOOKUP($B$1&amp;$A55,'4.1 关键词原始数据'!$A:$N,X$2,FALSE))," ")</f>
        <v>1-11-5</v>
      </c>
      <c r="H55" s="63" t="str">
        <f>_xlfn.IFNA(IF(VLOOKUP($B$1&amp;$A55,'4.1 关键词原始数据'!$A:$N,Y$2,FALSE)=0," ",VLOOKUP($B$1&amp;$A55,'4.1 关键词原始数据'!$A:$N,Y$2,FALSE))," ")</f>
        <v> </v>
      </c>
      <c r="I55" s="63" t="str">
        <f>_xlfn.IFNA(IF(VLOOKUP($B$1&amp;$A55,'4.1 关键词原始数据'!$A:$N,Z$2,FALSE)=0," ",VLOOKUP($B$1&amp;$A55,'4.1 关键词原始数据'!$A:$N,Z$2,FALSE))," ")</f>
        <v> </v>
      </c>
      <c r="J55" s="63" t="str">
        <f>_xlfn.IFNA(IF(VLOOKUP($J$1&amp;$A55,'4.1 关键词原始数据'!$A:$N,S$2,FALSE)=0," ",VLOOKUP($J$1&amp;$A55,'4.1 关键词原始数据'!$A:$N,S$2,FALSE))," ")</f>
        <v> </v>
      </c>
      <c r="K55" s="63" t="str">
        <f>_xlfn.IFNA(IF(VLOOKUP($J$1&amp;$A55,'4.1 关键词原始数据'!$A:$N,T$2,FALSE)=0," ",VLOOKUP($J$1&amp;$A55,'4.1 关键词原始数据'!$A:$N,T$2,FALSE))," ")</f>
        <v> </v>
      </c>
      <c r="L55" s="63" t="str">
        <f>_xlfn.IFNA(IF(VLOOKUP($J$1&amp;$A55,'4.1 关键词原始数据'!$A:$N,U$2,FALSE)=0," ",VLOOKUP($J$1&amp;$A55,'4.1 关键词原始数据'!$A:$N,U$2,FALSE))," ")</f>
        <v> </v>
      </c>
      <c r="M55" s="63" t="str">
        <f>_xlfn.IFNA(IF(VLOOKUP($J$1&amp;$A55,'4.1 关键词原始数据'!$A:$N,V$2,FALSE)=0," ",VLOOKUP($J$1&amp;$A55,'4.1 关键词原始数据'!$A:$N,V$2,FALSE))," ")</f>
        <v>5-12-1</v>
      </c>
      <c r="N55" s="63" t="str">
        <f>_xlfn.IFNA(IF(VLOOKUP($J$1&amp;$A55,'4.1 关键词原始数据'!$A:$N,W$2,FALSE)=0," ",VLOOKUP($J$1&amp;$A55,'4.1 关键词原始数据'!$A:$N,W$2,FALSE))," ")</f>
        <v> </v>
      </c>
      <c r="O55" s="63" t="str">
        <f>_xlfn.IFNA(IF(VLOOKUP($J$1&amp;$A55,'4.1 关键词原始数据'!$A:$N,X$2,FALSE)=0," ",VLOOKUP($J$1&amp;$A55,'4.1 关键词原始数据'!$A:$N,X$2,FALSE))," ")</f>
        <v> </v>
      </c>
      <c r="P55" s="63" t="str">
        <f>_xlfn.IFNA(IF(VLOOKUP($J$1&amp;$A55,'4.1 关键词原始数据'!$A:$N,Y$2,FALSE)=0," ",VLOOKUP($J$1&amp;$A55,'4.1 关键词原始数据'!$A:$N,Y$2,FALSE))," ")</f>
        <v> </v>
      </c>
      <c r="Q55" s="63" t="str">
        <f>_xlfn.IFNA(IF(VLOOKUP($J$1&amp;$A55,'4.1 关键词原始数据'!$A:$N,Z$2,FALSE)=0," ",VLOOKUP($J$1&amp;$A55,'4.1 关键词原始数据'!$A:$N,Z$2,FALSE))," ")</f>
        <v> </v>
      </c>
    </row>
    <row r="56" ht="16.5" spans="1:17">
      <c r="A56" s="62" t="s">
        <v>304</v>
      </c>
      <c r="B56" s="63" t="str">
        <f>_xlfn.IFNA(IF(VLOOKUP($B$1&amp;$A56,'4.1 关键词原始数据'!$A:$N,S$2,FALSE)=0," ",VLOOKUP($B$1&amp;$A56,'4.1 关键词原始数据'!$A:$N,S$2,FALSE))," ")</f>
        <v> </v>
      </c>
      <c r="C56" s="63" t="str">
        <f>_xlfn.IFNA(IF(VLOOKUP($B$1&amp;$A56,'4.1 关键词原始数据'!$A:$N,T$2,FALSE)=0," ",VLOOKUP($B$1&amp;$A56,'4.1 关键词原始数据'!$A:$N,T$2,FALSE))," ")</f>
        <v>4-13-4</v>
      </c>
      <c r="D56" s="63" t="str">
        <f>_xlfn.IFNA(IF(VLOOKUP($B$1&amp;$A56,'4.1 关键词原始数据'!$A:$N,U$2,FALSE)=0," ",VLOOKUP($B$1&amp;$A56,'4.1 关键词原始数据'!$A:$N,U$2,FALSE))," ")</f>
        <v> </v>
      </c>
      <c r="E56" s="63" t="str">
        <f>_xlfn.IFNA(IF(VLOOKUP($B$1&amp;$A56,'4.1 关键词原始数据'!$A:$N,V$2,FALSE)=0," ",VLOOKUP($B$1&amp;$A56,'4.1 关键词原始数据'!$A:$N,V$2,FALSE))," ")</f>
        <v> </v>
      </c>
      <c r="F56" s="63" t="str">
        <f>_xlfn.IFNA(IF(VLOOKUP($B$1&amp;$A56,'4.1 关键词原始数据'!$A:$N,W$2,FALSE)=0," ",VLOOKUP($B$1&amp;$A56,'4.1 关键词原始数据'!$A:$N,W$2,FALSE))," ")</f>
        <v> </v>
      </c>
      <c r="G56" s="63" t="str">
        <f>_xlfn.IFNA(IF(VLOOKUP($B$1&amp;$A56,'4.1 关键词原始数据'!$A:$N,X$2,FALSE)=0," ",VLOOKUP($B$1&amp;$A56,'4.1 关键词原始数据'!$A:$N,X$2,FALSE))," ")</f>
        <v>1-13-4</v>
      </c>
      <c r="H56" s="63" t="str">
        <f>_xlfn.IFNA(IF(VLOOKUP($B$1&amp;$A56,'4.1 关键词原始数据'!$A:$N,Y$2,FALSE)=0," ",VLOOKUP($B$1&amp;$A56,'4.1 关键词原始数据'!$A:$N,Y$2,FALSE))," ")</f>
        <v> </v>
      </c>
      <c r="I56" s="63" t="str">
        <f>_xlfn.IFNA(IF(VLOOKUP($B$1&amp;$A56,'4.1 关键词原始数据'!$A:$N,Z$2,FALSE)=0," ",VLOOKUP($B$1&amp;$A56,'4.1 关键词原始数据'!$A:$N,Z$2,FALSE))," ")</f>
        <v> </v>
      </c>
      <c r="J56" s="63" t="str">
        <f>_xlfn.IFNA(IF(VLOOKUP($J$1&amp;$A56,'4.1 关键词原始数据'!$A:$N,S$2,FALSE)=0," ",VLOOKUP($J$1&amp;$A56,'4.1 关键词原始数据'!$A:$N,S$2,FALSE))," ")</f>
        <v> </v>
      </c>
      <c r="K56" s="63" t="str">
        <f>_xlfn.IFNA(IF(VLOOKUP($J$1&amp;$A56,'4.1 关键词原始数据'!$A:$N,T$2,FALSE)=0," ",VLOOKUP($J$1&amp;$A56,'4.1 关键词原始数据'!$A:$N,T$2,FALSE))," ")</f>
        <v> </v>
      </c>
      <c r="L56" s="63" t="str">
        <f>_xlfn.IFNA(IF(VLOOKUP($J$1&amp;$A56,'4.1 关键词原始数据'!$A:$N,U$2,FALSE)=0," ",VLOOKUP($J$1&amp;$A56,'4.1 关键词原始数据'!$A:$N,U$2,FALSE))," ")</f>
        <v> </v>
      </c>
      <c r="M56" s="63" t="str">
        <f>_xlfn.IFNA(IF(VLOOKUP($J$1&amp;$A56,'4.1 关键词原始数据'!$A:$N,V$2,FALSE)=0," ",VLOOKUP($J$1&amp;$A56,'4.1 关键词原始数据'!$A:$N,V$2,FALSE))," ")</f>
        <v>6-11-5</v>
      </c>
      <c r="N56" s="63" t="str">
        <f>_xlfn.IFNA(IF(VLOOKUP($J$1&amp;$A56,'4.1 关键词原始数据'!$A:$N,W$2,FALSE)=0," ",VLOOKUP($J$1&amp;$A56,'4.1 关键词原始数据'!$A:$N,W$2,FALSE))," ")</f>
        <v> </v>
      </c>
      <c r="O56" s="63" t="str">
        <f>_xlfn.IFNA(IF(VLOOKUP($J$1&amp;$A56,'4.1 关键词原始数据'!$A:$N,X$2,FALSE)=0," ",VLOOKUP($J$1&amp;$A56,'4.1 关键词原始数据'!$A:$N,X$2,FALSE))," ")</f>
        <v> </v>
      </c>
      <c r="P56" s="63" t="str">
        <f>_xlfn.IFNA(IF(VLOOKUP($J$1&amp;$A56,'4.1 关键词原始数据'!$A:$N,Y$2,FALSE)=0," ",VLOOKUP($J$1&amp;$A56,'4.1 关键词原始数据'!$A:$N,Y$2,FALSE))," ")</f>
        <v> </v>
      </c>
      <c r="Q56" s="63" t="str">
        <f>_xlfn.IFNA(IF(VLOOKUP($J$1&amp;$A56,'4.1 关键词原始数据'!$A:$N,Z$2,FALSE)=0," ",VLOOKUP($J$1&amp;$A56,'4.1 关键词原始数据'!$A:$N,Z$2,FALSE))," ")</f>
        <v> </v>
      </c>
    </row>
    <row r="57" ht="16.5" spans="1:17">
      <c r="A57" s="62" t="s">
        <v>305</v>
      </c>
      <c r="B57" s="63" t="str">
        <f>_xlfn.IFNA(IF(VLOOKUP($B$1&amp;$A57,'4.1 关键词原始数据'!$A:$N,S$2,FALSE)=0," ",VLOOKUP($B$1&amp;$A57,'4.1 关键词原始数据'!$A:$N,S$2,FALSE))," ")</f>
        <v> </v>
      </c>
      <c r="C57" s="63" t="str">
        <f>_xlfn.IFNA(IF(VLOOKUP($B$1&amp;$A57,'4.1 关键词原始数据'!$A:$N,T$2,FALSE)=0," ",VLOOKUP($B$1&amp;$A57,'4.1 关键词原始数据'!$A:$N,T$2,FALSE))," ")</f>
        <v>4-12-3</v>
      </c>
      <c r="D57" s="63" t="str">
        <f>_xlfn.IFNA(IF(VLOOKUP($B$1&amp;$A57,'4.1 关键词原始数据'!$A:$N,U$2,FALSE)=0," ",VLOOKUP($B$1&amp;$A57,'4.1 关键词原始数据'!$A:$N,U$2,FALSE))," ")</f>
        <v> </v>
      </c>
      <c r="E57" s="63" t="str">
        <f>_xlfn.IFNA(IF(VLOOKUP($B$1&amp;$A57,'4.1 关键词原始数据'!$A:$N,V$2,FALSE)=0," ",VLOOKUP($B$1&amp;$A57,'4.1 关键词原始数据'!$A:$N,V$2,FALSE))," ")</f>
        <v> </v>
      </c>
      <c r="F57" s="63" t="str">
        <f>_xlfn.IFNA(IF(VLOOKUP($B$1&amp;$A57,'4.1 关键词原始数据'!$A:$N,W$2,FALSE)=0," ",VLOOKUP($B$1&amp;$A57,'4.1 关键词原始数据'!$A:$N,W$2,FALSE))," ")</f>
        <v> </v>
      </c>
      <c r="G57" s="63" t="str">
        <f>_xlfn.IFNA(IF(VLOOKUP($B$1&amp;$A57,'4.1 关键词原始数据'!$A:$N,X$2,FALSE)=0," ",VLOOKUP($B$1&amp;$A57,'4.1 关键词原始数据'!$A:$N,X$2,FALSE))," ")</f>
        <v>1-13-1</v>
      </c>
      <c r="H57" s="63" t="str">
        <f>_xlfn.IFNA(IF(VLOOKUP($B$1&amp;$A57,'4.1 关键词原始数据'!$A:$N,Y$2,FALSE)=0," ",VLOOKUP($B$1&amp;$A57,'4.1 关键词原始数据'!$A:$N,Y$2,FALSE))," ")</f>
        <v> </v>
      </c>
      <c r="I57" s="63" t="str">
        <f>_xlfn.IFNA(IF(VLOOKUP($B$1&amp;$A57,'4.1 关键词原始数据'!$A:$N,Z$2,FALSE)=0," ",VLOOKUP($B$1&amp;$A57,'4.1 关键词原始数据'!$A:$N,Z$2,FALSE))," ")</f>
        <v> </v>
      </c>
      <c r="J57" s="63" t="str">
        <f>_xlfn.IFNA(IF(VLOOKUP($J$1&amp;$A57,'4.1 关键词原始数据'!$A:$N,S$2,FALSE)=0," ",VLOOKUP($J$1&amp;$A57,'4.1 关键词原始数据'!$A:$N,S$2,FALSE))," ")</f>
        <v> </v>
      </c>
      <c r="K57" s="63" t="str">
        <f>_xlfn.IFNA(IF(VLOOKUP($J$1&amp;$A57,'4.1 关键词原始数据'!$A:$N,T$2,FALSE)=0," ",VLOOKUP($J$1&amp;$A57,'4.1 关键词原始数据'!$A:$N,T$2,FALSE))," ")</f>
        <v> </v>
      </c>
      <c r="L57" s="63" t="str">
        <f>_xlfn.IFNA(IF(VLOOKUP($J$1&amp;$A57,'4.1 关键词原始数据'!$A:$N,U$2,FALSE)=0," ",VLOOKUP($J$1&amp;$A57,'4.1 关键词原始数据'!$A:$N,U$2,FALSE))," ")</f>
        <v> </v>
      </c>
      <c r="M57" s="63" t="str">
        <f>_xlfn.IFNA(IF(VLOOKUP($J$1&amp;$A57,'4.1 关键词原始数据'!$A:$N,V$2,FALSE)=0," ",VLOOKUP($J$1&amp;$A57,'4.1 关键词原始数据'!$A:$N,V$2,FALSE))," ")</f>
        <v>5-12-1</v>
      </c>
      <c r="N57" s="63" t="str">
        <f>_xlfn.IFNA(IF(VLOOKUP($J$1&amp;$A57,'4.1 关键词原始数据'!$A:$N,W$2,FALSE)=0," ",VLOOKUP($J$1&amp;$A57,'4.1 关键词原始数据'!$A:$N,W$2,FALSE))," ")</f>
        <v> </v>
      </c>
      <c r="O57" s="63" t="str">
        <f>_xlfn.IFNA(IF(VLOOKUP($J$1&amp;$A57,'4.1 关键词原始数据'!$A:$N,X$2,FALSE)=0," ",VLOOKUP($J$1&amp;$A57,'4.1 关键词原始数据'!$A:$N,X$2,FALSE))," ")</f>
        <v> </v>
      </c>
      <c r="P57" s="63" t="str">
        <f>_xlfn.IFNA(IF(VLOOKUP($J$1&amp;$A57,'4.1 关键词原始数据'!$A:$N,Y$2,FALSE)=0," ",VLOOKUP($J$1&amp;$A57,'4.1 关键词原始数据'!$A:$N,Y$2,FALSE))," ")</f>
        <v> </v>
      </c>
      <c r="Q57" s="63" t="str">
        <f>_xlfn.IFNA(IF(VLOOKUP($J$1&amp;$A57,'4.1 关键词原始数据'!$A:$N,Z$2,FALSE)=0," ",VLOOKUP($J$1&amp;$A57,'4.1 关键词原始数据'!$A:$N,Z$2,FALSE))," ")</f>
        <v> </v>
      </c>
    </row>
    <row r="58" ht="16.5" spans="1:17">
      <c r="A58" s="62" t="s">
        <v>306</v>
      </c>
      <c r="B58" s="63" t="str">
        <f>_xlfn.IFNA(IF(VLOOKUP($B$1&amp;$A58,'4.1 关键词原始数据'!$A:$N,S$2,FALSE)=0," ",VLOOKUP($B$1&amp;$A58,'4.1 关键词原始数据'!$A:$N,S$2,FALSE))," ")</f>
        <v> </v>
      </c>
      <c r="C58" s="63" t="str">
        <f>_xlfn.IFNA(IF(VLOOKUP($B$1&amp;$A58,'4.1 关键词原始数据'!$A:$N,T$2,FALSE)=0," ",VLOOKUP($B$1&amp;$A58,'4.1 关键词原始数据'!$A:$N,T$2,FALSE))," ")</f>
        <v>4-12-3</v>
      </c>
      <c r="D58" s="63" t="str">
        <f>_xlfn.IFNA(IF(VLOOKUP($B$1&amp;$A58,'4.1 关键词原始数据'!$A:$N,U$2,FALSE)=0," ",VLOOKUP($B$1&amp;$A58,'4.1 关键词原始数据'!$A:$N,U$2,FALSE))," ")</f>
        <v> </v>
      </c>
      <c r="E58" s="63" t="str">
        <f>_xlfn.IFNA(IF(VLOOKUP($B$1&amp;$A58,'4.1 关键词原始数据'!$A:$N,V$2,FALSE)=0," ",VLOOKUP($B$1&amp;$A58,'4.1 关键词原始数据'!$A:$N,V$2,FALSE))," ")</f>
        <v> </v>
      </c>
      <c r="F58" s="63" t="str">
        <f>_xlfn.IFNA(IF(VLOOKUP($B$1&amp;$A58,'4.1 关键词原始数据'!$A:$N,W$2,FALSE)=0," ",VLOOKUP($B$1&amp;$A58,'4.1 关键词原始数据'!$A:$N,W$2,FALSE))," ")</f>
        <v> </v>
      </c>
      <c r="G58" s="63" t="str">
        <f>_xlfn.IFNA(IF(VLOOKUP($B$1&amp;$A58,'4.1 关键词原始数据'!$A:$N,X$2,FALSE)=0," ",VLOOKUP($B$1&amp;$A58,'4.1 关键词原始数据'!$A:$N,X$2,FALSE))," ")</f>
        <v>1-12-2</v>
      </c>
      <c r="H58" s="63" t="str">
        <f>_xlfn.IFNA(IF(VLOOKUP($B$1&amp;$A58,'4.1 关键词原始数据'!$A:$N,Y$2,FALSE)=0," ",VLOOKUP($B$1&amp;$A58,'4.1 关键词原始数据'!$A:$N,Y$2,FALSE))," ")</f>
        <v> </v>
      </c>
      <c r="I58" s="63" t="str">
        <f>_xlfn.IFNA(IF(VLOOKUP($B$1&amp;$A58,'4.1 关键词原始数据'!$A:$N,Z$2,FALSE)=0," ",VLOOKUP($B$1&amp;$A58,'4.1 关键词原始数据'!$A:$N,Z$2,FALSE))," ")</f>
        <v> </v>
      </c>
      <c r="J58" s="63" t="str">
        <f>_xlfn.IFNA(IF(VLOOKUP($J$1&amp;$A58,'4.1 关键词原始数据'!$A:$N,S$2,FALSE)=0," ",VLOOKUP($J$1&amp;$A58,'4.1 关键词原始数据'!$A:$N,S$2,FALSE))," ")</f>
        <v> </v>
      </c>
      <c r="K58" s="63" t="str">
        <f>_xlfn.IFNA(IF(VLOOKUP($J$1&amp;$A58,'4.1 关键词原始数据'!$A:$N,T$2,FALSE)=0," ",VLOOKUP($J$1&amp;$A58,'4.1 关键词原始数据'!$A:$N,T$2,FALSE))," ")</f>
        <v> </v>
      </c>
      <c r="L58" s="63" t="str">
        <f>_xlfn.IFNA(IF(VLOOKUP($J$1&amp;$A58,'4.1 关键词原始数据'!$A:$N,U$2,FALSE)=0," ",VLOOKUP($J$1&amp;$A58,'4.1 关键词原始数据'!$A:$N,U$2,FALSE))," ")</f>
        <v> </v>
      </c>
      <c r="M58" s="63" t="str">
        <f>_xlfn.IFNA(IF(VLOOKUP($J$1&amp;$A58,'4.1 关键词原始数据'!$A:$N,V$2,FALSE)=0," ",VLOOKUP($J$1&amp;$A58,'4.1 关键词原始数据'!$A:$N,V$2,FALSE))," ")</f>
        <v>5-7-2</v>
      </c>
      <c r="N58" s="63" t="str">
        <f>_xlfn.IFNA(IF(VLOOKUP($J$1&amp;$A58,'4.1 关键词原始数据'!$A:$N,W$2,FALSE)=0," ",VLOOKUP($J$1&amp;$A58,'4.1 关键词原始数据'!$A:$N,W$2,FALSE))," ")</f>
        <v> </v>
      </c>
      <c r="O58" s="63" t="str">
        <f>_xlfn.IFNA(IF(VLOOKUP($J$1&amp;$A58,'4.1 关键词原始数据'!$A:$N,X$2,FALSE)=0," ",VLOOKUP($J$1&amp;$A58,'4.1 关键词原始数据'!$A:$N,X$2,FALSE))," ")</f>
        <v> </v>
      </c>
      <c r="P58" s="63" t="str">
        <f>_xlfn.IFNA(IF(VLOOKUP($J$1&amp;$A58,'4.1 关键词原始数据'!$A:$N,Y$2,FALSE)=0," ",VLOOKUP($J$1&amp;$A58,'4.1 关键词原始数据'!$A:$N,Y$2,FALSE))," ")</f>
        <v> </v>
      </c>
      <c r="Q58" s="63" t="str">
        <f>_xlfn.IFNA(IF(VLOOKUP($J$1&amp;$A58,'4.1 关键词原始数据'!$A:$N,Z$2,FALSE)=0," ",VLOOKUP($J$1&amp;$A58,'4.1 关键词原始数据'!$A:$N,Z$2,FALSE))," ")</f>
        <v> </v>
      </c>
    </row>
    <row r="59" ht="16.5" spans="1:17">
      <c r="A59" s="62" t="s">
        <v>307</v>
      </c>
      <c r="B59" s="63" t="str">
        <f>_xlfn.IFNA(IF(VLOOKUP($B$1&amp;$A59,'4.1 关键词原始数据'!$A:$N,S$2,FALSE)=0," ",VLOOKUP($B$1&amp;$A59,'4.1 关键词原始数据'!$A:$N,S$2,FALSE))," ")</f>
        <v> </v>
      </c>
      <c r="C59" s="63" t="str">
        <f>_xlfn.IFNA(IF(VLOOKUP($B$1&amp;$A59,'4.1 关键词原始数据'!$A:$N,T$2,FALSE)=0," ",VLOOKUP($B$1&amp;$A59,'4.1 关键词原始数据'!$A:$N,T$2,FALSE))," ")</f>
        <v>4-12-2</v>
      </c>
      <c r="D59" s="63" t="str">
        <f>_xlfn.IFNA(IF(VLOOKUP($B$1&amp;$A59,'4.1 关键词原始数据'!$A:$N,U$2,FALSE)=0," ",VLOOKUP($B$1&amp;$A59,'4.1 关键词原始数据'!$A:$N,U$2,FALSE))," ")</f>
        <v> </v>
      </c>
      <c r="E59" s="63" t="str">
        <f>_xlfn.IFNA(IF(VLOOKUP($B$1&amp;$A59,'4.1 关键词原始数据'!$A:$N,V$2,FALSE)=0," ",VLOOKUP($B$1&amp;$A59,'4.1 关键词原始数据'!$A:$N,V$2,FALSE))," ")</f>
        <v> </v>
      </c>
      <c r="F59" s="63" t="str">
        <f>_xlfn.IFNA(IF(VLOOKUP($B$1&amp;$A59,'4.1 关键词原始数据'!$A:$N,W$2,FALSE)=0," ",VLOOKUP($B$1&amp;$A59,'4.1 关键词原始数据'!$A:$N,W$2,FALSE))," ")</f>
        <v> </v>
      </c>
      <c r="G59" s="63" t="str">
        <f>_xlfn.IFNA(IF(VLOOKUP($B$1&amp;$A59,'4.1 关键词原始数据'!$A:$N,X$2,FALSE)=0," ",VLOOKUP($B$1&amp;$A59,'4.1 关键词原始数据'!$A:$N,X$2,FALSE))," ")</f>
        <v>1-11-4</v>
      </c>
      <c r="H59" s="63" t="str">
        <f>_xlfn.IFNA(IF(VLOOKUP($B$1&amp;$A59,'4.1 关键词原始数据'!$A:$N,Y$2,FALSE)=0," ",VLOOKUP($B$1&amp;$A59,'4.1 关键词原始数据'!$A:$N,Y$2,FALSE))," ")</f>
        <v> </v>
      </c>
      <c r="I59" s="63" t="str">
        <f>_xlfn.IFNA(IF(VLOOKUP($B$1&amp;$A59,'4.1 关键词原始数据'!$A:$N,Z$2,FALSE)=0," ",VLOOKUP($B$1&amp;$A59,'4.1 关键词原始数据'!$A:$N,Z$2,FALSE))," ")</f>
        <v> </v>
      </c>
      <c r="J59" s="63" t="str">
        <f>_xlfn.IFNA(IF(VLOOKUP($J$1&amp;$A59,'4.1 关键词原始数据'!$A:$N,S$2,FALSE)=0," ",VLOOKUP($J$1&amp;$A59,'4.1 关键词原始数据'!$A:$N,S$2,FALSE))," ")</f>
        <v> </v>
      </c>
      <c r="K59" s="63" t="str">
        <f>_xlfn.IFNA(IF(VLOOKUP($J$1&amp;$A59,'4.1 关键词原始数据'!$A:$N,T$2,FALSE)=0," ",VLOOKUP($J$1&amp;$A59,'4.1 关键词原始数据'!$A:$N,T$2,FALSE))," ")</f>
        <v> </v>
      </c>
      <c r="L59" s="63" t="str">
        <f>_xlfn.IFNA(IF(VLOOKUP($J$1&amp;$A59,'4.1 关键词原始数据'!$A:$N,U$2,FALSE)=0," ",VLOOKUP($J$1&amp;$A59,'4.1 关键词原始数据'!$A:$N,U$2,FALSE))," ")</f>
        <v> </v>
      </c>
      <c r="M59" s="63" t="str">
        <f>_xlfn.IFNA(IF(VLOOKUP($J$1&amp;$A59,'4.1 关键词原始数据'!$A:$N,V$2,FALSE)=0," ",VLOOKUP($J$1&amp;$A59,'4.1 关键词原始数据'!$A:$N,V$2,FALSE))," ")</f>
        <v>5-8-4</v>
      </c>
      <c r="N59" s="63" t="str">
        <f>_xlfn.IFNA(IF(VLOOKUP($J$1&amp;$A59,'4.1 关键词原始数据'!$A:$N,W$2,FALSE)=0," ",VLOOKUP($J$1&amp;$A59,'4.1 关键词原始数据'!$A:$N,W$2,FALSE))," ")</f>
        <v> </v>
      </c>
      <c r="O59" s="63" t="str">
        <f>_xlfn.IFNA(IF(VLOOKUP($J$1&amp;$A59,'4.1 关键词原始数据'!$A:$N,X$2,FALSE)=0," ",VLOOKUP($J$1&amp;$A59,'4.1 关键词原始数据'!$A:$N,X$2,FALSE))," ")</f>
        <v> </v>
      </c>
      <c r="P59" s="63" t="str">
        <f>_xlfn.IFNA(IF(VLOOKUP($J$1&amp;$A59,'4.1 关键词原始数据'!$A:$N,Y$2,FALSE)=0," ",VLOOKUP($J$1&amp;$A59,'4.1 关键词原始数据'!$A:$N,Y$2,FALSE))," ")</f>
        <v> </v>
      </c>
      <c r="Q59" s="63" t="str">
        <f>_xlfn.IFNA(IF(VLOOKUP($J$1&amp;$A59,'4.1 关键词原始数据'!$A:$N,Z$2,FALSE)=0," ",VLOOKUP($J$1&amp;$A59,'4.1 关键词原始数据'!$A:$N,Z$2,FALSE))," ")</f>
        <v> </v>
      </c>
    </row>
    <row r="60" ht="16.5" spans="1:17">
      <c r="A60" s="62" t="s">
        <v>308</v>
      </c>
      <c r="B60" s="63" t="str">
        <f>_xlfn.IFNA(IF(VLOOKUP($B$1&amp;$A60,'4.1 关键词原始数据'!$A:$N,S$2,FALSE)=0," ",VLOOKUP($B$1&amp;$A60,'4.1 关键词原始数据'!$A:$N,S$2,FALSE))," ")</f>
        <v> </v>
      </c>
      <c r="C60" s="63" t="str">
        <f>_xlfn.IFNA(IF(VLOOKUP($B$1&amp;$A60,'4.1 关键词原始数据'!$A:$N,T$2,FALSE)=0," ",VLOOKUP($B$1&amp;$A60,'4.1 关键词原始数据'!$A:$N,T$2,FALSE))," ")</f>
        <v>4-12-1</v>
      </c>
      <c r="D60" s="63" t="str">
        <f>_xlfn.IFNA(IF(VLOOKUP($B$1&amp;$A60,'4.1 关键词原始数据'!$A:$N,U$2,FALSE)=0," ",VLOOKUP($B$1&amp;$A60,'4.1 关键词原始数据'!$A:$N,U$2,FALSE))," ")</f>
        <v> </v>
      </c>
      <c r="E60" s="63" t="str">
        <f>_xlfn.IFNA(IF(VLOOKUP($B$1&amp;$A60,'4.1 关键词原始数据'!$A:$N,V$2,FALSE)=0," ",VLOOKUP($B$1&amp;$A60,'4.1 关键词原始数据'!$A:$N,V$2,FALSE))," ")</f>
        <v> </v>
      </c>
      <c r="F60" s="63" t="str">
        <f>_xlfn.IFNA(IF(VLOOKUP($B$1&amp;$A60,'4.1 关键词原始数据'!$A:$N,W$2,FALSE)=0," ",VLOOKUP($B$1&amp;$A60,'4.1 关键词原始数据'!$A:$N,W$2,FALSE))," ")</f>
        <v> </v>
      </c>
      <c r="G60" s="63" t="str">
        <f>_xlfn.IFNA(IF(VLOOKUP($B$1&amp;$A60,'4.1 关键词原始数据'!$A:$N,X$2,FALSE)=0," ",VLOOKUP($B$1&amp;$A60,'4.1 关键词原始数据'!$A:$N,X$2,FALSE))," ")</f>
        <v>1-12-2</v>
      </c>
      <c r="H60" s="63" t="str">
        <f>_xlfn.IFNA(IF(VLOOKUP($B$1&amp;$A60,'4.1 关键词原始数据'!$A:$N,Y$2,FALSE)=0," ",VLOOKUP($B$1&amp;$A60,'4.1 关键词原始数据'!$A:$N,Y$2,FALSE))," ")</f>
        <v> </v>
      </c>
      <c r="I60" s="63" t="str">
        <f>_xlfn.IFNA(IF(VLOOKUP($B$1&amp;$A60,'4.1 关键词原始数据'!$A:$N,Z$2,FALSE)=0," ",VLOOKUP($B$1&amp;$A60,'4.1 关键词原始数据'!$A:$N,Z$2,FALSE))," ")</f>
        <v> </v>
      </c>
      <c r="J60" s="63" t="str">
        <f>_xlfn.IFNA(IF(VLOOKUP($J$1&amp;$A60,'4.1 关键词原始数据'!$A:$N,S$2,FALSE)=0," ",VLOOKUP($J$1&amp;$A60,'4.1 关键词原始数据'!$A:$N,S$2,FALSE))," ")</f>
        <v> </v>
      </c>
      <c r="K60" s="63" t="str">
        <f>_xlfn.IFNA(IF(VLOOKUP($J$1&amp;$A60,'4.1 关键词原始数据'!$A:$N,T$2,FALSE)=0," ",VLOOKUP($J$1&amp;$A60,'4.1 关键词原始数据'!$A:$N,T$2,FALSE))," ")</f>
        <v> </v>
      </c>
      <c r="L60" s="63" t="str">
        <f>_xlfn.IFNA(IF(VLOOKUP($J$1&amp;$A60,'4.1 关键词原始数据'!$A:$N,U$2,FALSE)=0," ",VLOOKUP($J$1&amp;$A60,'4.1 关键词原始数据'!$A:$N,U$2,FALSE))," ")</f>
        <v> </v>
      </c>
      <c r="M60" s="63" t="str">
        <f>_xlfn.IFNA(IF(VLOOKUP($J$1&amp;$A60,'4.1 关键词原始数据'!$A:$N,V$2,FALSE)=0," ",VLOOKUP($J$1&amp;$A60,'4.1 关键词原始数据'!$A:$N,V$2,FALSE))," ")</f>
        <v>5-9-5</v>
      </c>
      <c r="N60" s="63" t="str">
        <f>_xlfn.IFNA(IF(VLOOKUP($J$1&amp;$A60,'4.1 关键词原始数据'!$A:$N,W$2,FALSE)=0," ",VLOOKUP($J$1&amp;$A60,'4.1 关键词原始数据'!$A:$N,W$2,FALSE))," ")</f>
        <v> </v>
      </c>
      <c r="O60" s="63" t="str">
        <f>_xlfn.IFNA(IF(VLOOKUP($J$1&amp;$A60,'4.1 关键词原始数据'!$A:$N,X$2,FALSE)=0," ",VLOOKUP($J$1&amp;$A60,'4.1 关键词原始数据'!$A:$N,X$2,FALSE))," ")</f>
        <v> </v>
      </c>
      <c r="P60" s="63" t="str">
        <f>_xlfn.IFNA(IF(VLOOKUP($J$1&amp;$A60,'4.1 关键词原始数据'!$A:$N,Y$2,FALSE)=0," ",VLOOKUP($J$1&amp;$A60,'4.1 关键词原始数据'!$A:$N,Y$2,FALSE))," ")</f>
        <v> </v>
      </c>
      <c r="Q60" s="63" t="str">
        <f>_xlfn.IFNA(IF(VLOOKUP($J$1&amp;$A60,'4.1 关键词原始数据'!$A:$N,Z$2,FALSE)=0," ",VLOOKUP($J$1&amp;$A60,'4.1 关键词原始数据'!$A:$N,Z$2,FALSE))," ")</f>
        <v> </v>
      </c>
    </row>
    <row r="61" ht="16.5" spans="1:17">
      <c r="A61" s="62" t="s">
        <v>309</v>
      </c>
      <c r="B61" s="63" t="str">
        <f>_xlfn.IFNA(IF(VLOOKUP($B$1&amp;$A61,'4.1 关键词原始数据'!$A:$N,S$2,FALSE)=0," ",VLOOKUP($B$1&amp;$A61,'4.1 关键词原始数据'!$A:$N,S$2,FALSE))," ")</f>
        <v> </v>
      </c>
      <c r="C61" s="63" t="str">
        <f>_xlfn.IFNA(IF(VLOOKUP($B$1&amp;$A61,'4.1 关键词原始数据'!$A:$N,T$2,FALSE)=0," ",VLOOKUP($B$1&amp;$A61,'4.1 关键词原始数据'!$A:$N,T$2,FALSE))," ")</f>
        <v>4-14-1</v>
      </c>
      <c r="D61" s="63" t="str">
        <f>_xlfn.IFNA(IF(VLOOKUP($B$1&amp;$A61,'4.1 关键词原始数据'!$A:$N,U$2,FALSE)=0," ",VLOOKUP($B$1&amp;$A61,'4.1 关键词原始数据'!$A:$N,U$2,FALSE))," ")</f>
        <v> </v>
      </c>
      <c r="E61" s="63" t="str">
        <f>_xlfn.IFNA(IF(VLOOKUP($B$1&amp;$A61,'4.1 关键词原始数据'!$A:$N,V$2,FALSE)=0," ",VLOOKUP($B$1&amp;$A61,'4.1 关键词原始数据'!$A:$N,V$2,FALSE))," ")</f>
        <v> </v>
      </c>
      <c r="F61" s="63" t="str">
        <f>_xlfn.IFNA(IF(VLOOKUP($B$1&amp;$A61,'4.1 关键词原始数据'!$A:$N,W$2,FALSE)=0," ",VLOOKUP($B$1&amp;$A61,'4.1 关键词原始数据'!$A:$N,W$2,FALSE))," ")</f>
        <v> </v>
      </c>
      <c r="G61" s="63" t="str">
        <f>_xlfn.IFNA(IF(VLOOKUP($B$1&amp;$A61,'4.1 关键词原始数据'!$A:$N,X$2,FALSE)=0," ",VLOOKUP($B$1&amp;$A61,'4.1 关键词原始数据'!$A:$N,X$2,FALSE))," ")</f>
        <v>1-12-1</v>
      </c>
      <c r="H61" s="63" t="str">
        <f>_xlfn.IFNA(IF(VLOOKUP($B$1&amp;$A61,'4.1 关键词原始数据'!$A:$N,Y$2,FALSE)=0," ",VLOOKUP($B$1&amp;$A61,'4.1 关键词原始数据'!$A:$N,Y$2,FALSE))," ")</f>
        <v> </v>
      </c>
      <c r="I61" s="63" t="str">
        <f>_xlfn.IFNA(IF(VLOOKUP($B$1&amp;$A61,'4.1 关键词原始数据'!$A:$N,Z$2,FALSE)=0," ",VLOOKUP($B$1&amp;$A61,'4.1 关键词原始数据'!$A:$N,Z$2,FALSE))," ")</f>
        <v> </v>
      </c>
      <c r="J61" s="63" t="str">
        <f>_xlfn.IFNA(IF(VLOOKUP($J$1&amp;$A61,'4.1 关键词原始数据'!$A:$N,S$2,FALSE)=0," ",VLOOKUP($J$1&amp;$A61,'4.1 关键词原始数据'!$A:$N,S$2,FALSE))," ")</f>
        <v> </v>
      </c>
      <c r="K61" s="63" t="str">
        <f>_xlfn.IFNA(IF(VLOOKUP($J$1&amp;$A61,'4.1 关键词原始数据'!$A:$N,T$2,FALSE)=0," ",VLOOKUP($J$1&amp;$A61,'4.1 关键词原始数据'!$A:$N,T$2,FALSE))," ")</f>
        <v> </v>
      </c>
      <c r="L61" s="63" t="str">
        <f>_xlfn.IFNA(IF(VLOOKUP($J$1&amp;$A61,'4.1 关键词原始数据'!$A:$N,U$2,FALSE)=0," ",VLOOKUP($J$1&amp;$A61,'4.1 关键词原始数据'!$A:$N,U$2,FALSE))," ")</f>
        <v> </v>
      </c>
      <c r="M61" s="63" t="str">
        <f>_xlfn.IFNA(IF(VLOOKUP($J$1&amp;$A61,'4.1 关键词原始数据'!$A:$N,V$2,FALSE)=0," ",VLOOKUP($J$1&amp;$A61,'4.1 关键词原始数据'!$A:$N,V$2,FALSE))," ")</f>
        <v>6-2-2</v>
      </c>
      <c r="N61" s="63" t="str">
        <f>_xlfn.IFNA(IF(VLOOKUP($J$1&amp;$A61,'4.1 关键词原始数据'!$A:$N,W$2,FALSE)=0," ",VLOOKUP($J$1&amp;$A61,'4.1 关键词原始数据'!$A:$N,W$2,FALSE))," ")</f>
        <v> </v>
      </c>
      <c r="O61" s="63" t="str">
        <f>_xlfn.IFNA(IF(VLOOKUP($J$1&amp;$A61,'4.1 关键词原始数据'!$A:$N,X$2,FALSE)=0," ",VLOOKUP($J$1&amp;$A61,'4.1 关键词原始数据'!$A:$N,X$2,FALSE))," ")</f>
        <v> </v>
      </c>
      <c r="P61" s="63" t="str">
        <f>_xlfn.IFNA(IF(VLOOKUP($J$1&amp;$A61,'4.1 关键词原始数据'!$A:$N,Y$2,FALSE)=0," ",VLOOKUP($J$1&amp;$A61,'4.1 关键词原始数据'!$A:$N,Y$2,FALSE))," ")</f>
        <v> </v>
      </c>
      <c r="Q61" s="63" t="str">
        <f>_xlfn.IFNA(IF(VLOOKUP($J$1&amp;$A61,'4.1 关键词原始数据'!$A:$N,Z$2,FALSE)=0," ",VLOOKUP($J$1&amp;$A61,'4.1 关键词原始数据'!$A:$N,Z$2,FALSE))," ")</f>
        <v> </v>
      </c>
    </row>
    <row r="62" ht="16.5" spans="1:17">
      <c r="A62" s="62" t="s">
        <v>310</v>
      </c>
      <c r="B62" s="63" t="str">
        <f>_xlfn.IFNA(IF(VLOOKUP($B$1&amp;$A62,'4.1 关键词原始数据'!$A:$N,S$2,FALSE)=0," ",VLOOKUP($B$1&amp;$A62,'4.1 关键词原始数据'!$A:$N,S$2,FALSE))," ")</f>
        <v> </v>
      </c>
      <c r="C62" s="63" t="str">
        <f>_xlfn.IFNA(IF(VLOOKUP($B$1&amp;$A62,'4.1 关键词原始数据'!$A:$N,T$2,FALSE)=0," ",VLOOKUP($B$1&amp;$A62,'4.1 关键词原始数据'!$A:$N,T$2,FALSE))," ")</f>
        <v>4-12-1</v>
      </c>
      <c r="D62" s="63" t="str">
        <f>_xlfn.IFNA(IF(VLOOKUP($B$1&amp;$A62,'4.1 关键词原始数据'!$A:$N,U$2,FALSE)=0," ",VLOOKUP($B$1&amp;$A62,'4.1 关键词原始数据'!$A:$N,U$2,FALSE))," ")</f>
        <v> </v>
      </c>
      <c r="E62" s="63" t="str">
        <f>_xlfn.IFNA(IF(VLOOKUP($B$1&amp;$A62,'4.1 关键词原始数据'!$A:$N,V$2,FALSE)=0," ",VLOOKUP($B$1&amp;$A62,'4.1 关键词原始数据'!$A:$N,V$2,FALSE))," ")</f>
        <v> </v>
      </c>
      <c r="F62" s="63" t="str">
        <f>_xlfn.IFNA(IF(VLOOKUP($B$1&amp;$A62,'4.1 关键词原始数据'!$A:$N,W$2,FALSE)=0," ",VLOOKUP($B$1&amp;$A62,'4.1 关键词原始数据'!$A:$N,W$2,FALSE))," ")</f>
        <v> </v>
      </c>
      <c r="G62" s="63" t="str">
        <f>_xlfn.IFNA(IF(VLOOKUP($B$1&amp;$A62,'4.1 关键词原始数据'!$A:$N,X$2,FALSE)=0," ",VLOOKUP($B$1&amp;$A62,'4.1 关键词原始数据'!$A:$N,X$2,FALSE))," ")</f>
        <v>1-13-3</v>
      </c>
      <c r="H62" s="63" t="str">
        <f>_xlfn.IFNA(IF(VLOOKUP($B$1&amp;$A62,'4.1 关键词原始数据'!$A:$N,Y$2,FALSE)=0," ",VLOOKUP($B$1&amp;$A62,'4.1 关键词原始数据'!$A:$N,Y$2,FALSE))," ")</f>
        <v> </v>
      </c>
      <c r="I62" s="63" t="str">
        <f>_xlfn.IFNA(IF(VLOOKUP($B$1&amp;$A62,'4.1 关键词原始数据'!$A:$N,Z$2,FALSE)=0," ",VLOOKUP($B$1&amp;$A62,'4.1 关键词原始数据'!$A:$N,Z$2,FALSE))," ")</f>
        <v> </v>
      </c>
      <c r="J62" s="63" t="str">
        <f>_xlfn.IFNA(IF(VLOOKUP($J$1&amp;$A62,'4.1 关键词原始数据'!$A:$N,S$2,FALSE)=0," ",VLOOKUP($J$1&amp;$A62,'4.1 关键词原始数据'!$A:$N,S$2,FALSE))," ")</f>
        <v> </v>
      </c>
      <c r="K62" s="63" t="str">
        <f>_xlfn.IFNA(IF(VLOOKUP($J$1&amp;$A62,'4.1 关键词原始数据'!$A:$N,T$2,FALSE)=0," ",VLOOKUP($J$1&amp;$A62,'4.1 关键词原始数据'!$A:$N,T$2,FALSE))," ")</f>
        <v> </v>
      </c>
      <c r="L62" s="63" t="str">
        <f>_xlfn.IFNA(IF(VLOOKUP($J$1&amp;$A62,'4.1 关键词原始数据'!$A:$N,U$2,FALSE)=0," ",VLOOKUP($J$1&amp;$A62,'4.1 关键词原始数据'!$A:$N,U$2,FALSE))," ")</f>
        <v> </v>
      </c>
      <c r="M62" s="63" t="str">
        <f>_xlfn.IFNA(IF(VLOOKUP($J$1&amp;$A62,'4.1 关键词原始数据'!$A:$N,V$2,FALSE)=0," ",VLOOKUP($J$1&amp;$A62,'4.1 关键词原始数据'!$A:$N,V$2,FALSE))," ")</f>
        <v>5-10-1</v>
      </c>
      <c r="N62" s="63" t="str">
        <f>_xlfn.IFNA(IF(VLOOKUP($J$1&amp;$A62,'4.1 关键词原始数据'!$A:$N,W$2,FALSE)=0," ",VLOOKUP($J$1&amp;$A62,'4.1 关键词原始数据'!$A:$N,W$2,FALSE))," ")</f>
        <v> </v>
      </c>
      <c r="O62" s="63" t="str">
        <f>_xlfn.IFNA(IF(VLOOKUP($J$1&amp;$A62,'4.1 关键词原始数据'!$A:$N,X$2,FALSE)=0," ",VLOOKUP($J$1&amp;$A62,'4.1 关键词原始数据'!$A:$N,X$2,FALSE))," ")</f>
        <v> </v>
      </c>
      <c r="P62" s="63" t="str">
        <f>_xlfn.IFNA(IF(VLOOKUP($J$1&amp;$A62,'4.1 关键词原始数据'!$A:$N,Y$2,FALSE)=0," ",VLOOKUP($J$1&amp;$A62,'4.1 关键词原始数据'!$A:$N,Y$2,FALSE))," ")</f>
        <v> </v>
      </c>
      <c r="Q62" s="63" t="str">
        <f>_xlfn.IFNA(IF(VLOOKUP($J$1&amp;$A62,'4.1 关键词原始数据'!$A:$N,Z$2,FALSE)=0," ",VLOOKUP($J$1&amp;$A62,'4.1 关键词原始数据'!$A:$N,Z$2,FALSE))," ")</f>
        <v> </v>
      </c>
    </row>
    <row r="63" ht="16.5" spans="1:17">
      <c r="A63" s="62" t="s">
        <v>311</v>
      </c>
      <c r="B63" s="63" t="str">
        <f>_xlfn.IFNA(IF(VLOOKUP($B$1&amp;$A63,'4.1 关键词原始数据'!$A:$N,S$2,FALSE)=0," ",VLOOKUP($B$1&amp;$A63,'4.1 关键词原始数据'!$A:$N,S$2,FALSE))," ")</f>
        <v> </v>
      </c>
      <c r="C63" s="63" t="str">
        <f>_xlfn.IFNA(IF(VLOOKUP($B$1&amp;$A63,'4.1 关键词原始数据'!$A:$N,T$2,FALSE)=0," ",VLOOKUP($B$1&amp;$A63,'4.1 关键词原始数据'!$A:$N,T$2,FALSE))," ")</f>
        <v>4-12-1</v>
      </c>
      <c r="D63" s="63" t="str">
        <f>_xlfn.IFNA(IF(VLOOKUP($B$1&amp;$A63,'4.1 关键词原始数据'!$A:$N,U$2,FALSE)=0," ",VLOOKUP($B$1&amp;$A63,'4.1 关键词原始数据'!$A:$N,U$2,FALSE))," ")</f>
        <v> </v>
      </c>
      <c r="E63" s="63" t="str">
        <f>_xlfn.IFNA(IF(VLOOKUP($B$1&amp;$A63,'4.1 关键词原始数据'!$A:$N,V$2,FALSE)=0," ",VLOOKUP($B$1&amp;$A63,'4.1 关键词原始数据'!$A:$N,V$2,FALSE))," ")</f>
        <v> </v>
      </c>
      <c r="F63" s="63" t="str">
        <f>_xlfn.IFNA(IF(VLOOKUP($B$1&amp;$A63,'4.1 关键词原始数据'!$A:$N,W$2,FALSE)=0," ",VLOOKUP($B$1&amp;$A63,'4.1 关键词原始数据'!$A:$N,W$2,FALSE))," ")</f>
        <v> </v>
      </c>
      <c r="G63" s="63" t="str">
        <f>_xlfn.IFNA(IF(VLOOKUP($B$1&amp;$A63,'4.1 关键词原始数据'!$A:$N,X$2,FALSE)=0," ",VLOOKUP($B$1&amp;$A63,'4.1 关键词原始数据'!$A:$N,X$2,FALSE))," ")</f>
        <v>1-9-4</v>
      </c>
      <c r="H63" s="63" t="str">
        <f>_xlfn.IFNA(IF(VLOOKUP($B$1&amp;$A63,'4.1 关键词原始数据'!$A:$N,Y$2,FALSE)=0," ",VLOOKUP($B$1&amp;$A63,'4.1 关键词原始数据'!$A:$N,Y$2,FALSE))," ")</f>
        <v> </v>
      </c>
      <c r="I63" s="63" t="str">
        <f>_xlfn.IFNA(IF(VLOOKUP($B$1&amp;$A63,'4.1 关键词原始数据'!$A:$N,Z$2,FALSE)=0," ",VLOOKUP($B$1&amp;$A63,'4.1 关键词原始数据'!$A:$N,Z$2,FALSE))," ")</f>
        <v> </v>
      </c>
      <c r="J63" s="63" t="str">
        <f>_xlfn.IFNA(IF(VLOOKUP($J$1&amp;$A63,'4.1 关键词原始数据'!$A:$N,S$2,FALSE)=0," ",VLOOKUP($J$1&amp;$A63,'4.1 关键词原始数据'!$A:$N,S$2,FALSE))," ")</f>
        <v> </v>
      </c>
      <c r="K63" s="63" t="str">
        <f>_xlfn.IFNA(IF(VLOOKUP($J$1&amp;$A63,'4.1 关键词原始数据'!$A:$N,T$2,FALSE)=0," ",VLOOKUP($J$1&amp;$A63,'4.1 关键词原始数据'!$A:$N,T$2,FALSE))," ")</f>
        <v> </v>
      </c>
      <c r="L63" s="63" t="str">
        <f>_xlfn.IFNA(IF(VLOOKUP($J$1&amp;$A63,'4.1 关键词原始数据'!$A:$N,U$2,FALSE)=0," ",VLOOKUP($J$1&amp;$A63,'4.1 关键词原始数据'!$A:$N,U$2,FALSE))," ")</f>
        <v> </v>
      </c>
      <c r="M63" s="63" t="str">
        <f>_xlfn.IFNA(IF(VLOOKUP($J$1&amp;$A63,'4.1 关键词原始数据'!$A:$N,V$2,FALSE)=0," ",VLOOKUP($J$1&amp;$A63,'4.1 关键词原始数据'!$A:$N,V$2,FALSE))," ")</f>
        <v> </v>
      </c>
      <c r="N63" s="63" t="str">
        <f>_xlfn.IFNA(IF(VLOOKUP($J$1&amp;$A63,'4.1 关键词原始数据'!$A:$N,W$2,FALSE)=0," ",VLOOKUP($J$1&amp;$A63,'4.1 关键词原始数据'!$A:$N,W$2,FALSE))," ")</f>
        <v> </v>
      </c>
      <c r="O63" s="63" t="str">
        <f>_xlfn.IFNA(IF(VLOOKUP($J$1&amp;$A63,'4.1 关键词原始数据'!$A:$N,X$2,FALSE)=0," ",VLOOKUP($J$1&amp;$A63,'4.1 关键词原始数据'!$A:$N,X$2,FALSE))," ")</f>
        <v> </v>
      </c>
      <c r="P63" s="63" t="str">
        <f>_xlfn.IFNA(IF(VLOOKUP($J$1&amp;$A63,'4.1 关键词原始数据'!$A:$N,Y$2,FALSE)=0," ",VLOOKUP($J$1&amp;$A63,'4.1 关键词原始数据'!$A:$N,Y$2,FALSE))," ")</f>
        <v> </v>
      </c>
      <c r="Q63" s="63" t="str">
        <f>_xlfn.IFNA(IF(VLOOKUP($J$1&amp;$A63,'4.1 关键词原始数据'!$A:$N,Z$2,FALSE)=0," ",VLOOKUP($J$1&amp;$A63,'4.1 关键词原始数据'!$A:$N,Z$2,FALSE))," ")</f>
        <v> </v>
      </c>
    </row>
    <row r="64" ht="16.5" spans="1:17">
      <c r="A64" s="62" t="s">
        <v>312</v>
      </c>
      <c r="B64" s="63" t="str">
        <f>_xlfn.IFNA(IF(VLOOKUP($B$1&amp;$A64,'4.1 关键词原始数据'!$A:$N,S$2,FALSE)=0," ",VLOOKUP($B$1&amp;$A64,'4.1 关键词原始数据'!$A:$N,S$2,FALSE))," ")</f>
        <v> </v>
      </c>
      <c r="C64" s="63" t="str">
        <f>_xlfn.IFNA(IF(VLOOKUP($B$1&amp;$A64,'4.1 关键词原始数据'!$A:$N,T$2,FALSE)=0," ",VLOOKUP($B$1&amp;$A64,'4.1 关键词原始数据'!$A:$N,T$2,FALSE))," ")</f>
        <v>4-12-3</v>
      </c>
      <c r="D64" s="63" t="str">
        <f>_xlfn.IFNA(IF(VLOOKUP($B$1&amp;$A64,'4.1 关键词原始数据'!$A:$N,U$2,FALSE)=0," ",VLOOKUP($B$1&amp;$A64,'4.1 关键词原始数据'!$A:$N,U$2,FALSE))," ")</f>
        <v> </v>
      </c>
      <c r="E64" s="63" t="str">
        <f>_xlfn.IFNA(IF(VLOOKUP($B$1&amp;$A64,'4.1 关键词原始数据'!$A:$N,V$2,FALSE)=0," ",VLOOKUP($B$1&amp;$A64,'4.1 关键词原始数据'!$A:$N,V$2,FALSE))," ")</f>
        <v> </v>
      </c>
      <c r="F64" s="63" t="str">
        <f>_xlfn.IFNA(IF(VLOOKUP($B$1&amp;$A64,'4.1 关键词原始数据'!$A:$N,W$2,FALSE)=0," ",VLOOKUP($B$1&amp;$A64,'4.1 关键词原始数据'!$A:$N,W$2,FALSE))," ")</f>
        <v> </v>
      </c>
      <c r="G64" s="63" t="str">
        <f>_xlfn.IFNA(IF(VLOOKUP($B$1&amp;$A64,'4.1 关键词原始数据'!$A:$N,X$2,FALSE)=0," ",VLOOKUP($B$1&amp;$A64,'4.1 关键词原始数据'!$A:$N,X$2,FALSE))," ")</f>
        <v>1-11-3</v>
      </c>
      <c r="H64" s="63" t="str">
        <f>_xlfn.IFNA(IF(VLOOKUP($B$1&amp;$A64,'4.1 关键词原始数据'!$A:$N,Y$2,FALSE)=0," ",VLOOKUP($B$1&amp;$A64,'4.1 关键词原始数据'!$A:$N,Y$2,FALSE))," ")</f>
        <v> </v>
      </c>
      <c r="I64" s="63" t="str">
        <f>_xlfn.IFNA(IF(VLOOKUP($B$1&amp;$A64,'4.1 关键词原始数据'!$A:$N,Z$2,FALSE)=0," ",VLOOKUP($B$1&amp;$A64,'4.1 关键词原始数据'!$A:$N,Z$2,FALSE))," ")</f>
        <v> </v>
      </c>
      <c r="J64" s="63" t="str">
        <f>_xlfn.IFNA(IF(VLOOKUP($J$1&amp;$A64,'4.1 关键词原始数据'!$A:$N,S$2,FALSE)=0," ",VLOOKUP($J$1&amp;$A64,'4.1 关键词原始数据'!$A:$N,S$2,FALSE))," ")</f>
        <v> </v>
      </c>
      <c r="K64" s="63" t="str">
        <f>_xlfn.IFNA(IF(VLOOKUP($J$1&amp;$A64,'4.1 关键词原始数据'!$A:$N,T$2,FALSE)=0," ",VLOOKUP($J$1&amp;$A64,'4.1 关键词原始数据'!$A:$N,T$2,FALSE))," ")</f>
        <v> </v>
      </c>
      <c r="L64" s="63" t="str">
        <f>_xlfn.IFNA(IF(VLOOKUP($J$1&amp;$A64,'4.1 关键词原始数据'!$A:$N,U$2,FALSE)=0," ",VLOOKUP($J$1&amp;$A64,'4.1 关键词原始数据'!$A:$N,U$2,FALSE))," ")</f>
        <v> </v>
      </c>
      <c r="M64" s="63" t="str">
        <f>_xlfn.IFNA(IF(VLOOKUP($J$1&amp;$A64,'4.1 关键词原始数据'!$A:$N,V$2,FALSE)=0," ",VLOOKUP($J$1&amp;$A64,'4.1 关键词原始数据'!$A:$N,V$2,FALSE))," ")</f>
        <v>5-15-2</v>
      </c>
      <c r="N64" s="63" t="str">
        <f>_xlfn.IFNA(IF(VLOOKUP($J$1&amp;$A64,'4.1 关键词原始数据'!$A:$N,W$2,FALSE)=0," ",VLOOKUP($J$1&amp;$A64,'4.1 关键词原始数据'!$A:$N,W$2,FALSE))," ")</f>
        <v> </v>
      </c>
      <c r="O64" s="63" t="str">
        <f>_xlfn.IFNA(IF(VLOOKUP($J$1&amp;$A64,'4.1 关键词原始数据'!$A:$N,X$2,FALSE)=0," ",VLOOKUP($J$1&amp;$A64,'4.1 关键词原始数据'!$A:$N,X$2,FALSE))," ")</f>
        <v> </v>
      </c>
      <c r="P64" s="63" t="str">
        <f>_xlfn.IFNA(IF(VLOOKUP($J$1&amp;$A64,'4.1 关键词原始数据'!$A:$N,Y$2,FALSE)=0," ",VLOOKUP($J$1&amp;$A64,'4.1 关键词原始数据'!$A:$N,Y$2,FALSE))," ")</f>
        <v> </v>
      </c>
      <c r="Q64" s="63" t="str">
        <f>_xlfn.IFNA(IF(VLOOKUP($J$1&amp;$A64,'4.1 关键词原始数据'!$A:$N,Z$2,FALSE)=0," ",VLOOKUP($J$1&amp;$A64,'4.1 关键词原始数据'!$A:$N,Z$2,FALSE))," ")</f>
        <v> </v>
      </c>
    </row>
    <row r="65" ht="16.5" spans="1:17">
      <c r="A65" s="62" t="s">
        <v>313</v>
      </c>
      <c r="B65" s="63" t="str">
        <f>_xlfn.IFNA(IF(VLOOKUP($B$1&amp;$A65,'4.1 关键词原始数据'!$A:$N,S$2,FALSE)=0," ",VLOOKUP($B$1&amp;$A65,'4.1 关键词原始数据'!$A:$N,S$2,FALSE))," ")</f>
        <v> </v>
      </c>
      <c r="C65" s="63" t="str">
        <f>_xlfn.IFNA(IF(VLOOKUP($B$1&amp;$A65,'4.1 关键词原始数据'!$A:$N,T$2,FALSE)=0," ",VLOOKUP($B$1&amp;$A65,'4.1 关键词原始数据'!$A:$N,T$2,FALSE))," ")</f>
        <v>4-12-4</v>
      </c>
      <c r="D65" s="63" t="str">
        <f>_xlfn.IFNA(IF(VLOOKUP($B$1&amp;$A65,'4.1 关键词原始数据'!$A:$N,U$2,FALSE)=0," ",VLOOKUP($B$1&amp;$A65,'4.1 关键词原始数据'!$A:$N,U$2,FALSE))," ")</f>
        <v> </v>
      </c>
      <c r="E65" s="63" t="str">
        <f>_xlfn.IFNA(IF(VLOOKUP($B$1&amp;$A65,'4.1 关键词原始数据'!$A:$N,V$2,FALSE)=0," ",VLOOKUP($B$1&amp;$A65,'4.1 关键词原始数据'!$A:$N,V$2,FALSE))," ")</f>
        <v> </v>
      </c>
      <c r="F65" s="63" t="str">
        <f>_xlfn.IFNA(IF(VLOOKUP($B$1&amp;$A65,'4.1 关键词原始数据'!$A:$N,W$2,FALSE)=0," ",VLOOKUP($B$1&amp;$A65,'4.1 关键词原始数据'!$A:$N,W$2,FALSE))," ")</f>
        <v> </v>
      </c>
      <c r="G65" s="63" t="str">
        <f>_xlfn.IFNA(IF(VLOOKUP($B$1&amp;$A65,'4.1 关键词原始数据'!$A:$N,X$2,FALSE)=0," ",VLOOKUP($B$1&amp;$A65,'4.1 关键词原始数据'!$A:$N,X$2,FALSE))," ")</f>
        <v>1-13-2</v>
      </c>
      <c r="H65" s="63" t="str">
        <f>_xlfn.IFNA(IF(VLOOKUP($B$1&amp;$A65,'4.1 关键词原始数据'!$A:$N,Y$2,FALSE)=0," ",VLOOKUP($B$1&amp;$A65,'4.1 关键词原始数据'!$A:$N,Y$2,FALSE))," ")</f>
        <v> </v>
      </c>
      <c r="I65" s="63" t="str">
        <f>_xlfn.IFNA(IF(VLOOKUP($B$1&amp;$A65,'4.1 关键词原始数据'!$A:$N,Z$2,FALSE)=0," ",VLOOKUP($B$1&amp;$A65,'4.1 关键词原始数据'!$A:$N,Z$2,FALSE))," ")</f>
        <v> </v>
      </c>
      <c r="J65" s="63" t="str">
        <f>_xlfn.IFNA(IF(VLOOKUP($J$1&amp;$A65,'4.1 关键词原始数据'!$A:$N,S$2,FALSE)=0," ",VLOOKUP($J$1&amp;$A65,'4.1 关键词原始数据'!$A:$N,S$2,FALSE))," ")</f>
        <v> </v>
      </c>
      <c r="K65" s="63" t="str">
        <f>_xlfn.IFNA(IF(VLOOKUP($J$1&amp;$A65,'4.1 关键词原始数据'!$A:$N,T$2,FALSE)=0," ",VLOOKUP($J$1&amp;$A65,'4.1 关键词原始数据'!$A:$N,T$2,FALSE))," ")</f>
        <v> </v>
      </c>
      <c r="L65" s="63" t="str">
        <f>_xlfn.IFNA(IF(VLOOKUP($J$1&amp;$A65,'4.1 关键词原始数据'!$A:$N,U$2,FALSE)=0," ",VLOOKUP($J$1&amp;$A65,'4.1 关键词原始数据'!$A:$N,U$2,FALSE))," ")</f>
        <v> </v>
      </c>
      <c r="M65" s="63" t="str">
        <f>_xlfn.IFNA(IF(VLOOKUP($J$1&amp;$A65,'4.1 关键词原始数据'!$A:$N,V$2,FALSE)=0," ",VLOOKUP($J$1&amp;$A65,'4.1 关键词原始数据'!$A:$N,V$2,FALSE))," ")</f>
        <v>5-14-3</v>
      </c>
      <c r="N65" s="63" t="str">
        <f>_xlfn.IFNA(IF(VLOOKUP($J$1&amp;$A65,'4.1 关键词原始数据'!$A:$N,W$2,FALSE)=0," ",VLOOKUP($J$1&amp;$A65,'4.1 关键词原始数据'!$A:$N,W$2,FALSE))," ")</f>
        <v> </v>
      </c>
      <c r="O65" s="63" t="str">
        <f>_xlfn.IFNA(IF(VLOOKUP($J$1&amp;$A65,'4.1 关键词原始数据'!$A:$N,X$2,FALSE)=0," ",VLOOKUP($J$1&amp;$A65,'4.1 关键词原始数据'!$A:$N,X$2,FALSE))," ")</f>
        <v> </v>
      </c>
      <c r="P65" s="63" t="str">
        <f>_xlfn.IFNA(IF(VLOOKUP($J$1&amp;$A65,'4.1 关键词原始数据'!$A:$N,Y$2,FALSE)=0," ",VLOOKUP($J$1&amp;$A65,'4.1 关键词原始数据'!$A:$N,Y$2,FALSE))," ")</f>
        <v> </v>
      </c>
      <c r="Q65" s="63" t="str">
        <f>_xlfn.IFNA(IF(VLOOKUP($J$1&amp;$A65,'4.1 关键词原始数据'!$A:$N,Z$2,FALSE)=0," ",VLOOKUP($J$1&amp;$A65,'4.1 关键词原始数据'!$A:$N,Z$2,FALSE))," ")</f>
        <v> </v>
      </c>
    </row>
    <row r="66" ht="16.5" spans="1:17">
      <c r="A66" s="62" t="s">
        <v>314</v>
      </c>
      <c r="B66" s="63" t="str">
        <f>_xlfn.IFNA(IF(VLOOKUP($B$1&amp;$A66,'4.1 关键词原始数据'!$A:$N,S$2,FALSE)=0," ",VLOOKUP($B$1&amp;$A66,'4.1 关键词原始数据'!$A:$N,S$2,FALSE))," ")</f>
        <v> </v>
      </c>
      <c r="C66" s="63" t="str">
        <f>_xlfn.IFNA(IF(VLOOKUP($B$1&amp;$A66,'4.1 关键词原始数据'!$A:$N,T$2,FALSE)=0," ",VLOOKUP($B$1&amp;$A66,'4.1 关键词原始数据'!$A:$N,T$2,FALSE))," ")</f>
        <v>2-8-3</v>
      </c>
      <c r="D66" s="63" t="str">
        <f>_xlfn.IFNA(IF(VLOOKUP($B$1&amp;$A66,'4.1 关键词原始数据'!$A:$N,U$2,FALSE)=0," ",VLOOKUP($B$1&amp;$A66,'4.1 关键词原始数据'!$A:$N,U$2,FALSE))," ")</f>
        <v> </v>
      </c>
      <c r="E66" s="63" t="str">
        <f>_xlfn.IFNA(IF(VLOOKUP($B$1&amp;$A66,'4.1 关键词原始数据'!$A:$N,V$2,FALSE)=0," ",VLOOKUP($B$1&amp;$A66,'4.1 关键词原始数据'!$A:$N,V$2,FALSE))," ")</f>
        <v> </v>
      </c>
      <c r="F66" s="63" t="str">
        <f>_xlfn.IFNA(IF(VLOOKUP($B$1&amp;$A66,'4.1 关键词原始数据'!$A:$N,W$2,FALSE)=0," ",VLOOKUP($B$1&amp;$A66,'4.1 关键词原始数据'!$A:$N,W$2,FALSE))," ")</f>
        <v> </v>
      </c>
      <c r="G66" s="63" t="str">
        <f>_xlfn.IFNA(IF(VLOOKUP($B$1&amp;$A66,'4.1 关键词原始数据'!$A:$N,X$2,FALSE)=0," ",VLOOKUP($B$1&amp;$A66,'4.1 关键词原始数据'!$A:$N,X$2,FALSE))," ")</f>
        <v>1-14-2</v>
      </c>
      <c r="H66" s="63" t="str">
        <f>_xlfn.IFNA(IF(VLOOKUP($B$1&amp;$A66,'4.1 关键词原始数据'!$A:$N,Y$2,FALSE)=0," ",VLOOKUP($B$1&amp;$A66,'4.1 关键词原始数据'!$A:$N,Y$2,FALSE))," ")</f>
        <v> </v>
      </c>
      <c r="I66" s="63" t="str">
        <f>_xlfn.IFNA(IF(VLOOKUP($B$1&amp;$A66,'4.1 关键词原始数据'!$A:$N,Z$2,FALSE)=0," ",VLOOKUP($B$1&amp;$A66,'4.1 关键词原始数据'!$A:$N,Z$2,FALSE))," ")</f>
        <v> </v>
      </c>
      <c r="J66" s="63" t="str">
        <f>_xlfn.IFNA(IF(VLOOKUP($J$1&amp;$A66,'4.1 关键词原始数据'!$A:$N,S$2,FALSE)=0," ",VLOOKUP($J$1&amp;$A66,'4.1 关键词原始数据'!$A:$N,S$2,FALSE))," ")</f>
        <v> </v>
      </c>
      <c r="K66" s="63" t="str">
        <f>_xlfn.IFNA(IF(VLOOKUP($J$1&amp;$A66,'4.1 关键词原始数据'!$A:$N,T$2,FALSE)=0," ",VLOOKUP($J$1&amp;$A66,'4.1 关键词原始数据'!$A:$N,T$2,FALSE))," ")</f>
        <v> </v>
      </c>
      <c r="L66" s="63" t="str">
        <f>_xlfn.IFNA(IF(VLOOKUP($J$1&amp;$A66,'4.1 关键词原始数据'!$A:$N,U$2,FALSE)=0," ",VLOOKUP($J$1&amp;$A66,'4.1 关键词原始数据'!$A:$N,U$2,FALSE))," ")</f>
        <v> </v>
      </c>
      <c r="M66" s="63" t="str">
        <f>_xlfn.IFNA(IF(VLOOKUP($J$1&amp;$A66,'4.1 关键词原始数据'!$A:$N,V$2,FALSE)=0," ",VLOOKUP($J$1&amp;$A66,'4.1 关键词原始数据'!$A:$N,V$2,FALSE))," ")</f>
        <v>4-11-2</v>
      </c>
      <c r="N66" s="63" t="str">
        <f>_xlfn.IFNA(IF(VLOOKUP($J$1&amp;$A66,'4.1 关键词原始数据'!$A:$N,W$2,FALSE)=0," ",VLOOKUP($J$1&amp;$A66,'4.1 关键词原始数据'!$A:$N,W$2,FALSE))," ")</f>
        <v> </v>
      </c>
      <c r="O66" s="63" t="str">
        <f>_xlfn.IFNA(IF(VLOOKUP($J$1&amp;$A66,'4.1 关键词原始数据'!$A:$N,X$2,FALSE)=0," ",VLOOKUP($J$1&amp;$A66,'4.1 关键词原始数据'!$A:$N,X$2,FALSE))," ")</f>
        <v> </v>
      </c>
      <c r="P66" s="63" t="str">
        <f>_xlfn.IFNA(IF(VLOOKUP($J$1&amp;$A66,'4.1 关键词原始数据'!$A:$N,Y$2,FALSE)=0," ",VLOOKUP($J$1&amp;$A66,'4.1 关键词原始数据'!$A:$N,Y$2,FALSE))," ")</f>
        <v> </v>
      </c>
      <c r="Q66" s="63" t="str">
        <f>_xlfn.IFNA(IF(VLOOKUP($J$1&amp;$A66,'4.1 关键词原始数据'!$A:$N,Z$2,FALSE)=0," ",VLOOKUP($J$1&amp;$A66,'4.1 关键词原始数据'!$A:$N,Z$2,FALSE))," ")</f>
        <v> </v>
      </c>
    </row>
    <row r="67" ht="16.5" spans="1:17">
      <c r="A67" s="62" t="s">
        <v>315</v>
      </c>
      <c r="B67" s="63" t="str">
        <f>_xlfn.IFNA(IF(VLOOKUP($B$1&amp;$A67,'4.1 关键词原始数据'!$A:$N,S$2,FALSE)=0," ",VLOOKUP($B$1&amp;$A67,'4.1 关键词原始数据'!$A:$N,S$2,FALSE))," ")</f>
        <v> </v>
      </c>
      <c r="C67" s="63" t="str">
        <f>_xlfn.IFNA(IF(VLOOKUP($B$1&amp;$A67,'4.1 关键词原始数据'!$A:$N,T$2,FALSE)=0," ",VLOOKUP($B$1&amp;$A67,'4.1 关键词原始数据'!$A:$N,T$2,FALSE))," ")</f>
        <v>4-2-1</v>
      </c>
      <c r="D67" s="63" t="str">
        <f>_xlfn.IFNA(IF(VLOOKUP($B$1&amp;$A67,'4.1 关键词原始数据'!$A:$N,U$2,FALSE)=0," ",VLOOKUP($B$1&amp;$A67,'4.1 关键词原始数据'!$A:$N,U$2,FALSE))," ")</f>
        <v> </v>
      </c>
      <c r="E67" s="63" t="str">
        <f>_xlfn.IFNA(IF(VLOOKUP($B$1&amp;$A67,'4.1 关键词原始数据'!$A:$N,V$2,FALSE)=0," ",VLOOKUP($B$1&amp;$A67,'4.1 关键词原始数据'!$A:$N,V$2,FALSE))," ")</f>
        <v> </v>
      </c>
      <c r="F67" s="63" t="str">
        <f>_xlfn.IFNA(IF(VLOOKUP($B$1&amp;$A67,'4.1 关键词原始数据'!$A:$N,W$2,FALSE)=0," ",VLOOKUP($B$1&amp;$A67,'4.1 关键词原始数据'!$A:$N,W$2,FALSE))," ")</f>
        <v> </v>
      </c>
      <c r="G67" s="63" t="str">
        <f>_xlfn.IFNA(IF(VLOOKUP($B$1&amp;$A67,'4.1 关键词原始数据'!$A:$N,X$2,FALSE)=0," ",VLOOKUP($B$1&amp;$A67,'4.1 关键词原始数据'!$A:$N,X$2,FALSE))," ")</f>
        <v>1-16-2</v>
      </c>
      <c r="H67" s="63" t="str">
        <f>_xlfn.IFNA(IF(VLOOKUP($B$1&amp;$A67,'4.1 关键词原始数据'!$A:$N,Y$2,FALSE)=0," ",VLOOKUP($B$1&amp;$A67,'4.1 关键词原始数据'!$A:$N,Y$2,FALSE))," ")</f>
        <v> </v>
      </c>
      <c r="I67" s="63" t="str">
        <f>_xlfn.IFNA(IF(VLOOKUP($B$1&amp;$A67,'4.1 关键词原始数据'!$A:$N,Z$2,FALSE)=0," ",VLOOKUP($B$1&amp;$A67,'4.1 关键词原始数据'!$A:$N,Z$2,FALSE))," ")</f>
        <v> </v>
      </c>
      <c r="J67" s="63" t="str">
        <f>_xlfn.IFNA(IF(VLOOKUP($J$1&amp;$A67,'4.1 关键词原始数据'!$A:$N,S$2,FALSE)=0," ",VLOOKUP($J$1&amp;$A67,'4.1 关键词原始数据'!$A:$N,S$2,FALSE))," ")</f>
        <v> </v>
      </c>
      <c r="K67" s="63" t="str">
        <f>_xlfn.IFNA(IF(VLOOKUP($J$1&amp;$A67,'4.1 关键词原始数据'!$A:$N,T$2,FALSE)=0," ",VLOOKUP($J$1&amp;$A67,'4.1 关键词原始数据'!$A:$N,T$2,FALSE))," ")</f>
        <v> </v>
      </c>
      <c r="L67" s="63" t="str">
        <f>_xlfn.IFNA(IF(VLOOKUP($J$1&amp;$A67,'4.1 关键词原始数据'!$A:$N,U$2,FALSE)=0," ",VLOOKUP($J$1&amp;$A67,'4.1 关键词原始数据'!$A:$N,U$2,FALSE))," ")</f>
        <v> </v>
      </c>
      <c r="M67" s="63" t="str">
        <f>_xlfn.IFNA(IF(VLOOKUP($J$1&amp;$A67,'4.1 关键词原始数据'!$A:$N,V$2,FALSE)=0," ",VLOOKUP($J$1&amp;$A67,'4.1 关键词原始数据'!$A:$N,V$2,FALSE))," ")</f>
        <v>6-11-2</v>
      </c>
      <c r="N67" s="63" t="str">
        <f>_xlfn.IFNA(IF(VLOOKUP($J$1&amp;$A67,'4.1 关键词原始数据'!$A:$N,W$2,FALSE)=0," ",VLOOKUP($J$1&amp;$A67,'4.1 关键词原始数据'!$A:$N,W$2,FALSE))," ")</f>
        <v> </v>
      </c>
      <c r="O67" s="63" t="str">
        <f>_xlfn.IFNA(IF(VLOOKUP($J$1&amp;$A67,'4.1 关键词原始数据'!$A:$N,X$2,FALSE)=0," ",VLOOKUP($J$1&amp;$A67,'4.1 关键词原始数据'!$A:$N,X$2,FALSE))," ")</f>
        <v> </v>
      </c>
      <c r="P67" s="63" t="str">
        <f>_xlfn.IFNA(IF(VLOOKUP($J$1&amp;$A67,'4.1 关键词原始数据'!$A:$N,Y$2,FALSE)=0," ",VLOOKUP($J$1&amp;$A67,'4.1 关键词原始数据'!$A:$N,Y$2,FALSE))," ")</f>
        <v> </v>
      </c>
      <c r="Q67" s="63" t="str">
        <f>_xlfn.IFNA(IF(VLOOKUP($J$1&amp;$A67,'4.1 关键词原始数据'!$A:$N,Z$2,FALSE)=0," ",VLOOKUP($J$1&amp;$A67,'4.1 关键词原始数据'!$A:$N,Z$2,FALSE))," ")</f>
        <v> </v>
      </c>
    </row>
    <row r="68" ht="16.5" spans="1:17">
      <c r="A68" s="62" t="s">
        <v>316</v>
      </c>
      <c r="B68" s="63" t="str">
        <f>_xlfn.IFNA(IF(VLOOKUP($B$1&amp;$A68,'4.1 关键词原始数据'!$A:$N,S$2,FALSE)=0," ",VLOOKUP($B$1&amp;$A68,'4.1 关键词原始数据'!$A:$N,S$2,FALSE))," ")</f>
        <v> </v>
      </c>
      <c r="C68" s="63" t="str">
        <f>_xlfn.IFNA(IF(VLOOKUP($B$1&amp;$A68,'4.1 关键词原始数据'!$A:$N,T$2,FALSE)=0," ",VLOOKUP($B$1&amp;$A68,'4.1 关键词原始数据'!$A:$N,T$2,FALSE))," ")</f>
        <v>2-8-1</v>
      </c>
      <c r="D68" s="63" t="str">
        <f>_xlfn.IFNA(IF(VLOOKUP($B$1&amp;$A68,'4.1 关键词原始数据'!$A:$N,U$2,FALSE)=0," ",VLOOKUP($B$1&amp;$A68,'4.1 关键词原始数据'!$A:$N,U$2,FALSE))," ")</f>
        <v> </v>
      </c>
      <c r="E68" s="63" t="str">
        <f>_xlfn.IFNA(IF(VLOOKUP($B$1&amp;$A68,'4.1 关键词原始数据'!$A:$N,V$2,FALSE)=0," ",VLOOKUP($B$1&amp;$A68,'4.1 关键词原始数据'!$A:$N,V$2,FALSE))," ")</f>
        <v> </v>
      </c>
      <c r="F68" s="63" t="str">
        <f>_xlfn.IFNA(IF(VLOOKUP($B$1&amp;$A68,'4.1 关键词原始数据'!$A:$N,W$2,FALSE)=0," ",VLOOKUP($B$1&amp;$A68,'4.1 关键词原始数据'!$A:$N,W$2,FALSE))," ")</f>
        <v> </v>
      </c>
      <c r="G68" s="63" t="str">
        <f>_xlfn.IFNA(IF(VLOOKUP($B$1&amp;$A68,'4.1 关键词原始数据'!$A:$N,X$2,FALSE)=0," ",VLOOKUP($B$1&amp;$A68,'4.1 关键词原始数据'!$A:$N,X$2,FALSE))," ")</f>
        <v>1-15-3</v>
      </c>
      <c r="H68" s="63" t="str">
        <f>_xlfn.IFNA(IF(VLOOKUP($B$1&amp;$A68,'4.1 关键词原始数据'!$A:$N,Y$2,FALSE)=0," ",VLOOKUP($B$1&amp;$A68,'4.1 关键词原始数据'!$A:$N,Y$2,FALSE))," ")</f>
        <v> </v>
      </c>
      <c r="I68" s="63" t="str">
        <f>_xlfn.IFNA(IF(VLOOKUP($B$1&amp;$A68,'4.1 关键词原始数据'!$A:$N,Z$2,FALSE)=0," ",VLOOKUP($B$1&amp;$A68,'4.1 关键词原始数据'!$A:$N,Z$2,FALSE))," ")</f>
        <v> </v>
      </c>
      <c r="J68" s="63" t="str">
        <f>_xlfn.IFNA(IF(VLOOKUP($J$1&amp;$A68,'4.1 关键词原始数据'!$A:$N,S$2,FALSE)=0," ",VLOOKUP($J$1&amp;$A68,'4.1 关键词原始数据'!$A:$N,S$2,FALSE))," ")</f>
        <v> </v>
      </c>
      <c r="K68" s="63" t="str">
        <f>_xlfn.IFNA(IF(VLOOKUP($J$1&amp;$A68,'4.1 关键词原始数据'!$A:$N,T$2,FALSE)=0," ",VLOOKUP($J$1&amp;$A68,'4.1 关键词原始数据'!$A:$N,T$2,FALSE))," ")</f>
        <v> </v>
      </c>
      <c r="L68" s="63" t="str">
        <f>_xlfn.IFNA(IF(VLOOKUP($J$1&amp;$A68,'4.1 关键词原始数据'!$A:$N,U$2,FALSE)=0," ",VLOOKUP($J$1&amp;$A68,'4.1 关键词原始数据'!$A:$N,U$2,FALSE))," ")</f>
        <v> </v>
      </c>
      <c r="M68" s="63" t="str">
        <f>_xlfn.IFNA(IF(VLOOKUP($J$1&amp;$A68,'4.1 关键词原始数据'!$A:$N,V$2,FALSE)=0," ",VLOOKUP($J$1&amp;$A68,'4.1 关键词原始数据'!$A:$N,V$2,FALSE))," ")</f>
        <v>4-16-2</v>
      </c>
      <c r="N68" s="63" t="str">
        <f>_xlfn.IFNA(IF(VLOOKUP($J$1&amp;$A68,'4.1 关键词原始数据'!$A:$N,W$2,FALSE)=0," ",VLOOKUP($J$1&amp;$A68,'4.1 关键词原始数据'!$A:$N,W$2,FALSE))," ")</f>
        <v> </v>
      </c>
      <c r="O68" s="63" t="str">
        <f>_xlfn.IFNA(IF(VLOOKUP($J$1&amp;$A68,'4.1 关键词原始数据'!$A:$N,X$2,FALSE)=0," ",VLOOKUP($J$1&amp;$A68,'4.1 关键词原始数据'!$A:$N,X$2,FALSE))," ")</f>
        <v> </v>
      </c>
      <c r="P68" s="63" t="str">
        <f>_xlfn.IFNA(IF(VLOOKUP($J$1&amp;$A68,'4.1 关键词原始数据'!$A:$N,Y$2,FALSE)=0," ",VLOOKUP($J$1&amp;$A68,'4.1 关键词原始数据'!$A:$N,Y$2,FALSE))," ")</f>
        <v> </v>
      </c>
      <c r="Q68" s="63" t="str">
        <f>_xlfn.IFNA(IF(VLOOKUP($J$1&amp;$A68,'4.1 关键词原始数据'!$A:$N,Z$2,FALSE)=0," ",VLOOKUP($J$1&amp;$A68,'4.1 关键词原始数据'!$A:$N,Z$2,FALSE))," ")</f>
        <v> </v>
      </c>
    </row>
    <row r="69" ht="16.5" spans="1:17">
      <c r="A69" s="62" t="s">
        <v>317</v>
      </c>
      <c r="B69" s="63" t="str">
        <f>_xlfn.IFNA(IF(VLOOKUP($B$1&amp;$A69,'4.1 关键词原始数据'!$A:$N,S$2,FALSE)=0," ",VLOOKUP($B$1&amp;$A69,'4.1 关键词原始数据'!$A:$N,S$2,FALSE))," ")</f>
        <v> </v>
      </c>
      <c r="C69" s="63" t="str">
        <f>_xlfn.IFNA(IF(VLOOKUP($B$1&amp;$A69,'4.1 关键词原始数据'!$A:$N,T$2,FALSE)=0," ",VLOOKUP($B$1&amp;$A69,'4.1 关键词原始数据'!$A:$N,T$2,FALSE))," ")</f>
        <v>2-8-1</v>
      </c>
      <c r="D69" s="63" t="str">
        <f>_xlfn.IFNA(IF(VLOOKUP($B$1&amp;$A69,'4.1 关键词原始数据'!$A:$N,U$2,FALSE)=0," ",VLOOKUP($B$1&amp;$A69,'4.1 关键词原始数据'!$A:$N,U$2,FALSE))," ")</f>
        <v> </v>
      </c>
      <c r="E69" s="63" t="str">
        <f>_xlfn.IFNA(IF(VLOOKUP($B$1&amp;$A69,'4.1 关键词原始数据'!$A:$N,V$2,FALSE)=0," ",VLOOKUP($B$1&amp;$A69,'4.1 关键词原始数据'!$A:$N,V$2,FALSE))," ")</f>
        <v> </v>
      </c>
      <c r="F69" s="63" t="str">
        <f>_xlfn.IFNA(IF(VLOOKUP($B$1&amp;$A69,'4.1 关键词原始数据'!$A:$N,W$2,FALSE)=0," ",VLOOKUP($B$1&amp;$A69,'4.1 关键词原始数据'!$A:$N,W$2,FALSE))," ")</f>
        <v> </v>
      </c>
      <c r="G69" s="63" t="str">
        <f>_xlfn.IFNA(IF(VLOOKUP($B$1&amp;$A69,'4.1 关键词原始数据'!$A:$N,X$2,FALSE)=0," ",VLOOKUP($B$1&amp;$A69,'4.1 关键词原始数据'!$A:$N,X$2,FALSE))," ")</f>
        <v>1-15-3</v>
      </c>
      <c r="H69" s="63" t="str">
        <f>_xlfn.IFNA(IF(VLOOKUP($B$1&amp;$A69,'4.1 关键词原始数据'!$A:$N,Y$2,FALSE)=0," ",VLOOKUP($B$1&amp;$A69,'4.1 关键词原始数据'!$A:$N,Y$2,FALSE))," ")</f>
        <v> </v>
      </c>
      <c r="I69" s="63" t="str">
        <f>_xlfn.IFNA(IF(VLOOKUP($B$1&amp;$A69,'4.1 关键词原始数据'!$A:$N,Z$2,FALSE)=0," ",VLOOKUP($B$1&amp;$A69,'4.1 关键词原始数据'!$A:$N,Z$2,FALSE))," ")</f>
        <v> </v>
      </c>
      <c r="J69" s="63" t="str">
        <f>_xlfn.IFNA(IF(VLOOKUP($J$1&amp;$A69,'4.1 关键词原始数据'!$A:$N,S$2,FALSE)=0," ",VLOOKUP($J$1&amp;$A69,'4.1 关键词原始数据'!$A:$N,S$2,FALSE))," ")</f>
        <v> </v>
      </c>
      <c r="K69" s="63" t="str">
        <f>_xlfn.IFNA(IF(VLOOKUP($J$1&amp;$A69,'4.1 关键词原始数据'!$A:$N,T$2,FALSE)=0," ",VLOOKUP($J$1&amp;$A69,'4.1 关键词原始数据'!$A:$N,T$2,FALSE))," ")</f>
        <v> </v>
      </c>
      <c r="L69" s="63" t="str">
        <f>_xlfn.IFNA(IF(VLOOKUP($J$1&amp;$A69,'4.1 关键词原始数据'!$A:$N,U$2,FALSE)=0," ",VLOOKUP($J$1&amp;$A69,'4.1 关键词原始数据'!$A:$N,U$2,FALSE))," ")</f>
        <v> </v>
      </c>
      <c r="M69" s="63" t="str">
        <f>_xlfn.IFNA(IF(VLOOKUP($J$1&amp;$A69,'4.1 关键词原始数据'!$A:$N,V$2,FALSE)=0," ",VLOOKUP($J$1&amp;$A69,'4.1 关键词原始数据'!$A:$N,V$2,FALSE))," ")</f>
        <v>4-11-2</v>
      </c>
      <c r="N69" s="63" t="str">
        <f>_xlfn.IFNA(IF(VLOOKUP($J$1&amp;$A69,'4.1 关键词原始数据'!$A:$N,W$2,FALSE)=0," ",VLOOKUP($J$1&amp;$A69,'4.1 关键词原始数据'!$A:$N,W$2,FALSE))," ")</f>
        <v> </v>
      </c>
      <c r="O69" s="63" t="str">
        <f>_xlfn.IFNA(IF(VLOOKUP($J$1&amp;$A69,'4.1 关键词原始数据'!$A:$N,X$2,FALSE)=0," ",VLOOKUP($J$1&amp;$A69,'4.1 关键词原始数据'!$A:$N,X$2,FALSE))," ")</f>
        <v> </v>
      </c>
      <c r="P69" s="63" t="str">
        <f>_xlfn.IFNA(IF(VLOOKUP($J$1&amp;$A69,'4.1 关键词原始数据'!$A:$N,Y$2,FALSE)=0," ",VLOOKUP($J$1&amp;$A69,'4.1 关键词原始数据'!$A:$N,Y$2,FALSE))," ")</f>
        <v> </v>
      </c>
      <c r="Q69" s="63" t="str">
        <f>_xlfn.IFNA(IF(VLOOKUP($J$1&amp;$A69,'4.1 关键词原始数据'!$A:$N,Z$2,FALSE)=0," ",VLOOKUP($J$1&amp;$A69,'4.1 关键词原始数据'!$A:$N,Z$2,FALSE))," ")</f>
        <v> </v>
      </c>
    </row>
    <row r="70" ht="16.5" spans="1:17">
      <c r="A70" s="62" t="s">
        <v>318</v>
      </c>
      <c r="B70" s="63" t="str">
        <f>_xlfn.IFNA(IF(VLOOKUP($B$1&amp;$A70,'4.1 关键词原始数据'!$A:$N,S$2,FALSE)=0," ",VLOOKUP($B$1&amp;$A70,'4.1 关键词原始数据'!$A:$N,S$2,FALSE))," ")</f>
        <v> </v>
      </c>
      <c r="C70" s="63" t="str">
        <f>_xlfn.IFNA(IF(VLOOKUP($B$1&amp;$A70,'4.1 关键词原始数据'!$A:$N,T$2,FALSE)=0," ",VLOOKUP($B$1&amp;$A70,'4.1 关键词原始数据'!$A:$N,T$2,FALSE))," ")</f>
        <v>2-7-4</v>
      </c>
      <c r="D70" s="63" t="str">
        <f>_xlfn.IFNA(IF(VLOOKUP($B$1&amp;$A70,'4.1 关键词原始数据'!$A:$N,U$2,FALSE)=0," ",VLOOKUP($B$1&amp;$A70,'4.1 关键词原始数据'!$A:$N,U$2,FALSE))," ")</f>
        <v> </v>
      </c>
      <c r="E70" s="63" t="str">
        <f>_xlfn.IFNA(IF(VLOOKUP($B$1&amp;$A70,'4.1 关键词原始数据'!$A:$N,V$2,FALSE)=0," ",VLOOKUP($B$1&amp;$A70,'4.1 关键词原始数据'!$A:$N,V$2,FALSE))," ")</f>
        <v> </v>
      </c>
      <c r="F70" s="63" t="str">
        <f>_xlfn.IFNA(IF(VLOOKUP($B$1&amp;$A70,'4.1 关键词原始数据'!$A:$N,W$2,FALSE)=0," ",VLOOKUP($B$1&amp;$A70,'4.1 关键词原始数据'!$A:$N,W$2,FALSE))," ")</f>
        <v> </v>
      </c>
      <c r="G70" s="63" t="str">
        <f>_xlfn.IFNA(IF(VLOOKUP($B$1&amp;$A70,'4.1 关键词原始数据'!$A:$N,X$2,FALSE)=0," ",VLOOKUP($B$1&amp;$A70,'4.1 关键词原始数据'!$A:$N,X$2,FALSE))," ")</f>
        <v>1-14-2</v>
      </c>
      <c r="H70" s="63" t="str">
        <f>_xlfn.IFNA(IF(VLOOKUP($B$1&amp;$A70,'4.1 关键词原始数据'!$A:$N,Y$2,FALSE)=0," ",VLOOKUP($B$1&amp;$A70,'4.1 关键词原始数据'!$A:$N,Y$2,FALSE))," ")</f>
        <v> </v>
      </c>
      <c r="I70" s="63" t="str">
        <f>_xlfn.IFNA(IF(VLOOKUP($B$1&amp;$A70,'4.1 关键词原始数据'!$A:$N,Z$2,FALSE)=0," ",VLOOKUP($B$1&amp;$A70,'4.1 关键词原始数据'!$A:$N,Z$2,FALSE))," ")</f>
        <v> </v>
      </c>
      <c r="J70" s="63" t="str">
        <f>_xlfn.IFNA(IF(VLOOKUP($J$1&amp;$A70,'4.1 关键词原始数据'!$A:$N,S$2,FALSE)=0," ",VLOOKUP($J$1&amp;$A70,'4.1 关键词原始数据'!$A:$N,S$2,FALSE))," ")</f>
        <v> </v>
      </c>
      <c r="K70" s="63" t="str">
        <f>_xlfn.IFNA(IF(VLOOKUP($J$1&amp;$A70,'4.1 关键词原始数据'!$A:$N,T$2,FALSE)=0," ",VLOOKUP($J$1&amp;$A70,'4.1 关键词原始数据'!$A:$N,T$2,FALSE))," ")</f>
        <v> </v>
      </c>
      <c r="L70" s="63" t="str">
        <f>_xlfn.IFNA(IF(VLOOKUP($J$1&amp;$A70,'4.1 关键词原始数据'!$A:$N,U$2,FALSE)=0," ",VLOOKUP($J$1&amp;$A70,'4.1 关键词原始数据'!$A:$N,U$2,FALSE))," ")</f>
        <v> </v>
      </c>
      <c r="M70" s="63" t="str">
        <f>_xlfn.IFNA(IF(VLOOKUP($J$1&amp;$A70,'4.1 关键词原始数据'!$A:$N,V$2,FALSE)=0," ",VLOOKUP($J$1&amp;$A70,'4.1 关键词原始数据'!$A:$N,V$2,FALSE))," ")</f>
        <v>4-9-3</v>
      </c>
      <c r="N70" s="63" t="str">
        <f>_xlfn.IFNA(IF(VLOOKUP($J$1&amp;$A70,'4.1 关键词原始数据'!$A:$N,W$2,FALSE)=0," ",VLOOKUP($J$1&amp;$A70,'4.1 关键词原始数据'!$A:$N,W$2,FALSE))," ")</f>
        <v> </v>
      </c>
      <c r="O70" s="63" t="str">
        <f>_xlfn.IFNA(IF(VLOOKUP($J$1&amp;$A70,'4.1 关键词原始数据'!$A:$N,X$2,FALSE)=0," ",VLOOKUP($J$1&amp;$A70,'4.1 关键词原始数据'!$A:$N,X$2,FALSE))," ")</f>
        <v> </v>
      </c>
      <c r="P70" s="63" t="str">
        <f>_xlfn.IFNA(IF(VLOOKUP($J$1&amp;$A70,'4.1 关键词原始数据'!$A:$N,Y$2,FALSE)=0," ",VLOOKUP($J$1&amp;$A70,'4.1 关键词原始数据'!$A:$N,Y$2,FALSE))," ")</f>
        <v> </v>
      </c>
      <c r="Q70" s="63" t="str">
        <f>_xlfn.IFNA(IF(VLOOKUP($J$1&amp;$A70,'4.1 关键词原始数据'!$A:$N,Z$2,FALSE)=0," ",VLOOKUP($J$1&amp;$A70,'4.1 关键词原始数据'!$A:$N,Z$2,FALSE))," ")</f>
        <v> </v>
      </c>
    </row>
    <row r="71" ht="16.5" spans="1:17">
      <c r="A71" s="62" t="s">
        <v>319</v>
      </c>
      <c r="B71" s="63" t="str">
        <f>_xlfn.IFNA(IF(VLOOKUP($B$1&amp;$A71,'4.1 关键词原始数据'!$A:$N,S$2,FALSE)=0," ",VLOOKUP($B$1&amp;$A71,'4.1 关键词原始数据'!$A:$N,S$2,FALSE))," ")</f>
        <v> </v>
      </c>
      <c r="C71" s="63" t="str">
        <f>_xlfn.IFNA(IF(VLOOKUP($B$1&amp;$A71,'4.1 关键词原始数据'!$A:$N,T$2,FALSE)=0," ",VLOOKUP($B$1&amp;$A71,'4.1 关键词原始数据'!$A:$N,T$2,FALSE))," ")</f>
        <v>2-3-1</v>
      </c>
      <c r="D71" s="63" t="str">
        <f>_xlfn.IFNA(IF(VLOOKUP($B$1&amp;$A71,'4.1 关键词原始数据'!$A:$N,U$2,FALSE)=0," ",VLOOKUP($B$1&amp;$A71,'4.1 关键词原始数据'!$A:$N,U$2,FALSE))," ")</f>
        <v> </v>
      </c>
      <c r="E71" s="63" t="str">
        <f>_xlfn.IFNA(IF(VLOOKUP($B$1&amp;$A71,'4.1 关键词原始数据'!$A:$N,V$2,FALSE)=0," ",VLOOKUP($B$1&amp;$A71,'4.1 关键词原始数据'!$A:$N,V$2,FALSE))," ")</f>
        <v> </v>
      </c>
      <c r="F71" s="63" t="str">
        <f>_xlfn.IFNA(IF(VLOOKUP($B$1&amp;$A71,'4.1 关键词原始数据'!$A:$N,W$2,FALSE)=0," ",VLOOKUP($B$1&amp;$A71,'4.1 关键词原始数据'!$A:$N,W$2,FALSE))," ")</f>
        <v> </v>
      </c>
      <c r="G71" s="63" t="str">
        <f>_xlfn.IFNA(IF(VLOOKUP($B$1&amp;$A71,'4.1 关键词原始数据'!$A:$N,X$2,FALSE)=0," ",VLOOKUP($B$1&amp;$A71,'4.1 关键词原始数据'!$A:$N,X$2,FALSE))," ")</f>
        <v>1-14-2</v>
      </c>
      <c r="H71" s="63" t="str">
        <f>_xlfn.IFNA(IF(VLOOKUP($B$1&amp;$A71,'4.1 关键词原始数据'!$A:$N,Y$2,FALSE)=0," ",VLOOKUP($B$1&amp;$A71,'4.1 关键词原始数据'!$A:$N,Y$2,FALSE))," ")</f>
        <v> </v>
      </c>
      <c r="I71" s="63" t="str">
        <f>_xlfn.IFNA(IF(VLOOKUP($B$1&amp;$A71,'4.1 关键词原始数据'!$A:$N,Z$2,FALSE)=0," ",VLOOKUP($B$1&amp;$A71,'4.1 关键词原始数据'!$A:$N,Z$2,FALSE))," ")</f>
        <v> </v>
      </c>
      <c r="J71" s="63" t="str">
        <f>_xlfn.IFNA(IF(VLOOKUP($J$1&amp;$A71,'4.1 关键词原始数据'!$A:$N,S$2,FALSE)=0," ",VLOOKUP($J$1&amp;$A71,'4.1 关键词原始数据'!$A:$N,S$2,FALSE))," ")</f>
        <v> </v>
      </c>
      <c r="K71" s="63" t="str">
        <f>_xlfn.IFNA(IF(VLOOKUP($J$1&amp;$A71,'4.1 关键词原始数据'!$A:$N,T$2,FALSE)=0," ",VLOOKUP($J$1&amp;$A71,'4.1 关键词原始数据'!$A:$N,T$2,FALSE))," ")</f>
        <v> </v>
      </c>
      <c r="L71" s="63" t="str">
        <f>_xlfn.IFNA(IF(VLOOKUP($J$1&amp;$A71,'4.1 关键词原始数据'!$A:$N,U$2,FALSE)=0," ",VLOOKUP($J$1&amp;$A71,'4.1 关键词原始数据'!$A:$N,U$2,FALSE))," ")</f>
        <v> </v>
      </c>
      <c r="M71" s="63" t="str">
        <f>_xlfn.IFNA(IF(VLOOKUP($J$1&amp;$A71,'4.1 关键词原始数据'!$A:$N,V$2,FALSE)=0," ",VLOOKUP($J$1&amp;$A71,'4.1 关键词原始数据'!$A:$N,V$2,FALSE))," ")</f>
        <v>4-14-4</v>
      </c>
      <c r="N71" s="63" t="str">
        <f>_xlfn.IFNA(IF(VLOOKUP($J$1&amp;$A71,'4.1 关键词原始数据'!$A:$N,W$2,FALSE)=0," ",VLOOKUP($J$1&amp;$A71,'4.1 关键词原始数据'!$A:$N,W$2,FALSE))," ")</f>
        <v> </v>
      </c>
      <c r="O71" s="63" t="str">
        <f>_xlfn.IFNA(IF(VLOOKUP($J$1&amp;$A71,'4.1 关键词原始数据'!$A:$N,X$2,FALSE)=0," ",VLOOKUP($J$1&amp;$A71,'4.1 关键词原始数据'!$A:$N,X$2,FALSE))," ")</f>
        <v> </v>
      </c>
      <c r="P71" s="63" t="str">
        <f>_xlfn.IFNA(IF(VLOOKUP($J$1&amp;$A71,'4.1 关键词原始数据'!$A:$N,Y$2,FALSE)=0," ",VLOOKUP($J$1&amp;$A71,'4.1 关键词原始数据'!$A:$N,Y$2,FALSE))," ")</f>
        <v> </v>
      </c>
      <c r="Q71" s="63" t="str">
        <f>_xlfn.IFNA(IF(VLOOKUP($J$1&amp;$A71,'4.1 关键词原始数据'!$A:$N,Z$2,FALSE)=0," ",VLOOKUP($J$1&amp;$A71,'4.1 关键词原始数据'!$A:$N,Z$2,FALSE))," ")</f>
        <v> </v>
      </c>
    </row>
    <row r="72" ht="16.5" spans="1:17">
      <c r="A72" s="62" t="s">
        <v>320</v>
      </c>
      <c r="B72" s="63" t="str">
        <f>_xlfn.IFNA(IF(VLOOKUP($B$1&amp;$A72,'4.1 关键词原始数据'!$A:$N,S$2,FALSE)=0," ",VLOOKUP($B$1&amp;$A72,'4.1 关键词原始数据'!$A:$N,S$2,FALSE))," ")</f>
        <v> </v>
      </c>
      <c r="C72" s="63" t="str">
        <f>_xlfn.IFNA(IF(VLOOKUP($B$1&amp;$A72,'4.1 关键词原始数据'!$A:$N,T$2,FALSE)=0," ",VLOOKUP($B$1&amp;$A72,'4.1 关键词原始数据'!$A:$N,T$2,FALSE))," ")</f>
        <v>2-7-1</v>
      </c>
      <c r="D72" s="63" t="str">
        <f>_xlfn.IFNA(IF(VLOOKUP($B$1&amp;$A72,'4.1 关键词原始数据'!$A:$N,U$2,FALSE)=0," ",VLOOKUP($B$1&amp;$A72,'4.1 关键词原始数据'!$A:$N,U$2,FALSE))," ")</f>
        <v> </v>
      </c>
      <c r="E72" s="63" t="str">
        <f>_xlfn.IFNA(IF(VLOOKUP($B$1&amp;$A72,'4.1 关键词原始数据'!$A:$N,V$2,FALSE)=0," ",VLOOKUP($B$1&amp;$A72,'4.1 关键词原始数据'!$A:$N,V$2,FALSE))," ")</f>
        <v> </v>
      </c>
      <c r="F72" s="63" t="str">
        <f>_xlfn.IFNA(IF(VLOOKUP($B$1&amp;$A72,'4.1 关键词原始数据'!$A:$N,W$2,FALSE)=0," ",VLOOKUP($B$1&amp;$A72,'4.1 关键词原始数据'!$A:$N,W$2,FALSE))," ")</f>
        <v> </v>
      </c>
      <c r="G72" s="63" t="str">
        <f>_xlfn.IFNA(IF(VLOOKUP($B$1&amp;$A72,'4.1 关键词原始数据'!$A:$N,X$2,FALSE)=0," ",VLOOKUP($B$1&amp;$A72,'4.1 关键词原始数据'!$A:$N,X$2,FALSE))," ")</f>
        <v>1-14-2</v>
      </c>
      <c r="H72" s="63" t="str">
        <f>_xlfn.IFNA(IF(VLOOKUP($B$1&amp;$A72,'4.1 关键词原始数据'!$A:$N,Y$2,FALSE)=0," ",VLOOKUP($B$1&amp;$A72,'4.1 关键词原始数据'!$A:$N,Y$2,FALSE))," ")</f>
        <v> </v>
      </c>
      <c r="I72" s="63" t="str">
        <f>_xlfn.IFNA(IF(VLOOKUP($B$1&amp;$A72,'4.1 关键词原始数据'!$A:$N,Z$2,FALSE)=0," ",VLOOKUP($B$1&amp;$A72,'4.1 关键词原始数据'!$A:$N,Z$2,FALSE))," ")</f>
        <v> </v>
      </c>
      <c r="J72" s="63" t="str">
        <f>_xlfn.IFNA(IF(VLOOKUP($J$1&amp;$A72,'4.1 关键词原始数据'!$A:$N,S$2,FALSE)=0," ",VLOOKUP($J$1&amp;$A72,'4.1 关键词原始数据'!$A:$N,S$2,FALSE))," ")</f>
        <v> </v>
      </c>
      <c r="K72" s="63" t="str">
        <f>_xlfn.IFNA(IF(VLOOKUP($J$1&amp;$A72,'4.1 关键词原始数据'!$A:$N,T$2,FALSE)=0," ",VLOOKUP($J$1&amp;$A72,'4.1 关键词原始数据'!$A:$N,T$2,FALSE))," ")</f>
        <v> </v>
      </c>
      <c r="L72" s="63" t="str">
        <f>_xlfn.IFNA(IF(VLOOKUP($J$1&amp;$A72,'4.1 关键词原始数据'!$A:$N,U$2,FALSE)=0," ",VLOOKUP($J$1&amp;$A72,'4.1 关键词原始数据'!$A:$N,U$2,FALSE))," ")</f>
        <v> </v>
      </c>
      <c r="M72" s="63" t="str">
        <f>_xlfn.IFNA(IF(VLOOKUP($J$1&amp;$A72,'4.1 关键词原始数据'!$A:$N,V$2,FALSE)=0," ",VLOOKUP($J$1&amp;$A72,'4.1 关键词原始数据'!$A:$N,V$2,FALSE))," ")</f>
        <v>4-8-4</v>
      </c>
      <c r="N72" s="63" t="str">
        <f>_xlfn.IFNA(IF(VLOOKUP($J$1&amp;$A72,'4.1 关键词原始数据'!$A:$N,W$2,FALSE)=0," ",VLOOKUP($J$1&amp;$A72,'4.1 关键词原始数据'!$A:$N,W$2,FALSE))," ")</f>
        <v> </v>
      </c>
      <c r="O72" s="63" t="str">
        <f>_xlfn.IFNA(IF(VLOOKUP($J$1&amp;$A72,'4.1 关键词原始数据'!$A:$N,X$2,FALSE)=0," ",VLOOKUP($J$1&amp;$A72,'4.1 关键词原始数据'!$A:$N,X$2,FALSE))," ")</f>
        <v> </v>
      </c>
      <c r="P72" s="63" t="str">
        <f>_xlfn.IFNA(IF(VLOOKUP($J$1&amp;$A72,'4.1 关键词原始数据'!$A:$N,Y$2,FALSE)=0," ",VLOOKUP($J$1&amp;$A72,'4.1 关键词原始数据'!$A:$N,Y$2,FALSE))," ")</f>
        <v> </v>
      </c>
      <c r="Q72" s="63" t="str">
        <f>_xlfn.IFNA(IF(VLOOKUP($J$1&amp;$A72,'4.1 关键词原始数据'!$A:$N,Z$2,FALSE)=0," ",VLOOKUP($J$1&amp;$A72,'4.1 关键词原始数据'!$A:$N,Z$2,FALSE))," ")</f>
        <v> </v>
      </c>
    </row>
    <row r="73" ht="16.5" spans="1:17">
      <c r="A73" s="62" t="s">
        <v>321</v>
      </c>
      <c r="B73" s="63" t="str">
        <f>_xlfn.IFNA(IF(VLOOKUP($B$1&amp;$A73,'4.1 关键词原始数据'!$A:$N,S$2,FALSE)=0," ",VLOOKUP($B$1&amp;$A73,'4.1 关键词原始数据'!$A:$N,S$2,FALSE))," ")</f>
        <v> </v>
      </c>
      <c r="C73" s="63" t="str">
        <f>_xlfn.IFNA(IF(VLOOKUP($B$1&amp;$A73,'4.1 关键词原始数据'!$A:$N,T$2,FALSE)=0," ",VLOOKUP($B$1&amp;$A73,'4.1 关键词原始数据'!$A:$N,T$2,FALSE))," ")</f>
        <v> </v>
      </c>
      <c r="D73" s="63" t="str">
        <f>_xlfn.IFNA(IF(VLOOKUP($B$1&amp;$A73,'4.1 关键词原始数据'!$A:$N,U$2,FALSE)=0," ",VLOOKUP($B$1&amp;$A73,'4.1 关键词原始数据'!$A:$N,U$2,FALSE))," ")</f>
        <v> </v>
      </c>
      <c r="E73" s="63" t="str">
        <f>_xlfn.IFNA(IF(VLOOKUP($B$1&amp;$A73,'4.1 关键词原始数据'!$A:$N,V$2,FALSE)=0," ",VLOOKUP($B$1&amp;$A73,'4.1 关键词原始数据'!$A:$N,V$2,FALSE))," ")</f>
        <v> </v>
      </c>
      <c r="F73" s="63" t="str">
        <f>_xlfn.IFNA(IF(VLOOKUP($B$1&amp;$A73,'4.1 关键词原始数据'!$A:$N,W$2,FALSE)=0," ",VLOOKUP($B$1&amp;$A73,'4.1 关键词原始数据'!$A:$N,W$2,FALSE))," ")</f>
        <v> </v>
      </c>
      <c r="G73" s="63" t="str">
        <f>_xlfn.IFNA(IF(VLOOKUP($B$1&amp;$A73,'4.1 关键词原始数据'!$A:$N,X$2,FALSE)=0," ",VLOOKUP($B$1&amp;$A73,'4.1 关键词原始数据'!$A:$N,X$2,FALSE))," ")</f>
        <v> </v>
      </c>
      <c r="H73" s="63" t="str">
        <f>_xlfn.IFNA(IF(VLOOKUP($B$1&amp;$A73,'4.1 关键词原始数据'!$A:$N,Y$2,FALSE)=0," ",VLOOKUP($B$1&amp;$A73,'4.1 关键词原始数据'!$A:$N,Y$2,FALSE))," ")</f>
        <v> </v>
      </c>
      <c r="I73" s="63" t="str">
        <f>_xlfn.IFNA(IF(VLOOKUP($B$1&amp;$A73,'4.1 关键词原始数据'!$A:$N,Z$2,FALSE)=0," ",VLOOKUP($B$1&amp;$A73,'4.1 关键词原始数据'!$A:$N,Z$2,FALSE))," ")</f>
        <v> </v>
      </c>
      <c r="J73" s="63" t="str">
        <f>_xlfn.IFNA(IF(VLOOKUP($J$1&amp;$A73,'4.1 关键词原始数据'!$A:$N,S$2,FALSE)=0," ",VLOOKUP($J$1&amp;$A73,'4.1 关键词原始数据'!$A:$N,S$2,FALSE))," ")</f>
        <v> </v>
      </c>
      <c r="K73" s="63" t="str">
        <f>_xlfn.IFNA(IF(VLOOKUP($J$1&amp;$A73,'4.1 关键词原始数据'!$A:$N,T$2,FALSE)=0," ",VLOOKUP($J$1&amp;$A73,'4.1 关键词原始数据'!$A:$N,T$2,FALSE))," ")</f>
        <v> </v>
      </c>
      <c r="L73" s="63" t="str">
        <f>_xlfn.IFNA(IF(VLOOKUP($J$1&amp;$A73,'4.1 关键词原始数据'!$A:$N,U$2,FALSE)=0," ",VLOOKUP($J$1&amp;$A73,'4.1 关键词原始数据'!$A:$N,U$2,FALSE))," ")</f>
        <v> </v>
      </c>
      <c r="M73" s="63" t="str">
        <f>_xlfn.IFNA(IF(VLOOKUP($J$1&amp;$A73,'4.1 关键词原始数据'!$A:$N,V$2,FALSE)=0," ",VLOOKUP($J$1&amp;$A73,'4.1 关键词原始数据'!$A:$N,V$2,FALSE))," ")</f>
        <v> </v>
      </c>
      <c r="N73" s="63" t="str">
        <f>_xlfn.IFNA(IF(VLOOKUP($J$1&amp;$A73,'4.1 关键词原始数据'!$A:$N,W$2,FALSE)=0," ",VLOOKUP($J$1&amp;$A73,'4.1 关键词原始数据'!$A:$N,W$2,FALSE))," ")</f>
        <v> </v>
      </c>
      <c r="O73" s="63" t="str">
        <f>_xlfn.IFNA(IF(VLOOKUP($J$1&amp;$A73,'4.1 关键词原始数据'!$A:$N,X$2,FALSE)=0," ",VLOOKUP($J$1&amp;$A73,'4.1 关键词原始数据'!$A:$N,X$2,FALSE))," ")</f>
        <v> </v>
      </c>
      <c r="P73" s="63" t="str">
        <f>_xlfn.IFNA(IF(VLOOKUP($J$1&amp;$A73,'4.1 关键词原始数据'!$A:$N,Y$2,FALSE)=0," ",VLOOKUP($J$1&amp;$A73,'4.1 关键词原始数据'!$A:$N,Y$2,FALSE))," ")</f>
        <v> </v>
      </c>
      <c r="Q73" s="63" t="str">
        <f>_xlfn.IFNA(IF(VLOOKUP($J$1&amp;$A73,'4.1 关键词原始数据'!$A:$N,Z$2,FALSE)=0," ",VLOOKUP($J$1&amp;$A73,'4.1 关键词原始数据'!$A:$N,Z$2,FALSE))," ")</f>
        <v> </v>
      </c>
    </row>
    <row r="74" ht="16.5" spans="1:17">
      <c r="A74" s="62" t="s">
        <v>322</v>
      </c>
      <c r="B74" s="63" t="str">
        <f>_xlfn.IFNA(IF(VLOOKUP($B$1&amp;$A74,'4.1 关键词原始数据'!$A:$N,S$2,FALSE)=0," ",VLOOKUP($B$1&amp;$A74,'4.1 关键词原始数据'!$A:$N,S$2,FALSE))," ")</f>
        <v> </v>
      </c>
      <c r="C74" s="63" t="str">
        <f>_xlfn.IFNA(IF(VLOOKUP($B$1&amp;$A74,'4.1 关键词原始数据'!$A:$N,T$2,FALSE)=0," ",VLOOKUP($B$1&amp;$A74,'4.1 关键词原始数据'!$A:$N,T$2,FALSE))," ")</f>
        <v>2-4-4</v>
      </c>
      <c r="D74" s="63" t="str">
        <f>_xlfn.IFNA(IF(VLOOKUP($B$1&amp;$A74,'4.1 关键词原始数据'!$A:$N,U$2,FALSE)=0," ",VLOOKUP($B$1&amp;$A74,'4.1 关键词原始数据'!$A:$N,U$2,FALSE))," ")</f>
        <v> </v>
      </c>
      <c r="E74" s="63" t="str">
        <f>_xlfn.IFNA(IF(VLOOKUP($B$1&amp;$A74,'4.1 关键词原始数据'!$A:$N,V$2,FALSE)=0," ",VLOOKUP($B$1&amp;$A74,'4.1 关键词原始数据'!$A:$N,V$2,FALSE))," ")</f>
        <v> </v>
      </c>
      <c r="F74" s="63" t="str">
        <f>_xlfn.IFNA(IF(VLOOKUP($B$1&amp;$A74,'4.1 关键词原始数据'!$A:$N,W$2,FALSE)=0," ",VLOOKUP($B$1&amp;$A74,'4.1 关键词原始数据'!$A:$N,W$2,FALSE))," ")</f>
        <v> </v>
      </c>
      <c r="G74" s="63" t="str">
        <f>_xlfn.IFNA(IF(VLOOKUP($B$1&amp;$A74,'4.1 关键词原始数据'!$A:$N,X$2,FALSE)=0," ",VLOOKUP($B$1&amp;$A74,'4.1 关键词原始数据'!$A:$N,X$2,FALSE))," ")</f>
        <v>1-14-3</v>
      </c>
      <c r="H74" s="63" t="str">
        <f>_xlfn.IFNA(IF(VLOOKUP($B$1&amp;$A74,'4.1 关键词原始数据'!$A:$N,Y$2,FALSE)=0," ",VLOOKUP($B$1&amp;$A74,'4.1 关键词原始数据'!$A:$N,Y$2,FALSE))," ")</f>
        <v> </v>
      </c>
      <c r="I74" s="63" t="str">
        <f>_xlfn.IFNA(IF(VLOOKUP($B$1&amp;$A74,'4.1 关键词原始数据'!$A:$N,Z$2,FALSE)=0," ",VLOOKUP($B$1&amp;$A74,'4.1 关键词原始数据'!$A:$N,Z$2,FALSE))," ")</f>
        <v> </v>
      </c>
      <c r="J74" s="63" t="str">
        <f>_xlfn.IFNA(IF(VLOOKUP($J$1&amp;$A74,'4.1 关键词原始数据'!$A:$N,S$2,FALSE)=0," ",VLOOKUP($J$1&amp;$A74,'4.1 关键词原始数据'!$A:$N,S$2,FALSE))," ")</f>
        <v> </v>
      </c>
      <c r="K74" s="63" t="str">
        <f>_xlfn.IFNA(IF(VLOOKUP($J$1&amp;$A74,'4.1 关键词原始数据'!$A:$N,T$2,FALSE)=0," ",VLOOKUP($J$1&amp;$A74,'4.1 关键词原始数据'!$A:$N,T$2,FALSE))," ")</f>
        <v> </v>
      </c>
      <c r="L74" s="63" t="str">
        <f>_xlfn.IFNA(IF(VLOOKUP($J$1&amp;$A74,'4.1 关键词原始数据'!$A:$N,U$2,FALSE)=0," ",VLOOKUP($J$1&amp;$A74,'4.1 关键词原始数据'!$A:$N,U$2,FALSE))," ")</f>
        <v> </v>
      </c>
      <c r="M74" s="63" t="str">
        <f>_xlfn.IFNA(IF(VLOOKUP($J$1&amp;$A74,'4.1 关键词原始数据'!$A:$N,V$2,FALSE)=0," ",VLOOKUP($J$1&amp;$A74,'4.1 关键词原始数据'!$A:$N,V$2,FALSE))," ")</f>
        <v>4-7-3</v>
      </c>
      <c r="N74" s="63" t="str">
        <f>_xlfn.IFNA(IF(VLOOKUP($J$1&amp;$A74,'4.1 关键词原始数据'!$A:$N,W$2,FALSE)=0," ",VLOOKUP($J$1&amp;$A74,'4.1 关键词原始数据'!$A:$N,W$2,FALSE))," ")</f>
        <v> </v>
      </c>
      <c r="O74" s="63" t="str">
        <f>_xlfn.IFNA(IF(VLOOKUP($J$1&amp;$A74,'4.1 关键词原始数据'!$A:$N,X$2,FALSE)=0," ",VLOOKUP($J$1&amp;$A74,'4.1 关键词原始数据'!$A:$N,X$2,FALSE))," ")</f>
        <v> </v>
      </c>
      <c r="P74" s="63" t="str">
        <f>_xlfn.IFNA(IF(VLOOKUP($J$1&amp;$A74,'4.1 关键词原始数据'!$A:$N,Y$2,FALSE)=0," ",VLOOKUP($J$1&amp;$A74,'4.1 关键词原始数据'!$A:$N,Y$2,FALSE))," ")</f>
        <v> </v>
      </c>
      <c r="Q74" s="63" t="str">
        <f>_xlfn.IFNA(IF(VLOOKUP($J$1&amp;$A74,'4.1 关键词原始数据'!$A:$N,Z$2,FALSE)=0," ",VLOOKUP($J$1&amp;$A74,'4.1 关键词原始数据'!$A:$N,Z$2,FALSE))," ")</f>
        <v> </v>
      </c>
    </row>
    <row r="75" ht="16.5" spans="1:17">
      <c r="A75" s="62" t="s">
        <v>323</v>
      </c>
      <c r="B75" s="63" t="str">
        <f>_xlfn.IFNA(IF(VLOOKUP($B$1&amp;$A75,'4.1 关键词原始数据'!$A:$N,S$2,FALSE)=0," ",VLOOKUP($B$1&amp;$A75,'4.1 关键词原始数据'!$A:$N,S$2,FALSE))," ")</f>
        <v> </v>
      </c>
      <c r="C75" s="63" t="str">
        <f>_xlfn.IFNA(IF(VLOOKUP($B$1&amp;$A75,'4.1 关键词原始数据'!$A:$N,T$2,FALSE)=0," ",VLOOKUP($B$1&amp;$A75,'4.1 关键词原始数据'!$A:$N,T$2,FALSE))," ")</f>
        <v>2-7-2</v>
      </c>
      <c r="D75" s="63" t="str">
        <f>_xlfn.IFNA(IF(VLOOKUP($B$1&amp;$A75,'4.1 关键词原始数据'!$A:$N,U$2,FALSE)=0," ",VLOOKUP($B$1&amp;$A75,'4.1 关键词原始数据'!$A:$N,U$2,FALSE))," ")</f>
        <v> </v>
      </c>
      <c r="E75" s="63" t="str">
        <f>_xlfn.IFNA(IF(VLOOKUP($B$1&amp;$A75,'4.1 关键词原始数据'!$A:$N,V$2,FALSE)=0," ",VLOOKUP($B$1&amp;$A75,'4.1 关键词原始数据'!$A:$N,V$2,FALSE))," ")</f>
        <v> </v>
      </c>
      <c r="F75" s="63" t="str">
        <f>_xlfn.IFNA(IF(VLOOKUP($B$1&amp;$A75,'4.1 关键词原始数据'!$A:$N,W$2,FALSE)=0," ",VLOOKUP($B$1&amp;$A75,'4.1 关键词原始数据'!$A:$N,W$2,FALSE))," ")</f>
        <v> </v>
      </c>
      <c r="G75" s="63" t="str">
        <f>_xlfn.IFNA(IF(VLOOKUP($B$1&amp;$A75,'4.1 关键词原始数据'!$A:$N,X$2,FALSE)=0," ",VLOOKUP($B$1&amp;$A75,'4.1 关键词原始数据'!$A:$N,X$2,FALSE))," ")</f>
        <v>1-16-2</v>
      </c>
      <c r="H75" s="63" t="str">
        <f>_xlfn.IFNA(IF(VLOOKUP($B$1&amp;$A75,'4.1 关键词原始数据'!$A:$N,Y$2,FALSE)=0," ",VLOOKUP($B$1&amp;$A75,'4.1 关键词原始数据'!$A:$N,Y$2,FALSE))," ")</f>
        <v> </v>
      </c>
      <c r="I75" s="63" t="str">
        <f>_xlfn.IFNA(IF(VLOOKUP($B$1&amp;$A75,'4.1 关键词原始数据'!$A:$N,Z$2,FALSE)=0," ",VLOOKUP($B$1&amp;$A75,'4.1 关键词原始数据'!$A:$N,Z$2,FALSE))," ")</f>
        <v> </v>
      </c>
      <c r="J75" s="63" t="str">
        <f>_xlfn.IFNA(IF(VLOOKUP($J$1&amp;$A75,'4.1 关键词原始数据'!$A:$N,S$2,FALSE)=0," ",VLOOKUP($J$1&amp;$A75,'4.1 关键词原始数据'!$A:$N,S$2,FALSE))," ")</f>
        <v> </v>
      </c>
      <c r="K75" s="63" t="str">
        <f>_xlfn.IFNA(IF(VLOOKUP($J$1&amp;$A75,'4.1 关键词原始数据'!$A:$N,T$2,FALSE)=0," ",VLOOKUP($J$1&amp;$A75,'4.1 关键词原始数据'!$A:$N,T$2,FALSE))," ")</f>
        <v> </v>
      </c>
      <c r="L75" s="63" t="str">
        <f>_xlfn.IFNA(IF(VLOOKUP($J$1&amp;$A75,'4.1 关键词原始数据'!$A:$N,U$2,FALSE)=0," ",VLOOKUP($J$1&amp;$A75,'4.1 关键词原始数据'!$A:$N,U$2,FALSE))," ")</f>
        <v> </v>
      </c>
      <c r="M75" s="63" t="str">
        <f>_xlfn.IFNA(IF(VLOOKUP($J$1&amp;$A75,'4.1 关键词原始数据'!$A:$N,V$2,FALSE)=0," ",VLOOKUP($J$1&amp;$A75,'4.1 关键词原始数据'!$A:$N,V$2,FALSE))," ")</f>
        <v>4-12-3</v>
      </c>
      <c r="N75" s="63" t="str">
        <f>_xlfn.IFNA(IF(VLOOKUP($J$1&amp;$A75,'4.1 关键词原始数据'!$A:$N,W$2,FALSE)=0," ",VLOOKUP($J$1&amp;$A75,'4.1 关键词原始数据'!$A:$N,W$2,FALSE))," ")</f>
        <v> </v>
      </c>
      <c r="O75" s="63" t="str">
        <f>_xlfn.IFNA(IF(VLOOKUP($J$1&amp;$A75,'4.1 关键词原始数据'!$A:$N,X$2,FALSE)=0," ",VLOOKUP($J$1&amp;$A75,'4.1 关键词原始数据'!$A:$N,X$2,FALSE))," ")</f>
        <v> </v>
      </c>
      <c r="P75" s="63" t="str">
        <f>_xlfn.IFNA(IF(VLOOKUP($J$1&amp;$A75,'4.1 关键词原始数据'!$A:$N,Y$2,FALSE)=0," ",VLOOKUP($J$1&amp;$A75,'4.1 关键词原始数据'!$A:$N,Y$2,FALSE))," ")</f>
        <v> </v>
      </c>
      <c r="Q75" s="63" t="str">
        <f>_xlfn.IFNA(IF(VLOOKUP($J$1&amp;$A75,'4.1 关键词原始数据'!$A:$N,Z$2,FALSE)=0," ",VLOOKUP($J$1&amp;$A75,'4.1 关键词原始数据'!$A:$N,Z$2,FALSE))," ")</f>
        <v> </v>
      </c>
    </row>
    <row r="76" ht="16.5" spans="1:17">
      <c r="A76" s="62" t="s">
        <v>324</v>
      </c>
      <c r="B76" s="63" t="str">
        <f>_xlfn.IFNA(IF(VLOOKUP($B$1&amp;$A76,'4.1 关键词原始数据'!$A:$N,S$2,FALSE)=0," ",VLOOKUP($B$1&amp;$A76,'4.1 关键词原始数据'!$A:$N,S$2,FALSE))," ")</f>
        <v> </v>
      </c>
      <c r="C76" s="63" t="str">
        <f>_xlfn.IFNA(IF(VLOOKUP($B$1&amp;$A76,'4.1 关键词原始数据'!$A:$N,T$2,FALSE)=0," ",VLOOKUP($B$1&amp;$A76,'4.1 关键词原始数据'!$A:$N,T$2,FALSE))," ")</f>
        <v> </v>
      </c>
      <c r="D76" s="63" t="str">
        <f>_xlfn.IFNA(IF(VLOOKUP($B$1&amp;$A76,'4.1 关键词原始数据'!$A:$N,U$2,FALSE)=0," ",VLOOKUP($B$1&amp;$A76,'4.1 关键词原始数据'!$A:$N,U$2,FALSE))," ")</f>
        <v> </v>
      </c>
      <c r="E76" s="63" t="str">
        <f>_xlfn.IFNA(IF(VLOOKUP($B$1&amp;$A76,'4.1 关键词原始数据'!$A:$N,V$2,FALSE)=0," ",VLOOKUP($B$1&amp;$A76,'4.1 关键词原始数据'!$A:$N,V$2,FALSE))," ")</f>
        <v> </v>
      </c>
      <c r="F76" s="63" t="str">
        <f>_xlfn.IFNA(IF(VLOOKUP($B$1&amp;$A76,'4.1 关键词原始数据'!$A:$N,W$2,FALSE)=0," ",VLOOKUP($B$1&amp;$A76,'4.1 关键词原始数据'!$A:$N,W$2,FALSE))," ")</f>
        <v> </v>
      </c>
      <c r="G76" s="63" t="str">
        <f>_xlfn.IFNA(IF(VLOOKUP($B$1&amp;$A76,'4.1 关键词原始数据'!$A:$N,X$2,FALSE)=0," ",VLOOKUP($B$1&amp;$A76,'4.1 关键词原始数据'!$A:$N,X$2,FALSE))," ")</f>
        <v> </v>
      </c>
      <c r="H76" s="63" t="str">
        <f>_xlfn.IFNA(IF(VLOOKUP($B$1&amp;$A76,'4.1 关键词原始数据'!$A:$N,Y$2,FALSE)=0," ",VLOOKUP($B$1&amp;$A76,'4.1 关键词原始数据'!$A:$N,Y$2,FALSE))," ")</f>
        <v> </v>
      </c>
      <c r="I76" s="63" t="str">
        <f>_xlfn.IFNA(IF(VLOOKUP($B$1&amp;$A76,'4.1 关键词原始数据'!$A:$N,Z$2,FALSE)=0," ",VLOOKUP($B$1&amp;$A76,'4.1 关键词原始数据'!$A:$N,Z$2,FALSE))," ")</f>
        <v> </v>
      </c>
      <c r="J76" s="63" t="str">
        <f>_xlfn.IFNA(IF(VLOOKUP($J$1&amp;$A76,'4.1 关键词原始数据'!$A:$N,S$2,FALSE)=0," ",VLOOKUP($J$1&amp;$A76,'4.1 关键词原始数据'!$A:$N,S$2,FALSE))," ")</f>
        <v> </v>
      </c>
      <c r="K76" s="63" t="str">
        <f>_xlfn.IFNA(IF(VLOOKUP($J$1&amp;$A76,'4.1 关键词原始数据'!$A:$N,T$2,FALSE)=0," ",VLOOKUP($J$1&amp;$A76,'4.1 关键词原始数据'!$A:$N,T$2,FALSE))," ")</f>
        <v> </v>
      </c>
      <c r="L76" s="63" t="str">
        <f>_xlfn.IFNA(IF(VLOOKUP($J$1&amp;$A76,'4.1 关键词原始数据'!$A:$N,U$2,FALSE)=0," ",VLOOKUP($J$1&amp;$A76,'4.1 关键词原始数据'!$A:$N,U$2,FALSE))," ")</f>
        <v> </v>
      </c>
      <c r="M76" s="63" t="str">
        <f>_xlfn.IFNA(IF(VLOOKUP($J$1&amp;$A76,'4.1 关键词原始数据'!$A:$N,V$2,FALSE)=0," ",VLOOKUP($J$1&amp;$A76,'4.1 关键词原始数据'!$A:$N,V$2,FALSE))," ")</f>
        <v> </v>
      </c>
      <c r="N76" s="63" t="str">
        <f>_xlfn.IFNA(IF(VLOOKUP($J$1&amp;$A76,'4.1 关键词原始数据'!$A:$N,W$2,FALSE)=0," ",VLOOKUP($J$1&amp;$A76,'4.1 关键词原始数据'!$A:$N,W$2,FALSE))," ")</f>
        <v> </v>
      </c>
      <c r="O76" s="63" t="str">
        <f>_xlfn.IFNA(IF(VLOOKUP($J$1&amp;$A76,'4.1 关键词原始数据'!$A:$N,X$2,FALSE)=0," ",VLOOKUP($J$1&amp;$A76,'4.1 关键词原始数据'!$A:$N,X$2,FALSE))," ")</f>
        <v> </v>
      </c>
      <c r="P76" s="63" t="str">
        <f>_xlfn.IFNA(IF(VLOOKUP($J$1&amp;$A76,'4.1 关键词原始数据'!$A:$N,Y$2,FALSE)=0," ",VLOOKUP($J$1&amp;$A76,'4.1 关键词原始数据'!$A:$N,Y$2,FALSE))," ")</f>
        <v> </v>
      </c>
      <c r="Q76" s="63" t="str">
        <f>_xlfn.IFNA(IF(VLOOKUP($J$1&amp;$A76,'4.1 关键词原始数据'!$A:$N,Z$2,FALSE)=0," ",VLOOKUP($J$1&amp;$A76,'4.1 关键词原始数据'!$A:$N,Z$2,FALSE))," ")</f>
        <v> </v>
      </c>
    </row>
    <row r="77" ht="16.5" spans="1:17">
      <c r="A77" s="62" t="s">
        <v>325</v>
      </c>
      <c r="B77" s="63" t="str">
        <f>_xlfn.IFNA(IF(VLOOKUP($B$1&amp;$A77,'4.1 关键词原始数据'!$A:$N,S$2,FALSE)=0," ",VLOOKUP($B$1&amp;$A77,'4.1 关键词原始数据'!$A:$N,S$2,FALSE))," ")</f>
        <v> </v>
      </c>
      <c r="C77" s="63" t="str">
        <f>_xlfn.IFNA(IF(VLOOKUP($B$1&amp;$A77,'4.1 关键词原始数据'!$A:$N,T$2,FALSE)=0," ",VLOOKUP($B$1&amp;$A77,'4.1 关键词原始数据'!$A:$N,T$2,FALSE))," ")</f>
        <v>2-3-4</v>
      </c>
      <c r="D77" s="63" t="str">
        <f>_xlfn.IFNA(IF(VLOOKUP($B$1&amp;$A77,'4.1 关键词原始数据'!$A:$N,U$2,FALSE)=0," ",VLOOKUP($B$1&amp;$A77,'4.1 关键词原始数据'!$A:$N,U$2,FALSE))," ")</f>
        <v> </v>
      </c>
      <c r="E77" s="63" t="str">
        <f>_xlfn.IFNA(IF(VLOOKUP($B$1&amp;$A77,'4.1 关键词原始数据'!$A:$N,V$2,FALSE)=0," ",VLOOKUP($B$1&amp;$A77,'4.1 关键词原始数据'!$A:$N,V$2,FALSE))," ")</f>
        <v> </v>
      </c>
      <c r="F77" s="63" t="str">
        <f>_xlfn.IFNA(IF(VLOOKUP($B$1&amp;$A77,'4.1 关键词原始数据'!$A:$N,W$2,FALSE)=0," ",VLOOKUP($B$1&amp;$A77,'4.1 关键词原始数据'!$A:$N,W$2,FALSE))," ")</f>
        <v> </v>
      </c>
      <c r="G77" s="63" t="str">
        <f>_xlfn.IFNA(IF(VLOOKUP($B$1&amp;$A77,'4.1 关键词原始数据'!$A:$N,X$2,FALSE)=0," ",VLOOKUP($B$1&amp;$A77,'4.1 关键词原始数据'!$A:$N,X$2,FALSE))," ")</f>
        <v>1-16-2</v>
      </c>
      <c r="H77" s="63" t="str">
        <f>_xlfn.IFNA(IF(VLOOKUP($B$1&amp;$A77,'4.1 关键词原始数据'!$A:$N,Y$2,FALSE)=0," ",VLOOKUP($B$1&amp;$A77,'4.1 关键词原始数据'!$A:$N,Y$2,FALSE))," ")</f>
        <v> </v>
      </c>
      <c r="I77" s="63" t="str">
        <f>_xlfn.IFNA(IF(VLOOKUP($B$1&amp;$A77,'4.1 关键词原始数据'!$A:$N,Z$2,FALSE)=0," ",VLOOKUP($B$1&amp;$A77,'4.1 关键词原始数据'!$A:$N,Z$2,FALSE))," ")</f>
        <v> </v>
      </c>
      <c r="J77" s="63" t="str">
        <f>_xlfn.IFNA(IF(VLOOKUP($J$1&amp;$A77,'4.1 关键词原始数据'!$A:$N,S$2,FALSE)=0," ",VLOOKUP($J$1&amp;$A77,'4.1 关键词原始数据'!$A:$N,S$2,FALSE))," ")</f>
        <v> </v>
      </c>
      <c r="K77" s="63" t="str">
        <f>_xlfn.IFNA(IF(VLOOKUP($J$1&amp;$A77,'4.1 关键词原始数据'!$A:$N,T$2,FALSE)=0," ",VLOOKUP($J$1&amp;$A77,'4.1 关键词原始数据'!$A:$N,T$2,FALSE))," ")</f>
        <v> </v>
      </c>
      <c r="L77" s="63" t="str">
        <f>_xlfn.IFNA(IF(VLOOKUP($J$1&amp;$A77,'4.1 关键词原始数据'!$A:$N,U$2,FALSE)=0," ",VLOOKUP($J$1&amp;$A77,'4.1 关键词原始数据'!$A:$N,U$2,FALSE))," ")</f>
        <v> </v>
      </c>
      <c r="M77" s="63" t="str">
        <f>_xlfn.IFNA(IF(VLOOKUP($J$1&amp;$A77,'4.1 关键词原始数据'!$A:$N,V$2,FALSE)=0," ",VLOOKUP($J$1&amp;$A77,'4.1 关键词原始数据'!$A:$N,V$2,FALSE))," ")</f>
        <v>4-7-4</v>
      </c>
      <c r="N77" s="63" t="str">
        <f>_xlfn.IFNA(IF(VLOOKUP($J$1&amp;$A77,'4.1 关键词原始数据'!$A:$N,W$2,FALSE)=0," ",VLOOKUP($J$1&amp;$A77,'4.1 关键词原始数据'!$A:$N,W$2,FALSE))," ")</f>
        <v>2-6-4</v>
      </c>
      <c r="O77" s="63" t="str">
        <f>_xlfn.IFNA(IF(VLOOKUP($J$1&amp;$A77,'4.1 关键词原始数据'!$A:$N,X$2,FALSE)=0," ",VLOOKUP($J$1&amp;$A77,'4.1 关键词原始数据'!$A:$N,X$2,FALSE))," ")</f>
        <v> </v>
      </c>
      <c r="P77" s="63" t="str">
        <f>_xlfn.IFNA(IF(VLOOKUP($J$1&amp;$A77,'4.1 关键词原始数据'!$A:$N,Y$2,FALSE)=0," ",VLOOKUP($J$1&amp;$A77,'4.1 关键词原始数据'!$A:$N,Y$2,FALSE))," ")</f>
        <v> </v>
      </c>
      <c r="Q77" s="63" t="str">
        <f>_xlfn.IFNA(IF(VLOOKUP($J$1&amp;$A77,'4.1 关键词原始数据'!$A:$N,Z$2,FALSE)=0," ",VLOOKUP($J$1&amp;$A77,'4.1 关键词原始数据'!$A:$N,Z$2,FALSE))," ")</f>
        <v> </v>
      </c>
    </row>
    <row r="78" ht="16.5" spans="1:17">
      <c r="A78" s="62" t="s">
        <v>326</v>
      </c>
      <c r="B78" s="63" t="str">
        <f>_xlfn.IFNA(IF(VLOOKUP($B$1&amp;$A78,'4.1 关键词原始数据'!$A:$N,S$2,FALSE)=0," ",VLOOKUP($B$1&amp;$A78,'4.1 关键词原始数据'!$A:$N,S$2,FALSE))," ")</f>
        <v> </v>
      </c>
      <c r="C78" s="63" t="str">
        <f>_xlfn.IFNA(IF(VLOOKUP($B$1&amp;$A78,'4.1 关键词原始数据'!$A:$N,T$2,FALSE)=0," ",VLOOKUP($B$1&amp;$A78,'4.1 关键词原始数据'!$A:$N,T$2,FALSE))," ")</f>
        <v>4-9-3</v>
      </c>
      <c r="D78" s="63" t="str">
        <f>_xlfn.IFNA(IF(VLOOKUP($B$1&amp;$A78,'4.1 关键词原始数据'!$A:$N,U$2,FALSE)=0," ",VLOOKUP($B$1&amp;$A78,'4.1 关键词原始数据'!$A:$N,U$2,FALSE))," ")</f>
        <v> </v>
      </c>
      <c r="E78" s="63" t="str">
        <f>_xlfn.IFNA(IF(VLOOKUP($B$1&amp;$A78,'4.1 关键词原始数据'!$A:$N,V$2,FALSE)=0," ",VLOOKUP($B$1&amp;$A78,'4.1 关键词原始数据'!$A:$N,V$2,FALSE))," ")</f>
        <v> </v>
      </c>
      <c r="F78" s="63" t="str">
        <f>_xlfn.IFNA(IF(VLOOKUP($B$1&amp;$A78,'4.1 关键词原始数据'!$A:$N,W$2,FALSE)=0," ",VLOOKUP($B$1&amp;$A78,'4.1 关键词原始数据'!$A:$N,W$2,FALSE))," ")</f>
        <v> </v>
      </c>
      <c r="G78" s="63" t="str">
        <f>_xlfn.IFNA(IF(VLOOKUP($B$1&amp;$A78,'4.1 关键词原始数据'!$A:$N,X$2,FALSE)=0," ",VLOOKUP($B$1&amp;$A78,'4.1 关键词原始数据'!$A:$N,X$2,FALSE))," ")</f>
        <v>3-8-3</v>
      </c>
      <c r="H78" s="63" t="str">
        <f>_xlfn.IFNA(IF(VLOOKUP($B$1&amp;$A78,'4.1 关键词原始数据'!$A:$N,Y$2,FALSE)=0," ",VLOOKUP($B$1&amp;$A78,'4.1 关键词原始数据'!$A:$N,Y$2,FALSE))," ")</f>
        <v> </v>
      </c>
      <c r="I78" s="63" t="str">
        <f>_xlfn.IFNA(IF(VLOOKUP($B$1&amp;$A78,'4.1 关键词原始数据'!$A:$N,Z$2,FALSE)=0," ",VLOOKUP($B$1&amp;$A78,'4.1 关键词原始数据'!$A:$N,Z$2,FALSE))," ")</f>
        <v> </v>
      </c>
      <c r="J78" s="63" t="str">
        <f>_xlfn.IFNA(IF(VLOOKUP($J$1&amp;$A78,'4.1 关键词原始数据'!$A:$N,S$2,FALSE)=0," ",VLOOKUP($J$1&amp;$A78,'4.1 关键词原始数据'!$A:$N,S$2,FALSE))," ")</f>
        <v> </v>
      </c>
      <c r="K78" s="63" t="str">
        <f>_xlfn.IFNA(IF(VLOOKUP($J$1&amp;$A78,'4.1 关键词原始数据'!$A:$N,T$2,FALSE)=0," ",VLOOKUP($J$1&amp;$A78,'4.1 关键词原始数据'!$A:$N,T$2,FALSE))," ")</f>
        <v> </v>
      </c>
      <c r="L78" s="63" t="str">
        <f>_xlfn.IFNA(IF(VLOOKUP($J$1&amp;$A78,'4.1 关键词原始数据'!$A:$N,U$2,FALSE)=0," ",VLOOKUP($J$1&amp;$A78,'4.1 关键词原始数据'!$A:$N,U$2,FALSE))," ")</f>
        <v> </v>
      </c>
      <c r="M78" s="63" t="str">
        <f>_xlfn.IFNA(IF(VLOOKUP($J$1&amp;$A78,'4.1 关键词原始数据'!$A:$N,V$2,FALSE)=0," ",VLOOKUP($J$1&amp;$A78,'4.1 关键词原始数据'!$A:$N,V$2,FALSE))," ")</f>
        <v>4-2-4</v>
      </c>
      <c r="N78" s="63" t="str">
        <f>_xlfn.IFNA(IF(VLOOKUP($J$1&amp;$A78,'4.1 关键词原始数据'!$A:$N,W$2,FALSE)=0," ",VLOOKUP($J$1&amp;$A78,'4.1 关键词原始数据'!$A:$N,W$2,FALSE))," ")</f>
        <v>3-10-4</v>
      </c>
      <c r="O78" s="63" t="str">
        <f>_xlfn.IFNA(IF(VLOOKUP($J$1&amp;$A78,'4.1 关键词原始数据'!$A:$N,X$2,FALSE)=0," ",VLOOKUP($J$1&amp;$A78,'4.1 关键词原始数据'!$A:$N,X$2,FALSE))," ")</f>
        <v> </v>
      </c>
      <c r="P78" s="63" t="str">
        <f>_xlfn.IFNA(IF(VLOOKUP($J$1&amp;$A78,'4.1 关键词原始数据'!$A:$N,Y$2,FALSE)=0," ",VLOOKUP($J$1&amp;$A78,'4.1 关键词原始数据'!$A:$N,Y$2,FALSE))," ")</f>
        <v> </v>
      </c>
      <c r="Q78" s="63" t="str">
        <f>_xlfn.IFNA(IF(VLOOKUP($J$1&amp;$A78,'4.1 关键词原始数据'!$A:$N,Z$2,FALSE)=0," ",VLOOKUP($J$1&amp;$A78,'4.1 关键词原始数据'!$A:$N,Z$2,FALSE))," ")</f>
        <v> </v>
      </c>
    </row>
    <row r="79" ht="16.5" spans="1:17">
      <c r="A79" s="62" t="s">
        <v>327</v>
      </c>
      <c r="B79" s="63" t="str">
        <f>_xlfn.IFNA(IF(VLOOKUP($B$1&amp;$A79,'4.1 关键词原始数据'!$A:$N,S$2,FALSE)=0," ",VLOOKUP($B$1&amp;$A79,'4.1 关键词原始数据'!$A:$N,S$2,FALSE))," ")</f>
        <v> </v>
      </c>
      <c r="C79" s="63" t="str">
        <f>_xlfn.IFNA(IF(VLOOKUP($B$1&amp;$A79,'4.1 关键词原始数据'!$A:$N,T$2,FALSE)=0," ",VLOOKUP($B$1&amp;$A79,'4.1 关键词原始数据'!$A:$N,T$2,FALSE))," ")</f>
        <v>4-8-3</v>
      </c>
      <c r="D79" s="63" t="str">
        <f>_xlfn.IFNA(IF(VLOOKUP($B$1&amp;$A79,'4.1 关键词原始数据'!$A:$N,U$2,FALSE)=0," ",VLOOKUP($B$1&amp;$A79,'4.1 关键词原始数据'!$A:$N,U$2,FALSE))," ")</f>
        <v> </v>
      </c>
      <c r="E79" s="63" t="str">
        <f>_xlfn.IFNA(IF(VLOOKUP($B$1&amp;$A79,'4.1 关键词原始数据'!$A:$N,V$2,FALSE)=0," ",VLOOKUP($B$1&amp;$A79,'4.1 关键词原始数据'!$A:$N,V$2,FALSE))," ")</f>
        <v> </v>
      </c>
      <c r="F79" s="63" t="str">
        <f>_xlfn.IFNA(IF(VLOOKUP($B$1&amp;$A79,'4.1 关键词原始数据'!$A:$N,W$2,FALSE)=0," ",VLOOKUP($B$1&amp;$A79,'4.1 关键词原始数据'!$A:$N,W$2,FALSE))," ")</f>
        <v> </v>
      </c>
      <c r="G79" s="63" t="str">
        <f>_xlfn.IFNA(IF(VLOOKUP($B$1&amp;$A79,'4.1 关键词原始数据'!$A:$N,X$2,FALSE)=0," ",VLOOKUP($B$1&amp;$A79,'4.1 关键词原始数据'!$A:$N,X$2,FALSE))," ")</f>
        <v>3-8-2</v>
      </c>
      <c r="H79" s="63" t="str">
        <f>_xlfn.IFNA(IF(VLOOKUP($B$1&amp;$A79,'4.1 关键词原始数据'!$A:$N,Y$2,FALSE)=0," ",VLOOKUP($B$1&amp;$A79,'4.1 关键词原始数据'!$A:$N,Y$2,FALSE))," ")</f>
        <v> </v>
      </c>
      <c r="I79" s="63" t="str">
        <f>_xlfn.IFNA(IF(VLOOKUP($B$1&amp;$A79,'4.1 关键词原始数据'!$A:$N,Z$2,FALSE)=0," ",VLOOKUP($B$1&amp;$A79,'4.1 关键词原始数据'!$A:$N,Z$2,FALSE))," ")</f>
        <v> </v>
      </c>
      <c r="J79" s="63" t="str">
        <f>_xlfn.IFNA(IF(VLOOKUP($J$1&amp;$A79,'4.1 关键词原始数据'!$A:$N,S$2,FALSE)=0," ",VLOOKUP($J$1&amp;$A79,'4.1 关键词原始数据'!$A:$N,S$2,FALSE))," ")</f>
        <v> </v>
      </c>
      <c r="K79" s="63" t="str">
        <f>_xlfn.IFNA(IF(VLOOKUP($J$1&amp;$A79,'4.1 关键词原始数据'!$A:$N,T$2,FALSE)=0," ",VLOOKUP($J$1&amp;$A79,'4.1 关键词原始数据'!$A:$N,T$2,FALSE))," ")</f>
        <v> </v>
      </c>
      <c r="L79" s="63" t="str">
        <f>_xlfn.IFNA(IF(VLOOKUP($J$1&amp;$A79,'4.1 关键词原始数据'!$A:$N,U$2,FALSE)=0," ",VLOOKUP($J$1&amp;$A79,'4.1 关键词原始数据'!$A:$N,U$2,FALSE))," ")</f>
        <v> </v>
      </c>
      <c r="M79" s="63" t="str">
        <f>_xlfn.IFNA(IF(VLOOKUP($J$1&amp;$A79,'4.1 关键词原始数据'!$A:$N,V$2,FALSE)=0," ",VLOOKUP($J$1&amp;$A79,'4.1 关键词原始数据'!$A:$N,V$2,FALSE))," ")</f>
        <v>3-16-2</v>
      </c>
      <c r="N79" s="63" t="str">
        <f>_xlfn.IFNA(IF(VLOOKUP($J$1&amp;$A79,'4.1 关键词原始数据'!$A:$N,W$2,FALSE)=0," ",VLOOKUP($J$1&amp;$A79,'4.1 关键词原始数据'!$A:$N,W$2,FALSE))," ")</f>
        <v> </v>
      </c>
      <c r="O79" s="63" t="str">
        <f>_xlfn.IFNA(IF(VLOOKUP($J$1&amp;$A79,'4.1 关键词原始数据'!$A:$N,X$2,FALSE)=0," ",VLOOKUP($J$1&amp;$A79,'4.1 关键词原始数据'!$A:$N,X$2,FALSE))," ")</f>
        <v> </v>
      </c>
      <c r="P79" s="63" t="str">
        <f>_xlfn.IFNA(IF(VLOOKUP($J$1&amp;$A79,'4.1 关键词原始数据'!$A:$N,Y$2,FALSE)=0," ",VLOOKUP($J$1&amp;$A79,'4.1 关键词原始数据'!$A:$N,Y$2,FALSE))," ")</f>
        <v> </v>
      </c>
      <c r="Q79" s="63" t="str">
        <f>_xlfn.IFNA(IF(VLOOKUP($J$1&amp;$A79,'4.1 关键词原始数据'!$A:$N,Z$2,FALSE)=0," ",VLOOKUP($J$1&amp;$A79,'4.1 关键词原始数据'!$A:$N,Z$2,FALSE))," ")</f>
        <v> </v>
      </c>
    </row>
    <row r="80" ht="16.5" spans="1:17">
      <c r="A80" s="62" t="s">
        <v>328</v>
      </c>
      <c r="B80" s="63" t="str">
        <f>_xlfn.IFNA(IF(VLOOKUP($B$1&amp;$A80,'4.1 关键词原始数据'!$A:$N,S$2,FALSE)=0," ",VLOOKUP($B$1&amp;$A80,'4.1 关键词原始数据'!$A:$N,S$2,FALSE))," ")</f>
        <v> </v>
      </c>
      <c r="C80" s="63" t="str">
        <f>_xlfn.IFNA(IF(VLOOKUP($B$1&amp;$A80,'4.1 关键词原始数据'!$A:$N,T$2,FALSE)=0," ",VLOOKUP($B$1&amp;$A80,'4.1 关键词原始数据'!$A:$N,T$2,FALSE))," ")</f>
        <v>4-4-4</v>
      </c>
      <c r="D80" s="63" t="str">
        <f>_xlfn.IFNA(IF(VLOOKUP($B$1&amp;$A80,'4.1 关键词原始数据'!$A:$N,U$2,FALSE)=0," ",VLOOKUP($B$1&amp;$A80,'4.1 关键词原始数据'!$A:$N,U$2,FALSE))," ")</f>
        <v> </v>
      </c>
      <c r="E80" s="63" t="str">
        <f>_xlfn.IFNA(IF(VLOOKUP($B$1&amp;$A80,'4.1 关键词原始数据'!$A:$N,V$2,FALSE)=0," ",VLOOKUP($B$1&amp;$A80,'4.1 关键词原始数据'!$A:$N,V$2,FALSE))," ")</f>
        <v> </v>
      </c>
      <c r="F80" s="63" t="str">
        <f>_xlfn.IFNA(IF(VLOOKUP($B$1&amp;$A80,'4.1 关键词原始数据'!$A:$N,W$2,FALSE)=0," ",VLOOKUP($B$1&amp;$A80,'4.1 关键词原始数据'!$A:$N,W$2,FALSE))," ")</f>
        <v> </v>
      </c>
      <c r="G80" s="63" t="str">
        <f>_xlfn.IFNA(IF(VLOOKUP($B$1&amp;$A80,'4.1 关键词原始数据'!$A:$N,X$2,FALSE)=0," ",VLOOKUP($B$1&amp;$A80,'4.1 关键词原始数据'!$A:$N,X$2,FALSE))," ")</f>
        <v>3-7-4</v>
      </c>
      <c r="H80" s="63" t="str">
        <f>_xlfn.IFNA(IF(VLOOKUP($B$1&amp;$A80,'4.1 关键词原始数据'!$A:$N,Y$2,FALSE)=0," ",VLOOKUP($B$1&amp;$A80,'4.1 关键词原始数据'!$A:$N,Y$2,FALSE))," ")</f>
        <v> </v>
      </c>
      <c r="I80" s="63" t="str">
        <f>_xlfn.IFNA(IF(VLOOKUP($B$1&amp;$A80,'4.1 关键词原始数据'!$A:$N,Z$2,FALSE)=0," ",VLOOKUP($B$1&amp;$A80,'4.1 关键词原始数据'!$A:$N,Z$2,FALSE))," ")</f>
        <v> </v>
      </c>
      <c r="J80" s="63" t="str">
        <f>_xlfn.IFNA(IF(VLOOKUP($J$1&amp;$A80,'4.1 关键词原始数据'!$A:$N,S$2,FALSE)=0," ",VLOOKUP($J$1&amp;$A80,'4.1 关键词原始数据'!$A:$N,S$2,FALSE))," ")</f>
        <v> </v>
      </c>
      <c r="K80" s="63" t="str">
        <f>_xlfn.IFNA(IF(VLOOKUP($J$1&amp;$A80,'4.1 关键词原始数据'!$A:$N,T$2,FALSE)=0," ",VLOOKUP($J$1&amp;$A80,'4.1 关键词原始数据'!$A:$N,T$2,FALSE))," ")</f>
        <v> </v>
      </c>
      <c r="L80" s="63" t="str">
        <f>_xlfn.IFNA(IF(VLOOKUP($J$1&amp;$A80,'4.1 关键词原始数据'!$A:$N,U$2,FALSE)=0," ",VLOOKUP($J$1&amp;$A80,'4.1 关键词原始数据'!$A:$N,U$2,FALSE))," ")</f>
        <v> </v>
      </c>
      <c r="M80" s="63" t="str">
        <f>_xlfn.IFNA(IF(VLOOKUP($J$1&amp;$A80,'4.1 关键词原始数据'!$A:$N,V$2,FALSE)=0," ",VLOOKUP($J$1&amp;$A80,'4.1 关键词原始数据'!$A:$N,V$2,FALSE))," ")</f>
        <v>3-14-1</v>
      </c>
      <c r="N80" s="63" t="str">
        <f>_xlfn.IFNA(IF(VLOOKUP($J$1&amp;$A80,'4.1 关键词原始数据'!$A:$N,W$2,FALSE)=0," ",VLOOKUP($J$1&amp;$A80,'4.1 关键词原始数据'!$A:$N,W$2,FALSE))," ")</f>
        <v> </v>
      </c>
      <c r="O80" s="63" t="str">
        <f>_xlfn.IFNA(IF(VLOOKUP($J$1&amp;$A80,'4.1 关键词原始数据'!$A:$N,X$2,FALSE)=0," ",VLOOKUP($J$1&amp;$A80,'4.1 关键词原始数据'!$A:$N,X$2,FALSE))," ")</f>
        <v> </v>
      </c>
      <c r="P80" s="63" t="str">
        <f>_xlfn.IFNA(IF(VLOOKUP($J$1&amp;$A80,'4.1 关键词原始数据'!$A:$N,Y$2,FALSE)=0," ",VLOOKUP($J$1&amp;$A80,'4.1 关键词原始数据'!$A:$N,Y$2,FALSE))," ")</f>
        <v> </v>
      </c>
      <c r="Q80" s="63" t="str">
        <f>_xlfn.IFNA(IF(VLOOKUP($J$1&amp;$A80,'4.1 关键词原始数据'!$A:$N,Z$2,FALSE)=0," ",VLOOKUP($J$1&amp;$A80,'4.1 关键词原始数据'!$A:$N,Z$2,FALSE))," ")</f>
        <v> </v>
      </c>
    </row>
    <row r="81" ht="16.5" spans="1:17">
      <c r="A81" s="62" t="s">
        <v>329</v>
      </c>
      <c r="B81" s="63" t="str">
        <f>_xlfn.IFNA(IF(VLOOKUP($B$1&amp;$A81,'4.1 关键词原始数据'!$A:$N,S$2,FALSE)=0," ",VLOOKUP($B$1&amp;$A81,'4.1 关键词原始数据'!$A:$N,S$2,FALSE))," ")</f>
        <v> </v>
      </c>
      <c r="C81" s="63" t="str">
        <f>_xlfn.IFNA(IF(VLOOKUP($B$1&amp;$A81,'4.1 关键词原始数据'!$A:$N,T$2,FALSE)=0," ",VLOOKUP($B$1&amp;$A81,'4.1 关键词原始数据'!$A:$N,T$2,FALSE))," ")</f>
        <v>4-4-4</v>
      </c>
      <c r="D81" s="63" t="str">
        <f>_xlfn.IFNA(IF(VLOOKUP($B$1&amp;$A81,'4.1 关键词原始数据'!$A:$N,U$2,FALSE)=0," ",VLOOKUP($B$1&amp;$A81,'4.1 关键词原始数据'!$A:$N,U$2,FALSE))," ")</f>
        <v> </v>
      </c>
      <c r="E81" s="63" t="str">
        <f>_xlfn.IFNA(IF(VLOOKUP($B$1&amp;$A81,'4.1 关键词原始数据'!$A:$N,V$2,FALSE)=0," ",VLOOKUP($B$1&amp;$A81,'4.1 关键词原始数据'!$A:$N,V$2,FALSE))," ")</f>
        <v> </v>
      </c>
      <c r="F81" s="63" t="str">
        <f>_xlfn.IFNA(IF(VLOOKUP($B$1&amp;$A81,'4.1 关键词原始数据'!$A:$N,W$2,FALSE)=0," ",VLOOKUP($B$1&amp;$A81,'4.1 关键词原始数据'!$A:$N,W$2,FALSE))," ")</f>
        <v> </v>
      </c>
      <c r="G81" s="63" t="str">
        <f>_xlfn.IFNA(IF(VLOOKUP($B$1&amp;$A81,'4.1 关键词原始数据'!$A:$N,X$2,FALSE)=0," ",VLOOKUP($B$1&amp;$A81,'4.1 关键词原始数据'!$A:$N,X$2,FALSE))," ")</f>
        <v>3-9-3</v>
      </c>
      <c r="H81" s="63" t="str">
        <f>_xlfn.IFNA(IF(VLOOKUP($B$1&amp;$A81,'4.1 关键词原始数据'!$A:$N,Y$2,FALSE)=0," ",VLOOKUP($B$1&amp;$A81,'4.1 关键词原始数据'!$A:$N,Y$2,FALSE))," ")</f>
        <v> </v>
      </c>
      <c r="I81" s="63" t="str">
        <f>_xlfn.IFNA(IF(VLOOKUP($B$1&amp;$A81,'4.1 关键词原始数据'!$A:$N,Z$2,FALSE)=0," ",VLOOKUP($B$1&amp;$A81,'4.1 关键词原始数据'!$A:$N,Z$2,FALSE))," ")</f>
        <v> </v>
      </c>
      <c r="J81" s="63" t="str">
        <f>_xlfn.IFNA(IF(VLOOKUP($J$1&amp;$A81,'4.1 关键词原始数据'!$A:$N,S$2,FALSE)=0," ",VLOOKUP($J$1&amp;$A81,'4.1 关键词原始数据'!$A:$N,S$2,FALSE))," ")</f>
        <v> </v>
      </c>
      <c r="K81" s="63" t="str">
        <f>_xlfn.IFNA(IF(VLOOKUP($J$1&amp;$A81,'4.1 关键词原始数据'!$A:$N,T$2,FALSE)=0," ",VLOOKUP($J$1&amp;$A81,'4.1 关键词原始数据'!$A:$N,T$2,FALSE))," ")</f>
        <v> </v>
      </c>
      <c r="L81" s="63" t="str">
        <f>_xlfn.IFNA(IF(VLOOKUP($J$1&amp;$A81,'4.1 关键词原始数据'!$A:$N,U$2,FALSE)=0," ",VLOOKUP($J$1&amp;$A81,'4.1 关键词原始数据'!$A:$N,U$2,FALSE))," ")</f>
        <v> </v>
      </c>
      <c r="M81" s="63" t="str">
        <f>_xlfn.IFNA(IF(VLOOKUP($J$1&amp;$A81,'4.1 关键词原始数据'!$A:$N,V$2,FALSE)=0," ",VLOOKUP($J$1&amp;$A81,'4.1 关键词原始数据'!$A:$N,V$2,FALSE))," ")</f>
        <v>3-15-1</v>
      </c>
      <c r="N81" s="63" t="str">
        <f>_xlfn.IFNA(IF(VLOOKUP($J$1&amp;$A81,'4.1 关键词原始数据'!$A:$N,W$2,FALSE)=0," ",VLOOKUP($J$1&amp;$A81,'4.1 关键词原始数据'!$A:$N,W$2,FALSE))," ")</f>
        <v> </v>
      </c>
      <c r="O81" s="63" t="str">
        <f>_xlfn.IFNA(IF(VLOOKUP($J$1&amp;$A81,'4.1 关键词原始数据'!$A:$N,X$2,FALSE)=0," ",VLOOKUP($J$1&amp;$A81,'4.1 关键词原始数据'!$A:$N,X$2,FALSE))," ")</f>
        <v> </v>
      </c>
      <c r="P81" s="63" t="str">
        <f>_xlfn.IFNA(IF(VLOOKUP($J$1&amp;$A81,'4.1 关键词原始数据'!$A:$N,Y$2,FALSE)=0," ",VLOOKUP($J$1&amp;$A81,'4.1 关键词原始数据'!$A:$N,Y$2,FALSE))," ")</f>
        <v> </v>
      </c>
      <c r="Q81" s="63" t="str">
        <f>_xlfn.IFNA(IF(VLOOKUP($J$1&amp;$A81,'4.1 关键词原始数据'!$A:$N,Z$2,FALSE)=0," ",VLOOKUP($J$1&amp;$A81,'4.1 关键词原始数据'!$A:$N,Z$2,FALSE))," ")</f>
        <v> </v>
      </c>
    </row>
    <row r="82" ht="16.5" spans="1:17">
      <c r="A82" s="62" t="s">
        <v>330</v>
      </c>
      <c r="B82" s="63" t="str">
        <f>_xlfn.IFNA(IF(VLOOKUP($B$1&amp;$A82,'4.1 关键词原始数据'!$A:$N,S$2,FALSE)=0," ",VLOOKUP($B$1&amp;$A82,'4.1 关键词原始数据'!$A:$N,S$2,FALSE))," ")</f>
        <v> </v>
      </c>
      <c r="C82" s="63" t="str">
        <f>_xlfn.IFNA(IF(VLOOKUP($B$1&amp;$A82,'4.1 关键词原始数据'!$A:$N,T$2,FALSE)=0," ",VLOOKUP($B$1&amp;$A82,'4.1 关键词原始数据'!$A:$N,T$2,FALSE))," ")</f>
        <v>4-7-3</v>
      </c>
      <c r="D82" s="63" t="str">
        <f>_xlfn.IFNA(IF(VLOOKUP($B$1&amp;$A82,'4.1 关键词原始数据'!$A:$N,U$2,FALSE)=0," ",VLOOKUP($B$1&amp;$A82,'4.1 关键词原始数据'!$A:$N,U$2,FALSE))," ")</f>
        <v> </v>
      </c>
      <c r="E82" s="63" t="str">
        <f>_xlfn.IFNA(IF(VLOOKUP($B$1&amp;$A82,'4.1 关键词原始数据'!$A:$N,V$2,FALSE)=0," ",VLOOKUP($B$1&amp;$A82,'4.1 关键词原始数据'!$A:$N,V$2,FALSE))," ")</f>
        <v> </v>
      </c>
      <c r="F82" s="63" t="str">
        <f>_xlfn.IFNA(IF(VLOOKUP($B$1&amp;$A82,'4.1 关键词原始数据'!$A:$N,W$2,FALSE)=0," ",VLOOKUP($B$1&amp;$A82,'4.1 关键词原始数据'!$A:$N,W$2,FALSE))," ")</f>
        <v> </v>
      </c>
      <c r="G82" s="63" t="str">
        <f>_xlfn.IFNA(IF(VLOOKUP($B$1&amp;$A82,'4.1 关键词原始数据'!$A:$N,X$2,FALSE)=0," ",VLOOKUP($B$1&amp;$A82,'4.1 关键词原始数据'!$A:$N,X$2,FALSE))," ")</f>
        <v>3-11-1</v>
      </c>
      <c r="H82" s="63" t="str">
        <f>_xlfn.IFNA(IF(VLOOKUP($B$1&amp;$A82,'4.1 关键词原始数据'!$A:$N,Y$2,FALSE)=0," ",VLOOKUP($B$1&amp;$A82,'4.1 关键词原始数据'!$A:$N,Y$2,FALSE))," ")</f>
        <v> </v>
      </c>
      <c r="I82" s="63" t="str">
        <f>_xlfn.IFNA(IF(VLOOKUP($B$1&amp;$A82,'4.1 关键词原始数据'!$A:$N,Z$2,FALSE)=0," ",VLOOKUP($B$1&amp;$A82,'4.1 关键词原始数据'!$A:$N,Z$2,FALSE))," ")</f>
        <v> </v>
      </c>
      <c r="J82" s="63" t="str">
        <f>_xlfn.IFNA(IF(VLOOKUP($J$1&amp;$A82,'4.1 关键词原始数据'!$A:$N,S$2,FALSE)=0," ",VLOOKUP($J$1&amp;$A82,'4.1 关键词原始数据'!$A:$N,S$2,FALSE))," ")</f>
        <v> </v>
      </c>
      <c r="K82" s="63" t="str">
        <f>_xlfn.IFNA(IF(VLOOKUP($J$1&amp;$A82,'4.1 关键词原始数据'!$A:$N,T$2,FALSE)=0," ",VLOOKUP($J$1&amp;$A82,'4.1 关键词原始数据'!$A:$N,T$2,FALSE))," ")</f>
        <v> </v>
      </c>
      <c r="L82" s="63" t="str">
        <f>_xlfn.IFNA(IF(VLOOKUP($J$1&amp;$A82,'4.1 关键词原始数据'!$A:$N,U$2,FALSE)=0," ",VLOOKUP($J$1&amp;$A82,'4.1 关键词原始数据'!$A:$N,U$2,FALSE))," ")</f>
        <v> </v>
      </c>
      <c r="M82" s="63" t="str">
        <f>_xlfn.IFNA(IF(VLOOKUP($J$1&amp;$A82,'4.1 关键词原始数据'!$A:$N,V$2,FALSE)=0," ",VLOOKUP($J$1&amp;$A82,'4.1 关键词原始数据'!$A:$N,V$2,FALSE))," ")</f>
        <v>3-5-2</v>
      </c>
      <c r="N82" s="63" t="str">
        <f>_xlfn.IFNA(IF(VLOOKUP($J$1&amp;$A82,'4.1 关键词原始数据'!$A:$N,W$2,FALSE)=0," ",VLOOKUP($J$1&amp;$A82,'4.1 关键词原始数据'!$A:$N,W$2,FALSE))," ")</f>
        <v> </v>
      </c>
      <c r="O82" s="63" t="str">
        <f>_xlfn.IFNA(IF(VLOOKUP($J$1&amp;$A82,'4.1 关键词原始数据'!$A:$N,X$2,FALSE)=0," ",VLOOKUP($J$1&amp;$A82,'4.1 关键词原始数据'!$A:$N,X$2,FALSE))," ")</f>
        <v> </v>
      </c>
      <c r="P82" s="63" t="str">
        <f>_xlfn.IFNA(IF(VLOOKUP($J$1&amp;$A82,'4.1 关键词原始数据'!$A:$N,Y$2,FALSE)=0," ",VLOOKUP($J$1&amp;$A82,'4.1 关键词原始数据'!$A:$N,Y$2,FALSE))," ")</f>
        <v> </v>
      </c>
      <c r="Q82" s="63" t="str">
        <f>_xlfn.IFNA(IF(VLOOKUP($J$1&amp;$A82,'4.1 关键词原始数据'!$A:$N,Z$2,FALSE)=0," ",VLOOKUP($J$1&amp;$A82,'4.1 关键词原始数据'!$A:$N,Z$2,FALSE))," ")</f>
        <v> </v>
      </c>
    </row>
    <row r="83" ht="16.5" spans="1:17">
      <c r="A83" s="62" t="s">
        <v>331</v>
      </c>
      <c r="B83" s="63" t="str">
        <f>_xlfn.IFNA(IF(VLOOKUP($B$1&amp;$A83,'4.1 关键词原始数据'!$A:$N,S$2,FALSE)=0," ",VLOOKUP($B$1&amp;$A83,'4.1 关键词原始数据'!$A:$N,S$2,FALSE))," ")</f>
        <v> </v>
      </c>
      <c r="C83" s="63" t="str">
        <f>_xlfn.IFNA(IF(VLOOKUP($B$1&amp;$A83,'4.1 关键词原始数据'!$A:$N,T$2,FALSE)=0," ",VLOOKUP($B$1&amp;$A83,'4.1 关键词原始数据'!$A:$N,T$2,FALSE))," ")</f>
        <v>4-8-3</v>
      </c>
      <c r="D83" s="63" t="str">
        <f>_xlfn.IFNA(IF(VLOOKUP($B$1&amp;$A83,'4.1 关键词原始数据'!$A:$N,U$2,FALSE)=0," ",VLOOKUP($B$1&amp;$A83,'4.1 关键词原始数据'!$A:$N,U$2,FALSE))," ")</f>
        <v> </v>
      </c>
      <c r="E83" s="63" t="str">
        <f>_xlfn.IFNA(IF(VLOOKUP($B$1&amp;$A83,'4.1 关键词原始数据'!$A:$N,V$2,FALSE)=0," ",VLOOKUP($B$1&amp;$A83,'4.1 关键词原始数据'!$A:$N,V$2,FALSE))," ")</f>
        <v> </v>
      </c>
      <c r="F83" s="63" t="str">
        <f>_xlfn.IFNA(IF(VLOOKUP($B$1&amp;$A83,'4.1 关键词原始数据'!$A:$N,W$2,FALSE)=0," ",VLOOKUP($B$1&amp;$A83,'4.1 关键词原始数据'!$A:$N,W$2,FALSE))," ")</f>
        <v> </v>
      </c>
      <c r="G83" s="63" t="str">
        <f>_xlfn.IFNA(IF(VLOOKUP($B$1&amp;$A83,'4.1 关键词原始数据'!$A:$N,X$2,FALSE)=0," ",VLOOKUP($B$1&amp;$A83,'4.1 关键词原始数据'!$A:$N,X$2,FALSE))," ")</f>
        <v>3-11-1</v>
      </c>
      <c r="H83" s="63" t="str">
        <f>_xlfn.IFNA(IF(VLOOKUP($B$1&amp;$A83,'4.1 关键词原始数据'!$A:$N,Y$2,FALSE)=0," ",VLOOKUP($B$1&amp;$A83,'4.1 关键词原始数据'!$A:$N,Y$2,FALSE))," ")</f>
        <v> </v>
      </c>
      <c r="I83" s="63" t="str">
        <f>_xlfn.IFNA(IF(VLOOKUP($B$1&amp;$A83,'4.1 关键词原始数据'!$A:$N,Z$2,FALSE)=0," ",VLOOKUP($B$1&amp;$A83,'4.1 关键词原始数据'!$A:$N,Z$2,FALSE))," ")</f>
        <v> </v>
      </c>
      <c r="J83" s="63" t="str">
        <f>_xlfn.IFNA(IF(VLOOKUP($J$1&amp;$A83,'4.1 关键词原始数据'!$A:$N,S$2,FALSE)=0," ",VLOOKUP($J$1&amp;$A83,'4.1 关键词原始数据'!$A:$N,S$2,FALSE))," ")</f>
        <v> </v>
      </c>
      <c r="K83" s="63" t="str">
        <f>_xlfn.IFNA(IF(VLOOKUP($J$1&amp;$A83,'4.1 关键词原始数据'!$A:$N,T$2,FALSE)=0," ",VLOOKUP($J$1&amp;$A83,'4.1 关键词原始数据'!$A:$N,T$2,FALSE))," ")</f>
        <v> </v>
      </c>
      <c r="L83" s="63" t="str">
        <f>_xlfn.IFNA(IF(VLOOKUP($J$1&amp;$A83,'4.1 关键词原始数据'!$A:$N,U$2,FALSE)=0," ",VLOOKUP($J$1&amp;$A83,'4.1 关键词原始数据'!$A:$N,U$2,FALSE))," ")</f>
        <v> </v>
      </c>
      <c r="M83" s="63" t="str">
        <f>_xlfn.IFNA(IF(VLOOKUP($J$1&amp;$A83,'4.1 关键词原始数据'!$A:$N,V$2,FALSE)=0," ",VLOOKUP($J$1&amp;$A83,'4.1 关键词原始数据'!$A:$N,V$2,FALSE))," ")</f>
        <v>3-2-2</v>
      </c>
      <c r="N83" s="63" t="str">
        <f>_xlfn.IFNA(IF(VLOOKUP($J$1&amp;$A83,'4.1 关键词原始数据'!$A:$N,W$2,FALSE)=0," ",VLOOKUP($J$1&amp;$A83,'4.1 关键词原始数据'!$A:$N,W$2,FALSE))," ")</f>
        <v> </v>
      </c>
      <c r="O83" s="63" t="str">
        <f>_xlfn.IFNA(IF(VLOOKUP($J$1&amp;$A83,'4.1 关键词原始数据'!$A:$N,X$2,FALSE)=0," ",VLOOKUP($J$1&amp;$A83,'4.1 关键词原始数据'!$A:$N,X$2,FALSE))," ")</f>
        <v> </v>
      </c>
      <c r="P83" s="63" t="str">
        <f>_xlfn.IFNA(IF(VLOOKUP($J$1&amp;$A83,'4.1 关键词原始数据'!$A:$N,Y$2,FALSE)=0," ",VLOOKUP($J$1&amp;$A83,'4.1 关键词原始数据'!$A:$N,Y$2,FALSE))," ")</f>
        <v> </v>
      </c>
      <c r="Q83" s="63" t="str">
        <f>_xlfn.IFNA(IF(VLOOKUP($J$1&amp;$A83,'4.1 关键词原始数据'!$A:$N,Z$2,FALSE)=0," ",VLOOKUP($J$1&amp;$A83,'4.1 关键词原始数据'!$A:$N,Z$2,FALSE))," ")</f>
        <v> </v>
      </c>
    </row>
    <row r="84" ht="16.5" spans="1:17">
      <c r="A84" s="62" t="s">
        <v>332</v>
      </c>
      <c r="B84" s="63" t="str">
        <f>_xlfn.IFNA(IF(VLOOKUP($B$1&amp;$A84,'4.1 关键词原始数据'!$A:$N,S$2,FALSE)=0," ",VLOOKUP($B$1&amp;$A84,'4.1 关键词原始数据'!$A:$N,S$2,FALSE))," ")</f>
        <v> </v>
      </c>
      <c r="C84" s="63" t="str">
        <f>_xlfn.IFNA(IF(VLOOKUP($B$1&amp;$A84,'4.1 关键词原始数据'!$A:$N,T$2,FALSE)=0," ",VLOOKUP($B$1&amp;$A84,'4.1 关键词原始数据'!$A:$N,T$2,FALSE))," ")</f>
        <v> </v>
      </c>
      <c r="D84" s="63" t="str">
        <f>_xlfn.IFNA(IF(VLOOKUP($B$1&amp;$A84,'4.1 关键词原始数据'!$A:$N,U$2,FALSE)=0," ",VLOOKUP($B$1&amp;$A84,'4.1 关键词原始数据'!$A:$N,U$2,FALSE))," ")</f>
        <v> </v>
      </c>
      <c r="E84" s="63" t="str">
        <f>_xlfn.IFNA(IF(VLOOKUP($B$1&amp;$A84,'4.1 关键词原始数据'!$A:$N,V$2,FALSE)=0," ",VLOOKUP($B$1&amp;$A84,'4.1 关键词原始数据'!$A:$N,V$2,FALSE))," ")</f>
        <v> </v>
      </c>
      <c r="F84" s="63" t="str">
        <f>_xlfn.IFNA(IF(VLOOKUP($B$1&amp;$A84,'4.1 关键词原始数据'!$A:$N,W$2,FALSE)=0," ",VLOOKUP($B$1&amp;$A84,'4.1 关键词原始数据'!$A:$N,W$2,FALSE))," ")</f>
        <v> </v>
      </c>
      <c r="G84" s="63" t="str">
        <f>_xlfn.IFNA(IF(VLOOKUP($B$1&amp;$A84,'4.1 关键词原始数据'!$A:$N,X$2,FALSE)=0," ",VLOOKUP($B$1&amp;$A84,'4.1 关键词原始数据'!$A:$N,X$2,FALSE))," ")</f>
        <v>5-3-1</v>
      </c>
      <c r="H84" s="63" t="str">
        <f>_xlfn.IFNA(IF(VLOOKUP($B$1&amp;$A84,'4.1 关键词原始数据'!$A:$N,Y$2,FALSE)=0," ",VLOOKUP($B$1&amp;$A84,'4.1 关键词原始数据'!$A:$N,Y$2,FALSE))," ")</f>
        <v> </v>
      </c>
      <c r="I84" s="63" t="str">
        <f>_xlfn.IFNA(IF(VLOOKUP($B$1&amp;$A84,'4.1 关键词原始数据'!$A:$N,Z$2,FALSE)=0," ",VLOOKUP($B$1&amp;$A84,'4.1 关键词原始数据'!$A:$N,Z$2,FALSE))," ")</f>
        <v> </v>
      </c>
      <c r="J84" s="63" t="str">
        <f>_xlfn.IFNA(IF(VLOOKUP($J$1&amp;$A84,'4.1 关键词原始数据'!$A:$N,S$2,FALSE)=0," ",VLOOKUP($J$1&amp;$A84,'4.1 关键词原始数据'!$A:$N,S$2,FALSE))," ")</f>
        <v> </v>
      </c>
      <c r="K84" s="63" t="str">
        <f>_xlfn.IFNA(IF(VLOOKUP($J$1&amp;$A84,'4.1 关键词原始数据'!$A:$N,T$2,FALSE)=0," ",VLOOKUP($J$1&amp;$A84,'4.1 关键词原始数据'!$A:$N,T$2,FALSE))," ")</f>
        <v> </v>
      </c>
      <c r="L84" s="63" t="str">
        <f>_xlfn.IFNA(IF(VLOOKUP($J$1&amp;$A84,'4.1 关键词原始数据'!$A:$N,U$2,FALSE)=0," ",VLOOKUP($J$1&amp;$A84,'4.1 关键词原始数据'!$A:$N,U$2,FALSE))," ")</f>
        <v> </v>
      </c>
      <c r="M84" s="63" t="str">
        <f>_xlfn.IFNA(IF(VLOOKUP($J$1&amp;$A84,'4.1 关键词原始数据'!$A:$N,V$2,FALSE)=0," ",VLOOKUP($J$1&amp;$A84,'4.1 关键词原始数据'!$A:$N,V$2,FALSE))," ")</f>
        <v>4-2-2</v>
      </c>
      <c r="N84" s="63" t="str">
        <f>_xlfn.IFNA(IF(VLOOKUP($J$1&amp;$A84,'4.1 关键词原始数据'!$A:$N,W$2,FALSE)=0," ",VLOOKUP($J$1&amp;$A84,'4.1 关键词原始数据'!$A:$N,W$2,FALSE))," ")</f>
        <v>1-1-1</v>
      </c>
      <c r="O84" s="63" t="str">
        <f>_xlfn.IFNA(IF(VLOOKUP($J$1&amp;$A84,'4.1 关键词原始数据'!$A:$N,X$2,FALSE)=0," ",VLOOKUP($J$1&amp;$A84,'4.1 关键词原始数据'!$A:$N,X$2,FALSE))," ")</f>
        <v> </v>
      </c>
      <c r="P84" s="63" t="str">
        <f>_xlfn.IFNA(IF(VLOOKUP($J$1&amp;$A84,'4.1 关键词原始数据'!$A:$N,Y$2,FALSE)=0," ",VLOOKUP($J$1&amp;$A84,'4.1 关键词原始数据'!$A:$N,Y$2,FALSE))," ")</f>
        <v> </v>
      </c>
      <c r="Q84" s="63" t="str">
        <f>_xlfn.IFNA(IF(VLOOKUP($J$1&amp;$A84,'4.1 关键词原始数据'!$A:$N,Z$2,FALSE)=0," ",VLOOKUP($J$1&amp;$A84,'4.1 关键词原始数据'!$A:$N,Z$2,FALSE))," ")</f>
        <v> </v>
      </c>
    </row>
    <row r="85" ht="16.5" spans="1:17">
      <c r="A85" s="62" t="s">
        <v>333</v>
      </c>
      <c r="Q85" s="63"/>
    </row>
  </sheetData>
  <sheetProtection formatCells="0" insertHyperlinks="0" autoFilter="0"/>
  <mergeCells count="12">
    <mergeCell ref="B1:I1"/>
    <mergeCell ref="J1:Q1"/>
    <mergeCell ref="B2:I2"/>
    <mergeCell ref="J2:Q2"/>
    <mergeCell ref="B3:C3"/>
    <mergeCell ref="D3:E3"/>
    <mergeCell ref="F3:G3"/>
    <mergeCell ref="H3:I3"/>
    <mergeCell ref="J3:K3"/>
    <mergeCell ref="L3:M3"/>
    <mergeCell ref="N3:O3"/>
    <mergeCell ref="P3:Q3"/>
  </mergeCells>
  <conditionalFormatting sqref="Q85">
    <cfRule type="containsText" dxfId="1" priority="3" operator="between" text="-">
      <formula>NOT(ISERROR(SEARCH("-",Q85)))</formula>
    </cfRule>
  </conditionalFormatting>
  <conditionalFormatting sqref="B5:I84 B85:N96">
    <cfRule type="containsText" dxfId="1" priority="4" operator="between" text="-">
      <formula>NOT(ISERROR(SEARCH("-",B5)))</formula>
    </cfRule>
  </conditionalFormatting>
  <conditionalFormatting sqref="J5:Q84">
    <cfRule type="containsText" dxfId="1" priority="1" operator="between" text="-">
      <formula>NOT(ISERROR(SEARCH("-",J5)))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"/>
  <sheetViews>
    <sheetView workbookViewId="0">
      <selection activeCell="I36" sqref="I36"/>
    </sheetView>
  </sheetViews>
  <sheetFormatPr defaultColWidth="9" defaultRowHeight="16.5"/>
  <cols>
    <col min="1" max="1" width="16.4666666666667" style="37" customWidth="1"/>
    <col min="2" max="6" width="14.25" style="37" customWidth="1"/>
    <col min="7" max="7" width="14.4166666666667" style="37" customWidth="1"/>
    <col min="8" max="8" width="5.00833333333333" style="37" customWidth="1"/>
    <col min="9" max="9" width="19.4916666666667" style="37" customWidth="1"/>
    <col min="10" max="13" width="14.25" style="37" customWidth="1"/>
    <col min="14" max="14" width="13.8333333333333" style="37" customWidth="1"/>
    <col min="15" max="15" width="16.9916666666667" style="37" customWidth="1"/>
    <col min="18" max="18" width="7.44166666666667"/>
  </cols>
  <sheetData>
    <row r="1" ht="91" customHeight="1" spans="1:11">
      <c r="A1" s="38" t="s">
        <v>170</v>
      </c>
      <c r="B1" s="39" t="s">
        <v>334</v>
      </c>
      <c r="C1" s="40"/>
      <c r="D1" s="40"/>
      <c r="E1" s="40"/>
      <c r="F1" s="40"/>
      <c r="G1" s="40"/>
      <c r="H1" s="40"/>
      <c r="I1" s="40"/>
      <c r="J1" s="40"/>
      <c r="K1" s="40"/>
    </row>
    <row r="2" ht="106" customHeight="1" spans="1:15">
      <c r="A2" s="41" t="s">
        <v>172</v>
      </c>
      <c r="B2" s="41" t="s">
        <v>23</v>
      </c>
      <c r="C2" s="41" t="s">
        <v>1</v>
      </c>
      <c r="D2" s="41" t="s">
        <v>173</v>
      </c>
      <c r="E2" s="41" t="s">
        <v>174</v>
      </c>
      <c r="F2" s="42"/>
      <c r="G2" s="42"/>
      <c r="I2" s="48" t="s">
        <v>175</v>
      </c>
      <c r="J2" s="49" t="s">
        <v>24</v>
      </c>
      <c r="K2" s="48" t="s">
        <v>1</v>
      </c>
      <c r="L2" s="49" t="s">
        <v>176</v>
      </c>
      <c r="M2" s="48" t="s">
        <v>174</v>
      </c>
      <c r="N2" s="50"/>
      <c r="O2" s="51"/>
    </row>
    <row r="3" spans="1:15">
      <c r="A3" s="43" t="s">
        <v>40</v>
      </c>
      <c r="B3" s="43" t="s">
        <v>335</v>
      </c>
      <c r="C3" s="43" t="s">
        <v>336</v>
      </c>
      <c r="D3" s="43" t="s">
        <v>337</v>
      </c>
      <c r="E3" s="43" t="s">
        <v>338</v>
      </c>
      <c r="F3" s="43" t="s">
        <v>339</v>
      </c>
      <c r="G3" s="43" t="s">
        <v>340</v>
      </c>
      <c r="I3" s="43" t="s">
        <v>40</v>
      </c>
      <c r="J3" s="43" t="s">
        <v>335</v>
      </c>
      <c r="K3" s="43" t="s">
        <v>336</v>
      </c>
      <c r="L3" s="43" t="s">
        <v>337</v>
      </c>
      <c r="M3" s="43" t="s">
        <v>338</v>
      </c>
      <c r="N3" s="43" t="s">
        <v>339</v>
      </c>
      <c r="O3" s="43" t="s">
        <v>340</v>
      </c>
    </row>
    <row r="4" spans="1:15">
      <c r="A4" s="44" t="s">
        <v>183</v>
      </c>
      <c r="E4" s="45"/>
      <c r="F4" s="46"/>
      <c r="G4" s="47"/>
      <c r="I4" s="44" t="s">
        <v>183</v>
      </c>
      <c r="M4" s="45"/>
      <c r="O4" s="45"/>
    </row>
    <row r="5" spans="1:9">
      <c r="A5" s="44" t="s">
        <v>184</v>
      </c>
      <c r="I5" s="44" t="s">
        <v>184</v>
      </c>
    </row>
    <row r="6" spans="1:9">
      <c r="A6" s="44" t="s">
        <v>185</v>
      </c>
      <c r="I6" s="44" t="s">
        <v>185</v>
      </c>
    </row>
    <row r="7" spans="1:9">
      <c r="A7" s="44" t="s">
        <v>186</v>
      </c>
      <c r="I7" s="44" t="s">
        <v>186</v>
      </c>
    </row>
    <row r="8" spans="1:9">
      <c r="A8" s="44" t="s">
        <v>187</v>
      </c>
      <c r="I8" s="44" t="s">
        <v>187</v>
      </c>
    </row>
    <row r="9" spans="1:9">
      <c r="A9" s="44" t="s">
        <v>188</v>
      </c>
      <c r="I9" s="44" t="s">
        <v>188</v>
      </c>
    </row>
    <row r="78" s="10" customFormat="1" spans="1:15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</row>
    <row r="79" s="10" customFormat="1" spans="1:15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</row>
    <row r="80" s="10" customFormat="1" spans="1:15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</row>
    <row r="81" s="10" customFormat="1" spans="1:15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</row>
    <row r="222" spans="1:1">
      <c r="A222" s="53" t="s">
        <v>341</v>
      </c>
    </row>
  </sheetData>
  <sheetProtection formatCells="0" insertHyperlinks="0" autoFilter="0"/>
  <mergeCells count="3">
    <mergeCell ref="B1:K1"/>
    <mergeCell ref="F2:G2"/>
    <mergeCell ref="N2:O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70"/>
  <sheetViews>
    <sheetView workbookViewId="0">
      <selection activeCell="H19" sqref="H19"/>
    </sheetView>
  </sheetViews>
  <sheetFormatPr defaultColWidth="9" defaultRowHeight="15"/>
  <cols>
    <col min="1" max="1" width="21.375" customWidth="1"/>
    <col min="2" max="3" width="13.625" customWidth="1"/>
    <col min="4" max="4" width="13.25" style="10" customWidth="1"/>
    <col min="5" max="5" width="12.125" style="10" customWidth="1"/>
    <col min="6" max="6" width="13.125" customWidth="1"/>
    <col min="7" max="8" width="11.125" customWidth="1"/>
    <col min="11" max="12" width="13.5" customWidth="1"/>
    <col min="13" max="14" width="15.75" customWidth="1"/>
  </cols>
  <sheetData>
    <row r="1" spans="2:14">
      <c r="B1" s="11" t="s">
        <v>2</v>
      </c>
      <c r="C1" s="11" t="s">
        <v>342</v>
      </c>
      <c r="D1" s="11" t="s">
        <v>343</v>
      </c>
      <c r="E1" s="11" t="s">
        <v>344</v>
      </c>
      <c r="F1" s="11"/>
      <c r="G1" s="12" t="s">
        <v>345</v>
      </c>
      <c r="H1" s="13"/>
      <c r="I1" s="13"/>
      <c r="J1" s="13"/>
      <c r="K1" s="13"/>
      <c r="L1" s="13"/>
      <c r="M1" s="13"/>
      <c r="N1" s="30"/>
    </row>
    <row r="2" spans="2:14">
      <c r="B2" s="11"/>
      <c r="C2" s="11"/>
      <c r="D2" s="11"/>
      <c r="E2" s="11"/>
      <c r="F2" s="14"/>
      <c r="G2" s="12" t="s">
        <v>247</v>
      </c>
      <c r="H2" s="13"/>
      <c r="I2" s="12" t="s">
        <v>248</v>
      </c>
      <c r="J2" s="13"/>
      <c r="K2" s="12" t="s">
        <v>249</v>
      </c>
      <c r="L2" s="13"/>
      <c r="M2" s="17" t="s">
        <v>250</v>
      </c>
      <c r="N2" s="17"/>
    </row>
    <row r="3" spans="1:14">
      <c r="A3" t="s">
        <v>346</v>
      </c>
      <c r="B3" s="15"/>
      <c r="C3" s="15"/>
      <c r="D3" s="15"/>
      <c r="E3" s="15"/>
      <c r="F3" s="16" t="s">
        <v>40</v>
      </c>
      <c r="G3" s="17" t="s">
        <v>251</v>
      </c>
      <c r="H3" s="17" t="s">
        <v>252</v>
      </c>
      <c r="I3" s="17" t="s">
        <v>251</v>
      </c>
      <c r="J3" s="17" t="s">
        <v>252</v>
      </c>
      <c r="K3" s="17" t="s">
        <v>251</v>
      </c>
      <c r="L3" s="17" t="s">
        <v>252</v>
      </c>
      <c r="M3" s="17" t="s">
        <v>251</v>
      </c>
      <c r="N3" s="17" t="s">
        <v>252</v>
      </c>
    </row>
    <row r="4" ht="77" customHeight="1" spans="1:14">
      <c r="A4" t="str">
        <f t="shared" ref="A4:A20" si="0">E4&amp;F4</f>
        <v>XXXX-1118月31日上午</v>
      </c>
      <c r="B4" s="18"/>
      <c r="C4" s="19"/>
      <c r="D4" s="20"/>
      <c r="E4" s="20" t="s">
        <v>23</v>
      </c>
      <c r="F4" s="21" t="s">
        <v>253</v>
      </c>
      <c r="G4" s="21"/>
      <c r="H4" s="21" t="s">
        <v>347</v>
      </c>
      <c r="I4" s="21"/>
      <c r="J4" s="21"/>
      <c r="K4" s="21"/>
      <c r="L4" s="21" t="s">
        <v>348</v>
      </c>
      <c r="M4" s="21"/>
      <c r="N4" s="21"/>
    </row>
    <row r="5" ht="77" customHeight="1" spans="1:14">
      <c r="A5" t="str">
        <f t="shared" si="0"/>
        <v>XXXX-2228月31日上午</v>
      </c>
      <c r="B5" s="18"/>
      <c r="C5" s="22"/>
      <c r="D5" s="20"/>
      <c r="E5" s="20" t="s">
        <v>24</v>
      </c>
      <c r="F5" s="21" t="s">
        <v>253</v>
      </c>
      <c r="G5" s="21"/>
      <c r="H5" s="21"/>
      <c r="I5" s="21"/>
      <c r="J5" s="21"/>
      <c r="K5" s="31"/>
      <c r="L5" s="21"/>
      <c r="M5" s="21"/>
      <c r="N5" s="21"/>
    </row>
    <row r="6" ht="77" customHeight="1" spans="1:14">
      <c r="A6" t="str">
        <f t="shared" si="0"/>
        <v>8月31日上午</v>
      </c>
      <c r="B6" s="18"/>
      <c r="C6" s="23"/>
      <c r="D6" s="20"/>
      <c r="E6" s="20"/>
      <c r="F6" s="21" t="s">
        <v>253</v>
      </c>
      <c r="G6" s="21"/>
      <c r="H6" s="21"/>
      <c r="I6" s="21"/>
      <c r="J6" s="21"/>
      <c r="K6" s="21"/>
      <c r="L6" s="21"/>
      <c r="M6" s="21"/>
      <c r="N6" s="21"/>
    </row>
    <row r="7" ht="77" customHeight="1" spans="1:14">
      <c r="A7" t="str">
        <f t="shared" si="0"/>
        <v>8月31日上午</v>
      </c>
      <c r="B7" s="18"/>
      <c r="C7" s="19"/>
      <c r="D7" s="20"/>
      <c r="E7" s="20"/>
      <c r="F7" s="21" t="s">
        <v>253</v>
      </c>
      <c r="G7" s="21"/>
      <c r="H7" s="21"/>
      <c r="I7" s="21"/>
      <c r="J7" s="21" t="s">
        <v>349</v>
      </c>
      <c r="K7" s="21"/>
      <c r="L7" s="21"/>
      <c r="M7" s="21"/>
      <c r="N7" s="21"/>
    </row>
    <row r="8" ht="77" customHeight="1" spans="1:14">
      <c r="A8" t="str">
        <f t="shared" si="0"/>
        <v>8月31日上午</v>
      </c>
      <c r="B8" s="18"/>
      <c r="C8" s="23"/>
      <c r="D8" s="20"/>
      <c r="E8" s="20"/>
      <c r="F8" s="21" t="s">
        <v>253</v>
      </c>
      <c r="G8" s="21"/>
      <c r="H8" s="21"/>
      <c r="I8" s="21"/>
      <c r="J8" s="21"/>
      <c r="K8" s="21"/>
      <c r="L8" s="21"/>
      <c r="M8" s="21"/>
      <c r="N8" s="21"/>
    </row>
    <row r="9" ht="77" customHeight="1" spans="1:14">
      <c r="A9" t="str">
        <f t="shared" si="0"/>
        <v>8月31日上午</v>
      </c>
      <c r="B9" s="18"/>
      <c r="C9" s="18"/>
      <c r="D9" s="20"/>
      <c r="E9" s="24"/>
      <c r="F9" s="21" t="s">
        <v>253</v>
      </c>
      <c r="G9" s="21"/>
      <c r="H9" s="21"/>
      <c r="I9" s="21"/>
      <c r="J9" s="21"/>
      <c r="K9" s="21"/>
      <c r="L9" s="21"/>
      <c r="M9" s="21"/>
      <c r="N9" s="21"/>
    </row>
    <row r="10" ht="77" customHeight="1" spans="1:14">
      <c r="A10" t="str">
        <f t="shared" si="0"/>
        <v>8月31日上午</v>
      </c>
      <c r="B10" s="18"/>
      <c r="C10" s="18"/>
      <c r="D10" s="20"/>
      <c r="E10" s="20"/>
      <c r="F10" s="21" t="s">
        <v>253</v>
      </c>
      <c r="G10" s="21"/>
      <c r="H10" s="21"/>
      <c r="I10" s="21"/>
      <c r="J10" s="21"/>
      <c r="K10" s="21"/>
      <c r="L10" s="21"/>
      <c r="M10" s="21"/>
      <c r="N10" s="21"/>
    </row>
    <row r="11" spans="1:14">
      <c r="A11" t="str">
        <f t="shared" si="0"/>
        <v/>
      </c>
      <c r="B11" s="25"/>
      <c r="C11" s="25"/>
      <c r="D11" s="26"/>
      <c r="E11" s="26"/>
      <c r="F11" s="11"/>
      <c r="G11" s="27" t="s">
        <v>345</v>
      </c>
      <c r="H11" s="28"/>
      <c r="I11" s="28"/>
      <c r="J11" s="28"/>
      <c r="K11" s="28"/>
      <c r="L11" s="28"/>
      <c r="M11" s="28"/>
      <c r="N11" s="28"/>
    </row>
    <row r="12" spans="1:14">
      <c r="A12" t="str">
        <f t="shared" si="0"/>
        <v/>
      </c>
      <c r="B12" s="25"/>
      <c r="C12" s="25"/>
      <c r="D12" s="26"/>
      <c r="E12" s="26"/>
      <c r="F12" s="14"/>
      <c r="G12" s="12" t="s">
        <v>350</v>
      </c>
      <c r="H12" s="13"/>
      <c r="I12" s="12" t="s">
        <v>351</v>
      </c>
      <c r="J12" s="13"/>
      <c r="K12" s="12" t="s">
        <v>249</v>
      </c>
      <c r="L12" s="13"/>
      <c r="M12" s="17" t="s">
        <v>250</v>
      </c>
      <c r="N12" s="17"/>
    </row>
    <row r="13" spans="1:14">
      <c r="A13" t="str">
        <f t="shared" si="0"/>
        <v>日期</v>
      </c>
      <c r="B13" s="25"/>
      <c r="C13" s="25"/>
      <c r="D13" s="26"/>
      <c r="E13" s="26"/>
      <c r="F13" s="16" t="s">
        <v>40</v>
      </c>
      <c r="G13" s="17" t="s">
        <v>251</v>
      </c>
      <c r="H13" s="17" t="s">
        <v>252</v>
      </c>
      <c r="I13" s="17" t="s">
        <v>251</v>
      </c>
      <c r="J13" s="17" t="s">
        <v>252</v>
      </c>
      <c r="K13" s="17" t="s">
        <v>251</v>
      </c>
      <c r="L13" s="17" t="s">
        <v>252</v>
      </c>
      <c r="M13" s="17" t="s">
        <v>251</v>
      </c>
      <c r="N13" s="17" t="s">
        <v>252</v>
      </c>
    </row>
    <row r="14" spans="1:14">
      <c r="A14" t="str">
        <f t="shared" si="0"/>
        <v>XXXX-1118月31日晚上</v>
      </c>
      <c r="B14" s="25"/>
      <c r="C14" s="25"/>
      <c r="D14" s="26"/>
      <c r="E14" s="20" t="s">
        <v>23</v>
      </c>
      <c r="F14" s="21" t="s">
        <v>254</v>
      </c>
      <c r="G14" s="21"/>
      <c r="H14" s="21"/>
      <c r="I14" s="21"/>
      <c r="J14" s="21"/>
      <c r="K14" s="21"/>
      <c r="L14" s="21"/>
      <c r="M14" s="32"/>
      <c r="N14" s="32"/>
    </row>
    <row r="15" spans="1:14">
      <c r="A15" t="str">
        <f t="shared" si="0"/>
        <v>XXXX-2228月31日晚上</v>
      </c>
      <c r="B15" s="25"/>
      <c r="C15" s="25"/>
      <c r="D15" s="26"/>
      <c r="E15" s="20" t="s">
        <v>24</v>
      </c>
      <c r="F15" s="21" t="s">
        <v>254</v>
      </c>
      <c r="G15" s="21"/>
      <c r="H15" s="21"/>
      <c r="I15" s="21"/>
      <c r="J15" s="21"/>
      <c r="K15" s="21"/>
      <c r="L15" s="21"/>
      <c r="M15" s="32"/>
      <c r="N15" s="32"/>
    </row>
    <row r="16" spans="1:14">
      <c r="A16" t="str">
        <f t="shared" si="0"/>
        <v>8月31日晚上</v>
      </c>
      <c r="B16" s="25"/>
      <c r="C16" s="25"/>
      <c r="D16" s="26"/>
      <c r="E16" s="20"/>
      <c r="F16" s="21" t="s">
        <v>254</v>
      </c>
      <c r="G16" s="21"/>
      <c r="H16" s="21"/>
      <c r="I16" s="21"/>
      <c r="J16" s="21"/>
      <c r="K16" s="21"/>
      <c r="L16" s="21"/>
      <c r="M16" s="32"/>
      <c r="N16" s="32"/>
    </row>
    <row r="17" spans="1:14">
      <c r="A17" t="str">
        <f t="shared" si="0"/>
        <v>8月31日晚上</v>
      </c>
      <c r="B17" s="25"/>
      <c r="C17" s="25"/>
      <c r="D17" s="26"/>
      <c r="E17" s="20"/>
      <c r="F17" s="21" t="s">
        <v>254</v>
      </c>
      <c r="G17" s="21"/>
      <c r="H17" s="21"/>
      <c r="I17" s="21"/>
      <c r="J17" s="21"/>
      <c r="K17" s="21"/>
      <c r="L17" s="21"/>
      <c r="M17" s="32"/>
      <c r="N17" s="32"/>
    </row>
    <row r="18" spans="1:14">
      <c r="A18" t="str">
        <f t="shared" si="0"/>
        <v>8月31日晚上</v>
      </c>
      <c r="B18" s="25"/>
      <c r="C18" s="25"/>
      <c r="D18" s="26"/>
      <c r="E18" s="20"/>
      <c r="F18" s="21" t="s">
        <v>254</v>
      </c>
      <c r="G18" s="21"/>
      <c r="H18" s="21"/>
      <c r="I18" s="21"/>
      <c r="J18" s="21"/>
      <c r="K18" s="21"/>
      <c r="L18" s="21"/>
      <c r="M18" s="32"/>
      <c r="N18" s="32"/>
    </row>
    <row r="19" spans="1:14">
      <c r="A19" t="str">
        <f t="shared" si="0"/>
        <v>8月31日晚上</v>
      </c>
      <c r="B19" s="25"/>
      <c r="C19" s="25"/>
      <c r="D19" s="26"/>
      <c r="E19" s="24"/>
      <c r="F19" s="21" t="s">
        <v>254</v>
      </c>
      <c r="G19" s="21"/>
      <c r="H19" s="21"/>
      <c r="I19" s="21"/>
      <c r="J19" s="21"/>
      <c r="K19" s="21"/>
      <c r="L19" s="21"/>
      <c r="M19" s="32"/>
      <c r="N19" s="32"/>
    </row>
    <row r="20" spans="1:14">
      <c r="A20" t="str">
        <f t="shared" si="0"/>
        <v>8月31日晚上</v>
      </c>
      <c r="B20" s="25"/>
      <c r="C20" s="25"/>
      <c r="D20" s="26"/>
      <c r="E20" s="20"/>
      <c r="F20" s="21" t="s">
        <v>254</v>
      </c>
      <c r="G20" s="21"/>
      <c r="H20" s="21"/>
      <c r="I20" s="21"/>
      <c r="J20" s="21"/>
      <c r="K20" s="21"/>
      <c r="L20" s="21"/>
      <c r="M20" s="32"/>
      <c r="N20" s="32"/>
    </row>
    <row r="21" spans="2:14">
      <c r="B21" s="25"/>
      <c r="C21" s="25"/>
      <c r="D21" s="26"/>
      <c r="E21" s="26"/>
      <c r="F21" s="29"/>
      <c r="G21" s="29"/>
      <c r="H21" s="29"/>
      <c r="I21" s="29"/>
      <c r="J21" s="29"/>
      <c r="K21" s="29"/>
      <c r="L21" s="29"/>
      <c r="M21" s="29"/>
      <c r="N21" s="29"/>
    </row>
    <row r="22" spans="1:1">
      <c r="A22" t="str">
        <f t="shared" ref="A22:A42" si="1">E22&amp;F22</f>
        <v/>
      </c>
    </row>
    <row r="23" spans="1:1">
      <c r="A23" t="str">
        <f t="shared" si="1"/>
        <v/>
      </c>
    </row>
    <row r="24" spans="1:14">
      <c r="A24" t="str">
        <f t="shared" si="1"/>
        <v>SKU</v>
      </c>
      <c r="B24" s="11" t="s">
        <v>2</v>
      </c>
      <c r="C24" s="11" t="s">
        <v>342</v>
      </c>
      <c r="D24" s="11" t="s">
        <v>343</v>
      </c>
      <c r="E24" s="11" t="s">
        <v>344</v>
      </c>
      <c r="F24" s="11"/>
      <c r="G24" s="12" t="s">
        <v>345</v>
      </c>
      <c r="H24" s="13"/>
      <c r="I24" s="13"/>
      <c r="J24" s="13"/>
      <c r="K24" s="13"/>
      <c r="L24" s="13"/>
      <c r="M24" s="13"/>
      <c r="N24" s="30"/>
    </row>
    <row r="25" spans="1:14">
      <c r="A25" t="str">
        <f t="shared" si="1"/>
        <v/>
      </c>
      <c r="B25" s="11"/>
      <c r="C25" s="11"/>
      <c r="D25" s="11"/>
      <c r="E25" s="11"/>
      <c r="F25" s="14"/>
      <c r="G25" s="12" t="s">
        <v>350</v>
      </c>
      <c r="H25" s="13"/>
      <c r="I25" s="12" t="s">
        <v>351</v>
      </c>
      <c r="J25" s="13"/>
      <c r="K25" s="12" t="s">
        <v>249</v>
      </c>
      <c r="L25" s="13"/>
      <c r="M25" s="17" t="s">
        <v>250</v>
      </c>
      <c r="N25" s="17"/>
    </row>
    <row r="26" spans="1:14">
      <c r="A26" t="str">
        <f t="shared" si="1"/>
        <v>日期</v>
      </c>
      <c r="B26" s="15"/>
      <c r="C26" s="15"/>
      <c r="D26" s="15"/>
      <c r="E26" s="15"/>
      <c r="F26" s="16" t="s">
        <v>40</v>
      </c>
      <c r="G26" s="17" t="s">
        <v>251</v>
      </c>
      <c r="H26" s="17" t="s">
        <v>252</v>
      </c>
      <c r="I26" s="17" t="s">
        <v>251</v>
      </c>
      <c r="J26" s="17" t="s">
        <v>252</v>
      </c>
      <c r="K26" s="17" t="s">
        <v>251</v>
      </c>
      <c r="L26" s="17" t="s">
        <v>252</v>
      </c>
      <c r="M26" s="17" t="s">
        <v>251</v>
      </c>
      <c r="N26" s="17" t="s">
        <v>252</v>
      </c>
    </row>
    <row r="27" ht="84" customHeight="1" spans="1:14">
      <c r="A27" t="str">
        <f t="shared" si="1"/>
        <v>XXXX-1119月1日上午</v>
      </c>
      <c r="B27" s="18"/>
      <c r="C27" s="19"/>
      <c r="D27" s="20"/>
      <c r="E27" s="20" t="s">
        <v>23</v>
      </c>
      <c r="F27" s="21" t="s">
        <v>255</v>
      </c>
      <c r="G27" s="21"/>
      <c r="H27" s="21" t="s">
        <v>352</v>
      </c>
      <c r="I27" s="21"/>
      <c r="J27" s="21" t="s">
        <v>353</v>
      </c>
      <c r="K27" s="21"/>
      <c r="L27" s="21"/>
      <c r="M27" s="21"/>
      <c r="N27" s="21"/>
    </row>
    <row r="28" ht="84" customHeight="1" spans="1:14">
      <c r="A28" t="str">
        <f t="shared" si="1"/>
        <v>XXXX-2229月1日上午</v>
      </c>
      <c r="B28" s="18"/>
      <c r="C28" s="22"/>
      <c r="D28" s="20"/>
      <c r="E28" s="20" t="s">
        <v>24</v>
      </c>
      <c r="F28" s="21" t="s">
        <v>255</v>
      </c>
      <c r="G28" s="21"/>
      <c r="H28" s="21"/>
      <c r="I28" s="21"/>
      <c r="J28" s="21"/>
      <c r="K28" s="31"/>
      <c r="L28" s="21"/>
      <c r="M28" s="21"/>
      <c r="N28" s="21"/>
    </row>
    <row r="29" ht="84" customHeight="1" spans="1:14">
      <c r="A29" t="str">
        <f t="shared" si="1"/>
        <v>9月1日上午</v>
      </c>
      <c r="B29" s="18"/>
      <c r="C29" s="23"/>
      <c r="D29" s="20"/>
      <c r="E29" s="20"/>
      <c r="F29" s="21" t="s">
        <v>255</v>
      </c>
      <c r="G29" s="21"/>
      <c r="H29" s="21"/>
      <c r="I29" s="21"/>
      <c r="J29" s="21" t="s">
        <v>354</v>
      </c>
      <c r="K29" s="21"/>
      <c r="L29" s="21"/>
      <c r="M29" s="21"/>
      <c r="N29" s="21"/>
    </row>
    <row r="30" ht="84" customHeight="1" spans="1:14">
      <c r="A30" t="str">
        <f t="shared" si="1"/>
        <v>9月1日上午</v>
      </c>
      <c r="B30" s="18"/>
      <c r="C30" s="19"/>
      <c r="D30" s="20"/>
      <c r="E30" s="20"/>
      <c r="F30" s="21" t="s">
        <v>255</v>
      </c>
      <c r="G30" s="21"/>
      <c r="H30" s="21"/>
      <c r="I30" s="21"/>
      <c r="J30" s="21"/>
      <c r="K30" s="21"/>
      <c r="L30" s="21"/>
      <c r="M30" s="21"/>
      <c r="N30" s="21"/>
    </row>
    <row r="31" ht="84" customHeight="1" spans="1:14">
      <c r="A31" t="str">
        <f t="shared" si="1"/>
        <v>9月1日上午</v>
      </c>
      <c r="B31" s="18"/>
      <c r="C31" s="23"/>
      <c r="D31" s="20"/>
      <c r="E31" s="20"/>
      <c r="F31" s="21" t="s">
        <v>255</v>
      </c>
      <c r="G31" s="21"/>
      <c r="H31" s="21"/>
      <c r="I31" s="21"/>
      <c r="J31" s="21" t="s">
        <v>355</v>
      </c>
      <c r="K31" s="21"/>
      <c r="L31" s="21"/>
      <c r="M31" s="21"/>
      <c r="N31" s="21"/>
    </row>
    <row r="32" ht="84" customHeight="1" spans="1:14">
      <c r="A32" t="str">
        <f t="shared" si="1"/>
        <v>9月1日上午</v>
      </c>
      <c r="B32" s="18"/>
      <c r="C32" s="18"/>
      <c r="D32" s="20"/>
      <c r="E32" s="24"/>
      <c r="F32" s="21" t="s">
        <v>255</v>
      </c>
      <c r="G32" s="21"/>
      <c r="H32" s="21"/>
      <c r="I32" s="21"/>
      <c r="J32" s="21"/>
      <c r="K32" s="21"/>
      <c r="L32" s="21"/>
      <c r="M32" s="21"/>
      <c r="N32" s="21"/>
    </row>
    <row r="33" ht="84" customHeight="1" spans="1:14">
      <c r="A33" t="str">
        <f t="shared" si="1"/>
        <v>9月1日上午</v>
      </c>
      <c r="B33" s="18"/>
      <c r="C33" s="18"/>
      <c r="D33" s="20"/>
      <c r="E33" s="20"/>
      <c r="F33" s="21" t="s">
        <v>255</v>
      </c>
      <c r="G33" s="21"/>
      <c r="H33" s="21"/>
      <c r="I33" s="21"/>
      <c r="J33" s="21"/>
      <c r="K33" s="21"/>
      <c r="L33" s="21"/>
      <c r="M33" s="21"/>
      <c r="N33" s="21"/>
    </row>
    <row r="34" spans="1:14">
      <c r="A34" t="str">
        <f t="shared" si="1"/>
        <v/>
      </c>
      <c r="F34" s="14"/>
      <c r="G34" s="12" t="s">
        <v>350</v>
      </c>
      <c r="H34" s="13"/>
      <c r="I34" s="12" t="s">
        <v>351</v>
      </c>
      <c r="J34" s="13"/>
      <c r="K34" s="12" t="s">
        <v>249</v>
      </c>
      <c r="L34" s="13"/>
      <c r="M34" s="17" t="s">
        <v>250</v>
      </c>
      <c r="N34" s="17"/>
    </row>
    <row r="35" spans="1:14">
      <c r="A35" t="str">
        <f t="shared" si="1"/>
        <v>日期</v>
      </c>
      <c r="F35" s="16" t="s">
        <v>40</v>
      </c>
      <c r="G35" s="17" t="s">
        <v>251</v>
      </c>
      <c r="H35" s="17" t="s">
        <v>252</v>
      </c>
      <c r="I35" s="17" t="s">
        <v>251</v>
      </c>
      <c r="J35" s="17" t="s">
        <v>252</v>
      </c>
      <c r="K35" s="17" t="s">
        <v>251</v>
      </c>
      <c r="L35" s="17" t="s">
        <v>252</v>
      </c>
      <c r="M35" s="17" t="s">
        <v>251</v>
      </c>
      <c r="N35" s="17" t="s">
        <v>252</v>
      </c>
    </row>
    <row r="36" spans="1:14">
      <c r="A36" t="str">
        <f t="shared" si="1"/>
        <v>XXXX-1119月1日晚上</v>
      </c>
      <c r="E36" s="20" t="s">
        <v>23</v>
      </c>
      <c r="F36" s="21" t="s">
        <v>256</v>
      </c>
      <c r="G36" s="21"/>
      <c r="H36" s="21"/>
      <c r="I36" s="21"/>
      <c r="J36" s="21"/>
      <c r="K36" s="21"/>
      <c r="L36" s="21"/>
      <c r="M36" s="32"/>
      <c r="N36" s="32"/>
    </row>
    <row r="37" spans="1:14">
      <c r="A37" t="str">
        <f t="shared" si="1"/>
        <v>XXXX-2229月1日晚上</v>
      </c>
      <c r="E37" s="20" t="s">
        <v>24</v>
      </c>
      <c r="F37" s="21" t="s">
        <v>256</v>
      </c>
      <c r="G37" s="21"/>
      <c r="H37" s="21"/>
      <c r="I37" s="21"/>
      <c r="J37" s="21"/>
      <c r="K37" s="21"/>
      <c r="L37" s="21"/>
      <c r="M37" s="32"/>
      <c r="N37" s="32"/>
    </row>
    <row r="38" spans="1:14">
      <c r="A38" t="str">
        <f t="shared" si="1"/>
        <v>9月1日晚上</v>
      </c>
      <c r="E38" s="20"/>
      <c r="F38" s="21" t="s">
        <v>256</v>
      </c>
      <c r="G38" s="21"/>
      <c r="H38" s="21"/>
      <c r="I38" s="21"/>
      <c r="J38" s="21"/>
      <c r="K38" s="21"/>
      <c r="L38" s="21"/>
      <c r="M38" s="32"/>
      <c r="N38" s="32"/>
    </row>
    <row r="39" spans="1:14">
      <c r="A39" t="str">
        <f t="shared" si="1"/>
        <v>9月1日晚上</v>
      </c>
      <c r="E39" s="20"/>
      <c r="F39" s="21" t="s">
        <v>256</v>
      </c>
      <c r="G39" s="21"/>
      <c r="H39" s="21"/>
      <c r="I39" s="21"/>
      <c r="J39" s="21"/>
      <c r="K39" s="21"/>
      <c r="L39" s="21"/>
      <c r="M39" s="32"/>
      <c r="N39" s="32"/>
    </row>
    <row r="40" spans="1:14">
      <c r="A40" t="str">
        <f t="shared" si="1"/>
        <v>9月1日晚上</v>
      </c>
      <c r="E40" s="20"/>
      <c r="F40" s="21" t="s">
        <v>256</v>
      </c>
      <c r="G40" s="21"/>
      <c r="H40" s="21"/>
      <c r="I40" s="21"/>
      <c r="J40" s="21"/>
      <c r="K40" s="21"/>
      <c r="L40" s="21"/>
      <c r="M40" s="32"/>
      <c r="N40" s="32"/>
    </row>
    <row r="41" spans="1:14">
      <c r="A41" t="str">
        <f t="shared" si="1"/>
        <v>9月1日晚上</v>
      </c>
      <c r="E41" s="24"/>
      <c r="F41" s="21" t="s">
        <v>256</v>
      </c>
      <c r="G41" s="21"/>
      <c r="H41" s="21"/>
      <c r="I41" s="21"/>
      <c r="J41" s="21"/>
      <c r="K41" s="21"/>
      <c r="L41" s="21"/>
      <c r="M41" s="32"/>
      <c r="N41" s="32"/>
    </row>
    <row r="42" spans="1:14">
      <c r="A42" t="str">
        <f t="shared" si="1"/>
        <v>9月1日晚上</v>
      </c>
      <c r="E42" s="20"/>
      <c r="F42" s="21" t="s">
        <v>256</v>
      </c>
      <c r="G42" s="21"/>
      <c r="H42" s="21"/>
      <c r="I42" s="21"/>
      <c r="J42" s="21"/>
      <c r="K42" s="21"/>
      <c r="L42" s="21"/>
      <c r="M42" s="32"/>
      <c r="N42" s="32"/>
    </row>
    <row r="43" spans="1:1">
      <c r="A43" t="str">
        <f t="shared" ref="A43:A87" si="2">E43&amp;F43</f>
        <v/>
      </c>
    </row>
    <row r="44" spans="1:14">
      <c r="A44" t="str">
        <f t="shared" si="2"/>
        <v>SKU</v>
      </c>
      <c r="B44" s="11" t="s">
        <v>2</v>
      </c>
      <c r="C44" s="11" t="s">
        <v>342</v>
      </c>
      <c r="D44" s="11" t="s">
        <v>343</v>
      </c>
      <c r="E44" s="11" t="s">
        <v>344</v>
      </c>
      <c r="F44" s="11"/>
      <c r="G44" s="12" t="s">
        <v>345</v>
      </c>
      <c r="H44" s="13"/>
      <c r="I44" s="13"/>
      <c r="J44" s="13"/>
      <c r="K44" s="13"/>
      <c r="L44" s="13"/>
      <c r="M44" s="13"/>
      <c r="N44" s="30"/>
    </row>
    <row r="45" spans="1:14">
      <c r="A45" t="str">
        <f t="shared" si="2"/>
        <v/>
      </c>
      <c r="B45" s="11"/>
      <c r="C45" s="11"/>
      <c r="D45" s="11"/>
      <c r="E45" s="11"/>
      <c r="F45" s="14"/>
      <c r="G45" s="12" t="s">
        <v>247</v>
      </c>
      <c r="H45" s="13"/>
      <c r="I45" s="12" t="s">
        <v>248</v>
      </c>
      <c r="J45" s="13"/>
      <c r="K45" s="12" t="s">
        <v>249</v>
      </c>
      <c r="L45" s="13"/>
      <c r="M45" s="17" t="s">
        <v>250</v>
      </c>
      <c r="N45" s="17"/>
    </row>
    <row r="46" spans="1:14">
      <c r="A46" t="str">
        <f t="shared" si="2"/>
        <v>日期</v>
      </c>
      <c r="B46" s="15"/>
      <c r="C46" s="15"/>
      <c r="D46" s="15"/>
      <c r="E46" s="15"/>
      <c r="F46" s="16" t="s">
        <v>40</v>
      </c>
      <c r="G46" s="17" t="s">
        <v>251</v>
      </c>
      <c r="H46" s="17" t="s">
        <v>252</v>
      </c>
      <c r="I46" s="17" t="s">
        <v>251</v>
      </c>
      <c r="J46" s="17" t="s">
        <v>252</v>
      </c>
      <c r="K46" s="17" t="s">
        <v>251</v>
      </c>
      <c r="L46" s="17" t="s">
        <v>252</v>
      </c>
      <c r="M46" s="17" t="s">
        <v>251</v>
      </c>
      <c r="N46" s="17" t="s">
        <v>252</v>
      </c>
    </row>
    <row r="47" ht="84" customHeight="1" spans="1:14">
      <c r="A47" t="str">
        <f t="shared" si="2"/>
        <v>XXXX-1119月2日上午</v>
      </c>
      <c r="B47" s="18"/>
      <c r="C47" s="19"/>
      <c r="D47" s="20"/>
      <c r="E47" s="20" t="s">
        <v>23</v>
      </c>
      <c r="F47" s="21" t="s">
        <v>257</v>
      </c>
      <c r="G47" s="21"/>
      <c r="H47" s="21" t="s">
        <v>356</v>
      </c>
      <c r="I47" s="21"/>
      <c r="J47" s="21"/>
      <c r="K47" s="21"/>
      <c r="L47" s="21" t="s">
        <v>357</v>
      </c>
      <c r="M47" s="21"/>
      <c r="N47" s="21"/>
    </row>
    <row r="48" ht="84" customHeight="1" spans="1:14">
      <c r="A48" t="str">
        <f t="shared" si="2"/>
        <v>XXXX-2229月2日上午</v>
      </c>
      <c r="B48" s="18"/>
      <c r="C48" s="22"/>
      <c r="D48" s="20"/>
      <c r="E48" s="20" t="s">
        <v>24</v>
      </c>
      <c r="F48" s="21" t="s">
        <v>257</v>
      </c>
      <c r="G48" s="21"/>
      <c r="H48" s="21"/>
      <c r="I48" s="21"/>
      <c r="J48" s="21" t="s">
        <v>358</v>
      </c>
      <c r="K48" s="31"/>
      <c r="L48" s="21"/>
      <c r="M48" s="21"/>
      <c r="N48" s="21"/>
    </row>
    <row r="49" ht="84" customHeight="1" spans="1:14">
      <c r="A49" t="str">
        <f t="shared" si="2"/>
        <v>9月2日上午</v>
      </c>
      <c r="B49" s="18"/>
      <c r="C49" s="23"/>
      <c r="D49" s="20"/>
      <c r="E49" s="20"/>
      <c r="F49" s="21" t="s">
        <v>257</v>
      </c>
      <c r="G49" s="21"/>
      <c r="H49" s="21"/>
      <c r="I49" s="21"/>
      <c r="J49" s="21" t="s">
        <v>359</v>
      </c>
      <c r="K49" s="21"/>
      <c r="L49" s="21"/>
      <c r="M49" s="21"/>
      <c r="N49" s="21"/>
    </row>
    <row r="50" ht="84" customHeight="1" spans="1:14">
      <c r="A50" t="str">
        <f t="shared" si="2"/>
        <v>9月2日上午</v>
      </c>
      <c r="B50" s="18"/>
      <c r="C50" s="19"/>
      <c r="D50" s="20"/>
      <c r="E50" s="20"/>
      <c r="F50" s="21" t="s">
        <v>257</v>
      </c>
      <c r="G50" s="21"/>
      <c r="H50" s="21"/>
      <c r="I50" s="21"/>
      <c r="J50" s="21"/>
      <c r="K50" s="21"/>
      <c r="L50" s="21"/>
      <c r="M50" s="21"/>
      <c r="N50" s="21"/>
    </row>
    <row r="51" ht="84" customHeight="1" spans="1:14">
      <c r="A51" t="str">
        <f t="shared" si="2"/>
        <v>9月2日上午</v>
      </c>
      <c r="B51" s="18"/>
      <c r="C51" s="23"/>
      <c r="D51" s="20"/>
      <c r="E51" s="20"/>
      <c r="F51" s="21" t="s">
        <v>257</v>
      </c>
      <c r="G51" s="21"/>
      <c r="H51" s="21"/>
      <c r="I51" s="21"/>
      <c r="J51" s="21" t="s">
        <v>360</v>
      </c>
      <c r="K51" s="21"/>
      <c r="L51" s="21"/>
      <c r="M51" s="21"/>
      <c r="N51" s="21"/>
    </row>
    <row r="52" ht="84" customHeight="1" spans="1:14">
      <c r="A52" t="str">
        <f t="shared" si="2"/>
        <v>9月2日上午</v>
      </c>
      <c r="B52" s="18"/>
      <c r="C52" s="18"/>
      <c r="D52" s="20"/>
      <c r="E52" s="24"/>
      <c r="F52" s="21" t="s">
        <v>257</v>
      </c>
      <c r="G52" s="21"/>
      <c r="H52" s="21"/>
      <c r="I52" s="21"/>
      <c r="J52" s="21"/>
      <c r="K52" s="21"/>
      <c r="L52" s="21"/>
      <c r="M52" s="21"/>
      <c r="N52" s="21"/>
    </row>
    <row r="53" ht="84" customHeight="1" spans="1:14">
      <c r="A53" t="str">
        <f t="shared" si="2"/>
        <v>9月2日上午</v>
      </c>
      <c r="B53" s="18"/>
      <c r="C53" s="18"/>
      <c r="D53" s="20"/>
      <c r="E53" s="20"/>
      <c r="F53" s="21" t="s">
        <v>257</v>
      </c>
      <c r="G53" s="21"/>
      <c r="H53" s="21"/>
      <c r="I53" s="21"/>
      <c r="J53" s="21"/>
      <c r="K53" s="21"/>
      <c r="L53" s="21"/>
      <c r="M53" s="21"/>
      <c r="N53" s="21"/>
    </row>
    <row r="54" spans="1:1">
      <c r="A54" t="str">
        <f t="shared" si="2"/>
        <v/>
      </c>
    </row>
    <row r="55" spans="1:14">
      <c r="A55" t="str">
        <f t="shared" si="2"/>
        <v>SKU</v>
      </c>
      <c r="B55" s="11" t="s">
        <v>2</v>
      </c>
      <c r="C55" s="11" t="s">
        <v>342</v>
      </c>
      <c r="D55" s="11" t="s">
        <v>343</v>
      </c>
      <c r="E55" s="11" t="s">
        <v>344</v>
      </c>
      <c r="F55" s="11"/>
      <c r="G55" s="12" t="s">
        <v>345</v>
      </c>
      <c r="H55" s="13"/>
      <c r="I55" s="13"/>
      <c r="J55" s="13"/>
      <c r="K55" s="13"/>
      <c r="L55" s="13"/>
      <c r="M55" s="13"/>
      <c r="N55" s="30"/>
    </row>
    <row r="56" spans="1:14">
      <c r="A56" t="str">
        <f t="shared" si="2"/>
        <v/>
      </c>
      <c r="B56" s="11"/>
      <c r="C56" s="11"/>
      <c r="D56" s="11"/>
      <c r="E56" s="11"/>
      <c r="F56" s="14"/>
      <c r="G56" s="12" t="s">
        <v>350</v>
      </c>
      <c r="H56" s="13"/>
      <c r="I56" s="12" t="s">
        <v>351</v>
      </c>
      <c r="J56" s="13"/>
      <c r="K56" s="12" t="s">
        <v>249</v>
      </c>
      <c r="L56" s="13"/>
      <c r="M56" s="17" t="s">
        <v>250</v>
      </c>
      <c r="N56" s="17"/>
    </row>
    <row r="57" spans="1:14">
      <c r="A57" t="str">
        <f t="shared" si="2"/>
        <v>日期</v>
      </c>
      <c r="B57" s="15"/>
      <c r="C57" s="15"/>
      <c r="D57" s="15"/>
      <c r="E57" s="15"/>
      <c r="F57" s="16" t="s">
        <v>40</v>
      </c>
      <c r="G57" s="17" t="s">
        <v>251</v>
      </c>
      <c r="H57" s="17" t="s">
        <v>252</v>
      </c>
      <c r="I57" s="17" t="s">
        <v>251</v>
      </c>
      <c r="J57" s="17" t="s">
        <v>252</v>
      </c>
      <c r="K57" s="17" t="s">
        <v>251</v>
      </c>
      <c r="L57" s="17" t="s">
        <v>252</v>
      </c>
      <c r="M57" s="17" t="s">
        <v>251</v>
      </c>
      <c r="N57" s="17" t="s">
        <v>252</v>
      </c>
    </row>
    <row r="58" ht="91" customHeight="1" spans="1:14">
      <c r="A58" t="str">
        <f t="shared" si="2"/>
        <v>XXXX-1119月2日晚上</v>
      </c>
      <c r="B58" s="18"/>
      <c r="C58" s="19"/>
      <c r="D58" s="20"/>
      <c r="E58" s="20" t="s">
        <v>23</v>
      </c>
      <c r="F58" s="21" t="s">
        <v>258</v>
      </c>
      <c r="G58" s="21"/>
      <c r="H58" s="21"/>
      <c r="I58" s="21"/>
      <c r="J58" s="21"/>
      <c r="K58" s="21"/>
      <c r="L58" s="21"/>
      <c r="M58" s="21"/>
      <c r="N58" s="21"/>
    </row>
    <row r="59" ht="91" customHeight="1" spans="1:14">
      <c r="A59" t="str">
        <f t="shared" si="2"/>
        <v>XXXX-2229月2日晚上</v>
      </c>
      <c r="B59" s="18"/>
      <c r="C59" s="22"/>
      <c r="D59" s="20"/>
      <c r="E59" s="20" t="s">
        <v>24</v>
      </c>
      <c r="F59" s="21" t="s">
        <v>258</v>
      </c>
      <c r="G59" s="21"/>
      <c r="H59" s="21"/>
      <c r="I59" s="21"/>
      <c r="J59" s="21"/>
      <c r="K59" s="31"/>
      <c r="L59" s="21"/>
      <c r="M59" s="21"/>
      <c r="N59" s="21"/>
    </row>
    <row r="60" ht="91" customHeight="1" spans="1:14">
      <c r="A60" t="str">
        <f t="shared" si="2"/>
        <v>9月2日晚上</v>
      </c>
      <c r="B60" s="18"/>
      <c r="C60" s="23"/>
      <c r="D60" s="20"/>
      <c r="E60" s="20"/>
      <c r="F60" s="21" t="s">
        <v>258</v>
      </c>
      <c r="G60" s="21"/>
      <c r="H60" s="21"/>
      <c r="I60" s="21"/>
      <c r="J60" s="21"/>
      <c r="K60" s="21"/>
      <c r="L60" s="21"/>
      <c r="M60" s="21"/>
      <c r="N60" s="21"/>
    </row>
    <row r="61" ht="91" customHeight="1" spans="1:14">
      <c r="A61" t="str">
        <f t="shared" si="2"/>
        <v>9月2日晚上</v>
      </c>
      <c r="B61" s="18"/>
      <c r="C61" s="19"/>
      <c r="D61" s="20"/>
      <c r="E61" s="20"/>
      <c r="F61" s="21" t="s">
        <v>258</v>
      </c>
      <c r="G61" s="21"/>
      <c r="H61" s="21"/>
      <c r="I61" s="21"/>
      <c r="J61" s="21"/>
      <c r="K61" s="21"/>
      <c r="L61" s="21"/>
      <c r="M61" s="21"/>
      <c r="N61" s="21"/>
    </row>
    <row r="62" ht="91" customHeight="1" spans="1:14">
      <c r="A62" t="str">
        <f t="shared" si="2"/>
        <v>9月2日晚上</v>
      </c>
      <c r="B62" s="18"/>
      <c r="C62" s="23"/>
      <c r="D62" s="20"/>
      <c r="E62" s="20"/>
      <c r="F62" s="21" t="s">
        <v>258</v>
      </c>
      <c r="G62" s="21"/>
      <c r="H62" s="21"/>
      <c r="I62" s="21"/>
      <c r="J62" s="21"/>
      <c r="K62" s="21"/>
      <c r="L62" s="21"/>
      <c r="M62" s="21"/>
      <c r="N62" s="21"/>
    </row>
    <row r="63" ht="91" customHeight="1" spans="1:14">
      <c r="A63" t="str">
        <f t="shared" si="2"/>
        <v>9月2日晚上</v>
      </c>
      <c r="B63" s="18"/>
      <c r="C63" s="18"/>
      <c r="D63" s="20"/>
      <c r="E63" s="24"/>
      <c r="F63" s="21" t="s">
        <v>258</v>
      </c>
      <c r="G63" s="21"/>
      <c r="H63" s="21"/>
      <c r="I63" s="21"/>
      <c r="J63" s="21"/>
      <c r="K63" s="21"/>
      <c r="L63" s="21"/>
      <c r="M63" s="21"/>
      <c r="N63" s="21"/>
    </row>
    <row r="64" ht="91" customHeight="1" spans="1:14">
      <c r="A64" t="str">
        <f t="shared" si="2"/>
        <v>9月2日晚上</v>
      </c>
      <c r="B64" s="18"/>
      <c r="C64" s="18"/>
      <c r="D64" s="20"/>
      <c r="E64" s="20"/>
      <c r="F64" s="21" t="s">
        <v>258</v>
      </c>
      <c r="G64" s="21"/>
      <c r="H64" s="21"/>
      <c r="I64" s="21"/>
      <c r="J64" s="21"/>
      <c r="K64" s="21"/>
      <c r="L64" s="21"/>
      <c r="M64" s="21"/>
      <c r="N64" s="21"/>
    </row>
    <row r="65" spans="1:1">
      <c r="A65" t="str">
        <f t="shared" si="2"/>
        <v/>
      </c>
    </row>
    <row r="66" spans="1:1">
      <c r="A66" t="str">
        <f t="shared" si="2"/>
        <v/>
      </c>
    </row>
    <row r="67" spans="1:14">
      <c r="A67" t="str">
        <f t="shared" si="2"/>
        <v>SKU</v>
      </c>
      <c r="B67" s="11" t="s">
        <v>2</v>
      </c>
      <c r="C67" s="11" t="s">
        <v>342</v>
      </c>
      <c r="D67" s="11" t="s">
        <v>343</v>
      </c>
      <c r="E67" s="11" t="s">
        <v>344</v>
      </c>
      <c r="F67" s="11"/>
      <c r="G67" s="12" t="s">
        <v>345</v>
      </c>
      <c r="H67" s="13"/>
      <c r="I67" s="13"/>
      <c r="J67" s="13"/>
      <c r="K67" s="13"/>
      <c r="L67" s="13"/>
      <c r="M67" s="13"/>
      <c r="N67" s="30"/>
    </row>
    <row r="68" spans="1:14">
      <c r="A68" t="str">
        <f t="shared" si="2"/>
        <v/>
      </c>
      <c r="B68" s="11"/>
      <c r="C68" s="11"/>
      <c r="D68" s="11"/>
      <c r="E68" s="11"/>
      <c r="F68" s="14"/>
      <c r="G68" s="12" t="s">
        <v>247</v>
      </c>
      <c r="H68" s="13"/>
      <c r="I68" s="12" t="s">
        <v>248</v>
      </c>
      <c r="J68" s="13"/>
      <c r="K68" s="12" t="s">
        <v>249</v>
      </c>
      <c r="L68" s="13"/>
      <c r="M68" s="17" t="s">
        <v>250</v>
      </c>
      <c r="N68" s="17"/>
    </row>
    <row r="69" spans="1:14">
      <c r="A69" t="str">
        <f t="shared" si="2"/>
        <v>日期</v>
      </c>
      <c r="B69" s="15"/>
      <c r="C69" s="15"/>
      <c r="D69" s="15"/>
      <c r="E69" s="15"/>
      <c r="F69" s="16" t="s">
        <v>40</v>
      </c>
      <c r="G69" s="17" t="s">
        <v>251</v>
      </c>
      <c r="H69" s="17" t="s">
        <v>252</v>
      </c>
      <c r="I69" s="17" t="s">
        <v>251</v>
      </c>
      <c r="J69" s="17" t="s">
        <v>252</v>
      </c>
      <c r="K69" s="17" t="s">
        <v>251</v>
      </c>
      <c r="L69" s="17" t="s">
        <v>252</v>
      </c>
      <c r="M69" s="17" t="s">
        <v>251</v>
      </c>
      <c r="N69" s="17" t="s">
        <v>252</v>
      </c>
    </row>
    <row r="70" ht="86" customHeight="1" spans="1:14">
      <c r="A70" t="str">
        <f t="shared" si="2"/>
        <v>XXXX-1119月3日上午</v>
      </c>
      <c r="B70" s="18"/>
      <c r="C70" s="19"/>
      <c r="D70" s="20"/>
      <c r="E70" s="20" t="s">
        <v>23</v>
      </c>
      <c r="F70" s="21" t="s">
        <v>259</v>
      </c>
      <c r="G70" s="21"/>
      <c r="H70" s="21" t="s">
        <v>361</v>
      </c>
      <c r="I70" s="21"/>
      <c r="J70" s="21"/>
      <c r="K70" s="21"/>
      <c r="L70" s="21" t="s">
        <v>362</v>
      </c>
      <c r="M70" s="21"/>
      <c r="N70" s="21"/>
    </row>
    <row r="71" ht="86" customHeight="1" spans="1:14">
      <c r="A71" t="str">
        <f t="shared" si="2"/>
        <v>XXXX-2229月3日上午</v>
      </c>
      <c r="B71" s="18"/>
      <c r="C71" s="22"/>
      <c r="D71" s="20"/>
      <c r="E71" s="20" t="s">
        <v>24</v>
      </c>
      <c r="F71" s="21" t="s">
        <v>259</v>
      </c>
      <c r="G71" s="21"/>
      <c r="H71" s="21"/>
      <c r="I71" s="21"/>
      <c r="J71" s="21" t="s">
        <v>363</v>
      </c>
      <c r="K71" s="31"/>
      <c r="L71" s="21"/>
      <c r="M71" s="21"/>
      <c r="N71" s="21"/>
    </row>
    <row r="72" ht="86" customHeight="1" spans="1:14">
      <c r="A72" t="str">
        <f t="shared" si="2"/>
        <v>9月3日上午</v>
      </c>
      <c r="B72" s="18"/>
      <c r="C72" s="23"/>
      <c r="D72" s="20"/>
      <c r="E72" s="20"/>
      <c r="F72" s="21" t="s">
        <v>259</v>
      </c>
      <c r="G72" s="21"/>
      <c r="H72" s="21"/>
      <c r="I72" s="21"/>
      <c r="J72" s="21" t="s">
        <v>364</v>
      </c>
      <c r="K72" s="21"/>
      <c r="L72" s="21"/>
      <c r="M72" s="21"/>
      <c r="N72" s="21"/>
    </row>
    <row r="73" ht="86" customHeight="1" spans="1:14">
      <c r="A73" t="str">
        <f t="shared" si="2"/>
        <v>9月3日上午</v>
      </c>
      <c r="B73" s="18"/>
      <c r="C73" s="19"/>
      <c r="D73" s="20"/>
      <c r="E73" s="20"/>
      <c r="F73" s="21" t="s">
        <v>259</v>
      </c>
      <c r="G73" s="21"/>
      <c r="H73" s="21"/>
      <c r="I73" s="21"/>
      <c r="J73" s="21"/>
      <c r="K73" s="21"/>
      <c r="L73" s="21"/>
      <c r="M73" s="21"/>
      <c r="N73" s="21"/>
    </row>
    <row r="74" ht="86" customHeight="1" spans="1:14">
      <c r="A74" t="str">
        <f t="shared" si="2"/>
        <v>9月3日上午</v>
      </c>
      <c r="B74" s="18"/>
      <c r="C74" s="23"/>
      <c r="D74" s="20"/>
      <c r="E74" s="20"/>
      <c r="F74" s="21" t="s">
        <v>259</v>
      </c>
      <c r="G74" s="21"/>
      <c r="H74" s="21"/>
      <c r="I74" s="21"/>
      <c r="J74" s="21"/>
      <c r="K74" s="21"/>
      <c r="L74" s="21" t="s">
        <v>365</v>
      </c>
      <c r="M74" s="21"/>
      <c r="N74" s="21"/>
    </row>
    <row r="75" ht="86" customHeight="1" spans="1:14">
      <c r="A75" t="str">
        <f t="shared" si="2"/>
        <v>9月3日上午</v>
      </c>
      <c r="B75" s="18"/>
      <c r="C75" s="18"/>
      <c r="D75" s="20"/>
      <c r="E75" s="24"/>
      <c r="F75" s="21" t="s">
        <v>259</v>
      </c>
      <c r="G75" s="21"/>
      <c r="H75" s="21"/>
      <c r="I75" s="21"/>
      <c r="J75" s="21"/>
      <c r="K75" s="21"/>
      <c r="L75" s="21"/>
      <c r="M75" s="21"/>
      <c r="N75" s="21"/>
    </row>
    <row r="76" ht="86" customHeight="1" spans="1:14">
      <c r="A76" t="str">
        <f t="shared" si="2"/>
        <v>9月3日上午</v>
      </c>
      <c r="B76" s="18"/>
      <c r="C76" s="18"/>
      <c r="D76" s="20"/>
      <c r="E76" s="20"/>
      <c r="F76" s="21" t="s">
        <v>259</v>
      </c>
      <c r="G76" s="21"/>
      <c r="H76" s="21"/>
      <c r="I76" s="21"/>
      <c r="J76" s="21"/>
      <c r="K76" s="21"/>
      <c r="L76" s="21"/>
      <c r="M76" s="21"/>
      <c r="N76" s="21"/>
    </row>
    <row r="77" spans="1:1">
      <c r="A77" t="str">
        <f t="shared" si="2"/>
        <v/>
      </c>
    </row>
    <row r="78" spans="1:14">
      <c r="A78" t="str">
        <f t="shared" si="2"/>
        <v>SKU</v>
      </c>
      <c r="B78" s="11" t="s">
        <v>2</v>
      </c>
      <c r="C78" s="11" t="s">
        <v>342</v>
      </c>
      <c r="D78" s="11" t="s">
        <v>343</v>
      </c>
      <c r="E78" s="11" t="s">
        <v>344</v>
      </c>
      <c r="F78" s="11"/>
      <c r="G78" s="12" t="s">
        <v>345</v>
      </c>
      <c r="H78" s="13"/>
      <c r="I78" s="13"/>
      <c r="J78" s="13"/>
      <c r="K78" s="13"/>
      <c r="L78" s="13"/>
      <c r="M78" s="13"/>
      <c r="N78" s="30"/>
    </row>
    <row r="79" spans="1:14">
      <c r="A79" t="str">
        <f t="shared" si="2"/>
        <v/>
      </c>
      <c r="B79" s="11"/>
      <c r="C79" s="11"/>
      <c r="D79" s="11"/>
      <c r="E79" s="11"/>
      <c r="F79" s="14"/>
      <c r="G79" s="12" t="s">
        <v>350</v>
      </c>
      <c r="H79" s="13"/>
      <c r="I79" s="12" t="s">
        <v>351</v>
      </c>
      <c r="J79" s="13"/>
      <c r="K79" s="12" t="s">
        <v>249</v>
      </c>
      <c r="L79" s="13"/>
      <c r="M79" s="17" t="s">
        <v>250</v>
      </c>
      <c r="N79" s="17"/>
    </row>
    <row r="80" spans="1:14">
      <c r="A80" t="str">
        <f t="shared" si="2"/>
        <v>日期</v>
      </c>
      <c r="B80" s="15"/>
      <c r="C80" s="15"/>
      <c r="D80" s="15"/>
      <c r="E80" s="15"/>
      <c r="F80" s="16" t="s">
        <v>40</v>
      </c>
      <c r="G80" s="17" t="s">
        <v>251</v>
      </c>
      <c r="H80" s="17" t="s">
        <v>252</v>
      </c>
      <c r="I80" s="17" t="s">
        <v>251</v>
      </c>
      <c r="J80" s="17" t="s">
        <v>252</v>
      </c>
      <c r="K80" s="17" t="s">
        <v>251</v>
      </c>
      <c r="L80" s="17" t="s">
        <v>252</v>
      </c>
      <c r="M80" s="17" t="s">
        <v>251</v>
      </c>
      <c r="N80" s="17" t="s">
        <v>252</v>
      </c>
    </row>
    <row r="81" ht="91" customHeight="1" spans="1:14">
      <c r="A81" t="str">
        <f t="shared" si="2"/>
        <v>XXXX-1119月3日晚上</v>
      </c>
      <c r="B81" s="18"/>
      <c r="C81" s="19"/>
      <c r="D81" s="20"/>
      <c r="E81" s="20" t="s">
        <v>23</v>
      </c>
      <c r="F81" s="21" t="s">
        <v>366</v>
      </c>
      <c r="G81" s="21"/>
      <c r="H81" s="21"/>
      <c r="I81" s="21"/>
      <c r="J81" s="21"/>
      <c r="K81" s="21"/>
      <c r="L81" s="21"/>
      <c r="M81" s="21"/>
      <c r="N81" s="21"/>
    </row>
    <row r="82" ht="91" customHeight="1" spans="1:14">
      <c r="A82" t="str">
        <f t="shared" si="2"/>
        <v>XXXX-2229月3日晚上</v>
      </c>
      <c r="B82" s="18"/>
      <c r="C82" s="22"/>
      <c r="D82" s="20"/>
      <c r="E82" s="20" t="s">
        <v>24</v>
      </c>
      <c r="F82" s="21" t="s">
        <v>366</v>
      </c>
      <c r="G82" s="21"/>
      <c r="H82" s="21"/>
      <c r="I82" s="21"/>
      <c r="J82" s="21"/>
      <c r="K82" s="31"/>
      <c r="L82" s="21"/>
      <c r="M82" s="21"/>
      <c r="N82" s="21"/>
    </row>
    <row r="83" ht="91" customHeight="1" spans="1:14">
      <c r="A83" t="str">
        <f t="shared" si="2"/>
        <v>9月3日晚上</v>
      </c>
      <c r="B83" s="18"/>
      <c r="C83" s="23"/>
      <c r="D83" s="20"/>
      <c r="E83" s="20"/>
      <c r="F83" s="21" t="s">
        <v>366</v>
      </c>
      <c r="G83" s="21"/>
      <c r="H83" s="21"/>
      <c r="I83" s="21"/>
      <c r="J83" s="21"/>
      <c r="K83" s="21"/>
      <c r="L83" s="21"/>
      <c r="M83" s="21"/>
      <c r="N83" s="21"/>
    </row>
    <row r="84" ht="91" customHeight="1" spans="1:14">
      <c r="A84" t="str">
        <f t="shared" si="2"/>
        <v>9月3日晚上</v>
      </c>
      <c r="B84" s="18"/>
      <c r="C84" s="19"/>
      <c r="D84" s="20"/>
      <c r="E84" s="20"/>
      <c r="F84" s="21" t="s">
        <v>366</v>
      </c>
      <c r="G84" s="21"/>
      <c r="H84" s="21"/>
      <c r="I84" s="21"/>
      <c r="J84" s="21"/>
      <c r="K84" s="21"/>
      <c r="L84" s="21"/>
      <c r="M84" s="21"/>
      <c r="N84" s="21"/>
    </row>
    <row r="85" ht="91" customHeight="1" spans="1:14">
      <c r="A85" t="str">
        <f t="shared" si="2"/>
        <v>9月3日晚上</v>
      </c>
      <c r="B85" s="18"/>
      <c r="C85" s="23"/>
      <c r="D85" s="20"/>
      <c r="E85" s="20"/>
      <c r="F85" s="21" t="s">
        <v>366</v>
      </c>
      <c r="G85" s="21"/>
      <c r="H85" s="21"/>
      <c r="I85" s="21"/>
      <c r="J85" s="21"/>
      <c r="K85" s="21"/>
      <c r="L85" s="21"/>
      <c r="M85" s="21"/>
      <c r="N85" s="21"/>
    </row>
    <row r="86" ht="91" customHeight="1" spans="1:14">
      <c r="A86" t="str">
        <f t="shared" si="2"/>
        <v>9月3日晚上</v>
      </c>
      <c r="B86" s="18"/>
      <c r="C86" s="18"/>
      <c r="D86" s="20"/>
      <c r="E86" s="24"/>
      <c r="F86" s="21" t="s">
        <v>366</v>
      </c>
      <c r="G86" s="21"/>
      <c r="H86" s="21"/>
      <c r="I86" s="21"/>
      <c r="J86" s="21"/>
      <c r="K86" s="21"/>
      <c r="L86" s="21"/>
      <c r="M86" s="21"/>
      <c r="N86" s="21"/>
    </row>
    <row r="87" ht="91" customHeight="1" spans="1:14">
      <c r="A87" t="str">
        <f t="shared" si="2"/>
        <v>9月3日晚上</v>
      </c>
      <c r="B87" s="18"/>
      <c r="C87" s="18"/>
      <c r="D87" s="20"/>
      <c r="E87" s="20"/>
      <c r="F87" s="21" t="s">
        <v>366</v>
      </c>
      <c r="G87" s="21"/>
      <c r="H87" s="21"/>
      <c r="I87" s="21"/>
      <c r="J87" s="21"/>
      <c r="K87" s="21"/>
      <c r="L87" s="21"/>
      <c r="M87" s="21"/>
      <c r="N87" s="21"/>
    </row>
    <row r="88" spans="1:1">
      <c r="A88" t="str">
        <f t="shared" ref="A88:A119" si="3">E88&amp;F88</f>
        <v/>
      </c>
    </row>
    <row r="89" customFormat="1" spans="1:14">
      <c r="A89" t="str">
        <f t="shared" si="3"/>
        <v>SKU</v>
      </c>
      <c r="B89" s="11" t="s">
        <v>2</v>
      </c>
      <c r="C89" s="11" t="s">
        <v>342</v>
      </c>
      <c r="D89" s="11" t="s">
        <v>343</v>
      </c>
      <c r="E89" s="11" t="s">
        <v>344</v>
      </c>
      <c r="F89" s="11"/>
      <c r="G89" s="12" t="s">
        <v>345</v>
      </c>
      <c r="H89" s="13"/>
      <c r="I89" s="13"/>
      <c r="J89" s="13"/>
      <c r="K89" s="13"/>
      <c r="L89" s="13"/>
      <c r="M89" s="13"/>
      <c r="N89" s="30"/>
    </row>
    <row r="90" customFormat="1" spans="1:14">
      <c r="A90" t="str">
        <f t="shared" si="3"/>
        <v/>
      </c>
      <c r="B90" s="11"/>
      <c r="C90" s="11"/>
      <c r="D90" s="11"/>
      <c r="E90" s="11"/>
      <c r="F90" s="14"/>
      <c r="G90" s="12" t="s">
        <v>247</v>
      </c>
      <c r="H90" s="13"/>
      <c r="I90" s="12" t="s">
        <v>248</v>
      </c>
      <c r="J90" s="13"/>
      <c r="K90" s="12" t="s">
        <v>249</v>
      </c>
      <c r="L90" s="13"/>
      <c r="M90" s="17" t="s">
        <v>250</v>
      </c>
      <c r="N90" s="17"/>
    </row>
    <row r="91" customFormat="1" spans="1:14">
      <c r="A91" t="str">
        <f t="shared" si="3"/>
        <v>日期</v>
      </c>
      <c r="B91" s="15"/>
      <c r="C91" s="15"/>
      <c r="D91" s="15"/>
      <c r="E91" s="15"/>
      <c r="F91" s="16" t="s">
        <v>40</v>
      </c>
      <c r="G91" s="17" t="s">
        <v>251</v>
      </c>
      <c r="H91" s="17" t="s">
        <v>252</v>
      </c>
      <c r="I91" s="17" t="s">
        <v>251</v>
      </c>
      <c r="J91" s="17" t="s">
        <v>252</v>
      </c>
      <c r="K91" s="17" t="s">
        <v>251</v>
      </c>
      <c r="L91" s="17" t="s">
        <v>252</v>
      </c>
      <c r="M91" s="17" t="s">
        <v>251</v>
      </c>
      <c r="N91" s="17" t="s">
        <v>252</v>
      </c>
    </row>
    <row r="92" customFormat="1" ht="78" customHeight="1" spans="1:14">
      <c r="A92" t="str">
        <f t="shared" si="3"/>
        <v>XXXX-1119月4日上午</v>
      </c>
      <c r="B92" s="18"/>
      <c r="C92" s="19"/>
      <c r="D92" s="20"/>
      <c r="E92" s="20" t="s">
        <v>23</v>
      </c>
      <c r="F92" s="21" t="s">
        <v>367</v>
      </c>
      <c r="G92" s="21"/>
      <c r="H92" s="21"/>
      <c r="I92" s="21"/>
      <c r="J92" s="21"/>
      <c r="K92" s="21"/>
      <c r="L92" s="21"/>
      <c r="M92" s="21"/>
      <c r="N92" s="21"/>
    </row>
    <row r="93" customFormat="1" ht="78" customHeight="1" spans="1:14">
      <c r="A93" t="str">
        <f t="shared" si="3"/>
        <v>XXXX-2229月4日上午</v>
      </c>
      <c r="B93" s="18"/>
      <c r="C93" s="22"/>
      <c r="D93" s="20"/>
      <c r="E93" s="20" t="s">
        <v>24</v>
      </c>
      <c r="F93" s="21" t="s">
        <v>367</v>
      </c>
      <c r="G93" s="21"/>
      <c r="H93" s="21"/>
      <c r="I93" s="21"/>
      <c r="J93" s="21"/>
      <c r="K93" s="31"/>
      <c r="L93" s="21"/>
      <c r="M93" s="21"/>
      <c r="N93" s="21"/>
    </row>
    <row r="94" customFormat="1" ht="78" customHeight="1" spans="1:14">
      <c r="A94" t="str">
        <f t="shared" si="3"/>
        <v>9月4日上午</v>
      </c>
      <c r="B94" s="18"/>
      <c r="C94" s="23"/>
      <c r="D94" s="20"/>
      <c r="E94" s="20"/>
      <c r="F94" s="21" t="s">
        <v>367</v>
      </c>
      <c r="G94" s="21"/>
      <c r="H94" s="21"/>
      <c r="I94" s="21"/>
      <c r="J94" s="21"/>
      <c r="K94" s="21"/>
      <c r="L94" s="21"/>
      <c r="M94" s="21"/>
      <c r="N94" s="21"/>
    </row>
    <row r="95" customFormat="1" ht="78" customHeight="1" spans="1:14">
      <c r="A95" t="str">
        <f t="shared" si="3"/>
        <v>9月4日上午</v>
      </c>
      <c r="B95" s="18"/>
      <c r="C95" s="19"/>
      <c r="D95" s="20"/>
      <c r="E95" s="20"/>
      <c r="F95" s="21" t="s">
        <v>367</v>
      </c>
      <c r="G95" s="21"/>
      <c r="H95" s="21"/>
      <c r="I95" s="21"/>
      <c r="J95" s="21"/>
      <c r="K95" s="21"/>
      <c r="L95" s="21"/>
      <c r="M95" s="21"/>
      <c r="N95" s="21"/>
    </row>
    <row r="96" customFormat="1" ht="78" customHeight="1" spans="1:14">
      <c r="A96" t="str">
        <f t="shared" si="3"/>
        <v>9月4日上午</v>
      </c>
      <c r="B96" s="18"/>
      <c r="C96" s="23"/>
      <c r="D96" s="20"/>
      <c r="E96" s="20"/>
      <c r="F96" s="21" t="s">
        <v>367</v>
      </c>
      <c r="G96" s="21"/>
      <c r="H96" s="21"/>
      <c r="I96" s="21"/>
      <c r="J96" s="21"/>
      <c r="K96" s="21"/>
      <c r="L96" s="21"/>
      <c r="M96" s="21"/>
      <c r="N96" s="21"/>
    </row>
    <row r="97" customFormat="1" ht="78" customHeight="1" spans="1:14">
      <c r="A97" t="str">
        <f t="shared" si="3"/>
        <v>9月4日上午</v>
      </c>
      <c r="B97" s="18"/>
      <c r="C97" s="18"/>
      <c r="D97" s="20"/>
      <c r="E97" s="24"/>
      <c r="F97" s="21" t="s">
        <v>367</v>
      </c>
      <c r="G97" s="21"/>
      <c r="H97" s="21"/>
      <c r="I97" s="21"/>
      <c r="J97" s="21"/>
      <c r="K97" s="21"/>
      <c r="L97" s="21"/>
      <c r="M97" s="21"/>
      <c r="N97" s="21"/>
    </row>
    <row r="98" customFormat="1" ht="84" customHeight="1" spans="1:14">
      <c r="A98" t="str">
        <f t="shared" si="3"/>
        <v>9月4日上午</v>
      </c>
      <c r="B98" s="18"/>
      <c r="C98" s="18"/>
      <c r="D98" s="20"/>
      <c r="E98" s="20"/>
      <c r="F98" s="21" t="s">
        <v>367</v>
      </c>
      <c r="G98" s="21"/>
      <c r="H98" s="21"/>
      <c r="I98" s="21"/>
      <c r="J98" s="21"/>
      <c r="K98" s="21"/>
      <c r="L98" s="21"/>
      <c r="M98" s="21"/>
      <c r="N98" s="21"/>
    </row>
    <row r="99" spans="1:1">
      <c r="A99" t="str">
        <f t="shared" si="3"/>
        <v/>
      </c>
    </row>
    <row r="100" customFormat="1" spans="1:14">
      <c r="A100" t="str">
        <f t="shared" si="3"/>
        <v>SKU</v>
      </c>
      <c r="B100" s="11" t="s">
        <v>2</v>
      </c>
      <c r="C100" s="11" t="s">
        <v>342</v>
      </c>
      <c r="D100" s="11" t="s">
        <v>343</v>
      </c>
      <c r="E100" s="11" t="s">
        <v>344</v>
      </c>
      <c r="F100" s="11"/>
      <c r="G100" s="12" t="s">
        <v>345</v>
      </c>
      <c r="H100" s="13"/>
      <c r="I100" s="13"/>
      <c r="J100" s="13"/>
      <c r="K100" s="13"/>
      <c r="L100" s="13"/>
      <c r="M100" s="13"/>
      <c r="N100" s="30"/>
    </row>
    <row r="101" customFormat="1" spans="1:14">
      <c r="A101" t="str">
        <f t="shared" si="3"/>
        <v/>
      </c>
      <c r="B101" s="11"/>
      <c r="C101" s="11"/>
      <c r="D101" s="11"/>
      <c r="E101" s="11"/>
      <c r="F101" s="14"/>
      <c r="G101" s="12" t="s">
        <v>350</v>
      </c>
      <c r="H101" s="13"/>
      <c r="I101" s="12" t="s">
        <v>351</v>
      </c>
      <c r="J101" s="13"/>
      <c r="K101" s="12" t="s">
        <v>249</v>
      </c>
      <c r="L101" s="13"/>
      <c r="M101" s="17" t="s">
        <v>250</v>
      </c>
      <c r="N101" s="17"/>
    </row>
    <row r="102" customFormat="1" spans="1:14">
      <c r="A102" t="str">
        <f t="shared" si="3"/>
        <v>日期</v>
      </c>
      <c r="B102" s="15"/>
      <c r="C102" s="15"/>
      <c r="D102" s="15"/>
      <c r="E102" s="15"/>
      <c r="F102" s="16" t="s">
        <v>40</v>
      </c>
      <c r="G102" s="17" t="s">
        <v>251</v>
      </c>
      <c r="H102" s="17" t="s">
        <v>252</v>
      </c>
      <c r="I102" s="17" t="s">
        <v>251</v>
      </c>
      <c r="J102" s="17" t="s">
        <v>252</v>
      </c>
      <c r="K102" s="17" t="s">
        <v>251</v>
      </c>
      <c r="L102" s="17" t="s">
        <v>252</v>
      </c>
      <c r="M102" s="17" t="s">
        <v>251</v>
      </c>
      <c r="N102" s="17" t="s">
        <v>252</v>
      </c>
    </row>
    <row r="103" customFormat="1" ht="84" customHeight="1" spans="1:14">
      <c r="A103" t="str">
        <f t="shared" si="3"/>
        <v>XXXX-1119月4日晚上</v>
      </c>
      <c r="B103" s="18"/>
      <c r="C103" s="19"/>
      <c r="D103" s="20"/>
      <c r="E103" s="20" t="s">
        <v>23</v>
      </c>
      <c r="F103" s="21" t="s">
        <v>260</v>
      </c>
      <c r="G103" s="21"/>
      <c r="H103" s="21"/>
      <c r="I103" s="21"/>
      <c r="J103" s="21"/>
      <c r="K103" s="21"/>
      <c r="M103" s="21"/>
      <c r="N103" s="21"/>
    </row>
    <row r="104" customFormat="1" ht="84" customHeight="1" spans="1:14">
      <c r="A104" t="str">
        <f t="shared" si="3"/>
        <v>XXXX-2229月4日晚上</v>
      </c>
      <c r="B104" s="18"/>
      <c r="C104" s="22"/>
      <c r="D104" s="20"/>
      <c r="E104" s="20" t="s">
        <v>24</v>
      </c>
      <c r="F104" s="21" t="s">
        <v>260</v>
      </c>
      <c r="G104" s="21"/>
      <c r="H104" s="21"/>
      <c r="I104" s="21"/>
      <c r="J104" s="21"/>
      <c r="K104" s="31"/>
      <c r="L104" s="21"/>
      <c r="M104" s="21"/>
      <c r="N104" s="21"/>
    </row>
    <row r="105" customFormat="1" ht="84" customHeight="1" spans="1:14">
      <c r="A105" t="str">
        <f t="shared" si="3"/>
        <v>9月4日晚上</v>
      </c>
      <c r="B105" s="18"/>
      <c r="C105" s="23"/>
      <c r="D105" s="20"/>
      <c r="E105" s="20"/>
      <c r="F105" s="21" t="s">
        <v>260</v>
      </c>
      <c r="G105" s="21"/>
      <c r="H105" s="21"/>
      <c r="I105" s="21"/>
      <c r="J105" s="21"/>
      <c r="K105" s="21"/>
      <c r="L105" s="21"/>
      <c r="M105" s="21"/>
      <c r="N105" s="21"/>
    </row>
    <row r="106" customFormat="1" ht="84" customHeight="1" spans="1:14">
      <c r="A106" t="str">
        <f t="shared" si="3"/>
        <v>9月4日晚上</v>
      </c>
      <c r="B106" s="18"/>
      <c r="C106" s="19"/>
      <c r="D106" s="20"/>
      <c r="E106" s="20"/>
      <c r="F106" s="21" t="s">
        <v>260</v>
      </c>
      <c r="G106" s="21"/>
      <c r="H106" s="21"/>
      <c r="I106" s="21"/>
      <c r="J106" s="21"/>
      <c r="K106" s="21"/>
      <c r="L106" s="21"/>
      <c r="M106" s="21"/>
      <c r="N106" s="21"/>
    </row>
    <row r="107" customFormat="1" ht="84" customHeight="1" spans="1:14">
      <c r="A107" t="str">
        <f t="shared" si="3"/>
        <v>9月4日晚上</v>
      </c>
      <c r="B107" s="18"/>
      <c r="C107" s="23"/>
      <c r="D107" s="20"/>
      <c r="E107" s="20"/>
      <c r="F107" s="21" t="s">
        <v>260</v>
      </c>
      <c r="G107" s="21"/>
      <c r="H107" s="21"/>
      <c r="I107" s="21"/>
      <c r="J107" s="21"/>
      <c r="K107" s="21"/>
      <c r="L107" s="21"/>
      <c r="M107" s="21"/>
      <c r="N107" s="21"/>
    </row>
    <row r="108" customFormat="1" ht="84" customHeight="1" spans="1:14">
      <c r="A108" t="str">
        <f t="shared" si="3"/>
        <v> 
9月4日晚上</v>
      </c>
      <c r="B108" s="18"/>
      <c r="C108" s="18"/>
      <c r="D108" s="20"/>
      <c r="E108" s="24" t="s">
        <v>368</v>
      </c>
      <c r="F108" s="21" t="s">
        <v>260</v>
      </c>
      <c r="G108" s="21"/>
      <c r="H108" s="21"/>
      <c r="I108" s="21"/>
      <c r="J108" s="21"/>
      <c r="K108" s="21"/>
      <c r="L108" s="21"/>
      <c r="M108" s="21"/>
      <c r="N108" s="21"/>
    </row>
    <row r="109" customFormat="1" ht="84" customHeight="1" spans="1:14">
      <c r="A109" t="str">
        <f t="shared" si="3"/>
        <v>9月4日晚上</v>
      </c>
      <c r="B109" s="18"/>
      <c r="C109" s="18"/>
      <c r="D109" s="20"/>
      <c r="E109" s="20"/>
      <c r="F109" s="21" t="s">
        <v>260</v>
      </c>
      <c r="G109" s="21"/>
      <c r="H109" s="21"/>
      <c r="I109" s="21"/>
      <c r="J109" s="21"/>
      <c r="K109" s="21"/>
      <c r="L109" s="21"/>
      <c r="M109" s="21"/>
      <c r="N109" s="21"/>
    </row>
    <row r="110" spans="1:1">
      <c r="A110" t="str">
        <f t="shared" si="3"/>
        <v/>
      </c>
    </row>
    <row r="111" spans="1:1">
      <c r="A111" t="str">
        <f t="shared" si="3"/>
        <v/>
      </c>
    </row>
    <row r="112" customFormat="1" spans="1:14">
      <c r="A112" t="str">
        <f t="shared" si="3"/>
        <v>SKU</v>
      </c>
      <c r="B112" s="11" t="s">
        <v>2</v>
      </c>
      <c r="C112" s="11" t="s">
        <v>342</v>
      </c>
      <c r="D112" s="11" t="s">
        <v>343</v>
      </c>
      <c r="E112" s="11" t="s">
        <v>344</v>
      </c>
      <c r="F112" s="11"/>
      <c r="G112" s="12" t="s">
        <v>345</v>
      </c>
      <c r="H112" s="13"/>
      <c r="I112" s="13"/>
      <c r="J112" s="13"/>
      <c r="K112" s="13"/>
      <c r="L112" s="13"/>
      <c r="M112" s="13"/>
      <c r="N112" s="30"/>
    </row>
    <row r="113" customFormat="1" spans="1:14">
      <c r="A113" t="str">
        <f t="shared" si="3"/>
        <v/>
      </c>
      <c r="B113" s="11"/>
      <c r="C113" s="11"/>
      <c r="D113" s="11"/>
      <c r="E113" s="11"/>
      <c r="F113" s="14"/>
      <c r="G113" s="12" t="s">
        <v>247</v>
      </c>
      <c r="H113" s="13"/>
      <c r="I113" s="12" t="s">
        <v>248</v>
      </c>
      <c r="J113" s="13"/>
      <c r="K113" s="12" t="s">
        <v>249</v>
      </c>
      <c r="L113" s="13"/>
      <c r="M113" s="17" t="s">
        <v>250</v>
      </c>
      <c r="N113" s="17"/>
    </row>
    <row r="114" customFormat="1" spans="1:14">
      <c r="A114" t="str">
        <f t="shared" si="3"/>
        <v>日期</v>
      </c>
      <c r="B114" s="15"/>
      <c r="C114" s="15"/>
      <c r="D114" s="15"/>
      <c r="E114" s="15"/>
      <c r="F114" s="16" t="s">
        <v>40</v>
      </c>
      <c r="G114" s="17" t="s">
        <v>251</v>
      </c>
      <c r="H114" s="17" t="s">
        <v>252</v>
      </c>
      <c r="I114" s="17" t="s">
        <v>251</v>
      </c>
      <c r="J114" s="17" t="s">
        <v>252</v>
      </c>
      <c r="K114" s="17" t="s">
        <v>251</v>
      </c>
      <c r="L114" s="17" t="s">
        <v>252</v>
      </c>
      <c r="M114" s="17" t="s">
        <v>251</v>
      </c>
      <c r="N114" s="17" t="s">
        <v>252</v>
      </c>
    </row>
    <row r="115" customFormat="1" ht="78" customHeight="1" spans="1:14">
      <c r="A115" t="str">
        <f t="shared" si="3"/>
        <v>XXXX-1119月5日上午</v>
      </c>
      <c r="B115" s="18"/>
      <c r="C115" s="19"/>
      <c r="D115" s="20"/>
      <c r="E115" s="20" t="s">
        <v>23</v>
      </c>
      <c r="F115" s="21" t="s">
        <v>261</v>
      </c>
      <c r="G115" s="21"/>
      <c r="H115" s="21" t="s">
        <v>369</v>
      </c>
      <c r="I115" s="21"/>
      <c r="J115" s="21" t="s">
        <v>370</v>
      </c>
      <c r="K115" s="21"/>
      <c r="L115" s="21" t="s">
        <v>371</v>
      </c>
      <c r="M115" s="21"/>
      <c r="N115" s="21"/>
    </row>
    <row r="116" customFormat="1" ht="78" customHeight="1" spans="1:14">
      <c r="A116" t="str">
        <f t="shared" si="3"/>
        <v>XXXX-2229月5日上午</v>
      </c>
      <c r="B116" s="18"/>
      <c r="C116" s="22"/>
      <c r="D116" s="20"/>
      <c r="E116" s="20" t="s">
        <v>24</v>
      </c>
      <c r="F116" s="21" t="s">
        <v>261</v>
      </c>
      <c r="G116" s="21"/>
      <c r="H116" s="21"/>
      <c r="I116" s="21"/>
      <c r="J116" s="21"/>
      <c r="K116" s="31"/>
      <c r="L116" s="21"/>
      <c r="M116" s="21"/>
      <c r="N116" s="21"/>
    </row>
    <row r="117" customFormat="1" ht="78" customHeight="1" spans="1:14">
      <c r="A117" t="str">
        <f t="shared" si="3"/>
        <v>9月5日上午</v>
      </c>
      <c r="B117" s="18"/>
      <c r="C117" s="23"/>
      <c r="D117" s="20"/>
      <c r="E117" s="20"/>
      <c r="F117" s="21" t="s">
        <v>261</v>
      </c>
      <c r="G117" s="21"/>
      <c r="H117" s="21"/>
      <c r="I117" s="21"/>
      <c r="J117" s="21" t="s">
        <v>372</v>
      </c>
      <c r="K117" s="21"/>
      <c r="L117" s="21"/>
      <c r="M117" s="21"/>
      <c r="N117" s="21"/>
    </row>
    <row r="118" customFormat="1" ht="78" customHeight="1" spans="1:14">
      <c r="A118" t="str">
        <f t="shared" si="3"/>
        <v>9月5日上午</v>
      </c>
      <c r="B118" s="18"/>
      <c r="C118" s="19"/>
      <c r="D118" s="20"/>
      <c r="E118" s="20"/>
      <c r="F118" s="21" t="s">
        <v>261</v>
      </c>
      <c r="G118" s="21"/>
      <c r="H118" s="21"/>
      <c r="I118" s="21"/>
      <c r="J118" s="21" t="s">
        <v>373</v>
      </c>
      <c r="K118" s="21"/>
      <c r="L118" s="21"/>
      <c r="M118" s="21"/>
      <c r="N118" s="21"/>
    </row>
    <row r="119" customFormat="1" ht="78" customHeight="1" spans="1:14">
      <c r="A119" t="str">
        <f t="shared" si="3"/>
        <v>9月5日上午</v>
      </c>
      <c r="B119" s="18"/>
      <c r="C119" s="23"/>
      <c r="D119" s="20"/>
      <c r="E119" s="20"/>
      <c r="F119" s="21" t="s">
        <v>261</v>
      </c>
      <c r="G119" s="21"/>
      <c r="H119" s="21"/>
      <c r="I119" s="21"/>
      <c r="J119" s="21"/>
      <c r="K119" s="21"/>
      <c r="L119" s="21" t="s">
        <v>374</v>
      </c>
      <c r="M119" s="21"/>
      <c r="N119" s="21"/>
    </row>
    <row r="120" customFormat="1" ht="78" customHeight="1" spans="1:14">
      <c r="A120" t="str">
        <f t="shared" ref="A120:A151" si="4">E120&amp;F120</f>
        <v>9月5日上午</v>
      </c>
      <c r="B120" s="18"/>
      <c r="C120" s="18"/>
      <c r="D120" s="20"/>
      <c r="E120" s="24"/>
      <c r="F120" s="21" t="s">
        <v>261</v>
      </c>
      <c r="G120" s="21"/>
      <c r="H120" s="21"/>
      <c r="I120" s="21"/>
      <c r="J120" s="21"/>
      <c r="K120" s="21" t="s">
        <v>375</v>
      </c>
      <c r="L120" s="21"/>
      <c r="M120" s="21"/>
      <c r="N120" s="21"/>
    </row>
    <row r="121" customFormat="1" ht="84" customHeight="1" spans="1:14">
      <c r="A121" t="str">
        <f t="shared" si="4"/>
        <v>9月5日上午</v>
      </c>
      <c r="B121" s="18"/>
      <c r="C121" s="18"/>
      <c r="D121" s="20"/>
      <c r="E121" s="20"/>
      <c r="F121" s="21" t="s">
        <v>261</v>
      </c>
      <c r="G121" s="21"/>
      <c r="H121" s="21"/>
      <c r="I121" s="21"/>
      <c r="J121" s="21"/>
      <c r="K121" s="21"/>
      <c r="L121" s="21"/>
      <c r="M121" s="21"/>
      <c r="N121" s="21"/>
    </row>
    <row r="122" spans="1:1">
      <c r="A122" t="str">
        <f t="shared" si="4"/>
        <v/>
      </c>
    </row>
    <row r="123" customFormat="1" spans="1:14">
      <c r="A123" t="str">
        <f t="shared" si="4"/>
        <v>SKU</v>
      </c>
      <c r="B123" s="11" t="s">
        <v>2</v>
      </c>
      <c r="C123" s="11" t="s">
        <v>342</v>
      </c>
      <c r="D123" s="11" t="s">
        <v>343</v>
      </c>
      <c r="E123" s="11" t="s">
        <v>344</v>
      </c>
      <c r="F123" s="11"/>
      <c r="G123" s="12" t="s">
        <v>345</v>
      </c>
      <c r="H123" s="13"/>
      <c r="I123" s="13"/>
      <c r="J123" s="13"/>
      <c r="K123" s="13"/>
      <c r="L123" s="13"/>
      <c r="M123" s="13"/>
      <c r="N123" s="30"/>
    </row>
    <row r="124" customFormat="1" spans="1:14">
      <c r="A124" t="str">
        <f t="shared" si="4"/>
        <v/>
      </c>
      <c r="B124" s="11"/>
      <c r="C124" s="11"/>
      <c r="D124" s="11"/>
      <c r="E124" s="11"/>
      <c r="F124" s="14"/>
      <c r="G124" s="12" t="s">
        <v>350</v>
      </c>
      <c r="H124" s="13"/>
      <c r="I124" s="12" t="s">
        <v>351</v>
      </c>
      <c r="J124" s="13"/>
      <c r="K124" s="12" t="s">
        <v>249</v>
      </c>
      <c r="L124" s="13"/>
      <c r="M124" s="17" t="s">
        <v>250</v>
      </c>
      <c r="N124" s="17"/>
    </row>
    <row r="125" customFormat="1" spans="1:14">
      <c r="A125" t="str">
        <f t="shared" si="4"/>
        <v>日期</v>
      </c>
      <c r="B125" s="15"/>
      <c r="C125" s="15"/>
      <c r="D125" s="15"/>
      <c r="E125" s="15"/>
      <c r="F125" s="16" t="s">
        <v>40</v>
      </c>
      <c r="G125" s="17" t="s">
        <v>251</v>
      </c>
      <c r="H125" s="17" t="s">
        <v>252</v>
      </c>
      <c r="I125" s="17" t="s">
        <v>251</v>
      </c>
      <c r="J125" s="17" t="s">
        <v>252</v>
      </c>
      <c r="K125" s="17" t="s">
        <v>251</v>
      </c>
      <c r="L125" s="17" t="s">
        <v>252</v>
      </c>
      <c r="M125" s="17" t="s">
        <v>251</v>
      </c>
      <c r="N125" s="17" t="s">
        <v>252</v>
      </c>
    </row>
    <row r="126" customFormat="1" ht="84" customHeight="1" spans="1:14">
      <c r="A126" t="str">
        <f t="shared" si="4"/>
        <v>XXXX-1119月5日晚上</v>
      </c>
      <c r="B126" s="18"/>
      <c r="C126" s="19"/>
      <c r="D126" s="20"/>
      <c r="E126" s="20" t="s">
        <v>23</v>
      </c>
      <c r="F126" s="21" t="s">
        <v>376</v>
      </c>
      <c r="G126" s="21"/>
      <c r="H126" s="21"/>
      <c r="I126" s="21"/>
      <c r="J126" s="21"/>
      <c r="K126" s="21"/>
      <c r="L126" s="21"/>
      <c r="M126" s="21"/>
      <c r="N126" s="21"/>
    </row>
    <row r="127" customFormat="1" ht="84" customHeight="1" spans="1:14">
      <c r="A127" t="str">
        <f t="shared" si="4"/>
        <v>XXXX-2229月5日晚上</v>
      </c>
      <c r="B127" s="18"/>
      <c r="C127" s="22"/>
      <c r="D127" s="20"/>
      <c r="E127" s="20" t="s">
        <v>24</v>
      </c>
      <c r="F127" s="21" t="s">
        <v>376</v>
      </c>
      <c r="G127" s="21"/>
      <c r="H127" s="21"/>
      <c r="I127" s="21"/>
      <c r="J127" s="21"/>
      <c r="K127" s="31"/>
      <c r="L127" s="21"/>
      <c r="M127" s="21"/>
      <c r="N127" s="21"/>
    </row>
    <row r="128" customFormat="1" ht="84" customHeight="1" spans="1:14">
      <c r="A128" t="str">
        <f t="shared" si="4"/>
        <v>9月5日晚上</v>
      </c>
      <c r="B128" s="18"/>
      <c r="C128" s="23"/>
      <c r="D128" s="20"/>
      <c r="E128" s="20"/>
      <c r="F128" s="21" t="s">
        <v>376</v>
      </c>
      <c r="G128" s="21"/>
      <c r="H128" s="21"/>
      <c r="I128" s="21"/>
      <c r="J128" s="21"/>
      <c r="K128" s="21"/>
      <c r="L128" s="21"/>
      <c r="M128" s="21"/>
      <c r="N128" s="21"/>
    </row>
    <row r="129" customFormat="1" ht="84" customHeight="1" spans="1:14">
      <c r="A129" t="str">
        <f t="shared" si="4"/>
        <v>9月5日晚上</v>
      </c>
      <c r="B129" s="18"/>
      <c r="C129" s="19"/>
      <c r="D129" s="20"/>
      <c r="E129" s="20"/>
      <c r="F129" s="21" t="s">
        <v>376</v>
      </c>
      <c r="G129" s="21"/>
      <c r="H129" s="21"/>
      <c r="I129" s="21"/>
      <c r="J129" s="21"/>
      <c r="K129" s="21"/>
      <c r="L129" s="21"/>
      <c r="M129" s="21"/>
      <c r="N129" s="21"/>
    </row>
    <row r="130" customFormat="1" ht="84" customHeight="1" spans="1:14">
      <c r="A130" t="str">
        <f t="shared" si="4"/>
        <v>9月5日晚上</v>
      </c>
      <c r="B130" s="18"/>
      <c r="C130" s="23"/>
      <c r="D130" s="20"/>
      <c r="E130" s="20"/>
      <c r="F130" s="21" t="s">
        <v>376</v>
      </c>
      <c r="G130" s="21"/>
      <c r="H130" s="21"/>
      <c r="I130" s="21"/>
      <c r="J130" s="21"/>
      <c r="K130" s="21"/>
      <c r="L130" s="21"/>
      <c r="M130" s="21"/>
      <c r="N130" s="21"/>
    </row>
    <row r="131" customFormat="1" ht="84" customHeight="1" spans="1:14">
      <c r="A131" t="str">
        <f t="shared" si="4"/>
        <v> 
9月5日晚上</v>
      </c>
      <c r="B131" s="18"/>
      <c r="C131" s="18"/>
      <c r="D131" s="20"/>
      <c r="E131" s="24" t="s">
        <v>368</v>
      </c>
      <c r="F131" s="21" t="s">
        <v>376</v>
      </c>
      <c r="G131" s="21"/>
      <c r="H131" s="21"/>
      <c r="I131" s="21"/>
      <c r="J131" s="21"/>
      <c r="K131" s="21"/>
      <c r="L131" s="21"/>
      <c r="M131" s="21"/>
      <c r="N131" s="21"/>
    </row>
    <row r="132" customFormat="1" ht="92" customHeight="1" spans="1:14">
      <c r="A132" t="str">
        <f t="shared" si="4"/>
        <v>9月5日晚上</v>
      </c>
      <c r="B132" s="18"/>
      <c r="C132" s="18"/>
      <c r="D132" s="20"/>
      <c r="E132" s="20"/>
      <c r="F132" s="21" t="s">
        <v>376</v>
      </c>
      <c r="G132" s="21"/>
      <c r="H132" s="21"/>
      <c r="I132" s="21"/>
      <c r="J132" s="21"/>
      <c r="K132" s="21"/>
      <c r="L132" s="21"/>
      <c r="M132" s="21"/>
      <c r="N132" s="21"/>
    </row>
    <row r="133" spans="1:1">
      <c r="A133" t="str">
        <f t="shared" si="4"/>
        <v/>
      </c>
    </row>
    <row r="134" customFormat="1" spans="1:14">
      <c r="A134" t="str">
        <f t="shared" si="4"/>
        <v>SKU</v>
      </c>
      <c r="B134" s="11" t="s">
        <v>2</v>
      </c>
      <c r="C134" s="11" t="s">
        <v>342</v>
      </c>
      <c r="D134" s="11" t="s">
        <v>343</v>
      </c>
      <c r="E134" s="11" t="s">
        <v>344</v>
      </c>
      <c r="F134" s="11"/>
      <c r="G134" s="12" t="s">
        <v>345</v>
      </c>
      <c r="H134" s="13"/>
      <c r="I134" s="13"/>
      <c r="J134" s="13"/>
      <c r="K134" s="13"/>
      <c r="L134" s="13"/>
      <c r="M134" s="13"/>
      <c r="N134" s="30"/>
    </row>
    <row r="135" customFormat="1" spans="1:14">
      <c r="A135" t="str">
        <f t="shared" si="4"/>
        <v/>
      </c>
      <c r="B135" s="11"/>
      <c r="C135" s="11"/>
      <c r="D135" s="11"/>
      <c r="E135" s="11"/>
      <c r="F135" s="14"/>
      <c r="G135" s="12" t="s">
        <v>247</v>
      </c>
      <c r="H135" s="13"/>
      <c r="I135" s="12" t="s">
        <v>248</v>
      </c>
      <c r="J135" s="13"/>
      <c r="K135" s="12" t="s">
        <v>249</v>
      </c>
      <c r="L135" s="13"/>
      <c r="M135" s="17" t="s">
        <v>250</v>
      </c>
      <c r="N135" s="17"/>
    </row>
    <row r="136" customFormat="1" spans="1:14">
      <c r="A136" t="str">
        <f t="shared" si="4"/>
        <v>日期</v>
      </c>
      <c r="B136" s="15"/>
      <c r="C136" s="15"/>
      <c r="D136" s="15"/>
      <c r="E136" s="15"/>
      <c r="F136" s="16" t="s">
        <v>40</v>
      </c>
      <c r="G136" s="17" t="s">
        <v>251</v>
      </c>
      <c r="H136" s="17" t="s">
        <v>252</v>
      </c>
      <c r="I136" s="17" t="s">
        <v>251</v>
      </c>
      <c r="J136" s="17" t="s">
        <v>252</v>
      </c>
      <c r="K136" s="17" t="s">
        <v>251</v>
      </c>
      <c r="L136" s="17" t="s">
        <v>252</v>
      </c>
      <c r="M136" s="17" t="s">
        <v>251</v>
      </c>
      <c r="N136" s="17" t="s">
        <v>252</v>
      </c>
    </row>
    <row r="137" customFormat="1" ht="74" customHeight="1" spans="1:14">
      <c r="A137" t="str">
        <f t="shared" si="4"/>
        <v>XXXX-1119月6日上午</v>
      </c>
      <c r="B137" s="18"/>
      <c r="C137" s="19"/>
      <c r="D137" s="20"/>
      <c r="E137" s="20" t="s">
        <v>23</v>
      </c>
      <c r="F137" s="21" t="s">
        <v>377</v>
      </c>
      <c r="G137" s="21"/>
      <c r="H137" s="21" t="s">
        <v>378</v>
      </c>
      <c r="I137" s="21"/>
      <c r="J137" s="21" t="s">
        <v>353</v>
      </c>
      <c r="K137" s="21"/>
      <c r="L137" s="21"/>
      <c r="M137" s="21"/>
      <c r="N137" s="21"/>
    </row>
    <row r="138" customFormat="1" ht="74" customHeight="1" spans="1:14">
      <c r="A138" t="str">
        <f t="shared" si="4"/>
        <v>XXXX-2229月6日上午</v>
      </c>
      <c r="B138" s="18"/>
      <c r="C138" s="22"/>
      <c r="D138" s="20"/>
      <c r="E138" s="20" t="s">
        <v>24</v>
      </c>
      <c r="F138" s="21" t="s">
        <v>377</v>
      </c>
      <c r="G138" s="21"/>
      <c r="H138" s="21"/>
      <c r="I138" s="21"/>
      <c r="J138" s="21" t="s">
        <v>379</v>
      </c>
      <c r="K138" s="31"/>
      <c r="L138" s="21"/>
      <c r="M138" s="21"/>
      <c r="N138" s="21"/>
    </row>
    <row r="139" customFormat="1" ht="74" customHeight="1" spans="1:14">
      <c r="A139" t="str">
        <f t="shared" si="4"/>
        <v>9月6日上午</v>
      </c>
      <c r="B139" s="18"/>
      <c r="C139" s="23"/>
      <c r="D139" s="20"/>
      <c r="E139" s="20"/>
      <c r="F139" s="21" t="s">
        <v>377</v>
      </c>
      <c r="G139" s="21"/>
      <c r="H139" s="21"/>
      <c r="I139" s="21"/>
      <c r="J139" s="21" t="s">
        <v>380</v>
      </c>
      <c r="K139" s="21"/>
      <c r="L139" s="21"/>
      <c r="M139" s="21"/>
      <c r="N139" s="21"/>
    </row>
    <row r="140" customFormat="1" ht="74" customHeight="1" spans="1:14">
      <c r="A140" t="str">
        <f t="shared" si="4"/>
        <v>9月6日上午</v>
      </c>
      <c r="B140" s="18"/>
      <c r="C140" s="19"/>
      <c r="D140" s="20"/>
      <c r="E140" s="20"/>
      <c r="F140" s="21" t="s">
        <v>377</v>
      </c>
      <c r="G140" s="21"/>
      <c r="H140" s="21"/>
      <c r="I140" s="21"/>
      <c r="J140" s="21"/>
      <c r="K140" s="21"/>
      <c r="L140" s="21"/>
      <c r="M140" s="21"/>
      <c r="N140" s="21"/>
    </row>
    <row r="141" customFormat="1" ht="74" customHeight="1" spans="1:14">
      <c r="A141" t="str">
        <f t="shared" si="4"/>
        <v>9月6日上午</v>
      </c>
      <c r="B141" s="18"/>
      <c r="C141" s="23"/>
      <c r="D141" s="20"/>
      <c r="E141" s="20"/>
      <c r="F141" s="21" t="s">
        <v>377</v>
      </c>
      <c r="G141" s="21"/>
      <c r="H141" s="21"/>
      <c r="I141" s="21"/>
      <c r="J141" s="21"/>
      <c r="K141" s="21"/>
      <c r="L141" s="21" t="s">
        <v>381</v>
      </c>
      <c r="M141" s="21"/>
      <c r="N141" s="21"/>
    </row>
    <row r="142" customFormat="1" ht="74" customHeight="1" spans="1:14">
      <c r="A142" t="str">
        <f t="shared" si="4"/>
        <v>9月6日上午</v>
      </c>
      <c r="B142" s="18"/>
      <c r="C142" s="18"/>
      <c r="D142" s="20"/>
      <c r="E142" s="24"/>
      <c r="F142" s="21" t="s">
        <v>377</v>
      </c>
      <c r="G142" s="21"/>
      <c r="H142" s="21"/>
      <c r="I142" s="21"/>
      <c r="J142" s="21"/>
      <c r="K142" s="21"/>
      <c r="L142" s="21"/>
      <c r="M142" s="21"/>
      <c r="N142" s="21"/>
    </row>
    <row r="143" customFormat="1" ht="84" customHeight="1" spans="1:14">
      <c r="A143" t="str">
        <f t="shared" si="4"/>
        <v>9月6日上午</v>
      </c>
      <c r="B143" s="18"/>
      <c r="C143" s="18"/>
      <c r="D143" s="20"/>
      <c r="E143" s="20"/>
      <c r="F143" s="21" t="s">
        <v>377</v>
      </c>
      <c r="G143" s="21"/>
      <c r="H143" s="21"/>
      <c r="I143" s="21"/>
      <c r="J143" s="21"/>
      <c r="K143" s="21"/>
      <c r="L143" s="21"/>
      <c r="M143" s="21"/>
      <c r="N143" s="21"/>
    </row>
    <row r="144" spans="1:1">
      <c r="A144" t="str">
        <f t="shared" si="4"/>
        <v/>
      </c>
    </row>
    <row r="145" customFormat="1" spans="1:14">
      <c r="A145" t="str">
        <f t="shared" si="4"/>
        <v>SKU</v>
      </c>
      <c r="B145" s="11" t="s">
        <v>2</v>
      </c>
      <c r="C145" s="11" t="s">
        <v>342</v>
      </c>
      <c r="D145" s="11" t="s">
        <v>343</v>
      </c>
      <c r="E145" s="11" t="s">
        <v>344</v>
      </c>
      <c r="F145" s="11"/>
      <c r="G145" s="12" t="s">
        <v>345</v>
      </c>
      <c r="H145" s="13"/>
      <c r="I145" s="13"/>
      <c r="J145" s="13"/>
      <c r="K145" s="13"/>
      <c r="L145" s="13"/>
      <c r="M145" s="13"/>
      <c r="N145" s="30"/>
    </row>
    <row r="146" customFormat="1" spans="1:14">
      <c r="A146" t="str">
        <f t="shared" si="4"/>
        <v/>
      </c>
      <c r="B146" s="11"/>
      <c r="C146" s="11"/>
      <c r="D146" s="11"/>
      <c r="E146" s="11"/>
      <c r="F146" s="14"/>
      <c r="G146" s="12" t="s">
        <v>350</v>
      </c>
      <c r="H146" s="13"/>
      <c r="I146" s="12" t="s">
        <v>351</v>
      </c>
      <c r="J146" s="13"/>
      <c r="K146" s="12" t="s">
        <v>249</v>
      </c>
      <c r="L146" s="13"/>
      <c r="M146" s="17" t="s">
        <v>250</v>
      </c>
      <c r="N146" s="17"/>
    </row>
    <row r="147" customFormat="1" spans="1:14">
      <c r="A147" t="str">
        <f t="shared" si="4"/>
        <v>日期</v>
      </c>
      <c r="B147" s="15"/>
      <c r="C147" s="15"/>
      <c r="D147" s="15"/>
      <c r="E147" s="15"/>
      <c r="F147" s="16" t="s">
        <v>40</v>
      </c>
      <c r="G147" s="17" t="s">
        <v>251</v>
      </c>
      <c r="H147" s="17" t="s">
        <v>252</v>
      </c>
      <c r="I147" s="17" t="s">
        <v>251</v>
      </c>
      <c r="J147" s="17" t="s">
        <v>252</v>
      </c>
      <c r="K147" s="17" t="s">
        <v>251</v>
      </c>
      <c r="L147" s="17" t="s">
        <v>252</v>
      </c>
      <c r="M147" s="17" t="s">
        <v>251</v>
      </c>
      <c r="N147" s="17" t="s">
        <v>252</v>
      </c>
    </row>
    <row r="148" customFormat="1" ht="79" customHeight="1" spans="1:14">
      <c r="A148" t="str">
        <f t="shared" si="4"/>
        <v>XXXX-1119月6日晚上</v>
      </c>
      <c r="B148" s="18"/>
      <c r="C148" s="19"/>
      <c r="D148" s="20"/>
      <c r="E148" s="20" t="s">
        <v>23</v>
      </c>
      <c r="F148" s="21" t="s">
        <v>262</v>
      </c>
      <c r="G148" s="21"/>
      <c r="H148" s="21"/>
      <c r="I148" s="21"/>
      <c r="J148" s="21"/>
      <c r="K148" s="21"/>
      <c r="L148" s="21"/>
      <c r="M148" s="21"/>
      <c r="N148" s="21"/>
    </row>
    <row r="149" customFormat="1" ht="79" customHeight="1" spans="1:14">
      <c r="A149" t="str">
        <f t="shared" si="4"/>
        <v>XXXX-2229月6日晚上</v>
      </c>
      <c r="B149" s="18"/>
      <c r="C149" s="22"/>
      <c r="D149" s="20"/>
      <c r="E149" s="20" t="s">
        <v>24</v>
      </c>
      <c r="F149" s="21" t="s">
        <v>262</v>
      </c>
      <c r="G149" s="21"/>
      <c r="H149" s="21"/>
      <c r="I149" s="21"/>
      <c r="J149" s="21"/>
      <c r="K149" s="31"/>
      <c r="L149" s="21"/>
      <c r="M149" s="21"/>
      <c r="N149" s="21"/>
    </row>
    <row r="150" customFormat="1" ht="79" customHeight="1" spans="1:14">
      <c r="A150" t="str">
        <f t="shared" si="4"/>
        <v>9月6日晚上</v>
      </c>
      <c r="B150" s="18"/>
      <c r="C150" s="23"/>
      <c r="D150" s="20"/>
      <c r="E150" s="20"/>
      <c r="F150" s="21" t="s">
        <v>262</v>
      </c>
      <c r="G150" s="21"/>
      <c r="H150" s="21"/>
      <c r="I150" s="21"/>
      <c r="J150" s="21"/>
      <c r="K150" s="21"/>
      <c r="L150" s="21"/>
      <c r="M150" s="21"/>
      <c r="N150" s="21"/>
    </row>
    <row r="151" customFormat="1" ht="79" customHeight="1" spans="1:14">
      <c r="A151" t="str">
        <f t="shared" si="4"/>
        <v>9月6日晚上</v>
      </c>
      <c r="B151" s="18"/>
      <c r="C151" s="19"/>
      <c r="D151" s="20"/>
      <c r="E151" s="20"/>
      <c r="F151" s="21" t="s">
        <v>262</v>
      </c>
      <c r="G151" s="21"/>
      <c r="H151" s="21"/>
      <c r="I151" s="21"/>
      <c r="J151" s="21"/>
      <c r="K151" s="21"/>
      <c r="L151" s="21"/>
      <c r="M151" s="21"/>
      <c r="N151" s="21"/>
    </row>
    <row r="152" customFormat="1" ht="79" customHeight="1" spans="1:14">
      <c r="A152" t="str">
        <f t="shared" ref="A152:A198" si="5">E152&amp;F152</f>
        <v>9月6日晚上</v>
      </c>
      <c r="B152" s="18"/>
      <c r="C152" s="23"/>
      <c r="D152" s="20"/>
      <c r="E152" s="20"/>
      <c r="F152" s="21" t="s">
        <v>262</v>
      </c>
      <c r="G152" s="21"/>
      <c r="H152" s="21"/>
      <c r="I152" s="21"/>
      <c r="J152" s="21"/>
      <c r="K152" s="21"/>
      <c r="L152" s="21"/>
      <c r="M152" s="21"/>
      <c r="N152" s="21"/>
    </row>
    <row r="153" customFormat="1" ht="79" customHeight="1" spans="1:14">
      <c r="A153" t="str">
        <f t="shared" si="5"/>
        <v> 
9月6日晚上</v>
      </c>
      <c r="B153" s="18"/>
      <c r="C153" s="18"/>
      <c r="D153" s="20"/>
      <c r="E153" s="24" t="s">
        <v>368</v>
      </c>
      <c r="F153" s="21" t="s">
        <v>262</v>
      </c>
      <c r="G153" s="21"/>
      <c r="H153" s="21"/>
      <c r="I153" s="21"/>
      <c r="J153" s="21"/>
      <c r="K153" s="21"/>
      <c r="L153" s="21"/>
      <c r="M153" s="21"/>
      <c r="N153" s="21"/>
    </row>
    <row r="154" customFormat="1" ht="79" customHeight="1" spans="1:14">
      <c r="A154" t="str">
        <f t="shared" si="5"/>
        <v>9月6日晚上</v>
      </c>
      <c r="B154" s="18"/>
      <c r="C154" s="18"/>
      <c r="D154" s="20"/>
      <c r="E154" s="20"/>
      <c r="F154" s="21" t="s">
        <v>262</v>
      </c>
      <c r="G154" s="21"/>
      <c r="H154" s="21"/>
      <c r="I154" s="21"/>
      <c r="J154" s="21"/>
      <c r="K154" s="21"/>
      <c r="L154" s="21"/>
      <c r="M154" s="21"/>
      <c r="N154" s="21"/>
    </row>
    <row r="155" spans="1:1">
      <c r="A155" t="str">
        <f t="shared" si="5"/>
        <v/>
      </c>
    </row>
    <row r="156" customFormat="1" spans="1:14">
      <c r="A156" t="str">
        <f t="shared" si="5"/>
        <v>SKU</v>
      </c>
      <c r="B156" s="11" t="s">
        <v>2</v>
      </c>
      <c r="C156" s="11" t="s">
        <v>342</v>
      </c>
      <c r="D156" s="11" t="s">
        <v>343</v>
      </c>
      <c r="E156" s="11" t="s">
        <v>344</v>
      </c>
      <c r="F156" s="11"/>
      <c r="G156" s="12" t="s">
        <v>345</v>
      </c>
      <c r="H156" s="13"/>
      <c r="I156" s="13"/>
      <c r="J156" s="13"/>
      <c r="K156" s="13"/>
      <c r="L156" s="13"/>
      <c r="M156" s="13"/>
      <c r="N156" s="30"/>
    </row>
    <row r="157" customFormat="1" spans="1:14">
      <c r="A157" t="str">
        <f t="shared" si="5"/>
        <v/>
      </c>
      <c r="B157" s="11"/>
      <c r="C157" s="11"/>
      <c r="D157" s="11"/>
      <c r="E157" s="11"/>
      <c r="F157" s="14"/>
      <c r="G157" s="12" t="s">
        <v>247</v>
      </c>
      <c r="H157" s="13"/>
      <c r="I157" s="12" t="s">
        <v>248</v>
      </c>
      <c r="J157" s="13"/>
      <c r="K157" s="12" t="s">
        <v>249</v>
      </c>
      <c r="L157" s="13"/>
      <c r="M157" s="17" t="s">
        <v>250</v>
      </c>
      <c r="N157" s="17"/>
    </row>
    <row r="158" customFormat="1" spans="1:14">
      <c r="A158" t="str">
        <f t="shared" si="5"/>
        <v>日期</v>
      </c>
      <c r="B158" s="15"/>
      <c r="C158" s="15"/>
      <c r="D158" s="15"/>
      <c r="E158" s="15"/>
      <c r="F158" s="16" t="s">
        <v>40</v>
      </c>
      <c r="G158" s="17" t="s">
        <v>251</v>
      </c>
      <c r="H158" s="17" t="s">
        <v>252</v>
      </c>
      <c r="I158" s="17" t="s">
        <v>251</v>
      </c>
      <c r="J158" s="17" t="s">
        <v>252</v>
      </c>
      <c r="K158" s="17" t="s">
        <v>251</v>
      </c>
      <c r="L158" s="17" t="s">
        <v>252</v>
      </c>
      <c r="M158" s="17" t="s">
        <v>251</v>
      </c>
      <c r="N158" s="17" t="s">
        <v>252</v>
      </c>
    </row>
    <row r="159" customFormat="1" ht="91" customHeight="1" spans="1:14">
      <c r="A159" t="str">
        <f t="shared" si="5"/>
        <v>XXXX-1119月7日上午</v>
      </c>
      <c r="B159" s="18"/>
      <c r="C159" s="19"/>
      <c r="D159" s="20"/>
      <c r="E159" s="20" t="s">
        <v>23</v>
      </c>
      <c r="F159" s="21" t="s">
        <v>263</v>
      </c>
      <c r="G159" s="21"/>
      <c r="H159" s="21" t="s">
        <v>382</v>
      </c>
      <c r="I159" s="21"/>
      <c r="J159" s="21"/>
      <c r="K159" s="21"/>
      <c r="L159" s="21" t="s">
        <v>383</v>
      </c>
      <c r="M159" s="21"/>
      <c r="N159" s="21"/>
    </row>
    <row r="160" customFormat="1" ht="91" customHeight="1" spans="1:14">
      <c r="A160" t="str">
        <f t="shared" si="5"/>
        <v>XXXX-2229月7日上午</v>
      </c>
      <c r="B160" s="18"/>
      <c r="C160" s="22"/>
      <c r="D160" s="20"/>
      <c r="E160" s="20" t="s">
        <v>24</v>
      </c>
      <c r="F160" s="21" t="s">
        <v>263</v>
      </c>
      <c r="G160" s="21"/>
      <c r="H160" s="21"/>
      <c r="I160" s="21"/>
      <c r="J160" s="21" t="s">
        <v>384</v>
      </c>
      <c r="K160" s="31"/>
      <c r="L160" s="21"/>
      <c r="M160" s="21"/>
      <c r="N160" s="21"/>
    </row>
    <row r="161" customFormat="1" ht="91" customHeight="1" spans="1:14">
      <c r="A161" t="str">
        <f t="shared" si="5"/>
        <v>9月7日上午</v>
      </c>
      <c r="B161" s="18"/>
      <c r="C161" s="23"/>
      <c r="D161" s="20"/>
      <c r="E161" s="20"/>
      <c r="F161" s="21" t="s">
        <v>263</v>
      </c>
      <c r="G161" s="21"/>
      <c r="H161" s="21"/>
      <c r="I161" s="21"/>
      <c r="J161" s="21" t="s">
        <v>385</v>
      </c>
      <c r="K161" s="21"/>
      <c r="L161" s="21"/>
      <c r="M161" s="21"/>
      <c r="N161" s="21"/>
    </row>
    <row r="162" customFormat="1" ht="91" customHeight="1" spans="1:14">
      <c r="A162" t="str">
        <f t="shared" si="5"/>
        <v>9月7日上午</v>
      </c>
      <c r="B162" s="18"/>
      <c r="C162" s="19"/>
      <c r="D162" s="20"/>
      <c r="E162" s="20"/>
      <c r="F162" s="21" t="s">
        <v>263</v>
      </c>
      <c r="G162" s="21"/>
      <c r="H162" s="21"/>
      <c r="I162" s="21"/>
      <c r="J162" s="21" t="s">
        <v>386</v>
      </c>
      <c r="K162" s="21"/>
      <c r="L162" s="21"/>
      <c r="M162" s="21"/>
      <c r="N162" s="21"/>
    </row>
    <row r="163" customFormat="1" ht="91" customHeight="1" spans="1:14">
      <c r="A163" t="str">
        <f t="shared" si="5"/>
        <v>9月7日上午</v>
      </c>
      <c r="B163" s="18"/>
      <c r="C163" s="23"/>
      <c r="D163" s="20"/>
      <c r="E163" s="20"/>
      <c r="F163" s="21" t="s">
        <v>263</v>
      </c>
      <c r="G163" s="21"/>
      <c r="H163" s="21"/>
      <c r="I163" s="21"/>
      <c r="J163" s="21"/>
      <c r="K163" s="21"/>
      <c r="L163" s="21" t="s">
        <v>387</v>
      </c>
      <c r="M163" s="21"/>
      <c r="N163" s="21"/>
    </row>
    <row r="164" customFormat="1" ht="91" customHeight="1" spans="1:14">
      <c r="A164" t="str">
        <f t="shared" si="5"/>
        <v>9月7日上午</v>
      </c>
      <c r="B164" s="18"/>
      <c r="C164" s="18"/>
      <c r="D164" s="20"/>
      <c r="E164" s="24"/>
      <c r="F164" s="21" t="s">
        <v>263</v>
      </c>
      <c r="G164" s="21"/>
      <c r="H164" s="21"/>
      <c r="I164" s="21"/>
      <c r="J164" s="21"/>
      <c r="K164" s="21"/>
      <c r="L164" s="21"/>
      <c r="M164" s="21"/>
      <c r="N164" s="21"/>
    </row>
    <row r="165" customFormat="1" ht="91" customHeight="1" spans="1:14">
      <c r="A165" t="str">
        <f t="shared" si="5"/>
        <v>9月7日上午</v>
      </c>
      <c r="B165" s="18"/>
      <c r="C165" s="18"/>
      <c r="D165" s="20"/>
      <c r="E165" s="20"/>
      <c r="F165" s="21" t="s">
        <v>263</v>
      </c>
      <c r="G165" s="21"/>
      <c r="H165" s="21"/>
      <c r="I165" s="21"/>
      <c r="J165" s="21"/>
      <c r="K165" s="21"/>
      <c r="L165" s="21"/>
      <c r="M165" s="21"/>
      <c r="N165" s="21"/>
    </row>
    <row r="166" spans="1:1">
      <c r="A166" t="str">
        <f t="shared" si="5"/>
        <v/>
      </c>
    </row>
    <row r="167" customFormat="1" spans="1:14">
      <c r="A167" t="str">
        <f t="shared" si="5"/>
        <v>SKU</v>
      </c>
      <c r="B167" s="11" t="s">
        <v>2</v>
      </c>
      <c r="C167" s="11" t="s">
        <v>342</v>
      </c>
      <c r="D167" s="11" t="s">
        <v>343</v>
      </c>
      <c r="E167" s="11" t="s">
        <v>344</v>
      </c>
      <c r="F167" s="11"/>
      <c r="G167" s="12" t="s">
        <v>345</v>
      </c>
      <c r="H167" s="13"/>
      <c r="I167" s="13"/>
      <c r="J167" s="13"/>
      <c r="K167" s="13"/>
      <c r="L167" s="13"/>
      <c r="M167" s="13"/>
      <c r="N167" s="30"/>
    </row>
    <row r="168" customFormat="1" spans="1:14">
      <c r="A168" t="str">
        <f t="shared" si="5"/>
        <v/>
      </c>
      <c r="B168" s="11"/>
      <c r="C168" s="11"/>
      <c r="D168" s="11"/>
      <c r="E168" s="11"/>
      <c r="F168" s="14"/>
      <c r="G168" s="12" t="s">
        <v>350</v>
      </c>
      <c r="H168" s="13"/>
      <c r="I168" s="12" t="s">
        <v>351</v>
      </c>
      <c r="J168" s="13"/>
      <c r="K168" s="12" t="s">
        <v>249</v>
      </c>
      <c r="L168" s="13"/>
      <c r="M168" s="17" t="s">
        <v>250</v>
      </c>
      <c r="N168" s="17"/>
    </row>
    <row r="169" customFormat="1" spans="1:14">
      <c r="A169" t="str">
        <f t="shared" si="5"/>
        <v>日期</v>
      </c>
      <c r="B169" s="15"/>
      <c r="C169" s="15"/>
      <c r="D169" s="15"/>
      <c r="E169" s="15"/>
      <c r="F169" s="16" t="s">
        <v>40</v>
      </c>
      <c r="G169" s="17" t="s">
        <v>251</v>
      </c>
      <c r="H169" s="17" t="s">
        <v>252</v>
      </c>
      <c r="I169" s="17" t="s">
        <v>251</v>
      </c>
      <c r="J169" s="17" t="s">
        <v>252</v>
      </c>
      <c r="K169" s="17" t="s">
        <v>251</v>
      </c>
      <c r="L169" s="17" t="s">
        <v>252</v>
      </c>
      <c r="M169" s="17" t="s">
        <v>251</v>
      </c>
      <c r="N169" s="17" t="s">
        <v>252</v>
      </c>
    </row>
    <row r="170" customFormat="1" ht="84" customHeight="1" spans="1:14">
      <c r="A170" t="str">
        <f t="shared" si="5"/>
        <v>XXXX-1119月7日晚上</v>
      </c>
      <c r="B170" s="18"/>
      <c r="C170" s="19"/>
      <c r="D170" s="20"/>
      <c r="E170" s="20" t="s">
        <v>23</v>
      </c>
      <c r="F170" s="21" t="s">
        <v>264</v>
      </c>
      <c r="G170" s="21"/>
      <c r="H170" s="21"/>
      <c r="I170" s="21"/>
      <c r="J170" s="21"/>
      <c r="K170" s="21"/>
      <c r="L170" s="21"/>
      <c r="M170" s="21"/>
      <c r="N170" s="21"/>
    </row>
    <row r="171" customFormat="1" ht="84" customHeight="1" spans="1:14">
      <c r="A171" t="str">
        <f t="shared" si="5"/>
        <v>XXXX-2229月7日晚上</v>
      </c>
      <c r="B171" s="18"/>
      <c r="C171" s="22"/>
      <c r="D171" s="20"/>
      <c r="E171" s="20" t="s">
        <v>24</v>
      </c>
      <c r="F171" s="21" t="s">
        <v>264</v>
      </c>
      <c r="G171" s="21"/>
      <c r="H171" s="21"/>
      <c r="I171" s="21"/>
      <c r="J171" s="21"/>
      <c r="K171" s="31"/>
      <c r="L171" s="21"/>
      <c r="M171" s="21"/>
      <c r="N171" s="21"/>
    </row>
    <row r="172" customFormat="1" ht="84" customHeight="1" spans="1:14">
      <c r="A172" t="str">
        <f t="shared" si="5"/>
        <v>9月7日晚上</v>
      </c>
      <c r="B172" s="18"/>
      <c r="C172" s="23"/>
      <c r="D172" s="20"/>
      <c r="E172" s="20"/>
      <c r="F172" s="21" t="s">
        <v>264</v>
      </c>
      <c r="G172" s="21"/>
      <c r="H172" s="21"/>
      <c r="I172" s="21"/>
      <c r="J172" s="21"/>
      <c r="K172" s="21"/>
      <c r="L172" s="21"/>
      <c r="M172" s="21"/>
      <c r="N172" s="21"/>
    </row>
    <row r="173" customFormat="1" ht="84" customHeight="1" spans="1:14">
      <c r="A173" t="str">
        <f t="shared" si="5"/>
        <v>9月7日晚上</v>
      </c>
      <c r="B173" s="18"/>
      <c r="C173" s="19"/>
      <c r="D173" s="20"/>
      <c r="E173" s="20"/>
      <c r="F173" s="21" t="s">
        <v>264</v>
      </c>
      <c r="G173" s="21"/>
      <c r="H173" s="21"/>
      <c r="I173" s="21"/>
      <c r="J173" s="21"/>
      <c r="K173" s="21"/>
      <c r="L173" s="21"/>
      <c r="M173" s="21"/>
      <c r="N173" s="21"/>
    </row>
    <row r="174" customFormat="1" ht="84" customHeight="1" spans="1:14">
      <c r="A174" t="str">
        <f t="shared" si="5"/>
        <v>9月7日晚上</v>
      </c>
      <c r="B174" s="18"/>
      <c r="C174" s="23"/>
      <c r="D174" s="20"/>
      <c r="E174" s="20"/>
      <c r="F174" s="21" t="s">
        <v>264</v>
      </c>
      <c r="G174" s="21"/>
      <c r="H174" s="21"/>
      <c r="I174" s="21"/>
      <c r="J174" s="21"/>
      <c r="K174" s="21"/>
      <c r="L174" s="21"/>
      <c r="M174" s="21"/>
      <c r="N174" s="21"/>
    </row>
    <row r="175" customFormat="1" ht="84" customHeight="1" spans="1:14">
      <c r="A175" t="str">
        <f t="shared" si="5"/>
        <v> 
9月7日晚上</v>
      </c>
      <c r="B175" s="18"/>
      <c r="C175" s="18"/>
      <c r="D175" s="20"/>
      <c r="E175" s="24" t="s">
        <v>368</v>
      </c>
      <c r="F175" s="21" t="s">
        <v>264</v>
      </c>
      <c r="G175" s="21"/>
      <c r="H175" s="21"/>
      <c r="I175" s="21"/>
      <c r="J175" s="21"/>
      <c r="K175" s="21"/>
      <c r="L175" s="21"/>
      <c r="M175" s="21"/>
      <c r="N175" s="21"/>
    </row>
    <row r="176" customFormat="1" ht="84" customHeight="1" spans="1:14">
      <c r="A176" t="str">
        <f t="shared" si="5"/>
        <v>9月7日晚上</v>
      </c>
      <c r="B176" s="18"/>
      <c r="C176" s="18"/>
      <c r="D176" s="20"/>
      <c r="E176" s="20"/>
      <c r="F176" s="21" t="s">
        <v>264</v>
      </c>
      <c r="G176" s="21"/>
      <c r="H176" s="21"/>
      <c r="I176" s="21"/>
      <c r="J176" s="21"/>
      <c r="K176" s="21"/>
      <c r="L176" s="21"/>
      <c r="M176" s="21"/>
      <c r="N176" s="21"/>
    </row>
    <row r="177" spans="1:1">
      <c r="A177" t="str">
        <f t="shared" si="5"/>
        <v/>
      </c>
    </row>
    <row r="178" customFormat="1" spans="1:14">
      <c r="A178" t="str">
        <f t="shared" si="5"/>
        <v>SKU</v>
      </c>
      <c r="B178" s="11" t="s">
        <v>2</v>
      </c>
      <c r="C178" s="11" t="s">
        <v>342</v>
      </c>
      <c r="D178" s="11" t="s">
        <v>343</v>
      </c>
      <c r="E178" s="11" t="s">
        <v>344</v>
      </c>
      <c r="F178" s="11"/>
      <c r="G178" s="12" t="s">
        <v>345</v>
      </c>
      <c r="H178" s="13"/>
      <c r="I178" s="13"/>
      <c r="J178" s="13"/>
      <c r="K178" s="13"/>
      <c r="L178" s="13"/>
      <c r="M178" s="13"/>
      <c r="N178" s="30"/>
    </row>
    <row r="179" customFormat="1" spans="1:14">
      <c r="A179" t="str">
        <f t="shared" si="5"/>
        <v/>
      </c>
      <c r="B179" s="11"/>
      <c r="C179" s="11"/>
      <c r="D179" s="11"/>
      <c r="E179" s="11"/>
      <c r="F179" s="14"/>
      <c r="G179" s="12" t="s">
        <v>247</v>
      </c>
      <c r="H179" s="13"/>
      <c r="I179" s="12" t="s">
        <v>248</v>
      </c>
      <c r="J179" s="13"/>
      <c r="K179" s="12" t="s">
        <v>249</v>
      </c>
      <c r="L179" s="13"/>
      <c r="M179" s="17" t="s">
        <v>250</v>
      </c>
      <c r="N179" s="17"/>
    </row>
    <row r="180" customFormat="1" spans="1:14">
      <c r="A180" t="str">
        <f t="shared" si="5"/>
        <v>日期</v>
      </c>
      <c r="B180" s="15"/>
      <c r="C180" s="15"/>
      <c r="D180" s="15"/>
      <c r="E180" s="15"/>
      <c r="F180" s="16" t="s">
        <v>40</v>
      </c>
      <c r="G180" s="17" t="s">
        <v>251</v>
      </c>
      <c r="H180" s="17" t="s">
        <v>252</v>
      </c>
      <c r="I180" s="17" t="s">
        <v>251</v>
      </c>
      <c r="J180" s="17" t="s">
        <v>252</v>
      </c>
      <c r="K180" s="17" t="s">
        <v>251</v>
      </c>
      <c r="L180" s="17" t="s">
        <v>252</v>
      </c>
      <c r="M180" s="17" t="s">
        <v>251</v>
      </c>
      <c r="N180" s="17" t="s">
        <v>252</v>
      </c>
    </row>
    <row r="181" customFormat="1" ht="90" customHeight="1" spans="1:14">
      <c r="A181" t="str">
        <f t="shared" si="5"/>
        <v>XXXX-1119月8日上午</v>
      </c>
      <c r="B181" s="18"/>
      <c r="C181" s="19"/>
      <c r="D181" s="20"/>
      <c r="E181" s="20" t="s">
        <v>23</v>
      </c>
      <c r="F181" s="21" t="s">
        <v>265</v>
      </c>
      <c r="G181" s="21"/>
      <c r="H181" s="21" t="s">
        <v>388</v>
      </c>
      <c r="I181" s="21"/>
      <c r="J181" s="21"/>
      <c r="K181" s="21"/>
      <c r="L181" s="21" t="s">
        <v>389</v>
      </c>
      <c r="M181" s="21"/>
      <c r="N181" s="21"/>
    </row>
    <row r="182" customFormat="1" ht="90" customHeight="1" spans="1:14">
      <c r="A182" t="str">
        <f t="shared" si="5"/>
        <v>XXXX-2229月8日上午</v>
      </c>
      <c r="B182" s="18"/>
      <c r="C182" s="22"/>
      <c r="D182" s="20"/>
      <c r="E182" s="20" t="s">
        <v>24</v>
      </c>
      <c r="F182" s="21" t="s">
        <v>265</v>
      </c>
      <c r="G182" s="21"/>
      <c r="H182" s="21"/>
      <c r="I182" s="21"/>
      <c r="J182" s="21" t="s">
        <v>390</v>
      </c>
      <c r="K182" s="31"/>
      <c r="L182" s="21"/>
      <c r="M182" s="21"/>
      <c r="N182" s="21"/>
    </row>
    <row r="183" customFormat="1" ht="90" customHeight="1" spans="1:14">
      <c r="A183" t="str">
        <f t="shared" si="5"/>
        <v>9月8日上午</v>
      </c>
      <c r="B183" s="18"/>
      <c r="C183" s="23"/>
      <c r="D183" s="20"/>
      <c r="E183" s="20"/>
      <c r="F183" s="21" t="s">
        <v>265</v>
      </c>
      <c r="G183" s="21"/>
      <c r="H183" s="21"/>
      <c r="I183" s="21"/>
      <c r="J183" s="21" t="s">
        <v>372</v>
      </c>
      <c r="K183" s="21"/>
      <c r="L183" s="21"/>
      <c r="M183" s="21"/>
      <c r="N183" s="21"/>
    </row>
    <row r="184" customFormat="1" ht="90" customHeight="1" spans="1:14">
      <c r="A184" t="str">
        <f t="shared" si="5"/>
        <v>9月8日上午</v>
      </c>
      <c r="B184" s="18"/>
      <c r="C184" s="19"/>
      <c r="D184" s="20"/>
      <c r="E184" s="20"/>
      <c r="F184" s="21" t="s">
        <v>265</v>
      </c>
      <c r="G184" s="21"/>
      <c r="H184" s="21"/>
      <c r="I184" s="21"/>
      <c r="J184" s="21" t="s">
        <v>391</v>
      </c>
      <c r="K184" s="21"/>
      <c r="L184" s="21"/>
      <c r="M184" s="21"/>
      <c r="N184" s="21"/>
    </row>
    <row r="185" customFormat="1" ht="90" customHeight="1" spans="1:14">
      <c r="A185" t="str">
        <f t="shared" si="5"/>
        <v>9月8日上午</v>
      </c>
      <c r="B185" s="18"/>
      <c r="C185" s="23"/>
      <c r="D185" s="20"/>
      <c r="E185" s="20"/>
      <c r="F185" s="21" t="s">
        <v>265</v>
      </c>
      <c r="G185" s="21"/>
      <c r="H185" s="21"/>
      <c r="I185" s="21"/>
      <c r="J185" s="21"/>
      <c r="K185" s="21"/>
      <c r="L185" s="21" t="s">
        <v>392</v>
      </c>
      <c r="M185" s="21"/>
      <c r="N185" s="21"/>
    </row>
    <row r="186" customFormat="1" ht="90" customHeight="1" spans="1:14">
      <c r="A186" t="str">
        <f t="shared" si="5"/>
        <v>9月8日上午</v>
      </c>
      <c r="B186" s="18"/>
      <c r="C186" s="18"/>
      <c r="D186" s="20"/>
      <c r="E186" s="24"/>
      <c r="F186" s="21" t="s">
        <v>265</v>
      </c>
      <c r="G186" s="21"/>
      <c r="H186" s="21"/>
      <c r="I186" s="21"/>
      <c r="J186" s="21"/>
      <c r="K186" s="21"/>
      <c r="L186" s="21"/>
      <c r="M186" s="21"/>
      <c r="N186" s="21"/>
    </row>
    <row r="187" customFormat="1" ht="90" customHeight="1" spans="1:14">
      <c r="A187" t="str">
        <f t="shared" si="5"/>
        <v>9月8日上午</v>
      </c>
      <c r="B187" s="18"/>
      <c r="C187" s="18"/>
      <c r="D187" s="20"/>
      <c r="E187" s="20"/>
      <c r="F187" s="21" t="s">
        <v>265</v>
      </c>
      <c r="G187" s="21"/>
      <c r="H187" s="21"/>
      <c r="I187" s="21"/>
      <c r="J187" s="21"/>
      <c r="K187" s="21"/>
      <c r="L187" s="21"/>
      <c r="M187" s="21"/>
      <c r="N187" s="21"/>
    </row>
    <row r="188" spans="1:1">
      <c r="A188" t="str">
        <f t="shared" si="5"/>
        <v/>
      </c>
    </row>
    <row r="189" customFormat="1" spans="1:14">
      <c r="A189" t="str">
        <f t="shared" si="5"/>
        <v>SKU</v>
      </c>
      <c r="B189" s="11" t="s">
        <v>2</v>
      </c>
      <c r="C189" s="11" t="s">
        <v>342</v>
      </c>
      <c r="D189" s="11" t="s">
        <v>343</v>
      </c>
      <c r="E189" s="11" t="s">
        <v>344</v>
      </c>
      <c r="F189" s="11"/>
      <c r="G189" s="12" t="s">
        <v>345</v>
      </c>
      <c r="H189" s="13"/>
      <c r="I189" s="13"/>
      <c r="J189" s="13"/>
      <c r="K189" s="13"/>
      <c r="L189" s="13"/>
      <c r="M189" s="13"/>
      <c r="N189" s="30"/>
    </row>
    <row r="190" customFormat="1" spans="1:14">
      <c r="A190" t="str">
        <f t="shared" si="5"/>
        <v/>
      </c>
      <c r="B190" s="11"/>
      <c r="C190" s="11"/>
      <c r="D190" s="11"/>
      <c r="E190" s="11"/>
      <c r="F190" s="14"/>
      <c r="G190" s="12" t="s">
        <v>350</v>
      </c>
      <c r="H190" s="13"/>
      <c r="I190" s="12" t="s">
        <v>351</v>
      </c>
      <c r="J190" s="13"/>
      <c r="K190" s="12" t="s">
        <v>249</v>
      </c>
      <c r="L190" s="13"/>
      <c r="M190" s="17" t="s">
        <v>250</v>
      </c>
      <c r="N190" s="17"/>
    </row>
    <row r="191" customFormat="1" spans="1:14">
      <c r="A191" t="str">
        <f t="shared" si="5"/>
        <v>日期</v>
      </c>
      <c r="B191" s="15"/>
      <c r="C191" s="15"/>
      <c r="D191" s="15"/>
      <c r="E191" s="15"/>
      <c r="F191" s="16" t="s">
        <v>40</v>
      </c>
      <c r="G191" s="17" t="s">
        <v>251</v>
      </c>
      <c r="H191" s="17" t="s">
        <v>252</v>
      </c>
      <c r="I191" s="17" t="s">
        <v>251</v>
      </c>
      <c r="J191" s="17" t="s">
        <v>252</v>
      </c>
      <c r="K191" s="17" t="s">
        <v>251</v>
      </c>
      <c r="L191" s="17" t="s">
        <v>252</v>
      </c>
      <c r="M191" s="17" t="s">
        <v>251</v>
      </c>
      <c r="N191" s="17" t="s">
        <v>252</v>
      </c>
    </row>
    <row r="192" customFormat="1" ht="88" customHeight="1" spans="1:14">
      <c r="A192" t="str">
        <f t="shared" si="5"/>
        <v>XXXX-1119月8日晚上</v>
      </c>
      <c r="B192" s="18"/>
      <c r="C192" s="19"/>
      <c r="D192" s="20"/>
      <c r="E192" s="20" t="s">
        <v>23</v>
      </c>
      <c r="F192" s="21" t="s">
        <v>266</v>
      </c>
      <c r="G192" s="21"/>
      <c r="H192" s="21"/>
      <c r="I192" s="21"/>
      <c r="J192" s="21"/>
      <c r="K192" s="21"/>
      <c r="L192" s="21"/>
      <c r="M192" s="21"/>
      <c r="N192" s="21"/>
    </row>
    <row r="193" customFormat="1" ht="88" customHeight="1" spans="1:14">
      <c r="A193" t="str">
        <f t="shared" si="5"/>
        <v>XXXX-2229月8日晚上</v>
      </c>
      <c r="B193" s="18"/>
      <c r="C193" s="22"/>
      <c r="D193" s="20"/>
      <c r="E193" s="20" t="s">
        <v>24</v>
      </c>
      <c r="F193" s="21" t="s">
        <v>266</v>
      </c>
      <c r="G193" s="21"/>
      <c r="H193" s="21"/>
      <c r="I193" s="21"/>
      <c r="J193" s="21"/>
      <c r="K193" s="31"/>
      <c r="L193" s="21"/>
      <c r="M193" s="21"/>
      <c r="N193" s="21"/>
    </row>
    <row r="194" customFormat="1" ht="88" customHeight="1" spans="1:14">
      <c r="A194" t="str">
        <f t="shared" si="5"/>
        <v>9月8日晚上</v>
      </c>
      <c r="B194" s="18"/>
      <c r="C194" s="23"/>
      <c r="D194" s="20"/>
      <c r="E194" s="20"/>
      <c r="F194" s="21" t="s">
        <v>266</v>
      </c>
      <c r="G194" s="21"/>
      <c r="H194" s="21"/>
      <c r="I194" s="21"/>
      <c r="J194" s="21"/>
      <c r="K194" s="21"/>
      <c r="L194" s="21"/>
      <c r="M194" s="21"/>
      <c r="N194" s="21"/>
    </row>
    <row r="195" customFormat="1" ht="88" customHeight="1" spans="1:14">
      <c r="A195" t="str">
        <f t="shared" si="5"/>
        <v>9月8日晚上</v>
      </c>
      <c r="B195" s="18"/>
      <c r="C195" s="19"/>
      <c r="D195" s="20"/>
      <c r="E195" s="20"/>
      <c r="F195" s="21" t="s">
        <v>266</v>
      </c>
      <c r="G195" s="21"/>
      <c r="H195" s="21"/>
      <c r="I195" s="21"/>
      <c r="J195" s="21"/>
      <c r="K195" s="21"/>
      <c r="L195" s="21"/>
      <c r="M195" s="21"/>
      <c r="N195" s="21"/>
    </row>
    <row r="196" customFormat="1" ht="88" customHeight="1" spans="1:14">
      <c r="A196" t="str">
        <f t="shared" si="5"/>
        <v>9月8日晚上</v>
      </c>
      <c r="B196" s="18"/>
      <c r="C196" s="23"/>
      <c r="D196" s="20"/>
      <c r="E196" s="20"/>
      <c r="F196" s="21" t="s">
        <v>266</v>
      </c>
      <c r="G196" s="21"/>
      <c r="H196" s="21"/>
      <c r="I196" s="21"/>
      <c r="J196" s="21"/>
      <c r="K196" s="21"/>
      <c r="L196" s="21"/>
      <c r="M196" s="21"/>
      <c r="N196" s="21"/>
    </row>
    <row r="197" customFormat="1" ht="88" customHeight="1" spans="1:14">
      <c r="A197" t="str">
        <f t="shared" si="5"/>
        <v> 
9月8日晚上</v>
      </c>
      <c r="B197" s="18"/>
      <c r="C197" s="18"/>
      <c r="D197" s="20"/>
      <c r="E197" s="24" t="s">
        <v>368</v>
      </c>
      <c r="F197" s="21" t="s">
        <v>266</v>
      </c>
      <c r="G197" s="21"/>
      <c r="H197" s="21"/>
      <c r="I197" s="21"/>
      <c r="J197" s="21"/>
      <c r="K197" s="21"/>
      <c r="L197" s="21"/>
      <c r="M197" s="21"/>
      <c r="N197" s="21"/>
    </row>
    <row r="198" customFormat="1" ht="88" customHeight="1" spans="1:14">
      <c r="A198" t="str">
        <f t="shared" si="5"/>
        <v>9月8日晚上</v>
      </c>
      <c r="B198" s="18"/>
      <c r="C198" s="18"/>
      <c r="D198" s="20"/>
      <c r="E198" s="20"/>
      <c r="F198" s="21" t="s">
        <v>266</v>
      </c>
      <c r="G198" s="21"/>
      <c r="H198" s="21"/>
      <c r="I198" s="21"/>
      <c r="J198" s="21"/>
      <c r="K198" s="21"/>
      <c r="L198" s="21"/>
      <c r="M198" s="21"/>
      <c r="N198" s="21"/>
    </row>
    <row r="199" spans="1:1">
      <c r="A199" t="str">
        <f t="shared" ref="A199:A220" si="6">E199&amp;F199</f>
        <v/>
      </c>
    </row>
    <row r="200" customFormat="1" spans="1:14">
      <c r="A200" t="str">
        <f t="shared" si="6"/>
        <v>SKU</v>
      </c>
      <c r="B200" s="11" t="s">
        <v>2</v>
      </c>
      <c r="C200" s="11" t="s">
        <v>342</v>
      </c>
      <c r="D200" s="11" t="s">
        <v>343</v>
      </c>
      <c r="E200" s="11" t="s">
        <v>344</v>
      </c>
      <c r="F200" s="11"/>
      <c r="G200" s="12" t="s">
        <v>345</v>
      </c>
      <c r="H200" s="13"/>
      <c r="I200" s="13"/>
      <c r="J200" s="13"/>
      <c r="K200" s="13"/>
      <c r="L200" s="13"/>
      <c r="M200" s="13"/>
      <c r="N200" s="30"/>
    </row>
    <row r="201" customFormat="1" spans="1:14">
      <c r="A201" t="str">
        <f t="shared" si="6"/>
        <v/>
      </c>
      <c r="B201" s="11"/>
      <c r="C201" s="11"/>
      <c r="D201" s="11"/>
      <c r="E201" s="11"/>
      <c r="F201" s="14"/>
      <c r="G201" s="12" t="s">
        <v>247</v>
      </c>
      <c r="H201" s="13"/>
      <c r="I201" s="12" t="s">
        <v>248</v>
      </c>
      <c r="J201" s="13"/>
      <c r="K201" s="12" t="s">
        <v>249</v>
      </c>
      <c r="L201" s="13"/>
      <c r="M201" s="17" t="s">
        <v>250</v>
      </c>
      <c r="N201" s="17"/>
    </row>
    <row r="202" customFormat="1" spans="1:14">
      <c r="A202" t="str">
        <f t="shared" si="6"/>
        <v>日期</v>
      </c>
      <c r="B202" s="15"/>
      <c r="C202" s="15"/>
      <c r="D202" s="15"/>
      <c r="E202" s="15"/>
      <c r="F202" s="16" t="s">
        <v>40</v>
      </c>
      <c r="G202" s="17" t="s">
        <v>251</v>
      </c>
      <c r="H202" s="17" t="s">
        <v>252</v>
      </c>
      <c r="I202" s="17" t="s">
        <v>251</v>
      </c>
      <c r="J202" s="17" t="s">
        <v>252</v>
      </c>
      <c r="K202" s="17" t="s">
        <v>251</v>
      </c>
      <c r="L202" s="17" t="s">
        <v>252</v>
      </c>
      <c r="M202" s="17" t="s">
        <v>251</v>
      </c>
      <c r="N202" s="17" t="s">
        <v>252</v>
      </c>
    </row>
    <row r="203" customFormat="1" ht="88" customHeight="1" spans="1:14">
      <c r="A203" t="str">
        <f t="shared" si="6"/>
        <v>XXXX-1119月9日上午</v>
      </c>
      <c r="B203" s="18"/>
      <c r="C203" s="19"/>
      <c r="D203" s="20"/>
      <c r="E203" s="20" t="s">
        <v>23</v>
      </c>
      <c r="F203" s="21" t="s">
        <v>267</v>
      </c>
      <c r="G203" s="21"/>
      <c r="H203" s="21" t="s">
        <v>393</v>
      </c>
      <c r="I203" s="21"/>
      <c r="J203" s="21"/>
      <c r="K203" s="21"/>
      <c r="L203" s="21" t="s">
        <v>389</v>
      </c>
      <c r="M203" s="21"/>
      <c r="N203" s="21"/>
    </row>
    <row r="204" customFormat="1" ht="88" customHeight="1" spans="1:14">
      <c r="A204" t="str">
        <f t="shared" si="6"/>
        <v>XXXX-2229月9日上午</v>
      </c>
      <c r="B204" s="18"/>
      <c r="C204" s="22"/>
      <c r="D204" s="20"/>
      <c r="E204" s="20" t="s">
        <v>24</v>
      </c>
      <c r="F204" s="21" t="s">
        <v>267</v>
      </c>
      <c r="G204" s="21"/>
      <c r="H204" s="21"/>
      <c r="I204" s="21"/>
      <c r="J204" s="21" t="s">
        <v>394</v>
      </c>
      <c r="K204" s="31"/>
      <c r="L204" s="21"/>
      <c r="M204" s="21"/>
      <c r="N204" s="21"/>
    </row>
    <row r="205" customFormat="1" ht="88" customHeight="1" spans="1:14">
      <c r="A205" t="str">
        <f t="shared" si="6"/>
        <v>9月9日上午</v>
      </c>
      <c r="B205" s="18"/>
      <c r="C205" s="23"/>
      <c r="D205" s="20"/>
      <c r="E205" s="20"/>
      <c r="F205" s="21" t="s">
        <v>267</v>
      </c>
      <c r="G205" s="21"/>
      <c r="H205" s="21"/>
      <c r="I205" s="21"/>
      <c r="J205" s="21" t="s">
        <v>395</v>
      </c>
      <c r="K205" s="21"/>
      <c r="L205" s="21"/>
      <c r="M205" s="21"/>
      <c r="N205" s="21"/>
    </row>
    <row r="206" customFormat="1" ht="88" customHeight="1" spans="1:14">
      <c r="A206" t="str">
        <f t="shared" si="6"/>
        <v>9月9日上午</v>
      </c>
      <c r="B206" s="18"/>
      <c r="C206" s="19"/>
      <c r="D206" s="20"/>
      <c r="E206" s="20"/>
      <c r="F206" s="21" t="s">
        <v>267</v>
      </c>
      <c r="G206" s="21"/>
      <c r="H206" s="21"/>
      <c r="I206" s="21"/>
      <c r="J206" s="21" t="s">
        <v>396</v>
      </c>
      <c r="K206" s="21"/>
      <c r="L206" s="21"/>
      <c r="M206" s="21"/>
      <c r="N206" s="21"/>
    </row>
    <row r="207" customFormat="1" ht="88" customHeight="1" spans="1:14">
      <c r="A207" t="str">
        <f t="shared" si="6"/>
        <v>9月9日上午</v>
      </c>
      <c r="B207" s="18"/>
      <c r="C207" s="23"/>
      <c r="D207" s="20"/>
      <c r="E207" s="20"/>
      <c r="F207" s="21" t="s">
        <v>267</v>
      </c>
      <c r="G207" s="21"/>
      <c r="H207" s="21"/>
      <c r="I207" s="21"/>
      <c r="J207" s="21"/>
      <c r="K207" s="21"/>
      <c r="L207" s="21" t="s">
        <v>397</v>
      </c>
      <c r="M207" s="21"/>
      <c r="N207" s="21"/>
    </row>
    <row r="208" customFormat="1" ht="88" customHeight="1" spans="1:14">
      <c r="A208" t="str">
        <f t="shared" si="6"/>
        <v>9月9日上午</v>
      </c>
      <c r="B208" s="18"/>
      <c r="C208" s="18"/>
      <c r="D208" s="20"/>
      <c r="E208" s="24"/>
      <c r="F208" s="21" t="s">
        <v>267</v>
      </c>
      <c r="G208" s="21"/>
      <c r="H208" s="21"/>
      <c r="I208" s="21"/>
      <c r="J208" s="21"/>
      <c r="K208" s="21"/>
      <c r="L208" s="21"/>
      <c r="M208" s="21"/>
      <c r="N208" s="21"/>
    </row>
    <row r="209" customFormat="1" ht="88" customHeight="1" spans="1:14">
      <c r="A209" t="str">
        <f t="shared" si="6"/>
        <v>9月9日上午</v>
      </c>
      <c r="B209" s="18"/>
      <c r="C209" s="18"/>
      <c r="D209" s="20"/>
      <c r="E209" s="20"/>
      <c r="F209" s="21" t="s">
        <v>267</v>
      </c>
      <c r="G209" s="21"/>
      <c r="H209" s="21"/>
      <c r="I209" s="21"/>
      <c r="J209" s="21"/>
      <c r="K209" s="21"/>
      <c r="L209" s="21"/>
      <c r="M209" s="21"/>
      <c r="N209" s="21" t="s">
        <v>398</v>
      </c>
    </row>
    <row r="210" spans="1:1">
      <c r="A210" t="str">
        <f t="shared" si="6"/>
        <v/>
      </c>
    </row>
    <row r="211" customFormat="1" spans="1:14">
      <c r="A211" t="str">
        <f t="shared" si="6"/>
        <v>SKU</v>
      </c>
      <c r="B211" s="11" t="s">
        <v>2</v>
      </c>
      <c r="C211" s="11" t="s">
        <v>342</v>
      </c>
      <c r="D211" s="11" t="s">
        <v>343</v>
      </c>
      <c r="E211" s="11" t="s">
        <v>344</v>
      </c>
      <c r="F211" s="11"/>
      <c r="G211" s="12" t="s">
        <v>345</v>
      </c>
      <c r="H211" s="13"/>
      <c r="I211" s="13"/>
      <c r="J211" s="13"/>
      <c r="K211" s="13"/>
      <c r="L211" s="13"/>
      <c r="M211" s="13"/>
      <c r="N211" s="30"/>
    </row>
    <row r="212" customFormat="1" spans="1:14">
      <c r="A212" t="str">
        <f t="shared" si="6"/>
        <v/>
      </c>
      <c r="B212" s="11"/>
      <c r="C212" s="11"/>
      <c r="D212" s="11"/>
      <c r="E212" s="11"/>
      <c r="F212" s="14"/>
      <c r="G212" s="12" t="s">
        <v>247</v>
      </c>
      <c r="H212" s="13"/>
      <c r="I212" s="12" t="s">
        <v>351</v>
      </c>
      <c r="J212" s="13"/>
      <c r="K212" s="12" t="s">
        <v>249</v>
      </c>
      <c r="L212" s="13"/>
      <c r="M212" s="17" t="s">
        <v>250</v>
      </c>
      <c r="N212" s="17"/>
    </row>
    <row r="213" customFormat="1" spans="1:14">
      <c r="A213" t="str">
        <f t="shared" si="6"/>
        <v>日期</v>
      </c>
      <c r="B213" s="15"/>
      <c r="C213" s="15"/>
      <c r="D213" s="15"/>
      <c r="E213" s="15"/>
      <c r="F213" s="16" t="s">
        <v>40</v>
      </c>
      <c r="G213" s="17" t="s">
        <v>251</v>
      </c>
      <c r="H213" s="17" t="s">
        <v>252</v>
      </c>
      <c r="I213" s="17" t="s">
        <v>251</v>
      </c>
      <c r="J213" s="17" t="s">
        <v>252</v>
      </c>
      <c r="K213" s="17" t="s">
        <v>251</v>
      </c>
      <c r="L213" s="17" t="s">
        <v>252</v>
      </c>
      <c r="M213" s="17" t="s">
        <v>251</v>
      </c>
      <c r="N213" s="17" t="s">
        <v>252</v>
      </c>
    </row>
    <row r="214" customFormat="1" ht="83" customHeight="1" spans="1:14">
      <c r="A214" t="str">
        <f t="shared" si="6"/>
        <v>XXXX-1119月9日晚上</v>
      </c>
      <c r="B214" s="18"/>
      <c r="C214" s="19"/>
      <c r="D214" s="20"/>
      <c r="E214" s="20" t="s">
        <v>23</v>
      </c>
      <c r="F214" s="21" t="s">
        <v>268</v>
      </c>
      <c r="G214" s="21"/>
      <c r="H214" s="21" t="s">
        <v>399</v>
      </c>
      <c r="I214" s="21"/>
      <c r="J214" s="21"/>
      <c r="K214" s="21" t="s">
        <v>400</v>
      </c>
      <c r="L214" s="21" t="s">
        <v>401</v>
      </c>
      <c r="M214" s="21"/>
      <c r="N214" s="21"/>
    </row>
    <row r="215" customFormat="1" ht="83" customHeight="1" spans="1:14">
      <c r="A215" t="str">
        <f t="shared" si="6"/>
        <v>XXXX-2229月9日晚上</v>
      </c>
      <c r="B215" s="18"/>
      <c r="C215" s="22"/>
      <c r="D215" s="20"/>
      <c r="E215" s="20" t="s">
        <v>24</v>
      </c>
      <c r="F215" s="21" t="s">
        <v>268</v>
      </c>
      <c r="G215" s="21"/>
      <c r="H215" s="21"/>
      <c r="I215" s="21"/>
      <c r="J215" s="21" t="s">
        <v>402</v>
      </c>
      <c r="K215" s="31"/>
      <c r="L215" s="21"/>
      <c r="M215" s="21"/>
      <c r="N215" s="21"/>
    </row>
    <row r="216" customFormat="1" ht="83" customHeight="1" spans="1:14">
      <c r="A216" t="str">
        <f t="shared" si="6"/>
        <v>9月9日晚上</v>
      </c>
      <c r="B216" s="18"/>
      <c r="C216" s="23"/>
      <c r="D216" s="20"/>
      <c r="E216" s="20"/>
      <c r="F216" s="21" t="s">
        <v>268</v>
      </c>
      <c r="G216" s="21"/>
      <c r="I216" s="21"/>
      <c r="J216" s="21" t="s">
        <v>403</v>
      </c>
      <c r="K216" s="21" t="s">
        <v>404</v>
      </c>
      <c r="L216" s="21"/>
      <c r="M216" s="21"/>
      <c r="N216" s="21"/>
    </row>
    <row r="217" customFormat="1" ht="83" customHeight="1" spans="1:14">
      <c r="A217" t="str">
        <f t="shared" si="6"/>
        <v>9月9日晚上</v>
      </c>
      <c r="B217" s="18"/>
      <c r="C217" s="19"/>
      <c r="D217" s="20"/>
      <c r="E217" s="20"/>
      <c r="F217" s="21" t="s">
        <v>268</v>
      </c>
      <c r="G217" s="21"/>
      <c r="H217" s="21"/>
      <c r="I217" s="21"/>
      <c r="J217" s="21"/>
      <c r="K217" s="21"/>
      <c r="L217" s="21"/>
      <c r="M217" s="21"/>
      <c r="N217" s="21"/>
    </row>
    <row r="218" customFormat="1" ht="83" customHeight="1" spans="1:14">
      <c r="A218" t="str">
        <f t="shared" si="6"/>
        <v>9月9日晚上</v>
      </c>
      <c r="B218" s="18"/>
      <c r="C218" s="23"/>
      <c r="D218" s="20"/>
      <c r="E218" s="20"/>
      <c r="F218" s="21" t="s">
        <v>268</v>
      </c>
      <c r="G218" s="21"/>
      <c r="H218" s="21"/>
      <c r="I218" s="21"/>
      <c r="J218" s="21"/>
      <c r="L218" s="21" t="s">
        <v>405</v>
      </c>
      <c r="M218" s="21"/>
      <c r="N218" s="21"/>
    </row>
    <row r="219" customFormat="1" ht="83" customHeight="1" spans="1:14">
      <c r="A219" t="str">
        <f t="shared" si="6"/>
        <v>9月9日晚上</v>
      </c>
      <c r="B219" s="18"/>
      <c r="C219" s="18"/>
      <c r="D219" s="20"/>
      <c r="E219" s="24"/>
      <c r="F219" s="21" t="s">
        <v>268</v>
      </c>
      <c r="G219" s="21"/>
      <c r="H219" s="21"/>
      <c r="I219" s="21"/>
      <c r="J219" s="21"/>
      <c r="K219" s="21"/>
      <c r="L219" s="21"/>
      <c r="M219" s="21"/>
      <c r="N219" s="21"/>
    </row>
    <row r="220" customFormat="1" ht="97" customHeight="1" spans="1:14">
      <c r="A220" t="str">
        <f t="shared" si="6"/>
        <v>9月9日晚上</v>
      </c>
      <c r="B220" s="18"/>
      <c r="C220" s="18"/>
      <c r="D220" s="20"/>
      <c r="E220" s="20"/>
      <c r="F220" s="21" t="s">
        <v>268</v>
      </c>
      <c r="G220" s="21"/>
      <c r="H220" s="21"/>
      <c r="I220" s="21"/>
      <c r="J220" s="21"/>
      <c r="K220" s="21"/>
      <c r="L220" s="21"/>
      <c r="M220" s="21"/>
      <c r="N220" s="21"/>
    </row>
    <row r="221" spans="1:1">
      <c r="A221" t="str">
        <f t="shared" ref="A221:A252" si="7">E221&amp;F221</f>
        <v/>
      </c>
    </row>
    <row r="222" customFormat="1" spans="1:14">
      <c r="A222" t="str">
        <f t="shared" si="7"/>
        <v>SKU</v>
      </c>
      <c r="B222" s="11" t="s">
        <v>2</v>
      </c>
      <c r="C222" s="11" t="s">
        <v>342</v>
      </c>
      <c r="D222" s="11" t="s">
        <v>343</v>
      </c>
      <c r="E222" s="11" t="s">
        <v>344</v>
      </c>
      <c r="F222" s="11"/>
      <c r="G222" s="12" t="s">
        <v>345</v>
      </c>
      <c r="H222" s="13"/>
      <c r="I222" s="13"/>
      <c r="J222" s="13"/>
      <c r="K222" s="13"/>
      <c r="L222" s="13"/>
      <c r="M222" s="13"/>
      <c r="N222" s="30"/>
    </row>
    <row r="223" customFormat="1" spans="1:14">
      <c r="A223" t="str">
        <f t="shared" si="7"/>
        <v/>
      </c>
      <c r="B223" s="11"/>
      <c r="C223" s="11"/>
      <c r="D223" s="11"/>
      <c r="E223" s="11"/>
      <c r="F223" s="14"/>
      <c r="G223" s="12" t="s">
        <v>247</v>
      </c>
      <c r="H223" s="13"/>
      <c r="I223" s="12" t="s">
        <v>248</v>
      </c>
      <c r="J223" s="13"/>
      <c r="K223" s="12" t="s">
        <v>249</v>
      </c>
      <c r="L223" s="13"/>
      <c r="M223" s="17" t="s">
        <v>250</v>
      </c>
      <c r="N223" s="17"/>
    </row>
    <row r="224" customFormat="1" spans="1:14">
      <c r="A224" t="str">
        <f t="shared" si="7"/>
        <v>日期</v>
      </c>
      <c r="B224" s="15"/>
      <c r="C224" s="15"/>
      <c r="D224" s="15"/>
      <c r="E224" s="15"/>
      <c r="F224" s="16" t="s">
        <v>40</v>
      </c>
      <c r="G224" s="17" t="s">
        <v>251</v>
      </c>
      <c r="H224" s="17" t="s">
        <v>252</v>
      </c>
      <c r="I224" s="17" t="s">
        <v>251</v>
      </c>
      <c r="J224" s="17" t="s">
        <v>252</v>
      </c>
      <c r="K224" s="17" t="s">
        <v>251</v>
      </c>
      <c r="L224" s="17" t="s">
        <v>252</v>
      </c>
      <c r="M224" s="17" t="s">
        <v>251</v>
      </c>
      <c r="N224" s="17" t="s">
        <v>252</v>
      </c>
    </row>
    <row r="225" customFormat="1" ht="90" customHeight="1" spans="1:14">
      <c r="A225" t="str">
        <f t="shared" si="7"/>
        <v>XXXX-1119月12日上午</v>
      </c>
      <c r="B225" s="18"/>
      <c r="C225" s="19"/>
      <c r="D225" s="20"/>
      <c r="E225" s="20" t="s">
        <v>23</v>
      </c>
      <c r="F225" s="21" t="s">
        <v>273</v>
      </c>
      <c r="G225" s="21"/>
      <c r="H225" s="21" t="s">
        <v>406</v>
      </c>
      <c r="I225" s="21"/>
      <c r="J225" s="21"/>
      <c r="K225" s="21"/>
      <c r="L225" s="21" t="s">
        <v>407</v>
      </c>
      <c r="M225" s="21"/>
      <c r="N225" s="21"/>
    </row>
    <row r="226" customFormat="1" ht="90" customHeight="1" spans="1:14">
      <c r="A226" t="str">
        <f t="shared" si="7"/>
        <v>XXXX-2229月12日上午</v>
      </c>
      <c r="B226" s="18"/>
      <c r="C226" s="22"/>
      <c r="D226" s="20"/>
      <c r="E226" s="20" t="s">
        <v>24</v>
      </c>
      <c r="F226" s="21" t="s">
        <v>273</v>
      </c>
      <c r="G226" s="21"/>
      <c r="H226" s="21"/>
      <c r="I226" s="21"/>
      <c r="J226" s="21" t="s">
        <v>408</v>
      </c>
      <c r="K226" s="31"/>
      <c r="L226" s="21"/>
      <c r="M226" s="21"/>
      <c r="N226" s="21"/>
    </row>
    <row r="227" customFormat="1" ht="90" customHeight="1" spans="1:14">
      <c r="A227" t="str">
        <f t="shared" si="7"/>
        <v>9月12日上午</v>
      </c>
      <c r="B227" s="18"/>
      <c r="C227" s="23"/>
      <c r="D227" s="20"/>
      <c r="E227" s="20"/>
      <c r="F227" s="21" t="s">
        <v>273</v>
      </c>
      <c r="G227" s="21"/>
      <c r="H227" s="21"/>
      <c r="I227" s="21"/>
      <c r="J227" s="21" t="s">
        <v>409</v>
      </c>
      <c r="K227" s="21"/>
      <c r="L227" s="21"/>
      <c r="M227" s="21"/>
      <c r="N227" s="21"/>
    </row>
    <row r="228" customFormat="1" ht="90" customHeight="1" spans="1:14">
      <c r="A228" t="str">
        <f t="shared" si="7"/>
        <v>9月12日上午</v>
      </c>
      <c r="B228" s="18"/>
      <c r="C228" s="19"/>
      <c r="D228" s="20"/>
      <c r="E228" s="20"/>
      <c r="F228" s="21" t="s">
        <v>273</v>
      </c>
      <c r="G228" s="21"/>
      <c r="H228" s="21"/>
      <c r="I228" s="21"/>
      <c r="J228" s="21"/>
      <c r="K228" s="21"/>
      <c r="L228" s="21"/>
      <c r="M228" s="21"/>
      <c r="N228" s="21"/>
    </row>
    <row r="229" customFormat="1" ht="90" customHeight="1" spans="1:14">
      <c r="A229" t="str">
        <f t="shared" si="7"/>
        <v>9月12日上午</v>
      </c>
      <c r="B229" s="18"/>
      <c r="C229" s="23"/>
      <c r="D229" s="20"/>
      <c r="E229" s="20"/>
      <c r="F229" s="21" t="s">
        <v>273</v>
      </c>
      <c r="G229" s="21"/>
      <c r="H229" s="21"/>
      <c r="I229" s="21"/>
      <c r="J229" s="21"/>
      <c r="K229" s="21"/>
      <c r="L229" s="21"/>
      <c r="M229" s="21"/>
      <c r="N229" s="21"/>
    </row>
    <row r="230" customFormat="1" ht="90" customHeight="1" spans="1:14">
      <c r="A230" t="str">
        <f t="shared" si="7"/>
        <v>9月12日上午</v>
      </c>
      <c r="B230" s="18"/>
      <c r="C230" s="18"/>
      <c r="D230" s="20"/>
      <c r="E230" s="24"/>
      <c r="F230" s="21" t="s">
        <v>273</v>
      </c>
      <c r="G230" s="21"/>
      <c r="H230" s="21"/>
      <c r="I230" s="21"/>
      <c r="J230" s="21"/>
      <c r="K230" s="21"/>
      <c r="L230" s="21"/>
      <c r="M230" s="21"/>
      <c r="N230" s="21"/>
    </row>
    <row r="231" customFormat="1" ht="90" customHeight="1" spans="1:14">
      <c r="A231" t="str">
        <f t="shared" si="7"/>
        <v>9月12日上午</v>
      </c>
      <c r="B231" s="18"/>
      <c r="C231" s="18"/>
      <c r="D231" s="20"/>
      <c r="E231" s="20"/>
      <c r="F231" s="21" t="s">
        <v>273</v>
      </c>
      <c r="G231" s="21"/>
      <c r="H231" s="21" t="s">
        <v>410</v>
      </c>
      <c r="I231" s="21"/>
      <c r="J231" s="21"/>
      <c r="K231" s="21"/>
      <c r="L231" s="21"/>
      <c r="M231" s="21"/>
      <c r="N231" s="21" t="s">
        <v>411</v>
      </c>
    </row>
    <row r="232" spans="1:1">
      <c r="A232" t="str">
        <f t="shared" si="7"/>
        <v/>
      </c>
    </row>
    <row r="233" customFormat="1" spans="1:14">
      <c r="A233" t="str">
        <f t="shared" si="7"/>
        <v>SKU</v>
      </c>
      <c r="B233" s="11" t="s">
        <v>2</v>
      </c>
      <c r="C233" s="11" t="s">
        <v>342</v>
      </c>
      <c r="D233" s="11" t="s">
        <v>343</v>
      </c>
      <c r="E233" s="11" t="s">
        <v>344</v>
      </c>
      <c r="F233" s="11"/>
      <c r="G233" s="12" t="s">
        <v>345</v>
      </c>
      <c r="H233" s="13"/>
      <c r="I233" s="13"/>
      <c r="J233" s="13"/>
      <c r="K233" s="13"/>
      <c r="L233" s="13"/>
      <c r="M233" s="13"/>
      <c r="N233" s="30"/>
    </row>
    <row r="234" customFormat="1" spans="1:14">
      <c r="A234" t="str">
        <f t="shared" si="7"/>
        <v/>
      </c>
      <c r="B234" s="11"/>
      <c r="C234" s="11"/>
      <c r="D234" s="11"/>
      <c r="E234" s="11"/>
      <c r="F234" s="14"/>
      <c r="G234" s="12" t="s">
        <v>247</v>
      </c>
      <c r="H234" s="13"/>
      <c r="I234" s="12" t="s">
        <v>351</v>
      </c>
      <c r="J234" s="13"/>
      <c r="K234" s="12" t="s">
        <v>249</v>
      </c>
      <c r="L234" s="13"/>
      <c r="M234" s="17" t="s">
        <v>250</v>
      </c>
      <c r="N234" s="17"/>
    </row>
    <row r="235" customFormat="1" spans="1:14">
      <c r="A235" t="str">
        <f t="shared" si="7"/>
        <v>日期</v>
      </c>
      <c r="B235" s="15"/>
      <c r="C235" s="15"/>
      <c r="D235" s="15"/>
      <c r="E235" s="15"/>
      <c r="F235" s="16" t="s">
        <v>40</v>
      </c>
      <c r="G235" s="17" t="s">
        <v>251</v>
      </c>
      <c r="H235" s="17" t="s">
        <v>252</v>
      </c>
      <c r="I235" s="17" t="s">
        <v>251</v>
      </c>
      <c r="J235" s="17" t="s">
        <v>252</v>
      </c>
      <c r="K235" s="17" t="s">
        <v>251</v>
      </c>
      <c r="L235" s="17" t="s">
        <v>252</v>
      </c>
      <c r="M235" s="17" t="s">
        <v>251</v>
      </c>
      <c r="N235" s="17" t="s">
        <v>252</v>
      </c>
    </row>
    <row r="236" customFormat="1" ht="83" customHeight="1" spans="1:14">
      <c r="A236" t="str">
        <f t="shared" si="7"/>
        <v>XXXX-1119月12日晚上</v>
      </c>
      <c r="B236" s="18"/>
      <c r="C236" s="19"/>
      <c r="D236" s="20"/>
      <c r="E236" s="20" t="s">
        <v>23</v>
      </c>
      <c r="F236" s="21" t="s">
        <v>274</v>
      </c>
      <c r="G236" s="21"/>
      <c r="H236" s="21" t="s">
        <v>412</v>
      </c>
      <c r="I236" s="21"/>
      <c r="J236" s="21"/>
      <c r="K236" s="21" t="s">
        <v>413</v>
      </c>
      <c r="L236" s="21" t="s">
        <v>414</v>
      </c>
      <c r="M236" s="21"/>
      <c r="N236" s="21"/>
    </row>
    <row r="237" customFormat="1" ht="83" customHeight="1" spans="1:14">
      <c r="A237" t="str">
        <f t="shared" si="7"/>
        <v>XXXX-2229月12日晚上</v>
      </c>
      <c r="B237" s="18"/>
      <c r="C237" s="22"/>
      <c r="D237" s="20"/>
      <c r="E237" s="20" t="s">
        <v>24</v>
      </c>
      <c r="F237" s="21" t="s">
        <v>274</v>
      </c>
      <c r="G237" s="21"/>
      <c r="H237" s="21"/>
      <c r="I237" s="21"/>
      <c r="J237" s="21"/>
      <c r="K237" s="31"/>
      <c r="L237" s="21"/>
      <c r="M237" s="21"/>
      <c r="N237" s="21"/>
    </row>
    <row r="238" customFormat="1" ht="83" customHeight="1" spans="1:14">
      <c r="A238" t="str">
        <f t="shared" si="7"/>
        <v>9月12日晚上</v>
      </c>
      <c r="B238" s="18"/>
      <c r="C238" s="23"/>
      <c r="D238" s="20"/>
      <c r="E238" s="20"/>
      <c r="F238" s="21" t="s">
        <v>274</v>
      </c>
      <c r="G238" s="21"/>
      <c r="I238" s="21"/>
      <c r="J238" s="21" t="s">
        <v>361</v>
      </c>
      <c r="K238" s="21" t="s">
        <v>415</v>
      </c>
      <c r="L238" s="21" t="s">
        <v>416</v>
      </c>
      <c r="M238" s="21"/>
      <c r="N238" s="21"/>
    </row>
    <row r="239" customFormat="1" ht="83" customHeight="1" spans="1:14">
      <c r="A239" t="str">
        <f t="shared" si="7"/>
        <v>9月12日晚上</v>
      </c>
      <c r="B239" s="18"/>
      <c r="C239" s="19"/>
      <c r="D239" s="20"/>
      <c r="E239" s="20"/>
      <c r="F239" s="21" t="s">
        <v>274</v>
      </c>
      <c r="G239" s="21"/>
      <c r="H239" s="21"/>
      <c r="I239" s="21"/>
      <c r="J239" s="21"/>
      <c r="K239" s="21"/>
      <c r="L239" s="21"/>
      <c r="M239" s="21"/>
      <c r="N239" s="21"/>
    </row>
    <row r="240" customFormat="1" ht="83" customHeight="1" spans="1:14">
      <c r="A240" t="str">
        <f t="shared" si="7"/>
        <v>9月12日晚上</v>
      </c>
      <c r="B240" s="18"/>
      <c r="C240" s="23"/>
      <c r="D240" s="20"/>
      <c r="E240" s="20"/>
      <c r="F240" s="21" t="s">
        <v>274</v>
      </c>
      <c r="G240" s="21"/>
      <c r="H240" s="21"/>
      <c r="I240" s="21"/>
      <c r="J240" s="21"/>
      <c r="L240" s="21" t="s">
        <v>386</v>
      </c>
      <c r="M240" s="21"/>
      <c r="N240" s="21"/>
    </row>
    <row r="241" customFormat="1" ht="83" customHeight="1" spans="1:14">
      <c r="A241" t="str">
        <f t="shared" si="7"/>
        <v> 
9月12日晚上</v>
      </c>
      <c r="B241" s="18"/>
      <c r="C241" s="18"/>
      <c r="D241" s="20"/>
      <c r="E241" s="24" t="s">
        <v>368</v>
      </c>
      <c r="F241" s="21" t="s">
        <v>274</v>
      </c>
      <c r="G241" s="21"/>
      <c r="H241" s="21"/>
      <c r="I241" s="21"/>
      <c r="J241" s="21"/>
      <c r="K241" s="21"/>
      <c r="L241" s="21"/>
      <c r="M241" s="21"/>
      <c r="N241" s="21"/>
    </row>
    <row r="242" customFormat="1" ht="83" customHeight="1" spans="1:14">
      <c r="A242" t="str">
        <f t="shared" si="7"/>
        <v>9月12日晚上</v>
      </c>
      <c r="B242" s="18"/>
      <c r="C242" s="18"/>
      <c r="D242" s="20"/>
      <c r="E242" s="20"/>
      <c r="F242" s="21" t="s">
        <v>274</v>
      </c>
      <c r="G242" s="21"/>
      <c r="H242" s="21" t="s">
        <v>359</v>
      </c>
      <c r="I242" s="21"/>
      <c r="J242" s="21"/>
      <c r="K242" s="21"/>
      <c r="L242" s="21"/>
      <c r="M242" s="21" t="s">
        <v>417</v>
      </c>
      <c r="N242" s="21" t="s">
        <v>394</v>
      </c>
    </row>
    <row r="243" spans="1:1">
      <c r="A243" t="str">
        <f t="shared" si="7"/>
        <v/>
      </c>
    </row>
    <row r="244" customFormat="1" spans="1:14">
      <c r="A244" t="str">
        <f t="shared" si="7"/>
        <v>SKU</v>
      </c>
      <c r="B244" s="11" t="s">
        <v>2</v>
      </c>
      <c r="C244" s="11" t="s">
        <v>342</v>
      </c>
      <c r="D244" s="11" t="s">
        <v>343</v>
      </c>
      <c r="E244" s="11" t="s">
        <v>344</v>
      </c>
      <c r="F244" s="11"/>
      <c r="G244" s="12" t="s">
        <v>345</v>
      </c>
      <c r="H244" s="13"/>
      <c r="I244" s="13"/>
      <c r="J244" s="13"/>
      <c r="K244" s="13"/>
      <c r="L244" s="13"/>
      <c r="M244" s="13"/>
      <c r="N244" s="30"/>
    </row>
    <row r="245" customFormat="1" spans="1:14">
      <c r="A245" t="str">
        <f t="shared" si="7"/>
        <v/>
      </c>
      <c r="B245" s="11"/>
      <c r="C245" s="11"/>
      <c r="D245" s="11"/>
      <c r="E245" s="11"/>
      <c r="F245" s="14"/>
      <c r="G245" s="12" t="s">
        <v>247</v>
      </c>
      <c r="H245" s="13"/>
      <c r="I245" s="12" t="s">
        <v>248</v>
      </c>
      <c r="J245" s="13"/>
      <c r="K245" s="12" t="s">
        <v>249</v>
      </c>
      <c r="L245" s="13"/>
      <c r="M245" s="17" t="s">
        <v>250</v>
      </c>
      <c r="N245" s="17"/>
    </row>
    <row r="246" customFormat="1" spans="1:14">
      <c r="A246" t="str">
        <f t="shared" si="7"/>
        <v>日期</v>
      </c>
      <c r="B246" s="15"/>
      <c r="C246" s="15"/>
      <c r="D246" s="15"/>
      <c r="E246" s="15"/>
      <c r="F246" s="16" t="s">
        <v>40</v>
      </c>
      <c r="G246" s="17" t="s">
        <v>251</v>
      </c>
      <c r="H246" s="17" t="s">
        <v>252</v>
      </c>
      <c r="I246" s="17" t="s">
        <v>251</v>
      </c>
      <c r="J246" s="17" t="s">
        <v>252</v>
      </c>
      <c r="K246" s="17" t="s">
        <v>251</v>
      </c>
      <c r="L246" s="17" t="s">
        <v>252</v>
      </c>
      <c r="M246" s="17" t="s">
        <v>251</v>
      </c>
      <c r="N246" s="17" t="s">
        <v>252</v>
      </c>
    </row>
    <row r="247" customFormat="1" ht="90" customHeight="1" spans="1:14">
      <c r="A247" t="str">
        <f t="shared" si="7"/>
        <v>XXXX-1119月13日上午</v>
      </c>
      <c r="B247" s="18"/>
      <c r="C247" s="19"/>
      <c r="D247" s="20"/>
      <c r="E247" s="20" t="s">
        <v>23</v>
      </c>
      <c r="F247" s="21" t="s">
        <v>275</v>
      </c>
      <c r="G247" s="21"/>
      <c r="H247" s="21" t="s">
        <v>418</v>
      </c>
      <c r="I247" s="21"/>
      <c r="J247" s="21"/>
      <c r="K247" s="21"/>
      <c r="L247" s="21" t="s">
        <v>389</v>
      </c>
      <c r="M247" s="21"/>
      <c r="N247" s="21"/>
    </row>
    <row r="248" customFormat="1" ht="90" customHeight="1" spans="1:14">
      <c r="A248" t="str">
        <f t="shared" si="7"/>
        <v>XXXX-2229月13日上午</v>
      </c>
      <c r="B248" s="18"/>
      <c r="C248" s="22"/>
      <c r="D248" s="20"/>
      <c r="E248" s="20" t="s">
        <v>24</v>
      </c>
      <c r="F248" s="21" t="s">
        <v>275</v>
      </c>
      <c r="G248" s="21"/>
      <c r="H248" s="21"/>
      <c r="I248" s="21"/>
      <c r="J248" s="21" t="s">
        <v>419</v>
      </c>
      <c r="K248" s="31"/>
      <c r="L248" s="21"/>
      <c r="M248" s="21"/>
      <c r="N248" s="21"/>
    </row>
    <row r="249" customFormat="1" ht="90" customHeight="1" spans="1:14">
      <c r="A249" t="str">
        <f t="shared" si="7"/>
        <v>9月13日上午</v>
      </c>
      <c r="B249" s="18"/>
      <c r="C249" s="23"/>
      <c r="D249" s="20"/>
      <c r="E249" s="20"/>
      <c r="F249" s="21" t="s">
        <v>275</v>
      </c>
      <c r="G249" s="21"/>
      <c r="H249" s="21"/>
      <c r="I249" s="21"/>
      <c r="J249" s="21" t="s">
        <v>378</v>
      </c>
      <c r="K249" s="21"/>
      <c r="L249" s="21"/>
      <c r="M249" s="21"/>
      <c r="N249" s="21"/>
    </row>
    <row r="250" customFormat="1" ht="90" customHeight="1" spans="1:14">
      <c r="A250" t="str">
        <f t="shared" si="7"/>
        <v>9月13日上午</v>
      </c>
      <c r="B250" s="18"/>
      <c r="C250" s="19"/>
      <c r="D250" s="20"/>
      <c r="E250" s="20"/>
      <c r="F250" s="21" t="s">
        <v>275</v>
      </c>
      <c r="G250" s="21"/>
      <c r="H250" s="21"/>
      <c r="I250" s="21"/>
      <c r="J250" s="21"/>
      <c r="K250" s="21"/>
      <c r="L250" s="21"/>
      <c r="M250" s="21"/>
      <c r="N250" s="21"/>
    </row>
    <row r="251" customFormat="1" ht="90" customHeight="1" spans="1:14">
      <c r="A251" t="str">
        <f t="shared" si="7"/>
        <v>9月13日上午</v>
      </c>
      <c r="B251" s="18"/>
      <c r="C251" s="23"/>
      <c r="D251" s="20"/>
      <c r="E251" s="20"/>
      <c r="F251" s="21" t="s">
        <v>275</v>
      </c>
      <c r="G251" s="21"/>
      <c r="H251" s="21"/>
      <c r="I251" s="21"/>
      <c r="J251" s="21"/>
      <c r="K251" s="21"/>
      <c r="L251" s="21" t="s">
        <v>393</v>
      </c>
      <c r="M251" s="21"/>
      <c r="N251" s="21"/>
    </row>
    <row r="252" customFormat="1" ht="90" customHeight="1" spans="1:14">
      <c r="A252" t="str">
        <f t="shared" si="7"/>
        <v>9月13日上午</v>
      </c>
      <c r="B252" s="18"/>
      <c r="C252" s="18"/>
      <c r="D252" s="20"/>
      <c r="E252" s="24"/>
      <c r="F252" s="21" t="s">
        <v>275</v>
      </c>
      <c r="G252" s="21"/>
      <c r="H252" s="21"/>
      <c r="I252" s="21"/>
      <c r="J252" s="21"/>
      <c r="K252" s="21"/>
      <c r="L252" s="21"/>
      <c r="M252" s="21"/>
      <c r="N252" s="21"/>
    </row>
    <row r="253" customFormat="1" ht="90" customHeight="1" spans="1:14">
      <c r="A253" t="str">
        <f t="shared" ref="A253:A284" si="8">E253&amp;F253</f>
        <v>9月13日上午</v>
      </c>
      <c r="B253" s="18"/>
      <c r="C253" s="18"/>
      <c r="D253" s="20"/>
      <c r="E253" s="20"/>
      <c r="F253" s="21" t="s">
        <v>275</v>
      </c>
      <c r="G253" s="21"/>
      <c r="H253" s="21"/>
      <c r="I253" s="21"/>
      <c r="J253" s="21"/>
      <c r="K253" s="21"/>
      <c r="L253" s="21"/>
      <c r="M253" s="21"/>
      <c r="N253" s="21" t="s">
        <v>409</v>
      </c>
    </row>
    <row r="254" spans="1:1">
      <c r="A254" t="str">
        <f t="shared" si="8"/>
        <v/>
      </c>
    </row>
    <row r="255" customFormat="1" spans="1:14">
      <c r="A255" t="str">
        <f t="shared" si="8"/>
        <v>SKU</v>
      </c>
      <c r="B255" s="11" t="s">
        <v>2</v>
      </c>
      <c r="C255" s="11" t="s">
        <v>342</v>
      </c>
      <c r="D255" s="11" t="s">
        <v>343</v>
      </c>
      <c r="E255" s="11" t="s">
        <v>344</v>
      </c>
      <c r="F255" s="11"/>
      <c r="G255" s="12" t="s">
        <v>345</v>
      </c>
      <c r="H255" s="13"/>
      <c r="I255" s="13"/>
      <c r="J255" s="13"/>
      <c r="K255" s="13"/>
      <c r="L255" s="13"/>
      <c r="M255" s="13"/>
      <c r="N255" s="30"/>
    </row>
    <row r="256" customFormat="1" spans="1:14">
      <c r="A256" t="str">
        <f t="shared" si="8"/>
        <v/>
      </c>
      <c r="B256" s="11"/>
      <c r="C256" s="11"/>
      <c r="D256" s="11"/>
      <c r="E256" s="11"/>
      <c r="F256" s="14"/>
      <c r="G256" s="12" t="s">
        <v>247</v>
      </c>
      <c r="H256" s="13"/>
      <c r="I256" s="12" t="s">
        <v>351</v>
      </c>
      <c r="J256" s="13"/>
      <c r="K256" s="12" t="s">
        <v>249</v>
      </c>
      <c r="L256" s="13"/>
      <c r="M256" s="17" t="s">
        <v>250</v>
      </c>
      <c r="N256" s="17"/>
    </row>
    <row r="257" customFormat="1" spans="1:14">
      <c r="A257" t="str">
        <f t="shared" si="8"/>
        <v>日期</v>
      </c>
      <c r="B257" s="15"/>
      <c r="C257" s="15"/>
      <c r="D257" s="15"/>
      <c r="E257" s="15"/>
      <c r="F257" s="16" t="s">
        <v>40</v>
      </c>
      <c r="G257" s="17" t="s">
        <v>251</v>
      </c>
      <c r="H257" s="17" t="s">
        <v>252</v>
      </c>
      <c r="I257" s="17" t="s">
        <v>251</v>
      </c>
      <c r="J257" s="17" t="s">
        <v>252</v>
      </c>
      <c r="K257" s="17" t="s">
        <v>251</v>
      </c>
      <c r="L257" s="17" t="s">
        <v>252</v>
      </c>
      <c r="M257" s="17" t="s">
        <v>251</v>
      </c>
      <c r="N257" s="17" t="s">
        <v>252</v>
      </c>
    </row>
    <row r="258" customFormat="1" ht="83" customHeight="1" spans="1:14">
      <c r="A258" t="str">
        <f t="shared" si="8"/>
        <v>XXXX-1119月13日晚上</v>
      </c>
      <c r="B258" s="18"/>
      <c r="C258" s="19"/>
      <c r="D258" s="20"/>
      <c r="E258" s="20" t="s">
        <v>23</v>
      </c>
      <c r="F258" s="21" t="s">
        <v>276</v>
      </c>
      <c r="G258" s="21"/>
      <c r="H258" s="21" t="s">
        <v>420</v>
      </c>
      <c r="I258" s="21"/>
      <c r="J258" s="21"/>
      <c r="K258" s="21"/>
      <c r="L258" s="21" t="s">
        <v>421</v>
      </c>
      <c r="M258" s="21"/>
      <c r="N258" s="21"/>
    </row>
    <row r="259" customFormat="1" ht="83" customHeight="1" spans="1:14">
      <c r="A259" t="str">
        <f t="shared" si="8"/>
        <v>XXXX-2229月13日晚上</v>
      </c>
      <c r="B259" s="18"/>
      <c r="C259" s="22"/>
      <c r="D259" s="20"/>
      <c r="E259" s="20" t="s">
        <v>24</v>
      </c>
      <c r="F259" s="21" t="s">
        <v>276</v>
      </c>
      <c r="G259" s="21"/>
      <c r="H259" s="21"/>
      <c r="I259" s="21"/>
      <c r="J259" s="21"/>
      <c r="K259" s="31"/>
      <c r="L259" s="21"/>
      <c r="M259" s="21"/>
      <c r="N259" s="21"/>
    </row>
    <row r="260" customFormat="1" ht="83" customHeight="1" spans="1:14">
      <c r="A260" t="str">
        <f t="shared" si="8"/>
        <v>9月13日晚上</v>
      </c>
      <c r="B260" s="18"/>
      <c r="C260" s="23"/>
      <c r="D260" s="20"/>
      <c r="E260" s="20"/>
      <c r="F260" s="21" t="s">
        <v>276</v>
      </c>
      <c r="G260" s="21"/>
      <c r="I260" s="21"/>
      <c r="J260" s="21" t="s">
        <v>380</v>
      </c>
      <c r="K260" s="21" t="s">
        <v>422</v>
      </c>
      <c r="L260" s="21"/>
      <c r="M260" s="21"/>
      <c r="N260" s="21"/>
    </row>
    <row r="261" customFormat="1" ht="83" customHeight="1" spans="1:14">
      <c r="A261" t="str">
        <f t="shared" si="8"/>
        <v>9月13日晚上</v>
      </c>
      <c r="B261" s="18"/>
      <c r="C261" s="19"/>
      <c r="D261" s="20"/>
      <c r="E261" s="20"/>
      <c r="F261" s="21" t="s">
        <v>276</v>
      </c>
      <c r="G261" s="21"/>
      <c r="H261" s="21"/>
      <c r="I261" s="21"/>
      <c r="J261" s="21"/>
      <c r="K261" s="21"/>
      <c r="L261" s="21"/>
      <c r="M261" s="21"/>
      <c r="N261" s="21"/>
    </row>
    <row r="262" customFormat="1" ht="83" customHeight="1" spans="1:14">
      <c r="A262" t="str">
        <f t="shared" si="8"/>
        <v>9月13日晚上</v>
      </c>
      <c r="B262" s="18"/>
      <c r="C262" s="23"/>
      <c r="D262" s="20"/>
      <c r="E262" s="20"/>
      <c r="F262" s="21" t="s">
        <v>276</v>
      </c>
      <c r="G262" s="21"/>
      <c r="H262" s="21"/>
      <c r="I262" s="21"/>
      <c r="J262" s="21"/>
      <c r="L262" s="21" t="s">
        <v>423</v>
      </c>
      <c r="M262" s="21"/>
      <c r="N262" s="21"/>
    </row>
    <row r="263" customFormat="1" ht="83" customHeight="1" spans="1:14">
      <c r="A263" t="str">
        <f t="shared" si="8"/>
        <v> 
9月13日晚上</v>
      </c>
      <c r="B263" s="18"/>
      <c r="C263" s="18"/>
      <c r="D263" s="20"/>
      <c r="E263" s="24" t="s">
        <v>368</v>
      </c>
      <c r="F263" s="21" t="s">
        <v>276</v>
      </c>
      <c r="G263" s="21"/>
      <c r="H263" s="21"/>
      <c r="I263" s="21"/>
      <c r="J263" s="21"/>
      <c r="K263" s="21"/>
      <c r="L263" s="21"/>
      <c r="M263" s="21"/>
      <c r="N263" s="21"/>
    </row>
    <row r="264" customFormat="1" ht="83" customHeight="1" spans="1:14">
      <c r="A264" t="str">
        <f t="shared" si="8"/>
        <v>9月13日晚上</v>
      </c>
      <c r="B264" s="18"/>
      <c r="C264" s="18"/>
      <c r="D264" s="20"/>
      <c r="E264" s="20"/>
      <c r="F264" s="21" t="s">
        <v>276</v>
      </c>
      <c r="G264" s="21"/>
      <c r="H264" s="21" t="s">
        <v>424</v>
      </c>
      <c r="I264" s="21"/>
      <c r="J264" s="21"/>
      <c r="K264" s="21"/>
      <c r="L264" s="21"/>
      <c r="M264" s="21" t="s">
        <v>425</v>
      </c>
      <c r="N264" s="21" t="s">
        <v>426</v>
      </c>
    </row>
    <row r="265" spans="1:1">
      <c r="A265" t="str">
        <f t="shared" si="8"/>
        <v/>
      </c>
    </row>
    <row r="266" customFormat="1" spans="1:14">
      <c r="A266" t="str">
        <f t="shared" si="8"/>
        <v>SKU</v>
      </c>
      <c r="B266" s="11" t="s">
        <v>2</v>
      </c>
      <c r="C266" s="11" t="s">
        <v>342</v>
      </c>
      <c r="D266" s="11" t="s">
        <v>343</v>
      </c>
      <c r="E266" s="11" t="s">
        <v>344</v>
      </c>
      <c r="F266" s="11"/>
      <c r="G266" s="12" t="s">
        <v>345</v>
      </c>
      <c r="H266" s="13"/>
      <c r="I266" s="13"/>
      <c r="J266" s="13"/>
      <c r="K266" s="13"/>
      <c r="L266" s="13"/>
      <c r="M266" s="13"/>
      <c r="N266" s="30"/>
    </row>
    <row r="267" customFormat="1" spans="1:14">
      <c r="A267" t="str">
        <f t="shared" si="8"/>
        <v/>
      </c>
      <c r="B267" s="11"/>
      <c r="C267" s="11"/>
      <c r="D267" s="11"/>
      <c r="E267" s="11"/>
      <c r="F267" s="14"/>
      <c r="G267" s="12" t="s">
        <v>247</v>
      </c>
      <c r="H267" s="13"/>
      <c r="I267" s="12" t="s">
        <v>248</v>
      </c>
      <c r="J267" s="13"/>
      <c r="K267" s="12" t="s">
        <v>249</v>
      </c>
      <c r="L267" s="13"/>
      <c r="M267" s="17" t="s">
        <v>250</v>
      </c>
      <c r="N267" s="17"/>
    </row>
    <row r="268" customFormat="1" spans="1:14">
      <c r="A268" t="str">
        <f t="shared" si="8"/>
        <v>日期</v>
      </c>
      <c r="B268" s="15"/>
      <c r="C268" s="15"/>
      <c r="D268" s="15"/>
      <c r="E268" s="15"/>
      <c r="F268" s="16" t="s">
        <v>40</v>
      </c>
      <c r="G268" s="17" t="s">
        <v>251</v>
      </c>
      <c r="H268" s="17" t="s">
        <v>252</v>
      </c>
      <c r="I268" s="17" t="s">
        <v>251</v>
      </c>
      <c r="J268" s="17" t="s">
        <v>252</v>
      </c>
      <c r="K268" s="17" t="s">
        <v>251</v>
      </c>
      <c r="L268" s="17" t="s">
        <v>252</v>
      </c>
      <c r="M268" s="17" t="s">
        <v>251</v>
      </c>
      <c r="N268" s="17" t="s">
        <v>252</v>
      </c>
    </row>
    <row r="269" customFormat="1" ht="90" customHeight="1" spans="1:14">
      <c r="A269" t="str">
        <f t="shared" si="8"/>
        <v>XXXX-1119月14日上午</v>
      </c>
      <c r="B269" s="18"/>
      <c r="C269" s="19"/>
      <c r="D269" s="20"/>
      <c r="E269" s="20" t="s">
        <v>23</v>
      </c>
      <c r="F269" s="21" t="s">
        <v>277</v>
      </c>
      <c r="G269" s="21"/>
      <c r="H269" s="21" t="s">
        <v>400</v>
      </c>
      <c r="I269" s="21"/>
      <c r="J269" s="21"/>
      <c r="K269" s="21"/>
      <c r="L269" s="21" t="s">
        <v>427</v>
      </c>
      <c r="M269" s="21"/>
      <c r="N269" s="21"/>
    </row>
    <row r="270" customFormat="1" ht="90" customHeight="1" spans="1:14">
      <c r="A270" t="str">
        <f t="shared" si="8"/>
        <v>XXXX-2229月14日上午</v>
      </c>
      <c r="B270" s="18"/>
      <c r="C270" s="22"/>
      <c r="D270" s="20"/>
      <c r="E270" s="20" t="s">
        <v>24</v>
      </c>
      <c r="F270" s="21" t="s">
        <v>277</v>
      </c>
      <c r="G270" s="21"/>
      <c r="H270" s="21"/>
      <c r="I270" s="21"/>
      <c r="J270" s="21" t="s">
        <v>428</v>
      </c>
      <c r="K270" s="31"/>
      <c r="L270" s="21"/>
      <c r="M270" s="21"/>
      <c r="N270" s="21"/>
    </row>
    <row r="271" customFormat="1" ht="90" customHeight="1" spans="1:14">
      <c r="A271" t="str">
        <f t="shared" si="8"/>
        <v>9月14日上午</v>
      </c>
      <c r="B271" s="18"/>
      <c r="C271" s="23"/>
      <c r="D271" s="20"/>
      <c r="E271" s="20"/>
      <c r="F271" s="21" t="s">
        <v>277</v>
      </c>
      <c r="G271" s="21"/>
      <c r="H271" s="21"/>
      <c r="I271" s="21"/>
      <c r="J271" s="21" t="s">
        <v>426</v>
      </c>
      <c r="K271" s="21"/>
      <c r="L271" s="21"/>
      <c r="M271" s="21"/>
      <c r="N271" s="21"/>
    </row>
    <row r="272" customFormat="1" ht="90" customHeight="1" spans="1:14">
      <c r="A272" t="str">
        <f t="shared" si="8"/>
        <v>9月14日上午</v>
      </c>
      <c r="B272" s="18"/>
      <c r="C272" s="19"/>
      <c r="D272" s="20"/>
      <c r="E272" s="20"/>
      <c r="F272" s="21" t="s">
        <v>277</v>
      </c>
      <c r="G272" s="21"/>
      <c r="H272" s="21"/>
      <c r="I272" s="21"/>
      <c r="J272" s="21"/>
      <c r="K272" s="21"/>
      <c r="L272" s="21"/>
      <c r="M272" s="21"/>
      <c r="N272" s="21"/>
    </row>
    <row r="273" customFormat="1" ht="90" customHeight="1" spans="1:14">
      <c r="A273" t="str">
        <f t="shared" si="8"/>
        <v>9月14日上午</v>
      </c>
      <c r="B273" s="18"/>
      <c r="C273" s="23"/>
      <c r="D273" s="20"/>
      <c r="E273" s="20"/>
      <c r="F273" s="21" t="s">
        <v>277</v>
      </c>
      <c r="G273" s="21"/>
      <c r="H273" s="21"/>
      <c r="I273" s="21"/>
      <c r="J273" s="21"/>
      <c r="K273" s="21"/>
      <c r="L273" s="21" t="s">
        <v>429</v>
      </c>
      <c r="M273" s="21"/>
      <c r="N273" s="21"/>
    </row>
    <row r="274" customFormat="1" ht="90" customHeight="1" spans="1:14">
      <c r="A274" t="str">
        <f t="shared" si="8"/>
        <v>9月14日上午</v>
      </c>
      <c r="B274" s="18"/>
      <c r="C274" s="18"/>
      <c r="D274" s="20"/>
      <c r="E274" s="24"/>
      <c r="F274" s="21" t="s">
        <v>277</v>
      </c>
      <c r="G274" s="21"/>
      <c r="H274" s="21"/>
      <c r="I274" s="21"/>
      <c r="J274" s="21"/>
      <c r="K274" s="21"/>
      <c r="L274" s="21"/>
      <c r="M274" s="21"/>
      <c r="N274" s="21"/>
    </row>
    <row r="275" customFormat="1" ht="90" customHeight="1" spans="1:14">
      <c r="A275" t="str">
        <f t="shared" si="8"/>
        <v>9月14日上午</v>
      </c>
      <c r="B275" s="18"/>
      <c r="C275" s="18"/>
      <c r="D275" s="20"/>
      <c r="E275" s="20"/>
      <c r="F275" s="21" t="s">
        <v>277</v>
      </c>
      <c r="G275" s="21"/>
      <c r="H275" s="21" t="s">
        <v>430</v>
      </c>
      <c r="I275" s="21"/>
      <c r="J275" s="21"/>
      <c r="K275" s="21"/>
      <c r="L275" s="21"/>
      <c r="M275" s="21"/>
      <c r="N275" s="21" t="s">
        <v>431</v>
      </c>
    </row>
    <row r="276" spans="1:1">
      <c r="A276" t="str">
        <f t="shared" si="8"/>
        <v/>
      </c>
    </row>
    <row r="277" customFormat="1" spans="1:14">
      <c r="A277" t="str">
        <f t="shared" si="8"/>
        <v>SKU</v>
      </c>
      <c r="B277" s="11" t="s">
        <v>2</v>
      </c>
      <c r="C277" s="11" t="s">
        <v>342</v>
      </c>
      <c r="D277" s="11" t="s">
        <v>343</v>
      </c>
      <c r="E277" s="11" t="s">
        <v>344</v>
      </c>
      <c r="F277" s="11"/>
      <c r="G277" s="12" t="s">
        <v>345</v>
      </c>
      <c r="H277" s="13"/>
      <c r="I277" s="13"/>
      <c r="J277" s="13"/>
      <c r="K277" s="13"/>
      <c r="L277" s="13"/>
      <c r="M277" s="13"/>
      <c r="N277" s="30"/>
    </row>
    <row r="278" customFormat="1" spans="1:14">
      <c r="A278" t="str">
        <f t="shared" si="8"/>
        <v/>
      </c>
      <c r="B278" s="11"/>
      <c r="C278" s="11"/>
      <c r="D278" s="11"/>
      <c r="E278" s="11"/>
      <c r="F278" s="14"/>
      <c r="G278" s="12" t="s">
        <v>247</v>
      </c>
      <c r="H278" s="13"/>
      <c r="I278" s="12" t="s">
        <v>351</v>
      </c>
      <c r="J278" s="13"/>
      <c r="K278" s="12" t="s">
        <v>249</v>
      </c>
      <c r="L278" s="13"/>
      <c r="M278" s="17" t="s">
        <v>250</v>
      </c>
      <c r="N278" s="17"/>
    </row>
    <row r="279" customFormat="1" spans="1:14">
      <c r="A279" t="str">
        <f t="shared" si="8"/>
        <v>日期</v>
      </c>
      <c r="B279" s="15"/>
      <c r="C279" s="15"/>
      <c r="D279" s="15"/>
      <c r="E279" s="15"/>
      <c r="F279" s="16" t="s">
        <v>40</v>
      </c>
      <c r="G279" s="17" t="s">
        <v>251</v>
      </c>
      <c r="H279" s="17" t="s">
        <v>252</v>
      </c>
      <c r="I279" s="17" t="s">
        <v>251</v>
      </c>
      <c r="J279" s="17" t="s">
        <v>252</v>
      </c>
      <c r="K279" s="17" t="s">
        <v>251</v>
      </c>
      <c r="L279" s="17" t="s">
        <v>252</v>
      </c>
      <c r="M279" s="17" t="s">
        <v>251</v>
      </c>
      <c r="N279" s="17" t="s">
        <v>252</v>
      </c>
    </row>
    <row r="280" customFormat="1" ht="86" customHeight="1" spans="1:14">
      <c r="A280" t="str">
        <f t="shared" si="8"/>
        <v>XXXX-1119月14日晚上</v>
      </c>
      <c r="B280" s="18"/>
      <c r="C280" s="19"/>
      <c r="D280" s="20"/>
      <c r="E280" s="20" t="s">
        <v>23</v>
      </c>
      <c r="F280" s="21" t="s">
        <v>278</v>
      </c>
      <c r="G280" s="21"/>
      <c r="H280" s="21" t="s">
        <v>432</v>
      </c>
      <c r="I280" s="21"/>
      <c r="J280" s="21"/>
      <c r="K280" s="21"/>
      <c r="L280" s="21" t="s">
        <v>421</v>
      </c>
      <c r="M280" s="21"/>
      <c r="N280" s="21"/>
    </row>
    <row r="281" customFormat="1" ht="86" customHeight="1" spans="1:14">
      <c r="A281" t="str">
        <f t="shared" si="8"/>
        <v>XXXX-2229月14日晚上</v>
      </c>
      <c r="B281" s="18"/>
      <c r="C281" s="22"/>
      <c r="D281" s="20"/>
      <c r="E281" s="20" t="s">
        <v>24</v>
      </c>
      <c r="F281" s="21" t="s">
        <v>278</v>
      </c>
      <c r="G281" s="21"/>
      <c r="H281" s="21"/>
      <c r="I281" s="21"/>
      <c r="J281" s="21"/>
      <c r="K281" s="31"/>
      <c r="L281" s="21"/>
      <c r="M281" s="21"/>
      <c r="N281" s="21"/>
    </row>
    <row r="282" customFormat="1" ht="86" customHeight="1" spans="1:14">
      <c r="A282" t="str">
        <f t="shared" si="8"/>
        <v>9月14日晚上</v>
      </c>
      <c r="B282" s="18"/>
      <c r="C282" s="23"/>
      <c r="D282" s="20"/>
      <c r="E282" s="20"/>
      <c r="F282" s="21" t="s">
        <v>278</v>
      </c>
      <c r="G282" s="21"/>
      <c r="I282" s="21"/>
      <c r="J282" s="21" t="s">
        <v>433</v>
      </c>
      <c r="K282" s="21" t="s">
        <v>434</v>
      </c>
      <c r="L282" s="21"/>
      <c r="M282" s="21"/>
      <c r="N282" s="21"/>
    </row>
    <row r="283" customFormat="1" ht="86" customHeight="1" spans="1:14">
      <c r="A283" t="str">
        <f t="shared" si="8"/>
        <v>9月14日晚上</v>
      </c>
      <c r="B283" s="18"/>
      <c r="C283" s="19"/>
      <c r="D283" s="20"/>
      <c r="E283" s="20"/>
      <c r="F283" s="21" t="s">
        <v>278</v>
      </c>
      <c r="G283" s="21"/>
      <c r="H283" s="21"/>
      <c r="I283" s="21"/>
      <c r="J283" s="21"/>
      <c r="K283" s="21"/>
      <c r="L283" s="21"/>
      <c r="M283" s="21"/>
      <c r="N283" s="21"/>
    </row>
    <row r="284" customFormat="1" ht="86" customHeight="1" spans="1:14">
      <c r="A284" t="str">
        <f t="shared" si="8"/>
        <v>9月14日晚上</v>
      </c>
      <c r="B284" s="18"/>
      <c r="C284" s="23"/>
      <c r="D284" s="20"/>
      <c r="E284" s="20"/>
      <c r="F284" s="21" t="s">
        <v>278</v>
      </c>
      <c r="G284" s="21"/>
      <c r="H284" s="21"/>
      <c r="I284" s="21"/>
      <c r="J284" s="21"/>
      <c r="L284" s="21" t="s">
        <v>388</v>
      </c>
      <c r="M284" s="21"/>
      <c r="N284" s="21"/>
    </row>
    <row r="285" customFormat="1" ht="86" customHeight="1" spans="1:14">
      <c r="A285" t="str">
        <f t="shared" ref="A285:A316" si="9">E285&amp;F285</f>
        <v> 
9月14日晚上</v>
      </c>
      <c r="B285" s="18"/>
      <c r="C285" s="18"/>
      <c r="D285" s="20"/>
      <c r="E285" s="24" t="s">
        <v>368</v>
      </c>
      <c r="F285" s="21" t="s">
        <v>278</v>
      </c>
      <c r="G285" s="21"/>
      <c r="H285" s="21"/>
      <c r="I285" s="21"/>
      <c r="J285" s="21"/>
      <c r="K285" s="21"/>
      <c r="L285" s="21"/>
      <c r="M285" s="21"/>
      <c r="N285" s="21"/>
    </row>
    <row r="286" customFormat="1" ht="86" customHeight="1" spans="1:14">
      <c r="A286" t="str">
        <f t="shared" si="9"/>
        <v>9月14日晚上</v>
      </c>
      <c r="B286" s="18"/>
      <c r="C286" s="18"/>
      <c r="D286" s="20"/>
      <c r="E286" s="20"/>
      <c r="F286" s="21" t="s">
        <v>278</v>
      </c>
      <c r="G286" s="21"/>
      <c r="H286" s="21"/>
      <c r="I286" s="21"/>
      <c r="J286" s="21"/>
      <c r="K286" s="21"/>
      <c r="L286" s="21"/>
      <c r="M286" s="21"/>
      <c r="N286" s="21" t="s">
        <v>431</v>
      </c>
    </row>
    <row r="287" spans="1:1">
      <c r="A287" t="str">
        <f t="shared" si="9"/>
        <v/>
      </c>
    </row>
    <row r="288" customFormat="1" spans="1:14">
      <c r="A288" t="str">
        <f t="shared" si="9"/>
        <v>SKU</v>
      </c>
      <c r="B288" s="11" t="s">
        <v>2</v>
      </c>
      <c r="C288" s="11" t="s">
        <v>342</v>
      </c>
      <c r="D288" s="11" t="s">
        <v>343</v>
      </c>
      <c r="E288" s="11" t="s">
        <v>344</v>
      </c>
      <c r="F288" s="11"/>
      <c r="G288" s="12" t="s">
        <v>345</v>
      </c>
      <c r="H288" s="13"/>
      <c r="I288" s="13"/>
      <c r="J288" s="13"/>
      <c r="K288" s="13"/>
      <c r="L288" s="13"/>
      <c r="M288" s="13"/>
      <c r="N288" s="30"/>
    </row>
    <row r="289" customFormat="1" spans="1:14">
      <c r="A289" t="str">
        <f t="shared" si="9"/>
        <v/>
      </c>
      <c r="B289" s="11"/>
      <c r="C289" s="11"/>
      <c r="D289" s="11"/>
      <c r="E289" s="11"/>
      <c r="F289" s="14"/>
      <c r="G289" s="12" t="s">
        <v>247</v>
      </c>
      <c r="H289" s="13"/>
      <c r="I289" s="12" t="s">
        <v>248</v>
      </c>
      <c r="J289" s="13"/>
      <c r="K289" s="12" t="s">
        <v>249</v>
      </c>
      <c r="L289" s="13"/>
      <c r="M289" s="17" t="s">
        <v>250</v>
      </c>
      <c r="N289" s="17"/>
    </row>
    <row r="290" customFormat="1" spans="1:14">
      <c r="A290" t="str">
        <f t="shared" si="9"/>
        <v>日期</v>
      </c>
      <c r="B290" s="15"/>
      <c r="C290" s="15"/>
      <c r="D290" s="15"/>
      <c r="E290" s="15"/>
      <c r="F290" s="16" t="s">
        <v>40</v>
      </c>
      <c r="G290" s="17" t="s">
        <v>251</v>
      </c>
      <c r="H290" s="17" t="s">
        <v>252</v>
      </c>
      <c r="I290" s="17" t="s">
        <v>251</v>
      </c>
      <c r="J290" s="17" t="s">
        <v>252</v>
      </c>
      <c r="K290" s="17" t="s">
        <v>251</v>
      </c>
      <c r="L290" s="17" t="s">
        <v>252</v>
      </c>
      <c r="M290" s="17" t="s">
        <v>251</v>
      </c>
      <c r="N290" s="17" t="s">
        <v>252</v>
      </c>
    </row>
    <row r="291" customFormat="1" ht="86" customHeight="1" spans="1:14">
      <c r="A291" t="str">
        <f t="shared" si="9"/>
        <v>XXXX-1119月15日上午</v>
      </c>
      <c r="B291" s="18"/>
      <c r="C291" s="19"/>
      <c r="D291" s="20"/>
      <c r="E291" s="20" t="s">
        <v>23</v>
      </c>
      <c r="F291" s="21" t="s">
        <v>279</v>
      </c>
      <c r="G291" s="21"/>
      <c r="H291" s="21" t="s">
        <v>435</v>
      </c>
      <c r="I291" s="21"/>
      <c r="J291" s="21"/>
      <c r="K291" s="21"/>
      <c r="L291" s="21" t="s">
        <v>421</v>
      </c>
      <c r="M291" s="21"/>
      <c r="N291" s="21"/>
    </row>
    <row r="292" customFormat="1" ht="86" customHeight="1" spans="1:14">
      <c r="A292" t="str">
        <f t="shared" si="9"/>
        <v>XXXX-2229月15日上午</v>
      </c>
      <c r="B292" s="18"/>
      <c r="C292" s="22"/>
      <c r="D292" s="20"/>
      <c r="E292" s="20" t="s">
        <v>24</v>
      </c>
      <c r="F292" s="21" t="s">
        <v>279</v>
      </c>
      <c r="G292" s="21"/>
      <c r="H292" s="21"/>
      <c r="I292" s="21"/>
      <c r="J292" s="21" t="s">
        <v>403</v>
      </c>
      <c r="K292" s="31"/>
      <c r="L292" s="21"/>
      <c r="M292" s="21"/>
      <c r="N292" s="21"/>
    </row>
    <row r="293" customFormat="1" ht="86" customHeight="1" spans="1:14">
      <c r="A293" t="str">
        <f t="shared" si="9"/>
        <v>9月15日上午</v>
      </c>
      <c r="B293" s="18"/>
      <c r="C293" s="23"/>
      <c r="D293" s="20"/>
      <c r="E293" s="20"/>
      <c r="F293" s="21" t="s">
        <v>279</v>
      </c>
      <c r="G293" s="21"/>
      <c r="H293" s="21"/>
      <c r="I293" s="21"/>
      <c r="J293" s="21" t="s">
        <v>436</v>
      </c>
      <c r="K293" s="21"/>
      <c r="L293" s="21" t="s">
        <v>437</v>
      </c>
      <c r="M293" s="21"/>
      <c r="N293" s="21"/>
    </row>
    <row r="294" customFormat="1" ht="86" customHeight="1" spans="1:14">
      <c r="A294" t="str">
        <f t="shared" si="9"/>
        <v>9月15日上午</v>
      </c>
      <c r="B294" s="18"/>
      <c r="C294" s="19"/>
      <c r="D294" s="20"/>
      <c r="E294" s="20"/>
      <c r="F294" s="21" t="s">
        <v>279</v>
      </c>
      <c r="G294" s="21"/>
      <c r="H294" s="21"/>
      <c r="I294" s="21"/>
      <c r="J294" s="21"/>
      <c r="K294" s="21"/>
      <c r="L294" s="21"/>
      <c r="M294" s="21"/>
      <c r="N294" s="21"/>
    </row>
    <row r="295" customFormat="1" ht="86" customHeight="1" spans="1:14">
      <c r="A295" t="str">
        <f t="shared" si="9"/>
        <v>9月15日上午</v>
      </c>
      <c r="B295" s="18"/>
      <c r="C295" s="23"/>
      <c r="D295" s="20"/>
      <c r="E295" s="20"/>
      <c r="F295" s="21" t="s">
        <v>279</v>
      </c>
      <c r="G295" s="21"/>
      <c r="H295" s="21"/>
      <c r="I295" s="21"/>
      <c r="J295" s="21"/>
      <c r="K295" s="21"/>
      <c r="L295" s="21" t="s">
        <v>438</v>
      </c>
      <c r="M295" s="21"/>
      <c r="N295" s="21"/>
    </row>
    <row r="296" customFormat="1" ht="86" customHeight="1" spans="1:14">
      <c r="A296" t="str">
        <f t="shared" si="9"/>
        <v>9月15日上午</v>
      </c>
      <c r="B296" s="18"/>
      <c r="C296" s="18"/>
      <c r="D296" s="20"/>
      <c r="E296" s="24"/>
      <c r="F296" s="21" t="s">
        <v>279</v>
      </c>
      <c r="G296" s="21"/>
      <c r="H296" s="21"/>
      <c r="I296" s="21"/>
      <c r="J296" s="21"/>
      <c r="K296" s="21"/>
      <c r="L296" s="21"/>
      <c r="M296" s="21"/>
      <c r="N296" s="21"/>
    </row>
    <row r="297" customFormat="1" ht="86" customHeight="1" spans="1:14">
      <c r="A297" t="str">
        <f t="shared" si="9"/>
        <v>9月15日上午</v>
      </c>
      <c r="B297" s="18"/>
      <c r="C297" s="18"/>
      <c r="D297" s="20"/>
      <c r="E297" s="20"/>
      <c r="F297" s="21" t="s">
        <v>279</v>
      </c>
      <c r="G297" s="21"/>
      <c r="H297" s="21"/>
      <c r="I297" s="21"/>
      <c r="J297" s="21"/>
      <c r="K297" s="21"/>
      <c r="L297" s="21"/>
      <c r="M297" s="21"/>
      <c r="N297" s="21" t="s">
        <v>439</v>
      </c>
    </row>
    <row r="298" spans="1:1">
      <c r="A298" t="str">
        <f t="shared" si="9"/>
        <v/>
      </c>
    </row>
    <row r="299" customFormat="1" spans="1:14">
      <c r="A299" t="str">
        <f t="shared" si="9"/>
        <v>SKU</v>
      </c>
      <c r="B299" s="11" t="s">
        <v>2</v>
      </c>
      <c r="C299" s="11" t="s">
        <v>342</v>
      </c>
      <c r="D299" s="11" t="s">
        <v>343</v>
      </c>
      <c r="E299" s="11" t="s">
        <v>344</v>
      </c>
      <c r="F299" s="11"/>
      <c r="G299" s="12" t="s">
        <v>345</v>
      </c>
      <c r="H299" s="13"/>
      <c r="I299" s="13"/>
      <c r="J299" s="13"/>
      <c r="K299" s="13"/>
      <c r="L299" s="13"/>
      <c r="M299" s="13"/>
      <c r="N299" s="30"/>
    </row>
    <row r="300" customFormat="1" spans="1:14">
      <c r="A300" t="str">
        <f t="shared" si="9"/>
        <v/>
      </c>
      <c r="B300" s="11"/>
      <c r="C300" s="11"/>
      <c r="D300" s="11"/>
      <c r="E300" s="11"/>
      <c r="F300" s="14"/>
      <c r="G300" s="12" t="s">
        <v>247</v>
      </c>
      <c r="H300" s="13"/>
      <c r="I300" s="12" t="s">
        <v>351</v>
      </c>
      <c r="J300" s="13"/>
      <c r="K300" s="12" t="s">
        <v>249</v>
      </c>
      <c r="L300" s="13"/>
      <c r="M300" s="17" t="s">
        <v>250</v>
      </c>
      <c r="N300" s="17"/>
    </row>
    <row r="301" customFormat="1" spans="1:14">
      <c r="A301" t="str">
        <f t="shared" si="9"/>
        <v>日期</v>
      </c>
      <c r="B301" s="15"/>
      <c r="C301" s="15"/>
      <c r="D301" s="15"/>
      <c r="E301" s="15"/>
      <c r="F301" s="16" t="s">
        <v>40</v>
      </c>
      <c r="G301" s="17" t="s">
        <v>251</v>
      </c>
      <c r="H301" s="17" t="s">
        <v>252</v>
      </c>
      <c r="I301" s="17" t="s">
        <v>251</v>
      </c>
      <c r="J301" s="17" t="s">
        <v>252</v>
      </c>
      <c r="K301" s="17" t="s">
        <v>251</v>
      </c>
      <c r="L301" s="17" t="s">
        <v>252</v>
      </c>
      <c r="M301" s="17" t="s">
        <v>251</v>
      </c>
      <c r="N301" s="17" t="s">
        <v>252</v>
      </c>
    </row>
    <row r="302" customFormat="1" ht="90" customHeight="1" spans="1:14">
      <c r="A302" t="str">
        <f t="shared" si="9"/>
        <v>XXXX-1119月15日晚上</v>
      </c>
      <c r="B302" s="18"/>
      <c r="C302" s="19"/>
      <c r="D302" s="33"/>
      <c r="E302" s="33" t="s">
        <v>23</v>
      </c>
      <c r="F302" s="21" t="s">
        <v>280</v>
      </c>
      <c r="G302" s="21"/>
      <c r="H302" s="21" t="s">
        <v>440</v>
      </c>
      <c r="I302" s="21"/>
      <c r="J302" s="21"/>
      <c r="K302" s="21"/>
      <c r="L302" s="21" t="s">
        <v>389</v>
      </c>
      <c r="M302" s="21"/>
      <c r="N302" s="21"/>
    </row>
    <row r="303" customFormat="1" ht="90" customHeight="1" spans="1:14">
      <c r="A303" t="str">
        <f t="shared" si="9"/>
        <v>XXXX-2229月15日晚上</v>
      </c>
      <c r="B303" s="18"/>
      <c r="C303" s="22"/>
      <c r="D303" s="20"/>
      <c r="E303" s="20" t="s">
        <v>24</v>
      </c>
      <c r="F303" s="21" t="s">
        <v>280</v>
      </c>
      <c r="G303" s="21"/>
      <c r="H303" s="21"/>
      <c r="I303" s="21"/>
      <c r="J303" s="21" t="s">
        <v>441</v>
      </c>
      <c r="K303" s="31"/>
      <c r="L303" s="21"/>
      <c r="M303" s="21"/>
      <c r="N303" s="21"/>
    </row>
    <row r="304" customFormat="1" ht="90" customHeight="1" spans="1:14">
      <c r="A304" t="str">
        <f t="shared" si="9"/>
        <v>9月15日晚上</v>
      </c>
      <c r="B304" s="18"/>
      <c r="C304" s="23"/>
      <c r="D304" s="33"/>
      <c r="E304" s="33"/>
      <c r="F304" s="21" t="s">
        <v>280</v>
      </c>
      <c r="G304" s="21"/>
      <c r="I304" s="21"/>
      <c r="J304" s="21" t="s">
        <v>442</v>
      </c>
      <c r="K304" s="21" t="s">
        <v>443</v>
      </c>
      <c r="L304" s="21" t="s">
        <v>444</v>
      </c>
      <c r="M304" s="21"/>
      <c r="N304" s="21"/>
    </row>
    <row r="305" customFormat="1" ht="90" customHeight="1" spans="1:14">
      <c r="A305" t="str">
        <f t="shared" si="9"/>
        <v>9月15日晚上</v>
      </c>
      <c r="B305" s="18"/>
      <c r="C305" s="19"/>
      <c r="D305" s="20"/>
      <c r="E305" s="20"/>
      <c r="F305" s="21" t="s">
        <v>280</v>
      </c>
      <c r="G305" s="21"/>
      <c r="H305" s="21"/>
      <c r="I305" s="21"/>
      <c r="J305" s="21"/>
      <c r="K305" s="21"/>
      <c r="L305" s="21"/>
      <c r="M305" s="21"/>
      <c r="N305" s="21"/>
    </row>
    <row r="306" customFormat="1" ht="90" customHeight="1" spans="1:14">
      <c r="A306" t="str">
        <f t="shared" si="9"/>
        <v>9月15日晚上</v>
      </c>
      <c r="B306" s="18"/>
      <c r="C306" s="23"/>
      <c r="D306" s="33"/>
      <c r="E306" s="33"/>
      <c r="F306" s="21" t="s">
        <v>280</v>
      </c>
      <c r="G306" s="21"/>
      <c r="H306" s="21"/>
      <c r="I306" s="21"/>
      <c r="J306" s="21"/>
      <c r="L306" s="21" t="s">
        <v>445</v>
      </c>
      <c r="M306" s="21"/>
      <c r="N306" s="21"/>
    </row>
    <row r="307" customFormat="1" ht="90" customHeight="1" spans="1:14">
      <c r="A307" t="str">
        <f t="shared" si="9"/>
        <v> 
9月15日晚上</v>
      </c>
      <c r="B307" s="18"/>
      <c r="C307" s="18"/>
      <c r="D307" s="33"/>
      <c r="E307" s="34" t="s">
        <v>368</v>
      </c>
      <c r="F307" s="21" t="s">
        <v>280</v>
      </c>
      <c r="G307" s="21"/>
      <c r="H307" s="21"/>
      <c r="I307" s="21"/>
      <c r="J307" s="21"/>
      <c r="K307" s="21"/>
      <c r="L307" s="21"/>
      <c r="M307" s="21"/>
      <c r="N307" s="21"/>
    </row>
    <row r="308" customFormat="1" ht="90" customHeight="1" spans="1:14">
      <c r="A308" t="str">
        <f t="shared" si="9"/>
        <v>9月15日晚上</v>
      </c>
      <c r="B308" s="18"/>
      <c r="C308" s="18"/>
      <c r="D308" s="33"/>
      <c r="E308" s="33"/>
      <c r="F308" s="21" t="s">
        <v>280</v>
      </c>
      <c r="G308" s="21"/>
      <c r="H308" s="21"/>
      <c r="I308" s="21"/>
      <c r="J308" s="21"/>
      <c r="K308" s="21"/>
      <c r="L308" s="21"/>
      <c r="M308" s="21" t="s">
        <v>446</v>
      </c>
      <c r="N308" s="21" t="s">
        <v>447</v>
      </c>
    </row>
    <row r="309" spans="1:1">
      <c r="A309" t="str">
        <f t="shared" si="9"/>
        <v/>
      </c>
    </row>
    <row r="310" customFormat="1" spans="1:14">
      <c r="A310" t="str">
        <f t="shared" si="9"/>
        <v>SKU</v>
      </c>
      <c r="B310" s="11" t="s">
        <v>2</v>
      </c>
      <c r="C310" s="11" t="s">
        <v>342</v>
      </c>
      <c r="D310" s="11" t="s">
        <v>343</v>
      </c>
      <c r="E310" s="11" t="s">
        <v>344</v>
      </c>
      <c r="F310" s="11"/>
      <c r="G310" s="12" t="s">
        <v>345</v>
      </c>
      <c r="H310" s="13"/>
      <c r="I310" s="13"/>
      <c r="J310" s="13"/>
      <c r="K310" s="13"/>
      <c r="L310" s="13"/>
      <c r="M310" s="13"/>
      <c r="N310" s="30"/>
    </row>
    <row r="311" customFormat="1" spans="1:14">
      <c r="A311" t="str">
        <f t="shared" si="9"/>
        <v/>
      </c>
      <c r="B311" s="11"/>
      <c r="C311" s="11"/>
      <c r="D311" s="11"/>
      <c r="E311" s="11"/>
      <c r="F311" s="14"/>
      <c r="G311" s="12" t="s">
        <v>247</v>
      </c>
      <c r="H311" s="13"/>
      <c r="I311" s="12" t="s">
        <v>248</v>
      </c>
      <c r="J311" s="13"/>
      <c r="K311" s="12" t="s">
        <v>249</v>
      </c>
      <c r="L311" s="13"/>
      <c r="M311" s="17" t="s">
        <v>250</v>
      </c>
      <c r="N311" s="17"/>
    </row>
    <row r="312" customFormat="1" spans="1:14">
      <c r="A312" t="str">
        <f t="shared" si="9"/>
        <v>日期</v>
      </c>
      <c r="B312" s="15"/>
      <c r="C312" s="15"/>
      <c r="D312" s="15"/>
      <c r="E312" s="15"/>
      <c r="F312" s="16" t="s">
        <v>40</v>
      </c>
      <c r="G312" s="17" t="s">
        <v>251</v>
      </c>
      <c r="H312" s="17" t="s">
        <v>252</v>
      </c>
      <c r="I312" s="17" t="s">
        <v>251</v>
      </c>
      <c r="J312" s="17" t="s">
        <v>252</v>
      </c>
      <c r="K312" s="17" t="s">
        <v>251</v>
      </c>
      <c r="L312" s="17" t="s">
        <v>252</v>
      </c>
      <c r="M312" s="17" t="s">
        <v>251</v>
      </c>
      <c r="N312" s="17" t="s">
        <v>252</v>
      </c>
    </row>
    <row r="313" customFormat="1" ht="86" customHeight="1" spans="1:14">
      <c r="A313" t="str">
        <f t="shared" si="9"/>
        <v>XXXX-1119月16日上午</v>
      </c>
      <c r="B313" s="18"/>
      <c r="C313" s="19"/>
      <c r="D313" s="20"/>
      <c r="E313" s="20" t="s">
        <v>23</v>
      </c>
      <c r="F313" s="21" t="s">
        <v>281</v>
      </c>
      <c r="G313" s="21"/>
      <c r="H313" s="21"/>
      <c r="I313" s="21"/>
      <c r="J313" s="21"/>
      <c r="K313" s="21"/>
      <c r="L313" s="21" t="s">
        <v>362</v>
      </c>
      <c r="M313" s="21"/>
      <c r="N313" s="21"/>
    </row>
    <row r="314" customFormat="1" ht="86" customHeight="1" spans="1:14">
      <c r="A314" t="str">
        <f t="shared" si="9"/>
        <v>XXXX-2229月16日上午</v>
      </c>
      <c r="B314" s="18"/>
      <c r="C314" s="22"/>
      <c r="D314" s="20"/>
      <c r="E314" s="20" t="s">
        <v>24</v>
      </c>
      <c r="F314" s="21" t="s">
        <v>281</v>
      </c>
      <c r="G314" s="21"/>
      <c r="H314" s="21"/>
      <c r="I314" s="21"/>
      <c r="J314" s="21"/>
      <c r="K314" s="31"/>
      <c r="L314" s="21"/>
      <c r="M314" s="21"/>
      <c r="N314" s="21"/>
    </row>
    <row r="315" customFormat="1" ht="86" customHeight="1" spans="1:14">
      <c r="A315" t="str">
        <f t="shared" si="9"/>
        <v>9月16日上午</v>
      </c>
      <c r="B315" s="18"/>
      <c r="C315" s="23"/>
      <c r="D315" s="20"/>
      <c r="E315" s="20"/>
      <c r="F315" s="21" t="s">
        <v>281</v>
      </c>
      <c r="G315" s="21"/>
      <c r="H315" s="21"/>
      <c r="I315" s="21"/>
      <c r="J315" s="21" t="s">
        <v>448</v>
      </c>
      <c r="K315" s="21"/>
      <c r="L315" s="21"/>
      <c r="M315" s="21"/>
      <c r="N315" s="21"/>
    </row>
    <row r="316" customFormat="1" ht="86" customHeight="1" spans="1:14">
      <c r="A316" t="str">
        <f t="shared" si="9"/>
        <v>9月16日上午</v>
      </c>
      <c r="B316" s="18"/>
      <c r="C316" s="19"/>
      <c r="D316" s="20"/>
      <c r="E316" s="20"/>
      <c r="F316" s="21" t="s">
        <v>281</v>
      </c>
      <c r="G316" s="21"/>
      <c r="H316" s="21"/>
      <c r="I316" s="21"/>
      <c r="J316" s="21"/>
      <c r="K316" s="21"/>
      <c r="L316" s="21"/>
      <c r="M316" s="21"/>
      <c r="N316" s="21"/>
    </row>
    <row r="317" customFormat="1" ht="86" customHeight="1" spans="1:14">
      <c r="A317" t="str">
        <f t="shared" ref="A317:A352" si="10">E317&amp;F317</f>
        <v>9月16日上午</v>
      </c>
      <c r="B317" s="18"/>
      <c r="C317" s="23"/>
      <c r="D317" s="20"/>
      <c r="E317" s="20"/>
      <c r="F317" s="21" t="s">
        <v>281</v>
      </c>
      <c r="G317" s="21"/>
      <c r="H317" s="21"/>
      <c r="I317" s="21"/>
      <c r="J317" s="21"/>
      <c r="K317" s="21"/>
      <c r="L317" s="21" t="s">
        <v>449</v>
      </c>
      <c r="M317" s="21"/>
      <c r="N317" s="21"/>
    </row>
    <row r="318" customFormat="1" ht="86" customHeight="1" spans="1:14">
      <c r="A318" t="str">
        <f t="shared" si="10"/>
        <v>9月16日上午</v>
      </c>
      <c r="B318" s="18"/>
      <c r="C318" s="18"/>
      <c r="D318" s="20"/>
      <c r="E318" s="24"/>
      <c r="F318" s="21" t="s">
        <v>281</v>
      </c>
      <c r="G318" s="21"/>
      <c r="H318" s="21"/>
      <c r="I318" s="21"/>
      <c r="J318" s="21"/>
      <c r="K318" s="21"/>
      <c r="L318" s="21"/>
      <c r="M318" s="21"/>
      <c r="N318" s="21"/>
    </row>
    <row r="319" customFormat="1" ht="86" customHeight="1" spans="1:14">
      <c r="A319" t="str">
        <f t="shared" si="10"/>
        <v>9月16日上午</v>
      </c>
      <c r="B319" s="18"/>
      <c r="C319" s="18"/>
      <c r="D319" s="20"/>
      <c r="E319" s="20"/>
      <c r="F319" s="21" t="s">
        <v>281</v>
      </c>
      <c r="G319" s="21"/>
      <c r="H319" s="21"/>
      <c r="I319" s="21"/>
      <c r="J319" s="21"/>
      <c r="K319" s="21"/>
      <c r="L319" s="21"/>
      <c r="M319" s="21"/>
      <c r="N319" s="21" t="s">
        <v>450</v>
      </c>
    </row>
    <row r="320" spans="1:1">
      <c r="A320" t="str">
        <f t="shared" si="10"/>
        <v/>
      </c>
    </row>
    <row r="321" customFormat="1" spans="1:14">
      <c r="A321" t="str">
        <f t="shared" si="10"/>
        <v>SKU</v>
      </c>
      <c r="B321" s="11" t="s">
        <v>2</v>
      </c>
      <c r="C321" s="11" t="s">
        <v>342</v>
      </c>
      <c r="D321" s="11" t="s">
        <v>343</v>
      </c>
      <c r="E321" s="11" t="s">
        <v>344</v>
      </c>
      <c r="F321" s="11"/>
      <c r="G321" s="12" t="s">
        <v>345</v>
      </c>
      <c r="H321" s="13"/>
      <c r="I321" s="13"/>
      <c r="J321" s="13"/>
      <c r="K321" s="13"/>
      <c r="L321" s="13"/>
      <c r="M321" s="13"/>
      <c r="N321" s="30"/>
    </row>
    <row r="322" customFormat="1" spans="1:14">
      <c r="A322" t="str">
        <f t="shared" si="10"/>
        <v/>
      </c>
      <c r="B322" s="11"/>
      <c r="C322" s="11"/>
      <c r="D322" s="11"/>
      <c r="E322" s="11"/>
      <c r="F322" s="14"/>
      <c r="G322" s="12" t="s">
        <v>247</v>
      </c>
      <c r="H322" s="13"/>
      <c r="I322" s="12" t="s">
        <v>351</v>
      </c>
      <c r="J322" s="13"/>
      <c r="K322" s="12" t="s">
        <v>249</v>
      </c>
      <c r="L322" s="13"/>
      <c r="M322" s="17" t="s">
        <v>250</v>
      </c>
      <c r="N322" s="17"/>
    </row>
    <row r="323" customFormat="1" spans="1:14">
      <c r="A323" t="str">
        <f t="shared" si="10"/>
        <v>日期</v>
      </c>
      <c r="B323" s="15"/>
      <c r="C323" s="15"/>
      <c r="D323" s="15"/>
      <c r="E323" s="15"/>
      <c r="F323" s="16" t="s">
        <v>40</v>
      </c>
      <c r="G323" s="17" t="s">
        <v>251</v>
      </c>
      <c r="H323" s="17" t="s">
        <v>252</v>
      </c>
      <c r="I323" s="17" t="s">
        <v>251</v>
      </c>
      <c r="J323" s="17" t="s">
        <v>252</v>
      </c>
      <c r="K323" s="17" t="s">
        <v>251</v>
      </c>
      <c r="L323" s="17" t="s">
        <v>252</v>
      </c>
      <c r="M323" s="17" t="s">
        <v>251</v>
      </c>
      <c r="N323" s="17" t="s">
        <v>252</v>
      </c>
    </row>
    <row r="324" customFormat="1" ht="90" customHeight="1" spans="1:14">
      <c r="A324" t="str">
        <f t="shared" si="10"/>
        <v>XXXX-1119月16日晚上</v>
      </c>
      <c r="B324" s="18"/>
      <c r="C324" s="19"/>
      <c r="D324" s="33"/>
      <c r="E324" s="33" t="s">
        <v>23</v>
      </c>
      <c r="F324" s="21" t="s">
        <v>282</v>
      </c>
      <c r="G324" s="21"/>
      <c r="H324" s="21" t="s">
        <v>356</v>
      </c>
      <c r="I324" s="21"/>
      <c r="J324" s="21"/>
      <c r="K324" s="21"/>
      <c r="L324" s="21" t="s">
        <v>348</v>
      </c>
      <c r="M324" s="21"/>
      <c r="N324" s="21"/>
    </row>
    <row r="325" customFormat="1" ht="90" customHeight="1" spans="1:14">
      <c r="A325" t="str">
        <f t="shared" si="10"/>
        <v>XXXX-2229月16日晚上</v>
      </c>
      <c r="B325" s="18"/>
      <c r="C325" s="22"/>
      <c r="D325" s="20"/>
      <c r="E325" s="20" t="s">
        <v>24</v>
      </c>
      <c r="F325" s="21" t="s">
        <v>282</v>
      </c>
      <c r="G325" s="21"/>
      <c r="H325" s="21"/>
      <c r="I325" s="21"/>
      <c r="J325" s="21" t="s">
        <v>451</v>
      </c>
      <c r="K325" s="31"/>
      <c r="L325" s="21"/>
      <c r="M325" s="21"/>
      <c r="N325" s="21"/>
    </row>
    <row r="326" customFormat="1" ht="90" customHeight="1" spans="1:14">
      <c r="A326" t="str">
        <f t="shared" si="10"/>
        <v>9月16日晚上</v>
      </c>
      <c r="B326" s="18"/>
      <c r="C326" s="23"/>
      <c r="D326" s="33"/>
      <c r="E326" s="33"/>
      <c r="F326" s="21" t="s">
        <v>282</v>
      </c>
      <c r="G326" s="21"/>
      <c r="I326" s="21"/>
      <c r="J326" s="21" t="s">
        <v>452</v>
      </c>
      <c r="K326" s="21"/>
      <c r="L326" s="21" t="s">
        <v>453</v>
      </c>
      <c r="M326" s="21"/>
      <c r="N326" s="21"/>
    </row>
    <row r="327" customFormat="1" ht="90" customHeight="1" spans="1:14">
      <c r="A327" t="str">
        <f t="shared" si="10"/>
        <v>9月16日晚上</v>
      </c>
      <c r="B327" s="18"/>
      <c r="C327" s="19"/>
      <c r="D327" s="20"/>
      <c r="E327" s="20"/>
      <c r="F327" s="21" t="s">
        <v>282</v>
      </c>
      <c r="G327" s="21"/>
      <c r="H327" s="21"/>
      <c r="I327" s="21"/>
      <c r="J327" s="21" t="s">
        <v>454</v>
      </c>
      <c r="K327" s="21"/>
      <c r="L327" s="21"/>
      <c r="M327" s="21"/>
      <c r="N327" s="21"/>
    </row>
    <row r="328" customFormat="1" ht="90" customHeight="1" spans="1:14">
      <c r="A328" t="str">
        <f t="shared" si="10"/>
        <v>9月16日晚上</v>
      </c>
      <c r="B328" s="18"/>
      <c r="C328" s="23"/>
      <c r="D328" s="33"/>
      <c r="E328" s="33"/>
      <c r="F328" s="21" t="s">
        <v>282</v>
      </c>
      <c r="G328" s="21"/>
      <c r="H328" s="21"/>
      <c r="I328" s="21"/>
      <c r="J328" s="21"/>
      <c r="L328" s="21"/>
      <c r="M328" s="21"/>
      <c r="N328" s="21" t="s">
        <v>449</v>
      </c>
    </row>
    <row r="329" customFormat="1" ht="90" customHeight="1" spans="1:14">
      <c r="A329" t="str">
        <f t="shared" si="10"/>
        <v> 
9月16日晚上</v>
      </c>
      <c r="B329" s="18"/>
      <c r="C329" s="18"/>
      <c r="D329" s="33"/>
      <c r="E329" s="34" t="s">
        <v>368</v>
      </c>
      <c r="F329" s="21" t="s">
        <v>282</v>
      </c>
      <c r="G329" s="21"/>
      <c r="H329" s="21"/>
      <c r="I329" s="21"/>
      <c r="J329" s="21"/>
      <c r="K329" s="21"/>
      <c r="L329" s="21"/>
      <c r="M329" s="21"/>
      <c r="N329" s="21"/>
    </row>
    <row r="330" customFormat="1" ht="90" customHeight="1" spans="1:14">
      <c r="A330" t="str">
        <f t="shared" si="10"/>
        <v>9月16日晚上</v>
      </c>
      <c r="B330" s="18"/>
      <c r="C330" s="18"/>
      <c r="D330" s="33"/>
      <c r="E330" s="33"/>
      <c r="F330" s="21" t="s">
        <v>282</v>
      </c>
      <c r="G330" s="21"/>
      <c r="H330" s="21"/>
      <c r="I330" s="21"/>
      <c r="J330" s="21"/>
      <c r="K330" s="21"/>
      <c r="L330" s="21"/>
      <c r="M330" s="21" t="s">
        <v>455</v>
      </c>
      <c r="N330" s="21" t="s">
        <v>456</v>
      </c>
    </row>
    <row r="331" spans="1:1">
      <c r="A331" t="str">
        <f t="shared" si="10"/>
        <v/>
      </c>
    </row>
    <row r="332" customFormat="1" spans="1:14">
      <c r="A332" t="str">
        <f t="shared" si="10"/>
        <v>SKU</v>
      </c>
      <c r="B332" s="11" t="s">
        <v>2</v>
      </c>
      <c r="C332" s="11" t="s">
        <v>342</v>
      </c>
      <c r="D332" s="11" t="s">
        <v>343</v>
      </c>
      <c r="E332" s="11" t="s">
        <v>344</v>
      </c>
      <c r="F332" s="11"/>
      <c r="G332" s="12" t="s">
        <v>345</v>
      </c>
      <c r="H332" s="13"/>
      <c r="I332" s="13"/>
      <c r="J332" s="13"/>
      <c r="K332" s="13"/>
      <c r="L332" s="13"/>
      <c r="M332" s="13"/>
      <c r="N332" s="30"/>
    </row>
    <row r="333" customFormat="1" spans="1:14">
      <c r="A333" t="str">
        <f t="shared" si="10"/>
        <v/>
      </c>
      <c r="B333" s="11"/>
      <c r="C333" s="11"/>
      <c r="D333" s="11"/>
      <c r="E333" s="11"/>
      <c r="F333" s="14"/>
      <c r="G333" s="12" t="s">
        <v>247</v>
      </c>
      <c r="H333" s="13"/>
      <c r="I333" s="12" t="s">
        <v>248</v>
      </c>
      <c r="J333" s="13"/>
      <c r="K333" s="12" t="s">
        <v>249</v>
      </c>
      <c r="L333" s="13"/>
      <c r="M333" s="17" t="s">
        <v>250</v>
      </c>
      <c r="N333" s="17"/>
    </row>
    <row r="334" customFormat="1" spans="1:14">
      <c r="A334" t="str">
        <f t="shared" si="10"/>
        <v>日期</v>
      </c>
      <c r="B334" s="15"/>
      <c r="C334" s="15"/>
      <c r="D334" s="15"/>
      <c r="E334" s="15"/>
      <c r="F334" s="16" t="s">
        <v>40</v>
      </c>
      <c r="G334" s="17" t="s">
        <v>251</v>
      </c>
      <c r="H334" s="17" t="s">
        <v>252</v>
      </c>
      <c r="I334" s="17" t="s">
        <v>251</v>
      </c>
      <c r="J334" s="17" t="s">
        <v>252</v>
      </c>
      <c r="K334" s="17" t="s">
        <v>251</v>
      </c>
      <c r="L334" s="17" t="s">
        <v>252</v>
      </c>
      <c r="M334" s="17" t="s">
        <v>251</v>
      </c>
      <c r="N334" s="17" t="s">
        <v>252</v>
      </c>
    </row>
    <row r="335" customFormat="1" ht="86" customHeight="1" spans="1:14">
      <c r="A335" t="str">
        <f t="shared" si="10"/>
        <v>XXXX-1119月17日上午</v>
      </c>
      <c r="B335" s="18"/>
      <c r="C335" s="19"/>
      <c r="D335" s="20"/>
      <c r="E335" s="20" t="s">
        <v>23</v>
      </c>
      <c r="F335" s="21" t="s">
        <v>283</v>
      </c>
      <c r="G335" s="21"/>
      <c r="H335" s="21" t="s">
        <v>457</v>
      </c>
      <c r="I335" s="21"/>
      <c r="J335" s="21"/>
      <c r="K335" s="21"/>
      <c r="L335" s="21" t="s">
        <v>458</v>
      </c>
      <c r="M335" s="21"/>
      <c r="N335" s="21"/>
    </row>
    <row r="336" customFormat="1" ht="86" customHeight="1" spans="1:14">
      <c r="A336" t="str">
        <f t="shared" si="10"/>
        <v>XXXX-2229月17日上午</v>
      </c>
      <c r="B336" s="18"/>
      <c r="C336" s="22"/>
      <c r="D336" s="20"/>
      <c r="E336" s="20" t="s">
        <v>24</v>
      </c>
      <c r="F336" s="21" t="s">
        <v>283</v>
      </c>
      <c r="G336" s="21"/>
      <c r="H336" s="21"/>
      <c r="I336" s="21"/>
      <c r="J336" s="21" t="s">
        <v>459</v>
      </c>
      <c r="K336" s="31"/>
      <c r="L336" s="21"/>
      <c r="M336" s="21"/>
      <c r="N336" s="21"/>
    </row>
    <row r="337" customFormat="1" ht="86" customHeight="1" spans="1:14">
      <c r="A337" t="str">
        <f t="shared" si="10"/>
        <v>9月17日上午</v>
      </c>
      <c r="B337" s="18"/>
      <c r="C337" s="23"/>
      <c r="D337" s="20"/>
      <c r="E337" s="20"/>
      <c r="F337" s="21" t="s">
        <v>283</v>
      </c>
      <c r="G337" s="21"/>
      <c r="H337" s="21"/>
      <c r="I337" s="21"/>
      <c r="J337" s="21" t="s">
        <v>460</v>
      </c>
      <c r="K337" s="21"/>
      <c r="L337" s="21" t="s">
        <v>449</v>
      </c>
      <c r="M337" s="21"/>
      <c r="N337" s="21"/>
    </row>
    <row r="338" customFormat="1" ht="86" customHeight="1" spans="1:14">
      <c r="A338" t="str">
        <f t="shared" si="10"/>
        <v>9月17日上午</v>
      </c>
      <c r="B338" s="18"/>
      <c r="C338" s="19"/>
      <c r="D338" s="20"/>
      <c r="E338" s="20"/>
      <c r="F338" s="21" t="s">
        <v>283</v>
      </c>
      <c r="G338" s="21"/>
      <c r="H338" s="21"/>
      <c r="I338" s="21"/>
      <c r="J338" s="21" t="s">
        <v>461</v>
      </c>
      <c r="K338" s="21"/>
      <c r="L338" s="21"/>
      <c r="M338" s="21"/>
      <c r="N338" s="21"/>
    </row>
    <row r="339" customFormat="1" ht="86" customHeight="1" spans="1:14">
      <c r="A339" t="str">
        <f t="shared" si="10"/>
        <v>9月17日上午</v>
      </c>
      <c r="B339" s="18"/>
      <c r="C339" s="23"/>
      <c r="D339" s="20"/>
      <c r="E339" s="20"/>
      <c r="F339" s="21" t="s">
        <v>283</v>
      </c>
      <c r="G339" s="21"/>
      <c r="H339" s="21"/>
      <c r="I339" s="21"/>
      <c r="J339" s="21"/>
      <c r="K339" s="21"/>
      <c r="L339" s="21" t="s">
        <v>388</v>
      </c>
      <c r="M339" s="21"/>
      <c r="N339" s="21"/>
    </row>
    <row r="340" customFormat="1" ht="86" customHeight="1" spans="1:14">
      <c r="A340" t="str">
        <f t="shared" si="10"/>
        <v>9月17日上午</v>
      </c>
      <c r="B340" s="18"/>
      <c r="C340" s="18"/>
      <c r="D340" s="20"/>
      <c r="E340" s="24"/>
      <c r="F340" s="21" t="s">
        <v>283</v>
      </c>
      <c r="G340" s="21"/>
      <c r="H340" s="21"/>
      <c r="I340" s="21"/>
      <c r="J340" s="21"/>
      <c r="K340" s="21"/>
      <c r="L340" s="21"/>
      <c r="M340" s="21"/>
      <c r="N340" s="21"/>
    </row>
    <row r="341" customFormat="1" ht="86" customHeight="1" spans="1:14">
      <c r="A341" t="str">
        <f t="shared" si="10"/>
        <v>9月17日上午</v>
      </c>
      <c r="B341" s="18"/>
      <c r="C341" s="18"/>
      <c r="D341" s="20"/>
      <c r="E341" s="20"/>
      <c r="F341" s="21" t="s">
        <v>283</v>
      </c>
      <c r="G341" s="21"/>
      <c r="H341" s="21"/>
      <c r="I341" s="21"/>
      <c r="J341" s="21"/>
      <c r="K341" s="21"/>
      <c r="L341" s="21"/>
      <c r="M341" s="21"/>
      <c r="N341" s="21" t="s">
        <v>462</v>
      </c>
    </row>
    <row r="342" spans="1:1">
      <c r="A342" t="str">
        <f t="shared" si="10"/>
        <v/>
      </c>
    </row>
    <row r="343" customFormat="1" spans="1:14">
      <c r="A343" t="str">
        <f t="shared" si="10"/>
        <v>SKU</v>
      </c>
      <c r="B343" s="11" t="s">
        <v>2</v>
      </c>
      <c r="C343" s="11" t="s">
        <v>342</v>
      </c>
      <c r="D343" s="11" t="s">
        <v>343</v>
      </c>
      <c r="E343" s="11" t="s">
        <v>344</v>
      </c>
      <c r="F343" s="11"/>
      <c r="G343" s="12" t="s">
        <v>345</v>
      </c>
      <c r="H343" s="13"/>
      <c r="I343" s="13"/>
      <c r="J343" s="13"/>
      <c r="K343" s="13"/>
      <c r="L343" s="13"/>
      <c r="M343" s="13"/>
      <c r="N343" s="30"/>
    </row>
    <row r="344" customFormat="1" spans="1:14">
      <c r="A344" t="str">
        <f t="shared" si="10"/>
        <v/>
      </c>
      <c r="B344" s="11"/>
      <c r="C344" s="11"/>
      <c r="D344" s="11"/>
      <c r="E344" s="11"/>
      <c r="F344" s="14"/>
      <c r="G344" s="12" t="s">
        <v>247</v>
      </c>
      <c r="H344" s="13"/>
      <c r="I344" s="12" t="s">
        <v>351</v>
      </c>
      <c r="J344" s="13"/>
      <c r="K344" s="12" t="s">
        <v>249</v>
      </c>
      <c r="L344" s="13"/>
      <c r="M344" s="17" t="s">
        <v>250</v>
      </c>
      <c r="N344" s="17"/>
    </row>
    <row r="345" customFormat="1" spans="1:14">
      <c r="A345" t="str">
        <f t="shared" si="10"/>
        <v>日期</v>
      </c>
      <c r="B345" s="15"/>
      <c r="C345" s="15"/>
      <c r="D345" s="15"/>
      <c r="E345" s="15"/>
      <c r="F345" s="16" t="s">
        <v>40</v>
      </c>
      <c r="G345" s="17" t="s">
        <v>251</v>
      </c>
      <c r="H345" s="17" t="s">
        <v>252</v>
      </c>
      <c r="I345" s="17" t="s">
        <v>251</v>
      </c>
      <c r="J345" s="17" t="s">
        <v>252</v>
      </c>
      <c r="K345" s="17" t="s">
        <v>251</v>
      </c>
      <c r="L345" s="17" t="s">
        <v>252</v>
      </c>
      <c r="M345" s="17" t="s">
        <v>251</v>
      </c>
      <c r="N345" s="17" t="s">
        <v>252</v>
      </c>
    </row>
    <row r="346" customFormat="1" ht="90" customHeight="1" spans="1:14">
      <c r="A346" t="str">
        <f t="shared" si="10"/>
        <v>XXXX-1119月17日晚上</v>
      </c>
      <c r="B346" s="18"/>
      <c r="C346" s="19"/>
      <c r="D346" s="33"/>
      <c r="E346" s="33" t="s">
        <v>23</v>
      </c>
      <c r="F346" s="21" t="s">
        <v>284</v>
      </c>
      <c r="G346" s="21"/>
      <c r="H346" s="21" t="s">
        <v>457</v>
      </c>
      <c r="I346" s="21"/>
      <c r="J346" s="21"/>
      <c r="K346" s="21"/>
      <c r="L346" s="21" t="s">
        <v>458</v>
      </c>
      <c r="M346" s="21"/>
      <c r="N346" s="21"/>
    </row>
    <row r="347" customFormat="1" ht="90" customHeight="1" spans="1:14">
      <c r="A347" t="str">
        <f t="shared" si="10"/>
        <v>XXXX-2229月17日晚上</v>
      </c>
      <c r="B347" s="18"/>
      <c r="C347" s="22"/>
      <c r="D347" s="20"/>
      <c r="E347" s="20" t="s">
        <v>24</v>
      </c>
      <c r="F347" s="21" t="s">
        <v>284</v>
      </c>
      <c r="G347" s="21"/>
      <c r="H347" s="21"/>
      <c r="I347" s="21"/>
      <c r="J347" s="21" t="s">
        <v>463</v>
      </c>
      <c r="K347" s="31"/>
      <c r="L347" s="21"/>
      <c r="M347" s="21"/>
      <c r="N347" s="21"/>
    </row>
    <row r="348" customFormat="1" ht="90" customHeight="1" spans="1:14">
      <c r="A348" t="str">
        <f t="shared" si="10"/>
        <v>9月17日晚上</v>
      </c>
      <c r="B348" s="18"/>
      <c r="C348" s="23"/>
      <c r="D348" s="33"/>
      <c r="E348" s="33"/>
      <c r="F348" s="21" t="s">
        <v>284</v>
      </c>
      <c r="G348" s="21"/>
      <c r="I348" s="21"/>
      <c r="J348" s="21"/>
      <c r="K348" s="21" t="s">
        <v>464</v>
      </c>
      <c r="L348" s="21" t="s">
        <v>465</v>
      </c>
      <c r="M348" s="21"/>
      <c r="N348" s="21"/>
    </row>
    <row r="349" customFormat="1" ht="90" customHeight="1" spans="1:14">
      <c r="A349" t="str">
        <f t="shared" si="10"/>
        <v>9月17日晚上</v>
      </c>
      <c r="B349" s="18"/>
      <c r="C349" s="19"/>
      <c r="D349" s="20"/>
      <c r="E349" s="20"/>
      <c r="F349" s="21" t="s">
        <v>284</v>
      </c>
      <c r="G349" s="21"/>
      <c r="H349" s="21"/>
      <c r="I349" s="21"/>
      <c r="J349" s="21" t="s">
        <v>466</v>
      </c>
      <c r="K349" s="21"/>
      <c r="L349" s="21"/>
      <c r="M349" s="21"/>
      <c r="N349" s="21"/>
    </row>
    <row r="350" customFormat="1" ht="90" customHeight="1" spans="1:14">
      <c r="A350" t="str">
        <f t="shared" si="10"/>
        <v>9月17日晚上</v>
      </c>
      <c r="B350" s="18"/>
      <c r="C350" s="23"/>
      <c r="D350" s="33"/>
      <c r="E350" s="33"/>
      <c r="F350" s="21" t="s">
        <v>284</v>
      </c>
      <c r="G350" s="21"/>
      <c r="H350" s="21"/>
      <c r="I350" s="21"/>
      <c r="J350" s="21"/>
      <c r="L350" s="21" t="s">
        <v>382</v>
      </c>
      <c r="M350" s="21"/>
      <c r="N350" s="21"/>
    </row>
    <row r="351" customFormat="1" ht="90" customHeight="1" spans="1:14">
      <c r="A351" t="str">
        <f t="shared" si="10"/>
        <v> 
9月17日晚上</v>
      </c>
      <c r="B351" s="18"/>
      <c r="C351" s="18"/>
      <c r="D351" s="33"/>
      <c r="E351" s="34" t="s">
        <v>368</v>
      </c>
      <c r="F351" s="21" t="s">
        <v>284</v>
      </c>
      <c r="G351" s="21"/>
      <c r="H351" s="21"/>
      <c r="I351" s="21"/>
      <c r="J351" s="21"/>
      <c r="K351" s="21"/>
      <c r="L351" s="21"/>
      <c r="M351" s="21"/>
      <c r="N351" s="21"/>
    </row>
    <row r="352" customFormat="1" ht="90" customHeight="1" spans="1:14">
      <c r="A352" t="str">
        <f t="shared" si="10"/>
        <v>9月17日晚上</v>
      </c>
      <c r="B352" s="18"/>
      <c r="C352" s="18"/>
      <c r="D352" s="33"/>
      <c r="E352" s="33"/>
      <c r="F352" s="21" t="s">
        <v>284</v>
      </c>
      <c r="G352" s="21"/>
      <c r="H352" s="21"/>
      <c r="I352" s="21"/>
      <c r="J352" s="21"/>
      <c r="K352" s="21"/>
      <c r="L352" s="21"/>
      <c r="M352" s="21" t="s">
        <v>467</v>
      </c>
      <c r="N352" s="21" t="s">
        <v>468</v>
      </c>
    </row>
    <row r="353" spans="1:1">
      <c r="A353" t="str">
        <f t="shared" ref="A353:A384" si="11">E353&amp;F353</f>
        <v/>
      </c>
    </row>
    <row r="354" customFormat="1" spans="1:14">
      <c r="A354" t="str">
        <f t="shared" si="11"/>
        <v>SKU</v>
      </c>
      <c r="B354" s="11" t="s">
        <v>2</v>
      </c>
      <c r="C354" s="11" t="s">
        <v>342</v>
      </c>
      <c r="D354" s="11" t="s">
        <v>343</v>
      </c>
      <c r="E354" s="11" t="s">
        <v>344</v>
      </c>
      <c r="F354" s="11"/>
      <c r="G354" s="12" t="s">
        <v>345</v>
      </c>
      <c r="H354" s="13"/>
      <c r="I354" s="13"/>
      <c r="J354" s="13"/>
      <c r="K354" s="13"/>
      <c r="L354" s="13"/>
      <c r="M354" s="13"/>
      <c r="N354" s="30"/>
    </row>
    <row r="355" customFormat="1" spans="1:14">
      <c r="A355" t="str">
        <f t="shared" si="11"/>
        <v/>
      </c>
      <c r="B355" s="11"/>
      <c r="C355" s="11"/>
      <c r="D355" s="11"/>
      <c r="E355" s="11"/>
      <c r="F355" s="14"/>
      <c r="G355" s="12" t="s">
        <v>247</v>
      </c>
      <c r="H355" s="13"/>
      <c r="I355" s="12" t="s">
        <v>248</v>
      </c>
      <c r="J355" s="13"/>
      <c r="K355" s="12" t="s">
        <v>249</v>
      </c>
      <c r="L355" s="13"/>
      <c r="M355" s="17" t="s">
        <v>250</v>
      </c>
      <c r="N355" s="17"/>
    </row>
    <row r="356" customFormat="1" spans="1:14">
      <c r="A356" t="str">
        <f t="shared" si="11"/>
        <v>日期</v>
      </c>
      <c r="B356" s="15"/>
      <c r="C356" s="15"/>
      <c r="D356" s="15"/>
      <c r="E356" s="15"/>
      <c r="F356" s="16" t="s">
        <v>40</v>
      </c>
      <c r="G356" s="17" t="s">
        <v>251</v>
      </c>
      <c r="H356" s="17" t="s">
        <v>252</v>
      </c>
      <c r="I356" s="17" t="s">
        <v>251</v>
      </c>
      <c r="J356" s="17" t="s">
        <v>252</v>
      </c>
      <c r="K356" s="17" t="s">
        <v>251</v>
      </c>
      <c r="L356" s="17" t="s">
        <v>252</v>
      </c>
      <c r="M356" s="17" t="s">
        <v>251</v>
      </c>
      <c r="N356" s="17" t="s">
        <v>252</v>
      </c>
    </row>
    <row r="357" customFormat="1" ht="86" customHeight="1" spans="1:14">
      <c r="A357" t="str">
        <f t="shared" si="11"/>
        <v>XXXX-1119月18日上午</v>
      </c>
      <c r="B357" s="18"/>
      <c r="C357" s="19"/>
      <c r="D357" s="20"/>
      <c r="E357" s="20" t="s">
        <v>23</v>
      </c>
      <c r="F357" s="21" t="s">
        <v>285</v>
      </c>
      <c r="G357" s="21"/>
      <c r="H357" s="21"/>
      <c r="I357" s="21"/>
      <c r="J357" s="21"/>
      <c r="K357" s="21"/>
      <c r="L357" s="21"/>
      <c r="M357" s="21"/>
      <c r="N357" s="21"/>
    </row>
    <row r="358" customFormat="1" ht="86" customHeight="1" spans="1:14">
      <c r="A358" t="str">
        <f t="shared" si="11"/>
        <v>XXXX-2229月18日上午</v>
      </c>
      <c r="B358" s="18"/>
      <c r="C358" s="22"/>
      <c r="D358" s="20"/>
      <c r="E358" s="20" t="s">
        <v>24</v>
      </c>
      <c r="F358" s="21" t="s">
        <v>285</v>
      </c>
      <c r="G358" s="21"/>
      <c r="H358" s="21"/>
      <c r="I358" s="21"/>
      <c r="J358" s="21"/>
      <c r="K358" s="31"/>
      <c r="L358" s="21"/>
      <c r="M358" s="21"/>
      <c r="N358" s="21"/>
    </row>
    <row r="359" customFormat="1" ht="86" customHeight="1" spans="1:14">
      <c r="A359" t="str">
        <f t="shared" si="11"/>
        <v>9月18日上午</v>
      </c>
      <c r="B359" s="18"/>
      <c r="C359" s="23"/>
      <c r="D359" s="20"/>
      <c r="E359" s="20"/>
      <c r="F359" s="21" t="s">
        <v>285</v>
      </c>
      <c r="G359" s="21"/>
      <c r="H359" s="21"/>
      <c r="I359" s="21"/>
      <c r="J359" s="21"/>
      <c r="K359" s="21"/>
      <c r="L359" s="21"/>
      <c r="M359" s="21"/>
      <c r="N359" s="21"/>
    </row>
    <row r="360" customFormat="1" ht="86" customHeight="1" spans="1:14">
      <c r="A360" t="str">
        <f t="shared" si="11"/>
        <v>9月18日上午</v>
      </c>
      <c r="B360" s="18"/>
      <c r="C360" s="19"/>
      <c r="D360" s="20"/>
      <c r="E360" s="20"/>
      <c r="F360" s="21" t="s">
        <v>285</v>
      </c>
      <c r="G360" s="21"/>
      <c r="H360" s="21"/>
      <c r="I360" s="21"/>
      <c r="J360" s="21"/>
      <c r="K360" s="21"/>
      <c r="L360" s="21"/>
      <c r="M360" s="21"/>
      <c r="N360" s="21"/>
    </row>
    <row r="361" customFormat="1" ht="86" customHeight="1" spans="1:14">
      <c r="A361" t="str">
        <f t="shared" si="11"/>
        <v>9月18日上午</v>
      </c>
      <c r="B361" s="18"/>
      <c r="C361" s="23"/>
      <c r="D361" s="20"/>
      <c r="E361" s="20"/>
      <c r="F361" s="21" t="s">
        <v>285</v>
      </c>
      <c r="G361" s="21"/>
      <c r="H361" s="21"/>
      <c r="I361" s="21"/>
      <c r="J361" s="21"/>
      <c r="K361" s="21"/>
      <c r="L361" s="21"/>
      <c r="M361" s="21"/>
      <c r="N361" s="21"/>
    </row>
    <row r="362" customFormat="1" ht="86" customHeight="1" spans="1:14">
      <c r="A362" t="str">
        <f t="shared" si="11"/>
        <v>9月18日上午</v>
      </c>
      <c r="B362" s="18"/>
      <c r="C362" s="18"/>
      <c r="D362" s="20"/>
      <c r="E362" s="24"/>
      <c r="F362" s="21" t="s">
        <v>285</v>
      </c>
      <c r="G362" s="21"/>
      <c r="H362" s="21"/>
      <c r="I362" s="21"/>
      <c r="J362" s="21"/>
      <c r="K362" s="21"/>
      <c r="L362" s="21"/>
      <c r="M362" s="21"/>
      <c r="N362" s="21"/>
    </row>
    <row r="363" customFormat="1" ht="86" customHeight="1" spans="1:14">
      <c r="A363" t="str">
        <f t="shared" si="11"/>
        <v>9月18日上午</v>
      </c>
      <c r="B363" s="18"/>
      <c r="C363" s="18"/>
      <c r="D363" s="20"/>
      <c r="E363" s="20"/>
      <c r="F363" s="21" t="s">
        <v>285</v>
      </c>
      <c r="G363" s="21"/>
      <c r="H363" s="21"/>
      <c r="I363" s="21"/>
      <c r="J363" s="21"/>
      <c r="K363" s="21"/>
      <c r="L363" s="21"/>
      <c r="M363" s="21"/>
      <c r="N363" s="21"/>
    </row>
    <row r="364" spans="1:1">
      <c r="A364" t="str">
        <f t="shared" si="11"/>
        <v/>
      </c>
    </row>
    <row r="365" customFormat="1" spans="1:14">
      <c r="A365" t="str">
        <f t="shared" si="11"/>
        <v>SKU</v>
      </c>
      <c r="B365" s="11" t="s">
        <v>2</v>
      </c>
      <c r="C365" s="11" t="s">
        <v>342</v>
      </c>
      <c r="D365" s="11" t="s">
        <v>343</v>
      </c>
      <c r="E365" s="11" t="s">
        <v>344</v>
      </c>
      <c r="F365" s="11"/>
      <c r="G365" s="12" t="s">
        <v>345</v>
      </c>
      <c r="H365" s="13"/>
      <c r="I365" s="13"/>
      <c r="J365" s="13"/>
      <c r="K365" s="13"/>
      <c r="L365" s="13"/>
      <c r="M365" s="13"/>
      <c r="N365" s="30"/>
    </row>
    <row r="366" customFormat="1" spans="1:14">
      <c r="A366" t="str">
        <f t="shared" si="11"/>
        <v/>
      </c>
      <c r="B366" s="11"/>
      <c r="C366" s="11"/>
      <c r="D366" s="11"/>
      <c r="E366" s="11"/>
      <c r="F366" s="14"/>
      <c r="G366" s="12" t="s">
        <v>247</v>
      </c>
      <c r="H366" s="13"/>
      <c r="I366" s="12" t="s">
        <v>351</v>
      </c>
      <c r="J366" s="13"/>
      <c r="K366" s="12" t="s">
        <v>249</v>
      </c>
      <c r="L366" s="13"/>
      <c r="M366" s="17" t="s">
        <v>250</v>
      </c>
      <c r="N366" s="17"/>
    </row>
    <row r="367" customFormat="1" spans="1:14">
      <c r="A367" t="str">
        <f t="shared" si="11"/>
        <v>日期</v>
      </c>
      <c r="B367" s="15"/>
      <c r="C367" s="15"/>
      <c r="D367" s="15"/>
      <c r="E367" s="15"/>
      <c r="F367" s="16" t="s">
        <v>40</v>
      </c>
      <c r="G367" s="17" t="s">
        <v>251</v>
      </c>
      <c r="H367" s="17" t="s">
        <v>252</v>
      </c>
      <c r="I367" s="17" t="s">
        <v>251</v>
      </c>
      <c r="J367" s="17" t="s">
        <v>252</v>
      </c>
      <c r="K367" s="17" t="s">
        <v>251</v>
      </c>
      <c r="L367" s="17" t="s">
        <v>252</v>
      </c>
      <c r="M367" s="17" t="s">
        <v>251</v>
      </c>
      <c r="N367" s="17" t="s">
        <v>252</v>
      </c>
    </row>
    <row r="368" customFormat="1" ht="90" customHeight="1" spans="1:14">
      <c r="A368" t="str">
        <f t="shared" si="11"/>
        <v>XXXX-1119月18日晚上</v>
      </c>
      <c r="B368" s="18"/>
      <c r="C368" s="19"/>
      <c r="D368" s="33"/>
      <c r="E368" s="33" t="s">
        <v>23</v>
      </c>
      <c r="F368" s="21" t="s">
        <v>286</v>
      </c>
      <c r="G368" s="21"/>
      <c r="H368" s="21"/>
      <c r="I368" s="21"/>
      <c r="J368" s="21"/>
      <c r="K368" s="21"/>
      <c r="L368" s="21"/>
      <c r="M368" s="21"/>
      <c r="N368" s="21"/>
    </row>
    <row r="369" customFormat="1" ht="90" customHeight="1" spans="1:14">
      <c r="A369" t="str">
        <f t="shared" si="11"/>
        <v>XXXX-2229月18日晚上</v>
      </c>
      <c r="B369" s="18"/>
      <c r="C369" s="22"/>
      <c r="D369" s="20"/>
      <c r="E369" s="20" t="s">
        <v>24</v>
      </c>
      <c r="F369" s="21" t="s">
        <v>286</v>
      </c>
      <c r="G369" s="21"/>
      <c r="H369" s="21"/>
      <c r="I369" s="21"/>
      <c r="J369" s="21"/>
      <c r="K369" s="31"/>
      <c r="L369" s="21"/>
      <c r="M369" s="21"/>
      <c r="N369" s="21"/>
    </row>
    <row r="370" customFormat="1" ht="90" customHeight="1" spans="1:14">
      <c r="A370" t="str">
        <f t="shared" si="11"/>
        <v>9月18日晚上</v>
      </c>
      <c r="B370" s="18"/>
      <c r="C370" s="23"/>
      <c r="D370" s="33"/>
      <c r="E370" s="33"/>
      <c r="F370" s="21" t="s">
        <v>286</v>
      </c>
      <c r="G370" s="21"/>
      <c r="I370" s="21"/>
      <c r="J370" s="21"/>
      <c r="K370" s="21"/>
      <c r="L370" s="21"/>
      <c r="M370" s="21"/>
      <c r="N370" s="21"/>
    </row>
    <row r="371" customFormat="1" ht="90" customHeight="1" spans="1:14">
      <c r="A371" t="str">
        <f t="shared" si="11"/>
        <v>9月18日晚上</v>
      </c>
      <c r="B371" s="18"/>
      <c r="C371" s="19"/>
      <c r="D371" s="20"/>
      <c r="E371" s="20"/>
      <c r="F371" s="21" t="s">
        <v>286</v>
      </c>
      <c r="G371" s="21"/>
      <c r="H371" s="21"/>
      <c r="I371" s="21"/>
      <c r="J371" s="21"/>
      <c r="K371" s="21"/>
      <c r="L371" s="21"/>
      <c r="M371" s="21"/>
      <c r="N371" s="21"/>
    </row>
    <row r="372" customFormat="1" ht="90" customHeight="1" spans="1:14">
      <c r="A372" t="str">
        <f t="shared" si="11"/>
        <v>9月18日晚上</v>
      </c>
      <c r="B372" s="18"/>
      <c r="C372" s="23"/>
      <c r="D372" s="33"/>
      <c r="E372" s="33"/>
      <c r="F372" s="21" t="s">
        <v>286</v>
      </c>
      <c r="G372" s="21"/>
      <c r="H372" s="21"/>
      <c r="I372" s="21"/>
      <c r="J372" s="21"/>
      <c r="L372" s="21"/>
      <c r="M372" s="21"/>
      <c r="N372" s="21"/>
    </row>
    <row r="373" customFormat="1" ht="90" customHeight="1" spans="1:14">
      <c r="A373" t="str">
        <f t="shared" si="11"/>
        <v> 
9月18日晚上</v>
      </c>
      <c r="B373" s="18"/>
      <c r="C373" s="18"/>
      <c r="D373" s="33"/>
      <c r="E373" s="34" t="s">
        <v>368</v>
      </c>
      <c r="F373" s="21" t="s">
        <v>286</v>
      </c>
      <c r="G373" s="21"/>
      <c r="H373" s="21"/>
      <c r="I373" s="21"/>
      <c r="J373" s="21"/>
      <c r="K373" s="21"/>
      <c r="L373" s="21"/>
      <c r="M373" s="21"/>
      <c r="N373" s="21"/>
    </row>
    <row r="374" customFormat="1" ht="90" customHeight="1" spans="1:14">
      <c r="A374" t="str">
        <f t="shared" si="11"/>
        <v>9月18日晚上</v>
      </c>
      <c r="B374" s="18"/>
      <c r="C374" s="18"/>
      <c r="D374" s="33"/>
      <c r="E374" s="33"/>
      <c r="F374" s="21" t="s">
        <v>286</v>
      </c>
      <c r="G374" s="21"/>
      <c r="H374" s="21"/>
      <c r="I374" s="21"/>
      <c r="J374" s="21"/>
      <c r="K374" s="21"/>
      <c r="L374" s="21"/>
      <c r="M374" s="21"/>
      <c r="N374" s="21"/>
    </row>
    <row r="375" spans="1:1">
      <c r="A375" t="str">
        <f t="shared" si="11"/>
        <v/>
      </c>
    </row>
    <row r="376" customFormat="1" spans="1:14">
      <c r="A376" t="str">
        <f t="shared" si="11"/>
        <v>SKU</v>
      </c>
      <c r="B376" s="11" t="s">
        <v>2</v>
      </c>
      <c r="C376" s="11" t="s">
        <v>342</v>
      </c>
      <c r="D376" s="11" t="s">
        <v>343</v>
      </c>
      <c r="E376" s="11" t="s">
        <v>344</v>
      </c>
      <c r="F376" s="11"/>
      <c r="G376" s="12" t="s">
        <v>345</v>
      </c>
      <c r="H376" s="13"/>
      <c r="I376" s="13"/>
      <c r="J376" s="13"/>
      <c r="K376" s="13"/>
      <c r="L376" s="13"/>
      <c r="M376" s="13"/>
      <c r="N376" s="30"/>
    </row>
    <row r="377" customFormat="1" spans="1:14">
      <c r="A377" t="str">
        <f t="shared" si="11"/>
        <v/>
      </c>
      <c r="B377" s="11"/>
      <c r="C377" s="11"/>
      <c r="D377" s="11"/>
      <c r="E377" s="11"/>
      <c r="F377" s="14"/>
      <c r="G377" s="12" t="s">
        <v>247</v>
      </c>
      <c r="H377" s="13"/>
      <c r="I377" s="12" t="s">
        <v>248</v>
      </c>
      <c r="J377" s="13"/>
      <c r="K377" s="12" t="s">
        <v>249</v>
      </c>
      <c r="L377" s="13"/>
      <c r="M377" s="17" t="s">
        <v>250</v>
      </c>
      <c r="N377" s="17"/>
    </row>
    <row r="378" customFormat="1" spans="1:14">
      <c r="A378" t="str">
        <f t="shared" si="11"/>
        <v>日期</v>
      </c>
      <c r="B378" s="15"/>
      <c r="C378" s="15"/>
      <c r="D378" s="15"/>
      <c r="E378" s="15"/>
      <c r="F378" s="16" t="s">
        <v>40</v>
      </c>
      <c r="G378" s="17" t="s">
        <v>251</v>
      </c>
      <c r="H378" s="17" t="s">
        <v>252</v>
      </c>
      <c r="I378" s="17" t="s">
        <v>251</v>
      </c>
      <c r="J378" s="17" t="s">
        <v>252</v>
      </c>
      <c r="K378" s="17" t="s">
        <v>251</v>
      </c>
      <c r="L378" s="17" t="s">
        <v>252</v>
      </c>
      <c r="M378" s="17" t="s">
        <v>251</v>
      </c>
      <c r="N378" s="17" t="s">
        <v>252</v>
      </c>
    </row>
    <row r="379" customFormat="1" ht="86" customHeight="1" spans="1:14">
      <c r="A379" t="str">
        <f t="shared" si="11"/>
        <v>XXXX-1119月19日上午</v>
      </c>
      <c r="B379" s="18"/>
      <c r="C379" s="19"/>
      <c r="D379" s="20"/>
      <c r="E379" s="20" t="s">
        <v>23</v>
      </c>
      <c r="F379" s="21" t="s">
        <v>287</v>
      </c>
      <c r="G379" s="21"/>
      <c r="H379" s="21" t="s">
        <v>469</v>
      </c>
      <c r="I379" s="21"/>
      <c r="J379" s="21"/>
      <c r="K379" s="21"/>
      <c r="L379" s="21" t="s">
        <v>458</v>
      </c>
      <c r="M379" s="21"/>
      <c r="N379" s="21"/>
    </row>
    <row r="380" customFormat="1" ht="86" customHeight="1" spans="1:14">
      <c r="A380" t="str">
        <f t="shared" si="11"/>
        <v>XXXX-2229月19日上午</v>
      </c>
      <c r="B380" s="18"/>
      <c r="C380" s="22"/>
      <c r="D380" s="20"/>
      <c r="E380" s="20" t="s">
        <v>24</v>
      </c>
      <c r="F380" s="21" t="s">
        <v>287</v>
      </c>
      <c r="G380" s="21"/>
      <c r="H380" s="21"/>
      <c r="I380" s="21"/>
      <c r="J380" s="21" t="s">
        <v>470</v>
      </c>
      <c r="K380" s="31"/>
      <c r="L380" s="21"/>
      <c r="M380" s="21"/>
      <c r="N380" s="21"/>
    </row>
    <row r="381" customFormat="1" ht="86" customHeight="1" spans="1:14">
      <c r="A381" t="str">
        <f t="shared" si="11"/>
        <v>9月19日上午</v>
      </c>
      <c r="B381" s="18"/>
      <c r="C381" s="23"/>
      <c r="D381" s="20"/>
      <c r="E381" s="20"/>
      <c r="F381" s="21" t="s">
        <v>287</v>
      </c>
      <c r="G381" s="21"/>
      <c r="H381" s="21"/>
      <c r="I381" s="21"/>
      <c r="J381" s="21" t="s">
        <v>378</v>
      </c>
      <c r="K381" s="21"/>
      <c r="L381" s="21" t="s">
        <v>471</v>
      </c>
      <c r="M381" s="21"/>
      <c r="N381" s="21"/>
    </row>
    <row r="382" customFormat="1" ht="86" customHeight="1" spans="1:14">
      <c r="A382" t="str">
        <f t="shared" si="11"/>
        <v>9月19日上午</v>
      </c>
      <c r="B382" s="18"/>
      <c r="C382" s="19"/>
      <c r="D382" s="20"/>
      <c r="E382" s="20"/>
      <c r="F382" s="21" t="s">
        <v>287</v>
      </c>
      <c r="G382" s="21"/>
      <c r="H382" s="21"/>
      <c r="I382" s="21"/>
      <c r="J382" s="21"/>
      <c r="K382" s="21"/>
      <c r="L382" s="21"/>
      <c r="M382" s="21"/>
      <c r="N382" s="21"/>
    </row>
    <row r="383" customFormat="1" ht="86" customHeight="1" spans="1:14">
      <c r="A383" t="str">
        <f t="shared" si="11"/>
        <v>9月19日上午</v>
      </c>
      <c r="B383" s="18"/>
      <c r="C383" s="23"/>
      <c r="D383" s="20"/>
      <c r="E383" s="20"/>
      <c r="F383" s="21" t="s">
        <v>287</v>
      </c>
      <c r="G383" s="21"/>
      <c r="H383" s="21"/>
      <c r="I383" s="21"/>
      <c r="J383" s="21"/>
      <c r="K383" s="21"/>
      <c r="L383" s="21" t="s">
        <v>430</v>
      </c>
      <c r="M383" s="21"/>
      <c r="N383" s="21"/>
    </row>
    <row r="384" customFormat="1" ht="86" customHeight="1" spans="1:14">
      <c r="A384" t="str">
        <f t="shared" si="11"/>
        <v>9月19日上午</v>
      </c>
      <c r="B384" s="18"/>
      <c r="C384" s="18"/>
      <c r="D384" s="20"/>
      <c r="E384" s="24"/>
      <c r="F384" s="21" t="s">
        <v>287</v>
      </c>
      <c r="G384" s="21"/>
      <c r="H384" s="21"/>
      <c r="I384" s="21"/>
      <c r="J384" s="21"/>
      <c r="K384" s="21"/>
      <c r="L384" s="21"/>
      <c r="M384" s="21"/>
      <c r="N384" s="21"/>
    </row>
    <row r="385" customFormat="1" ht="86" customHeight="1" spans="1:14">
      <c r="A385" t="str">
        <f t="shared" ref="A385:A416" si="12">E385&amp;F385</f>
        <v>9月19日上午</v>
      </c>
      <c r="B385" s="18"/>
      <c r="C385" s="18"/>
      <c r="D385" s="20"/>
      <c r="E385" s="20"/>
      <c r="F385" s="21" t="s">
        <v>287</v>
      </c>
      <c r="G385" s="21"/>
      <c r="H385" s="21"/>
      <c r="I385" s="21"/>
      <c r="J385" s="21"/>
      <c r="K385" s="21"/>
      <c r="L385" s="21"/>
      <c r="M385" s="21"/>
      <c r="N385" s="21" t="s">
        <v>378</v>
      </c>
    </row>
    <row r="386" spans="1:1">
      <c r="A386" t="str">
        <f t="shared" si="12"/>
        <v/>
      </c>
    </row>
    <row r="387" customFormat="1" spans="1:14">
      <c r="A387" t="str">
        <f t="shared" si="12"/>
        <v>SKU</v>
      </c>
      <c r="B387" s="11" t="s">
        <v>2</v>
      </c>
      <c r="C387" s="11" t="s">
        <v>342</v>
      </c>
      <c r="D387" s="11" t="s">
        <v>343</v>
      </c>
      <c r="E387" s="11" t="s">
        <v>344</v>
      </c>
      <c r="F387" s="11"/>
      <c r="G387" s="12" t="s">
        <v>345</v>
      </c>
      <c r="H387" s="13"/>
      <c r="I387" s="13"/>
      <c r="J387" s="13"/>
      <c r="K387" s="13"/>
      <c r="L387" s="13"/>
      <c r="M387" s="13"/>
      <c r="N387" s="30"/>
    </row>
    <row r="388" customFormat="1" spans="1:14">
      <c r="A388" t="str">
        <f t="shared" si="12"/>
        <v/>
      </c>
      <c r="B388" s="11"/>
      <c r="C388" s="11"/>
      <c r="D388" s="11"/>
      <c r="E388" s="11"/>
      <c r="F388" s="14"/>
      <c r="G388" s="12" t="s">
        <v>247</v>
      </c>
      <c r="H388" s="13"/>
      <c r="I388" s="12" t="s">
        <v>351</v>
      </c>
      <c r="J388" s="13"/>
      <c r="K388" s="12" t="s">
        <v>249</v>
      </c>
      <c r="L388" s="13"/>
      <c r="M388" s="17" t="s">
        <v>250</v>
      </c>
      <c r="N388" s="17"/>
    </row>
    <row r="389" customFormat="1" spans="1:14">
      <c r="A389" t="str">
        <f t="shared" si="12"/>
        <v>日期</v>
      </c>
      <c r="B389" s="15"/>
      <c r="C389" s="15"/>
      <c r="D389" s="15"/>
      <c r="E389" s="15"/>
      <c r="F389" s="16" t="s">
        <v>40</v>
      </c>
      <c r="G389" s="17" t="s">
        <v>251</v>
      </c>
      <c r="H389" s="17" t="s">
        <v>252</v>
      </c>
      <c r="I389" s="17" t="s">
        <v>251</v>
      </c>
      <c r="J389" s="17" t="s">
        <v>252</v>
      </c>
      <c r="K389" s="17" t="s">
        <v>251</v>
      </c>
      <c r="L389" s="17" t="s">
        <v>252</v>
      </c>
      <c r="M389" s="17" t="s">
        <v>251</v>
      </c>
      <c r="N389" s="17" t="s">
        <v>252</v>
      </c>
    </row>
    <row r="390" customFormat="1" ht="90" customHeight="1" spans="1:14">
      <c r="A390" t="str">
        <f t="shared" si="12"/>
        <v>XXXX-1119月19日晚上</v>
      </c>
      <c r="B390" s="18"/>
      <c r="C390" s="19"/>
      <c r="D390" s="33"/>
      <c r="E390" s="33" t="s">
        <v>23</v>
      </c>
      <c r="F390" s="21" t="s">
        <v>288</v>
      </c>
      <c r="G390" s="21"/>
      <c r="H390" s="21" t="s">
        <v>472</v>
      </c>
      <c r="I390" s="21"/>
      <c r="J390" s="21"/>
      <c r="K390" s="21"/>
      <c r="L390" s="21" t="s">
        <v>415</v>
      </c>
      <c r="M390" s="21"/>
      <c r="N390" s="21"/>
    </row>
    <row r="391" customFormat="1" ht="90" customHeight="1" spans="1:14">
      <c r="A391" t="str">
        <f t="shared" si="12"/>
        <v>XXXX-2229月19日晚上</v>
      </c>
      <c r="B391" s="18"/>
      <c r="C391" s="22"/>
      <c r="D391" s="20"/>
      <c r="E391" s="20" t="s">
        <v>24</v>
      </c>
      <c r="F391" s="21" t="s">
        <v>288</v>
      </c>
      <c r="G391" s="21"/>
      <c r="H391" s="21"/>
      <c r="I391" s="21"/>
      <c r="J391" s="21" t="s">
        <v>473</v>
      </c>
      <c r="K391" s="31"/>
      <c r="L391" s="21"/>
      <c r="M391" s="21"/>
      <c r="N391" s="21"/>
    </row>
    <row r="392" customFormat="1" ht="90" customHeight="1" spans="1:14">
      <c r="A392" t="str">
        <f t="shared" si="12"/>
        <v>9月19日晚上</v>
      </c>
      <c r="B392" s="18"/>
      <c r="C392" s="23"/>
      <c r="D392" s="33"/>
      <c r="E392" s="33"/>
      <c r="F392" s="21" t="s">
        <v>288</v>
      </c>
      <c r="G392" s="21"/>
      <c r="I392" s="21"/>
      <c r="J392" s="21" t="s">
        <v>474</v>
      </c>
      <c r="K392" s="21" t="s">
        <v>475</v>
      </c>
      <c r="L392" s="21" t="s">
        <v>476</v>
      </c>
      <c r="M392" s="21"/>
      <c r="N392" s="21"/>
    </row>
    <row r="393" customFormat="1" ht="90" customHeight="1" spans="1:14">
      <c r="A393" t="str">
        <f t="shared" si="12"/>
        <v>9月19日晚上</v>
      </c>
      <c r="B393" s="18"/>
      <c r="C393" s="19"/>
      <c r="D393" s="20"/>
      <c r="E393" s="20"/>
      <c r="F393" s="21" t="s">
        <v>288</v>
      </c>
      <c r="G393" s="21"/>
      <c r="H393" s="21"/>
      <c r="I393" s="21"/>
      <c r="J393" s="21"/>
      <c r="K393" s="21"/>
      <c r="L393" s="21"/>
      <c r="M393" s="21"/>
      <c r="N393" s="21"/>
    </row>
    <row r="394" customFormat="1" ht="90" customHeight="1" spans="1:14">
      <c r="A394" t="str">
        <f t="shared" si="12"/>
        <v>9月19日晚上</v>
      </c>
      <c r="B394" s="18"/>
      <c r="C394" s="23"/>
      <c r="D394" s="33"/>
      <c r="E394" s="33"/>
      <c r="F394" s="21" t="s">
        <v>288</v>
      </c>
      <c r="G394" s="21"/>
      <c r="H394" s="21"/>
      <c r="I394" s="21"/>
      <c r="J394" s="21"/>
      <c r="L394" s="21"/>
      <c r="M394" s="21"/>
      <c r="N394" s="21"/>
    </row>
    <row r="395" customFormat="1" ht="90" customHeight="1" spans="1:14">
      <c r="A395" t="str">
        <f t="shared" si="12"/>
        <v> 
9月19日晚上</v>
      </c>
      <c r="B395" s="18"/>
      <c r="C395" s="18"/>
      <c r="D395" s="33"/>
      <c r="E395" s="34" t="s">
        <v>368</v>
      </c>
      <c r="F395" s="21" t="s">
        <v>288</v>
      </c>
      <c r="G395" s="21"/>
      <c r="H395" s="21"/>
      <c r="I395" s="21"/>
      <c r="J395" s="21"/>
      <c r="K395" s="21"/>
      <c r="L395" s="21"/>
      <c r="M395" s="21"/>
      <c r="N395" s="21"/>
    </row>
    <row r="396" customFormat="1" ht="90" customHeight="1" spans="1:14">
      <c r="A396" t="str">
        <f t="shared" si="12"/>
        <v>9月19日晚上</v>
      </c>
      <c r="B396" s="18"/>
      <c r="C396" s="18"/>
      <c r="D396" s="33"/>
      <c r="E396" s="33"/>
      <c r="F396" s="21" t="s">
        <v>288</v>
      </c>
      <c r="G396" s="21"/>
      <c r="H396" s="21"/>
      <c r="I396" s="21"/>
      <c r="J396" s="21"/>
      <c r="K396" s="21"/>
      <c r="L396" s="21"/>
      <c r="M396" s="21" t="s">
        <v>464</v>
      </c>
      <c r="N396" s="21" t="s">
        <v>477</v>
      </c>
    </row>
    <row r="397" spans="1:1">
      <c r="A397" t="str">
        <f t="shared" si="12"/>
        <v/>
      </c>
    </row>
    <row r="398" customFormat="1" spans="1:14">
      <c r="A398" t="str">
        <f t="shared" si="12"/>
        <v>SKU</v>
      </c>
      <c r="B398" s="11" t="s">
        <v>2</v>
      </c>
      <c r="C398" s="11" t="s">
        <v>342</v>
      </c>
      <c r="D398" s="11" t="s">
        <v>343</v>
      </c>
      <c r="E398" s="11" t="s">
        <v>344</v>
      </c>
      <c r="F398" s="11"/>
      <c r="G398" s="12" t="s">
        <v>345</v>
      </c>
      <c r="H398" s="13"/>
      <c r="I398" s="13"/>
      <c r="J398" s="13"/>
      <c r="K398" s="13"/>
      <c r="L398" s="13"/>
      <c r="M398" s="13"/>
      <c r="N398" s="30"/>
    </row>
    <row r="399" customFormat="1" spans="1:14">
      <c r="A399" t="str">
        <f t="shared" si="12"/>
        <v/>
      </c>
      <c r="B399" s="11"/>
      <c r="C399" s="11"/>
      <c r="D399" s="11"/>
      <c r="E399" s="11"/>
      <c r="F399" s="14"/>
      <c r="G399" s="12" t="s">
        <v>247</v>
      </c>
      <c r="H399" s="13"/>
      <c r="I399" s="12" t="s">
        <v>248</v>
      </c>
      <c r="J399" s="13"/>
      <c r="K399" s="12" t="s">
        <v>249</v>
      </c>
      <c r="L399" s="13"/>
      <c r="M399" s="17" t="s">
        <v>250</v>
      </c>
      <c r="N399" s="17"/>
    </row>
    <row r="400" customFormat="1" spans="1:14">
      <c r="A400" t="str">
        <f t="shared" si="12"/>
        <v>日期</v>
      </c>
      <c r="B400" s="15"/>
      <c r="C400" s="15"/>
      <c r="D400" s="15"/>
      <c r="E400" s="15"/>
      <c r="F400" s="16" t="s">
        <v>40</v>
      </c>
      <c r="G400" s="17" t="s">
        <v>251</v>
      </c>
      <c r="H400" s="17" t="s">
        <v>252</v>
      </c>
      <c r="I400" s="17" t="s">
        <v>251</v>
      </c>
      <c r="J400" s="17" t="s">
        <v>252</v>
      </c>
      <c r="K400" s="17" t="s">
        <v>251</v>
      </c>
      <c r="L400" s="17" t="s">
        <v>252</v>
      </c>
      <c r="M400" s="17" t="s">
        <v>251</v>
      </c>
      <c r="N400" s="17" t="s">
        <v>252</v>
      </c>
    </row>
    <row r="401" customFormat="1" ht="86" customHeight="1" spans="1:14">
      <c r="A401" t="str">
        <f t="shared" si="12"/>
        <v>XXXX-1119月20日上午</v>
      </c>
      <c r="B401" s="18"/>
      <c r="C401" s="19"/>
      <c r="D401" s="20"/>
      <c r="E401" s="20" t="s">
        <v>23</v>
      </c>
      <c r="F401" s="21" t="s">
        <v>289</v>
      </c>
      <c r="G401" s="21"/>
      <c r="H401" s="21" t="s">
        <v>478</v>
      </c>
      <c r="I401" s="21"/>
      <c r="J401" s="21"/>
      <c r="K401" s="21"/>
      <c r="L401" s="21" t="s">
        <v>479</v>
      </c>
      <c r="M401" s="21"/>
      <c r="N401" s="21"/>
    </row>
    <row r="402" customFormat="1" ht="86" customHeight="1" spans="1:14">
      <c r="A402" t="str">
        <f t="shared" si="12"/>
        <v>XXXX-2229月20日上午</v>
      </c>
      <c r="B402" s="18"/>
      <c r="C402" s="22"/>
      <c r="D402" s="20"/>
      <c r="E402" s="20" t="s">
        <v>24</v>
      </c>
      <c r="F402" s="21" t="s">
        <v>289</v>
      </c>
      <c r="G402" s="21"/>
      <c r="H402" s="21"/>
      <c r="I402" s="21"/>
      <c r="J402" s="21"/>
      <c r="K402" s="31"/>
      <c r="L402" s="21"/>
      <c r="M402" s="21"/>
      <c r="N402" s="21"/>
    </row>
    <row r="403" customFormat="1" ht="86" customHeight="1" spans="1:14">
      <c r="A403" t="str">
        <f t="shared" si="12"/>
        <v>9月20日上午</v>
      </c>
      <c r="B403" s="18"/>
      <c r="C403" s="23"/>
      <c r="D403" s="20"/>
      <c r="E403" s="20"/>
      <c r="F403" s="21" t="s">
        <v>289</v>
      </c>
      <c r="G403" s="21"/>
      <c r="H403" s="21"/>
      <c r="I403" s="21"/>
      <c r="J403" s="21" t="s">
        <v>480</v>
      </c>
      <c r="K403" s="21"/>
      <c r="L403" s="21" t="s">
        <v>481</v>
      </c>
      <c r="M403" s="21"/>
      <c r="N403" s="21"/>
    </row>
    <row r="404" customFormat="1" ht="86" customHeight="1" spans="1:14">
      <c r="A404" t="str">
        <f t="shared" si="12"/>
        <v>9月20日上午</v>
      </c>
      <c r="B404" s="18"/>
      <c r="C404" s="19"/>
      <c r="D404" s="20"/>
      <c r="E404" s="20"/>
      <c r="F404" s="21" t="s">
        <v>289</v>
      </c>
      <c r="G404" s="21"/>
      <c r="H404" s="21"/>
      <c r="I404" s="21"/>
      <c r="J404" s="21"/>
      <c r="K404" s="21"/>
      <c r="L404" s="21"/>
      <c r="M404" s="21"/>
      <c r="N404" s="21"/>
    </row>
    <row r="405" customFormat="1" ht="86" customHeight="1" spans="1:14">
      <c r="A405" t="str">
        <f t="shared" si="12"/>
        <v>9月20日上午</v>
      </c>
      <c r="B405" s="18"/>
      <c r="C405" s="23"/>
      <c r="D405" s="20"/>
      <c r="E405" s="20"/>
      <c r="F405" s="21" t="s">
        <v>289</v>
      </c>
      <c r="G405" s="21"/>
      <c r="H405" s="21"/>
      <c r="I405" s="21"/>
      <c r="J405" s="21"/>
      <c r="K405" s="21"/>
      <c r="L405" s="21" t="s">
        <v>482</v>
      </c>
      <c r="M405" s="21"/>
      <c r="N405" s="21"/>
    </row>
    <row r="406" customFormat="1" ht="86" customHeight="1" spans="1:14">
      <c r="A406" t="str">
        <f t="shared" si="12"/>
        <v>9月20日上午</v>
      </c>
      <c r="B406" s="18"/>
      <c r="C406" s="18"/>
      <c r="D406" s="20"/>
      <c r="E406" s="24"/>
      <c r="F406" s="21" t="s">
        <v>289</v>
      </c>
      <c r="G406" s="21"/>
      <c r="H406" s="21"/>
      <c r="I406" s="21"/>
      <c r="J406" s="21"/>
      <c r="K406" s="21"/>
      <c r="L406" s="21"/>
      <c r="M406" s="21"/>
      <c r="N406" s="21"/>
    </row>
    <row r="407" customFormat="1" ht="86" customHeight="1" spans="1:14">
      <c r="A407" t="str">
        <f t="shared" si="12"/>
        <v>9月20日上午</v>
      </c>
      <c r="B407" s="18"/>
      <c r="C407" s="18"/>
      <c r="D407" s="20"/>
      <c r="E407" s="20"/>
      <c r="F407" s="21" t="s">
        <v>289</v>
      </c>
      <c r="G407" s="21"/>
      <c r="H407" s="21"/>
      <c r="I407" s="21"/>
      <c r="J407" s="21"/>
      <c r="K407" s="21"/>
      <c r="L407" s="21"/>
      <c r="M407" s="21"/>
      <c r="N407" s="21" t="s">
        <v>483</v>
      </c>
    </row>
    <row r="408" spans="1:1">
      <c r="A408" t="str">
        <f t="shared" si="12"/>
        <v/>
      </c>
    </row>
    <row r="409" customFormat="1" spans="1:14">
      <c r="A409" t="str">
        <f t="shared" si="12"/>
        <v>SKU</v>
      </c>
      <c r="B409" s="11" t="s">
        <v>2</v>
      </c>
      <c r="C409" s="11" t="s">
        <v>342</v>
      </c>
      <c r="D409" s="11" t="s">
        <v>343</v>
      </c>
      <c r="E409" s="11" t="s">
        <v>344</v>
      </c>
      <c r="F409" s="11"/>
      <c r="G409" s="12" t="s">
        <v>345</v>
      </c>
      <c r="H409" s="13"/>
      <c r="I409" s="13"/>
      <c r="J409" s="13"/>
      <c r="K409" s="13"/>
      <c r="L409" s="13"/>
      <c r="M409" s="13"/>
      <c r="N409" s="30"/>
    </row>
    <row r="410" customFormat="1" spans="1:14">
      <c r="A410" t="str">
        <f t="shared" si="12"/>
        <v/>
      </c>
      <c r="B410" s="11"/>
      <c r="C410" s="11"/>
      <c r="D410" s="11"/>
      <c r="E410" s="11"/>
      <c r="F410" s="14"/>
      <c r="G410" s="12" t="s">
        <v>247</v>
      </c>
      <c r="H410" s="13"/>
      <c r="I410" s="12" t="s">
        <v>351</v>
      </c>
      <c r="J410" s="13"/>
      <c r="K410" s="12" t="s">
        <v>249</v>
      </c>
      <c r="L410" s="13"/>
      <c r="M410" s="17" t="s">
        <v>250</v>
      </c>
      <c r="N410" s="17"/>
    </row>
    <row r="411" customFormat="1" spans="1:14">
      <c r="A411" t="str">
        <f t="shared" si="12"/>
        <v>日期</v>
      </c>
      <c r="B411" s="15"/>
      <c r="C411" s="15"/>
      <c r="D411" s="15"/>
      <c r="E411" s="15"/>
      <c r="F411" s="16" t="s">
        <v>40</v>
      </c>
      <c r="G411" s="17" t="s">
        <v>251</v>
      </c>
      <c r="H411" s="17" t="s">
        <v>252</v>
      </c>
      <c r="I411" s="17" t="s">
        <v>251</v>
      </c>
      <c r="J411" s="17" t="s">
        <v>252</v>
      </c>
      <c r="K411" s="17" t="s">
        <v>251</v>
      </c>
      <c r="L411" s="17" t="s">
        <v>252</v>
      </c>
      <c r="M411" s="17" t="s">
        <v>251</v>
      </c>
      <c r="N411" s="17" t="s">
        <v>252</v>
      </c>
    </row>
    <row r="412" customFormat="1" ht="90" customHeight="1" spans="1:14">
      <c r="A412" t="str">
        <f t="shared" si="12"/>
        <v>XXXX-1119月20日晚上</v>
      </c>
      <c r="B412" s="18"/>
      <c r="C412" s="19"/>
      <c r="D412" s="33"/>
      <c r="E412" s="33" t="s">
        <v>23</v>
      </c>
      <c r="F412" s="21" t="s">
        <v>290</v>
      </c>
      <c r="G412" s="21"/>
      <c r="H412" s="21" t="s">
        <v>484</v>
      </c>
      <c r="I412" s="21"/>
      <c r="J412" s="21"/>
      <c r="K412" s="21"/>
      <c r="L412" s="21" t="s">
        <v>485</v>
      </c>
      <c r="M412" s="21"/>
      <c r="N412" s="21"/>
    </row>
    <row r="413" customFormat="1" ht="90" customHeight="1" spans="1:14">
      <c r="A413" t="str">
        <f t="shared" si="12"/>
        <v>XXXX-2229月20日晚上</v>
      </c>
      <c r="B413" s="18"/>
      <c r="C413" s="22"/>
      <c r="D413" s="20"/>
      <c r="E413" s="20" t="s">
        <v>24</v>
      </c>
      <c r="F413" s="21" t="s">
        <v>290</v>
      </c>
      <c r="G413" s="21"/>
      <c r="H413" s="21"/>
      <c r="I413" s="21"/>
      <c r="J413" s="21" t="s">
        <v>466</v>
      </c>
      <c r="K413" s="31"/>
      <c r="L413" s="21"/>
      <c r="M413" s="21"/>
      <c r="N413" s="21"/>
    </row>
    <row r="414" customFormat="1" ht="90" customHeight="1" spans="1:14">
      <c r="A414" t="str">
        <f t="shared" si="12"/>
        <v>9月20日晚上</v>
      </c>
      <c r="B414" s="18"/>
      <c r="C414" s="23"/>
      <c r="D414" s="33"/>
      <c r="E414" s="33"/>
      <c r="F414" s="21" t="s">
        <v>290</v>
      </c>
      <c r="G414" s="21"/>
      <c r="I414" s="21"/>
      <c r="J414" s="21" t="s">
        <v>486</v>
      </c>
      <c r="K414" s="21" t="s">
        <v>487</v>
      </c>
      <c r="L414" s="21" t="s">
        <v>488</v>
      </c>
      <c r="M414" s="21"/>
      <c r="N414" s="21"/>
    </row>
    <row r="415" customFormat="1" ht="90" customHeight="1" spans="1:14">
      <c r="A415" t="str">
        <f t="shared" si="12"/>
        <v>9月20日晚上</v>
      </c>
      <c r="B415" s="18"/>
      <c r="C415" s="19"/>
      <c r="D415" s="20"/>
      <c r="E415" s="20"/>
      <c r="F415" s="21" t="s">
        <v>290</v>
      </c>
      <c r="G415" s="21"/>
      <c r="H415" s="21"/>
      <c r="I415" s="21"/>
      <c r="J415" s="21"/>
      <c r="K415" s="21"/>
      <c r="L415" s="21"/>
      <c r="M415" s="21"/>
      <c r="N415" s="21"/>
    </row>
    <row r="416" customFormat="1" ht="90" customHeight="1" spans="1:14">
      <c r="A416" t="str">
        <f t="shared" si="12"/>
        <v>9月20日晚上</v>
      </c>
      <c r="B416" s="18"/>
      <c r="C416" s="23"/>
      <c r="D416" s="33"/>
      <c r="E416" s="33"/>
      <c r="F416" s="21" t="s">
        <v>290</v>
      </c>
      <c r="G416" s="21"/>
      <c r="H416" s="21"/>
      <c r="I416" s="21"/>
      <c r="J416" s="21"/>
      <c r="L416" s="21" t="s">
        <v>489</v>
      </c>
      <c r="M416" s="21"/>
      <c r="N416" s="21"/>
    </row>
    <row r="417" customFormat="1" ht="90" customHeight="1" spans="1:14">
      <c r="A417" t="str">
        <f t="shared" ref="A417:A448" si="13">E417&amp;F417</f>
        <v> 
9月20日晚上</v>
      </c>
      <c r="B417" s="18"/>
      <c r="C417" s="18"/>
      <c r="D417" s="33"/>
      <c r="E417" s="34" t="s">
        <v>368</v>
      </c>
      <c r="F417" s="21" t="s">
        <v>290</v>
      </c>
      <c r="G417" s="21"/>
      <c r="H417" s="21"/>
      <c r="I417" s="21"/>
      <c r="J417" s="21"/>
      <c r="K417" s="21"/>
      <c r="L417" s="21"/>
      <c r="M417" s="21"/>
      <c r="N417" s="21"/>
    </row>
    <row r="418" customFormat="1" ht="90" customHeight="1" spans="1:14">
      <c r="A418" t="str">
        <f t="shared" si="13"/>
        <v>9月20日晚上</v>
      </c>
      <c r="B418" s="18"/>
      <c r="C418" s="18"/>
      <c r="D418" s="33"/>
      <c r="E418" s="33"/>
      <c r="F418" s="21" t="s">
        <v>290</v>
      </c>
      <c r="G418" s="21"/>
      <c r="H418" s="21"/>
      <c r="I418" s="21"/>
      <c r="J418" s="21"/>
      <c r="K418" s="21"/>
      <c r="L418" s="21"/>
      <c r="M418" s="21" t="s">
        <v>490</v>
      </c>
      <c r="N418" s="21" t="s">
        <v>385</v>
      </c>
    </row>
    <row r="419" spans="1:1">
      <c r="A419" t="str">
        <f t="shared" si="13"/>
        <v/>
      </c>
    </row>
    <row r="420" customFormat="1" spans="1:14">
      <c r="A420" t="str">
        <f t="shared" si="13"/>
        <v>SKU</v>
      </c>
      <c r="B420" s="11" t="s">
        <v>2</v>
      </c>
      <c r="C420" s="11" t="s">
        <v>342</v>
      </c>
      <c r="D420" s="11" t="s">
        <v>343</v>
      </c>
      <c r="E420" s="11" t="s">
        <v>344</v>
      </c>
      <c r="F420" s="11"/>
      <c r="G420" s="12" t="s">
        <v>345</v>
      </c>
      <c r="H420" s="13"/>
      <c r="I420" s="13"/>
      <c r="J420" s="13"/>
      <c r="K420" s="13"/>
      <c r="L420" s="13"/>
      <c r="M420" s="13"/>
      <c r="N420" s="30"/>
    </row>
    <row r="421" customFormat="1" spans="1:14">
      <c r="A421" t="str">
        <f t="shared" si="13"/>
        <v/>
      </c>
      <c r="B421" s="11"/>
      <c r="C421" s="11"/>
      <c r="D421" s="11"/>
      <c r="E421" s="11"/>
      <c r="F421" s="14"/>
      <c r="G421" s="12" t="s">
        <v>247</v>
      </c>
      <c r="H421" s="13"/>
      <c r="I421" s="12" t="s">
        <v>248</v>
      </c>
      <c r="J421" s="13"/>
      <c r="K421" s="12" t="s">
        <v>249</v>
      </c>
      <c r="L421" s="13"/>
      <c r="M421" s="17" t="s">
        <v>250</v>
      </c>
      <c r="N421" s="17"/>
    </row>
    <row r="422" customFormat="1" spans="1:14">
      <c r="A422" t="str">
        <f t="shared" si="13"/>
        <v>日期</v>
      </c>
      <c r="B422" s="15"/>
      <c r="C422" s="15"/>
      <c r="D422" s="15"/>
      <c r="E422" s="15"/>
      <c r="F422" s="16" t="s">
        <v>40</v>
      </c>
      <c r="G422" s="17" t="s">
        <v>251</v>
      </c>
      <c r="H422" s="17" t="s">
        <v>252</v>
      </c>
      <c r="I422" s="17" t="s">
        <v>251</v>
      </c>
      <c r="J422" s="17" t="s">
        <v>252</v>
      </c>
      <c r="K422" s="17" t="s">
        <v>251</v>
      </c>
      <c r="L422" s="17" t="s">
        <v>252</v>
      </c>
      <c r="M422" s="17" t="s">
        <v>251</v>
      </c>
      <c r="N422" s="17" t="s">
        <v>252</v>
      </c>
    </row>
    <row r="423" customFormat="1" ht="86" customHeight="1" spans="1:14">
      <c r="A423" t="str">
        <f t="shared" si="13"/>
        <v>XXXX-1119月21日上午</v>
      </c>
      <c r="B423" s="18"/>
      <c r="C423" s="19"/>
      <c r="D423" s="20"/>
      <c r="E423" s="20" t="s">
        <v>23</v>
      </c>
      <c r="F423" s="21" t="s">
        <v>291</v>
      </c>
      <c r="G423" s="21"/>
      <c r="H423" s="21"/>
      <c r="I423" s="21"/>
      <c r="J423" s="21"/>
      <c r="K423" s="21"/>
      <c r="L423" s="21" t="s">
        <v>434</v>
      </c>
      <c r="M423" s="21"/>
      <c r="N423" s="21"/>
    </row>
    <row r="424" customFormat="1" ht="86" customHeight="1" spans="1:14">
      <c r="A424" t="str">
        <f t="shared" si="13"/>
        <v>XXXX-2229月21日上午</v>
      </c>
      <c r="B424" s="18"/>
      <c r="C424" s="22"/>
      <c r="D424" s="20"/>
      <c r="E424" s="20" t="s">
        <v>24</v>
      </c>
      <c r="F424" s="21" t="s">
        <v>291</v>
      </c>
      <c r="G424" s="21"/>
      <c r="H424" s="21"/>
      <c r="I424" s="21"/>
      <c r="J424" s="21" t="s">
        <v>459</v>
      </c>
      <c r="K424" s="31"/>
      <c r="L424" s="21"/>
      <c r="M424" s="21"/>
      <c r="N424" s="21"/>
    </row>
    <row r="425" customFormat="1" ht="86" customHeight="1" spans="1:14">
      <c r="A425" t="str">
        <f t="shared" si="13"/>
        <v>9月21日上午</v>
      </c>
      <c r="B425" s="18"/>
      <c r="C425" s="23"/>
      <c r="D425" s="20"/>
      <c r="E425" s="20"/>
      <c r="F425" s="21" t="s">
        <v>291</v>
      </c>
      <c r="G425" s="21"/>
      <c r="H425" s="21"/>
      <c r="I425" s="21"/>
      <c r="J425" s="21"/>
      <c r="K425" s="21"/>
      <c r="L425" s="21"/>
      <c r="M425" s="21"/>
      <c r="N425" s="21"/>
    </row>
    <row r="426" customFormat="1" ht="86" customHeight="1" spans="1:14">
      <c r="A426" t="str">
        <f t="shared" si="13"/>
        <v>9月21日上午</v>
      </c>
      <c r="B426" s="18"/>
      <c r="C426" s="19"/>
      <c r="D426" s="20"/>
      <c r="E426" s="20"/>
      <c r="F426" s="21" t="s">
        <v>291</v>
      </c>
      <c r="G426" s="21"/>
      <c r="H426" s="21"/>
      <c r="I426" s="21"/>
      <c r="J426" s="21"/>
      <c r="K426" s="21"/>
      <c r="L426" s="21"/>
      <c r="M426" s="21"/>
      <c r="N426" s="21"/>
    </row>
    <row r="427" customFormat="1" ht="86" customHeight="1" spans="1:14">
      <c r="A427" t="str">
        <f t="shared" si="13"/>
        <v>9月21日上午</v>
      </c>
      <c r="B427" s="18"/>
      <c r="C427" s="23"/>
      <c r="D427" s="20"/>
      <c r="E427" s="20"/>
      <c r="F427" s="21" t="s">
        <v>291</v>
      </c>
      <c r="G427" s="21"/>
      <c r="H427" s="21"/>
      <c r="I427" s="21"/>
      <c r="J427" s="21"/>
      <c r="K427" s="21"/>
      <c r="L427" s="21"/>
      <c r="M427" s="21"/>
      <c r="N427" s="21"/>
    </row>
    <row r="428" customFormat="1" ht="86" customHeight="1" spans="1:14">
      <c r="A428" t="str">
        <f t="shared" si="13"/>
        <v>9月21日上午</v>
      </c>
      <c r="B428" s="18"/>
      <c r="C428" s="18"/>
      <c r="D428" s="20"/>
      <c r="E428" s="24"/>
      <c r="F428" s="21" t="s">
        <v>291</v>
      </c>
      <c r="G428" s="21"/>
      <c r="H428" s="21"/>
      <c r="I428" s="21"/>
      <c r="J428" s="21"/>
      <c r="K428" s="21"/>
      <c r="L428" s="21"/>
      <c r="M428" s="21"/>
      <c r="N428" s="21"/>
    </row>
    <row r="429" customFormat="1" ht="86" customHeight="1" spans="1:14">
      <c r="A429" t="str">
        <f t="shared" si="13"/>
        <v>9月21日上午</v>
      </c>
      <c r="B429" s="18"/>
      <c r="C429" s="18"/>
      <c r="D429" s="20"/>
      <c r="E429" s="20"/>
      <c r="F429" s="21" t="s">
        <v>291</v>
      </c>
      <c r="G429" s="21"/>
      <c r="H429" s="21"/>
      <c r="I429" s="21"/>
      <c r="J429" s="21"/>
      <c r="K429" s="21"/>
      <c r="L429" s="21"/>
      <c r="M429" s="21"/>
      <c r="N429" s="21"/>
    </row>
    <row r="430" spans="1:1">
      <c r="A430" t="str">
        <f t="shared" si="13"/>
        <v/>
      </c>
    </row>
    <row r="431" customFormat="1" spans="1:14">
      <c r="A431" t="str">
        <f t="shared" si="13"/>
        <v>SKU</v>
      </c>
      <c r="B431" s="11" t="s">
        <v>2</v>
      </c>
      <c r="C431" s="11" t="s">
        <v>342</v>
      </c>
      <c r="D431" s="11" t="s">
        <v>343</v>
      </c>
      <c r="E431" s="11" t="s">
        <v>344</v>
      </c>
      <c r="F431" s="11"/>
      <c r="G431" s="12" t="s">
        <v>345</v>
      </c>
      <c r="H431" s="13"/>
      <c r="I431" s="13"/>
      <c r="J431" s="13"/>
      <c r="K431" s="13"/>
      <c r="L431" s="13"/>
      <c r="M431" s="13"/>
      <c r="N431" s="30"/>
    </row>
    <row r="432" customFormat="1" spans="1:14">
      <c r="A432" t="str">
        <f t="shared" si="13"/>
        <v/>
      </c>
      <c r="B432" s="11"/>
      <c r="C432" s="11"/>
      <c r="D432" s="11"/>
      <c r="E432" s="11"/>
      <c r="F432" s="14"/>
      <c r="G432" s="12" t="s">
        <v>247</v>
      </c>
      <c r="H432" s="13"/>
      <c r="I432" s="12" t="s">
        <v>351</v>
      </c>
      <c r="J432" s="13"/>
      <c r="K432" s="12" t="s">
        <v>249</v>
      </c>
      <c r="L432" s="13"/>
      <c r="M432" s="17" t="s">
        <v>250</v>
      </c>
      <c r="N432" s="17"/>
    </row>
    <row r="433" customFormat="1" spans="1:14">
      <c r="A433" t="str">
        <f t="shared" si="13"/>
        <v>日期</v>
      </c>
      <c r="B433" s="15"/>
      <c r="C433" s="15"/>
      <c r="D433" s="15"/>
      <c r="E433" s="15"/>
      <c r="F433" s="16" t="s">
        <v>40</v>
      </c>
      <c r="G433" s="17" t="s">
        <v>251</v>
      </c>
      <c r="H433" s="17" t="s">
        <v>252</v>
      </c>
      <c r="I433" s="17" t="s">
        <v>251</v>
      </c>
      <c r="J433" s="17" t="s">
        <v>252</v>
      </c>
      <c r="K433" s="17" t="s">
        <v>251</v>
      </c>
      <c r="L433" s="17" t="s">
        <v>252</v>
      </c>
      <c r="M433" s="17" t="s">
        <v>251</v>
      </c>
      <c r="N433" s="17" t="s">
        <v>252</v>
      </c>
    </row>
    <row r="434" customFormat="1" ht="90" customHeight="1" spans="1:14">
      <c r="A434" t="str">
        <f t="shared" si="13"/>
        <v>XXXX-1119月21日晚上</v>
      </c>
      <c r="B434" s="18"/>
      <c r="C434" s="19"/>
      <c r="D434" s="33"/>
      <c r="E434" s="33" t="s">
        <v>23</v>
      </c>
      <c r="F434" s="21" t="s">
        <v>292</v>
      </c>
      <c r="G434" s="21"/>
      <c r="H434" s="21" t="s">
        <v>426</v>
      </c>
      <c r="I434" s="21"/>
      <c r="J434" s="21"/>
      <c r="K434" s="21"/>
      <c r="L434" s="21" t="s">
        <v>415</v>
      </c>
      <c r="M434" s="21"/>
      <c r="N434" s="21"/>
    </row>
    <row r="435" customFormat="1" ht="90" customHeight="1" spans="1:14">
      <c r="A435" t="str">
        <f t="shared" si="13"/>
        <v>XXXX-2229月21日晚上</v>
      </c>
      <c r="B435" s="18"/>
      <c r="C435" s="22"/>
      <c r="D435" s="20"/>
      <c r="E435" s="20" t="s">
        <v>24</v>
      </c>
      <c r="F435" s="21" t="s">
        <v>292</v>
      </c>
      <c r="G435" s="21"/>
      <c r="H435" s="21"/>
      <c r="I435" s="21"/>
      <c r="J435" s="21" t="s">
        <v>491</v>
      </c>
      <c r="K435" s="31"/>
      <c r="L435" s="21"/>
      <c r="M435" s="21"/>
      <c r="N435" s="21"/>
    </row>
    <row r="436" customFormat="1" ht="90" customHeight="1" spans="1:14">
      <c r="A436" t="str">
        <f t="shared" si="13"/>
        <v>9月21日晚上</v>
      </c>
      <c r="B436" s="18"/>
      <c r="C436" s="23"/>
      <c r="D436" s="33"/>
      <c r="E436" s="33"/>
      <c r="F436" s="21" t="s">
        <v>292</v>
      </c>
      <c r="G436" s="21"/>
      <c r="I436" s="21"/>
      <c r="J436" s="21" t="s">
        <v>444</v>
      </c>
      <c r="K436" s="21" t="s">
        <v>464</v>
      </c>
      <c r="L436" s="21" t="s">
        <v>492</v>
      </c>
      <c r="M436" s="21"/>
      <c r="N436" s="21"/>
    </row>
    <row r="437" customFormat="1" ht="90" customHeight="1" spans="1:14">
      <c r="A437" t="str">
        <f t="shared" si="13"/>
        <v>9月21日晚上</v>
      </c>
      <c r="B437" s="18"/>
      <c r="C437" s="19"/>
      <c r="D437" s="20"/>
      <c r="E437" s="20"/>
      <c r="F437" s="21" t="s">
        <v>292</v>
      </c>
      <c r="G437" s="21"/>
      <c r="H437" s="21"/>
      <c r="I437" s="21"/>
      <c r="J437" s="21" t="s">
        <v>493</v>
      </c>
      <c r="K437" s="21"/>
      <c r="L437" s="21"/>
      <c r="M437" s="21"/>
      <c r="N437" s="21"/>
    </row>
    <row r="438" customFormat="1" ht="90" customHeight="1" spans="1:14">
      <c r="A438" t="str">
        <f t="shared" si="13"/>
        <v>9月21日晚上</v>
      </c>
      <c r="B438" s="18"/>
      <c r="C438" s="23"/>
      <c r="D438" s="33"/>
      <c r="E438" s="33"/>
      <c r="F438" s="21" t="s">
        <v>292</v>
      </c>
      <c r="G438" s="21"/>
      <c r="H438" s="21"/>
      <c r="I438" s="21"/>
      <c r="J438" s="21"/>
      <c r="L438" s="21"/>
      <c r="M438" s="21"/>
      <c r="N438" s="21"/>
    </row>
    <row r="439" customFormat="1" ht="90" customHeight="1" spans="1:14">
      <c r="A439" t="str">
        <f t="shared" si="13"/>
        <v> 
9月21日晚上</v>
      </c>
      <c r="B439" s="18"/>
      <c r="C439" s="18"/>
      <c r="D439" s="33"/>
      <c r="E439" s="34" t="s">
        <v>368</v>
      </c>
      <c r="F439" s="21" t="s">
        <v>292</v>
      </c>
      <c r="G439" s="21"/>
      <c r="H439" s="21"/>
      <c r="I439" s="21"/>
      <c r="J439" s="21"/>
      <c r="K439" s="21"/>
      <c r="L439" s="21"/>
      <c r="M439" s="21"/>
      <c r="N439" s="21"/>
    </row>
    <row r="440" customFormat="1" ht="90" customHeight="1" spans="1:14">
      <c r="A440" t="str">
        <f t="shared" si="13"/>
        <v>9月21日晚上</v>
      </c>
      <c r="B440" s="18"/>
      <c r="C440" s="18"/>
      <c r="D440" s="33"/>
      <c r="E440" s="33"/>
      <c r="F440" s="21" t="s">
        <v>292</v>
      </c>
      <c r="G440" s="21"/>
      <c r="H440" s="21"/>
      <c r="I440" s="21"/>
      <c r="J440" s="21"/>
      <c r="K440" s="21"/>
      <c r="L440" s="21"/>
      <c r="M440" s="21" t="s">
        <v>494</v>
      </c>
      <c r="N440" s="21" t="s">
        <v>396</v>
      </c>
    </row>
    <row r="441" spans="1:1">
      <c r="A441" t="str">
        <f t="shared" si="13"/>
        <v/>
      </c>
    </row>
    <row r="442" customFormat="1" spans="1:14">
      <c r="A442" t="str">
        <f t="shared" si="13"/>
        <v>SKU</v>
      </c>
      <c r="B442" s="11" t="s">
        <v>2</v>
      </c>
      <c r="C442" s="11" t="s">
        <v>342</v>
      </c>
      <c r="D442" s="11" t="s">
        <v>343</v>
      </c>
      <c r="E442" s="11" t="s">
        <v>344</v>
      </c>
      <c r="F442" s="11"/>
      <c r="G442" s="12" t="s">
        <v>345</v>
      </c>
      <c r="H442" s="13"/>
      <c r="I442" s="13"/>
      <c r="J442" s="13"/>
      <c r="K442" s="13"/>
      <c r="L442" s="13"/>
      <c r="M442" s="13"/>
      <c r="N442" s="30"/>
    </row>
    <row r="443" customFormat="1" spans="1:14">
      <c r="A443" t="str">
        <f t="shared" si="13"/>
        <v/>
      </c>
      <c r="B443" s="11"/>
      <c r="C443" s="11"/>
      <c r="D443" s="11"/>
      <c r="E443" s="11"/>
      <c r="F443" s="14"/>
      <c r="G443" s="12" t="s">
        <v>247</v>
      </c>
      <c r="H443" s="13"/>
      <c r="I443" s="12" t="s">
        <v>248</v>
      </c>
      <c r="J443" s="13"/>
      <c r="K443" s="12" t="s">
        <v>249</v>
      </c>
      <c r="L443" s="13"/>
      <c r="M443" s="17" t="s">
        <v>250</v>
      </c>
      <c r="N443" s="17"/>
    </row>
    <row r="444" customFormat="1" spans="1:14">
      <c r="A444" t="str">
        <f t="shared" si="13"/>
        <v>日期</v>
      </c>
      <c r="B444" s="15"/>
      <c r="C444" s="15"/>
      <c r="D444" s="15"/>
      <c r="E444" s="15"/>
      <c r="F444" s="16" t="s">
        <v>40</v>
      </c>
      <c r="G444" s="17" t="s">
        <v>251</v>
      </c>
      <c r="H444" s="17" t="s">
        <v>252</v>
      </c>
      <c r="I444" s="17" t="s">
        <v>251</v>
      </c>
      <c r="J444" s="17" t="s">
        <v>252</v>
      </c>
      <c r="K444" s="17" t="s">
        <v>251</v>
      </c>
      <c r="L444" s="17" t="s">
        <v>252</v>
      </c>
      <c r="M444" s="17" t="s">
        <v>251</v>
      </c>
      <c r="N444" s="17" t="s">
        <v>252</v>
      </c>
    </row>
    <row r="445" customFormat="1" ht="86" customHeight="1" spans="1:14">
      <c r="A445" t="str">
        <f t="shared" si="13"/>
        <v>XXXX-1119月22日上午</v>
      </c>
      <c r="B445" s="18"/>
      <c r="C445" s="19"/>
      <c r="D445" s="20"/>
      <c r="E445" s="20" t="s">
        <v>23</v>
      </c>
      <c r="F445" s="21" t="s">
        <v>293</v>
      </c>
      <c r="G445" s="21"/>
      <c r="H445" s="21" t="s">
        <v>378</v>
      </c>
      <c r="I445" s="21"/>
      <c r="J445" s="21"/>
      <c r="K445" s="21"/>
      <c r="L445" s="21" t="s">
        <v>495</v>
      </c>
      <c r="M445" s="21"/>
      <c r="N445" s="21"/>
    </row>
    <row r="446" customFormat="1" ht="86" customHeight="1" spans="1:14">
      <c r="A446" t="str">
        <f t="shared" si="13"/>
        <v>XXXX-2229月22日上午</v>
      </c>
      <c r="B446" s="18"/>
      <c r="C446" s="22"/>
      <c r="D446" s="20"/>
      <c r="E446" s="20" t="s">
        <v>24</v>
      </c>
      <c r="F446" s="21" t="s">
        <v>293</v>
      </c>
      <c r="G446" s="21"/>
      <c r="H446" s="21"/>
      <c r="I446" s="21"/>
      <c r="J446" s="21" t="s">
        <v>439</v>
      </c>
      <c r="K446" s="31"/>
      <c r="L446" s="21"/>
      <c r="M446" s="21"/>
      <c r="N446" s="21"/>
    </row>
    <row r="447" customFormat="1" ht="86" customHeight="1" spans="1:14">
      <c r="A447" t="str">
        <f t="shared" si="13"/>
        <v>9月22日上午</v>
      </c>
      <c r="B447" s="18"/>
      <c r="C447" s="23"/>
      <c r="D447" s="20"/>
      <c r="E447" s="20"/>
      <c r="F447" s="21" t="s">
        <v>293</v>
      </c>
      <c r="G447" s="21"/>
      <c r="H447" s="21"/>
      <c r="I447" s="21"/>
      <c r="J447" s="21" t="s">
        <v>496</v>
      </c>
      <c r="K447" s="21"/>
      <c r="L447" s="21" t="s">
        <v>497</v>
      </c>
      <c r="M447" s="21"/>
      <c r="N447" s="21"/>
    </row>
    <row r="448" customFormat="1" ht="86" customHeight="1" spans="1:14">
      <c r="A448" t="str">
        <f t="shared" si="13"/>
        <v>9月22日上午</v>
      </c>
      <c r="B448" s="18"/>
      <c r="C448" s="19"/>
      <c r="D448" s="20"/>
      <c r="E448" s="20"/>
      <c r="F448" s="21" t="s">
        <v>293</v>
      </c>
      <c r="G448" s="21"/>
      <c r="H448" s="21"/>
      <c r="I448" s="21"/>
      <c r="J448" s="21" t="s">
        <v>397</v>
      </c>
      <c r="K448" s="21"/>
      <c r="L448" s="21"/>
      <c r="M448" s="21"/>
      <c r="N448" s="21"/>
    </row>
    <row r="449" customFormat="1" ht="86" customHeight="1" spans="1:14">
      <c r="A449" t="str">
        <f t="shared" ref="A449:A473" si="14">E449&amp;F449</f>
        <v>9月22日上午</v>
      </c>
      <c r="B449" s="18"/>
      <c r="C449" s="23"/>
      <c r="D449" s="20"/>
      <c r="E449" s="20"/>
      <c r="F449" s="21" t="s">
        <v>293</v>
      </c>
      <c r="G449" s="21"/>
      <c r="H449" s="21"/>
      <c r="I449" s="21"/>
      <c r="J449" s="21"/>
      <c r="K449" s="21"/>
      <c r="L449" s="21"/>
      <c r="M449" s="21"/>
      <c r="N449" s="21"/>
    </row>
    <row r="450" customFormat="1" ht="86" customHeight="1" spans="1:14">
      <c r="A450" t="str">
        <f t="shared" si="14"/>
        <v>9月22日上午</v>
      </c>
      <c r="B450" s="18"/>
      <c r="C450" s="18"/>
      <c r="D450" s="20"/>
      <c r="E450" s="24"/>
      <c r="F450" s="21" t="s">
        <v>293</v>
      </c>
      <c r="G450" s="21"/>
      <c r="H450" s="21"/>
      <c r="I450" s="21"/>
      <c r="J450" s="21"/>
      <c r="K450" s="21"/>
      <c r="L450" s="21"/>
      <c r="M450" s="21"/>
      <c r="N450" s="21"/>
    </row>
    <row r="451" customFormat="1" ht="86" customHeight="1" spans="1:14">
      <c r="A451" t="str">
        <f t="shared" si="14"/>
        <v>9月22日上午</v>
      </c>
      <c r="B451" s="18"/>
      <c r="C451" s="18"/>
      <c r="D451" s="20"/>
      <c r="E451" s="20"/>
      <c r="F451" s="21" t="s">
        <v>293</v>
      </c>
      <c r="G451" s="21"/>
      <c r="H451" s="21"/>
      <c r="I451" s="21"/>
      <c r="J451" s="21"/>
      <c r="K451" s="21"/>
      <c r="L451" s="21"/>
      <c r="M451" s="21"/>
      <c r="N451" s="21" t="s">
        <v>498</v>
      </c>
    </row>
    <row r="452" spans="1:1">
      <c r="A452" t="str">
        <f t="shared" si="14"/>
        <v/>
      </c>
    </row>
    <row r="453" customFormat="1" spans="1:14">
      <c r="A453" t="str">
        <f t="shared" si="14"/>
        <v>SKU</v>
      </c>
      <c r="B453" s="11" t="s">
        <v>2</v>
      </c>
      <c r="C453" s="11" t="s">
        <v>342</v>
      </c>
      <c r="D453" s="11" t="s">
        <v>343</v>
      </c>
      <c r="E453" s="11" t="s">
        <v>344</v>
      </c>
      <c r="F453" s="11"/>
      <c r="G453" s="12" t="s">
        <v>345</v>
      </c>
      <c r="H453" s="13"/>
      <c r="I453" s="13"/>
      <c r="J453" s="13"/>
      <c r="K453" s="13"/>
      <c r="L453" s="13"/>
      <c r="M453" s="13"/>
      <c r="N453" s="30"/>
    </row>
    <row r="454" customFormat="1" spans="1:14">
      <c r="A454" t="str">
        <f t="shared" si="14"/>
        <v/>
      </c>
      <c r="B454" s="11"/>
      <c r="C454" s="11"/>
      <c r="D454" s="11"/>
      <c r="E454" s="11"/>
      <c r="F454" s="14"/>
      <c r="G454" s="12" t="s">
        <v>247</v>
      </c>
      <c r="H454" s="13"/>
      <c r="I454" s="12" t="s">
        <v>351</v>
      </c>
      <c r="J454" s="13"/>
      <c r="K454" s="12" t="s">
        <v>249</v>
      </c>
      <c r="L454" s="13"/>
      <c r="M454" s="17" t="s">
        <v>250</v>
      </c>
      <c r="N454" s="17"/>
    </row>
    <row r="455" customFormat="1" spans="1:14">
      <c r="A455" t="str">
        <f t="shared" si="14"/>
        <v>日期</v>
      </c>
      <c r="B455" s="15"/>
      <c r="C455" s="15"/>
      <c r="D455" s="15"/>
      <c r="E455" s="15"/>
      <c r="F455" s="16" t="s">
        <v>40</v>
      </c>
      <c r="G455" s="17" t="s">
        <v>251</v>
      </c>
      <c r="H455" s="17" t="s">
        <v>252</v>
      </c>
      <c r="I455" s="17" t="s">
        <v>251</v>
      </c>
      <c r="J455" s="17" t="s">
        <v>252</v>
      </c>
      <c r="K455" s="17" t="s">
        <v>251</v>
      </c>
      <c r="L455" s="17" t="s">
        <v>252</v>
      </c>
      <c r="M455" s="17" t="s">
        <v>251</v>
      </c>
      <c r="N455" s="17" t="s">
        <v>252</v>
      </c>
    </row>
    <row r="456" customFormat="1" ht="90" customHeight="1" spans="1:14">
      <c r="A456" t="str">
        <f t="shared" si="14"/>
        <v>XXXX-1119月22日晚上</v>
      </c>
      <c r="B456" s="18"/>
      <c r="C456" s="19"/>
      <c r="D456" s="33"/>
      <c r="E456" s="33" t="s">
        <v>23</v>
      </c>
      <c r="F456" s="21" t="s">
        <v>294</v>
      </c>
      <c r="G456" s="21"/>
      <c r="H456" s="21" t="s">
        <v>426</v>
      </c>
      <c r="I456" s="21"/>
      <c r="J456" s="21"/>
      <c r="K456" s="21"/>
      <c r="L456" s="21" t="s">
        <v>499</v>
      </c>
      <c r="M456" s="21"/>
      <c r="N456" s="21"/>
    </row>
    <row r="457" customFormat="1" ht="90" customHeight="1" spans="1:14">
      <c r="A457" t="str">
        <f t="shared" si="14"/>
        <v>XXXX-2229月22日晚上</v>
      </c>
      <c r="B457" s="18"/>
      <c r="C457" s="22"/>
      <c r="D457" s="20"/>
      <c r="E457" s="20" t="s">
        <v>24</v>
      </c>
      <c r="F457" s="21" t="s">
        <v>294</v>
      </c>
      <c r="G457" s="21"/>
      <c r="H457" s="21"/>
      <c r="I457" s="21"/>
      <c r="J457" s="21" t="s">
        <v>500</v>
      </c>
      <c r="K457" s="31"/>
      <c r="L457" s="21"/>
      <c r="M457" s="21"/>
      <c r="N457" s="21"/>
    </row>
    <row r="458" customFormat="1" ht="90" customHeight="1" spans="1:14">
      <c r="A458" t="str">
        <f t="shared" si="14"/>
        <v>9月22日晚上</v>
      </c>
      <c r="B458" s="18"/>
      <c r="C458" s="23"/>
      <c r="D458" s="33"/>
      <c r="E458" s="33"/>
      <c r="F458" s="21" t="s">
        <v>294</v>
      </c>
      <c r="G458" s="21"/>
      <c r="I458" s="21"/>
      <c r="J458" s="21"/>
      <c r="K458" s="21" t="s">
        <v>464</v>
      </c>
      <c r="L458" s="21" t="s">
        <v>501</v>
      </c>
      <c r="M458" s="21"/>
      <c r="N458" s="21"/>
    </row>
    <row r="459" customFormat="1" ht="90" customHeight="1" spans="1:14">
      <c r="A459" t="str">
        <f t="shared" si="14"/>
        <v>9月22日晚上</v>
      </c>
      <c r="B459" s="18"/>
      <c r="C459" s="19"/>
      <c r="D459" s="20"/>
      <c r="E459" s="20"/>
      <c r="F459" s="21" t="s">
        <v>294</v>
      </c>
      <c r="G459" s="21"/>
      <c r="H459" s="21"/>
      <c r="I459" s="21"/>
      <c r="J459" s="21" t="s">
        <v>502</v>
      </c>
      <c r="K459" s="21"/>
      <c r="L459" s="21"/>
      <c r="M459" s="21"/>
      <c r="N459" s="21"/>
    </row>
    <row r="460" customFormat="1" ht="90" customHeight="1" spans="1:14">
      <c r="A460" t="str">
        <f t="shared" si="14"/>
        <v>9月22日晚上</v>
      </c>
      <c r="B460" s="18"/>
      <c r="C460" s="23"/>
      <c r="D460" s="33"/>
      <c r="E460" s="33"/>
      <c r="F460" s="21" t="s">
        <v>294</v>
      </c>
      <c r="G460" s="21"/>
      <c r="H460" s="21"/>
      <c r="I460" s="21"/>
      <c r="J460" s="21"/>
      <c r="L460" s="21"/>
      <c r="M460" s="21"/>
      <c r="N460" s="21"/>
    </row>
    <row r="461" customFormat="1" ht="90" customHeight="1" spans="1:14">
      <c r="A461" t="str">
        <f t="shared" si="14"/>
        <v> 
9月22日晚上</v>
      </c>
      <c r="B461" s="18"/>
      <c r="C461" s="18"/>
      <c r="D461" s="33"/>
      <c r="E461" s="34" t="s">
        <v>368</v>
      </c>
      <c r="F461" s="21" t="s">
        <v>294</v>
      </c>
      <c r="G461" s="21"/>
      <c r="H461" s="21"/>
      <c r="I461" s="21"/>
      <c r="J461" s="21"/>
      <c r="K461" s="21"/>
      <c r="L461" s="21"/>
      <c r="M461" s="21"/>
      <c r="N461" s="21"/>
    </row>
    <row r="462" customFormat="1" ht="90" customHeight="1" spans="1:14">
      <c r="A462" t="str">
        <f t="shared" si="14"/>
        <v>9月22日晚上</v>
      </c>
      <c r="B462" s="18"/>
      <c r="C462" s="18"/>
      <c r="D462" s="33"/>
      <c r="E462" s="33"/>
      <c r="F462" s="21" t="s">
        <v>294</v>
      </c>
      <c r="G462" s="21"/>
      <c r="H462" s="21"/>
      <c r="I462" s="21"/>
      <c r="J462" s="21"/>
      <c r="K462" s="21"/>
      <c r="L462" s="21"/>
      <c r="M462" s="21"/>
      <c r="N462" s="21" t="s">
        <v>491</v>
      </c>
    </row>
    <row r="463" spans="1:1">
      <c r="A463" t="str">
        <f t="shared" si="14"/>
        <v/>
      </c>
    </row>
    <row r="464" customFormat="1" spans="1:14">
      <c r="A464" t="str">
        <f t="shared" si="14"/>
        <v>SKU</v>
      </c>
      <c r="B464" s="11" t="s">
        <v>2</v>
      </c>
      <c r="C464" s="11" t="s">
        <v>342</v>
      </c>
      <c r="D464" s="11" t="s">
        <v>343</v>
      </c>
      <c r="E464" s="11" t="s">
        <v>344</v>
      </c>
      <c r="F464" s="11"/>
      <c r="G464" s="12" t="s">
        <v>345</v>
      </c>
      <c r="H464" s="13"/>
      <c r="I464" s="13"/>
      <c r="J464" s="13"/>
      <c r="K464" s="13"/>
      <c r="L464" s="13"/>
      <c r="M464" s="13"/>
      <c r="N464" s="30"/>
    </row>
    <row r="465" customFormat="1" spans="1:14">
      <c r="A465" t="str">
        <f t="shared" si="14"/>
        <v/>
      </c>
      <c r="B465" s="11"/>
      <c r="C465" s="11"/>
      <c r="D465" s="11"/>
      <c r="E465" s="11"/>
      <c r="F465" s="14"/>
      <c r="G465" s="12" t="s">
        <v>247</v>
      </c>
      <c r="H465" s="13"/>
      <c r="I465" s="12" t="s">
        <v>248</v>
      </c>
      <c r="J465" s="13"/>
      <c r="K465" s="12" t="s">
        <v>249</v>
      </c>
      <c r="L465" s="13"/>
      <c r="M465" s="17" t="s">
        <v>250</v>
      </c>
      <c r="N465" s="17"/>
    </row>
    <row r="466" customFormat="1" spans="1:14">
      <c r="A466" t="str">
        <f t="shared" si="14"/>
        <v>日期</v>
      </c>
      <c r="B466" s="15"/>
      <c r="C466" s="15"/>
      <c r="D466" s="15"/>
      <c r="E466" s="15"/>
      <c r="F466" s="16" t="s">
        <v>40</v>
      </c>
      <c r="G466" s="17" t="s">
        <v>251</v>
      </c>
      <c r="H466" s="17" t="s">
        <v>252</v>
      </c>
      <c r="I466" s="17" t="s">
        <v>251</v>
      </c>
      <c r="J466" s="17" t="s">
        <v>252</v>
      </c>
      <c r="K466" s="17" t="s">
        <v>251</v>
      </c>
      <c r="L466" s="17" t="s">
        <v>252</v>
      </c>
      <c r="M466" s="17" t="s">
        <v>251</v>
      </c>
      <c r="N466" s="17" t="s">
        <v>252</v>
      </c>
    </row>
    <row r="467" customFormat="1" ht="86" customHeight="1" spans="1:14">
      <c r="A467" t="str">
        <f t="shared" si="14"/>
        <v>XXXX-1119月23日上午</v>
      </c>
      <c r="B467" s="18"/>
      <c r="C467" s="19"/>
      <c r="D467" s="20"/>
      <c r="E467" s="20" t="s">
        <v>23</v>
      </c>
      <c r="F467" s="21" t="s">
        <v>295</v>
      </c>
      <c r="G467" s="21"/>
      <c r="H467" s="21"/>
      <c r="I467" s="21"/>
      <c r="J467" s="21"/>
      <c r="K467" s="21"/>
      <c r="L467" s="21" t="s">
        <v>503</v>
      </c>
      <c r="M467" s="21"/>
      <c r="N467" s="21"/>
    </row>
    <row r="468" customFormat="1" ht="86" customHeight="1" spans="1:14">
      <c r="A468" t="str">
        <f t="shared" si="14"/>
        <v>XXXX-2229月23日上午</v>
      </c>
      <c r="B468" s="18"/>
      <c r="C468" s="22"/>
      <c r="D468" s="20"/>
      <c r="E468" s="20" t="s">
        <v>24</v>
      </c>
      <c r="F468" s="21" t="s">
        <v>295</v>
      </c>
      <c r="G468" s="21"/>
      <c r="H468" s="21"/>
      <c r="I468" s="21"/>
      <c r="J468" s="21" t="s">
        <v>468</v>
      </c>
      <c r="K468" s="31"/>
      <c r="L468" s="21"/>
      <c r="M468" s="21"/>
      <c r="N468" s="21"/>
    </row>
    <row r="469" customFormat="1" ht="86" customHeight="1" spans="1:14">
      <c r="A469" t="str">
        <f t="shared" si="14"/>
        <v>9月23日上午</v>
      </c>
      <c r="B469" s="18"/>
      <c r="C469" s="23"/>
      <c r="D469" s="20"/>
      <c r="E469" s="20"/>
      <c r="F469" s="21" t="s">
        <v>295</v>
      </c>
      <c r="G469" s="21"/>
      <c r="H469" s="21"/>
      <c r="I469" s="21"/>
      <c r="J469" s="21"/>
      <c r="K469" s="21"/>
      <c r="L469" s="21" t="s">
        <v>504</v>
      </c>
      <c r="M469" s="21"/>
      <c r="N469" s="21"/>
    </row>
    <row r="470" customFormat="1" ht="86" customHeight="1" spans="1:14">
      <c r="A470" t="str">
        <f t="shared" si="14"/>
        <v>9月23日上午</v>
      </c>
      <c r="B470" s="18"/>
      <c r="C470" s="19"/>
      <c r="D470" s="20"/>
      <c r="E470" s="20"/>
      <c r="F470" s="21" t="s">
        <v>295</v>
      </c>
      <c r="G470" s="21"/>
      <c r="H470" s="21"/>
      <c r="I470" s="21"/>
      <c r="J470" s="21" t="s">
        <v>496</v>
      </c>
      <c r="K470" s="21"/>
      <c r="L470" s="21"/>
      <c r="M470" s="21"/>
      <c r="N470" s="21"/>
    </row>
    <row r="471" customFormat="1" ht="86" customHeight="1" spans="1:14">
      <c r="A471" t="str">
        <f t="shared" si="14"/>
        <v>9月23日上午</v>
      </c>
      <c r="B471" s="18"/>
      <c r="C471" s="23"/>
      <c r="D471" s="20"/>
      <c r="E471" s="20"/>
      <c r="F471" s="21" t="s">
        <v>295</v>
      </c>
      <c r="G471" s="21"/>
      <c r="H471" s="21"/>
      <c r="I471" s="21"/>
      <c r="J471" s="21"/>
      <c r="K471" s="21"/>
      <c r="L471" s="21"/>
      <c r="M471" s="21"/>
      <c r="N471" s="21"/>
    </row>
    <row r="472" customFormat="1" ht="86" customHeight="1" spans="1:14">
      <c r="A472" t="str">
        <f t="shared" si="14"/>
        <v>9月23日上午</v>
      </c>
      <c r="B472" s="18"/>
      <c r="C472" s="18"/>
      <c r="D472" s="20"/>
      <c r="E472" s="24"/>
      <c r="F472" s="21" t="s">
        <v>295</v>
      </c>
      <c r="G472" s="21"/>
      <c r="H472" s="21"/>
      <c r="I472" s="21"/>
      <c r="J472" s="21"/>
      <c r="K472" s="21"/>
      <c r="L472" s="21"/>
      <c r="M472" s="21"/>
      <c r="N472" s="21"/>
    </row>
    <row r="473" customFormat="1" ht="86" customHeight="1" spans="1:14">
      <c r="A473" t="str">
        <f t="shared" si="14"/>
        <v>9月23日上午</v>
      </c>
      <c r="B473" s="18"/>
      <c r="C473" s="18"/>
      <c r="D473" s="20"/>
      <c r="E473" s="20"/>
      <c r="F473" s="21" t="s">
        <v>295</v>
      </c>
      <c r="G473" s="21"/>
      <c r="H473" s="21"/>
      <c r="I473" s="21"/>
      <c r="J473" s="21"/>
      <c r="K473" s="21"/>
      <c r="L473" s="21"/>
      <c r="M473" s="21"/>
      <c r="N473" s="21"/>
    </row>
    <row r="474" spans="1:1">
      <c r="A474" t="str">
        <f t="shared" ref="A474:A507" si="15">E474&amp;F474</f>
        <v/>
      </c>
    </row>
    <row r="475" customFormat="1" spans="1:14">
      <c r="A475" t="str">
        <f t="shared" si="15"/>
        <v>SKU</v>
      </c>
      <c r="B475" s="11" t="s">
        <v>2</v>
      </c>
      <c r="C475" s="11" t="s">
        <v>342</v>
      </c>
      <c r="D475" s="11" t="s">
        <v>343</v>
      </c>
      <c r="E475" s="11" t="s">
        <v>344</v>
      </c>
      <c r="F475" s="11"/>
      <c r="G475" s="17" t="s">
        <v>345</v>
      </c>
      <c r="H475" s="17"/>
      <c r="I475" s="17"/>
      <c r="J475" s="17"/>
      <c r="K475" s="17"/>
      <c r="L475" s="17"/>
      <c r="M475" s="17"/>
      <c r="N475" s="17"/>
    </row>
    <row r="476" customFormat="1" spans="1:14">
      <c r="A476" t="str">
        <f t="shared" si="15"/>
        <v/>
      </c>
      <c r="B476" s="11"/>
      <c r="C476" s="11"/>
      <c r="D476" s="11"/>
      <c r="E476" s="11"/>
      <c r="F476" s="14"/>
      <c r="G476" s="17" t="s">
        <v>247</v>
      </c>
      <c r="H476" s="17"/>
      <c r="I476" s="17" t="s">
        <v>351</v>
      </c>
      <c r="J476" s="17"/>
      <c r="K476" s="17" t="s">
        <v>249</v>
      </c>
      <c r="L476" s="17"/>
      <c r="M476" s="17" t="s">
        <v>250</v>
      </c>
      <c r="N476" s="17"/>
    </row>
    <row r="477" customFormat="1" spans="1:14">
      <c r="A477" t="str">
        <f t="shared" si="15"/>
        <v>日期</v>
      </c>
      <c r="B477" s="15"/>
      <c r="C477" s="15"/>
      <c r="D477" s="15"/>
      <c r="E477" s="15"/>
      <c r="F477" s="16" t="s">
        <v>40</v>
      </c>
      <c r="G477" s="17" t="s">
        <v>251</v>
      </c>
      <c r="H477" s="17" t="s">
        <v>252</v>
      </c>
      <c r="I477" s="17" t="s">
        <v>251</v>
      </c>
      <c r="J477" s="17" t="s">
        <v>252</v>
      </c>
      <c r="K477" s="17" t="s">
        <v>251</v>
      </c>
      <c r="L477" s="17" t="s">
        <v>252</v>
      </c>
      <c r="M477" s="17" t="s">
        <v>251</v>
      </c>
      <c r="N477" s="17" t="s">
        <v>252</v>
      </c>
    </row>
    <row r="478" customFormat="1" ht="90" customHeight="1" spans="1:14">
      <c r="A478" t="str">
        <f t="shared" si="15"/>
        <v>XXXX-1119月23日晚上</v>
      </c>
      <c r="B478" s="18"/>
      <c r="C478" s="19"/>
      <c r="D478" s="33"/>
      <c r="E478" s="33" t="s">
        <v>23</v>
      </c>
      <c r="F478" s="21" t="s">
        <v>296</v>
      </c>
      <c r="G478" s="21"/>
      <c r="H478" s="21" t="s">
        <v>505</v>
      </c>
      <c r="I478" s="21"/>
      <c r="J478" s="21"/>
      <c r="K478" s="21"/>
      <c r="L478" s="21" t="s">
        <v>506</v>
      </c>
      <c r="M478" s="21"/>
      <c r="N478" s="21"/>
    </row>
    <row r="479" customFormat="1" ht="90" customHeight="1" spans="1:14">
      <c r="A479" t="str">
        <f t="shared" si="15"/>
        <v>XXXX-2229月23日晚上</v>
      </c>
      <c r="B479" s="18"/>
      <c r="C479" s="22"/>
      <c r="D479" s="20"/>
      <c r="E479" s="20" t="s">
        <v>24</v>
      </c>
      <c r="F479" s="21" t="s">
        <v>296</v>
      </c>
      <c r="G479" s="21"/>
      <c r="H479" s="21"/>
      <c r="I479" s="21"/>
      <c r="J479" s="21" t="s">
        <v>507</v>
      </c>
      <c r="K479" s="32"/>
      <c r="L479" s="21"/>
      <c r="M479" s="21"/>
      <c r="N479" s="21"/>
    </row>
    <row r="480" customFormat="1" ht="90" customHeight="1" spans="1:14">
      <c r="A480" t="str">
        <f t="shared" si="15"/>
        <v>9月23日晚上</v>
      </c>
      <c r="B480" s="18"/>
      <c r="C480" s="23"/>
      <c r="D480" s="33"/>
      <c r="E480" s="33"/>
      <c r="F480" s="21" t="s">
        <v>296</v>
      </c>
      <c r="G480" s="21"/>
      <c r="H480" s="35"/>
      <c r="I480" s="21"/>
      <c r="J480" s="21"/>
      <c r="K480" s="21" t="s">
        <v>508</v>
      </c>
      <c r="L480" s="21" t="s">
        <v>509</v>
      </c>
      <c r="M480" s="21"/>
      <c r="N480" s="21"/>
    </row>
    <row r="481" customFormat="1" ht="90" customHeight="1" spans="1:14">
      <c r="A481" t="str">
        <f t="shared" si="15"/>
        <v>9月23日晚上</v>
      </c>
      <c r="B481" s="18"/>
      <c r="C481" s="19"/>
      <c r="D481" s="20"/>
      <c r="E481" s="20"/>
      <c r="F481" s="21" t="s">
        <v>296</v>
      </c>
      <c r="G481" s="21"/>
      <c r="H481" s="21"/>
      <c r="I481" s="21"/>
      <c r="J481" s="21" t="s">
        <v>510</v>
      </c>
      <c r="K481" s="21"/>
      <c r="L481" s="21"/>
      <c r="M481" s="21"/>
      <c r="N481" s="21"/>
    </row>
    <row r="482" customFormat="1" ht="90" customHeight="1" spans="1:14">
      <c r="A482" t="str">
        <f t="shared" si="15"/>
        <v>9月23日晚上</v>
      </c>
      <c r="B482" s="18"/>
      <c r="C482" s="23"/>
      <c r="D482" s="33"/>
      <c r="E482" s="33"/>
      <c r="F482" s="21" t="s">
        <v>296</v>
      </c>
      <c r="G482" s="21"/>
      <c r="H482" s="21"/>
      <c r="I482" s="21"/>
      <c r="J482" s="21"/>
      <c r="K482" s="35"/>
      <c r="L482" s="21"/>
      <c r="M482" s="21"/>
      <c r="N482" s="21"/>
    </row>
    <row r="483" customFormat="1" ht="90" customHeight="1" spans="1:14">
      <c r="A483" t="str">
        <f t="shared" si="15"/>
        <v> 
9月23日晚上</v>
      </c>
      <c r="B483" s="18"/>
      <c r="C483" s="18"/>
      <c r="D483" s="33"/>
      <c r="E483" s="34" t="s">
        <v>368</v>
      </c>
      <c r="F483" s="21" t="s">
        <v>296</v>
      </c>
      <c r="G483" s="21" t="s">
        <v>511</v>
      </c>
      <c r="H483" s="21"/>
      <c r="I483" s="21"/>
      <c r="J483" s="21"/>
      <c r="K483" s="21"/>
      <c r="L483" s="21"/>
      <c r="M483" s="21"/>
      <c r="N483" s="21"/>
    </row>
    <row r="484" customFormat="1" ht="90" customHeight="1" spans="1:14">
      <c r="A484" t="str">
        <f t="shared" si="15"/>
        <v>9月23日晚上</v>
      </c>
      <c r="B484" s="18"/>
      <c r="C484" s="18"/>
      <c r="D484" s="33"/>
      <c r="E484" s="33"/>
      <c r="F484" s="21" t="s">
        <v>296</v>
      </c>
      <c r="G484" s="21"/>
      <c r="H484" s="21"/>
      <c r="I484" s="21"/>
      <c r="J484" s="21"/>
      <c r="K484" s="21"/>
      <c r="L484" s="21"/>
      <c r="M484" s="21" t="s">
        <v>437</v>
      </c>
      <c r="N484" s="21" t="s">
        <v>512</v>
      </c>
    </row>
    <row r="485" spans="1:1">
      <c r="A485" t="str">
        <f t="shared" si="15"/>
        <v/>
      </c>
    </row>
    <row r="486" spans="1:1">
      <c r="A486" t="str">
        <f t="shared" si="15"/>
        <v/>
      </c>
    </row>
    <row r="487" customFormat="1" spans="1:14">
      <c r="A487" t="str">
        <f t="shared" si="15"/>
        <v>SKU</v>
      </c>
      <c r="B487" s="11" t="s">
        <v>2</v>
      </c>
      <c r="C487" s="11" t="s">
        <v>342</v>
      </c>
      <c r="D487" s="11" t="s">
        <v>343</v>
      </c>
      <c r="E487" s="11" t="s">
        <v>344</v>
      </c>
      <c r="F487" s="11"/>
      <c r="G487" s="12" t="s">
        <v>345</v>
      </c>
      <c r="H487" s="13"/>
      <c r="I487" s="13"/>
      <c r="J487" s="13"/>
      <c r="K487" s="13"/>
      <c r="L487" s="13"/>
      <c r="M487" s="13"/>
      <c r="N487" s="30"/>
    </row>
    <row r="488" customFormat="1" spans="1:14">
      <c r="A488" t="str">
        <f t="shared" si="15"/>
        <v/>
      </c>
      <c r="B488" s="11"/>
      <c r="C488" s="11"/>
      <c r="D488" s="11"/>
      <c r="E488" s="11"/>
      <c r="F488" s="14"/>
      <c r="G488" s="12" t="s">
        <v>247</v>
      </c>
      <c r="H488" s="13"/>
      <c r="I488" s="12" t="s">
        <v>248</v>
      </c>
      <c r="J488" s="13"/>
      <c r="K488" s="12" t="s">
        <v>249</v>
      </c>
      <c r="L488" s="13"/>
      <c r="M488" s="17" t="s">
        <v>250</v>
      </c>
      <c r="N488" s="17"/>
    </row>
    <row r="489" customFormat="1" spans="1:14">
      <c r="A489" t="str">
        <f t="shared" si="15"/>
        <v>日期</v>
      </c>
      <c r="B489" s="15"/>
      <c r="C489" s="15"/>
      <c r="D489" s="15"/>
      <c r="E489" s="15"/>
      <c r="F489" s="16" t="s">
        <v>40</v>
      </c>
      <c r="G489" s="17" t="s">
        <v>251</v>
      </c>
      <c r="H489" s="17" t="s">
        <v>252</v>
      </c>
      <c r="I489" s="17" t="s">
        <v>251</v>
      </c>
      <c r="J489" s="17" t="s">
        <v>252</v>
      </c>
      <c r="K489" s="17" t="s">
        <v>251</v>
      </c>
      <c r="L489" s="17" t="s">
        <v>252</v>
      </c>
      <c r="M489" s="17" t="s">
        <v>251</v>
      </c>
      <c r="N489" s="17" t="s">
        <v>252</v>
      </c>
    </row>
    <row r="490" customFormat="1" ht="86" customHeight="1" spans="1:14">
      <c r="A490" t="str">
        <f t="shared" si="15"/>
        <v>XXXX-1119月24日上午</v>
      </c>
      <c r="B490" s="18"/>
      <c r="C490" s="19"/>
      <c r="D490" s="20"/>
      <c r="E490" s="20" t="s">
        <v>23</v>
      </c>
      <c r="F490" s="21" t="s">
        <v>297</v>
      </c>
      <c r="G490" s="21"/>
      <c r="H490" s="21" t="s">
        <v>460</v>
      </c>
      <c r="I490" s="21"/>
      <c r="J490" s="21"/>
      <c r="K490" s="21"/>
      <c r="L490" s="21" t="s">
        <v>513</v>
      </c>
      <c r="M490" s="21"/>
      <c r="N490" s="21"/>
    </row>
    <row r="491" customFormat="1" ht="86" customHeight="1" spans="1:14">
      <c r="A491" t="str">
        <f t="shared" si="15"/>
        <v>XXXX-2229月24日上午</v>
      </c>
      <c r="B491" s="18"/>
      <c r="C491" s="22"/>
      <c r="D491" s="20"/>
      <c r="E491" s="20" t="s">
        <v>24</v>
      </c>
      <c r="F491" s="21" t="s">
        <v>297</v>
      </c>
      <c r="G491" s="21"/>
      <c r="H491" s="21"/>
      <c r="I491" s="21"/>
      <c r="J491" s="21" t="s">
        <v>514</v>
      </c>
      <c r="K491" s="31"/>
      <c r="L491" s="21"/>
      <c r="M491" s="21"/>
      <c r="N491" s="21"/>
    </row>
    <row r="492" customFormat="1" ht="86" customHeight="1" spans="1:14">
      <c r="A492" t="str">
        <f t="shared" si="15"/>
        <v>9月24日上午</v>
      </c>
      <c r="B492" s="18"/>
      <c r="C492" s="23"/>
      <c r="D492" s="20"/>
      <c r="E492" s="20"/>
      <c r="F492" s="21" t="s">
        <v>297</v>
      </c>
      <c r="G492" s="21"/>
      <c r="H492" s="21"/>
      <c r="I492" s="21"/>
      <c r="J492" s="21"/>
      <c r="K492" s="21"/>
      <c r="L492" s="21" t="s">
        <v>515</v>
      </c>
      <c r="M492" s="21"/>
      <c r="N492" s="21"/>
    </row>
    <row r="493" customFormat="1" ht="86" customHeight="1" spans="1:14">
      <c r="A493" t="str">
        <f t="shared" si="15"/>
        <v>9月24日上午</v>
      </c>
      <c r="B493" s="18"/>
      <c r="C493" s="19"/>
      <c r="D493" s="20"/>
      <c r="E493" s="20"/>
      <c r="F493" s="21" t="s">
        <v>297</v>
      </c>
      <c r="G493" s="21"/>
      <c r="H493" s="21"/>
      <c r="I493" s="21"/>
      <c r="J493" s="21" t="s">
        <v>516</v>
      </c>
      <c r="K493" s="21"/>
      <c r="L493" s="21"/>
      <c r="M493" s="21"/>
      <c r="N493" s="21"/>
    </row>
    <row r="494" customFormat="1" ht="86" customHeight="1" spans="1:14">
      <c r="A494" t="str">
        <f t="shared" si="15"/>
        <v>9月24日上午</v>
      </c>
      <c r="B494" s="18"/>
      <c r="C494" s="23"/>
      <c r="D494" s="20"/>
      <c r="E494" s="20"/>
      <c r="F494" s="21" t="s">
        <v>297</v>
      </c>
      <c r="G494" s="21"/>
      <c r="H494" s="21"/>
      <c r="I494" s="21"/>
      <c r="J494" s="21"/>
      <c r="K494" s="21"/>
      <c r="L494" s="21"/>
      <c r="M494" s="21"/>
      <c r="N494" s="21"/>
    </row>
    <row r="495" customFormat="1" ht="86" customHeight="1" spans="1:14">
      <c r="A495" t="str">
        <f t="shared" si="15"/>
        <v>9月24日上午</v>
      </c>
      <c r="B495" s="18"/>
      <c r="C495" s="18"/>
      <c r="D495" s="20"/>
      <c r="E495" s="24"/>
      <c r="F495" s="21" t="s">
        <v>297</v>
      </c>
      <c r="G495" s="21"/>
      <c r="H495" s="21"/>
      <c r="I495" s="21"/>
      <c r="J495" s="21"/>
      <c r="K495" s="21"/>
      <c r="L495" s="21"/>
      <c r="M495" s="21"/>
      <c r="N495" s="21"/>
    </row>
    <row r="496" customFormat="1" ht="86" customHeight="1" spans="1:14">
      <c r="A496" t="str">
        <f t="shared" si="15"/>
        <v>9月24日上午</v>
      </c>
      <c r="B496" s="18"/>
      <c r="C496" s="18"/>
      <c r="D496" s="20"/>
      <c r="E496" s="20"/>
      <c r="F496" s="21" t="s">
        <v>297</v>
      </c>
      <c r="G496" s="21"/>
      <c r="H496" s="21"/>
      <c r="I496" s="21"/>
      <c r="J496" s="21"/>
      <c r="K496" s="21"/>
      <c r="L496" s="21"/>
      <c r="M496" s="21"/>
      <c r="N496" s="21" t="s">
        <v>433</v>
      </c>
    </row>
    <row r="497" spans="1:1">
      <c r="A497" t="str">
        <f t="shared" si="15"/>
        <v/>
      </c>
    </row>
    <row r="498" customFormat="1" spans="1:14">
      <c r="A498" t="str">
        <f t="shared" si="15"/>
        <v>SKU</v>
      </c>
      <c r="B498" s="11" t="s">
        <v>2</v>
      </c>
      <c r="C498" s="11" t="s">
        <v>342</v>
      </c>
      <c r="D498" s="11" t="s">
        <v>343</v>
      </c>
      <c r="E498" s="11" t="s">
        <v>344</v>
      </c>
      <c r="F498" s="11"/>
      <c r="G498" s="17" t="s">
        <v>345</v>
      </c>
      <c r="H498" s="17"/>
      <c r="I498" s="17"/>
      <c r="J498" s="17"/>
      <c r="K498" s="17"/>
      <c r="L498" s="17"/>
      <c r="M498" s="17"/>
      <c r="N498" s="17"/>
    </row>
    <row r="499" customFormat="1" spans="1:14">
      <c r="A499" t="str">
        <f t="shared" si="15"/>
        <v/>
      </c>
      <c r="B499" s="11"/>
      <c r="C499" s="11"/>
      <c r="D499" s="11"/>
      <c r="E499" s="11"/>
      <c r="F499" s="14"/>
      <c r="G499" s="17" t="s">
        <v>247</v>
      </c>
      <c r="H499" s="17"/>
      <c r="I499" s="17" t="s">
        <v>351</v>
      </c>
      <c r="J499" s="17"/>
      <c r="K499" s="17" t="s">
        <v>249</v>
      </c>
      <c r="L499" s="17"/>
      <c r="M499" s="17" t="s">
        <v>250</v>
      </c>
      <c r="N499" s="17"/>
    </row>
    <row r="500" customFormat="1" spans="1:14">
      <c r="A500" t="str">
        <f t="shared" si="15"/>
        <v>日期</v>
      </c>
      <c r="B500" s="15"/>
      <c r="C500" s="15"/>
      <c r="D500" s="15"/>
      <c r="E500" s="15"/>
      <c r="F500" s="16" t="s">
        <v>40</v>
      </c>
      <c r="G500" s="17" t="s">
        <v>251</v>
      </c>
      <c r="H500" s="17" t="s">
        <v>252</v>
      </c>
      <c r="I500" s="17" t="s">
        <v>251</v>
      </c>
      <c r="J500" s="17" t="s">
        <v>252</v>
      </c>
      <c r="K500" s="17" t="s">
        <v>251</v>
      </c>
      <c r="L500" s="17" t="s">
        <v>252</v>
      </c>
      <c r="M500" s="17" t="s">
        <v>251</v>
      </c>
      <c r="N500" s="17" t="s">
        <v>252</v>
      </c>
    </row>
    <row r="501" customFormat="1" ht="90" customHeight="1" spans="1:14">
      <c r="A501" t="str">
        <f t="shared" si="15"/>
        <v>XXXX-1119月24日晚上</v>
      </c>
      <c r="B501" s="18"/>
      <c r="C501" s="19"/>
      <c r="D501" s="33"/>
      <c r="E501" s="33" t="s">
        <v>23</v>
      </c>
      <c r="F501" s="21" t="s">
        <v>298</v>
      </c>
      <c r="G501" s="21"/>
      <c r="H501" s="21" t="s">
        <v>442</v>
      </c>
      <c r="I501" s="21"/>
      <c r="J501" s="21"/>
      <c r="K501" s="21"/>
      <c r="L501" s="21" t="s">
        <v>495</v>
      </c>
      <c r="M501" s="21"/>
      <c r="N501" s="21"/>
    </row>
    <row r="502" customFormat="1" ht="90" customHeight="1" spans="1:14">
      <c r="A502" t="str">
        <f t="shared" si="15"/>
        <v>XXXX-2229月24日晚上</v>
      </c>
      <c r="B502" s="18"/>
      <c r="C502" s="22"/>
      <c r="D502" s="20"/>
      <c r="E502" s="20" t="s">
        <v>24</v>
      </c>
      <c r="F502" s="21" t="s">
        <v>298</v>
      </c>
      <c r="G502" s="21"/>
      <c r="H502" s="21"/>
      <c r="I502" s="21"/>
      <c r="J502" s="21" t="s">
        <v>517</v>
      </c>
      <c r="K502" s="32"/>
      <c r="L502" s="21"/>
      <c r="M502" s="21"/>
      <c r="N502" s="21"/>
    </row>
    <row r="503" customFormat="1" ht="90" customHeight="1" spans="1:14">
      <c r="A503" t="str">
        <f t="shared" si="15"/>
        <v>9月24日晚上</v>
      </c>
      <c r="B503" s="18"/>
      <c r="C503" s="23"/>
      <c r="D503" s="33"/>
      <c r="E503" s="33"/>
      <c r="F503" s="21" t="s">
        <v>298</v>
      </c>
      <c r="G503" s="21"/>
      <c r="H503" s="35"/>
      <c r="I503" s="21"/>
      <c r="J503" s="21"/>
      <c r="K503" s="21" t="s">
        <v>518</v>
      </c>
      <c r="L503" s="21" t="s">
        <v>519</v>
      </c>
      <c r="M503" s="21"/>
      <c r="N503" s="21"/>
    </row>
    <row r="504" customFormat="1" ht="90" customHeight="1" spans="1:14">
      <c r="A504" t="str">
        <f t="shared" si="15"/>
        <v>9月24日晚上</v>
      </c>
      <c r="B504" s="18"/>
      <c r="C504" s="19"/>
      <c r="D504" s="20"/>
      <c r="E504" s="20"/>
      <c r="F504" s="21" t="s">
        <v>298</v>
      </c>
      <c r="G504" s="21"/>
      <c r="H504" s="21"/>
      <c r="I504" s="21"/>
      <c r="J504" s="21" t="s">
        <v>410</v>
      </c>
      <c r="K504" s="21"/>
      <c r="L504" s="21"/>
      <c r="M504" s="21"/>
      <c r="N504" s="21"/>
    </row>
    <row r="505" customFormat="1" ht="90" customHeight="1" spans="1:14">
      <c r="A505" t="str">
        <f t="shared" si="15"/>
        <v>9月24日晚上</v>
      </c>
      <c r="B505" s="18"/>
      <c r="C505" s="23"/>
      <c r="D505" s="33"/>
      <c r="E505" s="33"/>
      <c r="F505" s="21" t="s">
        <v>298</v>
      </c>
      <c r="G505" s="21"/>
      <c r="H505" s="21"/>
      <c r="I505" s="21"/>
      <c r="J505" s="21"/>
      <c r="K505" s="35"/>
      <c r="L505" s="21"/>
      <c r="M505" s="21"/>
      <c r="N505" s="21"/>
    </row>
    <row r="506" customFormat="1" ht="90" customHeight="1" spans="1:14">
      <c r="A506" t="str">
        <f t="shared" si="15"/>
        <v> 
9月24日晚上</v>
      </c>
      <c r="B506" s="18"/>
      <c r="C506" s="18"/>
      <c r="D506" s="33"/>
      <c r="E506" s="34" t="s">
        <v>368</v>
      </c>
      <c r="F506" s="21" t="s">
        <v>298</v>
      </c>
      <c r="G506" s="21" t="s">
        <v>359</v>
      </c>
      <c r="H506" s="21"/>
      <c r="I506" s="21"/>
      <c r="J506" s="21"/>
      <c r="K506" s="21"/>
      <c r="L506" s="21"/>
      <c r="M506" s="21"/>
      <c r="N506" s="21"/>
    </row>
    <row r="507" customFormat="1" ht="90" customHeight="1" spans="1:14">
      <c r="A507" t="str">
        <f t="shared" si="15"/>
        <v>9月24日晚上</v>
      </c>
      <c r="B507" s="18"/>
      <c r="C507" s="18"/>
      <c r="D507" s="33"/>
      <c r="E507" s="33"/>
      <c r="F507" s="21" t="s">
        <v>298</v>
      </c>
      <c r="G507" s="21"/>
      <c r="H507" s="21"/>
      <c r="I507" s="21"/>
      <c r="J507" s="21"/>
      <c r="K507" s="21"/>
      <c r="L507" s="21"/>
      <c r="M507" s="21"/>
      <c r="N507" s="21" t="s">
        <v>463</v>
      </c>
    </row>
    <row r="508" spans="1:1">
      <c r="A508" t="str">
        <f t="shared" ref="A508:A518" si="16">E508&amp;F508</f>
        <v/>
      </c>
    </row>
    <row r="509" customFormat="1" spans="1:14">
      <c r="A509" t="str">
        <f t="shared" si="16"/>
        <v>SKU</v>
      </c>
      <c r="B509" s="11" t="s">
        <v>2</v>
      </c>
      <c r="C509" s="11" t="s">
        <v>342</v>
      </c>
      <c r="D509" s="11" t="s">
        <v>343</v>
      </c>
      <c r="E509" s="11" t="s">
        <v>344</v>
      </c>
      <c r="F509" s="11"/>
      <c r="G509" s="12" t="s">
        <v>345</v>
      </c>
      <c r="H509" s="13"/>
      <c r="I509" s="13"/>
      <c r="J509" s="13"/>
      <c r="K509" s="13"/>
      <c r="L509" s="13"/>
      <c r="M509" s="13"/>
      <c r="N509" s="30"/>
    </row>
    <row r="510" customFormat="1" spans="1:14">
      <c r="A510" t="str">
        <f t="shared" si="16"/>
        <v/>
      </c>
      <c r="B510" s="11"/>
      <c r="C510" s="11"/>
      <c r="D510" s="11"/>
      <c r="E510" s="11"/>
      <c r="F510" s="14"/>
      <c r="G510" s="12" t="s">
        <v>247</v>
      </c>
      <c r="H510" s="13"/>
      <c r="I510" s="12" t="s">
        <v>248</v>
      </c>
      <c r="J510" s="13"/>
      <c r="K510" s="12" t="s">
        <v>249</v>
      </c>
      <c r="L510" s="13"/>
      <c r="M510" s="17" t="s">
        <v>250</v>
      </c>
      <c r="N510" s="17"/>
    </row>
    <row r="511" customFormat="1" spans="1:14">
      <c r="A511" t="str">
        <f t="shared" si="16"/>
        <v>日期</v>
      </c>
      <c r="B511" s="15"/>
      <c r="C511" s="15"/>
      <c r="D511" s="15"/>
      <c r="E511" s="15"/>
      <c r="F511" s="16" t="s">
        <v>40</v>
      </c>
      <c r="G511" s="17" t="s">
        <v>251</v>
      </c>
      <c r="H511" s="17" t="s">
        <v>252</v>
      </c>
      <c r="I511" s="17" t="s">
        <v>251</v>
      </c>
      <c r="J511" s="17" t="s">
        <v>252</v>
      </c>
      <c r="K511" s="17" t="s">
        <v>251</v>
      </c>
      <c r="L511" s="17" t="s">
        <v>252</v>
      </c>
      <c r="M511" s="17" t="s">
        <v>251</v>
      </c>
      <c r="N511" s="17" t="s">
        <v>252</v>
      </c>
    </row>
    <row r="512" customFormat="1" ht="86" customHeight="1" spans="1:14">
      <c r="A512" t="str">
        <f t="shared" si="16"/>
        <v>XXXX-1119月26日上午</v>
      </c>
      <c r="B512" s="18"/>
      <c r="C512" s="19"/>
      <c r="D512" s="20"/>
      <c r="E512" s="20" t="s">
        <v>23</v>
      </c>
      <c r="F512" s="21" t="s">
        <v>299</v>
      </c>
      <c r="G512" s="21"/>
      <c r="H512" s="21" t="s">
        <v>520</v>
      </c>
      <c r="I512" s="21"/>
      <c r="J512" s="21"/>
      <c r="K512" s="21"/>
      <c r="L512" s="21" t="s">
        <v>521</v>
      </c>
      <c r="M512" s="21"/>
      <c r="N512" s="21"/>
    </row>
    <row r="513" customFormat="1" ht="86" customHeight="1" spans="1:14">
      <c r="A513" t="str">
        <f t="shared" si="16"/>
        <v>XXXX-2229月26日上午</v>
      </c>
      <c r="B513" s="18"/>
      <c r="C513" s="22"/>
      <c r="D513" s="20"/>
      <c r="E513" s="20" t="s">
        <v>24</v>
      </c>
      <c r="F513" s="21" t="s">
        <v>299</v>
      </c>
      <c r="G513" s="21"/>
      <c r="H513" s="21"/>
      <c r="I513" s="21"/>
      <c r="J513" s="21" t="s">
        <v>522</v>
      </c>
      <c r="K513" s="31"/>
      <c r="L513" s="21"/>
      <c r="M513" s="21"/>
      <c r="N513" s="21"/>
    </row>
    <row r="514" customFormat="1" ht="86" customHeight="1" spans="1:14">
      <c r="A514" t="str">
        <f t="shared" si="16"/>
        <v>9月26日上午</v>
      </c>
      <c r="B514" s="18"/>
      <c r="C514" s="23"/>
      <c r="D514" s="20"/>
      <c r="E514" s="20"/>
      <c r="F514" s="21" t="s">
        <v>299</v>
      </c>
      <c r="G514" s="21"/>
      <c r="H514" s="21" t="s">
        <v>457</v>
      </c>
      <c r="I514" s="21"/>
      <c r="J514" s="21"/>
      <c r="K514" s="21"/>
      <c r="L514" s="21" t="s">
        <v>523</v>
      </c>
      <c r="M514" s="21"/>
      <c r="N514" s="21"/>
    </row>
    <row r="515" customFormat="1" ht="86" customHeight="1" spans="1:14">
      <c r="A515" t="str">
        <f t="shared" si="16"/>
        <v>9月26日上午</v>
      </c>
      <c r="B515" s="18"/>
      <c r="C515" s="19"/>
      <c r="D515" s="20"/>
      <c r="E515" s="20"/>
      <c r="F515" s="21" t="s">
        <v>299</v>
      </c>
      <c r="G515" s="21"/>
      <c r="H515" s="21"/>
      <c r="I515" s="21"/>
      <c r="J515" s="21" t="s">
        <v>463</v>
      </c>
      <c r="K515" s="21"/>
      <c r="L515" s="21"/>
      <c r="M515" s="21"/>
      <c r="N515" s="21"/>
    </row>
    <row r="516" customFormat="1" ht="86" customHeight="1" spans="1:14">
      <c r="A516" t="str">
        <f t="shared" si="16"/>
        <v>9月26日上午</v>
      </c>
      <c r="B516" s="18"/>
      <c r="C516" s="23"/>
      <c r="D516" s="20"/>
      <c r="E516" s="20"/>
      <c r="F516" s="21" t="s">
        <v>299</v>
      </c>
      <c r="G516" s="21"/>
      <c r="H516" s="21"/>
      <c r="I516" s="21"/>
      <c r="J516" s="21"/>
      <c r="K516" s="21"/>
      <c r="L516" s="21"/>
      <c r="M516" s="21"/>
      <c r="N516" s="21"/>
    </row>
    <row r="517" customFormat="1" ht="86" customHeight="1" spans="1:14">
      <c r="A517" t="str">
        <f t="shared" si="16"/>
        <v>9月26日上午</v>
      </c>
      <c r="B517" s="18"/>
      <c r="C517" s="18"/>
      <c r="D517" s="20"/>
      <c r="E517" s="24"/>
      <c r="F517" s="21" t="s">
        <v>299</v>
      </c>
      <c r="G517" s="21"/>
      <c r="I517" s="21"/>
      <c r="J517" s="21"/>
      <c r="K517" s="21"/>
      <c r="L517" s="21"/>
      <c r="M517" s="21"/>
      <c r="N517" s="21"/>
    </row>
    <row r="518" customFormat="1" ht="86" customHeight="1" spans="1:14">
      <c r="A518" t="str">
        <f t="shared" si="16"/>
        <v>9月26日上午</v>
      </c>
      <c r="B518" s="18"/>
      <c r="C518" s="18"/>
      <c r="D518" s="20"/>
      <c r="E518" s="20"/>
      <c r="F518" s="21" t="s">
        <v>299</v>
      </c>
      <c r="G518" s="21"/>
      <c r="H518" s="21"/>
      <c r="I518" s="21"/>
      <c r="J518" s="21"/>
      <c r="K518" s="21"/>
      <c r="L518" s="21"/>
      <c r="M518" s="21"/>
      <c r="N518" s="21" t="s">
        <v>524</v>
      </c>
    </row>
    <row r="519" spans="1:1">
      <c r="A519" t="str">
        <f t="shared" ref="A519:A550" si="17">E519&amp;F519</f>
        <v/>
      </c>
    </row>
    <row r="520" customFormat="1" spans="1:14">
      <c r="A520" t="str">
        <f t="shared" si="17"/>
        <v>SKU</v>
      </c>
      <c r="B520" s="11" t="s">
        <v>2</v>
      </c>
      <c r="C520" s="11" t="s">
        <v>342</v>
      </c>
      <c r="D520" s="11" t="s">
        <v>343</v>
      </c>
      <c r="E520" s="11" t="s">
        <v>344</v>
      </c>
      <c r="F520" s="11"/>
      <c r="G520" s="17" t="s">
        <v>345</v>
      </c>
      <c r="H520" s="17"/>
      <c r="I520" s="17"/>
      <c r="J520" s="17"/>
      <c r="K520" s="17"/>
      <c r="L520" s="17"/>
      <c r="M520" s="17"/>
      <c r="N520" s="17"/>
    </row>
    <row r="521" customFormat="1" spans="1:14">
      <c r="A521" t="str">
        <f t="shared" si="17"/>
        <v/>
      </c>
      <c r="B521" s="11"/>
      <c r="C521" s="11"/>
      <c r="D521" s="11"/>
      <c r="E521" s="11"/>
      <c r="F521" s="14"/>
      <c r="G521" s="17" t="s">
        <v>247</v>
      </c>
      <c r="H521" s="17"/>
      <c r="I521" s="17" t="s">
        <v>351</v>
      </c>
      <c r="J521" s="17"/>
      <c r="K521" s="17" t="s">
        <v>249</v>
      </c>
      <c r="L521" s="17"/>
      <c r="M521" s="17" t="s">
        <v>250</v>
      </c>
      <c r="N521" s="17"/>
    </row>
    <row r="522" customFormat="1" spans="1:14">
      <c r="A522" t="str">
        <f t="shared" si="17"/>
        <v>日期</v>
      </c>
      <c r="B522" s="15"/>
      <c r="C522" s="15"/>
      <c r="D522" s="15"/>
      <c r="E522" s="15"/>
      <c r="F522" s="16" t="s">
        <v>40</v>
      </c>
      <c r="G522" s="17" t="s">
        <v>251</v>
      </c>
      <c r="H522" s="17" t="s">
        <v>252</v>
      </c>
      <c r="I522" s="17" t="s">
        <v>251</v>
      </c>
      <c r="J522" s="17" t="s">
        <v>252</v>
      </c>
      <c r="K522" s="17" t="s">
        <v>251</v>
      </c>
      <c r="L522" s="17" t="s">
        <v>252</v>
      </c>
      <c r="M522" s="17" t="s">
        <v>251</v>
      </c>
      <c r="N522" s="17" t="s">
        <v>252</v>
      </c>
    </row>
    <row r="523" customFormat="1" ht="90" customHeight="1" spans="1:14">
      <c r="A523" t="str">
        <f t="shared" si="17"/>
        <v>XXXX-1119月26日晚上</v>
      </c>
      <c r="B523" s="18"/>
      <c r="C523" s="19"/>
      <c r="D523" s="33"/>
      <c r="E523" s="33" t="s">
        <v>23</v>
      </c>
      <c r="F523" s="21" t="s">
        <v>300</v>
      </c>
      <c r="G523" s="21"/>
      <c r="H523" s="21" t="s">
        <v>525</v>
      </c>
      <c r="I523" s="21"/>
      <c r="J523" s="21"/>
      <c r="K523" s="21"/>
      <c r="L523" s="21" t="s">
        <v>526</v>
      </c>
      <c r="M523" s="21"/>
      <c r="N523" s="21"/>
    </row>
    <row r="524" customFormat="1" ht="90" customHeight="1" spans="1:14">
      <c r="A524" t="str">
        <f t="shared" si="17"/>
        <v>XXXX-2229月26日晚上</v>
      </c>
      <c r="B524" s="18"/>
      <c r="C524" s="22"/>
      <c r="D524" s="20"/>
      <c r="E524" s="20" t="s">
        <v>24</v>
      </c>
      <c r="F524" s="21" t="s">
        <v>300</v>
      </c>
      <c r="G524" s="21"/>
      <c r="H524" s="21"/>
      <c r="I524" s="21"/>
      <c r="J524" s="21" t="s">
        <v>527</v>
      </c>
      <c r="K524" s="32"/>
      <c r="L524" s="21"/>
      <c r="M524" s="21"/>
      <c r="N524" s="21"/>
    </row>
    <row r="525" customFormat="1" ht="90" customHeight="1" spans="1:14">
      <c r="A525" t="str">
        <f t="shared" si="17"/>
        <v>9月26日晚上</v>
      </c>
      <c r="B525" s="18"/>
      <c r="C525" s="23"/>
      <c r="D525" s="33"/>
      <c r="E525" s="33"/>
      <c r="F525" s="21" t="s">
        <v>300</v>
      </c>
      <c r="G525" s="21"/>
      <c r="H525" s="35"/>
      <c r="I525" s="21"/>
      <c r="J525" s="21"/>
      <c r="K525" s="21" t="s">
        <v>528</v>
      </c>
      <c r="L525" s="21" t="s">
        <v>353</v>
      </c>
      <c r="M525" s="21"/>
      <c r="N525" s="21"/>
    </row>
    <row r="526" customFormat="1" ht="90" customHeight="1" spans="1:14">
      <c r="A526" t="str">
        <f t="shared" si="17"/>
        <v>9月26日晚上</v>
      </c>
      <c r="B526" s="18"/>
      <c r="C526" s="19"/>
      <c r="D526" s="20"/>
      <c r="E526" s="20"/>
      <c r="F526" s="21" t="s">
        <v>300</v>
      </c>
      <c r="G526" s="21"/>
      <c r="I526" s="21"/>
      <c r="J526" s="21" t="s">
        <v>480</v>
      </c>
      <c r="K526" s="21"/>
      <c r="L526" s="21"/>
      <c r="M526" s="21"/>
      <c r="N526" s="21"/>
    </row>
    <row r="527" customFormat="1" ht="90" customHeight="1" spans="1:14">
      <c r="A527" t="str">
        <f t="shared" si="17"/>
        <v>9月26日晚上</v>
      </c>
      <c r="B527" s="18"/>
      <c r="C527" s="23"/>
      <c r="D527" s="33"/>
      <c r="E527" s="33"/>
      <c r="F527" s="21" t="s">
        <v>300</v>
      </c>
      <c r="G527" s="21"/>
      <c r="H527" s="21"/>
      <c r="I527" s="21"/>
      <c r="J527" s="21"/>
      <c r="K527" s="35"/>
      <c r="L527" s="21"/>
      <c r="M527" s="21"/>
      <c r="N527" s="21"/>
    </row>
    <row r="528" customFormat="1" ht="90" customHeight="1" spans="1:14">
      <c r="A528" t="str">
        <f t="shared" si="17"/>
        <v> 
9月26日晚上</v>
      </c>
      <c r="B528" s="18"/>
      <c r="C528" s="18"/>
      <c r="D528" s="33"/>
      <c r="E528" s="34" t="s">
        <v>368</v>
      </c>
      <c r="F528" s="21" t="s">
        <v>300</v>
      </c>
      <c r="G528" s="21"/>
      <c r="H528" s="21" t="s">
        <v>490</v>
      </c>
      <c r="I528" s="21"/>
      <c r="J528" s="21"/>
      <c r="K528" s="21"/>
      <c r="L528" s="21"/>
      <c r="M528" s="21"/>
      <c r="N528" s="21"/>
    </row>
    <row r="529" customFormat="1" ht="90" customHeight="1" spans="1:14">
      <c r="A529" t="str">
        <f t="shared" si="17"/>
        <v>9月26日晚上</v>
      </c>
      <c r="B529" s="18"/>
      <c r="C529" s="18"/>
      <c r="D529" s="33"/>
      <c r="E529" s="33"/>
      <c r="F529" s="21" t="s">
        <v>300</v>
      </c>
      <c r="G529" s="21"/>
      <c r="H529" s="21"/>
      <c r="I529" s="21"/>
      <c r="J529" s="21"/>
      <c r="K529" s="21"/>
      <c r="L529" s="21"/>
      <c r="M529" s="21" t="s">
        <v>414</v>
      </c>
      <c r="N529" s="21" t="s">
        <v>522</v>
      </c>
    </row>
    <row r="530" spans="1:1">
      <c r="A530" t="str">
        <f t="shared" si="17"/>
        <v/>
      </c>
    </row>
    <row r="531" customFormat="1" spans="1:14">
      <c r="A531" t="str">
        <f t="shared" si="17"/>
        <v>SKU</v>
      </c>
      <c r="B531" s="11" t="s">
        <v>2</v>
      </c>
      <c r="C531" s="11" t="s">
        <v>342</v>
      </c>
      <c r="D531" s="11" t="s">
        <v>343</v>
      </c>
      <c r="E531" s="11" t="s">
        <v>344</v>
      </c>
      <c r="F531" s="11"/>
      <c r="G531" s="12" t="s">
        <v>345</v>
      </c>
      <c r="H531" s="13"/>
      <c r="I531" s="13"/>
      <c r="J531" s="13"/>
      <c r="K531" s="13"/>
      <c r="L531" s="13"/>
      <c r="M531" s="13"/>
      <c r="N531" s="30"/>
    </row>
    <row r="532" customFormat="1" spans="1:14">
      <c r="A532" t="str">
        <f t="shared" si="17"/>
        <v/>
      </c>
      <c r="B532" s="11"/>
      <c r="C532" s="11"/>
      <c r="D532" s="11"/>
      <c r="E532" s="11"/>
      <c r="F532" s="14"/>
      <c r="G532" s="12" t="s">
        <v>247</v>
      </c>
      <c r="H532" s="13"/>
      <c r="I532" s="12" t="s">
        <v>248</v>
      </c>
      <c r="J532" s="13"/>
      <c r="K532" s="12" t="s">
        <v>249</v>
      </c>
      <c r="L532" s="13"/>
      <c r="M532" s="17" t="s">
        <v>250</v>
      </c>
      <c r="N532" s="17"/>
    </row>
    <row r="533" customFormat="1" spans="1:14">
      <c r="A533" t="str">
        <f t="shared" si="17"/>
        <v>日期</v>
      </c>
      <c r="B533" s="15"/>
      <c r="C533" s="15"/>
      <c r="D533" s="15"/>
      <c r="E533" s="15"/>
      <c r="F533" s="16" t="s">
        <v>40</v>
      </c>
      <c r="G533" s="17" t="s">
        <v>251</v>
      </c>
      <c r="H533" s="17" t="s">
        <v>252</v>
      </c>
      <c r="I533" s="17" t="s">
        <v>251</v>
      </c>
      <c r="J533" s="17" t="s">
        <v>252</v>
      </c>
      <c r="K533" s="17" t="s">
        <v>251</v>
      </c>
      <c r="L533" s="17" t="s">
        <v>252</v>
      </c>
      <c r="M533" s="17" t="s">
        <v>251</v>
      </c>
      <c r="N533" s="17" t="s">
        <v>252</v>
      </c>
    </row>
    <row r="534" customFormat="1" ht="86" customHeight="1" spans="1:14">
      <c r="A534" t="str">
        <f t="shared" si="17"/>
        <v>XXXX-1119月27日上午</v>
      </c>
      <c r="B534" s="18"/>
      <c r="C534" s="19"/>
      <c r="D534" s="20"/>
      <c r="E534" s="20" t="s">
        <v>23</v>
      </c>
      <c r="F534" s="21" t="s">
        <v>301</v>
      </c>
      <c r="G534" s="21"/>
      <c r="H534" s="21" t="s">
        <v>468</v>
      </c>
      <c r="I534" s="21"/>
      <c r="J534" s="21"/>
      <c r="K534" s="21"/>
      <c r="L534" s="21" t="s">
        <v>526</v>
      </c>
      <c r="M534" s="21"/>
      <c r="N534" s="21"/>
    </row>
    <row r="535" customFormat="1" ht="86" customHeight="1" spans="1:14">
      <c r="A535" t="str">
        <f t="shared" si="17"/>
        <v>XXXX-2229月27日上午</v>
      </c>
      <c r="B535" s="18"/>
      <c r="C535" s="22"/>
      <c r="D535" s="20"/>
      <c r="E535" s="20" t="s">
        <v>24</v>
      </c>
      <c r="F535" s="21" t="s">
        <v>301</v>
      </c>
      <c r="G535" s="21"/>
      <c r="H535" s="21"/>
      <c r="I535" s="21"/>
      <c r="J535" s="21" t="s">
        <v>386</v>
      </c>
      <c r="K535" s="31"/>
      <c r="L535" s="21"/>
      <c r="M535" s="21"/>
      <c r="N535" s="21"/>
    </row>
    <row r="536" customFormat="1" ht="86" customHeight="1" spans="1:14">
      <c r="A536" t="str">
        <f t="shared" si="17"/>
        <v>9月27日上午</v>
      </c>
      <c r="B536" s="18"/>
      <c r="C536" s="23"/>
      <c r="D536" s="20"/>
      <c r="E536" s="20"/>
      <c r="F536" s="21" t="s">
        <v>301</v>
      </c>
      <c r="G536" s="21"/>
      <c r="H536" s="21"/>
      <c r="I536" s="21"/>
      <c r="J536" s="21"/>
      <c r="K536" s="21"/>
      <c r="L536" s="21" t="s">
        <v>432</v>
      </c>
      <c r="M536" s="21"/>
      <c r="N536" s="21"/>
    </row>
    <row r="537" customFormat="1" ht="86" customHeight="1" spans="1:14">
      <c r="A537" t="str">
        <f t="shared" si="17"/>
        <v>9月27日上午</v>
      </c>
      <c r="B537" s="18"/>
      <c r="C537" s="19"/>
      <c r="D537" s="20"/>
      <c r="E537" s="20"/>
      <c r="F537" s="21" t="s">
        <v>301</v>
      </c>
      <c r="G537" s="21"/>
      <c r="H537" s="21"/>
      <c r="I537" s="21"/>
      <c r="J537" s="21" t="s">
        <v>417</v>
      </c>
      <c r="K537" s="21"/>
      <c r="L537" s="21"/>
      <c r="M537" s="21"/>
      <c r="N537" s="21"/>
    </row>
    <row r="538" customFormat="1" ht="86" customHeight="1" spans="1:14">
      <c r="A538" t="str">
        <f t="shared" si="17"/>
        <v>9月27日上午</v>
      </c>
      <c r="B538" s="18"/>
      <c r="C538" s="23"/>
      <c r="D538" s="20"/>
      <c r="E538" s="20"/>
      <c r="F538" s="21" t="s">
        <v>301</v>
      </c>
      <c r="G538" s="21"/>
      <c r="H538" s="35"/>
      <c r="I538" s="21"/>
      <c r="J538" s="21"/>
      <c r="K538" s="21"/>
      <c r="L538" s="21"/>
      <c r="M538" s="21"/>
      <c r="N538" s="21"/>
    </row>
    <row r="539" customFormat="1" ht="86" customHeight="1" spans="1:14">
      <c r="A539" t="str">
        <f t="shared" si="17"/>
        <v>9月27日上午</v>
      </c>
      <c r="B539" s="18"/>
      <c r="C539" s="18"/>
      <c r="D539" s="20"/>
      <c r="E539" s="24"/>
      <c r="F539" s="21" t="s">
        <v>301</v>
      </c>
      <c r="G539" s="36"/>
      <c r="I539" s="21"/>
      <c r="J539" s="21"/>
      <c r="K539" s="21"/>
      <c r="L539" s="21"/>
      <c r="M539" s="21"/>
      <c r="N539" s="21"/>
    </row>
    <row r="540" customFormat="1" ht="86" customHeight="1" spans="1:14">
      <c r="A540" t="str">
        <f t="shared" si="17"/>
        <v>9月27日上午</v>
      </c>
      <c r="B540" s="18"/>
      <c r="C540" s="18"/>
      <c r="D540" s="20"/>
      <c r="E540" s="20"/>
      <c r="F540" s="21" t="s">
        <v>301</v>
      </c>
      <c r="G540" s="21"/>
      <c r="H540" s="21"/>
      <c r="I540" s="21"/>
      <c r="J540" s="21"/>
      <c r="K540" s="21"/>
      <c r="L540" s="21"/>
      <c r="M540" s="21"/>
      <c r="N540" s="21" t="s">
        <v>527</v>
      </c>
    </row>
    <row r="541" spans="1:1">
      <c r="A541" t="str">
        <f t="shared" si="17"/>
        <v/>
      </c>
    </row>
    <row r="542" customFormat="1" spans="1:14">
      <c r="A542" t="str">
        <f t="shared" si="17"/>
        <v>SKU</v>
      </c>
      <c r="B542" s="11" t="s">
        <v>2</v>
      </c>
      <c r="C542" s="11" t="s">
        <v>342</v>
      </c>
      <c r="D542" s="11" t="s">
        <v>343</v>
      </c>
      <c r="E542" s="11" t="s">
        <v>344</v>
      </c>
      <c r="F542" s="11"/>
      <c r="G542" s="17" t="s">
        <v>345</v>
      </c>
      <c r="H542" s="17"/>
      <c r="I542" s="17"/>
      <c r="J542" s="17"/>
      <c r="K542" s="17"/>
      <c r="L542" s="17"/>
      <c r="M542" s="17"/>
      <c r="N542" s="17"/>
    </row>
    <row r="543" customFormat="1" spans="1:14">
      <c r="A543" t="str">
        <f t="shared" si="17"/>
        <v/>
      </c>
      <c r="B543" s="11"/>
      <c r="C543" s="11"/>
      <c r="D543" s="11"/>
      <c r="E543" s="11"/>
      <c r="F543" s="14"/>
      <c r="G543" s="17" t="s">
        <v>247</v>
      </c>
      <c r="H543" s="17"/>
      <c r="I543" s="17" t="s">
        <v>351</v>
      </c>
      <c r="J543" s="17"/>
      <c r="K543" s="17" t="s">
        <v>249</v>
      </c>
      <c r="L543" s="17"/>
      <c r="M543" s="17" t="s">
        <v>250</v>
      </c>
      <c r="N543" s="17"/>
    </row>
    <row r="544" customFormat="1" spans="1:14">
      <c r="A544" t="str">
        <f t="shared" si="17"/>
        <v>日期</v>
      </c>
      <c r="B544" s="15"/>
      <c r="C544" s="15"/>
      <c r="D544" s="15"/>
      <c r="E544" s="15"/>
      <c r="F544" s="16" t="s">
        <v>40</v>
      </c>
      <c r="G544" s="17" t="s">
        <v>251</v>
      </c>
      <c r="H544" s="17" t="s">
        <v>252</v>
      </c>
      <c r="I544" s="17" t="s">
        <v>251</v>
      </c>
      <c r="J544" s="17" t="s">
        <v>252</v>
      </c>
      <c r="K544" s="17" t="s">
        <v>251</v>
      </c>
      <c r="L544" s="17" t="s">
        <v>252</v>
      </c>
      <c r="M544" s="17" t="s">
        <v>251</v>
      </c>
      <c r="N544" s="17" t="s">
        <v>252</v>
      </c>
    </row>
    <row r="545" customFormat="1" ht="90" customHeight="1" spans="1:14">
      <c r="A545" t="str">
        <f t="shared" si="17"/>
        <v>XXXX-1119月27日晚上</v>
      </c>
      <c r="B545" s="18"/>
      <c r="C545" s="19"/>
      <c r="D545" s="33"/>
      <c r="E545" s="33" t="s">
        <v>23</v>
      </c>
      <c r="F545" s="21" t="s">
        <v>302</v>
      </c>
      <c r="G545" s="21"/>
      <c r="H545" s="21" t="s">
        <v>529</v>
      </c>
      <c r="I545" s="21"/>
      <c r="J545" s="21"/>
      <c r="K545" s="21"/>
      <c r="L545" s="21" t="s">
        <v>530</v>
      </c>
      <c r="M545" s="21"/>
      <c r="N545" s="21"/>
    </row>
    <row r="546" customFormat="1" ht="90" customHeight="1" spans="1:14">
      <c r="A546" t="str">
        <f t="shared" si="17"/>
        <v>XXXX-2229月27日晚上</v>
      </c>
      <c r="B546" s="18"/>
      <c r="C546" s="22"/>
      <c r="D546" s="20"/>
      <c r="E546" s="20" t="s">
        <v>24</v>
      </c>
      <c r="F546" s="21" t="s">
        <v>302</v>
      </c>
      <c r="G546" s="21"/>
      <c r="H546" s="21"/>
      <c r="I546" s="21"/>
      <c r="J546" s="21" t="s">
        <v>531</v>
      </c>
      <c r="K546" s="32"/>
      <c r="L546" s="21"/>
      <c r="M546" s="21"/>
      <c r="N546" s="21"/>
    </row>
    <row r="547" customFormat="1" ht="90" customHeight="1" spans="1:14">
      <c r="A547" t="str">
        <f t="shared" si="17"/>
        <v>9月27日晚上</v>
      </c>
      <c r="B547" s="18"/>
      <c r="C547" s="23"/>
      <c r="D547" s="33"/>
      <c r="E547" s="33"/>
      <c r="F547" s="21" t="s">
        <v>302</v>
      </c>
      <c r="G547" s="21"/>
      <c r="H547" s="35"/>
      <c r="I547" s="21"/>
      <c r="J547" s="21"/>
      <c r="K547" s="21" t="s">
        <v>532</v>
      </c>
      <c r="L547" s="21" t="s">
        <v>509</v>
      </c>
      <c r="M547" s="21"/>
      <c r="N547" s="21"/>
    </row>
    <row r="548" customFormat="1" ht="90" customHeight="1" spans="1:14">
      <c r="A548" t="str">
        <f t="shared" si="17"/>
        <v>9月27日晚上</v>
      </c>
      <c r="B548" s="18"/>
      <c r="C548" s="19"/>
      <c r="D548" s="20"/>
      <c r="E548" s="20"/>
      <c r="F548" s="21" t="s">
        <v>302</v>
      </c>
      <c r="G548" s="21"/>
      <c r="I548" s="21"/>
      <c r="J548" s="21" t="s">
        <v>423</v>
      </c>
      <c r="K548" s="21"/>
      <c r="L548" s="21"/>
      <c r="M548" s="21"/>
      <c r="N548" s="21"/>
    </row>
    <row r="549" customFormat="1" ht="90" customHeight="1" spans="1:14">
      <c r="A549" t="str">
        <f t="shared" si="17"/>
        <v>9月27日晚上</v>
      </c>
      <c r="B549" s="18"/>
      <c r="C549" s="23"/>
      <c r="D549" s="33"/>
      <c r="E549" s="33"/>
      <c r="F549" s="21" t="s">
        <v>302</v>
      </c>
      <c r="G549" s="21"/>
      <c r="H549" s="21"/>
      <c r="I549" s="21"/>
      <c r="J549" s="21"/>
      <c r="K549" s="35"/>
      <c r="L549" s="21"/>
      <c r="M549" s="21"/>
      <c r="N549" s="21"/>
    </row>
    <row r="550" customFormat="1" ht="90" customHeight="1" spans="1:14">
      <c r="A550" t="str">
        <f t="shared" si="17"/>
        <v> 
9月27日晚上</v>
      </c>
      <c r="B550" s="18"/>
      <c r="C550" s="18"/>
      <c r="D550" s="33"/>
      <c r="E550" s="34" t="s">
        <v>368</v>
      </c>
      <c r="F550" s="21" t="s">
        <v>302</v>
      </c>
      <c r="G550" s="21"/>
      <c r="H550" s="21"/>
      <c r="I550" s="21"/>
      <c r="J550" s="21"/>
      <c r="K550" s="21"/>
      <c r="L550" s="21"/>
      <c r="M550" s="21"/>
      <c r="N550" s="21"/>
    </row>
    <row r="551" customFormat="1" ht="90" customHeight="1" spans="1:14">
      <c r="A551" t="str">
        <f t="shared" ref="A551:A582" si="18">E551&amp;F551</f>
        <v>9月27日晚上</v>
      </c>
      <c r="B551" s="18"/>
      <c r="C551" s="18"/>
      <c r="D551" s="33"/>
      <c r="E551" s="33"/>
      <c r="F551" s="21" t="s">
        <v>302</v>
      </c>
      <c r="G551" s="21"/>
      <c r="H551" s="21"/>
      <c r="I551" s="21"/>
      <c r="J551" s="21"/>
      <c r="K551" s="21"/>
      <c r="L551" s="21"/>
      <c r="M551" s="21" t="s">
        <v>533</v>
      </c>
      <c r="N551" s="21" t="s">
        <v>395</v>
      </c>
    </row>
    <row r="552" spans="1:1">
      <c r="A552" t="str">
        <f t="shared" si="18"/>
        <v/>
      </c>
    </row>
    <row r="553" customFormat="1" spans="1:14">
      <c r="A553" t="str">
        <f t="shared" si="18"/>
        <v>SKU</v>
      </c>
      <c r="B553" s="11" t="s">
        <v>2</v>
      </c>
      <c r="C553" s="11" t="s">
        <v>342</v>
      </c>
      <c r="D553" s="11" t="s">
        <v>343</v>
      </c>
      <c r="E553" s="11" t="s">
        <v>344</v>
      </c>
      <c r="F553" s="11"/>
      <c r="G553" s="12" t="s">
        <v>345</v>
      </c>
      <c r="H553" s="13"/>
      <c r="I553" s="13"/>
      <c r="J553" s="13"/>
      <c r="K553" s="13"/>
      <c r="L553" s="13"/>
      <c r="M553" s="13"/>
      <c r="N553" s="30"/>
    </row>
    <row r="554" customFormat="1" spans="1:14">
      <c r="A554" t="str">
        <f t="shared" si="18"/>
        <v/>
      </c>
      <c r="B554" s="11"/>
      <c r="C554" s="11"/>
      <c r="D554" s="11"/>
      <c r="E554" s="11"/>
      <c r="F554" s="14"/>
      <c r="G554" s="12" t="s">
        <v>247</v>
      </c>
      <c r="H554" s="13"/>
      <c r="I554" s="12" t="s">
        <v>248</v>
      </c>
      <c r="J554" s="13"/>
      <c r="K554" s="12" t="s">
        <v>249</v>
      </c>
      <c r="L554" s="13"/>
      <c r="M554" s="17" t="s">
        <v>250</v>
      </c>
      <c r="N554" s="17"/>
    </row>
    <row r="555" customFormat="1" spans="1:14">
      <c r="A555" t="str">
        <f t="shared" si="18"/>
        <v>日期</v>
      </c>
      <c r="B555" s="15"/>
      <c r="C555" s="15"/>
      <c r="D555" s="15"/>
      <c r="E555" s="15"/>
      <c r="F555" s="16" t="s">
        <v>40</v>
      </c>
      <c r="G555" s="17" t="s">
        <v>251</v>
      </c>
      <c r="H555" s="17" t="s">
        <v>252</v>
      </c>
      <c r="I555" s="17" t="s">
        <v>251</v>
      </c>
      <c r="J555" s="17" t="s">
        <v>252</v>
      </c>
      <c r="K555" s="17" t="s">
        <v>251</v>
      </c>
      <c r="L555" s="17" t="s">
        <v>252</v>
      </c>
      <c r="M555" s="17" t="s">
        <v>251</v>
      </c>
      <c r="N555" s="17" t="s">
        <v>252</v>
      </c>
    </row>
    <row r="556" customFormat="1" ht="86" customHeight="1" spans="1:14">
      <c r="A556" t="str">
        <f t="shared" si="18"/>
        <v>XXXX-1119月28日上午</v>
      </c>
      <c r="B556" s="18"/>
      <c r="C556" s="19"/>
      <c r="D556" s="20"/>
      <c r="E556" s="20" t="s">
        <v>23</v>
      </c>
      <c r="F556" s="21" t="s">
        <v>303</v>
      </c>
      <c r="G556" s="21"/>
      <c r="H556" s="21" t="s">
        <v>363</v>
      </c>
      <c r="I556" s="21"/>
      <c r="J556" s="21"/>
      <c r="K556" s="21"/>
      <c r="L556" s="21" t="s">
        <v>503</v>
      </c>
      <c r="M556" s="21"/>
      <c r="N556" s="21"/>
    </row>
    <row r="557" customFormat="1" ht="86" customHeight="1" spans="1:14">
      <c r="A557" t="str">
        <f t="shared" si="18"/>
        <v>XXXX-2229月28日上午</v>
      </c>
      <c r="B557" s="18"/>
      <c r="C557" s="22"/>
      <c r="D557" s="20"/>
      <c r="E557" s="20" t="s">
        <v>24</v>
      </c>
      <c r="F557" s="21" t="s">
        <v>303</v>
      </c>
      <c r="G557" s="21"/>
      <c r="H557" s="21"/>
      <c r="I557" s="21"/>
      <c r="J557" s="21" t="s">
        <v>365</v>
      </c>
      <c r="K557" s="31"/>
      <c r="L557" s="21"/>
      <c r="M557" s="21"/>
      <c r="N557" s="21"/>
    </row>
    <row r="558" customFormat="1" ht="86" customHeight="1" spans="1:14">
      <c r="A558" t="str">
        <f t="shared" si="18"/>
        <v>9月28日上午</v>
      </c>
      <c r="B558" s="18"/>
      <c r="C558" s="23"/>
      <c r="D558" s="20"/>
      <c r="E558" s="20"/>
      <c r="F558" s="21" t="s">
        <v>303</v>
      </c>
      <c r="G558" s="21"/>
      <c r="H558" s="21"/>
      <c r="I558" s="21"/>
      <c r="J558" s="21"/>
      <c r="K558" s="21"/>
      <c r="L558" s="21" t="s">
        <v>534</v>
      </c>
      <c r="M558" s="21"/>
      <c r="N558" s="21"/>
    </row>
    <row r="559" customFormat="1" ht="86" customHeight="1" spans="1:14">
      <c r="A559" t="str">
        <f t="shared" si="18"/>
        <v>9月28日上午</v>
      </c>
      <c r="B559" s="18"/>
      <c r="C559" s="19"/>
      <c r="D559" s="20"/>
      <c r="E559" s="20"/>
      <c r="F559" s="21" t="s">
        <v>303</v>
      </c>
      <c r="G559" s="21"/>
      <c r="H559" s="21"/>
      <c r="I559" s="21"/>
      <c r="J559" s="21" t="s">
        <v>396</v>
      </c>
      <c r="K559" s="21"/>
      <c r="L559" s="21"/>
      <c r="M559" s="21"/>
      <c r="N559" s="21"/>
    </row>
    <row r="560" customFormat="1" ht="86" customHeight="1" spans="1:14">
      <c r="A560" t="str">
        <f t="shared" si="18"/>
        <v>9月28日上午</v>
      </c>
      <c r="B560" s="18"/>
      <c r="C560" s="23"/>
      <c r="D560" s="20"/>
      <c r="E560" s="20"/>
      <c r="F560" s="21" t="s">
        <v>303</v>
      </c>
      <c r="G560" s="21"/>
      <c r="H560" s="35"/>
      <c r="I560" s="21"/>
      <c r="J560" s="21"/>
      <c r="K560" s="21"/>
      <c r="L560" s="21"/>
      <c r="M560" s="21"/>
      <c r="N560" s="21"/>
    </row>
    <row r="561" customFormat="1" ht="86" customHeight="1" spans="1:14">
      <c r="A561" t="str">
        <f t="shared" si="18"/>
        <v>9月28日上午</v>
      </c>
      <c r="B561" s="18"/>
      <c r="C561" s="18"/>
      <c r="D561" s="20"/>
      <c r="E561" s="24"/>
      <c r="F561" s="21" t="s">
        <v>303</v>
      </c>
      <c r="G561" s="36"/>
      <c r="I561" s="21"/>
      <c r="J561" s="21"/>
      <c r="K561" s="21"/>
      <c r="L561" s="21"/>
      <c r="M561" s="21"/>
      <c r="N561" s="21"/>
    </row>
    <row r="562" customFormat="1" ht="86" customHeight="1" spans="1:14">
      <c r="A562" t="str">
        <f t="shared" si="18"/>
        <v>9月28日上午</v>
      </c>
      <c r="B562" s="18"/>
      <c r="C562" s="18"/>
      <c r="D562" s="20"/>
      <c r="E562" s="20"/>
      <c r="F562" s="21" t="s">
        <v>303</v>
      </c>
      <c r="G562" s="21"/>
      <c r="H562" s="21"/>
      <c r="I562" s="21"/>
      <c r="J562" s="21"/>
      <c r="K562" s="21"/>
      <c r="L562" s="21"/>
      <c r="M562" s="21"/>
      <c r="N562" s="21" t="s">
        <v>468</v>
      </c>
    </row>
    <row r="563" spans="1:1">
      <c r="A563" t="str">
        <f t="shared" si="18"/>
        <v/>
      </c>
    </row>
    <row r="564" customFormat="1" spans="1:14">
      <c r="A564" t="str">
        <f t="shared" si="18"/>
        <v>SKU</v>
      </c>
      <c r="B564" s="11" t="s">
        <v>2</v>
      </c>
      <c r="C564" s="11" t="s">
        <v>342</v>
      </c>
      <c r="D564" s="11" t="s">
        <v>343</v>
      </c>
      <c r="E564" s="11" t="s">
        <v>344</v>
      </c>
      <c r="F564" s="11"/>
      <c r="G564" s="17" t="s">
        <v>345</v>
      </c>
      <c r="H564" s="17"/>
      <c r="I564" s="17"/>
      <c r="J564" s="17"/>
      <c r="K564" s="17"/>
      <c r="L564" s="17"/>
      <c r="M564" s="17"/>
      <c r="N564" s="17"/>
    </row>
    <row r="565" customFormat="1" spans="1:14">
      <c r="A565" t="str">
        <f t="shared" si="18"/>
        <v/>
      </c>
      <c r="B565" s="11"/>
      <c r="C565" s="11"/>
      <c r="D565" s="11"/>
      <c r="E565" s="11"/>
      <c r="F565" s="14"/>
      <c r="G565" s="17" t="s">
        <v>247</v>
      </c>
      <c r="H565" s="17"/>
      <c r="I565" s="17" t="s">
        <v>351</v>
      </c>
      <c r="J565" s="17"/>
      <c r="K565" s="17" t="s">
        <v>249</v>
      </c>
      <c r="L565" s="17"/>
      <c r="M565" s="17" t="s">
        <v>250</v>
      </c>
      <c r="N565" s="17"/>
    </row>
    <row r="566" customFormat="1" spans="1:14">
      <c r="A566" t="str">
        <f t="shared" si="18"/>
        <v>日期</v>
      </c>
      <c r="B566" s="15"/>
      <c r="C566" s="15"/>
      <c r="D566" s="15"/>
      <c r="E566" s="15"/>
      <c r="F566" s="16" t="s">
        <v>40</v>
      </c>
      <c r="G566" s="17" t="s">
        <v>251</v>
      </c>
      <c r="H566" s="17" t="s">
        <v>252</v>
      </c>
      <c r="I566" s="17" t="s">
        <v>251</v>
      </c>
      <c r="J566" s="17" t="s">
        <v>252</v>
      </c>
      <c r="K566" s="17" t="s">
        <v>251</v>
      </c>
      <c r="L566" s="17" t="s">
        <v>252</v>
      </c>
      <c r="M566" s="17" t="s">
        <v>251</v>
      </c>
      <c r="N566" s="17" t="s">
        <v>252</v>
      </c>
    </row>
    <row r="567" customFormat="1" ht="90" customHeight="1" spans="1:14">
      <c r="A567" t="str">
        <f t="shared" si="18"/>
        <v>XXXX-1119月28日晚上</v>
      </c>
      <c r="B567" s="18"/>
      <c r="C567" s="19"/>
      <c r="D567" s="33"/>
      <c r="E567" s="33" t="s">
        <v>23</v>
      </c>
      <c r="F567" s="21" t="s">
        <v>304</v>
      </c>
      <c r="G567" s="21"/>
      <c r="H567" s="21" t="s">
        <v>396</v>
      </c>
      <c r="I567" s="21"/>
      <c r="J567" s="21"/>
      <c r="K567" s="21"/>
      <c r="L567" s="21" t="s">
        <v>535</v>
      </c>
      <c r="M567" s="21"/>
      <c r="N567" s="21"/>
    </row>
    <row r="568" customFormat="1" ht="90" customHeight="1" spans="1:14">
      <c r="A568" t="str">
        <f t="shared" si="18"/>
        <v>XXXX-2229月28日晚上</v>
      </c>
      <c r="B568" s="18"/>
      <c r="C568" s="22"/>
      <c r="D568" s="20"/>
      <c r="E568" s="20" t="s">
        <v>24</v>
      </c>
      <c r="F568" s="21" t="s">
        <v>304</v>
      </c>
      <c r="G568" s="21"/>
      <c r="H568" s="21"/>
      <c r="I568" s="21"/>
      <c r="J568" s="21" t="s">
        <v>536</v>
      </c>
      <c r="K568" s="32"/>
      <c r="L568" s="21"/>
      <c r="M568" s="21"/>
      <c r="N568" s="21"/>
    </row>
    <row r="569" customFormat="1" ht="90" customHeight="1" spans="1:14">
      <c r="A569" t="str">
        <f t="shared" si="18"/>
        <v>9月28日晚上</v>
      </c>
      <c r="B569" s="18"/>
      <c r="C569" s="23"/>
      <c r="D569" s="33"/>
      <c r="E569" s="33"/>
      <c r="F569" s="21" t="s">
        <v>304</v>
      </c>
      <c r="G569" s="21"/>
      <c r="H569" s="35"/>
      <c r="I569" s="21"/>
      <c r="J569" s="21"/>
      <c r="K569" s="21" t="s">
        <v>537</v>
      </c>
      <c r="L569" s="21" t="s">
        <v>538</v>
      </c>
      <c r="M569" s="21"/>
      <c r="N569" s="21"/>
    </row>
    <row r="570" customFormat="1" ht="90" customHeight="1" spans="1:14">
      <c r="A570" t="str">
        <f t="shared" si="18"/>
        <v>9月28日晚上</v>
      </c>
      <c r="B570" s="18"/>
      <c r="C570" s="19"/>
      <c r="D570" s="20"/>
      <c r="E570" s="20"/>
      <c r="F570" s="21" t="s">
        <v>304</v>
      </c>
      <c r="G570" s="21"/>
      <c r="I570" s="21"/>
      <c r="J570" s="21" t="s">
        <v>512</v>
      </c>
      <c r="K570" s="21"/>
      <c r="L570" s="21"/>
      <c r="M570" s="21"/>
      <c r="N570" s="21"/>
    </row>
    <row r="571" customFormat="1" ht="90" customHeight="1" spans="1:14">
      <c r="A571" t="str">
        <f t="shared" si="18"/>
        <v>9月28日晚上</v>
      </c>
      <c r="B571" s="18"/>
      <c r="C571" s="23"/>
      <c r="D571" s="33"/>
      <c r="E571" s="33"/>
      <c r="F571" s="21" t="s">
        <v>304</v>
      </c>
      <c r="G571" s="21"/>
      <c r="H571" s="21"/>
      <c r="I571" s="21"/>
      <c r="J571" s="21"/>
      <c r="K571" s="35"/>
      <c r="L571" s="21"/>
      <c r="M571" s="21"/>
      <c r="N571" s="21"/>
    </row>
    <row r="572" customFormat="1" ht="90" customHeight="1" spans="1:14">
      <c r="A572" t="str">
        <f t="shared" si="18"/>
        <v> 
9月28日晚上</v>
      </c>
      <c r="B572" s="18"/>
      <c r="C572" s="18"/>
      <c r="D572" s="33"/>
      <c r="E572" s="34" t="s">
        <v>368</v>
      </c>
      <c r="F572" s="21" t="s">
        <v>304</v>
      </c>
      <c r="G572" s="21"/>
      <c r="H572" s="21"/>
      <c r="I572" s="21"/>
      <c r="J572" s="21"/>
      <c r="K572" s="21"/>
      <c r="L572" s="21"/>
      <c r="M572" s="21"/>
      <c r="N572" s="21"/>
    </row>
    <row r="573" customFormat="1" ht="90" customHeight="1" spans="1:14">
      <c r="A573" t="str">
        <f t="shared" si="18"/>
        <v>9月28日晚上</v>
      </c>
      <c r="B573" s="18"/>
      <c r="C573" s="18"/>
      <c r="D573" s="33"/>
      <c r="E573" s="33"/>
      <c r="F573" s="21" t="s">
        <v>304</v>
      </c>
      <c r="G573" s="21"/>
      <c r="H573" s="21"/>
      <c r="I573" s="21"/>
      <c r="J573" s="21"/>
      <c r="K573" s="21"/>
      <c r="L573" s="21"/>
      <c r="M573" s="21" t="s">
        <v>539</v>
      </c>
      <c r="N573" s="21" t="s">
        <v>540</v>
      </c>
    </row>
    <row r="574" spans="1:1">
      <c r="A574" t="str">
        <f t="shared" si="18"/>
        <v/>
      </c>
    </row>
    <row r="575" customFormat="1" spans="1:14">
      <c r="A575" t="str">
        <f t="shared" si="18"/>
        <v>SKU</v>
      </c>
      <c r="B575" s="11" t="s">
        <v>2</v>
      </c>
      <c r="C575" s="11" t="s">
        <v>342</v>
      </c>
      <c r="D575" s="11" t="s">
        <v>343</v>
      </c>
      <c r="E575" s="11" t="s">
        <v>344</v>
      </c>
      <c r="F575" s="11"/>
      <c r="G575" s="12" t="s">
        <v>345</v>
      </c>
      <c r="H575" s="13"/>
      <c r="I575" s="13"/>
      <c r="J575" s="13"/>
      <c r="K575" s="13"/>
      <c r="L575" s="13"/>
      <c r="M575" s="13"/>
      <c r="N575" s="30"/>
    </row>
    <row r="576" customFormat="1" spans="1:14">
      <c r="A576" t="str">
        <f t="shared" si="18"/>
        <v/>
      </c>
      <c r="B576" s="11"/>
      <c r="C576" s="11"/>
      <c r="D576" s="11"/>
      <c r="E576" s="11"/>
      <c r="F576" s="14"/>
      <c r="G576" s="12" t="s">
        <v>247</v>
      </c>
      <c r="H576" s="13"/>
      <c r="I576" s="12" t="s">
        <v>248</v>
      </c>
      <c r="J576" s="13"/>
      <c r="K576" s="12" t="s">
        <v>249</v>
      </c>
      <c r="L576" s="13"/>
      <c r="M576" s="17" t="s">
        <v>250</v>
      </c>
      <c r="N576" s="17"/>
    </row>
    <row r="577" customFormat="1" spans="1:14">
      <c r="A577" t="str">
        <f t="shared" si="18"/>
        <v>日期</v>
      </c>
      <c r="B577" s="15"/>
      <c r="C577" s="15"/>
      <c r="D577" s="15"/>
      <c r="E577" s="15"/>
      <c r="F577" s="16" t="s">
        <v>40</v>
      </c>
      <c r="G577" s="17" t="s">
        <v>251</v>
      </c>
      <c r="H577" s="17" t="s">
        <v>252</v>
      </c>
      <c r="I577" s="17" t="s">
        <v>251</v>
      </c>
      <c r="J577" s="17" t="s">
        <v>252</v>
      </c>
      <c r="K577" s="17" t="s">
        <v>251</v>
      </c>
      <c r="L577" s="17" t="s">
        <v>252</v>
      </c>
      <c r="M577" s="17" t="s">
        <v>251</v>
      </c>
      <c r="N577" s="17" t="s">
        <v>252</v>
      </c>
    </row>
    <row r="578" customFormat="1" ht="86" customHeight="1" spans="1:14">
      <c r="A578" t="str">
        <f t="shared" si="18"/>
        <v>XXXX-1119月29日上午</v>
      </c>
      <c r="B578" s="18"/>
      <c r="C578" s="19"/>
      <c r="D578" s="20"/>
      <c r="E578" s="20" t="s">
        <v>23</v>
      </c>
      <c r="F578" s="21" t="s">
        <v>305</v>
      </c>
      <c r="G578" s="21"/>
      <c r="H578" s="21" t="s">
        <v>439</v>
      </c>
      <c r="I578" s="21"/>
      <c r="J578" s="21"/>
      <c r="K578" s="21"/>
      <c r="L578" s="21" t="s">
        <v>495</v>
      </c>
      <c r="M578" s="21"/>
      <c r="N578" s="21"/>
    </row>
    <row r="579" customFormat="1" ht="86" customHeight="1" spans="1:14">
      <c r="A579" t="str">
        <f t="shared" si="18"/>
        <v>XXXX-2229月29日上午</v>
      </c>
      <c r="B579" s="18"/>
      <c r="C579" s="22"/>
      <c r="D579" s="20"/>
      <c r="E579" s="20" t="s">
        <v>24</v>
      </c>
      <c r="F579" s="21" t="s">
        <v>305</v>
      </c>
      <c r="G579" s="21"/>
      <c r="H579" s="21"/>
      <c r="I579" s="21"/>
      <c r="J579" s="21" t="s">
        <v>365</v>
      </c>
      <c r="K579" s="31"/>
      <c r="L579" s="21"/>
      <c r="M579" s="21"/>
      <c r="N579" s="21"/>
    </row>
    <row r="580" customFormat="1" ht="86" customHeight="1" spans="1:14">
      <c r="A580" t="str">
        <f t="shared" si="18"/>
        <v>9月29日上午</v>
      </c>
      <c r="B580" s="18"/>
      <c r="C580" s="23"/>
      <c r="D580" s="20"/>
      <c r="E580" s="20"/>
      <c r="F580" s="21" t="s">
        <v>305</v>
      </c>
      <c r="G580" s="21"/>
      <c r="H580" s="21"/>
      <c r="I580" s="21"/>
      <c r="J580" s="21"/>
      <c r="K580" s="21"/>
      <c r="L580" s="21" t="s">
        <v>535</v>
      </c>
      <c r="M580" s="21"/>
      <c r="N580" s="21"/>
    </row>
    <row r="581" customFormat="1" ht="86" customHeight="1" spans="1:14">
      <c r="A581" t="str">
        <f t="shared" si="18"/>
        <v>9月29日上午</v>
      </c>
      <c r="B581" s="18"/>
      <c r="C581" s="19"/>
      <c r="D581" s="20"/>
      <c r="E581" s="20"/>
      <c r="F581" s="21" t="s">
        <v>305</v>
      </c>
      <c r="G581" s="21"/>
      <c r="H581" s="21"/>
      <c r="I581" s="21"/>
      <c r="J581" s="21" t="s">
        <v>439</v>
      </c>
      <c r="K581" s="21"/>
      <c r="L581" s="21"/>
      <c r="M581" s="21"/>
      <c r="N581" s="21"/>
    </row>
    <row r="582" customFormat="1" ht="86" customHeight="1" spans="1:14">
      <c r="A582" t="str">
        <f t="shared" si="18"/>
        <v>9月29日上午</v>
      </c>
      <c r="B582" s="18"/>
      <c r="C582" s="23"/>
      <c r="D582" s="20"/>
      <c r="E582" s="20"/>
      <c r="F582" s="21" t="s">
        <v>305</v>
      </c>
      <c r="G582" s="21"/>
      <c r="H582" s="35"/>
      <c r="I582" s="21"/>
      <c r="J582" s="21"/>
      <c r="K582" s="21"/>
      <c r="L582" s="21"/>
      <c r="M582" s="21"/>
      <c r="N582" s="21"/>
    </row>
    <row r="583" customFormat="1" ht="86" customHeight="1" spans="1:14">
      <c r="A583" t="str">
        <f t="shared" ref="A583:A617" si="19">E583&amp;F583</f>
        <v>9月29日上午</v>
      </c>
      <c r="B583" s="18"/>
      <c r="C583" s="18"/>
      <c r="D583" s="20"/>
      <c r="E583" s="24"/>
      <c r="F583" s="21" t="s">
        <v>305</v>
      </c>
      <c r="G583" s="36"/>
      <c r="I583" s="21"/>
      <c r="J583" s="21"/>
      <c r="K583" s="21"/>
      <c r="L583" s="21"/>
      <c r="M583" s="21"/>
      <c r="N583" s="21"/>
    </row>
    <row r="584" customFormat="1" ht="86" customHeight="1" spans="1:14">
      <c r="A584" t="str">
        <f t="shared" si="19"/>
        <v>9月29日上午</v>
      </c>
      <c r="B584" s="18"/>
      <c r="C584" s="18"/>
      <c r="D584" s="20"/>
      <c r="E584" s="20"/>
      <c r="F584" s="21" t="s">
        <v>305</v>
      </c>
      <c r="G584" s="21"/>
      <c r="H584" s="21"/>
      <c r="I584" s="21"/>
      <c r="J584" s="21"/>
      <c r="K584" s="21"/>
      <c r="L584" s="21"/>
      <c r="M584" s="21"/>
      <c r="N584" s="21" t="s">
        <v>540</v>
      </c>
    </row>
    <row r="585" spans="1:1">
      <c r="A585" t="str">
        <f t="shared" si="19"/>
        <v/>
      </c>
    </row>
    <row r="586" customFormat="1" spans="1:14">
      <c r="A586" t="str">
        <f t="shared" si="19"/>
        <v>SKU</v>
      </c>
      <c r="B586" s="11" t="s">
        <v>2</v>
      </c>
      <c r="C586" s="11" t="s">
        <v>342</v>
      </c>
      <c r="D586" s="11" t="s">
        <v>343</v>
      </c>
      <c r="E586" s="11" t="s">
        <v>344</v>
      </c>
      <c r="F586" s="11"/>
      <c r="G586" s="17" t="s">
        <v>345</v>
      </c>
      <c r="H586" s="17"/>
      <c r="I586" s="17"/>
      <c r="J586" s="17"/>
      <c r="K586" s="17"/>
      <c r="L586" s="17"/>
      <c r="M586" s="17"/>
      <c r="N586" s="17"/>
    </row>
    <row r="587" customFormat="1" spans="1:14">
      <c r="A587" t="str">
        <f t="shared" si="19"/>
        <v/>
      </c>
      <c r="B587" s="11"/>
      <c r="C587" s="11"/>
      <c r="D587" s="11"/>
      <c r="E587" s="11"/>
      <c r="F587" s="14"/>
      <c r="G587" s="17" t="s">
        <v>247</v>
      </c>
      <c r="H587" s="17"/>
      <c r="I587" s="17" t="s">
        <v>351</v>
      </c>
      <c r="J587" s="17"/>
      <c r="K587" s="17" t="s">
        <v>249</v>
      </c>
      <c r="L587" s="17"/>
      <c r="M587" s="17" t="s">
        <v>250</v>
      </c>
      <c r="N587" s="17"/>
    </row>
    <row r="588" customFormat="1" spans="1:14">
      <c r="A588" t="str">
        <f t="shared" si="19"/>
        <v>日期</v>
      </c>
      <c r="B588" s="15"/>
      <c r="C588" s="15"/>
      <c r="D588" s="15"/>
      <c r="E588" s="15"/>
      <c r="F588" s="16" t="s">
        <v>40</v>
      </c>
      <c r="G588" s="17" t="s">
        <v>251</v>
      </c>
      <c r="H588" s="17" t="s">
        <v>252</v>
      </c>
      <c r="I588" s="17" t="s">
        <v>251</v>
      </c>
      <c r="J588" s="17" t="s">
        <v>252</v>
      </c>
      <c r="K588" s="17" t="s">
        <v>251</v>
      </c>
      <c r="L588" s="17" t="s">
        <v>252</v>
      </c>
      <c r="M588" s="17" t="s">
        <v>251</v>
      </c>
      <c r="N588" s="17" t="s">
        <v>252</v>
      </c>
    </row>
    <row r="589" customFormat="1" ht="90" customHeight="1" spans="1:14">
      <c r="A589" t="str">
        <f t="shared" si="19"/>
        <v>XXXX-1119月29日晚上</v>
      </c>
      <c r="B589" s="18"/>
      <c r="C589" s="19"/>
      <c r="D589" s="33"/>
      <c r="E589" s="33" t="s">
        <v>23</v>
      </c>
      <c r="F589" s="21" t="s">
        <v>306</v>
      </c>
      <c r="G589" s="21"/>
      <c r="H589" s="21" t="s">
        <v>439</v>
      </c>
      <c r="I589" s="21"/>
      <c r="J589" s="21"/>
      <c r="K589" s="21"/>
      <c r="L589" s="21" t="s">
        <v>415</v>
      </c>
      <c r="M589" s="21"/>
      <c r="N589" s="21"/>
    </row>
    <row r="590" customFormat="1" ht="90" customHeight="1" spans="1:14">
      <c r="A590" t="str">
        <f t="shared" si="19"/>
        <v>XXXX-2229月29日晚上</v>
      </c>
      <c r="B590" s="18"/>
      <c r="C590" s="22"/>
      <c r="D590" s="20"/>
      <c r="E590" s="20" t="s">
        <v>24</v>
      </c>
      <c r="F590" s="21" t="s">
        <v>306</v>
      </c>
      <c r="G590" s="21"/>
      <c r="H590" s="21"/>
      <c r="I590" s="21"/>
      <c r="J590" s="21" t="s">
        <v>541</v>
      </c>
      <c r="K590" s="32"/>
      <c r="L590" s="21"/>
      <c r="M590" s="21"/>
      <c r="N590" s="21"/>
    </row>
    <row r="591" customFormat="1" ht="90" customHeight="1" spans="1:14">
      <c r="A591" t="str">
        <f t="shared" si="19"/>
        <v>9月29日晚上</v>
      </c>
      <c r="B591" s="18"/>
      <c r="C591" s="23"/>
      <c r="D591" s="33"/>
      <c r="E591" s="33"/>
      <c r="F591" s="21" t="s">
        <v>306</v>
      </c>
      <c r="G591" s="21"/>
      <c r="H591" s="35"/>
      <c r="I591" s="21"/>
      <c r="J591" s="21" t="s">
        <v>410</v>
      </c>
      <c r="K591" s="21" t="s">
        <v>414</v>
      </c>
      <c r="L591" s="21" t="s">
        <v>495</v>
      </c>
      <c r="M591" s="21"/>
      <c r="N591" s="21"/>
    </row>
    <row r="592" customFormat="1" ht="90" customHeight="1" spans="1:14">
      <c r="A592" t="str">
        <f t="shared" si="19"/>
        <v>9月29日晚上</v>
      </c>
      <c r="B592" s="18"/>
      <c r="C592" s="19"/>
      <c r="D592" s="20"/>
      <c r="E592" s="20"/>
      <c r="F592" s="21" t="s">
        <v>306</v>
      </c>
      <c r="G592" s="21"/>
      <c r="I592" s="21"/>
      <c r="J592" s="21" t="s">
        <v>542</v>
      </c>
      <c r="K592" s="21"/>
      <c r="L592" s="21"/>
      <c r="M592" s="21"/>
      <c r="N592" s="21"/>
    </row>
    <row r="593" customFormat="1" ht="90" customHeight="1" spans="1:14">
      <c r="A593" t="str">
        <f t="shared" si="19"/>
        <v>9月29日晚上</v>
      </c>
      <c r="B593" s="18"/>
      <c r="C593" s="23"/>
      <c r="D593" s="33"/>
      <c r="E593" s="33"/>
      <c r="F593" s="21" t="s">
        <v>306</v>
      </c>
      <c r="G593" s="21"/>
      <c r="H593" s="21"/>
      <c r="I593" s="21"/>
      <c r="J593" s="21"/>
      <c r="K593" s="35"/>
      <c r="L593" s="21"/>
      <c r="M593" s="21"/>
      <c r="N593" s="21"/>
    </row>
    <row r="594" customFormat="1" ht="90" customHeight="1" spans="1:14">
      <c r="A594" t="str">
        <f t="shared" si="19"/>
        <v> 
9月29日晚上</v>
      </c>
      <c r="B594" s="18"/>
      <c r="C594" s="18"/>
      <c r="D594" s="33"/>
      <c r="E594" s="34" t="s">
        <v>368</v>
      </c>
      <c r="F594" s="21" t="s">
        <v>306</v>
      </c>
      <c r="G594" s="21"/>
      <c r="H594" s="21"/>
      <c r="I594" s="21"/>
      <c r="J594" s="21"/>
      <c r="K594" s="21"/>
      <c r="L594" s="21"/>
      <c r="M594" s="21"/>
      <c r="N594" s="21"/>
    </row>
    <row r="595" customFormat="1" ht="90" customHeight="1" spans="1:14">
      <c r="A595" t="str">
        <f t="shared" si="19"/>
        <v>9月29日晚上</v>
      </c>
      <c r="B595" s="18"/>
      <c r="C595" s="18"/>
      <c r="D595" s="33"/>
      <c r="E595" s="33"/>
      <c r="F595" s="21" t="s">
        <v>306</v>
      </c>
      <c r="G595" s="21" t="s">
        <v>492</v>
      </c>
      <c r="H595" s="21"/>
      <c r="I595" s="21"/>
      <c r="J595" s="21"/>
      <c r="K595" s="21"/>
      <c r="L595" s="21"/>
      <c r="M595" s="21" t="s">
        <v>537</v>
      </c>
      <c r="N595" s="21"/>
    </row>
    <row r="596" spans="1:1">
      <c r="A596" t="str">
        <f t="shared" si="19"/>
        <v/>
      </c>
    </row>
    <row r="597" customFormat="1" spans="1:14">
      <c r="A597" t="str">
        <f t="shared" si="19"/>
        <v>SKU</v>
      </c>
      <c r="B597" s="11" t="s">
        <v>2</v>
      </c>
      <c r="C597" s="11" t="s">
        <v>342</v>
      </c>
      <c r="D597" s="11" t="s">
        <v>343</v>
      </c>
      <c r="E597" s="11" t="s">
        <v>344</v>
      </c>
      <c r="F597" s="11"/>
      <c r="G597" s="12" t="s">
        <v>345</v>
      </c>
      <c r="H597" s="13"/>
      <c r="I597" s="13"/>
      <c r="J597" s="13"/>
      <c r="K597" s="13"/>
      <c r="L597" s="13"/>
      <c r="M597" s="13"/>
      <c r="N597" s="30"/>
    </row>
    <row r="598" customFormat="1" spans="1:14">
      <c r="A598" t="str">
        <f t="shared" si="19"/>
        <v/>
      </c>
      <c r="B598" s="11"/>
      <c r="C598" s="11"/>
      <c r="D598" s="11"/>
      <c r="E598" s="11"/>
      <c r="F598" s="14"/>
      <c r="G598" s="12" t="s">
        <v>247</v>
      </c>
      <c r="H598" s="13"/>
      <c r="I598" s="12" t="s">
        <v>248</v>
      </c>
      <c r="J598" s="13"/>
      <c r="K598" s="12" t="s">
        <v>249</v>
      </c>
      <c r="L598" s="13"/>
      <c r="M598" s="17" t="s">
        <v>250</v>
      </c>
      <c r="N598" s="17"/>
    </row>
    <row r="599" customFormat="1" spans="1:14">
      <c r="A599" t="str">
        <f t="shared" si="19"/>
        <v>日期</v>
      </c>
      <c r="B599" s="15"/>
      <c r="C599" s="15"/>
      <c r="D599" s="15"/>
      <c r="E599" s="15"/>
      <c r="F599" s="16" t="s">
        <v>40</v>
      </c>
      <c r="G599" s="17" t="s">
        <v>251</v>
      </c>
      <c r="H599" s="17" t="s">
        <v>252</v>
      </c>
      <c r="I599" s="17" t="s">
        <v>251</v>
      </c>
      <c r="J599" s="17" t="s">
        <v>252</v>
      </c>
      <c r="K599" s="17" t="s">
        <v>251</v>
      </c>
      <c r="L599" s="17" t="s">
        <v>252</v>
      </c>
      <c r="M599" s="17" t="s">
        <v>251</v>
      </c>
      <c r="N599" s="17" t="s">
        <v>252</v>
      </c>
    </row>
    <row r="600" customFormat="1" ht="86" customHeight="1" spans="1:14">
      <c r="A600" t="str">
        <f t="shared" si="19"/>
        <v>XXXX-1119月30日上午</v>
      </c>
      <c r="B600" s="18"/>
      <c r="C600" s="19"/>
      <c r="D600" s="20"/>
      <c r="E600" s="20" t="s">
        <v>23</v>
      </c>
      <c r="F600" s="21" t="s">
        <v>307</v>
      </c>
      <c r="G600" s="21"/>
      <c r="H600" s="21" t="s">
        <v>460</v>
      </c>
      <c r="I600" s="21"/>
      <c r="J600" s="21"/>
      <c r="K600" s="21"/>
      <c r="L600" s="21" t="s">
        <v>513</v>
      </c>
      <c r="M600" s="21"/>
      <c r="N600" s="21"/>
    </row>
    <row r="601" customFormat="1" ht="86" customHeight="1" spans="1:14">
      <c r="A601" t="str">
        <f t="shared" si="19"/>
        <v>XXXX-2229月30日上午</v>
      </c>
      <c r="B601" s="18"/>
      <c r="C601" s="22"/>
      <c r="D601" s="20"/>
      <c r="E601" s="20" t="s">
        <v>24</v>
      </c>
      <c r="F601" s="21" t="s">
        <v>307</v>
      </c>
      <c r="G601" s="21"/>
      <c r="H601" s="21"/>
      <c r="I601" s="21"/>
      <c r="J601" s="21" t="s">
        <v>543</v>
      </c>
      <c r="K601" s="31"/>
      <c r="L601" s="21"/>
      <c r="M601" s="21"/>
      <c r="N601" s="21"/>
    </row>
    <row r="602" customFormat="1" ht="86" customHeight="1" spans="1:14">
      <c r="A602" t="str">
        <f t="shared" si="19"/>
        <v>9月30日上午</v>
      </c>
      <c r="B602" s="18"/>
      <c r="C602" s="23"/>
      <c r="D602" s="20"/>
      <c r="E602" s="20"/>
      <c r="F602" s="21" t="s">
        <v>307</v>
      </c>
      <c r="G602" s="21"/>
      <c r="H602" s="21"/>
      <c r="I602" s="21"/>
      <c r="J602" s="21" t="s">
        <v>354</v>
      </c>
      <c r="K602" s="21"/>
      <c r="L602" s="21" t="s">
        <v>539</v>
      </c>
      <c r="M602" s="21"/>
      <c r="N602" s="21"/>
    </row>
    <row r="603" customFormat="1" ht="86" customHeight="1" spans="1:14">
      <c r="A603" t="str">
        <f t="shared" si="19"/>
        <v>9月30日上午</v>
      </c>
      <c r="B603" s="18"/>
      <c r="C603" s="19"/>
      <c r="D603" s="20"/>
      <c r="E603" s="20"/>
      <c r="F603" s="21" t="s">
        <v>307</v>
      </c>
      <c r="G603" s="21"/>
      <c r="H603" s="21"/>
      <c r="I603" s="21"/>
      <c r="J603" s="21" t="s">
        <v>363</v>
      </c>
      <c r="K603" s="21"/>
      <c r="L603" s="21"/>
      <c r="M603" s="21"/>
      <c r="N603" s="21"/>
    </row>
    <row r="604" customFormat="1" ht="86" customHeight="1" spans="1:14">
      <c r="A604" t="str">
        <f t="shared" si="19"/>
        <v>9月30日上午</v>
      </c>
      <c r="B604" s="18"/>
      <c r="C604" s="23"/>
      <c r="D604" s="20"/>
      <c r="E604" s="20"/>
      <c r="F604" s="21" t="s">
        <v>307</v>
      </c>
      <c r="G604" s="21"/>
      <c r="H604" s="35"/>
      <c r="I604" s="21"/>
      <c r="J604" s="21"/>
      <c r="K604" s="21"/>
      <c r="L604" s="21"/>
      <c r="M604" s="21"/>
      <c r="N604" s="21"/>
    </row>
    <row r="605" customFormat="1" ht="86" customHeight="1" spans="1:14">
      <c r="A605" t="str">
        <f t="shared" si="19"/>
        <v>9月30日上午</v>
      </c>
      <c r="B605" s="18"/>
      <c r="C605" s="18"/>
      <c r="D605" s="20"/>
      <c r="E605" s="24"/>
      <c r="F605" s="21" t="s">
        <v>307</v>
      </c>
      <c r="G605" s="36"/>
      <c r="I605" s="21"/>
      <c r="J605" s="21"/>
      <c r="K605" s="21"/>
      <c r="L605" s="21"/>
      <c r="M605" s="21"/>
      <c r="N605" s="21"/>
    </row>
    <row r="606" customFormat="1" ht="86" customHeight="1" spans="1:14">
      <c r="A606" t="str">
        <f t="shared" si="19"/>
        <v>9月30日上午</v>
      </c>
      <c r="B606" s="18"/>
      <c r="C606" s="18"/>
      <c r="D606" s="20"/>
      <c r="E606" s="20"/>
      <c r="F606" s="21" t="s">
        <v>307</v>
      </c>
      <c r="G606" s="21"/>
      <c r="H606" s="21"/>
      <c r="I606" s="21"/>
      <c r="J606" s="21"/>
      <c r="K606" s="21"/>
      <c r="L606" s="21"/>
      <c r="M606" s="21"/>
      <c r="N606" s="21"/>
    </row>
    <row r="607" spans="1:1">
      <c r="A607" t="str">
        <f t="shared" si="19"/>
        <v/>
      </c>
    </row>
    <row r="608" customFormat="1" spans="1:14">
      <c r="A608" t="str">
        <f t="shared" si="19"/>
        <v>SKU</v>
      </c>
      <c r="B608" s="11" t="s">
        <v>2</v>
      </c>
      <c r="C608" s="11" t="s">
        <v>342</v>
      </c>
      <c r="D608" s="11" t="s">
        <v>343</v>
      </c>
      <c r="E608" s="11" t="s">
        <v>344</v>
      </c>
      <c r="F608" s="11"/>
      <c r="G608" s="17" t="s">
        <v>345</v>
      </c>
      <c r="H608" s="17"/>
      <c r="I608" s="17"/>
      <c r="J608" s="17"/>
      <c r="K608" s="17"/>
      <c r="L608" s="17"/>
      <c r="M608" s="17"/>
      <c r="N608" s="17"/>
    </row>
    <row r="609" customFormat="1" spans="1:14">
      <c r="A609" t="str">
        <f t="shared" si="19"/>
        <v/>
      </c>
      <c r="B609" s="11"/>
      <c r="C609" s="11"/>
      <c r="D609" s="11"/>
      <c r="E609" s="11"/>
      <c r="F609" s="14"/>
      <c r="G609" s="17" t="s">
        <v>247</v>
      </c>
      <c r="H609" s="17"/>
      <c r="I609" s="17" t="s">
        <v>351</v>
      </c>
      <c r="J609" s="17"/>
      <c r="K609" s="17" t="s">
        <v>249</v>
      </c>
      <c r="L609" s="17"/>
      <c r="M609" s="17" t="s">
        <v>250</v>
      </c>
      <c r="N609" s="17"/>
    </row>
    <row r="610" customFormat="1" spans="1:14">
      <c r="A610" t="str">
        <f t="shared" si="19"/>
        <v>日期</v>
      </c>
      <c r="B610" s="15"/>
      <c r="C610" s="15"/>
      <c r="D610" s="15"/>
      <c r="E610" s="15"/>
      <c r="F610" s="16" t="s">
        <v>40</v>
      </c>
      <c r="G610" s="17" t="s">
        <v>251</v>
      </c>
      <c r="H610" s="17" t="s">
        <v>252</v>
      </c>
      <c r="I610" s="17" t="s">
        <v>251</v>
      </c>
      <c r="J610" s="17" t="s">
        <v>252</v>
      </c>
      <c r="K610" s="17" t="s">
        <v>251</v>
      </c>
      <c r="L610" s="17" t="s">
        <v>252</v>
      </c>
      <c r="M610" s="17" t="s">
        <v>251</v>
      </c>
      <c r="N610" s="17" t="s">
        <v>252</v>
      </c>
    </row>
    <row r="611" customFormat="1" ht="90" customHeight="1" spans="1:14">
      <c r="A611" t="str">
        <f t="shared" si="19"/>
        <v>XXXX-1119月30日晚上</v>
      </c>
      <c r="B611" s="18"/>
      <c r="C611" s="19"/>
      <c r="D611" s="33"/>
      <c r="E611" s="33" t="s">
        <v>23</v>
      </c>
      <c r="F611" s="21" t="s">
        <v>308</v>
      </c>
      <c r="G611" s="21"/>
      <c r="H611" s="21" t="s">
        <v>542</v>
      </c>
      <c r="I611" s="21"/>
      <c r="J611" s="21"/>
      <c r="K611" s="21"/>
      <c r="L611" s="21" t="s">
        <v>415</v>
      </c>
      <c r="M611" s="21"/>
      <c r="N611" s="21"/>
    </row>
    <row r="612" customFormat="1" ht="90" customHeight="1" spans="1:14">
      <c r="A612" t="str">
        <f t="shared" si="19"/>
        <v>XXXX-2229月30日晚上</v>
      </c>
      <c r="B612" s="18"/>
      <c r="C612" s="22"/>
      <c r="D612" s="20"/>
      <c r="E612" s="20" t="s">
        <v>24</v>
      </c>
      <c r="F612" s="21" t="s">
        <v>308</v>
      </c>
      <c r="G612" s="21"/>
      <c r="H612" s="21"/>
      <c r="I612" s="21"/>
      <c r="J612" s="21" t="s">
        <v>524</v>
      </c>
      <c r="K612" s="32"/>
      <c r="L612" s="21"/>
      <c r="M612" s="21"/>
      <c r="N612" s="21"/>
    </row>
    <row r="613" customFormat="1" ht="90" customHeight="1" spans="1:14">
      <c r="A613" t="str">
        <f t="shared" si="19"/>
        <v>9月30日晚上</v>
      </c>
      <c r="B613" s="18"/>
      <c r="C613" s="23"/>
      <c r="D613" s="33"/>
      <c r="E613" s="33"/>
      <c r="F613" s="21" t="s">
        <v>308</v>
      </c>
      <c r="G613" s="21"/>
      <c r="H613" s="35"/>
      <c r="I613" s="21"/>
      <c r="J613" s="21" t="s">
        <v>544</v>
      </c>
      <c r="K613" s="21" t="s">
        <v>518</v>
      </c>
      <c r="L613" s="21" t="s">
        <v>533</v>
      </c>
      <c r="M613" s="21"/>
      <c r="N613" s="21"/>
    </row>
    <row r="614" customFormat="1" ht="90" customHeight="1" spans="1:14">
      <c r="A614" t="str">
        <f t="shared" si="19"/>
        <v>9月30日晚上</v>
      </c>
      <c r="B614" s="18"/>
      <c r="C614" s="19"/>
      <c r="D614" s="20"/>
      <c r="E614" s="20"/>
      <c r="F614" s="21" t="s">
        <v>308</v>
      </c>
      <c r="G614" s="21"/>
      <c r="I614" s="21"/>
      <c r="J614" s="21" t="s">
        <v>545</v>
      </c>
      <c r="K614" s="21"/>
      <c r="L614" s="21"/>
      <c r="M614" s="21"/>
      <c r="N614" s="21"/>
    </row>
    <row r="615" customFormat="1" ht="90" customHeight="1" spans="1:14">
      <c r="A615" t="str">
        <f t="shared" si="19"/>
        <v>9月30日晚上</v>
      </c>
      <c r="B615" s="18"/>
      <c r="C615" s="23"/>
      <c r="D615" s="33"/>
      <c r="E615" s="33"/>
      <c r="F615" s="21" t="s">
        <v>308</v>
      </c>
      <c r="G615" s="21"/>
      <c r="H615" s="21"/>
      <c r="I615" s="21"/>
      <c r="J615" s="21"/>
      <c r="K615" s="35"/>
      <c r="L615" s="21"/>
      <c r="M615" s="21"/>
      <c r="N615" s="21"/>
    </row>
    <row r="616" customFormat="1" ht="90" customHeight="1" spans="1:14">
      <c r="A616" t="str">
        <f t="shared" si="19"/>
        <v> 
9月30日晚上</v>
      </c>
      <c r="B616" s="18"/>
      <c r="C616" s="18"/>
      <c r="D616" s="33"/>
      <c r="E616" s="34" t="s">
        <v>368</v>
      </c>
      <c r="F616" s="21" t="s">
        <v>308</v>
      </c>
      <c r="G616" s="21"/>
      <c r="H616" s="21"/>
      <c r="I616" s="21"/>
      <c r="J616" s="21"/>
      <c r="K616" s="21"/>
      <c r="L616" s="21"/>
      <c r="M616" s="21"/>
      <c r="N616" s="21"/>
    </row>
    <row r="617" customFormat="1" ht="90" customHeight="1" spans="1:14">
      <c r="A617" t="str">
        <f t="shared" si="19"/>
        <v>9月30日晚上</v>
      </c>
      <c r="B617" s="18"/>
      <c r="C617" s="18"/>
      <c r="D617" s="33"/>
      <c r="E617" s="33"/>
      <c r="F617" s="21" t="s">
        <v>308</v>
      </c>
      <c r="G617" s="21" t="s">
        <v>546</v>
      </c>
      <c r="H617" s="21"/>
      <c r="I617" s="21"/>
      <c r="J617" s="21"/>
      <c r="K617" s="21"/>
      <c r="L617" s="21"/>
      <c r="M617" s="21"/>
      <c r="N617" s="21" t="s">
        <v>547</v>
      </c>
    </row>
    <row r="618" spans="1:1">
      <c r="A618" t="str">
        <f t="shared" ref="A618:A661" si="20">E618&amp;F618</f>
        <v/>
      </c>
    </row>
    <row r="619" customFormat="1" spans="1:14">
      <c r="A619" t="str">
        <f t="shared" si="20"/>
        <v>SKU</v>
      </c>
      <c r="B619" s="11" t="s">
        <v>2</v>
      </c>
      <c r="C619" s="11" t="s">
        <v>342</v>
      </c>
      <c r="D619" s="11" t="s">
        <v>343</v>
      </c>
      <c r="E619" s="11" t="s">
        <v>344</v>
      </c>
      <c r="F619" s="11"/>
      <c r="G619" s="12" t="s">
        <v>345</v>
      </c>
      <c r="H619" s="13"/>
      <c r="I619" s="13"/>
      <c r="J619" s="13"/>
      <c r="K619" s="13"/>
      <c r="L619" s="13"/>
      <c r="M619" s="13"/>
      <c r="N619" s="30"/>
    </row>
    <row r="620" customFormat="1" spans="1:14">
      <c r="A620" t="str">
        <f t="shared" si="20"/>
        <v/>
      </c>
      <c r="B620" s="11"/>
      <c r="C620" s="11"/>
      <c r="D620" s="11"/>
      <c r="E620" s="11"/>
      <c r="F620" s="14"/>
      <c r="G620" s="17" t="s">
        <v>247</v>
      </c>
      <c r="H620" s="17"/>
      <c r="I620" s="17" t="s">
        <v>351</v>
      </c>
      <c r="J620" s="17"/>
      <c r="K620" s="17" t="s">
        <v>249</v>
      </c>
      <c r="L620" s="17"/>
      <c r="M620" s="17" t="s">
        <v>250</v>
      </c>
      <c r="N620" s="17"/>
    </row>
    <row r="621" customFormat="1" spans="1:14">
      <c r="A621" t="str">
        <f t="shared" si="20"/>
        <v>日期</v>
      </c>
      <c r="B621" s="15"/>
      <c r="C621" s="15"/>
      <c r="D621" s="15"/>
      <c r="E621" s="15"/>
      <c r="F621" s="16" t="s">
        <v>40</v>
      </c>
      <c r="G621" s="17" t="s">
        <v>251</v>
      </c>
      <c r="H621" s="17" t="s">
        <v>252</v>
      </c>
      <c r="I621" s="17" t="s">
        <v>251</v>
      </c>
      <c r="J621" s="17" t="s">
        <v>252</v>
      </c>
      <c r="K621" s="17" t="s">
        <v>251</v>
      </c>
      <c r="L621" s="17" t="s">
        <v>252</v>
      </c>
      <c r="M621" s="17" t="s">
        <v>251</v>
      </c>
      <c r="N621" s="17" t="s">
        <v>252</v>
      </c>
    </row>
    <row r="622" customFormat="1" ht="90" customHeight="1" spans="1:14">
      <c r="A622" t="str">
        <f t="shared" si="20"/>
        <v>XXXX-11110月1日晚上</v>
      </c>
      <c r="B622" s="18"/>
      <c r="C622" s="19"/>
      <c r="D622" s="33"/>
      <c r="E622" s="33" t="s">
        <v>23</v>
      </c>
      <c r="F622" s="21" t="s">
        <v>309</v>
      </c>
      <c r="G622" s="21"/>
      <c r="H622" s="21" t="s">
        <v>385</v>
      </c>
      <c r="I622" s="21"/>
      <c r="J622" s="21"/>
      <c r="K622" s="21"/>
      <c r="L622" s="21" t="s">
        <v>422</v>
      </c>
      <c r="M622" s="21"/>
      <c r="N622" s="21"/>
    </row>
    <row r="623" customFormat="1" ht="90" customHeight="1" spans="1:14">
      <c r="A623" t="str">
        <f t="shared" si="20"/>
        <v>XXXX-22210月1日晚上</v>
      </c>
      <c r="B623" s="18"/>
      <c r="C623" s="22"/>
      <c r="D623" s="20"/>
      <c r="E623" s="20" t="s">
        <v>24</v>
      </c>
      <c r="F623" s="21" t="s">
        <v>309</v>
      </c>
      <c r="G623" s="21"/>
      <c r="H623" s="21"/>
      <c r="I623" s="21"/>
      <c r="J623" s="21" t="s">
        <v>548</v>
      </c>
      <c r="K623" s="32"/>
      <c r="L623" s="21"/>
      <c r="M623" s="21"/>
      <c r="N623" s="21"/>
    </row>
    <row r="624" customFormat="1" ht="90" customHeight="1" spans="1:14">
      <c r="A624" t="str">
        <f t="shared" si="20"/>
        <v>10月1日晚上</v>
      </c>
      <c r="B624" s="18"/>
      <c r="C624" s="23"/>
      <c r="D624" s="33"/>
      <c r="E624" s="33"/>
      <c r="F624" s="21" t="s">
        <v>309</v>
      </c>
      <c r="G624" s="21"/>
      <c r="H624" s="35"/>
      <c r="I624" s="21"/>
      <c r="J624" s="21"/>
      <c r="K624" s="21"/>
      <c r="L624" s="21" t="s">
        <v>549</v>
      </c>
      <c r="M624" s="21"/>
      <c r="N624" s="21"/>
    </row>
    <row r="625" customFormat="1" ht="90" customHeight="1" spans="1:14">
      <c r="A625" t="str">
        <f t="shared" si="20"/>
        <v>10月1日晚上</v>
      </c>
      <c r="B625" s="18"/>
      <c r="C625" s="19"/>
      <c r="D625" s="20"/>
      <c r="E625" s="20"/>
      <c r="F625" s="21" t="s">
        <v>309</v>
      </c>
      <c r="G625" s="21"/>
      <c r="I625" s="21"/>
      <c r="J625" s="21" t="s">
        <v>550</v>
      </c>
      <c r="K625" s="21"/>
      <c r="L625" s="21"/>
      <c r="M625" s="21"/>
      <c r="N625" s="21"/>
    </row>
    <row r="626" customFormat="1" ht="90" customHeight="1" spans="1:14">
      <c r="A626" t="str">
        <f t="shared" si="20"/>
        <v>10月1日晚上</v>
      </c>
      <c r="B626" s="18"/>
      <c r="C626" s="23"/>
      <c r="D626" s="33"/>
      <c r="E626" s="33"/>
      <c r="F626" s="21" t="s">
        <v>309</v>
      </c>
      <c r="G626" s="21"/>
      <c r="H626" s="21"/>
      <c r="I626" s="21"/>
      <c r="J626" s="21"/>
      <c r="K626" s="35"/>
      <c r="L626" s="21"/>
      <c r="M626" s="21"/>
      <c r="N626" s="21"/>
    </row>
    <row r="627" customFormat="1" ht="90" customHeight="1" spans="1:14">
      <c r="A627" t="str">
        <f t="shared" si="20"/>
        <v> 
10月1日晚上</v>
      </c>
      <c r="B627" s="18"/>
      <c r="C627" s="18"/>
      <c r="D627" s="33"/>
      <c r="E627" s="34" t="s">
        <v>368</v>
      </c>
      <c r="F627" s="21" t="s">
        <v>309</v>
      </c>
      <c r="G627" s="21"/>
      <c r="H627" s="21"/>
      <c r="I627" s="21"/>
      <c r="J627" s="21"/>
      <c r="K627" s="21"/>
      <c r="L627" s="21"/>
      <c r="M627" s="21"/>
      <c r="N627" s="21"/>
    </row>
    <row r="628" customFormat="1" ht="90" customHeight="1" spans="1:14">
      <c r="A628" t="str">
        <f t="shared" si="20"/>
        <v>10月1日晚上</v>
      </c>
      <c r="B628" s="18"/>
      <c r="C628" s="18"/>
      <c r="D628" s="33"/>
      <c r="E628" s="33"/>
      <c r="F628" s="21" t="s">
        <v>309</v>
      </c>
      <c r="G628" s="21"/>
      <c r="H628" s="21"/>
      <c r="I628" s="21"/>
      <c r="J628" s="21"/>
      <c r="K628" s="21"/>
      <c r="L628" s="21"/>
      <c r="M628" s="21"/>
      <c r="N628" s="21"/>
    </row>
    <row r="629" spans="1:1">
      <c r="A629" t="str">
        <f t="shared" si="20"/>
        <v/>
      </c>
    </row>
    <row r="630" customFormat="1" spans="1:14">
      <c r="A630" t="str">
        <f t="shared" si="20"/>
        <v>SKU</v>
      </c>
      <c r="B630" s="11" t="s">
        <v>2</v>
      </c>
      <c r="C630" s="11" t="s">
        <v>342</v>
      </c>
      <c r="D630" s="11" t="s">
        <v>343</v>
      </c>
      <c r="E630" s="11" t="s">
        <v>344</v>
      </c>
      <c r="F630" s="11"/>
      <c r="G630" s="12" t="s">
        <v>345</v>
      </c>
      <c r="H630" s="13"/>
      <c r="I630" s="13"/>
      <c r="J630" s="13"/>
      <c r="K630" s="13"/>
      <c r="L630" s="13"/>
      <c r="M630" s="13"/>
      <c r="N630" s="30"/>
    </row>
    <row r="631" customFormat="1" spans="1:14">
      <c r="A631" t="str">
        <f t="shared" si="20"/>
        <v/>
      </c>
      <c r="B631" s="11"/>
      <c r="C631" s="11"/>
      <c r="D631" s="11"/>
      <c r="E631" s="11"/>
      <c r="F631" s="14"/>
      <c r="G631" s="17" t="s">
        <v>247</v>
      </c>
      <c r="H631" s="17"/>
      <c r="I631" s="17" t="s">
        <v>351</v>
      </c>
      <c r="J631" s="17"/>
      <c r="K631" s="17" t="s">
        <v>249</v>
      </c>
      <c r="L631" s="17"/>
      <c r="M631" s="17" t="s">
        <v>250</v>
      </c>
      <c r="N631" s="17"/>
    </row>
    <row r="632" customFormat="1" spans="1:14">
      <c r="A632" t="str">
        <f t="shared" si="20"/>
        <v>日期</v>
      </c>
      <c r="B632" s="15"/>
      <c r="C632" s="15"/>
      <c r="D632" s="15"/>
      <c r="E632" s="15"/>
      <c r="F632" s="16" t="s">
        <v>40</v>
      </c>
      <c r="G632" s="17" t="s">
        <v>251</v>
      </c>
      <c r="H632" s="17" t="s">
        <v>252</v>
      </c>
      <c r="I632" s="17" t="s">
        <v>251</v>
      </c>
      <c r="J632" s="17" t="s">
        <v>252</v>
      </c>
      <c r="K632" s="17" t="s">
        <v>251</v>
      </c>
      <c r="L632" s="17" t="s">
        <v>252</v>
      </c>
      <c r="M632" s="17" t="s">
        <v>251</v>
      </c>
      <c r="N632" s="17" t="s">
        <v>252</v>
      </c>
    </row>
    <row r="633" customFormat="1" ht="90" customHeight="1" spans="1:14">
      <c r="A633" t="str">
        <f t="shared" si="20"/>
        <v>XXXX-11110月2日晚上</v>
      </c>
      <c r="B633" s="18"/>
      <c r="C633" s="19"/>
      <c r="D633" s="33"/>
      <c r="E633" s="33" t="s">
        <v>23</v>
      </c>
      <c r="F633" s="21" t="s">
        <v>310</v>
      </c>
      <c r="G633" s="21"/>
      <c r="H633" s="21" t="s">
        <v>542</v>
      </c>
      <c r="I633" s="21"/>
      <c r="J633" s="21"/>
      <c r="K633" s="21"/>
      <c r="L633" s="21" t="s">
        <v>434</v>
      </c>
      <c r="M633" s="21"/>
      <c r="N633" s="21"/>
    </row>
    <row r="634" customFormat="1" ht="90" customHeight="1" spans="1:14">
      <c r="A634" t="str">
        <f t="shared" si="20"/>
        <v>XXXX-22210月2日晚上</v>
      </c>
      <c r="B634" s="18"/>
      <c r="C634" s="22"/>
      <c r="D634" s="20"/>
      <c r="E634" s="20" t="s">
        <v>24</v>
      </c>
      <c r="F634" s="21" t="s">
        <v>310</v>
      </c>
      <c r="G634" s="21"/>
      <c r="H634" s="21"/>
      <c r="I634" s="21"/>
      <c r="J634" s="21" t="s">
        <v>527</v>
      </c>
      <c r="K634" s="32"/>
      <c r="L634" s="21"/>
      <c r="M634" s="21"/>
      <c r="N634" s="21"/>
    </row>
    <row r="635" customFormat="1" ht="90" customHeight="1" spans="1:14">
      <c r="A635" t="str">
        <f t="shared" si="20"/>
        <v>10月2日晚上</v>
      </c>
      <c r="B635" s="18"/>
      <c r="C635" s="23"/>
      <c r="D635" s="33"/>
      <c r="E635" s="33"/>
      <c r="F635" s="21" t="s">
        <v>310</v>
      </c>
      <c r="G635" s="21"/>
      <c r="H635" s="35"/>
      <c r="I635" s="21"/>
      <c r="J635" s="21"/>
      <c r="K635" s="21"/>
      <c r="L635" s="21" t="s">
        <v>551</v>
      </c>
      <c r="M635" s="21"/>
      <c r="N635" s="21"/>
    </row>
    <row r="636" customFormat="1" ht="90" customHeight="1" spans="1:14">
      <c r="A636" t="str">
        <f t="shared" si="20"/>
        <v>10月2日晚上</v>
      </c>
      <c r="B636" s="18"/>
      <c r="C636" s="19"/>
      <c r="D636" s="20"/>
      <c r="E636" s="20"/>
      <c r="F636" s="21" t="s">
        <v>310</v>
      </c>
      <c r="G636" s="21"/>
      <c r="I636" s="21"/>
      <c r="J636" s="21" t="s">
        <v>379</v>
      </c>
      <c r="K636" s="21"/>
      <c r="L636" s="21"/>
      <c r="M636" s="21"/>
      <c r="N636" s="21"/>
    </row>
    <row r="637" customFormat="1" ht="90" customHeight="1" spans="1:14">
      <c r="A637" t="str">
        <f t="shared" si="20"/>
        <v>10月2日晚上</v>
      </c>
      <c r="B637" s="18"/>
      <c r="C637" s="23"/>
      <c r="D637" s="33"/>
      <c r="E637" s="33"/>
      <c r="F637" s="21" t="s">
        <v>310</v>
      </c>
      <c r="G637" s="21"/>
      <c r="H637" s="21"/>
      <c r="I637" s="21"/>
      <c r="J637" s="21"/>
      <c r="K637" s="35"/>
      <c r="L637" s="21"/>
      <c r="M637" s="21"/>
      <c r="N637" s="21"/>
    </row>
    <row r="638" customFormat="1" ht="90" customHeight="1" spans="1:14">
      <c r="A638" t="str">
        <f t="shared" si="20"/>
        <v> 
10月2日晚上</v>
      </c>
      <c r="B638" s="18"/>
      <c r="C638" s="18"/>
      <c r="D638" s="33"/>
      <c r="E638" s="34" t="s">
        <v>368</v>
      </c>
      <c r="F638" s="21" t="s">
        <v>310</v>
      </c>
      <c r="G638" s="21"/>
      <c r="H638" s="21"/>
      <c r="I638" s="21"/>
      <c r="J638" s="21"/>
      <c r="K638" s="21"/>
      <c r="L638" s="21"/>
      <c r="M638" s="21"/>
      <c r="N638" s="21"/>
    </row>
    <row r="639" customFormat="1" ht="90" customHeight="1" spans="1:14">
      <c r="A639" t="str">
        <f t="shared" si="20"/>
        <v>10月2日晚上</v>
      </c>
      <c r="B639" s="18"/>
      <c r="C639" s="18"/>
      <c r="D639" s="33"/>
      <c r="E639" s="33"/>
      <c r="F639" s="21" t="s">
        <v>310</v>
      </c>
      <c r="G639" s="21"/>
      <c r="H639" s="21"/>
      <c r="I639" s="21"/>
      <c r="J639" s="21"/>
      <c r="K639" s="21"/>
      <c r="L639" s="21"/>
      <c r="M639" s="21"/>
      <c r="N639" s="21"/>
    </row>
    <row r="640" spans="1:1">
      <c r="A640" t="str">
        <f t="shared" si="20"/>
        <v/>
      </c>
    </row>
    <row r="641" spans="1:14">
      <c r="A641" t="str">
        <f t="shared" si="20"/>
        <v>SKU</v>
      </c>
      <c r="B641" s="11" t="s">
        <v>2</v>
      </c>
      <c r="C641" s="11" t="s">
        <v>342</v>
      </c>
      <c r="D641" s="11" t="s">
        <v>343</v>
      </c>
      <c r="E641" s="11" t="s">
        <v>344</v>
      </c>
      <c r="F641" s="11"/>
      <c r="G641" s="12" t="s">
        <v>345</v>
      </c>
      <c r="H641" s="13"/>
      <c r="I641" s="13"/>
      <c r="J641" s="13"/>
      <c r="K641" s="13"/>
      <c r="L641" s="13"/>
      <c r="M641" s="13"/>
      <c r="N641" s="30"/>
    </row>
    <row r="642" spans="1:14">
      <c r="A642" t="str">
        <f t="shared" si="20"/>
        <v/>
      </c>
      <c r="B642" s="11"/>
      <c r="C642" s="11"/>
      <c r="D642" s="11"/>
      <c r="E642" s="11"/>
      <c r="F642" s="14"/>
      <c r="G642" s="17" t="s">
        <v>247</v>
      </c>
      <c r="H642" s="17"/>
      <c r="I642" s="17" t="s">
        <v>351</v>
      </c>
      <c r="J642" s="17"/>
      <c r="K642" s="17" t="s">
        <v>249</v>
      </c>
      <c r="L642" s="17"/>
      <c r="M642" s="17" t="s">
        <v>250</v>
      </c>
      <c r="N642" s="17"/>
    </row>
    <row r="643" spans="1:14">
      <c r="A643" t="str">
        <f t="shared" si="20"/>
        <v>日期</v>
      </c>
      <c r="B643" s="15"/>
      <c r="C643" s="15"/>
      <c r="D643" s="15"/>
      <c r="E643" s="15"/>
      <c r="F643" s="16" t="s">
        <v>40</v>
      </c>
      <c r="G643" s="17" t="s">
        <v>251</v>
      </c>
      <c r="H643" s="17" t="s">
        <v>252</v>
      </c>
      <c r="I643" s="17" t="s">
        <v>251</v>
      </c>
      <c r="J643" s="17" t="s">
        <v>252</v>
      </c>
      <c r="K643" s="17" t="s">
        <v>251</v>
      </c>
      <c r="L643" s="17" t="s">
        <v>252</v>
      </c>
      <c r="M643" s="17" t="s">
        <v>251</v>
      </c>
      <c r="N643" s="17" t="s">
        <v>252</v>
      </c>
    </row>
    <row r="644" ht="90" customHeight="1" spans="1:14">
      <c r="A644" t="str">
        <f t="shared" si="20"/>
        <v>XXXX-11110月3日晚上</v>
      </c>
      <c r="B644" s="18"/>
      <c r="C644" s="19"/>
      <c r="D644" s="33"/>
      <c r="E644" s="33" t="s">
        <v>23</v>
      </c>
      <c r="F644" s="21" t="s">
        <v>311</v>
      </c>
      <c r="G644" s="21"/>
      <c r="H644" s="21" t="s">
        <v>542</v>
      </c>
      <c r="I644" s="21"/>
      <c r="J644" s="21"/>
      <c r="K644" s="21"/>
      <c r="L644" s="21" t="s">
        <v>479</v>
      </c>
      <c r="M644" s="21"/>
      <c r="N644" s="21"/>
    </row>
    <row r="645" ht="90" customHeight="1" spans="1:14">
      <c r="A645" t="str">
        <f t="shared" si="20"/>
        <v>XXXX-22210月3日晚上</v>
      </c>
      <c r="B645" s="18"/>
      <c r="C645" s="22"/>
      <c r="D645" s="20"/>
      <c r="E645" s="20" t="s">
        <v>24</v>
      </c>
      <c r="F645" s="21" t="s">
        <v>311</v>
      </c>
      <c r="G645" s="21"/>
      <c r="H645" s="21"/>
      <c r="I645" s="21"/>
      <c r="J645" s="21"/>
      <c r="K645" s="32"/>
      <c r="L645" s="21"/>
      <c r="M645" s="21"/>
      <c r="N645" s="21"/>
    </row>
    <row r="646" ht="90" customHeight="1" spans="1:14">
      <c r="A646" t="str">
        <f t="shared" si="20"/>
        <v>10月3日晚上</v>
      </c>
      <c r="B646" s="18"/>
      <c r="C646" s="23"/>
      <c r="D646" s="33"/>
      <c r="E646" s="33"/>
      <c r="F646" s="21" t="s">
        <v>311</v>
      </c>
      <c r="G646" s="21"/>
      <c r="H646" s="35"/>
      <c r="I646" s="21"/>
      <c r="J646" s="21"/>
      <c r="K646" s="21"/>
      <c r="L646" s="21" t="s">
        <v>485</v>
      </c>
      <c r="M646" s="21"/>
      <c r="N646" s="21"/>
    </row>
    <row r="647" ht="90" customHeight="1" spans="1:14">
      <c r="A647" t="str">
        <f t="shared" si="20"/>
        <v>10月3日晚上</v>
      </c>
      <c r="B647" s="18"/>
      <c r="C647" s="19"/>
      <c r="D647" s="20"/>
      <c r="E647" s="20"/>
      <c r="F647" s="21" t="s">
        <v>311</v>
      </c>
      <c r="G647" s="21"/>
      <c r="I647" s="21"/>
      <c r="J647" s="21" t="s">
        <v>406</v>
      </c>
      <c r="K647" s="21"/>
      <c r="L647" s="21"/>
      <c r="M647" s="21"/>
      <c r="N647" s="21"/>
    </row>
    <row r="648" ht="90" customHeight="1" spans="1:14">
      <c r="A648" t="str">
        <f t="shared" si="20"/>
        <v>10月3日晚上</v>
      </c>
      <c r="B648" s="18"/>
      <c r="C648" s="23"/>
      <c r="D648" s="33"/>
      <c r="E648" s="33"/>
      <c r="F648" s="21" t="s">
        <v>311</v>
      </c>
      <c r="G648" s="21"/>
      <c r="H648" s="21"/>
      <c r="I648" s="21"/>
      <c r="J648" s="21"/>
      <c r="K648" s="35"/>
      <c r="L648" s="21"/>
      <c r="M648" s="21"/>
      <c r="N648" s="21"/>
    </row>
    <row r="649" ht="90" customHeight="1" spans="1:14">
      <c r="A649" t="str">
        <f t="shared" si="20"/>
        <v> 
10月3日晚上</v>
      </c>
      <c r="B649" s="18"/>
      <c r="C649" s="18"/>
      <c r="D649" s="33"/>
      <c r="E649" s="34" t="s">
        <v>368</v>
      </c>
      <c r="F649" s="21" t="s">
        <v>311</v>
      </c>
      <c r="G649" s="21"/>
      <c r="H649" s="21"/>
      <c r="I649" s="21"/>
      <c r="J649" s="21"/>
      <c r="K649" s="21"/>
      <c r="L649" s="21"/>
      <c r="M649" s="21"/>
      <c r="N649" s="21"/>
    </row>
    <row r="650" ht="90" customHeight="1" spans="1:14">
      <c r="A650" t="str">
        <f t="shared" si="20"/>
        <v>10月3日晚上</v>
      </c>
      <c r="B650" s="18"/>
      <c r="C650" s="18"/>
      <c r="D650" s="33"/>
      <c r="E650" s="33"/>
      <c r="F650" s="21" t="s">
        <v>311</v>
      </c>
      <c r="G650" s="21"/>
      <c r="H650" s="21"/>
      <c r="I650" s="21"/>
      <c r="J650" s="21"/>
      <c r="K650" s="21"/>
      <c r="L650" s="21"/>
      <c r="M650" s="21"/>
      <c r="N650" s="21"/>
    </row>
    <row r="651" spans="1:1">
      <c r="A651" t="str">
        <f t="shared" si="20"/>
        <v/>
      </c>
    </row>
    <row r="652" spans="1:14">
      <c r="A652" t="str">
        <f t="shared" si="20"/>
        <v>SKU</v>
      </c>
      <c r="B652" s="11" t="s">
        <v>2</v>
      </c>
      <c r="C652" s="11" t="s">
        <v>342</v>
      </c>
      <c r="D652" s="11" t="s">
        <v>343</v>
      </c>
      <c r="E652" s="11" t="s">
        <v>344</v>
      </c>
      <c r="F652" s="11"/>
      <c r="G652" s="12" t="s">
        <v>345</v>
      </c>
      <c r="H652" s="13"/>
      <c r="I652" s="13"/>
      <c r="J652" s="13"/>
      <c r="K652" s="13"/>
      <c r="L652" s="13"/>
      <c r="M652" s="13"/>
      <c r="N652" s="30"/>
    </row>
    <row r="653" spans="1:14">
      <c r="A653" t="str">
        <f t="shared" si="20"/>
        <v/>
      </c>
      <c r="B653" s="11"/>
      <c r="C653" s="11"/>
      <c r="D653" s="11"/>
      <c r="E653" s="11"/>
      <c r="F653" s="14"/>
      <c r="G653" s="17" t="s">
        <v>247</v>
      </c>
      <c r="H653" s="17"/>
      <c r="I653" s="17" t="s">
        <v>351</v>
      </c>
      <c r="J653" s="17"/>
      <c r="K653" s="17" t="s">
        <v>249</v>
      </c>
      <c r="L653" s="17"/>
      <c r="M653" s="17" t="s">
        <v>250</v>
      </c>
      <c r="N653" s="17"/>
    </row>
    <row r="654" spans="1:14">
      <c r="A654" t="str">
        <f t="shared" si="20"/>
        <v>日期</v>
      </c>
      <c r="B654" s="15"/>
      <c r="C654" s="15"/>
      <c r="D654" s="15"/>
      <c r="E654" s="15"/>
      <c r="F654" s="16" t="s">
        <v>40</v>
      </c>
      <c r="G654" s="17" t="s">
        <v>251</v>
      </c>
      <c r="H654" s="17" t="s">
        <v>252</v>
      </c>
      <c r="I654" s="17" t="s">
        <v>251</v>
      </c>
      <c r="J654" s="17" t="s">
        <v>252</v>
      </c>
      <c r="K654" s="17" t="s">
        <v>251</v>
      </c>
      <c r="L654" s="17" t="s">
        <v>252</v>
      </c>
      <c r="M654" s="17" t="s">
        <v>251</v>
      </c>
      <c r="N654" s="17" t="s">
        <v>252</v>
      </c>
    </row>
    <row r="655" ht="84" customHeight="1" spans="1:14">
      <c r="A655" t="str">
        <f t="shared" si="20"/>
        <v>XXXX-11110月4日晚上</v>
      </c>
      <c r="B655" s="18"/>
      <c r="C655" s="19"/>
      <c r="D655" s="33"/>
      <c r="E655" s="33" t="s">
        <v>23</v>
      </c>
      <c r="F655" s="21" t="s">
        <v>312</v>
      </c>
      <c r="G655" s="21"/>
      <c r="H655" s="21" t="s">
        <v>439</v>
      </c>
      <c r="I655" s="21"/>
      <c r="J655" s="21"/>
      <c r="K655" s="21"/>
      <c r="L655" s="21" t="s">
        <v>551</v>
      </c>
      <c r="M655" s="21"/>
      <c r="N655" s="21"/>
    </row>
    <row r="656" ht="84" customHeight="1" spans="1:14">
      <c r="A656" t="str">
        <f t="shared" si="20"/>
        <v>XXXX-22210月4日晚上</v>
      </c>
      <c r="B656" s="18"/>
      <c r="C656" s="22"/>
      <c r="D656" s="20"/>
      <c r="E656" s="20" t="s">
        <v>24</v>
      </c>
      <c r="F656" s="21" t="s">
        <v>312</v>
      </c>
      <c r="G656" s="21"/>
      <c r="H656" s="21"/>
      <c r="I656" s="21"/>
      <c r="J656" s="21" t="s">
        <v>552</v>
      </c>
      <c r="K656" s="32"/>
      <c r="L656" s="21"/>
      <c r="M656" s="21"/>
      <c r="N656" s="21"/>
    </row>
    <row r="657" ht="84" customHeight="1" spans="1:14">
      <c r="A657" t="str">
        <f t="shared" si="20"/>
        <v>10月4日晚上</v>
      </c>
      <c r="B657" s="18"/>
      <c r="C657" s="23"/>
      <c r="D657" s="33"/>
      <c r="E657" s="33"/>
      <c r="F657" s="21" t="s">
        <v>312</v>
      </c>
      <c r="G657" s="21"/>
      <c r="H657" s="35"/>
      <c r="I657" s="21"/>
      <c r="J657" s="21"/>
      <c r="K657" s="21"/>
      <c r="L657" s="21" t="s">
        <v>553</v>
      </c>
      <c r="M657" s="21"/>
      <c r="N657" s="21"/>
    </row>
    <row r="658" ht="84" customHeight="1" spans="1:14">
      <c r="A658" t="str">
        <f t="shared" si="20"/>
        <v>10月4日晚上</v>
      </c>
      <c r="B658" s="18"/>
      <c r="C658" s="19"/>
      <c r="D658" s="20"/>
      <c r="E658" s="20"/>
      <c r="F658" s="21" t="s">
        <v>312</v>
      </c>
      <c r="G658" s="21"/>
      <c r="I658" s="21"/>
      <c r="J658" s="21" t="s">
        <v>363</v>
      </c>
      <c r="K658" s="21"/>
      <c r="L658" s="21"/>
      <c r="M658" s="21"/>
      <c r="N658" s="21"/>
    </row>
    <row r="659" ht="84" customHeight="1" spans="1:14">
      <c r="A659" t="str">
        <f t="shared" si="20"/>
        <v>10月4日晚上</v>
      </c>
      <c r="B659" s="18"/>
      <c r="C659" s="23"/>
      <c r="D659" s="33"/>
      <c r="E659" s="33"/>
      <c r="F659" s="21" t="s">
        <v>312</v>
      </c>
      <c r="G659" s="21"/>
      <c r="H659" s="21"/>
      <c r="I659" s="21"/>
      <c r="J659" s="21"/>
      <c r="K659" s="35"/>
      <c r="L659" s="21"/>
      <c r="M659" s="21"/>
      <c r="N659" s="21"/>
    </row>
    <row r="660" ht="84" customHeight="1" spans="1:14">
      <c r="A660" t="str">
        <f t="shared" si="20"/>
        <v> 
10月4日晚上</v>
      </c>
      <c r="B660" s="18"/>
      <c r="C660" s="18"/>
      <c r="D660" s="33"/>
      <c r="E660" s="34" t="s">
        <v>368</v>
      </c>
      <c r="F660" s="21" t="s">
        <v>312</v>
      </c>
      <c r="G660" s="21"/>
      <c r="H660" s="21"/>
      <c r="I660" s="21"/>
      <c r="J660" s="21"/>
      <c r="K660" s="21"/>
      <c r="L660" s="21"/>
      <c r="M660" s="21"/>
      <c r="N660" s="21"/>
    </row>
    <row r="661" ht="84" customHeight="1" spans="1:14">
      <c r="A661" t="str">
        <f t="shared" si="20"/>
        <v>10月4日晚上</v>
      </c>
      <c r="B661" s="18"/>
      <c r="C661" s="18"/>
      <c r="D661" s="33"/>
      <c r="E661" s="33"/>
      <c r="F661" s="21" t="s">
        <v>312</v>
      </c>
      <c r="G661" s="21"/>
      <c r="H661" s="21"/>
      <c r="I661" s="21"/>
      <c r="J661" s="21"/>
      <c r="K661" s="21"/>
      <c r="L661" s="21"/>
      <c r="M661" s="21"/>
      <c r="N661" s="21"/>
    </row>
    <row r="662" spans="1:1">
      <c r="A662" t="str">
        <f t="shared" ref="A662:A683" si="21">E662&amp;F662</f>
        <v/>
      </c>
    </row>
    <row r="663" spans="1:14">
      <c r="A663" t="str">
        <f t="shared" si="21"/>
        <v>SKU</v>
      </c>
      <c r="B663" s="11" t="s">
        <v>2</v>
      </c>
      <c r="C663" s="11" t="s">
        <v>342</v>
      </c>
      <c r="D663" s="11" t="s">
        <v>343</v>
      </c>
      <c r="E663" s="11" t="s">
        <v>344</v>
      </c>
      <c r="F663" s="11"/>
      <c r="G663" s="12" t="s">
        <v>345</v>
      </c>
      <c r="H663" s="13"/>
      <c r="I663" s="13"/>
      <c r="J663" s="13"/>
      <c r="K663" s="13"/>
      <c r="L663" s="13"/>
      <c r="M663" s="13"/>
      <c r="N663" s="30"/>
    </row>
    <row r="664" spans="1:14">
      <c r="A664" t="str">
        <f t="shared" si="21"/>
        <v/>
      </c>
      <c r="B664" s="11"/>
      <c r="C664" s="11"/>
      <c r="D664" s="11"/>
      <c r="E664" s="11"/>
      <c r="F664" s="14"/>
      <c r="G664" s="17" t="s">
        <v>247</v>
      </c>
      <c r="H664" s="17"/>
      <c r="I664" s="17" t="s">
        <v>351</v>
      </c>
      <c r="J664" s="17"/>
      <c r="K664" s="17" t="s">
        <v>249</v>
      </c>
      <c r="L664" s="17"/>
      <c r="M664" s="17" t="s">
        <v>250</v>
      </c>
      <c r="N664" s="17"/>
    </row>
    <row r="665" spans="1:14">
      <c r="A665" t="str">
        <f t="shared" si="21"/>
        <v>日期</v>
      </c>
      <c r="B665" s="15"/>
      <c r="C665" s="15"/>
      <c r="D665" s="15"/>
      <c r="E665" s="15"/>
      <c r="F665" s="16" t="s">
        <v>40</v>
      </c>
      <c r="G665" s="17" t="s">
        <v>251</v>
      </c>
      <c r="H665" s="17" t="s">
        <v>252</v>
      </c>
      <c r="I665" s="17" t="s">
        <v>251</v>
      </c>
      <c r="J665" s="17" t="s">
        <v>252</v>
      </c>
      <c r="K665" s="17" t="s">
        <v>251</v>
      </c>
      <c r="L665" s="17" t="s">
        <v>252</v>
      </c>
      <c r="M665" s="17" t="s">
        <v>251</v>
      </c>
      <c r="N665" s="17" t="s">
        <v>252</v>
      </c>
    </row>
    <row r="666" ht="81" customHeight="1" spans="1:14">
      <c r="A666" t="str">
        <f t="shared" si="21"/>
        <v>XXXX-11110月5日晚上</v>
      </c>
      <c r="B666" s="18"/>
      <c r="C666" s="19"/>
      <c r="D666" s="33"/>
      <c r="E666" s="33" t="s">
        <v>23</v>
      </c>
      <c r="F666" s="21" t="s">
        <v>313</v>
      </c>
      <c r="G666" s="21"/>
      <c r="H666" s="21" t="s">
        <v>363</v>
      </c>
      <c r="I666" s="21"/>
      <c r="J666" s="21"/>
      <c r="K666" s="21"/>
      <c r="L666" s="21" t="s">
        <v>521</v>
      </c>
      <c r="M666" s="21"/>
      <c r="N666" s="21"/>
    </row>
    <row r="667" ht="81" customHeight="1" spans="1:14">
      <c r="A667" t="str">
        <f t="shared" si="21"/>
        <v>XXXX-22210月5日晚上</v>
      </c>
      <c r="B667" s="18"/>
      <c r="C667" s="22"/>
      <c r="D667" s="20"/>
      <c r="E667" s="20" t="s">
        <v>24</v>
      </c>
      <c r="F667" s="21" t="s">
        <v>313</v>
      </c>
      <c r="G667" s="21"/>
      <c r="H667" s="21"/>
      <c r="I667" s="21"/>
      <c r="J667" s="21" t="s">
        <v>554</v>
      </c>
      <c r="K667" s="32"/>
      <c r="L667" s="21"/>
      <c r="M667" s="21"/>
      <c r="N667" s="21"/>
    </row>
    <row r="668" ht="81" customHeight="1" spans="1:14">
      <c r="A668" t="str">
        <f t="shared" si="21"/>
        <v>10月5日晚上</v>
      </c>
      <c r="B668" s="18"/>
      <c r="C668" s="23"/>
      <c r="D668" s="33"/>
      <c r="E668" s="33"/>
      <c r="F668" s="21" t="s">
        <v>313</v>
      </c>
      <c r="G668" s="21"/>
      <c r="H668" s="35"/>
      <c r="I668" s="21"/>
      <c r="J668" s="21"/>
      <c r="K668" s="21"/>
      <c r="L668" s="21" t="s">
        <v>479</v>
      </c>
      <c r="M668" s="21"/>
      <c r="N668" s="21"/>
    </row>
    <row r="669" ht="91" customHeight="1" spans="1:14">
      <c r="A669" t="str">
        <f t="shared" si="21"/>
        <v>10月5日晚上</v>
      </c>
      <c r="B669" s="18"/>
      <c r="C669" s="19"/>
      <c r="D669" s="20"/>
      <c r="E669" s="20"/>
      <c r="F669" s="21" t="s">
        <v>313</v>
      </c>
      <c r="G669" s="21"/>
      <c r="I669" s="21"/>
      <c r="J669" s="21" t="s">
        <v>456</v>
      </c>
      <c r="K669" s="21"/>
      <c r="L669" s="21"/>
      <c r="M669" s="21"/>
      <c r="N669" s="21"/>
    </row>
    <row r="670" ht="91" customHeight="1" spans="1:14">
      <c r="A670" t="str">
        <f t="shared" si="21"/>
        <v>10月5日晚上</v>
      </c>
      <c r="B670" s="18"/>
      <c r="C670" s="23"/>
      <c r="D670" s="33"/>
      <c r="E670" s="33"/>
      <c r="F670" s="21" t="s">
        <v>313</v>
      </c>
      <c r="G670" s="21"/>
      <c r="H670" s="21"/>
      <c r="I670" s="21"/>
      <c r="J670" s="21"/>
      <c r="K670" s="35"/>
      <c r="L670" s="21"/>
      <c r="M670" s="21"/>
      <c r="N670" s="21"/>
    </row>
    <row r="671" ht="91" customHeight="1" spans="1:14">
      <c r="A671" t="str">
        <f t="shared" si="21"/>
        <v> 
10月5日晚上</v>
      </c>
      <c r="B671" s="18"/>
      <c r="C671" s="18"/>
      <c r="D671" s="33"/>
      <c r="E671" s="34" t="s">
        <v>368</v>
      </c>
      <c r="F671" s="21" t="s">
        <v>313</v>
      </c>
      <c r="G671" s="21"/>
      <c r="H671" s="21"/>
      <c r="I671" s="21"/>
      <c r="J671" s="21"/>
      <c r="K671" s="21"/>
      <c r="L671" s="21"/>
      <c r="M671" s="21"/>
      <c r="N671" s="21"/>
    </row>
    <row r="672" ht="91" customHeight="1" spans="1:14">
      <c r="A672" t="str">
        <f t="shared" si="21"/>
        <v>10月5日晚上</v>
      </c>
      <c r="B672" s="18"/>
      <c r="C672" s="18"/>
      <c r="D672" s="33"/>
      <c r="E672" s="33"/>
      <c r="F672" s="21" t="s">
        <v>313</v>
      </c>
      <c r="G672" s="21"/>
      <c r="H672" s="21"/>
      <c r="I672" s="21"/>
      <c r="J672" s="21"/>
      <c r="K672" s="21"/>
      <c r="L672" s="21"/>
      <c r="M672" s="21"/>
      <c r="N672" s="21"/>
    </row>
    <row r="673" spans="1:1">
      <c r="A673" t="str">
        <f t="shared" si="21"/>
        <v/>
      </c>
    </row>
    <row r="674" spans="1:14">
      <c r="A674" t="str">
        <f t="shared" si="21"/>
        <v>SKU</v>
      </c>
      <c r="B674" s="11" t="s">
        <v>2</v>
      </c>
      <c r="C674" s="11" t="s">
        <v>342</v>
      </c>
      <c r="D674" s="11" t="s">
        <v>343</v>
      </c>
      <c r="E674" s="11" t="s">
        <v>344</v>
      </c>
      <c r="F674" s="11"/>
      <c r="G674" s="12" t="s">
        <v>345</v>
      </c>
      <c r="H674" s="13"/>
      <c r="I674" s="13"/>
      <c r="J674" s="13"/>
      <c r="K674" s="13"/>
      <c r="L674" s="13"/>
      <c r="M674" s="13"/>
      <c r="N674" s="30"/>
    </row>
    <row r="675" spans="1:14">
      <c r="A675" t="str">
        <f t="shared" si="21"/>
        <v/>
      </c>
      <c r="B675" s="11"/>
      <c r="C675" s="11"/>
      <c r="D675" s="11"/>
      <c r="E675" s="11"/>
      <c r="F675" s="14"/>
      <c r="G675" s="17" t="s">
        <v>247</v>
      </c>
      <c r="H675" s="17"/>
      <c r="I675" s="17" t="s">
        <v>351</v>
      </c>
      <c r="J675" s="17"/>
      <c r="K675" s="17" t="s">
        <v>249</v>
      </c>
      <c r="L675" s="17"/>
      <c r="M675" s="17" t="s">
        <v>250</v>
      </c>
      <c r="N675" s="17"/>
    </row>
    <row r="676" spans="1:14">
      <c r="A676" t="str">
        <f t="shared" si="21"/>
        <v>日期</v>
      </c>
      <c r="B676" s="15"/>
      <c r="C676" s="15"/>
      <c r="D676" s="15"/>
      <c r="E676" s="15"/>
      <c r="F676" s="16" t="s">
        <v>40</v>
      </c>
      <c r="G676" s="17" t="s">
        <v>251</v>
      </c>
      <c r="H676" s="17" t="s">
        <v>252</v>
      </c>
      <c r="I676" s="17" t="s">
        <v>251</v>
      </c>
      <c r="J676" s="17" t="s">
        <v>252</v>
      </c>
      <c r="K676" s="17" t="s">
        <v>251</v>
      </c>
      <c r="L676" s="17" t="s">
        <v>252</v>
      </c>
      <c r="M676" s="17" t="s">
        <v>251</v>
      </c>
      <c r="N676" s="17" t="s">
        <v>252</v>
      </c>
    </row>
    <row r="677" ht="87" customHeight="1" spans="1:14">
      <c r="A677" t="str">
        <f t="shared" si="21"/>
        <v>XXXX-11110月6日上午</v>
      </c>
      <c r="B677" s="18"/>
      <c r="C677" s="19"/>
      <c r="D677" s="33"/>
      <c r="E677" s="33" t="s">
        <v>23</v>
      </c>
      <c r="F677" s="21" t="s">
        <v>314</v>
      </c>
      <c r="G677" s="21"/>
      <c r="H677" s="21" t="s">
        <v>555</v>
      </c>
      <c r="I677" s="21"/>
      <c r="J677" s="21"/>
      <c r="K677" s="21"/>
      <c r="L677" s="21" t="s">
        <v>556</v>
      </c>
      <c r="M677" s="21"/>
      <c r="N677" s="21"/>
    </row>
    <row r="678" ht="87" customHeight="1" spans="1:14">
      <c r="A678" t="str">
        <f t="shared" si="21"/>
        <v>XXXX-22210月6日上午</v>
      </c>
      <c r="B678" s="18"/>
      <c r="C678" s="22"/>
      <c r="D678" s="20"/>
      <c r="E678" s="20" t="s">
        <v>24</v>
      </c>
      <c r="F678" s="21" t="s">
        <v>314</v>
      </c>
      <c r="G678" s="21"/>
      <c r="H678" s="21"/>
      <c r="I678" s="21"/>
      <c r="J678" s="21" t="s">
        <v>557</v>
      </c>
      <c r="K678" s="32"/>
      <c r="L678" s="21"/>
      <c r="M678" s="21"/>
      <c r="N678" s="21"/>
    </row>
    <row r="679" ht="87" customHeight="1" spans="1:14">
      <c r="A679" t="str">
        <f t="shared" si="21"/>
        <v>10月6日上午</v>
      </c>
      <c r="B679" s="18"/>
      <c r="C679" s="23"/>
      <c r="D679" s="33"/>
      <c r="E679" s="33"/>
      <c r="F679" s="21" t="s">
        <v>314</v>
      </c>
      <c r="G679" s="21"/>
      <c r="H679" s="35"/>
      <c r="I679" s="21"/>
      <c r="J679" s="21" t="s">
        <v>558</v>
      </c>
      <c r="K679" s="21"/>
      <c r="L679" s="21" t="s">
        <v>559</v>
      </c>
      <c r="M679" s="21"/>
      <c r="N679" s="21"/>
    </row>
    <row r="680" ht="87" customHeight="1" spans="1:14">
      <c r="A680" t="str">
        <f t="shared" si="21"/>
        <v>10月6日上午</v>
      </c>
      <c r="B680" s="18"/>
      <c r="C680" s="19"/>
      <c r="D680" s="20"/>
      <c r="E680" s="20"/>
      <c r="F680" s="21" t="s">
        <v>314</v>
      </c>
      <c r="G680" s="21"/>
      <c r="I680" s="21"/>
      <c r="J680" s="21" t="s">
        <v>361</v>
      </c>
      <c r="K680" s="21"/>
      <c r="L680" s="21"/>
      <c r="M680" s="21"/>
      <c r="N680" s="21"/>
    </row>
    <row r="681" ht="87" customHeight="1" spans="1:14">
      <c r="A681" t="str">
        <f t="shared" si="21"/>
        <v>10月6日上午</v>
      </c>
      <c r="B681" s="18"/>
      <c r="C681" s="23"/>
      <c r="D681" s="33"/>
      <c r="E681" s="33"/>
      <c r="F681" s="21" t="s">
        <v>314</v>
      </c>
      <c r="G681" s="21"/>
      <c r="H681" s="21" t="s">
        <v>474</v>
      </c>
      <c r="I681" s="21"/>
      <c r="J681" s="21"/>
      <c r="K681" s="35"/>
      <c r="L681" s="21"/>
      <c r="M681" s="21"/>
      <c r="N681" s="21"/>
    </row>
    <row r="682" ht="87" customHeight="1" spans="1:14">
      <c r="A682" t="str">
        <f t="shared" si="21"/>
        <v> 
10月6日上午</v>
      </c>
      <c r="B682" s="18"/>
      <c r="C682" s="18"/>
      <c r="D682" s="33"/>
      <c r="E682" s="34" t="s">
        <v>368</v>
      </c>
      <c r="F682" s="21" t="s">
        <v>314</v>
      </c>
      <c r="G682" s="21"/>
      <c r="H682" s="21"/>
      <c r="I682" s="21"/>
      <c r="J682" s="21"/>
      <c r="K682" s="21"/>
      <c r="L682" s="21"/>
      <c r="M682" s="21"/>
      <c r="N682" s="21"/>
    </row>
    <row r="683" ht="87" customHeight="1" spans="1:14">
      <c r="A683" t="str">
        <f t="shared" si="21"/>
        <v>10月6日上午</v>
      </c>
      <c r="B683" s="18"/>
      <c r="C683" s="18"/>
      <c r="D683" s="33"/>
      <c r="E683" s="33"/>
      <c r="F683" s="21" t="s">
        <v>314</v>
      </c>
      <c r="G683" s="21"/>
      <c r="H683" s="21"/>
      <c r="I683" s="21"/>
      <c r="J683" s="21"/>
      <c r="K683" s="21"/>
      <c r="L683" s="21"/>
      <c r="M683" s="21"/>
      <c r="N683" s="21"/>
    </row>
    <row r="684" spans="1:1">
      <c r="A684" t="str">
        <f t="shared" ref="A684:A715" si="22">E684&amp;F684</f>
        <v/>
      </c>
    </row>
    <row r="685" customFormat="1" spans="1:14">
      <c r="A685" t="str">
        <f t="shared" si="22"/>
        <v>SKU</v>
      </c>
      <c r="B685" s="11" t="s">
        <v>2</v>
      </c>
      <c r="C685" s="11" t="s">
        <v>342</v>
      </c>
      <c r="D685" s="11" t="s">
        <v>343</v>
      </c>
      <c r="E685" s="11" t="s">
        <v>344</v>
      </c>
      <c r="F685" s="11"/>
      <c r="G685" s="12" t="s">
        <v>345</v>
      </c>
      <c r="H685" s="13"/>
      <c r="I685" s="13"/>
      <c r="J685" s="13"/>
      <c r="K685" s="13"/>
      <c r="L685" s="13"/>
      <c r="M685" s="13"/>
      <c r="N685" s="30"/>
    </row>
    <row r="686" customFormat="1" spans="1:14">
      <c r="A686" t="str">
        <f t="shared" si="22"/>
        <v/>
      </c>
      <c r="B686" s="11"/>
      <c r="C686" s="11"/>
      <c r="D686" s="11"/>
      <c r="E686" s="11"/>
      <c r="F686" s="14"/>
      <c r="G686" s="17" t="s">
        <v>247</v>
      </c>
      <c r="H686" s="17"/>
      <c r="I686" s="17" t="s">
        <v>351</v>
      </c>
      <c r="J686" s="17"/>
      <c r="K686" s="17" t="s">
        <v>249</v>
      </c>
      <c r="L686" s="17"/>
      <c r="M686" s="17" t="s">
        <v>250</v>
      </c>
      <c r="N686" s="17"/>
    </row>
    <row r="687" customFormat="1" spans="1:14">
      <c r="A687" t="str">
        <f t="shared" si="22"/>
        <v>日期</v>
      </c>
      <c r="B687" s="15"/>
      <c r="C687" s="15"/>
      <c r="D687" s="15"/>
      <c r="E687" s="15"/>
      <c r="F687" s="16" t="s">
        <v>40</v>
      </c>
      <c r="G687" s="17" t="s">
        <v>251</v>
      </c>
      <c r="H687" s="17" t="s">
        <v>252</v>
      </c>
      <c r="I687" s="17" t="s">
        <v>251</v>
      </c>
      <c r="J687" s="17" t="s">
        <v>252</v>
      </c>
      <c r="K687" s="17" t="s">
        <v>251</v>
      </c>
      <c r="L687" s="17" t="s">
        <v>252</v>
      </c>
      <c r="M687" s="17" t="s">
        <v>251</v>
      </c>
      <c r="N687" s="17" t="s">
        <v>252</v>
      </c>
    </row>
    <row r="688" customFormat="1" ht="90" customHeight="1" spans="1:14">
      <c r="A688" t="str">
        <f t="shared" si="22"/>
        <v>XXXX-11110月6日晚上</v>
      </c>
      <c r="B688" s="18"/>
      <c r="C688" s="19"/>
      <c r="D688" s="33"/>
      <c r="E688" s="33" t="s">
        <v>23</v>
      </c>
      <c r="F688" s="21" t="s">
        <v>315</v>
      </c>
      <c r="G688" s="21"/>
      <c r="H688" s="21" t="s">
        <v>560</v>
      </c>
      <c r="I688" s="21"/>
      <c r="J688" s="21"/>
      <c r="K688" s="21"/>
      <c r="L688" s="21" t="s">
        <v>561</v>
      </c>
      <c r="M688" s="21"/>
      <c r="N688" s="21"/>
    </row>
    <row r="689" customFormat="1" ht="90" customHeight="1" spans="1:14">
      <c r="A689" t="str">
        <f t="shared" si="22"/>
        <v>XXXX-22210月6日晚上</v>
      </c>
      <c r="B689" s="18"/>
      <c r="C689" s="22"/>
      <c r="D689" s="20"/>
      <c r="E689" s="20" t="s">
        <v>24</v>
      </c>
      <c r="F689" s="21" t="s">
        <v>315</v>
      </c>
      <c r="G689" s="21"/>
      <c r="H689" s="21"/>
      <c r="I689" s="21"/>
      <c r="J689" s="21" t="s">
        <v>531</v>
      </c>
      <c r="K689" s="32"/>
      <c r="L689" s="21"/>
      <c r="M689" s="21"/>
      <c r="N689" s="21"/>
    </row>
    <row r="690" customFormat="1" ht="90" customHeight="1" spans="1:14">
      <c r="A690" t="str">
        <f t="shared" si="22"/>
        <v>10月6日晚上</v>
      </c>
      <c r="B690" s="18"/>
      <c r="C690" s="23"/>
      <c r="D690" s="33"/>
      <c r="E690" s="33"/>
      <c r="F690" s="21" t="s">
        <v>315</v>
      </c>
      <c r="G690" s="21"/>
      <c r="H690" s="35"/>
      <c r="I690" s="21"/>
      <c r="J690" s="21" t="s">
        <v>562</v>
      </c>
      <c r="K690" s="21"/>
      <c r="L690" s="21" t="s">
        <v>521</v>
      </c>
      <c r="M690" s="21"/>
      <c r="N690" s="21"/>
    </row>
    <row r="691" customFormat="1" ht="90" customHeight="1" spans="1:14">
      <c r="A691" t="str">
        <f t="shared" si="22"/>
        <v>10月6日晚上</v>
      </c>
      <c r="B691" s="18"/>
      <c r="C691" s="19"/>
      <c r="D691" s="20"/>
      <c r="E691" s="20"/>
      <c r="F691" s="21" t="s">
        <v>315</v>
      </c>
      <c r="G691" s="21"/>
      <c r="I691" s="21"/>
      <c r="J691" s="21"/>
      <c r="K691" s="21"/>
      <c r="L691" s="21"/>
      <c r="M691" s="21"/>
      <c r="N691" s="21"/>
    </row>
    <row r="692" customFormat="1" ht="90" customHeight="1" spans="1:14">
      <c r="A692" t="str">
        <f t="shared" si="22"/>
        <v>10月6日晚上</v>
      </c>
      <c r="B692" s="18"/>
      <c r="C692" s="23"/>
      <c r="D692" s="33"/>
      <c r="E692" s="33"/>
      <c r="F692" s="21" t="s">
        <v>315</v>
      </c>
      <c r="G692" s="21"/>
      <c r="H692" s="21"/>
      <c r="I692" s="21"/>
      <c r="J692" s="21"/>
      <c r="K692" s="35"/>
      <c r="L692" s="21"/>
      <c r="M692" s="21"/>
      <c r="N692" s="21"/>
    </row>
    <row r="693" customFormat="1" ht="90" customHeight="1" spans="1:14">
      <c r="A693" t="str">
        <f t="shared" si="22"/>
        <v> 
10月6日晚上</v>
      </c>
      <c r="B693" s="18"/>
      <c r="C693" s="18"/>
      <c r="D693" s="33"/>
      <c r="E693" s="34" t="s">
        <v>368</v>
      </c>
      <c r="F693" s="21" t="s">
        <v>315</v>
      </c>
      <c r="G693" s="21"/>
      <c r="H693" s="21"/>
      <c r="I693" s="21"/>
      <c r="J693" s="21"/>
      <c r="K693" s="21"/>
      <c r="L693" s="21"/>
      <c r="M693" s="21"/>
      <c r="N693" s="21"/>
    </row>
    <row r="694" customFormat="1" ht="90" customHeight="1" spans="1:14">
      <c r="A694" t="str">
        <f t="shared" si="22"/>
        <v>10月6日晚上</v>
      </c>
      <c r="B694" s="18"/>
      <c r="C694" s="18"/>
      <c r="D694" s="33"/>
      <c r="E694" s="33"/>
      <c r="F694" s="21" t="s">
        <v>315</v>
      </c>
      <c r="G694" s="21"/>
      <c r="H694" s="21"/>
      <c r="I694" s="21"/>
      <c r="J694" s="21"/>
      <c r="K694" s="21"/>
      <c r="L694" s="21"/>
      <c r="M694" s="21"/>
      <c r="N694" s="21" t="s">
        <v>454</v>
      </c>
    </row>
    <row r="695" spans="1:1">
      <c r="A695" t="str">
        <f t="shared" si="22"/>
        <v/>
      </c>
    </row>
    <row r="696" customFormat="1" spans="1:14">
      <c r="A696" t="str">
        <f t="shared" si="22"/>
        <v>SKU</v>
      </c>
      <c r="B696" s="11" t="s">
        <v>2</v>
      </c>
      <c r="C696" s="11" t="s">
        <v>342</v>
      </c>
      <c r="D696" s="11" t="s">
        <v>343</v>
      </c>
      <c r="E696" s="11" t="s">
        <v>344</v>
      </c>
      <c r="F696" s="11"/>
      <c r="G696" s="12" t="s">
        <v>345</v>
      </c>
      <c r="H696" s="13"/>
      <c r="I696" s="13"/>
      <c r="J696" s="13"/>
      <c r="K696" s="13"/>
      <c r="L696" s="13"/>
      <c r="M696" s="13"/>
      <c r="N696" s="30"/>
    </row>
    <row r="697" customFormat="1" spans="1:14">
      <c r="A697" t="str">
        <f t="shared" si="22"/>
        <v/>
      </c>
      <c r="B697" s="11"/>
      <c r="C697" s="11"/>
      <c r="D697" s="11"/>
      <c r="E697" s="11"/>
      <c r="F697" s="14"/>
      <c r="G697" s="17" t="s">
        <v>247</v>
      </c>
      <c r="H697" s="17"/>
      <c r="I697" s="17" t="s">
        <v>351</v>
      </c>
      <c r="J697" s="17"/>
      <c r="K697" s="17" t="s">
        <v>249</v>
      </c>
      <c r="L697" s="17"/>
      <c r="M697" s="17" t="s">
        <v>250</v>
      </c>
      <c r="N697" s="17"/>
    </row>
    <row r="698" customFormat="1" spans="1:14">
      <c r="A698" t="str">
        <f t="shared" si="22"/>
        <v>日期</v>
      </c>
      <c r="B698" s="15"/>
      <c r="C698" s="15"/>
      <c r="D698" s="15"/>
      <c r="E698" s="15"/>
      <c r="F698" s="16" t="s">
        <v>40</v>
      </c>
      <c r="G698" s="17" t="s">
        <v>251</v>
      </c>
      <c r="H698" s="17" t="s">
        <v>252</v>
      </c>
      <c r="I698" s="17" t="s">
        <v>251</v>
      </c>
      <c r="J698" s="17" t="s">
        <v>252</v>
      </c>
      <c r="K698" s="17" t="s">
        <v>251</v>
      </c>
      <c r="L698" s="17" t="s">
        <v>252</v>
      </c>
      <c r="M698" s="17" t="s">
        <v>251</v>
      </c>
      <c r="N698" s="17" t="s">
        <v>252</v>
      </c>
    </row>
    <row r="699" customFormat="1" ht="90" customHeight="1" spans="1:14">
      <c r="A699" t="str">
        <f t="shared" si="22"/>
        <v>XXXX-11110月7日上午</v>
      </c>
      <c r="B699" s="18"/>
      <c r="C699" s="19"/>
      <c r="D699" s="33"/>
      <c r="E699" s="33" t="s">
        <v>23</v>
      </c>
      <c r="F699" s="21" t="s">
        <v>316</v>
      </c>
      <c r="G699" s="21"/>
      <c r="H699" s="21" t="s">
        <v>435</v>
      </c>
      <c r="I699" s="21"/>
      <c r="J699" s="21"/>
      <c r="K699" s="21"/>
      <c r="L699" s="21" t="s">
        <v>563</v>
      </c>
      <c r="M699" s="21"/>
      <c r="N699" s="21"/>
    </row>
    <row r="700" customFormat="1" ht="90" customHeight="1" spans="1:14">
      <c r="A700" t="str">
        <f t="shared" si="22"/>
        <v>XXXX-22210月7日上午</v>
      </c>
      <c r="B700" s="18"/>
      <c r="C700" s="22"/>
      <c r="D700" s="20"/>
      <c r="E700" s="20" t="s">
        <v>24</v>
      </c>
      <c r="F700" s="21" t="s">
        <v>316</v>
      </c>
      <c r="G700" s="21"/>
      <c r="H700" s="21"/>
      <c r="I700" s="21"/>
      <c r="J700" s="21" t="s">
        <v>558</v>
      </c>
      <c r="K700" s="32"/>
      <c r="L700" s="21"/>
      <c r="M700" s="21"/>
      <c r="N700" s="21"/>
    </row>
    <row r="701" customFormat="1" ht="90" customHeight="1" spans="1:14">
      <c r="A701" t="str">
        <f t="shared" si="22"/>
        <v>10月7日上午</v>
      </c>
      <c r="B701" s="18"/>
      <c r="C701" s="23"/>
      <c r="D701" s="33"/>
      <c r="E701" s="33"/>
      <c r="F701" s="21" t="s">
        <v>316</v>
      </c>
      <c r="G701" s="21"/>
      <c r="H701" s="35"/>
      <c r="I701" s="21"/>
      <c r="J701" s="21" t="s">
        <v>452</v>
      </c>
      <c r="K701" s="21"/>
      <c r="L701" s="21" t="s">
        <v>513</v>
      </c>
      <c r="M701" s="21"/>
      <c r="N701" s="21"/>
    </row>
    <row r="702" customFormat="1" ht="90" customHeight="1" spans="1:14">
      <c r="A702" t="str">
        <f t="shared" si="22"/>
        <v>10月7日上午</v>
      </c>
      <c r="B702" s="18"/>
      <c r="C702" s="19"/>
      <c r="D702" s="20"/>
      <c r="E702" s="20"/>
      <c r="F702" s="21" t="s">
        <v>316</v>
      </c>
      <c r="G702" s="21"/>
      <c r="I702" s="21"/>
      <c r="J702" s="21" t="s">
        <v>429</v>
      </c>
      <c r="K702" s="21"/>
      <c r="L702" s="21"/>
      <c r="M702" s="21"/>
      <c r="N702" s="21"/>
    </row>
    <row r="703" customFormat="1" ht="90" customHeight="1" spans="1:14">
      <c r="A703" t="str">
        <f t="shared" si="22"/>
        <v>10月7日上午</v>
      </c>
      <c r="B703" s="18"/>
      <c r="C703" s="23"/>
      <c r="D703" s="33"/>
      <c r="E703" s="33"/>
      <c r="F703" s="21" t="s">
        <v>316</v>
      </c>
      <c r="G703" s="21"/>
      <c r="H703" s="21" t="s">
        <v>382</v>
      </c>
      <c r="I703" s="21"/>
      <c r="J703" s="21"/>
      <c r="K703" s="35"/>
      <c r="L703" s="21"/>
      <c r="M703" s="21"/>
      <c r="N703" s="21"/>
    </row>
    <row r="704" customFormat="1" ht="90" customHeight="1" spans="1:14">
      <c r="A704" t="str">
        <f t="shared" si="22"/>
        <v> 
10月7日上午</v>
      </c>
      <c r="B704" s="18"/>
      <c r="C704" s="18"/>
      <c r="D704" s="33"/>
      <c r="E704" s="34" t="s">
        <v>368</v>
      </c>
      <c r="F704" s="21" t="s">
        <v>316</v>
      </c>
      <c r="G704" s="21"/>
      <c r="H704" s="21"/>
      <c r="I704" s="21"/>
      <c r="J704" s="21"/>
      <c r="K704" s="21"/>
      <c r="L704" s="21"/>
      <c r="M704" s="21"/>
      <c r="N704" s="21"/>
    </row>
    <row r="705" customFormat="1" ht="90" customHeight="1" spans="1:14">
      <c r="A705" t="str">
        <f t="shared" si="22"/>
        <v>10月7日上午</v>
      </c>
      <c r="B705" s="18"/>
      <c r="C705" s="18"/>
      <c r="D705" s="33"/>
      <c r="E705" s="33"/>
      <c r="F705" s="21" t="s">
        <v>316</v>
      </c>
      <c r="G705" s="21"/>
      <c r="H705" s="21"/>
      <c r="I705" s="21"/>
      <c r="J705" s="21"/>
      <c r="K705" s="21"/>
      <c r="L705" s="21"/>
      <c r="M705" s="21"/>
      <c r="N705" s="21"/>
    </row>
    <row r="706" spans="1:1">
      <c r="A706" t="str">
        <f t="shared" si="22"/>
        <v/>
      </c>
    </row>
    <row r="707" customFormat="1" spans="1:14">
      <c r="A707" t="str">
        <f t="shared" si="22"/>
        <v>SKU</v>
      </c>
      <c r="B707" s="11" t="s">
        <v>2</v>
      </c>
      <c r="C707" s="11" t="s">
        <v>342</v>
      </c>
      <c r="D707" s="11" t="s">
        <v>343</v>
      </c>
      <c r="E707" s="11" t="s">
        <v>344</v>
      </c>
      <c r="F707" s="11"/>
      <c r="G707" s="12" t="s">
        <v>345</v>
      </c>
      <c r="H707" s="13"/>
      <c r="I707" s="13"/>
      <c r="J707" s="13"/>
      <c r="K707" s="13"/>
      <c r="L707" s="13"/>
      <c r="M707" s="13"/>
      <c r="N707" s="30"/>
    </row>
    <row r="708" customFormat="1" spans="1:14">
      <c r="A708" t="str">
        <f t="shared" si="22"/>
        <v/>
      </c>
      <c r="B708" s="11"/>
      <c r="C708" s="11"/>
      <c r="D708" s="11"/>
      <c r="E708" s="11"/>
      <c r="F708" s="14"/>
      <c r="G708" s="17" t="s">
        <v>247</v>
      </c>
      <c r="H708" s="17"/>
      <c r="I708" s="17" t="s">
        <v>351</v>
      </c>
      <c r="J708" s="17"/>
      <c r="K708" s="17" t="s">
        <v>249</v>
      </c>
      <c r="L708" s="17"/>
      <c r="M708" s="17" t="s">
        <v>250</v>
      </c>
      <c r="N708" s="17"/>
    </row>
    <row r="709" customFormat="1" spans="1:14">
      <c r="A709" t="str">
        <f t="shared" si="22"/>
        <v>日期</v>
      </c>
      <c r="B709" s="15"/>
      <c r="C709" s="15"/>
      <c r="D709" s="15"/>
      <c r="E709" s="15"/>
      <c r="F709" s="16" t="s">
        <v>40</v>
      </c>
      <c r="G709" s="17" t="s">
        <v>251</v>
      </c>
      <c r="H709" s="17" t="s">
        <v>252</v>
      </c>
      <c r="I709" s="17" t="s">
        <v>251</v>
      </c>
      <c r="J709" s="17" t="s">
        <v>252</v>
      </c>
      <c r="K709" s="17" t="s">
        <v>251</v>
      </c>
      <c r="L709" s="17" t="s">
        <v>252</v>
      </c>
      <c r="M709" s="17" t="s">
        <v>251</v>
      </c>
      <c r="N709" s="17" t="s">
        <v>252</v>
      </c>
    </row>
    <row r="710" customFormat="1" ht="90" customHeight="1" spans="1:14">
      <c r="A710" t="str">
        <f t="shared" si="22"/>
        <v>XXXX-11110月7日晚上</v>
      </c>
      <c r="B710" s="18"/>
      <c r="C710" s="19"/>
      <c r="D710" s="33"/>
      <c r="E710" s="33" t="s">
        <v>23</v>
      </c>
      <c r="F710" s="21" t="s">
        <v>317</v>
      </c>
      <c r="G710" s="21"/>
      <c r="H710" s="21" t="s">
        <v>435</v>
      </c>
      <c r="I710" s="21"/>
      <c r="J710" s="21"/>
      <c r="K710" s="21"/>
      <c r="L710" s="21" t="s">
        <v>563</v>
      </c>
      <c r="M710" s="21"/>
      <c r="N710" s="21"/>
    </row>
    <row r="711" customFormat="1" ht="90" customHeight="1" spans="1:14">
      <c r="A711" t="str">
        <f t="shared" si="22"/>
        <v>XXXX-22210月7日晚上</v>
      </c>
      <c r="B711" s="18"/>
      <c r="C711" s="22"/>
      <c r="D711" s="20"/>
      <c r="E711" s="20" t="s">
        <v>24</v>
      </c>
      <c r="F711" s="21" t="s">
        <v>317</v>
      </c>
      <c r="G711" s="21"/>
      <c r="H711" s="21"/>
      <c r="I711" s="21"/>
      <c r="J711" s="21" t="s">
        <v>557</v>
      </c>
      <c r="K711" s="32"/>
      <c r="L711" s="21"/>
      <c r="M711" s="21"/>
      <c r="N711" s="21"/>
    </row>
    <row r="712" customFormat="1" ht="90" customHeight="1" spans="1:14">
      <c r="A712" t="str">
        <f t="shared" si="22"/>
        <v>10月7日晚上</v>
      </c>
      <c r="B712" s="18"/>
      <c r="C712" s="23"/>
      <c r="D712" s="33"/>
      <c r="E712" s="33"/>
      <c r="F712" s="21" t="s">
        <v>317</v>
      </c>
      <c r="G712" s="21"/>
      <c r="H712" s="35"/>
      <c r="I712" s="21"/>
      <c r="J712" s="21" t="s">
        <v>564</v>
      </c>
      <c r="K712" s="21"/>
      <c r="L712" s="21" t="s">
        <v>565</v>
      </c>
      <c r="M712" s="21"/>
      <c r="N712" s="21"/>
    </row>
    <row r="713" customFormat="1" ht="90" customHeight="1" spans="1:14">
      <c r="A713" t="str">
        <f t="shared" si="22"/>
        <v>10月7日晚上</v>
      </c>
      <c r="B713" s="18"/>
      <c r="C713" s="19"/>
      <c r="D713" s="20"/>
      <c r="E713" s="20"/>
      <c r="F713" s="21" t="s">
        <v>317</v>
      </c>
      <c r="G713" s="21"/>
      <c r="I713" s="21"/>
      <c r="J713" s="21" t="s">
        <v>566</v>
      </c>
      <c r="K713" s="21"/>
      <c r="L713" s="21"/>
      <c r="M713" s="21"/>
      <c r="N713" s="21"/>
    </row>
    <row r="714" customFormat="1" ht="90" customHeight="1" spans="1:14">
      <c r="A714" t="str">
        <f t="shared" si="22"/>
        <v>10月7日晚上</v>
      </c>
      <c r="B714" s="18"/>
      <c r="C714" s="23"/>
      <c r="D714" s="33"/>
      <c r="E714" s="33"/>
      <c r="F714" s="21" t="s">
        <v>317</v>
      </c>
      <c r="G714" s="21"/>
      <c r="H714" s="21" t="s">
        <v>384</v>
      </c>
      <c r="I714" s="21"/>
      <c r="J714" s="21"/>
      <c r="K714" s="35"/>
      <c r="L714" s="21"/>
      <c r="M714" s="21"/>
      <c r="N714" s="21"/>
    </row>
    <row r="715" customFormat="1" ht="90" customHeight="1" spans="1:14">
      <c r="A715" t="str">
        <f t="shared" si="22"/>
        <v> 
10月7日晚上</v>
      </c>
      <c r="B715" s="18"/>
      <c r="C715" s="18"/>
      <c r="D715" s="33"/>
      <c r="E715" s="34" t="s">
        <v>368</v>
      </c>
      <c r="F715" s="21" t="s">
        <v>317</v>
      </c>
      <c r="G715" s="21"/>
      <c r="H715" s="21"/>
      <c r="I715" s="21"/>
      <c r="J715" s="21"/>
      <c r="K715" s="21"/>
      <c r="L715" s="21"/>
      <c r="M715" s="21"/>
      <c r="N715" s="21"/>
    </row>
    <row r="716" customFormat="1" ht="90" customHeight="1" spans="1:14">
      <c r="A716" t="str">
        <f t="shared" ref="A716:A747" si="23">E716&amp;F716</f>
        <v>10月7日晚上</v>
      </c>
      <c r="B716" s="18"/>
      <c r="C716" s="18"/>
      <c r="D716" s="33"/>
      <c r="E716" s="33"/>
      <c r="F716" s="21" t="s">
        <v>317</v>
      </c>
      <c r="G716" s="21"/>
      <c r="H716" s="21"/>
      <c r="I716" s="21"/>
      <c r="J716" s="21"/>
      <c r="K716" s="21"/>
      <c r="L716" s="21"/>
      <c r="M716" s="21"/>
      <c r="N716" s="21"/>
    </row>
    <row r="717" spans="1:1">
      <c r="A717" t="str">
        <f t="shared" si="23"/>
        <v/>
      </c>
    </row>
    <row r="718" customFormat="1" spans="1:14">
      <c r="A718" t="str">
        <f t="shared" si="23"/>
        <v>SKU</v>
      </c>
      <c r="B718" s="11" t="s">
        <v>2</v>
      </c>
      <c r="C718" s="11" t="s">
        <v>342</v>
      </c>
      <c r="D718" s="11" t="s">
        <v>343</v>
      </c>
      <c r="E718" s="11" t="s">
        <v>344</v>
      </c>
      <c r="F718" s="11"/>
      <c r="G718" s="12" t="s">
        <v>345</v>
      </c>
      <c r="H718" s="13"/>
      <c r="I718" s="13"/>
      <c r="J718" s="13"/>
      <c r="K718" s="13"/>
      <c r="L718" s="13"/>
      <c r="M718" s="13"/>
      <c r="N718" s="30"/>
    </row>
    <row r="719" customFormat="1" spans="1:14">
      <c r="A719" t="str">
        <f t="shared" si="23"/>
        <v/>
      </c>
      <c r="B719" s="11"/>
      <c r="C719" s="11"/>
      <c r="D719" s="11"/>
      <c r="E719" s="11"/>
      <c r="F719" s="14"/>
      <c r="G719" s="17" t="s">
        <v>247</v>
      </c>
      <c r="H719" s="17"/>
      <c r="I719" s="17" t="s">
        <v>351</v>
      </c>
      <c r="J719" s="17"/>
      <c r="K719" s="17" t="s">
        <v>249</v>
      </c>
      <c r="L719" s="17"/>
      <c r="M719" s="17" t="s">
        <v>250</v>
      </c>
      <c r="N719" s="17"/>
    </row>
    <row r="720" customFormat="1" spans="1:14">
      <c r="A720" t="str">
        <f t="shared" si="23"/>
        <v>日期</v>
      </c>
      <c r="B720" s="15"/>
      <c r="C720" s="15"/>
      <c r="D720" s="15"/>
      <c r="E720" s="15"/>
      <c r="F720" s="16" t="s">
        <v>40</v>
      </c>
      <c r="G720" s="17" t="s">
        <v>251</v>
      </c>
      <c r="H720" s="17" t="s">
        <v>252</v>
      </c>
      <c r="I720" s="17" t="s">
        <v>251</v>
      </c>
      <c r="J720" s="17" t="s">
        <v>252</v>
      </c>
      <c r="K720" s="17" t="s">
        <v>251</v>
      </c>
      <c r="L720" s="17" t="s">
        <v>252</v>
      </c>
      <c r="M720" s="17" t="s">
        <v>251</v>
      </c>
      <c r="N720" s="17" t="s">
        <v>252</v>
      </c>
    </row>
    <row r="721" customFormat="1" ht="90" customHeight="1" spans="1:14">
      <c r="A721" t="str">
        <f t="shared" si="23"/>
        <v>XXXX-11110月8日上午</v>
      </c>
      <c r="B721" s="18"/>
      <c r="C721" s="19"/>
      <c r="D721" s="33"/>
      <c r="E721" s="33" t="s">
        <v>23</v>
      </c>
      <c r="F721" s="21" t="s">
        <v>318</v>
      </c>
      <c r="G721" s="21"/>
      <c r="H721" s="21" t="s">
        <v>357</v>
      </c>
      <c r="I721" s="21"/>
      <c r="J721" s="21"/>
      <c r="K721" s="21"/>
      <c r="L721" s="21" t="s">
        <v>556</v>
      </c>
      <c r="M721" s="21"/>
      <c r="N721" s="21"/>
    </row>
    <row r="722" customFormat="1" ht="90" customHeight="1" spans="1:14">
      <c r="A722" t="str">
        <f t="shared" si="23"/>
        <v>XXXX-22210月8日上午</v>
      </c>
      <c r="B722" s="18"/>
      <c r="C722" s="22"/>
      <c r="D722" s="20"/>
      <c r="E722" s="20" t="s">
        <v>24</v>
      </c>
      <c r="F722" s="21" t="s">
        <v>318</v>
      </c>
      <c r="G722" s="21"/>
      <c r="H722" s="21"/>
      <c r="I722" s="21"/>
      <c r="J722" s="21" t="s">
        <v>406</v>
      </c>
      <c r="K722" s="32"/>
      <c r="L722" s="21"/>
      <c r="M722" s="21"/>
      <c r="N722" s="21"/>
    </row>
    <row r="723" customFormat="1" ht="90" customHeight="1" spans="1:14">
      <c r="A723" t="str">
        <f t="shared" si="23"/>
        <v>10月8日上午</v>
      </c>
      <c r="B723" s="18"/>
      <c r="C723" s="23"/>
      <c r="D723" s="33"/>
      <c r="E723" s="33"/>
      <c r="F723" s="21" t="s">
        <v>318</v>
      </c>
      <c r="G723" s="21"/>
      <c r="H723" s="35"/>
      <c r="I723" s="21"/>
      <c r="J723" s="21" t="s">
        <v>567</v>
      </c>
      <c r="K723" s="21"/>
      <c r="L723" s="21" t="s">
        <v>568</v>
      </c>
      <c r="M723" s="21"/>
      <c r="N723" s="21"/>
    </row>
    <row r="724" customFormat="1" ht="90" customHeight="1" spans="1:14">
      <c r="A724" t="str">
        <f t="shared" si="23"/>
        <v>10月8日上午</v>
      </c>
      <c r="B724" s="18"/>
      <c r="C724" s="19"/>
      <c r="D724" s="20"/>
      <c r="E724" s="20"/>
      <c r="F724" s="21" t="s">
        <v>318</v>
      </c>
      <c r="G724" s="21"/>
      <c r="I724" s="21"/>
      <c r="J724" s="21" t="s">
        <v>380</v>
      </c>
      <c r="K724" s="21"/>
      <c r="L724" s="21"/>
      <c r="M724" s="21"/>
      <c r="N724" s="21"/>
    </row>
    <row r="725" customFormat="1" ht="90" customHeight="1" spans="1:14">
      <c r="A725" t="str">
        <f t="shared" si="23"/>
        <v>10月8日上午</v>
      </c>
      <c r="B725" s="18"/>
      <c r="C725" s="23"/>
      <c r="D725" s="33"/>
      <c r="E725" s="33"/>
      <c r="F725" s="21" t="s">
        <v>318</v>
      </c>
      <c r="G725" s="21"/>
      <c r="H725" s="21" t="s">
        <v>397</v>
      </c>
      <c r="I725" s="21"/>
      <c r="J725" s="21"/>
      <c r="K725" s="35"/>
      <c r="L725" s="21"/>
      <c r="M725" s="21"/>
      <c r="N725" s="21"/>
    </row>
    <row r="726" customFormat="1" ht="90" customHeight="1" spans="1:14">
      <c r="A726" t="str">
        <f t="shared" si="23"/>
        <v> 
10月8日上午</v>
      </c>
      <c r="B726" s="18"/>
      <c r="C726" s="18"/>
      <c r="D726" s="33"/>
      <c r="E726" s="34" t="s">
        <v>368</v>
      </c>
      <c r="F726" s="21" t="s">
        <v>318</v>
      </c>
      <c r="G726" s="21"/>
      <c r="H726" s="21"/>
      <c r="I726" s="21"/>
      <c r="J726" s="21"/>
      <c r="K726" s="21"/>
      <c r="L726" s="21"/>
      <c r="M726" s="21"/>
      <c r="N726" s="21"/>
    </row>
    <row r="727" customFormat="1" ht="90" customHeight="1" spans="1:14">
      <c r="A727" t="str">
        <f t="shared" si="23"/>
        <v>10月8日上午</v>
      </c>
      <c r="B727" s="18"/>
      <c r="C727" s="18"/>
      <c r="D727" s="33"/>
      <c r="E727" s="33"/>
      <c r="F727" s="21" t="s">
        <v>318</v>
      </c>
      <c r="G727" s="21"/>
      <c r="H727" s="21"/>
      <c r="I727" s="21"/>
      <c r="J727" s="21"/>
      <c r="K727" s="21"/>
      <c r="L727" s="21"/>
      <c r="M727" s="21"/>
      <c r="N727" s="21"/>
    </row>
    <row r="728" spans="1:1">
      <c r="A728" t="str">
        <f t="shared" si="23"/>
        <v/>
      </c>
    </row>
    <row r="729" customFormat="1" spans="1:14">
      <c r="A729" t="str">
        <f t="shared" si="23"/>
        <v>SKU</v>
      </c>
      <c r="B729" s="11" t="s">
        <v>2</v>
      </c>
      <c r="C729" s="11" t="s">
        <v>342</v>
      </c>
      <c r="D729" s="11" t="s">
        <v>343</v>
      </c>
      <c r="E729" s="11" t="s">
        <v>344</v>
      </c>
      <c r="F729" s="11"/>
      <c r="G729" s="12" t="s">
        <v>345</v>
      </c>
      <c r="H729" s="13"/>
      <c r="I729" s="13"/>
      <c r="J729" s="13"/>
      <c r="K729" s="13"/>
      <c r="L729" s="13"/>
      <c r="M729" s="13"/>
      <c r="N729" s="30"/>
    </row>
    <row r="730" customFormat="1" spans="1:14">
      <c r="A730" t="str">
        <f t="shared" si="23"/>
        <v/>
      </c>
      <c r="B730" s="11"/>
      <c r="C730" s="11"/>
      <c r="D730" s="11"/>
      <c r="E730" s="11"/>
      <c r="F730" s="14"/>
      <c r="G730" s="17" t="s">
        <v>247</v>
      </c>
      <c r="H730" s="17"/>
      <c r="I730" s="17" t="s">
        <v>351</v>
      </c>
      <c r="J730" s="17"/>
      <c r="K730" s="17" t="s">
        <v>249</v>
      </c>
      <c r="L730" s="17"/>
      <c r="M730" s="17" t="s">
        <v>250</v>
      </c>
      <c r="N730" s="17"/>
    </row>
    <row r="731" customFormat="1" spans="1:14">
      <c r="A731" t="str">
        <f t="shared" si="23"/>
        <v>日期</v>
      </c>
      <c r="B731" s="15"/>
      <c r="C731" s="15"/>
      <c r="D731" s="15"/>
      <c r="E731" s="15"/>
      <c r="F731" s="16" t="s">
        <v>40</v>
      </c>
      <c r="G731" s="17" t="s">
        <v>251</v>
      </c>
      <c r="H731" s="17" t="s">
        <v>252</v>
      </c>
      <c r="I731" s="17" t="s">
        <v>251</v>
      </c>
      <c r="J731" s="17" t="s">
        <v>252</v>
      </c>
      <c r="K731" s="17" t="s">
        <v>251</v>
      </c>
      <c r="L731" s="17" t="s">
        <v>252</v>
      </c>
      <c r="M731" s="17" t="s">
        <v>251</v>
      </c>
      <c r="N731" s="17" t="s">
        <v>252</v>
      </c>
    </row>
    <row r="732" customFormat="1" ht="90" customHeight="1" spans="1:14">
      <c r="A732" t="str">
        <f t="shared" si="23"/>
        <v>XXXX-11110月8日晚上</v>
      </c>
      <c r="B732" s="18"/>
      <c r="C732" s="19"/>
      <c r="D732" s="33"/>
      <c r="E732" s="33" t="s">
        <v>23</v>
      </c>
      <c r="F732" s="21" t="s">
        <v>319</v>
      </c>
      <c r="G732" s="21"/>
      <c r="H732" s="21" t="s">
        <v>383</v>
      </c>
      <c r="I732" s="21"/>
      <c r="J732" s="21"/>
      <c r="K732" s="21"/>
      <c r="L732" s="21" t="s">
        <v>556</v>
      </c>
      <c r="M732" s="21"/>
      <c r="N732" s="21"/>
    </row>
    <row r="733" customFormat="1" ht="90" customHeight="1" spans="1:14">
      <c r="A733" t="str">
        <f t="shared" si="23"/>
        <v>XXXX-22210月8日晚上</v>
      </c>
      <c r="B733" s="18"/>
      <c r="C733" s="22"/>
      <c r="D733" s="20"/>
      <c r="E733" s="20" t="s">
        <v>24</v>
      </c>
      <c r="F733" s="21" t="s">
        <v>319</v>
      </c>
      <c r="G733" s="21"/>
      <c r="H733" s="21"/>
      <c r="I733" s="21"/>
      <c r="J733" s="21" t="s">
        <v>405</v>
      </c>
      <c r="K733" s="32"/>
      <c r="L733" s="21"/>
      <c r="M733" s="21"/>
      <c r="N733" s="21"/>
    </row>
    <row r="734" customFormat="1" ht="90" customHeight="1" spans="1:14">
      <c r="A734" t="str">
        <f t="shared" si="23"/>
        <v>10月8日晚上</v>
      </c>
      <c r="B734" s="18"/>
      <c r="C734" s="23"/>
      <c r="D734" s="33"/>
      <c r="E734" s="33"/>
      <c r="F734" s="21" t="s">
        <v>319</v>
      </c>
      <c r="G734" s="21"/>
      <c r="H734" s="35"/>
      <c r="I734" s="21"/>
      <c r="J734" s="21" t="s">
        <v>569</v>
      </c>
      <c r="K734" s="21"/>
      <c r="L734" s="21" t="s">
        <v>499</v>
      </c>
      <c r="M734" s="21"/>
      <c r="N734" s="21"/>
    </row>
    <row r="735" customFormat="1" ht="90" customHeight="1" spans="1:14">
      <c r="A735" t="str">
        <f t="shared" si="23"/>
        <v>10月8日晚上</v>
      </c>
      <c r="B735" s="18"/>
      <c r="C735" s="19"/>
      <c r="D735" s="20"/>
      <c r="E735" s="20"/>
      <c r="F735" s="21" t="s">
        <v>319</v>
      </c>
      <c r="G735" s="21"/>
      <c r="I735" s="21"/>
      <c r="J735" s="21" t="s">
        <v>567</v>
      </c>
      <c r="K735" s="21"/>
      <c r="L735" s="21"/>
      <c r="M735" s="21"/>
      <c r="N735" s="21"/>
    </row>
    <row r="736" customFormat="1" ht="90" customHeight="1" spans="1:14">
      <c r="A736" t="str">
        <f t="shared" si="23"/>
        <v>10月8日晚上</v>
      </c>
      <c r="B736" s="18"/>
      <c r="C736" s="23"/>
      <c r="D736" s="33"/>
      <c r="E736" s="33"/>
      <c r="F736" s="21" t="s">
        <v>319</v>
      </c>
      <c r="G736" s="21"/>
      <c r="H736" s="21" t="s">
        <v>550</v>
      </c>
      <c r="I736" s="21"/>
      <c r="J736" s="21"/>
      <c r="K736" s="35"/>
      <c r="L736" s="21"/>
      <c r="M736" s="21"/>
      <c r="N736" s="21"/>
    </row>
    <row r="737" customFormat="1" ht="90" customHeight="1" spans="1:14">
      <c r="A737" t="str">
        <f t="shared" si="23"/>
        <v> 
10月8日晚上</v>
      </c>
      <c r="B737" s="18"/>
      <c r="C737" s="18"/>
      <c r="D737" s="33"/>
      <c r="E737" s="34" t="s">
        <v>368</v>
      </c>
      <c r="F737" s="21" t="s">
        <v>319</v>
      </c>
      <c r="G737" s="21"/>
      <c r="H737" s="21"/>
      <c r="I737" s="21"/>
      <c r="J737" s="21"/>
      <c r="K737" s="21"/>
      <c r="L737" s="21"/>
      <c r="M737" s="21"/>
      <c r="N737" s="21"/>
    </row>
    <row r="738" customFormat="1" ht="90" customHeight="1" spans="1:14">
      <c r="A738" t="str">
        <f t="shared" si="23"/>
        <v>10月8日晚上</v>
      </c>
      <c r="B738" s="18"/>
      <c r="C738" s="18"/>
      <c r="D738" s="33"/>
      <c r="E738" s="33"/>
      <c r="F738" s="21" t="s">
        <v>319</v>
      </c>
      <c r="G738" s="21"/>
      <c r="H738" s="21"/>
      <c r="I738" s="21"/>
      <c r="J738" s="21"/>
      <c r="K738" s="21"/>
      <c r="L738" s="21"/>
      <c r="M738" s="21"/>
      <c r="N738" s="21"/>
    </row>
    <row r="739" spans="1:1">
      <c r="A739" t="str">
        <f t="shared" si="23"/>
        <v/>
      </c>
    </row>
    <row r="740" customFormat="1" spans="1:14">
      <c r="A740" t="str">
        <f t="shared" si="23"/>
        <v>SKU</v>
      </c>
      <c r="B740" s="11" t="s">
        <v>2</v>
      </c>
      <c r="C740" s="11" t="s">
        <v>342</v>
      </c>
      <c r="D740" s="11" t="s">
        <v>343</v>
      </c>
      <c r="E740" s="11" t="s">
        <v>344</v>
      </c>
      <c r="F740" s="11"/>
      <c r="G740" s="12" t="s">
        <v>345</v>
      </c>
      <c r="H740" s="13"/>
      <c r="I740" s="13"/>
      <c r="J740" s="13"/>
      <c r="K740" s="13"/>
      <c r="L740" s="13"/>
      <c r="M740" s="13"/>
      <c r="N740" s="30"/>
    </row>
    <row r="741" customFormat="1" spans="1:14">
      <c r="A741" t="str">
        <f t="shared" si="23"/>
        <v/>
      </c>
      <c r="B741" s="11"/>
      <c r="C741" s="11"/>
      <c r="D741" s="11"/>
      <c r="E741" s="11"/>
      <c r="F741" s="14"/>
      <c r="G741" s="17" t="s">
        <v>247</v>
      </c>
      <c r="H741" s="17"/>
      <c r="I741" s="17" t="s">
        <v>351</v>
      </c>
      <c r="J741" s="17"/>
      <c r="K741" s="17" t="s">
        <v>249</v>
      </c>
      <c r="L741" s="17"/>
      <c r="M741" s="17" t="s">
        <v>250</v>
      </c>
      <c r="N741" s="17"/>
    </row>
    <row r="742" customFormat="1" spans="1:14">
      <c r="A742" t="str">
        <f t="shared" si="23"/>
        <v>日期</v>
      </c>
      <c r="B742" s="15"/>
      <c r="C742" s="15"/>
      <c r="D742" s="15"/>
      <c r="E742" s="15"/>
      <c r="F742" s="16" t="s">
        <v>40</v>
      </c>
      <c r="G742" s="17" t="s">
        <v>251</v>
      </c>
      <c r="H742" s="17" t="s">
        <v>252</v>
      </c>
      <c r="I742" s="17" t="s">
        <v>251</v>
      </c>
      <c r="J742" s="17" t="s">
        <v>252</v>
      </c>
      <c r="K742" s="17" t="s">
        <v>251</v>
      </c>
      <c r="L742" s="17" t="s">
        <v>252</v>
      </c>
      <c r="M742" s="17" t="s">
        <v>251</v>
      </c>
      <c r="N742" s="17" t="s">
        <v>252</v>
      </c>
    </row>
    <row r="743" customFormat="1" ht="90" customHeight="1" spans="1:14">
      <c r="A743" t="str">
        <f t="shared" si="23"/>
        <v>XXXX-11110月9日上午</v>
      </c>
      <c r="B743" s="18"/>
      <c r="C743" s="19"/>
      <c r="D743" s="33"/>
      <c r="E743" s="33" t="s">
        <v>23</v>
      </c>
      <c r="F743" s="21" t="s">
        <v>320</v>
      </c>
      <c r="G743" s="21"/>
      <c r="H743" s="21" t="s">
        <v>443</v>
      </c>
      <c r="I743" s="21"/>
      <c r="J743" s="21"/>
      <c r="K743" s="21"/>
      <c r="L743" s="21" t="s">
        <v>556</v>
      </c>
      <c r="M743" s="21"/>
      <c r="N743" s="21"/>
    </row>
    <row r="744" customFormat="1" ht="90" customHeight="1" spans="1:14">
      <c r="A744" t="str">
        <f t="shared" si="23"/>
        <v>XXXX-22210月9日上午</v>
      </c>
      <c r="B744" s="18"/>
      <c r="C744" s="22"/>
      <c r="D744" s="20"/>
      <c r="E744" s="20" t="s">
        <v>24</v>
      </c>
      <c r="F744" s="21" t="s">
        <v>320</v>
      </c>
      <c r="G744" s="21"/>
      <c r="H744" s="21"/>
      <c r="I744" s="21"/>
      <c r="J744" s="21" t="s">
        <v>570</v>
      </c>
      <c r="K744" s="32"/>
      <c r="L744" s="21"/>
      <c r="M744" s="21"/>
      <c r="N744" s="21"/>
    </row>
    <row r="745" customFormat="1" ht="90" customHeight="1" spans="1:14">
      <c r="A745" t="str">
        <f t="shared" si="23"/>
        <v>10月9日上午</v>
      </c>
      <c r="B745" s="18"/>
      <c r="C745" s="23"/>
      <c r="D745" s="33"/>
      <c r="E745" s="33"/>
      <c r="F745" s="21" t="s">
        <v>320</v>
      </c>
      <c r="G745" s="21"/>
      <c r="H745" s="35"/>
      <c r="I745" s="21"/>
      <c r="J745" s="21" t="s">
        <v>571</v>
      </c>
      <c r="K745" s="21"/>
      <c r="L745" s="21" t="s">
        <v>413</v>
      </c>
      <c r="M745" s="21"/>
      <c r="N745" s="21"/>
    </row>
    <row r="746" customFormat="1" ht="90" customHeight="1" spans="1:14">
      <c r="A746" t="str">
        <f t="shared" si="23"/>
        <v>10月9日上午</v>
      </c>
      <c r="B746" s="18"/>
      <c r="C746" s="19"/>
      <c r="D746" s="20"/>
      <c r="E746" s="20"/>
      <c r="F746" s="21" t="s">
        <v>320</v>
      </c>
      <c r="G746" s="21"/>
      <c r="I746" s="21"/>
      <c r="J746" s="21" t="s">
        <v>397</v>
      </c>
      <c r="K746" s="21"/>
      <c r="L746" s="21"/>
      <c r="M746" s="21"/>
      <c r="N746" s="21"/>
    </row>
    <row r="747" customFormat="1" ht="90" customHeight="1" spans="1:14">
      <c r="A747" t="str">
        <f t="shared" si="23"/>
        <v>10月9日上午</v>
      </c>
      <c r="B747" s="18"/>
      <c r="C747" s="23"/>
      <c r="D747" s="33"/>
      <c r="E747" s="33"/>
      <c r="F747" s="21" t="s">
        <v>320</v>
      </c>
      <c r="G747" s="21"/>
      <c r="H747" s="21"/>
      <c r="I747" s="21"/>
      <c r="J747" s="21"/>
      <c r="K747" s="35"/>
      <c r="L747" s="21"/>
      <c r="M747" s="21"/>
      <c r="N747" s="21"/>
    </row>
    <row r="748" customFormat="1" ht="90" customHeight="1" spans="1:14">
      <c r="A748" t="str">
        <f t="shared" ref="A748:A779" si="24">E748&amp;F748</f>
        <v> 
10月9日上午</v>
      </c>
      <c r="B748" s="18"/>
      <c r="C748" s="18"/>
      <c r="D748" s="33"/>
      <c r="E748" s="34" t="s">
        <v>368</v>
      </c>
      <c r="F748" s="21" t="s">
        <v>320</v>
      </c>
      <c r="G748" s="21"/>
      <c r="H748" s="21"/>
      <c r="I748" s="21"/>
      <c r="J748" s="21"/>
      <c r="K748" s="21"/>
      <c r="L748" s="21"/>
      <c r="M748" s="21"/>
      <c r="N748" s="21"/>
    </row>
    <row r="749" customFormat="1" ht="90" customHeight="1" spans="1:14">
      <c r="A749" t="str">
        <f t="shared" si="24"/>
        <v>10月9日上午</v>
      </c>
      <c r="B749" s="18"/>
      <c r="C749" s="18"/>
      <c r="D749" s="33"/>
      <c r="E749" s="33"/>
      <c r="F749" s="21" t="s">
        <v>320</v>
      </c>
      <c r="G749" s="21"/>
      <c r="H749" s="21"/>
      <c r="I749" s="21"/>
      <c r="J749" s="21"/>
      <c r="K749" s="21"/>
      <c r="L749" s="21"/>
      <c r="M749" s="21"/>
      <c r="N749" s="21"/>
    </row>
    <row r="750" spans="1:1">
      <c r="A750" t="str">
        <f t="shared" si="24"/>
        <v/>
      </c>
    </row>
    <row r="751" customFormat="1" spans="1:14">
      <c r="A751" t="str">
        <f t="shared" si="24"/>
        <v>SKU</v>
      </c>
      <c r="B751" s="11" t="s">
        <v>2</v>
      </c>
      <c r="C751" s="11" t="s">
        <v>342</v>
      </c>
      <c r="D751" s="11" t="s">
        <v>343</v>
      </c>
      <c r="E751" s="11" t="s">
        <v>344</v>
      </c>
      <c r="F751" s="11"/>
      <c r="G751" s="12" t="s">
        <v>345</v>
      </c>
      <c r="H751" s="13"/>
      <c r="I751" s="13"/>
      <c r="J751" s="13"/>
      <c r="K751" s="13"/>
      <c r="L751" s="13"/>
      <c r="M751" s="13"/>
      <c r="N751" s="30"/>
    </row>
    <row r="752" customFormat="1" spans="1:14">
      <c r="A752" t="str">
        <f t="shared" si="24"/>
        <v/>
      </c>
      <c r="B752" s="11"/>
      <c r="C752" s="11"/>
      <c r="D752" s="11"/>
      <c r="E752" s="11"/>
      <c r="F752" s="14"/>
      <c r="G752" s="17" t="s">
        <v>247</v>
      </c>
      <c r="H752" s="17"/>
      <c r="I752" s="17" t="s">
        <v>351</v>
      </c>
      <c r="J752" s="17"/>
      <c r="K752" s="17" t="s">
        <v>249</v>
      </c>
      <c r="L752" s="17"/>
      <c r="M752" s="17" t="s">
        <v>250</v>
      </c>
      <c r="N752" s="17"/>
    </row>
    <row r="753" customFormat="1" spans="1:14">
      <c r="A753" t="str">
        <f t="shared" si="24"/>
        <v>日期</v>
      </c>
      <c r="B753" s="15"/>
      <c r="C753" s="15"/>
      <c r="D753" s="15"/>
      <c r="E753" s="15"/>
      <c r="F753" s="16" t="s">
        <v>40</v>
      </c>
      <c r="G753" s="17" t="s">
        <v>251</v>
      </c>
      <c r="H753" s="17" t="s">
        <v>252</v>
      </c>
      <c r="I753" s="17" t="s">
        <v>251</v>
      </c>
      <c r="J753" s="17" t="s">
        <v>252</v>
      </c>
      <c r="K753" s="17" t="s">
        <v>251</v>
      </c>
      <c r="L753" s="17" t="s">
        <v>252</v>
      </c>
      <c r="M753" s="17" t="s">
        <v>251</v>
      </c>
      <c r="N753" s="17" t="s">
        <v>252</v>
      </c>
    </row>
    <row r="754" customFormat="1" ht="90" customHeight="1" spans="1:14">
      <c r="A754" t="str">
        <f t="shared" si="24"/>
        <v>XXXX-11110月9日晚上</v>
      </c>
      <c r="B754" s="18"/>
      <c r="C754" s="19"/>
      <c r="D754" s="33"/>
      <c r="E754" s="33" t="s">
        <v>23</v>
      </c>
      <c r="F754" s="21" t="s">
        <v>321</v>
      </c>
      <c r="G754" s="21"/>
      <c r="H754" s="21"/>
      <c r="I754" s="21"/>
      <c r="J754" s="21"/>
      <c r="K754" s="21"/>
      <c r="L754" s="21"/>
      <c r="M754" s="21"/>
      <c r="N754" s="21"/>
    </row>
    <row r="755" customFormat="1" ht="90" customHeight="1" spans="1:14">
      <c r="A755" t="str">
        <f t="shared" si="24"/>
        <v>XXXX-22210月9日晚上</v>
      </c>
      <c r="B755" s="18"/>
      <c r="C755" s="22"/>
      <c r="D755" s="20"/>
      <c r="E755" s="20" t="s">
        <v>24</v>
      </c>
      <c r="F755" s="21" t="s">
        <v>321</v>
      </c>
      <c r="G755" s="21"/>
      <c r="H755" s="21"/>
      <c r="I755" s="21"/>
      <c r="J755" s="21"/>
      <c r="K755" s="32"/>
      <c r="L755" s="21"/>
      <c r="M755" s="21"/>
      <c r="N755" s="21"/>
    </row>
    <row r="756" customFormat="1" ht="90" customHeight="1" spans="1:14">
      <c r="A756" t="str">
        <f t="shared" si="24"/>
        <v>10月9日晚上</v>
      </c>
      <c r="B756" s="18"/>
      <c r="C756" s="23"/>
      <c r="D756" s="33"/>
      <c r="E756" s="33"/>
      <c r="F756" s="21" t="s">
        <v>321</v>
      </c>
      <c r="G756" s="21"/>
      <c r="H756" s="35"/>
      <c r="I756" s="21"/>
      <c r="J756" s="21"/>
      <c r="K756" s="21"/>
      <c r="L756" s="21"/>
      <c r="M756" s="21"/>
      <c r="N756" s="21"/>
    </row>
    <row r="757" customFormat="1" ht="90" customHeight="1" spans="1:14">
      <c r="A757" t="str">
        <f t="shared" si="24"/>
        <v>10月9日晚上</v>
      </c>
      <c r="B757" s="18"/>
      <c r="C757" s="19"/>
      <c r="D757" s="20"/>
      <c r="E757" s="20"/>
      <c r="F757" s="21" t="s">
        <v>321</v>
      </c>
      <c r="G757" s="21"/>
      <c r="I757" s="21"/>
      <c r="J757" s="21"/>
      <c r="K757" s="21"/>
      <c r="L757" s="21"/>
      <c r="M757" s="21"/>
      <c r="N757" s="21"/>
    </row>
    <row r="758" customFormat="1" ht="90" customHeight="1" spans="1:14">
      <c r="A758" t="str">
        <f t="shared" si="24"/>
        <v>10月9日晚上</v>
      </c>
      <c r="B758" s="18"/>
      <c r="C758" s="23"/>
      <c r="D758" s="33"/>
      <c r="E758" s="33"/>
      <c r="F758" s="21" t="s">
        <v>321</v>
      </c>
      <c r="G758" s="21"/>
      <c r="H758" s="21"/>
      <c r="I758" s="21"/>
      <c r="J758" s="21"/>
      <c r="K758" s="35"/>
      <c r="L758" s="21"/>
      <c r="M758" s="21"/>
      <c r="N758" s="21"/>
    </row>
    <row r="759" customFormat="1" ht="90" customHeight="1" spans="1:14">
      <c r="A759" t="str">
        <f t="shared" si="24"/>
        <v> 
10月9日晚上</v>
      </c>
      <c r="B759" s="18"/>
      <c r="C759" s="18"/>
      <c r="D759" s="33"/>
      <c r="E759" s="34" t="s">
        <v>368</v>
      </c>
      <c r="F759" s="21" t="s">
        <v>321</v>
      </c>
      <c r="G759" s="21"/>
      <c r="H759" s="21"/>
      <c r="I759" s="21"/>
      <c r="J759" s="21"/>
      <c r="K759" s="21"/>
      <c r="L759" s="21"/>
      <c r="M759" s="21"/>
      <c r="N759" s="21"/>
    </row>
    <row r="760" customFormat="1" ht="90" customHeight="1" spans="1:14">
      <c r="A760" t="str">
        <f t="shared" si="24"/>
        <v>10月9日晚上</v>
      </c>
      <c r="B760" s="18"/>
      <c r="C760" s="18"/>
      <c r="D760" s="33"/>
      <c r="E760" s="33"/>
      <c r="F760" s="21" t="s">
        <v>321</v>
      </c>
      <c r="G760" s="21"/>
      <c r="H760" s="21"/>
      <c r="I760" s="21"/>
      <c r="J760" s="21"/>
      <c r="K760" s="21"/>
      <c r="L760" s="21"/>
      <c r="M760" s="21"/>
      <c r="N760" s="21"/>
    </row>
    <row r="761" spans="1:1">
      <c r="A761" t="str">
        <f t="shared" si="24"/>
        <v/>
      </c>
    </row>
    <row r="762" customFormat="1" spans="1:14">
      <c r="A762" t="str">
        <f t="shared" si="24"/>
        <v>SKU</v>
      </c>
      <c r="B762" s="11" t="s">
        <v>2</v>
      </c>
      <c r="C762" s="11" t="s">
        <v>342</v>
      </c>
      <c r="D762" s="11" t="s">
        <v>343</v>
      </c>
      <c r="E762" s="11" t="s">
        <v>344</v>
      </c>
      <c r="F762" s="11"/>
      <c r="G762" s="12" t="s">
        <v>345</v>
      </c>
      <c r="H762" s="13"/>
      <c r="I762" s="13"/>
      <c r="J762" s="13"/>
      <c r="K762" s="13"/>
      <c r="L762" s="13"/>
      <c r="M762" s="13"/>
      <c r="N762" s="30"/>
    </row>
    <row r="763" customFormat="1" spans="1:14">
      <c r="A763" t="str">
        <f t="shared" si="24"/>
        <v/>
      </c>
      <c r="B763" s="11"/>
      <c r="C763" s="11"/>
      <c r="D763" s="11"/>
      <c r="E763" s="11"/>
      <c r="F763" s="14"/>
      <c r="G763" s="17" t="s">
        <v>247</v>
      </c>
      <c r="H763" s="17"/>
      <c r="I763" s="17" t="s">
        <v>351</v>
      </c>
      <c r="J763" s="17"/>
      <c r="K763" s="17" t="s">
        <v>249</v>
      </c>
      <c r="L763" s="17"/>
      <c r="M763" s="17" t="s">
        <v>250</v>
      </c>
      <c r="N763" s="17"/>
    </row>
    <row r="764" customFormat="1" spans="1:14">
      <c r="A764" t="str">
        <f t="shared" si="24"/>
        <v>日期</v>
      </c>
      <c r="B764" s="15"/>
      <c r="C764" s="15"/>
      <c r="D764" s="15"/>
      <c r="E764" s="15"/>
      <c r="F764" s="16" t="s">
        <v>40</v>
      </c>
      <c r="G764" s="17" t="s">
        <v>251</v>
      </c>
      <c r="H764" s="17" t="s">
        <v>252</v>
      </c>
      <c r="I764" s="17" t="s">
        <v>251</v>
      </c>
      <c r="J764" s="17" t="s">
        <v>252</v>
      </c>
      <c r="K764" s="17" t="s">
        <v>251</v>
      </c>
      <c r="L764" s="17" t="s">
        <v>252</v>
      </c>
      <c r="M764" s="17" t="s">
        <v>251</v>
      </c>
      <c r="N764" s="17" t="s">
        <v>252</v>
      </c>
    </row>
    <row r="765" customFormat="1" ht="90" customHeight="1" spans="1:14">
      <c r="A765" t="str">
        <f t="shared" si="24"/>
        <v>XXXX-11110月10日上午</v>
      </c>
      <c r="B765" s="18"/>
      <c r="C765" s="19"/>
      <c r="D765" s="33"/>
      <c r="E765" s="33" t="s">
        <v>23</v>
      </c>
      <c r="F765" s="21" t="s">
        <v>322</v>
      </c>
      <c r="G765" s="21"/>
      <c r="H765" s="21" t="s">
        <v>353</v>
      </c>
      <c r="I765" s="21"/>
      <c r="J765" s="21"/>
      <c r="K765" s="21"/>
      <c r="L765" s="21" t="s">
        <v>458</v>
      </c>
      <c r="M765" s="21"/>
      <c r="N765" s="21"/>
    </row>
    <row r="766" customFormat="1" ht="90" customHeight="1" spans="1:14">
      <c r="A766" t="str">
        <f t="shared" si="24"/>
        <v>XXXX-22210月10日上午</v>
      </c>
      <c r="B766" s="18"/>
      <c r="C766" s="22"/>
      <c r="D766" s="20"/>
      <c r="E766" s="20" t="s">
        <v>24</v>
      </c>
      <c r="F766" s="21" t="s">
        <v>322</v>
      </c>
      <c r="G766" s="21"/>
      <c r="H766" s="21"/>
      <c r="I766" s="21"/>
      <c r="J766" s="21" t="s">
        <v>465</v>
      </c>
      <c r="K766" s="32"/>
      <c r="L766" s="21"/>
      <c r="M766" s="21"/>
      <c r="N766" s="21"/>
    </row>
    <row r="767" customFormat="1" ht="90" customHeight="1" spans="1:14">
      <c r="A767" t="str">
        <f t="shared" si="24"/>
        <v>10月10日上午</v>
      </c>
      <c r="B767" s="18"/>
      <c r="C767" s="23"/>
      <c r="D767" s="33"/>
      <c r="E767" s="33"/>
      <c r="F767" s="21" t="s">
        <v>322</v>
      </c>
      <c r="G767" s="21"/>
      <c r="H767" s="35"/>
      <c r="I767" s="21"/>
      <c r="J767" s="21" t="s">
        <v>473</v>
      </c>
      <c r="K767" s="21"/>
      <c r="L767" s="21" t="s">
        <v>572</v>
      </c>
      <c r="M767" s="21"/>
      <c r="N767" s="21"/>
    </row>
    <row r="768" customFormat="1" ht="90" customHeight="1" spans="1:14">
      <c r="A768" t="str">
        <f t="shared" si="24"/>
        <v>10月10日上午</v>
      </c>
      <c r="B768" s="18"/>
      <c r="C768" s="19"/>
      <c r="D768" s="20"/>
      <c r="E768" s="20"/>
      <c r="F768" s="21" t="s">
        <v>322</v>
      </c>
      <c r="G768" s="21"/>
      <c r="I768" s="21"/>
      <c r="J768" s="21" t="s">
        <v>570</v>
      </c>
      <c r="K768" s="21"/>
      <c r="L768" s="21"/>
      <c r="M768" s="21"/>
      <c r="N768" s="21"/>
    </row>
    <row r="769" customFormat="1" ht="90" customHeight="1" spans="1:14">
      <c r="A769" t="str">
        <f t="shared" si="24"/>
        <v>10月10日上午</v>
      </c>
      <c r="B769" s="18"/>
      <c r="C769" s="23"/>
      <c r="D769" s="33"/>
      <c r="E769" s="33"/>
      <c r="F769" s="21" t="s">
        <v>322</v>
      </c>
      <c r="G769" s="21"/>
      <c r="H769" s="21"/>
      <c r="I769" s="21"/>
      <c r="J769" s="21"/>
      <c r="K769" s="35"/>
      <c r="L769" s="21"/>
      <c r="M769" s="21"/>
      <c r="N769" s="21"/>
    </row>
    <row r="770" customFormat="1" ht="90" customHeight="1" spans="1:14">
      <c r="A770" t="str">
        <f t="shared" si="24"/>
        <v> 
10月10日上午</v>
      </c>
      <c r="B770" s="18"/>
      <c r="C770" s="18"/>
      <c r="D770" s="33"/>
      <c r="E770" s="34" t="s">
        <v>368</v>
      </c>
      <c r="F770" s="21" t="s">
        <v>322</v>
      </c>
      <c r="G770" s="21"/>
      <c r="H770" s="21"/>
      <c r="I770" s="21"/>
      <c r="J770" s="21"/>
      <c r="K770" s="21"/>
      <c r="L770" s="21"/>
      <c r="M770" s="21"/>
      <c r="N770" s="21"/>
    </row>
    <row r="771" customFormat="1" ht="90" customHeight="1" spans="1:14">
      <c r="A771" t="str">
        <f t="shared" si="24"/>
        <v>10月10日上午</v>
      </c>
      <c r="B771" s="18"/>
      <c r="C771" s="18"/>
      <c r="D771" s="33"/>
      <c r="E771" s="33"/>
      <c r="F771" s="21" t="s">
        <v>322</v>
      </c>
      <c r="G771" s="21"/>
      <c r="H771" s="21"/>
      <c r="I771" s="21"/>
      <c r="J771" s="21"/>
      <c r="K771" s="21"/>
      <c r="L771" s="21"/>
      <c r="M771" s="21"/>
      <c r="N771" s="21"/>
    </row>
    <row r="772" spans="1:1">
      <c r="A772" t="str">
        <f t="shared" si="24"/>
        <v/>
      </c>
    </row>
    <row r="773" customFormat="1" spans="1:14">
      <c r="A773" t="str">
        <f t="shared" si="24"/>
        <v>SKU</v>
      </c>
      <c r="B773" s="11" t="s">
        <v>2</v>
      </c>
      <c r="C773" s="11" t="s">
        <v>342</v>
      </c>
      <c r="D773" s="11" t="s">
        <v>343</v>
      </c>
      <c r="E773" s="11" t="s">
        <v>344</v>
      </c>
      <c r="F773" s="11"/>
      <c r="G773" s="12" t="s">
        <v>345</v>
      </c>
      <c r="H773" s="13"/>
      <c r="I773" s="13"/>
      <c r="J773" s="13"/>
      <c r="K773" s="13"/>
      <c r="L773" s="13"/>
      <c r="M773" s="13"/>
      <c r="N773" s="30"/>
    </row>
    <row r="774" customFormat="1" spans="1:14">
      <c r="A774" t="str">
        <f t="shared" si="24"/>
        <v/>
      </c>
      <c r="B774" s="11"/>
      <c r="C774" s="11"/>
      <c r="D774" s="11"/>
      <c r="E774" s="11"/>
      <c r="F774" s="14"/>
      <c r="G774" s="17" t="s">
        <v>247</v>
      </c>
      <c r="H774" s="17"/>
      <c r="I774" s="17" t="s">
        <v>248</v>
      </c>
      <c r="J774" s="17"/>
      <c r="K774" s="17" t="s">
        <v>249</v>
      </c>
      <c r="L774" s="17"/>
      <c r="M774" s="17" t="s">
        <v>250</v>
      </c>
      <c r="N774" s="17"/>
    </row>
    <row r="775" customFormat="1" spans="1:14">
      <c r="A775" t="str">
        <f t="shared" si="24"/>
        <v>日期</v>
      </c>
      <c r="B775" s="15"/>
      <c r="C775" s="15"/>
      <c r="D775" s="15"/>
      <c r="E775" s="15"/>
      <c r="F775" s="16" t="s">
        <v>40</v>
      </c>
      <c r="G775" s="17" t="s">
        <v>251</v>
      </c>
      <c r="H775" s="17" t="s">
        <v>252</v>
      </c>
      <c r="I775" s="17" t="s">
        <v>251</v>
      </c>
      <c r="J775" s="17" t="s">
        <v>252</v>
      </c>
      <c r="K775" s="17" t="s">
        <v>251</v>
      </c>
      <c r="L775" s="17" t="s">
        <v>252</v>
      </c>
      <c r="M775" s="17" t="s">
        <v>251</v>
      </c>
      <c r="N775" s="17" t="s">
        <v>252</v>
      </c>
    </row>
    <row r="776" customFormat="1" ht="90" customHeight="1" spans="1:14">
      <c r="A776" t="str">
        <f t="shared" si="24"/>
        <v>XXXX-11110月10日晚上</v>
      </c>
      <c r="B776" s="18"/>
      <c r="C776" s="19"/>
      <c r="D776" s="33"/>
      <c r="E776" s="33" t="s">
        <v>23</v>
      </c>
      <c r="F776" s="21" t="s">
        <v>323</v>
      </c>
      <c r="G776" s="21"/>
      <c r="H776" s="21" t="s">
        <v>573</v>
      </c>
      <c r="I776" s="21"/>
      <c r="J776" s="21"/>
      <c r="K776" s="21"/>
      <c r="L776" s="21" t="s">
        <v>561</v>
      </c>
      <c r="M776" s="21"/>
      <c r="N776" s="21"/>
    </row>
    <row r="777" customFormat="1" ht="90" customHeight="1" spans="1:14">
      <c r="A777" t="str">
        <f t="shared" si="24"/>
        <v>XXXX-22210月10日晚上</v>
      </c>
      <c r="B777" s="18"/>
      <c r="C777" s="22"/>
      <c r="D777" s="20"/>
      <c r="E777" s="20" t="s">
        <v>24</v>
      </c>
      <c r="F777" s="21" t="s">
        <v>323</v>
      </c>
      <c r="G777" s="21"/>
      <c r="H777" s="21"/>
      <c r="I777" s="21"/>
      <c r="J777" s="21" t="s">
        <v>439</v>
      </c>
      <c r="K777" s="32"/>
      <c r="L777" s="21"/>
      <c r="M777" s="21"/>
      <c r="N777" s="21"/>
    </row>
    <row r="778" customFormat="1" ht="90" customHeight="1" spans="1:14">
      <c r="A778" t="str">
        <f t="shared" si="24"/>
        <v>10月10日晚上</v>
      </c>
      <c r="B778" s="18"/>
      <c r="C778" s="23"/>
      <c r="D778" s="33"/>
      <c r="E778" s="33"/>
      <c r="F778" s="21" t="s">
        <v>323</v>
      </c>
      <c r="G778" s="21"/>
      <c r="H778" s="35"/>
      <c r="I778" s="21"/>
      <c r="J778" s="21" t="s">
        <v>574</v>
      </c>
      <c r="K778" s="21"/>
      <c r="L778" s="21" t="s">
        <v>506</v>
      </c>
      <c r="M778" s="21"/>
      <c r="N778" s="21"/>
    </row>
    <row r="779" customFormat="1" ht="90" customHeight="1" spans="1:14">
      <c r="A779" t="str">
        <f t="shared" si="24"/>
        <v>10月10日晚上</v>
      </c>
      <c r="B779" s="18"/>
      <c r="C779" s="19"/>
      <c r="D779" s="20"/>
      <c r="E779" s="20"/>
      <c r="F779" s="21" t="s">
        <v>323</v>
      </c>
      <c r="G779" s="21"/>
      <c r="I779" s="21"/>
      <c r="J779" s="21" t="s">
        <v>426</v>
      </c>
      <c r="K779" s="21"/>
      <c r="L779" s="21"/>
      <c r="M779" s="21"/>
      <c r="N779" s="21"/>
    </row>
    <row r="780" customFormat="1" ht="90" customHeight="1" spans="1:14">
      <c r="A780" t="str">
        <f t="shared" ref="A780:A811" si="25">E780&amp;F780</f>
        <v>10月10日晚上</v>
      </c>
      <c r="B780" s="18"/>
      <c r="C780" s="23"/>
      <c r="D780" s="33"/>
      <c r="E780" s="33"/>
      <c r="F780" s="21" t="s">
        <v>323</v>
      </c>
      <c r="G780" s="21"/>
      <c r="H780" s="21"/>
      <c r="I780" s="21"/>
      <c r="J780" s="21"/>
      <c r="K780" s="35"/>
      <c r="L780" s="21"/>
      <c r="M780" s="21"/>
      <c r="N780" s="21"/>
    </row>
    <row r="781" customFormat="1" ht="90" customHeight="1" spans="1:14">
      <c r="A781" t="str">
        <f t="shared" si="25"/>
        <v> 
10月10日晚上</v>
      </c>
      <c r="B781" s="18"/>
      <c r="C781" s="18"/>
      <c r="D781" s="33"/>
      <c r="E781" s="34" t="s">
        <v>368</v>
      </c>
      <c r="F781" s="21" t="s">
        <v>323</v>
      </c>
      <c r="G781" s="21"/>
      <c r="H781" s="21"/>
      <c r="I781" s="21"/>
      <c r="J781" s="21"/>
      <c r="K781" s="21"/>
      <c r="L781" s="21"/>
      <c r="M781" s="21"/>
      <c r="N781" s="21"/>
    </row>
    <row r="782" customFormat="1" ht="90" customHeight="1" spans="1:14">
      <c r="A782" t="str">
        <f t="shared" si="25"/>
        <v>10月10日晚上</v>
      </c>
      <c r="B782" s="18"/>
      <c r="C782" s="18"/>
      <c r="D782" s="33"/>
      <c r="E782" s="33"/>
      <c r="F782" s="21" t="s">
        <v>323</v>
      </c>
      <c r="G782" s="21"/>
      <c r="H782" s="21"/>
      <c r="I782" s="21"/>
      <c r="J782" s="21"/>
      <c r="K782" s="21"/>
      <c r="L782" s="21"/>
      <c r="M782" s="21"/>
      <c r="N782" s="21" t="s">
        <v>359</v>
      </c>
    </row>
    <row r="783" spans="1:1">
      <c r="A783" t="str">
        <f t="shared" si="25"/>
        <v/>
      </c>
    </row>
    <row r="784" customFormat="1" spans="1:14">
      <c r="A784" t="str">
        <f t="shared" si="25"/>
        <v>SKU</v>
      </c>
      <c r="B784" s="11" t="s">
        <v>2</v>
      </c>
      <c r="C784" s="11" t="s">
        <v>342</v>
      </c>
      <c r="D784" s="11" t="s">
        <v>343</v>
      </c>
      <c r="E784" s="11" t="s">
        <v>344</v>
      </c>
      <c r="F784" s="11"/>
      <c r="G784" s="12" t="s">
        <v>345</v>
      </c>
      <c r="H784" s="13"/>
      <c r="I784" s="13"/>
      <c r="J784" s="13"/>
      <c r="K784" s="13"/>
      <c r="L784" s="13"/>
      <c r="M784" s="13"/>
      <c r="N784" s="30"/>
    </row>
    <row r="785" customFormat="1" spans="1:14">
      <c r="A785" t="str">
        <f t="shared" si="25"/>
        <v/>
      </c>
      <c r="B785" s="11"/>
      <c r="C785" s="11"/>
      <c r="D785" s="11"/>
      <c r="E785" s="11"/>
      <c r="F785" s="14"/>
      <c r="G785" s="17" t="s">
        <v>247</v>
      </c>
      <c r="H785" s="17"/>
      <c r="I785" s="17" t="s">
        <v>248</v>
      </c>
      <c r="J785" s="17"/>
      <c r="K785" s="17" t="s">
        <v>249</v>
      </c>
      <c r="L785" s="17"/>
      <c r="M785" s="17" t="s">
        <v>250</v>
      </c>
      <c r="N785" s="17"/>
    </row>
    <row r="786" customFormat="1" spans="1:14">
      <c r="A786" t="str">
        <f t="shared" si="25"/>
        <v>日期</v>
      </c>
      <c r="B786" s="15"/>
      <c r="C786" s="15"/>
      <c r="D786" s="15"/>
      <c r="E786" s="15"/>
      <c r="F786" s="16" t="s">
        <v>40</v>
      </c>
      <c r="G786" s="17" t="s">
        <v>251</v>
      </c>
      <c r="H786" s="17" t="s">
        <v>252</v>
      </c>
      <c r="I786" s="17" t="s">
        <v>251</v>
      </c>
      <c r="J786" s="17" t="s">
        <v>252</v>
      </c>
      <c r="K786" s="17" t="s">
        <v>251</v>
      </c>
      <c r="L786" s="17" t="s">
        <v>252</v>
      </c>
      <c r="M786" s="17" t="s">
        <v>251</v>
      </c>
      <c r="N786" s="17" t="s">
        <v>252</v>
      </c>
    </row>
    <row r="787" customFormat="1" ht="90" customHeight="1" spans="1:14">
      <c r="A787" t="str">
        <f t="shared" si="25"/>
        <v>XXXX-11110月11日晚上</v>
      </c>
      <c r="B787" s="18"/>
      <c r="C787" s="19"/>
      <c r="D787" s="33"/>
      <c r="E787" s="33" t="s">
        <v>23</v>
      </c>
      <c r="F787" s="21" t="s">
        <v>325</v>
      </c>
      <c r="G787" s="21"/>
      <c r="H787" s="21" t="s">
        <v>575</v>
      </c>
      <c r="I787" s="21"/>
      <c r="J787" s="21"/>
      <c r="K787" s="21"/>
      <c r="L787" s="21" t="s">
        <v>561</v>
      </c>
      <c r="M787" s="21"/>
      <c r="N787" s="21"/>
    </row>
    <row r="788" customFormat="1" ht="90" customHeight="1" spans="1:14">
      <c r="A788" t="str">
        <f t="shared" si="25"/>
        <v>XXXX-22210月11日晚上</v>
      </c>
      <c r="B788" s="18"/>
      <c r="C788" s="22"/>
      <c r="D788" s="20"/>
      <c r="E788" s="20" t="s">
        <v>24</v>
      </c>
      <c r="F788" s="21" t="s">
        <v>325</v>
      </c>
      <c r="G788" s="21"/>
      <c r="H788" s="21"/>
      <c r="I788" s="21"/>
      <c r="J788" s="21" t="s">
        <v>452</v>
      </c>
      <c r="K788" s="21" t="s">
        <v>515</v>
      </c>
      <c r="L788" s="21"/>
      <c r="M788" s="21"/>
      <c r="N788" s="21"/>
    </row>
    <row r="789" customFormat="1" ht="90" customHeight="1" spans="1:14">
      <c r="A789" t="str">
        <f t="shared" si="25"/>
        <v>10月11日晚上</v>
      </c>
      <c r="B789" s="18"/>
      <c r="C789" s="23"/>
      <c r="D789" s="33"/>
      <c r="E789" s="33"/>
      <c r="F789" s="21" t="s">
        <v>325</v>
      </c>
      <c r="G789" s="21"/>
      <c r="H789" s="35"/>
      <c r="I789" s="21"/>
      <c r="J789" s="21" t="s">
        <v>576</v>
      </c>
      <c r="K789" s="21"/>
      <c r="L789" s="21" t="s">
        <v>485</v>
      </c>
      <c r="M789" s="21"/>
      <c r="N789" s="21"/>
    </row>
    <row r="790" customFormat="1" ht="90" customHeight="1" spans="1:14">
      <c r="A790" t="str">
        <f t="shared" si="25"/>
        <v>10月11日晚上</v>
      </c>
      <c r="B790" s="18"/>
      <c r="C790" s="19"/>
      <c r="D790" s="20"/>
      <c r="E790" s="20"/>
      <c r="F790" s="21" t="s">
        <v>325</v>
      </c>
      <c r="G790" s="21"/>
      <c r="I790" s="21"/>
      <c r="J790" s="21" t="s">
        <v>569</v>
      </c>
      <c r="K790" s="21"/>
      <c r="L790" s="21"/>
      <c r="M790" s="21"/>
      <c r="N790" s="21"/>
    </row>
    <row r="791" customFormat="1" ht="90" customHeight="1" spans="1:14">
      <c r="A791" t="str">
        <f t="shared" si="25"/>
        <v>10月11日晚上</v>
      </c>
      <c r="B791" s="18"/>
      <c r="C791" s="23"/>
      <c r="D791" s="33"/>
      <c r="E791" s="33"/>
      <c r="F791" s="21" t="s">
        <v>325</v>
      </c>
      <c r="G791" s="21"/>
      <c r="H791" s="21"/>
      <c r="I791" s="21"/>
      <c r="J791" s="21"/>
      <c r="K791" s="35"/>
      <c r="L791" s="21"/>
      <c r="M791" s="21"/>
      <c r="N791" s="21"/>
    </row>
    <row r="792" customFormat="1" ht="90" customHeight="1" spans="1:14">
      <c r="A792" t="str">
        <f t="shared" si="25"/>
        <v> 
10月11日晚上</v>
      </c>
      <c r="B792" s="18"/>
      <c r="C792" s="18"/>
      <c r="D792" s="33"/>
      <c r="E792" s="34" t="s">
        <v>368</v>
      </c>
      <c r="F792" s="21" t="s">
        <v>325</v>
      </c>
      <c r="G792" s="21"/>
      <c r="H792" s="21"/>
      <c r="I792" s="21"/>
      <c r="J792" s="21"/>
      <c r="K792" s="21"/>
      <c r="L792" s="21"/>
      <c r="M792" s="21"/>
      <c r="N792" s="21"/>
    </row>
    <row r="793" customFormat="1" ht="90" customHeight="1" spans="1:14">
      <c r="A793" t="str">
        <f t="shared" si="25"/>
        <v>10月11日晚上</v>
      </c>
      <c r="B793" s="18"/>
      <c r="C793" s="18"/>
      <c r="D793" s="33"/>
      <c r="E793" s="33"/>
      <c r="F793" s="21" t="s">
        <v>325</v>
      </c>
      <c r="G793" s="21"/>
      <c r="H793" s="21"/>
      <c r="I793" s="21"/>
      <c r="J793" s="21"/>
      <c r="K793" s="21"/>
      <c r="L793" s="21"/>
      <c r="M793" s="21"/>
      <c r="N793" s="21" t="s">
        <v>502</v>
      </c>
    </row>
    <row r="794" spans="1:1">
      <c r="A794" t="str">
        <f t="shared" si="25"/>
        <v/>
      </c>
    </row>
    <row r="795" customFormat="1" spans="1:14">
      <c r="A795" t="str">
        <f t="shared" si="25"/>
        <v>SKU</v>
      </c>
      <c r="B795" s="11" t="s">
        <v>2</v>
      </c>
      <c r="C795" s="11" t="s">
        <v>342</v>
      </c>
      <c r="D795" s="11" t="s">
        <v>343</v>
      </c>
      <c r="E795" s="11" t="s">
        <v>344</v>
      </c>
      <c r="F795" s="11"/>
      <c r="G795" s="12" t="s">
        <v>345</v>
      </c>
      <c r="H795" s="13"/>
      <c r="I795" s="13"/>
      <c r="J795" s="13"/>
      <c r="K795" s="13"/>
      <c r="L795" s="13"/>
      <c r="M795" s="13"/>
      <c r="N795" s="30"/>
    </row>
    <row r="796" customFormat="1" spans="1:14">
      <c r="A796" t="str">
        <f t="shared" si="25"/>
        <v/>
      </c>
      <c r="B796" s="11"/>
      <c r="C796" s="11"/>
      <c r="D796" s="11"/>
      <c r="E796" s="11"/>
      <c r="F796" s="14"/>
      <c r="G796" s="17" t="s">
        <v>247</v>
      </c>
      <c r="H796" s="17"/>
      <c r="I796" s="17" t="s">
        <v>248</v>
      </c>
      <c r="J796" s="17"/>
      <c r="K796" s="17" t="s">
        <v>249</v>
      </c>
      <c r="L796" s="17"/>
      <c r="M796" s="17" t="s">
        <v>250</v>
      </c>
      <c r="N796" s="17"/>
    </row>
    <row r="797" customFormat="1" spans="1:14">
      <c r="A797" t="str">
        <f t="shared" si="25"/>
        <v>日期</v>
      </c>
      <c r="B797" s="15"/>
      <c r="C797" s="15"/>
      <c r="D797" s="15"/>
      <c r="E797" s="15"/>
      <c r="F797" s="16" t="s">
        <v>40</v>
      </c>
      <c r="G797" s="17" t="s">
        <v>251</v>
      </c>
      <c r="H797" s="17" t="s">
        <v>252</v>
      </c>
      <c r="I797" s="17" t="s">
        <v>251</v>
      </c>
      <c r="J797" s="17" t="s">
        <v>252</v>
      </c>
      <c r="K797" s="17" t="s">
        <v>251</v>
      </c>
      <c r="L797" s="17" t="s">
        <v>252</v>
      </c>
      <c r="M797" s="17" t="s">
        <v>251</v>
      </c>
      <c r="N797" s="17" t="s">
        <v>252</v>
      </c>
    </row>
    <row r="798" customFormat="1" ht="90" customHeight="1" spans="1:14">
      <c r="A798" t="str">
        <f t="shared" si="25"/>
        <v>XXXX-11110月12日上午</v>
      </c>
      <c r="B798" s="18"/>
      <c r="C798" s="19"/>
      <c r="D798" s="33"/>
      <c r="E798" s="33" t="s">
        <v>23</v>
      </c>
      <c r="F798" s="21" t="s">
        <v>326</v>
      </c>
      <c r="G798" s="21"/>
      <c r="H798" s="21" t="s">
        <v>406</v>
      </c>
      <c r="I798" s="21"/>
      <c r="J798" s="21"/>
      <c r="K798" s="21"/>
      <c r="L798" s="21" t="s">
        <v>577</v>
      </c>
      <c r="M798" s="21"/>
      <c r="N798" s="21"/>
    </row>
    <row r="799" customFormat="1" ht="90" customHeight="1" spans="1:14">
      <c r="A799" t="str">
        <f t="shared" si="25"/>
        <v>XXXX-22210月12日上午</v>
      </c>
      <c r="B799" s="18"/>
      <c r="C799" s="22"/>
      <c r="D799" s="20"/>
      <c r="E799" s="20" t="s">
        <v>24</v>
      </c>
      <c r="F799" s="21" t="s">
        <v>326</v>
      </c>
      <c r="G799" s="21"/>
      <c r="H799" s="21"/>
      <c r="I799" s="21"/>
      <c r="J799" s="21" t="s">
        <v>578</v>
      </c>
      <c r="K799" s="21" t="s">
        <v>579</v>
      </c>
      <c r="L799" s="21"/>
      <c r="M799" s="21"/>
      <c r="N799" s="21"/>
    </row>
    <row r="800" customFormat="1" ht="90" customHeight="1" spans="1:14">
      <c r="A800" t="str">
        <f t="shared" si="25"/>
        <v>10月12日上午</v>
      </c>
      <c r="B800" s="18"/>
      <c r="C800" s="23"/>
      <c r="D800" s="33"/>
      <c r="E800" s="33"/>
      <c r="F800" s="21" t="s">
        <v>326</v>
      </c>
      <c r="G800" s="21"/>
      <c r="H800" s="35"/>
      <c r="I800" s="21"/>
      <c r="J800" s="21" t="s">
        <v>574</v>
      </c>
      <c r="K800" s="21"/>
      <c r="L800" s="21" t="s">
        <v>485</v>
      </c>
      <c r="M800" s="21"/>
      <c r="N800" s="21"/>
    </row>
    <row r="801" customFormat="1" ht="90" customHeight="1" spans="1:14">
      <c r="A801" t="str">
        <f t="shared" si="25"/>
        <v>10月12日上午</v>
      </c>
      <c r="B801" s="18"/>
      <c r="C801" s="19"/>
      <c r="D801" s="20"/>
      <c r="E801" s="20"/>
      <c r="F801" s="21" t="s">
        <v>326</v>
      </c>
      <c r="G801" s="21"/>
      <c r="I801" s="21"/>
      <c r="J801" s="21" t="s">
        <v>567</v>
      </c>
      <c r="K801" s="21"/>
      <c r="L801" s="21"/>
      <c r="M801" s="21"/>
      <c r="N801" s="21"/>
    </row>
    <row r="802" customFormat="1" ht="90" customHeight="1" spans="1:14">
      <c r="A802" t="str">
        <f t="shared" si="25"/>
        <v>10月12日上午</v>
      </c>
      <c r="B802" s="18"/>
      <c r="C802" s="23"/>
      <c r="D802" s="33"/>
      <c r="E802" s="33"/>
      <c r="F802" s="21" t="s">
        <v>326</v>
      </c>
      <c r="G802" s="21"/>
      <c r="H802" s="21"/>
      <c r="I802" s="21"/>
      <c r="J802" s="21"/>
      <c r="K802" s="35"/>
      <c r="L802" s="21"/>
      <c r="M802" s="21"/>
      <c r="N802" s="21"/>
    </row>
    <row r="803" customFormat="1" ht="90" customHeight="1" spans="1:14">
      <c r="A803" t="str">
        <f t="shared" si="25"/>
        <v> 
10月12日上午</v>
      </c>
      <c r="B803" s="18"/>
      <c r="C803" s="18"/>
      <c r="D803" s="33"/>
      <c r="E803" s="34" t="s">
        <v>368</v>
      </c>
      <c r="F803" s="21" t="s">
        <v>326</v>
      </c>
      <c r="G803" s="21"/>
      <c r="H803" s="21"/>
      <c r="I803" s="21"/>
      <c r="J803" s="21"/>
      <c r="K803" s="21"/>
      <c r="L803" s="21"/>
      <c r="M803" s="21"/>
      <c r="N803" s="21"/>
    </row>
    <row r="804" customFormat="1" ht="90" customHeight="1" spans="1:14">
      <c r="A804" t="str">
        <f t="shared" si="25"/>
        <v>10月12日上午</v>
      </c>
      <c r="B804" s="18"/>
      <c r="C804" s="18"/>
      <c r="D804" s="33"/>
      <c r="E804" s="33"/>
      <c r="F804" s="21" t="s">
        <v>326</v>
      </c>
      <c r="G804" s="21"/>
      <c r="H804" s="21"/>
      <c r="I804" s="21"/>
      <c r="J804" s="21"/>
      <c r="K804" s="21"/>
      <c r="L804" s="21"/>
      <c r="M804" s="21"/>
      <c r="N804" s="21" t="s">
        <v>355</v>
      </c>
    </row>
    <row r="805" spans="1:1">
      <c r="A805" t="str">
        <f t="shared" si="25"/>
        <v/>
      </c>
    </row>
    <row r="806" customFormat="1" spans="1:14">
      <c r="A806" t="str">
        <f t="shared" si="25"/>
        <v>SKU</v>
      </c>
      <c r="B806" s="11" t="s">
        <v>2</v>
      </c>
      <c r="C806" s="11" t="s">
        <v>342</v>
      </c>
      <c r="D806" s="11" t="s">
        <v>343</v>
      </c>
      <c r="E806" s="11" t="s">
        <v>344</v>
      </c>
      <c r="F806" s="11"/>
      <c r="G806" s="12" t="s">
        <v>345</v>
      </c>
      <c r="H806" s="13"/>
      <c r="I806" s="13"/>
      <c r="J806" s="13"/>
      <c r="K806" s="13"/>
      <c r="L806" s="13"/>
      <c r="M806" s="13"/>
      <c r="N806" s="30"/>
    </row>
    <row r="807" customFormat="1" spans="1:14">
      <c r="A807" t="str">
        <f t="shared" si="25"/>
        <v/>
      </c>
      <c r="B807" s="11"/>
      <c r="C807" s="11"/>
      <c r="D807" s="11"/>
      <c r="E807" s="11"/>
      <c r="F807" s="14"/>
      <c r="G807" s="17" t="s">
        <v>247</v>
      </c>
      <c r="H807" s="17"/>
      <c r="I807" s="17" t="s">
        <v>248</v>
      </c>
      <c r="J807" s="17"/>
      <c r="K807" s="17" t="s">
        <v>249</v>
      </c>
      <c r="L807" s="17"/>
      <c r="M807" s="17" t="s">
        <v>250</v>
      </c>
      <c r="N807" s="17"/>
    </row>
    <row r="808" customFormat="1" spans="1:14">
      <c r="A808" t="str">
        <f t="shared" si="25"/>
        <v>日期</v>
      </c>
      <c r="B808" s="15"/>
      <c r="C808" s="15"/>
      <c r="D808" s="15"/>
      <c r="E808" s="15"/>
      <c r="F808" s="16" t="s">
        <v>40</v>
      </c>
      <c r="G808" s="17" t="s">
        <v>251</v>
      </c>
      <c r="H808" s="17" t="s">
        <v>252</v>
      </c>
      <c r="I808" s="17" t="s">
        <v>251</v>
      </c>
      <c r="J808" s="17" t="s">
        <v>252</v>
      </c>
      <c r="K808" s="17" t="s">
        <v>251</v>
      </c>
      <c r="L808" s="17" t="s">
        <v>252</v>
      </c>
      <c r="M808" s="17" t="s">
        <v>251</v>
      </c>
      <c r="N808" s="17" t="s">
        <v>252</v>
      </c>
    </row>
    <row r="809" customFormat="1" ht="90" customHeight="1" spans="1:14">
      <c r="A809" t="str">
        <f t="shared" si="25"/>
        <v>XXXX-11110月12日晚上</v>
      </c>
      <c r="B809" s="18"/>
      <c r="C809" s="19"/>
      <c r="D809" s="33"/>
      <c r="E809" s="33" t="s">
        <v>23</v>
      </c>
      <c r="F809" s="21" t="s">
        <v>327</v>
      </c>
      <c r="G809" s="21"/>
      <c r="H809" s="21" t="s">
        <v>569</v>
      </c>
      <c r="I809" s="21"/>
      <c r="J809" s="21"/>
      <c r="K809" s="21"/>
      <c r="L809" s="21" t="s">
        <v>580</v>
      </c>
      <c r="M809" s="21"/>
      <c r="N809" s="21"/>
    </row>
    <row r="810" customFormat="1" ht="90" customHeight="1" spans="1:14">
      <c r="A810" t="str">
        <f t="shared" si="25"/>
        <v>XXXX-22210月12日晚上</v>
      </c>
      <c r="B810" s="18"/>
      <c r="C810" s="22"/>
      <c r="D810" s="20"/>
      <c r="E810" s="20" t="s">
        <v>24</v>
      </c>
      <c r="F810" s="21" t="s">
        <v>327</v>
      </c>
      <c r="G810" s="21"/>
      <c r="H810" s="21"/>
      <c r="I810" s="21"/>
      <c r="J810" s="21" t="s">
        <v>380</v>
      </c>
      <c r="K810" s="21"/>
      <c r="L810" s="21"/>
      <c r="M810" s="21"/>
      <c r="N810" s="21"/>
    </row>
    <row r="811" customFormat="1" ht="90" customHeight="1" spans="1:14">
      <c r="A811" t="str">
        <f t="shared" si="25"/>
        <v>10月12日晚上</v>
      </c>
      <c r="B811" s="18"/>
      <c r="C811" s="23"/>
      <c r="D811" s="33"/>
      <c r="E811" s="33"/>
      <c r="F811" s="21" t="s">
        <v>327</v>
      </c>
      <c r="G811" s="21"/>
      <c r="H811" s="35"/>
      <c r="I811" s="21"/>
      <c r="J811" s="21" t="s">
        <v>370</v>
      </c>
      <c r="K811" s="21"/>
      <c r="L811" s="21" t="s">
        <v>581</v>
      </c>
      <c r="M811" s="21"/>
      <c r="N811" s="21"/>
    </row>
    <row r="812" customFormat="1" ht="90" customHeight="1" spans="1:14">
      <c r="A812" t="str">
        <f t="shared" ref="A812:A843" si="26">E812&amp;F812</f>
        <v>10月12日晚上</v>
      </c>
      <c r="B812" s="18"/>
      <c r="C812" s="19"/>
      <c r="D812" s="20"/>
      <c r="E812" s="20"/>
      <c r="F812" s="21" t="s">
        <v>327</v>
      </c>
      <c r="G812" s="21"/>
      <c r="I812" s="21"/>
      <c r="J812" s="21" t="s">
        <v>462</v>
      </c>
      <c r="K812" s="21"/>
      <c r="L812" s="21"/>
      <c r="M812" s="21"/>
      <c r="N812" s="21"/>
    </row>
    <row r="813" customFormat="1" ht="90" customHeight="1" spans="1:14">
      <c r="A813" t="str">
        <f t="shared" si="26"/>
        <v>10月12日晚上</v>
      </c>
      <c r="B813" s="18"/>
      <c r="C813" s="23"/>
      <c r="D813" s="33"/>
      <c r="E813" s="33"/>
      <c r="F813" s="21" t="s">
        <v>327</v>
      </c>
      <c r="G813" s="21"/>
      <c r="H813" s="21"/>
      <c r="I813" s="21"/>
      <c r="J813" s="21"/>
      <c r="K813" s="35"/>
      <c r="L813" s="21"/>
      <c r="M813" s="21"/>
      <c r="N813" s="21"/>
    </row>
    <row r="814" customFormat="1" ht="90" customHeight="1" spans="1:14">
      <c r="A814" t="str">
        <f t="shared" si="26"/>
        <v> 
10月12日晚上</v>
      </c>
      <c r="B814" s="18"/>
      <c r="C814" s="18"/>
      <c r="D814" s="33"/>
      <c r="E814" s="34" t="s">
        <v>368</v>
      </c>
      <c r="F814" s="21" t="s">
        <v>327</v>
      </c>
      <c r="G814" s="21"/>
      <c r="H814" s="21"/>
      <c r="I814" s="21"/>
      <c r="J814" s="21"/>
      <c r="K814" s="21"/>
      <c r="L814" s="21"/>
      <c r="M814" s="21"/>
      <c r="N814" s="21"/>
    </row>
    <row r="815" customFormat="1" ht="90" customHeight="1" spans="1:14">
      <c r="A815" t="str">
        <f t="shared" si="26"/>
        <v>10月12日晚上</v>
      </c>
      <c r="B815" s="18"/>
      <c r="C815" s="18"/>
      <c r="D815" s="33"/>
      <c r="E815" s="33"/>
      <c r="F815" s="21" t="s">
        <v>327</v>
      </c>
      <c r="G815" s="21"/>
      <c r="H815" s="21"/>
      <c r="I815" s="21"/>
      <c r="J815" s="21"/>
      <c r="K815" s="21"/>
      <c r="L815" s="21"/>
      <c r="M815" s="21"/>
      <c r="N815" s="21"/>
    </row>
    <row r="816" spans="1:1">
      <c r="A816" t="str">
        <f t="shared" si="26"/>
        <v/>
      </c>
    </row>
    <row r="817" customFormat="1" spans="1:14">
      <c r="A817" t="str">
        <f t="shared" si="26"/>
        <v>SKU</v>
      </c>
      <c r="B817" s="11" t="s">
        <v>2</v>
      </c>
      <c r="C817" s="11" t="s">
        <v>342</v>
      </c>
      <c r="D817" s="11" t="s">
        <v>343</v>
      </c>
      <c r="E817" s="11" t="s">
        <v>344</v>
      </c>
      <c r="F817" s="11"/>
      <c r="G817" s="12" t="s">
        <v>345</v>
      </c>
      <c r="H817" s="13"/>
      <c r="I817" s="13"/>
      <c r="J817" s="13"/>
      <c r="K817" s="13"/>
      <c r="L817" s="13"/>
      <c r="M817" s="13"/>
      <c r="N817" s="30"/>
    </row>
    <row r="818" customFormat="1" spans="1:14">
      <c r="A818" t="str">
        <f t="shared" si="26"/>
        <v/>
      </c>
      <c r="B818" s="11"/>
      <c r="C818" s="11"/>
      <c r="D818" s="11"/>
      <c r="E818" s="11"/>
      <c r="F818" s="14"/>
      <c r="G818" s="17" t="s">
        <v>247</v>
      </c>
      <c r="H818" s="17"/>
      <c r="I818" s="17" t="s">
        <v>248</v>
      </c>
      <c r="J818" s="17"/>
      <c r="K818" s="17" t="s">
        <v>249</v>
      </c>
      <c r="L818" s="17"/>
      <c r="M818" s="17" t="s">
        <v>250</v>
      </c>
      <c r="N818" s="17"/>
    </row>
    <row r="819" customFormat="1" spans="1:14">
      <c r="A819" t="str">
        <f t="shared" si="26"/>
        <v>日期</v>
      </c>
      <c r="B819" s="15"/>
      <c r="C819" s="15"/>
      <c r="D819" s="15"/>
      <c r="E819" s="15"/>
      <c r="F819" s="16" t="s">
        <v>40</v>
      </c>
      <c r="G819" s="17" t="s">
        <v>251</v>
      </c>
      <c r="H819" s="17" t="s">
        <v>252</v>
      </c>
      <c r="I819" s="17" t="s">
        <v>251</v>
      </c>
      <c r="J819" s="17" t="s">
        <v>252</v>
      </c>
      <c r="K819" s="17" t="s">
        <v>251</v>
      </c>
      <c r="L819" s="17" t="s">
        <v>252</v>
      </c>
      <c r="M819" s="17" t="s">
        <v>251</v>
      </c>
      <c r="N819" s="17" t="s">
        <v>252</v>
      </c>
    </row>
    <row r="820" customFormat="1" ht="90" customHeight="1" spans="1:14">
      <c r="A820" t="str">
        <f t="shared" si="26"/>
        <v>XXXX-11110月13日上午</v>
      </c>
      <c r="B820" s="18"/>
      <c r="C820" s="19"/>
      <c r="D820" s="33"/>
      <c r="E820" s="33" t="s">
        <v>23</v>
      </c>
      <c r="F820" s="21" t="s">
        <v>328</v>
      </c>
      <c r="G820" s="21"/>
      <c r="H820" s="21" t="s">
        <v>384</v>
      </c>
      <c r="I820" s="21"/>
      <c r="J820" s="21"/>
      <c r="K820" s="21"/>
      <c r="L820" s="21" t="s">
        <v>476</v>
      </c>
      <c r="M820" s="21"/>
      <c r="N820" s="21"/>
    </row>
    <row r="821" customFormat="1" ht="90" customHeight="1" spans="1:14">
      <c r="A821" t="str">
        <f t="shared" si="26"/>
        <v>XXXX-22210月13日上午</v>
      </c>
      <c r="B821" s="18"/>
      <c r="C821" s="22"/>
      <c r="D821" s="20"/>
      <c r="E821" s="20" t="s">
        <v>24</v>
      </c>
      <c r="F821" s="21" t="s">
        <v>328</v>
      </c>
      <c r="G821" s="21"/>
      <c r="H821" s="21"/>
      <c r="I821" s="21"/>
      <c r="J821" s="21" t="s">
        <v>402</v>
      </c>
      <c r="K821" s="21"/>
      <c r="L821" s="21"/>
      <c r="M821" s="21"/>
      <c r="N821" s="21"/>
    </row>
    <row r="822" customFormat="1" ht="90" customHeight="1" spans="1:14">
      <c r="A822" t="str">
        <f t="shared" si="26"/>
        <v>10月13日上午</v>
      </c>
      <c r="B822" s="18"/>
      <c r="C822" s="23"/>
      <c r="D822" s="33"/>
      <c r="E822" s="33"/>
      <c r="F822" s="21" t="s">
        <v>328</v>
      </c>
      <c r="G822" s="21"/>
      <c r="H822" s="35"/>
      <c r="I822" s="21"/>
      <c r="J822" s="21" t="s">
        <v>379</v>
      </c>
      <c r="K822" s="21"/>
      <c r="L822" s="21" t="s">
        <v>582</v>
      </c>
      <c r="M822" s="21"/>
      <c r="N822" s="21"/>
    </row>
    <row r="823" customFormat="1" ht="90" customHeight="1" spans="1:14">
      <c r="A823" t="str">
        <f t="shared" si="26"/>
        <v>10月13日上午</v>
      </c>
      <c r="B823" s="18"/>
      <c r="C823" s="19"/>
      <c r="D823" s="20"/>
      <c r="E823" s="20"/>
      <c r="F823" s="21" t="s">
        <v>328</v>
      </c>
      <c r="G823" s="21"/>
      <c r="I823" s="21"/>
      <c r="J823" s="21" t="s">
        <v>583</v>
      </c>
      <c r="K823" s="21"/>
      <c r="L823" s="21"/>
      <c r="M823" s="21"/>
      <c r="N823" s="21"/>
    </row>
    <row r="824" customFormat="1" ht="90" customHeight="1" spans="1:14">
      <c r="A824" t="str">
        <f t="shared" si="26"/>
        <v>10月13日上午</v>
      </c>
      <c r="B824" s="18"/>
      <c r="C824" s="23"/>
      <c r="D824" s="33"/>
      <c r="E824" s="33"/>
      <c r="F824" s="21" t="s">
        <v>328</v>
      </c>
      <c r="G824" s="21"/>
      <c r="H824" s="21"/>
      <c r="I824" s="21"/>
      <c r="J824" s="21"/>
      <c r="K824" s="35"/>
      <c r="L824" s="21"/>
      <c r="M824" s="21"/>
      <c r="N824" s="21"/>
    </row>
    <row r="825" customFormat="1" ht="90" customHeight="1" spans="1:14">
      <c r="A825" t="str">
        <f t="shared" si="26"/>
        <v> 
10月13日上午</v>
      </c>
      <c r="B825" s="18"/>
      <c r="C825" s="18"/>
      <c r="D825" s="33"/>
      <c r="E825" s="34" t="s">
        <v>368</v>
      </c>
      <c r="F825" s="21" t="s">
        <v>328</v>
      </c>
      <c r="G825" s="21"/>
      <c r="H825" s="21"/>
      <c r="I825" s="21"/>
      <c r="J825" s="21"/>
      <c r="K825" s="21"/>
      <c r="L825" s="21"/>
      <c r="M825" s="21"/>
      <c r="N825" s="21"/>
    </row>
    <row r="826" customFormat="1" ht="90" customHeight="1" spans="1:14">
      <c r="A826" t="str">
        <f t="shared" si="26"/>
        <v>10月13日上午</v>
      </c>
      <c r="B826" s="18"/>
      <c r="C826" s="18"/>
      <c r="D826" s="33"/>
      <c r="E826" s="33"/>
      <c r="F826" s="21" t="s">
        <v>328</v>
      </c>
      <c r="G826" s="21"/>
      <c r="H826" s="21"/>
      <c r="I826" s="21"/>
      <c r="J826" s="21"/>
      <c r="K826" s="21"/>
      <c r="L826" s="21"/>
      <c r="M826" s="21"/>
      <c r="N826" s="21"/>
    </row>
    <row r="827" spans="1:1">
      <c r="A827" t="str">
        <f t="shared" si="26"/>
        <v/>
      </c>
    </row>
    <row r="828" customFormat="1" spans="1:14">
      <c r="A828" t="str">
        <f t="shared" si="26"/>
        <v>SKU</v>
      </c>
      <c r="B828" s="11" t="s">
        <v>2</v>
      </c>
      <c r="C828" s="11" t="s">
        <v>342</v>
      </c>
      <c r="D828" s="11" t="s">
        <v>343</v>
      </c>
      <c r="E828" s="11" t="s">
        <v>344</v>
      </c>
      <c r="F828" s="11"/>
      <c r="G828" s="12" t="s">
        <v>345</v>
      </c>
      <c r="H828" s="13"/>
      <c r="I828" s="13"/>
      <c r="J828" s="13"/>
      <c r="K828" s="13"/>
      <c r="L828" s="13"/>
      <c r="M828" s="13"/>
      <c r="N828" s="30"/>
    </row>
    <row r="829" customFormat="1" spans="1:14">
      <c r="A829" t="str">
        <f t="shared" si="26"/>
        <v/>
      </c>
      <c r="B829" s="11"/>
      <c r="C829" s="11"/>
      <c r="D829" s="11"/>
      <c r="E829" s="11"/>
      <c r="F829" s="14"/>
      <c r="G829" s="17" t="s">
        <v>247</v>
      </c>
      <c r="H829" s="17"/>
      <c r="I829" s="17" t="s">
        <v>248</v>
      </c>
      <c r="J829" s="17"/>
      <c r="K829" s="17" t="s">
        <v>249</v>
      </c>
      <c r="L829" s="17"/>
      <c r="M829" s="17" t="s">
        <v>250</v>
      </c>
      <c r="N829" s="17"/>
    </row>
    <row r="830" customFormat="1" spans="1:14">
      <c r="A830" t="str">
        <f t="shared" si="26"/>
        <v>日期</v>
      </c>
      <c r="B830" s="15"/>
      <c r="C830" s="15"/>
      <c r="D830" s="15"/>
      <c r="E830" s="15"/>
      <c r="F830" s="16" t="s">
        <v>40</v>
      </c>
      <c r="G830" s="17" t="s">
        <v>251</v>
      </c>
      <c r="H830" s="17" t="s">
        <v>252</v>
      </c>
      <c r="I830" s="17" t="s">
        <v>251</v>
      </c>
      <c r="J830" s="17" t="s">
        <v>252</v>
      </c>
      <c r="K830" s="17" t="s">
        <v>251</v>
      </c>
      <c r="L830" s="17" t="s">
        <v>252</v>
      </c>
      <c r="M830" s="17" t="s">
        <v>251</v>
      </c>
      <c r="N830" s="17" t="s">
        <v>252</v>
      </c>
    </row>
    <row r="831" customFormat="1" ht="90" customHeight="1" spans="1:14">
      <c r="A831" t="str">
        <f t="shared" si="26"/>
        <v>XXXX-11110月13日晚上</v>
      </c>
      <c r="B831" s="18"/>
      <c r="C831" s="19"/>
      <c r="D831" s="33"/>
      <c r="E831" s="33" t="s">
        <v>23</v>
      </c>
      <c r="F831" s="21" t="s">
        <v>329</v>
      </c>
      <c r="G831" s="21"/>
      <c r="H831" s="21" t="s">
        <v>384</v>
      </c>
      <c r="I831" s="21"/>
      <c r="J831" s="21"/>
      <c r="K831" s="21"/>
      <c r="L831" s="21" t="s">
        <v>566</v>
      </c>
      <c r="M831" s="21"/>
      <c r="N831" s="21"/>
    </row>
    <row r="832" customFormat="1" ht="90" customHeight="1" spans="1:14">
      <c r="A832" t="str">
        <f t="shared" si="26"/>
        <v>XXXX-22210月13日晚上</v>
      </c>
      <c r="B832" s="18"/>
      <c r="C832" s="22"/>
      <c r="D832" s="20"/>
      <c r="E832" s="20" t="s">
        <v>24</v>
      </c>
      <c r="F832" s="21" t="s">
        <v>329</v>
      </c>
      <c r="G832" s="21"/>
      <c r="H832" s="21"/>
      <c r="I832" s="21"/>
      <c r="J832" s="21" t="s">
        <v>448</v>
      </c>
      <c r="K832" s="21"/>
      <c r="L832" s="21"/>
      <c r="M832" s="21"/>
      <c r="N832" s="21"/>
    </row>
    <row r="833" customFormat="1" ht="90" customHeight="1" spans="1:14">
      <c r="A833" t="str">
        <f t="shared" si="26"/>
        <v>10月13日晚上</v>
      </c>
      <c r="B833" s="18"/>
      <c r="C833" s="23"/>
      <c r="D833" s="33"/>
      <c r="E833" s="33"/>
      <c r="F833" s="21" t="s">
        <v>329</v>
      </c>
      <c r="G833" s="21"/>
      <c r="H833" s="35"/>
      <c r="I833" s="21"/>
      <c r="J833" s="21" t="s">
        <v>360</v>
      </c>
      <c r="K833" s="21"/>
      <c r="L833" s="21" t="s">
        <v>413</v>
      </c>
      <c r="M833" s="21"/>
      <c r="N833" s="21"/>
    </row>
    <row r="834" customFormat="1" ht="90" customHeight="1" spans="1:14">
      <c r="A834" t="str">
        <f t="shared" si="26"/>
        <v>10月13日晚上</v>
      </c>
      <c r="B834" s="18"/>
      <c r="C834" s="19"/>
      <c r="D834" s="20"/>
      <c r="E834" s="20"/>
      <c r="F834" s="21" t="s">
        <v>329</v>
      </c>
      <c r="G834" s="21"/>
      <c r="I834" s="21"/>
      <c r="J834" s="21" t="s">
        <v>438</v>
      </c>
      <c r="K834" s="21"/>
      <c r="L834" s="21"/>
      <c r="M834" s="21"/>
      <c r="N834" s="21"/>
    </row>
    <row r="835" customFormat="1" ht="90" customHeight="1" spans="1:14">
      <c r="A835" t="str">
        <f t="shared" si="26"/>
        <v>10月13日晚上</v>
      </c>
      <c r="B835" s="18"/>
      <c r="C835" s="23"/>
      <c r="D835" s="33"/>
      <c r="E835" s="33"/>
      <c r="F835" s="21" t="s">
        <v>329</v>
      </c>
      <c r="G835" s="21"/>
      <c r="H835" s="21" t="s">
        <v>402</v>
      </c>
      <c r="I835" s="21"/>
      <c r="J835" s="21"/>
      <c r="K835" s="35"/>
      <c r="L835" s="21"/>
      <c r="M835" s="21"/>
      <c r="N835" s="21"/>
    </row>
    <row r="836" customFormat="1" ht="90" customHeight="1" spans="1:14">
      <c r="A836" t="str">
        <f t="shared" si="26"/>
        <v> 
10月13日晚上</v>
      </c>
      <c r="B836" s="18"/>
      <c r="C836" s="18"/>
      <c r="D836" s="33"/>
      <c r="E836" s="34" t="s">
        <v>368</v>
      </c>
      <c r="F836" s="21" t="s">
        <v>329</v>
      </c>
      <c r="G836" s="21"/>
      <c r="H836" s="21"/>
      <c r="I836" s="21"/>
      <c r="J836" s="21"/>
      <c r="K836" s="21"/>
      <c r="L836" s="21"/>
      <c r="M836" s="21"/>
      <c r="N836" s="21"/>
    </row>
    <row r="837" customFormat="1" ht="90" customHeight="1" spans="1:14">
      <c r="A837" t="str">
        <f t="shared" si="26"/>
        <v>10月13日晚上</v>
      </c>
      <c r="B837" s="18"/>
      <c r="C837" s="18"/>
      <c r="D837" s="33"/>
      <c r="E837" s="33"/>
      <c r="F837" s="21" t="s">
        <v>329</v>
      </c>
      <c r="G837" s="21"/>
      <c r="H837" s="21"/>
      <c r="I837" s="21"/>
      <c r="J837" s="21"/>
      <c r="K837" s="21"/>
      <c r="L837" s="21"/>
      <c r="M837" s="21"/>
      <c r="N837" s="21"/>
    </row>
    <row r="838" spans="1:1">
      <c r="A838" t="str">
        <f t="shared" si="26"/>
        <v/>
      </c>
    </row>
    <row r="839" customFormat="1" spans="1:14">
      <c r="A839" t="str">
        <f t="shared" si="26"/>
        <v>SKU</v>
      </c>
      <c r="B839" s="11" t="s">
        <v>2</v>
      </c>
      <c r="C839" s="11" t="s">
        <v>342</v>
      </c>
      <c r="D839" s="11" t="s">
        <v>343</v>
      </c>
      <c r="E839" s="11" t="s">
        <v>344</v>
      </c>
      <c r="F839" s="11"/>
      <c r="G839" s="12" t="s">
        <v>345</v>
      </c>
      <c r="H839" s="13"/>
      <c r="I839" s="13"/>
      <c r="J839" s="13"/>
      <c r="K839" s="13"/>
      <c r="L839" s="13"/>
      <c r="M839" s="13"/>
      <c r="N839" s="30"/>
    </row>
    <row r="840" customFormat="1" spans="1:14">
      <c r="A840" t="str">
        <f t="shared" si="26"/>
        <v/>
      </c>
      <c r="B840" s="11"/>
      <c r="C840" s="11"/>
      <c r="D840" s="11"/>
      <c r="E840" s="11"/>
      <c r="F840" s="14"/>
      <c r="G840" s="17" t="s">
        <v>247</v>
      </c>
      <c r="H840" s="17"/>
      <c r="I840" s="17" t="s">
        <v>248</v>
      </c>
      <c r="J840" s="17"/>
      <c r="K840" s="17" t="s">
        <v>249</v>
      </c>
      <c r="L840" s="17"/>
      <c r="M840" s="17" t="s">
        <v>250</v>
      </c>
      <c r="N840" s="17"/>
    </row>
    <row r="841" customFormat="1" spans="1:14">
      <c r="A841" t="str">
        <f t="shared" si="26"/>
        <v>日期</v>
      </c>
      <c r="B841" s="15"/>
      <c r="C841" s="15"/>
      <c r="D841" s="15"/>
      <c r="E841" s="15"/>
      <c r="F841" s="16" t="s">
        <v>40</v>
      </c>
      <c r="G841" s="17" t="s">
        <v>251</v>
      </c>
      <c r="H841" s="17" t="s">
        <v>252</v>
      </c>
      <c r="I841" s="17" t="s">
        <v>251</v>
      </c>
      <c r="J841" s="17" t="s">
        <v>252</v>
      </c>
      <c r="K841" s="17" t="s">
        <v>251</v>
      </c>
      <c r="L841" s="17" t="s">
        <v>252</v>
      </c>
      <c r="M841" s="17" t="s">
        <v>251</v>
      </c>
      <c r="N841" s="17" t="s">
        <v>252</v>
      </c>
    </row>
    <row r="842" customFormat="1" ht="90" customHeight="1" spans="1:14">
      <c r="A842" t="str">
        <f t="shared" si="26"/>
        <v>XXXX-11110月14日上午</v>
      </c>
      <c r="B842" s="18"/>
      <c r="C842" s="19"/>
      <c r="D842" s="33"/>
      <c r="E842" s="33" t="s">
        <v>23</v>
      </c>
      <c r="F842" s="21" t="s">
        <v>330</v>
      </c>
      <c r="G842" s="21"/>
      <c r="H842" s="21" t="s">
        <v>465</v>
      </c>
      <c r="I842" s="21"/>
      <c r="J842" s="21"/>
      <c r="K842" s="21"/>
      <c r="L842" s="21" t="s">
        <v>369</v>
      </c>
      <c r="M842" s="21"/>
      <c r="N842" s="21"/>
    </row>
    <row r="843" customFormat="1" ht="90" customHeight="1" spans="1:14">
      <c r="A843" t="str">
        <f t="shared" si="26"/>
        <v>XXXX-22210月14日上午</v>
      </c>
      <c r="B843" s="18"/>
      <c r="C843" s="22"/>
      <c r="D843" s="20"/>
      <c r="E843" s="20" t="s">
        <v>24</v>
      </c>
      <c r="F843" s="21" t="s">
        <v>330</v>
      </c>
      <c r="G843" s="21"/>
      <c r="H843" s="21"/>
      <c r="I843" s="21"/>
      <c r="J843" s="21" t="s">
        <v>584</v>
      </c>
      <c r="K843" s="21"/>
      <c r="L843" s="21"/>
      <c r="M843" s="21"/>
      <c r="N843" s="21"/>
    </row>
    <row r="844" customFormat="1" ht="90" customHeight="1" spans="1:14">
      <c r="A844" t="str">
        <f t="shared" ref="A844:A870" si="27">E844&amp;F844</f>
        <v>10月14日上午</v>
      </c>
      <c r="B844" s="18"/>
      <c r="C844" s="23"/>
      <c r="D844" s="33"/>
      <c r="E844" s="33"/>
      <c r="F844" s="21" t="s">
        <v>330</v>
      </c>
      <c r="G844" s="21"/>
      <c r="H844" s="35"/>
      <c r="I844" s="21"/>
      <c r="J844" s="21"/>
      <c r="K844" s="21"/>
      <c r="L844" s="21" t="s">
        <v>559</v>
      </c>
      <c r="M844" s="21"/>
      <c r="N844" s="21"/>
    </row>
    <row r="845" customFormat="1" ht="90" customHeight="1" spans="1:14">
      <c r="A845" t="str">
        <f t="shared" si="27"/>
        <v>10月14日上午</v>
      </c>
      <c r="B845" s="18"/>
      <c r="C845" s="19"/>
      <c r="D845" s="20"/>
      <c r="E845" s="20"/>
      <c r="F845" s="21" t="s">
        <v>330</v>
      </c>
      <c r="G845" s="21"/>
      <c r="I845" s="21"/>
      <c r="J845" s="21" t="s">
        <v>411</v>
      </c>
      <c r="K845" s="21"/>
      <c r="L845" s="21"/>
      <c r="M845" s="21"/>
      <c r="N845" s="21"/>
    </row>
    <row r="846" customFormat="1" ht="90" customHeight="1" spans="1:14">
      <c r="A846" t="str">
        <f t="shared" si="27"/>
        <v>10月14日上午</v>
      </c>
      <c r="B846" s="18"/>
      <c r="C846" s="23"/>
      <c r="D846" s="33"/>
      <c r="E846" s="33"/>
      <c r="F846" s="21" t="s">
        <v>330</v>
      </c>
      <c r="G846" s="21"/>
      <c r="H846" s="21"/>
      <c r="I846" s="21"/>
      <c r="J846" s="21"/>
      <c r="K846" s="35"/>
      <c r="L846" s="21"/>
      <c r="M846" s="21"/>
      <c r="N846" s="21"/>
    </row>
    <row r="847" customFormat="1" ht="90" customHeight="1" spans="1:14">
      <c r="A847" t="str">
        <f t="shared" si="27"/>
        <v> 
10月14日上午</v>
      </c>
      <c r="B847" s="18"/>
      <c r="C847" s="18"/>
      <c r="D847" s="33"/>
      <c r="E847" s="34" t="s">
        <v>368</v>
      </c>
      <c r="F847" s="21" t="s">
        <v>330</v>
      </c>
      <c r="G847" s="21"/>
      <c r="H847" s="21"/>
      <c r="I847" s="21"/>
      <c r="J847" s="21"/>
      <c r="K847" s="21"/>
      <c r="L847" s="21"/>
      <c r="M847" s="21"/>
      <c r="N847" s="21"/>
    </row>
    <row r="848" customFormat="1" ht="90" customHeight="1" spans="1:14">
      <c r="A848" t="str">
        <f t="shared" si="27"/>
        <v>10月14日上午</v>
      </c>
      <c r="B848" s="18"/>
      <c r="C848" s="18"/>
      <c r="D848" s="33"/>
      <c r="E848" s="33"/>
      <c r="F848" s="21" t="s">
        <v>330</v>
      </c>
      <c r="G848" s="21"/>
      <c r="H848" s="21"/>
      <c r="I848" s="21"/>
      <c r="J848" s="21"/>
      <c r="K848" s="21"/>
      <c r="L848" s="21"/>
      <c r="M848" s="21"/>
      <c r="N848" s="21"/>
    </row>
    <row r="849" spans="1:1">
      <c r="A849" t="str">
        <f t="shared" si="27"/>
        <v/>
      </c>
    </row>
    <row r="850" customFormat="1" spans="1:14">
      <c r="A850" t="str">
        <f t="shared" si="27"/>
        <v>SKU</v>
      </c>
      <c r="B850" s="11" t="s">
        <v>2</v>
      </c>
      <c r="C850" s="11" t="s">
        <v>342</v>
      </c>
      <c r="D850" s="11" t="s">
        <v>343</v>
      </c>
      <c r="E850" s="11" t="s">
        <v>344</v>
      </c>
      <c r="F850" s="11"/>
      <c r="G850" s="12" t="s">
        <v>345</v>
      </c>
      <c r="H850" s="13"/>
      <c r="I850" s="13"/>
      <c r="J850" s="13"/>
      <c r="K850" s="13"/>
      <c r="L850" s="13"/>
      <c r="M850" s="13"/>
      <c r="N850" s="30"/>
    </row>
    <row r="851" customFormat="1" spans="1:14">
      <c r="A851" t="str">
        <f t="shared" si="27"/>
        <v/>
      </c>
      <c r="B851" s="11"/>
      <c r="C851" s="11"/>
      <c r="D851" s="11"/>
      <c r="E851" s="11"/>
      <c r="F851" s="14"/>
      <c r="G851" s="17" t="s">
        <v>247</v>
      </c>
      <c r="H851" s="17"/>
      <c r="I851" s="17" t="s">
        <v>248</v>
      </c>
      <c r="J851" s="17"/>
      <c r="K851" s="17" t="s">
        <v>249</v>
      </c>
      <c r="L851" s="17"/>
      <c r="M851" s="17" t="s">
        <v>250</v>
      </c>
      <c r="N851" s="17"/>
    </row>
    <row r="852" customFormat="1" spans="1:14">
      <c r="A852" t="str">
        <f t="shared" si="27"/>
        <v>日期</v>
      </c>
      <c r="B852" s="15"/>
      <c r="C852" s="15"/>
      <c r="D852" s="15"/>
      <c r="E852" s="15"/>
      <c r="F852" s="16" t="s">
        <v>40</v>
      </c>
      <c r="G852" s="17" t="s">
        <v>251</v>
      </c>
      <c r="H852" s="17" t="s">
        <v>252</v>
      </c>
      <c r="I852" s="17" t="s">
        <v>251</v>
      </c>
      <c r="J852" s="17" t="s">
        <v>252</v>
      </c>
      <c r="K852" s="17" t="s">
        <v>251</v>
      </c>
      <c r="L852" s="17" t="s">
        <v>252</v>
      </c>
      <c r="M852" s="17" t="s">
        <v>251</v>
      </c>
      <c r="N852" s="17" t="s">
        <v>252</v>
      </c>
    </row>
    <row r="853" customFormat="1" ht="90" customHeight="1" spans="1:14">
      <c r="A853" t="str">
        <f t="shared" si="27"/>
        <v>XXXX-11110月14日晚上</v>
      </c>
      <c r="B853" s="18"/>
      <c r="C853" s="19"/>
      <c r="D853" s="33"/>
      <c r="E853" s="33" t="s">
        <v>23</v>
      </c>
      <c r="F853" s="21" t="s">
        <v>331</v>
      </c>
      <c r="G853" s="21"/>
      <c r="H853" s="21" t="s">
        <v>569</v>
      </c>
      <c r="I853" s="21"/>
      <c r="J853" s="21"/>
      <c r="K853" s="21"/>
      <c r="L853" s="21" t="s">
        <v>369</v>
      </c>
      <c r="M853" s="21"/>
      <c r="N853" s="21"/>
    </row>
    <row r="854" customFormat="1" ht="90" customHeight="1" spans="1:14">
      <c r="A854" t="str">
        <f t="shared" si="27"/>
        <v>XXXX-22210月14日晚上</v>
      </c>
      <c r="B854" s="18"/>
      <c r="C854" s="22"/>
      <c r="D854" s="20"/>
      <c r="E854" s="20" t="s">
        <v>24</v>
      </c>
      <c r="F854" s="21" t="s">
        <v>331</v>
      </c>
      <c r="G854" s="21"/>
      <c r="H854" s="21"/>
      <c r="I854" s="21"/>
      <c r="J854" s="21" t="s">
        <v>585</v>
      </c>
      <c r="K854" s="21"/>
      <c r="L854" s="21"/>
      <c r="M854" s="21"/>
      <c r="N854" s="21"/>
    </row>
    <row r="855" customFormat="1" ht="90" customHeight="1" spans="1:14">
      <c r="A855" t="str">
        <f t="shared" si="27"/>
        <v>10月14日晚上</v>
      </c>
      <c r="B855" s="18"/>
      <c r="C855" s="23"/>
      <c r="D855" s="33"/>
      <c r="E855" s="33"/>
      <c r="F855" s="21" t="s">
        <v>331</v>
      </c>
      <c r="G855" s="21"/>
      <c r="H855" s="35" t="s">
        <v>385</v>
      </c>
      <c r="I855" s="21"/>
      <c r="J855" s="21"/>
      <c r="K855" s="21"/>
      <c r="L855" s="21" t="s">
        <v>506</v>
      </c>
      <c r="M855" s="21"/>
      <c r="N855" s="21"/>
    </row>
    <row r="856" customFormat="1" ht="90" customHeight="1" spans="1:14">
      <c r="A856" t="str">
        <f t="shared" si="27"/>
        <v>10月14日晚上</v>
      </c>
      <c r="B856" s="18"/>
      <c r="C856" s="19"/>
      <c r="D856" s="20"/>
      <c r="E856" s="20"/>
      <c r="F856" s="21" t="s">
        <v>331</v>
      </c>
      <c r="G856" s="21"/>
      <c r="I856" s="21"/>
      <c r="J856" s="21" t="s">
        <v>378</v>
      </c>
      <c r="K856" s="21"/>
      <c r="L856" s="21"/>
      <c r="M856" s="21"/>
      <c r="N856" s="21"/>
    </row>
    <row r="857" customFormat="1" ht="90" customHeight="1" spans="1:14">
      <c r="A857" t="str">
        <f t="shared" si="27"/>
        <v>10月14日晚上</v>
      </c>
      <c r="B857" s="18"/>
      <c r="C857" s="23"/>
      <c r="D857" s="33"/>
      <c r="E857" s="33"/>
      <c r="F857" s="21" t="s">
        <v>331</v>
      </c>
      <c r="G857" s="21"/>
      <c r="H857" s="21"/>
      <c r="I857" s="21"/>
      <c r="J857" s="21"/>
      <c r="K857" s="35"/>
      <c r="L857" s="21"/>
      <c r="M857" s="21"/>
      <c r="N857" s="21"/>
    </row>
    <row r="858" customFormat="1" ht="90" customHeight="1" spans="1:14">
      <c r="A858" t="str">
        <f t="shared" si="27"/>
        <v> 
10月14日晚上</v>
      </c>
      <c r="B858" s="18"/>
      <c r="C858" s="18"/>
      <c r="D858" s="33"/>
      <c r="E858" s="34" t="s">
        <v>368</v>
      </c>
      <c r="F858" s="21" t="s">
        <v>331</v>
      </c>
      <c r="G858" s="21"/>
      <c r="H858" s="21"/>
      <c r="I858" s="21"/>
      <c r="J858" s="21"/>
      <c r="K858" s="21"/>
      <c r="L858" s="21"/>
      <c r="M858" s="21"/>
      <c r="N858" s="21"/>
    </row>
    <row r="859" customFormat="1" ht="90" customHeight="1" spans="1:14">
      <c r="A859" t="str">
        <f t="shared" si="27"/>
        <v>10月14日晚上</v>
      </c>
      <c r="B859" s="18"/>
      <c r="C859" s="18"/>
      <c r="D859" s="33"/>
      <c r="E859" s="33"/>
      <c r="F859" s="21" t="s">
        <v>331</v>
      </c>
      <c r="G859" s="21"/>
      <c r="H859" s="21"/>
      <c r="I859" s="21"/>
      <c r="J859" s="21"/>
      <c r="K859" s="21"/>
      <c r="L859" s="21"/>
      <c r="M859" s="21"/>
      <c r="N859" s="21" t="s">
        <v>586</v>
      </c>
    </row>
    <row r="860" spans="1:1">
      <c r="A860" t="str">
        <f t="shared" si="27"/>
        <v/>
      </c>
    </row>
    <row r="861" customFormat="1" spans="1:14">
      <c r="A861" t="str">
        <f t="shared" si="27"/>
        <v>SKU</v>
      </c>
      <c r="B861" s="11" t="s">
        <v>2</v>
      </c>
      <c r="C861" s="11" t="s">
        <v>342</v>
      </c>
      <c r="D861" s="11" t="s">
        <v>343</v>
      </c>
      <c r="E861" s="11" t="s">
        <v>344</v>
      </c>
      <c r="F861" s="11"/>
      <c r="G861" s="12" t="s">
        <v>345</v>
      </c>
      <c r="H861" s="13"/>
      <c r="I861" s="13"/>
      <c r="J861" s="13"/>
      <c r="K861" s="13"/>
      <c r="L861" s="13"/>
      <c r="M861" s="13"/>
      <c r="N861" s="30"/>
    </row>
    <row r="862" customFormat="1" spans="1:14">
      <c r="A862" t="str">
        <f t="shared" si="27"/>
        <v/>
      </c>
      <c r="B862" s="11"/>
      <c r="C862" s="11"/>
      <c r="D862" s="11"/>
      <c r="E862" s="11"/>
      <c r="F862" s="14"/>
      <c r="G862" s="17" t="s">
        <v>247</v>
      </c>
      <c r="H862" s="17"/>
      <c r="I862" s="17" t="s">
        <v>248</v>
      </c>
      <c r="J862" s="17"/>
      <c r="K862" s="17" t="s">
        <v>249</v>
      </c>
      <c r="L862" s="17"/>
      <c r="M862" s="17" t="s">
        <v>250</v>
      </c>
      <c r="N862" s="17"/>
    </row>
    <row r="863" customFormat="1" spans="1:14">
      <c r="A863" t="str">
        <f t="shared" si="27"/>
        <v>日期</v>
      </c>
      <c r="B863" s="15"/>
      <c r="C863" s="15"/>
      <c r="D863" s="15"/>
      <c r="E863" s="15"/>
      <c r="F863" s="16" t="s">
        <v>40</v>
      </c>
      <c r="G863" s="17" t="s">
        <v>251</v>
      </c>
      <c r="H863" s="17" t="s">
        <v>252</v>
      </c>
      <c r="I863" s="17" t="s">
        <v>251</v>
      </c>
      <c r="J863" s="17" t="s">
        <v>252</v>
      </c>
      <c r="K863" s="17" t="s">
        <v>251</v>
      </c>
      <c r="L863" s="17" t="s">
        <v>252</v>
      </c>
      <c r="M863" s="17" t="s">
        <v>251</v>
      </c>
      <c r="N863" s="17" t="s">
        <v>252</v>
      </c>
    </row>
    <row r="864" customFormat="1" ht="90" customHeight="1" spans="1:14">
      <c r="A864" t="str">
        <f t="shared" si="27"/>
        <v>XXXX-11110月15日上午</v>
      </c>
      <c r="B864" s="18"/>
      <c r="C864" s="19"/>
      <c r="D864" s="33"/>
      <c r="E864" s="33" t="s">
        <v>23</v>
      </c>
      <c r="F864" s="21" t="s">
        <v>332</v>
      </c>
      <c r="G864" s="21"/>
      <c r="H864" s="21"/>
      <c r="I864" s="21"/>
      <c r="J864" s="21"/>
      <c r="K864" s="21"/>
      <c r="L864" s="21" t="s">
        <v>512</v>
      </c>
      <c r="M864" s="21"/>
      <c r="N864" s="21"/>
    </row>
    <row r="865" customFormat="1" ht="90" customHeight="1" spans="1:14">
      <c r="A865" t="str">
        <f t="shared" si="27"/>
        <v>XXXX-22210月15日上午</v>
      </c>
      <c r="B865" s="18"/>
      <c r="C865" s="22"/>
      <c r="D865" s="20"/>
      <c r="E865" s="20" t="s">
        <v>24</v>
      </c>
      <c r="F865" s="21" t="s">
        <v>332</v>
      </c>
      <c r="G865" s="21"/>
      <c r="H865" s="21"/>
      <c r="I865" s="21"/>
      <c r="J865" s="21" t="s">
        <v>587</v>
      </c>
      <c r="K865" s="21" t="s">
        <v>588</v>
      </c>
      <c r="L865" s="21"/>
      <c r="M865" s="21"/>
      <c r="N865" s="21"/>
    </row>
    <row r="866" customFormat="1" ht="90" customHeight="1" spans="1:14">
      <c r="A866" t="str">
        <f t="shared" si="27"/>
        <v>10月15日上午</v>
      </c>
      <c r="B866" s="18"/>
      <c r="C866" s="23"/>
      <c r="D866" s="33"/>
      <c r="E866" s="33"/>
      <c r="F866" s="21" t="s">
        <v>332</v>
      </c>
      <c r="G866" s="21"/>
      <c r="H866" s="21" t="s">
        <v>439</v>
      </c>
      <c r="I866" s="21"/>
      <c r="J866" s="21" t="s">
        <v>589</v>
      </c>
      <c r="K866" s="21"/>
      <c r="L866" s="21" t="s">
        <v>485</v>
      </c>
      <c r="M866" s="21"/>
      <c r="N866" s="21"/>
    </row>
    <row r="867" customFormat="1" ht="90" customHeight="1" spans="1:14">
      <c r="A867" t="str">
        <f t="shared" si="27"/>
        <v>10月15日上午</v>
      </c>
      <c r="B867" s="18"/>
      <c r="C867" s="19"/>
      <c r="D867" s="20"/>
      <c r="E867" s="20"/>
      <c r="F867" s="21" t="s">
        <v>332</v>
      </c>
      <c r="G867" s="21"/>
      <c r="I867" s="21"/>
      <c r="J867" s="21" t="s">
        <v>406</v>
      </c>
      <c r="K867" s="21"/>
      <c r="L867" s="21"/>
      <c r="M867" s="21"/>
      <c r="N867" s="21"/>
    </row>
    <row r="868" customFormat="1" ht="90" customHeight="1" spans="1:14">
      <c r="A868" t="str">
        <f t="shared" si="27"/>
        <v>10月15日上午</v>
      </c>
      <c r="B868" s="18"/>
      <c r="C868" s="23"/>
      <c r="D868" s="33"/>
      <c r="E868" s="33"/>
      <c r="F868" s="21" t="s">
        <v>332</v>
      </c>
      <c r="G868" s="21"/>
      <c r="H868" s="21"/>
      <c r="I868" s="21"/>
      <c r="J868" s="21"/>
      <c r="K868" s="35"/>
      <c r="L868" s="21"/>
      <c r="M868" s="21"/>
      <c r="N868" s="21"/>
    </row>
    <row r="869" customFormat="1" ht="90" customHeight="1" spans="1:14">
      <c r="A869" t="str">
        <f t="shared" si="27"/>
        <v> 
10月15日上午</v>
      </c>
      <c r="B869" s="18"/>
      <c r="C869" s="18"/>
      <c r="D869" s="33"/>
      <c r="E869" s="34" t="s">
        <v>368</v>
      </c>
      <c r="F869" s="21" t="s">
        <v>332</v>
      </c>
      <c r="G869" s="21" t="s">
        <v>425</v>
      </c>
      <c r="H869" s="21"/>
      <c r="I869" s="21"/>
      <c r="J869" s="21"/>
      <c r="K869" s="21"/>
      <c r="L869" s="21"/>
      <c r="M869" s="21"/>
      <c r="N869" s="21" t="s">
        <v>590</v>
      </c>
    </row>
    <row r="870" customFormat="1" ht="90" customHeight="1" spans="1:14">
      <c r="A870" t="str">
        <f t="shared" si="27"/>
        <v>10月15日上午</v>
      </c>
      <c r="B870" s="18"/>
      <c r="C870" s="18"/>
      <c r="D870" s="33"/>
      <c r="E870" s="33"/>
      <c r="F870" s="21" t="s">
        <v>332</v>
      </c>
      <c r="G870" s="21"/>
      <c r="H870" s="21"/>
      <c r="I870" s="21"/>
      <c r="J870" s="21"/>
      <c r="K870" s="21"/>
      <c r="L870" s="21"/>
      <c r="M870" s="21"/>
      <c r="N870" s="21"/>
    </row>
  </sheetData>
  <sheetProtection formatCells="0" insertHyperlinks="0" autoFilter="0"/>
  <mergeCells count="933">
    <mergeCell ref="G1:N1"/>
    <mergeCell ref="G2:H2"/>
    <mergeCell ref="I2:J2"/>
    <mergeCell ref="K2:L2"/>
    <mergeCell ref="M2:N2"/>
    <mergeCell ref="G11:N11"/>
    <mergeCell ref="G12:H12"/>
    <mergeCell ref="I12:J12"/>
    <mergeCell ref="K12:L12"/>
    <mergeCell ref="M12:N12"/>
    <mergeCell ref="G24:N24"/>
    <mergeCell ref="G25:H25"/>
    <mergeCell ref="I25:J25"/>
    <mergeCell ref="K25:L25"/>
    <mergeCell ref="M25:N25"/>
    <mergeCell ref="G34:H34"/>
    <mergeCell ref="I34:J34"/>
    <mergeCell ref="K34:L34"/>
    <mergeCell ref="M34:N34"/>
    <mergeCell ref="G44:N44"/>
    <mergeCell ref="G45:H45"/>
    <mergeCell ref="I45:J45"/>
    <mergeCell ref="K45:L45"/>
    <mergeCell ref="M45:N45"/>
    <mergeCell ref="G55:N55"/>
    <mergeCell ref="G56:H56"/>
    <mergeCell ref="I56:J56"/>
    <mergeCell ref="K56:L56"/>
    <mergeCell ref="M56:N56"/>
    <mergeCell ref="G67:N67"/>
    <mergeCell ref="G68:H68"/>
    <mergeCell ref="I68:J68"/>
    <mergeCell ref="K68:L68"/>
    <mergeCell ref="M68:N68"/>
    <mergeCell ref="G78:N78"/>
    <mergeCell ref="G79:H79"/>
    <mergeCell ref="I79:J79"/>
    <mergeCell ref="K79:L79"/>
    <mergeCell ref="M79:N79"/>
    <mergeCell ref="G89:N89"/>
    <mergeCell ref="G90:H90"/>
    <mergeCell ref="I90:J90"/>
    <mergeCell ref="K90:L90"/>
    <mergeCell ref="M90:N90"/>
    <mergeCell ref="G100:N100"/>
    <mergeCell ref="G101:H101"/>
    <mergeCell ref="I101:J101"/>
    <mergeCell ref="K101:L101"/>
    <mergeCell ref="M101:N101"/>
    <mergeCell ref="G112:N112"/>
    <mergeCell ref="G113:H113"/>
    <mergeCell ref="I113:J113"/>
    <mergeCell ref="K113:L113"/>
    <mergeCell ref="M113:N113"/>
    <mergeCell ref="G123:N123"/>
    <mergeCell ref="G124:H124"/>
    <mergeCell ref="I124:J124"/>
    <mergeCell ref="K124:L124"/>
    <mergeCell ref="M124:N124"/>
    <mergeCell ref="G134:N134"/>
    <mergeCell ref="G135:H135"/>
    <mergeCell ref="I135:J135"/>
    <mergeCell ref="K135:L135"/>
    <mergeCell ref="M135:N135"/>
    <mergeCell ref="G145:N145"/>
    <mergeCell ref="G146:H146"/>
    <mergeCell ref="I146:J146"/>
    <mergeCell ref="K146:L146"/>
    <mergeCell ref="M146:N146"/>
    <mergeCell ref="G156:N156"/>
    <mergeCell ref="G157:H157"/>
    <mergeCell ref="I157:J157"/>
    <mergeCell ref="K157:L157"/>
    <mergeCell ref="M157:N157"/>
    <mergeCell ref="G167:N167"/>
    <mergeCell ref="G168:H168"/>
    <mergeCell ref="I168:J168"/>
    <mergeCell ref="K168:L168"/>
    <mergeCell ref="M168:N168"/>
    <mergeCell ref="G178:N178"/>
    <mergeCell ref="G179:H179"/>
    <mergeCell ref="I179:J179"/>
    <mergeCell ref="K179:L179"/>
    <mergeCell ref="M179:N179"/>
    <mergeCell ref="G189:N189"/>
    <mergeCell ref="G190:H190"/>
    <mergeCell ref="I190:J190"/>
    <mergeCell ref="K190:L190"/>
    <mergeCell ref="M190:N190"/>
    <mergeCell ref="G200:N200"/>
    <mergeCell ref="G201:H201"/>
    <mergeCell ref="I201:J201"/>
    <mergeCell ref="K201:L201"/>
    <mergeCell ref="M201:N201"/>
    <mergeCell ref="G211:N211"/>
    <mergeCell ref="G212:H212"/>
    <mergeCell ref="I212:J212"/>
    <mergeCell ref="K212:L212"/>
    <mergeCell ref="M212:N212"/>
    <mergeCell ref="G222:N222"/>
    <mergeCell ref="G223:H223"/>
    <mergeCell ref="I223:J223"/>
    <mergeCell ref="K223:L223"/>
    <mergeCell ref="M223:N223"/>
    <mergeCell ref="G233:N233"/>
    <mergeCell ref="G234:H234"/>
    <mergeCell ref="I234:J234"/>
    <mergeCell ref="K234:L234"/>
    <mergeCell ref="M234:N234"/>
    <mergeCell ref="G244:N244"/>
    <mergeCell ref="G245:H245"/>
    <mergeCell ref="I245:J245"/>
    <mergeCell ref="K245:L245"/>
    <mergeCell ref="M245:N245"/>
    <mergeCell ref="G255:N255"/>
    <mergeCell ref="G256:H256"/>
    <mergeCell ref="I256:J256"/>
    <mergeCell ref="K256:L256"/>
    <mergeCell ref="M256:N256"/>
    <mergeCell ref="G266:N266"/>
    <mergeCell ref="G267:H267"/>
    <mergeCell ref="I267:J267"/>
    <mergeCell ref="K267:L267"/>
    <mergeCell ref="M267:N267"/>
    <mergeCell ref="G277:N277"/>
    <mergeCell ref="G278:H278"/>
    <mergeCell ref="I278:J278"/>
    <mergeCell ref="K278:L278"/>
    <mergeCell ref="M278:N278"/>
    <mergeCell ref="G288:N288"/>
    <mergeCell ref="G289:H289"/>
    <mergeCell ref="I289:J289"/>
    <mergeCell ref="K289:L289"/>
    <mergeCell ref="M289:N289"/>
    <mergeCell ref="G299:N299"/>
    <mergeCell ref="G300:H300"/>
    <mergeCell ref="I300:J300"/>
    <mergeCell ref="K300:L300"/>
    <mergeCell ref="M300:N300"/>
    <mergeCell ref="G310:N310"/>
    <mergeCell ref="G311:H311"/>
    <mergeCell ref="I311:J311"/>
    <mergeCell ref="K311:L311"/>
    <mergeCell ref="M311:N311"/>
    <mergeCell ref="G321:N321"/>
    <mergeCell ref="G322:H322"/>
    <mergeCell ref="I322:J322"/>
    <mergeCell ref="K322:L322"/>
    <mergeCell ref="M322:N322"/>
    <mergeCell ref="G332:N332"/>
    <mergeCell ref="G333:H333"/>
    <mergeCell ref="I333:J333"/>
    <mergeCell ref="K333:L333"/>
    <mergeCell ref="M333:N333"/>
    <mergeCell ref="G343:N343"/>
    <mergeCell ref="G344:H344"/>
    <mergeCell ref="I344:J344"/>
    <mergeCell ref="K344:L344"/>
    <mergeCell ref="M344:N344"/>
    <mergeCell ref="G354:N354"/>
    <mergeCell ref="G355:H355"/>
    <mergeCell ref="I355:J355"/>
    <mergeCell ref="K355:L355"/>
    <mergeCell ref="M355:N355"/>
    <mergeCell ref="G365:N365"/>
    <mergeCell ref="G366:H366"/>
    <mergeCell ref="I366:J366"/>
    <mergeCell ref="K366:L366"/>
    <mergeCell ref="M366:N366"/>
    <mergeCell ref="G376:N376"/>
    <mergeCell ref="G377:H377"/>
    <mergeCell ref="I377:J377"/>
    <mergeCell ref="K377:L377"/>
    <mergeCell ref="M377:N377"/>
    <mergeCell ref="G387:N387"/>
    <mergeCell ref="G388:H388"/>
    <mergeCell ref="I388:J388"/>
    <mergeCell ref="K388:L388"/>
    <mergeCell ref="M388:N388"/>
    <mergeCell ref="G398:N398"/>
    <mergeCell ref="G399:H399"/>
    <mergeCell ref="I399:J399"/>
    <mergeCell ref="K399:L399"/>
    <mergeCell ref="M399:N399"/>
    <mergeCell ref="G409:N409"/>
    <mergeCell ref="G410:H410"/>
    <mergeCell ref="I410:J410"/>
    <mergeCell ref="K410:L410"/>
    <mergeCell ref="M410:N410"/>
    <mergeCell ref="G420:N420"/>
    <mergeCell ref="G421:H421"/>
    <mergeCell ref="I421:J421"/>
    <mergeCell ref="K421:L421"/>
    <mergeCell ref="M421:N421"/>
    <mergeCell ref="G431:N431"/>
    <mergeCell ref="G432:H432"/>
    <mergeCell ref="I432:J432"/>
    <mergeCell ref="K432:L432"/>
    <mergeCell ref="M432:N432"/>
    <mergeCell ref="G442:N442"/>
    <mergeCell ref="G443:H443"/>
    <mergeCell ref="I443:J443"/>
    <mergeCell ref="K443:L443"/>
    <mergeCell ref="M443:N443"/>
    <mergeCell ref="G453:N453"/>
    <mergeCell ref="G454:H454"/>
    <mergeCell ref="I454:J454"/>
    <mergeCell ref="K454:L454"/>
    <mergeCell ref="M454:N454"/>
    <mergeCell ref="G464:N464"/>
    <mergeCell ref="G465:H465"/>
    <mergeCell ref="I465:J465"/>
    <mergeCell ref="K465:L465"/>
    <mergeCell ref="M465:N465"/>
    <mergeCell ref="G475:N475"/>
    <mergeCell ref="G476:H476"/>
    <mergeCell ref="I476:J476"/>
    <mergeCell ref="K476:L476"/>
    <mergeCell ref="M476:N476"/>
    <mergeCell ref="G487:N487"/>
    <mergeCell ref="G488:H488"/>
    <mergeCell ref="I488:J488"/>
    <mergeCell ref="K488:L488"/>
    <mergeCell ref="M488:N488"/>
    <mergeCell ref="G498:N498"/>
    <mergeCell ref="G499:H499"/>
    <mergeCell ref="I499:J499"/>
    <mergeCell ref="K499:L499"/>
    <mergeCell ref="M499:N499"/>
    <mergeCell ref="G509:N509"/>
    <mergeCell ref="G510:H510"/>
    <mergeCell ref="I510:J510"/>
    <mergeCell ref="K510:L510"/>
    <mergeCell ref="M510:N510"/>
    <mergeCell ref="G520:N520"/>
    <mergeCell ref="G521:H521"/>
    <mergeCell ref="I521:J521"/>
    <mergeCell ref="K521:L521"/>
    <mergeCell ref="M521:N521"/>
    <mergeCell ref="G531:N531"/>
    <mergeCell ref="G532:H532"/>
    <mergeCell ref="I532:J532"/>
    <mergeCell ref="K532:L532"/>
    <mergeCell ref="M532:N532"/>
    <mergeCell ref="G542:N542"/>
    <mergeCell ref="G543:H543"/>
    <mergeCell ref="I543:J543"/>
    <mergeCell ref="K543:L543"/>
    <mergeCell ref="M543:N543"/>
    <mergeCell ref="G553:N553"/>
    <mergeCell ref="G554:H554"/>
    <mergeCell ref="I554:J554"/>
    <mergeCell ref="K554:L554"/>
    <mergeCell ref="M554:N554"/>
    <mergeCell ref="G564:N564"/>
    <mergeCell ref="G565:H565"/>
    <mergeCell ref="I565:J565"/>
    <mergeCell ref="K565:L565"/>
    <mergeCell ref="M565:N565"/>
    <mergeCell ref="G575:N575"/>
    <mergeCell ref="G576:H576"/>
    <mergeCell ref="I576:J576"/>
    <mergeCell ref="K576:L576"/>
    <mergeCell ref="M576:N576"/>
    <mergeCell ref="G586:N586"/>
    <mergeCell ref="G587:H587"/>
    <mergeCell ref="I587:J587"/>
    <mergeCell ref="K587:L587"/>
    <mergeCell ref="M587:N587"/>
    <mergeCell ref="G597:N597"/>
    <mergeCell ref="G598:H598"/>
    <mergeCell ref="I598:J598"/>
    <mergeCell ref="K598:L598"/>
    <mergeCell ref="M598:N598"/>
    <mergeCell ref="G608:N608"/>
    <mergeCell ref="G609:H609"/>
    <mergeCell ref="I609:J609"/>
    <mergeCell ref="K609:L609"/>
    <mergeCell ref="M609:N609"/>
    <mergeCell ref="G619:N619"/>
    <mergeCell ref="G620:H620"/>
    <mergeCell ref="I620:J620"/>
    <mergeCell ref="K620:L620"/>
    <mergeCell ref="M620:N620"/>
    <mergeCell ref="G630:N630"/>
    <mergeCell ref="G631:H631"/>
    <mergeCell ref="I631:J631"/>
    <mergeCell ref="K631:L631"/>
    <mergeCell ref="M631:N631"/>
    <mergeCell ref="G641:N641"/>
    <mergeCell ref="G642:H642"/>
    <mergeCell ref="I642:J642"/>
    <mergeCell ref="K642:L642"/>
    <mergeCell ref="M642:N642"/>
    <mergeCell ref="G652:N652"/>
    <mergeCell ref="G653:H653"/>
    <mergeCell ref="I653:J653"/>
    <mergeCell ref="K653:L653"/>
    <mergeCell ref="M653:N653"/>
    <mergeCell ref="G663:N663"/>
    <mergeCell ref="G664:H664"/>
    <mergeCell ref="I664:J664"/>
    <mergeCell ref="K664:L664"/>
    <mergeCell ref="M664:N664"/>
    <mergeCell ref="G674:N674"/>
    <mergeCell ref="G675:H675"/>
    <mergeCell ref="I675:J675"/>
    <mergeCell ref="K675:L675"/>
    <mergeCell ref="M675:N675"/>
    <mergeCell ref="G685:N685"/>
    <mergeCell ref="G686:H686"/>
    <mergeCell ref="I686:J686"/>
    <mergeCell ref="K686:L686"/>
    <mergeCell ref="M686:N686"/>
    <mergeCell ref="G696:N696"/>
    <mergeCell ref="G697:H697"/>
    <mergeCell ref="I697:J697"/>
    <mergeCell ref="K697:L697"/>
    <mergeCell ref="M697:N697"/>
    <mergeCell ref="G707:N707"/>
    <mergeCell ref="G708:H708"/>
    <mergeCell ref="I708:J708"/>
    <mergeCell ref="K708:L708"/>
    <mergeCell ref="M708:N708"/>
    <mergeCell ref="G718:N718"/>
    <mergeCell ref="G719:H719"/>
    <mergeCell ref="I719:J719"/>
    <mergeCell ref="K719:L719"/>
    <mergeCell ref="M719:N719"/>
    <mergeCell ref="G729:N729"/>
    <mergeCell ref="G730:H730"/>
    <mergeCell ref="I730:J730"/>
    <mergeCell ref="K730:L730"/>
    <mergeCell ref="M730:N730"/>
    <mergeCell ref="G740:N740"/>
    <mergeCell ref="G741:H741"/>
    <mergeCell ref="I741:J741"/>
    <mergeCell ref="K741:L741"/>
    <mergeCell ref="M741:N741"/>
    <mergeCell ref="G751:N751"/>
    <mergeCell ref="G752:H752"/>
    <mergeCell ref="I752:J752"/>
    <mergeCell ref="K752:L752"/>
    <mergeCell ref="M752:N752"/>
    <mergeCell ref="G762:N762"/>
    <mergeCell ref="G763:H763"/>
    <mergeCell ref="I763:J763"/>
    <mergeCell ref="K763:L763"/>
    <mergeCell ref="M763:N763"/>
    <mergeCell ref="G773:N773"/>
    <mergeCell ref="G774:H774"/>
    <mergeCell ref="I774:J774"/>
    <mergeCell ref="K774:L774"/>
    <mergeCell ref="M774:N774"/>
    <mergeCell ref="G784:N784"/>
    <mergeCell ref="G785:H785"/>
    <mergeCell ref="I785:J785"/>
    <mergeCell ref="K785:L785"/>
    <mergeCell ref="M785:N785"/>
    <mergeCell ref="G795:N795"/>
    <mergeCell ref="G796:H796"/>
    <mergeCell ref="I796:J796"/>
    <mergeCell ref="K796:L796"/>
    <mergeCell ref="M796:N796"/>
    <mergeCell ref="G806:N806"/>
    <mergeCell ref="G807:H807"/>
    <mergeCell ref="I807:J807"/>
    <mergeCell ref="K807:L807"/>
    <mergeCell ref="M807:N807"/>
    <mergeCell ref="G817:N817"/>
    <mergeCell ref="G818:H818"/>
    <mergeCell ref="I818:J818"/>
    <mergeCell ref="K818:L818"/>
    <mergeCell ref="M818:N818"/>
    <mergeCell ref="G828:N828"/>
    <mergeCell ref="G829:H829"/>
    <mergeCell ref="I829:J829"/>
    <mergeCell ref="K829:L829"/>
    <mergeCell ref="M829:N829"/>
    <mergeCell ref="G839:N839"/>
    <mergeCell ref="G840:H840"/>
    <mergeCell ref="I840:J840"/>
    <mergeCell ref="K840:L840"/>
    <mergeCell ref="M840:N840"/>
    <mergeCell ref="G850:N850"/>
    <mergeCell ref="G851:H851"/>
    <mergeCell ref="I851:J851"/>
    <mergeCell ref="K851:L851"/>
    <mergeCell ref="M851:N851"/>
    <mergeCell ref="G861:N861"/>
    <mergeCell ref="G862:H862"/>
    <mergeCell ref="I862:J862"/>
    <mergeCell ref="K862:L862"/>
    <mergeCell ref="M862:N862"/>
    <mergeCell ref="B1:B3"/>
    <mergeCell ref="B4:B10"/>
    <mergeCell ref="B24:B26"/>
    <mergeCell ref="B27:B33"/>
    <mergeCell ref="B44:B46"/>
    <mergeCell ref="B47:B53"/>
    <mergeCell ref="B55:B57"/>
    <mergeCell ref="B58:B64"/>
    <mergeCell ref="B67:B69"/>
    <mergeCell ref="B70:B76"/>
    <mergeCell ref="B78:B80"/>
    <mergeCell ref="B81:B87"/>
    <mergeCell ref="B89:B91"/>
    <mergeCell ref="B92:B98"/>
    <mergeCell ref="B100:B102"/>
    <mergeCell ref="B103:B109"/>
    <mergeCell ref="B112:B114"/>
    <mergeCell ref="B115:B121"/>
    <mergeCell ref="B123:B125"/>
    <mergeCell ref="B126:B132"/>
    <mergeCell ref="B134:B136"/>
    <mergeCell ref="B137:B143"/>
    <mergeCell ref="B145:B147"/>
    <mergeCell ref="B148:B154"/>
    <mergeCell ref="B156:B158"/>
    <mergeCell ref="B159:B165"/>
    <mergeCell ref="B167:B169"/>
    <mergeCell ref="B170:B176"/>
    <mergeCell ref="B178:B180"/>
    <mergeCell ref="B181:B187"/>
    <mergeCell ref="B189:B191"/>
    <mergeCell ref="B192:B198"/>
    <mergeCell ref="B200:B202"/>
    <mergeCell ref="B203:B209"/>
    <mergeCell ref="B211:B213"/>
    <mergeCell ref="B214:B220"/>
    <mergeCell ref="B222:B224"/>
    <mergeCell ref="B225:B231"/>
    <mergeCell ref="B233:B235"/>
    <mergeCell ref="B236:B242"/>
    <mergeCell ref="B244:B246"/>
    <mergeCell ref="B247:B253"/>
    <mergeCell ref="B255:B257"/>
    <mergeCell ref="B258:B264"/>
    <mergeCell ref="B266:B268"/>
    <mergeCell ref="B269:B275"/>
    <mergeCell ref="B277:B279"/>
    <mergeCell ref="B280:B286"/>
    <mergeCell ref="B288:B290"/>
    <mergeCell ref="B291:B297"/>
    <mergeCell ref="B299:B301"/>
    <mergeCell ref="B302:B308"/>
    <mergeCell ref="B310:B312"/>
    <mergeCell ref="B313:B319"/>
    <mergeCell ref="B321:B323"/>
    <mergeCell ref="B324:B330"/>
    <mergeCell ref="B332:B334"/>
    <mergeCell ref="B335:B341"/>
    <mergeCell ref="B343:B345"/>
    <mergeCell ref="B346:B352"/>
    <mergeCell ref="B354:B356"/>
    <mergeCell ref="B357:B363"/>
    <mergeCell ref="B365:B367"/>
    <mergeCell ref="B368:B374"/>
    <mergeCell ref="B376:B378"/>
    <mergeCell ref="B379:B385"/>
    <mergeCell ref="B387:B389"/>
    <mergeCell ref="B390:B396"/>
    <mergeCell ref="B398:B400"/>
    <mergeCell ref="B401:B407"/>
    <mergeCell ref="B409:B411"/>
    <mergeCell ref="B412:B418"/>
    <mergeCell ref="B420:B422"/>
    <mergeCell ref="B423:B429"/>
    <mergeCell ref="B431:B433"/>
    <mergeCell ref="B434:B440"/>
    <mergeCell ref="B442:B444"/>
    <mergeCell ref="B445:B451"/>
    <mergeCell ref="B453:B455"/>
    <mergeCell ref="B456:B462"/>
    <mergeCell ref="B464:B466"/>
    <mergeCell ref="B467:B473"/>
    <mergeCell ref="B475:B477"/>
    <mergeCell ref="B478:B484"/>
    <mergeCell ref="B487:B489"/>
    <mergeCell ref="B490:B496"/>
    <mergeCell ref="B498:B500"/>
    <mergeCell ref="B501:B507"/>
    <mergeCell ref="B509:B511"/>
    <mergeCell ref="B512:B518"/>
    <mergeCell ref="B520:B522"/>
    <mergeCell ref="B523:B529"/>
    <mergeCell ref="B531:B533"/>
    <mergeCell ref="B534:B540"/>
    <mergeCell ref="B542:B544"/>
    <mergeCell ref="B545:B551"/>
    <mergeCell ref="B553:B555"/>
    <mergeCell ref="B556:B562"/>
    <mergeCell ref="B564:B566"/>
    <mergeCell ref="B567:B573"/>
    <mergeCell ref="B575:B577"/>
    <mergeCell ref="B578:B584"/>
    <mergeCell ref="B586:B588"/>
    <mergeCell ref="B589:B595"/>
    <mergeCell ref="B597:B599"/>
    <mergeCell ref="B600:B606"/>
    <mergeCell ref="B608:B610"/>
    <mergeCell ref="B611:B617"/>
    <mergeCell ref="B619:B621"/>
    <mergeCell ref="B622:B628"/>
    <mergeCell ref="B630:B632"/>
    <mergeCell ref="B633:B639"/>
    <mergeCell ref="B641:B643"/>
    <mergeCell ref="B644:B650"/>
    <mergeCell ref="B652:B654"/>
    <mergeCell ref="B655:B661"/>
    <mergeCell ref="B663:B665"/>
    <mergeCell ref="B666:B672"/>
    <mergeCell ref="B674:B676"/>
    <mergeCell ref="B677:B683"/>
    <mergeCell ref="B685:B687"/>
    <mergeCell ref="B688:B694"/>
    <mergeCell ref="B696:B698"/>
    <mergeCell ref="B699:B705"/>
    <mergeCell ref="B707:B709"/>
    <mergeCell ref="B710:B716"/>
    <mergeCell ref="B718:B720"/>
    <mergeCell ref="B721:B727"/>
    <mergeCell ref="B729:B731"/>
    <mergeCell ref="B732:B738"/>
    <mergeCell ref="B740:B742"/>
    <mergeCell ref="B743:B749"/>
    <mergeCell ref="B751:B753"/>
    <mergeCell ref="B754:B760"/>
    <mergeCell ref="B762:B764"/>
    <mergeCell ref="B765:B771"/>
    <mergeCell ref="B773:B775"/>
    <mergeCell ref="B776:B782"/>
    <mergeCell ref="B784:B786"/>
    <mergeCell ref="B787:B793"/>
    <mergeCell ref="B795:B797"/>
    <mergeCell ref="B798:B804"/>
    <mergeCell ref="B806:B808"/>
    <mergeCell ref="B809:B815"/>
    <mergeCell ref="B817:B819"/>
    <mergeCell ref="B820:B826"/>
    <mergeCell ref="B828:B830"/>
    <mergeCell ref="B831:B837"/>
    <mergeCell ref="B839:B841"/>
    <mergeCell ref="B842:B848"/>
    <mergeCell ref="B850:B852"/>
    <mergeCell ref="B853:B859"/>
    <mergeCell ref="B861:B863"/>
    <mergeCell ref="B864:B870"/>
    <mergeCell ref="C1:C3"/>
    <mergeCell ref="C4:C6"/>
    <mergeCell ref="C7:C8"/>
    <mergeCell ref="C24:C26"/>
    <mergeCell ref="C27:C29"/>
    <mergeCell ref="C30:C31"/>
    <mergeCell ref="C44:C46"/>
    <mergeCell ref="C47:C49"/>
    <mergeCell ref="C50:C51"/>
    <mergeCell ref="C55:C57"/>
    <mergeCell ref="C58:C60"/>
    <mergeCell ref="C61:C62"/>
    <mergeCell ref="C67:C69"/>
    <mergeCell ref="C70:C72"/>
    <mergeCell ref="C73:C74"/>
    <mergeCell ref="C78:C80"/>
    <mergeCell ref="C81:C83"/>
    <mergeCell ref="C84:C85"/>
    <mergeCell ref="C89:C91"/>
    <mergeCell ref="C92:C94"/>
    <mergeCell ref="C95:C96"/>
    <mergeCell ref="C100:C102"/>
    <mergeCell ref="C103:C105"/>
    <mergeCell ref="C106:C107"/>
    <mergeCell ref="C112:C114"/>
    <mergeCell ref="C115:C117"/>
    <mergeCell ref="C118:C119"/>
    <mergeCell ref="C123:C125"/>
    <mergeCell ref="C126:C128"/>
    <mergeCell ref="C129:C130"/>
    <mergeCell ref="C134:C136"/>
    <mergeCell ref="C137:C139"/>
    <mergeCell ref="C140:C141"/>
    <mergeCell ref="C145:C147"/>
    <mergeCell ref="C148:C150"/>
    <mergeCell ref="C151:C152"/>
    <mergeCell ref="C156:C158"/>
    <mergeCell ref="C159:C161"/>
    <mergeCell ref="C162:C163"/>
    <mergeCell ref="C167:C169"/>
    <mergeCell ref="C170:C172"/>
    <mergeCell ref="C173:C174"/>
    <mergeCell ref="C178:C180"/>
    <mergeCell ref="C181:C183"/>
    <mergeCell ref="C184:C185"/>
    <mergeCell ref="C189:C191"/>
    <mergeCell ref="C192:C194"/>
    <mergeCell ref="C195:C196"/>
    <mergeCell ref="C200:C202"/>
    <mergeCell ref="C203:C205"/>
    <mergeCell ref="C206:C207"/>
    <mergeCell ref="C211:C213"/>
    <mergeCell ref="C214:C216"/>
    <mergeCell ref="C217:C218"/>
    <mergeCell ref="C222:C224"/>
    <mergeCell ref="C225:C227"/>
    <mergeCell ref="C228:C229"/>
    <mergeCell ref="C233:C235"/>
    <mergeCell ref="C236:C238"/>
    <mergeCell ref="C239:C240"/>
    <mergeCell ref="C244:C246"/>
    <mergeCell ref="C247:C249"/>
    <mergeCell ref="C250:C251"/>
    <mergeCell ref="C255:C257"/>
    <mergeCell ref="C258:C260"/>
    <mergeCell ref="C261:C262"/>
    <mergeCell ref="C266:C268"/>
    <mergeCell ref="C269:C271"/>
    <mergeCell ref="C272:C273"/>
    <mergeCell ref="C277:C279"/>
    <mergeCell ref="C280:C282"/>
    <mergeCell ref="C283:C284"/>
    <mergeCell ref="C288:C290"/>
    <mergeCell ref="C291:C293"/>
    <mergeCell ref="C294:C295"/>
    <mergeCell ref="C299:C301"/>
    <mergeCell ref="C302:C304"/>
    <mergeCell ref="C305:C306"/>
    <mergeCell ref="C310:C312"/>
    <mergeCell ref="C313:C315"/>
    <mergeCell ref="C316:C317"/>
    <mergeCell ref="C321:C323"/>
    <mergeCell ref="C324:C326"/>
    <mergeCell ref="C327:C328"/>
    <mergeCell ref="C332:C334"/>
    <mergeCell ref="C335:C337"/>
    <mergeCell ref="C338:C339"/>
    <mergeCell ref="C343:C345"/>
    <mergeCell ref="C346:C348"/>
    <mergeCell ref="C349:C350"/>
    <mergeCell ref="C354:C356"/>
    <mergeCell ref="C357:C359"/>
    <mergeCell ref="C360:C361"/>
    <mergeCell ref="C365:C367"/>
    <mergeCell ref="C368:C370"/>
    <mergeCell ref="C371:C372"/>
    <mergeCell ref="C376:C378"/>
    <mergeCell ref="C379:C381"/>
    <mergeCell ref="C382:C383"/>
    <mergeCell ref="C387:C389"/>
    <mergeCell ref="C390:C392"/>
    <mergeCell ref="C393:C394"/>
    <mergeCell ref="C398:C400"/>
    <mergeCell ref="C401:C403"/>
    <mergeCell ref="C404:C405"/>
    <mergeCell ref="C409:C411"/>
    <mergeCell ref="C412:C414"/>
    <mergeCell ref="C415:C416"/>
    <mergeCell ref="C420:C422"/>
    <mergeCell ref="C423:C425"/>
    <mergeCell ref="C426:C427"/>
    <mergeCell ref="C431:C433"/>
    <mergeCell ref="C434:C436"/>
    <mergeCell ref="C437:C438"/>
    <mergeCell ref="C442:C444"/>
    <mergeCell ref="C445:C447"/>
    <mergeCell ref="C448:C449"/>
    <mergeCell ref="C453:C455"/>
    <mergeCell ref="C456:C458"/>
    <mergeCell ref="C459:C460"/>
    <mergeCell ref="C464:C466"/>
    <mergeCell ref="C467:C469"/>
    <mergeCell ref="C470:C471"/>
    <mergeCell ref="C475:C477"/>
    <mergeCell ref="C478:C480"/>
    <mergeCell ref="C481:C482"/>
    <mergeCell ref="C487:C489"/>
    <mergeCell ref="C490:C492"/>
    <mergeCell ref="C493:C494"/>
    <mergeCell ref="C498:C500"/>
    <mergeCell ref="C501:C503"/>
    <mergeCell ref="C504:C505"/>
    <mergeCell ref="C509:C511"/>
    <mergeCell ref="C512:C514"/>
    <mergeCell ref="C515:C516"/>
    <mergeCell ref="C520:C522"/>
    <mergeCell ref="C523:C525"/>
    <mergeCell ref="C526:C527"/>
    <mergeCell ref="C531:C533"/>
    <mergeCell ref="C534:C536"/>
    <mergeCell ref="C537:C538"/>
    <mergeCell ref="C542:C544"/>
    <mergeCell ref="C545:C547"/>
    <mergeCell ref="C548:C549"/>
    <mergeCell ref="C553:C555"/>
    <mergeCell ref="C556:C558"/>
    <mergeCell ref="C559:C560"/>
    <mergeCell ref="C564:C566"/>
    <mergeCell ref="C567:C569"/>
    <mergeCell ref="C570:C571"/>
    <mergeCell ref="C575:C577"/>
    <mergeCell ref="C578:C580"/>
    <mergeCell ref="C581:C582"/>
    <mergeCell ref="C586:C588"/>
    <mergeCell ref="C589:C591"/>
    <mergeCell ref="C592:C593"/>
    <mergeCell ref="C597:C599"/>
    <mergeCell ref="C600:C602"/>
    <mergeCell ref="C603:C604"/>
    <mergeCell ref="C608:C610"/>
    <mergeCell ref="C611:C613"/>
    <mergeCell ref="C614:C615"/>
    <mergeCell ref="C619:C621"/>
    <mergeCell ref="C622:C624"/>
    <mergeCell ref="C625:C626"/>
    <mergeCell ref="C630:C632"/>
    <mergeCell ref="C633:C635"/>
    <mergeCell ref="C636:C637"/>
    <mergeCell ref="C641:C643"/>
    <mergeCell ref="C644:C646"/>
    <mergeCell ref="C647:C648"/>
    <mergeCell ref="C652:C654"/>
    <mergeCell ref="C655:C657"/>
    <mergeCell ref="C658:C659"/>
    <mergeCell ref="C663:C665"/>
    <mergeCell ref="C666:C668"/>
    <mergeCell ref="C669:C670"/>
    <mergeCell ref="C674:C676"/>
    <mergeCell ref="C677:C679"/>
    <mergeCell ref="C680:C681"/>
    <mergeCell ref="C685:C687"/>
    <mergeCell ref="C688:C690"/>
    <mergeCell ref="C691:C692"/>
    <mergeCell ref="C696:C698"/>
    <mergeCell ref="C699:C701"/>
    <mergeCell ref="C702:C703"/>
    <mergeCell ref="C707:C709"/>
    <mergeCell ref="C710:C712"/>
    <mergeCell ref="C713:C714"/>
    <mergeCell ref="C718:C720"/>
    <mergeCell ref="C721:C723"/>
    <mergeCell ref="C724:C725"/>
    <mergeCell ref="C729:C731"/>
    <mergeCell ref="C732:C734"/>
    <mergeCell ref="C735:C736"/>
    <mergeCell ref="C740:C742"/>
    <mergeCell ref="C743:C745"/>
    <mergeCell ref="C746:C747"/>
    <mergeCell ref="C751:C753"/>
    <mergeCell ref="C754:C756"/>
    <mergeCell ref="C757:C758"/>
    <mergeCell ref="C762:C764"/>
    <mergeCell ref="C765:C767"/>
    <mergeCell ref="C768:C769"/>
    <mergeCell ref="C773:C775"/>
    <mergeCell ref="C776:C778"/>
    <mergeCell ref="C779:C780"/>
    <mergeCell ref="C784:C786"/>
    <mergeCell ref="C787:C789"/>
    <mergeCell ref="C790:C791"/>
    <mergeCell ref="C795:C797"/>
    <mergeCell ref="C798:C800"/>
    <mergeCell ref="C801:C802"/>
    <mergeCell ref="C806:C808"/>
    <mergeCell ref="C809:C811"/>
    <mergeCell ref="C812:C813"/>
    <mergeCell ref="C817:C819"/>
    <mergeCell ref="C820:C822"/>
    <mergeCell ref="C823:C824"/>
    <mergeCell ref="C828:C830"/>
    <mergeCell ref="C831:C833"/>
    <mergeCell ref="C834:C835"/>
    <mergeCell ref="C839:C841"/>
    <mergeCell ref="C842:C844"/>
    <mergeCell ref="C845:C846"/>
    <mergeCell ref="C850:C852"/>
    <mergeCell ref="C853:C855"/>
    <mergeCell ref="C856:C857"/>
    <mergeCell ref="C861:C863"/>
    <mergeCell ref="C864:C866"/>
    <mergeCell ref="C867:C868"/>
    <mergeCell ref="D1:D3"/>
    <mergeCell ref="D24:D26"/>
    <mergeCell ref="D44:D46"/>
    <mergeCell ref="D55:D57"/>
    <mergeCell ref="D67:D69"/>
    <mergeCell ref="D78:D80"/>
    <mergeCell ref="D89:D91"/>
    <mergeCell ref="D100:D102"/>
    <mergeCell ref="D112:D114"/>
    <mergeCell ref="D123:D125"/>
    <mergeCell ref="D134:D136"/>
    <mergeCell ref="D145:D147"/>
    <mergeCell ref="D156:D158"/>
    <mergeCell ref="D167:D169"/>
    <mergeCell ref="D178:D180"/>
    <mergeCell ref="D189:D191"/>
    <mergeCell ref="D200:D202"/>
    <mergeCell ref="D211:D213"/>
    <mergeCell ref="D222:D224"/>
    <mergeCell ref="D233:D235"/>
    <mergeCell ref="D244:D246"/>
    <mergeCell ref="D255:D257"/>
    <mergeCell ref="D266:D268"/>
    <mergeCell ref="D277:D279"/>
    <mergeCell ref="D288:D290"/>
    <mergeCell ref="D299:D301"/>
    <mergeCell ref="D310:D312"/>
    <mergeCell ref="D321:D323"/>
    <mergeCell ref="D332:D334"/>
    <mergeCell ref="D343:D345"/>
    <mergeCell ref="D354:D356"/>
    <mergeCell ref="D365:D367"/>
    <mergeCell ref="D376:D378"/>
    <mergeCell ref="D387:D389"/>
    <mergeCell ref="D398:D400"/>
    <mergeCell ref="D409:D411"/>
    <mergeCell ref="D420:D422"/>
    <mergeCell ref="D431:D433"/>
    <mergeCell ref="D442:D444"/>
    <mergeCell ref="D453:D455"/>
    <mergeCell ref="D464:D466"/>
    <mergeCell ref="D475:D477"/>
    <mergeCell ref="D487:D489"/>
    <mergeCell ref="D498:D500"/>
    <mergeCell ref="D509:D511"/>
    <mergeCell ref="D520:D522"/>
    <mergeCell ref="D531:D533"/>
    <mergeCell ref="D542:D544"/>
    <mergeCell ref="D553:D555"/>
    <mergeCell ref="D564:D566"/>
    <mergeCell ref="D575:D577"/>
    <mergeCell ref="D586:D588"/>
    <mergeCell ref="D597:D599"/>
    <mergeCell ref="D608:D610"/>
    <mergeCell ref="D619:D621"/>
    <mergeCell ref="D630:D632"/>
    <mergeCell ref="D641:D643"/>
    <mergeCell ref="D652:D654"/>
    <mergeCell ref="D663:D665"/>
    <mergeCell ref="D674:D676"/>
    <mergeCell ref="D685:D687"/>
    <mergeCell ref="D696:D698"/>
    <mergeCell ref="D707:D709"/>
    <mergeCell ref="D718:D720"/>
    <mergeCell ref="D729:D731"/>
    <mergeCell ref="D740:D742"/>
    <mergeCell ref="D751:D753"/>
    <mergeCell ref="D762:D764"/>
    <mergeCell ref="D773:D775"/>
    <mergeCell ref="D784:D786"/>
    <mergeCell ref="D795:D797"/>
    <mergeCell ref="D806:D808"/>
    <mergeCell ref="D817:D819"/>
    <mergeCell ref="D828:D830"/>
    <mergeCell ref="D839:D841"/>
    <mergeCell ref="D850:D852"/>
    <mergeCell ref="D861:D863"/>
    <mergeCell ref="E1:E3"/>
    <mergeCell ref="E24:E26"/>
    <mergeCell ref="E44:E46"/>
    <mergeCell ref="E55:E57"/>
    <mergeCell ref="E67:E69"/>
    <mergeCell ref="E78:E80"/>
    <mergeCell ref="E89:E91"/>
    <mergeCell ref="E100:E102"/>
    <mergeCell ref="E112:E114"/>
    <mergeCell ref="E123:E125"/>
    <mergeCell ref="E134:E136"/>
    <mergeCell ref="E145:E147"/>
    <mergeCell ref="E156:E158"/>
    <mergeCell ref="E167:E169"/>
    <mergeCell ref="E178:E180"/>
    <mergeCell ref="E189:E191"/>
    <mergeCell ref="E200:E202"/>
    <mergeCell ref="E211:E213"/>
    <mergeCell ref="E222:E224"/>
    <mergeCell ref="E233:E235"/>
    <mergeCell ref="E244:E246"/>
    <mergeCell ref="E255:E257"/>
    <mergeCell ref="E266:E268"/>
    <mergeCell ref="E277:E279"/>
    <mergeCell ref="E288:E290"/>
    <mergeCell ref="E299:E301"/>
    <mergeCell ref="E310:E312"/>
    <mergeCell ref="E321:E323"/>
    <mergeCell ref="E332:E334"/>
    <mergeCell ref="E343:E345"/>
    <mergeCell ref="E354:E356"/>
    <mergeCell ref="E365:E367"/>
    <mergeCell ref="E376:E378"/>
    <mergeCell ref="E387:E389"/>
    <mergeCell ref="E398:E400"/>
    <mergeCell ref="E409:E411"/>
    <mergeCell ref="E420:E422"/>
    <mergeCell ref="E431:E433"/>
    <mergeCell ref="E442:E444"/>
    <mergeCell ref="E453:E455"/>
    <mergeCell ref="E464:E466"/>
    <mergeCell ref="E475:E477"/>
    <mergeCell ref="E487:E489"/>
    <mergeCell ref="E498:E500"/>
    <mergeCell ref="E509:E511"/>
    <mergeCell ref="E520:E522"/>
    <mergeCell ref="E531:E533"/>
    <mergeCell ref="E542:E544"/>
    <mergeCell ref="E553:E555"/>
    <mergeCell ref="E564:E566"/>
    <mergeCell ref="E575:E577"/>
    <mergeCell ref="E586:E588"/>
    <mergeCell ref="E597:E599"/>
    <mergeCell ref="E608:E610"/>
    <mergeCell ref="E619:E621"/>
    <mergeCell ref="E630:E632"/>
    <mergeCell ref="E641:E643"/>
    <mergeCell ref="E652:E654"/>
    <mergeCell ref="E663:E665"/>
    <mergeCell ref="E674:E676"/>
    <mergeCell ref="E685:E687"/>
    <mergeCell ref="E696:E698"/>
    <mergeCell ref="E707:E709"/>
    <mergeCell ref="E718:E720"/>
    <mergeCell ref="E729:E731"/>
    <mergeCell ref="E740:E742"/>
    <mergeCell ref="E751:E753"/>
    <mergeCell ref="E762:E764"/>
    <mergeCell ref="E773:E775"/>
    <mergeCell ref="E784:E786"/>
    <mergeCell ref="E795:E797"/>
    <mergeCell ref="E806:E808"/>
    <mergeCell ref="E817:E819"/>
    <mergeCell ref="E828:E830"/>
    <mergeCell ref="E839:E841"/>
    <mergeCell ref="E850:E852"/>
    <mergeCell ref="E861:E86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17"/>
  <sheetViews>
    <sheetView workbookViewId="0">
      <pane ySplit="1" topLeftCell="A2" activePane="bottomLeft" state="frozen"/>
      <selection/>
      <selection pane="bottomLeft" activeCell="K109" sqref="K109"/>
    </sheetView>
  </sheetViews>
  <sheetFormatPr defaultColWidth="9" defaultRowHeight="15"/>
  <cols>
    <col min="1" max="1" width="20.625" customWidth="1"/>
    <col min="2" max="2" width="15" customWidth="1"/>
    <col min="31" max="32" width="9.375"/>
  </cols>
  <sheetData>
    <row r="1" spans="1:59">
      <c r="A1" s="1" t="s">
        <v>591</v>
      </c>
      <c r="B1" s="2" t="s">
        <v>239</v>
      </c>
      <c r="C1" s="2" t="s">
        <v>1</v>
      </c>
      <c r="D1" s="2" t="s">
        <v>592</v>
      </c>
      <c r="E1" s="2" t="s">
        <v>238</v>
      </c>
      <c r="F1" s="2" t="s">
        <v>593</v>
      </c>
      <c r="G1" s="2" t="s">
        <v>594</v>
      </c>
      <c r="H1" s="2" t="s">
        <v>595</v>
      </c>
      <c r="I1" s="2" t="s">
        <v>596</v>
      </c>
      <c r="J1" s="2" t="s">
        <v>177</v>
      </c>
      <c r="K1" s="2" t="s">
        <v>597</v>
      </c>
      <c r="L1" s="2" t="s">
        <v>598</v>
      </c>
      <c r="M1" s="2" t="s">
        <v>599</v>
      </c>
      <c r="N1" s="2" t="s">
        <v>600</v>
      </c>
      <c r="O1" s="2" t="s">
        <v>601</v>
      </c>
      <c r="P1" s="2" t="s">
        <v>602</v>
      </c>
      <c r="Q1" s="2" t="s">
        <v>603</v>
      </c>
      <c r="R1" s="2" t="s">
        <v>604</v>
      </c>
      <c r="S1" s="2" t="s">
        <v>605</v>
      </c>
      <c r="T1" s="2" t="s">
        <v>606</v>
      </c>
      <c r="U1" s="2" t="s">
        <v>607</v>
      </c>
      <c r="V1" s="2" t="s">
        <v>608</v>
      </c>
      <c r="W1" s="2" t="s">
        <v>609</v>
      </c>
      <c r="X1" s="2" t="s">
        <v>610</v>
      </c>
      <c r="Y1" s="2" t="s">
        <v>611</v>
      </c>
      <c r="Z1" s="2" t="s">
        <v>612</v>
      </c>
      <c r="AA1" s="2" t="s">
        <v>613</v>
      </c>
      <c r="AB1" s="2" t="s">
        <v>614</v>
      </c>
      <c r="AC1" s="2" t="s">
        <v>615</v>
      </c>
      <c r="AD1" s="2" t="s">
        <v>32</v>
      </c>
      <c r="AE1" s="2" t="s">
        <v>616</v>
      </c>
      <c r="AF1" s="2" t="s">
        <v>617</v>
      </c>
      <c r="AG1" s="2" t="s">
        <v>618</v>
      </c>
      <c r="AH1" s="2" t="s">
        <v>619</v>
      </c>
      <c r="AI1" s="2" t="s">
        <v>620</v>
      </c>
      <c r="AJ1" s="2" t="s">
        <v>621</v>
      </c>
      <c r="AK1" s="2" t="s">
        <v>622</v>
      </c>
      <c r="AL1" s="2" t="s">
        <v>623</v>
      </c>
      <c r="AM1" s="2" t="s">
        <v>624</v>
      </c>
      <c r="AN1" s="2" t="s">
        <v>625</v>
      </c>
      <c r="AO1" s="2" t="s">
        <v>626</v>
      </c>
      <c r="AP1" s="2" t="s">
        <v>627</v>
      </c>
      <c r="AQ1" s="2" t="s">
        <v>628</v>
      </c>
      <c r="AR1" s="2" t="s">
        <v>629</v>
      </c>
      <c r="AS1" s="2" t="s">
        <v>630</v>
      </c>
      <c r="AT1" s="2" t="s">
        <v>631</v>
      </c>
      <c r="AU1" s="2" t="s">
        <v>632</v>
      </c>
      <c r="AV1" s="2" t="s">
        <v>633</v>
      </c>
      <c r="AW1" s="2" t="s">
        <v>634</v>
      </c>
      <c r="AX1" s="2" t="s">
        <v>635</v>
      </c>
      <c r="AY1" s="2" t="s">
        <v>636</v>
      </c>
      <c r="AZ1" s="2" t="s">
        <v>637</v>
      </c>
      <c r="BA1" s="2" t="s">
        <v>638</v>
      </c>
      <c r="BB1" s="2" t="s">
        <v>339</v>
      </c>
      <c r="BC1" s="2" t="s">
        <v>639</v>
      </c>
      <c r="BD1" s="2" t="s">
        <v>640</v>
      </c>
      <c r="BE1" s="2" t="s">
        <v>641</v>
      </c>
      <c r="BF1" s="2" t="s">
        <v>642</v>
      </c>
      <c r="BG1" s="2" t="s">
        <v>643</v>
      </c>
    </row>
    <row r="2" spans="1:59">
      <c r="A2" t="str">
        <f t="shared" ref="A2:A65" si="0">B2&amp;E2</f>
        <v>2022-08-20XXXX-111</v>
      </c>
      <c r="B2" s="3" t="s">
        <v>241</v>
      </c>
      <c r="C2" s="3" t="s">
        <v>173</v>
      </c>
      <c r="D2" s="3"/>
      <c r="E2" s="3" t="s">
        <v>23</v>
      </c>
      <c r="F2" s="3"/>
      <c r="G2" s="4">
        <v>13.99</v>
      </c>
      <c r="H2" s="5">
        <v>199</v>
      </c>
      <c r="I2" s="5">
        <v>0</v>
      </c>
      <c r="J2" s="5">
        <v>0</v>
      </c>
      <c r="K2" s="5">
        <v>0</v>
      </c>
      <c r="L2" s="6">
        <v>0</v>
      </c>
      <c r="M2" s="6">
        <v>0</v>
      </c>
      <c r="N2" s="5">
        <v>0</v>
      </c>
      <c r="O2" s="6">
        <v>0</v>
      </c>
      <c r="P2" s="5">
        <v>0</v>
      </c>
      <c r="Q2" s="5">
        <v>0</v>
      </c>
      <c r="R2" s="6">
        <v>0</v>
      </c>
      <c r="S2" s="5">
        <v>0</v>
      </c>
      <c r="T2" s="3"/>
      <c r="U2" s="7">
        <v>0</v>
      </c>
      <c r="V2" s="3"/>
      <c r="W2" s="3"/>
      <c r="X2" s="5">
        <v>0</v>
      </c>
      <c r="Y2" s="8">
        <v>0</v>
      </c>
      <c r="Z2" s="7">
        <v>0</v>
      </c>
      <c r="AA2" s="5">
        <v>0</v>
      </c>
      <c r="AB2" s="8">
        <v>0</v>
      </c>
      <c r="AC2" s="6">
        <v>0</v>
      </c>
      <c r="AD2" s="6">
        <v>0</v>
      </c>
      <c r="AE2" s="8">
        <v>0</v>
      </c>
      <c r="AF2" s="8">
        <v>0</v>
      </c>
      <c r="AG2" s="5">
        <v>0</v>
      </c>
      <c r="AH2" s="8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3"/>
      <c r="AP2" s="8">
        <v>0</v>
      </c>
      <c r="AQ2" s="8">
        <v>0</v>
      </c>
      <c r="AR2" s="3"/>
      <c r="AS2" s="8">
        <v>0</v>
      </c>
      <c r="AT2" s="6">
        <v>0</v>
      </c>
      <c r="AU2" s="9">
        <v>0</v>
      </c>
      <c r="AV2" s="8">
        <v>0</v>
      </c>
      <c r="AW2" s="8">
        <v>0</v>
      </c>
      <c r="AX2" s="8">
        <v>0</v>
      </c>
      <c r="AY2" s="3"/>
      <c r="AZ2" s="6">
        <v>0</v>
      </c>
      <c r="BA2" s="6">
        <v>0</v>
      </c>
      <c r="BB2" s="5">
        <v>0</v>
      </c>
      <c r="BC2" s="8">
        <v>0</v>
      </c>
      <c r="BD2" s="8">
        <v>0</v>
      </c>
      <c r="BE2" s="5">
        <v>0</v>
      </c>
      <c r="BF2" s="5">
        <v>0</v>
      </c>
      <c r="BG2" s="3"/>
    </row>
    <row r="3" spans="1:59">
      <c r="A3" t="str">
        <f t="shared" si="0"/>
        <v>2022-08-21XXXX-111</v>
      </c>
      <c r="B3" s="3" t="s">
        <v>242</v>
      </c>
      <c r="C3" s="3" t="s">
        <v>173</v>
      </c>
      <c r="D3" s="3"/>
      <c r="E3" s="3" t="s">
        <v>23</v>
      </c>
      <c r="F3" s="3"/>
      <c r="G3" s="4">
        <v>13.99</v>
      </c>
      <c r="H3" s="5">
        <v>259</v>
      </c>
      <c r="I3" s="5">
        <v>0</v>
      </c>
      <c r="J3" s="5">
        <v>0</v>
      </c>
      <c r="K3" s="5">
        <v>0</v>
      </c>
      <c r="L3" s="6">
        <v>0</v>
      </c>
      <c r="M3" s="6">
        <v>0</v>
      </c>
      <c r="N3" s="5">
        <v>0</v>
      </c>
      <c r="O3" s="6">
        <v>0</v>
      </c>
      <c r="P3" s="5">
        <v>0</v>
      </c>
      <c r="Q3" s="5">
        <v>0</v>
      </c>
      <c r="R3" s="6">
        <v>0</v>
      </c>
      <c r="S3" s="5">
        <v>0</v>
      </c>
      <c r="T3" s="3"/>
      <c r="U3" s="7">
        <v>0</v>
      </c>
      <c r="V3" s="3"/>
      <c r="W3" s="3"/>
      <c r="X3" s="5">
        <v>0</v>
      </c>
      <c r="Y3" s="8">
        <v>0</v>
      </c>
      <c r="Z3" s="7">
        <v>0</v>
      </c>
      <c r="AA3" s="5">
        <v>0</v>
      </c>
      <c r="AB3" s="8">
        <v>0</v>
      </c>
      <c r="AC3" s="6">
        <v>0</v>
      </c>
      <c r="AD3" s="6">
        <v>0</v>
      </c>
      <c r="AE3" s="8">
        <v>0</v>
      </c>
      <c r="AF3" s="8">
        <v>0</v>
      </c>
      <c r="AG3" s="5">
        <v>0</v>
      </c>
      <c r="AH3" s="8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3"/>
      <c r="AP3" s="8">
        <v>0</v>
      </c>
      <c r="AQ3" s="8">
        <v>0</v>
      </c>
      <c r="AR3" s="3"/>
      <c r="AS3" s="8">
        <v>0</v>
      </c>
      <c r="AT3" s="6">
        <v>0</v>
      </c>
      <c r="AU3" s="9">
        <v>0</v>
      </c>
      <c r="AV3" s="8">
        <v>0</v>
      </c>
      <c r="AW3" s="8">
        <v>0</v>
      </c>
      <c r="AX3" s="8">
        <v>0</v>
      </c>
      <c r="AY3" s="3"/>
      <c r="AZ3" s="6">
        <v>0</v>
      </c>
      <c r="BA3" s="6">
        <v>0</v>
      </c>
      <c r="BB3" s="5">
        <v>0</v>
      </c>
      <c r="BC3" s="8">
        <v>0</v>
      </c>
      <c r="BD3" s="8">
        <v>0</v>
      </c>
      <c r="BE3" s="5">
        <v>0</v>
      </c>
      <c r="BF3" s="5">
        <v>0</v>
      </c>
      <c r="BG3" s="3"/>
    </row>
    <row r="4" spans="1:59">
      <c r="A4" t="str">
        <f t="shared" si="0"/>
        <v>2022-08-22XXXX-111</v>
      </c>
      <c r="B4" s="3" t="s">
        <v>243</v>
      </c>
      <c r="C4" s="3" t="s">
        <v>173</v>
      </c>
      <c r="D4" s="3"/>
      <c r="E4" s="3" t="s">
        <v>23</v>
      </c>
      <c r="F4" s="3"/>
      <c r="G4" s="4">
        <v>13.99</v>
      </c>
      <c r="H4" s="5">
        <v>319</v>
      </c>
      <c r="I4" s="5">
        <v>0</v>
      </c>
      <c r="J4" s="5">
        <v>0</v>
      </c>
      <c r="K4" s="5">
        <v>0</v>
      </c>
      <c r="L4" s="6">
        <v>0</v>
      </c>
      <c r="M4" s="6">
        <v>0</v>
      </c>
      <c r="N4" s="5">
        <v>0</v>
      </c>
      <c r="O4" s="6">
        <v>0</v>
      </c>
      <c r="P4" s="5">
        <v>0</v>
      </c>
      <c r="Q4" s="5">
        <v>0</v>
      </c>
      <c r="R4" s="6">
        <v>0</v>
      </c>
      <c r="S4" s="5">
        <v>0</v>
      </c>
      <c r="T4" s="3"/>
      <c r="U4" s="7">
        <v>0</v>
      </c>
      <c r="V4" s="3"/>
      <c r="W4" s="3"/>
      <c r="X4" s="5">
        <v>0</v>
      </c>
      <c r="Y4" s="8">
        <v>0</v>
      </c>
      <c r="Z4" s="7">
        <v>0</v>
      </c>
      <c r="AA4" s="5">
        <v>0</v>
      </c>
      <c r="AB4" s="8">
        <v>0</v>
      </c>
      <c r="AC4" s="6">
        <v>0</v>
      </c>
      <c r="AD4" s="6">
        <v>0</v>
      </c>
      <c r="AE4" s="8">
        <v>0</v>
      </c>
      <c r="AF4" s="8">
        <v>0</v>
      </c>
      <c r="AG4" s="5">
        <v>0</v>
      </c>
      <c r="AH4" s="8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3"/>
      <c r="AP4" s="8">
        <v>0</v>
      </c>
      <c r="AQ4" s="8">
        <v>0</v>
      </c>
      <c r="AR4" s="3"/>
      <c r="AS4" s="8">
        <v>0</v>
      </c>
      <c r="AT4" s="6">
        <v>0</v>
      </c>
      <c r="AU4" s="9">
        <v>0</v>
      </c>
      <c r="AV4" s="8">
        <v>0</v>
      </c>
      <c r="AW4" s="8">
        <v>0</v>
      </c>
      <c r="AX4" s="8">
        <v>0</v>
      </c>
      <c r="AY4" s="3"/>
      <c r="AZ4" s="6">
        <v>0</v>
      </c>
      <c r="BA4" s="6">
        <v>0</v>
      </c>
      <c r="BB4" s="5">
        <v>0</v>
      </c>
      <c r="BC4" s="8">
        <v>0</v>
      </c>
      <c r="BD4" s="8">
        <v>0</v>
      </c>
      <c r="BE4" s="5">
        <v>0</v>
      </c>
      <c r="BF4" s="5">
        <v>0</v>
      </c>
      <c r="BG4" s="3"/>
    </row>
    <row r="5" spans="1:59">
      <c r="A5" t="str">
        <f t="shared" si="0"/>
        <v>2022-08-23XXXX-111</v>
      </c>
      <c r="B5" s="3" t="s">
        <v>183</v>
      </c>
      <c r="C5" s="3" t="s">
        <v>173</v>
      </c>
      <c r="D5" s="3"/>
      <c r="E5" s="3" t="s">
        <v>23</v>
      </c>
      <c r="F5" s="3"/>
      <c r="G5" s="4">
        <v>13.99</v>
      </c>
      <c r="H5" s="5">
        <v>340</v>
      </c>
      <c r="I5" s="5">
        <v>0</v>
      </c>
      <c r="J5" s="5">
        <v>2</v>
      </c>
      <c r="K5" s="5">
        <v>2</v>
      </c>
      <c r="L5" s="6">
        <v>27.98</v>
      </c>
      <c r="M5" s="6">
        <v>27.98</v>
      </c>
      <c r="N5" s="5">
        <v>0</v>
      </c>
      <c r="O5" s="6">
        <v>0</v>
      </c>
      <c r="P5" s="5">
        <v>0</v>
      </c>
      <c r="Q5" s="5">
        <v>0</v>
      </c>
      <c r="R5" s="6">
        <v>0</v>
      </c>
      <c r="S5" s="5">
        <v>0</v>
      </c>
      <c r="T5" s="6">
        <v>13.99</v>
      </c>
      <c r="U5" s="7">
        <v>0</v>
      </c>
      <c r="V5" s="3"/>
      <c r="W5" s="3"/>
      <c r="X5" s="5">
        <v>0</v>
      </c>
      <c r="Y5" s="8">
        <v>0</v>
      </c>
      <c r="Z5" s="7">
        <v>0</v>
      </c>
      <c r="AA5" s="5">
        <v>0</v>
      </c>
      <c r="AB5" s="8">
        <v>0</v>
      </c>
      <c r="AC5" s="6">
        <v>0</v>
      </c>
      <c r="AD5" s="6">
        <v>-20.95</v>
      </c>
      <c r="AE5" s="8">
        <v>0</v>
      </c>
      <c r="AF5" s="8">
        <v>0.2452</v>
      </c>
      <c r="AG5" s="5">
        <v>0</v>
      </c>
      <c r="AH5" s="8">
        <v>0</v>
      </c>
      <c r="AI5" s="5">
        <v>9</v>
      </c>
      <c r="AJ5" s="5">
        <v>20</v>
      </c>
      <c r="AK5" s="5">
        <v>29</v>
      </c>
      <c r="AL5" s="5">
        <v>14</v>
      </c>
      <c r="AM5" s="5">
        <v>23</v>
      </c>
      <c r="AN5" s="5">
        <v>37</v>
      </c>
      <c r="AO5" s="8">
        <v>1</v>
      </c>
      <c r="AP5" s="8">
        <v>0.069</v>
      </c>
      <c r="AQ5" s="8">
        <v>0.069</v>
      </c>
      <c r="AR5" s="6">
        <v>0.91</v>
      </c>
      <c r="AS5" s="8">
        <v>0.002</v>
      </c>
      <c r="AT5" s="6">
        <v>-20.95</v>
      </c>
      <c r="AU5" s="9">
        <v>2.67</v>
      </c>
      <c r="AV5" s="8">
        <v>0.3744</v>
      </c>
      <c r="AW5" s="8">
        <v>0.7487</v>
      </c>
      <c r="AX5" s="8">
        <v>2</v>
      </c>
      <c r="AY5" s="6">
        <v>5.24</v>
      </c>
      <c r="AZ5" s="6">
        <v>1.81</v>
      </c>
      <c r="BA5" s="6">
        <v>55.96</v>
      </c>
      <c r="BB5" s="5">
        <v>4</v>
      </c>
      <c r="BC5" s="8">
        <v>2</v>
      </c>
      <c r="BD5" s="8">
        <v>0.1739</v>
      </c>
      <c r="BE5" s="5">
        <v>11582</v>
      </c>
      <c r="BF5" s="5">
        <v>23</v>
      </c>
      <c r="BG5" s="3"/>
    </row>
    <row r="6" spans="1:59">
      <c r="A6" t="str">
        <f t="shared" si="0"/>
        <v>2022-08-24XXXX-111</v>
      </c>
      <c r="B6" s="3" t="s">
        <v>184</v>
      </c>
      <c r="C6" s="3" t="s">
        <v>173</v>
      </c>
      <c r="D6" s="3"/>
      <c r="E6" s="3" t="s">
        <v>23</v>
      </c>
      <c r="F6" s="3"/>
      <c r="G6" s="4">
        <v>13.99</v>
      </c>
      <c r="H6" s="5">
        <v>337</v>
      </c>
      <c r="I6" s="5">
        <v>0</v>
      </c>
      <c r="J6" s="5">
        <v>1</v>
      </c>
      <c r="K6" s="5">
        <v>1</v>
      </c>
      <c r="L6" s="6">
        <v>13.99</v>
      </c>
      <c r="M6" s="6">
        <v>13.99</v>
      </c>
      <c r="N6" s="5">
        <v>0</v>
      </c>
      <c r="O6" s="6">
        <v>0</v>
      </c>
      <c r="P6" s="5">
        <v>0</v>
      </c>
      <c r="Q6" s="5">
        <v>0</v>
      </c>
      <c r="R6" s="6">
        <v>0</v>
      </c>
      <c r="S6" s="5">
        <v>0</v>
      </c>
      <c r="T6" s="6">
        <v>13.99</v>
      </c>
      <c r="U6" s="7">
        <v>0</v>
      </c>
      <c r="V6" s="3"/>
      <c r="W6" s="3"/>
      <c r="X6" s="5">
        <v>0</v>
      </c>
      <c r="Y6" s="8">
        <v>0</v>
      </c>
      <c r="Z6" s="7">
        <v>0</v>
      </c>
      <c r="AA6" s="5">
        <v>0</v>
      </c>
      <c r="AB6" s="8">
        <v>0</v>
      </c>
      <c r="AC6" s="6">
        <v>0</v>
      </c>
      <c r="AD6" s="6">
        <v>-18.32</v>
      </c>
      <c r="AE6" s="8">
        <v>0</v>
      </c>
      <c r="AF6" s="8">
        <v>-2.5339</v>
      </c>
      <c r="AG6" s="5">
        <v>0</v>
      </c>
      <c r="AH6" s="8">
        <v>0</v>
      </c>
      <c r="AI6" s="5">
        <v>9</v>
      </c>
      <c r="AJ6" s="5">
        <v>16</v>
      </c>
      <c r="AK6" s="5">
        <v>25</v>
      </c>
      <c r="AL6" s="5">
        <v>11</v>
      </c>
      <c r="AM6" s="5">
        <v>22</v>
      </c>
      <c r="AN6" s="5">
        <v>33</v>
      </c>
      <c r="AO6" s="8">
        <v>1</v>
      </c>
      <c r="AP6" s="8">
        <v>0.04</v>
      </c>
      <c r="AQ6" s="8">
        <v>0.04</v>
      </c>
      <c r="AR6" s="6">
        <v>0.92</v>
      </c>
      <c r="AS6" s="8">
        <v>0.0024</v>
      </c>
      <c r="AT6" s="6">
        <v>-18.32</v>
      </c>
      <c r="AU6" s="9">
        <v>0</v>
      </c>
      <c r="AV6" s="8">
        <v>1</v>
      </c>
      <c r="AW6" s="8">
        <v>1.3095</v>
      </c>
      <c r="AX6" s="8">
        <v>0</v>
      </c>
      <c r="AY6" s="3"/>
      <c r="AZ6" s="6">
        <v>2.19</v>
      </c>
      <c r="BA6" s="6">
        <v>0</v>
      </c>
      <c r="BB6" s="5">
        <v>0</v>
      </c>
      <c r="BC6" s="8">
        <v>0</v>
      </c>
      <c r="BD6" s="8">
        <v>0</v>
      </c>
      <c r="BE6" s="5">
        <v>8355</v>
      </c>
      <c r="BF6" s="5">
        <v>20</v>
      </c>
      <c r="BG6" s="3"/>
    </row>
    <row r="7" spans="1:59">
      <c r="A7" t="str">
        <f t="shared" si="0"/>
        <v>2022-08-25XXXX-111</v>
      </c>
      <c r="B7" s="3" t="s">
        <v>185</v>
      </c>
      <c r="C7" s="3" t="s">
        <v>173</v>
      </c>
      <c r="D7" s="3"/>
      <c r="E7" s="3" t="s">
        <v>23</v>
      </c>
      <c r="F7" s="3"/>
      <c r="G7" s="4">
        <v>13.99</v>
      </c>
      <c r="H7" s="5">
        <v>334</v>
      </c>
      <c r="I7" s="5">
        <v>0</v>
      </c>
      <c r="J7" s="5">
        <v>0</v>
      </c>
      <c r="K7" s="5">
        <v>0</v>
      </c>
      <c r="L7" s="6">
        <v>0</v>
      </c>
      <c r="M7" s="6">
        <v>0</v>
      </c>
      <c r="N7" s="5">
        <v>0</v>
      </c>
      <c r="O7" s="6">
        <v>0</v>
      </c>
      <c r="P7" s="5">
        <v>0</v>
      </c>
      <c r="Q7" s="5">
        <v>0</v>
      </c>
      <c r="R7" s="6">
        <v>0</v>
      </c>
      <c r="S7" s="5">
        <v>0</v>
      </c>
      <c r="T7" s="3"/>
      <c r="U7" s="7">
        <v>0</v>
      </c>
      <c r="V7" s="3"/>
      <c r="W7" s="3"/>
      <c r="X7" s="5">
        <v>0</v>
      </c>
      <c r="Y7" s="8">
        <v>0</v>
      </c>
      <c r="Z7" s="7">
        <v>0</v>
      </c>
      <c r="AA7" s="5">
        <v>0</v>
      </c>
      <c r="AB7" s="8">
        <v>0</v>
      </c>
      <c r="AC7" s="6">
        <v>0</v>
      </c>
      <c r="AD7" s="6">
        <v>-1.13</v>
      </c>
      <c r="AE7" s="8">
        <v>-0.081</v>
      </c>
      <c r="AF7" s="8">
        <v>0</v>
      </c>
      <c r="AG7" s="5">
        <v>0</v>
      </c>
      <c r="AH7" s="8">
        <v>0</v>
      </c>
      <c r="AI7" s="5">
        <v>8</v>
      </c>
      <c r="AJ7" s="5">
        <v>9</v>
      </c>
      <c r="AK7" s="5">
        <v>17</v>
      </c>
      <c r="AL7" s="5">
        <v>8</v>
      </c>
      <c r="AM7" s="5">
        <v>15</v>
      </c>
      <c r="AN7" s="5">
        <v>23</v>
      </c>
      <c r="AO7" s="8">
        <v>0.83</v>
      </c>
      <c r="AP7" s="8">
        <v>0</v>
      </c>
      <c r="AQ7" s="8">
        <v>0</v>
      </c>
      <c r="AR7" s="6">
        <v>0.79</v>
      </c>
      <c r="AS7" s="8">
        <v>0.0017</v>
      </c>
      <c r="AT7" s="6">
        <v>-4.72</v>
      </c>
      <c r="AU7" s="9">
        <v>0</v>
      </c>
      <c r="AV7" s="8">
        <v>1</v>
      </c>
      <c r="AW7" s="8">
        <v>1</v>
      </c>
      <c r="AX7" s="8">
        <v>0</v>
      </c>
      <c r="AY7" s="3"/>
      <c r="AZ7" s="6">
        <v>1.35</v>
      </c>
      <c r="BA7" s="6">
        <v>0</v>
      </c>
      <c r="BB7" s="5">
        <v>0</v>
      </c>
      <c r="BC7" s="8">
        <v>0</v>
      </c>
      <c r="BD7" s="8">
        <v>0</v>
      </c>
      <c r="BE7" s="5">
        <v>3488</v>
      </c>
      <c r="BF7" s="5">
        <v>6</v>
      </c>
      <c r="BG7" s="3"/>
    </row>
    <row r="8" spans="1:59">
      <c r="A8" t="str">
        <f t="shared" si="0"/>
        <v>2022-08-26XXXX-111</v>
      </c>
      <c r="B8" s="3" t="s">
        <v>186</v>
      </c>
      <c r="C8" s="3" t="s">
        <v>173</v>
      </c>
      <c r="D8" s="3"/>
      <c r="E8" s="3" t="s">
        <v>23</v>
      </c>
      <c r="F8" s="3"/>
      <c r="G8" s="4">
        <v>13.99</v>
      </c>
      <c r="H8" s="5">
        <v>493</v>
      </c>
      <c r="I8" s="5">
        <v>0</v>
      </c>
      <c r="J8" s="5">
        <v>1</v>
      </c>
      <c r="K8" s="5">
        <v>1</v>
      </c>
      <c r="L8" s="6">
        <v>13.99</v>
      </c>
      <c r="M8" s="6">
        <v>13.99</v>
      </c>
      <c r="N8" s="5">
        <v>0</v>
      </c>
      <c r="O8" s="6">
        <v>0</v>
      </c>
      <c r="P8" s="5">
        <v>0</v>
      </c>
      <c r="Q8" s="5">
        <v>0</v>
      </c>
      <c r="R8" s="6">
        <v>0</v>
      </c>
      <c r="S8" s="5">
        <v>0</v>
      </c>
      <c r="T8" s="6">
        <v>13.99</v>
      </c>
      <c r="U8" s="7">
        <v>0</v>
      </c>
      <c r="V8" s="3"/>
      <c r="W8" s="3"/>
      <c r="X8" s="5">
        <v>0</v>
      </c>
      <c r="Y8" s="8">
        <v>0</v>
      </c>
      <c r="Z8" s="7">
        <v>0</v>
      </c>
      <c r="AA8" s="5">
        <v>0</v>
      </c>
      <c r="AB8" s="8">
        <v>0</v>
      </c>
      <c r="AC8" s="6">
        <v>0</v>
      </c>
      <c r="AD8" s="6">
        <v>-20.26</v>
      </c>
      <c r="AE8" s="8">
        <v>0</v>
      </c>
      <c r="AF8" s="8">
        <v>-3.2212</v>
      </c>
      <c r="AG8" s="5">
        <v>0</v>
      </c>
      <c r="AH8" s="8">
        <v>0</v>
      </c>
      <c r="AI8" s="5">
        <v>15</v>
      </c>
      <c r="AJ8" s="5">
        <v>17</v>
      </c>
      <c r="AK8" s="5">
        <v>32</v>
      </c>
      <c r="AL8" s="5">
        <v>23</v>
      </c>
      <c r="AM8" s="5">
        <v>19</v>
      </c>
      <c r="AN8" s="5">
        <v>42</v>
      </c>
      <c r="AO8" s="8">
        <v>0.88</v>
      </c>
      <c r="AP8" s="8">
        <v>0.0312</v>
      </c>
      <c r="AQ8" s="8">
        <v>0.0312</v>
      </c>
      <c r="AR8" s="6">
        <v>1.07</v>
      </c>
      <c r="AS8" s="8">
        <v>0.0019</v>
      </c>
      <c r="AT8" s="6">
        <v>-20.26</v>
      </c>
      <c r="AU8" s="9">
        <v>1.38</v>
      </c>
      <c r="AV8" s="8">
        <v>0.7241</v>
      </c>
      <c r="AW8" s="8">
        <v>1.4482</v>
      </c>
      <c r="AX8" s="8">
        <v>2</v>
      </c>
      <c r="AY8" s="6">
        <v>10.13</v>
      </c>
      <c r="AZ8" s="6">
        <v>1.98</v>
      </c>
      <c r="BA8" s="6">
        <v>27.98</v>
      </c>
      <c r="BB8" s="5">
        <v>2</v>
      </c>
      <c r="BC8" s="8">
        <v>2</v>
      </c>
      <c r="BD8" s="8">
        <v>0.1053</v>
      </c>
      <c r="BE8" s="5">
        <v>10230</v>
      </c>
      <c r="BF8" s="5">
        <v>19</v>
      </c>
      <c r="BG8" s="3"/>
    </row>
    <row r="9" spans="1:59">
      <c r="A9" t="str">
        <f t="shared" si="0"/>
        <v>2022-08-27XXXX-111</v>
      </c>
      <c r="B9" s="3" t="s">
        <v>187</v>
      </c>
      <c r="C9" s="3" t="s">
        <v>173</v>
      </c>
      <c r="D9" s="3"/>
      <c r="E9" s="3" t="s">
        <v>23</v>
      </c>
      <c r="F9" s="3"/>
      <c r="G9" s="4">
        <v>13.99</v>
      </c>
      <c r="H9" s="5">
        <v>513</v>
      </c>
      <c r="I9" s="5">
        <v>0</v>
      </c>
      <c r="J9" s="5">
        <v>3</v>
      </c>
      <c r="K9" s="5">
        <v>3</v>
      </c>
      <c r="L9" s="6">
        <v>41.97</v>
      </c>
      <c r="M9" s="6">
        <v>41.97</v>
      </c>
      <c r="N9" s="5">
        <v>0</v>
      </c>
      <c r="O9" s="6">
        <v>0</v>
      </c>
      <c r="P9" s="5">
        <v>0</v>
      </c>
      <c r="Q9" s="5">
        <v>0</v>
      </c>
      <c r="R9" s="6">
        <v>0</v>
      </c>
      <c r="S9" s="5">
        <v>0</v>
      </c>
      <c r="T9" s="6">
        <v>13.99</v>
      </c>
      <c r="U9" s="7">
        <v>0.1</v>
      </c>
      <c r="V9" s="3"/>
      <c r="W9" s="3"/>
      <c r="X9" s="5">
        <v>0</v>
      </c>
      <c r="Y9" s="8">
        <v>0</v>
      </c>
      <c r="Z9" s="7">
        <v>0</v>
      </c>
      <c r="AA9" s="5">
        <v>0</v>
      </c>
      <c r="AB9" s="8">
        <v>0</v>
      </c>
      <c r="AC9" s="6">
        <v>0</v>
      </c>
      <c r="AD9" s="6">
        <v>-22.85</v>
      </c>
      <c r="AE9" s="8">
        <v>-1.6335</v>
      </c>
      <c r="AF9" s="8">
        <v>0.8858</v>
      </c>
      <c r="AG9" s="5">
        <v>0</v>
      </c>
      <c r="AH9" s="8">
        <v>0</v>
      </c>
      <c r="AI9" s="5">
        <v>16</v>
      </c>
      <c r="AJ9" s="5">
        <v>24</v>
      </c>
      <c r="AK9" s="5">
        <v>40</v>
      </c>
      <c r="AL9" s="5">
        <v>18</v>
      </c>
      <c r="AM9" s="5">
        <v>37</v>
      </c>
      <c r="AN9" s="5">
        <v>55</v>
      </c>
      <c r="AO9" s="8">
        <v>0.96</v>
      </c>
      <c r="AP9" s="8">
        <v>0.075</v>
      </c>
      <c r="AQ9" s="8">
        <v>0.075</v>
      </c>
      <c r="AR9" s="6">
        <v>1.08</v>
      </c>
      <c r="AS9" s="8">
        <v>0.0027</v>
      </c>
      <c r="AT9" s="6">
        <v>-26</v>
      </c>
      <c r="AU9" s="9">
        <v>0.54</v>
      </c>
      <c r="AV9" s="8">
        <v>1.8585</v>
      </c>
      <c r="AW9" s="8">
        <v>0.6195</v>
      </c>
      <c r="AX9" s="8">
        <v>0.3333</v>
      </c>
      <c r="AY9" s="6">
        <v>26</v>
      </c>
      <c r="AZ9" s="6">
        <v>2.97</v>
      </c>
      <c r="BA9" s="6">
        <v>13.99</v>
      </c>
      <c r="BB9" s="5">
        <v>1</v>
      </c>
      <c r="BC9" s="8">
        <v>0.3333</v>
      </c>
      <c r="BD9" s="8">
        <v>0.0417</v>
      </c>
      <c r="BE9" s="5">
        <v>8753</v>
      </c>
      <c r="BF9" s="5">
        <v>24</v>
      </c>
      <c r="BG9" s="3"/>
    </row>
    <row r="10" spans="1:59">
      <c r="A10" t="str">
        <f t="shared" si="0"/>
        <v>2022-08-28XXXX-111</v>
      </c>
      <c r="B10" s="3" t="s">
        <v>188</v>
      </c>
      <c r="C10" s="3" t="s">
        <v>173</v>
      </c>
      <c r="D10" s="3"/>
      <c r="E10" s="3" t="s">
        <v>23</v>
      </c>
      <c r="F10" s="3"/>
      <c r="G10" s="4">
        <v>13.99</v>
      </c>
      <c r="H10" s="5">
        <v>526</v>
      </c>
      <c r="I10" s="5">
        <v>0</v>
      </c>
      <c r="J10" s="5">
        <v>3</v>
      </c>
      <c r="K10" s="5">
        <v>2</v>
      </c>
      <c r="L10" s="6">
        <v>41.97</v>
      </c>
      <c r="M10" s="6">
        <v>41.97</v>
      </c>
      <c r="N10" s="5">
        <v>0</v>
      </c>
      <c r="O10" s="6">
        <v>0</v>
      </c>
      <c r="P10" s="5">
        <v>0</v>
      </c>
      <c r="Q10" s="5">
        <v>0</v>
      </c>
      <c r="R10" s="6">
        <v>0</v>
      </c>
      <c r="S10" s="5">
        <v>0</v>
      </c>
      <c r="T10" s="6">
        <v>13.99</v>
      </c>
      <c r="U10" s="7">
        <v>0.1</v>
      </c>
      <c r="V10" s="3"/>
      <c r="W10" s="3"/>
      <c r="X10" s="5">
        <v>0</v>
      </c>
      <c r="Y10" s="8">
        <v>0</v>
      </c>
      <c r="Z10" s="7">
        <v>0</v>
      </c>
      <c r="AA10" s="5">
        <v>0</v>
      </c>
      <c r="AB10" s="8">
        <v>0</v>
      </c>
      <c r="AC10" s="6">
        <v>0</v>
      </c>
      <c r="AD10" s="6">
        <v>-23.48</v>
      </c>
      <c r="AE10" s="8">
        <v>0</v>
      </c>
      <c r="AF10" s="8">
        <v>1.1834</v>
      </c>
      <c r="AG10" s="5">
        <v>0</v>
      </c>
      <c r="AH10" s="8">
        <v>0</v>
      </c>
      <c r="AI10" s="5">
        <v>17</v>
      </c>
      <c r="AJ10" s="5">
        <v>37</v>
      </c>
      <c r="AK10" s="5">
        <v>54</v>
      </c>
      <c r="AL10" s="5">
        <v>21</v>
      </c>
      <c r="AM10" s="5">
        <v>52</v>
      </c>
      <c r="AN10" s="5">
        <v>73</v>
      </c>
      <c r="AO10" s="8">
        <v>0.96</v>
      </c>
      <c r="AP10" s="8">
        <v>0.037</v>
      </c>
      <c r="AQ10" s="8">
        <v>0.0556</v>
      </c>
      <c r="AR10" s="6">
        <v>1.07</v>
      </c>
      <c r="AS10" s="8">
        <v>0.0013</v>
      </c>
      <c r="AT10" s="6">
        <v>-23.48</v>
      </c>
      <c r="AU10" s="9">
        <v>1.79</v>
      </c>
      <c r="AV10" s="8">
        <v>0.5594</v>
      </c>
      <c r="AW10" s="8">
        <v>0.5594</v>
      </c>
      <c r="AX10" s="8">
        <v>1</v>
      </c>
      <c r="AY10" s="6">
        <v>7.83</v>
      </c>
      <c r="AZ10" s="6">
        <v>1.4</v>
      </c>
      <c r="BA10" s="6">
        <v>41.97</v>
      </c>
      <c r="BB10" s="5">
        <v>3</v>
      </c>
      <c r="BC10" s="8">
        <v>1.5</v>
      </c>
      <c r="BD10" s="8">
        <v>0.1364</v>
      </c>
      <c r="BE10" s="5">
        <v>16751</v>
      </c>
      <c r="BF10" s="5">
        <v>22</v>
      </c>
      <c r="BG10" s="3"/>
    </row>
    <row r="11" spans="1:59">
      <c r="A11" t="str">
        <f t="shared" si="0"/>
        <v>2022-08-29XXXX-111</v>
      </c>
      <c r="B11" s="3" t="s">
        <v>189</v>
      </c>
      <c r="C11" s="3" t="s">
        <v>173</v>
      </c>
      <c r="D11" s="3"/>
      <c r="E11" s="3" t="s">
        <v>23</v>
      </c>
      <c r="F11" s="3"/>
      <c r="G11" s="4">
        <v>13.99</v>
      </c>
      <c r="H11" s="5">
        <v>524</v>
      </c>
      <c r="I11" s="5">
        <v>0</v>
      </c>
      <c r="J11" s="5">
        <v>9</v>
      </c>
      <c r="K11" s="5">
        <v>9</v>
      </c>
      <c r="L11" s="6">
        <v>125.91</v>
      </c>
      <c r="M11" s="6">
        <v>125.91</v>
      </c>
      <c r="N11" s="5">
        <v>0</v>
      </c>
      <c r="O11" s="6">
        <v>0</v>
      </c>
      <c r="P11" s="5">
        <v>0</v>
      </c>
      <c r="Q11" s="5">
        <v>0</v>
      </c>
      <c r="R11" s="6">
        <v>0</v>
      </c>
      <c r="S11" s="5">
        <v>0</v>
      </c>
      <c r="T11" s="6">
        <v>13.99</v>
      </c>
      <c r="U11" s="7">
        <v>0.2</v>
      </c>
      <c r="V11" s="3"/>
      <c r="W11" s="3"/>
      <c r="X11" s="5">
        <v>0</v>
      </c>
      <c r="Y11" s="8">
        <v>0</v>
      </c>
      <c r="Z11" s="7">
        <v>0</v>
      </c>
      <c r="AA11" s="5">
        <v>0</v>
      </c>
      <c r="AB11" s="8">
        <v>0</v>
      </c>
      <c r="AC11" s="6">
        <v>0</v>
      </c>
      <c r="AD11" s="6">
        <v>-0.2</v>
      </c>
      <c r="AE11" s="8">
        <v>-0.0029</v>
      </c>
      <c r="AF11" s="8">
        <v>3.1507</v>
      </c>
      <c r="AG11" s="5">
        <v>0</v>
      </c>
      <c r="AH11" s="8">
        <v>0</v>
      </c>
      <c r="AI11" s="5">
        <v>16</v>
      </c>
      <c r="AJ11" s="5">
        <v>30</v>
      </c>
      <c r="AK11" s="5">
        <v>46</v>
      </c>
      <c r="AL11" s="5">
        <v>19</v>
      </c>
      <c r="AM11" s="5">
        <v>34</v>
      </c>
      <c r="AN11" s="5">
        <v>53</v>
      </c>
      <c r="AO11" s="8">
        <v>0.96</v>
      </c>
      <c r="AP11" s="8">
        <v>0.1957</v>
      </c>
      <c r="AQ11" s="8">
        <v>0.1957</v>
      </c>
      <c r="AR11" s="6">
        <v>1.08</v>
      </c>
      <c r="AS11" s="8">
        <v>0.0014</v>
      </c>
      <c r="AT11" s="6">
        <v>-20.61</v>
      </c>
      <c r="AU11" s="9">
        <v>1.36</v>
      </c>
      <c r="AV11" s="8">
        <v>0.7366</v>
      </c>
      <c r="AW11" s="8">
        <v>0.1637</v>
      </c>
      <c r="AX11" s="8">
        <v>0.2222</v>
      </c>
      <c r="AY11" s="6">
        <v>10.3</v>
      </c>
      <c r="AZ11" s="6">
        <v>1.51</v>
      </c>
      <c r="BA11" s="6">
        <v>27.98</v>
      </c>
      <c r="BB11" s="5">
        <v>2</v>
      </c>
      <c r="BC11" s="8">
        <v>0.2222</v>
      </c>
      <c r="BD11" s="8">
        <v>0.1053</v>
      </c>
      <c r="BE11" s="5">
        <v>13659</v>
      </c>
      <c r="BF11" s="5">
        <v>19</v>
      </c>
      <c r="BG11" s="3"/>
    </row>
    <row r="12" spans="1:59">
      <c r="A12" t="str">
        <f t="shared" si="0"/>
        <v>2022-08-30XXXX-111</v>
      </c>
      <c r="B12" s="3" t="s">
        <v>190</v>
      </c>
      <c r="C12" s="3" t="s">
        <v>173</v>
      </c>
      <c r="D12" s="3"/>
      <c r="E12" s="3" t="s">
        <v>23</v>
      </c>
      <c r="F12" s="3"/>
      <c r="G12" s="4">
        <v>13.99</v>
      </c>
      <c r="H12" s="5">
        <v>555</v>
      </c>
      <c r="I12" s="5">
        <v>0</v>
      </c>
      <c r="J12" s="5">
        <v>5</v>
      </c>
      <c r="K12" s="5">
        <v>5</v>
      </c>
      <c r="L12" s="6">
        <v>69.95</v>
      </c>
      <c r="M12" s="6">
        <v>69.95</v>
      </c>
      <c r="N12" s="5">
        <v>0</v>
      </c>
      <c r="O12" s="6">
        <v>0</v>
      </c>
      <c r="P12" s="5">
        <v>0</v>
      </c>
      <c r="Q12" s="5">
        <v>0</v>
      </c>
      <c r="R12" s="6">
        <v>0</v>
      </c>
      <c r="S12" s="5">
        <v>0</v>
      </c>
      <c r="T12" s="6">
        <v>13.99</v>
      </c>
      <c r="U12" s="7">
        <v>0.1</v>
      </c>
      <c r="V12" s="3"/>
      <c r="W12" s="3"/>
      <c r="X12" s="5">
        <v>0</v>
      </c>
      <c r="Y12" s="8">
        <v>0</v>
      </c>
      <c r="Z12" s="7">
        <v>0</v>
      </c>
      <c r="AA12" s="5">
        <v>0</v>
      </c>
      <c r="AB12" s="8">
        <v>0</v>
      </c>
      <c r="AC12" s="6">
        <v>0</v>
      </c>
      <c r="AD12" s="6">
        <v>19.73</v>
      </c>
      <c r="AE12" s="8">
        <v>0.1409</v>
      </c>
      <c r="AF12" s="8">
        <v>2.5688</v>
      </c>
      <c r="AG12" s="5">
        <v>0</v>
      </c>
      <c r="AH12" s="8">
        <v>0</v>
      </c>
      <c r="AI12" s="5">
        <v>23</v>
      </c>
      <c r="AJ12" s="5">
        <v>55</v>
      </c>
      <c r="AK12" s="5">
        <v>78</v>
      </c>
      <c r="AL12" s="5">
        <v>32</v>
      </c>
      <c r="AM12" s="5">
        <v>64</v>
      </c>
      <c r="AN12" s="5">
        <v>96</v>
      </c>
      <c r="AO12" s="8">
        <v>0.98</v>
      </c>
      <c r="AP12" s="8">
        <v>0.0641</v>
      </c>
      <c r="AQ12" s="8">
        <v>0.0641</v>
      </c>
      <c r="AR12" s="6">
        <v>1.09</v>
      </c>
      <c r="AS12" s="8">
        <v>0.0014</v>
      </c>
      <c r="AT12" s="6">
        <v>-19.58</v>
      </c>
      <c r="AU12" s="9">
        <v>3.57</v>
      </c>
      <c r="AV12" s="8">
        <v>0.2799</v>
      </c>
      <c r="AW12" s="8">
        <v>0.2799</v>
      </c>
      <c r="AX12" s="8">
        <v>1</v>
      </c>
      <c r="AY12" s="6">
        <v>3.92</v>
      </c>
      <c r="AZ12" s="6">
        <v>1.52</v>
      </c>
      <c r="BA12" s="6">
        <v>69.95</v>
      </c>
      <c r="BB12" s="5">
        <v>5</v>
      </c>
      <c r="BC12" s="8">
        <v>1</v>
      </c>
      <c r="BD12" s="8">
        <v>0.2778</v>
      </c>
      <c r="BE12" s="5">
        <v>12849</v>
      </c>
      <c r="BF12" s="5">
        <v>18</v>
      </c>
      <c r="BG12" s="3"/>
    </row>
    <row r="13" spans="1:59">
      <c r="A13" t="str">
        <f t="shared" si="0"/>
        <v>2022-08-31XXXX-111</v>
      </c>
      <c r="B13" s="3" t="s">
        <v>191</v>
      </c>
      <c r="C13" s="3" t="s">
        <v>173</v>
      </c>
      <c r="D13" s="3"/>
      <c r="E13" s="3" t="s">
        <v>23</v>
      </c>
      <c r="F13" s="3"/>
      <c r="G13" s="4">
        <v>13.99</v>
      </c>
      <c r="H13" s="5">
        <v>613</v>
      </c>
      <c r="I13" s="5">
        <v>0</v>
      </c>
      <c r="J13" s="5">
        <v>9</v>
      </c>
      <c r="K13" s="5">
        <v>7</v>
      </c>
      <c r="L13" s="6">
        <v>125.91</v>
      </c>
      <c r="M13" s="6">
        <v>113.6</v>
      </c>
      <c r="N13" s="5">
        <v>0</v>
      </c>
      <c r="O13" s="6">
        <v>0</v>
      </c>
      <c r="P13" s="5">
        <v>0</v>
      </c>
      <c r="Q13" s="5">
        <v>0</v>
      </c>
      <c r="R13" s="6">
        <v>0</v>
      </c>
      <c r="S13" s="5">
        <v>0</v>
      </c>
      <c r="T13" s="6">
        <v>12.62</v>
      </c>
      <c r="U13" s="7">
        <v>0.2</v>
      </c>
      <c r="V13" s="3"/>
      <c r="W13" s="3"/>
      <c r="X13" s="5">
        <v>1</v>
      </c>
      <c r="Y13" s="8">
        <v>0.1111</v>
      </c>
      <c r="Z13" s="7">
        <v>0</v>
      </c>
      <c r="AA13" s="5">
        <v>0</v>
      </c>
      <c r="AB13" s="8">
        <v>0</v>
      </c>
      <c r="AC13" s="6">
        <v>0</v>
      </c>
      <c r="AD13" s="6">
        <v>-0.9</v>
      </c>
      <c r="AE13" s="8">
        <v>-0.0081</v>
      </c>
      <c r="AF13" s="8">
        <v>3.1539</v>
      </c>
      <c r="AG13" s="5">
        <v>0</v>
      </c>
      <c r="AH13" s="8">
        <v>0</v>
      </c>
      <c r="AI13" s="5">
        <v>25</v>
      </c>
      <c r="AJ13" s="5">
        <v>46</v>
      </c>
      <c r="AK13" s="5">
        <v>71</v>
      </c>
      <c r="AL13" s="5">
        <v>35</v>
      </c>
      <c r="AM13" s="5">
        <v>51</v>
      </c>
      <c r="AN13" s="5">
        <v>86</v>
      </c>
      <c r="AO13" s="8">
        <v>0.95</v>
      </c>
      <c r="AP13" s="8">
        <v>0.0986</v>
      </c>
      <c r="AQ13" s="8">
        <v>0.1268</v>
      </c>
      <c r="AR13" s="6">
        <v>1.13</v>
      </c>
      <c r="AS13" s="8">
        <v>0.0033</v>
      </c>
      <c r="AT13" s="6">
        <v>-20.38</v>
      </c>
      <c r="AU13" s="9">
        <v>1.37</v>
      </c>
      <c r="AV13" s="8">
        <v>0.7284</v>
      </c>
      <c r="AW13" s="8">
        <v>0.1619</v>
      </c>
      <c r="AX13" s="8">
        <v>0.2222</v>
      </c>
      <c r="AY13" s="6">
        <v>10.19</v>
      </c>
      <c r="AZ13" s="6">
        <v>3.69</v>
      </c>
      <c r="BA13" s="6">
        <v>27.98</v>
      </c>
      <c r="BB13" s="5">
        <v>2</v>
      </c>
      <c r="BC13" s="8">
        <v>0.2857</v>
      </c>
      <c r="BD13" s="8">
        <v>0.1111</v>
      </c>
      <c r="BE13" s="5">
        <v>5518</v>
      </c>
      <c r="BF13" s="5">
        <v>18</v>
      </c>
      <c r="BG13" s="3"/>
    </row>
    <row r="14" spans="1:59">
      <c r="A14" t="str">
        <f t="shared" si="0"/>
        <v>2022-09-01XXXX-111</v>
      </c>
      <c r="B14" s="3" t="s">
        <v>192</v>
      </c>
      <c r="C14" s="3" t="s">
        <v>173</v>
      </c>
      <c r="D14" s="3"/>
      <c r="E14" s="3" t="s">
        <v>23</v>
      </c>
      <c r="F14" s="3"/>
      <c r="G14" s="4">
        <v>13.99</v>
      </c>
      <c r="H14" s="5">
        <v>758</v>
      </c>
      <c r="I14" s="5">
        <v>0</v>
      </c>
      <c r="J14" s="5">
        <v>4</v>
      </c>
      <c r="K14" s="5">
        <v>4</v>
      </c>
      <c r="L14" s="6">
        <v>55.96</v>
      </c>
      <c r="M14" s="6">
        <v>55.96</v>
      </c>
      <c r="N14" s="5">
        <v>0</v>
      </c>
      <c r="O14" s="6">
        <v>0</v>
      </c>
      <c r="P14" s="5">
        <v>0</v>
      </c>
      <c r="Q14" s="5">
        <v>0</v>
      </c>
      <c r="R14" s="6">
        <v>0</v>
      </c>
      <c r="S14" s="5">
        <v>0</v>
      </c>
      <c r="T14" s="6">
        <v>13.99</v>
      </c>
      <c r="U14" s="7">
        <v>0.1</v>
      </c>
      <c r="V14" s="3"/>
      <c r="W14" s="3"/>
      <c r="X14" s="5">
        <v>0</v>
      </c>
      <c r="Y14" s="8">
        <v>0</v>
      </c>
      <c r="Z14" s="7">
        <v>0</v>
      </c>
      <c r="AA14" s="5">
        <v>0</v>
      </c>
      <c r="AB14" s="8">
        <v>0</v>
      </c>
      <c r="AC14" s="6">
        <v>0</v>
      </c>
      <c r="AD14" s="6">
        <v>-5.41</v>
      </c>
      <c r="AE14" s="8">
        <v>-0.0967</v>
      </c>
      <c r="AF14" s="8">
        <v>2.1582</v>
      </c>
      <c r="AG14" s="5">
        <v>0</v>
      </c>
      <c r="AH14" s="8">
        <v>0</v>
      </c>
      <c r="AI14" s="5">
        <v>24</v>
      </c>
      <c r="AJ14" s="5">
        <v>61</v>
      </c>
      <c r="AK14" s="5">
        <v>85</v>
      </c>
      <c r="AL14" s="5">
        <v>34</v>
      </c>
      <c r="AM14" s="5">
        <v>75</v>
      </c>
      <c r="AN14" s="5">
        <v>109</v>
      </c>
      <c r="AO14" s="8">
        <v>0.99</v>
      </c>
      <c r="AP14" s="8">
        <v>0.0471</v>
      </c>
      <c r="AQ14" s="8">
        <v>0.0471</v>
      </c>
      <c r="AR14" s="6">
        <v>1.19</v>
      </c>
      <c r="AS14" s="8">
        <v>0.0036</v>
      </c>
      <c r="AT14" s="6">
        <v>-20.3</v>
      </c>
      <c r="AU14" s="9">
        <v>0.69</v>
      </c>
      <c r="AV14" s="8">
        <v>1.451</v>
      </c>
      <c r="AW14" s="8">
        <v>0.3628</v>
      </c>
      <c r="AX14" s="8">
        <v>0.25</v>
      </c>
      <c r="AY14" s="6">
        <v>20.3</v>
      </c>
      <c r="AZ14" s="6">
        <v>4.35</v>
      </c>
      <c r="BA14" s="6">
        <v>13.99</v>
      </c>
      <c r="BB14" s="5">
        <v>1</v>
      </c>
      <c r="BC14" s="8">
        <v>0.25</v>
      </c>
      <c r="BD14" s="8">
        <v>0.0588</v>
      </c>
      <c r="BE14" s="5">
        <v>4668</v>
      </c>
      <c r="BF14" s="5">
        <v>17</v>
      </c>
      <c r="BG14" s="3"/>
    </row>
    <row r="15" spans="1:59">
      <c r="A15" t="str">
        <f t="shared" si="0"/>
        <v>2022-09-02XXXX-111</v>
      </c>
      <c r="B15" s="3" t="s">
        <v>193</v>
      </c>
      <c r="C15" s="3" t="s">
        <v>173</v>
      </c>
      <c r="D15" s="3"/>
      <c r="E15" s="3" t="s">
        <v>23</v>
      </c>
      <c r="F15" s="3"/>
      <c r="G15" s="4">
        <v>13.99</v>
      </c>
      <c r="H15" s="5">
        <v>812</v>
      </c>
      <c r="I15" s="5">
        <v>0</v>
      </c>
      <c r="J15" s="5">
        <v>9</v>
      </c>
      <c r="K15" s="5">
        <v>9</v>
      </c>
      <c r="L15" s="6">
        <v>125.91</v>
      </c>
      <c r="M15" s="6">
        <v>125.91</v>
      </c>
      <c r="N15" s="5">
        <v>0</v>
      </c>
      <c r="O15" s="6">
        <v>0</v>
      </c>
      <c r="P15" s="5">
        <v>0</v>
      </c>
      <c r="Q15" s="5">
        <v>0</v>
      </c>
      <c r="R15" s="6">
        <v>0</v>
      </c>
      <c r="S15" s="5">
        <v>0</v>
      </c>
      <c r="T15" s="6">
        <v>13.99</v>
      </c>
      <c r="U15" s="7">
        <v>0.2</v>
      </c>
      <c r="V15" s="3"/>
      <c r="W15" s="3"/>
      <c r="X15" s="5">
        <v>0</v>
      </c>
      <c r="Y15" s="8">
        <v>0</v>
      </c>
      <c r="Z15" s="7">
        <v>0</v>
      </c>
      <c r="AA15" s="5">
        <v>0</v>
      </c>
      <c r="AB15" s="8">
        <v>0</v>
      </c>
      <c r="AC15" s="6">
        <v>0</v>
      </c>
      <c r="AD15" s="6">
        <v>1.98</v>
      </c>
      <c r="AE15" s="8">
        <v>0.0236</v>
      </c>
      <c r="AF15" s="8">
        <v>3.1602</v>
      </c>
      <c r="AG15" s="5">
        <v>0</v>
      </c>
      <c r="AH15" s="8">
        <v>0</v>
      </c>
      <c r="AI15" s="5">
        <v>31</v>
      </c>
      <c r="AJ15" s="5">
        <v>63</v>
      </c>
      <c r="AK15" s="5">
        <v>94</v>
      </c>
      <c r="AL15" s="5">
        <v>44</v>
      </c>
      <c r="AM15" s="5">
        <v>84</v>
      </c>
      <c r="AN15" s="5">
        <v>128</v>
      </c>
      <c r="AO15" s="8">
        <v>0.98</v>
      </c>
      <c r="AP15" s="8">
        <v>0.0957</v>
      </c>
      <c r="AQ15" s="8">
        <v>0.0957</v>
      </c>
      <c r="AR15" s="6">
        <v>1.19</v>
      </c>
      <c r="AS15" s="8">
        <v>0.0043</v>
      </c>
      <c r="AT15" s="6">
        <v>-20.22</v>
      </c>
      <c r="AU15" s="9">
        <v>2.08</v>
      </c>
      <c r="AV15" s="8">
        <v>0.4818</v>
      </c>
      <c r="AW15" s="8">
        <v>0.1606</v>
      </c>
      <c r="AX15" s="8">
        <v>0.3333</v>
      </c>
      <c r="AY15" s="6">
        <v>6.74</v>
      </c>
      <c r="AZ15" s="6">
        <v>5.13</v>
      </c>
      <c r="BA15" s="6">
        <v>41.97</v>
      </c>
      <c r="BB15" s="5">
        <v>3</v>
      </c>
      <c r="BC15" s="8">
        <v>0.3333</v>
      </c>
      <c r="BD15" s="8">
        <v>0.1765</v>
      </c>
      <c r="BE15" s="5">
        <v>3943</v>
      </c>
      <c r="BF15" s="5">
        <v>17</v>
      </c>
      <c r="BG15" s="3"/>
    </row>
    <row r="16" spans="1:59">
      <c r="A16" t="str">
        <f t="shared" si="0"/>
        <v>2022-09-03XXXX-111</v>
      </c>
      <c r="B16" s="3" t="s">
        <v>194</v>
      </c>
      <c r="C16" s="3" t="s">
        <v>173</v>
      </c>
      <c r="D16" s="3"/>
      <c r="E16" s="3" t="s">
        <v>23</v>
      </c>
      <c r="F16" s="3"/>
      <c r="G16" s="4">
        <v>13.99</v>
      </c>
      <c r="H16" s="5">
        <v>803</v>
      </c>
      <c r="I16" s="5">
        <v>0</v>
      </c>
      <c r="J16" s="5">
        <v>9</v>
      </c>
      <c r="K16" s="5">
        <v>9</v>
      </c>
      <c r="L16" s="6">
        <v>125.91</v>
      </c>
      <c r="M16" s="6">
        <v>125.91</v>
      </c>
      <c r="N16" s="5">
        <v>0</v>
      </c>
      <c r="O16" s="6">
        <v>0</v>
      </c>
      <c r="P16" s="5">
        <v>0</v>
      </c>
      <c r="Q16" s="5">
        <v>0</v>
      </c>
      <c r="R16" s="6">
        <v>0</v>
      </c>
      <c r="S16" s="5">
        <v>0</v>
      </c>
      <c r="T16" s="6">
        <v>13.99</v>
      </c>
      <c r="U16" s="7">
        <v>0.2</v>
      </c>
      <c r="V16" s="3"/>
      <c r="W16" s="3"/>
      <c r="X16" s="5">
        <v>0</v>
      </c>
      <c r="Y16" s="8">
        <v>0</v>
      </c>
      <c r="Z16" s="7">
        <v>0</v>
      </c>
      <c r="AA16" s="5">
        <v>0</v>
      </c>
      <c r="AB16" s="8">
        <v>0</v>
      </c>
      <c r="AC16" s="6">
        <v>0</v>
      </c>
      <c r="AD16" s="6">
        <v>6.54</v>
      </c>
      <c r="AE16" s="8">
        <v>0.0668</v>
      </c>
      <c r="AF16" s="8">
        <v>3.1889</v>
      </c>
      <c r="AG16" s="5">
        <v>0</v>
      </c>
      <c r="AH16" s="8">
        <v>0</v>
      </c>
      <c r="AI16" s="5">
        <v>35</v>
      </c>
      <c r="AJ16" s="5">
        <v>89</v>
      </c>
      <c r="AK16" s="5">
        <v>124</v>
      </c>
      <c r="AL16" s="5">
        <v>41</v>
      </c>
      <c r="AM16" s="5">
        <v>110</v>
      </c>
      <c r="AN16" s="5">
        <v>151</v>
      </c>
      <c r="AO16" s="8">
        <v>0.98</v>
      </c>
      <c r="AP16" s="8">
        <v>0.0726</v>
      </c>
      <c r="AQ16" s="8">
        <v>0.0726</v>
      </c>
      <c r="AR16" s="6">
        <v>1.08</v>
      </c>
      <c r="AS16" s="8">
        <v>0.0036</v>
      </c>
      <c r="AT16" s="6">
        <v>-19.49</v>
      </c>
      <c r="AU16" s="9">
        <v>2.15</v>
      </c>
      <c r="AV16" s="8">
        <v>0.4644</v>
      </c>
      <c r="AW16" s="8">
        <v>0.1548</v>
      </c>
      <c r="AX16" s="8">
        <v>0.3333</v>
      </c>
      <c r="AY16" s="6">
        <v>6.5</v>
      </c>
      <c r="AZ16" s="6">
        <v>3.86</v>
      </c>
      <c r="BA16" s="6">
        <v>41.97</v>
      </c>
      <c r="BB16" s="5">
        <v>3</v>
      </c>
      <c r="BC16" s="8">
        <v>0.3333</v>
      </c>
      <c r="BD16" s="8">
        <v>0.1667</v>
      </c>
      <c r="BE16" s="5">
        <v>5051</v>
      </c>
      <c r="BF16" s="5">
        <v>18</v>
      </c>
      <c r="BG16" s="3"/>
    </row>
    <row r="17" spans="1:59">
      <c r="A17" t="str">
        <f t="shared" si="0"/>
        <v>2022-09-04XXXX-111</v>
      </c>
      <c r="B17" s="3" t="s">
        <v>195</v>
      </c>
      <c r="C17" s="3" t="s">
        <v>173</v>
      </c>
      <c r="D17" s="3"/>
      <c r="E17" s="3" t="s">
        <v>23</v>
      </c>
      <c r="F17" s="3"/>
      <c r="G17" s="4">
        <v>13.99</v>
      </c>
      <c r="H17" s="5">
        <v>797</v>
      </c>
      <c r="I17" s="5">
        <v>0</v>
      </c>
      <c r="J17" s="5">
        <v>8</v>
      </c>
      <c r="K17" s="5">
        <v>8</v>
      </c>
      <c r="L17" s="6">
        <v>111.92</v>
      </c>
      <c r="M17" s="6">
        <v>111.92</v>
      </c>
      <c r="N17" s="5">
        <v>0</v>
      </c>
      <c r="O17" s="6">
        <v>0</v>
      </c>
      <c r="P17" s="5">
        <v>0</v>
      </c>
      <c r="Q17" s="5">
        <v>0</v>
      </c>
      <c r="R17" s="6">
        <v>0</v>
      </c>
      <c r="S17" s="5">
        <v>0</v>
      </c>
      <c r="T17" s="6">
        <v>13.99</v>
      </c>
      <c r="U17" s="7">
        <v>0.1</v>
      </c>
      <c r="V17" s="3"/>
      <c r="W17" s="3"/>
      <c r="X17" s="5">
        <v>0</v>
      </c>
      <c r="Y17" s="8">
        <v>0</v>
      </c>
      <c r="Z17" s="7">
        <v>0</v>
      </c>
      <c r="AA17" s="5">
        <v>0</v>
      </c>
      <c r="AB17" s="8">
        <v>0</v>
      </c>
      <c r="AC17" s="6">
        <v>0</v>
      </c>
      <c r="AD17" s="6">
        <v>10.03</v>
      </c>
      <c r="AE17" s="8">
        <v>0.0896</v>
      </c>
      <c r="AF17" s="8">
        <v>3.2679</v>
      </c>
      <c r="AG17" s="5">
        <v>0</v>
      </c>
      <c r="AH17" s="8">
        <v>0</v>
      </c>
      <c r="AI17" s="5">
        <v>47</v>
      </c>
      <c r="AJ17" s="5">
        <v>102</v>
      </c>
      <c r="AK17" s="5">
        <v>149</v>
      </c>
      <c r="AL17" s="5">
        <v>66</v>
      </c>
      <c r="AM17" s="5">
        <v>126</v>
      </c>
      <c r="AN17" s="5">
        <v>192</v>
      </c>
      <c r="AO17" s="8">
        <v>0.99</v>
      </c>
      <c r="AP17" s="8">
        <v>0.0537</v>
      </c>
      <c r="AQ17" s="8">
        <v>0.0537</v>
      </c>
      <c r="AR17" s="6">
        <v>1.15</v>
      </c>
      <c r="AS17" s="8">
        <v>0.0042</v>
      </c>
      <c r="AT17" s="6">
        <v>-19.53</v>
      </c>
      <c r="AU17" s="9">
        <v>2.87</v>
      </c>
      <c r="AV17" s="8">
        <v>0.349</v>
      </c>
      <c r="AW17" s="8">
        <v>0.1745</v>
      </c>
      <c r="AX17" s="8">
        <v>0.5</v>
      </c>
      <c r="AY17" s="6">
        <v>4.88</v>
      </c>
      <c r="AZ17" s="6">
        <v>4.83</v>
      </c>
      <c r="BA17" s="6">
        <v>55.96</v>
      </c>
      <c r="BB17" s="5">
        <v>4</v>
      </c>
      <c r="BC17" s="8">
        <v>0.5</v>
      </c>
      <c r="BD17" s="8">
        <v>0.2353</v>
      </c>
      <c r="BE17" s="5">
        <v>4046</v>
      </c>
      <c r="BF17" s="5">
        <v>17</v>
      </c>
      <c r="BG17" s="3"/>
    </row>
    <row r="18" spans="1:59">
      <c r="A18" t="str">
        <f t="shared" si="0"/>
        <v>2022-09-05XXXX-111</v>
      </c>
      <c r="B18" s="3" t="s">
        <v>196</v>
      </c>
      <c r="C18" s="3" t="s">
        <v>173</v>
      </c>
      <c r="D18" s="3"/>
      <c r="E18" s="3" t="s">
        <v>23</v>
      </c>
      <c r="F18" s="3"/>
      <c r="G18" s="4">
        <v>13.99</v>
      </c>
      <c r="H18" s="5">
        <v>835</v>
      </c>
      <c r="I18" s="5">
        <v>0</v>
      </c>
      <c r="J18" s="5">
        <v>23</v>
      </c>
      <c r="K18" s="5">
        <v>22</v>
      </c>
      <c r="L18" s="6">
        <v>321.77</v>
      </c>
      <c r="M18" s="6">
        <v>321.77</v>
      </c>
      <c r="N18" s="5">
        <v>0</v>
      </c>
      <c r="O18" s="6">
        <v>0</v>
      </c>
      <c r="P18" s="5">
        <v>0</v>
      </c>
      <c r="Q18" s="5">
        <v>0</v>
      </c>
      <c r="R18" s="6">
        <v>0</v>
      </c>
      <c r="S18" s="5">
        <v>0</v>
      </c>
      <c r="T18" s="6">
        <v>13.99</v>
      </c>
      <c r="U18" s="7">
        <v>0.4</v>
      </c>
      <c r="V18" s="3"/>
      <c r="W18" s="3"/>
      <c r="X18" s="5">
        <v>0</v>
      </c>
      <c r="Y18" s="8">
        <v>0</v>
      </c>
      <c r="Z18" s="7">
        <v>0</v>
      </c>
      <c r="AA18" s="5">
        <v>0</v>
      </c>
      <c r="AB18" s="8">
        <v>0</v>
      </c>
      <c r="AC18" s="6">
        <v>0</v>
      </c>
      <c r="AD18" s="6">
        <v>30.29</v>
      </c>
      <c r="AE18" s="8">
        <v>0.163</v>
      </c>
      <c r="AF18" s="8">
        <v>3.7123</v>
      </c>
      <c r="AG18" s="5">
        <v>0</v>
      </c>
      <c r="AH18" s="8">
        <v>0</v>
      </c>
      <c r="AI18" s="5">
        <v>64</v>
      </c>
      <c r="AJ18" s="5">
        <v>139</v>
      </c>
      <c r="AK18" s="5">
        <v>203</v>
      </c>
      <c r="AL18" s="5">
        <v>82</v>
      </c>
      <c r="AM18" s="5">
        <v>168</v>
      </c>
      <c r="AN18" s="5">
        <v>250</v>
      </c>
      <c r="AO18" s="8">
        <v>0.99</v>
      </c>
      <c r="AP18" s="8">
        <v>0.1084</v>
      </c>
      <c r="AQ18" s="8">
        <v>0.1133</v>
      </c>
      <c r="AR18" s="6">
        <v>1.18</v>
      </c>
      <c r="AS18" s="8">
        <v>0.0038</v>
      </c>
      <c r="AT18" s="6">
        <v>-18.89</v>
      </c>
      <c r="AU18" s="9">
        <v>0</v>
      </c>
      <c r="AV18" s="8">
        <v>1</v>
      </c>
      <c r="AW18" s="8">
        <v>0.0587</v>
      </c>
      <c r="AX18" s="8">
        <v>0</v>
      </c>
      <c r="AY18" s="3"/>
      <c r="AZ18" s="6">
        <v>4.5</v>
      </c>
      <c r="BA18" s="6">
        <v>0</v>
      </c>
      <c r="BB18" s="5">
        <v>0</v>
      </c>
      <c r="BC18" s="8">
        <v>0</v>
      </c>
      <c r="BD18" s="8">
        <v>0</v>
      </c>
      <c r="BE18" s="5">
        <v>4194</v>
      </c>
      <c r="BF18" s="5">
        <v>16</v>
      </c>
      <c r="BG18" s="3"/>
    </row>
    <row r="19" spans="1:59">
      <c r="A19" t="str">
        <f t="shared" si="0"/>
        <v>2022-09-06XXXX-111</v>
      </c>
      <c r="B19" s="3" t="s">
        <v>197</v>
      </c>
      <c r="C19" s="3" t="s">
        <v>173</v>
      </c>
      <c r="D19" s="3"/>
      <c r="E19" s="3" t="s">
        <v>23</v>
      </c>
      <c r="F19" s="3"/>
      <c r="G19" s="4">
        <v>13.99</v>
      </c>
      <c r="H19" s="5">
        <v>863</v>
      </c>
      <c r="I19" s="5">
        <v>0</v>
      </c>
      <c r="J19" s="5">
        <v>17</v>
      </c>
      <c r="K19" s="5">
        <v>16</v>
      </c>
      <c r="L19" s="6">
        <v>237.83</v>
      </c>
      <c r="M19" s="6">
        <v>237.83</v>
      </c>
      <c r="N19" s="5">
        <v>1</v>
      </c>
      <c r="O19" s="6">
        <v>13.99</v>
      </c>
      <c r="P19" s="5">
        <v>1</v>
      </c>
      <c r="Q19" s="5">
        <v>0</v>
      </c>
      <c r="R19" s="6">
        <v>0</v>
      </c>
      <c r="S19" s="5">
        <v>0</v>
      </c>
      <c r="T19" s="6">
        <v>13.99</v>
      </c>
      <c r="U19" s="7">
        <v>0.3</v>
      </c>
      <c r="V19" s="3"/>
      <c r="W19" s="3"/>
      <c r="X19" s="5">
        <v>0</v>
      </c>
      <c r="Y19" s="8">
        <v>0</v>
      </c>
      <c r="Z19" s="7">
        <v>0</v>
      </c>
      <c r="AA19" s="5">
        <v>0</v>
      </c>
      <c r="AB19" s="8">
        <v>0</v>
      </c>
      <c r="AC19" s="6">
        <v>0</v>
      </c>
      <c r="AD19" s="6">
        <v>54.47</v>
      </c>
      <c r="AE19" s="8">
        <v>0.1926</v>
      </c>
      <c r="AF19" s="8">
        <v>3.5316</v>
      </c>
      <c r="AG19" s="5">
        <v>0</v>
      </c>
      <c r="AH19" s="8">
        <v>0</v>
      </c>
      <c r="AI19" s="5">
        <v>37</v>
      </c>
      <c r="AJ19" s="5">
        <v>101</v>
      </c>
      <c r="AK19" s="5">
        <v>138</v>
      </c>
      <c r="AL19" s="5">
        <v>52</v>
      </c>
      <c r="AM19" s="5">
        <v>128</v>
      </c>
      <c r="AN19" s="5">
        <v>180</v>
      </c>
      <c r="AO19" s="8">
        <v>0.98</v>
      </c>
      <c r="AP19" s="8">
        <v>0.1159</v>
      </c>
      <c r="AQ19" s="8">
        <v>0.1232</v>
      </c>
      <c r="AR19" s="6">
        <v>1.13</v>
      </c>
      <c r="AS19" s="8">
        <v>0.0042</v>
      </c>
      <c r="AT19" s="6">
        <v>-20.37</v>
      </c>
      <c r="AU19" s="9">
        <v>0</v>
      </c>
      <c r="AV19" s="8">
        <v>1</v>
      </c>
      <c r="AW19" s="8">
        <v>0.0856</v>
      </c>
      <c r="AX19" s="8">
        <v>0</v>
      </c>
      <c r="AY19" s="3"/>
      <c r="AZ19" s="6">
        <v>4.79</v>
      </c>
      <c r="BA19" s="6">
        <v>0</v>
      </c>
      <c r="BB19" s="5">
        <v>0</v>
      </c>
      <c r="BC19" s="8">
        <v>0</v>
      </c>
      <c r="BD19" s="8">
        <v>0</v>
      </c>
      <c r="BE19" s="5">
        <v>4253</v>
      </c>
      <c r="BF19" s="5">
        <v>18</v>
      </c>
      <c r="BG19" s="3"/>
    </row>
    <row r="20" spans="1:59">
      <c r="A20" t="str">
        <f t="shared" si="0"/>
        <v>2022-09-07XXXX-111</v>
      </c>
      <c r="B20" s="3" t="s">
        <v>198</v>
      </c>
      <c r="C20" s="3" t="s">
        <v>173</v>
      </c>
      <c r="D20" s="3"/>
      <c r="E20" s="3" t="s">
        <v>23</v>
      </c>
      <c r="F20" s="3"/>
      <c r="G20" s="4">
        <v>13.99</v>
      </c>
      <c r="H20" s="5">
        <v>842</v>
      </c>
      <c r="I20" s="5">
        <v>0</v>
      </c>
      <c r="J20" s="5">
        <v>11</v>
      </c>
      <c r="K20" s="5">
        <v>11</v>
      </c>
      <c r="L20" s="6">
        <v>153.89</v>
      </c>
      <c r="M20" s="6">
        <v>153.89</v>
      </c>
      <c r="N20" s="5">
        <v>1</v>
      </c>
      <c r="O20" s="6">
        <v>13.99</v>
      </c>
      <c r="P20" s="5">
        <v>1</v>
      </c>
      <c r="Q20" s="5">
        <v>0</v>
      </c>
      <c r="R20" s="6">
        <v>0</v>
      </c>
      <c r="S20" s="5">
        <v>0</v>
      </c>
      <c r="T20" s="6">
        <v>13.99</v>
      </c>
      <c r="U20" s="7">
        <v>0.2</v>
      </c>
      <c r="V20" s="3"/>
      <c r="W20" s="3"/>
      <c r="X20" s="5">
        <v>0</v>
      </c>
      <c r="Y20" s="8">
        <v>0</v>
      </c>
      <c r="Z20" s="7">
        <v>0</v>
      </c>
      <c r="AA20" s="5">
        <v>0</v>
      </c>
      <c r="AB20" s="8">
        <v>0</v>
      </c>
      <c r="AC20" s="6">
        <v>0</v>
      </c>
      <c r="AD20" s="6">
        <v>40.68</v>
      </c>
      <c r="AE20" s="8">
        <v>0.1711</v>
      </c>
      <c r="AF20" s="8">
        <v>3.2427</v>
      </c>
      <c r="AG20" s="5">
        <v>0</v>
      </c>
      <c r="AH20" s="8">
        <v>0</v>
      </c>
      <c r="AI20" s="5">
        <v>43</v>
      </c>
      <c r="AJ20" s="5">
        <v>99</v>
      </c>
      <c r="AK20" s="5">
        <v>142</v>
      </c>
      <c r="AL20" s="5">
        <v>68</v>
      </c>
      <c r="AM20" s="5">
        <v>115</v>
      </c>
      <c r="AN20" s="5">
        <v>183</v>
      </c>
      <c r="AO20" s="8">
        <v>0.98</v>
      </c>
      <c r="AP20" s="8">
        <v>0.0775</v>
      </c>
      <c r="AQ20" s="8">
        <v>0.0775</v>
      </c>
      <c r="AR20" s="6">
        <v>1.11</v>
      </c>
      <c r="AS20" s="8">
        <v>0.0034</v>
      </c>
      <c r="AT20" s="6">
        <v>-22.15</v>
      </c>
      <c r="AU20" s="9">
        <v>1.26</v>
      </c>
      <c r="AV20" s="8">
        <v>0.7916</v>
      </c>
      <c r="AW20" s="8">
        <v>0.1439</v>
      </c>
      <c r="AX20" s="8">
        <v>0.1818</v>
      </c>
      <c r="AY20" s="6">
        <v>11.07</v>
      </c>
      <c r="AZ20" s="6">
        <v>3.73</v>
      </c>
      <c r="BA20" s="6">
        <v>27.98</v>
      </c>
      <c r="BB20" s="5">
        <v>2</v>
      </c>
      <c r="BC20" s="8">
        <v>0.1818</v>
      </c>
      <c r="BD20" s="8">
        <v>0.1</v>
      </c>
      <c r="BE20" s="5">
        <v>5936</v>
      </c>
      <c r="BF20" s="5">
        <v>20</v>
      </c>
      <c r="BG20" s="3"/>
    </row>
    <row r="21" spans="1:59">
      <c r="A21" t="str">
        <f t="shared" si="0"/>
        <v>2022-09-08XXXX-111</v>
      </c>
      <c r="B21" s="3" t="s">
        <v>199</v>
      </c>
      <c r="C21" s="3" t="s">
        <v>173</v>
      </c>
      <c r="D21" s="3"/>
      <c r="E21" s="3" t="s">
        <v>23</v>
      </c>
      <c r="F21" s="3"/>
      <c r="G21" s="4">
        <v>13.99</v>
      </c>
      <c r="H21" s="5">
        <v>838</v>
      </c>
      <c r="I21" s="5">
        <v>0</v>
      </c>
      <c r="J21" s="5">
        <v>12</v>
      </c>
      <c r="K21" s="5">
        <v>12</v>
      </c>
      <c r="L21" s="6">
        <v>167.88</v>
      </c>
      <c r="M21" s="6">
        <v>167.88</v>
      </c>
      <c r="N21" s="5">
        <v>0</v>
      </c>
      <c r="O21" s="6">
        <v>0</v>
      </c>
      <c r="P21" s="5">
        <v>0</v>
      </c>
      <c r="Q21" s="5">
        <v>0</v>
      </c>
      <c r="R21" s="6">
        <v>0</v>
      </c>
      <c r="S21" s="5">
        <v>0</v>
      </c>
      <c r="T21" s="6">
        <v>13.99</v>
      </c>
      <c r="U21" s="7">
        <v>0.2</v>
      </c>
      <c r="V21" s="3"/>
      <c r="W21" s="3"/>
      <c r="X21" s="5">
        <v>0</v>
      </c>
      <c r="Y21" s="8">
        <v>0</v>
      </c>
      <c r="Z21" s="7">
        <v>0</v>
      </c>
      <c r="AA21" s="5">
        <v>0</v>
      </c>
      <c r="AB21" s="8">
        <v>0</v>
      </c>
      <c r="AC21" s="6">
        <v>0</v>
      </c>
      <c r="AD21" s="6">
        <v>23.06</v>
      </c>
      <c r="AE21" s="8">
        <v>0.1373</v>
      </c>
      <c r="AF21" s="8">
        <v>3.3465</v>
      </c>
      <c r="AG21" s="5">
        <v>0</v>
      </c>
      <c r="AH21" s="8">
        <v>0</v>
      </c>
      <c r="AI21" s="5">
        <v>41</v>
      </c>
      <c r="AJ21" s="5">
        <v>81</v>
      </c>
      <c r="AK21" s="5">
        <v>122</v>
      </c>
      <c r="AL21" s="5">
        <v>58</v>
      </c>
      <c r="AM21" s="5">
        <v>101</v>
      </c>
      <c r="AN21" s="5">
        <v>159</v>
      </c>
      <c r="AO21" s="8">
        <v>0.98</v>
      </c>
      <c r="AP21" s="8">
        <v>0.0984</v>
      </c>
      <c r="AQ21" s="8">
        <v>0.0984</v>
      </c>
      <c r="AR21" s="6">
        <v>1.15</v>
      </c>
      <c r="AS21" s="8">
        <v>0.0028</v>
      </c>
      <c r="AT21" s="6">
        <v>-20.65</v>
      </c>
      <c r="AU21" s="9">
        <v>2.03</v>
      </c>
      <c r="AV21" s="8">
        <v>0.492</v>
      </c>
      <c r="AW21" s="8">
        <v>0.123</v>
      </c>
      <c r="AX21" s="8">
        <v>0.25</v>
      </c>
      <c r="AY21" s="6">
        <v>6.88</v>
      </c>
      <c r="AZ21" s="6">
        <v>3.26</v>
      </c>
      <c r="BA21" s="6">
        <v>41.97</v>
      </c>
      <c r="BB21" s="5">
        <v>3</v>
      </c>
      <c r="BC21" s="8">
        <v>0.25</v>
      </c>
      <c r="BD21" s="8">
        <v>0.1667</v>
      </c>
      <c r="BE21" s="5">
        <v>6325</v>
      </c>
      <c r="BF21" s="5">
        <v>18</v>
      </c>
      <c r="BG21" s="3"/>
    </row>
    <row r="22" spans="1:59">
      <c r="A22" t="str">
        <f t="shared" si="0"/>
        <v>2022-09-09XXXX-111</v>
      </c>
      <c r="B22" s="3" t="s">
        <v>200</v>
      </c>
      <c r="C22" s="3" t="s">
        <v>173</v>
      </c>
      <c r="D22" s="3"/>
      <c r="E22" s="3" t="s">
        <v>23</v>
      </c>
      <c r="F22" s="3"/>
      <c r="G22" s="4">
        <v>13.99</v>
      </c>
      <c r="H22" s="5">
        <v>843</v>
      </c>
      <c r="I22" s="5">
        <v>0</v>
      </c>
      <c r="J22" s="5">
        <v>9</v>
      </c>
      <c r="K22" s="5">
        <v>9</v>
      </c>
      <c r="L22" s="6">
        <v>125.91</v>
      </c>
      <c r="M22" s="6">
        <v>125.91</v>
      </c>
      <c r="N22" s="5">
        <v>1</v>
      </c>
      <c r="O22" s="6">
        <v>13.99</v>
      </c>
      <c r="P22" s="5">
        <v>1</v>
      </c>
      <c r="Q22" s="5">
        <v>0</v>
      </c>
      <c r="R22" s="6">
        <v>0</v>
      </c>
      <c r="S22" s="5">
        <v>0</v>
      </c>
      <c r="T22" s="6">
        <v>13.99</v>
      </c>
      <c r="U22" s="7">
        <v>0.2</v>
      </c>
      <c r="V22" s="3"/>
      <c r="W22" s="3"/>
      <c r="X22" s="5">
        <v>0</v>
      </c>
      <c r="Y22" s="8">
        <v>0</v>
      </c>
      <c r="Z22" s="7">
        <v>3</v>
      </c>
      <c r="AA22" s="5">
        <v>1</v>
      </c>
      <c r="AB22" s="8">
        <v>0</v>
      </c>
      <c r="AC22" s="6">
        <v>0</v>
      </c>
      <c r="AD22" s="6">
        <v>10.64</v>
      </c>
      <c r="AE22" s="8">
        <v>0.095</v>
      </c>
      <c r="AF22" s="8">
        <v>3.2881</v>
      </c>
      <c r="AG22" s="5">
        <v>0</v>
      </c>
      <c r="AH22" s="8">
        <v>0</v>
      </c>
      <c r="AI22" s="5">
        <v>29</v>
      </c>
      <c r="AJ22" s="5">
        <v>73</v>
      </c>
      <c r="AK22" s="5">
        <v>102</v>
      </c>
      <c r="AL22" s="5">
        <v>39</v>
      </c>
      <c r="AM22" s="5">
        <v>96</v>
      </c>
      <c r="AN22" s="5">
        <v>135</v>
      </c>
      <c r="AO22" s="8">
        <v>0.96</v>
      </c>
      <c r="AP22" s="8">
        <v>0.0882</v>
      </c>
      <c r="AQ22" s="8">
        <v>0.0882</v>
      </c>
      <c r="AR22" s="6">
        <v>1.13</v>
      </c>
      <c r="AS22" s="8">
        <v>0.0037</v>
      </c>
      <c r="AT22" s="6">
        <v>-19.25</v>
      </c>
      <c r="AU22" s="9">
        <v>1.45</v>
      </c>
      <c r="AV22" s="8">
        <v>0.688</v>
      </c>
      <c r="AW22" s="8">
        <v>0.1529</v>
      </c>
      <c r="AX22" s="8">
        <v>0.2222</v>
      </c>
      <c r="AY22" s="6">
        <v>9.62</v>
      </c>
      <c r="AZ22" s="6">
        <v>4.16</v>
      </c>
      <c r="BA22" s="6">
        <v>27.98</v>
      </c>
      <c r="BB22" s="5">
        <v>2</v>
      </c>
      <c r="BC22" s="8">
        <v>0.2222</v>
      </c>
      <c r="BD22" s="8">
        <v>0.1176</v>
      </c>
      <c r="BE22" s="5">
        <v>4629</v>
      </c>
      <c r="BF22" s="5">
        <v>17</v>
      </c>
      <c r="BG22" s="3"/>
    </row>
    <row r="23" spans="1:59">
      <c r="A23" t="str">
        <f t="shared" si="0"/>
        <v>2022-09-10XXXX-111</v>
      </c>
      <c r="B23" s="3" t="s">
        <v>201</v>
      </c>
      <c r="C23" s="3" t="s">
        <v>173</v>
      </c>
      <c r="D23" s="3"/>
      <c r="E23" s="3" t="s">
        <v>23</v>
      </c>
      <c r="F23" s="3"/>
      <c r="G23" s="4">
        <v>13.99</v>
      </c>
      <c r="H23" s="5">
        <v>830</v>
      </c>
      <c r="I23" s="5">
        <v>0</v>
      </c>
      <c r="J23" s="5">
        <v>11</v>
      </c>
      <c r="K23" s="5">
        <v>11</v>
      </c>
      <c r="L23" s="6">
        <v>153.89</v>
      </c>
      <c r="M23" s="6">
        <v>153.89</v>
      </c>
      <c r="N23" s="5">
        <v>0</v>
      </c>
      <c r="O23" s="6">
        <v>0</v>
      </c>
      <c r="P23" s="5">
        <v>0</v>
      </c>
      <c r="Q23" s="5">
        <v>0</v>
      </c>
      <c r="R23" s="6">
        <v>0</v>
      </c>
      <c r="S23" s="5">
        <v>0</v>
      </c>
      <c r="T23" s="6">
        <v>13.99</v>
      </c>
      <c r="U23" s="7">
        <v>0.2</v>
      </c>
      <c r="V23" s="3"/>
      <c r="W23" s="3"/>
      <c r="X23" s="5">
        <v>0</v>
      </c>
      <c r="Y23" s="8">
        <v>0</v>
      </c>
      <c r="Z23" s="7">
        <v>3</v>
      </c>
      <c r="AA23" s="5">
        <v>1</v>
      </c>
      <c r="AB23" s="8">
        <v>0</v>
      </c>
      <c r="AC23" s="6">
        <v>0</v>
      </c>
      <c r="AD23" s="6">
        <v>28.77</v>
      </c>
      <c r="AE23" s="8">
        <v>0.1563</v>
      </c>
      <c r="AF23" s="8">
        <v>3.3188</v>
      </c>
      <c r="AG23" s="5">
        <v>0</v>
      </c>
      <c r="AH23" s="8">
        <v>0</v>
      </c>
      <c r="AI23" s="5">
        <v>41</v>
      </c>
      <c r="AJ23" s="5">
        <v>131</v>
      </c>
      <c r="AK23" s="5">
        <v>172</v>
      </c>
      <c r="AL23" s="5">
        <v>54</v>
      </c>
      <c r="AM23" s="5">
        <v>153</v>
      </c>
      <c r="AN23" s="5">
        <v>207</v>
      </c>
      <c r="AO23" s="8">
        <v>0.99</v>
      </c>
      <c r="AP23" s="8">
        <v>0.064</v>
      </c>
      <c r="AQ23" s="8">
        <v>0.064</v>
      </c>
      <c r="AR23" s="6">
        <v>1.1</v>
      </c>
      <c r="AS23" s="8">
        <v>0.0045</v>
      </c>
      <c r="AT23" s="6">
        <v>-19.79</v>
      </c>
      <c r="AU23" s="9">
        <v>1.41</v>
      </c>
      <c r="AV23" s="8">
        <v>0.7073</v>
      </c>
      <c r="AW23" s="8">
        <v>0.1286</v>
      </c>
      <c r="AX23" s="8">
        <v>0.1818</v>
      </c>
      <c r="AY23" s="6">
        <v>9.89</v>
      </c>
      <c r="AZ23" s="6">
        <v>4.91</v>
      </c>
      <c r="BA23" s="6">
        <v>27.98</v>
      </c>
      <c r="BB23" s="5">
        <v>2</v>
      </c>
      <c r="BC23" s="8">
        <v>0.1818</v>
      </c>
      <c r="BD23" s="8">
        <v>0.1111</v>
      </c>
      <c r="BE23" s="5">
        <v>4027</v>
      </c>
      <c r="BF23" s="5">
        <v>18</v>
      </c>
      <c r="BG23" s="3"/>
    </row>
    <row r="24" spans="1:59">
      <c r="A24" t="str">
        <f t="shared" si="0"/>
        <v>2022-09-11XXXX-111</v>
      </c>
      <c r="B24" s="3" t="s">
        <v>202</v>
      </c>
      <c r="C24" s="3" t="s">
        <v>173</v>
      </c>
      <c r="D24" s="3"/>
      <c r="E24" s="3" t="s">
        <v>23</v>
      </c>
      <c r="F24" s="3"/>
      <c r="G24" s="4">
        <v>13.99</v>
      </c>
      <c r="H24" s="5">
        <v>818</v>
      </c>
      <c r="I24" s="5">
        <v>0</v>
      </c>
      <c r="J24" s="5">
        <v>14</v>
      </c>
      <c r="K24" s="5">
        <v>14</v>
      </c>
      <c r="L24" s="6">
        <v>195.86</v>
      </c>
      <c r="M24" s="6">
        <v>195.86</v>
      </c>
      <c r="N24" s="5">
        <v>0</v>
      </c>
      <c r="O24" s="6">
        <v>0</v>
      </c>
      <c r="P24" s="5">
        <v>0</v>
      </c>
      <c r="Q24" s="5">
        <v>0</v>
      </c>
      <c r="R24" s="6">
        <v>0</v>
      </c>
      <c r="S24" s="5">
        <v>0</v>
      </c>
      <c r="T24" s="6">
        <v>13.99</v>
      </c>
      <c r="U24" s="7">
        <v>0.2</v>
      </c>
      <c r="V24" s="3"/>
      <c r="W24" s="3"/>
      <c r="X24" s="5">
        <v>0</v>
      </c>
      <c r="Y24" s="8">
        <v>0</v>
      </c>
      <c r="Z24" s="7">
        <v>3</v>
      </c>
      <c r="AA24" s="5">
        <v>1</v>
      </c>
      <c r="AB24" s="8">
        <v>0</v>
      </c>
      <c r="AC24" s="6">
        <v>0</v>
      </c>
      <c r="AD24" s="6">
        <v>18.01</v>
      </c>
      <c r="AE24" s="8">
        <v>0.1288</v>
      </c>
      <c r="AF24" s="8">
        <v>3.4455</v>
      </c>
      <c r="AG24" s="5">
        <v>1</v>
      </c>
      <c r="AH24" s="8">
        <v>0.0714</v>
      </c>
      <c r="AI24" s="5">
        <v>46</v>
      </c>
      <c r="AJ24" s="5">
        <v>158</v>
      </c>
      <c r="AK24" s="5">
        <v>204</v>
      </c>
      <c r="AL24" s="5">
        <v>60</v>
      </c>
      <c r="AM24" s="5">
        <v>182</v>
      </c>
      <c r="AN24" s="5">
        <v>242</v>
      </c>
      <c r="AO24" s="8">
        <v>0.98</v>
      </c>
      <c r="AP24" s="8">
        <v>0.0686</v>
      </c>
      <c r="AQ24" s="8">
        <v>0.0686</v>
      </c>
      <c r="AR24" s="6">
        <v>1.19</v>
      </c>
      <c r="AS24" s="8">
        <v>0.0032</v>
      </c>
      <c r="AT24" s="6">
        <v>-20.18</v>
      </c>
      <c r="AU24" s="9">
        <v>1.39</v>
      </c>
      <c r="AV24" s="8">
        <v>0.7212</v>
      </c>
      <c r="AW24" s="8">
        <v>0.103</v>
      </c>
      <c r="AX24" s="8">
        <v>0.1429</v>
      </c>
      <c r="AY24" s="6">
        <v>10.09</v>
      </c>
      <c r="AZ24" s="6">
        <v>3.75</v>
      </c>
      <c r="BA24" s="6">
        <v>27.98</v>
      </c>
      <c r="BB24" s="5">
        <v>2</v>
      </c>
      <c r="BC24" s="8">
        <v>0.1429</v>
      </c>
      <c r="BD24" s="8">
        <v>0.1176</v>
      </c>
      <c r="BE24" s="5">
        <v>5376</v>
      </c>
      <c r="BF24" s="5">
        <v>17</v>
      </c>
      <c r="BG24" s="3"/>
    </row>
    <row r="25" spans="1:59">
      <c r="A25" t="str">
        <f t="shared" si="0"/>
        <v>2022-09-12XXXX-111</v>
      </c>
      <c r="B25" s="3" t="s">
        <v>203</v>
      </c>
      <c r="C25" s="3" t="s">
        <v>173</v>
      </c>
      <c r="D25" s="3"/>
      <c r="E25" s="3" t="s">
        <v>23</v>
      </c>
      <c r="F25" s="3"/>
      <c r="G25" s="4">
        <v>13.99</v>
      </c>
      <c r="H25" s="5">
        <v>807</v>
      </c>
      <c r="I25" s="5">
        <v>0</v>
      </c>
      <c r="J25" s="5">
        <v>18</v>
      </c>
      <c r="K25" s="5">
        <v>18</v>
      </c>
      <c r="L25" s="6">
        <v>251.82</v>
      </c>
      <c r="M25" s="6">
        <v>251.82</v>
      </c>
      <c r="N25" s="5">
        <v>1</v>
      </c>
      <c r="O25" s="6">
        <v>13.99</v>
      </c>
      <c r="P25" s="5">
        <v>1</v>
      </c>
      <c r="Q25" s="5">
        <v>0</v>
      </c>
      <c r="R25" s="6">
        <v>0</v>
      </c>
      <c r="S25" s="5">
        <v>0</v>
      </c>
      <c r="T25" s="6">
        <v>13.99</v>
      </c>
      <c r="U25" s="7">
        <v>0.3</v>
      </c>
      <c r="V25" s="3"/>
      <c r="W25" s="3"/>
      <c r="X25" s="5">
        <v>0</v>
      </c>
      <c r="Y25" s="8">
        <v>0</v>
      </c>
      <c r="Z25" s="7">
        <v>4.6</v>
      </c>
      <c r="AA25" s="5">
        <v>16</v>
      </c>
      <c r="AB25" s="8">
        <v>0</v>
      </c>
      <c r="AC25" s="6">
        <v>0</v>
      </c>
      <c r="AD25" s="6">
        <v>42.39</v>
      </c>
      <c r="AE25" s="8">
        <v>0.1894</v>
      </c>
      <c r="AF25" s="8">
        <v>3.5725</v>
      </c>
      <c r="AG25" s="5">
        <v>0</v>
      </c>
      <c r="AH25" s="8">
        <v>0</v>
      </c>
      <c r="AI25" s="5">
        <v>54</v>
      </c>
      <c r="AJ25" s="5">
        <v>111</v>
      </c>
      <c r="AK25" s="5">
        <v>165</v>
      </c>
      <c r="AL25" s="5">
        <v>77</v>
      </c>
      <c r="AM25" s="5">
        <v>131</v>
      </c>
      <c r="AN25" s="5">
        <v>208</v>
      </c>
      <c r="AO25" s="8">
        <v>0.99</v>
      </c>
      <c r="AP25" s="8">
        <v>0.1091</v>
      </c>
      <c r="AQ25" s="8">
        <v>0.1091</v>
      </c>
      <c r="AR25" s="6">
        <v>1.08</v>
      </c>
      <c r="AS25" s="8">
        <v>0.0035</v>
      </c>
      <c r="AT25" s="6">
        <v>-19.49</v>
      </c>
      <c r="AU25" s="9">
        <v>2.15</v>
      </c>
      <c r="AV25" s="8">
        <v>0.4644</v>
      </c>
      <c r="AW25" s="8">
        <v>0.0774</v>
      </c>
      <c r="AX25" s="8">
        <v>0.1667</v>
      </c>
      <c r="AY25" s="6">
        <v>6.5</v>
      </c>
      <c r="AZ25" s="6">
        <v>3.79</v>
      </c>
      <c r="BA25" s="6">
        <v>41.97</v>
      </c>
      <c r="BB25" s="5">
        <v>3</v>
      </c>
      <c r="BC25" s="8">
        <v>0.1667</v>
      </c>
      <c r="BD25" s="8">
        <v>0.1667</v>
      </c>
      <c r="BE25" s="5">
        <v>5139</v>
      </c>
      <c r="BF25" s="5">
        <v>18</v>
      </c>
      <c r="BG25" s="3"/>
    </row>
    <row r="26" spans="1:59">
      <c r="A26" t="str">
        <f t="shared" si="0"/>
        <v>2022-09-13XXXX-111</v>
      </c>
      <c r="B26" s="3" t="s">
        <v>204</v>
      </c>
      <c r="C26" s="3" t="s">
        <v>173</v>
      </c>
      <c r="D26" s="3"/>
      <c r="E26" s="3" t="s">
        <v>23</v>
      </c>
      <c r="F26" s="3"/>
      <c r="G26" s="4">
        <v>13.99</v>
      </c>
      <c r="H26" s="5">
        <v>781</v>
      </c>
      <c r="I26" s="5">
        <v>0</v>
      </c>
      <c r="J26" s="5">
        <v>19</v>
      </c>
      <c r="K26" s="5">
        <v>19</v>
      </c>
      <c r="L26" s="6">
        <v>265.81</v>
      </c>
      <c r="M26" s="6">
        <v>265.81</v>
      </c>
      <c r="N26" s="5">
        <v>0</v>
      </c>
      <c r="O26" s="6">
        <v>0</v>
      </c>
      <c r="P26" s="5">
        <v>0</v>
      </c>
      <c r="Q26" s="5">
        <v>0</v>
      </c>
      <c r="R26" s="6">
        <v>0</v>
      </c>
      <c r="S26" s="5">
        <v>0</v>
      </c>
      <c r="T26" s="6">
        <v>13.99</v>
      </c>
      <c r="U26" s="7">
        <v>0.3</v>
      </c>
      <c r="V26" s="3"/>
      <c r="W26" s="3"/>
      <c r="X26" s="5">
        <v>0</v>
      </c>
      <c r="Y26" s="8">
        <v>0</v>
      </c>
      <c r="Z26" s="7">
        <v>4.6</v>
      </c>
      <c r="AA26" s="5">
        <v>16</v>
      </c>
      <c r="AB26" s="8">
        <v>0</v>
      </c>
      <c r="AC26" s="6">
        <v>0</v>
      </c>
      <c r="AD26" s="6">
        <v>77.09</v>
      </c>
      <c r="AE26" s="8">
        <v>0.2755</v>
      </c>
      <c r="AF26" s="8">
        <v>4.024</v>
      </c>
      <c r="AG26" s="5">
        <v>0</v>
      </c>
      <c r="AH26" s="8">
        <v>0</v>
      </c>
      <c r="AI26" s="5">
        <v>55</v>
      </c>
      <c r="AJ26" s="5">
        <v>120</v>
      </c>
      <c r="AK26" s="5">
        <v>175</v>
      </c>
      <c r="AL26" s="5">
        <v>71</v>
      </c>
      <c r="AM26" s="5">
        <v>151</v>
      </c>
      <c r="AN26" s="5">
        <v>222</v>
      </c>
      <c r="AO26" s="8">
        <v>0.98</v>
      </c>
      <c r="AP26" s="8">
        <v>0.1086</v>
      </c>
      <c r="AQ26" s="8">
        <v>0.1086</v>
      </c>
      <c r="AR26" s="3"/>
      <c r="AS26" s="8">
        <v>0</v>
      </c>
      <c r="AT26" s="6">
        <v>0</v>
      </c>
      <c r="AU26" s="9">
        <v>0</v>
      </c>
      <c r="AV26" s="8">
        <v>0</v>
      </c>
      <c r="AW26" s="8">
        <v>0</v>
      </c>
      <c r="AX26" s="8">
        <v>0</v>
      </c>
      <c r="AY26" s="3"/>
      <c r="AZ26" s="6">
        <v>0</v>
      </c>
      <c r="BA26" s="6">
        <v>0</v>
      </c>
      <c r="BB26" s="5">
        <v>0</v>
      </c>
      <c r="BC26" s="8">
        <v>0</v>
      </c>
      <c r="BD26" s="8">
        <v>0</v>
      </c>
      <c r="BE26" s="5">
        <v>0</v>
      </c>
      <c r="BF26" s="5">
        <v>0</v>
      </c>
      <c r="BG26" s="3"/>
    </row>
    <row r="27" spans="1:59">
      <c r="A27" t="str">
        <f t="shared" si="0"/>
        <v>2022-09-14XXXX-111</v>
      </c>
      <c r="B27" s="3" t="s">
        <v>205</v>
      </c>
      <c r="C27" s="3" t="s">
        <v>173</v>
      </c>
      <c r="D27" s="3"/>
      <c r="E27" s="3" t="s">
        <v>23</v>
      </c>
      <c r="F27" s="3"/>
      <c r="G27" s="4">
        <v>13.99</v>
      </c>
      <c r="H27" s="5">
        <v>759</v>
      </c>
      <c r="I27" s="5">
        <v>0</v>
      </c>
      <c r="J27" s="5">
        <v>21</v>
      </c>
      <c r="K27" s="5">
        <v>21</v>
      </c>
      <c r="L27" s="6">
        <v>293.79</v>
      </c>
      <c r="M27" s="6">
        <v>293.79</v>
      </c>
      <c r="N27" s="5">
        <v>0</v>
      </c>
      <c r="O27" s="6">
        <v>0</v>
      </c>
      <c r="P27" s="5">
        <v>0</v>
      </c>
      <c r="Q27" s="5">
        <v>0</v>
      </c>
      <c r="R27" s="6">
        <v>0</v>
      </c>
      <c r="S27" s="5">
        <v>0</v>
      </c>
      <c r="T27" s="6">
        <v>13.99</v>
      </c>
      <c r="U27" s="7">
        <v>0.4</v>
      </c>
      <c r="V27" s="3"/>
      <c r="W27" s="3"/>
      <c r="X27" s="5">
        <v>0</v>
      </c>
      <c r="Y27" s="8">
        <v>0</v>
      </c>
      <c r="Z27" s="7">
        <v>4.6</v>
      </c>
      <c r="AA27" s="5">
        <v>16</v>
      </c>
      <c r="AB27" s="8">
        <v>0</v>
      </c>
      <c r="AC27" s="6">
        <v>0</v>
      </c>
      <c r="AD27" s="6">
        <v>75.64</v>
      </c>
      <c r="AE27" s="8">
        <v>0.2846</v>
      </c>
      <c r="AF27" s="8">
        <v>4.0627</v>
      </c>
      <c r="AG27" s="5">
        <v>0</v>
      </c>
      <c r="AH27" s="8">
        <v>0</v>
      </c>
      <c r="AI27" s="5">
        <v>59</v>
      </c>
      <c r="AJ27" s="5">
        <v>141</v>
      </c>
      <c r="AK27" s="5">
        <v>200</v>
      </c>
      <c r="AL27" s="5">
        <v>91</v>
      </c>
      <c r="AM27" s="5">
        <v>172</v>
      </c>
      <c r="AN27" s="5">
        <v>263</v>
      </c>
      <c r="AO27" s="8">
        <v>0.98</v>
      </c>
      <c r="AP27" s="8">
        <v>0.105</v>
      </c>
      <c r="AQ27" s="8">
        <v>0.105</v>
      </c>
      <c r="AR27" s="3"/>
      <c r="AS27" s="8">
        <v>0</v>
      </c>
      <c r="AT27" s="6">
        <v>0</v>
      </c>
      <c r="AU27" s="9">
        <v>0</v>
      </c>
      <c r="AV27" s="8">
        <v>0</v>
      </c>
      <c r="AW27" s="8">
        <v>0</v>
      </c>
      <c r="AX27" s="8">
        <v>0</v>
      </c>
      <c r="AY27" s="3"/>
      <c r="AZ27" s="6">
        <v>0</v>
      </c>
      <c r="BA27" s="6">
        <v>0</v>
      </c>
      <c r="BB27" s="5">
        <v>0</v>
      </c>
      <c r="BC27" s="8">
        <v>0</v>
      </c>
      <c r="BD27" s="8">
        <v>0</v>
      </c>
      <c r="BE27" s="5">
        <v>0</v>
      </c>
      <c r="BF27" s="5">
        <v>0</v>
      </c>
      <c r="BG27" s="3"/>
    </row>
    <row r="28" spans="1:59">
      <c r="A28" t="str">
        <f t="shared" si="0"/>
        <v>2022-09-15XXXX-111</v>
      </c>
      <c r="B28" s="3" t="s">
        <v>206</v>
      </c>
      <c r="C28" s="3" t="s">
        <v>173</v>
      </c>
      <c r="D28" s="3"/>
      <c r="E28" s="3" t="s">
        <v>23</v>
      </c>
      <c r="F28" s="3"/>
      <c r="G28" s="4">
        <v>13.99</v>
      </c>
      <c r="H28" s="5">
        <v>736</v>
      </c>
      <c r="I28" s="5">
        <v>0</v>
      </c>
      <c r="J28" s="5">
        <v>22</v>
      </c>
      <c r="K28" s="5">
        <v>22</v>
      </c>
      <c r="L28" s="6">
        <v>307.78</v>
      </c>
      <c r="M28" s="6">
        <v>307.78</v>
      </c>
      <c r="N28" s="5">
        <v>0</v>
      </c>
      <c r="O28" s="6">
        <v>0</v>
      </c>
      <c r="P28" s="5">
        <v>0</v>
      </c>
      <c r="Q28" s="5">
        <v>0</v>
      </c>
      <c r="R28" s="6">
        <v>0</v>
      </c>
      <c r="S28" s="5">
        <v>0</v>
      </c>
      <c r="T28" s="6">
        <v>13.99</v>
      </c>
      <c r="U28" s="7">
        <v>0.4</v>
      </c>
      <c r="V28" s="3"/>
      <c r="W28" s="3"/>
      <c r="X28" s="5">
        <v>0</v>
      </c>
      <c r="Y28" s="8">
        <v>0</v>
      </c>
      <c r="Z28" s="7">
        <v>4.6</v>
      </c>
      <c r="AA28" s="5">
        <v>16</v>
      </c>
      <c r="AB28" s="8">
        <v>0</v>
      </c>
      <c r="AC28" s="6">
        <v>0</v>
      </c>
      <c r="AD28" s="6">
        <v>57.52</v>
      </c>
      <c r="AE28" s="8">
        <v>0.2252</v>
      </c>
      <c r="AF28" s="8">
        <v>3.9561</v>
      </c>
      <c r="AG28" s="5">
        <v>0</v>
      </c>
      <c r="AH28" s="8">
        <v>0</v>
      </c>
      <c r="AI28" s="5">
        <v>53</v>
      </c>
      <c r="AJ28" s="5">
        <v>123</v>
      </c>
      <c r="AK28" s="5">
        <v>176</v>
      </c>
      <c r="AL28" s="5">
        <v>78</v>
      </c>
      <c r="AM28" s="5">
        <v>147</v>
      </c>
      <c r="AN28" s="5">
        <v>225</v>
      </c>
      <c r="AO28" s="8">
        <v>0.97</v>
      </c>
      <c r="AP28" s="8">
        <v>0.125</v>
      </c>
      <c r="AQ28" s="8">
        <v>0.125</v>
      </c>
      <c r="AR28" s="3"/>
      <c r="AS28" s="8">
        <v>0</v>
      </c>
      <c r="AT28" s="6">
        <v>0</v>
      </c>
      <c r="AU28" s="9">
        <v>0</v>
      </c>
      <c r="AV28" s="8">
        <v>0</v>
      </c>
      <c r="AW28" s="8">
        <v>0</v>
      </c>
      <c r="AX28" s="8">
        <v>0</v>
      </c>
      <c r="AY28" s="3"/>
      <c r="AZ28" s="6">
        <v>0</v>
      </c>
      <c r="BA28" s="6">
        <v>0</v>
      </c>
      <c r="BB28" s="5">
        <v>0</v>
      </c>
      <c r="BC28" s="8">
        <v>0</v>
      </c>
      <c r="BD28" s="8">
        <v>0</v>
      </c>
      <c r="BE28" s="5">
        <v>0</v>
      </c>
      <c r="BF28" s="5">
        <v>0</v>
      </c>
      <c r="BG28" s="3"/>
    </row>
    <row r="29" spans="1:59">
      <c r="A29" t="str">
        <f t="shared" si="0"/>
        <v>2022-09-16XXXX-111</v>
      </c>
      <c r="B29" s="3" t="s">
        <v>207</v>
      </c>
      <c r="C29" s="3" t="s">
        <v>173</v>
      </c>
      <c r="D29" s="3"/>
      <c r="E29" s="3" t="s">
        <v>23</v>
      </c>
      <c r="F29" s="3"/>
      <c r="G29" s="4">
        <v>13.99</v>
      </c>
      <c r="H29" s="5">
        <v>706</v>
      </c>
      <c r="I29" s="5">
        <v>0</v>
      </c>
      <c r="J29" s="5">
        <v>29</v>
      </c>
      <c r="K29" s="5">
        <v>29</v>
      </c>
      <c r="L29" s="6">
        <v>413.71</v>
      </c>
      <c r="M29" s="6">
        <v>413.71</v>
      </c>
      <c r="N29" s="5">
        <v>0</v>
      </c>
      <c r="O29" s="6">
        <v>0</v>
      </c>
      <c r="P29" s="5">
        <v>0</v>
      </c>
      <c r="Q29" s="5">
        <v>0</v>
      </c>
      <c r="R29" s="6">
        <v>0</v>
      </c>
      <c r="S29" s="5">
        <v>0</v>
      </c>
      <c r="T29" s="6">
        <v>14.27</v>
      </c>
      <c r="U29" s="7">
        <v>0.5</v>
      </c>
      <c r="V29" s="3"/>
      <c r="W29" s="3"/>
      <c r="X29" s="5">
        <v>0</v>
      </c>
      <c r="Y29" s="8">
        <v>0</v>
      </c>
      <c r="Z29" s="7">
        <v>4.6</v>
      </c>
      <c r="AA29" s="5">
        <v>16</v>
      </c>
      <c r="AB29" s="8">
        <v>0</v>
      </c>
      <c r="AC29" s="6">
        <v>0</v>
      </c>
      <c r="AD29" s="6">
        <v>79.12</v>
      </c>
      <c r="AE29" s="8">
        <v>0.2693</v>
      </c>
      <c r="AF29" s="8">
        <v>4.0538</v>
      </c>
      <c r="AG29" s="5">
        <v>0</v>
      </c>
      <c r="AH29" s="8">
        <v>0</v>
      </c>
      <c r="AI29" s="5">
        <v>61</v>
      </c>
      <c r="AJ29" s="5">
        <v>126</v>
      </c>
      <c r="AK29" s="5">
        <v>187</v>
      </c>
      <c r="AL29" s="5">
        <v>79</v>
      </c>
      <c r="AM29" s="5">
        <v>149</v>
      </c>
      <c r="AN29" s="5">
        <v>228</v>
      </c>
      <c r="AO29" s="8">
        <v>0.97</v>
      </c>
      <c r="AP29" s="8">
        <v>0.1551</v>
      </c>
      <c r="AQ29" s="8">
        <v>0.1551</v>
      </c>
      <c r="AR29" s="3"/>
      <c r="AS29" s="8">
        <v>0</v>
      </c>
      <c r="AT29" s="6">
        <v>0</v>
      </c>
      <c r="AU29" s="9">
        <v>0</v>
      </c>
      <c r="AV29" s="8">
        <v>0</v>
      </c>
      <c r="AW29" s="8">
        <v>0</v>
      </c>
      <c r="AX29" s="8">
        <v>0</v>
      </c>
      <c r="AY29" s="3"/>
      <c r="AZ29" s="6">
        <v>0</v>
      </c>
      <c r="BA29" s="6">
        <v>0</v>
      </c>
      <c r="BB29" s="5">
        <v>0</v>
      </c>
      <c r="BC29" s="8">
        <v>0</v>
      </c>
      <c r="BD29" s="8">
        <v>0</v>
      </c>
      <c r="BE29" s="5">
        <v>0</v>
      </c>
      <c r="BF29" s="5">
        <v>0</v>
      </c>
      <c r="BG29" s="3"/>
    </row>
    <row r="30" spans="1:59">
      <c r="A30" t="str">
        <f t="shared" si="0"/>
        <v>2022-09-17XXXX-111</v>
      </c>
      <c r="B30" s="3" t="s">
        <v>208</v>
      </c>
      <c r="C30" s="3" t="s">
        <v>173</v>
      </c>
      <c r="D30" s="3"/>
      <c r="E30" s="3" t="s">
        <v>23</v>
      </c>
      <c r="F30" s="3"/>
      <c r="G30" s="4">
        <v>15.99</v>
      </c>
      <c r="H30" s="5">
        <v>682</v>
      </c>
      <c r="I30" s="5">
        <v>0</v>
      </c>
      <c r="J30" s="5">
        <v>18</v>
      </c>
      <c r="K30" s="5">
        <v>18</v>
      </c>
      <c r="L30" s="6">
        <v>287.82</v>
      </c>
      <c r="M30" s="6">
        <v>275.51</v>
      </c>
      <c r="N30" s="5">
        <v>0</v>
      </c>
      <c r="O30" s="6">
        <v>0</v>
      </c>
      <c r="P30" s="5">
        <v>0</v>
      </c>
      <c r="Q30" s="5">
        <v>0</v>
      </c>
      <c r="R30" s="6">
        <v>0</v>
      </c>
      <c r="S30" s="5">
        <v>0</v>
      </c>
      <c r="T30" s="6">
        <v>15.31</v>
      </c>
      <c r="U30" s="7">
        <v>0.3</v>
      </c>
      <c r="V30" s="3"/>
      <c r="W30" s="3"/>
      <c r="X30" s="5">
        <v>1</v>
      </c>
      <c r="Y30" s="8">
        <v>0.0556</v>
      </c>
      <c r="Z30" s="7">
        <v>4.6</v>
      </c>
      <c r="AA30" s="5">
        <v>16</v>
      </c>
      <c r="AB30" s="8">
        <v>0</v>
      </c>
      <c r="AC30" s="6">
        <v>0</v>
      </c>
      <c r="AD30" s="6">
        <v>106.15</v>
      </c>
      <c r="AE30" s="8">
        <v>0.2694</v>
      </c>
      <c r="AF30" s="8">
        <v>4.6646</v>
      </c>
      <c r="AG30" s="5">
        <v>0</v>
      </c>
      <c r="AH30" s="8">
        <v>0</v>
      </c>
      <c r="AI30" s="5">
        <v>67</v>
      </c>
      <c r="AJ30" s="5">
        <v>174</v>
      </c>
      <c r="AK30" s="5">
        <v>241</v>
      </c>
      <c r="AL30" s="5">
        <v>93</v>
      </c>
      <c r="AM30" s="5">
        <v>207</v>
      </c>
      <c r="AN30" s="5">
        <v>300</v>
      </c>
      <c r="AO30" s="8">
        <v>0.98</v>
      </c>
      <c r="AP30" s="8">
        <v>0.0747</v>
      </c>
      <c r="AQ30" s="8">
        <v>0.0747</v>
      </c>
      <c r="AR30" s="3"/>
      <c r="AS30" s="8">
        <v>0</v>
      </c>
      <c r="AT30" s="6">
        <v>0</v>
      </c>
      <c r="AU30" s="9">
        <v>0</v>
      </c>
      <c r="AV30" s="8">
        <v>0</v>
      </c>
      <c r="AW30" s="8">
        <v>0</v>
      </c>
      <c r="AX30" s="8">
        <v>0</v>
      </c>
      <c r="AY30" s="3"/>
      <c r="AZ30" s="6">
        <v>0</v>
      </c>
      <c r="BA30" s="6">
        <v>0</v>
      </c>
      <c r="BB30" s="5">
        <v>0</v>
      </c>
      <c r="BC30" s="8">
        <v>0</v>
      </c>
      <c r="BD30" s="8">
        <v>0</v>
      </c>
      <c r="BE30" s="5">
        <v>0</v>
      </c>
      <c r="BF30" s="5">
        <v>0</v>
      </c>
      <c r="BG30" s="3"/>
    </row>
    <row r="31" spans="1:59">
      <c r="A31" t="str">
        <f t="shared" si="0"/>
        <v>2022-09-18XXXX-111</v>
      </c>
      <c r="B31" s="3" t="s">
        <v>209</v>
      </c>
      <c r="C31" s="3" t="s">
        <v>173</v>
      </c>
      <c r="D31" s="3"/>
      <c r="E31" s="3" t="s">
        <v>23</v>
      </c>
      <c r="F31" s="3"/>
      <c r="G31" s="4">
        <v>15.99</v>
      </c>
      <c r="H31" s="5">
        <v>653</v>
      </c>
      <c r="I31" s="5">
        <v>0</v>
      </c>
      <c r="J31" s="5">
        <v>40</v>
      </c>
      <c r="K31" s="5">
        <v>40</v>
      </c>
      <c r="L31" s="6">
        <v>639.6</v>
      </c>
      <c r="M31" s="6">
        <v>627.29</v>
      </c>
      <c r="N31" s="5">
        <v>0</v>
      </c>
      <c r="O31" s="6">
        <v>0</v>
      </c>
      <c r="P31" s="5">
        <v>0</v>
      </c>
      <c r="Q31" s="5">
        <v>0</v>
      </c>
      <c r="R31" s="6">
        <v>0</v>
      </c>
      <c r="S31" s="5">
        <v>0</v>
      </c>
      <c r="T31" s="6">
        <v>15.68</v>
      </c>
      <c r="U31" s="7">
        <v>0.7</v>
      </c>
      <c r="V31" s="3"/>
      <c r="W31" s="3"/>
      <c r="X31" s="5">
        <v>1</v>
      </c>
      <c r="Y31" s="8">
        <v>0.025</v>
      </c>
      <c r="Z31" s="7">
        <v>4.6</v>
      </c>
      <c r="AA31" s="5">
        <v>16</v>
      </c>
      <c r="AB31" s="8">
        <v>0</v>
      </c>
      <c r="AC31" s="6">
        <v>0</v>
      </c>
      <c r="AD31" s="6">
        <v>112.65</v>
      </c>
      <c r="AE31" s="8">
        <v>0.303</v>
      </c>
      <c r="AF31" s="8">
        <v>4.6687</v>
      </c>
      <c r="AG31" s="5">
        <v>1</v>
      </c>
      <c r="AH31" s="8">
        <v>0.025</v>
      </c>
      <c r="AI31" s="5">
        <v>96</v>
      </c>
      <c r="AJ31" s="5">
        <v>245</v>
      </c>
      <c r="AK31" s="5">
        <v>341</v>
      </c>
      <c r="AL31" s="5">
        <v>128</v>
      </c>
      <c r="AM31" s="5">
        <v>303</v>
      </c>
      <c r="AN31" s="5">
        <v>431</v>
      </c>
      <c r="AO31" s="8">
        <v>0.97</v>
      </c>
      <c r="AP31" s="8">
        <v>0.1173</v>
      </c>
      <c r="AQ31" s="8">
        <v>0.1173</v>
      </c>
      <c r="AR31" s="3"/>
      <c r="AS31" s="8">
        <v>0</v>
      </c>
      <c r="AT31" s="6">
        <v>0</v>
      </c>
      <c r="AU31" s="9">
        <v>0</v>
      </c>
      <c r="AV31" s="8">
        <v>0</v>
      </c>
      <c r="AW31" s="8">
        <v>0</v>
      </c>
      <c r="AX31" s="8">
        <v>0</v>
      </c>
      <c r="AY31" s="3"/>
      <c r="AZ31" s="6">
        <v>0</v>
      </c>
      <c r="BA31" s="6">
        <v>0</v>
      </c>
      <c r="BB31" s="5">
        <v>0</v>
      </c>
      <c r="BC31" s="8">
        <v>0</v>
      </c>
      <c r="BD31" s="8">
        <v>0</v>
      </c>
      <c r="BE31" s="5">
        <v>0</v>
      </c>
      <c r="BF31" s="5">
        <v>0</v>
      </c>
      <c r="BG31" s="3"/>
    </row>
    <row r="32" spans="1:59">
      <c r="A32" t="str">
        <f t="shared" si="0"/>
        <v>2022-09-19XXXX-111</v>
      </c>
      <c r="B32" s="3" t="s">
        <v>210</v>
      </c>
      <c r="C32" s="3" t="s">
        <v>173</v>
      </c>
      <c r="D32" s="3"/>
      <c r="E32" s="3" t="s">
        <v>23</v>
      </c>
      <c r="F32" s="3"/>
      <c r="G32" s="4">
        <v>16.99</v>
      </c>
      <c r="H32" s="5">
        <v>612</v>
      </c>
      <c r="I32" s="5">
        <v>0</v>
      </c>
      <c r="J32" s="5">
        <v>28</v>
      </c>
      <c r="K32" s="5">
        <v>28</v>
      </c>
      <c r="L32" s="6">
        <v>475.72</v>
      </c>
      <c r="M32" s="6">
        <v>475.72</v>
      </c>
      <c r="N32" s="5">
        <v>0</v>
      </c>
      <c r="O32" s="6">
        <v>0</v>
      </c>
      <c r="P32" s="5">
        <v>0</v>
      </c>
      <c r="Q32" s="5">
        <v>0</v>
      </c>
      <c r="R32" s="6">
        <v>0</v>
      </c>
      <c r="S32" s="5">
        <v>0</v>
      </c>
      <c r="T32" s="6">
        <v>16.99</v>
      </c>
      <c r="U32" s="7">
        <v>0.5</v>
      </c>
      <c r="V32" s="3"/>
      <c r="W32" s="3"/>
      <c r="X32" s="5">
        <v>0</v>
      </c>
      <c r="Y32" s="8">
        <v>0</v>
      </c>
      <c r="Z32" s="7">
        <v>4.6</v>
      </c>
      <c r="AA32" s="5">
        <v>16</v>
      </c>
      <c r="AB32" s="8">
        <v>0.0357</v>
      </c>
      <c r="AC32" s="6">
        <v>0</v>
      </c>
      <c r="AD32" s="6">
        <v>165.68</v>
      </c>
      <c r="AE32" s="8">
        <v>0.3527</v>
      </c>
      <c r="AF32" s="8">
        <v>5.0258</v>
      </c>
      <c r="AG32" s="5">
        <v>0</v>
      </c>
      <c r="AH32" s="8">
        <v>0</v>
      </c>
      <c r="AI32" s="5">
        <v>78</v>
      </c>
      <c r="AJ32" s="5">
        <v>147</v>
      </c>
      <c r="AK32" s="5">
        <v>225</v>
      </c>
      <c r="AL32" s="5">
        <v>103</v>
      </c>
      <c r="AM32" s="5">
        <v>175</v>
      </c>
      <c r="AN32" s="5">
        <v>278</v>
      </c>
      <c r="AO32" s="8">
        <v>0.98</v>
      </c>
      <c r="AP32" s="8">
        <v>0.1244</v>
      </c>
      <c r="AQ32" s="8">
        <v>0.1244</v>
      </c>
      <c r="AR32" s="3"/>
      <c r="AS32" s="8">
        <v>0</v>
      </c>
      <c r="AT32" s="6">
        <v>0</v>
      </c>
      <c r="AU32" s="9">
        <v>0</v>
      </c>
      <c r="AV32" s="8">
        <v>0</v>
      </c>
      <c r="AW32" s="8">
        <v>0</v>
      </c>
      <c r="AX32" s="8">
        <v>0</v>
      </c>
      <c r="AY32" s="3"/>
      <c r="AZ32" s="6">
        <v>0</v>
      </c>
      <c r="BA32" s="6">
        <v>0</v>
      </c>
      <c r="BB32" s="5">
        <v>0</v>
      </c>
      <c r="BC32" s="8">
        <v>0</v>
      </c>
      <c r="BD32" s="8">
        <v>0</v>
      </c>
      <c r="BE32" s="5">
        <v>0</v>
      </c>
      <c r="BF32" s="5">
        <v>0</v>
      </c>
      <c r="BG32" s="3"/>
    </row>
    <row r="33" spans="1:59">
      <c r="A33" t="str">
        <f t="shared" si="0"/>
        <v>2022-09-20XXXX-111</v>
      </c>
      <c r="B33" s="3" t="s">
        <v>211</v>
      </c>
      <c r="C33" s="3" t="s">
        <v>173</v>
      </c>
      <c r="D33" s="3"/>
      <c r="E33" s="3" t="s">
        <v>23</v>
      </c>
      <c r="F33" s="3"/>
      <c r="G33" s="4">
        <v>16.99</v>
      </c>
      <c r="H33" s="5">
        <v>584</v>
      </c>
      <c r="I33" s="5">
        <v>0</v>
      </c>
      <c r="J33" s="5">
        <v>26</v>
      </c>
      <c r="K33" s="5">
        <v>26</v>
      </c>
      <c r="L33" s="6">
        <v>441.74</v>
      </c>
      <c r="M33" s="6">
        <v>441.74</v>
      </c>
      <c r="N33" s="5">
        <v>2</v>
      </c>
      <c r="O33" s="6">
        <v>33.98</v>
      </c>
      <c r="P33" s="5">
        <v>2</v>
      </c>
      <c r="Q33" s="5">
        <v>0</v>
      </c>
      <c r="R33" s="6">
        <v>0</v>
      </c>
      <c r="S33" s="5">
        <v>0</v>
      </c>
      <c r="T33" s="6">
        <v>16.99</v>
      </c>
      <c r="U33" s="7">
        <v>0.5</v>
      </c>
      <c r="V33" s="3"/>
      <c r="W33" s="3"/>
      <c r="X33" s="5">
        <v>0</v>
      </c>
      <c r="Y33" s="8">
        <v>0</v>
      </c>
      <c r="Z33" s="7">
        <v>4.7</v>
      </c>
      <c r="AA33" s="5">
        <v>18</v>
      </c>
      <c r="AB33" s="8">
        <v>0</v>
      </c>
      <c r="AC33" s="6">
        <v>0</v>
      </c>
      <c r="AD33" s="6">
        <v>196.97</v>
      </c>
      <c r="AE33" s="8">
        <v>0.3344</v>
      </c>
      <c r="AF33" s="8">
        <v>5.0189</v>
      </c>
      <c r="AG33" s="5">
        <v>0</v>
      </c>
      <c r="AH33" s="8">
        <v>0</v>
      </c>
      <c r="AI33" s="5">
        <v>91</v>
      </c>
      <c r="AJ33" s="5">
        <v>144</v>
      </c>
      <c r="AK33" s="5">
        <v>235</v>
      </c>
      <c r="AL33" s="5">
        <v>120</v>
      </c>
      <c r="AM33" s="5">
        <v>183</v>
      </c>
      <c r="AN33" s="5">
        <v>303</v>
      </c>
      <c r="AO33" s="8">
        <v>0.97</v>
      </c>
      <c r="AP33" s="8">
        <v>0.1106</v>
      </c>
      <c r="AQ33" s="8">
        <v>0.1106</v>
      </c>
      <c r="AR33" s="3"/>
      <c r="AS33" s="8">
        <v>0</v>
      </c>
      <c r="AT33" s="6">
        <v>0</v>
      </c>
      <c r="AU33" s="9">
        <v>0</v>
      </c>
      <c r="AV33" s="8">
        <v>0</v>
      </c>
      <c r="AW33" s="8">
        <v>0</v>
      </c>
      <c r="AX33" s="8">
        <v>0</v>
      </c>
      <c r="AY33" s="3"/>
      <c r="AZ33" s="6">
        <v>0</v>
      </c>
      <c r="BA33" s="6">
        <v>0</v>
      </c>
      <c r="BB33" s="5">
        <v>0</v>
      </c>
      <c r="BC33" s="8">
        <v>0</v>
      </c>
      <c r="BD33" s="8">
        <v>0</v>
      </c>
      <c r="BE33" s="5">
        <v>0</v>
      </c>
      <c r="BF33" s="5">
        <v>0</v>
      </c>
      <c r="BG33" s="3"/>
    </row>
    <row r="34" spans="1:59">
      <c r="A34" t="str">
        <f t="shared" si="0"/>
        <v>2022-09-21XXXX-111</v>
      </c>
      <c r="B34" s="3" t="s">
        <v>212</v>
      </c>
      <c r="C34" s="3" t="s">
        <v>173</v>
      </c>
      <c r="D34" s="3"/>
      <c r="E34" s="3" t="s">
        <v>23</v>
      </c>
      <c r="F34" s="3"/>
      <c r="G34" s="4">
        <v>16.99</v>
      </c>
      <c r="H34" s="5">
        <v>572</v>
      </c>
      <c r="I34" s="5">
        <v>0</v>
      </c>
      <c r="J34" s="5">
        <v>21</v>
      </c>
      <c r="K34" s="5">
        <v>21</v>
      </c>
      <c r="L34" s="6">
        <v>356.79</v>
      </c>
      <c r="M34" s="6">
        <v>356.79</v>
      </c>
      <c r="N34" s="5">
        <v>0</v>
      </c>
      <c r="O34" s="6">
        <v>0</v>
      </c>
      <c r="P34" s="5">
        <v>0</v>
      </c>
      <c r="Q34" s="5">
        <v>0</v>
      </c>
      <c r="R34" s="6">
        <v>0</v>
      </c>
      <c r="S34" s="5">
        <v>0</v>
      </c>
      <c r="T34" s="6">
        <v>16.99</v>
      </c>
      <c r="U34" s="7">
        <v>0.4</v>
      </c>
      <c r="V34" s="3"/>
      <c r="W34" s="3"/>
      <c r="X34" s="5">
        <v>0</v>
      </c>
      <c r="Y34" s="8">
        <v>0</v>
      </c>
      <c r="Z34" s="7">
        <v>4.7</v>
      </c>
      <c r="AA34" s="5">
        <v>18</v>
      </c>
      <c r="AB34" s="8">
        <v>0</v>
      </c>
      <c r="AC34" s="6">
        <v>0</v>
      </c>
      <c r="AD34" s="6">
        <v>136.59</v>
      </c>
      <c r="AE34" s="8">
        <v>0.3343</v>
      </c>
      <c r="AF34" s="8">
        <v>5.1586</v>
      </c>
      <c r="AG34" s="5">
        <v>0</v>
      </c>
      <c r="AH34" s="8">
        <v>0</v>
      </c>
      <c r="AI34" s="5">
        <v>88</v>
      </c>
      <c r="AJ34" s="5">
        <v>138</v>
      </c>
      <c r="AK34" s="5">
        <v>226</v>
      </c>
      <c r="AL34" s="5">
        <v>121</v>
      </c>
      <c r="AM34" s="5">
        <v>186</v>
      </c>
      <c r="AN34" s="5">
        <v>307</v>
      </c>
      <c r="AO34" s="8">
        <v>0.98</v>
      </c>
      <c r="AP34" s="8">
        <v>0.0929</v>
      </c>
      <c r="AQ34" s="8">
        <v>0.0929</v>
      </c>
      <c r="AR34" s="3"/>
      <c r="AS34" s="8">
        <v>0</v>
      </c>
      <c r="AT34" s="6">
        <v>0</v>
      </c>
      <c r="AU34" s="9">
        <v>0</v>
      </c>
      <c r="AV34" s="8">
        <v>0</v>
      </c>
      <c r="AW34" s="8">
        <v>0</v>
      </c>
      <c r="AX34" s="8">
        <v>0</v>
      </c>
      <c r="AY34" s="3"/>
      <c r="AZ34" s="6">
        <v>0</v>
      </c>
      <c r="BA34" s="6">
        <v>0</v>
      </c>
      <c r="BB34" s="5">
        <v>0</v>
      </c>
      <c r="BC34" s="8">
        <v>0</v>
      </c>
      <c r="BD34" s="8">
        <v>0</v>
      </c>
      <c r="BE34" s="5">
        <v>0</v>
      </c>
      <c r="BF34" s="5">
        <v>0</v>
      </c>
      <c r="BG34" s="3"/>
    </row>
    <row r="35" spans="1:59">
      <c r="A35" t="str">
        <f t="shared" si="0"/>
        <v>2022-09-22XXXX-111</v>
      </c>
      <c r="B35" s="3" t="s">
        <v>213</v>
      </c>
      <c r="C35" s="3" t="s">
        <v>173</v>
      </c>
      <c r="D35" s="3"/>
      <c r="E35" s="3" t="s">
        <v>23</v>
      </c>
      <c r="F35" s="3"/>
      <c r="G35" s="4">
        <v>16.99</v>
      </c>
      <c r="H35" s="5">
        <v>546</v>
      </c>
      <c r="I35" s="5">
        <v>0</v>
      </c>
      <c r="J35" s="5">
        <v>35</v>
      </c>
      <c r="K35" s="5">
        <v>35</v>
      </c>
      <c r="L35" s="6">
        <v>594.65</v>
      </c>
      <c r="M35" s="6">
        <v>594.65</v>
      </c>
      <c r="N35" s="5">
        <v>2</v>
      </c>
      <c r="O35" s="6">
        <v>33.98</v>
      </c>
      <c r="P35" s="5">
        <v>2</v>
      </c>
      <c r="Q35" s="5">
        <v>0</v>
      </c>
      <c r="R35" s="6">
        <v>0</v>
      </c>
      <c r="S35" s="5">
        <v>0</v>
      </c>
      <c r="T35" s="6">
        <v>16.99</v>
      </c>
      <c r="U35" s="7">
        <v>0.6</v>
      </c>
      <c r="V35" s="3"/>
      <c r="W35" s="3"/>
      <c r="X35" s="5">
        <v>0</v>
      </c>
      <c r="Y35" s="8">
        <v>0</v>
      </c>
      <c r="Z35" s="7">
        <v>4.7</v>
      </c>
      <c r="AA35" s="5">
        <v>18</v>
      </c>
      <c r="AB35" s="8">
        <v>0</v>
      </c>
      <c r="AC35" s="6">
        <v>0</v>
      </c>
      <c r="AD35" s="6">
        <v>127.92</v>
      </c>
      <c r="AE35" s="8">
        <v>0.371</v>
      </c>
      <c r="AF35" s="8">
        <v>5.091</v>
      </c>
      <c r="AG35" s="5">
        <v>1</v>
      </c>
      <c r="AH35" s="8">
        <v>0.0286</v>
      </c>
      <c r="AI35" s="5">
        <v>76</v>
      </c>
      <c r="AJ35" s="5">
        <v>144</v>
      </c>
      <c r="AK35" s="5">
        <v>220</v>
      </c>
      <c r="AL35" s="5">
        <v>100</v>
      </c>
      <c r="AM35" s="5">
        <v>179</v>
      </c>
      <c r="AN35" s="5">
        <v>279</v>
      </c>
      <c r="AO35" s="8">
        <v>0.99</v>
      </c>
      <c r="AP35" s="8">
        <v>0.1591</v>
      </c>
      <c r="AQ35" s="8">
        <v>0.1591</v>
      </c>
      <c r="AR35" s="3"/>
      <c r="AS35" s="8">
        <v>0</v>
      </c>
      <c r="AT35" s="6">
        <v>0</v>
      </c>
      <c r="AU35" s="9">
        <v>0</v>
      </c>
      <c r="AV35" s="8">
        <v>0</v>
      </c>
      <c r="AW35" s="8">
        <v>0</v>
      </c>
      <c r="AX35" s="8">
        <v>0</v>
      </c>
      <c r="AY35" s="3"/>
      <c r="AZ35" s="6">
        <v>0</v>
      </c>
      <c r="BA35" s="6">
        <v>0</v>
      </c>
      <c r="BB35" s="5">
        <v>0</v>
      </c>
      <c r="BC35" s="8">
        <v>0</v>
      </c>
      <c r="BD35" s="8">
        <v>0</v>
      </c>
      <c r="BE35" s="5">
        <v>0</v>
      </c>
      <c r="BF35" s="5">
        <v>0</v>
      </c>
      <c r="BG35" s="3"/>
    </row>
    <row r="36" spans="1:59">
      <c r="A36" t="str">
        <f t="shared" si="0"/>
        <v>2022-09-23XXXX-111</v>
      </c>
      <c r="B36" s="3" t="s">
        <v>214</v>
      </c>
      <c r="C36" s="3" t="s">
        <v>173</v>
      </c>
      <c r="D36" s="3"/>
      <c r="E36" s="3" t="s">
        <v>23</v>
      </c>
      <c r="F36" s="3"/>
      <c r="G36" s="4">
        <v>16.99</v>
      </c>
      <c r="H36" s="5">
        <v>530</v>
      </c>
      <c r="I36" s="5">
        <v>0</v>
      </c>
      <c r="J36" s="5">
        <v>27</v>
      </c>
      <c r="K36" s="5">
        <v>27</v>
      </c>
      <c r="L36" s="6">
        <v>458.73</v>
      </c>
      <c r="M36" s="6">
        <v>446.42</v>
      </c>
      <c r="N36" s="5">
        <v>0</v>
      </c>
      <c r="O36" s="6">
        <v>0</v>
      </c>
      <c r="P36" s="5">
        <v>0</v>
      </c>
      <c r="Q36" s="5">
        <v>0</v>
      </c>
      <c r="R36" s="6">
        <v>0</v>
      </c>
      <c r="S36" s="5">
        <v>0</v>
      </c>
      <c r="T36" s="6">
        <v>16.53</v>
      </c>
      <c r="U36" s="7">
        <v>0.5</v>
      </c>
      <c r="V36" s="3"/>
      <c r="W36" s="3"/>
      <c r="X36" s="5">
        <v>2</v>
      </c>
      <c r="Y36" s="8">
        <v>0.0741</v>
      </c>
      <c r="Z36" s="7">
        <v>4.7</v>
      </c>
      <c r="AA36" s="5">
        <v>21</v>
      </c>
      <c r="AB36" s="8">
        <v>0</v>
      </c>
      <c r="AC36" s="6">
        <v>0</v>
      </c>
      <c r="AD36" s="6">
        <v>195.34</v>
      </c>
      <c r="AE36" s="8">
        <v>0.3466</v>
      </c>
      <c r="AF36" s="8">
        <v>5.0606</v>
      </c>
      <c r="AG36" s="5">
        <v>0</v>
      </c>
      <c r="AH36" s="8">
        <v>0</v>
      </c>
      <c r="AI36" s="5">
        <v>67</v>
      </c>
      <c r="AJ36" s="5">
        <v>139</v>
      </c>
      <c r="AK36" s="5">
        <v>206</v>
      </c>
      <c r="AL36" s="5">
        <v>87</v>
      </c>
      <c r="AM36" s="5">
        <v>176</v>
      </c>
      <c r="AN36" s="5">
        <v>263</v>
      </c>
      <c r="AO36" s="8">
        <v>0.99</v>
      </c>
      <c r="AP36" s="8">
        <v>0.1311</v>
      </c>
      <c r="AQ36" s="8">
        <v>0.1311</v>
      </c>
      <c r="AR36" s="3"/>
      <c r="AS36" s="8">
        <v>0</v>
      </c>
      <c r="AT36" s="6">
        <v>0</v>
      </c>
      <c r="AU36" s="9">
        <v>0</v>
      </c>
      <c r="AV36" s="8">
        <v>0</v>
      </c>
      <c r="AW36" s="8">
        <v>0</v>
      </c>
      <c r="AX36" s="8">
        <v>0</v>
      </c>
      <c r="AY36" s="3"/>
      <c r="AZ36" s="6">
        <v>0</v>
      </c>
      <c r="BA36" s="6">
        <v>0</v>
      </c>
      <c r="BB36" s="5">
        <v>0</v>
      </c>
      <c r="BC36" s="8">
        <v>0</v>
      </c>
      <c r="BD36" s="8">
        <v>0</v>
      </c>
      <c r="BE36" s="5">
        <v>0</v>
      </c>
      <c r="BF36" s="5">
        <v>0</v>
      </c>
      <c r="BG36" s="3"/>
    </row>
    <row r="37" spans="1:59">
      <c r="A37" t="str">
        <f t="shared" si="0"/>
        <v>2022-09-24XXXX-111</v>
      </c>
      <c r="B37" s="3" t="s">
        <v>215</v>
      </c>
      <c r="C37" s="3" t="s">
        <v>173</v>
      </c>
      <c r="D37" s="3"/>
      <c r="E37" s="3" t="s">
        <v>23</v>
      </c>
      <c r="F37" s="3"/>
      <c r="G37" s="4">
        <v>16.99</v>
      </c>
      <c r="H37" s="5">
        <v>507</v>
      </c>
      <c r="I37" s="5">
        <v>0</v>
      </c>
      <c r="J37" s="5">
        <v>24</v>
      </c>
      <c r="K37" s="5">
        <v>24</v>
      </c>
      <c r="L37" s="6">
        <v>407.76</v>
      </c>
      <c r="M37" s="6">
        <v>407.76</v>
      </c>
      <c r="N37" s="5">
        <v>0</v>
      </c>
      <c r="O37" s="6">
        <v>0</v>
      </c>
      <c r="P37" s="5">
        <v>0</v>
      </c>
      <c r="Q37" s="5">
        <v>0</v>
      </c>
      <c r="R37" s="6">
        <v>0</v>
      </c>
      <c r="S37" s="5">
        <v>0</v>
      </c>
      <c r="T37" s="6">
        <v>16.99</v>
      </c>
      <c r="U37" s="7">
        <v>0.4</v>
      </c>
      <c r="V37" s="3"/>
      <c r="W37" s="3"/>
      <c r="X37" s="5">
        <v>0</v>
      </c>
      <c r="Y37" s="8">
        <v>0</v>
      </c>
      <c r="Z37" s="7">
        <v>4.7</v>
      </c>
      <c r="AA37" s="5">
        <v>21</v>
      </c>
      <c r="AB37" s="8">
        <v>0</v>
      </c>
      <c r="AC37" s="6">
        <v>0</v>
      </c>
      <c r="AD37" s="6">
        <v>153.31</v>
      </c>
      <c r="AE37" s="8">
        <v>0.3749</v>
      </c>
      <c r="AF37" s="8">
        <v>5.0189</v>
      </c>
      <c r="AG37" s="5">
        <v>0</v>
      </c>
      <c r="AH37" s="8">
        <v>0</v>
      </c>
      <c r="AI37" s="5">
        <v>73</v>
      </c>
      <c r="AJ37" s="5">
        <v>177</v>
      </c>
      <c r="AK37" s="5">
        <v>250</v>
      </c>
      <c r="AL37" s="5">
        <v>93</v>
      </c>
      <c r="AM37" s="5">
        <v>224</v>
      </c>
      <c r="AN37" s="5">
        <v>317</v>
      </c>
      <c r="AO37" s="8">
        <v>0.98</v>
      </c>
      <c r="AP37" s="8">
        <v>0.096</v>
      </c>
      <c r="AQ37" s="8">
        <v>0.096</v>
      </c>
      <c r="AR37" s="3"/>
      <c r="AS37" s="8">
        <v>0</v>
      </c>
      <c r="AT37" s="6">
        <v>0</v>
      </c>
      <c r="AU37" s="9">
        <v>0</v>
      </c>
      <c r="AV37" s="8">
        <v>0</v>
      </c>
      <c r="AW37" s="8">
        <v>0</v>
      </c>
      <c r="AX37" s="8">
        <v>0</v>
      </c>
      <c r="AY37" s="3"/>
      <c r="AZ37" s="6">
        <v>0</v>
      </c>
      <c r="BA37" s="6">
        <v>0</v>
      </c>
      <c r="BB37" s="5">
        <v>0</v>
      </c>
      <c r="BC37" s="8">
        <v>0</v>
      </c>
      <c r="BD37" s="8">
        <v>0</v>
      </c>
      <c r="BE37" s="5">
        <v>0</v>
      </c>
      <c r="BF37" s="5">
        <v>0</v>
      </c>
      <c r="BG37" s="3"/>
    </row>
    <row r="38" spans="1:59">
      <c r="A38" t="str">
        <f t="shared" si="0"/>
        <v>2022-09-25XXXX-111</v>
      </c>
      <c r="B38" s="3" t="s">
        <v>216</v>
      </c>
      <c r="C38" s="3" t="s">
        <v>173</v>
      </c>
      <c r="D38" s="3"/>
      <c r="E38" s="3" t="s">
        <v>23</v>
      </c>
      <c r="F38" s="3"/>
      <c r="G38" s="4">
        <v>16.99</v>
      </c>
      <c r="H38" s="5">
        <v>476</v>
      </c>
      <c r="I38" s="5">
        <v>0</v>
      </c>
      <c r="J38" s="5">
        <v>35</v>
      </c>
      <c r="K38" s="5">
        <v>35</v>
      </c>
      <c r="L38" s="6">
        <v>594.65</v>
      </c>
      <c r="M38" s="6">
        <v>594.65</v>
      </c>
      <c r="N38" s="5">
        <v>1</v>
      </c>
      <c r="O38" s="6">
        <v>16.99</v>
      </c>
      <c r="P38" s="5">
        <v>1</v>
      </c>
      <c r="Q38" s="5">
        <v>0</v>
      </c>
      <c r="R38" s="6">
        <v>0</v>
      </c>
      <c r="S38" s="5">
        <v>0</v>
      </c>
      <c r="T38" s="6">
        <v>16.99</v>
      </c>
      <c r="U38" s="7">
        <v>0.6</v>
      </c>
      <c r="V38" s="3"/>
      <c r="W38" s="3"/>
      <c r="X38" s="5">
        <v>0</v>
      </c>
      <c r="Y38" s="8">
        <v>0</v>
      </c>
      <c r="Z38" s="7">
        <v>4.7</v>
      </c>
      <c r="AA38" s="5">
        <v>21</v>
      </c>
      <c r="AB38" s="8">
        <v>0</v>
      </c>
      <c r="AC38" s="6">
        <v>0</v>
      </c>
      <c r="AD38" s="6">
        <v>171.36</v>
      </c>
      <c r="AE38" s="8">
        <v>0.3744</v>
      </c>
      <c r="AF38" s="8">
        <v>5.0246</v>
      </c>
      <c r="AG38" s="5">
        <v>0</v>
      </c>
      <c r="AH38" s="8">
        <v>0</v>
      </c>
      <c r="AI38" s="5">
        <v>99</v>
      </c>
      <c r="AJ38" s="5">
        <v>215</v>
      </c>
      <c r="AK38" s="5">
        <v>314</v>
      </c>
      <c r="AL38" s="5">
        <v>127</v>
      </c>
      <c r="AM38" s="5">
        <v>275</v>
      </c>
      <c r="AN38" s="5">
        <v>402</v>
      </c>
      <c r="AO38" s="8">
        <v>0.98</v>
      </c>
      <c r="AP38" s="8">
        <v>0.1115</v>
      </c>
      <c r="AQ38" s="8">
        <v>0.1115</v>
      </c>
      <c r="AR38" s="3"/>
      <c r="AS38" s="8">
        <v>0</v>
      </c>
      <c r="AT38" s="6">
        <v>0</v>
      </c>
      <c r="AU38" s="9">
        <v>0</v>
      </c>
      <c r="AV38" s="8">
        <v>0</v>
      </c>
      <c r="AW38" s="8">
        <v>0</v>
      </c>
      <c r="AX38" s="8">
        <v>0</v>
      </c>
      <c r="AY38" s="3"/>
      <c r="AZ38" s="6">
        <v>0</v>
      </c>
      <c r="BA38" s="6">
        <v>0</v>
      </c>
      <c r="BB38" s="5">
        <v>0</v>
      </c>
      <c r="BC38" s="8">
        <v>0</v>
      </c>
      <c r="BD38" s="8">
        <v>0</v>
      </c>
      <c r="BE38" s="5">
        <v>0</v>
      </c>
      <c r="BF38" s="5">
        <v>0</v>
      </c>
      <c r="BG38" s="3"/>
    </row>
    <row r="39" spans="1:59">
      <c r="A39" t="str">
        <f t="shared" si="0"/>
        <v>2022-09-26XXXX-111</v>
      </c>
      <c r="B39" s="3" t="s">
        <v>217</v>
      </c>
      <c r="C39" s="3" t="s">
        <v>173</v>
      </c>
      <c r="D39" s="3"/>
      <c r="E39" s="3" t="s">
        <v>23</v>
      </c>
      <c r="F39" s="3"/>
      <c r="G39" s="4">
        <v>17.99</v>
      </c>
      <c r="H39" s="5">
        <v>452</v>
      </c>
      <c r="I39" s="5">
        <v>0</v>
      </c>
      <c r="J39" s="5">
        <v>25</v>
      </c>
      <c r="K39" s="5">
        <v>25</v>
      </c>
      <c r="L39" s="6">
        <v>449.75</v>
      </c>
      <c r="M39" s="6">
        <v>434.8</v>
      </c>
      <c r="N39" s="5">
        <v>1</v>
      </c>
      <c r="O39" s="6">
        <v>17.99</v>
      </c>
      <c r="P39" s="5">
        <v>1</v>
      </c>
      <c r="Q39" s="5">
        <v>0</v>
      </c>
      <c r="R39" s="6">
        <v>0</v>
      </c>
      <c r="S39" s="5">
        <v>0</v>
      </c>
      <c r="T39" s="6">
        <v>17.39</v>
      </c>
      <c r="U39" s="7">
        <v>0.4</v>
      </c>
      <c r="V39" s="3"/>
      <c r="W39" s="3"/>
      <c r="X39" s="5">
        <v>1</v>
      </c>
      <c r="Y39" s="8">
        <v>0.04</v>
      </c>
      <c r="Z39" s="7">
        <v>4.7</v>
      </c>
      <c r="AA39" s="5">
        <v>22</v>
      </c>
      <c r="AB39" s="8">
        <v>0</v>
      </c>
      <c r="AC39" s="6">
        <v>0</v>
      </c>
      <c r="AD39" s="6">
        <v>248.13</v>
      </c>
      <c r="AE39" s="8">
        <v>0.3663</v>
      </c>
      <c r="AF39" s="8">
        <v>5.3731</v>
      </c>
      <c r="AG39" s="5">
        <v>0</v>
      </c>
      <c r="AH39" s="8">
        <v>0</v>
      </c>
      <c r="AI39" s="5">
        <v>93</v>
      </c>
      <c r="AJ39" s="5">
        <v>138</v>
      </c>
      <c r="AK39" s="5">
        <v>231</v>
      </c>
      <c r="AL39" s="5">
        <v>130</v>
      </c>
      <c r="AM39" s="5">
        <v>167</v>
      </c>
      <c r="AN39" s="5">
        <v>297</v>
      </c>
      <c r="AO39" s="8">
        <v>0.98</v>
      </c>
      <c r="AP39" s="8">
        <v>0.1082</v>
      </c>
      <c r="AQ39" s="8">
        <v>0.1082</v>
      </c>
      <c r="AR39" s="3"/>
      <c r="AS39" s="8">
        <v>0</v>
      </c>
      <c r="AT39" s="6">
        <v>0</v>
      </c>
      <c r="AU39" s="9">
        <v>0</v>
      </c>
      <c r="AV39" s="8">
        <v>0</v>
      </c>
      <c r="AW39" s="8">
        <v>0</v>
      </c>
      <c r="AX39" s="8">
        <v>0</v>
      </c>
      <c r="AY39" s="3"/>
      <c r="AZ39" s="6">
        <v>0</v>
      </c>
      <c r="BA39" s="6">
        <v>0</v>
      </c>
      <c r="BB39" s="5">
        <v>0</v>
      </c>
      <c r="BC39" s="8">
        <v>0</v>
      </c>
      <c r="BD39" s="8">
        <v>0</v>
      </c>
      <c r="BE39" s="5">
        <v>0</v>
      </c>
      <c r="BF39" s="5">
        <v>0</v>
      </c>
      <c r="BG39" s="3"/>
    </row>
    <row r="40" spans="1:59">
      <c r="A40" t="str">
        <f t="shared" si="0"/>
        <v>2022-09-27XXXX-111</v>
      </c>
      <c r="B40" s="3" t="s">
        <v>218</v>
      </c>
      <c r="C40" s="3" t="s">
        <v>173</v>
      </c>
      <c r="D40" s="3"/>
      <c r="E40" s="3" t="s">
        <v>23</v>
      </c>
      <c r="F40" s="3"/>
      <c r="G40" s="4">
        <v>17.99</v>
      </c>
      <c r="H40" s="5">
        <v>423</v>
      </c>
      <c r="I40" s="5">
        <v>0</v>
      </c>
      <c r="J40" s="5">
        <v>31</v>
      </c>
      <c r="K40" s="5">
        <v>31</v>
      </c>
      <c r="L40" s="6">
        <v>557.69</v>
      </c>
      <c r="M40" s="6">
        <v>557.69</v>
      </c>
      <c r="N40" s="5">
        <v>6</v>
      </c>
      <c r="O40" s="6">
        <v>107.94</v>
      </c>
      <c r="P40" s="5">
        <v>6</v>
      </c>
      <c r="Q40" s="5">
        <v>0</v>
      </c>
      <c r="R40" s="6">
        <v>0</v>
      </c>
      <c r="S40" s="5">
        <v>0</v>
      </c>
      <c r="T40" s="6">
        <v>17.99</v>
      </c>
      <c r="U40" s="7">
        <v>0.5</v>
      </c>
      <c r="V40" s="3"/>
      <c r="W40" s="3"/>
      <c r="X40" s="5">
        <v>0</v>
      </c>
      <c r="Y40" s="8">
        <v>0</v>
      </c>
      <c r="Z40" s="7">
        <v>4.7</v>
      </c>
      <c r="AA40" s="5">
        <v>22</v>
      </c>
      <c r="AB40" s="8">
        <v>0.0323</v>
      </c>
      <c r="AC40" s="6">
        <v>0</v>
      </c>
      <c r="AD40" s="6">
        <v>191.92</v>
      </c>
      <c r="AE40" s="8">
        <v>0.4017</v>
      </c>
      <c r="AF40" s="8">
        <v>5.3731</v>
      </c>
      <c r="AG40" s="5">
        <v>0</v>
      </c>
      <c r="AH40" s="8">
        <v>0</v>
      </c>
      <c r="AI40" s="5">
        <v>76</v>
      </c>
      <c r="AJ40" s="5">
        <v>138</v>
      </c>
      <c r="AK40" s="5">
        <v>214</v>
      </c>
      <c r="AL40" s="5">
        <v>94</v>
      </c>
      <c r="AM40" s="5">
        <v>160</v>
      </c>
      <c r="AN40" s="5">
        <v>254</v>
      </c>
      <c r="AO40" s="8">
        <v>0.96</v>
      </c>
      <c r="AP40" s="8">
        <v>0.1449</v>
      </c>
      <c r="AQ40" s="8">
        <v>0.1449</v>
      </c>
      <c r="AR40" s="3"/>
      <c r="AS40" s="8">
        <v>0</v>
      </c>
      <c r="AT40" s="6">
        <v>0</v>
      </c>
      <c r="AU40" s="9">
        <v>0</v>
      </c>
      <c r="AV40" s="8">
        <v>0</v>
      </c>
      <c r="AW40" s="8">
        <v>0</v>
      </c>
      <c r="AX40" s="8">
        <v>0</v>
      </c>
      <c r="AY40" s="3"/>
      <c r="AZ40" s="6">
        <v>0</v>
      </c>
      <c r="BA40" s="6">
        <v>0</v>
      </c>
      <c r="BB40" s="5">
        <v>0</v>
      </c>
      <c r="BC40" s="8">
        <v>0</v>
      </c>
      <c r="BD40" s="8">
        <v>0</v>
      </c>
      <c r="BE40" s="5">
        <v>0</v>
      </c>
      <c r="BF40" s="5">
        <v>0</v>
      </c>
      <c r="BG40" s="3"/>
    </row>
    <row r="41" spans="1:59">
      <c r="A41" t="str">
        <f t="shared" si="0"/>
        <v>2022-09-28XXXX-111</v>
      </c>
      <c r="B41" s="3" t="s">
        <v>219</v>
      </c>
      <c r="C41" s="3" t="s">
        <v>173</v>
      </c>
      <c r="D41" s="3"/>
      <c r="E41" s="3" t="s">
        <v>23</v>
      </c>
      <c r="F41" s="3"/>
      <c r="G41" s="4">
        <v>17.99</v>
      </c>
      <c r="H41" s="5">
        <v>389</v>
      </c>
      <c r="I41" s="5">
        <v>0</v>
      </c>
      <c r="J41" s="5">
        <v>24</v>
      </c>
      <c r="K41" s="5">
        <v>24</v>
      </c>
      <c r="L41" s="6">
        <v>431.76</v>
      </c>
      <c r="M41" s="6">
        <v>416.81</v>
      </c>
      <c r="N41" s="5">
        <v>2</v>
      </c>
      <c r="O41" s="6">
        <v>35.98</v>
      </c>
      <c r="P41" s="5">
        <v>2</v>
      </c>
      <c r="Q41" s="5">
        <v>0</v>
      </c>
      <c r="R41" s="6">
        <v>0</v>
      </c>
      <c r="S41" s="5">
        <v>0</v>
      </c>
      <c r="T41" s="6">
        <v>17.37</v>
      </c>
      <c r="U41" s="7">
        <v>0.4</v>
      </c>
      <c r="V41" s="3"/>
      <c r="W41" s="3"/>
      <c r="X41" s="5">
        <v>1</v>
      </c>
      <c r="Y41" s="8">
        <v>0.0417</v>
      </c>
      <c r="Z41" s="7">
        <v>4.7</v>
      </c>
      <c r="AA41" s="5">
        <v>22</v>
      </c>
      <c r="AB41" s="8">
        <v>0</v>
      </c>
      <c r="AC41" s="6">
        <v>0</v>
      </c>
      <c r="AD41" s="6">
        <v>165.62</v>
      </c>
      <c r="AE41" s="8">
        <v>0.3699</v>
      </c>
      <c r="AF41" s="8">
        <v>5.3731</v>
      </c>
      <c r="AG41" s="5">
        <v>0</v>
      </c>
      <c r="AH41" s="8">
        <v>0</v>
      </c>
      <c r="AI41" s="5">
        <v>84</v>
      </c>
      <c r="AJ41" s="5">
        <v>107</v>
      </c>
      <c r="AK41" s="5">
        <v>191</v>
      </c>
      <c r="AL41" s="5">
        <v>113</v>
      </c>
      <c r="AM41" s="5">
        <v>130</v>
      </c>
      <c r="AN41" s="5">
        <v>243</v>
      </c>
      <c r="AO41" s="8">
        <v>0.97</v>
      </c>
      <c r="AP41" s="8">
        <v>0.1257</v>
      </c>
      <c r="AQ41" s="8">
        <v>0.1257</v>
      </c>
      <c r="AR41" s="3"/>
      <c r="AS41" s="8">
        <v>0</v>
      </c>
      <c r="AT41" s="6">
        <v>0</v>
      </c>
      <c r="AU41" s="9">
        <v>0</v>
      </c>
      <c r="AV41" s="8">
        <v>0</v>
      </c>
      <c r="AW41" s="8">
        <v>0</v>
      </c>
      <c r="AX41" s="8">
        <v>0</v>
      </c>
      <c r="AY41" s="3"/>
      <c r="AZ41" s="6">
        <v>0</v>
      </c>
      <c r="BA41" s="6">
        <v>0</v>
      </c>
      <c r="BB41" s="5">
        <v>0</v>
      </c>
      <c r="BC41" s="8">
        <v>0</v>
      </c>
      <c r="BD41" s="8">
        <v>0</v>
      </c>
      <c r="BE41" s="5">
        <v>0</v>
      </c>
      <c r="BF41" s="5">
        <v>0</v>
      </c>
      <c r="BG41" s="3"/>
    </row>
    <row r="42" spans="1:59">
      <c r="A42" t="str">
        <f t="shared" si="0"/>
        <v>2022-09-29XXXX-111</v>
      </c>
      <c r="B42" s="3" t="s">
        <v>220</v>
      </c>
      <c r="C42" s="3" t="s">
        <v>173</v>
      </c>
      <c r="D42" s="3"/>
      <c r="E42" s="3" t="s">
        <v>23</v>
      </c>
      <c r="F42" s="3"/>
      <c r="G42" s="4">
        <v>17.99</v>
      </c>
      <c r="H42" s="5">
        <v>362</v>
      </c>
      <c r="I42" s="5">
        <v>0</v>
      </c>
      <c r="J42" s="5">
        <v>29</v>
      </c>
      <c r="K42" s="5">
        <v>29</v>
      </c>
      <c r="L42" s="6">
        <v>521.71</v>
      </c>
      <c r="M42" s="6">
        <v>506.76</v>
      </c>
      <c r="N42" s="5">
        <v>1</v>
      </c>
      <c r="O42" s="6">
        <v>17.99</v>
      </c>
      <c r="P42" s="5">
        <v>1</v>
      </c>
      <c r="Q42" s="5">
        <v>0</v>
      </c>
      <c r="R42" s="6">
        <v>0</v>
      </c>
      <c r="S42" s="5">
        <v>0</v>
      </c>
      <c r="T42" s="6">
        <v>17.47</v>
      </c>
      <c r="U42" s="7">
        <v>0.5</v>
      </c>
      <c r="V42" s="3"/>
      <c r="W42" s="3"/>
      <c r="X42" s="5">
        <v>1</v>
      </c>
      <c r="Y42" s="8">
        <v>0.0345</v>
      </c>
      <c r="Z42" s="7">
        <v>4.7</v>
      </c>
      <c r="AA42" s="5">
        <v>24</v>
      </c>
      <c r="AB42" s="8">
        <v>0</v>
      </c>
      <c r="AC42" s="6">
        <v>0</v>
      </c>
      <c r="AD42" s="6">
        <v>182.2</v>
      </c>
      <c r="AE42" s="8">
        <v>0.3705</v>
      </c>
      <c r="AF42" s="8">
        <v>5.4891</v>
      </c>
      <c r="AG42" s="5">
        <v>0</v>
      </c>
      <c r="AH42" s="8">
        <v>0</v>
      </c>
      <c r="AI42" s="5">
        <v>70</v>
      </c>
      <c r="AJ42" s="5">
        <v>121</v>
      </c>
      <c r="AK42" s="5">
        <v>191</v>
      </c>
      <c r="AL42" s="5">
        <v>88</v>
      </c>
      <c r="AM42" s="5">
        <v>151</v>
      </c>
      <c r="AN42" s="5">
        <v>239</v>
      </c>
      <c r="AO42" s="8">
        <v>0.99</v>
      </c>
      <c r="AP42" s="8">
        <v>0.1518</v>
      </c>
      <c r="AQ42" s="8">
        <v>0.1518</v>
      </c>
      <c r="AR42" s="3"/>
      <c r="AS42" s="8">
        <v>0</v>
      </c>
      <c r="AT42" s="6">
        <v>0</v>
      </c>
      <c r="AU42" s="9">
        <v>0</v>
      </c>
      <c r="AV42" s="8">
        <v>0</v>
      </c>
      <c r="AW42" s="8">
        <v>0</v>
      </c>
      <c r="AX42" s="8">
        <v>0</v>
      </c>
      <c r="AY42" s="3"/>
      <c r="AZ42" s="6">
        <v>0</v>
      </c>
      <c r="BA42" s="6">
        <v>0</v>
      </c>
      <c r="BB42" s="5">
        <v>0</v>
      </c>
      <c r="BC42" s="8">
        <v>0</v>
      </c>
      <c r="BD42" s="8">
        <v>0</v>
      </c>
      <c r="BE42" s="5">
        <v>0</v>
      </c>
      <c r="BF42" s="5">
        <v>0</v>
      </c>
      <c r="BG42" s="3"/>
    </row>
    <row r="43" spans="1:59">
      <c r="A43" t="str">
        <f t="shared" si="0"/>
        <v>2022-09-30XXXX-111</v>
      </c>
      <c r="B43" s="3" t="s">
        <v>221</v>
      </c>
      <c r="C43" s="3" t="s">
        <v>173</v>
      </c>
      <c r="D43" s="3"/>
      <c r="E43" s="3" t="s">
        <v>23</v>
      </c>
      <c r="F43" s="3"/>
      <c r="G43" s="4">
        <v>17.99</v>
      </c>
      <c r="H43" s="5">
        <v>330</v>
      </c>
      <c r="I43" s="5">
        <v>0</v>
      </c>
      <c r="J43" s="5">
        <v>29</v>
      </c>
      <c r="K43" s="5">
        <v>29</v>
      </c>
      <c r="L43" s="6">
        <v>521.71</v>
      </c>
      <c r="M43" s="6">
        <v>509.4</v>
      </c>
      <c r="N43" s="5">
        <v>1</v>
      </c>
      <c r="O43" s="6">
        <v>17.99</v>
      </c>
      <c r="P43" s="5">
        <v>1</v>
      </c>
      <c r="Q43" s="5">
        <v>0</v>
      </c>
      <c r="R43" s="6">
        <v>0</v>
      </c>
      <c r="S43" s="5">
        <v>0</v>
      </c>
      <c r="T43" s="6">
        <v>17.57</v>
      </c>
      <c r="U43" s="7">
        <v>0.5</v>
      </c>
      <c r="V43" s="3"/>
      <c r="W43" s="3"/>
      <c r="X43" s="5">
        <v>1</v>
      </c>
      <c r="Y43" s="8">
        <v>0.0345</v>
      </c>
      <c r="Z43" s="7">
        <v>4.7</v>
      </c>
      <c r="AA43" s="5">
        <v>24</v>
      </c>
      <c r="AB43" s="8">
        <v>0</v>
      </c>
      <c r="AC43" s="6">
        <v>0</v>
      </c>
      <c r="AD43" s="6">
        <v>214.21</v>
      </c>
      <c r="AE43" s="8">
        <v>0.3824</v>
      </c>
      <c r="AF43" s="8">
        <v>5.3731</v>
      </c>
      <c r="AG43" s="5">
        <v>0</v>
      </c>
      <c r="AH43" s="8">
        <v>0</v>
      </c>
      <c r="AI43" s="5">
        <v>67</v>
      </c>
      <c r="AJ43" s="5">
        <v>149</v>
      </c>
      <c r="AK43" s="5">
        <v>216</v>
      </c>
      <c r="AL43" s="5">
        <v>86</v>
      </c>
      <c r="AM43" s="5">
        <v>202</v>
      </c>
      <c r="AN43" s="5">
        <v>288</v>
      </c>
      <c r="AO43" s="8">
        <v>0.99</v>
      </c>
      <c r="AP43" s="8">
        <v>0.1343</v>
      </c>
      <c r="AQ43" s="8">
        <v>0.1343</v>
      </c>
      <c r="AR43" s="3"/>
      <c r="AS43" s="8">
        <v>0</v>
      </c>
      <c r="AT43" s="6">
        <v>0</v>
      </c>
      <c r="AU43" s="9">
        <v>0</v>
      </c>
      <c r="AV43" s="8">
        <v>0</v>
      </c>
      <c r="AW43" s="8">
        <v>0</v>
      </c>
      <c r="AX43" s="8">
        <v>0</v>
      </c>
      <c r="AY43" s="3"/>
      <c r="AZ43" s="6">
        <v>0</v>
      </c>
      <c r="BA43" s="6">
        <v>0</v>
      </c>
      <c r="BB43" s="5">
        <v>0</v>
      </c>
      <c r="BC43" s="8">
        <v>0</v>
      </c>
      <c r="BD43" s="8">
        <v>0</v>
      </c>
      <c r="BE43" s="5">
        <v>0</v>
      </c>
      <c r="BF43" s="5">
        <v>0</v>
      </c>
      <c r="BG43" s="3"/>
    </row>
    <row r="44" spans="1:59">
      <c r="A44" t="str">
        <f t="shared" si="0"/>
        <v>2022-10-01XXXX-111</v>
      </c>
      <c r="B44" s="3" t="s">
        <v>222</v>
      </c>
      <c r="C44" s="3" t="s">
        <v>173</v>
      </c>
      <c r="D44" s="3"/>
      <c r="E44" s="3" t="s">
        <v>23</v>
      </c>
      <c r="F44" s="3"/>
      <c r="G44" s="4">
        <v>17.99</v>
      </c>
      <c r="H44" s="5">
        <v>293</v>
      </c>
      <c r="I44" s="5">
        <v>0</v>
      </c>
      <c r="J44" s="5">
        <v>47</v>
      </c>
      <c r="K44" s="5">
        <v>47</v>
      </c>
      <c r="L44" s="6">
        <v>845.53</v>
      </c>
      <c r="M44" s="6">
        <v>829.7</v>
      </c>
      <c r="N44" s="5">
        <v>0</v>
      </c>
      <c r="O44" s="6">
        <v>0</v>
      </c>
      <c r="P44" s="5">
        <v>0</v>
      </c>
      <c r="Q44" s="5">
        <v>0</v>
      </c>
      <c r="R44" s="6">
        <v>0</v>
      </c>
      <c r="S44" s="5">
        <v>0</v>
      </c>
      <c r="T44" s="6">
        <v>17.65</v>
      </c>
      <c r="U44" s="7">
        <v>0.8</v>
      </c>
      <c r="V44" s="3"/>
      <c r="W44" s="3"/>
      <c r="X44" s="5">
        <v>1</v>
      </c>
      <c r="Y44" s="8">
        <v>0.0213</v>
      </c>
      <c r="Z44" s="7">
        <v>4.7</v>
      </c>
      <c r="AA44" s="5">
        <v>24</v>
      </c>
      <c r="AB44" s="8">
        <v>0.0213</v>
      </c>
      <c r="AC44" s="6">
        <v>0</v>
      </c>
      <c r="AD44" s="6">
        <v>203.19</v>
      </c>
      <c r="AE44" s="8">
        <v>0.3765</v>
      </c>
      <c r="AF44" s="8">
        <v>2.7339</v>
      </c>
      <c r="AG44" s="5">
        <v>2</v>
      </c>
      <c r="AH44" s="8">
        <v>0.0426</v>
      </c>
      <c r="AI44" s="5">
        <v>106</v>
      </c>
      <c r="AJ44" s="5">
        <v>247</v>
      </c>
      <c r="AK44" s="5">
        <v>353</v>
      </c>
      <c r="AL44" s="5">
        <v>130</v>
      </c>
      <c r="AM44" s="5">
        <v>317</v>
      </c>
      <c r="AN44" s="5">
        <v>447</v>
      </c>
      <c r="AO44" s="8">
        <v>0.98</v>
      </c>
      <c r="AP44" s="8">
        <v>0.1331</v>
      </c>
      <c r="AQ44" s="8">
        <v>0.1331</v>
      </c>
      <c r="AR44" s="3"/>
      <c r="AS44" s="8">
        <v>0</v>
      </c>
      <c r="AT44" s="6">
        <v>0</v>
      </c>
      <c r="AU44" s="9">
        <v>0</v>
      </c>
      <c r="AV44" s="8">
        <v>0</v>
      </c>
      <c r="AW44" s="8">
        <v>0</v>
      </c>
      <c r="AX44" s="8">
        <v>0</v>
      </c>
      <c r="AY44" s="3"/>
      <c r="AZ44" s="6">
        <v>0</v>
      </c>
      <c r="BA44" s="6">
        <v>0</v>
      </c>
      <c r="BB44" s="5">
        <v>0</v>
      </c>
      <c r="BC44" s="8">
        <v>0</v>
      </c>
      <c r="BD44" s="8">
        <v>0</v>
      </c>
      <c r="BE44" s="5">
        <v>0</v>
      </c>
      <c r="BF44" s="5">
        <v>0</v>
      </c>
      <c r="BG44" s="3"/>
    </row>
    <row r="45" spans="1:59">
      <c r="A45" t="str">
        <f t="shared" si="0"/>
        <v>2022-10-02XXXX-111</v>
      </c>
      <c r="B45" s="3" t="s">
        <v>223</v>
      </c>
      <c r="C45" s="3" t="s">
        <v>173</v>
      </c>
      <c r="D45" s="3"/>
      <c r="E45" s="3" t="s">
        <v>23</v>
      </c>
      <c r="F45" s="3"/>
      <c r="G45" s="4">
        <v>17.99</v>
      </c>
      <c r="H45" s="5">
        <v>241</v>
      </c>
      <c r="I45" s="5">
        <v>0</v>
      </c>
      <c r="J45" s="5">
        <v>49</v>
      </c>
      <c r="K45" s="5">
        <v>49</v>
      </c>
      <c r="L45" s="6">
        <v>881.51</v>
      </c>
      <c r="M45" s="6">
        <v>865.68</v>
      </c>
      <c r="N45" s="5">
        <v>1</v>
      </c>
      <c r="O45" s="6">
        <v>17.99</v>
      </c>
      <c r="P45" s="5">
        <v>1</v>
      </c>
      <c r="Q45" s="5">
        <v>0</v>
      </c>
      <c r="R45" s="6">
        <v>0</v>
      </c>
      <c r="S45" s="5">
        <v>0</v>
      </c>
      <c r="T45" s="6">
        <v>17.67</v>
      </c>
      <c r="U45" s="7">
        <v>0.9</v>
      </c>
      <c r="V45" s="3"/>
      <c r="W45" s="3"/>
      <c r="X45" s="5">
        <v>1</v>
      </c>
      <c r="Y45" s="8">
        <v>0.0204</v>
      </c>
      <c r="Z45" s="7">
        <v>4.7</v>
      </c>
      <c r="AA45" s="5">
        <v>24</v>
      </c>
      <c r="AB45" s="8">
        <v>0</v>
      </c>
      <c r="AC45" s="6">
        <v>0</v>
      </c>
      <c r="AD45" s="6">
        <v>262.16</v>
      </c>
      <c r="AE45" s="8">
        <v>0.3835</v>
      </c>
      <c r="AF45" s="8">
        <v>2.7339</v>
      </c>
      <c r="AG45" s="5">
        <v>0</v>
      </c>
      <c r="AH45" s="8">
        <v>0</v>
      </c>
      <c r="AI45" s="5">
        <v>107</v>
      </c>
      <c r="AJ45" s="5">
        <v>296</v>
      </c>
      <c r="AK45" s="5">
        <v>403</v>
      </c>
      <c r="AL45" s="5">
        <v>138</v>
      </c>
      <c r="AM45" s="5">
        <v>355</v>
      </c>
      <c r="AN45" s="5">
        <v>493</v>
      </c>
      <c r="AO45" s="8">
        <v>0.98</v>
      </c>
      <c r="AP45" s="8">
        <v>0.1216</v>
      </c>
      <c r="AQ45" s="8">
        <v>0.1216</v>
      </c>
      <c r="AR45" s="3"/>
      <c r="AS45" s="8">
        <v>0</v>
      </c>
      <c r="AT45" s="6">
        <v>0</v>
      </c>
      <c r="AU45" s="9">
        <v>0</v>
      </c>
      <c r="AV45" s="8">
        <v>0</v>
      </c>
      <c r="AW45" s="8">
        <v>0</v>
      </c>
      <c r="AX45" s="8">
        <v>0</v>
      </c>
      <c r="AY45" s="3"/>
      <c r="AZ45" s="6">
        <v>0</v>
      </c>
      <c r="BA45" s="6">
        <v>0</v>
      </c>
      <c r="BB45" s="5">
        <v>0</v>
      </c>
      <c r="BC45" s="8">
        <v>0</v>
      </c>
      <c r="BD45" s="8">
        <v>0</v>
      </c>
      <c r="BE45" s="5">
        <v>0</v>
      </c>
      <c r="BF45" s="5">
        <v>0</v>
      </c>
      <c r="BG45" s="3"/>
    </row>
    <row r="46" spans="1:59">
      <c r="A46" t="str">
        <f t="shared" si="0"/>
        <v>2022-10-03XXXX-111</v>
      </c>
      <c r="B46" s="3" t="s">
        <v>224</v>
      </c>
      <c r="C46" s="3" t="s">
        <v>173</v>
      </c>
      <c r="D46" s="3"/>
      <c r="E46" s="3" t="s">
        <v>23</v>
      </c>
      <c r="F46" s="3"/>
      <c r="G46" s="4">
        <v>19.99</v>
      </c>
      <c r="H46" s="5">
        <v>204</v>
      </c>
      <c r="I46" s="5">
        <v>0</v>
      </c>
      <c r="J46" s="5">
        <v>38</v>
      </c>
      <c r="K46" s="5">
        <v>38</v>
      </c>
      <c r="L46" s="6">
        <v>761.62</v>
      </c>
      <c r="M46" s="6">
        <v>761.62</v>
      </c>
      <c r="N46" s="5">
        <v>3</v>
      </c>
      <c r="O46" s="6">
        <v>59.97</v>
      </c>
      <c r="P46" s="5">
        <v>3</v>
      </c>
      <c r="Q46" s="5">
        <v>0</v>
      </c>
      <c r="R46" s="6">
        <v>0</v>
      </c>
      <c r="S46" s="5">
        <v>0</v>
      </c>
      <c r="T46" s="6">
        <v>20.04</v>
      </c>
      <c r="U46" s="7">
        <v>0.7</v>
      </c>
      <c r="V46" s="3"/>
      <c r="W46" s="3"/>
      <c r="X46" s="5">
        <v>0</v>
      </c>
      <c r="Y46" s="8">
        <v>0</v>
      </c>
      <c r="Z46" s="7">
        <v>4.7</v>
      </c>
      <c r="AA46" s="5">
        <v>24</v>
      </c>
      <c r="AB46" s="8">
        <v>0</v>
      </c>
      <c r="AC46" s="6">
        <v>0</v>
      </c>
      <c r="AD46" s="6">
        <v>312.2</v>
      </c>
      <c r="AE46" s="8">
        <v>0.4163</v>
      </c>
      <c r="AF46" s="8">
        <v>3.4242</v>
      </c>
      <c r="AG46" s="5">
        <v>1</v>
      </c>
      <c r="AH46" s="8">
        <v>0.0263</v>
      </c>
      <c r="AI46" s="5">
        <v>112</v>
      </c>
      <c r="AJ46" s="5">
        <v>173</v>
      </c>
      <c r="AK46" s="5">
        <v>285</v>
      </c>
      <c r="AL46" s="5">
        <v>141</v>
      </c>
      <c r="AM46" s="5">
        <v>235</v>
      </c>
      <c r="AN46" s="5">
        <v>376</v>
      </c>
      <c r="AO46" s="8">
        <v>0.98</v>
      </c>
      <c r="AP46" s="8">
        <v>0.1333</v>
      </c>
      <c r="AQ46" s="8">
        <v>0.1333</v>
      </c>
      <c r="AR46" s="3"/>
      <c r="AS46" s="8">
        <v>0</v>
      </c>
      <c r="AT46" s="6">
        <v>0</v>
      </c>
      <c r="AU46" s="9">
        <v>0</v>
      </c>
      <c r="AV46" s="8">
        <v>0</v>
      </c>
      <c r="AW46" s="8">
        <v>0</v>
      </c>
      <c r="AX46" s="8">
        <v>0</v>
      </c>
      <c r="AY46" s="3"/>
      <c r="AZ46" s="6">
        <v>0</v>
      </c>
      <c r="BA46" s="6">
        <v>0</v>
      </c>
      <c r="BB46" s="5">
        <v>0</v>
      </c>
      <c r="BC46" s="8">
        <v>0</v>
      </c>
      <c r="BD46" s="8">
        <v>0</v>
      </c>
      <c r="BE46" s="5">
        <v>0</v>
      </c>
      <c r="BF46" s="5">
        <v>0</v>
      </c>
      <c r="BG46" s="3"/>
    </row>
    <row r="47" spans="1:59">
      <c r="A47" t="str">
        <f t="shared" si="0"/>
        <v>2022-10-04XXXX-111</v>
      </c>
      <c r="B47" s="3" t="s">
        <v>225</v>
      </c>
      <c r="C47" s="3" t="s">
        <v>173</v>
      </c>
      <c r="D47" s="3"/>
      <c r="E47" s="3" t="s">
        <v>23</v>
      </c>
      <c r="F47" s="3"/>
      <c r="G47" s="4">
        <v>21.99</v>
      </c>
      <c r="H47" s="5">
        <v>172</v>
      </c>
      <c r="I47" s="5">
        <v>0</v>
      </c>
      <c r="J47" s="5">
        <v>27</v>
      </c>
      <c r="K47" s="5">
        <v>27</v>
      </c>
      <c r="L47" s="6">
        <v>593.73</v>
      </c>
      <c r="M47" s="6">
        <v>579.66</v>
      </c>
      <c r="N47" s="5">
        <v>2</v>
      </c>
      <c r="O47" s="6">
        <v>43.98</v>
      </c>
      <c r="P47" s="5">
        <v>2</v>
      </c>
      <c r="Q47" s="5">
        <v>0</v>
      </c>
      <c r="R47" s="6">
        <v>0</v>
      </c>
      <c r="S47" s="5">
        <v>0</v>
      </c>
      <c r="T47" s="6">
        <v>21.47</v>
      </c>
      <c r="U47" s="7">
        <v>0.5</v>
      </c>
      <c r="V47" s="3"/>
      <c r="W47" s="3"/>
      <c r="X47" s="5">
        <v>1</v>
      </c>
      <c r="Y47" s="8">
        <v>0.037</v>
      </c>
      <c r="Z47" s="7">
        <v>4.5</v>
      </c>
      <c r="AA47" s="5">
        <v>28</v>
      </c>
      <c r="AB47" s="8">
        <v>0</v>
      </c>
      <c r="AC47" s="6">
        <v>0</v>
      </c>
      <c r="AD47" s="6">
        <v>312.99</v>
      </c>
      <c r="AE47" s="8">
        <v>0.4048</v>
      </c>
      <c r="AF47" s="8">
        <v>4.044</v>
      </c>
      <c r="AG47" s="5">
        <v>1</v>
      </c>
      <c r="AH47" s="8">
        <v>0.037</v>
      </c>
      <c r="AI47" s="5">
        <v>89</v>
      </c>
      <c r="AJ47" s="5">
        <v>140</v>
      </c>
      <c r="AK47" s="5">
        <v>229</v>
      </c>
      <c r="AL47" s="5">
        <v>120</v>
      </c>
      <c r="AM47" s="5">
        <v>178</v>
      </c>
      <c r="AN47" s="5">
        <v>298</v>
      </c>
      <c r="AO47" s="8">
        <v>0.98</v>
      </c>
      <c r="AP47" s="8">
        <v>0.1179</v>
      </c>
      <c r="AQ47" s="8">
        <v>0.1179</v>
      </c>
      <c r="AR47" s="3"/>
      <c r="AS47" s="8">
        <v>0</v>
      </c>
      <c r="AT47" s="6">
        <v>0</v>
      </c>
      <c r="AU47" s="9">
        <v>0</v>
      </c>
      <c r="AV47" s="8">
        <v>0</v>
      </c>
      <c r="AW47" s="8">
        <v>0</v>
      </c>
      <c r="AX47" s="8">
        <v>0</v>
      </c>
      <c r="AY47" s="3"/>
      <c r="AZ47" s="6">
        <v>0</v>
      </c>
      <c r="BA47" s="6">
        <v>0</v>
      </c>
      <c r="BB47" s="5">
        <v>0</v>
      </c>
      <c r="BC47" s="8">
        <v>0</v>
      </c>
      <c r="BD47" s="8">
        <v>0</v>
      </c>
      <c r="BE47" s="5">
        <v>0</v>
      </c>
      <c r="BF47" s="5">
        <v>0</v>
      </c>
      <c r="BG47" s="3"/>
    </row>
    <row r="48" spans="1:59">
      <c r="A48" t="str">
        <f t="shared" si="0"/>
        <v>2022-10-05XXXX-111</v>
      </c>
      <c r="B48" s="3" t="s">
        <v>226</v>
      </c>
      <c r="C48" s="3" t="s">
        <v>173</v>
      </c>
      <c r="D48" s="3"/>
      <c r="E48" s="3" t="s">
        <v>23</v>
      </c>
      <c r="F48" s="3"/>
      <c r="G48" s="4">
        <v>21.99</v>
      </c>
      <c r="H48" s="5">
        <v>148</v>
      </c>
      <c r="I48" s="5">
        <v>0</v>
      </c>
      <c r="J48" s="5">
        <v>32</v>
      </c>
      <c r="K48" s="5">
        <v>32</v>
      </c>
      <c r="L48" s="6">
        <v>703.68</v>
      </c>
      <c r="M48" s="6">
        <v>687.85</v>
      </c>
      <c r="N48" s="5">
        <v>2</v>
      </c>
      <c r="O48" s="6">
        <v>43.98</v>
      </c>
      <c r="P48" s="5">
        <v>2</v>
      </c>
      <c r="Q48" s="5">
        <v>0</v>
      </c>
      <c r="R48" s="6">
        <v>0</v>
      </c>
      <c r="S48" s="5">
        <v>0</v>
      </c>
      <c r="T48" s="6">
        <v>21.5</v>
      </c>
      <c r="U48" s="7">
        <v>0.6</v>
      </c>
      <c r="V48" s="3"/>
      <c r="W48" s="3"/>
      <c r="X48" s="5">
        <v>1</v>
      </c>
      <c r="Y48" s="8">
        <v>0.0312</v>
      </c>
      <c r="Z48" s="7">
        <v>4.5</v>
      </c>
      <c r="AA48" s="5">
        <v>28</v>
      </c>
      <c r="AB48" s="8">
        <v>0</v>
      </c>
      <c r="AC48" s="6">
        <v>0</v>
      </c>
      <c r="AD48" s="6">
        <v>311.23</v>
      </c>
      <c r="AE48" s="8">
        <v>0.4482</v>
      </c>
      <c r="AF48" s="8">
        <v>4.0275</v>
      </c>
      <c r="AG48" s="5">
        <v>0</v>
      </c>
      <c r="AH48" s="8">
        <v>0</v>
      </c>
      <c r="AI48" s="5">
        <v>86</v>
      </c>
      <c r="AJ48" s="5">
        <v>122</v>
      </c>
      <c r="AK48" s="5">
        <v>208</v>
      </c>
      <c r="AL48" s="5">
        <v>113</v>
      </c>
      <c r="AM48" s="5">
        <v>143</v>
      </c>
      <c r="AN48" s="5">
        <v>256</v>
      </c>
      <c r="AO48" s="8">
        <v>0.97</v>
      </c>
      <c r="AP48" s="8">
        <v>0.1538</v>
      </c>
      <c r="AQ48" s="8">
        <v>0.1538</v>
      </c>
      <c r="AR48" s="3"/>
      <c r="AS48" s="8">
        <v>0</v>
      </c>
      <c r="AT48" s="6">
        <v>0</v>
      </c>
      <c r="AU48" s="9">
        <v>0</v>
      </c>
      <c r="AV48" s="8">
        <v>0</v>
      </c>
      <c r="AW48" s="8">
        <v>0</v>
      </c>
      <c r="AX48" s="8">
        <v>0</v>
      </c>
      <c r="AY48" s="3"/>
      <c r="AZ48" s="6">
        <v>0</v>
      </c>
      <c r="BA48" s="6">
        <v>0</v>
      </c>
      <c r="BB48" s="5">
        <v>0</v>
      </c>
      <c r="BC48" s="8">
        <v>0</v>
      </c>
      <c r="BD48" s="8">
        <v>0</v>
      </c>
      <c r="BE48" s="5">
        <v>0</v>
      </c>
      <c r="BF48" s="5">
        <v>0</v>
      </c>
      <c r="BG48" s="3"/>
    </row>
    <row r="49" spans="1:59">
      <c r="A49" t="str">
        <f t="shared" si="0"/>
        <v>2022-10-06XXXX-111</v>
      </c>
      <c r="B49" s="3" t="s">
        <v>227</v>
      </c>
      <c r="C49" s="3" t="s">
        <v>173</v>
      </c>
      <c r="D49" s="3"/>
      <c r="E49" s="3" t="s">
        <v>23</v>
      </c>
      <c r="F49" s="3"/>
      <c r="G49" s="4">
        <v>21.99</v>
      </c>
      <c r="H49" s="5">
        <v>130</v>
      </c>
      <c r="I49" s="5">
        <v>0</v>
      </c>
      <c r="J49" s="5">
        <v>20</v>
      </c>
      <c r="K49" s="5">
        <v>20</v>
      </c>
      <c r="L49" s="6">
        <v>439.8</v>
      </c>
      <c r="M49" s="6">
        <v>439.8</v>
      </c>
      <c r="N49" s="5">
        <v>2</v>
      </c>
      <c r="O49" s="6">
        <v>43.98</v>
      </c>
      <c r="P49" s="5">
        <v>2</v>
      </c>
      <c r="Q49" s="5">
        <v>0</v>
      </c>
      <c r="R49" s="6">
        <v>0</v>
      </c>
      <c r="S49" s="5">
        <v>0</v>
      </c>
      <c r="T49" s="6">
        <v>21.99</v>
      </c>
      <c r="U49" s="7">
        <v>0.4</v>
      </c>
      <c r="V49" s="3"/>
      <c r="W49" s="3"/>
      <c r="X49" s="5">
        <v>0</v>
      </c>
      <c r="Y49" s="8">
        <v>0</v>
      </c>
      <c r="Z49" s="7">
        <v>4.5</v>
      </c>
      <c r="AA49" s="5">
        <v>28</v>
      </c>
      <c r="AB49" s="8">
        <v>0</v>
      </c>
      <c r="AC49" s="6">
        <v>0</v>
      </c>
      <c r="AD49" s="6">
        <v>304.8</v>
      </c>
      <c r="AE49" s="8">
        <v>0.4742</v>
      </c>
      <c r="AF49" s="8">
        <v>4.081</v>
      </c>
      <c r="AG49" s="5">
        <v>0</v>
      </c>
      <c r="AH49" s="8">
        <v>0</v>
      </c>
      <c r="AI49" s="5">
        <v>59</v>
      </c>
      <c r="AJ49" s="5">
        <v>108</v>
      </c>
      <c r="AK49" s="5">
        <v>167</v>
      </c>
      <c r="AL49" s="5">
        <v>89</v>
      </c>
      <c r="AM49" s="5">
        <v>131</v>
      </c>
      <c r="AN49" s="5">
        <v>220</v>
      </c>
      <c r="AO49" s="8">
        <v>0.99</v>
      </c>
      <c r="AP49" s="8">
        <v>0.1198</v>
      </c>
      <c r="AQ49" s="8">
        <v>0.1198</v>
      </c>
      <c r="AR49" s="3"/>
      <c r="AS49" s="8">
        <v>0</v>
      </c>
      <c r="AT49" s="6">
        <v>0</v>
      </c>
      <c r="AU49" s="9">
        <v>0</v>
      </c>
      <c r="AV49" s="8">
        <v>0</v>
      </c>
      <c r="AW49" s="8">
        <v>0</v>
      </c>
      <c r="AX49" s="8">
        <v>0</v>
      </c>
      <c r="AY49" s="3"/>
      <c r="AZ49" s="6">
        <v>0</v>
      </c>
      <c r="BA49" s="6">
        <v>0</v>
      </c>
      <c r="BB49" s="5">
        <v>0</v>
      </c>
      <c r="BC49" s="8">
        <v>0</v>
      </c>
      <c r="BD49" s="8">
        <v>0</v>
      </c>
      <c r="BE49" s="5">
        <v>0</v>
      </c>
      <c r="BF49" s="5">
        <v>0</v>
      </c>
      <c r="BG49" s="3"/>
    </row>
    <row r="50" spans="1:59">
      <c r="A50" t="str">
        <f t="shared" si="0"/>
        <v>2022-10-07XXXX-111</v>
      </c>
      <c r="B50" s="3" t="s">
        <v>228</v>
      </c>
      <c r="C50" s="3" t="s">
        <v>173</v>
      </c>
      <c r="D50" s="3"/>
      <c r="E50" s="3" t="s">
        <v>23</v>
      </c>
      <c r="F50" s="3"/>
      <c r="G50" s="4">
        <v>19.99</v>
      </c>
      <c r="H50" s="5">
        <v>96</v>
      </c>
      <c r="I50" s="5">
        <v>0</v>
      </c>
      <c r="J50" s="5">
        <v>24</v>
      </c>
      <c r="K50" s="5">
        <v>24</v>
      </c>
      <c r="L50" s="6">
        <v>487.76</v>
      </c>
      <c r="M50" s="6">
        <v>472.81</v>
      </c>
      <c r="N50" s="5">
        <v>2</v>
      </c>
      <c r="O50" s="6">
        <v>39.98</v>
      </c>
      <c r="P50" s="5">
        <v>2</v>
      </c>
      <c r="Q50" s="5">
        <v>0</v>
      </c>
      <c r="R50" s="6">
        <v>0</v>
      </c>
      <c r="S50" s="5">
        <v>0</v>
      </c>
      <c r="T50" s="6">
        <v>19.7</v>
      </c>
      <c r="U50" s="7">
        <v>0.4</v>
      </c>
      <c r="V50" s="3"/>
      <c r="W50" s="3"/>
      <c r="X50" s="5">
        <v>1</v>
      </c>
      <c r="Y50" s="8">
        <v>0.0417</v>
      </c>
      <c r="Z50" s="7">
        <v>4.4</v>
      </c>
      <c r="AA50" s="5">
        <v>30</v>
      </c>
      <c r="AB50" s="8">
        <v>0</v>
      </c>
      <c r="AC50" s="6">
        <v>0</v>
      </c>
      <c r="AD50" s="6">
        <v>285.44</v>
      </c>
      <c r="AE50" s="8">
        <v>0.4476</v>
      </c>
      <c r="AF50" s="8">
        <v>3.4365</v>
      </c>
      <c r="AG50" s="5">
        <v>0</v>
      </c>
      <c r="AH50" s="8">
        <v>0</v>
      </c>
      <c r="AI50" s="5">
        <v>62</v>
      </c>
      <c r="AJ50" s="5">
        <v>98</v>
      </c>
      <c r="AK50" s="5">
        <v>160</v>
      </c>
      <c r="AL50" s="5">
        <v>87</v>
      </c>
      <c r="AM50" s="5">
        <v>123</v>
      </c>
      <c r="AN50" s="5">
        <v>210</v>
      </c>
      <c r="AO50" s="8">
        <v>1</v>
      </c>
      <c r="AP50" s="8">
        <v>0.15</v>
      </c>
      <c r="AQ50" s="8">
        <v>0.15</v>
      </c>
      <c r="AR50" s="3"/>
      <c r="AS50" s="8">
        <v>0</v>
      </c>
      <c r="AT50" s="6">
        <v>0</v>
      </c>
      <c r="AU50" s="9">
        <v>0</v>
      </c>
      <c r="AV50" s="8">
        <v>0</v>
      </c>
      <c r="AW50" s="8">
        <v>0</v>
      </c>
      <c r="AX50" s="8">
        <v>0</v>
      </c>
      <c r="AY50" s="3"/>
      <c r="AZ50" s="6">
        <v>0</v>
      </c>
      <c r="BA50" s="6">
        <v>0</v>
      </c>
      <c r="BB50" s="5">
        <v>0</v>
      </c>
      <c r="BC50" s="8">
        <v>0</v>
      </c>
      <c r="BD50" s="8">
        <v>0</v>
      </c>
      <c r="BE50" s="5">
        <v>0</v>
      </c>
      <c r="BF50" s="5">
        <v>0</v>
      </c>
      <c r="BG50" s="3"/>
    </row>
    <row r="51" spans="1:59">
      <c r="A51" t="str">
        <f t="shared" si="0"/>
        <v>2022-10-08XXXX-111</v>
      </c>
      <c r="B51" s="3" t="s">
        <v>229</v>
      </c>
      <c r="C51" s="3" t="s">
        <v>173</v>
      </c>
      <c r="D51" s="3"/>
      <c r="E51" s="3" t="s">
        <v>23</v>
      </c>
      <c r="F51" s="3"/>
      <c r="G51" s="4">
        <v>19.99</v>
      </c>
      <c r="H51" s="5">
        <v>89</v>
      </c>
      <c r="I51" s="5">
        <v>0</v>
      </c>
      <c r="J51" s="5">
        <v>10</v>
      </c>
      <c r="K51" s="5">
        <v>10</v>
      </c>
      <c r="L51" s="6">
        <v>189.9</v>
      </c>
      <c r="M51" s="6">
        <v>172.31</v>
      </c>
      <c r="N51" s="5">
        <v>1</v>
      </c>
      <c r="O51" s="6">
        <v>19.99</v>
      </c>
      <c r="P51" s="5">
        <v>1</v>
      </c>
      <c r="Q51" s="5">
        <v>0</v>
      </c>
      <c r="R51" s="6">
        <v>0</v>
      </c>
      <c r="S51" s="5">
        <v>0</v>
      </c>
      <c r="T51" s="6">
        <v>17.23</v>
      </c>
      <c r="U51" s="7">
        <v>0.2</v>
      </c>
      <c r="V51" s="3"/>
      <c r="W51" s="3"/>
      <c r="X51" s="5">
        <v>1</v>
      </c>
      <c r="Y51" s="8">
        <v>0.1</v>
      </c>
      <c r="Z51" s="7">
        <v>4.4</v>
      </c>
      <c r="AA51" s="5">
        <v>30</v>
      </c>
      <c r="AB51" s="8">
        <v>0</v>
      </c>
      <c r="AC51" s="6">
        <v>0</v>
      </c>
      <c r="AD51" s="6">
        <v>66.74</v>
      </c>
      <c r="AE51" s="8">
        <v>0.3629</v>
      </c>
      <c r="AF51" s="8">
        <v>3.035</v>
      </c>
      <c r="AG51" s="5">
        <v>0</v>
      </c>
      <c r="AH51" s="8">
        <v>0</v>
      </c>
      <c r="AI51" s="5">
        <v>54</v>
      </c>
      <c r="AJ51" s="5">
        <v>138</v>
      </c>
      <c r="AK51" s="5">
        <v>192</v>
      </c>
      <c r="AL51" s="5">
        <v>69</v>
      </c>
      <c r="AM51" s="5">
        <v>185</v>
      </c>
      <c r="AN51" s="5">
        <v>254</v>
      </c>
      <c r="AO51" s="8">
        <v>1</v>
      </c>
      <c r="AP51" s="8">
        <v>0.0521</v>
      </c>
      <c r="AQ51" s="8">
        <v>0.0521</v>
      </c>
      <c r="AR51" s="3"/>
      <c r="AS51" s="8">
        <v>0</v>
      </c>
      <c r="AT51" s="6">
        <v>0</v>
      </c>
      <c r="AU51" s="9">
        <v>0</v>
      </c>
      <c r="AV51" s="8">
        <v>0</v>
      </c>
      <c r="AW51" s="8">
        <v>0</v>
      </c>
      <c r="AX51" s="8">
        <v>0</v>
      </c>
      <c r="AY51" s="3"/>
      <c r="AZ51" s="6">
        <v>0</v>
      </c>
      <c r="BA51" s="6">
        <v>0</v>
      </c>
      <c r="BB51" s="5">
        <v>0</v>
      </c>
      <c r="BC51" s="8">
        <v>0</v>
      </c>
      <c r="BD51" s="8">
        <v>0</v>
      </c>
      <c r="BE51" s="5">
        <v>0</v>
      </c>
      <c r="BF51" s="5">
        <v>0</v>
      </c>
      <c r="BG51" s="3"/>
    </row>
    <row r="52" spans="1:59">
      <c r="A52" t="str">
        <f t="shared" si="0"/>
        <v>2022-10-09XXXX-111</v>
      </c>
      <c r="B52" s="3" t="s">
        <v>230</v>
      </c>
      <c r="C52" s="3" t="s">
        <v>173</v>
      </c>
      <c r="D52" s="3"/>
      <c r="E52" s="3" t="s">
        <v>23</v>
      </c>
      <c r="F52" s="3"/>
      <c r="G52" s="4">
        <v>17.99</v>
      </c>
      <c r="H52" s="5">
        <v>72</v>
      </c>
      <c r="I52" s="5">
        <v>0</v>
      </c>
      <c r="J52" s="5">
        <v>17</v>
      </c>
      <c r="K52" s="5">
        <v>17</v>
      </c>
      <c r="L52" s="6">
        <v>297.83</v>
      </c>
      <c r="M52" s="6">
        <v>285.52</v>
      </c>
      <c r="N52" s="5">
        <v>1</v>
      </c>
      <c r="O52" s="6">
        <v>15.99</v>
      </c>
      <c r="P52" s="5">
        <v>1</v>
      </c>
      <c r="Q52" s="5">
        <v>0</v>
      </c>
      <c r="R52" s="6">
        <v>0</v>
      </c>
      <c r="S52" s="5">
        <v>0</v>
      </c>
      <c r="T52" s="6">
        <v>16.8</v>
      </c>
      <c r="U52" s="7">
        <v>0.3</v>
      </c>
      <c r="V52" s="3"/>
      <c r="W52" s="3"/>
      <c r="X52" s="5">
        <v>1</v>
      </c>
      <c r="Y52" s="8">
        <v>0.0588</v>
      </c>
      <c r="Z52" s="7">
        <v>4.4</v>
      </c>
      <c r="AA52" s="5">
        <v>30</v>
      </c>
      <c r="AB52" s="8">
        <v>0</v>
      </c>
      <c r="AC52" s="6">
        <v>0</v>
      </c>
      <c r="AD52" s="6">
        <v>117.39</v>
      </c>
      <c r="AE52" s="8">
        <v>0.3995</v>
      </c>
      <c r="AF52" s="8">
        <v>2.7474</v>
      </c>
      <c r="AG52" s="5">
        <v>0</v>
      </c>
      <c r="AH52" s="8">
        <v>0</v>
      </c>
      <c r="AI52" s="5">
        <v>58</v>
      </c>
      <c r="AJ52" s="5">
        <v>137</v>
      </c>
      <c r="AK52" s="5">
        <v>195</v>
      </c>
      <c r="AL52" s="5">
        <v>75</v>
      </c>
      <c r="AM52" s="5">
        <v>177</v>
      </c>
      <c r="AN52" s="5">
        <v>252</v>
      </c>
      <c r="AO52" s="8">
        <v>1</v>
      </c>
      <c r="AP52" s="8">
        <v>0.0872</v>
      </c>
      <c r="AQ52" s="8">
        <v>0.0872</v>
      </c>
      <c r="AR52" s="3"/>
      <c r="AS52" s="8">
        <v>0</v>
      </c>
      <c r="AT52" s="6">
        <v>0</v>
      </c>
      <c r="AU52" s="9">
        <v>0</v>
      </c>
      <c r="AV52" s="8">
        <v>0</v>
      </c>
      <c r="AW52" s="8">
        <v>0</v>
      </c>
      <c r="AX52" s="8">
        <v>0</v>
      </c>
      <c r="AY52" s="3"/>
      <c r="AZ52" s="6">
        <v>0</v>
      </c>
      <c r="BA52" s="6">
        <v>0</v>
      </c>
      <c r="BB52" s="5">
        <v>0</v>
      </c>
      <c r="BC52" s="8">
        <v>0</v>
      </c>
      <c r="BD52" s="8">
        <v>0</v>
      </c>
      <c r="BE52" s="5">
        <v>0</v>
      </c>
      <c r="BF52" s="5">
        <v>0</v>
      </c>
      <c r="BG52" s="3"/>
    </row>
    <row r="53" spans="1:59">
      <c r="A53" t="str">
        <f t="shared" si="0"/>
        <v>2022-10-10XXXX-111</v>
      </c>
      <c r="B53" s="3" t="s">
        <v>231</v>
      </c>
      <c r="C53" s="3" t="s">
        <v>173</v>
      </c>
      <c r="D53" s="3"/>
      <c r="E53" s="3" t="s">
        <v>23</v>
      </c>
      <c r="F53" s="3"/>
      <c r="G53" s="4">
        <v>15.99</v>
      </c>
      <c r="H53" s="5">
        <v>54</v>
      </c>
      <c r="I53" s="5">
        <v>0</v>
      </c>
      <c r="J53" s="5">
        <v>19</v>
      </c>
      <c r="K53" s="5">
        <v>18</v>
      </c>
      <c r="L53" s="6">
        <v>303.81</v>
      </c>
      <c r="M53" s="6">
        <v>303.81</v>
      </c>
      <c r="N53" s="5">
        <v>1</v>
      </c>
      <c r="O53" s="6">
        <v>15.99</v>
      </c>
      <c r="P53" s="5">
        <v>1</v>
      </c>
      <c r="Q53" s="5">
        <v>0</v>
      </c>
      <c r="R53" s="6">
        <v>0</v>
      </c>
      <c r="S53" s="5">
        <v>0</v>
      </c>
      <c r="T53" s="6">
        <v>15.99</v>
      </c>
      <c r="U53" s="7">
        <v>0.3</v>
      </c>
      <c r="V53" s="3"/>
      <c r="W53" s="3"/>
      <c r="X53" s="5">
        <v>0</v>
      </c>
      <c r="Y53" s="8">
        <v>0</v>
      </c>
      <c r="Z53" s="7">
        <v>4.4</v>
      </c>
      <c r="AA53" s="5">
        <v>33</v>
      </c>
      <c r="AB53" s="8">
        <v>0.0556</v>
      </c>
      <c r="AC53" s="6">
        <v>0</v>
      </c>
      <c r="AD53" s="6">
        <v>174.85</v>
      </c>
      <c r="AE53" s="8">
        <v>0.4069</v>
      </c>
      <c r="AF53" s="8">
        <v>2.265</v>
      </c>
      <c r="AG53" s="5">
        <v>0</v>
      </c>
      <c r="AH53" s="8">
        <v>0</v>
      </c>
      <c r="AI53" s="5">
        <v>64</v>
      </c>
      <c r="AJ53" s="5">
        <v>117</v>
      </c>
      <c r="AK53" s="5">
        <v>181</v>
      </c>
      <c r="AL53" s="5">
        <v>82</v>
      </c>
      <c r="AM53" s="5">
        <v>146</v>
      </c>
      <c r="AN53" s="5">
        <v>228</v>
      </c>
      <c r="AO53" s="8">
        <v>1</v>
      </c>
      <c r="AP53" s="8">
        <v>0.0994</v>
      </c>
      <c r="AQ53" s="8">
        <v>0.105</v>
      </c>
      <c r="AR53" s="3"/>
      <c r="AS53" s="8">
        <v>0</v>
      </c>
      <c r="AT53" s="6">
        <v>0</v>
      </c>
      <c r="AU53" s="9">
        <v>0</v>
      </c>
      <c r="AV53" s="8">
        <v>0</v>
      </c>
      <c r="AW53" s="8">
        <v>0</v>
      </c>
      <c r="AX53" s="8">
        <v>0</v>
      </c>
      <c r="AY53" s="3"/>
      <c r="AZ53" s="6">
        <v>0</v>
      </c>
      <c r="BA53" s="6">
        <v>0</v>
      </c>
      <c r="BB53" s="5">
        <v>0</v>
      </c>
      <c r="BC53" s="8">
        <v>0</v>
      </c>
      <c r="BD53" s="8">
        <v>0</v>
      </c>
      <c r="BE53" s="5">
        <v>0</v>
      </c>
      <c r="BF53" s="5">
        <v>0</v>
      </c>
      <c r="BG53" s="3"/>
    </row>
    <row r="54" spans="1:59">
      <c r="A54" t="str">
        <f t="shared" si="0"/>
        <v>2022-10-11XXXX-111</v>
      </c>
      <c r="B54" s="3" t="s">
        <v>232</v>
      </c>
      <c r="C54" s="3" t="s">
        <v>173</v>
      </c>
      <c r="D54" s="3"/>
      <c r="E54" s="3" t="s">
        <v>23</v>
      </c>
      <c r="F54" s="3"/>
      <c r="G54" s="4">
        <v>17.99</v>
      </c>
      <c r="H54" s="5">
        <v>37</v>
      </c>
      <c r="I54" s="5">
        <v>0</v>
      </c>
      <c r="J54" s="5">
        <v>19</v>
      </c>
      <c r="K54" s="5">
        <v>19</v>
      </c>
      <c r="L54" s="6">
        <v>349.81</v>
      </c>
      <c r="M54" s="6">
        <v>337.5</v>
      </c>
      <c r="N54" s="5">
        <v>1</v>
      </c>
      <c r="O54" s="6">
        <v>19.99</v>
      </c>
      <c r="P54" s="5">
        <v>1</v>
      </c>
      <c r="Q54" s="5">
        <v>0</v>
      </c>
      <c r="R54" s="6">
        <v>0</v>
      </c>
      <c r="S54" s="5">
        <v>0</v>
      </c>
      <c r="T54" s="6">
        <v>17.76</v>
      </c>
      <c r="U54" s="7">
        <v>0.3</v>
      </c>
      <c r="V54" s="3"/>
      <c r="W54" s="3"/>
      <c r="X54" s="5">
        <v>1</v>
      </c>
      <c r="Y54" s="8">
        <v>0.0526</v>
      </c>
      <c r="Z54" s="7">
        <v>4.4</v>
      </c>
      <c r="AA54" s="5">
        <v>33</v>
      </c>
      <c r="AB54" s="8">
        <v>0</v>
      </c>
      <c r="AC54" s="6">
        <v>0</v>
      </c>
      <c r="AD54" s="6">
        <v>95</v>
      </c>
      <c r="AE54" s="8">
        <v>0.3423</v>
      </c>
      <c r="AF54" s="8">
        <v>3.0052</v>
      </c>
      <c r="AG54" s="5">
        <v>0</v>
      </c>
      <c r="AH54" s="8">
        <v>0</v>
      </c>
      <c r="AI54" s="5">
        <v>60</v>
      </c>
      <c r="AJ54" s="5">
        <v>56</v>
      </c>
      <c r="AK54" s="5">
        <v>116</v>
      </c>
      <c r="AL54" s="5">
        <v>73</v>
      </c>
      <c r="AM54" s="5">
        <v>67</v>
      </c>
      <c r="AN54" s="5">
        <v>140</v>
      </c>
      <c r="AO54" s="8">
        <v>0.99</v>
      </c>
      <c r="AP54" s="8">
        <v>0.1638</v>
      </c>
      <c r="AQ54" s="8">
        <v>0.1638</v>
      </c>
      <c r="AR54" s="3"/>
      <c r="AS54" s="8">
        <v>0</v>
      </c>
      <c r="AT54" s="6">
        <v>0</v>
      </c>
      <c r="AU54" s="9">
        <v>0</v>
      </c>
      <c r="AV54" s="8">
        <v>0</v>
      </c>
      <c r="AW54" s="8">
        <v>0</v>
      </c>
      <c r="AX54" s="8">
        <v>0</v>
      </c>
      <c r="AY54" s="3"/>
      <c r="AZ54" s="6">
        <v>0</v>
      </c>
      <c r="BA54" s="6">
        <v>0</v>
      </c>
      <c r="BB54" s="5">
        <v>0</v>
      </c>
      <c r="BC54" s="8">
        <v>0</v>
      </c>
      <c r="BD54" s="8">
        <v>0</v>
      </c>
      <c r="BE54" s="5">
        <v>0</v>
      </c>
      <c r="BF54" s="5">
        <v>0</v>
      </c>
      <c r="BG54" s="3"/>
    </row>
    <row r="55" spans="1:59">
      <c r="A55" t="str">
        <f t="shared" si="0"/>
        <v>2022-10-12XXXX-111</v>
      </c>
      <c r="B55" s="3" t="s">
        <v>233</v>
      </c>
      <c r="C55" s="3" t="s">
        <v>173</v>
      </c>
      <c r="D55" s="3"/>
      <c r="E55" s="3" t="s">
        <v>23</v>
      </c>
      <c r="F55" s="3"/>
      <c r="G55" s="4">
        <v>19.99</v>
      </c>
      <c r="H55" s="5">
        <v>22</v>
      </c>
      <c r="I55" s="5">
        <v>0</v>
      </c>
      <c r="J55" s="5">
        <v>18</v>
      </c>
      <c r="K55" s="5">
        <v>17</v>
      </c>
      <c r="L55" s="6">
        <v>359.82</v>
      </c>
      <c r="M55" s="6">
        <v>329.04</v>
      </c>
      <c r="N55" s="5">
        <v>4</v>
      </c>
      <c r="O55" s="6">
        <v>79.96</v>
      </c>
      <c r="P55" s="5">
        <v>4</v>
      </c>
      <c r="Q55" s="5">
        <v>0</v>
      </c>
      <c r="R55" s="6">
        <v>0</v>
      </c>
      <c r="S55" s="5">
        <v>0</v>
      </c>
      <c r="T55" s="6">
        <v>18.28</v>
      </c>
      <c r="U55" s="7">
        <v>0.3</v>
      </c>
      <c r="V55" s="3"/>
      <c r="W55" s="3"/>
      <c r="X55" s="5">
        <v>2</v>
      </c>
      <c r="Y55" s="8">
        <v>0.1111</v>
      </c>
      <c r="Z55" s="7">
        <v>4.4</v>
      </c>
      <c r="AA55" s="5">
        <v>33</v>
      </c>
      <c r="AB55" s="8">
        <v>0</v>
      </c>
      <c r="AC55" s="6">
        <v>0</v>
      </c>
      <c r="AD55" s="6">
        <v>116.31</v>
      </c>
      <c r="AE55" s="8">
        <v>0.2984</v>
      </c>
      <c r="AF55" s="8">
        <v>3.7939</v>
      </c>
      <c r="AG55" s="5">
        <v>2</v>
      </c>
      <c r="AH55" s="8">
        <v>0.1111</v>
      </c>
      <c r="AI55" s="5">
        <v>41</v>
      </c>
      <c r="AJ55" s="5">
        <v>64</v>
      </c>
      <c r="AK55" s="5">
        <v>105</v>
      </c>
      <c r="AL55" s="5">
        <v>48</v>
      </c>
      <c r="AM55" s="5">
        <v>76</v>
      </c>
      <c r="AN55" s="5">
        <v>124</v>
      </c>
      <c r="AO55" s="8">
        <v>1</v>
      </c>
      <c r="AP55" s="8">
        <v>0.1619</v>
      </c>
      <c r="AQ55" s="8">
        <v>0.1714</v>
      </c>
      <c r="AR55" s="3"/>
      <c r="AS55" s="8">
        <v>0</v>
      </c>
      <c r="AT55" s="6">
        <v>0</v>
      </c>
      <c r="AU55" s="9">
        <v>0</v>
      </c>
      <c r="AV55" s="8">
        <v>0</v>
      </c>
      <c r="AW55" s="8">
        <v>0</v>
      </c>
      <c r="AX55" s="8">
        <v>0</v>
      </c>
      <c r="AY55" s="3"/>
      <c r="AZ55" s="6">
        <v>0</v>
      </c>
      <c r="BA55" s="6">
        <v>0</v>
      </c>
      <c r="BB55" s="5">
        <v>0</v>
      </c>
      <c r="BC55" s="8">
        <v>0</v>
      </c>
      <c r="BD55" s="8">
        <v>0</v>
      </c>
      <c r="BE55" s="5">
        <v>0</v>
      </c>
      <c r="BF55" s="5">
        <v>0</v>
      </c>
      <c r="BG55" s="3"/>
    </row>
    <row r="56" spans="1:59">
      <c r="A56" t="str">
        <f t="shared" si="0"/>
        <v>2022-10-13XXXX-111</v>
      </c>
      <c r="B56" s="3" t="s">
        <v>234</v>
      </c>
      <c r="C56" s="3" t="s">
        <v>173</v>
      </c>
      <c r="D56" s="3"/>
      <c r="E56" s="3" t="s">
        <v>23</v>
      </c>
      <c r="F56" s="3"/>
      <c r="G56" s="4">
        <v>19.99</v>
      </c>
      <c r="H56" s="5">
        <v>6</v>
      </c>
      <c r="I56" s="5">
        <v>0</v>
      </c>
      <c r="J56" s="5">
        <v>8</v>
      </c>
      <c r="K56" s="5">
        <v>8</v>
      </c>
      <c r="L56" s="6">
        <v>159.92</v>
      </c>
      <c r="M56" s="6">
        <v>159.92</v>
      </c>
      <c r="N56" s="5">
        <v>2</v>
      </c>
      <c r="O56" s="6">
        <v>39.98</v>
      </c>
      <c r="P56" s="5">
        <v>2</v>
      </c>
      <c r="Q56" s="5">
        <v>0</v>
      </c>
      <c r="R56" s="6">
        <v>0</v>
      </c>
      <c r="S56" s="5">
        <v>0</v>
      </c>
      <c r="T56" s="6">
        <v>19.99</v>
      </c>
      <c r="U56" s="7">
        <v>0.1</v>
      </c>
      <c r="V56" s="3"/>
      <c r="W56" s="3"/>
      <c r="X56" s="5">
        <v>0</v>
      </c>
      <c r="Y56" s="8">
        <v>0</v>
      </c>
      <c r="Z56" s="7">
        <v>4.4</v>
      </c>
      <c r="AA56" s="5">
        <v>36</v>
      </c>
      <c r="AB56" s="8">
        <v>0</v>
      </c>
      <c r="AC56" s="6">
        <v>0</v>
      </c>
      <c r="AD56" s="6">
        <v>67.39</v>
      </c>
      <c r="AE56" s="8">
        <v>0.4665</v>
      </c>
      <c r="AF56" s="8">
        <v>6.0817</v>
      </c>
      <c r="AG56" s="5">
        <v>0</v>
      </c>
      <c r="AH56" s="8">
        <v>0</v>
      </c>
      <c r="AI56" s="5">
        <v>27</v>
      </c>
      <c r="AJ56" s="5">
        <v>58</v>
      </c>
      <c r="AK56" s="5">
        <v>85</v>
      </c>
      <c r="AL56" s="5">
        <v>33</v>
      </c>
      <c r="AM56" s="5">
        <v>69</v>
      </c>
      <c r="AN56" s="5">
        <v>102</v>
      </c>
      <c r="AO56" s="8">
        <v>0.99</v>
      </c>
      <c r="AP56" s="8">
        <v>0.0941</v>
      </c>
      <c r="AQ56" s="8">
        <v>0.0941</v>
      </c>
      <c r="AR56" s="3"/>
      <c r="AS56" s="8">
        <v>0</v>
      </c>
      <c r="AT56" s="6">
        <v>0</v>
      </c>
      <c r="AU56" s="9">
        <v>0</v>
      </c>
      <c r="AV56" s="8">
        <v>0</v>
      </c>
      <c r="AW56" s="8">
        <v>0</v>
      </c>
      <c r="AX56" s="8">
        <v>0</v>
      </c>
      <c r="AY56" s="3"/>
      <c r="AZ56" s="6">
        <v>0</v>
      </c>
      <c r="BA56" s="6">
        <v>0</v>
      </c>
      <c r="BB56" s="5">
        <v>0</v>
      </c>
      <c r="BC56" s="8">
        <v>0</v>
      </c>
      <c r="BD56" s="8">
        <v>0</v>
      </c>
      <c r="BE56" s="5">
        <v>0</v>
      </c>
      <c r="BF56" s="5">
        <v>0</v>
      </c>
      <c r="BG56" s="3"/>
    </row>
    <row r="57" spans="1:59">
      <c r="A57" t="str">
        <f t="shared" si="0"/>
        <v>2022-10-14XXXX-111</v>
      </c>
      <c r="B57" s="3" t="s">
        <v>235</v>
      </c>
      <c r="C57" s="3" t="s">
        <v>173</v>
      </c>
      <c r="D57" s="3"/>
      <c r="E57" s="3" t="s">
        <v>23</v>
      </c>
      <c r="F57" s="3"/>
      <c r="G57" s="4">
        <v>19.99</v>
      </c>
      <c r="H57" s="5">
        <v>1</v>
      </c>
      <c r="I57" s="5">
        <v>0</v>
      </c>
      <c r="J57" s="5">
        <v>4</v>
      </c>
      <c r="K57" s="5">
        <v>4</v>
      </c>
      <c r="L57" s="6">
        <v>79.96</v>
      </c>
      <c r="M57" s="6">
        <v>79.96</v>
      </c>
      <c r="N57" s="5">
        <v>1</v>
      </c>
      <c r="O57" s="6">
        <v>19.99</v>
      </c>
      <c r="P57" s="5">
        <v>1</v>
      </c>
      <c r="Q57" s="5">
        <v>0</v>
      </c>
      <c r="R57" s="6">
        <v>0</v>
      </c>
      <c r="S57" s="5">
        <v>0</v>
      </c>
      <c r="T57" s="6">
        <v>19.99</v>
      </c>
      <c r="U57" s="7">
        <v>0.1</v>
      </c>
      <c r="V57" s="3"/>
      <c r="W57" s="3"/>
      <c r="X57" s="5">
        <v>2</v>
      </c>
      <c r="Y57" s="8">
        <v>0.5</v>
      </c>
      <c r="Z57" s="7">
        <v>4.4</v>
      </c>
      <c r="AA57" s="5">
        <v>36</v>
      </c>
      <c r="AB57" s="8">
        <v>0</v>
      </c>
      <c r="AC57" s="6">
        <v>0</v>
      </c>
      <c r="AD57" s="6">
        <v>30.12</v>
      </c>
      <c r="AE57" s="8">
        <v>0.3075</v>
      </c>
      <c r="AF57" s="8">
        <v>6.0817</v>
      </c>
      <c r="AG57" s="5">
        <v>0</v>
      </c>
      <c r="AH57" s="8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3"/>
      <c r="AP57" s="8">
        <v>0</v>
      </c>
      <c r="AQ57" s="8">
        <v>0</v>
      </c>
      <c r="AR57" s="3"/>
      <c r="AS57" s="8">
        <v>0</v>
      </c>
      <c r="AT57" s="6">
        <v>0</v>
      </c>
      <c r="AU57" s="9">
        <v>0</v>
      </c>
      <c r="AV57" s="8">
        <v>0</v>
      </c>
      <c r="AW57" s="8">
        <v>0</v>
      </c>
      <c r="AX57" s="8">
        <v>0</v>
      </c>
      <c r="AY57" s="3"/>
      <c r="AZ57" s="6">
        <v>0</v>
      </c>
      <c r="BA57" s="6">
        <v>0</v>
      </c>
      <c r="BB57" s="5">
        <v>0</v>
      </c>
      <c r="BC57" s="8">
        <v>0</v>
      </c>
      <c r="BD57" s="8">
        <v>0</v>
      </c>
      <c r="BE57" s="5">
        <v>0</v>
      </c>
      <c r="BF57" s="5">
        <v>0</v>
      </c>
      <c r="BG57" s="3"/>
    </row>
    <row r="58" spans="1:59">
      <c r="A58" t="str">
        <f t="shared" si="0"/>
        <v>2022-10-15XXXX-111</v>
      </c>
      <c r="B58" s="3" t="s">
        <v>236</v>
      </c>
      <c r="C58" s="3" t="s">
        <v>173</v>
      </c>
      <c r="D58" s="3"/>
      <c r="E58" s="3" t="s">
        <v>23</v>
      </c>
      <c r="F58" s="3"/>
      <c r="G58" s="4">
        <v>19.99</v>
      </c>
      <c r="H58" s="5">
        <v>1</v>
      </c>
      <c r="I58" s="5">
        <v>0</v>
      </c>
      <c r="J58" s="5">
        <v>0</v>
      </c>
      <c r="K58" s="5">
        <v>0</v>
      </c>
      <c r="L58" s="6">
        <v>0</v>
      </c>
      <c r="M58" s="6">
        <v>0</v>
      </c>
      <c r="N58" s="5">
        <v>0</v>
      </c>
      <c r="O58" s="6">
        <v>0</v>
      </c>
      <c r="P58" s="5">
        <v>0</v>
      </c>
      <c r="Q58" s="5">
        <v>0</v>
      </c>
      <c r="R58" s="6">
        <v>0</v>
      </c>
      <c r="S58" s="5">
        <v>0</v>
      </c>
      <c r="T58" s="3"/>
      <c r="U58" s="7">
        <v>0</v>
      </c>
      <c r="V58" s="3"/>
      <c r="W58" s="3"/>
      <c r="X58" s="5">
        <v>0</v>
      </c>
      <c r="Y58" s="8">
        <v>0</v>
      </c>
      <c r="Z58" s="7">
        <v>4.4</v>
      </c>
      <c r="AA58" s="5">
        <v>36</v>
      </c>
      <c r="AB58" s="8">
        <v>0</v>
      </c>
      <c r="AC58" s="6">
        <v>0</v>
      </c>
      <c r="AD58" s="6">
        <v>0</v>
      </c>
      <c r="AE58" s="8">
        <v>0</v>
      </c>
      <c r="AF58" s="8">
        <v>0</v>
      </c>
      <c r="AG58" s="5">
        <v>0</v>
      </c>
      <c r="AH58" s="8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3"/>
      <c r="AP58" s="8">
        <v>0</v>
      </c>
      <c r="AQ58" s="8">
        <v>0</v>
      </c>
      <c r="AR58" s="3"/>
      <c r="AS58" s="8">
        <v>0</v>
      </c>
      <c r="AT58" s="6">
        <v>0</v>
      </c>
      <c r="AU58" s="9">
        <v>0</v>
      </c>
      <c r="AV58" s="8">
        <v>0</v>
      </c>
      <c r="AW58" s="8">
        <v>0</v>
      </c>
      <c r="AX58" s="8">
        <v>0</v>
      </c>
      <c r="AY58" s="3"/>
      <c r="AZ58" s="6">
        <v>0</v>
      </c>
      <c r="BA58" s="6">
        <v>0</v>
      </c>
      <c r="BB58" s="5">
        <v>0</v>
      </c>
      <c r="BC58" s="8">
        <v>0</v>
      </c>
      <c r="BD58" s="8">
        <v>0</v>
      </c>
      <c r="BE58" s="5">
        <v>0</v>
      </c>
      <c r="BF58" s="5">
        <v>0</v>
      </c>
      <c r="BG58" s="3"/>
    </row>
    <row r="59" spans="1:1">
      <c r="A59" t="str">
        <f t="shared" si="0"/>
        <v/>
      </c>
    </row>
    <row r="60" spans="1:59">
      <c r="A60" t="str">
        <f t="shared" si="0"/>
        <v>时间MSKU</v>
      </c>
      <c r="B60" s="2" t="s">
        <v>239</v>
      </c>
      <c r="C60" s="2" t="s">
        <v>1</v>
      </c>
      <c r="D60" s="2" t="s">
        <v>592</v>
      </c>
      <c r="E60" s="2" t="s">
        <v>238</v>
      </c>
      <c r="F60" s="2" t="s">
        <v>593</v>
      </c>
      <c r="G60" s="2" t="s">
        <v>594</v>
      </c>
      <c r="H60" s="2" t="s">
        <v>595</v>
      </c>
      <c r="I60" s="2" t="s">
        <v>596</v>
      </c>
      <c r="J60" s="2" t="s">
        <v>177</v>
      </c>
      <c r="K60" s="2" t="s">
        <v>597</v>
      </c>
      <c r="L60" s="2" t="s">
        <v>598</v>
      </c>
      <c r="M60" s="2" t="s">
        <v>599</v>
      </c>
      <c r="N60" s="2" t="s">
        <v>600</v>
      </c>
      <c r="O60" s="2" t="s">
        <v>601</v>
      </c>
      <c r="P60" s="2" t="s">
        <v>602</v>
      </c>
      <c r="Q60" s="2" t="s">
        <v>603</v>
      </c>
      <c r="R60" s="2" t="s">
        <v>604</v>
      </c>
      <c r="S60" s="2" t="s">
        <v>605</v>
      </c>
      <c r="T60" s="2" t="s">
        <v>606</v>
      </c>
      <c r="U60" s="2" t="s">
        <v>607</v>
      </c>
      <c r="V60" s="2"/>
      <c r="W60" s="2"/>
      <c r="X60" s="2" t="s">
        <v>610</v>
      </c>
      <c r="Y60" s="2" t="s">
        <v>611</v>
      </c>
      <c r="Z60" s="2" t="s">
        <v>612</v>
      </c>
      <c r="AA60" s="2" t="s">
        <v>613</v>
      </c>
      <c r="AB60" s="2" t="s">
        <v>614</v>
      </c>
      <c r="AC60" s="2" t="s">
        <v>615</v>
      </c>
      <c r="AD60" s="2" t="s">
        <v>32</v>
      </c>
      <c r="AE60" s="2" t="s">
        <v>616</v>
      </c>
      <c r="AF60" s="2" t="s">
        <v>617</v>
      </c>
      <c r="AG60" s="2" t="s">
        <v>618</v>
      </c>
      <c r="AH60" s="2" t="s">
        <v>619</v>
      </c>
      <c r="AI60" s="2" t="s">
        <v>620</v>
      </c>
      <c r="AJ60" s="2" t="s">
        <v>621</v>
      </c>
      <c r="AK60" s="2" t="s">
        <v>622</v>
      </c>
      <c r="AL60" s="2" t="s">
        <v>623</v>
      </c>
      <c r="AM60" s="2" t="s">
        <v>624</v>
      </c>
      <c r="AN60" s="2" t="s">
        <v>625</v>
      </c>
      <c r="AO60" s="2" t="s">
        <v>626</v>
      </c>
      <c r="AP60" s="2" t="s">
        <v>627</v>
      </c>
      <c r="AQ60" s="2" t="s">
        <v>628</v>
      </c>
      <c r="AR60" s="2" t="s">
        <v>629</v>
      </c>
      <c r="AS60" s="2" t="s">
        <v>630</v>
      </c>
      <c r="AT60" s="2" t="s">
        <v>631</v>
      </c>
      <c r="AU60" s="2" t="s">
        <v>632</v>
      </c>
      <c r="AV60" s="2" t="s">
        <v>633</v>
      </c>
      <c r="AW60" s="2" t="s">
        <v>634</v>
      </c>
      <c r="AX60" s="2" t="s">
        <v>635</v>
      </c>
      <c r="AY60" s="2" t="s">
        <v>636</v>
      </c>
      <c r="AZ60" s="2" t="s">
        <v>637</v>
      </c>
      <c r="BA60" s="2" t="s">
        <v>638</v>
      </c>
      <c r="BB60" s="2" t="s">
        <v>339</v>
      </c>
      <c r="BC60" s="2" t="s">
        <v>639</v>
      </c>
      <c r="BD60" s="2" t="s">
        <v>640</v>
      </c>
      <c r="BE60" s="2" t="s">
        <v>641</v>
      </c>
      <c r="BF60" s="2" t="s">
        <v>642</v>
      </c>
      <c r="BG60" s="2"/>
    </row>
    <row r="61" spans="1:59">
      <c r="A61" t="str">
        <f t="shared" si="0"/>
        <v>2022-08-20XXXX-222</v>
      </c>
      <c r="B61" s="3" t="s">
        <v>241</v>
      </c>
      <c r="C61" s="3" t="s">
        <v>176</v>
      </c>
      <c r="D61" s="3"/>
      <c r="E61" s="3" t="s">
        <v>24</v>
      </c>
      <c r="F61" s="3"/>
      <c r="G61" s="4">
        <v>13.99</v>
      </c>
      <c r="H61" s="5">
        <v>240</v>
      </c>
      <c r="I61" s="5">
        <v>0</v>
      </c>
      <c r="J61" s="5">
        <v>0</v>
      </c>
      <c r="K61" s="5">
        <v>0</v>
      </c>
      <c r="L61" s="6">
        <v>0</v>
      </c>
      <c r="M61" s="6">
        <v>0</v>
      </c>
      <c r="N61" s="5">
        <v>0</v>
      </c>
      <c r="O61" s="6">
        <v>0</v>
      </c>
      <c r="P61" s="5">
        <v>0</v>
      </c>
      <c r="Q61" s="5">
        <v>0</v>
      </c>
      <c r="R61" s="6">
        <v>0</v>
      </c>
      <c r="S61" s="5">
        <v>0</v>
      </c>
      <c r="T61" s="3"/>
      <c r="U61" s="7">
        <v>0</v>
      </c>
      <c r="V61" s="3"/>
      <c r="W61" s="3"/>
      <c r="X61" s="5">
        <v>0</v>
      </c>
      <c r="Y61" s="8">
        <v>0</v>
      </c>
      <c r="Z61" s="7">
        <v>0</v>
      </c>
      <c r="AA61" s="5">
        <v>0</v>
      </c>
      <c r="AB61" s="8">
        <v>0</v>
      </c>
      <c r="AC61" s="6">
        <v>0</v>
      </c>
      <c r="AD61" s="6">
        <v>0</v>
      </c>
      <c r="AE61" s="8">
        <v>0</v>
      </c>
      <c r="AF61" s="8">
        <v>0</v>
      </c>
      <c r="AG61" s="5">
        <v>0</v>
      </c>
      <c r="AH61" s="8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3"/>
      <c r="AP61" s="8">
        <v>0</v>
      </c>
      <c r="AQ61" s="8">
        <v>0</v>
      </c>
      <c r="AR61" s="3"/>
      <c r="AS61" s="8">
        <v>0</v>
      </c>
      <c r="AT61" s="6">
        <v>0</v>
      </c>
      <c r="AU61" s="9">
        <v>0</v>
      </c>
      <c r="AV61" s="8">
        <v>0</v>
      </c>
      <c r="AW61" s="8">
        <v>0</v>
      </c>
      <c r="AX61" s="8">
        <v>0</v>
      </c>
      <c r="AY61" s="3"/>
      <c r="AZ61" s="6">
        <v>0</v>
      </c>
      <c r="BA61" s="6">
        <v>0</v>
      </c>
      <c r="BB61" s="5">
        <v>0</v>
      </c>
      <c r="BC61" s="8">
        <v>0</v>
      </c>
      <c r="BD61" s="8">
        <v>0</v>
      </c>
      <c r="BE61" s="5">
        <v>0</v>
      </c>
      <c r="BF61" s="5">
        <v>0</v>
      </c>
      <c r="BG61" s="3"/>
    </row>
    <row r="62" spans="1:59">
      <c r="A62" t="str">
        <f t="shared" si="0"/>
        <v>2022-08-21XXXX-222</v>
      </c>
      <c r="B62" s="3" t="s">
        <v>242</v>
      </c>
      <c r="C62" s="3" t="s">
        <v>176</v>
      </c>
      <c r="D62" s="3"/>
      <c r="E62" s="3" t="s">
        <v>24</v>
      </c>
      <c r="F62" s="3"/>
      <c r="G62" s="4">
        <v>13.99</v>
      </c>
      <c r="H62" s="5">
        <v>284</v>
      </c>
      <c r="I62" s="5">
        <v>0</v>
      </c>
      <c r="J62" s="5">
        <v>0</v>
      </c>
      <c r="K62" s="5">
        <v>0</v>
      </c>
      <c r="L62" s="6">
        <v>0</v>
      </c>
      <c r="M62" s="6">
        <v>0</v>
      </c>
      <c r="N62" s="5">
        <v>0</v>
      </c>
      <c r="O62" s="6">
        <v>0</v>
      </c>
      <c r="P62" s="5">
        <v>0</v>
      </c>
      <c r="Q62" s="5">
        <v>0</v>
      </c>
      <c r="R62" s="6">
        <v>0</v>
      </c>
      <c r="S62" s="5">
        <v>0</v>
      </c>
      <c r="T62" s="3"/>
      <c r="U62" s="7">
        <v>0</v>
      </c>
      <c r="V62" s="3"/>
      <c r="W62" s="3"/>
      <c r="X62" s="5">
        <v>0</v>
      </c>
      <c r="Y62" s="8">
        <v>0</v>
      </c>
      <c r="Z62" s="7">
        <v>0</v>
      </c>
      <c r="AA62" s="5">
        <v>0</v>
      </c>
      <c r="AB62" s="8">
        <v>0</v>
      </c>
      <c r="AC62" s="6">
        <v>0</v>
      </c>
      <c r="AD62" s="6">
        <v>0</v>
      </c>
      <c r="AE62" s="8">
        <v>0</v>
      </c>
      <c r="AF62" s="8">
        <v>0</v>
      </c>
      <c r="AG62" s="5">
        <v>0</v>
      </c>
      <c r="AH62" s="8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3"/>
      <c r="AP62" s="8">
        <v>0</v>
      </c>
      <c r="AQ62" s="8">
        <v>0</v>
      </c>
      <c r="AR62" s="3"/>
      <c r="AS62" s="8">
        <v>0</v>
      </c>
      <c r="AT62" s="6">
        <v>0</v>
      </c>
      <c r="AU62" s="9">
        <v>0</v>
      </c>
      <c r="AV62" s="8">
        <v>0</v>
      </c>
      <c r="AW62" s="8">
        <v>0</v>
      </c>
      <c r="AX62" s="8">
        <v>0</v>
      </c>
      <c r="AY62" s="3"/>
      <c r="AZ62" s="6">
        <v>0</v>
      </c>
      <c r="BA62" s="6">
        <v>0</v>
      </c>
      <c r="BB62" s="5">
        <v>0</v>
      </c>
      <c r="BC62" s="8">
        <v>0</v>
      </c>
      <c r="BD62" s="8">
        <v>0</v>
      </c>
      <c r="BE62" s="5">
        <v>0</v>
      </c>
      <c r="BF62" s="5">
        <v>0</v>
      </c>
      <c r="BG62" s="3"/>
    </row>
    <row r="63" spans="1:59">
      <c r="A63" t="str">
        <f t="shared" si="0"/>
        <v>2022-08-22XXXX-222</v>
      </c>
      <c r="B63" s="3" t="s">
        <v>243</v>
      </c>
      <c r="C63" s="3" t="s">
        <v>176</v>
      </c>
      <c r="D63" s="3"/>
      <c r="E63" s="3" t="s">
        <v>24</v>
      </c>
      <c r="F63" s="3"/>
      <c r="G63" s="4">
        <v>13.99</v>
      </c>
      <c r="H63" s="5">
        <v>344</v>
      </c>
      <c r="I63" s="5">
        <v>0</v>
      </c>
      <c r="J63" s="5">
        <v>0</v>
      </c>
      <c r="K63" s="5">
        <v>0</v>
      </c>
      <c r="L63" s="6">
        <v>0</v>
      </c>
      <c r="M63" s="6">
        <v>0</v>
      </c>
      <c r="N63" s="5">
        <v>0</v>
      </c>
      <c r="O63" s="6">
        <v>0</v>
      </c>
      <c r="P63" s="5">
        <v>0</v>
      </c>
      <c r="Q63" s="5">
        <v>0</v>
      </c>
      <c r="R63" s="6">
        <v>0</v>
      </c>
      <c r="S63" s="5">
        <v>0</v>
      </c>
      <c r="T63" s="3"/>
      <c r="U63" s="7">
        <v>0</v>
      </c>
      <c r="V63" s="3"/>
      <c r="W63" s="3"/>
      <c r="X63" s="5">
        <v>0</v>
      </c>
      <c r="Y63" s="8">
        <v>0</v>
      </c>
      <c r="Z63" s="7">
        <v>0</v>
      </c>
      <c r="AA63" s="5">
        <v>0</v>
      </c>
      <c r="AB63" s="8">
        <v>0</v>
      </c>
      <c r="AC63" s="6">
        <v>0</v>
      </c>
      <c r="AD63" s="6">
        <v>0</v>
      </c>
      <c r="AE63" s="8">
        <v>0</v>
      </c>
      <c r="AF63" s="8">
        <v>0</v>
      </c>
      <c r="AG63" s="5">
        <v>0</v>
      </c>
      <c r="AH63" s="8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3"/>
      <c r="AP63" s="8">
        <v>0</v>
      </c>
      <c r="AQ63" s="8">
        <v>0</v>
      </c>
      <c r="AR63" s="3"/>
      <c r="AS63" s="8">
        <v>0</v>
      </c>
      <c r="AT63" s="6">
        <v>0</v>
      </c>
      <c r="AU63" s="9">
        <v>0</v>
      </c>
      <c r="AV63" s="8">
        <v>0</v>
      </c>
      <c r="AW63" s="8">
        <v>0</v>
      </c>
      <c r="AX63" s="8">
        <v>0</v>
      </c>
      <c r="AY63" s="3"/>
      <c r="AZ63" s="6">
        <v>0</v>
      </c>
      <c r="BA63" s="6">
        <v>0</v>
      </c>
      <c r="BB63" s="5">
        <v>0</v>
      </c>
      <c r="BC63" s="8">
        <v>0</v>
      </c>
      <c r="BD63" s="8">
        <v>0</v>
      </c>
      <c r="BE63" s="5">
        <v>0</v>
      </c>
      <c r="BF63" s="5">
        <v>0</v>
      </c>
      <c r="BG63" s="3"/>
    </row>
    <row r="64" spans="1:59">
      <c r="A64" t="str">
        <f t="shared" si="0"/>
        <v>2022-08-23XXXX-222</v>
      </c>
      <c r="B64" s="3" t="s">
        <v>183</v>
      </c>
      <c r="C64" s="3" t="s">
        <v>176</v>
      </c>
      <c r="D64" s="3"/>
      <c r="E64" s="3" t="s">
        <v>24</v>
      </c>
      <c r="F64" s="3"/>
      <c r="G64" s="4">
        <v>13.99</v>
      </c>
      <c r="H64" s="5">
        <v>365</v>
      </c>
      <c r="I64" s="5">
        <v>0</v>
      </c>
      <c r="J64" s="5">
        <v>1</v>
      </c>
      <c r="K64" s="5">
        <v>1</v>
      </c>
      <c r="L64" s="6">
        <v>13.99</v>
      </c>
      <c r="M64" s="6">
        <v>13.99</v>
      </c>
      <c r="N64" s="5">
        <v>0</v>
      </c>
      <c r="O64" s="6">
        <v>0</v>
      </c>
      <c r="P64" s="5">
        <v>0</v>
      </c>
      <c r="Q64" s="5">
        <v>0</v>
      </c>
      <c r="R64" s="6">
        <v>0</v>
      </c>
      <c r="S64" s="5">
        <v>0</v>
      </c>
      <c r="T64" s="6">
        <v>13.99</v>
      </c>
      <c r="U64" s="7">
        <v>0</v>
      </c>
      <c r="V64" s="3"/>
      <c r="W64" s="3"/>
      <c r="X64" s="5">
        <v>0</v>
      </c>
      <c r="Y64" s="8">
        <v>0</v>
      </c>
      <c r="Z64" s="7">
        <v>0</v>
      </c>
      <c r="AA64" s="5">
        <v>0</v>
      </c>
      <c r="AB64" s="8">
        <v>0</v>
      </c>
      <c r="AC64" s="6">
        <v>0</v>
      </c>
      <c r="AD64" s="6">
        <v>-15.72</v>
      </c>
      <c r="AE64" s="8">
        <v>0</v>
      </c>
      <c r="AF64" s="8">
        <v>-1.6129</v>
      </c>
      <c r="AG64" s="5">
        <v>0</v>
      </c>
      <c r="AH64" s="8">
        <v>0</v>
      </c>
      <c r="AI64" s="5">
        <v>6</v>
      </c>
      <c r="AJ64" s="5">
        <v>19</v>
      </c>
      <c r="AK64" s="5">
        <v>25</v>
      </c>
      <c r="AL64" s="5">
        <v>7</v>
      </c>
      <c r="AM64" s="5">
        <v>23</v>
      </c>
      <c r="AN64" s="5">
        <v>30</v>
      </c>
      <c r="AO64" s="8">
        <v>1</v>
      </c>
      <c r="AP64" s="8">
        <v>0.04</v>
      </c>
      <c r="AQ64" s="8">
        <v>0.04</v>
      </c>
      <c r="AR64" s="6">
        <v>0.98</v>
      </c>
      <c r="AS64" s="8">
        <v>0.0045</v>
      </c>
      <c r="AT64" s="6">
        <v>-15.72</v>
      </c>
      <c r="AU64" s="9">
        <v>0</v>
      </c>
      <c r="AV64" s="8">
        <v>1</v>
      </c>
      <c r="AW64" s="8">
        <v>1.1237</v>
      </c>
      <c r="AX64" s="8">
        <v>0</v>
      </c>
      <c r="AY64" s="3"/>
      <c r="AZ64" s="6">
        <v>4.43</v>
      </c>
      <c r="BA64" s="6">
        <v>0</v>
      </c>
      <c r="BB64" s="5">
        <v>0</v>
      </c>
      <c r="BC64" s="8">
        <v>0</v>
      </c>
      <c r="BD64" s="8">
        <v>0</v>
      </c>
      <c r="BE64" s="5">
        <v>3551</v>
      </c>
      <c r="BF64" s="5">
        <v>16</v>
      </c>
      <c r="BG64" s="3"/>
    </row>
    <row r="65" spans="1:59">
      <c r="A65" t="str">
        <f t="shared" si="0"/>
        <v>2022-08-24XXXX-222</v>
      </c>
      <c r="B65" s="3" t="s">
        <v>184</v>
      </c>
      <c r="C65" s="3" t="s">
        <v>176</v>
      </c>
      <c r="D65" s="3"/>
      <c r="E65" s="3" t="s">
        <v>24</v>
      </c>
      <c r="F65" s="3"/>
      <c r="G65" s="4">
        <v>13.99</v>
      </c>
      <c r="H65" s="5">
        <v>364</v>
      </c>
      <c r="I65" s="5">
        <v>0</v>
      </c>
      <c r="J65" s="5">
        <v>0</v>
      </c>
      <c r="K65" s="5">
        <v>0</v>
      </c>
      <c r="L65" s="6">
        <v>0</v>
      </c>
      <c r="M65" s="6">
        <v>0</v>
      </c>
      <c r="N65" s="5">
        <v>0</v>
      </c>
      <c r="O65" s="6">
        <v>0</v>
      </c>
      <c r="P65" s="5">
        <v>0</v>
      </c>
      <c r="Q65" s="5">
        <v>0</v>
      </c>
      <c r="R65" s="6">
        <v>0</v>
      </c>
      <c r="S65" s="5">
        <v>0</v>
      </c>
      <c r="T65" s="3"/>
      <c r="U65" s="7">
        <v>0</v>
      </c>
      <c r="V65" s="3"/>
      <c r="W65" s="3"/>
      <c r="X65" s="5">
        <v>0</v>
      </c>
      <c r="Y65" s="8">
        <v>0</v>
      </c>
      <c r="Z65" s="7">
        <v>0</v>
      </c>
      <c r="AA65" s="5">
        <v>0</v>
      </c>
      <c r="AB65" s="8">
        <v>0</v>
      </c>
      <c r="AC65" s="6">
        <v>0</v>
      </c>
      <c r="AD65" s="6">
        <v>-6.68</v>
      </c>
      <c r="AE65" s="8">
        <v>0</v>
      </c>
      <c r="AF65" s="8">
        <v>0</v>
      </c>
      <c r="AG65" s="5">
        <v>0</v>
      </c>
      <c r="AH65" s="8">
        <v>0</v>
      </c>
      <c r="AI65" s="5">
        <v>7</v>
      </c>
      <c r="AJ65" s="5">
        <v>9</v>
      </c>
      <c r="AK65" s="5">
        <v>16</v>
      </c>
      <c r="AL65" s="5">
        <v>7</v>
      </c>
      <c r="AM65" s="5">
        <v>10</v>
      </c>
      <c r="AN65" s="5">
        <v>17</v>
      </c>
      <c r="AO65" s="8">
        <v>1</v>
      </c>
      <c r="AP65" s="8">
        <v>0</v>
      </c>
      <c r="AQ65" s="8">
        <v>0</v>
      </c>
      <c r="AR65" s="6">
        <v>0.83</v>
      </c>
      <c r="AS65" s="8">
        <v>0.0031</v>
      </c>
      <c r="AT65" s="6">
        <v>-6.68</v>
      </c>
      <c r="AU65" s="9">
        <v>0</v>
      </c>
      <c r="AV65" s="8">
        <v>1</v>
      </c>
      <c r="AW65" s="8">
        <v>1</v>
      </c>
      <c r="AX65" s="8">
        <v>0</v>
      </c>
      <c r="AY65" s="3"/>
      <c r="AZ65" s="6">
        <v>2.57</v>
      </c>
      <c r="BA65" s="6">
        <v>0</v>
      </c>
      <c r="BB65" s="5">
        <v>0</v>
      </c>
      <c r="BC65" s="8">
        <v>0</v>
      </c>
      <c r="BD65" s="8">
        <v>0</v>
      </c>
      <c r="BE65" s="5">
        <v>2595</v>
      </c>
      <c r="BF65" s="5">
        <v>8</v>
      </c>
      <c r="BG65" s="3"/>
    </row>
    <row r="66" spans="1:59">
      <c r="A66" t="str">
        <f t="shared" ref="A66:A117" si="1">B66&amp;E66</f>
        <v>2022-08-25XXXX-222</v>
      </c>
      <c r="B66" s="3" t="s">
        <v>185</v>
      </c>
      <c r="C66" s="3" t="s">
        <v>176</v>
      </c>
      <c r="D66" s="3"/>
      <c r="E66" s="3" t="s">
        <v>24</v>
      </c>
      <c r="F66" s="3"/>
      <c r="G66" s="4">
        <v>13.99</v>
      </c>
      <c r="H66" s="5">
        <v>379</v>
      </c>
      <c r="I66" s="5">
        <v>0</v>
      </c>
      <c r="J66" s="5">
        <v>1</v>
      </c>
      <c r="K66" s="5">
        <v>1</v>
      </c>
      <c r="L66" s="6">
        <v>13.99</v>
      </c>
      <c r="M66" s="6">
        <v>13.99</v>
      </c>
      <c r="N66" s="5">
        <v>0</v>
      </c>
      <c r="O66" s="6">
        <v>0</v>
      </c>
      <c r="P66" s="5">
        <v>0</v>
      </c>
      <c r="Q66" s="5">
        <v>0</v>
      </c>
      <c r="R66" s="6">
        <v>0</v>
      </c>
      <c r="S66" s="5">
        <v>0</v>
      </c>
      <c r="T66" s="6">
        <v>13.99</v>
      </c>
      <c r="U66" s="7">
        <v>0</v>
      </c>
      <c r="V66" s="3"/>
      <c r="W66" s="3"/>
      <c r="X66" s="5">
        <v>0</v>
      </c>
      <c r="Y66" s="8">
        <v>0</v>
      </c>
      <c r="Z66" s="7">
        <v>0</v>
      </c>
      <c r="AA66" s="5">
        <v>0</v>
      </c>
      <c r="AB66" s="8">
        <v>0</v>
      </c>
      <c r="AC66" s="6">
        <v>0</v>
      </c>
      <c r="AD66" s="6">
        <v>-25.23</v>
      </c>
      <c r="AE66" s="8">
        <v>0</v>
      </c>
      <c r="AF66" s="8">
        <v>-4.9819</v>
      </c>
      <c r="AG66" s="5">
        <v>0</v>
      </c>
      <c r="AH66" s="8">
        <v>0</v>
      </c>
      <c r="AI66" s="5">
        <v>11</v>
      </c>
      <c r="AJ66" s="5">
        <v>17</v>
      </c>
      <c r="AK66" s="5">
        <v>28</v>
      </c>
      <c r="AL66" s="5">
        <v>13</v>
      </c>
      <c r="AM66" s="5">
        <v>24</v>
      </c>
      <c r="AN66" s="5">
        <v>37</v>
      </c>
      <c r="AO66" s="8">
        <v>1</v>
      </c>
      <c r="AP66" s="8">
        <v>0.0357</v>
      </c>
      <c r="AQ66" s="8">
        <v>0.0357</v>
      </c>
      <c r="AR66" s="6">
        <v>1.01</v>
      </c>
      <c r="AS66" s="8">
        <v>0.0059</v>
      </c>
      <c r="AT66" s="6">
        <v>-25.23</v>
      </c>
      <c r="AU66" s="9">
        <v>1.66</v>
      </c>
      <c r="AV66" s="8">
        <v>0.6011</v>
      </c>
      <c r="AW66" s="8">
        <v>1.8034</v>
      </c>
      <c r="AX66" s="8">
        <v>3</v>
      </c>
      <c r="AY66" s="6">
        <v>8.41</v>
      </c>
      <c r="AZ66" s="6">
        <v>5.94</v>
      </c>
      <c r="BA66" s="6">
        <v>41.97</v>
      </c>
      <c r="BB66" s="5">
        <v>3</v>
      </c>
      <c r="BC66" s="8">
        <v>3</v>
      </c>
      <c r="BD66" s="8">
        <v>0.12</v>
      </c>
      <c r="BE66" s="5">
        <v>4249</v>
      </c>
      <c r="BF66" s="5">
        <v>25</v>
      </c>
      <c r="BG66" s="3"/>
    </row>
    <row r="67" spans="1:59">
      <c r="A67" t="str">
        <f t="shared" si="1"/>
        <v>2022-08-26XXXX-222</v>
      </c>
      <c r="B67" s="3" t="s">
        <v>186</v>
      </c>
      <c r="C67" s="3" t="s">
        <v>176</v>
      </c>
      <c r="D67" s="3"/>
      <c r="E67" s="3" t="s">
        <v>24</v>
      </c>
      <c r="F67" s="3"/>
      <c r="G67" s="4">
        <v>13.99</v>
      </c>
      <c r="H67" s="5">
        <v>497</v>
      </c>
      <c r="I67" s="5">
        <v>0</v>
      </c>
      <c r="J67" s="5">
        <v>5</v>
      </c>
      <c r="K67" s="5">
        <v>5</v>
      </c>
      <c r="L67" s="6">
        <v>69.95</v>
      </c>
      <c r="M67" s="6">
        <v>69.95</v>
      </c>
      <c r="N67" s="5">
        <v>0</v>
      </c>
      <c r="O67" s="6">
        <v>0</v>
      </c>
      <c r="P67" s="5">
        <v>0</v>
      </c>
      <c r="Q67" s="5">
        <v>0</v>
      </c>
      <c r="R67" s="6">
        <v>0</v>
      </c>
      <c r="S67" s="5">
        <v>0</v>
      </c>
      <c r="T67" s="6">
        <v>13.99</v>
      </c>
      <c r="U67" s="7">
        <v>0.1</v>
      </c>
      <c r="V67" s="3"/>
      <c r="W67" s="3"/>
      <c r="X67" s="5">
        <v>0</v>
      </c>
      <c r="Y67" s="8">
        <v>0</v>
      </c>
      <c r="Z67" s="7">
        <v>0</v>
      </c>
      <c r="AA67" s="5">
        <v>0</v>
      </c>
      <c r="AB67" s="8">
        <v>0</v>
      </c>
      <c r="AC67" s="6">
        <v>0</v>
      </c>
      <c r="AD67" s="6">
        <v>-14.15</v>
      </c>
      <c r="AE67" s="8">
        <v>-0.3146</v>
      </c>
      <c r="AF67" s="8">
        <v>2.369</v>
      </c>
      <c r="AG67" s="5">
        <v>0</v>
      </c>
      <c r="AH67" s="8">
        <v>0</v>
      </c>
      <c r="AI67" s="5">
        <v>14</v>
      </c>
      <c r="AJ67" s="5">
        <v>23</v>
      </c>
      <c r="AK67" s="5">
        <v>37</v>
      </c>
      <c r="AL67" s="5">
        <v>16</v>
      </c>
      <c r="AM67" s="5">
        <v>31</v>
      </c>
      <c r="AN67" s="5">
        <v>47</v>
      </c>
      <c r="AO67" s="8">
        <v>1</v>
      </c>
      <c r="AP67" s="8">
        <v>0.1351</v>
      </c>
      <c r="AQ67" s="8">
        <v>0.1351</v>
      </c>
      <c r="AR67" s="6">
        <v>1.02</v>
      </c>
      <c r="AS67" s="8">
        <v>0.003</v>
      </c>
      <c r="AT67" s="6">
        <v>-25.39</v>
      </c>
      <c r="AU67" s="9">
        <v>1.65</v>
      </c>
      <c r="AV67" s="8">
        <v>0.605</v>
      </c>
      <c r="AW67" s="8">
        <v>0.363</v>
      </c>
      <c r="AX67" s="8">
        <v>0.6</v>
      </c>
      <c r="AY67" s="6">
        <v>8.46</v>
      </c>
      <c r="AZ67" s="6">
        <v>3.03</v>
      </c>
      <c r="BA67" s="6">
        <v>41.97</v>
      </c>
      <c r="BB67" s="5">
        <v>3</v>
      </c>
      <c r="BC67" s="8">
        <v>0.6</v>
      </c>
      <c r="BD67" s="8">
        <v>0.12</v>
      </c>
      <c r="BE67" s="5">
        <v>8366</v>
      </c>
      <c r="BF67" s="5">
        <v>25</v>
      </c>
      <c r="BG67" s="3"/>
    </row>
    <row r="68" spans="1:59">
      <c r="A68" t="str">
        <f t="shared" si="1"/>
        <v>2022-08-27XXXX-222</v>
      </c>
      <c r="B68" s="3" t="s">
        <v>187</v>
      </c>
      <c r="C68" s="3" t="s">
        <v>176</v>
      </c>
      <c r="D68" s="3"/>
      <c r="E68" s="3" t="s">
        <v>24</v>
      </c>
      <c r="F68" s="3"/>
      <c r="G68" s="4">
        <v>13.99</v>
      </c>
      <c r="H68" s="5">
        <v>513</v>
      </c>
      <c r="I68" s="5">
        <v>0</v>
      </c>
      <c r="J68" s="5">
        <v>2</v>
      </c>
      <c r="K68" s="5">
        <v>2</v>
      </c>
      <c r="L68" s="6">
        <v>27.98</v>
      </c>
      <c r="M68" s="6">
        <v>27.98</v>
      </c>
      <c r="N68" s="5">
        <v>0</v>
      </c>
      <c r="O68" s="6">
        <v>0</v>
      </c>
      <c r="P68" s="5">
        <v>0</v>
      </c>
      <c r="Q68" s="5">
        <v>0</v>
      </c>
      <c r="R68" s="6">
        <v>0</v>
      </c>
      <c r="S68" s="5">
        <v>0</v>
      </c>
      <c r="T68" s="6">
        <v>13.99</v>
      </c>
      <c r="U68" s="7">
        <v>0</v>
      </c>
      <c r="V68" s="3"/>
      <c r="W68" s="3"/>
      <c r="X68" s="5">
        <v>0</v>
      </c>
      <c r="Y68" s="8">
        <v>0</v>
      </c>
      <c r="Z68" s="7">
        <v>0</v>
      </c>
      <c r="AA68" s="5">
        <v>0</v>
      </c>
      <c r="AB68" s="8">
        <v>0</v>
      </c>
      <c r="AC68" s="6">
        <v>0</v>
      </c>
      <c r="AD68" s="6">
        <v>-11.46</v>
      </c>
      <c r="AE68" s="8">
        <v>-0.2729</v>
      </c>
      <c r="AF68" s="8">
        <v>0.2559</v>
      </c>
      <c r="AG68" s="5">
        <v>0</v>
      </c>
      <c r="AH68" s="8">
        <v>0</v>
      </c>
      <c r="AI68" s="5">
        <v>11</v>
      </c>
      <c r="AJ68" s="5">
        <v>36</v>
      </c>
      <c r="AK68" s="5">
        <v>47</v>
      </c>
      <c r="AL68" s="5">
        <v>13</v>
      </c>
      <c r="AM68" s="5">
        <v>42</v>
      </c>
      <c r="AN68" s="5">
        <v>55</v>
      </c>
      <c r="AO68" s="8">
        <v>1</v>
      </c>
      <c r="AP68" s="8">
        <v>0.0426</v>
      </c>
      <c r="AQ68" s="8">
        <v>0.0426</v>
      </c>
      <c r="AR68" s="6">
        <v>1.04</v>
      </c>
      <c r="AS68" s="8">
        <v>0.0043</v>
      </c>
      <c r="AT68" s="6">
        <v>-20.89</v>
      </c>
      <c r="AU68" s="9">
        <v>0.67</v>
      </c>
      <c r="AV68" s="8">
        <v>1.4932</v>
      </c>
      <c r="AW68" s="8">
        <v>0.7466</v>
      </c>
      <c r="AX68" s="8">
        <v>0.5</v>
      </c>
      <c r="AY68" s="6">
        <v>20.89</v>
      </c>
      <c r="AZ68" s="6">
        <v>4.46</v>
      </c>
      <c r="BA68" s="6">
        <v>13.99</v>
      </c>
      <c r="BB68" s="5">
        <v>1</v>
      </c>
      <c r="BC68" s="8">
        <v>0.5</v>
      </c>
      <c r="BD68" s="8">
        <v>0.05</v>
      </c>
      <c r="BE68" s="5">
        <v>4684</v>
      </c>
      <c r="BF68" s="5">
        <v>20</v>
      </c>
      <c r="BG68" s="3"/>
    </row>
    <row r="69" spans="1:59">
      <c r="A69" t="str">
        <f t="shared" si="1"/>
        <v>2022-08-28XXXX-222</v>
      </c>
      <c r="B69" s="3" t="s">
        <v>188</v>
      </c>
      <c r="C69" s="3" t="s">
        <v>176</v>
      </c>
      <c r="D69" s="3"/>
      <c r="E69" s="3" t="s">
        <v>24</v>
      </c>
      <c r="F69" s="3"/>
      <c r="G69" s="4">
        <v>13.99</v>
      </c>
      <c r="H69" s="5">
        <v>551</v>
      </c>
      <c r="I69" s="5">
        <v>0</v>
      </c>
      <c r="J69" s="5">
        <v>1</v>
      </c>
      <c r="K69" s="5">
        <v>1</v>
      </c>
      <c r="L69" s="6">
        <v>13.99</v>
      </c>
      <c r="M69" s="6">
        <v>1.68</v>
      </c>
      <c r="N69" s="5">
        <v>0</v>
      </c>
      <c r="O69" s="6">
        <v>0</v>
      </c>
      <c r="P69" s="5">
        <v>0</v>
      </c>
      <c r="Q69" s="5">
        <v>0</v>
      </c>
      <c r="R69" s="6">
        <v>0</v>
      </c>
      <c r="S69" s="5">
        <v>0</v>
      </c>
      <c r="T69" s="6">
        <v>1.68</v>
      </c>
      <c r="U69" s="7">
        <v>0</v>
      </c>
      <c r="V69" s="3"/>
      <c r="W69" s="3"/>
      <c r="X69" s="5">
        <v>1</v>
      </c>
      <c r="Y69" s="8">
        <v>1</v>
      </c>
      <c r="Z69" s="7">
        <v>0</v>
      </c>
      <c r="AA69" s="5">
        <v>0</v>
      </c>
      <c r="AB69" s="8">
        <v>0</v>
      </c>
      <c r="AC69" s="6">
        <v>0</v>
      </c>
      <c r="AD69" s="6">
        <v>-27.75</v>
      </c>
      <c r="AE69" s="8">
        <v>-1.9838</v>
      </c>
      <c r="AF69" s="8">
        <v>-2.9768</v>
      </c>
      <c r="AG69" s="5">
        <v>0</v>
      </c>
      <c r="AH69" s="8">
        <v>0</v>
      </c>
      <c r="AI69" s="5">
        <v>16</v>
      </c>
      <c r="AJ69" s="5">
        <v>34</v>
      </c>
      <c r="AK69" s="5">
        <v>50</v>
      </c>
      <c r="AL69" s="5">
        <v>20</v>
      </c>
      <c r="AM69" s="5">
        <v>43</v>
      </c>
      <c r="AN69" s="5">
        <v>63</v>
      </c>
      <c r="AO69" s="8">
        <v>1</v>
      </c>
      <c r="AP69" s="8">
        <v>0.02</v>
      </c>
      <c r="AQ69" s="8">
        <v>0.02</v>
      </c>
      <c r="AR69" s="6">
        <v>0.98</v>
      </c>
      <c r="AS69" s="8">
        <v>0.0099</v>
      </c>
      <c r="AT69" s="6">
        <v>-19.57</v>
      </c>
      <c r="AU69" s="9">
        <v>2.14</v>
      </c>
      <c r="AV69" s="8">
        <v>0.4663</v>
      </c>
      <c r="AW69" s="8">
        <v>1.3989</v>
      </c>
      <c r="AX69" s="8">
        <v>3</v>
      </c>
      <c r="AY69" s="6">
        <v>9.79</v>
      </c>
      <c r="AZ69" s="6">
        <v>9.65</v>
      </c>
      <c r="BA69" s="6">
        <v>41.97</v>
      </c>
      <c r="BB69" s="5">
        <v>2</v>
      </c>
      <c r="BC69" s="8">
        <v>2</v>
      </c>
      <c r="BD69" s="8">
        <v>0.1</v>
      </c>
      <c r="BE69" s="5">
        <v>2027</v>
      </c>
      <c r="BF69" s="5">
        <v>20</v>
      </c>
      <c r="BG69" s="3"/>
    </row>
    <row r="70" spans="1:59">
      <c r="A70" t="str">
        <f t="shared" si="1"/>
        <v>2022-08-29XXXX-222</v>
      </c>
      <c r="B70" s="3" t="s">
        <v>189</v>
      </c>
      <c r="C70" s="3" t="s">
        <v>176</v>
      </c>
      <c r="D70" s="3"/>
      <c r="E70" s="3" t="s">
        <v>24</v>
      </c>
      <c r="F70" s="3"/>
      <c r="G70" s="4">
        <v>13.99</v>
      </c>
      <c r="H70" s="5">
        <v>550</v>
      </c>
      <c r="I70" s="5">
        <v>0</v>
      </c>
      <c r="J70" s="5">
        <v>1</v>
      </c>
      <c r="K70" s="5">
        <v>1</v>
      </c>
      <c r="L70" s="6">
        <v>13.99</v>
      </c>
      <c r="M70" s="6">
        <v>13.99</v>
      </c>
      <c r="N70" s="5">
        <v>0</v>
      </c>
      <c r="O70" s="6">
        <v>0</v>
      </c>
      <c r="P70" s="5">
        <v>0</v>
      </c>
      <c r="Q70" s="5">
        <v>0</v>
      </c>
      <c r="R70" s="6">
        <v>0</v>
      </c>
      <c r="S70" s="5">
        <v>0</v>
      </c>
      <c r="T70" s="6">
        <v>13.99</v>
      </c>
      <c r="U70" s="7">
        <v>0</v>
      </c>
      <c r="V70" s="3"/>
      <c r="W70" s="3"/>
      <c r="X70" s="5">
        <v>0</v>
      </c>
      <c r="Y70" s="8">
        <v>0</v>
      </c>
      <c r="Z70" s="7">
        <v>0</v>
      </c>
      <c r="AA70" s="5">
        <v>0</v>
      </c>
      <c r="AB70" s="8">
        <v>0</v>
      </c>
      <c r="AC70" s="6">
        <v>0</v>
      </c>
      <c r="AD70" s="6">
        <v>-11.42</v>
      </c>
      <c r="AE70" s="8">
        <v>-0.408</v>
      </c>
      <c r="AF70" s="8">
        <v>-2.9803</v>
      </c>
      <c r="AG70" s="5">
        <v>0</v>
      </c>
      <c r="AH70" s="8">
        <v>0</v>
      </c>
      <c r="AI70" s="5">
        <v>16</v>
      </c>
      <c r="AJ70" s="5">
        <v>18</v>
      </c>
      <c r="AK70" s="5">
        <v>34</v>
      </c>
      <c r="AL70" s="5">
        <v>21</v>
      </c>
      <c r="AM70" s="5">
        <v>19</v>
      </c>
      <c r="AN70" s="5">
        <v>40</v>
      </c>
      <c r="AO70" s="8">
        <v>1</v>
      </c>
      <c r="AP70" s="8">
        <v>0.0294</v>
      </c>
      <c r="AQ70" s="8">
        <v>0.0294</v>
      </c>
      <c r="AR70" s="6">
        <v>1.03</v>
      </c>
      <c r="AS70" s="8">
        <v>0.0081</v>
      </c>
      <c r="AT70" s="6">
        <v>-19.58</v>
      </c>
      <c r="AU70" s="9">
        <v>0.71</v>
      </c>
      <c r="AV70" s="8">
        <v>1.3996</v>
      </c>
      <c r="AW70" s="8">
        <v>1.3996</v>
      </c>
      <c r="AX70" s="8">
        <v>1</v>
      </c>
      <c r="AY70" s="6">
        <v>19.58</v>
      </c>
      <c r="AZ70" s="6">
        <v>8.35</v>
      </c>
      <c r="BA70" s="6">
        <v>13.99</v>
      </c>
      <c r="BB70" s="5">
        <v>1</v>
      </c>
      <c r="BC70" s="8">
        <v>1</v>
      </c>
      <c r="BD70" s="8">
        <v>0.0526</v>
      </c>
      <c r="BE70" s="5">
        <v>2344</v>
      </c>
      <c r="BF70" s="5">
        <v>19</v>
      </c>
      <c r="BG70" s="3"/>
    </row>
    <row r="71" spans="1:59">
      <c r="A71" t="str">
        <f t="shared" si="1"/>
        <v>2022-08-30XXXX-222</v>
      </c>
      <c r="B71" s="3" t="s">
        <v>190</v>
      </c>
      <c r="C71" s="3" t="s">
        <v>176</v>
      </c>
      <c r="D71" s="3"/>
      <c r="E71" s="3" t="s">
        <v>24</v>
      </c>
      <c r="F71" s="3"/>
      <c r="G71" s="4">
        <v>13.99</v>
      </c>
      <c r="H71" s="5">
        <v>565</v>
      </c>
      <c r="I71" s="5">
        <v>0</v>
      </c>
      <c r="J71" s="5">
        <v>5</v>
      </c>
      <c r="K71" s="5">
        <v>5</v>
      </c>
      <c r="L71" s="6">
        <v>69.95</v>
      </c>
      <c r="M71" s="6">
        <v>69.95</v>
      </c>
      <c r="N71" s="5">
        <v>0</v>
      </c>
      <c r="O71" s="6">
        <v>0</v>
      </c>
      <c r="P71" s="5">
        <v>0</v>
      </c>
      <c r="Q71" s="5">
        <v>0</v>
      </c>
      <c r="R71" s="6">
        <v>0</v>
      </c>
      <c r="S71" s="5">
        <v>0</v>
      </c>
      <c r="T71" s="6">
        <v>13.99</v>
      </c>
      <c r="U71" s="7">
        <v>0.1</v>
      </c>
      <c r="V71" s="3"/>
      <c r="W71" s="3"/>
      <c r="X71" s="5">
        <v>0</v>
      </c>
      <c r="Y71" s="8">
        <v>0</v>
      </c>
      <c r="Z71" s="7">
        <v>0</v>
      </c>
      <c r="AA71" s="5">
        <v>0</v>
      </c>
      <c r="AB71" s="8">
        <v>0</v>
      </c>
      <c r="AC71" s="6">
        <v>0</v>
      </c>
      <c r="AD71" s="6">
        <v>-16.15</v>
      </c>
      <c r="AE71" s="8">
        <v>-1.1546</v>
      </c>
      <c r="AF71" s="8">
        <v>2.5972</v>
      </c>
      <c r="AG71" s="5">
        <v>0</v>
      </c>
      <c r="AH71" s="8">
        <v>0</v>
      </c>
      <c r="AI71" s="5">
        <v>10</v>
      </c>
      <c r="AJ71" s="5">
        <v>38</v>
      </c>
      <c r="AK71" s="5">
        <v>48</v>
      </c>
      <c r="AL71" s="5">
        <v>11</v>
      </c>
      <c r="AM71" s="5">
        <v>46</v>
      </c>
      <c r="AN71" s="5">
        <v>57</v>
      </c>
      <c r="AO71" s="8">
        <v>1</v>
      </c>
      <c r="AP71" s="8">
        <v>0.1042</v>
      </c>
      <c r="AQ71" s="8">
        <v>0.1042</v>
      </c>
      <c r="AR71" s="6">
        <v>1.18</v>
      </c>
      <c r="AS71" s="8">
        <v>0.0063</v>
      </c>
      <c r="AT71" s="6">
        <v>-20.08</v>
      </c>
      <c r="AU71" s="9">
        <v>0.7</v>
      </c>
      <c r="AV71" s="8">
        <v>1.4353</v>
      </c>
      <c r="AW71" s="8">
        <v>0.2871</v>
      </c>
      <c r="AX71" s="8">
        <v>0.2</v>
      </c>
      <c r="AY71" s="6">
        <v>20.08</v>
      </c>
      <c r="AZ71" s="6">
        <v>7.49</v>
      </c>
      <c r="BA71" s="6">
        <v>13.99</v>
      </c>
      <c r="BB71" s="5">
        <v>1</v>
      </c>
      <c r="BC71" s="8">
        <v>0.2</v>
      </c>
      <c r="BD71" s="8">
        <v>0.0588</v>
      </c>
      <c r="BE71" s="5">
        <v>2680</v>
      </c>
      <c r="BF71" s="5">
        <v>17</v>
      </c>
      <c r="BG71" s="3"/>
    </row>
    <row r="72" spans="1:59">
      <c r="A72" t="str">
        <f t="shared" si="1"/>
        <v>2022-08-31XXXX-222</v>
      </c>
      <c r="B72" s="3" t="s">
        <v>191</v>
      </c>
      <c r="C72" s="3" t="s">
        <v>176</v>
      </c>
      <c r="D72" s="3"/>
      <c r="E72" s="3" t="s">
        <v>24</v>
      </c>
      <c r="F72" s="3"/>
      <c r="G72" s="4">
        <v>13.99</v>
      </c>
      <c r="H72" s="5">
        <v>644</v>
      </c>
      <c r="I72" s="5">
        <v>0</v>
      </c>
      <c r="J72" s="5">
        <v>3</v>
      </c>
      <c r="K72" s="5">
        <v>3</v>
      </c>
      <c r="L72" s="6">
        <v>41.97</v>
      </c>
      <c r="M72" s="6">
        <v>41.97</v>
      </c>
      <c r="N72" s="5">
        <v>0</v>
      </c>
      <c r="O72" s="6">
        <v>0</v>
      </c>
      <c r="P72" s="5">
        <v>0</v>
      </c>
      <c r="Q72" s="5">
        <v>0</v>
      </c>
      <c r="R72" s="6">
        <v>0</v>
      </c>
      <c r="S72" s="5">
        <v>0</v>
      </c>
      <c r="T72" s="6">
        <v>13.99</v>
      </c>
      <c r="U72" s="7">
        <v>0.1</v>
      </c>
      <c r="V72" s="3"/>
      <c r="W72" s="3"/>
      <c r="X72" s="5">
        <v>0</v>
      </c>
      <c r="Y72" s="8">
        <v>0</v>
      </c>
      <c r="Z72" s="7">
        <v>0</v>
      </c>
      <c r="AA72" s="5">
        <v>0</v>
      </c>
      <c r="AB72" s="8">
        <v>0</v>
      </c>
      <c r="AC72" s="6">
        <v>0</v>
      </c>
      <c r="AD72" s="6">
        <v>-8.25</v>
      </c>
      <c r="AE72" s="8">
        <v>-0.1924</v>
      </c>
      <c r="AF72" s="8">
        <v>1.5743</v>
      </c>
      <c r="AG72" s="5">
        <v>0</v>
      </c>
      <c r="AH72" s="8">
        <v>0</v>
      </c>
      <c r="AI72" s="5">
        <v>17</v>
      </c>
      <c r="AJ72" s="5">
        <v>45</v>
      </c>
      <c r="AK72" s="5">
        <v>62</v>
      </c>
      <c r="AL72" s="5">
        <v>18</v>
      </c>
      <c r="AM72" s="5">
        <v>57</v>
      </c>
      <c r="AN72" s="5">
        <v>75</v>
      </c>
      <c r="AO72" s="8">
        <v>1</v>
      </c>
      <c r="AP72" s="8">
        <v>0.0484</v>
      </c>
      <c r="AQ72" s="8">
        <v>0.0484</v>
      </c>
      <c r="AR72" s="6">
        <v>1.12</v>
      </c>
      <c r="AS72" s="8">
        <v>0.0044</v>
      </c>
      <c r="AT72" s="6">
        <v>-20.17</v>
      </c>
      <c r="AU72" s="9">
        <v>0</v>
      </c>
      <c r="AV72" s="8">
        <v>1</v>
      </c>
      <c r="AW72" s="8">
        <v>0.4806</v>
      </c>
      <c r="AX72" s="8">
        <v>0</v>
      </c>
      <c r="AY72" s="3"/>
      <c r="AZ72" s="6">
        <v>4.97</v>
      </c>
      <c r="BA72" s="6">
        <v>0</v>
      </c>
      <c r="BB72" s="5">
        <v>0</v>
      </c>
      <c r="BC72" s="8">
        <v>0</v>
      </c>
      <c r="BD72" s="8">
        <v>0</v>
      </c>
      <c r="BE72" s="5">
        <v>4058</v>
      </c>
      <c r="BF72" s="5">
        <v>18</v>
      </c>
      <c r="BG72" s="3"/>
    </row>
    <row r="73" spans="1:59">
      <c r="A73" t="str">
        <f t="shared" si="1"/>
        <v>2022-09-01XXXX-222</v>
      </c>
      <c r="B73" s="3" t="s">
        <v>192</v>
      </c>
      <c r="C73" s="3" t="s">
        <v>176</v>
      </c>
      <c r="D73" s="3"/>
      <c r="E73" s="3" t="s">
        <v>24</v>
      </c>
      <c r="F73" s="3"/>
      <c r="G73" s="4">
        <v>13.99</v>
      </c>
      <c r="H73" s="5">
        <v>780</v>
      </c>
      <c r="I73" s="5">
        <v>0</v>
      </c>
      <c r="J73" s="5">
        <v>5</v>
      </c>
      <c r="K73" s="5">
        <v>5</v>
      </c>
      <c r="L73" s="6">
        <v>69.95</v>
      </c>
      <c r="M73" s="6">
        <v>69.95</v>
      </c>
      <c r="N73" s="5">
        <v>0</v>
      </c>
      <c r="O73" s="6">
        <v>0</v>
      </c>
      <c r="P73" s="5">
        <v>0</v>
      </c>
      <c r="Q73" s="5">
        <v>0</v>
      </c>
      <c r="R73" s="6">
        <v>0</v>
      </c>
      <c r="S73" s="5">
        <v>0</v>
      </c>
      <c r="T73" s="6">
        <v>13.99</v>
      </c>
      <c r="U73" s="7">
        <v>0.1</v>
      </c>
      <c r="V73" s="3"/>
      <c r="W73" s="3"/>
      <c r="X73" s="5">
        <v>0</v>
      </c>
      <c r="Y73" s="8">
        <v>0</v>
      </c>
      <c r="Z73" s="7">
        <v>0</v>
      </c>
      <c r="AA73" s="5">
        <v>0</v>
      </c>
      <c r="AB73" s="8">
        <v>0</v>
      </c>
      <c r="AC73" s="6">
        <v>0</v>
      </c>
      <c r="AD73" s="6">
        <v>12.65</v>
      </c>
      <c r="AE73" s="8">
        <v>0.1005</v>
      </c>
      <c r="AF73" s="8">
        <v>2.4788</v>
      </c>
      <c r="AG73" s="5">
        <v>0</v>
      </c>
      <c r="AH73" s="8">
        <v>0</v>
      </c>
      <c r="AI73" s="5">
        <v>13</v>
      </c>
      <c r="AJ73" s="5">
        <v>39</v>
      </c>
      <c r="AK73" s="5">
        <v>52</v>
      </c>
      <c r="AL73" s="5">
        <v>17</v>
      </c>
      <c r="AM73" s="5">
        <v>52</v>
      </c>
      <c r="AN73" s="5">
        <v>69</v>
      </c>
      <c r="AO73" s="8">
        <v>1</v>
      </c>
      <c r="AP73" s="8">
        <v>0.0962</v>
      </c>
      <c r="AQ73" s="8">
        <v>0.0962</v>
      </c>
      <c r="AR73" s="6">
        <v>1.16</v>
      </c>
      <c r="AS73" s="8">
        <v>0.0053</v>
      </c>
      <c r="AT73" s="6">
        <v>-20.85</v>
      </c>
      <c r="AU73" s="9">
        <v>2.01</v>
      </c>
      <c r="AV73" s="8">
        <v>0.4968</v>
      </c>
      <c r="AW73" s="8">
        <v>0.2981</v>
      </c>
      <c r="AX73" s="8">
        <v>0.6</v>
      </c>
      <c r="AY73" s="6">
        <v>6.95</v>
      </c>
      <c r="AZ73" s="6">
        <v>6.19</v>
      </c>
      <c r="BA73" s="6">
        <v>41.97</v>
      </c>
      <c r="BB73" s="5">
        <v>3</v>
      </c>
      <c r="BC73" s="8">
        <v>0.6</v>
      </c>
      <c r="BD73" s="8">
        <v>0.1667</v>
      </c>
      <c r="BE73" s="5">
        <v>3370</v>
      </c>
      <c r="BF73" s="5">
        <v>18</v>
      </c>
      <c r="BG73" s="3"/>
    </row>
    <row r="74" spans="1:59">
      <c r="A74" t="str">
        <f t="shared" si="1"/>
        <v>2022-09-02XXXX-222</v>
      </c>
      <c r="B74" s="3" t="s">
        <v>193</v>
      </c>
      <c r="C74" s="3" t="s">
        <v>176</v>
      </c>
      <c r="D74" s="3"/>
      <c r="E74" s="3" t="s">
        <v>24</v>
      </c>
      <c r="F74" s="3"/>
      <c r="G74" s="4">
        <v>13.99</v>
      </c>
      <c r="H74" s="5">
        <v>819</v>
      </c>
      <c r="I74" s="5">
        <v>0</v>
      </c>
      <c r="J74" s="5">
        <v>3</v>
      </c>
      <c r="K74" s="5">
        <v>3</v>
      </c>
      <c r="L74" s="6">
        <v>41.97</v>
      </c>
      <c r="M74" s="6">
        <v>41.97</v>
      </c>
      <c r="N74" s="5">
        <v>0</v>
      </c>
      <c r="O74" s="6">
        <v>0</v>
      </c>
      <c r="P74" s="5">
        <v>0</v>
      </c>
      <c r="Q74" s="5">
        <v>0</v>
      </c>
      <c r="R74" s="6">
        <v>0</v>
      </c>
      <c r="S74" s="5">
        <v>0</v>
      </c>
      <c r="T74" s="6">
        <v>13.99</v>
      </c>
      <c r="U74" s="7">
        <v>0.1</v>
      </c>
      <c r="V74" s="3"/>
      <c r="W74" s="3"/>
      <c r="X74" s="5">
        <v>0</v>
      </c>
      <c r="Y74" s="8">
        <v>0</v>
      </c>
      <c r="Z74" s="7">
        <v>0</v>
      </c>
      <c r="AA74" s="5">
        <v>0</v>
      </c>
      <c r="AB74" s="8">
        <v>0</v>
      </c>
      <c r="AC74" s="6">
        <v>0</v>
      </c>
      <c r="AD74" s="6">
        <v>-15.83</v>
      </c>
      <c r="AE74" s="8">
        <v>-1.1317</v>
      </c>
      <c r="AF74" s="8">
        <v>1.6499</v>
      </c>
      <c r="AG74" s="5">
        <v>0</v>
      </c>
      <c r="AH74" s="8">
        <v>0</v>
      </c>
      <c r="AI74" s="5">
        <v>19</v>
      </c>
      <c r="AJ74" s="5">
        <v>42</v>
      </c>
      <c r="AK74" s="5">
        <v>61</v>
      </c>
      <c r="AL74" s="5">
        <v>25</v>
      </c>
      <c r="AM74" s="5">
        <v>48</v>
      </c>
      <c r="AN74" s="5">
        <v>73</v>
      </c>
      <c r="AO74" s="8">
        <v>1</v>
      </c>
      <c r="AP74" s="8">
        <v>0.0492</v>
      </c>
      <c r="AQ74" s="8">
        <v>0.0492</v>
      </c>
      <c r="AR74" s="6">
        <v>1.15</v>
      </c>
      <c r="AS74" s="8">
        <v>0.0082</v>
      </c>
      <c r="AT74" s="6">
        <v>-19.53</v>
      </c>
      <c r="AU74" s="9">
        <v>0.72</v>
      </c>
      <c r="AV74" s="8">
        <v>1.396</v>
      </c>
      <c r="AW74" s="8">
        <v>0.4653</v>
      </c>
      <c r="AX74" s="8">
        <v>0.3333</v>
      </c>
      <c r="AY74" s="6">
        <v>19.53</v>
      </c>
      <c r="AZ74" s="6">
        <v>9.37</v>
      </c>
      <c r="BA74" s="6">
        <v>13.99</v>
      </c>
      <c r="BB74" s="5">
        <v>1</v>
      </c>
      <c r="BC74" s="8">
        <v>0.3333</v>
      </c>
      <c r="BD74" s="8">
        <v>0.0588</v>
      </c>
      <c r="BE74" s="5">
        <v>2085</v>
      </c>
      <c r="BF74" s="5">
        <v>17</v>
      </c>
      <c r="BG74" s="3"/>
    </row>
    <row r="75" spans="1:59">
      <c r="A75" t="str">
        <f t="shared" si="1"/>
        <v>2022-09-03XXXX-222</v>
      </c>
      <c r="B75" s="3" t="s">
        <v>194</v>
      </c>
      <c r="C75" s="3" t="s">
        <v>176</v>
      </c>
      <c r="D75" s="3"/>
      <c r="E75" s="3" t="s">
        <v>24</v>
      </c>
      <c r="F75" s="3"/>
      <c r="G75" s="4">
        <v>13.99</v>
      </c>
      <c r="H75" s="5">
        <v>816</v>
      </c>
      <c r="I75" s="5">
        <v>0</v>
      </c>
      <c r="J75" s="5">
        <v>2</v>
      </c>
      <c r="K75" s="5">
        <v>2</v>
      </c>
      <c r="L75" s="6">
        <v>27.98</v>
      </c>
      <c r="M75" s="6">
        <v>27.98</v>
      </c>
      <c r="N75" s="5">
        <v>0</v>
      </c>
      <c r="O75" s="6">
        <v>0</v>
      </c>
      <c r="P75" s="5">
        <v>0</v>
      </c>
      <c r="Q75" s="5">
        <v>0</v>
      </c>
      <c r="R75" s="6">
        <v>0</v>
      </c>
      <c r="S75" s="5">
        <v>0</v>
      </c>
      <c r="T75" s="6">
        <v>13.99</v>
      </c>
      <c r="U75" s="7">
        <v>0</v>
      </c>
      <c r="V75" s="3"/>
      <c r="W75" s="3"/>
      <c r="X75" s="5">
        <v>0</v>
      </c>
      <c r="Y75" s="8">
        <v>0</v>
      </c>
      <c r="Z75" s="7">
        <v>0</v>
      </c>
      <c r="AA75" s="5">
        <v>0</v>
      </c>
      <c r="AB75" s="8">
        <v>0</v>
      </c>
      <c r="AC75" s="6">
        <v>0</v>
      </c>
      <c r="AD75" s="6">
        <v>-16.01</v>
      </c>
      <c r="AE75" s="8">
        <v>-1.1446</v>
      </c>
      <c r="AF75" s="8">
        <v>0.4613</v>
      </c>
      <c r="AG75" s="5">
        <v>0</v>
      </c>
      <c r="AH75" s="8">
        <v>0</v>
      </c>
      <c r="AI75" s="5">
        <v>12</v>
      </c>
      <c r="AJ75" s="5">
        <v>69</v>
      </c>
      <c r="AK75" s="5">
        <v>81</v>
      </c>
      <c r="AL75" s="5">
        <v>19</v>
      </c>
      <c r="AM75" s="5">
        <v>89</v>
      </c>
      <c r="AN75" s="5">
        <v>108</v>
      </c>
      <c r="AO75" s="8">
        <v>1</v>
      </c>
      <c r="AP75" s="8">
        <v>0.0247</v>
      </c>
      <c r="AQ75" s="8">
        <v>0.0247</v>
      </c>
      <c r="AR75" s="6">
        <v>1.16</v>
      </c>
      <c r="AS75" s="8">
        <v>0.0078</v>
      </c>
      <c r="AT75" s="6">
        <v>-19.73</v>
      </c>
      <c r="AU75" s="9">
        <v>1.42</v>
      </c>
      <c r="AV75" s="8">
        <v>0.7051</v>
      </c>
      <c r="AW75" s="8">
        <v>0.7051</v>
      </c>
      <c r="AX75" s="8">
        <v>1</v>
      </c>
      <c r="AY75" s="6">
        <v>9.87</v>
      </c>
      <c r="AZ75" s="6">
        <v>9.09</v>
      </c>
      <c r="BA75" s="6">
        <v>27.98</v>
      </c>
      <c r="BB75" s="5">
        <v>2</v>
      </c>
      <c r="BC75" s="8">
        <v>1</v>
      </c>
      <c r="BD75" s="8">
        <v>0.1176</v>
      </c>
      <c r="BE75" s="5">
        <v>2171</v>
      </c>
      <c r="BF75" s="5">
        <v>17</v>
      </c>
      <c r="BG75" s="3"/>
    </row>
    <row r="76" spans="1:59">
      <c r="A76" t="str">
        <f t="shared" si="1"/>
        <v>2022-09-04XXXX-222</v>
      </c>
      <c r="B76" s="3" t="s">
        <v>195</v>
      </c>
      <c r="C76" s="3" t="s">
        <v>176</v>
      </c>
      <c r="D76" s="3"/>
      <c r="E76" s="3" t="s">
        <v>24</v>
      </c>
      <c r="F76" s="3"/>
      <c r="G76" s="4">
        <v>13.99</v>
      </c>
      <c r="H76" s="5">
        <v>803</v>
      </c>
      <c r="I76" s="5">
        <v>0</v>
      </c>
      <c r="J76" s="5">
        <v>11</v>
      </c>
      <c r="K76" s="5">
        <v>11</v>
      </c>
      <c r="L76" s="6">
        <v>153.89</v>
      </c>
      <c r="M76" s="6">
        <v>141.58</v>
      </c>
      <c r="N76" s="5">
        <v>1</v>
      </c>
      <c r="O76" s="6">
        <v>13.99</v>
      </c>
      <c r="P76" s="5">
        <v>1</v>
      </c>
      <c r="Q76" s="5">
        <v>0</v>
      </c>
      <c r="R76" s="6">
        <v>0</v>
      </c>
      <c r="S76" s="5">
        <v>0</v>
      </c>
      <c r="T76" s="6">
        <v>12.87</v>
      </c>
      <c r="U76" s="7">
        <v>0.2</v>
      </c>
      <c r="V76" s="3"/>
      <c r="W76" s="3"/>
      <c r="X76" s="5">
        <v>1</v>
      </c>
      <c r="Y76" s="8">
        <v>0.0909</v>
      </c>
      <c r="Z76" s="7">
        <v>0</v>
      </c>
      <c r="AA76" s="5">
        <v>0</v>
      </c>
      <c r="AB76" s="8">
        <v>0</v>
      </c>
      <c r="AC76" s="6">
        <v>0</v>
      </c>
      <c r="AD76" s="6">
        <v>-13.09</v>
      </c>
      <c r="AE76" s="8">
        <v>-0.1872</v>
      </c>
      <c r="AF76" s="8">
        <v>3.3358</v>
      </c>
      <c r="AG76" s="5">
        <v>0</v>
      </c>
      <c r="AH76" s="8">
        <v>0</v>
      </c>
      <c r="AI76" s="5">
        <v>28</v>
      </c>
      <c r="AJ76" s="5">
        <v>62</v>
      </c>
      <c r="AK76" s="5">
        <v>90</v>
      </c>
      <c r="AL76" s="5">
        <v>40</v>
      </c>
      <c r="AM76" s="5">
        <v>80</v>
      </c>
      <c r="AN76" s="5">
        <v>120</v>
      </c>
      <c r="AO76" s="8">
        <v>1</v>
      </c>
      <c r="AP76" s="8">
        <v>0.1222</v>
      </c>
      <c r="AQ76" s="8">
        <v>0.1222</v>
      </c>
      <c r="AR76" s="6">
        <v>1.13</v>
      </c>
      <c r="AS76" s="8">
        <v>0.0078</v>
      </c>
      <c r="AT76" s="6">
        <v>-19.26</v>
      </c>
      <c r="AU76" s="9">
        <v>2.18</v>
      </c>
      <c r="AV76" s="8">
        <v>0.4589</v>
      </c>
      <c r="AW76" s="8">
        <v>0.1252</v>
      </c>
      <c r="AX76" s="8">
        <v>0.2727</v>
      </c>
      <c r="AY76" s="6">
        <v>6.42</v>
      </c>
      <c r="AZ76" s="6">
        <v>8.85</v>
      </c>
      <c r="BA76" s="6">
        <v>41.97</v>
      </c>
      <c r="BB76" s="5">
        <v>3</v>
      </c>
      <c r="BC76" s="8">
        <v>0.2727</v>
      </c>
      <c r="BD76" s="8">
        <v>0.1765</v>
      </c>
      <c r="BE76" s="5">
        <v>2177</v>
      </c>
      <c r="BF76" s="5">
        <v>17</v>
      </c>
      <c r="BG76" s="3"/>
    </row>
    <row r="77" spans="1:59">
      <c r="A77" t="str">
        <f t="shared" si="1"/>
        <v>2022-09-05XXXX-222</v>
      </c>
      <c r="B77" s="3" t="s">
        <v>196</v>
      </c>
      <c r="C77" s="3" t="s">
        <v>176</v>
      </c>
      <c r="D77" s="3"/>
      <c r="E77" s="3" t="s">
        <v>24</v>
      </c>
      <c r="F77" s="3"/>
      <c r="G77" s="4">
        <v>13.99</v>
      </c>
      <c r="H77" s="5">
        <v>827</v>
      </c>
      <c r="I77" s="5">
        <v>0</v>
      </c>
      <c r="J77" s="5">
        <v>11</v>
      </c>
      <c r="K77" s="5">
        <v>11</v>
      </c>
      <c r="L77" s="6">
        <v>153.89</v>
      </c>
      <c r="M77" s="6">
        <v>153.89</v>
      </c>
      <c r="N77" s="5">
        <v>1</v>
      </c>
      <c r="O77" s="6">
        <v>13.99</v>
      </c>
      <c r="P77" s="5">
        <v>1</v>
      </c>
      <c r="Q77" s="5">
        <v>0</v>
      </c>
      <c r="R77" s="6">
        <v>0</v>
      </c>
      <c r="S77" s="5">
        <v>0</v>
      </c>
      <c r="T77" s="6">
        <v>13.99</v>
      </c>
      <c r="U77" s="7">
        <v>0.2</v>
      </c>
      <c r="V77" s="3"/>
      <c r="W77" s="3"/>
      <c r="X77" s="5">
        <v>0</v>
      </c>
      <c r="Y77" s="8">
        <v>0</v>
      </c>
      <c r="Z77" s="7">
        <v>0</v>
      </c>
      <c r="AA77" s="5">
        <v>0</v>
      </c>
      <c r="AB77" s="8">
        <v>0</v>
      </c>
      <c r="AC77" s="6">
        <v>0</v>
      </c>
      <c r="AD77" s="6">
        <v>6.5</v>
      </c>
      <c r="AE77" s="8">
        <v>0.0644</v>
      </c>
      <c r="AF77" s="8">
        <v>3.4089</v>
      </c>
      <c r="AG77" s="5">
        <v>0</v>
      </c>
      <c r="AH77" s="8">
        <v>0</v>
      </c>
      <c r="AI77" s="5">
        <v>37</v>
      </c>
      <c r="AJ77" s="5">
        <v>92</v>
      </c>
      <c r="AK77" s="5">
        <v>129</v>
      </c>
      <c r="AL77" s="5">
        <v>46</v>
      </c>
      <c r="AM77" s="5">
        <v>117</v>
      </c>
      <c r="AN77" s="5">
        <v>163</v>
      </c>
      <c r="AO77" s="8">
        <v>1</v>
      </c>
      <c r="AP77" s="8">
        <v>0.0853</v>
      </c>
      <c r="AQ77" s="8">
        <v>0.0853</v>
      </c>
      <c r="AR77" s="6">
        <v>1.18</v>
      </c>
      <c r="AS77" s="8">
        <v>0.0036</v>
      </c>
      <c r="AT77" s="6">
        <v>-19.98</v>
      </c>
      <c r="AU77" s="9">
        <v>0.7</v>
      </c>
      <c r="AV77" s="8">
        <v>1.4282</v>
      </c>
      <c r="AW77" s="8">
        <v>0.1298</v>
      </c>
      <c r="AX77" s="8">
        <v>0.0909</v>
      </c>
      <c r="AY77" s="6">
        <v>19.98</v>
      </c>
      <c r="AZ77" s="6">
        <v>4.22</v>
      </c>
      <c r="BA77" s="6">
        <v>13.99</v>
      </c>
      <c r="BB77" s="5">
        <v>1</v>
      </c>
      <c r="BC77" s="8">
        <v>0.0909</v>
      </c>
      <c r="BD77" s="8">
        <v>0.0588</v>
      </c>
      <c r="BE77" s="5">
        <v>4737</v>
      </c>
      <c r="BF77" s="5">
        <v>17</v>
      </c>
      <c r="BG77" s="3"/>
    </row>
    <row r="78" spans="1:59">
      <c r="A78" t="str">
        <f t="shared" si="1"/>
        <v>2022-09-06XXXX-222</v>
      </c>
      <c r="B78" s="3" t="s">
        <v>197</v>
      </c>
      <c r="C78" s="3" t="s">
        <v>176</v>
      </c>
      <c r="D78" s="3"/>
      <c r="E78" s="3" t="s">
        <v>24</v>
      </c>
      <c r="F78" s="3"/>
      <c r="G78" s="4">
        <v>13.99</v>
      </c>
      <c r="H78" s="5">
        <v>859</v>
      </c>
      <c r="I78" s="5">
        <v>0</v>
      </c>
      <c r="J78" s="5">
        <v>10</v>
      </c>
      <c r="K78" s="5">
        <v>7</v>
      </c>
      <c r="L78" s="6">
        <v>139.9</v>
      </c>
      <c r="M78" s="6">
        <v>139.9</v>
      </c>
      <c r="N78" s="5">
        <v>4</v>
      </c>
      <c r="O78" s="6">
        <v>55.96</v>
      </c>
      <c r="P78" s="5">
        <v>1</v>
      </c>
      <c r="Q78" s="5">
        <v>0</v>
      </c>
      <c r="R78" s="6">
        <v>0</v>
      </c>
      <c r="S78" s="5">
        <v>0</v>
      </c>
      <c r="T78" s="6">
        <v>13.99</v>
      </c>
      <c r="U78" s="7">
        <v>0.2</v>
      </c>
      <c r="V78" s="3"/>
      <c r="W78" s="3"/>
      <c r="X78" s="5">
        <v>0</v>
      </c>
      <c r="Y78" s="8">
        <v>0</v>
      </c>
      <c r="Z78" s="7">
        <v>0</v>
      </c>
      <c r="AA78" s="5">
        <v>0</v>
      </c>
      <c r="AB78" s="8">
        <v>0</v>
      </c>
      <c r="AC78" s="6">
        <v>0</v>
      </c>
      <c r="AD78" s="6">
        <v>58.96</v>
      </c>
      <c r="AE78" s="8">
        <v>0.281</v>
      </c>
      <c r="AF78" s="8">
        <v>3.9561</v>
      </c>
      <c r="AG78" s="5">
        <v>1</v>
      </c>
      <c r="AH78" s="8">
        <v>0.1</v>
      </c>
      <c r="AI78" s="5">
        <v>12</v>
      </c>
      <c r="AJ78" s="5">
        <v>65</v>
      </c>
      <c r="AK78" s="5">
        <v>77</v>
      </c>
      <c r="AL78" s="5">
        <v>15</v>
      </c>
      <c r="AM78" s="5">
        <v>80</v>
      </c>
      <c r="AN78" s="5">
        <v>95</v>
      </c>
      <c r="AO78" s="8">
        <v>1</v>
      </c>
      <c r="AP78" s="8">
        <v>0.0909</v>
      </c>
      <c r="AQ78" s="8">
        <v>0.1299</v>
      </c>
      <c r="AR78" s="3"/>
      <c r="AS78" s="8">
        <v>0</v>
      </c>
      <c r="AT78" s="6">
        <v>0</v>
      </c>
      <c r="AU78" s="9">
        <v>0</v>
      </c>
      <c r="AV78" s="8">
        <v>0</v>
      </c>
      <c r="AW78" s="8">
        <v>0</v>
      </c>
      <c r="AX78" s="8">
        <v>0</v>
      </c>
      <c r="AY78" s="3"/>
      <c r="AZ78" s="6">
        <v>0</v>
      </c>
      <c r="BA78" s="6">
        <v>0</v>
      </c>
      <c r="BB78" s="5">
        <v>0</v>
      </c>
      <c r="BC78" s="8">
        <v>0</v>
      </c>
      <c r="BD78" s="8">
        <v>0</v>
      </c>
      <c r="BE78" s="5">
        <v>299</v>
      </c>
      <c r="BF78" s="5">
        <v>0</v>
      </c>
      <c r="BG78" s="3"/>
    </row>
    <row r="79" spans="1:59">
      <c r="A79" t="str">
        <f t="shared" si="1"/>
        <v>2022-09-07XXXX-222</v>
      </c>
      <c r="B79" s="3" t="s">
        <v>198</v>
      </c>
      <c r="C79" s="3" t="s">
        <v>176</v>
      </c>
      <c r="D79" s="3"/>
      <c r="E79" s="3" t="s">
        <v>24</v>
      </c>
      <c r="F79" s="3"/>
      <c r="G79" s="4">
        <v>13.99</v>
      </c>
      <c r="H79" s="5">
        <v>886</v>
      </c>
      <c r="I79" s="5">
        <v>0</v>
      </c>
      <c r="J79" s="5">
        <v>4</v>
      </c>
      <c r="K79" s="5">
        <v>4</v>
      </c>
      <c r="L79" s="6">
        <v>55.96</v>
      </c>
      <c r="M79" s="6">
        <v>55.96</v>
      </c>
      <c r="N79" s="5">
        <v>1</v>
      </c>
      <c r="O79" s="6">
        <v>13.99</v>
      </c>
      <c r="P79" s="5">
        <v>1</v>
      </c>
      <c r="Q79" s="5">
        <v>0</v>
      </c>
      <c r="R79" s="6">
        <v>0</v>
      </c>
      <c r="S79" s="5">
        <v>0</v>
      </c>
      <c r="T79" s="6">
        <v>13.99</v>
      </c>
      <c r="U79" s="7">
        <v>0.1</v>
      </c>
      <c r="V79" s="3"/>
      <c r="W79" s="3"/>
      <c r="X79" s="5">
        <v>0</v>
      </c>
      <c r="Y79" s="8">
        <v>0</v>
      </c>
      <c r="Z79" s="7">
        <v>0</v>
      </c>
      <c r="AA79" s="5">
        <v>0</v>
      </c>
      <c r="AB79" s="8">
        <v>0</v>
      </c>
      <c r="AC79" s="6">
        <v>0</v>
      </c>
      <c r="AD79" s="6">
        <v>25.87</v>
      </c>
      <c r="AE79" s="8">
        <v>0.2642</v>
      </c>
      <c r="AF79" s="8">
        <v>3.9561</v>
      </c>
      <c r="AG79" s="5">
        <v>0</v>
      </c>
      <c r="AH79" s="8">
        <v>0</v>
      </c>
      <c r="AI79" s="5">
        <v>16</v>
      </c>
      <c r="AJ79" s="5">
        <v>46</v>
      </c>
      <c r="AK79" s="5">
        <v>62</v>
      </c>
      <c r="AL79" s="5">
        <v>20</v>
      </c>
      <c r="AM79" s="5">
        <v>61</v>
      </c>
      <c r="AN79" s="5">
        <v>81</v>
      </c>
      <c r="AO79" s="8">
        <v>1</v>
      </c>
      <c r="AP79" s="8">
        <v>0.0645</v>
      </c>
      <c r="AQ79" s="8">
        <v>0.0645</v>
      </c>
      <c r="AR79" s="3"/>
      <c r="AS79" s="8">
        <v>0</v>
      </c>
      <c r="AT79" s="6">
        <v>0</v>
      </c>
      <c r="AU79" s="9">
        <v>0</v>
      </c>
      <c r="AV79" s="8">
        <v>0</v>
      </c>
      <c r="AW79" s="8">
        <v>0</v>
      </c>
      <c r="AX79" s="8">
        <v>0</v>
      </c>
      <c r="AY79" s="3"/>
      <c r="AZ79" s="6">
        <v>0</v>
      </c>
      <c r="BA79" s="6">
        <v>0</v>
      </c>
      <c r="BB79" s="5">
        <v>0</v>
      </c>
      <c r="BC79" s="8">
        <v>0</v>
      </c>
      <c r="BD79" s="8">
        <v>0</v>
      </c>
      <c r="BE79" s="5">
        <v>0</v>
      </c>
      <c r="BF79" s="5">
        <v>0</v>
      </c>
      <c r="BG79" s="3"/>
    </row>
    <row r="80" spans="1:59">
      <c r="A80" t="str">
        <f t="shared" si="1"/>
        <v>2022-09-08XXXX-222</v>
      </c>
      <c r="B80" s="3" t="s">
        <v>199</v>
      </c>
      <c r="C80" s="3" t="s">
        <v>176</v>
      </c>
      <c r="D80" s="3"/>
      <c r="E80" s="3" t="s">
        <v>24</v>
      </c>
      <c r="F80" s="3"/>
      <c r="G80" s="4">
        <v>13.99</v>
      </c>
      <c r="H80" s="5">
        <v>882</v>
      </c>
      <c r="I80" s="5">
        <v>0</v>
      </c>
      <c r="J80" s="5">
        <v>4</v>
      </c>
      <c r="K80" s="5">
        <v>4</v>
      </c>
      <c r="L80" s="6">
        <v>55.96</v>
      </c>
      <c r="M80" s="6">
        <v>31.34</v>
      </c>
      <c r="N80" s="5">
        <v>0</v>
      </c>
      <c r="O80" s="6">
        <v>0</v>
      </c>
      <c r="P80" s="5">
        <v>0</v>
      </c>
      <c r="Q80" s="5">
        <v>0</v>
      </c>
      <c r="R80" s="6">
        <v>0</v>
      </c>
      <c r="S80" s="5">
        <v>0</v>
      </c>
      <c r="T80" s="6">
        <v>7.84</v>
      </c>
      <c r="U80" s="7">
        <v>0.1</v>
      </c>
      <c r="V80" s="3"/>
      <c r="W80" s="3"/>
      <c r="X80" s="5">
        <v>2</v>
      </c>
      <c r="Y80" s="8">
        <v>0.5</v>
      </c>
      <c r="Z80" s="7">
        <v>0</v>
      </c>
      <c r="AA80" s="5">
        <v>0</v>
      </c>
      <c r="AB80" s="8">
        <v>0</v>
      </c>
      <c r="AC80" s="6">
        <v>0</v>
      </c>
      <c r="AD80" s="6">
        <v>-2.77</v>
      </c>
      <c r="AE80" s="8">
        <v>-0.033</v>
      </c>
      <c r="AF80" s="8">
        <v>3.9561</v>
      </c>
      <c r="AG80" s="5">
        <v>0</v>
      </c>
      <c r="AH80" s="8">
        <v>0</v>
      </c>
      <c r="AI80" s="5">
        <v>20</v>
      </c>
      <c r="AJ80" s="5">
        <v>41</v>
      </c>
      <c r="AK80" s="5">
        <v>61</v>
      </c>
      <c r="AL80" s="5">
        <v>25</v>
      </c>
      <c r="AM80" s="5">
        <v>50</v>
      </c>
      <c r="AN80" s="5">
        <v>75</v>
      </c>
      <c r="AO80" s="8">
        <v>1</v>
      </c>
      <c r="AP80" s="8">
        <v>0.0656</v>
      </c>
      <c r="AQ80" s="8">
        <v>0.0656</v>
      </c>
      <c r="AR80" s="3"/>
      <c r="AS80" s="8">
        <v>0</v>
      </c>
      <c r="AT80" s="6">
        <v>0</v>
      </c>
      <c r="AU80" s="9">
        <v>0</v>
      </c>
      <c r="AV80" s="8">
        <v>0</v>
      </c>
      <c r="AW80" s="8">
        <v>0</v>
      </c>
      <c r="AX80" s="8">
        <v>0</v>
      </c>
      <c r="AY80" s="3"/>
      <c r="AZ80" s="6">
        <v>0</v>
      </c>
      <c r="BA80" s="6">
        <v>0</v>
      </c>
      <c r="BB80" s="5">
        <v>0</v>
      </c>
      <c r="BC80" s="8">
        <v>0</v>
      </c>
      <c r="BD80" s="8">
        <v>0</v>
      </c>
      <c r="BE80" s="5">
        <v>0</v>
      </c>
      <c r="BF80" s="5">
        <v>0</v>
      </c>
      <c r="BG80" s="3"/>
    </row>
    <row r="81" spans="1:59">
      <c r="A81" t="str">
        <f t="shared" si="1"/>
        <v>2022-09-09XXXX-222</v>
      </c>
      <c r="B81" s="3" t="s">
        <v>200</v>
      </c>
      <c r="C81" s="3" t="s">
        <v>176</v>
      </c>
      <c r="D81" s="3"/>
      <c r="E81" s="3" t="s">
        <v>24</v>
      </c>
      <c r="F81" s="3"/>
      <c r="G81" s="4">
        <v>13.99</v>
      </c>
      <c r="H81" s="5">
        <v>878</v>
      </c>
      <c r="I81" s="5">
        <v>0</v>
      </c>
      <c r="J81" s="5">
        <v>5</v>
      </c>
      <c r="K81" s="5">
        <v>5</v>
      </c>
      <c r="L81" s="6">
        <v>69.95</v>
      </c>
      <c r="M81" s="6">
        <v>69.95</v>
      </c>
      <c r="N81" s="5">
        <v>0</v>
      </c>
      <c r="O81" s="6">
        <v>0</v>
      </c>
      <c r="P81" s="5">
        <v>0</v>
      </c>
      <c r="Q81" s="5">
        <v>0</v>
      </c>
      <c r="R81" s="6">
        <v>0</v>
      </c>
      <c r="S81" s="5">
        <v>0</v>
      </c>
      <c r="T81" s="6">
        <v>13.99</v>
      </c>
      <c r="U81" s="7">
        <v>0.1</v>
      </c>
      <c r="V81" s="3"/>
      <c r="W81" s="3"/>
      <c r="X81" s="5">
        <v>0</v>
      </c>
      <c r="Y81" s="8">
        <v>0</v>
      </c>
      <c r="Z81" s="7">
        <v>3</v>
      </c>
      <c r="AA81" s="5">
        <v>1</v>
      </c>
      <c r="AB81" s="8">
        <v>0</v>
      </c>
      <c r="AC81" s="6">
        <v>0</v>
      </c>
      <c r="AD81" s="6">
        <v>11.21</v>
      </c>
      <c r="AE81" s="8">
        <v>0.2671</v>
      </c>
      <c r="AF81" s="8">
        <v>3.9561</v>
      </c>
      <c r="AG81" s="5">
        <v>0</v>
      </c>
      <c r="AH81" s="8">
        <v>0</v>
      </c>
      <c r="AI81" s="5">
        <v>14</v>
      </c>
      <c r="AJ81" s="5">
        <v>44</v>
      </c>
      <c r="AK81" s="5">
        <v>58</v>
      </c>
      <c r="AL81" s="5">
        <v>16</v>
      </c>
      <c r="AM81" s="5">
        <v>53</v>
      </c>
      <c r="AN81" s="5">
        <v>69</v>
      </c>
      <c r="AO81" s="8">
        <v>1</v>
      </c>
      <c r="AP81" s="8">
        <v>0.0862</v>
      </c>
      <c r="AQ81" s="8">
        <v>0.0862</v>
      </c>
      <c r="AR81" s="3"/>
      <c r="AS81" s="8">
        <v>0</v>
      </c>
      <c r="AT81" s="6">
        <v>0</v>
      </c>
      <c r="AU81" s="9">
        <v>0</v>
      </c>
      <c r="AV81" s="8">
        <v>0</v>
      </c>
      <c r="AW81" s="8">
        <v>0</v>
      </c>
      <c r="AX81" s="8">
        <v>0</v>
      </c>
      <c r="AY81" s="3"/>
      <c r="AZ81" s="6">
        <v>0</v>
      </c>
      <c r="BA81" s="6">
        <v>0</v>
      </c>
      <c r="BB81" s="5">
        <v>0</v>
      </c>
      <c r="BC81" s="8">
        <v>0</v>
      </c>
      <c r="BD81" s="8">
        <v>0</v>
      </c>
      <c r="BE81" s="5">
        <v>0</v>
      </c>
      <c r="BF81" s="5">
        <v>0</v>
      </c>
      <c r="BG81" s="3"/>
    </row>
    <row r="82" spans="1:59">
      <c r="A82" t="str">
        <f t="shared" si="1"/>
        <v>2022-09-10XXXX-222</v>
      </c>
      <c r="B82" s="3" t="s">
        <v>201</v>
      </c>
      <c r="C82" s="3" t="s">
        <v>176</v>
      </c>
      <c r="D82" s="3"/>
      <c r="E82" s="3" t="s">
        <v>24</v>
      </c>
      <c r="F82" s="3"/>
      <c r="G82" s="4">
        <v>13.99</v>
      </c>
      <c r="H82" s="5">
        <v>872</v>
      </c>
      <c r="I82" s="5">
        <v>0</v>
      </c>
      <c r="J82" s="5">
        <v>5</v>
      </c>
      <c r="K82" s="5">
        <v>5</v>
      </c>
      <c r="L82" s="6">
        <v>69.95</v>
      </c>
      <c r="M82" s="6">
        <v>69.95</v>
      </c>
      <c r="N82" s="5">
        <v>0</v>
      </c>
      <c r="O82" s="6">
        <v>0</v>
      </c>
      <c r="P82" s="5">
        <v>0</v>
      </c>
      <c r="Q82" s="5">
        <v>0</v>
      </c>
      <c r="R82" s="6">
        <v>0</v>
      </c>
      <c r="S82" s="5">
        <v>0</v>
      </c>
      <c r="T82" s="6">
        <v>13.99</v>
      </c>
      <c r="U82" s="7">
        <v>0.1</v>
      </c>
      <c r="V82" s="3"/>
      <c r="W82" s="3"/>
      <c r="X82" s="5">
        <v>0</v>
      </c>
      <c r="Y82" s="8">
        <v>0</v>
      </c>
      <c r="Z82" s="7">
        <v>3</v>
      </c>
      <c r="AA82" s="5">
        <v>1</v>
      </c>
      <c r="AB82" s="8">
        <v>0</v>
      </c>
      <c r="AC82" s="6">
        <v>0</v>
      </c>
      <c r="AD82" s="6">
        <v>14.94</v>
      </c>
      <c r="AE82" s="8">
        <v>0.267</v>
      </c>
      <c r="AF82" s="8">
        <v>3.9561</v>
      </c>
      <c r="AG82" s="5">
        <v>1</v>
      </c>
      <c r="AH82" s="8">
        <v>0.2</v>
      </c>
      <c r="AI82" s="5">
        <v>16</v>
      </c>
      <c r="AJ82" s="5">
        <v>51</v>
      </c>
      <c r="AK82" s="5">
        <v>67</v>
      </c>
      <c r="AL82" s="5">
        <v>19</v>
      </c>
      <c r="AM82" s="5">
        <v>63</v>
      </c>
      <c r="AN82" s="5">
        <v>82</v>
      </c>
      <c r="AO82" s="8">
        <v>1</v>
      </c>
      <c r="AP82" s="8">
        <v>0.0746</v>
      </c>
      <c r="AQ82" s="8">
        <v>0.0746</v>
      </c>
      <c r="AR82" s="3"/>
      <c r="AS82" s="8">
        <v>0</v>
      </c>
      <c r="AT82" s="6">
        <v>0</v>
      </c>
      <c r="AU82" s="9">
        <v>0</v>
      </c>
      <c r="AV82" s="8">
        <v>0</v>
      </c>
      <c r="AW82" s="8">
        <v>0</v>
      </c>
      <c r="AX82" s="8">
        <v>0</v>
      </c>
      <c r="AY82" s="3"/>
      <c r="AZ82" s="6">
        <v>0</v>
      </c>
      <c r="BA82" s="6">
        <v>0</v>
      </c>
      <c r="BB82" s="5">
        <v>0</v>
      </c>
      <c r="BC82" s="8">
        <v>0</v>
      </c>
      <c r="BD82" s="8">
        <v>0</v>
      </c>
      <c r="BE82" s="5">
        <v>0</v>
      </c>
      <c r="BF82" s="5">
        <v>0</v>
      </c>
      <c r="BG82" s="3"/>
    </row>
    <row r="83" spans="1:59">
      <c r="A83" t="str">
        <f t="shared" si="1"/>
        <v>2022-09-11XXXX-222</v>
      </c>
      <c r="B83" s="3" t="s">
        <v>202</v>
      </c>
      <c r="C83" s="3" t="s">
        <v>176</v>
      </c>
      <c r="D83" s="3"/>
      <c r="E83" s="3" t="s">
        <v>24</v>
      </c>
      <c r="F83" s="3"/>
      <c r="G83" s="4">
        <v>13.99</v>
      </c>
      <c r="H83" s="5">
        <v>861</v>
      </c>
      <c r="I83" s="5">
        <v>0</v>
      </c>
      <c r="J83" s="5">
        <v>10</v>
      </c>
      <c r="K83" s="5">
        <v>10</v>
      </c>
      <c r="L83" s="6">
        <v>139.9</v>
      </c>
      <c r="M83" s="6">
        <v>139.9</v>
      </c>
      <c r="N83" s="5">
        <v>0</v>
      </c>
      <c r="O83" s="6">
        <v>0</v>
      </c>
      <c r="P83" s="5">
        <v>0</v>
      </c>
      <c r="Q83" s="5">
        <v>0</v>
      </c>
      <c r="R83" s="6">
        <v>0</v>
      </c>
      <c r="S83" s="5">
        <v>0</v>
      </c>
      <c r="T83" s="6">
        <v>13.99</v>
      </c>
      <c r="U83" s="7">
        <v>0.2</v>
      </c>
      <c r="V83" s="3"/>
      <c r="W83" s="3"/>
      <c r="X83" s="5">
        <v>0</v>
      </c>
      <c r="Y83" s="8">
        <v>0</v>
      </c>
      <c r="Z83" s="7">
        <v>3</v>
      </c>
      <c r="AA83" s="5">
        <v>1</v>
      </c>
      <c r="AB83" s="8">
        <v>0</v>
      </c>
      <c r="AC83" s="6">
        <v>0</v>
      </c>
      <c r="AD83" s="6">
        <v>22.91</v>
      </c>
      <c r="AE83" s="8">
        <v>0.273</v>
      </c>
      <c r="AF83" s="8">
        <v>3.9561</v>
      </c>
      <c r="AG83" s="5">
        <v>0</v>
      </c>
      <c r="AH83" s="8">
        <v>0</v>
      </c>
      <c r="AI83" s="5">
        <v>19</v>
      </c>
      <c r="AJ83" s="5">
        <v>62</v>
      </c>
      <c r="AK83" s="5">
        <v>81</v>
      </c>
      <c r="AL83" s="5">
        <v>23</v>
      </c>
      <c r="AM83" s="5">
        <v>77</v>
      </c>
      <c r="AN83" s="5">
        <v>100</v>
      </c>
      <c r="AO83" s="8">
        <v>1</v>
      </c>
      <c r="AP83" s="8">
        <v>0.1235</v>
      </c>
      <c r="AQ83" s="8">
        <v>0.1235</v>
      </c>
      <c r="AR83" s="3"/>
      <c r="AS83" s="8">
        <v>0</v>
      </c>
      <c r="AT83" s="6">
        <v>0</v>
      </c>
      <c r="AU83" s="9">
        <v>0</v>
      </c>
      <c r="AV83" s="8">
        <v>0</v>
      </c>
      <c r="AW83" s="8">
        <v>0</v>
      </c>
      <c r="AX83" s="8">
        <v>0</v>
      </c>
      <c r="AY83" s="3"/>
      <c r="AZ83" s="6">
        <v>0</v>
      </c>
      <c r="BA83" s="6">
        <v>0</v>
      </c>
      <c r="BB83" s="5">
        <v>0</v>
      </c>
      <c r="BC83" s="8">
        <v>0</v>
      </c>
      <c r="BD83" s="8">
        <v>0</v>
      </c>
      <c r="BE83" s="5">
        <v>0</v>
      </c>
      <c r="BF83" s="5">
        <v>0</v>
      </c>
      <c r="BG83" s="3"/>
    </row>
    <row r="84" spans="1:59">
      <c r="A84" t="str">
        <f t="shared" si="1"/>
        <v>2022-09-12XXXX-222</v>
      </c>
      <c r="B84" s="3" t="s">
        <v>203</v>
      </c>
      <c r="C84" s="3" t="s">
        <v>176</v>
      </c>
      <c r="D84" s="3"/>
      <c r="E84" s="3" t="s">
        <v>24</v>
      </c>
      <c r="F84" s="3"/>
      <c r="G84" s="4">
        <v>13.99</v>
      </c>
      <c r="H84" s="5">
        <v>859</v>
      </c>
      <c r="I84" s="5">
        <v>0</v>
      </c>
      <c r="J84" s="5">
        <v>5</v>
      </c>
      <c r="K84" s="5">
        <v>5</v>
      </c>
      <c r="L84" s="6">
        <v>69.95</v>
      </c>
      <c r="M84" s="6">
        <v>69.95</v>
      </c>
      <c r="N84" s="5">
        <v>0</v>
      </c>
      <c r="O84" s="6">
        <v>0</v>
      </c>
      <c r="P84" s="5">
        <v>0</v>
      </c>
      <c r="Q84" s="5">
        <v>0</v>
      </c>
      <c r="R84" s="6">
        <v>0</v>
      </c>
      <c r="S84" s="5">
        <v>0</v>
      </c>
      <c r="T84" s="6">
        <v>13.99</v>
      </c>
      <c r="U84" s="7">
        <v>0.1</v>
      </c>
      <c r="V84" s="3"/>
      <c r="W84" s="3"/>
      <c r="X84" s="5">
        <v>0</v>
      </c>
      <c r="Y84" s="8">
        <v>0</v>
      </c>
      <c r="Z84" s="7">
        <v>4.6</v>
      </c>
      <c r="AA84" s="5">
        <v>16</v>
      </c>
      <c r="AB84" s="8">
        <v>0</v>
      </c>
      <c r="AC84" s="6">
        <v>0</v>
      </c>
      <c r="AD84" s="6">
        <v>34.8</v>
      </c>
      <c r="AE84" s="8">
        <v>0.2764</v>
      </c>
      <c r="AF84" s="8">
        <v>3.9561</v>
      </c>
      <c r="AG84" s="5">
        <v>0</v>
      </c>
      <c r="AH84" s="8">
        <v>0</v>
      </c>
      <c r="AI84" s="5">
        <v>19</v>
      </c>
      <c r="AJ84" s="5">
        <v>37</v>
      </c>
      <c r="AK84" s="5">
        <v>56</v>
      </c>
      <c r="AL84" s="5">
        <v>25</v>
      </c>
      <c r="AM84" s="5">
        <v>48</v>
      </c>
      <c r="AN84" s="5">
        <v>73</v>
      </c>
      <c r="AO84" s="8">
        <v>1</v>
      </c>
      <c r="AP84" s="8">
        <v>0.0893</v>
      </c>
      <c r="AQ84" s="8">
        <v>0.0893</v>
      </c>
      <c r="AR84" s="3"/>
      <c r="AS84" s="8">
        <v>0</v>
      </c>
      <c r="AT84" s="6">
        <v>0</v>
      </c>
      <c r="AU84" s="9">
        <v>0</v>
      </c>
      <c r="AV84" s="8">
        <v>0</v>
      </c>
      <c r="AW84" s="8">
        <v>0</v>
      </c>
      <c r="AX84" s="8">
        <v>0</v>
      </c>
      <c r="AY84" s="3"/>
      <c r="AZ84" s="6">
        <v>0</v>
      </c>
      <c r="BA84" s="6">
        <v>0</v>
      </c>
      <c r="BB84" s="5">
        <v>0</v>
      </c>
      <c r="BC84" s="8">
        <v>0</v>
      </c>
      <c r="BD84" s="8">
        <v>0</v>
      </c>
      <c r="BE84" s="5">
        <v>0</v>
      </c>
      <c r="BF84" s="5">
        <v>0</v>
      </c>
      <c r="BG84" s="3"/>
    </row>
    <row r="85" spans="1:59">
      <c r="A85" t="str">
        <f t="shared" si="1"/>
        <v>2022-09-13XXXX-222</v>
      </c>
      <c r="B85" s="3" t="s">
        <v>204</v>
      </c>
      <c r="C85" s="3" t="s">
        <v>176</v>
      </c>
      <c r="D85" s="3"/>
      <c r="E85" s="3" t="s">
        <v>24</v>
      </c>
      <c r="F85" s="3"/>
      <c r="G85" s="4">
        <v>13.99</v>
      </c>
      <c r="H85" s="5">
        <v>849</v>
      </c>
      <c r="I85" s="5">
        <v>0</v>
      </c>
      <c r="J85" s="5">
        <v>10</v>
      </c>
      <c r="K85" s="5">
        <v>10</v>
      </c>
      <c r="L85" s="6">
        <v>139.9</v>
      </c>
      <c r="M85" s="6">
        <v>139.9</v>
      </c>
      <c r="N85" s="5">
        <v>1</v>
      </c>
      <c r="O85" s="6">
        <v>13.99</v>
      </c>
      <c r="P85" s="5">
        <v>1</v>
      </c>
      <c r="Q85" s="5">
        <v>0</v>
      </c>
      <c r="R85" s="6">
        <v>0</v>
      </c>
      <c r="S85" s="5">
        <v>0</v>
      </c>
      <c r="T85" s="6">
        <v>13.99</v>
      </c>
      <c r="U85" s="7">
        <v>0.2</v>
      </c>
      <c r="V85" s="3"/>
      <c r="W85" s="3"/>
      <c r="X85" s="5">
        <v>0</v>
      </c>
      <c r="Y85" s="8">
        <v>0</v>
      </c>
      <c r="Z85" s="7">
        <v>4.6</v>
      </c>
      <c r="AA85" s="5">
        <v>16</v>
      </c>
      <c r="AB85" s="8">
        <v>0</v>
      </c>
      <c r="AC85" s="6">
        <v>0</v>
      </c>
      <c r="AD85" s="6">
        <v>23.13</v>
      </c>
      <c r="AE85" s="8">
        <v>0.2756</v>
      </c>
      <c r="AF85" s="8">
        <v>3.9823</v>
      </c>
      <c r="AG85" s="5">
        <v>0</v>
      </c>
      <c r="AH85" s="8">
        <v>0</v>
      </c>
      <c r="AI85" s="5">
        <v>29</v>
      </c>
      <c r="AJ85" s="5">
        <v>31</v>
      </c>
      <c r="AK85" s="5">
        <v>60</v>
      </c>
      <c r="AL85" s="5">
        <v>44</v>
      </c>
      <c r="AM85" s="5">
        <v>38</v>
      </c>
      <c r="AN85" s="5">
        <v>82</v>
      </c>
      <c r="AO85" s="8">
        <v>1</v>
      </c>
      <c r="AP85" s="8">
        <v>0.1667</v>
      </c>
      <c r="AQ85" s="8">
        <v>0.1667</v>
      </c>
      <c r="AR85" s="3"/>
      <c r="AS85" s="8">
        <v>0</v>
      </c>
      <c r="AT85" s="6">
        <v>0</v>
      </c>
      <c r="AU85" s="9">
        <v>0</v>
      </c>
      <c r="AV85" s="8">
        <v>0</v>
      </c>
      <c r="AW85" s="8">
        <v>0</v>
      </c>
      <c r="AX85" s="8">
        <v>0</v>
      </c>
      <c r="AY85" s="3"/>
      <c r="AZ85" s="6">
        <v>0</v>
      </c>
      <c r="BA85" s="6">
        <v>0</v>
      </c>
      <c r="BB85" s="5">
        <v>0</v>
      </c>
      <c r="BC85" s="8">
        <v>0</v>
      </c>
      <c r="BD85" s="8">
        <v>0</v>
      </c>
      <c r="BE85" s="5">
        <v>0</v>
      </c>
      <c r="BF85" s="5">
        <v>0</v>
      </c>
      <c r="BG85" s="3"/>
    </row>
    <row r="86" spans="1:59">
      <c r="A86" t="str">
        <f t="shared" si="1"/>
        <v>2022-09-14XXXX-222</v>
      </c>
      <c r="B86" s="3" t="s">
        <v>205</v>
      </c>
      <c r="C86" s="3" t="s">
        <v>176</v>
      </c>
      <c r="D86" s="3"/>
      <c r="E86" s="3" t="s">
        <v>24</v>
      </c>
      <c r="F86" s="3"/>
      <c r="G86" s="4">
        <v>13.99</v>
      </c>
      <c r="H86" s="5">
        <v>827</v>
      </c>
      <c r="I86" s="5">
        <v>0</v>
      </c>
      <c r="J86" s="5">
        <v>6</v>
      </c>
      <c r="K86" s="5">
        <v>6</v>
      </c>
      <c r="L86" s="6">
        <v>83.94</v>
      </c>
      <c r="M86" s="6">
        <v>71.63</v>
      </c>
      <c r="N86" s="5">
        <v>1</v>
      </c>
      <c r="O86" s="6">
        <v>13.99</v>
      </c>
      <c r="P86" s="5">
        <v>1</v>
      </c>
      <c r="Q86" s="5">
        <v>0</v>
      </c>
      <c r="R86" s="6">
        <v>0</v>
      </c>
      <c r="S86" s="5">
        <v>0</v>
      </c>
      <c r="T86" s="6">
        <v>11.94</v>
      </c>
      <c r="U86" s="7">
        <v>0.1</v>
      </c>
      <c r="V86" s="3"/>
      <c r="W86" s="3"/>
      <c r="X86" s="5">
        <v>1</v>
      </c>
      <c r="Y86" s="8">
        <v>0.1667</v>
      </c>
      <c r="Z86" s="7">
        <v>4.6</v>
      </c>
      <c r="AA86" s="5">
        <v>16</v>
      </c>
      <c r="AB86" s="8">
        <v>0</v>
      </c>
      <c r="AC86" s="6">
        <v>0</v>
      </c>
      <c r="AD86" s="6">
        <v>11.57</v>
      </c>
      <c r="AE86" s="8">
        <v>0.1379</v>
      </c>
      <c r="AF86" s="8">
        <v>3.9561</v>
      </c>
      <c r="AG86" s="5">
        <v>0</v>
      </c>
      <c r="AH86" s="8">
        <v>0</v>
      </c>
      <c r="AI86" s="5">
        <v>22</v>
      </c>
      <c r="AJ86" s="5">
        <v>49</v>
      </c>
      <c r="AK86" s="5">
        <v>71</v>
      </c>
      <c r="AL86" s="5">
        <v>31</v>
      </c>
      <c r="AM86" s="5">
        <v>57</v>
      </c>
      <c r="AN86" s="5">
        <v>88</v>
      </c>
      <c r="AO86" s="8">
        <v>1</v>
      </c>
      <c r="AP86" s="8">
        <v>0.0845</v>
      </c>
      <c r="AQ86" s="8">
        <v>0.0845</v>
      </c>
      <c r="AR86" s="3"/>
      <c r="AS86" s="8">
        <v>0</v>
      </c>
      <c r="AT86" s="6">
        <v>0</v>
      </c>
      <c r="AU86" s="9">
        <v>0</v>
      </c>
      <c r="AV86" s="8">
        <v>0</v>
      </c>
      <c r="AW86" s="8">
        <v>0</v>
      </c>
      <c r="AX86" s="8">
        <v>0</v>
      </c>
      <c r="AY86" s="3"/>
      <c r="AZ86" s="6">
        <v>0</v>
      </c>
      <c r="BA86" s="6">
        <v>0</v>
      </c>
      <c r="BB86" s="5">
        <v>0</v>
      </c>
      <c r="BC86" s="8">
        <v>0</v>
      </c>
      <c r="BD86" s="8">
        <v>0</v>
      </c>
      <c r="BE86" s="5">
        <v>0</v>
      </c>
      <c r="BF86" s="5">
        <v>0</v>
      </c>
      <c r="BG86" s="3"/>
    </row>
    <row r="87" spans="1:59">
      <c r="A87" t="str">
        <f t="shared" si="1"/>
        <v>2022-09-15XXXX-222</v>
      </c>
      <c r="B87" s="3" t="s">
        <v>206</v>
      </c>
      <c r="C87" s="3" t="s">
        <v>176</v>
      </c>
      <c r="D87" s="3"/>
      <c r="E87" s="3" t="s">
        <v>24</v>
      </c>
      <c r="F87" s="3"/>
      <c r="G87" s="4">
        <v>13.99</v>
      </c>
      <c r="H87" s="5">
        <v>821</v>
      </c>
      <c r="I87" s="5">
        <v>0</v>
      </c>
      <c r="J87" s="5">
        <v>14</v>
      </c>
      <c r="K87" s="5">
        <v>13</v>
      </c>
      <c r="L87" s="6">
        <v>195.86</v>
      </c>
      <c r="M87" s="6">
        <v>183.55</v>
      </c>
      <c r="N87" s="5">
        <v>0</v>
      </c>
      <c r="O87" s="6">
        <v>0</v>
      </c>
      <c r="P87" s="5">
        <v>0</v>
      </c>
      <c r="Q87" s="5">
        <v>0</v>
      </c>
      <c r="R87" s="6">
        <v>0</v>
      </c>
      <c r="S87" s="5">
        <v>0</v>
      </c>
      <c r="T87" s="6">
        <v>13.11</v>
      </c>
      <c r="U87" s="7">
        <v>0.2</v>
      </c>
      <c r="V87" s="3"/>
      <c r="W87" s="3"/>
      <c r="X87" s="5">
        <v>1</v>
      </c>
      <c r="Y87" s="8">
        <v>0.0714</v>
      </c>
      <c r="Z87" s="7">
        <v>4.6</v>
      </c>
      <c r="AA87" s="5">
        <v>16</v>
      </c>
      <c r="AB87" s="8">
        <v>0</v>
      </c>
      <c r="AC87" s="6">
        <v>0</v>
      </c>
      <c r="AD87" s="6">
        <v>22.84</v>
      </c>
      <c r="AE87" s="8">
        <v>0.1455</v>
      </c>
      <c r="AF87" s="8">
        <v>4.0158</v>
      </c>
      <c r="AG87" s="5">
        <v>1</v>
      </c>
      <c r="AH87" s="8">
        <v>0.0714</v>
      </c>
      <c r="AI87" s="5">
        <v>22</v>
      </c>
      <c r="AJ87" s="5">
        <v>50</v>
      </c>
      <c r="AK87" s="5">
        <v>72</v>
      </c>
      <c r="AL87" s="5">
        <v>29</v>
      </c>
      <c r="AM87" s="5">
        <v>61</v>
      </c>
      <c r="AN87" s="5">
        <v>90</v>
      </c>
      <c r="AO87" s="8">
        <v>1</v>
      </c>
      <c r="AP87" s="8">
        <v>0.1806</v>
      </c>
      <c r="AQ87" s="8">
        <v>0.1944</v>
      </c>
      <c r="AR87" s="3"/>
      <c r="AS87" s="8">
        <v>0</v>
      </c>
      <c r="AT87" s="6">
        <v>0</v>
      </c>
      <c r="AU87" s="9">
        <v>0</v>
      </c>
      <c r="AV87" s="8">
        <v>0</v>
      </c>
      <c r="AW87" s="8">
        <v>0</v>
      </c>
      <c r="AX87" s="8">
        <v>0</v>
      </c>
      <c r="AY87" s="3"/>
      <c r="AZ87" s="6">
        <v>0</v>
      </c>
      <c r="BA87" s="6">
        <v>0</v>
      </c>
      <c r="BB87" s="5">
        <v>0</v>
      </c>
      <c r="BC87" s="8">
        <v>0</v>
      </c>
      <c r="BD87" s="8">
        <v>0</v>
      </c>
      <c r="BE87" s="5">
        <v>0</v>
      </c>
      <c r="BF87" s="5">
        <v>0</v>
      </c>
      <c r="BG87" s="3"/>
    </row>
    <row r="88" spans="1:59">
      <c r="A88" t="str">
        <f t="shared" si="1"/>
        <v>2022-09-16XXXX-222</v>
      </c>
      <c r="B88" s="3" t="s">
        <v>207</v>
      </c>
      <c r="C88" s="3" t="s">
        <v>176</v>
      </c>
      <c r="D88" s="3"/>
      <c r="E88" s="3" t="s">
        <v>24</v>
      </c>
      <c r="F88" s="3"/>
      <c r="G88" s="4">
        <v>13.99</v>
      </c>
      <c r="H88" s="5">
        <v>812</v>
      </c>
      <c r="I88" s="5">
        <v>0</v>
      </c>
      <c r="J88" s="5">
        <v>7</v>
      </c>
      <c r="K88" s="5">
        <v>7</v>
      </c>
      <c r="L88" s="6">
        <v>97.93</v>
      </c>
      <c r="M88" s="6">
        <v>85.62</v>
      </c>
      <c r="N88" s="5">
        <v>0</v>
      </c>
      <c r="O88" s="6">
        <v>0</v>
      </c>
      <c r="P88" s="5">
        <v>0</v>
      </c>
      <c r="Q88" s="5">
        <v>0</v>
      </c>
      <c r="R88" s="6">
        <v>0</v>
      </c>
      <c r="S88" s="5">
        <v>0</v>
      </c>
      <c r="T88" s="6">
        <v>12.23</v>
      </c>
      <c r="U88" s="7">
        <v>0.1</v>
      </c>
      <c r="V88" s="3"/>
      <c r="W88" s="3"/>
      <c r="X88" s="5">
        <v>1</v>
      </c>
      <c r="Y88" s="8">
        <v>0.1429</v>
      </c>
      <c r="Z88" s="7">
        <v>4.6</v>
      </c>
      <c r="AA88" s="5">
        <v>16</v>
      </c>
      <c r="AB88" s="8">
        <v>0</v>
      </c>
      <c r="AC88" s="6">
        <v>0</v>
      </c>
      <c r="AD88" s="6">
        <v>40.45</v>
      </c>
      <c r="AE88" s="8">
        <v>0.2065</v>
      </c>
      <c r="AF88" s="8">
        <v>3.9561</v>
      </c>
      <c r="AG88" s="5">
        <v>0</v>
      </c>
      <c r="AH88" s="8">
        <v>0</v>
      </c>
      <c r="AI88" s="5">
        <v>15</v>
      </c>
      <c r="AJ88" s="5">
        <v>52</v>
      </c>
      <c r="AK88" s="5">
        <v>67</v>
      </c>
      <c r="AL88" s="5">
        <v>17</v>
      </c>
      <c r="AM88" s="5">
        <v>65</v>
      </c>
      <c r="AN88" s="5">
        <v>82</v>
      </c>
      <c r="AO88" s="8">
        <v>1</v>
      </c>
      <c r="AP88" s="8">
        <v>0.1045</v>
      </c>
      <c r="AQ88" s="8">
        <v>0.1045</v>
      </c>
      <c r="AR88" s="3"/>
      <c r="AS88" s="8">
        <v>0</v>
      </c>
      <c r="AT88" s="6">
        <v>0</v>
      </c>
      <c r="AU88" s="9">
        <v>0</v>
      </c>
      <c r="AV88" s="8">
        <v>0</v>
      </c>
      <c r="AW88" s="8">
        <v>0</v>
      </c>
      <c r="AX88" s="8">
        <v>0</v>
      </c>
      <c r="AY88" s="3"/>
      <c r="AZ88" s="6">
        <v>0</v>
      </c>
      <c r="BA88" s="6">
        <v>0</v>
      </c>
      <c r="BB88" s="5">
        <v>0</v>
      </c>
      <c r="BC88" s="8">
        <v>0</v>
      </c>
      <c r="BD88" s="8">
        <v>0</v>
      </c>
      <c r="BE88" s="5">
        <v>0</v>
      </c>
      <c r="BF88" s="5">
        <v>0</v>
      </c>
      <c r="BG88" s="3"/>
    </row>
    <row r="89" spans="1:59">
      <c r="A89" t="str">
        <f t="shared" si="1"/>
        <v>2022-09-17XXXX-222</v>
      </c>
      <c r="B89" s="3" t="s">
        <v>208</v>
      </c>
      <c r="C89" s="3" t="s">
        <v>176</v>
      </c>
      <c r="D89" s="3"/>
      <c r="E89" s="3" t="s">
        <v>24</v>
      </c>
      <c r="F89" s="3"/>
      <c r="G89" s="4">
        <v>13.99</v>
      </c>
      <c r="H89" s="5">
        <v>804</v>
      </c>
      <c r="I89" s="5">
        <v>0</v>
      </c>
      <c r="J89" s="5">
        <v>8</v>
      </c>
      <c r="K89" s="5">
        <v>8</v>
      </c>
      <c r="L89" s="6">
        <v>111.92</v>
      </c>
      <c r="M89" s="6">
        <v>111.92</v>
      </c>
      <c r="N89" s="5">
        <v>0</v>
      </c>
      <c r="O89" s="6">
        <v>0</v>
      </c>
      <c r="P89" s="5">
        <v>0</v>
      </c>
      <c r="Q89" s="5">
        <v>0</v>
      </c>
      <c r="R89" s="6">
        <v>0</v>
      </c>
      <c r="S89" s="5">
        <v>0</v>
      </c>
      <c r="T89" s="6">
        <v>13.99</v>
      </c>
      <c r="U89" s="7">
        <v>0.1</v>
      </c>
      <c r="V89" s="3"/>
      <c r="W89" s="3"/>
      <c r="X89" s="5">
        <v>0</v>
      </c>
      <c r="Y89" s="8">
        <v>0</v>
      </c>
      <c r="Z89" s="7">
        <v>4.6</v>
      </c>
      <c r="AA89" s="5">
        <v>16</v>
      </c>
      <c r="AB89" s="8">
        <v>0</v>
      </c>
      <c r="AC89" s="6">
        <v>0</v>
      </c>
      <c r="AD89" s="6">
        <v>30.44</v>
      </c>
      <c r="AE89" s="8">
        <v>0.272</v>
      </c>
      <c r="AF89" s="8">
        <v>3.9561</v>
      </c>
      <c r="AG89" s="5">
        <v>0</v>
      </c>
      <c r="AH89" s="8">
        <v>0</v>
      </c>
      <c r="AI89" s="5">
        <v>21</v>
      </c>
      <c r="AJ89" s="5">
        <v>70</v>
      </c>
      <c r="AK89" s="5">
        <v>91</v>
      </c>
      <c r="AL89" s="5">
        <v>27</v>
      </c>
      <c r="AM89" s="5">
        <v>85</v>
      </c>
      <c r="AN89" s="5">
        <v>112</v>
      </c>
      <c r="AO89" s="8">
        <v>1</v>
      </c>
      <c r="AP89" s="8">
        <v>0.0879</v>
      </c>
      <c r="AQ89" s="8">
        <v>0.0879</v>
      </c>
      <c r="AR89" s="3"/>
      <c r="AS89" s="8">
        <v>0</v>
      </c>
      <c r="AT89" s="6">
        <v>0</v>
      </c>
      <c r="AU89" s="9">
        <v>0</v>
      </c>
      <c r="AV89" s="8">
        <v>0</v>
      </c>
      <c r="AW89" s="8">
        <v>0</v>
      </c>
      <c r="AX89" s="8">
        <v>0</v>
      </c>
      <c r="AY89" s="3"/>
      <c r="AZ89" s="6">
        <v>0</v>
      </c>
      <c r="BA89" s="6">
        <v>0</v>
      </c>
      <c r="BB89" s="5">
        <v>0</v>
      </c>
      <c r="BC89" s="8">
        <v>0</v>
      </c>
      <c r="BD89" s="8">
        <v>0</v>
      </c>
      <c r="BE89" s="5">
        <v>0</v>
      </c>
      <c r="BF89" s="5">
        <v>0</v>
      </c>
      <c r="BG89" s="3"/>
    </row>
    <row r="90" spans="1:59">
      <c r="A90" t="str">
        <f t="shared" si="1"/>
        <v>2022-09-18XXXX-222</v>
      </c>
      <c r="B90" s="3" t="s">
        <v>209</v>
      </c>
      <c r="C90" s="3" t="s">
        <v>176</v>
      </c>
      <c r="D90" s="3"/>
      <c r="E90" s="3" t="s">
        <v>24</v>
      </c>
      <c r="F90" s="3"/>
      <c r="G90" s="4">
        <v>13.99</v>
      </c>
      <c r="H90" s="5">
        <v>785</v>
      </c>
      <c r="I90" s="5">
        <v>0</v>
      </c>
      <c r="J90" s="5">
        <v>20</v>
      </c>
      <c r="K90" s="5">
        <v>20</v>
      </c>
      <c r="L90" s="6">
        <v>279.8</v>
      </c>
      <c r="M90" s="6">
        <v>279.8</v>
      </c>
      <c r="N90" s="5">
        <v>0</v>
      </c>
      <c r="O90" s="6">
        <v>0</v>
      </c>
      <c r="P90" s="5">
        <v>0</v>
      </c>
      <c r="Q90" s="5">
        <v>0</v>
      </c>
      <c r="R90" s="6">
        <v>0</v>
      </c>
      <c r="S90" s="5">
        <v>0</v>
      </c>
      <c r="T90" s="6">
        <v>13.99</v>
      </c>
      <c r="U90" s="7">
        <v>0.4</v>
      </c>
      <c r="V90" s="3"/>
      <c r="W90" s="3"/>
      <c r="X90" s="5">
        <v>0</v>
      </c>
      <c r="Y90" s="8">
        <v>0</v>
      </c>
      <c r="Z90" s="7">
        <v>4.6</v>
      </c>
      <c r="AA90" s="5">
        <v>16</v>
      </c>
      <c r="AB90" s="8">
        <v>0</v>
      </c>
      <c r="AC90" s="6">
        <v>0</v>
      </c>
      <c r="AD90" s="6">
        <v>42.49</v>
      </c>
      <c r="AE90" s="8">
        <v>0.2761</v>
      </c>
      <c r="AF90" s="8">
        <v>3.96</v>
      </c>
      <c r="AG90" s="5">
        <v>0</v>
      </c>
      <c r="AH90" s="8">
        <v>0</v>
      </c>
      <c r="AI90" s="5">
        <v>25</v>
      </c>
      <c r="AJ90" s="5">
        <v>100</v>
      </c>
      <c r="AK90" s="5">
        <v>125</v>
      </c>
      <c r="AL90" s="5">
        <v>29</v>
      </c>
      <c r="AM90" s="5">
        <v>126</v>
      </c>
      <c r="AN90" s="5">
        <v>155</v>
      </c>
      <c r="AO90" s="8">
        <v>1</v>
      </c>
      <c r="AP90" s="8">
        <v>0.16</v>
      </c>
      <c r="AQ90" s="8">
        <v>0.16</v>
      </c>
      <c r="AR90" s="3"/>
      <c r="AS90" s="8">
        <v>0</v>
      </c>
      <c r="AT90" s="6">
        <v>0</v>
      </c>
      <c r="AU90" s="9">
        <v>0</v>
      </c>
      <c r="AV90" s="8">
        <v>0</v>
      </c>
      <c r="AW90" s="8">
        <v>0</v>
      </c>
      <c r="AX90" s="8">
        <v>0</v>
      </c>
      <c r="AY90" s="3"/>
      <c r="AZ90" s="6">
        <v>0</v>
      </c>
      <c r="BA90" s="6">
        <v>0</v>
      </c>
      <c r="BB90" s="5">
        <v>0</v>
      </c>
      <c r="BC90" s="8">
        <v>0</v>
      </c>
      <c r="BD90" s="8">
        <v>0</v>
      </c>
      <c r="BE90" s="5">
        <v>0</v>
      </c>
      <c r="BF90" s="5">
        <v>0</v>
      </c>
      <c r="BG90" s="3"/>
    </row>
    <row r="91" spans="1:59">
      <c r="A91" t="str">
        <f t="shared" si="1"/>
        <v>2022-09-19XXXX-222</v>
      </c>
      <c r="B91" s="3" t="s">
        <v>210</v>
      </c>
      <c r="C91" s="3" t="s">
        <v>176</v>
      </c>
      <c r="D91" s="3"/>
      <c r="E91" s="3" t="s">
        <v>24</v>
      </c>
      <c r="F91" s="3"/>
      <c r="G91" s="4">
        <v>14.99</v>
      </c>
      <c r="H91" s="5">
        <v>790</v>
      </c>
      <c r="I91" s="5">
        <v>0</v>
      </c>
      <c r="J91" s="5">
        <v>8</v>
      </c>
      <c r="K91" s="5">
        <v>8</v>
      </c>
      <c r="L91" s="6">
        <v>119.92</v>
      </c>
      <c r="M91" s="6">
        <v>119.92</v>
      </c>
      <c r="N91" s="5">
        <v>0</v>
      </c>
      <c r="O91" s="6">
        <v>0</v>
      </c>
      <c r="P91" s="5">
        <v>0</v>
      </c>
      <c r="Q91" s="5">
        <v>0</v>
      </c>
      <c r="R91" s="6">
        <v>0</v>
      </c>
      <c r="S91" s="5">
        <v>0</v>
      </c>
      <c r="T91" s="6">
        <v>14.99</v>
      </c>
      <c r="U91" s="7">
        <v>0.1</v>
      </c>
      <c r="V91" s="3"/>
      <c r="W91" s="3"/>
      <c r="X91" s="5">
        <v>0</v>
      </c>
      <c r="Y91" s="8">
        <v>0</v>
      </c>
      <c r="Z91" s="7">
        <v>4.6</v>
      </c>
      <c r="AA91" s="5">
        <v>16</v>
      </c>
      <c r="AB91" s="8">
        <v>0</v>
      </c>
      <c r="AC91" s="6">
        <v>0</v>
      </c>
      <c r="AD91" s="6">
        <v>40.66</v>
      </c>
      <c r="AE91" s="8">
        <v>0.2866</v>
      </c>
      <c r="AF91" s="8">
        <v>4.3104</v>
      </c>
      <c r="AG91" s="5">
        <v>0</v>
      </c>
      <c r="AH91" s="8">
        <v>0</v>
      </c>
      <c r="AI91" s="5">
        <v>21</v>
      </c>
      <c r="AJ91" s="5">
        <v>52</v>
      </c>
      <c r="AK91" s="5">
        <v>73</v>
      </c>
      <c r="AL91" s="5">
        <v>25</v>
      </c>
      <c r="AM91" s="5">
        <v>60</v>
      </c>
      <c r="AN91" s="5">
        <v>85</v>
      </c>
      <c r="AO91" s="8">
        <v>1</v>
      </c>
      <c r="AP91" s="8">
        <v>0.1096</v>
      </c>
      <c r="AQ91" s="8">
        <v>0.1096</v>
      </c>
      <c r="AR91" s="3"/>
      <c r="AS91" s="8">
        <v>0</v>
      </c>
      <c r="AT91" s="6">
        <v>0</v>
      </c>
      <c r="AU91" s="9">
        <v>0</v>
      </c>
      <c r="AV91" s="8">
        <v>0</v>
      </c>
      <c r="AW91" s="8">
        <v>0</v>
      </c>
      <c r="AX91" s="8">
        <v>0</v>
      </c>
      <c r="AY91" s="3"/>
      <c r="AZ91" s="6">
        <v>0</v>
      </c>
      <c r="BA91" s="6">
        <v>0</v>
      </c>
      <c r="BB91" s="5">
        <v>0</v>
      </c>
      <c r="BC91" s="8">
        <v>0</v>
      </c>
      <c r="BD91" s="8">
        <v>0</v>
      </c>
      <c r="BE91" s="5">
        <v>0</v>
      </c>
      <c r="BF91" s="5">
        <v>0</v>
      </c>
      <c r="BG91" s="3"/>
    </row>
    <row r="92" spans="1:59">
      <c r="A92" t="str">
        <f t="shared" si="1"/>
        <v>2022-09-20XXXX-222</v>
      </c>
      <c r="B92" s="3" t="s">
        <v>211</v>
      </c>
      <c r="C92" s="3" t="s">
        <v>176</v>
      </c>
      <c r="D92" s="3"/>
      <c r="E92" s="3" t="s">
        <v>24</v>
      </c>
      <c r="F92" s="3"/>
      <c r="G92" s="4">
        <v>14.99</v>
      </c>
      <c r="H92" s="5">
        <v>782</v>
      </c>
      <c r="I92" s="5">
        <v>0</v>
      </c>
      <c r="J92" s="5">
        <v>10</v>
      </c>
      <c r="K92" s="5">
        <v>10</v>
      </c>
      <c r="L92" s="6">
        <v>149.9</v>
      </c>
      <c r="M92" s="6">
        <v>149.9</v>
      </c>
      <c r="N92" s="5">
        <v>1</v>
      </c>
      <c r="O92" s="6">
        <v>14.99</v>
      </c>
      <c r="P92" s="5">
        <v>1</v>
      </c>
      <c r="Q92" s="5">
        <v>0</v>
      </c>
      <c r="R92" s="6">
        <v>0</v>
      </c>
      <c r="S92" s="5">
        <v>0</v>
      </c>
      <c r="T92" s="6">
        <v>14.99</v>
      </c>
      <c r="U92" s="7">
        <v>0.2</v>
      </c>
      <c r="V92" s="3"/>
      <c r="W92" s="3"/>
      <c r="X92" s="5">
        <v>0</v>
      </c>
      <c r="Y92" s="8">
        <v>0</v>
      </c>
      <c r="Z92" s="7">
        <v>4.7</v>
      </c>
      <c r="AA92" s="5">
        <v>18</v>
      </c>
      <c r="AB92" s="8">
        <v>0</v>
      </c>
      <c r="AC92" s="6">
        <v>0</v>
      </c>
      <c r="AD92" s="6">
        <v>53.01</v>
      </c>
      <c r="AE92" s="8">
        <v>0.2789</v>
      </c>
      <c r="AF92" s="8">
        <v>4.3104</v>
      </c>
      <c r="AG92" s="5">
        <v>0</v>
      </c>
      <c r="AH92" s="8">
        <v>0</v>
      </c>
      <c r="AI92" s="5">
        <v>32</v>
      </c>
      <c r="AJ92" s="5">
        <v>60</v>
      </c>
      <c r="AK92" s="5">
        <v>92</v>
      </c>
      <c r="AL92" s="5">
        <v>40</v>
      </c>
      <c r="AM92" s="5">
        <v>70</v>
      </c>
      <c r="AN92" s="5">
        <v>110</v>
      </c>
      <c r="AO92" s="8">
        <v>1</v>
      </c>
      <c r="AP92" s="8">
        <v>0.1087</v>
      </c>
      <c r="AQ92" s="8">
        <v>0.1087</v>
      </c>
      <c r="AR92" s="3"/>
      <c r="AS92" s="8">
        <v>0</v>
      </c>
      <c r="AT92" s="6">
        <v>0</v>
      </c>
      <c r="AU92" s="9">
        <v>0</v>
      </c>
      <c r="AV92" s="8">
        <v>0</v>
      </c>
      <c r="AW92" s="8">
        <v>0</v>
      </c>
      <c r="AX92" s="8">
        <v>0</v>
      </c>
      <c r="AY92" s="3"/>
      <c r="AZ92" s="6">
        <v>0</v>
      </c>
      <c r="BA92" s="6">
        <v>0</v>
      </c>
      <c r="BB92" s="5">
        <v>0</v>
      </c>
      <c r="BC92" s="8">
        <v>0</v>
      </c>
      <c r="BD92" s="8">
        <v>0</v>
      </c>
      <c r="BE92" s="5">
        <v>0</v>
      </c>
      <c r="BF92" s="5">
        <v>0</v>
      </c>
      <c r="BG92" s="3"/>
    </row>
    <row r="93" spans="1:59">
      <c r="A93" t="str">
        <f t="shared" si="1"/>
        <v>2022-09-21XXXX-222</v>
      </c>
      <c r="B93" s="3" t="s">
        <v>212</v>
      </c>
      <c r="C93" s="3" t="s">
        <v>176</v>
      </c>
      <c r="D93" s="3"/>
      <c r="E93" s="3" t="s">
        <v>24</v>
      </c>
      <c r="F93" s="3"/>
      <c r="G93" s="4">
        <v>14.99</v>
      </c>
      <c r="H93" s="5">
        <v>777</v>
      </c>
      <c r="I93" s="5">
        <v>0</v>
      </c>
      <c r="J93" s="5">
        <v>13</v>
      </c>
      <c r="K93" s="5">
        <v>13</v>
      </c>
      <c r="L93" s="6">
        <v>194.87</v>
      </c>
      <c r="M93" s="6">
        <v>194.87</v>
      </c>
      <c r="N93" s="5">
        <v>0</v>
      </c>
      <c r="O93" s="6">
        <v>0</v>
      </c>
      <c r="P93" s="5">
        <v>0</v>
      </c>
      <c r="Q93" s="5">
        <v>0</v>
      </c>
      <c r="R93" s="6">
        <v>0</v>
      </c>
      <c r="S93" s="5">
        <v>0</v>
      </c>
      <c r="T93" s="6">
        <v>14.99</v>
      </c>
      <c r="U93" s="7">
        <v>0.2</v>
      </c>
      <c r="V93" s="3"/>
      <c r="W93" s="3"/>
      <c r="X93" s="5">
        <v>0</v>
      </c>
      <c r="Y93" s="8">
        <v>0</v>
      </c>
      <c r="Z93" s="7">
        <v>4.7</v>
      </c>
      <c r="AA93" s="5">
        <v>18</v>
      </c>
      <c r="AB93" s="8">
        <v>0</v>
      </c>
      <c r="AC93" s="6">
        <v>0</v>
      </c>
      <c r="AD93" s="6">
        <v>40.51</v>
      </c>
      <c r="AE93" s="8">
        <v>0.3003</v>
      </c>
      <c r="AF93" s="8">
        <v>4.3104</v>
      </c>
      <c r="AG93" s="5">
        <v>1</v>
      </c>
      <c r="AH93" s="8">
        <v>0.0769</v>
      </c>
      <c r="AI93" s="5">
        <v>28</v>
      </c>
      <c r="AJ93" s="5">
        <v>57</v>
      </c>
      <c r="AK93" s="5">
        <v>85</v>
      </c>
      <c r="AL93" s="5">
        <v>32</v>
      </c>
      <c r="AM93" s="5">
        <v>72</v>
      </c>
      <c r="AN93" s="5">
        <v>104</v>
      </c>
      <c r="AO93" s="8">
        <v>1</v>
      </c>
      <c r="AP93" s="8">
        <v>0.1529</v>
      </c>
      <c r="AQ93" s="8">
        <v>0.1529</v>
      </c>
      <c r="AR93" s="3"/>
      <c r="AS93" s="8">
        <v>0</v>
      </c>
      <c r="AT93" s="6">
        <v>0</v>
      </c>
      <c r="AU93" s="9">
        <v>0</v>
      </c>
      <c r="AV93" s="8">
        <v>0</v>
      </c>
      <c r="AW93" s="8">
        <v>0</v>
      </c>
      <c r="AX93" s="8">
        <v>0</v>
      </c>
      <c r="AY93" s="3"/>
      <c r="AZ93" s="6">
        <v>0</v>
      </c>
      <c r="BA93" s="6">
        <v>0</v>
      </c>
      <c r="BB93" s="5">
        <v>0</v>
      </c>
      <c r="BC93" s="8">
        <v>0</v>
      </c>
      <c r="BD93" s="8">
        <v>0</v>
      </c>
      <c r="BE93" s="5">
        <v>0</v>
      </c>
      <c r="BF93" s="5">
        <v>0</v>
      </c>
      <c r="BG93" s="3"/>
    </row>
    <row r="94" spans="1:59">
      <c r="A94" t="str">
        <f t="shared" si="1"/>
        <v>2022-09-22XXXX-222</v>
      </c>
      <c r="B94" s="3" t="s">
        <v>213</v>
      </c>
      <c r="C94" s="3" t="s">
        <v>176</v>
      </c>
      <c r="D94" s="3"/>
      <c r="E94" s="3" t="s">
        <v>24</v>
      </c>
      <c r="F94" s="3"/>
      <c r="G94" s="4">
        <v>14.99</v>
      </c>
      <c r="H94" s="5">
        <v>762</v>
      </c>
      <c r="I94" s="5">
        <v>0</v>
      </c>
      <c r="J94" s="5">
        <v>7</v>
      </c>
      <c r="K94" s="5">
        <v>7</v>
      </c>
      <c r="L94" s="6">
        <v>104.93</v>
      </c>
      <c r="M94" s="6">
        <v>104.93</v>
      </c>
      <c r="N94" s="5">
        <v>1</v>
      </c>
      <c r="O94" s="6">
        <v>14.99</v>
      </c>
      <c r="P94" s="5">
        <v>1</v>
      </c>
      <c r="Q94" s="5">
        <v>0</v>
      </c>
      <c r="R94" s="6">
        <v>0</v>
      </c>
      <c r="S94" s="5">
        <v>0</v>
      </c>
      <c r="T94" s="6">
        <v>14.99</v>
      </c>
      <c r="U94" s="7">
        <v>0.1</v>
      </c>
      <c r="V94" s="3"/>
      <c r="W94" s="3"/>
      <c r="X94" s="5">
        <v>0</v>
      </c>
      <c r="Y94" s="8">
        <v>0</v>
      </c>
      <c r="Z94" s="7">
        <v>4.7</v>
      </c>
      <c r="AA94" s="5">
        <v>18</v>
      </c>
      <c r="AB94" s="8">
        <v>0</v>
      </c>
      <c r="AC94" s="6">
        <v>0</v>
      </c>
      <c r="AD94" s="6">
        <v>43.97</v>
      </c>
      <c r="AE94" s="8">
        <v>0.3283</v>
      </c>
      <c r="AF94" s="8">
        <v>4.3104</v>
      </c>
      <c r="AG94" s="5">
        <v>1</v>
      </c>
      <c r="AH94" s="8">
        <v>0.1429</v>
      </c>
      <c r="AI94" s="5">
        <v>26</v>
      </c>
      <c r="AJ94" s="5">
        <v>40</v>
      </c>
      <c r="AK94" s="5">
        <v>66</v>
      </c>
      <c r="AL94" s="5">
        <v>29</v>
      </c>
      <c r="AM94" s="5">
        <v>44</v>
      </c>
      <c r="AN94" s="5">
        <v>73</v>
      </c>
      <c r="AO94" s="8">
        <v>1</v>
      </c>
      <c r="AP94" s="8">
        <v>0.1061</v>
      </c>
      <c r="AQ94" s="8">
        <v>0.1061</v>
      </c>
      <c r="AR94" s="3"/>
      <c r="AS94" s="8">
        <v>0</v>
      </c>
      <c r="AT94" s="6">
        <v>0</v>
      </c>
      <c r="AU94" s="9">
        <v>0</v>
      </c>
      <c r="AV94" s="8">
        <v>0</v>
      </c>
      <c r="AW94" s="8">
        <v>0</v>
      </c>
      <c r="AX94" s="8">
        <v>0</v>
      </c>
      <c r="AY94" s="3"/>
      <c r="AZ94" s="6">
        <v>0</v>
      </c>
      <c r="BA94" s="6">
        <v>0</v>
      </c>
      <c r="BB94" s="5">
        <v>0</v>
      </c>
      <c r="BC94" s="8">
        <v>0</v>
      </c>
      <c r="BD94" s="8">
        <v>0</v>
      </c>
      <c r="BE94" s="5">
        <v>0</v>
      </c>
      <c r="BF94" s="5">
        <v>0</v>
      </c>
      <c r="BG94" s="3"/>
    </row>
    <row r="95" spans="1:59">
      <c r="A95" t="str">
        <f t="shared" si="1"/>
        <v>2022-09-23XXXX-222</v>
      </c>
      <c r="B95" s="3" t="s">
        <v>214</v>
      </c>
      <c r="C95" s="3" t="s">
        <v>176</v>
      </c>
      <c r="D95" s="3"/>
      <c r="E95" s="3" t="s">
        <v>24</v>
      </c>
      <c r="F95" s="3"/>
      <c r="G95" s="4">
        <v>14.99</v>
      </c>
      <c r="H95" s="5">
        <v>793</v>
      </c>
      <c r="I95" s="5">
        <v>0</v>
      </c>
      <c r="J95" s="5">
        <v>13</v>
      </c>
      <c r="K95" s="5">
        <v>13</v>
      </c>
      <c r="L95" s="6">
        <v>194.87</v>
      </c>
      <c r="M95" s="6">
        <v>194.87</v>
      </c>
      <c r="N95" s="5">
        <v>0</v>
      </c>
      <c r="O95" s="6">
        <v>0</v>
      </c>
      <c r="P95" s="5">
        <v>0</v>
      </c>
      <c r="Q95" s="5">
        <v>0</v>
      </c>
      <c r="R95" s="6">
        <v>0</v>
      </c>
      <c r="S95" s="5">
        <v>0</v>
      </c>
      <c r="T95" s="6">
        <v>14.99</v>
      </c>
      <c r="U95" s="7">
        <v>0.2</v>
      </c>
      <c r="V95" s="3"/>
      <c r="W95" s="3"/>
      <c r="X95" s="5">
        <v>0</v>
      </c>
      <c r="Y95" s="8">
        <v>0</v>
      </c>
      <c r="Z95" s="7">
        <v>4.7</v>
      </c>
      <c r="AA95" s="5">
        <v>21</v>
      </c>
      <c r="AB95" s="8">
        <v>0</v>
      </c>
      <c r="AC95" s="6">
        <v>0</v>
      </c>
      <c r="AD95" s="6">
        <v>42.53</v>
      </c>
      <c r="AE95" s="8">
        <v>0.3153</v>
      </c>
      <c r="AF95" s="8">
        <v>4.3591</v>
      </c>
      <c r="AG95" s="5">
        <v>0</v>
      </c>
      <c r="AH95" s="8">
        <v>0</v>
      </c>
      <c r="AI95" s="5">
        <v>21</v>
      </c>
      <c r="AJ95" s="5">
        <v>53</v>
      </c>
      <c r="AK95" s="5">
        <v>74</v>
      </c>
      <c r="AL95" s="5">
        <v>29</v>
      </c>
      <c r="AM95" s="5">
        <v>60</v>
      </c>
      <c r="AN95" s="5">
        <v>89</v>
      </c>
      <c r="AO95" s="8">
        <v>1</v>
      </c>
      <c r="AP95" s="8">
        <v>0.1757</v>
      </c>
      <c r="AQ95" s="8">
        <v>0.1757</v>
      </c>
      <c r="AR95" s="3"/>
      <c r="AS95" s="8">
        <v>0</v>
      </c>
      <c r="AT95" s="6">
        <v>0</v>
      </c>
      <c r="AU95" s="9">
        <v>0</v>
      </c>
      <c r="AV95" s="8">
        <v>0</v>
      </c>
      <c r="AW95" s="8">
        <v>0</v>
      </c>
      <c r="AX95" s="8">
        <v>0</v>
      </c>
      <c r="AY95" s="3"/>
      <c r="AZ95" s="6">
        <v>0</v>
      </c>
      <c r="BA95" s="6">
        <v>0</v>
      </c>
      <c r="BB95" s="5">
        <v>0</v>
      </c>
      <c r="BC95" s="8">
        <v>0</v>
      </c>
      <c r="BD95" s="8">
        <v>0</v>
      </c>
      <c r="BE95" s="5">
        <v>0</v>
      </c>
      <c r="BF95" s="5">
        <v>0</v>
      </c>
      <c r="BG95" s="3"/>
    </row>
    <row r="96" spans="1:59">
      <c r="A96" t="str">
        <f t="shared" si="1"/>
        <v>2022-09-24XXXX-222</v>
      </c>
      <c r="B96" s="3" t="s">
        <v>215</v>
      </c>
      <c r="C96" s="3" t="s">
        <v>176</v>
      </c>
      <c r="D96" s="3"/>
      <c r="E96" s="3" t="s">
        <v>24</v>
      </c>
      <c r="F96" s="3"/>
      <c r="G96" s="4">
        <v>14.99</v>
      </c>
      <c r="H96" s="5">
        <v>778</v>
      </c>
      <c r="I96" s="5">
        <v>0</v>
      </c>
      <c r="J96" s="5">
        <v>18</v>
      </c>
      <c r="K96" s="5">
        <v>18</v>
      </c>
      <c r="L96" s="6">
        <v>254.83</v>
      </c>
      <c r="M96" s="6">
        <v>254.83</v>
      </c>
      <c r="N96" s="5">
        <v>0</v>
      </c>
      <c r="O96" s="6">
        <v>0</v>
      </c>
      <c r="P96" s="5">
        <v>0</v>
      </c>
      <c r="Q96" s="5">
        <v>0</v>
      </c>
      <c r="R96" s="6">
        <v>0</v>
      </c>
      <c r="S96" s="5">
        <v>0</v>
      </c>
      <c r="T96" s="6">
        <v>14.16</v>
      </c>
      <c r="U96" s="7">
        <v>0.3</v>
      </c>
      <c r="V96" s="3"/>
      <c r="W96" s="3"/>
      <c r="X96" s="5">
        <v>0</v>
      </c>
      <c r="Y96" s="8">
        <v>0</v>
      </c>
      <c r="Z96" s="7">
        <v>4.7</v>
      </c>
      <c r="AA96" s="5">
        <v>21</v>
      </c>
      <c r="AB96" s="8">
        <v>0</v>
      </c>
      <c r="AC96" s="6">
        <v>0</v>
      </c>
      <c r="AD96" s="6">
        <v>58.86</v>
      </c>
      <c r="AE96" s="8">
        <v>0.2993</v>
      </c>
      <c r="AF96" s="8">
        <v>4.0153</v>
      </c>
      <c r="AG96" s="5">
        <v>0</v>
      </c>
      <c r="AH96" s="8">
        <v>0</v>
      </c>
      <c r="AI96" s="5">
        <v>25</v>
      </c>
      <c r="AJ96" s="5">
        <v>52</v>
      </c>
      <c r="AK96" s="5">
        <v>77</v>
      </c>
      <c r="AL96" s="5">
        <v>28</v>
      </c>
      <c r="AM96" s="5">
        <v>62</v>
      </c>
      <c r="AN96" s="5">
        <v>90</v>
      </c>
      <c r="AO96" s="8">
        <v>1</v>
      </c>
      <c r="AP96" s="8">
        <v>0.2338</v>
      </c>
      <c r="AQ96" s="8">
        <v>0.2338</v>
      </c>
      <c r="AR96" s="3"/>
      <c r="AS96" s="8">
        <v>0</v>
      </c>
      <c r="AT96" s="6">
        <v>0</v>
      </c>
      <c r="AU96" s="9">
        <v>0</v>
      </c>
      <c r="AV96" s="8">
        <v>0</v>
      </c>
      <c r="AW96" s="8">
        <v>0</v>
      </c>
      <c r="AX96" s="8">
        <v>0</v>
      </c>
      <c r="AY96" s="3"/>
      <c r="AZ96" s="6">
        <v>0</v>
      </c>
      <c r="BA96" s="6">
        <v>0</v>
      </c>
      <c r="BB96" s="5">
        <v>0</v>
      </c>
      <c r="BC96" s="8">
        <v>0</v>
      </c>
      <c r="BD96" s="8">
        <v>0</v>
      </c>
      <c r="BE96" s="5">
        <v>0</v>
      </c>
      <c r="BF96" s="5">
        <v>0</v>
      </c>
      <c r="BG96" s="3"/>
    </row>
    <row r="97" spans="1:59">
      <c r="A97" t="str">
        <f t="shared" si="1"/>
        <v>2022-09-25XXXX-222</v>
      </c>
      <c r="B97" s="3" t="s">
        <v>216</v>
      </c>
      <c r="C97" s="3" t="s">
        <v>176</v>
      </c>
      <c r="D97" s="3"/>
      <c r="E97" s="3" t="s">
        <v>24</v>
      </c>
      <c r="F97" s="3"/>
      <c r="G97" s="4">
        <v>14.99</v>
      </c>
      <c r="H97" s="5">
        <v>765</v>
      </c>
      <c r="I97" s="5">
        <v>0</v>
      </c>
      <c r="J97" s="5">
        <v>8</v>
      </c>
      <c r="K97" s="5">
        <v>8</v>
      </c>
      <c r="L97" s="6">
        <v>119.92</v>
      </c>
      <c r="M97" s="6">
        <v>119.92</v>
      </c>
      <c r="N97" s="5">
        <v>0</v>
      </c>
      <c r="O97" s="6">
        <v>0</v>
      </c>
      <c r="P97" s="5">
        <v>0</v>
      </c>
      <c r="Q97" s="5">
        <v>0</v>
      </c>
      <c r="R97" s="6">
        <v>0</v>
      </c>
      <c r="S97" s="5">
        <v>0</v>
      </c>
      <c r="T97" s="6">
        <v>14.99</v>
      </c>
      <c r="U97" s="7">
        <v>0.1</v>
      </c>
      <c r="V97" s="3"/>
      <c r="W97" s="3"/>
      <c r="X97" s="5">
        <v>0</v>
      </c>
      <c r="Y97" s="8">
        <v>0</v>
      </c>
      <c r="Z97" s="7">
        <v>4.7</v>
      </c>
      <c r="AA97" s="5">
        <v>21</v>
      </c>
      <c r="AB97" s="8">
        <v>0</v>
      </c>
      <c r="AC97" s="6">
        <v>0</v>
      </c>
      <c r="AD97" s="6">
        <v>70.2</v>
      </c>
      <c r="AE97" s="8">
        <v>0.3136</v>
      </c>
      <c r="AF97" s="8">
        <v>4.3104</v>
      </c>
      <c r="AG97" s="5">
        <v>0</v>
      </c>
      <c r="AH97" s="8">
        <v>0</v>
      </c>
      <c r="AI97" s="5">
        <v>28</v>
      </c>
      <c r="AJ97" s="5">
        <v>85</v>
      </c>
      <c r="AK97" s="5">
        <v>113</v>
      </c>
      <c r="AL97" s="5">
        <v>33</v>
      </c>
      <c r="AM97" s="5">
        <v>105</v>
      </c>
      <c r="AN97" s="5">
        <v>138</v>
      </c>
      <c r="AO97" s="8">
        <v>1</v>
      </c>
      <c r="AP97" s="8">
        <v>0.0708</v>
      </c>
      <c r="AQ97" s="8">
        <v>0.0708</v>
      </c>
      <c r="AR97" s="3"/>
      <c r="AS97" s="8">
        <v>0</v>
      </c>
      <c r="AT97" s="6">
        <v>0</v>
      </c>
      <c r="AU97" s="9">
        <v>0</v>
      </c>
      <c r="AV97" s="8">
        <v>0</v>
      </c>
      <c r="AW97" s="8">
        <v>0</v>
      </c>
      <c r="AX97" s="8">
        <v>0</v>
      </c>
      <c r="AY97" s="3"/>
      <c r="AZ97" s="6">
        <v>0</v>
      </c>
      <c r="BA97" s="6">
        <v>0</v>
      </c>
      <c r="BB97" s="5">
        <v>0</v>
      </c>
      <c r="BC97" s="8">
        <v>0</v>
      </c>
      <c r="BD97" s="8">
        <v>0</v>
      </c>
      <c r="BE97" s="5">
        <v>0</v>
      </c>
      <c r="BF97" s="5">
        <v>0</v>
      </c>
      <c r="BG97" s="3"/>
    </row>
    <row r="98" spans="1:59">
      <c r="A98" t="str">
        <f t="shared" si="1"/>
        <v>2022-09-26XXXX-222</v>
      </c>
      <c r="B98" s="3" t="s">
        <v>217</v>
      </c>
      <c r="C98" s="3" t="s">
        <v>176</v>
      </c>
      <c r="D98" s="3"/>
      <c r="E98" s="3" t="s">
        <v>24</v>
      </c>
      <c r="F98" s="3"/>
      <c r="G98" s="4">
        <v>14.99</v>
      </c>
      <c r="H98" s="5">
        <v>754</v>
      </c>
      <c r="I98" s="5">
        <v>0</v>
      </c>
      <c r="J98" s="5">
        <v>12</v>
      </c>
      <c r="K98" s="5">
        <v>12</v>
      </c>
      <c r="L98" s="6">
        <v>179.88</v>
      </c>
      <c r="M98" s="6">
        <v>179.88</v>
      </c>
      <c r="N98" s="5">
        <v>0</v>
      </c>
      <c r="O98" s="6">
        <v>0</v>
      </c>
      <c r="P98" s="5">
        <v>0</v>
      </c>
      <c r="Q98" s="5">
        <v>0</v>
      </c>
      <c r="R98" s="6">
        <v>0</v>
      </c>
      <c r="S98" s="5">
        <v>0</v>
      </c>
      <c r="T98" s="6">
        <v>14.99</v>
      </c>
      <c r="U98" s="7">
        <v>0.2</v>
      </c>
      <c r="V98" s="3"/>
      <c r="W98" s="3"/>
      <c r="X98" s="5">
        <v>0</v>
      </c>
      <c r="Y98" s="8">
        <v>0</v>
      </c>
      <c r="Z98" s="7">
        <v>4.7</v>
      </c>
      <c r="AA98" s="5">
        <v>22</v>
      </c>
      <c r="AB98" s="8">
        <v>0.0833</v>
      </c>
      <c r="AC98" s="6">
        <v>0</v>
      </c>
      <c r="AD98" s="6">
        <v>56.21</v>
      </c>
      <c r="AE98" s="8">
        <v>0.3409</v>
      </c>
      <c r="AF98" s="8">
        <v>4.3369</v>
      </c>
      <c r="AG98" s="5">
        <v>2</v>
      </c>
      <c r="AH98" s="8">
        <v>0.1667</v>
      </c>
      <c r="AI98" s="5">
        <v>25</v>
      </c>
      <c r="AJ98" s="5">
        <v>60</v>
      </c>
      <c r="AK98" s="5">
        <v>85</v>
      </c>
      <c r="AL98" s="5">
        <v>34</v>
      </c>
      <c r="AM98" s="5">
        <v>70</v>
      </c>
      <c r="AN98" s="5">
        <v>104</v>
      </c>
      <c r="AO98" s="8">
        <v>0.99</v>
      </c>
      <c r="AP98" s="8">
        <v>0.1412</v>
      </c>
      <c r="AQ98" s="8">
        <v>0.1412</v>
      </c>
      <c r="AR98" s="3"/>
      <c r="AS98" s="8">
        <v>0</v>
      </c>
      <c r="AT98" s="6">
        <v>0</v>
      </c>
      <c r="AU98" s="9">
        <v>0</v>
      </c>
      <c r="AV98" s="8">
        <v>0</v>
      </c>
      <c r="AW98" s="8">
        <v>0</v>
      </c>
      <c r="AX98" s="8">
        <v>0</v>
      </c>
      <c r="AY98" s="3"/>
      <c r="AZ98" s="6">
        <v>0</v>
      </c>
      <c r="BA98" s="6">
        <v>0</v>
      </c>
      <c r="BB98" s="5">
        <v>0</v>
      </c>
      <c r="BC98" s="8">
        <v>0</v>
      </c>
      <c r="BD98" s="8">
        <v>0</v>
      </c>
      <c r="BE98" s="5">
        <v>0</v>
      </c>
      <c r="BF98" s="5">
        <v>0</v>
      </c>
      <c r="BG98" s="3"/>
    </row>
    <row r="99" spans="1:59">
      <c r="A99" t="str">
        <f t="shared" si="1"/>
        <v>2022-09-27XXXX-222</v>
      </c>
      <c r="B99" s="3" t="s">
        <v>218</v>
      </c>
      <c r="C99" s="3" t="s">
        <v>176</v>
      </c>
      <c r="D99" s="3"/>
      <c r="E99" s="3" t="s">
        <v>24</v>
      </c>
      <c r="F99" s="3"/>
      <c r="G99" s="4">
        <v>14.99</v>
      </c>
      <c r="H99" s="5">
        <v>742</v>
      </c>
      <c r="I99" s="5">
        <v>0</v>
      </c>
      <c r="J99" s="5">
        <v>14</v>
      </c>
      <c r="K99" s="5">
        <v>14</v>
      </c>
      <c r="L99" s="6">
        <v>209.86</v>
      </c>
      <c r="M99" s="6">
        <v>209.86</v>
      </c>
      <c r="N99" s="5">
        <v>1</v>
      </c>
      <c r="O99" s="6">
        <v>14.99</v>
      </c>
      <c r="P99" s="5">
        <v>1</v>
      </c>
      <c r="Q99" s="5">
        <v>0</v>
      </c>
      <c r="R99" s="6">
        <v>0</v>
      </c>
      <c r="S99" s="5">
        <v>0</v>
      </c>
      <c r="T99" s="6">
        <v>14.99</v>
      </c>
      <c r="U99" s="7">
        <v>0.2</v>
      </c>
      <c r="V99" s="3"/>
      <c r="W99" s="3"/>
      <c r="X99" s="5">
        <v>0</v>
      </c>
      <c r="Y99" s="8">
        <v>0</v>
      </c>
      <c r="Z99" s="7">
        <v>4.7</v>
      </c>
      <c r="AA99" s="5">
        <v>22</v>
      </c>
      <c r="AB99" s="8">
        <v>0</v>
      </c>
      <c r="AC99" s="6">
        <v>0</v>
      </c>
      <c r="AD99" s="6">
        <v>87.57</v>
      </c>
      <c r="AE99" s="8">
        <v>0.3245</v>
      </c>
      <c r="AF99" s="8">
        <v>4.3104</v>
      </c>
      <c r="AG99" s="5">
        <v>0</v>
      </c>
      <c r="AH99" s="8">
        <v>0</v>
      </c>
      <c r="AI99" s="5">
        <v>16</v>
      </c>
      <c r="AJ99" s="5">
        <v>45</v>
      </c>
      <c r="AK99" s="5">
        <v>61</v>
      </c>
      <c r="AL99" s="5">
        <v>19</v>
      </c>
      <c r="AM99" s="5">
        <v>60</v>
      </c>
      <c r="AN99" s="5">
        <v>79</v>
      </c>
      <c r="AO99" s="8">
        <v>1</v>
      </c>
      <c r="AP99" s="8">
        <v>0.2295</v>
      </c>
      <c r="AQ99" s="8">
        <v>0.2295</v>
      </c>
      <c r="AR99" s="3"/>
      <c r="AS99" s="8">
        <v>0</v>
      </c>
      <c r="AT99" s="6">
        <v>0</v>
      </c>
      <c r="AU99" s="9">
        <v>0</v>
      </c>
      <c r="AV99" s="8">
        <v>0</v>
      </c>
      <c r="AW99" s="8">
        <v>0</v>
      </c>
      <c r="AX99" s="8">
        <v>0</v>
      </c>
      <c r="AY99" s="3"/>
      <c r="AZ99" s="6">
        <v>0</v>
      </c>
      <c r="BA99" s="6">
        <v>0</v>
      </c>
      <c r="BB99" s="5">
        <v>0</v>
      </c>
      <c r="BC99" s="8">
        <v>0</v>
      </c>
      <c r="BD99" s="8">
        <v>0</v>
      </c>
      <c r="BE99" s="5">
        <v>0</v>
      </c>
      <c r="BF99" s="5">
        <v>0</v>
      </c>
      <c r="BG99" s="3"/>
    </row>
    <row r="100" spans="1:59">
      <c r="A100" t="str">
        <f t="shared" si="1"/>
        <v>2022-09-28XXXX-222</v>
      </c>
      <c r="B100" s="3" t="s">
        <v>219</v>
      </c>
      <c r="C100" s="3" t="s">
        <v>176</v>
      </c>
      <c r="D100" s="3"/>
      <c r="E100" s="3" t="s">
        <v>24</v>
      </c>
      <c r="F100" s="3"/>
      <c r="G100" s="4">
        <v>14.99</v>
      </c>
      <c r="H100" s="5">
        <v>733</v>
      </c>
      <c r="I100" s="5">
        <v>0</v>
      </c>
      <c r="J100" s="5">
        <v>9</v>
      </c>
      <c r="K100" s="5">
        <v>9</v>
      </c>
      <c r="L100" s="6">
        <v>134.91</v>
      </c>
      <c r="M100" s="6">
        <v>134.91</v>
      </c>
      <c r="N100" s="5">
        <v>0</v>
      </c>
      <c r="O100" s="6">
        <v>0</v>
      </c>
      <c r="P100" s="5">
        <v>0</v>
      </c>
      <c r="Q100" s="5">
        <v>0</v>
      </c>
      <c r="R100" s="6">
        <v>0</v>
      </c>
      <c r="S100" s="5">
        <v>0</v>
      </c>
      <c r="T100" s="6">
        <v>14.99</v>
      </c>
      <c r="U100" s="7">
        <v>0.2</v>
      </c>
      <c r="V100" s="3"/>
      <c r="W100" s="3"/>
      <c r="X100" s="5">
        <v>0</v>
      </c>
      <c r="Y100" s="8">
        <v>0</v>
      </c>
      <c r="Z100" s="7">
        <v>4.7</v>
      </c>
      <c r="AA100" s="5">
        <v>22</v>
      </c>
      <c r="AB100" s="8">
        <v>0</v>
      </c>
      <c r="AC100" s="6">
        <v>0</v>
      </c>
      <c r="AD100" s="6">
        <v>52.91</v>
      </c>
      <c r="AE100" s="8">
        <v>0.3191</v>
      </c>
      <c r="AF100" s="8">
        <v>4.3104</v>
      </c>
      <c r="AG100" s="5">
        <v>0</v>
      </c>
      <c r="AH100" s="8">
        <v>0</v>
      </c>
      <c r="AI100" s="5">
        <v>22</v>
      </c>
      <c r="AJ100" s="5">
        <v>38</v>
      </c>
      <c r="AK100" s="5">
        <v>60</v>
      </c>
      <c r="AL100" s="5">
        <v>31</v>
      </c>
      <c r="AM100" s="5">
        <v>46</v>
      </c>
      <c r="AN100" s="5">
        <v>77</v>
      </c>
      <c r="AO100" s="8">
        <v>1</v>
      </c>
      <c r="AP100" s="8">
        <v>0.15</v>
      </c>
      <c r="AQ100" s="8">
        <v>0.15</v>
      </c>
      <c r="AR100" s="3"/>
      <c r="AS100" s="8">
        <v>0</v>
      </c>
      <c r="AT100" s="6">
        <v>0</v>
      </c>
      <c r="AU100" s="9">
        <v>0</v>
      </c>
      <c r="AV100" s="8">
        <v>0</v>
      </c>
      <c r="AW100" s="8">
        <v>0</v>
      </c>
      <c r="AX100" s="8">
        <v>0</v>
      </c>
      <c r="AY100" s="3"/>
      <c r="AZ100" s="6">
        <v>0</v>
      </c>
      <c r="BA100" s="6">
        <v>0</v>
      </c>
      <c r="BB100" s="5">
        <v>0</v>
      </c>
      <c r="BC100" s="8">
        <v>0</v>
      </c>
      <c r="BD100" s="8">
        <v>0</v>
      </c>
      <c r="BE100" s="5">
        <v>0</v>
      </c>
      <c r="BF100" s="5">
        <v>0</v>
      </c>
      <c r="BG100" s="3"/>
    </row>
    <row r="101" spans="1:59">
      <c r="A101" t="str">
        <f t="shared" si="1"/>
        <v>2022-09-29XXXX-222</v>
      </c>
      <c r="B101" s="3" t="s">
        <v>220</v>
      </c>
      <c r="C101" s="3" t="s">
        <v>176</v>
      </c>
      <c r="D101" s="3"/>
      <c r="E101" s="3" t="s">
        <v>24</v>
      </c>
      <c r="F101" s="3"/>
      <c r="G101" s="4">
        <v>14.99</v>
      </c>
      <c r="H101" s="5">
        <v>728</v>
      </c>
      <c r="I101" s="5">
        <v>0</v>
      </c>
      <c r="J101" s="5">
        <v>6</v>
      </c>
      <c r="K101" s="5">
        <v>6</v>
      </c>
      <c r="L101" s="6">
        <v>89.94</v>
      </c>
      <c r="M101" s="6">
        <v>64.44</v>
      </c>
      <c r="N101" s="5">
        <v>0</v>
      </c>
      <c r="O101" s="6">
        <v>0</v>
      </c>
      <c r="P101" s="5">
        <v>0</v>
      </c>
      <c r="Q101" s="5">
        <v>0</v>
      </c>
      <c r="R101" s="6">
        <v>0</v>
      </c>
      <c r="S101" s="5">
        <v>0</v>
      </c>
      <c r="T101" s="6">
        <v>10.74</v>
      </c>
      <c r="U101" s="7">
        <v>0.1</v>
      </c>
      <c r="V101" s="3"/>
      <c r="W101" s="3"/>
      <c r="X101" s="5">
        <v>2</v>
      </c>
      <c r="Y101" s="8">
        <v>0.3333</v>
      </c>
      <c r="Z101" s="7">
        <v>4.7</v>
      </c>
      <c r="AA101" s="5">
        <v>24</v>
      </c>
      <c r="AB101" s="8">
        <v>0</v>
      </c>
      <c r="AC101" s="6">
        <v>0</v>
      </c>
      <c r="AD101" s="6">
        <v>-1.39</v>
      </c>
      <c r="AE101" s="8">
        <v>-0.0186</v>
      </c>
      <c r="AF101" s="8">
        <v>4.3104</v>
      </c>
      <c r="AG101" s="5">
        <v>0</v>
      </c>
      <c r="AH101" s="8">
        <v>0</v>
      </c>
      <c r="AI101" s="5">
        <v>26</v>
      </c>
      <c r="AJ101" s="5">
        <v>43</v>
      </c>
      <c r="AK101" s="5">
        <v>69</v>
      </c>
      <c r="AL101" s="5">
        <v>36</v>
      </c>
      <c r="AM101" s="5">
        <v>53</v>
      </c>
      <c r="AN101" s="5">
        <v>89</v>
      </c>
      <c r="AO101" s="8">
        <v>1</v>
      </c>
      <c r="AP101" s="8">
        <v>0.087</v>
      </c>
      <c r="AQ101" s="8">
        <v>0.087</v>
      </c>
      <c r="AR101" s="3"/>
      <c r="AS101" s="8">
        <v>0</v>
      </c>
      <c r="AT101" s="6">
        <v>0</v>
      </c>
      <c r="AU101" s="9">
        <v>0</v>
      </c>
      <c r="AV101" s="8">
        <v>0</v>
      </c>
      <c r="AW101" s="8">
        <v>0</v>
      </c>
      <c r="AX101" s="8">
        <v>0</v>
      </c>
      <c r="AY101" s="3"/>
      <c r="AZ101" s="6">
        <v>0</v>
      </c>
      <c r="BA101" s="6">
        <v>0</v>
      </c>
      <c r="BB101" s="5">
        <v>0</v>
      </c>
      <c r="BC101" s="8">
        <v>0</v>
      </c>
      <c r="BD101" s="8">
        <v>0</v>
      </c>
      <c r="BE101" s="5">
        <v>0</v>
      </c>
      <c r="BF101" s="5">
        <v>0</v>
      </c>
      <c r="BG101" s="3"/>
    </row>
    <row r="102" spans="1:59">
      <c r="A102" t="str">
        <f t="shared" si="1"/>
        <v>2022-09-30XXXX-222</v>
      </c>
      <c r="B102" s="3" t="s">
        <v>221</v>
      </c>
      <c r="C102" s="3" t="s">
        <v>176</v>
      </c>
      <c r="D102" s="3"/>
      <c r="E102" s="3" t="s">
        <v>24</v>
      </c>
      <c r="F102" s="3"/>
      <c r="G102" s="4">
        <v>13.99</v>
      </c>
      <c r="H102" s="5">
        <v>716</v>
      </c>
      <c r="I102" s="5">
        <v>0</v>
      </c>
      <c r="J102" s="5">
        <v>10</v>
      </c>
      <c r="K102" s="5">
        <v>10</v>
      </c>
      <c r="L102" s="6">
        <v>139.9</v>
      </c>
      <c r="M102" s="6">
        <v>139.9</v>
      </c>
      <c r="N102" s="5">
        <v>0</v>
      </c>
      <c r="O102" s="6">
        <v>0</v>
      </c>
      <c r="P102" s="5">
        <v>0</v>
      </c>
      <c r="Q102" s="5">
        <v>0</v>
      </c>
      <c r="R102" s="6">
        <v>0</v>
      </c>
      <c r="S102" s="5">
        <v>0</v>
      </c>
      <c r="T102" s="6">
        <v>13.99</v>
      </c>
      <c r="U102" s="7">
        <v>0.2</v>
      </c>
      <c r="V102" s="3"/>
      <c r="W102" s="3"/>
      <c r="X102" s="5">
        <v>0</v>
      </c>
      <c r="Y102" s="8">
        <v>0</v>
      </c>
      <c r="Z102" s="7">
        <v>4.7</v>
      </c>
      <c r="AA102" s="5">
        <v>24</v>
      </c>
      <c r="AB102" s="8">
        <v>0</v>
      </c>
      <c r="AC102" s="6">
        <v>0</v>
      </c>
      <c r="AD102" s="6">
        <v>43.5</v>
      </c>
      <c r="AE102" s="8">
        <v>0.3023</v>
      </c>
      <c r="AF102" s="8">
        <v>3.9561</v>
      </c>
      <c r="AG102" s="5">
        <v>0</v>
      </c>
      <c r="AH102" s="8">
        <v>0</v>
      </c>
      <c r="AI102" s="5">
        <v>27</v>
      </c>
      <c r="AJ102" s="5">
        <v>42</v>
      </c>
      <c r="AK102" s="5">
        <v>69</v>
      </c>
      <c r="AL102" s="5">
        <v>34</v>
      </c>
      <c r="AM102" s="5">
        <v>51</v>
      </c>
      <c r="AN102" s="5">
        <v>85</v>
      </c>
      <c r="AO102" s="8">
        <v>1</v>
      </c>
      <c r="AP102" s="8">
        <v>0.1449</v>
      </c>
      <c r="AQ102" s="8">
        <v>0.1449</v>
      </c>
      <c r="AR102" s="3"/>
      <c r="AS102" s="8">
        <v>0</v>
      </c>
      <c r="AT102" s="6">
        <v>0</v>
      </c>
      <c r="AU102" s="9">
        <v>0</v>
      </c>
      <c r="AV102" s="8">
        <v>0</v>
      </c>
      <c r="AW102" s="8">
        <v>0</v>
      </c>
      <c r="AX102" s="8">
        <v>0</v>
      </c>
      <c r="AY102" s="3"/>
      <c r="AZ102" s="6">
        <v>0</v>
      </c>
      <c r="BA102" s="6">
        <v>0</v>
      </c>
      <c r="BB102" s="5">
        <v>0</v>
      </c>
      <c r="BC102" s="8">
        <v>0</v>
      </c>
      <c r="BD102" s="8">
        <v>0</v>
      </c>
      <c r="BE102" s="5">
        <v>0</v>
      </c>
      <c r="BF102" s="5">
        <v>0</v>
      </c>
      <c r="BG102" s="3"/>
    </row>
    <row r="103" spans="1:59">
      <c r="A103" t="str">
        <f t="shared" si="1"/>
        <v>2022-10-01XXXX-222</v>
      </c>
      <c r="B103" s="3" t="s">
        <v>222</v>
      </c>
      <c r="C103" s="3" t="s">
        <v>176</v>
      </c>
      <c r="D103" s="3"/>
      <c r="E103" s="3" t="s">
        <v>24</v>
      </c>
      <c r="F103" s="3"/>
      <c r="G103" s="4">
        <v>11.99</v>
      </c>
      <c r="H103" s="5">
        <v>685</v>
      </c>
      <c r="I103" s="5">
        <v>0</v>
      </c>
      <c r="J103" s="5">
        <v>36</v>
      </c>
      <c r="K103" s="5">
        <v>36</v>
      </c>
      <c r="L103" s="6">
        <v>431.64</v>
      </c>
      <c r="M103" s="6">
        <v>405.26</v>
      </c>
      <c r="N103" s="5">
        <v>0</v>
      </c>
      <c r="O103" s="6">
        <v>0</v>
      </c>
      <c r="P103" s="5">
        <v>0</v>
      </c>
      <c r="Q103" s="5">
        <v>0</v>
      </c>
      <c r="R103" s="6">
        <v>0</v>
      </c>
      <c r="S103" s="5">
        <v>0</v>
      </c>
      <c r="T103" s="6">
        <v>11.26</v>
      </c>
      <c r="U103" s="7">
        <v>0.6</v>
      </c>
      <c r="V103" s="3"/>
      <c r="W103" s="3"/>
      <c r="X103" s="5">
        <v>2</v>
      </c>
      <c r="Y103" s="8">
        <v>0.0556</v>
      </c>
      <c r="Z103" s="7">
        <v>4.7</v>
      </c>
      <c r="AA103" s="5">
        <v>24</v>
      </c>
      <c r="AB103" s="8">
        <v>0</v>
      </c>
      <c r="AC103" s="6">
        <v>0</v>
      </c>
      <c r="AD103" s="6">
        <v>29.65</v>
      </c>
      <c r="AE103" s="8">
        <v>0.1133</v>
      </c>
      <c r="AF103" s="8">
        <v>0.9272</v>
      </c>
      <c r="AG103" s="5">
        <v>0</v>
      </c>
      <c r="AH103" s="8">
        <v>0</v>
      </c>
      <c r="AI103" s="5">
        <v>41</v>
      </c>
      <c r="AJ103" s="5">
        <v>139</v>
      </c>
      <c r="AK103" s="5">
        <v>180</v>
      </c>
      <c r="AL103" s="5">
        <v>62</v>
      </c>
      <c r="AM103" s="5">
        <v>166</v>
      </c>
      <c r="AN103" s="5">
        <v>228</v>
      </c>
      <c r="AO103" s="8">
        <v>1</v>
      </c>
      <c r="AP103" s="8">
        <v>0.2</v>
      </c>
      <c r="AQ103" s="8">
        <v>0.2</v>
      </c>
      <c r="AR103" s="3"/>
      <c r="AS103" s="8">
        <v>0</v>
      </c>
      <c r="AT103" s="6">
        <v>0</v>
      </c>
      <c r="AU103" s="9">
        <v>0</v>
      </c>
      <c r="AV103" s="8">
        <v>0</v>
      </c>
      <c r="AW103" s="8">
        <v>0</v>
      </c>
      <c r="AX103" s="8">
        <v>0</v>
      </c>
      <c r="AY103" s="3"/>
      <c r="AZ103" s="6">
        <v>0</v>
      </c>
      <c r="BA103" s="6">
        <v>0</v>
      </c>
      <c r="BB103" s="5">
        <v>0</v>
      </c>
      <c r="BC103" s="8">
        <v>0</v>
      </c>
      <c r="BD103" s="8">
        <v>0</v>
      </c>
      <c r="BE103" s="5">
        <v>0</v>
      </c>
      <c r="BF103" s="5">
        <v>0</v>
      </c>
      <c r="BG103" s="3"/>
    </row>
    <row r="104" spans="1:59">
      <c r="A104" t="str">
        <f t="shared" si="1"/>
        <v>2022-10-02XXXX-222</v>
      </c>
      <c r="B104" s="3" t="s">
        <v>223</v>
      </c>
      <c r="C104" s="3" t="s">
        <v>176</v>
      </c>
      <c r="D104" s="3"/>
      <c r="E104" s="3" t="s">
        <v>24</v>
      </c>
      <c r="F104" s="3"/>
      <c r="G104" s="4">
        <v>11.99</v>
      </c>
      <c r="H104" s="5">
        <v>644</v>
      </c>
      <c r="I104" s="5">
        <v>0</v>
      </c>
      <c r="J104" s="5">
        <v>40</v>
      </c>
      <c r="K104" s="5">
        <v>39</v>
      </c>
      <c r="L104" s="6">
        <v>479.6</v>
      </c>
      <c r="M104" s="6">
        <v>479.6</v>
      </c>
      <c r="N104" s="5">
        <v>1</v>
      </c>
      <c r="O104" s="6">
        <v>11.99</v>
      </c>
      <c r="P104" s="5">
        <v>1</v>
      </c>
      <c r="Q104" s="5">
        <v>0</v>
      </c>
      <c r="R104" s="6">
        <v>0</v>
      </c>
      <c r="S104" s="5">
        <v>0</v>
      </c>
      <c r="T104" s="6">
        <v>11.99</v>
      </c>
      <c r="U104" s="7">
        <v>0.7</v>
      </c>
      <c r="V104" s="3"/>
      <c r="W104" s="3"/>
      <c r="X104" s="5">
        <v>0</v>
      </c>
      <c r="Y104" s="8">
        <v>0</v>
      </c>
      <c r="Z104" s="7">
        <v>4.7</v>
      </c>
      <c r="AA104" s="5">
        <v>24</v>
      </c>
      <c r="AB104" s="8">
        <v>0.0256</v>
      </c>
      <c r="AC104" s="6">
        <v>0</v>
      </c>
      <c r="AD104" s="6">
        <v>46.3</v>
      </c>
      <c r="AE104" s="8">
        <v>0.201</v>
      </c>
      <c r="AF104" s="8">
        <v>0.9273</v>
      </c>
      <c r="AG104" s="5">
        <v>0</v>
      </c>
      <c r="AH104" s="8">
        <v>0</v>
      </c>
      <c r="AI104" s="5">
        <v>60</v>
      </c>
      <c r="AJ104" s="5">
        <v>161</v>
      </c>
      <c r="AK104" s="5">
        <v>221</v>
      </c>
      <c r="AL104" s="5">
        <v>80</v>
      </c>
      <c r="AM104" s="5">
        <v>203</v>
      </c>
      <c r="AN104" s="5">
        <v>283</v>
      </c>
      <c r="AO104" s="8">
        <v>1</v>
      </c>
      <c r="AP104" s="8">
        <v>0.1765</v>
      </c>
      <c r="AQ104" s="8">
        <v>0.181</v>
      </c>
      <c r="AR104" s="3"/>
      <c r="AS104" s="8">
        <v>0</v>
      </c>
      <c r="AT104" s="6">
        <v>0</v>
      </c>
      <c r="AU104" s="9">
        <v>0</v>
      </c>
      <c r="AV104" s="8">
        <v>0</v>
      </c>
      <c r="AW104" s="8">
        <v>0</v>
      </c>
      <c r="AX104" s="8">
        <v>0</v>
      </c>
      <c r="AY104" s="3"/>
      <c r="AZ104" s="6">
        <v>0</v>
      </c>
      <c r="BA104" s="6">
        <v>0</v>
      </c>
      <c r="BB104" s="5">
        <v>0</v>
      </c>
      <c r="BC104" s="8">
        <v>0</v>
      </c>
      <c r="BD104" s="8">
        <v>0</v>
      </c>
      <c r="BE104" s="5">
        <v>0</v>
      </c>
      <c r="BF104" s="5">
        <v>0</v>
      </c>
      <c r="BG104" s="3"/>
    </row>
    <row r="105" spans="1:59">
      <c r="A105" t="str">
        <f t="shared" si="1"/>
        <v>2022-10-03XXXX-222</v>
      </c>
      <c r="B105" s="3" t="s">
        <v>224</v>
      </c>
      <c r="C105" s="3" t="s">
        <v>176</v>
      </c>
      <c r="D105" s="3"/>
      <c r="E105" s="3" t="s">
        <v>24</v>
      </c>
      <c r="F105" s="3"/>
      <c r="G105" s="4">
        <v>13.99</v>
      </c>
      <c r="H105" s="5">
        <v>611</v>
      </c>
      <c r="I105" s="5">
        <v>0</v>
      </c>
      <c r="J105" s="5">
        <v>23</v>
      </c>
      <c r="K105" s="5">
        <v>23</v>
      </c>
      <c r="L105" s="6">
        <v>319.77</v>
      </c>
      <c r="M105" s="6">
        <v>319.77</v>
      </c>
      <c r="N105" s="5">
        <v>0</v>
      </c>
      <c r="O105" s="6">
        <v>0</v>
      </c>
      <c r="P105" s="5">
        <v>0</v>
      </c>
      <c r="Q105" s="5">
        <v>0</v>
      </c>
      <c r="R105" s="6">
        <v>0</v>
      </c>
      <c r="S105" s="5">
        <v>0</v>
      </c>
      <c r="T105" s="6">
        <v>13.9</v>
      </c>
      <c r="U105" s="7">
        <v>0.4</v>
      </c>
      <c r="V105" s="3"/>
      <c r="W105" s="3"/>
      <c r="X105" s="5">
        <v>0</v>
      </c>
      <c r="Y105" s="8">
        <v>0</v>
      </c>
      <c r="Z105" s="7">
        <v>4.7</v>
      </c>
      <c r="AA105" s="5">
        <v>24</v>
      </c>
      <c r="AB105" s="8">
        <v>0</v>
      </c>
      <c r="AC105" s="6">
        <v>0</v>
      </c>
      <c r="AD105" s="6">
        <v>103.22</v>
      </c>
      <c r="AE105" s="8">
        <v>0.2291</v>
      </c>
      <c r="AF105" s="8">
        <v>1.5032</v>
      </c>
      <c r="AG105" s="5">
        <v>0</v>
      </c>
      <c r="AH105" s="8">
        <v>0</v>
      </c>
      <c r="AI105" s="5">
        <v>44</v>
      </c>
      <c r="AJ105" s="5">
        <v>82</v>
      </c>
      <c r="AK105" s="5">
        <v>126</v>
      </c>
      <c r="AL105" s="5">
        <v>56</v>
      </c>
      <c r="AM105" s="5">
        <v>104</v>
      </c>
      <c r="AN105" s="5">
        <v>160</v>
      </c>
      <c r="AO105" s="8">
        <v>0.99</v>
      </c>
      <c r="AP105" s="8">
        <v>0.1825</v>
      </c>
      <c r="AQ105" s="8">
        <v>0.1825</v>
      </c>
      <c r="AR105" s="3"/>
      <c r="AS105" s="8">
        <v>0</v>
      </c>
      <c r="AT105" s="6">
        <v>0</v>
      </c>
      <c r="AU105" s="9">
        <v>0</v>
      </c>
      <c r="AV105" s="8">
        <v>0</v>
      </c>
      <c r="AW105" s="8">
        <v>0</v>
      </c>
      <c r="AX105" s="8">
        <v>0</v>
      </c>
      <c r="AY105" s="3"/>
      <c r="AZ105" s="6">
        <v>0</v>
      </c>
      <c r="BA105" s="6">
        <v>0</v>
      </c>
      <c r="BB105" s="5">
        <v>0</v>
      </c>
      <c r="BC105" s="8">
        <v>0</v>
      </c>
      <c r="BD105" s="8">
        <v>0</v>
      </c>
      <c r="BE105" s="5">
        <v>0</v>
      </c>
      <c r="BF105" s="5">
        <v>0</v>
      </c>
      <c r="BG105" s="3"/>
    </row>
    <row r="106" spans="1:59">
      <c r="A106" t="str">
        <f t="shared" si="1"/>
        <v>2022-10-04XXXX-222</v>
      </c>
      <c r="B106" s="3" t="s">
        <v>225</v>
      </c>
      <c r="C106" s="3" t="s">
        <v>176</v>
      </c>
      <c r="D106" s="3"/>
      <c r="E106" s="3" t="s">
        <v>24</v>
      </c>
      <c r="F106" s="3"/>
      <c r="G106" s="4">
        <v>13.99</v>
      </c>
      <c r="H106" s="5">
        <v>601</v>
      </c>
      <c r="I106" s="5">
        <v>0</v>
      </c>
      <c r="J106" s="5">
        <v>18</v>
      </c>
      <c r="K106" s="5">
        <v>18</v>
      </c>
      <c r="L106" s="6">
        <v>251.82</v>
      </c>
      <c r="M106" s="6">
        <v>238.63</v>
      </c>
      <c r="N106" s="5">
        <v>1</v>
      </c>
      <c r="O106" s="6">
        <v>13.99</v>
      </c>
      <c r="P106" s="5">
        <v>1</v>
      </c>
      <c r="Q106" s="5">
        <v>0</v>
      </c>
      <c r="R106" s="6">
        <v>0</v>
      </c>
      <c r="S106" s="5">
        <v>0</v>
      </c>
      <c r="T106" s="6">
        <v>13.26</v>
      </c>
      <c r="U106" s="7">
        <v>0.3</v>
      </c>
      <c r="V106" s="3"/>
      <c r="W106" s="3"/>
      <c r="X106" s="5">
        <v>1</v>
      </c>
      <c r="Y106" s="8">
        <v>0.0556</v>
      </c>
      <c r="Z106" s="7">
        <v>4.5</v>
      </c>
      <c r="AA106" s="5">
        <v>28</v>
      </c>
      <c r="AB106" s="8">
        <v>0</v>
      </c>
      <c r="AC106" s="6">
        <v>0</v>
      </c>
      <c r="AD106" s="6">
        <v>61.2</v>
      </c>
      <c r="AE106" s="8">
        <v>0.1992</v>
      </c>
      <c r="AF106" s="8">
        <v>1.5294</v>
      </c>
      <c r="AG106" s="5">
        <v>1</v>
      </c>
      <c r="AH106" s="8">
        <v>0.0556</v>
      </c>
      <c r="AI106" s="5">
        <v>43</v>
      </c>
      <c r="AJ106" s="5">
        <v>76</v>
      </c>
      <c r="AK106" s="5">
        <v>119</v>
      </c>
      <c r="AL106" s="5">
        <v>57</v>
      </c>
      <c r="AM106" s="5">
        <v>97</v>
      </c>
      <c r="AN106" s="5">
        <v>154</v>
      </c>
      <c r="AO106" s="8">
        <v>1</v>
      </c>
      <c r="AP106" s="8">
        <v>0.1513</v>
      </c>
      <c r="AQ106" s="8">
        <v>0.1513</v>
      </c>
      <c r="AR106" s="3"/>
      <c r="AS106" s="8">
        <v>0</v>
      </c>
      <c r="AT106" s="6">
        <v>0</v>
      </c>
      <c r="AU106" s="9">
        <v>0</v>
      </c>
      <c r="AV106" s="8">
        <v>0</v>
      </c>
      <c r="AW106" s="8">
        <v>0</v>
      </c>
      <c r="AX106" s="8">
        <v>0</v>
      </c>
      <c r="AY106" s="3"/>
      <c r="AZ106" s="6">
        <v>0</v>
      </c>
      <c r="BA106" s="6">
        <v>0</v>
      </c>
      <c r="BB106" s="5">
        <v>0</v>
      </c>
      <c r="BC106" s="8">
        <v>0</v>
      </c>
      <c r="BD106" s="8">
        <v>0</v>
      </c>
      <c r="BE106" s="5">
        <v>0</v>
      </c>
      <c r="BF106" s="5">
        <v>0</v>
      </c>
      <c r="BG106" s="3"/>
    </row>
    <row r="107" spans="1:59">
      <c r="A107" t="str">
        <f t="shared" si="1"/>
        <v>2022-10-05XXXX-222</v>
      </c>
      <c r="B107" s="3" t="s">
        <v>226</v>
      </c>
      <c r="C107" s="3" t="s">
        <v>176</v>
      </c>
      <c r="D107" s="3"/>
      <c r="E107" s="3" t="s">
        <v>24</v>
      </c>
      <c r="F107" s="3"/>
      <c r="G107" s="4">
        <v>13.99</v>
      </c>
      <c r="H107" s="5">
        <v>574</v>
      </c>
      <c r="I107" s="5">
        <v>0</v>
      </c>
      <c r="J107" s="5">
        <v>26</v>
      </c>
      <c r="K107" s="5">
        <v>26</v>
      </c>
      <c r="L107" s="6">
        <v>363.74</v>
      </c>
      <c r="M107" s="6">
        <v>363.74</v>
      </c>
      <c r="N107" s="5">
        <v>4</v>
      </c>
      <c r="O107" s="6">
        <v>55.96</v>
      </c>
      <c r="P107" s="5">
        <v>4</v>
      </c>
      <c r="Q107" s="5">
        <v>0</v>
      </c>
      <c r="R107" s="6">
        <v>0</v>
      </c>
      <c r="S107" s="5">
        <v>0</v>
      </c>
      <c r="T107" s="6">
        <v>13.99</v>
      </c>
      <c r="U107" s="7">
        <v>0.5</v>
      </c>
      <c r="V107" s="3"/>
      <c r="W107" s="3"/>
      <c r="X107" s="5">
        <v>0</v>
      </c>
      <c r="Y107" s="8">
        <v>0</v>
      </c>
      <c r="Z107" s="7">
        <v>4.5</v>
      </c>
      <c r="AA107" s="5">
        <v>28</v>
      </c>
      <c r="AB107" s="8">
        <v>0.0385</v>
      </c>
      <c r="AC107" s="6">
        <v>0</v>
      </c>
      <c r="AD107" s="6">
        <v>90.89</v>
      </c>
      <c r="AE107" s="8">
        <v>0.286</v>
      </c>
      <c r="AF107" s="8">
        <v>1.5294</v>
      </c>
      <c r="AG107" s="5">
        <v>0</v>
      </c>
      <c r="AH107" s="8">
        <v>0</v>
      </c>
      <c r="AI107" s="5">
        <v>50</v>
      </c>
      <c r="AJ107" s="5">
        <v>67</v>
      </c>
      <c r="AK107" s="5">
        <v>117</v>
      </c>
      <c r="AL107" s="5">
        <v>68</v>
      </c>
      <c r="AM107" s="5">
        <v>77</v>
      </c>
      <c r="AN107" s="5">
        <v>145</v>
      </c>
      <c r="AO107" s="8">
        <v>0.99</v>
      </c>
      <c r="AP107" s="8">
        <v>0.2222</v>
      </c>
      <c r="AQ107" s="8">
        <v>0.2222</v>
      </c>
      <c r="AR107" s="3"/>
      <c r="AS107" s="8">
        <v>0</v>
      </c>
      <c r="AT107" s="6">
        <v>0</v>
      </c>
      <c r="AU107" s="9">
        <v>0</v>
      </c>
      <c r="AV107" s="8">
        <v>0</v>
      </c>
      <c r="AW107" s="8">
        <v>0</v>
      </c>
      <c r="AX107" s="8">
        <v>0</v>
      </c>
      <c r="AY107" s="3"/>
      <c r="AZ107" s="6">
        <v>0</v>
      </c>
      <c r="BA107" s="6">
        <v>0</v>
      </c>
      <c r="BB107" s="5">
        <v>0</v>
      </c>
      <c r="BC107" s="8">
        <v>0</v>
      </c>
      <c r="BD107" s="8">
        <v>0</v>
      </c>
      <c r="BE107" s="5">
        <v>0</v>
      </c>
      <c r="BF107" s="5">
        <v>0</v>
      </c>
      <c r="BG107" s="3"/>
    </row>
    <row r="108" spans="1:59">
      <c r="A108" t="str">
        <f t="shared" si="1"/>
        <v>2022-10-06XXXX-222</v>
      </c>
      <c r="B108" s="3" t="s">
        <v>227</v>
      </c>
      <c r="C108" s="3" t="s">
        <v>176</v>
      </c>
      <c r="D108" s="3"/>
      <c r="E108" s="3" t="s">
        <v>24</v>
      </c>
      <c r="F108" s="3"/>
      <c r="G108" s="4">
        <v>11.99</v>
      </c>
      <c r="H108" s="5">
        <v>562</v>
      </c>
      <c r="I108" s="5">
        <v>0</v>
      </c>
      <c r="J108" s="5">
        <v>22</v>
      </c>
      <c r="K108" s="5">
        <v>21</v>
      </c>
      <c r="L108" s="6">
        <v>263.78</v>
      </c>
      <c r="M108" s="6">
        <v>263.78</v>
      </c>
      <c r="N108" s="5">
        <v>0</v>
      </c>
      <c r="O108" s="6">
        <v>0</v>
      </c>
      <c r="P108" s="5">
        <v>0</v>
      </c>
      <c r="Q108" s="5">
        <v>0</v>
      </c>
      <c r="R108" s="6">
        <v>0</v>
      </c>
      <c r="S108" s="5">
        <v>0</v>
      </c>
      <c r="T108" s="6">
        <v>11.99</v>
      </c>
      <c r="U108" s="7">
        <v>0.4</v>
      </c>
      <c r="V108" s="3"/>
      <c r="W108" s="3"/>
      <c r="X108" s="5">
        <v>0</v>
      </c>
      <c r="Y108" s="8">
        <v>0</v>
      </c>
      <c r="Z108" s="7">
        <v>4.5</v>
      </c>
      <c r="AA108" s="5">
        <v>28</v>
      </c>
      <c r="AB108" s="8">
        <v>0</v>
      </c>
      <c r="AC108" s="6">
        <v>0</v>
      </c>
      <c r="AD108" s="6">
        <v>93.75</v>
      </c>
      <c r="AE108" s="8">
        <v>0.2606</v>
      </c>
      <c r="AF108" s="8">
        <v>0.9273</v>
      </c>
      <c r="AG108" s="5">
        <v>0</v>
      </c>
      <c r="AH108" s="8">
        <v>0</v>
      </c>
      <c r="AI108" s="5">
        <v>38</v>
      </c>
      <c r="AJ108" s="5">
        <v>77</v>
      </c>
      <c r="AK108" s="5">
        <v>115</v>
      </c>
      <c r="AL108" s="5">
        <v>51</v>
      </c>
      <c r="AM108" s="5">
        <v>89</v>
      </c>
      <c r="AN108" s="5">
        <v>140</v>
      </c>
      <c r="AO108" s="8">
        <v>0.99</v>
      </c>
      <c r="AP108" s="8">
        <v>0.1826</v>
      </c>
      <c r="AQ108" s="8">
        <v>0.1913</v>
      </c>
      <c r="AR108" s="3"/>
      <c r="AS108" s="8">
        <v>0</v>
      </c>
      <c r="AT108" s="6">
        <v>0</v>
      </c>
      <c r="AU108" s="9">
        <v>0</v>
      </c>
      <c r="AV108" s="8">
        <v>0</v>
      </c>
      <c r="AW108" s="8">
        <v>0</v>
      </c>
      <c r="AX108" s="8">
        <v>0</v>
      </c>
      <c r="AY108" s="3"/>
      <c r="AZ108" s="6">
        <v>0</v>
      </c>
      <c r="BA108" s="6">
        <v>0</v>
      </c>
      <c r="BB108" s="5">
        <v>0</v>
      </c>
      <c r="BC108" s="8">
        <v>0</v>
      </c>
      <c r="BD108" s="8">
        <v>0</v>
      </c>
      <c r="BE108" s="5">
        <v>0</v>
      </c>
      <c r="BF108" s="5">
        <v>0</v>
      </c>
      <c r="BG108" s="3"/>
    </row>
    <row r="109" spans="1:59">
      <c r="A109" t="str">
        <f t="shared" si="1"/>
        <v>2022-10-07XXXX-222</v>
      </c>
      <c r="B109" s="3" t="s">
        <v>228</v>
      </c>
      <c r="C109" s="3" t="s">
        <v>176</v>
      </c>
      <c r="D109" s="3"/>
      <c r="E109" s="3" t="s">
        <v>24</v>
      </c>
      <c r="F109" s="3"/>
      <c r="G109" s="4">
        <v>11.99</v>
      </c>
      <c r="H109" s="5">
        <v>541</v>
      </c>
      <c r="I109" s="5">
        <v>0</v>
      </c>
      <c r="J109" s="5">
        <v>12</v>
      </c>
      <c r="K109" s="5">
        <v>12</v>
      </c>
      <c r="L109" s="6">
        <v>143.88</v>
      </c>
      <c r="M109" s="6">
        <v>143.88</v>
      </c>
      <c r="N109" s="5">
        <v>0</v>
      </c>
      <c r="O109" s="6">
        <v>0</v>
      </c>
      <c r="P109" s="5">
        <v>0</v>
      </c>
      <c r="Q109" s="5">
        <v>0</v>
      </c>
      <c r="R109" s="6">
        <v>0</v>
      </c>
      <c r="S109" s="5">
        <v>0</v>
      </c>
      <c r="T109" s="6">
        <v>11.99</v>
      </c>
      <c r="U109" s="7">
        <v>0.2</v>
      </c>
      <c r="V109" s="3"/>
      <c r="W109" s="3"/>
      <c r="X109" s="5">
        <v>0</v>
      </c>
      <c r="Y109" s="8">
        <v>0</v>
      </c>
      <c r="Z109" s="7">
        <v>4.4</v>
      </c>
      <c r="AA109" s="5">
        <v>30</v>
      </c>
      <c r="AB109" s="8">
        <v>0</v>
      </c>
      <c r="AC109" s="6">
        <v>0</v>
      </c>
      <c r="AD109" s="6">
        <v>48.16</v>
      </c>
      <c r="AE109" s="8">
        <v>0.2252</v>
      </c>
      <c r="AF109" s="8">
        <v>0.9272</v>
      </c>
      <c r="AG109" s="5">
        <v>0</v>
      </c>
      <c r="AH109" s="8">
        <v>0</v>
      </c>
      <c r="AI109" s="5">
        <v>27</v>
      </c>
      <c r="AJ109" s="5">
        <v>69</v>
      </c>
      <c r="AK109" s="5">
        <v>96</v>
      </c>
      <c r="AL109" s="5">
        <v>32</v>
      </c>
      <c r="AM109" s="5">
        <v>90</v>
      </c>
      <c r="AN109" s="5">
        <v>122</v>
      </c>
      <c r="AO109" s="8">
        <v>0.99</v>
      </c>
      <c r="AP109" s="8">
        <v>0.125</v>
      </c>
      <c r="AQ109" s="8">
        <v>0.125</v>
      </c>
      <c r="AR109" s="3"/>
      <c r="AS109" s="8">
        <v>0</v>
      </c>
      <c r="AT109" s="6">
        <v>0</v>
      </c>
      <c r="AU109" s="9">
        <v>0</v>
      </c>
      <c r="AV109" s="8">
        <v>0</v>
      </c>
      <c r="AW109" s="8">
        <v>0</v>
      </c>
      <c r="AX109" s="8">
        <v>0</v>
      </c>
      <c r="AY109" s="3"/>
      <c r="AZ109" s="6">
        <v>0</v>
      </c>
      <c r="BA109" s="6">
        <v>0</v>
      </c>
      <c r="BB109" s="5">
        <v>0</v>
      </c>
      <c r="BC109" s="8">
        <v>0</v>
      </c>
      <c r="BD109" s="8">
        <v>0</v>
      </c>
      <c r="BE109" s="5">
        <v>0</v>
      </c>
      <c r="BF109" s="5">
        <v>0</v>
      </c>
      <c r="BG109" s="3"/>
    </row>
    <row r="110" spans="1:59">
      <c r="A110" t="str">
        <f t="shared" si="1"/>
        <v>2022-10-08XXXX-222</v>
      </c>
      <c r="B110" s="3" t="s">
        <v>229</v>
      </c>
      <c r="C110" s="3" t="s">
        <v>176</v>
      </c>
      <c r="D110" s="3"/>
      <c r="E110" s="3" t="s">
        <v>24</v>
      </c>
      <c r="F110" s="3"/>
      <c r="G110" s="4">
        <v>11.99</v>
      </c>
      <c r="H110" s="5">
        <v>524</v>
      </c>
      <c r="I110" s="5">
        <v>0</v>
      </c>
      <c r="J110" s="5">
        <v>20</v>
      </c>
      <c r="K110" s="5">
        <v>20</v>
      </c>
      <c r="L110" s="6">
        <v>239.8</v>
      </c>
      <c r="M110" s="6">
        <v>229.25</v>
      </c>
      <c r="N110" s="5">
        <v>0</v>
      </c>
      <c r="O110" s="6">
        <v>0</v>
      </c>
      <c r="P110" s="5">
        <v>0</v>
      </c>
      <c r="Q110" s="5">
        <v>0</v>
      </c>
      <c r="R110" s="6">
        <v>0</v>
      </c>
      <c r="S110" s="5">
        <v>0</v>
      </c>
      <c r="T110" s="6">
        <v>11.46</v>
      </c>
      <c r="U110" s="7">
        <v>0.4</v>
      </c>
      <c r="V110" s="3"/>
      <c r="W110" s="3"/>
      <c r="X110" s="5">
        <v>1</v>
      </c>
      <c r="Y110" s="8">
        <v>0.05</v>
      </c>
      <c r="Z110" s="7">
        <v>4.4</v>
      </c>
      <c r="AA110" s="5">
        <v>30</v>
      </c>
      <c r="AB110" s="8">
        <v>0</v>
      </c>
      <c r="AC110" s="6">
        <v>0</v>
      </c>
      <c r="AD110" s="6">
        <v>32.08</v>
      </c>
      <c r="AE110" s="8">
        <v>0.1486</v>
      </c>
      <c r="AF110" s="8">
        <v>0.9272</v>
      </c>
      <c r="AG110" s="5">
        <v>0</v>
      </c>
      <c r="AH110" s="8">
        <v>0</v>
      </c>
      <c r="AI110" s="5">
        <v>43</v>
      </c>
      <c r="AJ110" s="5">
        <v>91</v>
      </c>
      <c r="AK110" s="5">
        <v>134</v>
      </c>
      <c r="AL110" s="5">
        <v>52</v>
      </c>
      <c r="AM110" s="5">
        <v>112</v>
      </c>
      <c r="AN110" s="5">
        <v>164</v>
      </c>
      <c r="AO110" s="8">
        <v>1</v>
      </c>
      <c r="AP110" s="8">
        <v>0.1493</v>
      </c>
      <c r="AQ110" s="8">
        <v>0.1493</v>
      </c>
      <c r="AR110" s="3"/>
      <c r="AS110" s="8">
        <v>0</v>
      </c>
      <c r="AT110" s="6">
        <v>0</v>
      </c>
      <c r="AU110" s="9">
        <v>0</v>
      </c>
      <c r="AV110" s="8">
        <v>0</v>
      </c>
      <c r="AW110" s="8">
        <v>0</v>
      </c>
      <c r="AX110" s="8">
        <v>0</v>
      </c>
      <c r="AY110" s="3"/>
      <c r="AZ110" s="6">
        <v>0</v>
      </c>
      <c r="BA110" s="6">
        <v>0</v>
      </c>
      <c r="BB110" s="5">
        <v>0</v>
      </c>
      <c r="BC110" s="8">
        <v>0</v>
      </c>
      <c r="BD110" s="8">
        <v>0</v>
      </c>
      <c r="BE110" s="5">
        <v>0</v>
      </c>
      <c r="BF110" s="5">
        <v>0</v>
      </c>
      <c r="BG110" s="3"/>
    </row>
    <row r="111" spans="1:59">
      <c r="A111" t="str">
        <f t="shared" si="1"/>
        <v>2022-10-09XXXX-222</v>
      </c>
      <c r="B111" s="3" t="s">
        <v>230</v>
      </c>
      <c r="C111" s="3" t="s">
        <v>176</v>
      </c>
      <c r="D111" s="3"/>
      <c r="E111" s="3" t="s">
        <v>24</v>
      </c>
      <c r="F111" s="3"/>
      <c r="G111" s="4">
        <v>11.99</v>
      </c>
      <c r="H111" s="5">
        <v>504</v>
      </c>
      <c r="I111" s="5">
        <v>0</v>
      </c>
      <c r="J111" s="5">
        <v>24</v>
      </c>
      <c r="K111" s="5">
        <v>24</v>
      </c>
      <c r="L111" s="6">
        <v>273.76</v>
      </c>
      <c r="M111" s="6">
        <v>273.76</v>
      </c>
      <c r="N111" s="5">
        <v>0</v>
      </c>
      <c r="O111" s="6">
        <v>0</v>
      </c>
      <c r="P111" s="5">
        <v>0</v>
      </c>
      <c r="Q111" s="5">
        <v>0</v>
      </c>
      <c r="R111" s="6">
        <v>0</v>
      </c>
      <c r="S111" s="5">
        <v>0</v>
      </c>
      <c r="T111" s="6">
        <v>11.41</v>
      </c>
      <c r="U111" s="7">
        <v>0.4</v>
      </c>
      <c r="V111" s="3"/>
      <c r="W111" s="3"/>
      <c r="X111" s="5">
        <v>0</v>
      </c>
      <c r="Y111" s="8">
        <v>0</v>
      </c>
      <c r="Z111" s="7">
        <v>4.4</v>
      </c>
      <c r="AA111" s="5">
        <v>30</v>
      </c>
      <c r="AB111" s="8">
        <v>0</v>
      </c>
      <c r="AC111" s="6">
        <v>0</v>
      </c>
      <c r="AD111" s="6">
        <v>48.74</v>
      </c>
      <c r="AE111" s="8">
        <v>0.1983</v>
      </c>
      <c r="AF111" s="8">
        <v>0.7515</v>
      </c>
      <c r="AG111" s="5">
        <v>0</v>
      </c>
      <c r="AH111" s="8">
        <v>0</v>
      </c>
      <c r="AI111" s="5">
        <v>41</v>
      </c>
      <c r="AJ111" s="5">
        <v>91</v>
      </c>
      <c r="AK111" s="5">
        <v>132</v>
      </c>
      <c r="AL111" s="5">
        <v>56</v>
      </c>
      <c r="AM111" s="5">
        <v>119</v>
      </c>
      <c r="AN111" s="5">
        <v>175</v>
      </c>
      <c r="AO111" s="8">
        <v>1</v>
      </c>
      <c r="AP111" s="8">
        <v>0.1818</v>
      </c>
      <c r="AQ111" s="8">
        <v>0.1818</v>
      </c>
      <c r="AR111" s="3"/>
      <c r="AS111" s="8">
        <v>0</v>
      </c>
      <c r="AT111" s="6">
        <v>0</v>
      </c>
      <c r="AU111" s="9">
        <v>0</v>
      </c>
      <c r="AV111" s="8">
        <v>0</v>
      </c>
      <c r="AW111" s="8">
        <v>0</v>
      </c>
      <c r="AX111" s="8">
        <v>0</v>
      </c>
      <c r="AY111" s="3"/>
      <c r="AZ111" s="6">
        <v>0</v>
      </c>
      <c r="BA111" s="6">
        <v>0</v>
      </c>
      <c r="BB111" s="5">
        <v>0</v>
      </c>
      <c r="BC111" s="8">
        <v>0</v>
      </c>
      <c r="BD111" s="8">
        <v>0</v>
      </c>
      <c r="BE111" s="5">
        <v>0</v>
      </c>
      <c r="BF111" s="5">
        <v>0</v>
      </c>
      <c r="BG111" s="3"/>
    </row>
    <row r="112" spans="1:59">
      <c r="A112" t="str">
        <f t="shared" si="1"/>
        <v>2022-10-10XXXX-222</v>
      </c>
      <c r="B112" s="3" t="s">
        <v>231</v>
      </c>
      <c r="C112" s="3" t="s">
        <v>176</v>
      </c>
      <c r="D112" s="3"/>
      <c r="E112" s="3" t="s">
        <v>24</v>
      </c>
      <c r="F112" s="3"/>
      <c r="G112" s="4">
        <v>9.99</v>
      </c>
      <c r="H112" s="5">
        <v>471</v>
      </c>
      <c r="I112" s="5">
        <v>0</v>
      </c>
      <c r="J112" s="5">
        <v>18</v>
      </c>
      <c r="K112" s="5">
        <v>18</v>
      </c>
      <c r="L112" s="6">
        <v>179.82</v>
      </c>
      <c r="M112" s="6">
        <v>169.27</v>
      </c>
      <c r="N112" s="5">
        <v>0</v>
      </c>
      <c r="O112" s="6">
        <v>0</v>
      </c>
      <c r="P112" s="5">
        <v>0</v>
      </c>
      <c r="Q112" s="5">
        <v>0</v>
      </c>
      <c r="R112" s="6">
        <v>0</v>
      </c>
      <c r="S112" s="5">
        <v>0</v>
      </c>
      <c r="T112" s="6">
        <v>9.4</v>
      </c>
      <c r="U112" s="7">
        <v>0.3</v>
      </c>
      <c r="V112" s="3"/>
      <c r="W112" s="3"/>
      <c r="X112" s="5">
        <v>1</v>
      </c>
      <c r="Y112" s="8">
        <v>0.0556</v>
      </c>
      <c r="Z112" s="7">
        <v>4.4</v>
      </c>
      <c r="AA112" s="5">
        <v>33</v>
      </c>
      <c r="AB112" s="8">
        <v>0</v>
      </c>
      <c r="AC112" s="6">
        <v>0</v>
      </c>
      <c r="AD112" s="6">
        <v>20.23</v>
      </c>
      <c r="AE112" s="8">
        <v>0.0686</v>
      </c>
      <c r="AF112" s="8">
        <v>0.1911</v>
      </c>
      <c r="AG112" s="5">
        <v>1</v>
      </c>
      <c r="AH112" s="8">
        <v>0.0556</v>
      </c>
      <c r="AI112" s="5">
        <v>57</v>
      </c>
      <c r="AJ112" s="5">
        <v>111</v>
      </c>
      <c r="AK112" s="5">
        <v>168</v>
      </c>
      <c r="AL112" s="5">
        <v>69</v>
      </c>
      <c r="AM112" s="5">
        <v>133</v>
      </c>
      <c r="AN112" s="5">
        <v>202</v>
      </c>
      <c r="AO112" s="8">
        <v>1</v>
      </c>
      <c r="AP112" s="8">
        <v>0.1071</v>
      </c>
      <c r="AQ112" s="8">
        <v>0.1071</v>
      </c>
      <c r="AR112" s="6">
        <v>0.85</v>
      </c>
      <c r="AS112" s="8">
        <v>0.0113</v>
      </c>
      <c r="AT112" s="6">
        <v>-6.8</v>
      </c>
      <c r="AU112" s="9">
        <v>1.47</v>
      </c>
      <c r="AV112" s="8">
        <v>0.6807</v>
      </c>
      <c r="AW112" s="8">
        <v>0.0378</v>
      </c>
      <c r="AX112" s="8">
        <v>0.0556</v>
      </c>
      <c r="AY112" s="6">
        <v>3.4</v>
      </c>
      <c r="AZ112" s="6">
        <v>9.6</v>
      </c>
      <c r="BA112" s="6">
        <v>9.99</v>
      </c>
      <c r="BB112" s="5">
        <v>2</v>
      </c>
      <c r="BC112" s="8">
        <v>0.1111</v>
      </c>
      <c r="BD112" s="8">
        <v>0.25</v>
      </c>
      <c r="BE112" s="5">
        <v>708</v>
      </c>
      <c r="BF112" s="5">
        <v>8</v>
      </c>
      <c r="BG112" s="3"/>
    </row>
    <row r="113" spans="1:59">
      <c r="A113" t="str">
        <f t="shared" si="1"/>
        <v>2022-10-11XXXX-222</v>
      </c>
      <c r="B113" s="3" t="s">
        <v>232</v>
      </c>
      <c r="C113" s="3" t="s">
        <v>176</v>
      </c>
      <c r="D113" s="3"/>
      <c r="E113" s="3" t="s">
        <v>24</v>
      </c>
      <c r="F113" s="3"/>
      <c r="G113" s="4">
        <v>9.99</v>
      </c>
      <c r="H113" s="5">
        <v>444</v>
      </c>
      <c r="I113" s="5">
        <v>0</v>
      </c>
      <c r="J113" s="5">
        <v>38</v>
      </c>
      <c r="K113" s="5">
        <v>38</v>
      </c>
      <c r="L113" s="6">
        <v>379.62</v>
      </c>
      <c r="M113" s="6">
        <v>358.52</v>
      </c>
      <c r="N113" s="5">
        <v>5</v>
      </c>
      <c r="O113" s="6">
        <v>49.95</v>
      </c>
      <c r="P113" s="5">
        <v>5</v>
      </c>
      <c r="Q113" s="5">
        <v>0</v>
      </c>
      <c r="R113" s="6">
        <v>0</v>
      </c>
      <c r="S113" s="5">
        <v>0</v>
      </c>
      <c r="T113" s="6">
        <v>9.43</v>
      </c>
      <c r="U113" s="7">
        <v>0.7</v>
      </c>
      <c r="V113" s="3"/>
      <c r="W113" s="3"/>
      <c r="X113" s="5">
        <v>2</v>
      </c>
      <c r="Y113" s="8">
        <v>0.0526</v>
      </c>
      <c r="Z113" s="7">
        <v>4.4</v>
      </c>
      <c r="AA113" s="5">
        <v>33</v>
      </c>
      <c r="AB113" s="8">
        <v>0</v>
      </c>
      <c r="AC113" s="6">
        <v>0</v>
      </c>
      <c r="AD113" s="6">
        <v>-12.84</v>
      </c>
      <c r="AE113" s="8">
        <v>-0.0409</v>
      </c>
      <c r="AF113" s="8">
        <v>0.1297</v>
      </c>
      <c r="AG113" s="5">
        <v>1</v>
      </c>
      <c r="AH113" s="8">
        <v>0.0263</v>
      </c>
      <c r="AI113" s="5">
        <v>62</v>
      </c>
      <c r="AJ113" s="5">
        <v>96</v>
      </c>
      <c r="AK113" s="5">
        <v>158</v>
      </c>
      <c r="AL113" s="5">
        <v>94</v>
      </c>
      <c r="AM113" s="5">
        <v>132</v>
      </c>
      <c r="AN113" s="5">
        <v>226</v>
      </c>
      <c r="AO113" s="8">
        <v>0.99</v>
      </c>
      <c r="AP113" s="8">
        <v>0.2405</v>
      </c>
      <c r="AQ113" s="8">
        <v>0.2405</v>
      </c>
      <c r="AR113" s="6">
        <v>0.85</v>
      </c>
      <c r="AS113" s="8">
        <v>0.0057</v>
      </c>
      <c r="AT113" s="6">
        <v>-27.19</v>
      </c>
      <c r="AU113" s="9">
        <v>0.37</v>
      </c>
      <c r="AV113" s="8">
        <v>2.7217</v>
      </c>
      <c r="AW113" s="8">
        <v>0.0716</v>
      </c>
      <c r="AX113" s="8">
        <v>0.0263</v>
      </c>
      <c r="AY113" s="6">
        <v>27.19</v>
      </c>
      <c r="AZ113" s="6">
        <v>4.84</v>
      </c>
      <c r="BA113" s="6">
        <v>9.99</v>
      </c>
      <c r="BB113" s="5">
        <v>1</v>
      </c>
      <c r="BC113" s="8">
        <v>0.0263</v>
      </c>
      <c r="BD113" s="8">
        <v>0.0312</v>
      </c>
      <c r="BE113" s="5">
        <v>5618</v>
      </c>
      <c r="BF113" s="5">
        <v>32</v>
      </c>
      <c r="BG113" s="3"/>
    </row>
    <row r="114" spans="1:59">
      <c r="A114" t="str">
        <f t="shared" si="1"/>
        <v>2022-10-12XXXX-222</v>
      </c>
      <c r="B114" s="3" t="s">
        <v>233</v>
      </c>
      <c r="C114" s="3" t="s">
        <v>176</v>
      </c>
      <c r="D114" s="3"/>
      <c r="E114" s="3" t="s">
        <v>24</v>
      </c>
      <c r="F114" s="3"/>
      <c r="G114" s="4">
        <v>9.99</v>
      </c>
      <c r="H114" s="5">
        <v>417</v>
      </c>
      <c r="I114" s="5">
        <v>0</v>
      </c>
      <c r="J114" s="5">
        <v>34</v>
      </c>
      <c r="K114" s="5">
        <v>33</v>
      </c>
      <c r="L114" s="6">
        <v>329.67</v>
      </c>
      <c r="M114" s="6">
        <v>306.81</v>
      </c>
      <c r="N114" s="5">
        <v>2</v>
      </c>
      <c r="O114" s="6">
        <v>19.98</v>
      </c>
      <c r="P114" s="5">
        <v>2</v>
      </c>
      <c r="Q114" s="5">
        <v>0</v>
      </c>
      <c r="R114" s="6">
        <v>0</v>
      </c>
      <c r="S114" s="5">
        <v>0</v>
      </c>
      <c r="T114" s="6">
        <v>9.02</v>
      </c>
      <c r="U114" s="7">
        <v>0.6</v>
      </c>
      <c r="V114" s="3"/>
      <c r="W114" s="3"/>
      <c r="X114" s="5">
        <v>2</v>
      </c>
      <c r="Y114" s="8">
        <v>0.0588</v>
      </c>
      <c r="Z114" s="7">
        <v>4.4</v>
      </c>
      <c r="AA114" s="5">
        <v>33</v>
      </c>
      <c r="AB114" s="8">
        <v>0</v>
      </c>
      <c r="AC114" s="6">
        <v>0</v>
      </c>
      <c r="AD114" s="6">
        <v>-47.36</v>
      </c>
      <c r="AE114" s="8">
        <v>-0.173</v>
      </c>
      <c r="AF114" s="8">
        <v>0.1019</v>
      </c>
      <c r="AG114" s="5">
        <v>1</v>
      </c>
      <c r="AH114" s="8">
        <v>0.0294</v>
      </c>
      <c r="AI114" s="5">
        <v>40</v>
      </c>
      <c r="AJ114" s="5">
        <v>101</v>
      </c>
      <c r="AK114" s="5">
        <v>141</v>
      </c>
      <c r="AL114" s="5">
        <v>48</v>
      </c>
      <c r="AM114" s="5">
        <v>128</v>
      </c>
      <c r="AN114" s="5">
        <v>176</v>
      </c>
      <c r="AO114" s="8">
        <v>1</v>
      </c>
      <c r="AP114" s="8">
        <v>0.234</v>
      </c>
      <c r="AQ114" s="8">
        <v>0.2411</v>
      </c>
      <c r="AR114" s="6">
        <v>0.84</v>
      </c>
      <c r="AS114" s="8">
        <v>0.0073</v>
      </c>
      <c r="AT114" s="6">
        <v>-30.18</v>
      </c>
      <c r="AU114" s="9">
        <v>2.85</v>
      </c>
      <c r="AV114" s="8">
        <v>0.3512</v>
      </c>
      <c r="AW114" s="8">
        <v>0.0915</v>
      </c>
      <c r="AX114" s="8">
        <v>0.2607</v>
      </c>
      <c r="AY114" s="6">
        <v>4.31</v>
      </c>
      <c r="AZ114" s="6">
        <v>6.1</v>
      </c>
      <c r="BA114" s="6">
        <v>85.93</v>
      </c>
      <c r="BB114" s="5">
        <v>7</v>
      </c>
      <c r="BC114" s="8">
        <v>0.2121</v>
      </c>
      <c r="BD114" s="8">
        <v>0.1944</v>
      </c>
      <c r="BE114" s="5">
        <v>4948</v>
      </c>
      <c r="BF114" s="5">
        <v>36</v>
      </c>
      <c r="BG114" s="3"/>
    </row>
    <row r="115" spans="1:59">
      <c r="A115" t="str">
        <f t="shared" si="1"/>
        <v>2022-10-13XXXX-222</v>
      </c>
      <c r="B115" s="3" t="s">
        <v>234</v>
      </c>
      <c r="C115" s="3" t="s">
        <v>176</v>
      </c>
      <c r="D115" s="3"/>
      <c r="E115" s="3" t="s">
        <v>24</v>
      </c>
      <c r="F115" s="3"/>
      <c r="G115" s="4">
        <v>9.99</v>
      </c>
      <c r="H115" s="5">
        <v>385</v>
      </c>
      <c r="I115" s="5">
        <v>0</v>
      </c>
      <c r="J115" s="5">
        <v>27</v>
      </c>
      <c r="K115" s="5">
        <v>23</v>
      </c>
      <c r="L115" s="6">
        <v>269.73</v>
      </c>
      <c r="M115" s="6">
        <v>260.94</v>
      </c>
      <c r="N115" s="5">
        <v>3</v>
      </c>
      <c r="O115" s="6">
        <v>29.97</v>
      </c>
      <c r="P115" s="5">
        <v>1</v>
      </c>
      <c r="Q115" s="5">
        <v>0</v>
      </c>
      <c r="R115" s="6">
        <v>0</v>
      </c>
      <c r="S115" s="5">
        <v>0</v>
      </c>
      <c r="T115" s="6">
        <v>9.66</v>
      </c>
      <c r="U115" s="7">
        <v>0.5</v>
      </c>
      <c r="V115" s="3"/>
      <c r="W115" s="3"/>
      <c r="X115" s="5">
        <v>1</v>
      </c>
      <c r="Y115" s="8">
        <v>0.037</v>
      </c>
      <c r="Z115" s="7">
        <v>4.4</v>
      </c>
      <c r="AA115" s="5">
        <v>36</v>
      </c>
      <c r="AB115" s="8">
        <v>0</v>
      </c>
      <c r="AC115" s="6">
        <v>0</v>
      </c>
      <c r="AD115" s="6">
        <v>-20.93</v>
      </c>
      <c r="AE115" s="8">
        <v>-0.0771</v>
      </c>
      <c r="AF115" s="8">
        <v>1.0938</v>
      </c>
      <c r="AG115" s="5">
        <v>0</v>
      </c>
      <c r="AH115" s="8">
        <v>0</v>
      </c>
      <c r="AI115" s="5">
        <v>61</v>
      </c>
      <c r="AJ115" s="5">
        <v>81</v>
      </c>
      <c r="AK115" s="5">
        <v>142</v>
      </c>
      <c r="AL115" s="5">
        <v>81</v>
      </c>
      <c r="AM115" s="5">
        <v>102</v>
      </c>
      <c r="AN115" s="5">
        <v>183</v>
      </c>
      <c r="AO115" s="8">
        <v>0.99</v>
      </c>
      <c r="AP115" s="8">
        <v>0.162</v>
      </c>
      <c r="AQ115" s="8">
        <v>0.1901</v>
      </c>
      <c r="AR115" s="6">
        <v>0.78</v>
      </c>
      <c r="AS115" s="8">
        <v>0.0049</v>
      </c>
      <c r="AT115" s="6">
        <v>-28.91</v>
      </c>
      <c r="AU115" s="9">
        <v>2.7</v>
      </c>
      <c r="AV115" s="8">
        <v>0.371</v>
      </c>
      <c r="AW115" s="8">
        <v>0.1072</v>
      </c>
      <c r="AX115" s="8">
        <v>0.2889</v>
      </c>
      <c r="AY115" s="6">
        <v>3.61</v>
      </c>
      <c r="AZ115" s="6">
        <v>3.81</v>
      </c>
      <c r="BA115" s="6">
        <v>77.92</v>
      </c>
      <c r="BB115" s="5">
        <v>8</v>
      </c>
      <c r="BC115" s="8">
        <v>0.3478</v>
      </c>
      <c r="BD115" s="8">
        <v>0.2162</v>
      </c>
      <c r="BE115" s="5">
        <v>7592</v>
      </c>
      <c r="BF115" s="5">
        <v>37</v>
      </c>
      <c r="BG115" s="3"/>
    </row>
    <row r="116" spans="1:59">
      <c r="A116" t="str">
        <f t="shared" si="1"/>
        <v>2022-10-14XXXX-222</v>
      </c>
      <c r="B116" s="3" t="s">
        <v>235</v>
      </c>
      <c r="C116" s="3" t="s">
        <v>176</v>
      </c>
      <c r="D116" s="3"/>
      <c r="E116" s="3" t="s">
        <v>24</v>
      </c>
      <c r="F116" s="3"/>
      <c r="G116" s="4">
        <v>9.99</v>
      </c>
      <c r="H116" s="5">
        <v>355</v>
      </c>
      <c r="I116" s="5">
        <v>0</v>
      </c>
      <c r="J116" s="5">
        <v>28</v>
      </c>
      <c r="K116" s="5">
        <v>26</v>
      </c>
      <c r="L116" s="6">
        <v>279.72</v>
      </c>
      <c r="M116" s="6">
        <v>279.72</v>
      </c>
      <c r="N116" s="5">
        <v>1</v>
      </c>
      <c r="O116" s="6">
        <v>9.99</v>
      </c>
      <c r="P116" s="5">
        <v>1</v>
      </c>
      <c r="Q116" s="5">
        <v>0</v>
      </c>
      <c r="R116" s="6">
        <v>0</v>
      </c>
      <c r="S116" s="5">
        <v>0</v>
      </c>
      <c r="T116" s="6">
        <v>9.99</v>
      </c>
      <c r="U116" s="7">
        <v>0.5</v>
      </c>
      <c r="V116" s="3"/>
      <c r="W116" s="3"/>
      <c r="X116" s="5">
        <v>1</v>
      </c>
      <c r="Y116" s="8">
        <v>0.0357</v>
      </c>
      <c r="Z116" s="7">
        <v>4.4</v>
      </c>
      <c r="AA116" s="5">
        <v>36</v>
      </c>
      <c r="AB116" s="8">
        <v>0</v>
      </c>
      <c r="AC116" s="6">
        <v>0</v>
      </c>
      <c r="AD116" s="6">
        <v>-36.52</v>
      </c>
      <c r="AE116" s="8">
        <v>-0.7312</v>
      </c>
      <c r="AF116" s="8">
        <v>2.1829</v>
      </c>
      <c r="AG116" s="5">
        <v>0</v>
      </c>
      <c r="AH116" s="8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3"/>
      <c r="AP116" s="8">
        <v>0</v>
      </c>
      <c r="AQ116" s="8">
        <v>0</v>
      </c>
      <c r="AR116" s="6">
        <v>0.98</v>
      </c>
      <c r="AS116" s="8">
        <v>0.0035</v>
      </c>
      <c r="AT116" s="6">
        <v>-33.32</v>
      </c>
      <c r="AU116" s="9">
        <v>1.5</v>
      </c>
      <c r="AV116" s="8">
        <v>0.6671</v>
      </c>
      <c r="AW116" s="8">
        <v>0.1191</v>
      </c>
      <c r="AX116" s="8">
        <v>0.1786</v>
      </c>
      <c r="AY116" s="6">
        <v>6.66</v>
      </c>
      <c r="AZ116" s="6">
        <v>3.38</v>
      </c>
      <c r="BA116" s="6">
        <v>49.95</v>
      </c>
      <c r="BB116" s="5">
        <v>5</v>
      </c>
      <c r="BC116" s="8">
        <v>0.1923</v>
      </c>
      <c r="BD116" s="8">
        <v>0.1471</v>
      </c>
      <c r="BE116" s="5">
        <v>9844</v>
      </c>
      <c r="BF116" s="5">
        <v>34</v>
      </c>
      <c r="BG116" s="3"/>
    </row>
    <row r="117" spans="1:59">
      <c r="A117" t="str">
        <f t="shared" si="1"/>
        <v>2022-10-15XXXX-222</v>
      </c>
      <c r="B117" s="3" t="s">
        <v>236</v>
      </c>
      <c r="C117" s="3" t="s">
        <v>176</v>
      </c>
      <c r="D117" s="3"/>
      <c r="E117" s="3" t="s">
        <v>24</v>
      </c>
      <c r="F117" s="3"/>
      <c r="G117" s="4">
        <v>9.99</v>
      </c>
      <c r="H117" s="5">
        <v>342</v>
      </c>
      <c r="I117" s="5">
        <v>0</v>
      </c>
      <c r="J117" s="5">
        <v>0</v>
      </c>
      <c r="K117" s="5">
        <v>0</v>
      </c>
      <c r="L117" s="6">
        <v>0</v>
      </c>
      <c r="M117" s="6">
        <v>0</v>
      </c>
      <c r="N117" s="5">
        <v>0</v>
      </c>
      <c r="O117" s="6">
        <v>0</v>
      </c>
      <c r="P117" s="5">
        <v>0</v>
      </c>
      <c r="Q117" s="5">
        <v>0</v>
      </c>
      <c r="R117" s="6">
        <v>0</v>
      </c>
      <c r="S117" s="5">
        <v>0</v>
      </c>
      <c r="T117" s="3"/>
      <c r="U117" s="7">
        <v>0</v>
      </c>
      <c r="V117" s="3"/>
      <c r="W117" s="3"/>
      <c r="X117" s="5">
        <v>0</v>
      </c>
      <c r="Y117" s="8">
        <v>0</v>
      </c>
      <c r="Z117" s="7">
        <v>4.4</v>
      </c>
      <c r="AA117" s="5">
        <v>36</v>
      </c>
      <c r="AB117" s="8">
        <v>0</v>
      </c>
      <c r="AC117" s="6">
        <v>0</v>
      </c>
      <c r="AD117" s="6">
        <v>0</v>
      </c>
      <c r="AE117" s="8">
        <v>0</v>
      </c>
      <c r="AF117" s="8">
        <v>0</v>
      </c>
      <c r="AG117" s="5">
        <v>0</v>
      </c>
      <c r="AH117" s="8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3"/>
      <c r="AP117" s="8">
        <v>0</v>
      </c>
      <c r="AQ117" s="8">
        <v>0</v>
      </c>
      <c r="AR117" s="3"/>
      <c r="AS117" s="8">
        <v>0</v>
      </c>
      <c r="AT117" s="6">
        <v>0</v>
      </c>
      <c r="AU117" s="9">
        <v>0</v>
      </c>
      <c r="AV117" s="8">
        <v>0</v>
      </c>
      <c r="AW117" s="8">
        <v>0</v>
      </c>
      <c r="AX117" s="8">
        <v>0</v>
      </c>
      <c r="AY117" s="3"/>
      <c r="AZ117" s="6">
        <v>0</v>
      </c>
      <c r="BA117" s="6">
        <v>0</v>
      </c>
      <c r="BB117" s="5">
        <v>0</v>
      </c>
      <c r="BC117" s="8">
        <v>0</v>
      </c>
      <c r="BD117" s="8">
        <v>0</v>
      </c>
      <c r="BE117" s="5">
        <v>0</v>
      </c>
      <c r="BF117" s="5">
        <v>0</v>
      </c>
      <c r="BG117" s="3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��ꁨR^JT ���{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WWO_wpscloud_20221013151327-476f312e53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1.1核心竞争对手调研</vt:lpstr>
      <vt:lpstr>1.2 产品定价</vt:lpstr>
      <vt:lpstr>2.1 销售和库存规划</vt:lpstr>
      <vt:lpstr>2.2 运营策略</vt:lpstr>
      <vt:lpstr> 3.1 ASIN数据</vt:lpstr>
      <vt:lpstr>3.2 关键词数据</vt:lpstr>
      <vt:lpstr>3.3 广告数据</vt:lpstr>
      <vt:lpstr>4.1 关键词原始数据</vt:lpstr>
      <vt:lpstr>4.2 产品详情原始数据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86131</dc:creator>
  <cp:lastModifiedBy>lenry</cp:lastModifiedBy>
  <dcterms:created xsi:type="dcterms:W3CDTF">2019-11-15T22:53:00Z</dcterms:created>
  <dcterms:modified xsi:type="dcterms:W3CDTF">2024-01-23T12:45:47Z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5FB233B49654471FAD17F9C23D10AC19</vt:lpwstr>
  </property>
</Properties>
</file>