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上架SOP总览" sheetId="1" r:id="rId1"/>
    <sheet name="①竞品调研" sheetId="2" r:id="rId2"/>
    <sheet name="②竞品Listing拆解" sheetId="3" r:id="rId3"/>
    <sheet name="③Listing关键词库" sheetId="4" r:id="rId4"/>
    <sheet name="④素材库" sheetId="5" r:id="rId5"/>
    <sheet name="⑤利润核算" sheetId="6" r:id="rId6"/>
  </sheets>
  <calcPr calcId="144525"/>
</workbook>
</file>

<file path=xl/sharedStrings.xml><?xml version="1.0" encoding="utf-8"?>
<sst xmlns="http://schemas.openxmlformats.org/spreadsheetml/2006/main" count="402" uniqueCount="287">
  <si>
    <t>2026版Listing精细化上架SOP</t>
  </si>
  <si>
    <t>业务模块</t>
  </si>
  <si>
    <t>#</t>
  </si>
  <si>
    <t>任务名</t>
  </si>
  <si>
    <t>任务目标</t>
  </si>
  <si>
    <t>任务要求</t>
  </si>
  <si>
    <t>任务数据表</t>
  </si>
  <si>
    <t>竞品调研</t>
  </si>
  <si>
    <t>确定Top3 核心关键词</t>
  </si>
  <si>
    <t>[keyword1], [keyword2], [keyword3]</t>
  </si>
  <si>
    <t>Amazon【关键词】搜索结果，首页产品相似度超过75%的产品数量；</t>
  </si>
  <si>
    <t>①竞品调研</t>
  </si>
  <si>
    <t>确定搜索结果竞争对手ASIN</t>
  </si>
  <si>
    <t>亚马逊搜索 ASIN1, 2, 3 ... 9, 10</t>
  </si>
  <si>
    <t>Amazon搜索结果第1页, 3个核心词共收集10个ASIN</t>
  </si>
  <si>
    <t>确定BSR榜单竞争对手ASIN</t>
  </si>
  <si>
    <t>BSR榜单 ASIN1, 2, 3 ... 9, 10</t>
  </si>
  <si>
    <t>BSR榜单，3个核心词共收集10个ASIN</t>
  </si>
  <si>
    <t>确定NR榜单竞争对手ASIN</t>
  </si>
  <si>
    <t>NR榜单 ASIN1, 2, 3 ... 9, 10</t>
  </si>
  <si>
    <t>NR榜单，3个核心词共收集10个ASIN</t>
  </si>
  <si>
    <t>锁定要模仿的10个ASIN</t>
  </si>
  <si>
    <t>竞品对标 ASIN1, 2, 3 ... 9, 10</t>
  </si>
  <si>
    <t>调研ASIN所有者实力，从独立站、关联品牌、测评资源、站外推广、广告投放等方向</t>
  </si>
  <si>
    <t>竞品Listing拆解</t>
  </si>
  <si>
    <t>Listing标题分析</t>
  </si>
  <si>
    <t>关键词布局、卖点陈述，标题是否采取极权法书写</t>
  </si>
  <si>
    <t>上架Listing标题采用极权法书写，兼顾竞对的属性词、修饰词使用</t>
  </si>
  <si>
    <t>②竞品Listing拆解</t>
  </si>
  <si>
    <t>五点标题、长描述分析</t>
  </si>
  <si>
    <t>核心卖点布局，描述可读性，埋词手法分析</t>
  </si>
  <si>
    <t>五点标题大写，长描述借助ChatGPT做合理的关键词埋词优化，覆盖更多产品流量词</t>
  </si>
  <si>
    <t>A+分析</t>
  </si>
  <si>
    <t>产品使用场景布局，关键词埋词程度，卖点突出情况</t>
  </si>
  <si>
    <t>结合竞品和关键词容量分析，突出展示3个使用场景/核心卖点，注意流量词埋词</t>
  </si>
  <si>
    <t>用户好评</t>
  </si>
  <si>
    <t>挖掘用户的喜好和需求，收集真实的使用场景及本地化表达</t>
  </si>
  <si>
    <t>收集产品好评点、未被满足的需求点、本地化表达方式等信息</t>
  </si>
  <si>
    <t>用户差评</t>
  </si>
  <si>
    <t>了解产品痛点，用户未被满足的需求，为产品迭代提供方向</t>
  </si>
  <si>
    <t>收集产品吐槽点、对差评内容进行分类统计，如颜色、材质、易用程度、包装等</t>
  </si>
  <si>
    <t>QA分析</t>
  </si>
  <si>
    <t>了解用户对产品的诉求点，为优化Listing提供素材</t>
  </si>
  <si>
    <t>总结QA中反馈较多的点，新上Listing是否能满足，如能满足可以考虑上架后蹭流量</t>
  </si>
  <si>
    <t>产品分类</t>
  </si>
  <si>
    <t>收集竞品的产品分类节点，确定新品父类、子类节点选择</t>
  </si>
  <si>
    <t>重点关注那些拥有多节点的ASIN, 制定获取多节点的运营计划，争取较多的流量入口</t>
  </si>
  <si>
    <t>产品参数分析</t>
  </si>
  <si>
    <t>外观</t>
  </si>
  <si>
    <t>外观是否有差异性，功能选择是否有多样性</t>
  </si>
  <si>
    <t>收集竞品产品外观的特点、形状及功能（单功能or多合一）</t>
  </si>
  <si>
    <t>颜色</t>
  </si>
  <si>
    <t>热销颜色，是否已打样、备货</t>
  </si>
  <si>
    <t>通过工具、Reivew数据，分析受客户欢迎的产品颜色</t>
  </si>
  <si>
    <t>Special Features</t>
  </si>
  <si>
    <t>产品参数要比竞品更完整、更丰富</t>
  </si>
  <si>
    <t>对比竞品在产品参数上的异同点和具体写法</t>
  </si>
  <si>
    <t>配件</t>
  </si>
  <si>
    <t>产品标准配件要完整，可考虑放产品手册、使用指南等</t>
  </si>
  <si>
    <t>关注竞品Package内容上的表述</t>
  </si>
  <si>
    <t>包装</t>
  </si>
  <si>
    <t>包装需确保不易破损</t>
  </si>
  <si>
    <t>关注用户review对产品包装的反馈数据</t>
  </si>
  <si>
    <t>产品卖点分析</t>
  </si>
  <si>
    <t>核心卖点</t>
  </si>
  <si>
    <t>用户关心+竞品展示的核心卖点，Top 3需在Listing展示</t>
  </si>
  <si>
    <t>调研竞品ASIN的核心Top3卖点是什么？</t>
  </si>
  <si>
    <t>核心功能</t>
  </si>
  <si>
    <t>产品的核心功能需要产品图片（重点）、A+中展示出来</t>
  </si>
  <si>
    <t>调研竞品ASIN的Top3核心功能是什么？</t>
  </si>
  <si>
    <t>核心价值</t>
  </si>
  <si>
    <t>产品的核心价值需要在A+中体现出来</t>
  </si>
  <si>
    <t>调研竞品ASIN都提供了什么价值：功能、体验、精神？</t>
  </si>
  <si>
    <t>核心场景</t>
  </si>
  <si>
    <t>产品的使用场景，需要在产品图片、A+、五点中体现</t>
  </si>
  <si>
    <t>调研竞品ASIN的产品使用场景是什么？</t>
  </si>
  <si>
    <t>核心人群</t>
  </si>
  <si>
    <t>核心人群的图片需在产品图片、A+中展示，产生用户共鸣</t>
  </si>
  <si>
    <t>调研竞品ASIN的用户画像是什么？</t>
  </si>
  <si>
    <t>利润率核算</t>
  </si>
  <si>
    <t>产品成本</t>
  </si>
  <si>
    <t>确定2个成本价格</t>
  </si>
  <si>
    <t>新品测试期成本，以及批量拿货成本</t>
  </si>
  <si>
    <t>产品定价</t>
  </si>
  <si>
    <t>确定Listing的售价，运营折扣空间</t>
  </si>
  <si>
    <t>集合上架产品与竞品的综合对比，确定合适的价格区间</t>
  </si>
  <si>
    <t>产品重量</t>
  </si>
  <si>
    <t>确定产品重量</t>
  </si>
  <si>
    <t>对比竞品的产品重量范围，评估上架Listing的优化空间</t>
  </si>
  <si>
    <t>包装体积</t>
  </si>
  <si>
    <t>确定包装体积</t>
  </si>
  <si>
    <t>对比竞品的产品体积范围，评估上架Listing的优化空间</t>
  </si>
  <si>
    <t>FBA配送费</t>
  </si>
  <si>
    <t>确定配送费</t>
  </si>
  <si>
    <t>结合产品重量和体积，考虑产品开发的优化空间</t>
  </si>
  <si>
    <t>利润情况</t>
  </si>
  <si>
    <t>确定利润率%</t>
  </si>
  <si>
    <t>根据现有产品的情况，核算大概的利润空间</t>
  </si>
  <si>
    <t>Listing资源</t>
  </si>
  <si>
    <t>Listing关键词库</t>
  </si>
  <si>
    <t>沉淀一份Listing关键词词库</t>
  </si>
  <si>
    <t>通过各种关键词挖掘工具，积累Listing相关的词库，本地化表达</t>
  </si>
  <si>
    <t>③Listing关键词库</t>
  </si>
  <si>
    <t>Listing素材库</t>
  </si>
  <si>
    <t>沉淀一份Listing素材库</t>
  </si>
  <si>
    <t>持续积累优秀的产品图、A+图、Swith图、产品视频及Post内容</t>
  </si>
  <si>
    <t>④素材库</t>
  </si>
  <si>
    <t>竞品调研数据表</t>
  </si>
  <si>
    <t>工作目标</t>
  </si>
  <si>
    <t>序号</t>
  </si>
  <si>
    <t>目标内容概述</t>
  </si>
  <si>
    <t>确定Top3精准关键词：Amazon关键词搜索结果，首页产品相似度超过75%的产品数量；</t>
  </si>
  <si>
    <t>确定竞争对手ASIN：用Top3搜索词查看Amazon搜索结果第1页、BSR及NR榜单，3种方式各获取10个ASIN；</t>
  </si>
  <si>
    <t>结合自身运营、资源情况，对标实力相当的操盘团队，锁定最终需要模仿的10个ASIN，开始竞品调研工作！</t>
  </si>
  <si>
    <t>根据Listing的实际成长情况，在不同阶段重复1~3步对标新的竞争对手，调整运营策略。</t>
  </si>
  <si>
    <t>竞对ASIN表：keyword1, keyword2, keyword3</t>
  </si>
  <si>
    <t>阶段</t>
  </si>
  <si>
    <t>来源</t>
  </si>
  <si>
    <t>ASIN</t>
  </si>
  <si>
    <t>搜索排名</t>
  </si>
  <si>
    <t>BSR排名</t>
  </si>
  <si>
    <t>NR排名</t>
  </si>
  <si>
    <t>Review数</t>
  </si>
  <si>
    <t>月销量</t>
  </si>
  <si>
    <t>备注</t>
  </si>
  <si>
    <t>初筛</t>
  </si>
  <si>
    <t>Amazon搜索</t>
  </si>
  <si>
    <t>asin1</t>
  </si>
  <si>
    <t>asin2</t>
  </si>
  <si>
    <t>asin3</t>
  </si>
  <si>
    <t>asin4</t>
  </si>
  <si>
    <t>asin5</t>
  </si>
  <si>
    <t>asin6</t>
  </si>
  <si>
    <t>asin7</t>
  </si>
  <si>
    <t>asin8</t>
  </si>
  <si>
    <t>asin9</t>
  </si>
  <si>
    <t>asin10</t>
  </si>
  <si>
    <t>BSR榜单</t>
  </si>
  <si>
    <t>NR榜单</t>
  </si>
  <si>
    <t>确定</t>
  </si>
  <si>
    <t>通过拆解竞争对手Listing，学习优秀产品打造方法，最终形成自己可以上架的Listing内容。先模仿，再超越对手！</t>
  </si>
  <si>
    <t>通过拆解的过程，充分认识产品和市场情况，梳理可以学习模仿的运营策略，积累关键词、产品素材、产品开发等方面的信息资源。</t>
  </si>
  <si>
    <t>模块</t>
  </si>
  <si>
    <t>心法</t>
  </si>
  <si>
    <t>拆解分析</t>
  </si>
  <si>
    <t>书写规范要求</t>
  </si>
  <si>
    <t>执行策略</t>
  </si>
  <si>
    <t>下一步需求</t>
  </si>
  <si>
    <t>标题</t>
  </si>
  <si>
    <t>多变体sku标题多样化，可以增加流量词占位</t>
  </si>
  <si>
    <t>SKU1</t>
  </si>
  <si>
    <t>极权写法：核心关键词，品牌名+属性词+产品词，xxxx</t>
  </si>
  <si>
    <t>此处撰写Listing上架标题</t>
  </si>
  <si>
    <t>关键词入库</t>
  </si>
  <si>
    <t>SKU2</t>
  </si>
  <si>
    <t>品牌写法：品牌名+核心关键词，产品词+属性词+使用场景词等</t>
  </si>
  <si>
    <t>产品图片</t>
  </si>
  <si>
    <t>负责点击率</t>
  </si>
  <si>
    <t>主图</t>
  </si>
  <si>
    <t>产品主体占画面80%以上，可以考虑放置配件、认证等</t>
  </si>
  <si>
    <t>形成需求文档，转交设计完成</t>
  </si>
  <si>
    <t>素材入库</t>
  </si>
  <si>
    <t>负责转换率</t>
  </si>
  <si>
    <t>第2图</t>
  </si>
  <si>
    <t xml:space="preserve"> 产品核心卖点展示，最核心卖点建议：单图单卖点展示；相对次核心卖点，可以考虑单图组合卖点展示</t>
  </si>
  <si>
    <t>第3图</t>
  </si>
  <si>
    <t>负责场景和需求暗示</t>
  </si>
  <si>
    <t>第4图</t>
  </si>
  <si>
    <t>客户真实需求来源：竞品产品图/五点/QA/review信息收集
根据用户search term去做场景图设计</t>
  </si>
  <si>
    <t>第5图</t>
  </si>
  <si>
    <t>第6图</t>
  </si>
  <si>
    <t>负责品牌故事</t>
  </si>
  <si>
    <t>第7图</t>
  </si>
  <si>
    <t>展示品牌创新实力，品牌理念，获得几百万用户好评等</t>
  </si>
  <si>
    <t>很重要，增加额外权重</t>
  </si>
  <si>
    <t>第8图</t>
  </si>
  <si>
    <t>可以是超额配件或者退货期保证，也可以是产品设计理念，品牌理念传达、社会责任等</t>
  </si>
  <si>
    <t>第9图</t>
  </si>
  <si>
    <t>颜色/数字/New增加引导</t>
  </si>
  <si>
    <t>Switch图</t>
  </si>
  <si>
    <t>以视觉图片引导用户选择、点击的冲动</t>
  </si>
  <si>
    <t>五点分析</t>
  </si>
  <si>
    <t>1.总结性的文字提炼
2.趣味性表达增加停留时间
3.产品附加值体现
4.公司实力体现
5.流量词埋词和布局</t>
  </si>
  <si>
    <t>五点</t>
  </si>
  <si>
    <t>1.五点标题大写，+可读性强的长描述核心流量词埋词
2.标题、长描述可以通过调研品类头部品牌，模仿书写
3.结合power words等修饰词，竞对review好评词书写</t>
  </si>
  <si>
    <t>此处撰写五点分析</t>
  </si>
  <si>
    <t>1.品牌形象呈现
2.产品使用场景呈现
3.产品卖点呈现
4.流量词埋词及布局</t>
  </si>
  <si>
    <t>Part 1</t>
  </si>
  <si>
    <t>1.优秀的A+页面：是对品牌、产品卖点、使用场景3者的完美融合和统一。
2.页面文字内容，依然对Listing关键词收录和流量获取有关键性作用。</t>
  </si>
  <si>
    <t>此处形成A+策划方案</t>
  </si>
  <si>
    <t>Part 2</t>
  </si>
  <si>
    <t>Part 3</t>
  </si>
  <si>
    <t>Part 4</t>
  </si>
  <si>
    <t>Part 5</t>
  </si>
  <si>
    <t>评论分析</t>
  </si>
  <si>
    <t>1.好评/差评反馈用户需求
2.评论多样性反应运营实力</t>
  </si>
  <si>
    <t>得分</t>
  </si>
  <si>
    <t>1. 1Q多A的使用，覆盖更广的用户需求
2. 让竞品的QA内容为我所用：引流、增加信任感、提升转化率
3. Review注意卡位细节(好评对3星及以下差评的卡位)和内容布局丰富性</t>
  </si>
  <si>
    <t>1.QA影响ECR
2.QA能布局流量词埋词
3.QA可以蹭流量、提升转换</t>
  </si>
  <si>
    <t>截图</t>
  </si>
  <si>
    <t>竞争度强弱和流量入口</t>
  </si>
  <si>
    <t>类目细节</t>
  </si>
  <si>
    <t>争取类目多节点流量入口，注意开case的表达方式</t>
  </si>
  <si>
    <t>此处为上架分类</t>
  </si>
  <si>
    <t>1.Special Features越详细，越能体现卖家的专业度
2.注意热销颜色备货</t>
  </si>
  <si>
    <t>1.查看竞争对手的产品参数栏，具体有哪些参数，用词书写方式
2.对标竞品，对Listing参数内容查漏补缺，产品有的功能，都要在参数表中呈现</t>
  </si>
  <si>
    <t>此处为Special Features上架内容</t>
  </si>
  <si>
    <t>SF信息</t>
  </si>
  <si>
    <t>1.既要务虚，也要务实
2.人群、场景、卖点要与客户共情</t>
  </si>
  <si>
    <t>1.学习品类头部品牌对产品卖点、使用场景的文案表述形式
2.在品牌价值传播方面，学习和模仿头部品牌</t>
  </si>
  <si>
    <t>结合A+, 产品图，五点描述使用</t>
  </si>
  <si>
    <t>赚钱，是我们工作的动力！</t>
  </si>
  <si>
    <t>⑤利润核算</t>
  </si>
  <si>
    <t>确定利润率</t>
  </si>
  <si>
    <t>Listing关键词词库</t>
  </si>
  <si>
    <t>产品词</t>
  </si>
  <si>
    <t>品牌词</t>
  </si>
  <si>
    <t>属性词</t>
  </si>
  <si>
    <t>变体属性</t>
  </si>
  <si>
    <t>材质</t>
  </si>
  <si>
    <t>形状 / 款式</t>
  </si>
  <si>
    <t>功能效果</t>
  </si>
  <si>
    <t>使用场景</t>
  </si>
  <si>
    <t>受众</t>
  </si>
  <si>
    <t>节日主题</t>
  </si>
  <si>
    <t>产品系列 / 补充型号 / 匹配型号</t>
  </si>
  <si>
    <t>AC词</t>
  </si>
  <si>
    <t>ST</t>
  </si>
  <si>
    <t>ER词</t>
  </si>
  <si>
    <t>ABA关键词</t>
  </si>
  <si>
    <t>广告高转化词</t>
  </si>
  <si>
    <t>核心词搜索底部提示词</t>
  </si>
  <si>
    <t>竞争对手利润词</t>
  </si>
  <si>
    <t>素材库</t>
  </si>
  <si>
    <t>产品图</t>
  </si>
  <si>
    <t>A+图</t>
  </si>
  <si>
    <t>旗舰店图</t>
  </si>
  <si>
    <t>产品Video</t>
  </si>
  <si>
    <t>Post素材</t>
  </si>
  <si>
    <t>文案库</t>
  </si>
  <si>
    <t>FBT产品</t>
  </si>
  <si>
    <t>装修好的店铺</t>
  </si>
  <si>
    <t>好的品牌</t>
  </si>
  <si>
    <t>产品</t>
  </si>
  <si>
    <t>采购链接</t>
  </si>
  <si>
    <t>包装件数</t>
  </si>
  <si>
    <t>规格</t>
  </si>
  <si>
    <t>长CM</t>
  </si>
  <si>
    <t>宽CM</t>
  </si>
  <si>
    <t>高CM</t>
  </si>
  <si>
    <t>FBA尺寸标准</t>
  </si>
  <si>
    <t>重量KG</t>
  </si>
  <si>
    <t>体积CBM</t>
  </si>
  <si>
    <t>采购价￥</t>
  </si>
  <si>
    <t>采购价$</t>
  </si>
  <si>
    <t>物流方式</t>
  </si>
  <si>
    <t>头程价格/kg</t>
  </si>
  <si>
    <t>头程费$</t>
  </si>
  <si>
    <t>定价$</t>
  </si>
  <si>
    <t>亚马逊佣金率</t>
  </si>
  <si>
    <t>亚马逊佣金</t>
  </si>
  <si>
    <t>FBA Fee$</t>
  </si>
  <si>
    <t>税率</t>
  </si>
  <si>
    <t>税费$</t>
  </si>
  <si>
    <t>单件毛利$</t>
  </si>
  <si>
    <t>毛利率</t>
  </si>
  <si>
    <t>推广费（预估）</t>
  </si>
  <si>
    <t>损耗
（退货、残次）</t>
  </si>
  <si>
    <t>汇损</t>
  </si>
  <si>
    <t>运营佣金比例</t>
  </si>
  <si>
    <t>预期月销</t>
  </si>
  <si>
    <t>月毛利￥</t>
  </si>
  <si>
    <t>单件净利$</t>
  </si>
  <si>
    <t>净利率</t>
  </si>
  <si>
    <t>月净利￥</t>
  </si>
  <si>
    <t>年销量</t>
  </si>
  <si>
    <t>年销售额$</t>
  </si>
  <si>
    <t>净利$</t>
  </si>
  <si>
    <t>年销售额
(人民币）</t>
  </si>
  <si>
    <t>净利
（人民币）</t>
  </si>
  <si>
    <t>汇率</t>
  </si>
  <si>
    <t>大号标准尺寸</t>
  </si>
  <si>
    <t>空加派</t>
  </si>
  <si>
    <t>注：</t>
  </si>
  <si>
    <t>表头红色部分无需填写，删除数据时请保护工作表，以防误删公式；</t>
  </si>
  <si>
    <t>物流方式默认为空运，FBA尺寸和头程价格默认是最常见的尺寸和报价，请按照实际情况修改；</t>
  </si>
  <si>
    <t>右上角汇率默认为7.2，请根据实时汇率修改。</t>
  </si>
</sst>
</file>

<file path=xl/styles.xml><?xml version="1.0" encoding="utf-8"?>
<styleSheet xmlns="http://schemas.openxmlformats.org/spreadsheetml/2006/main">
  <numFmts count="41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179" formatCode="mmmm\-yy"/>
    <numFmt numFmtId="5" formatCode="&quot;￥&quot;#,##0;&quot;￥&quot;\-#,##0"/>
    <numFmt numFmtId="180" formatCode="#\ ?/?"/>
    <numFmt numFmtId="25" formatCode="\$#,##0.00_);\(\$#,##0.00\)"/>
    <numFmt numFmtId="26" formatCode="\$#,##0.00_);[Red]\(\$#,##0.00\)"/>
    <numFmt numFmtId="181" formatCode="[DBNum1][$-804]yyyy&quot;年&quot;m&quot;月&quot;d&quot;日&quot;"/>
    <numFmt numFmtId="182" formatCode="h:mm:ss\ AM/PM"/>
    <numFmt numFmtId="183" formatCode="[DBNum1]上午/下午h&quot;时&quot;mm&quot;分&quot;"/>
    <numFmt numFmtId="184" formatCode="[DBNum1][$-804]m&quot;月&quot;d&quot;日&quot;"/>
    <numFmt numFmtId="185" formatCode="mm/dd/yy"/>
    <numFmt numFmtId="23" formatCode="\$#,##0_);\(\$#,##0\)"/>
    <numFmt numFmtId="43" formatCode="_ * #,##0.00_ ;_ * \-#,##0.00_ ;_ * &quot;-&quot;??_ ;_ @_ "/>
    <numFmt numFmtId="186" formatCode="m/d"/>
    <numFmt numFmtId="187" formatCode="yyyy/m/d\ h:mm\ AM/PM"/>
    <numFmt numFmtId="24" formatCode="\$#,##0_);[Red]\(\$#,##0\)"/>
    <numFmt numFmtId="188" formatCode="dd\-mmm\-yy"/>
    <numFmt numFmtId="8" formatCode="&quot;￥&quot;#,##0.00;[Red]&quot;￥&quot;\-#,##0.00"/>
    <numFmt numFmtId="189" formatCode="#\ ??"/>
    <numFmt numFmtId="190" formatCode="mmmmm"/>
    <numFmt numFmtId="191" formatCode="mmmmm\-yy"/>
    <numFmt numFmtId="192" formatCode="[$-804]aaa"/>
    <numFmt numFmtId="193" formatCode="0.00_ "/>
    <numFmt numFmtId="42" formatCode="_ &quot;￥&quot;* #,##0_ ;_ &quot;￥&quot;* \-#,##0_ ;_ &quot;￥&quot;* &quot;-&quot;_ ;_ @_ "/>
    <numFmt numFmtId="194" formatCode="0_);[Red]\(0\)"/>
    <numFmt numFmtId="195" formatCode="#,##0_);[Red]\(#,##0\)"/>
    <numFmt numFmtId="196" formatCode="\¥#,##0.00;\¥\-#,##0.00"/>
    <numFmt numFmtId="197" formatCode="h:mm\ AM/PM"/>
    <numFmt numFmtId="41" formatCode="_ * #,##0_ ;_ * \-#,##0_ ;_ * &quot;-&quot;_ ;_ @_ "/>
    <numFmt numFmtId="198" formatCode="[$-804]aaaa"/>
    <numFmt numFmtId="7" formatCode="&quot;￥&quot;#,##0.00;&quot;￥&quot;\-#,##0.00"/>
    <numFmt numFmtId="199" formatCode="#,##0_ "/>
    <numFmt numFmtId="200" formatCode="0.00_);[Red]\(0.00\)"/>
    <numFmt numFmtId="201" formatCode="\¥#,##0;[Red]\¥\-#,##0"/>
    <numFmt numFmtId="202" formatCode="\¥#,##0;\¥\-#,##0"/>
    <numFmt numFmtId="44" formatCode="_ &quot;￥&quot;* #,##0.00_ ;_ &quot;￥&quot;* \-#,##0.00_ ;_ &quot;￥&quot;* &quot;-&quot;??_ ;_ @_ "/>
    <numFmt numFmtId="203" formatCode="[DBNum1]h&quot;时&quot;mm&quot;分&quot;"/>
    <numFmt numFmtId="204" formatCode="yy/m/d"/>
  </numFmts>
  <fonts count="58"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theme="1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Microsoft YaHei UI Light"/>
      <charset val="134"/>
    </font>
    <font>
      <sz val="11"/>
      <name val="Microsoft YaHei UI Light"/>
      <charset val="134"/>
    </font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sz val="12"/>
      <color rgb="FF000000"/>
      <name val="等线"/>
      <charset val="134"/>
    </font>
    <font>
      <b/>
      <sz val="24"/>
      <color rgb="FF000000"/>
      <name val="微软雅黑"/>
      <charset val="134"/>
    </font>
    <font>
      <sz val="24"/>
      <color rgb="FF000000"/>
      <name val="等线"/>
      <charset val="134"/>
    </font>
    <font>
      <b/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等线"/>
      <charset val="134"/>
    </font>
    <font>
      <sz val="10"/>
      <color rgb="FFFE0300"/>
      <name val="等线"/>
      <charset val="134"/>
    </font>
    <font>
      <sz val="10"/>
      <color rgb="FF000000"/>
      <name val="微软雅黑, sans-serif"/>
      <charset val="134"/>
    </font>
    <font>
      <sz val="10"/>
      <color rgb="FFFE0300"/>
      <name val="等线"/>
      <charset val="134"/>
      <scheme val="minor"/>
    </font>
    <font>
      <u/>
      <sz val="10"/>
      <color rgb="FF04B0F1"/>
      <name val="等线"/>
      <charset val="134"/>
    </font>
    <font>
      <sz val="10"/>
      <name val="等线"/>
      <charset val="134"/>
      <scheme val="minor"/>
    </font>
    <font>
      <u/>
      <sz val="10"/>
      <color rgb="FF800080"/>
      <name val="等线"/>
      <charset val="134"/>
      <scheme val="minor"/>
    </font>
    <font>
      <u/>
      <sz val="10"/>
      <color rgb="FF800080"/>
      <name val="等线"/>
      <charset val="134"/>
    </font>
    <font>
      <u/>
      <sz val="10"/>
      <color rgb="FFFCC102"/>
      <name val="等线"/>
      <charset val="134"/>
    </font>
    <font>
      <u/>
      <sz val="10"/>
      <color theme="10"/>
      <name val="等线"/>
      <charset val="134"/>
    </font>
    <font>
      <b/>
      <i/>
      <sz val="16"/>
      <color rgb="FF000000"/>
      <name val="default"/>
      <charset val="134"/>
    </font>
    <font>
      <b/>
      <sz val="16"/>
      <color rgb="FF000000"/>
      <name val="微软雅黑"/>
      <charset val="134"/>
    </font>
    <font>
      <b/>
      <i/>
      <sz val="10"/>
      <color rgb="FF000000"/>
      <name val="default"/>
      <charset val="134"/>
    </font>
    <font>
      <b/>
      <i/>
      <sz val="12"/>
      <color rgb="FF000000"/>
      <name val="微软雅黑"/>
      <charset val="134"/>
    </font>
    <font>
      <b/>
      <sz val="18"/>
      <color rgb="FF000000"/>
      <name val="微软雅黑"/>
      <charset val="134"/>
    </font>
    <font>
      <sz val="12"/>
      <color rgb="FF000000"/>
      <name val="default"/>
      <charset val="134"/>
    </font>
    <font>
      <b/>
      <sz val="10"/>
      <color rgb="FF000000"/>
      <name val="微软雅黑"/>
      <charset val="134"/>
    </font>
    <font>
      <sz val="10"/>
      <color rgb="FFEA3324"/>
      <name val="微软雅黑"/>
      <charset val="134"/>
    </font>
    <font>
      <b/>
      <sz val="10"/>
      <color rgb="FF000000"/>
      <name val="default"/>
      <charset val="134"/>
    </font>
    <font>
      <sz val="10"/>
      <color rgb="FF000000"/>
      <name val="default"/>
      <charset val="134"/>
    </font>
    <font>
      <sz val="10"/>
      <color rgb="FFEA3324"/>
      <name val="default"/>
      <charset val="134"/>
    </font>
    <font>
      <b/>
      <sz val="24"/>
      <color rgb="FFFFFFFF"/>
      <name val="等线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0"/>
      <color theme="10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7DCFB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E8F2FE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558036"/>
      </left>
      <right style="dotted">
        <color rgb="FFA9D08D"/>
      </right>
      <top style="thin">
        <color rgb="FF558036"/>
      </top>
      <bottom/>
      <diagonal/>
    </border>
    <border>
      <left style="dotted">
        <color rgb="FFA9D08D"/>
      </left>
      <right style="dotted">
        <color rgb="FFA9D08D"/>
      </right>
      <top style="thin">
        <color rgb="FF558036"/>
      </top>
      <bottom/>
      <diagonal/>
    </border>
    <border>
      <left style="dotted">
        <color rgb="FF70AD48"/>
      </left>
      <right style="dotted">
        <color rgb="FF70AD48"/>
      </right>
      <top style="dotted">
        <color rgb="FF70AD48"/>
      </top>
      <bottom style="dotted">
        <color rgb="FF70AD48"/>
      </bottom>
      <diagonal/>
    </border>
    <border>
      <left style="dotted">
        <color rgb="FFA9D08D"/>
      </left>
      <right style="thin">
        <color rgb="FF558036"/>
      </right>
      <top style="thin">
        <color rgb="FF558036"/>
      </top>
      <bottom/>
      <diagonal/>
    </border>
    <border>
      <left style="thin">
        <color rgb="FF558036"/>
      </left>
      <right/>
      <top style="thin">
        <color rgb="FF558036"/>
      </top>
      <bottom/>
      <diagonal/>
    </border>
    <border>
      <left/>
      <right/>
      <top style="thin">
        <color rgb="FF558036"/>
      </top>
      <bottom/>
      <diagonal/>
    </border>
    <border>
      <left style="dotted">
        <color rgb="FF70AD48"/>
      </left>
      <right style="dotted">
        <color rgb="FF70AD48"/>
      </right>
      <top style="dotted">
        <color rgb="FF70AD48"/>
      </top>
      <bottom/>
      <diagonal/>
    </border>
    <border>
      <left style="dotted">
        <color rgb="FF70AD48"/>
      </left>
      <right/>
      <top style="dotted">
        <color rgb="FF70AD48"/>
      </top>
      <bottom style="dotted">
        <color rgb="FF70AD48"/>
      </bottom>
      <diagonal/>
    </border>
    <border>
      <left/>
      <right/>
      <top style="dotted">
        <color rgb="FF70AD48"/>
      </top>
      <bottom style="dotted">
        <color rgb="FF70AD48"/>
      </bottom>
      <diagonal/>
    </border>
    <border>
      <left style="dotted">
        <color rgb="FF70AD48"/>
      </left>
      <right style="dotted">
        <color rgb="FF70AD48"/>
      </right>
      <top/>
      <bottom/>
      <diagonal/>
    </border>
    <border>
      <left style="dotted">
        <color rgb="FF70AD48"/>
      </left>
      <right style="dotted">
        <color rgb="FF70AD48"/>
      </right>
      <top/>
      <bottom style="dotted">
        <color rgb="FF70AD48"/>
      </bottom>
      <diagonal/>
    </border>
    <border>
      <left/>
      <right style="dotted">
        <color rgb="FF70AD48"/>
      </right>
      <top style="dotted">
        <color rgb="FF70AD48"/>
      </top>
      <bottom style="dotted">
        <color rgb="FF70AD48"/>
      </bottom>
      <diagonal/>
    </border>
    <border>
      <left style="thin">
        <color rgb="FF558036"/>
      </left>
      <right style="dotted">
        <color rgb="FFA9D08D"/>
      </right>
      <top style="thin">
        <color rgb="FF558036"/>
      </top>
      <bottom style="dotted">
        <color rgb="FFA9D08D"/>
      </bottom>
      <diagonal/>
    </border>
    <border>
      <left style="dotted">
        <color rgb="FFA9D08D"/>
      </left>
      <right style="dotted">
        <color rgb="FFA9D08D"/>
      </right>
      <top style="thin">
        <color rgb="FF558036"/>
      </top>
      <bottom style="dotted">
        <color rgb="FFA9D08D"/>
      </bottom>
      <diagonal/>
    </border>
    <border>
      <left style="thin">
        <color rgb="FF558036"/>
      </left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A9D08D"/>
      </left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A9D08D"/>
      </left>
      <right/>
      <top style="dotted">
        <color rgb="FFA9D08D"/>
      </top>
      <bottom style="dotted">
        <color rgb="FFA9D08D"/>
      </bottom>
      <diagonal/>
    </border>
    <border>
      <left/>
      <right/>
      <top style="dotted">
        <color rgb="FFA9D08D"/>
      </top>
      <bottom style="dotted">
        <color rgb="FFA9D08D"/>
      </bottom>
      <diagonal/>
    </border>
    <border>
      <left style="thin">
        <color rgb="FF558036"/>
      </left>
      <right style="dotted">
        <color rgb="FFA9D08D"/>
      </right>
      <top style="dotted">
        <color rgb="FFA9D08D"/>
      </top>
      <bottom/>
      <diagonal/>
    </border>
    <border>
      <left style="dotted">
        <color rgb="FFA9D08D"/>
      </left>
      <right style="dotted">
        <color rgb="FFA9D08D"/>
      </right>
      <top style="dotted">
        <color rgb="FFA9D08D"/>
      </top>
      <bottom/>
      <diagonal/>
    </border>
    <border>
      <left style="thin">
        <color rgb="FF558036"/>
      </left>
      <right style="dotted">
        <color rgb="FF558036"/>
      </right>
      <top style="thin">
        <color rgb="FF558036"/>
      </top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 style="thin">
        <color rgb="FF558036"/>
      </top>
      <bottom style="dotted">
        <color rgb="FF558036"/>
      </bottom>
      <diagonal/>
    </border>
    <border>
      <left style="thin">
        <color rgb="FF558036"/>
      </left>
      <right style="dotted">
        <color rgb="FF558036"/>
      </right>
      <top style="dotted">
        <color rgb="FF558036"/>
      </top>
      <bottom/>
      <diagonal/>
    </border>
    <border>
      <left style="dotted">
        <color rgb="FF558036"/>
      </left>
      <right style="dotted">
        <color rgb="FF558036"/>
      </right>
      <top style="dotted">
        <color rgb="FF558036"/>
      </top>
      <bottom/>
      <diagonal/>
    </border>
    <border>
      <left style="dotted">
        <color rgb="FF558036"/>
      </left>
      <right style="dotted">
        <color rgb="FF558036"/>
      </right>
      <top style="dotted">
        <color rgb="FF558036"/>
      </top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/>
      <bottom/>
      <diagonal/>
    </border>
    <border>
      <left style="thin">
        <color rgb="FF558036"/>
      </left>
      <right style="dotted">
        <color rgb="FF558036"/>
      </right>
      <top/>
      <bottom/>
      <diagonal/>
    </border>
    <border>
      <left style="dotted">
        <color rgb="FF558036"/>
      </left>
      <right style="dotted">
        <color rgb="FF558036"/>
      </right>
      <top/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 style="thin">
        <color rgb="FF558036"/>
      </top>
      <bottom/>
      <diagonal/>
    </border>
    <border>
      <left style="dotted">
        <color rgb="FFA9D08D"/>
      </left>
      <right style="thin">
        <color rgb="FF558036"/>
      </right>
      <top style="thin">
        <color rgb="FF558036"/>
      </top>
      <bottom style="dotted">
        <color rgb="FFA9D08D"/>
      </bottom>
      <diagonal/>
    </border>
    <border>
      <left style="dotted">
        <color rgb="FFA9D08D"/>
      </left>
      <right style="thin">
        <color rgb="FF558036"/>
      </right>
      <top style="dotted">
        <color rgb="FFA9D08D"/>
      </top>
      <bottom style="dotted">
        <color rgb="FFA9D08D"/>
      </bottom>
      <diagonal/>
    </border>
    <border>
      <left/>
      <right style="thin">
        <color rgb="FF558036"/>
      </right>
      <top style="thin">
        <color rgb="FF558036"/>
      </top>
      <bottom/>
      <diagonal/>
    </border>
    <border>
      <left/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92D04F"/>
      </left>
      <right style="dotted">
        <color rgb="FF92D04F"/>
      </right>
      <top style="dotted">
        <color rgb="FF92D04F"/>
      </top>
      <bottom style="dotted">
        <color rgb="FF92D04F"/>
      </bottom>
      <diagonal/>
    </border>
    <border>
      <left style="dotted">
        <color rgb="FF92D04F"/>
      </left>
      <right style="dotted">
        <color rgb="FF92D04F"/>
      </right>
      <top style="dotted">
        <color rgb="FF92D04F"/>
      </top>
      <bottom/>
      <diagonal/>
    </border>
    <border>
      <left style="dotted">
        <color rgb="FF92D04F"/>
      </left>
      <right style="dotted">
        <color rgb="FF92D04F"/>
      </right>
      <top/>
      <bottom style="dotted">
        <color rgb="FF92D04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0" fontId="6" fillId="0" borderId="0">
      <alignment vertical="center"/>
    </xf>
    <xf numFmtId="0" fontId="41" fillId="2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57" fillId="36" borderId="47" applyNumberFormat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3" fillId="19" borderId="47" applyNumberFormat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0" fillId="0" borderId="45" applyNumberFormat="0" applyFill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6" fillId="29" borderId="48" applyNumberFormat="0" applyAlignment="0" applyProtection="0">
      <alignment vertical="center"/>
    </xf>
    <xf numFmtId="0" fontId="49" fillId="19" borderId="44" applyNumberFormat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6" fillId="22" borderId="46" applyNumberFormat="0" applyFon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0" borderId="41" applyNumberFormat="0" applyFill="0" applyAlignment="0" applyProtection="0">
      <alignment vertical="center"/>
    </xf>
  </cellStyleXfs>
  <cellXfs count="173">
    <xf numFmtId="0" fontId="0" fillId="0" borderId="0" xfId="0">
      <alignment vertical="center"/>
    </xf>
    <xf numFmtId="0" fontId="1" fillId="0" borderId="1" xfId="1" applyFont="1" applyBorder="1" applyAlignment="1">
      <alignment horizontal="center" vertical="center" wrapText="1"/>
    </xf>
    <xf numFmtId="0" fontId="1" fillId="2" borderId="1" xfId="1" applyFont="1" applyFill="1" applyBorder="1" applyAlignment="1" applyProtection="1">
      <alignment horizontal="center" vertical="center"/>
      <protection locked="0"/>
    </xf>
    <xf numFmtId="0" fontId="2" fillId="2" borderId="1" xfId="42" applyFont="1" applyFill="1" applyBorder="1" applyAlignment="1" applyProtection="1">
      <alignment horizontal="center" vertical="center" wrapText="1"/>
      <protection locked="0"/>
    </xf>
    <xf numFmtId="0" fontId="3" fillId="2" borderId="1" xfId="42" applyFont="1" applyFill="1" applyBorder="1" applyAlignment="1" applyProtection="1">
      <alignment horizontal="center" vertical="center" wrapText="1"/>
      <protection locked="0"/>
    </xf>
    <xf numFmtId="0" fontId="4" fillId="2" borderId="1" xfId="42" applyFont="1" applyFill="1" applyBorder="1" applyAlignment="1" applyProtection="1">
      <alignment horizontal="center" vertical="center" wrapText="1"/>
      <protection locked="0"/>
    </xf>
    <xf numFmtId="0" fontId="5" fillId="2" borderId="1" xfId="42" applyFont="1" applyFill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/>
      <protection locked="0"/>
    </xf>
    <xf numFmtId="0" fontId="2" fillId="0" borderId="2" xfId="42" applyFont="1" applyBorder="1" applyAlignment="1" applyProtection="1">
      <alignment horizontal="center" vertical="center" wrapText="1"/>
      <protection locked="0"/>
    </xf>
    <xf numFmtId="0" fontId="3" fillId="0" borderId="2" xfId="42" applyFont="1" applyBorder="1" applyAlignment="1" applyProtection="1">
      <alignment horizontal="center" vertical="center" wrapText="1"/>
      <protection locked="0"/>
    </xf>
    <xf numFmtId="0" fontId="5" fillId="0" borderId="1" xfId="42" applyFont="1" applyFill="1" applyBorder="1" applyAlignment="1" applyProtection="1">
      <alignment horizontal="center" vertical="center" wrapText="1"/>
      <protection locked="0"/>
    </xf>
    <xf numFmtId="0" fontId="2" fillId="2" borderId="2" xfId="42" applyFont="1" applyFill="1" applyBorder="1" applyAlignment="1" applyProtection="1">
      <alignment horizontal="center" vertical="center" wrapText="1"/>
      <protection locked="0"/>
    </xf>
    <xf numFmtId="0" fontId="3" fillId="2" borderId="2" xfId="42" applyFont="1" applyFill="1" applyBorder="1" applyAlignment="1" applyProtection="1">
      <alignment horizontal="center" vertical="center" wrapText="1"/>
      <protection locked="0"/>
    </xf>
    <xf numFmtId="0" fontId="2" fillId="0" borderId="2" xfId="42" applyFont="1" applyFill="1" applyBorder="1" applyAlignment="1" applyProtection="1">
      <alignment horizontal="center" vertical="center" wrapText="1"/>
      <protection locked="0"/>
    </xf>
    <xf numFmtId="0" fontId="3" fillId="0" borderId="2" xfId="42" applyFont="1" applyFill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/>
      <protection locked="0"/>
    </xf>
    <xf numFmtId="0" fontId="2" fillId="0" borderId="1" xfId="42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/>
    <xf numFmtId="0" fontId="7" fillId="0" borderId="0" xfId="0" applyFont="1" applyAlignment="1"/>
    <xf numFmtId="0" fontId="1" fillId="2" borderId="1" xfId="1" applyFont="1" applyFill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2" borderId="2" xfId="1" applyFont="1" applyFill="1" applyBorder="1" applyAlignment="1" applyProtection="1">
      <alignment horizontal="center" vertical="center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0" fontId="1" fillId="3" borderId="1" xfId="1" applyFont="1" applyFill="1" applyBorder="1" applyAlignment="1">
      <alignment horizontal="center" vertical="center" wrapText="1"/>
    </xf>
    <xf numFmtId="200" fontId="1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 applyProtection="1">
      <alignment horizontal="center" vertical="center"/>
      <protection locked="0"/>
    </xf>
    <xf numFmtId="200" fontId="1" fillId="0" borderId="1" xfId="1" applyNumberFormat="1" applyFont="1" applyBorder="1" applyAlignment="1">
      <alignment horizontal="center" vertical="center"/>
    </xf>
    <xf numFmtId="0" fontId="8" fillId="0" borderId="2" xfId="1" applyFont="1" applyBorder="1" applyAlignment="1" applyProtection="1">
      <alignment horizontal="center" vertical="center"/>
      <protection locked="0"/>
    </xf>
    <xf numFmtId="200" fontId="1" fillId="0" borderId="2" xfId="1" applyNumberFormat="1" applyFont="1" applyBorder="1" applyAlignment="1">
      <alignment horizontal="center" vertical="center"/>
    </xf>
    <xf numFmtId="0" fontId="8" fillId="0" borderId="1" xfId="1" applyFont="1" applyBorder="1" applyAlignment="1" applyProtection="1">
      <alignment horizontal="center" vertical="center"/>
      <protection locked="0"/>
    </xf>
    <xf numFmtId="193" fontId="1" fillId="3" borderId="1" xfId="1" applyNumberFormat="1" applyFont="1" applyFill="1" applyBorder="1" applyAlignment="1">
      <alignment horizontal="center" vertical="center" wrapText="1"/>
    </xf>
    <xf numFmtId="193" fontId="1" fillId="2" borderId="1" xfId="1" applyNumberFormat="1" applyFont="1" applyFill="1" applyBorder="1" applyAlignment="1">
      <alignment horizontal="center" vertical="center"/>
    </xf>
    <xf numFmtId="193" fontId="1" fillId="0" borderId="2" xfId="1" applyNumberFormat="1" applyFont="1" applyBorder="1" applyAlignment="1">
      <alignment horizontal="center" vertical="center"/>
    </xf>
    <xf numFmtId="193" fontId="1" fillId="0" borderId="1" xfId="1" applyNumberFormat="1" applyFont="1" applyBorder="1" applyAlignment="1">
      <alignment horizontal="center" vertical="center"/>
    </xf>
    <xf numFmtId="193" fontId="1" fillId="0" borderId="1" xfId="1" applyNumberFormat="1" applyFont="1" applyBorder="1" applyAlignment="1">
      <alignment horizontal="center" vertical="center" wrapText="1"/>
    </xf>
    <xf numFmtId="10" fontId="1" fillId="0" borderId="1" xfId="1" applyNumberFormat="1" applyFont="1" applyBorder="1" applyAlignment="1">
      <alignment horizontal="center" vertical="center" wrapText="1"/>
    </xf>
    <xf numFmtId="193" fontId="1" fillId="2" borderId="1" xfId="1" applyNumberFormat="1" applyFont="1" applyFill="1" applyBorder="1" applyAlignment="1" applyProtection="1">
      <alignment horizontal="center" vertical="center"/>
      <protection locked="0"/>
    </xf>
    <xf numFmtId="10" fontId="1" fillId="2" borderId="1" xfId="1" applyNumberFormat="1" applyFont="1" applyFill="1" applyBorder="1" applyAlignment="1" applyProtection="1">
      <alignment horizontal="center" vertical="center"/>
      <protection locked="0"/>
    </xf>
    <xf numFmtId="193" fontId="1" fillId="0" borderId="2" xfId="1" applyNumberFormat="1" applyFont="1" applyBorder="1" applyAlignment="1" applyProtection="1">
      <alignment horizontal="center" vertical="center"/>
      <protection locked="0"/>
    </xf>
    <xf numFmtId="10" fontId="1" fillId="0" borderId="1" xfId="1" applyNumberFormat="1" applyFont="1" applyBorder="1" applyAlignment="1" applyProtection="1">
      <alignment horizontal="center" vertical="center"/>
      <protection locked="0"/>
    </xf>
    <xf numFmtId="193" fontId="1" fillId="2" borderId="2" xfId="1" applyNumberFormat="1" applyFont="1" applyFill="1" applyBorder="1" applyAlignment="1" applyProtection="1">
      <alignment horizontal="center" vertical="center"/>
      <protection locked="0"/>
    </xf>
    <xf numFmtId="193" fontId="9" fillId="0" borderId="2" xfId="1" applyNumberFormat="1" applyFont="1" applyBorder="1" applyAlignment="1" applyProtection="1">
      <alignment horizontal="center" vertical="center"/>
      <protection locked="0"/>
    </xf>
    <xf numFmtId="10" fontId="1" fillId="0" borderId="2" xfId="1" applyNumberFormat="1" applyFont="1" applyBorder="1" applyAlignment="1" applyProtection="1">
      <alignment horizontal="center" vertical="center"/>
      <protection locked="0"/>
    </xf>
    <xf numFmtId="193" fontId="1" fillId="0" borderId="1" xfId="1" applyNumberFormat="1" applyFont="1" applyBorder="1" applyAlignment="1" applyProtection="1">
      <alignment horizontal="center" vertical="center"/>
      <protection locked="0"/>
    </xf>
    <xf numFmtId="200" fontId="1" fillId="3" borderId="1" xfId="1" applyNumberFormat="1" applyFont="1" applyFill="1" applyBorder="1" applyAlignment="1">
      <alignment horizontal="center" vertical="center" wrapText="1"/>
    </xf>
    <xf numFmtId="10" fontId="1" fillId="3" borderId="1" xfId="1" applyNumberFormat="1" applyFont="1" applyFill="1" applyBorder="1" applyAlignment="1">
      <alignment horizontal="center" vertical="center" wrapText="1"/>
    </xf>
    <xf numFmtId="10" fontId="1" fillId="2" borderId="1" xfId="1" applyNumberFormat="1" applyFont="1" applyFill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  <xf numFmtId="10" fontId="1" fillId="0" borderId="2" xfId="1" applyNumberFormat="1" applyFont="1" applyBorder="1" applyAlignment="1">
      <alignment horizontal="center" vertical="center"/>
    </xf>
    <xf numFmtId="9" fontId="1" fillId="0" borderId="1" xfId="1" applyNumberFormat="1" applyFont="1" applyBorder="1" applyAlignment="1">
      <alignment horizontal="center" vertical="center" wrapText="1"/>
    </xf>
    <xf numFmtId="9" fontId="1" fillId="2" borderId="1" xfId="1" applyNumberFormat="1" applyFont="1" applyFill="1" applyBorder="1" applyAlignment="1" applyProtection="1">
      <alignment horizontal="center" vertical="center"/>
      <protection locked="0"/>
    </xf>
    <xf numFmtId="9" fontId="1" fillId="0" borderId="2" xfId="1" applyNumberFormat="1" applyFont="1" applyBorder="1" applyAlignment="1" applyProtection="1">
      <alignment horizontal="center" vertical="center"/>
      <protection locked="0"/>
    </xf>
    <xf numFmtId="9" fontId="1" fillId="2" borderId="2" xfId="1" applyNumberFormat="1" applyFont="1" applyFill="1" applyBorder="1" applyAlignment="1" applyProtection="1">
      <alignment horizontal="center" vertical="center"/>
      <protection locked="0"/>
    </xf>
    <xf numFmtId="9" fontId="1" fillId="0" borderId="1" xfId="1" applyNumberFormat="1" applyFont="1" applyBorder="1" applyAlignment="1" applyProtection="1">
      <alignment horizontal="center" vertical="center"/>
      <protection locked="0"/>
    </xf>
    <xf numFmtId="194" fontId="1" fillId="0" borderId="1" xfId="1" applyNumberFormat="1" applyFont="1" applyBorder="1" applyAlignment="1">
      <alignment horizontal="center" vertical="center" wrapText="1"/>
    </xf>
    <xf numFmtId="195" fontId="1" fillId="3" borderId="1" xfId="1" applyNumberFormat="1" applyFont="1" applyFill="1" applyBorder="1" applyAlignment="1">
      <alignment horizontal="center" vertical="center" wrapText="1"/>
    </xf>
    <xf numFmtId="194" fontId="1" fillId="2" borderId="1" xfId="1" applyNumberFormat="1" applyFont="1" applyFill="1" applyBorder="1" applyAlignment="1" applyProtection="1">
      <alignment horizontal="center" vertical="center"/>
      <protection locked="0"/>
    </xf>
    <xf numFmtId="195" fontId="1" fillId="2" borderId="1" xfId="1" applyNumberFormat="1" applyFont="1" applyFill="1" applyBorder="1" applyAlignment="1">
      <alignment horizontal="center" vertical="center"/>
    </xf>
    <xf numFmtId="194" fontId="1" fillId="0" borderId="1" xfId="1" applyNumberFormat="1" applyFont="1" applyBorder="1" applyAlignment="1" applyProtection="1">
      <alignment horizontal="center" vertical="center"/>
      <protection locked="0"/>
    </xf>
    <xf numFmtId="195" fontId="1" fillId="0" borderId="2" xfId="1" applyNumberFormat="1" applyFont="1" applyBorder="1" applyAlignment="1">
      <alignment horizontal="center" vertical="center"/>
    </xf>
    <xf numFmtId="195" fontId="1" fillId="2" borderId="2" xfId="1" applyNumberFormat="1" applyFont="1" applyFill="1" applyBorder="1" applyAlignment="1">
      <alignment horizontal="center" vertical="center"/>
    </xf>
    <xf numFmtId="195" fontId="1" fillId="0" borderId="1" xfId="1" applyNumberFormat="1" applyFont="1" applyBorder="1" applyAlignment="1">
      <alignment horizontal="center" vertical="center"/>
    </xf>
    <xf numFmtId="199" fontId="1" fillId="3" borderId="1" xfId="1" applyNumberFormat="1" applyFont="1" applyFill="1" applyBorder="1" applyAlignment="1">
      <alignment horizontal="center" vertical="center" wrapText="1"/>
    </xf>
    <xf numFmtId="199" fontId="1" fillId="2" borderId="1" xfId="1" applyNumberFormat="1" applyFont="1" applyFill="1" applyBorder="1" applyAlignment="1">
      <alignment horizontal="center" vertical="center"/>
    </xf>
    <xf numFmtId="199" fontId="1" fillId="0" borderId="1" xfId="1" applyNumberFormat="1" applyFont="1" applyBorder="1" applyAlignment="1">
      <alignment horizontal="center" vertical="center"/>
    </xf>
    <xf numFmtId="199" fontId="1" fillId="0" borderId="2" xfId="1" applyNumberFormat="1" applyFont="1" applyBorder="1" applyAlignment="1">
      <alignment horizontal="center" vertical="center"/>
    </xf>
    <xf numFmtId="199" fontId="1" fillId="2" borderId="2" xfId="1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199" fontId="1" fillId="2" borderId="3" xfId="1" applyNumberFormat="1" applyFont="1" applyFill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199" fontId="1" fillId="0" borderId="3" xfId="1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4" borderId="5" xfId="0" applyFont="1" applyFill="1" applyBorder="1" applyAlignment="1">
      <alignment horizontal="center" vertical="center"/>
    </xf>
    <xf numFmtId="0" fontId="12" fillId="4" borderId="6" xfId="0" applyFont="1" applyFill="1" applyBorder="1">
      <alignment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>
      <alignment vertical="center"/>
    </xf>
    <xf numFmtId="0" fontId="12" fillId="4" borderId="8" xfId="0" applyFont="1" applyFill="1" applyBorder="1">
      <alignment vertical="center"/>
    </xf>
    <xf numFmtId="0" fontId="11" fillId="4" borderId="9" xfId="0" applyFont="1" applyFill="1" applyBorder="1" applyAlignment="1">
      <alignment horizontal="center" vertical="center"/>
    </xf>
    <xf numFmtId="0" fontId="14" fillId="0" borderId="10" xfId="0" applyFont="1" applyBorder="1">
      <alignment vertical="center"/>
    </xf>
    <xf numFmtId="0" fontId="13" fillId="5" borderId="7" xfId="0" applyFont="1" applyFill="1" applyBorder="1" applyAlignment="1">
      <alignment horizontal="center" vertical="center"/>
    </xf>
    <xf numFmtId="0" fontId="14" fillId="5" borderId="7" xfId="0" applyFont="1" applyFill="1" applyBorder="1">
      <alignment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4" fillId="0" borderId="13" xfId="0" applyFont="1" applyBorder="1">
      <alignment vertical="center"/>
    </xf>
    <xf numFmtId="0" fontId="14" fillId="0" borderId="14" xfId="0" applyFont="1" applyBorder="1">
      <alignment vertical="center"/>
    </xf>
    <xf numFmtId="0" fontId="16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5" xfId="0" applyFont="1" applyBorder="1">
      <alignment vertical="center"/>
    </xf>
    <xf numFmtId="0" fontId="15" fillId="0" borderId="12" xfId="0" applyFont="1" applyBorder="1" applyAlignment="1">
      <alignment horizontal="center" vertical="center"/>
    </xf>
    <xf numFmtId="0" fontId="17" fillId="0" borderId="7" xfId="0" applyFont="1" applyBorder="1">
      <alignment vertical="center"/>
    </xf>
    <xf numFmtId="0" fontId="18" fillId="0" borderId="7" xfId="0" applyFont="1" applyBorder="1" applyAlignment="1">
      <alignment vertical="center" wrapText="1"/>
    </xf>
    <xf numFmtId="0" fontId="18" fillId="0" borderId="7" xfId="0" applyFont="1" applyBorder="1">
      <alignment vertical="center"/>
    </xf>
    <xf numFmtId="0" fontId="14" fillId="0" borderId="11" xfId="0" applyFont="1" applyBorder="1">
      <alignment vertical="center"/>
    </xf>
    <xf numFmtId="0" fontId="17" fillId="0" borderId="7" xfId="0" applyFont="1" applyBorder="1" applyAlignment="1">
      <alignment horizontal="center" vertical="center"/>
    </xf>
    <xf numFmtId="0" fontId="18" fillId="0" borderId="11" xfId="0" applyFont="1" applyBorder="1" applyAlignment="1">
      <alignment vertical="center" wrapText="1"/>
    </xf>
    <xf numFmtId="0" fontId="19" fillId="0" borderId="7" xfId="0" applyFont="1" applyBorder="1" applyAlignment="1">
      <alignment horizontal="left" vertical="center"/>
    </xf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0" borderId="11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15" xfId="0" applyFont="1" applyBorder="1">
      <alignment vertical="center"/>
    </xf>
    <xf numFmtId="0" fontId="20" fillId="0" borderId="11" xfId="0" applyFont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2" fillId="0" borderId="14" xfId="0" applyFont="1" applyBorder="1">
      <alignment vertical="center"/>
    </xf>
    <xf numFmtId="0" fontId="22" fillId="0" borderId="15" xfId="0" applyFont="1" applyBorder="1" applyAlignment="1">
      <alignment vertical="center" wrapText="1"/>
    </xf>
    <xf numFmtId="0" fontId="20" fillId="0" borderId="7" xfId="0" applyFont="1" applyBorder="1">
      <alignment vertical="center"/>
    </xf>
    <xf numFmtId="0" fontId="21" fillId="0" borderId="7" xfId="0" applyFont="1" applyBorder="1">
      <alignment vertical="center"/>
    </xf>
    <xf numFmtId="0" fontId="23" fillId="0" borderId="12" xfId="0" applyFont="1" applyBorder="1">
      <alignment vertical="center"/>
    </xf>
    <xf numFmtId="0" fontId="21" fillId="0" borderId="11" xfId="0" applyFont="1" applyBorder="1">
      <alignment vertical="center"/>
    </xf>
    <xf numFmtId="0" fontId="22" fillId="0" borderId="12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15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6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/>
    </xf>
    <xf numFmtId="0" fontId="12" fillId="4" borderId="18" xfId="0" applyFont="1" applyFill="1" applyBorder="1">
      <alignment vertical="center"/>
    </xf>
    <xf numFmtId="0" fontId="27" fillId="6" borderId="19" xfId="0" applyFont="1" applyFill="1" applyBorder="1" applyAlignment="1">
      <alignment horizontal="center" vertical="center"/>
    </xf>
    <xf numFmtId="0" fontId="28" fillId="6" borderId="20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29" fillId="6" borderId="19" xfId="0" applyFont="1" applyFill="1" applyBorder="1">
      <alignment vertical="center"/>
    </xf>
    <xf numFmtId="0" fontId="30" fillId="6" borderId="20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left" vertical="center"/>
    </xf>
    <xf numFmtId="0" fontId="14" fillId="0" borderId="22" xfId="0" applyFont="1" applyBorder="1">
      <alignment vertical="center"/>
    </xf>
    <xf numFmtId="0" fontId="16" fillId="0" borderId="20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29" fillId="6" borderId="23" xfId="0" applyFont="1" applyFill="1" applyBorder="1">
      <alignment vertical="center"/>
    </xf>
    <xf numFmtId="0" fontId="30" fillId="6" borderId="24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2" fillId="7" borderId="25" xfId="0" applyFont="1" applyFill="1" applyBorder="1" applyAlignment="1">
      <alignment horizontal="center" vertical="center"/>
    </xf>
    <xf numFmtId="0" fontId="32" fillId="7" borderId="26" xfId="0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16" fillId="0" borderId="29" xfId="0" applyFont="1" applyBorder="1" applyAlignment="1">
      <alignment horizontal="left" vertical="center" wrapText="1"/>
    </xf>
    <xf numFmtId="0" fontId="14" fillId="0" borderId="30" xfId="0" applyFont="1" applyBorder="1">
      <alignment vertical="center"/>
    </xf>
    <xf numFmtId="0" fontId="17" fillId="0" borderId="31" xfId="0" applyFont="1" applyBorder="1">
      <alignment vertical="center"/>
    </xf>
    <xf numFmtId="0" fontId="14" fillId="0" borderId="32" xfId="0" applyFont="1" applyBorder="1">
      <alignment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26" xfId="0" applyFont="1" applyFill="1" applyBorder="1" applyAlignment="1">
      <alignment horizontal="center" vertical="center"/>
    </xf>
    <xf numFmtId="0" fontId="37" fillId="7" borderId="26" xfId="0" applyFont="1" applyFill="1" applyBorder="1" applyAlignment="1">
      <alignment horizontal="center" vertical="center"/>
    </xf>
    <xf numFmtId="0" fontId="17" fillId="0" borderId="30" xfId="0" applyFont="1" applyBorder="1">
      <alignment vertical="center"/>
    </xf>
    <xf numFmtId="0" fontId="17" fillId="0" borderId="32" xfId="0" applyFont="1" applyBorder="1">
      <alignment vertical="center"/>
    </xf>
    <xf numFmtId="0" fontId="12" fillId="4" borderId="34" xfId="0" applyFont="1" applyFill="1" applyBorder="1">
      <alignment vertical="center"/>
    </xf>
    <xf numFmtId="0" fontId="14" fillId="6" borderId="35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left" vertical="center"/>
    </xf>
    <xf numFmtId="0" fontId="31" fillId="0" borderId="36" xfId="0" applyFont="1" applyBorder="1" applyAlignment="1">
      <alignment horizontal="center" vertical="center"/>
    </xf>
    <xf numFmtId="0" fontId="16" fillId="0" borderId="29" xfId="0" applyFont="1" applyBorder="1" applyAlignment="1">
      <alignment horizontal="left" vertical="center"/>
    </xf>
    <xf numFmtId="0" fontId="14" fillId="0" borderId="37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38" fillId="8" borderId="18" xfId="0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4" fillId="0" borderId="38" xfId="0" applyFont="1" applyBorder="1">
      <alignment vertical="center"/>
    </xf>
    <xf numFmtId="0" fontId="17" fillId="6" borderId="38" xfId="0" applyFont="1" applyFill="1" applyBorder="1" applyAlignment="1">
      <alignment horizontal="center" vertical="center"/>
    </xf>
    <xf numFmtId="0" fontId="14" fillId="6" borderId="38" xfId="0" applyFont="1" applyFill="1" applyBorder="1">
      <alignment vertical="center"/>
    </xf>
    <xf numFmtId="0" fontId="19" fillId="6" borderId="38" xfId="0" applyFont="1" applyFill="1" applyBorder="1" applyAlignment="1">
      <alignment horizontal="left" vertical="center"/>
    </xf>
    <xf numFmtId="0" fontId="19" fillId="0" borderId="38" xfId="0" applyFont="1" applyBorder="1" applyAlignment="1">
      <alignment horizontal="left" vertical="center"/>
    </xf>
    <xf numFmtId="0" fontId="17" fillId="6" borderId="39" xfId="0" applyFont="1" applyFill="1" applyBorder="1" applyAlignment="1">
      <alignment horizontal="center" vertical="center"/>
    </xf>
    <xf numFmtId="0" fontId="14" fillId="6" borderId="40" xfId="0" applyFont="1" applyFill="1" applyBorder="1">
      <alignment vertical="center"/>
    </xf>
    <xf numFmtId="0" fontId="19" fillId="0" borderId="0" xfId="0" applyFont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4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/>
    </xf>
  </cellXfs>
  <cellStyles count="50">
    <cellStyle name="常规" xfId="0" builtinId="0"/>
    <cellStyle name="常规 5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8"/>
  <sheetViews>
    <sheetView tabSelected="1" zoomScale="145" zoomScaleNormal="145" workbookViewId="0">
      <selection activeCell="A2" sqref="A2"/>
    </sheetView>
  </sheetViews>
  <sheetFormatPr defaultColWidth="10" defaultRowHeight="16.5" customHeight="1" outlineLevelCol="5"/>
  <cols>
    <col min="1" max="1" width="13.3666666666667" style="72"/>
    <col min="2" max="2" width="3.36666666666667" style="72"/>
    <col min="3" max="3" width="23" style="72"/>
    <col min="4" max="4" width="43.45" style="72" customWidth="1"/>
    <col min="5" max="5" width="62.45" style="72"/>
    <col min="6" max="6" width="15.3666666666667" style="72" customWidth="1"/>
  </cols>
  <sheetData>
    <row r="1" ht="33" customHeight="1" spans="1:6">
      <c r="A1" s="158" t="s">
        <v>0</v>
      </c>
      <c r="B1" s="158"/>
      <c r="C1" s="158"/>
      <c r="D1" s="158"/>
      <c r="E1" s="158"/>
      <c r="F1" s="158"/>
    </row>
    <row r="2" s="157" customFormat="1" ht="24.75" customHeight="1" spans="1:6">
      <c r="A2" s="159" t="s">
        <v>1</v>
      </c>
      <c r="B2" s="159" t="s">
        <v>2</v>
      </c>
      <c r="C2" s="159" t="s">
        <v>3</v>
      </c>
      <c r="D2" s="159" t="s">
        <v>4</v>
      </c>
      <c r="E2" s="159" t="s">
        <v>5</v>
      </c>
      <c r="F2" s="159" t="s">
        <v>6</v>
      </c>
    </row>
    <row r="3" customHeight="1" spans="1:6">
      <c r="A3" s="160" t="s">
        <v>7</v>
      </c>
      <c r="B3" s="161">
        <v>1</v>
      </c>
      <c r="C3" s="161" t="s">
        <v>8</v>
      </c>
      <c r="D3" s="161" t="s">
        <v>9</v>
      </c>
      <c r="E3" s="161" t="s">
        <v>10</v>
      </c>
      <c r="F3" s="169" t="s">
        <v>11</v>
      </c>
    </row>
    <row r="4" customHeight="1" spans="1:6">
      <c r="A4" s="160"/>
      <c r="B4" s="161">
        <v>2</v>
      </c>
      <c r="C4" s="161" t="s">
        <v>12</v>
      </c>
      <c r="D4" s="161" t="s">
        <v>13</v>
      </c>
      <c r="E4" s="161" t="s">
        <v>14</v>
      </c>
      <c r="F4" s="169" t="s">
        <v>11</v>
      </c>
    </row>
    <row r="5" customHeight="1" spans="1:6">
      <c r="A5" s="160"/>
      <c r="B5" s="161">
        <v>3</v>
      </c>
      <c r="C5" s="161" t="s">
        <v>15</v>
      </c>
      <c r="D5" s="161" t="s">
        <v>16</v>
      </c>
      <c r="E5" s="161" t="s">
        <v>17</v>
      </c>
      <c r="F5" s="170" t="s">
        <v>11</v>
      </c>
    </row>
    <row r="6" customHeight="1" spans="1:6">
      <c r="A6" s="160"/>
      <c r="B6" s="161">
        <v>4</v>
      </c>
      <c r="C6" s="161" t="s">
        <v>18</v>
      </c>
      <c r="D6" s="161" t="s">
        <v>19</v>
      </c>
      <c r="E6" s="161" t="s">
        <v>20</v>
      </c>
      <c r="F6" s="170" t="s">
        <v>11</v>
      </c>
    </row>
    <row r="7" customHeight="1" spans="1:6">
      <c r="A7" s="160"/>
      <c r="B7" s="161">
        <v>5</v>
      </c>
      <c r="C7" s="161" t="s">
        <v>21</v>
      </c>
      <c r="D7" s="161" t="s">
        <v>22</v>
      </c>
      <c r="E7" s="161" t="s">
        <v>23</v>
      </c>
      <c r="F7" s="170" t="s">
        <v>11</v>
      </c>
    </row>
    <row r="8" customHeight="1" spans="1:6">
      <c r="A8" s="162" t="s">
        <v>24</v>
      </c>
      <c r="B8" s="163">
        <v>6</v>
      </c>
      <c r="C8" s="164" t="s">
        <v>25</v>
      </c>
      <c r="D8" s="164" t="s">
        <v>26</v>
      </c>
      <c r="E8" s="163" t="s">
        <v>27</v>
      </c>
      <c r="F8" s="171" t="s">
        <v>28</v>
      </c>
    </row>
    <row r="9" customHeight="1" spans="1:6">
      <c r="A9" s="162"/>
      <c r="B9" s="163">
        <v>7</v>
      </c>
      <c r="C9" s="164" t="s">
        <v>29</v>
      </c>
      <c r="D9" s="164" t="s">
        <v>30</v>
      </c>
      <c r="E9" s="163" t="s">
        <v>31</v>
      </c>
      <c r="F9" s="172" t="s">
        <v>28</v>
      </c>
    </row>
    <row r="10" customHeight="1" spans="1:6">
      <c r="A10" s="162"/>
      <c r="B10" s="163">
        <v>8</v>
      </c>
      <c r="C10" s="164" t="s">
        <v>32</v>
      </c>
      <c r="D10" s="164" t="s">
        <v>33</v>
      </c>
      <c r="E10" s="163" t="s">
        <v>34</v>
      </c>
      <c r="F10" s="172" t="s">
        <v>28</v>
      </c>
    </row>
    <row r="11" customHeight="1" spans="1:6">
      <c r="A11" s="162"/>
      <c r="B11" s="163">
        <v>9</v>
      </c>
      <c r="C11" s="164" t="s">
        <v>35</v>
      </c>
      <c r="D11" s="164" t="s">
        <v>36</v>
      </c>
      <c r="E11" s="163" t="s">
        <v>37</v>
      </c>
      <c r="F11" s="172" t="s">
        <v>28</v>
      </c>
    </row>
    <row r="12" customHeight="1" spans="1:6">
      <c r="A12" s="162"/>
      <c r="B12" s="163">
        <v>10</v>
      </c>
      <c r="C12" s="164" t="s">
        <v>38</v>
      </c>
      <c r="D12" s="164" t="s">
        <v>39</v>
      </c>
      <c r="E12" s="163" t="s">
        <v>40</v>
      </c>
      <c r="F12" s="172" t="s">
        <v>28</v>
      </c>
    </row>
    <row r="13" customHeight="1" spans="1:6">
      <c r="A13" s="162"/>
      <c r="B13" s="163">
        <v>11</v>
      </c>
      <c r="C13" s="164" t="s">
        <v>41</v>
      </c>
      <c r="D13" s="164" t="s">
        <v>42</v>
      </c>
      <c r="E13" s="163" t="s">
        <v>43</v>
      </c>
      <c r="F13" s="172" t="s">
        <v>28</v>
      </c>
    </row>
    <row r="14" customHeight="1" spans="1:6">
      <c r="A14" s="162"/>
      <c r="B14" s="163">
        <v>12</v>
      </c>
      <c r="C14" s="163" t="s">
        <v>44</v>
      </c>
      <c r="D14" s="163" t="s">
        <v>45</v>
      </c>
      <c r="E14" s="163" t="s">
        <v>46</v>
      </c>
      <c r="F14" s="172" t="s">
        <v>28</v>
      </c>
    </row>
    <row r="15" customHeight="1" spans="1:6">
      <c r="A15" s="160" t="s">
        <v>47</v>
      </c>
      <c r="B15" s="161">
        <v>13</v>
      </c>
      <c r="C15" s="165" t="s">
        <v>48</v>
      </c>
      <c r="D15" s="161" t="s">
        <v>49</v>
      </c>
      <c r="E15" s="161" t="s">
        <v>50</v>
      </c>
      <c r="F15" s="170" t="s">
        <v>28</v>
      </c>
    </row>
    <row r="16" customHeight="1" spans="1:6">
      <c r="A16" s="160"/>
      <c r="B16" s="161">
        <v>14</v>
      </c>
      <c r="C16" s="165" t="s">
        <v>51</v>
      </c>
      <c r="D16" s="161" t="s">
        <v>52</v>
      </c>
      <c r="E16" s="161" t="s">
        <v>53</v>
      </c>
      <c r="F16" s="170" t="s">
        <v>28</v>
      </c>
    </row>
    <row r="17" customHeight="1" spans="1:6">
      <c r="A17" s="160"/>
      <c r="B17" s="161">
        <v>15</v>
      </c>
      <c r="C17" s="165" t="s">
        <v>54</v>
      </c>
      <c r="D17" s="161" t="s">
        <v>55</v>
      </c>
      <c r="E17" s="161" t="s">
        <v>56</v>
      </c>
      <c r="F17" s="170" t="s">
        <v>28</v>
      </c>
    </row>
    <row r="18" customHeight="1" spans="1:6">
      <c r="A18" s="160"/>
      <c r="B18" s="161">
        <v>16</v>
      </c>
      <c r="C18" s="165" t="s">
        <v>57</v>
      </c>
      <c r="D18" s="161" t="s">
        <v>58</v>
      </c>
      <c r="E18" s="161" t="s">
        <v>59</v>
      </c>
      <c r="F18" s="170" t="s">
        <v>28</v>
      </c>
    </row>
    <row r="19" customHeight="1" spans="1:6">
      <c r="A19" s="160"/>
      <c r="B19" s="161">
        <v>17</v>
      </c>
      <c r="C19" s="165" t="s">
        <v>60</v>
      </c>
      <c r="D19" s="161" t="s">
        <v>61</v>
      </c>
      <c r="E19" s="161" t="s">
        <v>62</v>
      </c>
      <c r="F19" s="170" t="s">
        <v>28</v>
      </c>
    </row>
    <row r="20" customHeight="1" spans="1:6">
      <c r="A20" s="162" t="s">
        <v>63</v>
      </c>
      <c r="B20" s="163">
        <v>18</v>
      </c>
      <c r="C20" s="164" t="s">
        <v>64</v>
      </c>
      <c r="D20" s="163" t="s">
        <v>65</v>
      </c>
      <c r="E20" s="163" t="s">
        <v>66</v>
      </c>
      <c r="F20" s="172" t="s">
        <v>28</v>
      </c>
    </row>
    <row r="21" customHeight="1" spans="1:6">
      <c r="A21" s="162"/>
      <c r="B21" s="163">
        <v>19</v>
      </c>
      <c r="C21" s="164" t="s">
        <v>67</v>
      </c>
      <c r="D21" s="163" t="s">
        <v>68</v>
      </c>
      <c r="E21" s="163" t="s">
        <v>69</v>
      </c>
      <c r="F21" s="172" t="s">
        <v>28</v>
      </c>
    </row>
    <row r="22" customHeight="1" spans="1:6">
      <c r="A22" s="162"/>
      <c r="B22" s="163">
        <v>20</v>
      </c>
      <c r="C22" s="164" t="s">
        <v>70</v>
      </c>
      <c r="D22" s="163" t="s">
        <v>71</v>
      </c>
      <c r="E22" s="163" t="s">
        <v>72</v>
      </c>
      <c r="F22" s="172" t="s">
        <v>28</v>
      </c>
    </row>
    <row r="23" customHeight="1" spans="1:6">
      <c r="A23" s="162"/>
      <c r="B23" s="163">
        <v>21</v>
      </c>
      <c r="C23" s="164" t="s">
        <v>73</v>
      </c>
      <c r="D23" s="163" t="s">
        <v>74</v>
      </c>
      <c r="E23" s="163" t="s">
        <v>75</v>
      </c>
      <c r="F23" s="172" t="s">
        <v>28</v>
      </c>
    </row>
    <row r="24" customHeight="1" spans="1:6">
      <c r="A24" s="162"/>
      <c r="B24" s="163">
        <v>22</v>
      </c>
      <c r="C24" s="164" t="s">
        <v>76</v>
      </c>
      <c r="D24" s="163" t="s">
        <v>77</v>
      </c>
      <c r="E24" s="163" t="s">
        <v>78</v>
      </c>
      <c r="F24" s="172" t="s">
        <v>28</v>
      </c>
    </row>
    <row r="25" customHeight="1" spans="1:6">
      <c r="A25" s="160" t="s">
        <v>79</v>
      </c>
      <c r="B25" s="161">
        <v>23</v>
      </c>
      <c r="C25" s="165" t="s">
        <v>80</v>
      </c>
      <c r="D25" s="161" t="s">
        <v>81</v>
      </c>
      <c r="E25" s="161" t="s">
        <v>82</v>
      </c>
      <c r="F25" s="172" t="s">
        <v>28</v>
      </c>
    </row>
    <row r="26" customHeight="1" spans="1:6">
      <c r="A26" s="160"/>
      <c r="B26" s="161">
        <v>24</v>
      </c>
      <c r="C26" s="165" t="s">
        <v>83</v>
      </c>
      <c r="D26" s="161" t="s">
        <v>84</v>
      </c>
      <c r="E26" s="161" t="s">
        <v>85</v>
      </c>
      <c r="F26" s="171" t="s">
        <v>28</v>
      </c>
    </row>
    <row r="27" customHeight="1" spans="1:6">
      <c r="A27" s="160"/>
      <c r="B27" s="161">
        <v>25</v>
      </c>
      <c r="C27" s="165" t="s">
        <v>86</v>
      </c>
      <c r="D27" s="161" t="s">
        <v>87</v>
      </c>
      <c r="E27" s="161" t="s">
        <v>88</v>
      </c>
      <c r="F27" s="172" t="s">
        <v>28</v>
      </c>
    </row>
    <row r="28" customHeight="1" spans="1:6">
      <c r="A28" s="160"/>
      <c r="B28" s="161">
        <v>26</v>
      </c>
      <c r="C28" s="165" t="s">
        <v>89</v>
      </c>
      <c r="D28" s="161" t="s">
        <v>90</v>
      </c>
      <c r="E28" s="161" t="s">
        <v>91</v>
      </c>
      <c r="F28" s="172" t="s">
        <v>28</v>
      </c>
    </row>
    <row r="29" customHeight="1" spans="1:6">
      <c r="A29" s="160"/>
      <c r="B29" s="161">
        <v>27</v>
      </c>
      <c r="C29" s="165" t="s">
        <v>92</v>
      </c>
      <c r="D29" s="161" t="s">
        <v>93</v>
      </c>
      <c r="E29" s="161" t="s">
        <v>94</v>
      </c>
      <c r="F29" s="172" t="s">
        <v>28</v>
      </c>
    </row>
    <row r="30" customHeight="1" spans="1:6">
      <c r="A30" s="160"/>
      <c r="B30" s="161">
        <v>28</v>
      </c>
      <c r="C30" s="165" t="s">
        <v>95</v>
      </c>
      <c r="D30" s="161" t="s">
        <v>96</v>
      </c>
      <c r="E30" s="161" t="s">
        <v>97</v>
      </c>
      <c r="F30" s="172" t="s">
        <v>28</v>
      </c>
    </row>
    <row r="31" customHeight="1" spans="1:6">
      <c r="A31" s="166" t="s">
        <v>98</v>
      </c>
      <c r="B31" s="163">
        <v>29</v>
      </c>
      <c r="C31" s="163" t="s">
        <v>99</v>
      </c>
      <c r="D31" s="163" t="s">
        <v>100</v>
      </c>
      <c r="E31" s="163" t="s">
        <v>101</v>
      </c>
      <c r="F31" s="172" t="s">
        <v>102</v>
      </c>
    </row>
    <row r="32" customHeight="1" spans="1:6">
      <c r="A32" s="167"/>
      <c r="B32" s="163">
        <v>30</v>
      </c>
      <c r="C32" s="163" t="s">
        <v>103</v>
      </c>
      <c r="D32" s="163" t="s">
        <v>104</v>
      </c>
      <c r="E32" s="163" t="s">
        <v>105</v>
      </c>
      <c r="F32" s="172" t="s">
        <v>106</v>
      </c>
    </row>
    <row r="33" customHeight="1" spans="3:4">
      <c r="C33" s="168"/>
      <c r="D33" s="168"/>
    </row>
    <row r="34" customHeight="1" spans="3:4">
      <c r="C34" s="168"/>
      <c r="D34" s="168"/>
    </row>
    <row r="35" customHeight="1" spans="3:4">
      <c r="C35" s="168"/>
      <c r="D35" s="168"/>
    </row>
    <row r="36" customHeight="1" spans="3:4">
      <c r="C36" s="168"/>
      <c r="D36" s="168"/>
    </row>
    <row r="37" customHeight="1" spans="3:4">
      <c r="C37" s="168"/>
      <c r="D37" s="168"/>
    </row>
    <row r="38" customHeight="1" spans="3:4">
      <c r="C38" s="168"/>
      <c r="D38" s="168"/>
    </row>
  </sheetData>
  <sheetProtection formatCells="0" insertHyperlinks="0" autoFilter="0"/>
  <mergeCells count="7">
    <mergeCell ref="A1:F1"/>
    <mergeCell ref="A3:A7"/>
    <mergeCell ref="A8:A14"/>
    <mergeCell ref="A15:A19"/>
    <mergeCell ref="A20:A24"/>
    <mergeCell ref="A25:A30"/>
    <mergeCell ref="A31:A32"/>
  </mergeCells>
  <hyperlinks>
    <hyperlink ref="F3" location="'①竞品调研'!A1" display="①竞品调研"/>
    <hyperlink ref="F4" location="'①竞品调研'!A1" display="①竞品调研"/>
    <hyperlink ref="F5" location="'①竞品调研'!A1" display="①竞品调研"/>
    <hyperlink ref="F6" location="'①竞品调研'!A1" display="①竞品调研"/>
    <hyperlink ref="F7" location="'①竞品调研'!A1" display="①竞品调研"/>
    <hyperlink ref="F8" location="'②竞品Listing拆解'!A1" display="②竞品Listing拆解"/>
    <hyperlink ref="F9" location="'②竞品Listing拆解'!A1" display="②竞品Listing拆解"/>
    <hyperlink ref="F10" location="'②竞品Listing拆解'!A1" display="②竞品Listing拆解"/>
    <hyperlink ref="F11" location="'②竞品Listing拆解'!A1" display="②竞品Listing拆解"/>
    <hyperlink ref="F12" location="'②竞品Listing拆解'!A1" display="②竞品Listing拆解"/>
    <hyperlink ref="F13" location="'②竞品Listing拆解'!A1" display="②竞品Listing拆解"/>
    <hyperlink ref="F14" location="'②竞品Listing拆解'!A1" display="②竞品Listing拆解"/>
    <hyperlink ref="F15" location="'②竞品Listing拆解'!A1" display="②竞品Listing拆解"/>
    <hyperlink ref="F16" location="'②竞品Listing拆解'!A1" display="②竞品Listing拆解"/>
    <hyperlink ref="F17" location="'②竞品Listing拆解'!A1" display="②竞品Listing拆解"/>
    <hyperlink ref="F18" location="'②竞品Listing拆解'!A1" display="②竞品Listing拆解"/>
    <hyperlink ref="F19" location="'②竞品Listing拆解'!A1" display="②竞品Listing拆解"/>
    <hyperlink ref="F20" location="'②竞品Listing拆解'!A1" display="②竞品Listing拆解"/>
    <hyperlink ref="F21" location="'②竞品Listing拆解'!A1" display="②竞品Listing拆解"/>
    <hyperlink ref="F22" location="'②竞品Listing拆解'!A1" display="②竞品Listing拆解"/>
    <hyperlink ref="F23" location="'②竞品Listing拆解'!A1" display="②竞品Listing拆解"/>
    <hyperlink ref="F24" location="'②竞品Listing拆解'!A1" display="②竞品Listing拆解"/>
    <hyperlink ref="F25" location="'②竞品Listing拆解'!A1" display="②竞品Listing拆解"/>
    <hyperlink ref="F26" location="'②竞品Listing拆解'!A1" display="②竞品Listing拆解"/>
    <hyperlink ref="F27" location="'②竞品Listing拆解'!A1" display="②竞品Listing拆解"/>
    <hyperlink ref="F28" location="'②竞品Listing拆解'!A1" display="②竞品Listing拆解"/>
    <hyperlink ref="F29" location="'②竞品Listing拆解'!A1" display="②竞品Listing拆解"/>
    <hyperlink ref="F30" location="'②竞品Listing拆解'!A1" display="②竞品Listing拆解"/>
    <hyperlink ref="F31" location="'③Listing关键词库'!A1" display="③Listing关键词库"/>
    <hyperlink ref="F32" location="'④素材库'!A1" display="④素材库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8"/>
  <sheetViews>
    <sheetView workbookViewId="0">
      <selection activeCell="C3" sqref="C3:I6"/>
    </sheetView>
  </sheetViews>
  <sheetFormatPr defaultColWidth="10" defaultRowHeight="16.5" customHeight="1"/>
  <cols>
    <col min="1" max="1" width="14.3666666666667" style="72"/>
    <col min="2" max="2" width="10.6333333333333" style="72"/>
    <col min="3" max="3" width="9.18333333333333" style="72"/>
    <col min="4" max="5" width="9.36666666666667" style="72"/>
    <col min="6" max="6" width="8" style="72"/>
    <col min="7" max="7" width="9.45" style="72"/>
    <col min="8" max="8" width="10" style="72" customWidth="1"/>
    <col min="9" max="9" width="43.6333333333333" style="72" customWidth="1"/>
  </cols>
  <sheetData>
    <row r="1" ht="35.25" customHeight="1" spans="1:9">
      <c r="A1" s="122" t="s">
        <v>107</v>
      </c>
      <c r="B1" s="123"/>
      <c r="C1" s="123"/>
      <c r="D1" s="123"/>
      <c r="E1" s="123"/>
      <c r="F1" s="123"/>
      <c r="G1" s="123"/>
      <c r="H1" s="151"/>
      <c r="I1" s="151"/>
    </row>
    <row r="2" ht="24.75" customHeight="1" spans="1:9">
      <c r="A2" s="124" t="s">
        <v>108</v>
      </c>
      <c r="B2" s="125" t="s">
        <v>109</v>
      </c>
      <c r="C2" s="125" t="s">
        <v>110</v>
      </c>
      <c r="D2" s="126"/>
      <c r="E2" s="126"/>
      <c r="F2" s="126"/>
      <c r="G2" s="126"/>
      <c r="H2" s="152"/>
      <c r="I2" s="152"/>
    </row>
    <row r="3" ht="18" customHeight="1" spans="1:9">
      <c r="A3" s="127"/>
      <c r="B3" s="128">
        <v>1</v>
      </c>
      <c r="C3" s="129" t="s">
        <v>111</v>
      </c>
      <c r="D3" s="130"/>
      <c r="E3" s="130"/>
      <c r="F3" s="130"/>
      <c r="G3" s="130"/>
      <c r="H3" s="130"/>
      <c r="I3" s="156"/>
    </row>
    <row r="4" ht="18" customHeight="1" spans="1:9">
      <c r="A4" s="127"/>
      <c r="B4" s="128">
        <v>2</v>
      </c>
      <c r="C4" s="131" t="s">
        <v>112</v>
      </c>
      <c r="D4" s="132"/>
      <c r="E4" s="132"/>
      <c r="F4" s="132"/>
      <c r="G4" s="132"/>
      <c r="H4" s="153"/>
      <c r="I4" s="153"/>
    </row>
    <row r="5" ht="18" customHeight="1" spans="1:9">
      <c r="A5" s="133"/>
      <c r="B5" s="134">
        <v>3</v>
      </c>
      <c r="C5" s="131" t="s">
        <v>113</v>
      </c>
      <c r="D5" s="132"/>
      <c r="E5" s="132"/>
      <c r="F5" s="132"/>
      <c r="G5" s="132"/>
      <c r="H5" s="153"/>
      <c r="I5" s="153"/>
    </row>
    <row r="6" ht="18" customHeight="1" spans="1:9">
      <c r="A6" s="133"/>
      <c r="B6" s="134">
        <v>4</v>
      </c>
      <c r="C6" s="131" t="s">
        <v>114</v>
      </c>
      <c r="D6" s="132"/>
      <c r="E6" s="132"/>
      <c r="F6" s="132"/>
      <c r="G6" s="132"/>
      <c r="H6" s="153"/>
      <c r="I6" s="153"/>
    </row>
    <row r="7" ht="26.25" customHeight="1" spans="1:9">
      <c r="A7" s="135" t="s">
        <v>115</v>
      </c>
      <c r="B7" s="136"/>
      <c r="C7" s="136"/>
      <c r="D7" s="136"/>
      <c r="E7" s="136"/>
      <c r="F7" s="136"/>
      <c r="G7" s="136"/>
      <c r="H7" s="154"/>
      <c r="I7" s="154"/>
    </row>
    <row r="8" customHeight="1" spans="1:9">
      <c r="A8" s="137" t="s">
        <v>116</v>
      </c>
      <c r="B8" s="138" t="s">
        <v>117</v>
      </c>
      <c r="C8" s="138" t="s">
        <v>118</v>
      </c>
      <c r="D8" s="138" t="s">
        <v>119</v>
      </c>
      <c r="E8" s="138" t="s">
        <v>120</v>
      </c>
      <c r="F8" s="138" t="s">
        <v>121</v>
      </c>
      <c r="G8" s="138" t="s">
        <v>122</v>
      </c>
      <c r="H8" s="138" t="s">
        <v>123</v>
      </c>
      <c r="I8" s="138" t="s">
        <v>124</v>
      </c>
    </row>
    <row r="9" customHeight="1" spans="1:9">
      <c r="A9" s="139" t="s">
        <v>125</v>
      </c>
      <c r="B9" s="140" t="s">
        <v>126</v>
      </c>
      <c r="C9" s="141" t="s">
        <v>127</v>
      </c>
      <c r="D9" s="142"/>
      <c r="E9" s="142"/>
      <c r="F9" s="155"/>
      <c r="G9" s="155"/>
      <c r="H9" s="155"/>
      <c r="I9" s="155"/>
    </row>
    <row r="10" customHeight="1" spans="1:9">
      <c r="A10" s="139"/>
      <c r="B10" s="143"/>
      <c r="C10" s="141" t="s">
        <v>128</v>
      </c>
      <c r="D10" s="142"/>
      <c r="E10" s="142"/>
      <c r="F10" s="155"/>
      <c r="G10" s="155"/>
      <c r="H10" s="155"/>
      <c r="I10" s="155"/>
    </row>
    <row r="11" customHeight="1" spans="1:9">
      <c r="A11" s="139"/>
      <c r="B11" s="143"/>
      <c r="C11" s="141" t="s">
        <v>129</v>
      </c>
      <c r="D11" s="142"/>
      <c r="E11" s="142"/>
      <c r="F11" s="155"/>
      <c r="G11" s="155"/>
      <c r="H11" s="155"/>
      <c r="I11" s="155"/>
    </row>
    <row r="12" customHeight="1" spans="1:9">
      <c r="A12" s="139"/>
      <c r="B12" s="143"/>
      <c r="C12" s="141" t="s">
        <v>130</v>
      </c>
      <c r="D12" s="142"/>
      <c r="E12" s="142"/>
      <c r="F12" s="155"/>
      <c r="G12" s="155"/>
      <c r="H12" s="155"/>
      <c r="I12" s="155"/>
    </row>
    <row r="13" customHeight="1" spans="1:9">
      <c r="A13" s="144"/>
      <c r="B13" s="143"/>
      <c r="C13" s="141" t="s">
        <v>131</v>
      </c>
      <c r="D13" s="142"/>
      <c r="E13" s="142"/>
      <c r="F13" s="155"/>
      <c r="G13" s="155"/>
      <c r="H13" s="155"/>
      <c r="I13" s="155"/>
    </row>
    <row r="14" customHeight="1" spans="1:9">
      <c r="A14" s="144"/>
      <c r="B14" s="143"/>
      <c r="C14" s="141" t="s">
        <v>132</v>
      </c>
      <c r="D14" s="142"/>
      <c r="E14" s="142"/>
      <c r="F14" s="155"/>
      <c r="G14" s="155"/>
      <c r="H14" s="155"/>
      <c r="I14" s="155"/>
    </row>
    <row r="15" customHeight="1" spans="1:9">
      <c r="A15" s="144"/>
      <c r="B15" s="143"/>
      <c r="C15" s="141" t="s">
        <v>133</v>
      </c>
      <c r="D15" s="142"/>
      <c r="E15" s="142"/>
      <c r="F15" s="155"/>
      <c r="G15" s="155"/>
      <c r="H15" s="155"/>
      <c r="I15" s="155"/>
    </row>
    <row r="16" customHeight="1" spans="1:9">
      <c r="A16" s="144"/>
      <c r="B16" s="143"/>
      <c r="C16" s="141" t="s">
        <v>134</v>
      </c>
      <c r="D16" s="142"/>
      <c r="E16" s="142"/>
      <c r="F16" s="155"/>
      <c r="G16" s="155"/>
      <c r="H16" s="155"/>
      <c r="I16" s="155"/>
    </row>
    <row r="17" customHeight="1" spans="1:9">
      <c r="A17" s="144"/>
      <c r="B17" s="143"/>
      <c r="C17" s="141" t="s">
        <v>135</v>
      </c>
      <c r="D17" s="142"/>
      <c r="E17" s="142"/>
      <c r="F17" s="155"/>
      <c r="G17" s="155"/>
      <c r="H17" s="155"/>
      <c r="I17" s="155"/>
    </row>
    <row r="18" customHeight="1" spans="1:9">
      <c r="A18" s="144"/>
      <c r="B18" s="143"/>
      <c r="C18" s="141" t="s">
        <v>136</v>
      </c>
      <c r="D18" s="142"/>
      <c r="E18" s="142"/>
      <c r="F18" s="155"/>
      <c r="G18" s="155"/>
      <c r="H18" s="155"/>
      <c r="I18" s="155"/>
    </row>
    <row r="19" customHeight="1" spans="1:9">
      <c r="A19" s="144"/>
      <c r="B19" s="140" t="s">
        <v>137</v>
      </c>
      <c r="C19" s="141" t="s">
        <v>127</v>
      </c>
      <c r="D19" s="142"/>
      <c r="E19" s="142"/>
      <c r="F19" s="155"/>
      <c r="G19" s="155"/>
      <c r="H19" s="155"/>
      <c r="I19" s="155"/>
    </row>
    <row r="20" customHeight="1" spans="1:9">
      <c r="A20" s="144"/>
      <c r="B20" s="143"/>
      <c r="C20" s="141" t="s">
        <v>128</v>
      </c>
      <c r="D20" s="142"/>
      <c r="E20" s="142"/>
      <c r="F20" s="155"/>
      <c r="G20" s="155"/>
      <c r="H20" s="155"/>
      <c r="I20" s="155"/>
    </row>
    <row r="21" customHeight="1" spans="1:9">
      <c r="A21" s="144"/>
      <c r="B21" s="143"/>
      <c r="C21" s="141" t="s">
        <v>129</v>
      </c>
      <c r="D21" s="142"/>
      <c r="E21" s="142"/>
      <c r="F21" s="155"/>
      <c r="G21" s="155"/>
      <c r="H21" s="155"/>
      <c r="I21" s="155"/>
    </row>
    <row r="22" customHeight="1" spans="1:9">
      <c r="A22" s="144"/>
      <c r="B22" s="143"/>
      <c r="C22" s="141" t="s">
        <v>130</v>
      </c>
      <c r="D22" s="142"/>
      <c r="E22" s="142"/>
      <c r="F22" s="155"/>
      <c r="G22" s="155"/>
      <c r="H22" s="155"/>
      <c r="I22" s="155"/>
    </row>
    <row r="23" customHeight="1" spans="1:9">
      <c r="A23" s="144"/>
      <c r="B23" s="143"/>
      <c r="C23" s="141" t="s">
        <v>131</v>
      </c>
      <c r="D23" s="142"/>
      <c r="E23" s="142"/>
      <c r="F23" s="155"/>
      <c r="G23" s="155"/>
      <c r="H23" s="155"/>
      <c r="I23" s="155"/>
    </row>
    <row r="24" customHeight="1" spans="1:9">
      <c r="A24" s="144"/>
      <c r="B24" s="143"/>
      <c r="C24" s="141" t="s">
        <v>132</v>
      </c>
      <c r="D24" s="142"/>
      <c r="E24" s="142"/>
      <c r="F24" s="155"/>
      <c r="G24" s="155"/>
      <c r="H24" s="155"/>
      <c r="I24" s="155"/>
    </row>
    <row r="25" customHeight="1" spans="1:9">
      <c r="A25" s="144"/>
      <c r="B25" s="143"/>
      <c r="C25" s="141" t="s">
        <v>133</v>
      </c>
      <c r="D25" s="142"/>
      <c r="E25" s="142"/>
      <c r="F25" s="155"/>
      <c r="G25" s="155"/>
      <c r="H25" s="155"/>
      <c r="I25" s="155"/>
    </row>
    <row r="26" customHeight="1" spans="1:9">
      <c r="A26" s="144"/>
      <c r="B26" s="143"/>
      <c r="C26" s="141" t="s">
        <v>134</v>
      </c>
      <c r="D26" s="142"/>
      <c r="E26" s="142"/>
      <c r="F26" s="155"/>
      <c r="G26" s="155"/>
      <c r="H26" s="155"/>
      <c r="I26" s="155"/>
    </row>
    <row r="27" customHeight="1" spans="1:9">
      <c r="A27" s="144"/>
      <c r="B27" s="143"/>
      <c r="C27" s="141" t="s">
        <v>135</v>
      </c>
      <c r="D27" s="142"/>
      <c r="E27" s="142"/>
      <c r="F27" s="155"/>
      <c r="G27" s="155"/>
      <c r="H27" s="155"/>
      <c r="I27" s="155"/>
    </row>
    <row r="28" customHeight="1" spans="1:9">
      <c r="A28" s="144"/>
      <c r="B28" s="143"/>
      <c r="C28" s="141" t="s">
        <v>136</v>
      </c>
      <c r="D28" s="142"/>
      <c r="E28" s="142"/>
      <c r="F28" s="155"/>
      <c r="G28" s="155"/>
      <c r="H28" s="155"/>
      <c r="I28" s="155"/>
    </row>
    <row r="29" customHeight="1" spans="1:9">
      <c r="A29" s="144"/>
      <c r="B29" s="140" t="s">
        <v>138</v>
      </c>
      <c r="C29" s="141" t="s">
        <v>127</v>
      </c>
      <c r="D29" s="142"/>
      <c r="E29" s="142"/>
      <c r="F29" s="155"/>
      <c r="G29" s="155"/>
      <c r="H29" s="155"/>
      <c r="I29" s="155"/>
    </row>
    <row r="30" customHeight="1" spans="1:9">
      <c r="A30" s="144"/>
      <c r="B30" s="143"/>
      <c r="C30" s="141" t="s">
        <v>128</v>
      </c>
      <c r="D30" s="142"/>
      <c r="E30" s="142"/>
      <c r="F30" s="155"/>
      <c r="G30" s="155"/>
      <c r="H30" s="155"/>
      <c r="I30" s="155"/>
    </row>
    <row r="31" customHeight="1" spans="1:9">
      <c r="A31" s="144"/>
      <c r="B31" s="143"/>
      <c r="C31" s="141" t="s">
        <v>129</v>
      </c>
      <c r="D31" s="142"/>
      <c r="E31" s="142"/>
      <c r="F31" s="155"/>
      <c r="G31" s="155"/>
      <c r="H31" s="155"/>
      <c r="I31" s="155"/>
    </row>
    <row r="32" customHeight="1" spans="1:9">
      <c r="A32" s="144"/>
      <c r="B32" s="143"/>
      <c r="C32" s="141" t="s">
        <v>130</v>
      </c>
      <c r="D32" s="142"/>
      <c r="E32" s="142"/>
      <c r="F32" s="155"/>
      <c r="G32" s="155"/>
      <c r="H32" s="155"/>
      <c r="I32" s="155"/>
    </row>
    <row r="33" customHeight="1" spans="1:9">
      <c r="A33" s="144"/>
      <c r="B33" s="143"/>
      <c r="C33" s="141" t="s">
        <v>131</v>
      </c>
      <c r="D33" s="142"/>
      <c r="E33" s="142"/>
      <c r="F33" s="155"/>
      <c r="G33" s="155"/>
      <c r="H33" s="155"/>
      <c r="I33" s="155"/>
    </row>
    <row r="34" customHeight="1" spans="1:9">
      <c r="A34" s="144"/>
      <c r="B34" s="143"/>
      <c r="C34" s="141" t="s">
        <v>132</v>
      </c>
      <c r="D34" s="142"/>
      <c r="E34" s="142"/>
      <c r="F34" s="155"/>
      <c r="G34" s="155"/>
      <c r="H34" s="155"/>
      <c r="I34" s="155"/>
    </row>
    <row r="35" customHeight="1" spans="1:9">
      <c r="A35" s="144"/>
      <c r="B35" s="143"/>
      <c r="C35" s="141" t="s">
        <v>133</v>
      </c>
      <c r="D35" s="142"/>
      <c r="E35" s="142"/>
      <c r="F35" s="155"/>
      <c r="G35" s="155"/>
      <c r="H35" s="155"/>
      <c r="I35" s="155"/>
    </row>
    <row r="36" customHeight="1" spans="1:9">
      <c r="A36" s="144"/>
      <c r="B36" s="143"/>
      <c r="C36" s="141" t="s">
        <v>134</v>
      </c>
      <c r="D36" s="142"/>
      <c r="E36" s="142"/>
      <c r="F36" s="155"/>
      <c r="G36" s="155"/>
      <c r="H36" s="155"/>
      <c r="I36" s="155"/>
    </row>
    <row r="37" customHeight="1" spans="1:9">
      <c r="A37" s="144"/>
      <c r="B37" s="143"/>
      <c r="C37" s="141" t="s">
        <v>135</v>
      </c>
      <c r="D37" s="142"/>
      <c r="E37" s="142"/>
      <c r="F37" s="155"/>
      <c r="G37" s="155"/>
      <c r="H37" s="155"/>
      <c r="I37" s="155"/>
    </row>
    <row r="38" customHeight="1" spans="1:9">
      <c r="A38" s="144"/>
      <c r="B38" s="145"/>
      <c r="C38" s="141" t="s">
        <v>136</v>
      </c>
      <c r="D38" s="142"/>
      <c r="E38" s="142"/>
      <c r="F38" s="155"/>
      <c r="G38" s="155"/>
      <c r="H38" s="155"/>
      <c r="I38" s="155"/>
    </row>
    <row r="39" customHeight="1" spans="1:9">
      <c r="A39" s="146" t="s">
        <v>139</v>
      </c>
      <c r="B39" s="147" t="s">
        <v>126</v>
      </c>
      <c r="C39" s="148" t="s">
        <v>127</v>
      </c>
      <c r="D39" s="138"/>
      <c r="E39" s="138"/>
      <c r="F39" s="138"/>
      <c r="G39" s="138"/>
      <c r="H39" s="138"/>
      <c r="I39" s="138"/>
    </row>
    <row r="40" customHeight="1" spans="1:9">
      <c r="A40" s="149"/>
      <c r="B40" s="147" t="s">
        <v>126</v>
      </c>
      <c r="C40" s="148" t="s">
        <v>128</v>
      </c>
      <c r="D40" s="138"/>
      <c r="E40" s="138"/>
      <c r="F40" s="138"/>
      <c r="G40" s="138"/>
      <c r="H40" s="138"/>
      <c r="I40" s="138"/>
    </row>
    <row r="41" customHeight="1" spans="1:9">
      <c r="A41" s="149"/>
      <c r="B41" s="147" t="s">
        <v>126</v>
      </c>
      <c r="C41" s="148" t="s">
        <v>129</v>
      </c>
      <c r="D41" s="138"/>
      <c r="E41" s="138"/>
      <c r="F41" s="138"/>
      <c r="G41" s="138"/>
      <c r="H41" s="138"/>
      <c r="I41" s="138"/>
    </row>
    <row r="42" customHeight="1" spans="1:9">
      <c r="A42" s="149"/>
      <c r="B42" s="147" t="s">
        <v>137</v>
      </c>
      <c r="C42" s="148" t="s">
        <v>130</v>
      </c>
      <c r="D42" s="138"/>
      <c r="E42" s="138"/>
      <c r="F42" s="138"/>
      <c r="G42" s="138"/>
      <c r="H42" s="138"/>
      <c r="I42" s="138"/>
    </row>
    <row r="43" customHeight="1" spans="1:9">
      <c r="A43" s="149"/>
      <c r="B43" s="147" t="s">
        <v>137</v>
      </c>
      <c r="C43" s="148" t="s">
        <v>131</v>
      </c>
      <c r="D43" s="138"/>
      <c r="E43" s="138"/>
      <c r="F43" s="138"/>
      <c r="G43" s="138"/>
      <c r="H43" s="138"/>
      <c r="I43" s="138"/>
    </row>
    <row r="44" customHeight="1" spans="1:9">
      <c r="A44" s="149"/>
      <c r="B44" s="147" t="s">
        <v>137</v>
      </c>
      <c r="C44" s="148" t="s">
        <v>132</v>
      </c>
      <c r="D44" s="138"/>
      <c r="E44" s="138"/>
      <c r="F44" s="138"/>
      <c r="G44" s="138"/>
      <c r="H44" s="138"/>
      <c r="I44" s="138"/>
    </row>
    <row r="45" customHeight="1" spans="1:9">
      <c r="A45" s="149"/>
      <c r="B45" s="147" t="s">
        <v>138</v>
      </c>
      <c r="C45" s="148" t="s">
        <v>133</v>
      </c>
      <c r="D45" s="138"/>
      <c r="E45" s="138"/>
      <c r="F45" s="138"/>
      <c r="G45" s="138"/>
      <c r="H45" s="138"/>
      <c r="I45" s="138"/>
    </row>
    <row r="46" customHeight="1" spans="1:9">
      <c r="A46" s="149"/>
      <c r="B46" s="147" t="s">
        <v>138</v>
      </c>
      <c r="C46" s="148" t="s">
        <v>134</v>
      </c>
      <c r="D46" s="138"/>
      <c r="E46" s="138"/>
      <c r="F46" s="138"/>
      <c r="G46" s="138"/>
      <c r="H46" s="138"/>
      <c r="I46" s="138"/>
    </row>
    <row r="47" customHeight="1" spans="1:9">
      <c r="A47" s="149"/>
      <c r="B47" s="147" t="s">
        <v>138</v>
      </c>
      <c r="C47" s="148" t="s">
        <v>135</v>
      </c>
      <c r="D47" s="138"/>
      <c r="E47" s="138"/>
      <c r="F47" s="138"/>
      <c r="G47" s="138"/>
      <c r="H47" s="138"/>
      <c r="I47" s="138"/>
    </row>
    <row r="48" customHeight="1" spans="1:9">
      <c r="A48" s="150"/>
      <c r="B48" s="147" t="s">
        <v>138</v>
      </c>
      <c r="C48" s="148" t="s">
        <v>136</v>
      </c>
      <c r="D48" s="138"/>
      <c r="E48" s="138"/>
      <c r="F48" s="138"/>
      <c r="G48" s="138"/>
      <c r="H48" s="138"/>
      <c r="I48" s="138"/>
    </row>
  </sheetData>
  <sheetProtection formatCells="0" insertHyperlinks="0" autoFilter="0"/>
  <mergeCells count="13">
    <mergeCell ref="A1:I1"/>
    <mergeCell ref="C2:I2"/>
    <mergeCell ref="C3:I3"/>
    <mergeCell ref="C4:I4"/>
    <mergeCell ref="C5:I5"/>
    <mergeCell ref="C6:I6"/>
    <mergeCell ref="A7:I7"/>
    <mergeCell ref="A2:A6"/>
    <mergeCell ref="A9:A38"/>
    <mergeCell ref="A39:A48"/>
    <mergeCell ref="B9:B18"/>
    <mergeCell ref="B19:B28"/>
    <mergeCell ref="B29:B3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47"/>
  <sheetViews>
    <sheetView topLeftCell="A2" workbookViewId="0">
      <selection activeCell="O42" sqref="O42:O47"/>
    </sheetView>
  </sheetViews>
  <sheetFormatPr defaultColWidth="10" defaultRowHeight="16.5" customHeight="1"/>
  <cols>
    <col min="1" max="1" width="10.8166666666667" style="72"/>
    <col min="2" max="2" width="21.6333333333333" style="72" customWidth="1"/>
    <col min="3" max="3" width="9" style="72"/>
    <col min="14" max="14" width="13.6333333333333" style="72" customWidth="1"/>
    <col min="15" max="15" width="39.725" style="72" customWidth="1"/>
    <col min="16" max="16" width="19.3666666666667" style="72" customWidth="1"/>
    <col min="17" max="17" width="15.8166666666667" style="72" customWidth="1"/>
  </cols>
  <sheetData>
    <row r="1" ht="35.25" customHeight="1" spans="1:17">
      <c r="A1" s="78" t="s">
        <v>24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ht="18" customHeight="1" spans="1:17">
      <c r="A2" s="82" t="s">
        <v>108</v>
      </c>
      <c r="B2" s="83" t="s">
        <v>109</v>
      </c>
      <c r="C2" s="84" t="s">
        <v>110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116"/>
    </row>
    <row r="3" ht="18" customHeight="1" spans="1:17">
      <c r="A3" s="86"/>
      <c r="B3" s="83">
        <v>1</v>
      </c>
      <c r="C3" s="87" t="s">
        <v>140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117"/>
    </row>
    <row r="4" ht="18" customHeight="1" spans="1:17">
      <c r="A4" s="89"/>
      <c r="B4" s="83">
        <v>2</v>
      </c>
      <c r="C4" s="87" t="s">
        <v>141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117"/>
    </row>
    <row r="5" customHeight="1" spans="1:17">
      <c r="A5" s="90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116"/>
    </row>
    <row r="6" ht="18" customHeight="1" spans="1:17">
      <c r="A6" s="83" t="s">
        <v>142</v>
      </c>
      <c r="B6" s="83" t="s">
        <v>143</v>
      </c>
      <c r="C6" s="83" t="s">
        <v>2</v>
      </c>
      <c r="D6" s="83" t="s">
        <v>127</v>
      </c>
      <c r="E6" s="83" t="s">
        <v>128</v>
      </c>
      <c r="F6" s="83" t="s">
        <v>129</v>
      </c>
      <c r="G6" s="83" t="s">
        <v>130</v>
      </c>
      <c r="H6" s="83" t="s">
        <v>131</v>
      </c>
      <c r="I6" s="83" t="s">
        <v>132</v>
      </c>
      <c r="J6" s="83" t="s">
        <v>133</v>
      </c>
      <c r="K6" s="83" t="s">
        <v>134</v>
      </c>
      <c r="L6" s="83" t="s">
        <v>135</v>
      </c>
      <c r="M6" s="83" t="s">
        <v>136</v>
      </c>
      <c r="N6" s="83" t="s">
        <v>144</v>
      </c>
      <c r="O6" s="83" t="s">
        <v>145</v>
      </c>
      <c r="P6" s="83" t="s">
        <v>146</v>
      </c>
      <c r="Q6" s="83" t="s">
        <v>147</v>
      </c>
    </row>
    <row r="7" customHeight="1" spans="1:17">
      <c r="A7" s="91" t="s">
        <v>148</v>
      </c>
      <c r="B7" s="92" t="s">
        <v>149</v>
      </c>
      <c r="C7" s="76" t="s">
        <v>150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94"/>
      <c r="O7" s="103" t="s">
        <v>151</v>
      </c>
      <c r="P7" s="104" t="s">
        <v>152</v>
      </c>
      <c r="Q7" s="118" t="s">
        <v>153</v>
      </c>
    </row>
    <row r="8" customHeight="1" spans="1:17">
      <c r="A8" s="91"/>
      <c r="B8" s="92"/>
      <c r="C8" s="76" t="s">
        <v>154</v>
      </c>
      <c r="D8" s="76"/>
      <c r="E8" s="76"/>
      <c r="F8" s="76"/>
      <c r="G8" s="76"/>
      <c r="H8" s="76"/>
      <c r="I8" s="76"/>
      <c r="J8" s="76"/>
      <c r="K8" s="76"/>
      <c r="L8" s="76"/>
      <c r="M8" s="76"/>
      <c r="N8" s="89"/>
      <c r="O8" s="103" t="s">
        <v>155</v>
      </c>
      <c r="P8" s="105"/>
      <c r="Q8" s="119"/>
    </row>
    <row r="9" customHeight="1" spans="1:17">
      <c r="A9" s="91" t="s">
        <v>156</v>
      </c>
      <c r="B9" s="93" t="s">
        <v>157</v>
      </c>
      <c r="C9" s="76" t="s">
        <v>158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94"/>
      <c r="O9" s="103" t="s">
        <v>159</v>
      </c>
      <c r="P9" s="104" t="s">
        <v>160</v>
      </c>
      <c r="Q9" s="120" t="s">
        <v>161</v>
      </c>
    </row>
    <row r="10" customHeight="1" spans="1:17">
      <c r="A10" s="91"/>
      <c r="B10" s="93" t="s">
        <v>162</v>
      </c>
      <c r="C10" s="76" t="s">
        <v>163</v>
      </c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86"/>
      <c r="O10" s="103" t="s">
        <v>164</v>
      </c>
      <c r="P10" s="106"/>
      <c r="Q10" s="121"/>
    </row>
    <row r="11" customHeight="1" spans="1:17">
      <c r="A11" s="91"/>
      <c r="B11" s="93"/>
      <c r="C11" s="76" t="s">
        <v>165</v>
      </c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86"/>
      <c r="O11" s="107"/>
      <c r="P11" s="106"/>
      <c r="Q11" s="121"/>
    </row>
    <row r="12" customHeight="1" spans="1:17">
      <c r="A12" s="91"/>
      <c r="B12" s="93" t="s">
        <v>166</v>
      </c>
      <c r="C12" s="76" t="s">
        <v>167</v>
      </c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86"/>
      <c r="O12" s="103" t="s">
        <v>168</v>
      </c>
      <c r="P12" s="106"/>
      <c r="Q12" s="121"/>
    </row>
    <row r="13" customHeight="1" spans="1:17">
      <c r="A13" s="91"/>
      <c r="B13" s="93"/>
      <c r="C13" s="76" t="s">
        <v>169</v>
      </c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86"/>
      <c r="O13" s="107"/>
      <c r="P13" s="106"/>
      <c r="Q13" s="121"/>
    </row>
    <row r="14" customHeight="1" spans="1:17">
      <c r="A14" s="91"/>
      <c r="B14" s="93"/>
      <c r="C14" s="76" t="s">
        <v>170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86"/>
      <c r="O14" s="107"/>
      <c r="P14" s="106"/>
      <c r="Q14" s="121"/>
    </row>
    <row r="15" customHeight="1" spans="1:17">
      <c r="A15" s="91"/>
      <c r="B15" s="93" t="s">
        <v>171</v>
      </c>
      <c r="C15" s="76" t="s">
        <v>172</v>
      </c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86"/>
      <c r="O15" s="103" t="s">
        <v>173</v>
      </c>
      <c r="P15" s="106"/>
      <c r="Q15" s="121"/>
    </row>
    <row r="16" customHeight="1" spans="1:17">
      <c r="A16" s="91"/>
      <c r="B16" s="93" t="s">
        <v>174</v>
      </c>
      <c r="C16" s="76" t="s">
        <v>175</v>
      </c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86"/>
      <c r="O16" s="103" t="s">
        <v>176</v>
      </c>
      <c r="P16" s="106"/>
      <c r="Q16" s="121"/>
    </row>
    <row r="17" customHeight="1" spans="1:17">
      <c r="A17" s="91"/>
      <c r="B17" s="93"/>
      <c r="C17" s="76" t="s">
        <v>177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86"/>
      <c r="O17" s="107"/>
      <c r="P17" s="106"/>
      <c r="Q17" s="121"/>
    </row>
    <row r="18" customHeight="1" spans="1:17">
      <c r="A18" s="91"/>
      <c r="B18" s="93" t="s">
        <v>178</v>
      </c>
      <c r="C18" s="76" t="s">
        <v>179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89"/>
      <c r="O18" s="103" t="s">
        <v>180</v>
      </c>
      <c r="P18" s="106"/>
      <c r="Q18" s="121"/>
    </row>
    <row r="19" customHeight="1" spans="1:17">
      <c r="A19" s="91" t="s">
        <v>181</v>
      </c>
      <c r="B19" s="92" t="s">
        <v>182</v>
      </c>
      <c r="C19" s="94" t="s">
        <v>183</v>
      </c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103" t="s">
        <v>184</v>
      </c>
      <c r="P19" s="104" t="s">
        <v>185</v>
      </c>
      <c r="Q19" s="94"/>
    </row>
    <row r="20" customHeight="1" spans="1:17">
      <c r="A20" s="91"/>
      <c r="B20" s="93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107"/>
      <c r="P20" s="86"/>
      <c r="Q20" s="86"/>
    </row>
    <row r="21" customHeight="1" spans="1:17">
      <c r="A21" s="91"/>
      <c r="B21" s="93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107"/>
      <c r="P21" s="86"/>
      <c r="Q21" s="86"/>
    </row>
    <row r="22" customHeight="1" spans="1:17">
      <c r="A22" s="91"/>
      <c r="B22" s="93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107"/>
      <c r="P22" s="86"/>
      <c r="Q22" s="86"/>
    </row>
    <row r="23" customHeight="1" spans="1:17">
      <c r="A23" s="91"/>
      <c r="B23" s="93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107"/>
      <c r="P23" s="86"/>
      <c r="Q23" s="89"/>
    </row>
    <row r="24" customHeight="1" spans="1:17">
      <c r="A24" s="91" t="s">
        <v>32</v>
      </c>
      <c r="B24" s="92" t="s">
        <v>186</v>
      </c>
      <c r="C24" s="76" t="s">
        <v>187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94"/>
      <c r="O24" s="103" t="s">
        <v>188</v>
      </c>
      <c r="P24" s="104" t="s">
        <v>189</v>
      </c>
      <c r="Q24" s="76"/>
    </row>
    <row r="25" customHeight="1" spans="1:17">
      <c r="A25" s="91"/>
      <c r="B25" s="93"/>
      <c r="C25" s="76" t="s">
        <v>190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86"/>
      <c r="O25" s="107"/>
      <c r="P25" s="86"/>
      <c r="Q25" s="76"/>
    </row>
    <row r="26" customHeight="1" spans="1:17">
      <c r="A26" s="91"/>
      <c r="B26" s="93"/>
      <c r="C26" s="76" t="s">
        <v>191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86"/>
      <c r="O26" s="107"/>
      <c r="P26" s="86"/>
      <c r="Q26" s="76"/>
    </row>
    <row r="27" customHeight="1" spans="1:17">
      <c r="A27" s="91"/>
      <c r="B27" s="93"/>
      <c r="C27" s="76" t="s">
        <v>192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86"/>
      <c r="O27" s="107"/>
      <c r="P27" s="86"/>
      <c r="Q27" s="76"/>
    </row>
    <row r="28" customHeight="1" spans="1:17">
      <c r="A28" s="91"/>
      <c r="B28" s="93"/>
      <c r="C28" s="76" t="s">
        <v>193</v>
      </c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89"/>
      <c r="O28" s="107"/>
      <c r="P28" s="86"/>
      <c r="Q28" s="76"/>
    </row>
    <row r="29" ht="27.75" customHeight="1" spans="1:17">
      <c r="A29" s="91" t="s">
        <v>194</v>
      </c>
      <c r="B29" s="92" t="s">
        <v>195</v>
      </c>
      <c r="C29" s="76" t="s">
        <v>196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103" t="s">
        <v>197</v>
      </c>
      <c r="P29" s="76"/>
      <c r="Q29" s="76"/>
    </row>
    <row r="30" ht="41.25" customHeight="1" spans="1:17">
      <c r="A30" s="91" t="s">
        <v>41</v>
      </c>
      <c r="B30" s="92" t="s">
        <v>198</v>
      </c>
      <c r="C30" s="76" t="s">
        <v>199</v>
      </c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108"/>
      <c r="P30" s="76"/>
      <c r="Q30" s="76"/>
    </row>
    <row r="31" customHeight="1" spans="1:17">
      <c r="A31" s="91" t="s">
        <v>44</v>
      </c>
      <c r="B31" s="93" t="s">
        <v>200</v>
      </c>
      <c r="C31" s="76" t="s">
        <v>201</v>
      </c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109" t="s">
        <v>202</v>
      </c>
      <c r="P31" s="110" t="s">
        <v>203</v>
      </c>
      <c r="Q31" s="76"/>
    </row>
    <row r="32" customHeight="1" spans="1:17">
      <c r="A32" s="95" t="s">
        <v>47</v>
      </c>
      <c r="B32" s="96" t="s">
        <v>204</v>
      </c>
      <c r="C32" s="97" t="s">
        <v>48</v>
      </c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94"/>
      <c r="O32" s="103" t="s">
        <v>205</v>
      </c>
      <c r="P32" s="104" t="s">
        <v>206</v>
      </c>
      <c r="Q32" s="76"/>
    </row>
    <row r="33" customHeight="1" spans="1:17">
      <c r="A33" s="95"/>
      <c r="B33" s="98"/>
      <c r="C33" s="97" t="s">
        <v>51</v>
      </c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86"/>
      <c r="O33" s="107"/>
      <c r="P33" s="106"/>
      <c r="Q33" s="76"/>
    </row>
    <row r="34" customHeight="1" spans="1:17">
      <c r="A34" s="95"/>
      <c r="B34" s="98"/>
      <c r="C34" s="97" t="s">
        <v>207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86"/>
      <c r="O34" s="107"/>
      <c r="P34" s="106"/>
      <c r="Q34" s="76"/>
    </row>
    <row r="35" customHeight="1" spans="1:17">
      <c r="A35" s="95"/>
      <c r="B35" s="98"/>
      <c r="C35" s="97" t="s">
        <v>57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86"/>
      <c r="O35" s="107"/>
      <c r="P35" s="106"/>
      <c r="Q35" s="76"/>
    </row>
    <row r="36" customHeight="1" spans="1:17">
      <c r="A36" s="95"/>
      <c r="B36" s="98"/>
      <c r="C36" s="97" t="s">
        <v>60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89"/>
      <c r="O36" s="107"/>
      <c r="P36" s="105"/>
      <c r="Q36" s="76"/>
    </row>
    <row r="37" customHeight="1" spans="1:17">
      <c r="A37" s="95" t="s">
        <v>63</v>
      </c>
      <c r="B37" s="96" t="s">
        <v>208</v>
      </c>
      <c r="C37" s="97" t="s">
        <v>64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94"/>
      <c r="O37" s="103" t="s">
        <v>209</v>
      </c>
      <c r="P37" s="104" t="s">
        <v>210</v>
      </c>
      <c r="Q37" s="76"/>
    </row>
    <row r="38" customHeight="1" spans="1:17">
      <c r="A38" s="95"/>
      <c r="B38" s="98"/>
      <c r="C38" s="97" t="s">
        <v>67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86"/>
      <c r="O38" s="107"/>
      <c r="P38" s="106"/>
      <c r="Q38" s="76"/>
    </row>
    <row r="39" customHeight="1" spans="1:17">
      <c r="A39" s="95"/>
      <c r="B39" s="98"/>
      <c r="C39" s="97" t="s">
        <v>70</v>
      </c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86"/>
      <c r="O39" s="107"/>
      <c r="P39" s="106"/>
      <c r="Q39" s="76"/>
    </row>
    <row r="40" customHeight="1" spans="1:17">
      <c r="A40" s="95"/>
      <c r="B40" s="98"/>
      <c r="C40" s="97" t="s">
        <v>73</v>
      </c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86"/>
      <c r="O40" s="107"/>
      <c r="P40" s="106"/>
      <c r="Q40" s="76"/>
    </row>
    <row r="41" customHeight="1" spans="1:17">
      <c r="A41" s="95"/>
      <c r="B41" s="99"/>
      <c r="C41" s="97" t="s">
        <v>76</v>
      </c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89"/>
      <c r="O41" s="107"/>
      <c r="P41" s="105"/>
      <c r="Q41" s="76"/>
    </row>
    <row r="42" customHeight="1" spans="1:17">
      <c r="A42" s="95" t="s">
        <v>79</v>
      </c>
      <c r="B42" s="100" t="s">
        <v>211</v>
      </c>
      <c r="C42" s="97" t="s">
        <v>80</v>
      </c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94"/>
      <c r="O42" s="111" t="s">
        <v>212</v>
      </c>
      <c r="P42" s="112" t="s">
        <v>213</v>
      </c>
      <c r="Q42" s="76"/>
    </row>
    <row r="43" customHeight="1" spans="1:17">
      <c r="A43" s="95"/>
      <c r="B43" s="101"/>
      <c r="C43" s="97" t="s">
        <v>83</v>
      </c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86"/>
      <c r="O43" s="113"/>
      <c r="P43" s="114"/>
      <c r="Q43" s="76"/>
    </row>
    <row r="44" customHeight="1" spans="1:17">
      <c r="A44" s="95"/>
      <c r="B44" s="101"/>
      <c r="C44" s="97" t="s">
        <v>86</v>
      </c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86"/>
      <c r="O44" s="113"/>
      <c r="P44" s="114"/>
      <c r="Q44" s="76"/>
    </row>
    <row r="45" customHeight="1" spans="1:17">
      <c r="A45" s="95"/>
      <c r="B45" s="101"/>
      <c r="C45" s="97" t="s">
        <v>89</v>
      </c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86"/>
      <c r="O45" s="113"/>
      <c r="P45" s="114"/>
      <c r="Q45" s="76"/>
    </row>
    <row r="46" customHeight="1" spans="1:17">
      <c r="A46" s="95"/>
      <c r="B46" s="101"/>
      <c r="C46" s="97" t="s">
        <v>92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86"/>
      <c r="O46" s="113"/>
      <c r="P46" s="114"/>
      <c r="Q46" s="76"/>
    </row>
    <row r="47" customHeight="1" spans="1:17">
      <c r="A47" s="95"/>
      <c r="B47" s="102"/>
      <c r="C47" s="97" t="s">
        <v>95</v>
      </c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89"/>
      <c r="O47" s="113"/>
      <c r="P47" s="115"/>
      <c r="Q47" s="76"/>
    </row>
  </sheetData>
  <sheetProtection formatCells="0" insertHyperlinks="0" autoFilter="0"/>
  <mergeCells count="59">
    <mergeCell ref="A1:Q1"/>
    <mergeCell ref="C2:Q2"/>
    <mergeCell ref="C3:Q3"/>
    <mergeCell ref="C4:Q4"/>
    <mergeCell ref="A5:Q5"/>
    <mergeCell ref="A2:A4"/>
    <mergeCell ref="A7:A8"/>
    <mergeCell ref="A9:A18"/>
    <mergeCell ref="A19:A23"/>
    <mergeCell ref="A24:A28"/>
    <mergeCell ref="A32:A36"/>
    <mergeCell ref="A37:A41"/>
    <mergeCell ref="A42:A47"/>
    <mergeCell ref="B7:B8"/>
    <mergeCell ref="B10:B11"/>
    <mergeCell ref="B12:B14"/>
    <mergeCell ref="B16:B17"/>
    <mergeCell ref="B19:B23"/>
    <mergeCell ref="B24:B28"/>
    <mergeCell ref="B32:B36"/>
    <mergeCell ref="B37:B41"/>
    <mergeCell ref="B42:B47"/>
    <mergeCell ref="C19:C23"/>
    <mergeCell ref="D19:D23"/>
    <mergeCell ref="E19:E23"/>
    <mergeCell ref="F19:F23"/>
    <mergeCell ref="G19:G23"/>
    <mergeCell ref="H19:H23"/>
    <mergeCell ref="I19:I23"/>
    <mergeCell ref="J19:J23"/>
    <mergeCell ref="K19:K23"/>
    <mergeCell ref="L19:L23"/>
    <mergeCell ref="M19:M23"/>
    <mergeCell ref="N7:N8"/>
    <mergeCell ref="N9:N18"/>
    <mergeCell ref="N19:N23"/>
    <mergeCell ref="N24:N28"/>
    <mergeCell ref="N32:N36"/>
    <mergeCell ref="N37:N41"/>
    <mergeCell ref="N42:N47"/>
    <mergeCell ref="O10:O11"/>
    <mergeCell ref="O12:O14"/>
    <mergeCell ref="O16:O17"/>
    <mergeCell ref="O19:O23"/>
    <mergeCell ref="O24:O28"/>
    <mergeCell ref="O29:O30"/>
    <mergeCell ref="O32:O36"/>
    <mergeCell ref="O37:O41"/>
    <mergeCell ref="O42:O47"/>
    <mergeCell ref="P7:P8"/>
    <mergeCell ref="P9:P18"/>
    <mergeCell ref="P19:P23"/>
    <mergeCell ref="P24:P28"/>
    <mergeCell ref="P32:P36"/>
    <mergeCell ref="P37:P41"/>
    <mergeCell ref="P42:P47"/>
    <mergeCell ref="Q7:Q8"/>
    <mergeCell ref="Q9:Q18"/>
    <mergeCell ref="Q19:Q23"/>
  </mergeCells>
  <hyperlinks>
    <hyperlink ref="Q7" location="'③Listing关键词库'!A1" display="关键词入库"/>
    <hyperlink ref="Q9" location="'④素材库'!A1" display="素材入库"/>
    <hyperlink ref="O42" location="'⑤利润核算'!A1" display="⑤利润核算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42"/>
  <sheetViews>
    <sheetView workbookViewId="0">
      <selection activeCell="Q2" sqref="Q2"/>
    </sheetView>
  </sheetViews>
  <sheetFormatPr defaultColWidth="10" defaultRowHeight="16.5" customHeight="1"/>
  <cols>
    <col min="10" max="10" width="9.18333333333333" style="72"/>
    <col min="11" max="11" width="28.45" style="72"/>
    <col min="15" max="15" width="11.45" style="72"/>
    <col min="16" max="16" width="13.1833333333333" style="72"/>
    <col min="17" max="17" width="21.1833333333333" style="72"/>
    <col min="18" max="18" width="19.1833333333333" style="72" customWidth="1"/>
  </cols>
  <sheetData>
    <row r="1" ht="35.25" customHeight="1" spans="1:18">
      <c r="A1" s="78" t="s">
        <v>214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customHeight="1" spans="1:18">
      <c r="A2" s="80" t="s">
        <v>215</v>
      </c>
      <c r="B2" s="80" t="s">
        <v>216</v>
      </c>
      <c r="C2" s="80" t="s">
        <v>217</v>
      </c>
      <c r="D2" s="80" t="s">
        <v>218</v>
      </c>
      <c r="E2" s="80" t="s">
        <v>219</v>
      </c>
      <c r="F2" s="80" t="s">
        <v>220</v>
      </c>
      <c r="G2" s="80" t="s">
        <v>221</v>
      </c>
      <c r="H2" s="80" t="s">
        <v>222</v>
      </c>
      <c r="I2" s="80" t="s">
        <v>223</v>
      </c>
      <c r="J2" s="80" t="s">
        <v>224</v>
      </c>
      <c r="K2" s="80" t="s">
        <v>225</v>
      </c>
      <c r="L2" s="80" t="s">
        <v>226</v>
      </c>
      <c r="M2" s="80" t="s">
        <v>227</v>
      </c>
      <c r="N2" s="80" t="s">
        <v>228</v>
      </c>
      <c r="O2" s="80" t="s">
        <v>229</v>
      </c>
      <c r="P2" s="80" t="s">
        <v>230</v>
      </c>
      <c r="Q2" s="80" t="s">
        <v>231</v>
      </c>
      <c r="R2" s="80" t="s">
        <v>232</v>
      </c>
    </row>
    <row r="3" customHeight="1" spans="1:18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81"/>
      <c r="M3" s="81"/>
      <c r="N3" s="81"/>
      <c r="O3" s="81"/>
      <c r="P3" s="81"/>
      <c r="Q3" s="81"/>
      <c r="R3" s="81"/>
    </row>
    <row r="4" customHeight="1" spans="1:18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81"/>
      <c r="M4" s="81"/>
      <c r="N4" s="81"/>
      <c r="O4" s="81"/>
      <c r="P4" s="81"/>
      <c r="Q4" s="81"/>
      <c r="R4" s="81"/>
    </row>
    <row r="5" customHeight="1" spans="1:18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81"/>
      <c r="M5" s="81"/>
      <c r="N5" s="81"/>
      <c r="O5" s="81"/>
      <c r="P5" s="81"/>
      <c r="Q5" s="81"/>
      <c r="R5" s="81"/>
    </row>
    <row r="6" customHeight="1" spans="1:18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81"/>
      <c r="M6" s="81"/>
      <c r="N6" s="81"/>
      <c r="O6" s="81"/>
      <c r="P6" s="81"/>
      <c r="Q6" s="81"/>
      <c r="R6" s="81"/>
    </row>
    <row r="7" customHeight="1" spans="1:18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81"/>
      <c r="M7" s="81"/>
      <c r="N7" s="81"/>
      <c r="O7" s="81"/>
      <c r="P7" s="81"/>
      <c r="Q7" s="81"/>
      <c r="R7" s="81"/>
    </row>
    <row r="8" customHeight="1" spans="1:1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81"/>
      <c r="M8" s="81"/>
      <c r="N8" s="81"/>
      <c r="O8" s="81"/>
      <c r="P8" s="81"/>
      <c r="Q8" s="81"/>
      <c r="R8" s="81"/>
    </row>
    <row r="9" customHeight="1" spans="1:18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81"/>
      <c r="M9" s="81"/>
      <c r="N9" s="81"/>
      <c r="O9" s="81"/>
      <c r="P9" s="81"/>
      <c r="Q9" s="81"/>
      <c r="R9" s="81"/>
    </row>
    <row r="10" customHeight="1" spans="1:18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81"/>
      <c r="M10" s="81"/>
      <c r="N10" s="81"/>
      <c r="O10" s="81"/>
      <c r="P10" s="81"/>
      <c r="Q10" s="81"/>
      <c r="R10" s="81"/>
    </row>
    <row r="11" customHeight="1" spans="1:18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81"/>
      <c r="M11" s="81"/>
      <c r="N11" s="81"/>
      <c r="O11" s="81"/>
      <c r="P11" s="81"/>
      <c r="Q11" s="81"/>
      <c r="R11" s="81"/>
    </row>
    <row r="12" customHeight="1" spans="1:18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81"/>
      <c r="M12" s="81"/>
      <c r="N12" s="81"/>
      <c r="O12" s="81"/>
      <c r="P12" s="81"/>
      <c r="Q12" s="81"/>
      <c r="R12" s="81"/>
    </row>
    <row r="13" customHeight="1" spans="1:18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81"/>
      <c r="M13" s="81"/>
      <c r="N13" s="81"/>
      <c r="O13" s="81"/>
      <c r="P13" s="81"/>
      <c r="Q13" s="81"/>
      <c r="R13" s="81"/>
    </row>
    <row r="14" customHeight="1" spans="1:18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81"/>
      <c r="M14" s="81"/>
      <c r="N14" s="81"/>
      <c r="O14" s="81"/>
      <c r="P14" s="81"/>
      <c r="Q14" s="81"/>
      <c r="R14" s="81"/>
    </row>
    <row r="15" customHeight="1" spans="1:18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81"/>
      <c r="M15" s="81"/>
      <c r="N15" s="81"/>
      <c r="O15" s="81"/>
      <c r="P15" s="81"/>
      <c r="Q15" s="81"/>
      <c r="R15" s="81"/>
    </row>
    <row r="16" customHeight="1" spans="1:18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81"/>
      <c r="M16" s="81"/>
      <c r="N16" s="81"/>
      <c r="O16" s="81"/>
      <c r="P16" s="81"/>
      <c r="Q16" s="81"/>
      <c r="R16" s="81"/>
    </row>
    <row r="17" customHeight="1" spans="1:18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81"/>
      <c r="M17" s="81"/>
      <c r="N17" s="81"/>
      <c r="O17" s="81"/>
      <c r="P17" s="81"/>
      <c r="Q17" s="81"/>
      <c r="R17" s="81"/>
    </row>
    <row r="18" customHeight="1" spans="1: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81"/>
      <c r="M18" s="81"/>
      <c r="N18" s="81"/>
      <c r="O18" s="81"/>
      <c r="P18" s="81"/>
      <c r="Q18" s="81"/>
      <c r="R18" s="81"/>
    </row>
    <row r="19" customHeight="1" spans="1:18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81"/>
      <c r="M19" s="81"/>
      <c r="N19" s="81"/>
      <c r="O19" s="81"/>
      <c r="P19" s="81"/>
      <c r="Q19" s="81"/>
      <c r="R19" s="81"/>
    </row>
    <row r="20" customHeight="1" spans="1:18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81"/>
      <c r="M20" s="81"/>
      <c r="N20" s="81"/>
      <c r="O20" s="81"/>
      <c r="P20" s="81"/>
      <c r="Q20" s="81"/>
      <c r="R20" s="81"/>
    </row>
    <row r="21" customHeight="1" spans="1:18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81"/>
      <c r="M21" s="81"/>
      <c r="N21" s="81"/>
      <c r="O21" s="81"/>
      <c r="P21" s="81"/>
      <c r="Q21" s="81"/>
      <c r="R21" s="81"/>
    </row>
    <row r="22" customHeight="1" spans="1:18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81"/>
      <c r="M22" s="81"/>
      <c r="N22" s="81"/>
      <c r="O22" s="81"/>
      <c r="P22" s="81"/>
      <c r="Q22" s="81"/>
      <c r="R22" s="81"/>
    </row>
    <row r="23" customHeight="1" spans="1:18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81"/>
      <c r="M23" s="81"/>
      <c r="N23" s="81"/>
      <c r="O23" s="81"/>
      <c r="P23" s="81"/>
      <c r="Q23" s="81"/>
      <c r="R23" s="81"/>
    </row>
    <row r="24" customHeight="1" spans="1:18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81"/>
      <c r="M24" s="81"/>
      <c r="N24" s="81"/>
      <c r="O24" s="81"/>
      <c r="P24" s="81"/>
      <c r="Q24" s="81"/>
      <c r="R24" s="81"/>
    </row>
    <row r="25" customHeight="1" spans="1:18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81"/>
      <c r="M25" s="81"/>
      <c r="N25" s="81"/>
      <c r="O25" s="81"/>
      <c r="P25" s="81"/>
      <c r="Q25" s="81"/>
      <c r="R25" s="81"/>
    </row>
    <row r="26" customHeight="1" spans="1:18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81"/>
      <c r="M26" s="81"/>
      <c r="N26" s="81"/>
      <c r="O26" s="81"/>
      <c r="P26" s="81"/>
      <c r="Q26" s="81"/>
      <c r="R26" s="81"/>
    </row>
    <row r="27" customHeight="1" spans="1:18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81"/>
      <c r="M27" s="81"/>
      <c r="N27" s="81"/>
      <c r="O27" s="81"/>
      <c r="P27" s="81"/>
      <c r="Q27" s="81"/>
      <c r="R27" s="81"/>
    </row>
    <row r="28" customHeight="1" spans="1:1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81"/>
      <c r="M28" s="81"/>
      <c r="N28" s="81"/>
      <c r="O28" s="81"/>
      <c r="P28" s="81"/>
      <c r="Q28" s="81"/>
      <c r="R28" s="81"/>
    </row>
    <row r="29" customHeight="1" spans="1:18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81"/>
      <c r="M29" s="81"/>
      <c r="N29" s="81"/>
      <c r="O29" s="81"/>
      <c r="P29" s="81"/>
      <c r="Q29" s="81"/>
      <c r="R29" s="81"/>
    </row>
    <row r="30" customHeight="1" spans="1:18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81"/>
      <c r="M30" s="81"/>
      <c r="N30" s="81"/>
      <c r="O30" s="81"/>
      <c r="P30" s="81"/>
      <c r="Q30" s="81"/>
      <c r="R30" s="81"/>
    </row>
    <row r="31" customHeight="1" spans="1:18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81"/>
      <c r="M31" s="81"/>
      <c r="N31" s="81"/>
      <c r="O31" s="81"/>
      <c r="P31" s="81"/>
      <c r="Q31" s="81"/>
      <c r="R31" s="81"/>
    </row>
    <row r="32" customHeight="1" spans="1:18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81"/>
      <c r="M32" s="81"/>
      <c r="N32" s="81"/>
      <c r="O32" s="81"/>
      <c r="P32" s="81"/>
      <c r="Q32" s="81"/>
      <c r="R32" s="81"/>
    </row>
    <row r="33" customHeight="1" spans="1:18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81"/>
      <c r="M33" s="81"/>
      <c r="N33" s="81"/>
      <c r="O33" s="81"/>
      <c r="P33" s="81"/>
      <c r="Q33" s="81"/>
      <c r="R33" s="81"/>
    </row>
    <row r="34" customHeight="1" spans="1:18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81"/>
      <c r="M34" s="81"/>
      <c r="N34" s="81"/>
      <c r="O34" s="81"/>
      <c r="P34" s="81"/>
      <c r="Q34" s="81"/>
      <c r="R34" s="81"/>
    </row>
    <row r="35" customHeight="1" spans="1:18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81"/>
      <c r="M35" s="81"/>
      <c r="N35" s="81"/>
      <c r="O35" s="81"/>
      <c r="P35" s="81"/>
      <c r="Q35" s="81"/>
      <c r="R35" s="81"/>
    </row>
    <row r="36" customHeight="1" spans="1:18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81"/>
      <c r="M36" s="81"/>
      <c r="N36" s="81"/>
      <c r="O36" s="81"/>
      <c r="P36" s="81"/>
      <c r="Q36" s="81"/>
      <c r="R36" s="81"/>
    </row>
    <row r="37" customHeight="1" spans="1:18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81"/>
      <c r="M37" s="81"/>
      <c r="N37" s="81"/>
      <c r="O37" s="81"/>
      <c r="P37" s="81"/>
      <c r="Q37" s="81"/>
      <c r="R37" s="81"/>
    </row>
    <row r="38" customHeight="1" spans="1:1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81"/>
      <c r="M38" s="81"/>
      <c r="N38" s="81"/>
      <c r="O38" s="81"/>
      <c r="P38" s="81"/>
      <c r="Q38" s="81"/>
      <c r="R38" s="81"/>
    </row>
    <row r="39" customHeight="1" spans="1:18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81"/>
      <c r="M39" s="81"/>
      <c r="N39" s="81"/>
      <c r="O39" s="81"/>
      <c r="P39" s="81"/>
      <c r="Q39" s="81"/>
      <c r="R39" s="81"/>
    </row>
    <row r="40" customHeight="1" spans="1:18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81"/>
      <c r="M40" s="81"/>
      <c r="N40" s="81"/>
      <c r="O40" s="81"/>
      <c r="P40" s="81"/>
      <c r="Q40" s="81"/>
      <c r="R40" s="81"/>
    </row>
    <row r="41" customHeight="1" spans="1:18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81"/>
      <c r="M41" s="81"/>
      <c r="N41" s="81"/>
      <c r="O41" s="81"/>
      <c r="P41" s="81"/>
      <c r="Q41" s="81"/>
      <c r="R41" s="81"/>
    </row>
    <row r="42" customHeight="1" spans="1:18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81"/>
      <c r="M42" s="81"/>
      <c r="N42" s="81"/>
      <c r="O42" s="81"/>
      <c r="P42" s="81"/>
      <c r="Q42" s="81"/>
      <c r="R42" s="81"/>
    </row>
  </sheetData>
  <sheetProtection formatCells="0" insertHyperlinks="0" autoFilter="0"/>
  <mergeCells count="1">
    <mergeCell ref="A1:R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7"/>
  <sheetViews>
    <sheetView zoomScale="130" zoomScaleNormal="130" workbookViewId="0">
      <selection activeCell="H24" sqref="H24"/>
    </sheetView>
  </sheetViews>
  <sheetFormatPr defaultColWidth="10" defaultRowHeight="16.5" customHeight="1"/>
  <cols>
    <col min="1" max="1" width="14.3666666666667" style="72" customWidth="1"/>
    <col min="2" max="2" width="12.6333333333333" style="72" customWidth="1"/>
    <col min="3" max="3" width="16.45" style="72" customWidth="1"/>
    <col min="5" max="5" width="11.45" style="72" customWidth="1"/>
    <col min="8" max="8" width="13.1833333333333" style="72"/>
    <col min="9" max="9" width="10.8166666666667" style="72" customWidth="1"/>
  </cols>
  <sheetData>
    <row r="1" ht="35.25" customHeight="1" spans="1:9">
      <c r="A1" s="73" t="s">
        <v>233</v>
      </c>
      <c r="B1" s="74"/>
      <c r="C1" s="74"/>
      <c r="D1" s="74"/>
      <c r="E1" s="74"/>
      <c r="F1" s="74"/>
      <c r="G1" s="74"/>
      <c r="H1" s="77"/>
      <c r="I1" s="77"/>
    </row>
    <row r="2" customHeight="1" spans="1:9">
      <c r="A2" s="75" t="s">
        <v>234</v>
      </c>
      <c r="B2" s="75" t="s">
        <v>235</v>
      </c>
      <c r="C2" s="75" t="s">
        <v>236</v>
      </c>
      <c r="D2" s="75" t="s">
        <v>237</v>
      </c>
      <c r="E2" s="75" t="s">
        <v>238</v>
      </c>
      <c r="F2" s="75" t="s">
        <v>239</v>
      </c>
      <c r="G2" s="75" t="s">
        <v>240</v>
      </c>
      <c r="H2" s="75" t="s">
        <v>241</v>
      </c>
      <c r="I2" s="75" t="s">
        <v>242</v>
      </c>
    </row>
    <row r="3" customHeight="1" spans="1:9">
      <c r="A3" s="76"/>
      <c r="B3" s="76"/>
      <c r="C3" s="76"/>
      <c r="D3" s="76"/>
      <c r="E3" s="76"/>
      <c r="F3" s="76"/>
      <c r="G3" s="76"/>
      <c r="H3" s="76"/>
      <c r="I3" s="76"/>
    </row>
    <row r="4" customHeight="1" spans="1:9">
      <c r="A4" s="76"/>
      <c r="B4" s="76"/>
      <c r="C4" s="76"/>
      <c r="D4" s="76"/>
      <c r="E4" s="76"/>
      <c r="F4" s="76"/>
      <c r="G4" s="76"/>
      <c r="H4" s="76"/>
      <c r="I4" s="76"/>
    </row>
    <row r="5" customHeight="1" spans="1:9">
      <c r="A5" s="76"/>
      <c r="B5" s="76"/>
      <c r="C5" s="76"/>
      <c r="D5" s="76"/>
      <c r="E5" s="76"/>
      <c r="F5" s="76"/>
      <c r="G5" s="76"/>
      <c r="H5" s="76"/>
      <c r="I5" s="76"/>
    </row>
    <row r="6" customHeight="1" spans="1:9">
      <c r="A6" s="76"/>
      <c r="B6" s="76"/>
      <c r="C6" s="76"/>
      <c r="D6" s="76"/>
      <c r="E6" s="76"/>
      <c r="F6" s="76"/>
      <c r="G6" s="76"/>
      <c r="H6" s="76"/>
      <c r="I6" s="76"/>
    </row>
    <row r="7" customHeight="1" spans="1:9">
      <c r="A7" s="76"/>
      <c r="B7" s="76"/>
      <c r="C7" s="76"/>
      <c r="D7" s="76"/>
      <c r="E7" s="76"/>
      <c r="F7" s="76"/>
      <c r="G7" s="76"/>
      <c r="H7" s="76"/>
      <c r="I7" s="76"/>
    </row>
    <row r="8" customHeight="1" spans="1:9">
      <c r="A8" s="76"/>
      <c r="B8" s="76"/>
      <c r="C8" s="76"/>
      <c r="D8" s="76"/>
      <c r="E8" s="76"/>
      <c r="F8" s="76"/>
      <c r="G8" s="76"/>
      <c r="H8" s="76"/>
      <c r="I8" s="76"/>
    </row>
    <row r="9" customHeight="1" spans="1:9">
      <c r="A9" s="76"/>
      <c r="B9" s="76"/>
      <c r="C9" s="76"/>
      <c r="D9" s="76"/>
      <c r="E9" s="76"/>
      <c r="F9" s="76"/>
      <c r="G9" s="76"/>
      <c r="H9" s="76"/>
      <c r="I9" s="76"/>
    </row>
    <row r="10" customHeight="1" spans="1:9">
      <c r="A10" s="76"/>
      <c r="B10" s="76"/>
      <c r="C10" s="76"/>
      <c r="D10" s="76"/>
      <c r="E10" s="76"/>
      <c r="F10" s="76"/>
      <c r="G10" s="76"/>
      <c r="H10" s="76"/>
      <c r="I10" s="76"/>
    </row>
    <row r="11" customHeight="1" spans="1:9">
      <c r="A11" s="76"/>
      <c r="B11" s="76"/>
      <c r="C11" s="76"/>
      <c r="D11" s="76"/>
      <c r="E11" s="76"/>
      <c r="F11" s="76"/>
      <c r="G11" s="76"/>
      <c r="H11" s="76"/>
      <c r="I11" s="76"/>
    </row>
    <row r="12" customHeight="1" spans="1:9">
      <c r="A12" s="76"/>
      <c r="B12" s="76"/>
      <c r="C12" s="76"/>
      <c r="D12" s="76"/>
      <c r="E12" s="76"/>
      <c r="F12" s="76"/>
      <c r="G12" s="76"/>
      <c r="H12" s="76"/>
      <c r="I12" s="76"/>
    </row>
    <row r="13" customHeight="1" spans="1:9">
      <c r="A13" s="76"/>
      <c r="B13" s="76"/>
      <c r="C13" s="76"/>
      <c r="D13" s="76"/>
      <c r="E13" s="76"/>
      <c r="F13" s="76"/>
      <c r="G13" s="76"/>
      <c r="H13" s="76"/>
      <c r="I13" s="76"/>
    </row>
    <row r="14" customHeight="1" spans="1:9">
      <c r="A14" s="76"/>
      <c r="B14" s="76"/>
      <c r="C14" s="76"/>
      <c r="D14" s="76"/>
      <c r="E14" s="76"/>
      <c r="F14" s="76"/>
      <c r="G14" s="76"/>
      <c r="H14" s="76"/>
      <c r="I14" s="76"/>
    </row>
    <row r="15" customHeight="1" spans="1:9">
      <c r="A15" s="76"/>
      <c r="B15" s="76"/>
      <c r="C15" s="76"/>
      <c r="D15" s="76"/>
      <c r="E15" s="76"/>
      <c r="F15" s="76"/>
      <c r="G15" s="76"/>
      <c r="H15" s="76"/>
      <c r="I15" s="76"/>
    </row>
    <row r="16" customHeight="1" spans="1:9">
      <c r="A16" s="76"/>
      <c r="B16" s="76"/>
      <c r="C16" s="76"/>
      <c r="D16" s="76"/>
      <c r="E16" s="76"/>
      <c r="F16" s="76"/>
      <c r="G16" s="76"/>
      <c r="H16" s="76"/>
      <c r="I16" s="76"/>
    </row>
    <row r="17" customHeight="1" spans="1:9">
      <c r="A17" s="76"/>
      <c r="B17" s="76"/>
      <c r="C17" s="76"/>
      <c r="D17" s="76"/>
      <c r="E17" s="76"/>
      <c r="F17" s="76"/>
      <c r="G17" s="76"/>
      <c r="H17" s="76"/>
      <c r="I17" s="76"/>
    </row>
    <row r="18" customHeight="1" spans="1:9">
      <c r="A18" s="76"/>
      <c r="B18" s="76"/>
      <c r="C18" s="76"/>
      <c r="D18" s="76"/>
      <c r="E18" s="76"/>
      <c r="F18" s="76"/>
      <c r="G18" s="76"/>
      <c r="H18" s="76"/>
      <c r="I18" s="76"/>
    </row>
    <row r="19" customHeight="1" spans="1:9">
      <c r="A19" s="76"/>
      <c r="B19" s="76"/>
      <c r="C19" s="76"/>
      <c r="D19" s="76"/>
      <c r="E19" s="76"/>
      <c r="F19" s="76"/>
      <c r="G19" s="76"/>
      <c r="H19" s="76"/>
      <c r="I19" s="76"/>
    </row>
    <row r="20" customHeight="1" spans="1:9">
      <c r="A20" s="76"/>
      <c r="B20" s="76"/>
      <c r="C20" s="76"/>
      <c r="D20" s="76"/>
      <c r="E20" s="76"/>
      <c r="F20" s="76"/>
      <c r="G20" s="76"/>
      <c r="H20" s="76"/>
      <c r="I20" s="76"/>
    </row>
    <row r="21" customHeight="1" spans="1:9">
      <c r="A21" s="76"/>
      <c r="B21" s="76"/>
      <c r="C21" s="76"/>
      <c r="D21" s="76"/>
      <c r="E21" s="76"/>
      <c r="F21" s="76"/>
      <c r="G21" s="76"/>
      <c r="H21" s="76"/>
      <c r="I21" s="76"/>
    </row>
    <row r="22" customHeight="1" spans="1:9">
      <c r="A22" s="76"/>
      <c r="B22" s="76"/>
      <c r="C22" s="76"/>
      <c r="D22" s="76"/>
      <c r="E22" s="76"/>
      <c r="F22" s="76"/>
      <c r="G22" s="76"/>
      <c r="H22" s="76"/>
      <c r="I22" s="76"/>
    </row>
    <row r="23" customHeight="1" spans="1:9">
      <c r="A23" s="76"/>
      <c r="B23" s="76"/>
      <c r="C23" s="76"/>
      <c r="D23" s="76"/>
      <c r="E23" s="76"/>
      <c r="F23" s="76"/>
      <c r="G23" s="76"/>
      <c r="H23" s="76"/>
      <c r="I23" s="76"/>
    </row>
    <row r="24" customHeight="1" spans="1:9">
      <c r="A24" s="76"/>
      <c r="B24" s="76"/>
      <c r="C24" s="76"/>
      <c r="D24" s="76"/>
      <c r="E24" s="76"/>
      <c r="F24" s="76"/>
      <c r="G24" s="76"/>
      <c r="H24" s="76"/>
      <c r="I24" s="76"/>
    </row>
    <row r="25" customHeight="1" spans="1:9">
      <c r="A25" s="76"/>
      <c r="B25" s="76"/>
      <c r="C25" s="76"/>
      <c r="D25" s="76"/>
      <c r="E25" s="76"/>
      <c r="F25" s="76"/>
      <c r="G25" s="76"/>
      <c r="H25" s="76"/>
      <c r="I25" s="76"/>
    </row>
    <row r="26" customHeight="1" spans="1:9">
      <c r="A26" s="76"/>
      <c r="B26" s="76"/>
      <c r="C26" s="76"/>
      <c r="D26" s="76"/>
      <c r="E26" s="76"/>
      <c r="F26" s="76"/>
      <c r="G26" s="76"/>
      <c r="H26" s="76"/>
      <c r="I26" s="76"/>
    </row>
    <row r="27" customHeight="1" spans="1:9">
      <c r="A27" s="76"/>
      <c r="B27" s="76"/>
      <c r="C27" s="76"/>
      <c r="D27" s="76"/>
      <c r="E27" s="76"/>
      <c r="F27" s="76"/>
      <c r="G27" s="76"/>
      <c r="H27" s="76"/>
      <c r="I27" s="76"/>
    </row>
  </sheetData>
  <sheetProtection formatCells="0" insertHyperlinks="0" autoFilter="0"/>
  <mergeCells count="1">
    <mergeCell ref="A1:I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2"/>
  <sheetViews>
    <sheetView workbookViewId="0">
      <selection activeCell="AN2" sqref="AN2"/>
    </sheetView>
  </sheetViews>
  <sheetFormatPr defaultColWidth="10" defaultRowHeight="16.5" customHeight="1"/>
  <cols>
    <col min="2" max="2" width="11.45"/>
    <col min="3" max="3" width="14.6333333333333"/>
    <col min="5" max="5" width="13.45"/>
    <col min="7" max="7" width="11.45"/>
  </cols>
  <sheetData>
    <row r="1" ht="35.25" customHeight="1" spans="1:40">
      <c r="A1" s="1" t="s">
        <v>243</v>
      </c>
      <c r="B1" s="1" t="s">
        <v>244</v>
      </c>
      <c r="C1" s="1" t="s">
        <v>124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23" t="s">
        <v>252</v>
      </c>
      <c r="L1" s="1" t="s">
        <v>253</v>
      </c>
      <c r="M1" s="30" t="s">
        <v>254</v>
      </c>
      <c r="N1" s="1" t="s">
        <v>255</v>
      </c>
      <c r="O1" s="1" t="s">
        <v>256</v>
      </c>
      <c r="P1" s="30" t="s">
        <v>257</v>
      </c>
      <c r="Q1" s="34" t="s">
        <v>258</v>
      </c>
      <c r="R1" s="35" t="s">
        <v>259</v>
      </c>
      <c r="S1" s="30" t="s">
        <v>260</v>
      </c>
      <c r="T1" s="1" t="s">
        <v>261</v>
      </c>
      <c r="U1" s="35" t="s">
        <v>262</v>
      </c>
      <c r="V1" s="44" t="s">
        <v>263</v>
      </c>
      <c r="W1" s="23" t="s">
        <v>264</v>
      </c>
      <c r="X1" s="45" t="s">
        <v>265</v>
      </c>
      <c r="Y1" s="49" t="s">
        <v>266</v>
      </c>
      <c r="Z1" s="1" t="s">
        <v>267</v>
      </c>
      <c r="AA1" s="1" t="s">
        <v>268</v>
      </c>
      <c r="AB1" s="1" t="s">
        <v>269</v>
      </c>
      <c r="AC1" s="54" t="s">
        <v>270</v>
      </c>
      <c r="AD1" s="55" t="s">
        <v>271</v>
      </c>
      <c r="AE1" s="44" t="s">
        <v>272</v>
      </c>
      <c r="AF1" s="45" t="s">
        <v>273</v>
      </c>
      <c r="AG1" s="55" t="s">
        <v>274</v>
      </c>
      <c r="AH1" s="62" t="s">
        <v>275</v>
      </c>
      <c r="AI1" s="23" t="s">
        <v>276</v>
      </c>
      <c r="AJ1" s="23" t="s">
        <v>277</v>
      </c>
      <c r="AK1" s="23" t="s">
        <v>278</v>
      </c>
      <c r="AL1" s="23" t="s">
        <v>279</v>
      </c>
      <c r="AM1" s="67" t="s">
        <v>280</v>
      </c>
      <c r="AN1" s="15">
        <v>7.2</v>
      </c>
    </row>
    <row r="2" ht="35.25" customHeight="1" spans="1:40">
      <c r="A2" s="2"/>
      <c r="B2" s="3"/>
      <c r="C2" s="4"/>
      <c r="D2" s="5"/>
      <c r="E2" s="19"/>
      <c r="F2" s="2"/>
      <c r="G2" s="2"/>
      <c r="H2" s="2"/>
      <c r="I2" s="19" t="s">
        <v>281</v>
      </c>
      <c r="J2" s="2"/>
      <c r="K2" s="24">
        <f t="shared" ref="K2:K8" si="0">F2*G2*H2/1000000</f>
        <v>0</v>
      </c>
      <c r="L2" s="25">
        <v>99</v>
      </c>
      <c r="M2" s="31">
        <f t="shared" ref="M2:M8" si="1">L2/$AN$1</f>
        <v>13.75</v>
      </c>
      <c r="N2" s="2" t="s">
        <v>282</v>
      </c>
      <c r="O2" s="2">
        <v>27</v>
      </c>
      <c r="P2" s="31">
        <f t="shared" ref="P2:P8" si="2">(O2*J2)/$AN$1</f>
        <v>0</v>
      </c>
      <c r="Q2" s="36">
        <v>39.99</v>
      </c>
      <c r="R2" s="37">
        <v>0.15</v>
      </c>
      <c r="S2" s="31">
        <f>Q2*R2</f>
        <v>5.9985</v>
      </c>
      <c r="T2" s="2">
        <v>3.19</v>
      </c>
      <c r="U2" s="37">
        <v>0</v>
      </c>
      <c r="V2" s="24">
        <f t="shared" ref="V2:V8" si="3">Q2*U2</f>
        <v>0</v>
      </c>
      <c r="W2" s="31">
        <f>Q2-M2-P2-S2-T2-V2</f>
        <v>17.0515</v>
      </c>
      <c r="X2" s="46">
        <f t="shared" ref="X2:X8" si="4">W2/Q2</f>
        <v>0.426394098524631</v>
      </c>
      <c r="Y2" s="50">
        <v>0.1</v>
      </c>
      <c r="Z2" s="50">
        <v>0.03</v>
      </c>
      <c r="AA2" s="50">
        <v>0.02</v>
      </c>
      <c r="AB2" s="50">
        <v>0</v>
      </c>
      <c r="AC2" s="56"/>
      <c r="AD2" s="57">
        <f t="shared" ref="AD2:AD8" si="5">AC2*W2*$AN$1</f>
        <v>0</v>
      </c>
      <c r="AE2" s="24">
        <f>W2-Q2*(Y2+Z2+AB2+AA2)</f>
        <v>11.053</v>
      </c>
      <c r="AF2" s="46">
        <f t="shared" ref="AF2:AF8" si="6">AE2/Q2</f>
        <v>0.276394098524631</v>
      </c>
      <c r="AG2" s="57">
        <f t="shared" ref="AG2:AG8" si="7">AC2*AE2*$AN$1</f>
        <v>0</v>
      </c>
      <c r="AH2" s="63">
        <f t="shared" ref="AH2:AH8" si="8">AC2*12</f>
        <v>0</v>
      </c>
      <c r="AI2" s="63">
        <f t="shared" ref="AI2:AI8" si="9">AH2*Q2</f>
        <v>0</v>
      </c>
      <c r="AJ2" s="63">
        <f t="shared" ref="AJ2:AJ8" si="10">AI2*AF2</f>
        <v>0</v>
      </c>
      <c r="AK2" s="63">
        <f t="shared" ref="AK2:AL8" si="11">AI2*$AN$1</f>
        <v>0</v>
      </c>
      <c r="AL2" s="63">
        <f t="shared" si="11"/>
        <v>0</v>
      </c>
      <c r="AM2" s="68"/>
      <c r="AN2" s="68"/>
    </row>
    <row r="3" customHeight="1" spans="1:40">
      <c r="A3" s="2"/>
      <c r="B3" s="3"/>
      <c r="C3" s="4"/>
      <c r="D3" s="6"/>
      <c r="E3" s="19"/>
      <c r="F3" s="2"/>
      <c r="G3" s="2"/>
      <c r="H3" s="2"/>
      <c r="I3" s="19" t="s">
        <v>281</v>
      </c>
      <c r="J3" s="2"/>
      <c r="K3" s="24">
        <f t="shared" si="0"/>
        <v>0</v>
      </c>
      <c r="L3" s="25"/>
      <c r="M3" s="31">
        <f t="shared" si="1"/>
        <v>0</v>
      </c>
      <c r="N3" s="2" t="s">
        <v>282</v>
      </c>
      <c r="O3" s="2">
        <v>27</v>
      </c>
      <c r="P3" s="31">
        <f t="shared" si="2"/>
        <v>0</v>
      </c>
      <c r="Q3" s="36"/>
      <c r="R3" s="37">
        <v>0.15</v>
      </c>
      <c r="S3" s="31">
        <f t="shared" ref="S2:S8" si="12">Q3*R3</f>
        <v>0</v>
      </c>
      <c r="T3" s="2">
        <v>3.19</v>
      </c>
      <c r="U3" s="37">
        <v>0</v>
      </c>
      <c r="V3" s="24">
        <f t="shared" si="3"/>
        <v>0</v>
      </c>
      <c r="W3" s="31">
        <f t="shared" ref="W2:W8" si="13">Q3-M3-P3-S3-T3-V3</f>
        <v>-3.19</v>
      </c>
      <c r="X3" s="46" t="e">
        <f t="shared" si="4"/>
        <v>#DIV/0!</v>
      </c>
      <c r="Y3" s="50">
        <v>0.1</v>
      </c>
      <c r="Z3" s="50">
        <v>0.03</v>
      </c>
      <c r="AA3" s="50">
        <v>0.02</v>
      </c>
      <c r="AB3" s="50">
        <v>0</v>
      </c>
      <c r="AC3" s="56"/>
      <c r="AD3" s="57">
        <f t="shared" si="5"/>
        <v>0</v>
      </c>
      <c r="AE3" s="24">
        <f t="shared" ref="AE2:AE8" si="14">W3-Q3*(Y3+Z3+AB3+AA3)</f>
        <v>-3.19</v>
      </c>
      <c r="AF3" s="46" t="e">
        <f t="shared" si="6"/>
        <v>#DIV/0!</v>
      </c>
      <c r="AG3" s="57">
        <f t="shared" si="7"/>
        <v>0</v>
      </c>
      <c r="AH3" s="63">
        <f t="shared" si="8"/>
        <v>0</v>
      </c>
      <c r="AI3" s="63">
        <f t="shared" si="9"/>
        <v>0</v>
      </c>
      <c r="AJ3" s="63" t="e">
        <f t="shared" si="10"/>
        <v>#DIV/0!</v>
      </c>
      <c r="AK3" s="63">
        <f t="shared" si="11"/>
        <v>0</v>
      </c>
      <c r="AL3" s="63" t="e">
        <f t="shared" si="11"/>
        <v>#DIV/0!</v>
      </c>
      <c r="AM3" s="68"/>
      <c r="AN3" s="68"/>
    </row>
    <row r="4" customHeight="1" spans="1:40">
      <c r="A4" s="7"/>
      <c r="B4" s="8"/>
      <c r="C4" s="9"/>
      <c r="D4" s="10"/>
      <c r="E4" s="20"/>
      <c r="F4" s="7"/>
      <c r="G4" s="7"/>
      <c r="H4" s="7"/>
      <c r="I4" s="22" t="s">
        <v>281</v>
      </c>
      <c r="J4" s="15"/>
      <c r="K4" s="26">
        <f t="shared" si="0"/>
        <v>0</v>
      </c>
      <c r="L4" s="27"/>
      <c r="M4" s="32">
        <f t="shared" si="1"/>
        <v>0</v>
      </c>
      <c r="N4" s="15" t="s">
        <v>282</v>
      </c>
      <c r="O4" s="2">
        <v>27</v>
      </c>
      <c r="P4" s="33">
        <f t="shared" si="2"/>
        <v>0</v>
      </c>
      <c r="Q4" s="38"/>
      <c r="R4" s="39">
        <v>0.15</v>
      </c>
      <c r="S4" s="33">
        <f t="shared" si="12"/>
        <v>0</v>
      </c>
      <c r="T4" s="7">
        <v>3.19</v>
      </c>
      <c r="U4" s="42">
        <v>0</v>
      </c>
      <c r="V4" s="26">
        <f t="shared" si="3"/>
        <v>0</v>
      </c>
      <c r="W4" s="33">
        <f t="shared" si="13"/>
        <v>-3.19</v>
      </c>
      <c r="X4" s="47" t="e">
        <f t="shared" si="4"/>
        <v>#DIV/0!</v>
      </c>
      <c r="Y4" s="51">
        <v>0.1</v>
      </c>
      <c r="Z4" s="51">
        <v>0.03</v>
      </c>
      <c r="AA4" s="51">
        <v>0.02</v>
      </c>
      <c r="AB4" s="51">
        <v>0</v>
      </c>
      <c r="AC4" s="58"/>
      <c r="AD4" s="59">
        <f t="shared" si="5"/>
        <v>0</v>
      </c>
      <c r="AE4" s="26">
        <f t="shared" si="14"/>
        <v>-3.19</v>
      </c>
      <c r="AF4" s="47" t="e">
        <f t="shared" si="6"/>
        <v>#DIV/0!</v>
      </c>
      <c r="AG4" s="61">
        <f t="shared" si="7"/>
        <v>0</v>
      </c>
      <c r="AH4" s="64">
        <f t="shared" si="8"/>
        <v>0</v>
      </c>
      <c r="AI4" s="65">
        <f t="shared" si="9"/>
        <v>0</v>
      </c>
      <c r="AJ4" s="65" t="e">
        <f t="shared" si="10"/>
        <v>#DIV/0!</v>
      </c>
      <c r="AK4" s="64">
        <f t="shared" si="11"/>
        <v>0</v>
      </c>
      <c r="AL4" s="64" t="e">
        <f t="shared" si="11"/>
        <v>#DIV/0!</v>
      </c>
      <c r="AM4" s="68"/>
      <c r="AN4" s="68"/>
    </row>
    <row r="5" customHeight="1" spans="1:40">
      <c r="A5" s="2"/>
      <c r="B5" s="11"/>
      <c r="C5" s="12"/>
      <c r="D5" s="6"/>
      <c r="E5" s="2"/>
      <c r="F5" s="2"/>
      <c r="G5" s="2"/>
      <c r="H5" s="21"/>
      <c r="I5" s="19" t="s">
        <v>281</v>
      </c>
      <c r="J5" s="2"/>
      <c r="K5" s="24">
        <f t="shared" si="0"/>
        <v>0</v>
      </c>
      <c r="L5" s="25"/>
      <c r="M5" s="31">
        <f t="shared" si="1"/>
        <v>0</v>
      </c>
      <c r="N5" s="2" t="s">
        <v>282</v>
      </c>
      <c r="O5" s="2">
        <v>27</v>
      </c>
      <c r="P5" s="31">
        <f t="shared" si="2"/>
        <v>0</v>
      </c>
      <c r="Q5" s="40"/>
      <c r="R5" s="37">
        <v>0.15</v>
      </c>
      <c r="S5" s="31">
        <f t="shared" si="12"/>
        <v>0</v>
      </c>
      <c r="T5" s="2">
        <v>3.19</v>
      </c>
      <c r="U5" s="37">
        <v>0</v>
      </c>
      <c r="V5" s="24">
        <f t="shared" si="3"/>
        <v>0</v>
      </c>
      <c r="W5" s="31">
        <f t="shared" si="13"/>
        <v>-3.19</v>
      </c>
      <c r="X5" s="46" t="e">
        <f t="shared" si="4"/>
        <v>#DIV/0!</v>
      </c>
      <c r="Y5" s="52">
        <v>0.1</v>
      </c>
      <c r="Z5" s="52">
        <v>0.03</v>
      </c>
      <c r="AA5" s="52">
        <v>0.02</v>
      </c>
      <c r="AB5" s="52">
        <v>0</v>
      </c>
      <c r="AC5" s="56"/>
      <c r="AD5" s="60">
        <f t="shared" si="5"/>
        <v>0</v>
      </c>
      <c r="AE5" s="24">
        <f t="shared" si="14"/>
        <v>-3.19</v>
      </c>
      <c r="AF5" s="46" t="e">
        <f t="shared" si="6"/>
        <v>#DIV/0!</v>
      </c>
      <c r="AG5" s="57">
        <f t="shared" si="7"/>
        <v>0</v>
      </c>
      <c r="AH5" s="63">
        <f t="shared" si="8"/>
        <v>0</v>
      </c>
      <c r="AI5" s="66">
        <f t="shared" si="9"/>
        <v>0</v>
      </c>
      <c r="AJ5" s="66" t="e">
        <f t="shared" si="10"/>
        <v>#DIV/0!</v>
      </c>
      <c r="AK5" s="63">
        <f t="shared" si="11"/>
        <v>0</v>
      </c>
      <c r="AL5" s="63" t="e">
        <f t="shared" si="11"/>
        <v>#DIV/0!</v>
      </c>
      <c r="AM5" s="68"/>
      <c r="AN5" s="68"/>
    </row>
    <row r="6" customHeight="1" spans="1:40">
      <c r="A6" s="7"/>
      <c r="B6" s="13"/>
      <c r="C6" s="14"/>
      <c r="D6" s="10"/>
      <c r="E6" s="22"/>
      <c r="F6" s="7"/>
      <c r="G6" s="7"/>
      <c r="H6" s="7"/>
      <c r="I6" s="20" t="s">
        <v>281</v>
      </c>
      <c r="J6" s="15"/>
      <c r="K6" s="28">
        <f t="shared" si="0"/>
        <v>0</v>
      </c>
      <c r="L6" s="27"/>
      <c r="M6" s="32">
        <f t="shared" si="1"/>
        <v>0</v>
      </c>
      <c r="N6" s="7" t="s">
        <v>282</v>
      </c>
      <c r="O6" s="2">
        <v>27</v>
      </c>
      <c r="P6" s="32">
        <f t="shared" si="2"/>
        <v>0</v>
      </c>
      <c r="Q6" s="41"/>
      <c r="R6" s="42">
        <v>0.15</v>
      </c>
      <c r="S6" s="32">
        <f t="shared" si="12"/>
        <v>0</v>
      </c>
      <c r="T6" s="7">
        <v>3.19</v>
      </c>
      <c r="U6" s="42">
        <v>0</v>
      </c>
      <c r="V6" s="28">
        <f t="shared" si="3"/>
        <v>0</v>
      </c>
      <c r="W6" s="32">
        <f t="shared" si="13"/>
        <v>-3.19</v>
      </c>
      <c r="X6" s="48" t="e">
        <f t="shared" si="4"/>
        <v>#DIV/0!</v>
      </c>
      <c r="Y6" s="51">
        <v>0.1</v>
      </c>
      <c r="Z6" s="51">
        <v>0.03</v>
      </c>
      <c r="AA6" s="51">
        <v>0.02</v>
      </c>
      <c r="AB6" s="51">
        <v>0</v>
      </c>
      <c r="AC6" s="58"/>
      <c r="AD6" s="59">
        <f t="shared" si="5"/>
        <v>0</v>
      </c>
      <c r="AE6" s="28">
        <f t="shared" si="14"/>
        <v>-3.19</v>
      </c>
      <c r="AF6" s="48" t="e">
        <f t="shared" si="6"/>
        <v>#DIV/0!</v>
      </c>
      <c r="AG6" s="59">
        <f t="shared" si="7"/>
        <v>0</v>
      </c>
      <c r="AH6" s="65">
        <f t="shared" si="8"/>
        <v>0</v>
      </c>
      <c r="AI6" s="65">
        <f t="shared" si="9"/>
        <v>0</v>
      </c>
      <c r="AJ6" s="65" t="e">
        <f t="shared" si="10"/>
        <v>#DIV/0!</v>
      </c>
      <c r="AK6" s="65">
        <f t="shared" si="11"/>
        <v>0</v>
      </c>
      <c r="AL6" s="65" t="e">
        <f t="shared" si="11"/>
        <v>#DIV/0!</v>
      </c>
      <c r="AM6" s="68"/>
      <c r="AN6" s="68"/>
    </row>
    <row r="7" customHeight="1" spans="1:40">
      <c r="A7" s="2"/>
      <c r="B7" s="3"/>
      <c r="C7" s="4"/>
      <c r="D7" s="6"/>
      <c r="E7" s="2"/>
      <c r="F7" s="2"/>
      <c r="G7" s="2"/>
      <c r="H7" s="2"/>
      <c r="I7" s="19" t="s">
        <v>281</v>
      </c>
      <c r="J7" s="2"/>
      <c r="K7" s="24">
        <f t="shared" si="0"/>
        <v>0</v>
      </c>
      <c r="L7" s="25"/>
      <c r="M7" s="31">
        <f t="shared" si="1"/>
        <v>0</v>
      </c>
      <c r="N7" s="2" t="s">
        <v>282</v>
      </c>
      <c r="O7" s="2">
        <v>27</v>
      </c>
      <c r="P7" s="31">
        <f t="shared" si="2"/>
        <v>0</v>
      </c>
      <c r="Q7" s="36"/>
      <c r="R7" s="37">
        <v>0.15</v>
      </c>
      <c r="S7" s="31">
        <f t="shared" si="12"/>
        <v>0</v>
      </c>
      <c r="T7" s="2">
        <v>3.19</v>
      </c>
      <c r="U7" s="37">
        <v>0</v>
      </c>
      <c r="V7" s="24">
        <f t="shared" si="3"/>
        <v>0</v>
      </c>
      <c r="W7" s="31">
        <f t="shared" si="13"/>
        <v>-3.19</v>
      </c>
      <c r="X7" s="46" t="e">
        <f t="shared" si="4"/>
        <v>#DIV/0!</v>
      </c>
      <c r="Y7" s="50">
        <v>0.1</v>
      </c>
      <c r="Z7" s="50">
        <v>0.03</v>
      </c>
      <c r="AA7" s="50">
        <v>0.02</v>
      </c>
      <c r="AB7" s="50">
        <v>0</v>
      </c>
      <c r="AC7" s="56"/>
      <c r="AD7" s="57">
        <f t="shared" si="5"/>
        <v>0</v>
      </c>
      <c r="AE7" s="24">
        <f t="shared" si="14"/>
        <v>-3.19</v>
      </c>
      <c r="AF7" s="46" t="e">
        <f t="shared" si="6"/>
        <v>#DIV/0!</v>
      </c>
      <c r="AG7" s="57">
        <f t="shared" si="7"/>
        <v>0</v>
      </c>
      <c r="AH7" s="63">
        <f t="shared" si="8"/>
        <v>0</v>
      </c>
      <c r="AI7" s="63">
        <f t="shared" si="9"/>
        <v>0</v>
      </c>
      <c r="AJ7" s="63" t="e">
        <f t="shared" si="10"/>
        <v>#DIV/0!</v>
      </c>
      <c r="AK7" s="63">
        <f t="shared" si="11"/>
        <v>0</v>
      </c>
      <c r="AL7" s="69" t="e">
        <f t="shared" si="11"/>
        <v>#DIV/0!</v>
      </c>
      <c r="AM7" s="70"/>
      <c r="AN7" s="68"/>
    </row>
    <row r="8" customHeight="1" spans="1:40">
      <c r="A8" s="15"/>
      <c r="B8" s="16"/>
      <c r="C8" s="16"/>
      <c r="D8" s="10"/>
      <c r="E8" s="15"/>
      <c r="F8" s="15"/>
      <c r="G8" s="15"/>
      <c r="H8" s="15"/>
      <c r="I8" s="22" t="s">
        <v>281</v>
      </c>
      <c r="J8" s="15"/>
      <c r="K8" s="26">
        <f t="shared" si="0"/>
        <v>0</v>
      </c>
      <c r="L8" s="29"/>
      <c r="M8" s="33">
        <f t="shared" si="1"/>
        <v>0</v>
      </c>
      <c r="N8" s="15" t="s">
        <v>282</v>
      </c>
      <c r="O8" s="2">
        <v>27</v>
      </c>
      <c r="P8" s="33">
        <f t="shared" si="2"/>
        <v>0</v>
      </c>
      <c r="Q8" s="43"/>
      <c r="R8" s="39">
        <v>0.15</v>
      </c>
      <c r="S8" s="33">
        <f t="shared" si="12"/>
        <v>0</v>
      </c>
      <c r="T8" s="15">
        <v>3.19</v>
      </c>
      <c r="U8" s="39">
        <v>0</v>
      </c>
      <c r="V8" s="26">
        <f t="shared" si="3"/>
        <v>0</v>
      </c>
      <c r="W8" s="33">
        <f t="shared" si="13"/>
        <v>-3.19</v>
      </c>
      <c r="X8" s="47" t="e">
        <f t="shared" si="4"/>
        <v>#DIV/0!</v>
      </c>
      <c r="Y8" s="53">
        <v>0.1</v>
      </c>
      <c r="Z8" s="53">
        <v>0.03</v>
      </c>
      <c r="AA8" s="53">
        <v>0.02</v>
      </c>
      <c r="AB8" s="53">
        <v>0</v>
      </c>
      <c r="AC8" s="58"/>
      <c r="AD8" s="61">
        <f t="shared" si="5"/>
        <v>0</v>
      </c>
      <c r="AE8" s="26">
        <f t="shared" si="14"/>
        <v>-3.19</v>
      </c>
      <c r="AF8" s="47" t="e">
        <f t="shared" si="6"/>
        <v>#DIV/0!</v>
      </c>
      <c r="AG8" s="61">
        <f t="shared" si="7"/>
        <v>0</v>
      </c>
      <c r="AH8" s="64">
        <f t="shared" si="8"/>
        <v>0</v>
      </c>
      <c r="AI8" s="64">
        <f t="shared" si="9"/>
        <v>0</v>
      </c>
      <c r="AJ8" s="64" t="e">
        <f t="shared" si="10"/>
        <v>#DIV/0!</v>
      </c>
      <c r="AK8" s="64">
        <f t="shared" si="11"/>
        <v>0</v>
      </c>
      <c r="AL8" s="71" t="e">
        <f t="shared" si="11"/>
        <v>#DIV/0!</v>
      </c>
      <c r="AM8" s="70"/>
      <c r="AN8" s="68"/>
    </row>
    <row r="9" customHeight="1" spans="1:40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</row>
    <row r="10" customHeight="1" spans="1:40">
      <c r="A10" s="18" t="s">
        <v>283</v>
      </c>
      <c r="B10" s="18">
        <v>1</v>
      </c>
      <c r="C10" s="18" t="s">
        <v>284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customHeight="1" spans="1:40">
      <c r="A11" s="18"/>
      <c r="B11" s="18">
        <v>2</v>
      </c>
      <c r="C11" s="18" t="s">
        <v>285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customHeight="1" spans="1:40">
      <c r="A12" s="18"/>
      <c r="B12" s="18">
        <v>3</v>
      </c>
      <c r="C12" s="18" t="s">
        <v>286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  <woSheetProps sheetStid="6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上架SOP总览</vt:lpstr>
      <vt:lpstr>①竞品调研</vt:lpstr>
      <vt:lpstr>②竞品Listing拆解</vt:lpstr>
      <vt:lpstr>③Listing关键词库</vt:lpstr>
      <vt:lpstr>④素材库</vt:lpstr>
      <vt:lpstr>⑤利润核算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WPS_1664800949</cp:lastModifiedBy>
  <dcterms:created xsi:type="dcterms:W3CDTF">2006-09-16T08:00:00Z</dcterms:created>
  <dcterms:modified xsi:type="dcterms:W3CDTF">2025-04-02T19:05:00Z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7440547F20894B0EB2E16A836EC9B4DF_13</vt:lpwstr>
  </property>
  <property fmtid="{D5CDD505-2E9C-101B-9397-08002B2CF9AE}" pid="3" name="KSOProductBuildVer">
    <vt:lpwstr>2052-0.0.0.0</vt:lpwstr>
  </property>
</Properties>
</file>