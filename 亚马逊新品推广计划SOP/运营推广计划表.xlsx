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运营推广计划表" sheetId="3" r:id="rId1"/>
    <sheet name="首批与返单囤货数量预测表" sheetId="5" r:id="rId2"/>
    <sheet name="毛利测算表" sheetId="2" r:id="rId3"/>
    <sheet name="价格策略" sheetId="4" r:id="rId4"/>
  </sheets>
  <calcPr calcId="144525"/>
</workbook>
</file>

<file path=xl/comments1.xml><?xml version="1.0" encoding="utf-8"?>
<comments xmlns="http://schemas.openxmlformats.org/spreadsheetml/2006/main">
  <authors>
    <author>seamoon ao</author>
    <author>zbird</author>
  </authors>
  <commentList>
    <comment ref="F2" authorId="0">
      <text>
        <r>
          <rPr>
            <sz val="9"/>
            <rFont val="宋体"/>
            <charset val="134"/>
          </rPr>
          <t>seamoon ao:
定价目标，由运营人员根据阶段定价策划确定</t>
        </r>
      </text>
    </comment>
    <comment ref="B3" authorId="1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开始售卖的第一天</t>
        </r>
      </text>
    </comment>
    <comment ref="N3" authorId="1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有两周的实际销量后，对应的日销需要填写实际的日销，同时后续的日销需要重新预估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设置售价梯度值</t>
        </r>
      </text>
    </comment>
    <comment ref="B17" authorId="0">
      <text>
        <r>
          <rPr>
            <b/>
            <sz val="9"/>
            <rFont val="宋体"/>
            <charset val="134"/>
          </rPr>
          <t>在此调价！
不用手动改上面表格数据</t>
        </r>
      </text>
    </comment>
  </commentList>
</comments>
</file>

<file path=xl/sharedStrings.xml><?xml version="1.0" encoding="utf-8"?>
<sst xmlns="http://schemas.openxmlformats.org/spreadsheetml/2006/main" count="557" uniqueCount="275">
  <si>
    <t>亚马逊新品利润预算表</t>
  </si>
  <si>
    <t>单个头程计算表</t>
  </si>
  <si>
    <t>料号</t>
  </si>
  <si>
    <t>17C</t>
  </si>
  <si>
    <t>SKU</t>
  </si>
  <si>
    <t>产品排名目标</t>
  </si>
  <si>
    <t>Top 50</t>
  </si>
  <si>
    <t>Top20</t>
  </si>
  <si>
    <t>外箱尺寸（inch）</t>
  </si>
  <si>
    <t>品名</t>
  </si>
  <si>
    <t>电动器</t>
  </si>
  <si>
    <t>ASIN</t>
  </si>
  <si>
    <t>B0B</t>
  </si>
  <si>
    <t>产品销量目标</t>
  </si>
  <si>
    <t>24单/天</t>
  </si>
  <si>
    <t>45单/天</t>
  </si>
  <si>
    <t>外箱尺寸（cm）</t>
  </si>
  <si>
    <t>原币</t>
  </si>
  <si>
    <t>美元</t>
  </si>
  <si>
    <t>汇率</t>
  </si>
  <si>
    <t>预计达成时间</t>
  </si>
  <si>
    <t>第2个月</t>
  </si>
  <si>
    <t>第4个月</t>
  </si>
  <si>
    <t>体积</t>
  </si>
  <si>
    <t>币别</t>
  </si>
  <si>
    <t>人民币（元）</t>
  </si>
  <si>
    <t>重量（kg）</t>
  </si>
  <si>
    <t>销售期间</t>
  </si>
  <si>
    <t>推广期</t>
  </si>
  <si>
    <t>盈利期</t>
  </si>
  <si>
    <t>总合计</t>
  </si>
  <si>
    <t>备注</t>
  </si>
  <si>
    <t>体积重</t>
  </si>
  <si>
    <t>类目           产品链接</t>
  </si>
  <si>
    <t>第1月</t>
  </si>
  <si>
    <t>第2月</t>
  </si>
  <si>
    <t>第3月及以后</t>
  </si>
  <si>
    <t>物流价格/kg</t>
  </si>
  <si>
    <t>收入</t>
  </si>
  <si>
    <t>刷单数量</t>
  </si>
  <si>
    <t>预估刷单单量</t>
  </si>
  <si>
    <t>单个运费</t>
  </si>
  <si>
    <t>正常销量</t>
  </si>
  <si>
    <t>预估正常销量（不包含刷单单量），需要通过囤货计划中的销量预估，公式会自动汇总</t>
  </si>
  <si>
    <t>单项数量</t>
  </si>
  <si>
    <t>汇总销量</t>
  </si>
  <si>
    <t>预估销量（包含刷单单量）</t>
  </si>
  <si>
    <t>单个头程</t>
  </si>
  <si>
    <t>不含税售价（人民币）</t>
  </si>
  <si>
    <t>product sales价格</t>
  </si>
  <si>
    <t>空运</t>
  </si>
  <si>
    <t>红单</t>
  </si>
  <si>
    <t>海运</t>
  </si>
  <si>
    <t>销售税率</t>
  </si>
  <si>
    <t>product sales tax税率，欧洲站20%，美国站0%</t>
  </si>
  <si>
    <t>产品包装信息</t>
  </si>
  <si>
    <t>含税售价(美元或其他货币）</t>
  </si>
  <si>
    <t>亚马逊上的售价</t>
  </si>
  <si>
    <t>彩盒尺寸（cm)</t>
  </si>
  <si>
    <t>包裹重量(KG)</t>
  </si>
  <si>
    <t>含税售价（人民币）</t>
  </si>
  <si>
    <t>退款率</t>
  </si>
  <si>
    <t>预估退款率</t>
  </si>
  <si>
    <t>各费用占比</t>
  </si>
  <si>
    <t>不含税销售额（人民币）</t>
  </si>
  <si>
    <t>阶段</t>
  </si>
  <si>
    <t>含税销售额（人民币）</t>
  </si>
  <si>
    <t>营销占比</t>
  </si>
  <si>
    <t>成本</t>
  </si>
  <si>
    <t>产品成本单价（人民币）</t>
  </si>
  <si>
    <t>站内促销营销比</t>
  </si>
  <si>
    <t>总成本（人民币）</t>
  </si>
  <si>
    <t>站外营销比</t>
  </si>
  <si>
    <t>毛利</t>
  </si>
  <si>
    <t>毛利额（人民币）</t>
  </si>
  <si>
    <t>不含税销售额减去产品总成本</t>
  </si>
  <si>
    <t>成本比</t>
  </si>
  <si>
    <t>毛利率</t>
  </si>
  <si>
    <t>物流费用比例</t>
  </si>
  <si>
    <t>站内促销费用</t>
  </si>
  <si>
    <t>LD次数</t>
  </si>
  <si>
    <t>每月预计秒杀次数</t>
  </si>
  <si>
    <t>佣金比</t>
  </si>
  <si>
    <t>7DD次数</t>
  </si>
  <si>
    <t>每月预计7天促销次数</t>
  </si>
  <si>
    <t>FBA配送费比</t>
  </si>
  <si>
    <t>Coupon</t>
  </si>
  <si>
    <t>优惠券的优惠金额数或者百分比</t>
  </si>
  <si>
    <t>其他费用</t>
  </si>
  <si>
    <t>Coupon Rate（使用率）</t>
  </si>
  <si>
    <t>优惠券使用率=Coupon兑换数/总订单,第一次制作的时候需要预估，有两周的数据后可以实际计算；</t>
  </si>
  <si>
    <t>退款</t>
  </si>
  <si>
    <t>Prime Discount（折扣）</t>
  </si>
  <si>
    <t>会员专项折扣百分比</t>
  </si>
  <si>
    <t>净利率</t>
  </si>
  <si>
    <t>总计（人民币）</t>
  </si>
  <si>
    <t>请注意修改个站点LD,7DD的价格，参考右下方的价格信息</t>
  </si>
  <si>
    <t>站内预估数据</t>
  </si>
  <si>
    <t>CPC（预估）(美元或其他货币）</t>
  </si>
  <si>
    <t>参考类似产品历史数据或者卖家精灵，对CPC值做预估</t>
  </si>
  <si>
    <t>转化率（预估）</t>
  </si>
  <si>
    <t>结合后台商品探测器的类目关键词转化率和产品本身，对产品做出转化率预估</t>
  </si>
  <si>
    <t>US</t>
  </si>
  <si>
    <t>广告订单成本（每单）(美元或其他货币）</t>
  </si>
  <si>
    <t>每个广告订单所需要的广告费</t>
  </si>
  <si>
    <t>EU</t>
  </si>
  <si>
    <t>广告订单占比（预估）</t>
  </si>
  <si>
    <t>整月广告订单占比的预估值</t>
  </si>
  <si>
    <t>UK</t>
  </si>
  <si>
    <t>广告订单营销比（Acos）</t>
  </si>
  <si>
    <t>费用</t>
  </si>
  <si>
    <t>站内推广费（人民币）</t>
  </si>
  <si>
    <t>站内促销费用明细（当地货币）</t>
  </si>
  <si>
    <t>站内推广费（美金）</t>
  </si>
  <si>
    <t>站点</t>
  </si>
  <si>
    <t>LD</t>
  </si>
  <si>
    <t>7DD</t>
  </si>
  <si>
    <t>广告营销比=ACOS*广告订单占比</t>
  </si>
  <si>
    <t>平台佣金（人民币）</t>
  </si>
  <si>
    <t>DE</t>
  </si>
  <si>
    <t>平台佣金比例</t>
  </si>
  <si>
    <t>FBA配送费（美元或其他货币）</t>
  </si>
  <si>
    <t>IT/FR/ES</t>
  </si>
  <si>
    <t>FBA配送费（人民币）</t>
  </si>
  <si>
    <t>单个产品FBA配送费</t>
  </si>
  <si>
    <t>FBA配送费（总）（人民币）</t>
  </si>
  <si>
    <t>平台及其他费用</t>
  </si>
  <si>
    <t>包含站内订阅、仓储、弃置等，可以按照2%计算</t>
  </si>
  <si>
    <t>单个头程及海外仓费(人民币）</t>
  </si>
  <si>
    <t>单个产品头程及海外仓费，头程费按以下方法预估</t>
  </si>
  <si>
    <t>头程及海外仓费（总）</t>
  </si>
  <si>
    <t>测评佣金（红包，人民币）</t>
  </si>
  <si>
    <t>单个产品营销佣金（红包）</t>
  </si>
  <si>
    <t>测评费用（总）</t>
  </si>
  <si>
    <t>站外红人等推广费及其他报销（人民币）</t>
  </si>
  <si>
    <t>站外所有推广费及报销费用</t>
  </si>
  <si>
    <t>费用总额</t>
  </si>
  <si>
    <t>总费用占比</t>
  </si>
  <si>
    <t>利润</t>
  </si>
  <si>
    <t>净毛利额（人民币）</t>
  </si>
  <si>
    <t>净毛利率</t>
  </si>
  <si>
    <t>填表说明：</t>
  </si>
  <si>
    <t>绿底为必填项，非绿底的是自动计算项，欧洲站的销售税率设定为20%，美国站销售税率设定为0%。</t>
  </si>
  <si>
    <t>头程费预估：先核算出各种物流方式的单位头程费，再测算每个阶段红单比重、空派比重、海运比重，最后核算出相应阶段的综合单位头程费。
公式：单位综合头程费=单位红单头程费*红单比重+单位空运头程费*空运比重+单位海运头程费*海运比重。（红单比重+空运比重+海运比重=1）</t>
  </si>
  <si>
    <t>销售价格预估：平台订单价格按同类同级别产品的市场价估算。</t>
  </si>
  <si>
    <t>总结</t>
  </si>
  <si>
    <t>月份</t>
  </si>
  <si>
    <t>月销量</t>
  </si>
  <si>
    <t>月销售额（RMB）</t>
  </si>
  <si>
    <t>广告费</t>
  </si>
  <si>
    <t>广销比</t>
  </si>
  <si>
    <t>净利润（RMB)</t>
  </si>
  <si>
    <t>第1个月</t>
  </si>
  <si>
    <t>第3个月</t>
  </si>
  <si>
    <t>日期</t>
  </si>
  <si>
    <t>周</t>
  </si>
  <si>
    <t>天数</t>
  </si>
  <si>
    <t>客单价</t>
  </si>
  <si>
    <t>日总单量
（预计）</t>
  </si>
  <si>
    <t>当前库存</t>
  </si>
  <si>
    <t>预计剩余库存</t>
  </si>
  <si>
    <t>到货库存</t>
  </si>
  <si>
    <t>13周销量计划</t>
  </si>
  <si>
    <t>第一月</t>
  </si>
  <si>
    <t>第一周</t>
  </si>
  <si>
    <t>销售时间</t>
  </si>
  <si>
    <t>预计达到小排名</t>
  </si>
  <si>
    <t>日销</t>
  </si>
  <si>
    <t>下单总量</t>
  </si>
  <si>
    <t>第二周</t>
  </si>
  <si>
    <t>第三周</t>
  </si>
  <si>
    <t>第四周</t>
  </si>
  <si>
    <t>第五周</t>
  </si>
  <si>
    <t>第六周</t>
  </si>
  <si>
    <t>第七周</t>
  </si>
  <si>
    <t>第八周</t>
  </si>
  <si>
    <t>第九周</t>
  </si>
  <si>
    <t>第十周</t>
  </si>
  <si>
    <t>第十一周</t>
  </si>
  <si>
    <t>第十二周</t>
  </si>
  <si>
    <t>第十三周</t>
  </si>
  <si>
    <t>汇总</t>
  </si>
  <si>
    <t>首批+返单下单计划</t>
  </si>
  <si>
    <t>批次</t>
  </si>
  <si>
    <t>下单量</t>
  </si>
  <si>
    <t>物流时效</t>
  </si>
  <si>
    <t>物流渠道</t>
  </si>
  <si>
    <t>产品交期</t>
  </si>
  <si>
    <t>下单时间</t>
  </si>
  <si>
    <t>付款金额</t>
  </si>
  <si>
    <t>交货时间</t>
  </si>
  <si>
    <t>国内离港时间</t>
  </si>
  <si>
    <t>到货时间</t>
  </si>
  <si>
    <t>首批</t>
  </si>
  <si>
    <t>快递时效</t>
  </si>
  <si>
    <t>返单</t>
  </si>
  <si>
    <t>第三批</t>
  </si>
  <si>
    <t>空运时效</t>
  </si>
  <si>
    <t>第四批</t>
  </si>
  <si>
    <t>基础信息</t>
  </si>
  <si>
    <t>产品交期/天</t>
  </si>
  <si>
    <t>天</t>
  </si>
  <si>
    <t>人民币</t>
  </si>
  <si>
    <t>快船时效</t>
  </si>
  <si>
    <t>慢船时效</t>
  </si>
  <si>
    <t>第二月</t>
  </si>
  <si>
    <t>卡航</t>
  </si>
  <si>
    <t>单次补货维持天数</t>
  </si>
  <si>
    <t>交货后国内处理时间</t>
  </si>
  <si>
    <t>第三月</t>
  </si>
  <si>
    <t>利润核算表（海运）</t>
  </si>
  <si>
    <t>售价阶梯</t>
  </si>
  <si>
    <t>成本结构</t>
  </si>
  <si>
    <t>采购成本</t>
  </si>
  <si>
    <t>采购占比</t>
  </si>
  <si>
    <t>头程运费</t>
  </si>
  <si>
    <t>头程占比</t>
  </si>
  <si>
    <t>FBA费用</t>
  </si>
  <si>
    <t>交易佣金</t>
  </si>
  <si>
    <t>仓租（淡/旺）</t>
  </si>
  <si>
    <t>广告费用</t>
  </si>
  <si>
    <t>汇率折损</t>
  </si>
  <si>
    <t>退款费用</t>
  </si>
  <si>
    <t>VAT税</t>
  </si>
  <si>
    <t>设定售价</t>
  </si>
  <si>
    <t>利润核算表（空运）</t>
  </si>
  <si>
    <t>美金</t>
  </si>
  <si>
    <t>海运成本</t>
  </si>
  <si>
    <t>空派成本</t>
  </si>
  <si>
    <t>DHL成本</t>
  </si>
  <si>
    <t>长</t>
  </si>
  <si>
    <t>厘米</t>
  </si>
  <si>
    <t>宽</t>
  </si>
  <si>
    <t>高</t>
  </si>
  <si>
    <t>产品实重</t>
  </si>
  <si>
    <t>千克</t>
  </si>
  <si>
    <t>海运体积重</t>
  </si>
  <si>
    <t>利润核算表（快递）</t>
  </si>
  <si>
    <t>渠道</t>
  </si>
  <si>
    <t>实时价格</t>
  </si>
  <si>
    <t>海运价格</t>
  </si>
  <si>
    <t>元/KG</t>
  </si>
  <si>
    <t>头程运输</t>
  </si>
  <si>
    <t>空派价格</t>
  </si>
  <si>
    <t>快递价格</t>
  </si>
  <si>
    <t>FBA配送费</t>
  </si>
  <si>
    <t>成本(¥)</t>
  </si>
  <si>
    <t>头程(¥)</t>
  </si>
  <si>
    <t>配送费($）</t>
  </si>
  <si>
    <t>新品期价格</t>
  </si>
  <si>
    <t>正常</t>
  </si>
  <si>
    <t>售价</t>
  </si>
  <si>
    <t>头程</t>
  </si>
  <si>
    <t>佣金
（美金）成交价的15%</t>
  </si>
  <si>
    <t>配送费
（美金）</t>
  </si>
  <si>
    <t>毛利润率</t>
  </si>
  <si>
    <t>总订单</t>
  </si>
  <si>
    <t>正常订单</t>
  </si>
  <si>
    <t>总销售额</t>
  </si>
  <si>
    <t>总毛利</t>
  </si>
  <si>
    <t>退款损失</t>
  </si>
  <si>
    <t>优惠券使用利润</t>
  </si>
  <si>
    <t>优惠券/促销</t>
  </si>
  <si>
    <t>佣金
（美金）</t>
  </si>
  <si>
    <t>优惠券费用</t>
  </si>
  <si>
    <t>优惠券使用率</t>
  </si>
  <si>
    <t>日均订单</t>
  </si>
  <si>
    <t>周期</t>
  </si>
  <si>
    <t>退款费</t>
  </si>
  <si>
    <t>净利</t>
  </si>
  <si>
    <t>日</t>
  </si>
  <si>
    <t>旬</t>
  </si>
  <si>
    <t>半月</t>
  </si>
  <si>
    <t>月</t>
  </si>
  <si>
    <t>成熟期价格</t>
  </si>
</sst>
</file>

<file path=xl/styles.xml><?xml version="1.0" encoding="utf-8"?>
<styleSheet xmlns="http://schemas.openxmlformats.org/spreadsheetml/2006/main">
  <numFmts count="52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mmmm\-yy"/>
    <numFmt numFmtId="24" formatCode="\$#,##0_);[Red]\(\$#,##0\)"/>
    <numFmt numFmtId="7" formatCode="&quot;￥&quot;#,##0.00;&quot;￥&quot;\-#,##0.00"/>
    <numFmt numFmtId="179" formatCode="h:mm:ss\ AM/PM"/>
    <numFmt numFmtId="26" formatCode="\$#,##0.00_);[Red]\(\$#,##0.00\)"/>
    <numFmt numFmtId="180" formatCode="[$-804]aaaa"/>
    <numFmt numFmtId="181" formatCode="yyyy/m/d\ h:mm\ AM/PM"/>
    <numFmt numFmtId="182" formatCode="yy/m/d"/>
    <numFmt numFmtId="183" formatCode="#\ ?/?"/>
    <numFmt numFmtId="184" formatCode="m/d"/>
    <numFmt numFmtId="185" formatCode="&quot;$&quot;#,##0.00_);[Red]\(&quot;$&quot;#,##0.00\)"/>
    <numFmt numFmtId="186" formatCode="#,##0.00_ "/>
    <numFmt numFmtId="187" formatCode="\¥#,##0;[Red]\¥\-#,##0"/>
    <numFmt numFmtId="188" formatCode="\¥#,##0.00;\¥\-#,##0.00"/>
    <numFmt numFmtId="189" formatCode="0.000%"/>
    <numFmt numFmtId="190" formatCode="0.0%"/>
    <numFmt numFmtId="191" formatCode="&quot;￥&quot;#,##0.0_);[Red]\(&quot;￥&quot;#,##0.0\)"/>
    <numFmt numFmtId="192" formatCode="#,##0.000_ "/>
    <numFmt numFmtId="193" formatCode="yyyy/m/d;@"/>
    <numFmt numFmtId="194" formatCode="[DBNum1]上午/下午h&quot;时&quot;mm&quot;分&quot;"/>
    <numFmt numFmtId="8" formatCode="&quot;￥&quot;#,##0.00;[Red]&quot;￥&quot;\-#,##0.00"/>
    <numFmt numFmtId="195" formatCode="h:mm\ AM/PM"/>
    <numFmt numFmtId="196" formatCode="0_);[Red]\(0\)"/>
    <numFmt numFmtId="197" formatCode="[$-804]aaa"/>
    <numFmt numFmtId="198" formatCode="\$#,##0"/>
    <numFmt numFmtId="199" formatCode="[DBNum1][$-804]m&quot;月&quot;d&quot;日&quot;"/>
    <numFmt numFmtId="200" formatCode="#,##0.0_ "/>
    <numFmt numFmtId="5" formatCode="&quot;￥&quot;#,##0;&quot;￥&quot;\-#,##0"/>
    <numFmt numFmtId="44" formatCode="_ &quot;￥&quot;* #,##0.00_ ;_ &quot;￥&quot;* \-#,##0.00_ ;_ &quot;￥&quot;* &quot;-&quot;??_ ;_ @_ "/>
    <numFmt numFmtId="201" formatCode="0.0_);[Red]\(0.0\)"/>
    <numFmt numFmtId="202" formatCode="#\ ??"/>
    <numFmt numFmtId="203" formatCode="mmmmm"/>
    <numFmt numFmtId="42" formatCode="_ &quot;￥&quot;* #,##0_ ;_ &quot;￥&quot;* \-#,##0_ ;_ &quot;￥&quot;* &quot;-&quot;_ ;_ @_ "/>
    <numFmt numFmtId="204" formatCode="&quot;￥&quot;#,##0.00_);[Red]\(&quot;￥&quot;#,##0.00\)"/>
    <numFmt numFmtId="205" formatCode="[DBNum1]h&quot;时&quot;mm&quot;分&quot;"/>
    <numFmt numFmtId="206" formatCode="[DBNum1][$-804]yyyy&quot;年&quot;m&quot;月&quot;d&quot;日&quot;"/>
    <numFmt numFmtId="207" formatCode="&quot;$&quot;#,##0.00;\-&quot;$&quot;#,##0.00"/>
    <numFmt numFmtId="208" formatCode="#,##0_ "/>
    <numFmt numFmtId="25" formatCode="\$#,##0.00_);\(\$#,##0.00\)"/>
    <numFmt numFmtId="209" formatCode="mmmmm\-yy"/>
    <numFmt numFmtId="43" formatCode="_ * #,##0.00_ ;_ * \-#,##0.00_ ;_ * &quot;-&quot;??_ ;_ @_ "/>
    <numFmt numFmtId="210" formatCode="dd\-mmm\-yy"/>
    <numFmt numFmtId="211" formatCode="\¥#,##0;\¥\-#,##0"/>
    <numFmt numFmtId="212" formatCode="0.00_ "/>
    <numFmt numFmtId="41" formatCode="_ * #,##0_ ;_ * \-#,##0_ ;_ * &quot;-&quot;_ ;_ @_ "/>
    <numFmt numFmtId="213" formatCode="mm/dd/yy"/>
    <numFmt numFmtId="214" formatCode="#\ ??/??"/>
    <numFmt numFmtId="215" formatCode="0_ "/>
  </numFmts>
  <fonts count="57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26"/>
      <name val="微软雅黑"/>
      <charset val="134"/>
    </font>
    <font>
      <sz val="14"/>
      <name val="微软雅黑"/>
      <charset val="134"/>
    </font>
    <font>
      <b/>
      <sz val="14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4"/>
      <color theme="0"/>
      <name val="微软雅黑"/>
      <charset val="134"/>
    </font>
    <font>
      <b/>
      <sz val="14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color rgb="FFC00000"/>
      <name val="微软雅黑"/>
      <charset val="134"/>
    </font>
    <font>
      <b/>
      <sz val="10"/>
      <color indexed="10"/>
      <name val="微软雅黑"/>
      <charset val="134"/>
    </font>
    <font>
      <b/>
      <sz val="14"/>
      <color indexed="8"/>
      <name val="微软雅黑"/>
      <charset val="134"/>
    </font>
    <font>
      <b/>
      <sz val="10"/>
      <color theme="1" tint="0.249977111117893"/>
      <name val="微软雅黑"/>
      <charset val="134"/>
    </font>
    <font>
      <b/>
      <sz val="20"/>
      <color theme="1" tint="0.249977111117893"/>
      <name val="微软雅黑"/>
      <charset val="134"/>
    </font>
    <font>
      <sz val="10.5"/>
      <color theme="1"/>
      <name val="等线"/>
      <charset val="134"/>
    </font>
    <font>
      <b/>
      <sz val="15"/>
      <color indexed="8"/>
      <name val="微软雅黑"/>
      <charset val="134"/>
    </font>
    <font>
      <sz val="10"/>
      <color indexed="8"/>
      <name val="微软雅黑"/>
      <charset val="134"/>
    </font>
    <font>
      <b/>
      <sz val="10"/>
      <name val="微软雅黑"/>
      <charset val="134"/>
    </font>
    <font>
      <b/>
      <sz val="15"/>
      <color rgb="FFC00000"/>
      <name val="微软雅黑"/>
      <charset val="134"/>
    </font>
    <font>
      <sz val="10"/>
      <color rgb="FFC00000"/>
      <name val="微软雅黑"/>
      <charset val="134"/>
    </font>
    <font>
      <b/>
      <sz val="10"/>
      <color rgb="FFFF0000"/>
      <name val="微软雅黑"/>
      <charset val="134"/>
    </font>
    <font>
      <sz val="10"/>
      <color theme="5" tint="-0.25"/>
      <name val="微软雅黑"/>
      <charset val="134"/>
    </font>
    <font>
      <b/>
      <sz val="10"/>
      <color theme="5" tint="-0.25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b/>
      <sz val="10"/>
      <color theme="9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79247413556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37" fillId="27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53" fillId="41" borderId="51" applyNumberFormat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52" fillId="23" borderId="51" applyNumberFormat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50" fillId="0" borderId="49" applyNumberFormat="0" applyFill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3" borderId="48" applyNumberFormat="0" applyAlignment="0" applyProtection="0">
      <alignment vertical="center"/>
    </xf>
    <xf numFmtId="0" fontId="40" fillId="23" borderId="47" applyNumberFormat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0" fillId="22" borderId="46" applyNumberFormat="0" applyFont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7" fillId="0" borderId="50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0" borderId="44" applyNumberFormat="0" applyFill="0" applyAlignment="0" applyProtection="0">
      <alignment vertical="center"/>
    </xf>
  </cellStyleXfs>
  <cellXfs count="26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212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212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215" fontId="1" fillId="2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215" fontId="1" fillId="0" borderId="1" xfId="0" applyNumberFormat="1" applyFont="1" applyFill="1" applyBorder="1" applyAlignment="1">
      <alignment horizontal="center" vertical="center"/>
    </xf>
    <xf numFmtId="212" fontId="1" fillId="0" borderId="0" xfId="0" applyNumberFormat="1" applyFont="1" applyFill="1" applyAlignment="1">
      <alignment horizontal="center" vertical="center"/>
    </xf>
    <xf numFmtId="10" fontId="5" fillId="0" borderId="4" xfId="0" applyNumberFormat="1" applyFont="1" applyFill="1" applyBorder="1" applyAlignment="1">
      <alignment horizontal="center" vertical="center" wrapText="1"/>
    </xf>
    <xf numFmtId="212" fontId="5" fillId="0" borderId="4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/>
    </xf>
    <xf numFmtId="215" fontId="3" fillId="2" borderId="1" xfId="0" applyNumberFormat="1" applyFont="1" applyFill="1" applyBorder="1" applyAlignment="1">
      <alignment horizontal="center" vertical="center"/>
    </xf>
    <xf numFmtId="215" fontId="3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 wrapText="1"/>
    </xf>
    <xf numFmtId="186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198" fontId="6" fillId="3" borderId="0" xfId="0" applyNumberFormat="1" applyFont="1" applyFill="1" applyAlignment="1">
      <alignment horizontal="center" vertical="center"/>
    </xf>
    <xf numFmtId="207" fontId="7" fillId="4" borderId="2" xfId="0" applyNumberFormat="1" applyFont="1" applyFill="1" applyBorder="1" applyAlignment="1">
      <alignment horizontal="center"/>
    </xf>
    <xf numFmtId="0" fontId="0" fillId="0" borderId="3" xfId="0" applyFill="1" applyBorder="1" applyAlignment="1"/>
    <xf numFmtId="207" fontId="8" fillId="5" borderId="1" xfId="0" applyNumberFormat="1" applyFont="1" applyFill="1" applyBorder="1" applyAlignment="1">
      <alignment horizontal="center" vertical="center"/>
    </xf>
    <xf numFmtId="207" fontId="9" fillId="6" borderId="2" xfId="0" applyNumberFormat="1" applyFont="1" applyFill="1" applyBorder="1" applyAlignment="1">
      <alignment horizontal="center" vertical="center"/>
    </xf>
    <xf numFmtId="207" fontId="9" fillId="6" borderId="3" xfId="0" applyNumberFormat="1" applyFont="1" applyFill="1" applyBorder="1" applyAlignment="1">
      <alignment horizontal="center" vertical="center"/>
    </xf>
    <xf numFmtId="207" fontId="8" fillId="7" borderId="1" xfId="0" applyNumberFormat="1" applyFont="1" applyFill="1" applyBorder="1" applyAlignment="1">
      <alignment horizontal="left" vertical="center"/>
    </xf>
    <xf numFmtId="185" fontId="8" fillId="0" borderId="1" xfId="0" applyNumberFormat="1" applyFont="1" applyFill="1" applyBorder="1" applyAlignment="1">
      <alignment horizontal="center" vertical="center"/>
    </xf>
    <xf numFmtId="207" fontId="8" fillId="0" borderId="1" xfId="0" applyNumberFormat="1" applyFont="1" applyFill="1" applyBorder="1" applyAlignment="1">
      <alignment horizontal="left" vertical="center"/>
    </xf>
    <xf numFmtId="10" fontId="8" fillId="0" borderId="1" xfId="0" applyNumberFormat="1" applyFont="1" applyFill="1" applyBorder="1" applyAlignment="1">
      <alignment horizontal="left" vertical="center"/>
    </xf>
    <xf numFmtId="185" fontId="8" fillId="8" borderId="1" xfId="0" applyNumberFormat="1" applyFont="1" applyFill="1" applyBorder="1" applyAlignment="1">
      <alignment horizontal="center" vertical="center"/>
    </xf>
    <xf numFmtId="207" fontId="8" fillId="8" borderId="1" xfId="0" applyNumberFormat="1" applyFont="1" applyFill="1" applyBorder="1" applyAlignment="1">
      <alignment horizontal="left" vertical="center"/>
    </xf>
    <xf numFmtId="10" fontId="8" fillId="8" borderId="1" xfId="0" applyNumberFormat="1" applyFont="1" applyFill="1" applyBorder="1" applyAlignment="1">
      <alignment horizontal="left" vertical="center"/>
    </xf>
    <xf numFmtId="207" fontId="8" fillId="9" borderId="1" xfId="0" applyNumberFormat="1" applyFont="1" applyFill="1" applyBorder="1" applyAlignment="1">
      <alignment horizontal="left" vertical="center"/>
    </xf>
    <xf numFmtId="10" fontId="8" fillId="9" borderId="1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185" fontId="6" fillId="0" borderId="1" xfId="0" applyNumberFormat="1" applyFont="1" applyFill="1" applyBorder="1" applyAlignment="1">
      <alignment horizontal="center" vertical="center"/>
    </xf>
    <xf numFmtId="185" fontId="1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207" fontId="8" fillId="2" borderId="1" xfId="0" applyNumberFormat="1" applyFont="1" applyFill="1" applyBorder="1" applyAlignment="1">
      <alignment horizontal="left"/>
    </xf>
    <xf numFmtId="191" fontId="8" fillId="2" borderId="1" xfId="0" applyNumberFormat="1" applyFont="1" applyFill="1" applyBorder="1" applyAlignment="1">
      <alignment horizontal="left" vertical="center"/>
    </xf>
    <xf numFmtId="185" fontId="8" fillId="0" borderId="1" xfId="0" applyNumberFormat="1" applyFont="1" applyFill="1" applyBorder="1" applyAlignment="1">
      <alignment horizontal="left" vertical="center"/>
    </xf>
    <xf numFmtId="191" fontId="8" fillId="0" borderId="1" xfId="0" applyNumberFormat="1" applyFont="1" applyFill="1" applyBorder="1" applyAlignment="1">
      <alignment horizontal="left" vertical="center"/>
    </xf>
    <xf numFmtId="207" fontId="8" fillId="0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212" fontId="8" fillId="2" borderId="1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204" fontId="8" fillId="2" borderId="1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85" fontId="9" fillId="2" borderId="1" xfId="0" applyNumberFormat="1" applyFont="1" applyFill="1" applyBorder="1" applyAlignment="1">
      <alignment horizontal="left" vertical="center"/>
    </xf>
    <xf numFmtId="185" fontId="8" fillId="0" borderId="0" xfId="0" applyNumberFormat="1" applyFont="1" applyFill="1" applyAlignment="1">
      <alignment horizontal="left" vertical="center"/>
    </xf>
    <xf numFmtId="185" fontId="8" fillId="8" borderId="1" xfId="0" applyNumberFormat="1" applyFont="1" applyFill="1" applyBorder="1" applyAlignment="1">
      <alignment horizontal="left" vertical="center"/>
    </xf>
    <xf numFmtId="207" fontId="7" fillId="4" borderId="1" xfId="0" applyNumberFormat="1" applyFont="1" applyFill="1" applyBorder="1" applyAlignment="1">
      <alignment horizontal="center"/>
    </xf>
    <xf numFmtId="207" fontId="8" fillId="7" borderId="1" xfId="0" applyNumberFormat="1" applyFont="1" applyFill="1" applyBorder="1" applyAlignment="1">
      <alignment vertical="center"/>
    </xf>
    <xf numFmtId="207" fontId="9" fillId="6" borderId="5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207" fontId="8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0" borderId="5" xfId="0" applyFill="1" applyBorder="1" applyAlignment="1"/>
    <xf numFmtId="0" fontId="8" fillId="9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12" borderId="1" xfId="0" applyFont="1" applyFill="1" applyBorder="1" applyAlignment="1" applyProtection="1">
      <alignment horizontal="center" vertical="center"/>
      <protection hidden="1"/>
    </xf>
    <xf numFmtId="14" fontId="8" fillId="2" borderId="1" xfId="0" applyNumberFormat="1" applyFont="1" applyFill="1" applyBorder="1" applyAlignment="1" applyProtection="1">
      <alignment horizontal="center" vertical="center"/>
      <protection hidden="1"/>
    </xf>
    <xf numFmtId="14" fontId="8" fillId="0" borderId="1" xfId="0" applyNumberFormat="1" applyFont="1" applyFill="1" applyBorder="1" applyAlignment="1" applyProtection="1">
      <alignment horizontal="center" vertical="center"/>
      <protection hidden="1"/>
    </xf>
    <xf numFmtId="212" fontId="6" fillId="12" borderId="1" xfId="0" applyNumberFormat="1" applyFont="1" applyFill="1" applyBorder="1" applyAlignment="1" applyProtection="1">
      <alignment horizontal="center" vertical="center"/>
      <protection hidden="1"/>
    </xf>
    <xf numFmtId="0" fontId="6" fillId="12" borderId="1" xfId="0" applyFont="1" applyFill="1" applyBorder="1" applyAlignment="1" applyProtection="1">
      <alignment horizontal="center" vertical="center" wrapText="1"/>
      <protection hidden="1"/>
    </xf>
    <xf numFmtId="196" fontId="8" fillId="0" borderId="1" xfId="0" applyNumberFormat="1" applyFont="1" applyFill="1" applyBorder="1" applyAlignment="1" applyProtection="1">
      <alignment horizontal="center" vertical="center"/>
      <protection hidden="1"/>
    </xf>
    <xf numFmtId="212" fontId="8" fillId="0" borderId="1" xfId="0" applyNumberFormat="1" applyFont="1" applyFill="1" applyBorder="1" applyAlignment="1" applyProtection="1">
      <alignment horizontal="center" vertical="center"/>
      <protection hidden="1"/>
    </xf>
    <xf numFmtId="215" fontId="8" fillId="0" borderId="1" xfId="0" applyNumberFormat="1" applyFont="1" applyFill="1" applyBorder="1" applyAlignment="1" applyProtection="1">
      <alignment horizontal="center" vertical="center"/>
      <protection hidden="1"/>
    </xf>
    <xf numFmtId="0" fontId="11" fillId="13" borderId="2" xfId="0" applyFont="1" applyFill="1" applyBorder="1" applyAlignment="1" applyProtection="1">
      <alignment horizontal="center" vertical="center"/>
      <protection hidden="1"/>
    </xf>
    <xf numFmtId="215" fontId="8" fillId="2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215" fontId="8" fillId="2" borderId="1" xfId="0" applyNumberFormat="1" applyFont="1" applyFill="1" applyBorder="1" applyAlignment="1" applyProtection="1">
      <alignment horizontal="center" vertical="center"/>
      <protection hidden="1"/>
    </xf>
    <xf numFmtId="0" fontId="11" fillId="13" borderId="1" xfId="0" applyFont="1" applyFill="1" applyBorder="1" applyAlignment="1">
      <alignment horizontal="center" vertical="center"/>
    </xf>
    <xf numFmtId="215" fontId="12" fillId="12" borderId="1" xfId="0" applyNumberFormat="1" applyFont="1" applyFill="1" applyBorder="1" applyAlignment="1" applyProtection="1">
      <alignment horizontal="center" vertical="center"/>
      <protection hidden="1"/>
    </xf>
    <xf numFmtId="215" fontId="8" fillId="12" borderId="1" xfId="0" applyNumberFormat="1" applyFont="1" applyFill="1" applyBorder="1" applyAlignment="1" applyProtection="1">
      <alignment horizontal="center" vertical="center"/>
      <protection hidden="1"/>
    </xf>
    <xf numFmtId="0" fontId="11" fillId="13" borderId="3" xfId="0" applyFont="1" applyFill="1" applyBorder="1" applyAlignment="1" applyProtection="1">
      <alignment horizontal="center" vertical="center"/>
      <protection hidden="1"/>
    </xf>
    <xf numFmtId="0" fontId="11" fillId="13" borderId="5" xfId="0" applyFont="1" applyFill="1" applyBorder="1" applyAlignment="1" applyProtection="1">
      <alignment horizontal="center" vertical="center"/>
      <protection hidden="1"/>
    </xf>
    <xf numFmtId="0" fontId="3" fillId="2" borderId="1" xfId="1" applyNumberFormat="1" applyFont="1" applyFill="1" applyBorder="1" applyAlignment="1">
      <alignment horizontal="center" vertical="center" wrapText="1"/>
    </xf>
    <xf numFmtId="215" fontId="3" fillId="2" borderId="1" xfId="1" applyNumberFormat="1" applyFont="1" applyFill="1" applyBorder="1" applyAlignment="1">
      <alignment horizontal="center" vertical="center"/>
    </xf>
    <xf numFmtId="215" fontId="3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215" fontId="3" fillId="0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93" fontId="1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93" fontId="13" fillId="2" borderId="1" xfId="0" applyNumberFormat="1" applyFont="1" applyFill="1" applyBorder="1" applyAlignment="1">
      <alignment horizontal="center" vertical="center"/>
    </xf>
    <xf numFmtId="193" fontId="14" fillId="2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5" fillId="0" borderId="0" xfId="0" applyNumberFormat="1" applyFont="1" applyFill="1" applyAlignment="1">
      <alignment horizontal="left" vertical="center"/>
    </xf>
    <xf numFmtId="186" fontId="15" fillId="0" borderId="0" xfId="0" applyNumberFormat="1" applyFont="1" applyFill="1" applyAlignment="1">
      <alignment horizontal="left" vertical="center"/>
    </xf>
    <xf numFmtId="0" fontId="18" fillId="0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/>
    </xf>
    <xf numFmtId="192" fontId="15" fillId="0" borderId="0" xfId="0" applyNumberFormat="1" applyFont="1" applyFill="1" applyBorder="1" applyAlignment="1">
      <alignment horizontal="left" vertical="center"/>
    </xf>
    <xf numFmtId="0" fontId="20" fillId="0" borderId="6" xfId="0" applyNumberFormat="1" applyFont="1" applyFill="1" applyBorder="1" applyAlignment="1">
      <alignment horizontal="left" vertical="center"/>
    </xf>
    <xf numFmtId="0" fontId="20" fillId="0" borderId="7" xfId="0" applyNumberFormat="1" applyFont="1" applyFill="1" applyBorder="1" applyAlignment="1">
      <alignment horizontal="left" vertical="center"/>
    </xf>
    <xf numFmtId="0" fontId="15" fillId="0" borderId="8" xfId="0" applyNumberFormat="1" applyFont="1" applyFill="1" applyBorder="1" applyAlignment="1">
      <alignment horizontal="left" vertical="center"/>
    </xf>
    <xf numFmtId="192" fontId="21" fillId="15" borderId="1" xfId="0" applyNumberFormat="1" applyFont="1" applyFill="1" applyBorder="1" applyAlignment="1">
      <alignment horizontal="left" vertical="center" wrapText="1"/>
    </xf>
    <xf numFmtId="192" fontId="21" fillId="0" borderId="1" xfId="0" applyNumberFormat="1" applyFont="1" applyFill="1" applyBorder="1" applyAlignment="1">
      <alignment horizontal="left" vertical="center"/>
    </xf>
    <xf numFmtId="0" fontId="21" fillId="0" borderId="1" xfId="0" applyNumberFormat="1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left" vertical="center"/>
    </xf>
    <xf numFmtId="58" fontId="21" fillId="15" borderId="1" xfId="0" applyNumberFormat="1" applyFont="1" applyFill="1" applyBorder="1" applyAlignment="1">
      <alignment horizontal="left" vertical="center"/>
    </xf>
    <xf numFmtId="0" fontId="21" fillId="0" borderId="9" xfId="0" applyNumberFormat="1" applyFont="1" applyFill="1" applyBorder="1" applyAlignment="1">
      <alignment horizontal="left" vertical="center"/>
    </xf>
    <xf numFmtId="0" fontId="21" fillId="15" borderId="10" xfId="0" applyNumberFormat="1" applyFont="1" applyFill="1" applyBorder="1" applyAlignment="1">
      <alignment horizontal="left" vertical="center"/>
    </xf>
    <xf numFmtId="0" fontId="22" fillId="0" borderId="10" xfId="0" applyNumberFormat="1" applyFont="1" applyFill="1" applyBorder="1" applyAlignment="1">
      <alignment horizontal="left" vertical="center"/>
    </xf>
    <xf numFmtId="0" fontId="15" fillId="16" borderId="11" xfId="0" applyNumberFormat="1" applyFont="1" applyFill="1" applyBorder="1" applyAlignment="1">
      <alignment horizontal="left" vertical="center"/>
    </xf>
    <xf numFmtId="0" fontId="15" fillId="16" borderId="12" xfId="0" applyNumberFormat="1" applyFont="1" applyFill="1" applyBorder="1" applyAlignment="1">
      <alignment horizontal="left" vertical="center"/>
    </xf>
    <xf numFmtId="0" fontId="15" fillId="0" borderId="13" xfId="0" applyNumberFormat="1" applyFont="1" applyFill="1" applyBorder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57" fontId="15" fillId="0" borderId="14" xfId="0" applyNumberFormat="1" applyFont="1" applyFill="1" applyBorder="1" applyAlignment="1">
      <alignment horizontal="left" vertical="center"/>
    </xf>
    <xf numFmtId="0" fontId="24" fillId="0" borderId="15" xfId="0" applyNumberFormat="1" applyFont="1" applyFill="1" applyBorder="1" applyAlignment="1">
      <alignment horizontal="left" vertical="center" textRotation="255"/>
    </xf>
    <xf numFmtId="0" fontId="15" fillId="0" borderId="14" xfId="0" applyNumberFormat="1" applyFont="1" applyFill="1" applyBorder="1" applyAlignment="1">
      <alignment horizontal="left" vertical="center"/>
    </xf>
    <xf numFmtId="0" fontId="25" fillId="2" borderId="14" xfId="0" applyNumberFormat="1" applyFont="1" applyFill="1" applyBorder="1" applyAlignment="1">
      <alignment horizontal="left" vertical="center"/>
    </xf>
    <xf numFmtId="0" fontId="25" fillId="0" borderId="14" xfId="0" applyNumberFormat="1" applyFont="1" applyFill="1" applyBorder="1" applyAlignment="1">
      <alignment horizontal="left" vertical="center"/>
    </xf>
    <xf numFmtId="212" fontId="25" fillId="0" borderId="14" xfId="0" applyNumberFormat="1" applyFont="1" applyFill="1" applyBorder="1" applyAlignment="1">
      <alignment horizontal="left" vertical="center"/>
    </xf>
    <xf numFmtId="10" fontId="25" fillId="0" borderId="14" xfId="10" applyNumberFormat="1" applyFont="1" applyFill="1" applyBorder="1" applyAlignment="1">
      <alignment horizontal="left" vertical="center"/>
    </xf>
    <xf numFmtId="212" fontId="25" fillId="2" borderId="14" xfId="10" applyNumberFormat="1" applyFont="1" applyFill="1" applyBorder="1" applyAlignment="1">
      <alignment horizontal="left" vertical="center"/>
    </xf>
    <xf numFmtId="201" fontId="25" fillId="0" borderId="14" xfId="10" applyNumberFormat="1" applyFont="1" applyFill="1" applyBorder="1" applyAlignment="1">
      <alignment horizontal="left" vertical="center"/>
    </xf>
    <xf numFmtId="9" fontId="25" fillId="0" borderId="14" xfId="10" applyNumberFormat="1" applyFont="1" applyFill="1" applyBorder="1" applyAlignment="1">
      <alignment horizontal="left" vertical="center"/>
    </xf>
    <xf numFmtId="208" fontId="15" fillId="0" borderId="14" xfId="10" applyNumberFormat="1" applyFont="1" applyFill="1" applyBorder="1" applyAlignment="1">
      <alignment horizontal="left" vertical="center"/>
    </xf>
    <xf numFmtId="208" fontId="25" fillId="0" borderId="14" xfId="10" applyNumberFormat="1" applyFont="1" applyFill="1" applyBorder="1" applyAlignment="1">
      <alignment horizontal="left" vertical="center"/>
    </xf>
    <xf numFmtId="0" fontId="24" fillId="0" borderId="16" xfId="0" applyNumberFormat="1" applyFont="1" applyFill="1" applyBorder="1" applyAlignment="1">
      <alignment horizontal="left" vertical="center" textRotation="255"/>
    </xf>
    <xf numFmtId="208" fontId="15" fillId="0" borderId="17" xfId="10" applyNumberFormat="1" applyFont="1" applyFill="1" applyBorder="1" applyAlignment="1">
      <alignment horizontal="left" vertical="center"/>
    </xf>
    <xf numFmtId="208" fontId="25" fillId="0" borderId="17" xfId="10" applyNumberFormat="1" applyFont="1" applyFill="1" applyBorder="1" applyAlignment="1">
      <alignment horizontal="left" vertical="center"/>
    </xf>
    <xf numFmtId="0" fontId="24" fillId="0" borderId="11" xfId="0" applyNumberFormat="1" applyFont="1" applyFill="1" applyBorder="1" applyAlignment="1">
      <alignment horizontal="left" vertical="center" textRotation="255"/>
    </xf>
    <xf numFmtId="0" fontId="15" fillId="0" borderId="12" xfId="0" applyNumberFormat="1" applyFont="1" applyFill="1" applyBorder="1" applyAlignment="1">
      <alignment horizontal="left" vertical="center"/>
    </xf>
    <xf numFmtId="212" fontId="25" fillId="0" borderId="12" xfId="0" applyNumberFormat="1" applyFont="1" applyFill="1" applyBorder="1" applyAlignment="1">
      <alignment horizontal="left" vertical="center"/>
    </xf>
    <xf numFmtId="0" fontId="15" fillId="0" borderId="17" xfId="0" applyNumberFormat="1" applyFont="1" applyFill="1" applyBorder="1" applyAlignment="1">
      <alignment horizontal="left" vertical="center"/>
    </xf>
    <xf numFmtId="208" fontId="25" fillId="0" borderId="17" xfId="0" applyNumberFormat="1" applyFont="1" applyFill="1" applyBorder="1" applyAlignment="1">
      <alignment horizontal="left" vertical="center"/>
    </xf>
    <xf numFmtId="208" fontId="25" fillId="0" borderId="12" xfId="0" applyNumberFormat="1" applyFont="1" applyFill="1" applyBorder="1" applyAlignment="1">
      <alignment horizontal="left" vertical="center"/>
    </xf>
    <xf numFmtId="10" fontId="25" fillId="0" borderId="17" xfId="10" applyNumberFormat="1" applyFont="1" applyFill="1" applyBorder="1" applyAlignment="1">
      <alignment horizontal="left" vertical="center"/>
    </xf>
    <xf numFmtId="0" fontId="24" fillId="0" borderId="18" xfId="0" applyNumberFormat="1" applyFont="1" applyFill="1" applyBorder="1" applyAlignment="1">
      <alignment horizontal="left" vertical="center" textRotation="255"/>
    </xf>
    <xf numFmtId="0" fontId="15" fillId="0" borderId="19" xfId="0" applyNumberFormat="1" applyFont="1" applyFill="1" applyBorder="1" applyAlignment="1">
      <alignment horizontal="left" vertical="center"/>
    </xf>
    <xf numFmtId="0" fontId="25" fillId="2" borderId="12" xfId="0" applyNumberFormat="1" applyFont="1" applyFill="1" applyBorder="1" applyAlignment="1">
      <alignment horizontal="left" vertical="center"/>
    </xf>
    <xf numFmtId="0" fontId="24" fillId="0" borderId="20" xfId="0" applyNumberFormat="1" applyFont="1" applyFill="1" applyBorder="1" applyAlignment="1">
      <alignment horizontal="left" vertical="center" textRotation="255"/>
    </xf>
    <xf numFmtId="0" fontId="15" fillId="0" borderId="21" xfId="0" applyNumberFormat="1" applyFont="1" applyFill="1" applyBorder="1" applyAlignment="1">
      <alignment horizontal="left" vertical="center"/>
    </xf>
    <xf numFmtId="9" fontId="25" fillId="2" borderId="14" xfId="10" applyNumberFormat="1" applyFont="1" applyFill="1" applyBorder="1" applyAlignment="1">
      <alignment horizontal="left" vertical="center"/>
    </xf>
    <xf numFmtId="9" fontId="25" fillId="2" borderId="14" xfId="0" applyNumberFormat="1" applyFont="1" applyFill="1" applyBorder="1" applyAlignment="1">
      <alignment horizontal="left" vertical="center"/>
    </xf>
    <xf numFmtId="0" fontId="24" fillId="0" borderId="22" xfId="0" applyNumberFormat="1" applyFont="1" applyFill="1" applyBorder="1" applyAlignment="1">
      <alignment horizontal="left" vertical="center" textRotation="255"/>
    </xf>
    <xf numFmtId="0" fontId="15" fillId="0" borderId="23" xfId="0" applyNumberFormat="1" applyFont="1" applyFill="1" applyBorder="1" applyAlignment="1">
      <alignment horizontal="left" vertical="center"/>
    </xf>
    <xf numFmtId="0" fontId="26" fillId="0" borderId="24" xfId="0" applyNumberFormat="1" applyFont="1" applyFill="1" applyBorder="1" applyAlignment="1">
      <alignment horizontal="left" vertical="center"/>
    </xf>
    <xf numFmtId="212" fontId="1" fillId="2" borderId="25" xfId="10" applyNumberFormat="1" applyFont="1" applyFill="1" applyBorder="1" applyAlignment="1">
      <alignment horizontal="left" vertical="center"/>
    </xf>
    <xf numFmtId="0" fontId="26" fillId="0" borderId="21" xfId="0" applyNumberFormat="1" applyFont="1" applyFill="1" applyBorder="1" applyAlignment="1">
      <alignment horizontal="left" vertical="center"/>
    </xf>
    <xf numFmtId="10" fontId="1" fillId="2" borderId="14" xfId="10" applyNumberFormat="1" applyFont="1" applyFill="1" applyBorder="1" applyAlignment="1">
      <alignment horizontal="left" vertical="center"/>
    </xf>
    <xf numFmtId="212" fontId="25" fillId="0" borderId="14" xfId="10" applyNumberFormat="1" applyFont="1" applyFill="1" applyBorder="1" applyAlignment="1">
      <alignment horizontal="left" vertical="center"/>
    </xf>
    <xf numFmtId="10" fontId="25" fillId="0" borderId="17" xfId="0" applyNumberFormat="1" applyFont="1" applyFill="1" applyBorder="1" applyAlignment="1">
      <alignment horizontal="left" vertical="center"/>
    </xf>
    <xf numFmtId="0" fontId="15" fillId="0" borderId="26" xfId="0" applyNumberFormat="1" applyFont="1" applyFill="1" applyBorder="1" applyAlignment="1">
      <alignment horizontal="left" vertical="center"/>
    </xf>
    <xf numFmtId="208" fontId="25" fillId="0" borderId="27" xfId="0" applyNumberFormat="1" applyFont="1" applyFill="1" applyBorder="1" applyAlignment="1">
      <alignment horizontal="left" vertical="center"/>
    </xf>
    <xf numFmtId="0" fontId="24" fillId="0" borderId="28" xfId="0" applyNumberFormat="1" applyFont="1" applyFill="1" applyBorder="1" applyAlignment="1">
      <alignment horizontal="left" vertical="center" textRotation="255"/>
    </xf>
    <xf numFmtId="0" fontId="15" fillId="0" borderId="29" xfId="0" applyNumberFormat="1" applyFont="1" applyFill="1" applyBorder="1" applyAlignment="1">
      <alignment horizontal="left" vertical="center"/>
    </xf>
    <xf numFmtId="208" fontId="25" fillId="0" borderId="30" xfId="0" applyNumberFormat="1" applyFont="1" applyFill="1" applyBorder="1" applyAlignment="1">
      <alignment horizontal="left" vertical="center"/>
    </xf>
    <xf numFmtId="190" fontId="15" fillId="0" borderId="29" xfId="10" applyNumberFormat="1" applyFont="1" applyFill="1" applyBorder="1" applyAlignment="1">
      <alignment horizontal="left" vertical="center"/>
    </xf>
    <xf numFmtId="10" fontId="25" fillId="0" borderId="30" xfId="10" applyNumberFormat="1" applyFont="1" applyFill="1" applyBorder="1" applyAlignment="1">
      <alignment horizontal="left" vertical="center"/>
    </xf>
    <xf numFmtId="186" fontId="24" fillId="0" borderId="15" xfId="0" applyNumberFormat="1" applyFont="1" applyFill="1" applyBorder="1" applyAlignment="1">
      <alignment horizontal="left" vertical="center" textRotation="255"/>
    </xf>
    <xf numFmtId="186" fontId="15" fillId="0" borderId="29" xfId="10" applyNumberFormat="1" applyFont="1" applyFill="1" applyBorder="1" applyAlignment="1">
      <alignment horizontal="left" vertical="center"/>
    </xf>
    <xf numFmtId="208" fontId="25" fillId="0" borderId="30" xfId="10" applyNumberFormat="1" applyFont="1" applyFill="1" applyBorder="1" applyAlignment="1">
      <alignment horizontal="left" vertical="center"/>
    </xf>
    <xf numFmtId="10" fontId="25" fillId="2" borderId="30" xfId="10" applyNumberFormat="1" applyFont="1" applyFill="1" applyBorder="1" applyAlignment="1">
      <alignment horizontal="left" vertical="center"/>
    </xf>
    <xf numFmtId="212" fontId="25" fillId="2" borderId="30" xfId="10" applyNumberFormat="1" applyFont="1" applyFill="1" applyBorder="1" applyAlignment="1">
      <alignment horizontal="left" vertical="center"/>
    </xf>
    <xf numFmtId="212" fontId="25" fillId="0" borderId="30" xfId="10" applyNumberFormat="1" applyFont="1" applyFill="1" applyBorder="1" applyAlignment="1">
      <alignment horizontal="left" vertical="center"/>
    </xf>
    <xf numFmtId="186" fontId="15" fillId="0" borderId="29" xfId="0" applyNumberFormat="1" applyFont="1" applyFill="1" applyBorder="1" applyAlignment="1">
      <alignment horizontal="left" vertical="center"/>
    </xf>
    <xf numFmtId="186" fontId="15" fillId="0" borderId="31" xfId="0" applyNumberFormat="1" applyFont="1" applyFill="1" applyBorder="1" applyAlignment="1">
      <alignment horizontal="left" vertical="center"/>
    </xf>
    <xf numFmtId="10" fontId="25" fillId="0" borderId="32" xfId="10" applyNumberFormat="1" applyFont="1" applyFill="1" applyBorder="1" applyAlignment="1">
      <alignment horizontal="left" vertical="center"/>
    </xf>
    <xf numFmtId="0" fontId="27" fillId="0" borderId="11" xfId="0" applyNumberFormat="1" applyFont="1" applyFill="1" applyBorder="1" applyAlignment="1">
      <alignment horizontal="left" vertical="center" textRotation="255"/>
    </xf>
    <xf numFmtId="186" fontId="18" fillId="0" borderId="12" xfId="0" applyNumberFormat="1" applyFont="1" applyFill="1" applyBorder="1" applyAlignment="1">
      <alignment horizontal="left" vertical="center"/>
    </xf>
    <xf numFmtId="212" fontId="28" fillId="0" borderId="12" xfId="10" applyNumberFormat="1" applyFont="1" applyFill="1" applyBorder="1" applyAlignment="1">
      <alignment horizontal="left" vertical="center"/>
    </xf>
    <xf numFmtId="0" fontId="27" fillId="0" borderId="16" xfId="0" applyNumberFormat="1" applyFont="1" applyFill="1" applyBorder="1" applyAlignment="1">
      <alignment horizontal="left" vertical="center" textRotation="255"/>
    </xf>
    <xf numFmtId="186" fontId="18" fillId="0" borderId="17" xfId="0" applyNumberFormat="1" applyFont="1" applyFill="1" applyBorder="1" applyAlignment="1">
      <alignment horizontal="left" vertical="center"/>
    </xf>
    <xf numFmtId="10" fontId="28" fillId="0" borderId="17" xfId="1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20" fillId="0" borderId="33" xfId="0" applyNumberFormat="1" applyFont="1" applyFill="1" applyBorder="1" applyAlignment="1">
      <alignment horizontal="left" vertical="center"/>
    </xf>
    <xf numFmtId="0" fontId="15" fillId="2" borderId="1" xfId="0" applyNumberFormat="1" applyFont="1" applyFill="1" applyBorder="1" applyAlignment="1">
      <alignment horizontal="left" vertical="center"/>
    </xf>
    <xf numFmtId="0" fontId="29" fillId="0" borderId="1" xfId="0" applyNumberFormat="1" applyFont="1" applyFill="1" applyBorder="1" applyAlignment="1">
      <alignment horizontal="left" vertical="center"/>
    </xf>
    <xf numFmtId="0" fontId="15" fillId="2" borderId="2" xfId="0" applyNumberFormat="1" applyFont="1" applyFill="1" applyBorder="1" applyAlignment="1">
      <alignment horizontal="left" vertical="center"/>
    </xf>
    <xf numFmtId="0" fontId="15" fillId="2" borderId="34" xfId="0" applyNumberFormat="1" applyFont="1" applyFill="1" applyBorder="1" applyAlignment="1">
      <alignment horizontal="left" vertical="center"/>
    </xf>
    <xf numFmtId="192" fontId="15" fillId="2" borderId="2" xfId="0" applyNumberFormat="1" applyFont="1" applyFill="1" applyBorder="1" applyAlignment="1">
      <alignment horizontal="left" vertical="center"/>
    </xf>
    <xf numFmtId="192" fontId="15" fillId="0" borderId="35" xfId="0" applyNumberFormat="1" applyFont="1" applyFill="1" applyBorder="1" applyAlignment="1">
      <alignment horizontal="left" vertical="center"/>
    </xf>
    <xf numFmtId="0" fontId="15" fillId="0" borderId="36" xfId="0" applyNumberFormat="1" applyFont="1" applyFill="1" applyBorder="1" applyAlignment="1">
      <alignment horizontal="left" vertical="center"/>
    </xf>
    <xf numFmtId="200" fontId="15" fillId="0" borderId="12" xfId="0" applyNumberFormat="1" applyFont="1" applyFill="1" applyBorder="1" applyAlignment="1">
      <alignment horizontal="left" vertical="center"/>
    </xf>
    <xf numFmtId="0" fontId="15" fillId="0" borderId="37" xfId="0" applyNumberFormat="1" applyFont="1" applyFill="1" applyBorder="1" applyAlignment="1">
      <alignment horizontal="left" vertical="center"/>
    </xf>
    <xf numFmtId="200" fontId="15" fillId="0" borderId="14" xfId="0" applyNumberFormat="1" applyFont="1" applyFill="1" applyBorder="1" applyAlignment="1">
      <alignment horizontal="left" vertical="center"/>
    </xf>
    <xf numFmtId="0" fontId="15" fillId="0" borderId="38" xfId="0" applyNumberFormat="1" applyFont="1" applyFill="1" applyBorder="1" applyAlignment="1">
      <alignment horizontal="left" vertical="center"/>
    </xf>
    <xf numFmtId="0" fontId="30" fillId="0" borderId="14" xfId="0" applyNumberFormat="1" applyFont="1" applyFill="1" applyBorder="1" applyAlignment="1">
      <alignment horizontal="left" vertical="center"/>
    </xf>
    <xf numFmtId="0" fontId="15" fillId="0" borderId="38" xfId="0" applyFont="1" applyFill="1" applyBorder="1" applyAlignment="1">
      <alignment horizontal="left" vertical="center"/>
    </xf>
    <xf numFmtId="10" fontId="30" fillId="0" borderId="14" xfId="0" applyNumberFormat="1" applyFont="1" applyFill="1" applyBorder="1" applyAlignment="1">
      <alignment horizontal="left" vertical="center"/>
    </xf>
    <xf numFmtId="212" fontId="30" fillId="0" borderId="14" xfId="0" applyNumberFormat="1" applyFont="1" applyFill="1" applyBorder="1" applyAlignment="1">
      <alignment horizontal="left" vertical="center"/>
    </xf>
    <xf numFmtId="201" fontId="30" fillId="0" borderId="14" xfId="0" applyNumberFormat="1" applyFont="1" applyFill="1" applyBorder="1" applyAlignment="1">
      <alignment horizontal="left" vertical="center"/>
    </xf>
    <xf numFmtId="0" fontId="31" fillId="0" borderId="38" xfId="0" applyFont="1" applyFill="1" applyBorder="1" applyAlignment="1">
      <alignment horizontal="left" vertical="center"/>
    </xf>
    <xf numFmtId="9" fontId="30" fillId="0" borderId="14" xfId="0" applyNumberFormat="1" applyFont="1" applyFill="1" applyBorder="1" applyAlignment="1">
      <alignment horizontal="left" vertical="center"/>
    </xf>
    <xf numFmtId="208" fontId="30" fillId="0" borderId="14" xfId="10" applyNumberFormat="1" applyFont="1" applyFill="1" applyBorder="1" applyAlignment="1">
      <alignment horizontal="left" vertical="center"/>
    </xf>
    <xf numFmtId="208" fontId="30" fillId="0" borderId="17" xfId="10" applyNumberFormat="1" applyFont="1" applyFill="1" applyBorder="1" applyAlignment="1">
      <alignment horizontal="left" vertical="center"/>
    </xf>
    <xf numFmtId="0" fontId="15" fillId="0" borderId="39" xfId="0" applyNumberFormat="1" applyFont="1" applyFill="1" applyBorder="1" applyAlignment="1">
      <alignment horizontal="left" vertical="center"/>
    </xf>
    <xf numFmtId="208" fontId="30" fillId="0" borderId="17" xfId="0" applyNumberFormat="1" applyFont="1" applyFill="1" applyBorder="1" applyAlignment="1">
      <alignment horizontal="left" vertical="center"/>
    </xf>
    <xf numFmtId="208" fontId="30" fillId="0" borderId="14" xfId="0" applyNumberFormat="1" applyFont="1" applyFill="1" applyBorder="1" applyAlignment="1">
      <alignment horizontal="left" vertical="center"/>
    </xf>
    <xf numFmtId="10" fontId="30" fillId="0" borderId="10" xfId="10" applyNumberFormat="1" applyFont="1" applyFill="1" applyBorder="1" applyAlignment="1">
      <alignment horizontal="left" vertical="center"/>
    </xf>
    <xf numFmtId="10" fontId="31" fillId="0" borderId="12" xfId="0" applyNumberFormat="1" applyFont="1" applyFill="1" applyBorder="1" applyAlignment="1">
      <alignment horizontal="left" vertical="center"/>
    </xf>
    <xf numFmtId="10" fontId="31" fillId="0" borderId="14" xfId="0" applyNumberFormat="1" applyFont="1" applyFill="1" applyBorder="1" applyAlignment="1">
      <alignment horizontal="left" vertical="center"/>
    </xf>
    <xf numFmtId="208" fontId="31" fillId="0" borderId="17" xfId="0" applyNumberFormat="1" applyFont="1" applyFill="1" applyBorder="1" applyAlignment="1">
      <alignment horizontal="left" vertical="center"/>
    </xf>
    <xf numFmtId="0" fontId="29" fillId="0" borderId="39" xfId="0" applyNumberFormat="1" applyFont="1" applyFill="1" applyBorder="1" applyAlignment="1">
      <alignment horizontal="left" vertical="center"/>
    </xf>
    <xf numFmtId="212" fontId="30" fillId="0" borderId="25" xfId="0" applyNumberFormat="1" applyFont="1" applyFill="1" applyBorder="1" applyAlignment="1">
      <alignment horizontal="left" vertical="center"/>
    </xf>
    <xf numFmtId="0" fontId="26" fillId="0" borderId="40" xfId="0" applyNumberFormat="1" applyFont="1" applyFill="1" applyBorder="1" applyAlignment="1">
      <alignment horizontal="left" vertical="center"/>
    </xf>
    <xf numFmtId="0" fontId="26" fillId="0" borderId="38" xfId="0" applyNumberFormat="1" applyFont="1" applyFill="1" applyBorder="1" applyAlignment="1">
      <alignment horizontal="left" vertical="center"/>
    </xf>
    <xf numFmtId="212" fontId="30" fillId="0" borderId="14" xfId="10" applyNumberFormat="1" applyFont="1" applyFill="1" applyBorder="1" applyAlignment="1">
      <alignment horizontal="left" vertical="center"/>
    </xf>
    <xf numFmtId="10" fontId="31" fillId="0" borderId="17" xfId="0" applyNumberFormat="1" applyFont="1" applyFill="1" applyBorder="1" applyAlignment="1">
      <alignment horizontal="left" vertical="center"/>
    </xf>
    <xf numFmtId="208" fontId="30" fillId="0" borderId="27" xfId="0" applyNumberFormat="1" applyFont="1" applyFill="1" applyBorder="1" applyAlignment="1">
      <alignment horizontal="left" vertical="center"/>
    </xf>
    <xf numFmtId="0" fontId="15" fillId="0" borderId="41" xfId="0" applyNumberFormat="1" applyFont="1" applyFill="1" applyBorder="1" applyAlignment="1">
      <alignment horizontal="left" vertical="center"/>
    </xf>
    <xf numFmtId="208" fontId="30" fillId="0" borderId="30" xfId="0" applyNumberFormat="1" applyFont="1" applyFill="1" applyBorder="1" applyAlignment="1">
      <alignment horizontal="left" vertical="center"/>
    </xf>
    <xf numFmtId="0" fontId="15" fillId="0" borderId="42" xfId="0" applyNumberFormat="1" applyFont="1" applyFill="1" applyBorder="1" applyAlignment="1">
      <alignment horizontal="left" vertical="center"/>
    </xf>
    <xf numFmtId="212" fontId="30" fillId="0" borderId="30" xfId="0" applyNumberFormat="1" applyFont="1" applyFill="1" applyBorder="1" applyAlignment="1">
      <alignment horizontal="left" vertical="center"/>
    </xf>
    <xf numFmtId="208" fontId="30" fillId="0" borderId="30" xfId="10" applyNumberFormat="1" applyFont="1" applyFill="1" applyBorder="1" applyAlignment="1">
      <alignment horizontal="left" vertical="center"/>
    </xf>
    <xf numFmtId="186" fontId="15" fillId="0" borderId="42" xfId="0" applyNumberFormat="1" applyFont="1" applyFill="1" applyBorder="1" applyAlignment="1">
      <alignment horizontal="left" vertical="center"/>
    </xf>
    <xf numFmtId="10" fontId="30" fillId="0" borderId="30" xfId="10" applyNumberFormat="1" applyFont="1" applyFill="1" applyBorder="1" applyAlignment="1">
      <alignment horizontal="left" vertical="center"/>
    </xf>
    <xf numFmtId="212" fontId="30" fillId="0" borderId="30" xfId="10" applyNumberFormat="1" applyFont="1" applyFill="1" applyBorder="1" applyAlignment="1">
      <alignment horizontal="left" vertical="center"/>
    </xf>
    <xf numFmtId="10" fontId="30" fillId="0" borderId="32" xfId="10" applyNumberFormat="1" applyFont="1" applyFill="1" applyBorder="1" applyAlignment="1">
      <alignment horizontal="left" vertical="center"/>
    </xf>
    <xf numFmtId="0" fontId="15" fillId="0" borderId="43" xfId="0" applyNumberFormat="1" applyFont="1" applyFill="1" applyBorder="1" applyAlignment="1">
      <alignment horizontal="left" vertical="center"/>
    </xf>
    <xf numFmtId="0" fontId="32" fillId="0" borderId="37" xfId="0" applyNumberFormat="1" applyFont="1" applyFill="1" applyBorder="1" applyAlignment="1">
      <alignment horizontal="left" vertical="center"/>
    </xf>
    <xf numFmtId="0" fontId="18" fillId="0" borderId="39" xfId="0" applyNumberFormat="1" applyFont="1" applyFill="1" applyBorder="1" applyAlignment="1">
      <alignment horizontal="left" vertical="center"/>
    </xf>
    <xf numFmtId="192" fontId="15" fillId="0" borderId="1" xfId="0" applyNumberFormat="1" applyFont="1" applyFill="1" applyBorder="1" applyAlignment="1">
      <alignment horizontal="left" vertical="center"/>
    </xf>
    <xf numFmtId="192" fontId="19" fillId="0" borderId="1" xfId="0" applyNumberFormat="1" applyFont="1" applyFill="1" applyBorder="1" applyAlignment="1">
      <alignment horizontal="left" vertical="center"/>
    </xf>
    <xf numFmtId="0" fontId="19" fillId="0" borderId="1" xfId="0" applyNumberFormat="1" applyFont="1" applyFill="1" applyBorder="1" applyAlignment="1">
      <alignment horizontal="left" vertical="center"/>
    </xf>
    <xf numFmtId="189" fontId="15" fillId="0" borderId="1" xfId="0" applyNumberFormat="1" applyFont="1" applyFill="1" applyBorder="1" applyAlignment="1">
      <alignment horizontal="left" vertical="center"/>
    </xf>
    <xf numFmtId="0" fontId="15" fillId="17" borderId="1" xfId="0" applyNumberFormat="1" applyFont="1" applyFill="1" applyBorder="1" applyAlignment="1">
      <alignment horizontal="left" vertical="center"/>
    </xf>
    <xf numFmtId="212" fontId="15" fillId="0" borderId="1" xfId="0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212" fontId="33" fillId="2" borderId="1" xfId="0" applyNumberFormat="1" applyFont="1" applyFill="1" applyBorder="1" applyAlignment="1">
      <alignment horizontal="left" vertical="center"/>
    </xf>
    <xf numFmtId="212" fontId="29" fillId="2" borderId="1" xfId="0" applyNumberFormat="1" applyFont="1" applyFill="1" applyBorder="1" applyAlignment="1">
      <alignment horizontal="left" vertical="center"/>
    </xf>
    <xf numFmtId="215" fontId="34" fillId="2" borderId="1" xfId="0" applyNumberFormat="1" applyFont="1" applyFill="1" applyBorder="1" applyAlignment="1">
      <alignment horizontal="left" vertical="center"/>
    </xf>
    <xf numFmtId="212" fontId="29" fillId="0" borderId="1" xfId="0" applyNumberFormat="1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/>
    </xf>
    <xf numFmtId="0" fontId="26" fillId="0" borderId="1" xfId="0" applyNumberFormat="1" applyFont="1" applyFill="1" applyBorder="1" applyAlignment="1">
      <alignment horizontal="left" vertical="center"/>
    </xf>
    <xf numFmtId="10" fontId="26" fillId="0" borderId="1" xfId="0" applyNumberFormat="1" applyFont="1" applyFill="1" applyBorder="1" applyAlignment="1">
      <alignment horizontal="left" vertical="center"/>
    </xf>
    <xf numFmtId="10" fontId="29" fillId="0" borderId="1" xfId="0" applyNumberFormat="1" applyFont="1" applyFill="1" applyBorder="1" applyAlignment="1">
      <alignment horizontal="left" vertical="center"/>
    </xf>
    <xf numFmtId="0" fontId="35" fillId="0" borderId="1" xfId="0" applyNumberFormat="1" applyFont="1" applyFill="1" applyBorder="1" applyAlignment="1">
      <alignment horizontal="left" vertical="center"/>
    </xf>
    <xf numFmtId="10" fontId="35" fillId="0" borderId="1" xfId="0" applyNumberFormat="1" applyFont="1" applyFill="1" applyBorder="1" applyAlignment="1">
      <alignment horizontal="left" vertical="center"/>
    </xf>
    <xf numFmtId="0" fontId="15" fillId="15" borderId="1" xfId="0" applyNumberFormat="1" applyFont="1" applyFill="1" applyBorder="1" applyAlignment="1">
      <alignment horizontal="left" vertical="center"/>
    </xf>
    <xf numFmtId="10" fontId="15" fillId="15" borderId="1" xfId="0" applyNumberFormat="1" applyFont="1" applyFill="1" applyBorder="1" applyAlignment="1">
      <alignment horizontal="left" vertical="center"/>
    </xf>
    <xf numFmtId="0" fontId="15" fillId="0" borderId="2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/>
    </xf>
    <xf numFmtId="200" fontId="15" fillId="2" borderId="1" xfId="10" applyNumberFormat="1" applyFont="1" applyFill="1" applyBorder="1" applyAlignment="1">
      <alignment horizontal="left" vertical="center"/>
    </xf>
    <xf numFmtId="212" fontId="15" fillId="0" borderId="0" xfId="0" applyNumberFormat="1" applyFont="1" applyFill="1" applyBorder="1" applyAlignment="1">
      <alignment horizontal="left" vertical="center"/>
    </xf>
  </cellXfs>
  <cellStyles count="50">
    <cellStyle name="常规" xfId="0" builtinId="0"/>
    <cellStyle name="常规 5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11430</xdr:colOff>
      <xdr:row>15</xdr:row>
      <xdr:rowOff>9525</xdr:rowOff>
    </xdr:from>
    <xdr:to>
      <xdr:col>6</xdr:col>
      <xdr:colOff>0</xdr:colOff>
      <xdr:row>35</xdr:row>
      <xdr:rowOff>57150</xdr:rowOff>
    </xdr:to>
    <xdr:sp>
      <xdr:nvSpPr>
        <xdr:cNvPr id="2" name="矩形 1"/>
        <xdr:cNvSpPr/>
      </xdr:nvSpPr>
      <xdr:spPr>
        <a:xfrm>
          <a:off x="3421380" y="3190875"/>
          <a:ext cx="664845" cy="44672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3" name="矩形 2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4" name="矩形 3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15</xdr:row>
      <xdr:rowOff>9525</xdr:rowOff>
    </xdr:from>
    <xdr:to>
      <xdr:col>6</xdr:col>
      <xdr:colOff>0</xdr:colOff>
      <xdr:row>35</xdr:row>
      <xdr:rowOff>57150</xdr:rowOff>
    </xdr:to>
    <xdr:sp>
      <xdr:nvSpPr>
        <xdr:cNvPr id="5" name="矩形 4"/>
        <xdr:cNvSpPr/>
      </xdr:nvSpPr>
      <xdr:spPr>
        <a:xfrm>
          <a:off x="3421380" y="3190875"/>
          <a:ext cx="664845" cy="44672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6" name="矩形 5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15</xdr:row>
      <xdr:rowOff>9525</xdr:rowOff>
    </xdr:from>
    <xdr:to>
      <xdr:col>6</xdr:col>
      <xdr:colOff>0</xdr:colOff>
      <xdr:row>35</xdr:row>
      <xdr:rowOff>57150</xdr:rowOff>
    </xdr:to>
    <xdr:sp>
      <xdr:nvSpPr>
        <xdr:cNvPr id="7" name="矩形 6"/>
        <xdr:cNvSpPr/>
      </xdr:nvSpPr>
      <xdr:spPr>
        <a:xfrm>
          <a:off x="3421380" y="3190875"/>
          <a:ext cx="664845" cy="44672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8" name="矩形 7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9" name="矩形 8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15</xdr:row>
      <xdr:rowOff>9525</xdr:rowOff>
    </xdr:from>
    <xdr:to>
      <xdr:col>6</xdr:col>
      <xdr:colOff>0</xdr:colOff>
      <xdr:row>35</xdr:row>
      <xdr:rowOff>57150</xdr:rowOff>
    </xdr:to>
    <xdr:sp>
      <xdr:nvSpPr>
        <xdr:cNvPr id="10" name="矩形 9"/>
        <xdr:cNvSpPr/>
      </xdr:nvSpPr>
      <xdr:spPr>
        <a:xfrm>
          <a:off x="3421380" y="3190875"/>
          <a:ext cx="664845" cy="44672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  <xdr:twoCellAnchor>
    <xdr:from>
      <xdr:col>5</xdr:col>
      <xdr:colOff>11430</xdr:colOff>
      <xdr:row>17</xdr:row>
      <xdr:rowOff>9526</xdr:rowOff>
    </xdr:from>
    <xdr:to>
      <xdr:col>6</xdr:col>
      <xdr:colOff>0</xdr:colOff>
      <xdr:row>36</xdr:row>
      <xdr:rowOff>142876</xdr:rowOff>
    </xdr:to>
    <xdr:sp>
      <xdr:nvSpPr>
        <xdr:cNvPr id="11" name="矩形 10"/>
        <xdr:cNvSpPr/>
      </xdr:nvSpPr>
      <xdr:spPr>
        <a:xfrm>
          <a:off x="3421380" y="3762375"/>
          <a:ext cx="664845" cy="4191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600" b="1"/>
            <a:t>请产品开发将黄色区域填写准确</a:t>
          </a:r>
          <a:endParaRPr lang="en-US" altLang="zh-CN" sz="1600" b="1"/>
        </a:p>
        <a:p>
          <a:pPr algn="ctr"/>
          <a:endParaRPr lang="zh-CN" alt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61"/>
  <sheetViews>
    <sheetView showGridLines="0" zoomScale="85" zoomScaleNormal="85" workbookViewId="0">
      <selection activeCell="H16" sqref="H16:M28"/>
    </sheetView>
  </sheetViews>
  <sheetFormatPr defaultColWidth="10.2833333333333" defaultRowHeight="16.5" customHeight="1"/>
  <cols>
    <col min="1" max="1" width="3.125" style="106" customWidth="1"/>
    <col min="2" max="2" width="17.375" style="106" customWidth="1"/>
    <col min="3" max="3" width="48.9666666666667" style="106" customWidth="1"/>
    <col min="4" max="4" width="10.25" style="106" customWidth="1"/>
    <col min="5" max="5" width="18.375" style="106" customWidth="1"/>
    <col min="6" max="6" width="11.25" style="113" customWidth="1"/>
    <col min="7" max="7" width="10.25" style="113" customWidth="1"/>
    <col min="8" max="8" width="80.875" style="106" customWidth="1"/>
    <col min="9" max="9" width="3.625" style="106" customWidth="1"/>
    <col min="10" max="10" width="15" style="106" customWidth="1"/>
    <col min="11" max="11" width="8.125" style="106" customWidth="1"/>
    <col min="12" max="12" width="7.375" style="106" customWidth="1"/>
    <col min="13" max="13" width="10.625" style="106" customWidth="1"/>
    <col min="14" max="14" width="5.375" style="106" customWidth="1"/>
    <col min="15" max="15" width="11.8583333333333" style="106" customWidth="1"/>
    <col min="16" max="243" width="9.14166666666667" style="106" customWidth="1"/>
    <col min="244" max="16373" width="9.14166666666667" style="106"/>
    <col min="16374" max="16384" width="10.2833333333333" style="106"/>
  </cols>
  <sheetData>
    <row r="1" s="106" customFormat="1" ht="19" customHeight="1" spans="6:7">
      <c r="F1" s="113"/>
      <c r="G1" s="113"/>
    </row>
    <row r="2" s="106" customFormat="1" ht="28" customHeight="1" spans="2:14">
      <c r="B2" s="114" t="s">
        <v>0</v>
      </c>
      <c r="C2" s="115"/>
      <c r="D2" s="115"/>
      <c r="E2" s="115"/>
      <c r="F2" s="115"/>
      <c r="G2" s="115"/>
      <c r="H2" s="191"/>
      <c r="J2" s="242" t="s">
        <v>1</v>
      </c>
      <c r="K2" s="242"/>
      <c r="L2" s="242"/>
      <c r="M2" s="242"/>
      <c r="N2" s="109"/>
    </row>
    <row r="3" s="106" customFormat="1" ht="21" customHeight="1" spans="2:14">
      <c r="B3" s="116" t="s">
        <v>2</v>
      </c>
      <c r="C3" s="117" t="s">
        <v>3</v>
      </c>
      <c r="D3" s="118" t="s">
        <v>4</v>
      </c>
      <c r="E3" s="192">
        <v>9941</v>
      </c>
      <c r="F3" s="193" t="s">
        <v>5</v>
      </c>
      <c r="G3" s="194" t="s">
        <v>6</v>
      </c>
      <c r="H3" s="195" t="s">
        <v>7</v>
      </c>
      <c r="J3" s="189" t="s">
        <v>8</v>
      </c>
      <c r="K3" s="243">
        <f t="shared" ref="K3:M3" si="0">K4/2.54</f>
        <v>0</v>
      </c>
      <c r="L3" s="243">
        <f t="shared" si="0"/>
        <v>0</v>
      </c>
      <c r="M3" s="243">
        <f t="shared" si="0"/>
        <v>0</v>
      </c>
      <c r="N3" s="109"/>
    </row>
    <row r="4" s="106" customFormat="1" ht="21" customHeight="1" spans="2:13">
      <c r="B4" s="116" t="s">
        <v>9</v>
      </c>
      <c r="C4" s="117" t="s">
        <v>10</v>
      </c>
      <c r="D4" s="119" t="s">
        <v>11</v>
      </c>
      <c r="E4" s="192" t="s">
        <v>12</v>
      </c>
      <c r="F4" s="193" t="s">
        <v>13</v>
      </c>
      <c r="G4" s="194" t="s">
        <v>14</v>
      </c>
      <c r="H4" s="195" t="s">
        <v>15</v>
      </c>
      <c r="J4" s="244" t="s">
        <v>16</v>
      </c>
      <c r="K4" s="245"/>
      <c r="L4" s="245"/>
      <c r="M4" s="245"/>
    </row>
    <row r="5" s="106" customFormat="1" ht="21" customHeight="1" spans="2:14">
      <c r="B5" s="120" t="s">
        <v>17</v>
      </c>
      <c r="C5" s="121" t="s">
        <v>18</v>
      </c>
      <c r="D5" s="119" t="s">
        <v>19</v>
      </c>
      <c r="E5" s="119">
        <f>_xlfn.IFS(C5="美元",K31,C5="欧元",K32,C5="英镑",K33)</f>
        <v>7.1</v>
      </c>
      <c r="F5" s="193" t="s">
        <v>20</v>
      </c>
      <c r="G5" s="196" t="s">
        <v>21</v>
      </c>
      <c r="H5" s="195" t="s">
        <v>22</v>
      </c>
      <c r="J5" s="189" t="s">
        <v>23</v>
      </c>
      <c r="K5" s="243">
        <f>K4*L4*M4</f>
        <v>0</v>
      </c>
      <c r="L5" s="243"/>
      <c r="M5" s="243"/>
      <c r="N5" s="108"/>
    </row>
    <row r="6" s="106" customFormat="1" ht="21" customHeight="1" spans="2:14">
      <c r="B6" s="122" t="s">
        <v>24</v>
      </c>
      <c r="C6" s="123" t="s">
        <v>25</v>
      </c>
      <c r="D6" s="124"/>
      <c r="E6" s="124"/>
      <c r="F6" s="124"/>
      <c r="G6" s="197"/>
      <c r="H6" s="198"/>
      <c r="J6" s="189" t="s">
        <v>26</v>
      </c>
      <c r="K6" s="246"/>
      <c r="L6" s="246"/>
      <c r="M6" s="246"/>
      <c r="N6" s="260"/>
    </row>
    <row r="7" s="106" customFormat="1" ht="23.25" customHeight="1" spans="2:13">
      <c r="B7" s="125" t="s">
        <v>27</v>
      </c>
      <c r="C7" s="126"/>
      <c r="D7" s="126" t="s">
        <v>28</v>
      </c>
      <c r="E7" s="126"/>
      <c r="F7" s="126" t="s">
        <v>29</v>
      </c>
      <c r="G7" s="199" t="s">
        <v>30</v>
      </c>
      <c r="H7" s="200" t="s">
        <v>31</v>
      </c>
      <c r="J7" s="189" t="s">
        <v>32</v>
      </c>
      <c r="K7" s="243">
        <f>K5/6000</f>
        <v>0</v>
      </c>
      <c r="L7" s="243">
        <f>K5/5000</f>
        <v>0</v>
      </c>
      <c r="M7" s="243">
        <f>K5/6000</f>
        <v>0</v>
      </c>
    </row>
    <row r="8" s="106" customFormat="1" ht="24.95" customHeight="1" spans="2:14">
      <c r="B8" s="127" t="s">
        <v>33</v>
      </c>
      <c r="C8" s="128"/>
      <c r="D8" s="129" t="s">
        <v>34</v>
      </c>
      <c r="E8" s="129" t="s">
        <v>35</v>
      </c>
      <c r="F8" s="129" t="s">
        <v>36</v>
      </c>
      <c r="G8" s="201"/>
      <c r="H8" s="202"/>
      <c r="J8" s="189" t="s">
        <v>37</v>
      </c>
      <c r="K8" s="246"/>
      <c r="L8" s="246"/>
      <c r="M8" s="246"/>
      <c r="N8" s="109"/>
    </row>
    <row r="9" s="107" customFormat="1" ht="24.95" customHeight="1" spans="2:14">
      <c r="B9" s="130" t="s">
        <v>38</v>
      </c>
      <c r="C9" s="131" t="s">
        <v>39</v>
      </c>
      <c r="D9" s="132">
        <v>5</v>
      </c>
      <c r="E9" s="132">
        <v>5</v>
      </c>
      <c r="F9" s="132">
        <v>10</v>
      </c>
      <c r="G9" s="203">
        <f t="shared" ref="G9:G11" si="1">SUM(D9:F9)</f>
        <v>20</v>
      </c>
      <c r="H9" s="202" t="s">
        <v>40</v>
      </c>
      <c r="J9" s="189" t="s">
        <v>41</v>
      </c>
      <c r="K9" s="243">
        <f t="shared" ref="K9:M9" si="2">IF(K7&gt;$K$6,K7*K8,$K$6*K8)</f>
        <v>0</v>
      </c>
      <c r="L9" s="243">
        <f t="shared" si="2"/>
        <v>0</v>
      </c>
      <c r="M9" s="243">
        <f t="shared" si="2"/>
        <v>0</v>
      </c>
      <c r="N9" s="110"/>
    </row>
    <row r="10" s="107" customFormat="1" ht="24.95" customHeight="1" spans="2:14">
      <c r="B10" s="130"/>
      <c r="C10" s="131" t="s">
        <v>42</v>
      </c>
      <c r="D10" s="133">
        <f>SUM(首批与返单囤货数量预测表!G3:G32)</f>
        <v>177</v>
      </c>
      <c r="E10" s="133">
        <f>SUM(首批与返单囤货数量预测表!G33:G62)</f>
        <v>295</v>
      </c>
      <c r="F10" s="133">
        <f>SUM(首批与返单囤货数量预测表!G63:G92)</f>
        <v>504</v>
      </c>
      <c r="G10" s="203">
        <f t="shared" si="1"/>
        <v>976</v>
      </c>
      <c r="H10" s="202" t="s">
        <v>43</v>
      </c>
      <c r="J10" s="244" t="s">
        <v>44</v>
      </c>
      <c r="K10" s="247">
        <v>1</v>
      </c>
      <c r="L10" s="247"/>
      <c r="M10" s="247"/>
      <c r="N10" s="109"/>
    </row>
    <row r="11" s="108" customFormat="1" ht="24.95" customHeight="1" spans="2:14">
      <c r="B11" s="130"/>
      <c r="C11" s="131" t="s">
        <v>45</v>
      </c>
      <c r="D11" s="133">
        <f t="shared" ref="D11:F11" si="3">D9+D10</f>
        <v>182</v>
      </c>
      <c r="E11" s="133">
        <f t="shared" si="3"/>
        <v>300</v>
      </c>
      <c r="F11" s="133">
        <f t="shared" si="3"/>
        <v>514</v>
      </c>
      <c r="G11" s="203">
        <f t="shared" si="1"/>
        <v>996</v>
      </c>
      <c r="H11" s="204" t="s">
        <v>46</v>
      </c>
      <c r="J11" s="189" t="s">
        <v>47</v>
      </c>
      <c r="K11" s="248">
        <f>K9/K10</f>
        <v>0</v>
      </c>
      <c r="L11" s="248">
        <f>L9/K10</f>
        <v>0</v>
      </c>
      <c r="M11" s="248">
        <f>M9/K10</f>
        <v>0</v>
      </c>
      <c r="N11" s="109"/>
    </row>
    <row r="12" s="108" customFormat="1" ht="24.95" customHeight="1" spans="2:14">
      <c r="B12" s="130"/>
      <c r="C12" s="131" t="s">
        <v>48</v>
      </c>
      <c r="D12" s="134">
        <f t="shared" ref="D12:F12" si="4">D16/(1+D13)</f>
        <v>283.787</v>
      </c>
      <c r="E12" s="134">
        <f t="shared" si="4"/>
        <v>283.787</v>
      </c>
      <c r="F12" s="134">
        <f t="shared" si="4"/>
        <v>283.787</v>
      </c>
      <c r="G12" s="203"/>
      <c r="H12" s="204" t="s">
        <v>49</v>
      </c>
      <c r="J12" s="189"/>
      <c r="K12" s="189" t="s">
        <v>50</v>
      </c>
      <c r="L12" s="189" t="s">
        <v>51</v>
      </c>
      <c r="M12" s="189" t="s">
        <v>52</v>
      </c>
      <c r="N12" s="109"/>
    </row>
    <row r="13" s="108" customFormat="1" ht="24.95" customHeight="1" spans="2:14">
      <c r="B13" s="130"/>
      <c r="C13" s="131" t="s">
        <v>53</v>
      </c>
      <c r="D13" s="135">
        <f>IF($C$5="美元",0,20%)</f>
        <v>0</v>
      </c>
      <c r="E13" s="135">
        <f>IF($C$5="美元",0,20%)</f>
        <v>0</v>
      </c>
      <c r="F13" s="135">
        <f>IF($C$5="美元",0,20%)</f>
        <v>0</v>
      </c>
      <c r="G13" s="205"/>
      <c r="H13" s="204" t="s">
        <v>54</v>
      </c>
      <c r="J13" s="242" t="s">
        <v>55</v>
      </c>
      <c r="K13" s="242"/>
      <c r="L13" s="242"/>
      <c r="M13" s="242"/>
      <c r="N13" s="109"/>
    </row>
    <row r="14" s="108" customFormat="1" ht="24.95" customHeight="1" spans="2:14">
      <c r="B14" s="130"/>
      <c r="C14" s="131" t="s">
        <v>56</v>
      </c>
      <c r="D14" s="136">
        <v>39.97</v>
      </c>
      <c r="E14" s="136">
        <v>39.97</v>
      </c>
      <c r="F14" s="136">
        <v>39.97</v>
      </c>
      <c r="G14" s="206"/>
      <c r="H14" s="204" t="s">
        <v>57</v>
      </c>
      <c r="J14" s="189" t="s">
        <v>58</v>
      </c>
      <c r="K14" s="192"/>
      <c r="L14" s="192"/>
      <c r="M14" s="192"/>
      <c r="N14" s="106"/>
    </row>
    <row r="15" s="108" customFormat="1" ht="24.95" customHeight="1" spans="2:14">
      <c r="B15" s="130"/>
      <c r="C15" s="131" t="s">
        <v>19</v>
      </c>
      <c r="D15" s="137">
        <f>$E$5</f>
        <v>7.1</v>
      </c>
      <c r="E15" s="137">
        <f>$E$5</f>
        <v>7.1</v>
      </c>
      <c r="F15" s="137">
        <f>$E$5</f>
        <v>7.1</v>
      </c>
      <c r="G15" s="207"/>
      <c r="H15" s="208"/>
      <c r="J15" s="189" t="s">
        <v>59</v>
      </c>
      <c r="K15" s="189">
        <v>0.76</v>
      </c>
      <c r="L15" s="189"/>
      <c r="M15" s="189"/>
      <c r="N15" s="106"/>
    </row>
    <row r="16" s="108" customFormat="1" ht="24.95" customHeight="1" spans="2:8">
      <c r="B16" s="130"/>
      <c r="C16" s="131" t="s">
        <v>60</v>
      </c>
      <c r="D16" s="134">
        <f t="shared" ref="D16:F16" si="5">D14*D15</f>
        <v>283.787</v>
      </c>
      <c r="E16" s="134">
        <f t="shared" si="5"/>
        <v>283.787</v>
      </c>
      <c r="F16" s="134">
        <f t="shared" si="5"/>
        <v>283.787</v>
      </c>
      <c r="G16" s="206"/>
      <c r="H16" s="204"/>
    </row>
    <row r="17" s="108" customFormat="1" ht="24.95" customHeight="1" spans="2:13">
      <c r="B17" s="130"/>
      <c r="C17" s="131" t="s">
        <v>61</v>
      </c>
      <c r="D17" s="138">
        <f>毛利测算表!$C$29</f>
        <v>0.02</v>
      </c>
      <c r="E17" s="138">
        <f>毛利测算表!$C$29</f>
        <v>0.02</v>
      </c>
      <c r="F17" s="138">
        <f>毛利测算表!$C$29</f>
        <v>0.02</v>
      </c>
      <c r="G17" s="209"/>
      <c r="H17" s="204" t="s">
        <v>62</v>
      </c>
      <c r="I17" s="106"/>
      <c r="J17" s="249" t="s">
        <v>63</v>
      </c>
      <c r="K17" s="249"/>
      <c r="L17" s="249"/>
      <c r="M17" s="249"/>
    </row>
    <row r="18" s="106" customFormat="1" ht="24.95" customHeight="1" spans="2:13">
      <c r="B18" s="130"/>
      <c r="C18" s="139" t="s">
        <v>64</v>
      </c>
      <c r="D18" s="140">
        <f t="shared" ref="D18:F18" si="6">D11*D12</f>
        <v>51649.234</v>
      </c>
      <c r="E18" s="140">
        <f t="shared" si="6"/>
        <v>85136.1</v>
      </c>
      <c r="F18" s="140">
        <f t="shared" si="6"/>
        <v>145866.518</v>
      </c>
      <c r="G18" s="210">
        <f t="shared" ref="G18:G23" si="7">SUM(D18:F18)</f>
        <v>282651.852</v>
      </c>
      <c r="H18" s="202"/>
      <c r="J18" s="250" t="s">
        <v>65</v>
      </c>
      <c r="K18" s="251" t="s">
        <v>34</v>
      </c>
      <c r="L18" s="251" t="s">
        <v>35</v>
      </c>
      <c r="M18" s="251" t="s">
        <v>36</v>
      </c>
    </row>
    <row r="19" s="109" customFormat="1" ht="24.95" customHeight="1" spans="2:13">
      <c r="B19" s="141"/>
      <c r="C19" s="142" t="s">
        <v>66</v>
      </c>
      <c r="D19" s="143">
        <f t="shared" ref="D19:F19" si="8">D16*D11</f>
        <v>51649.234</v>
      </c>
      <c r="E19" s="143">
        <f t="shared" si="8"/>
        <v>85136.1</v>
      </c>
      <c r="F19" s="143">
        <f t="shared" si="8"/>
        <v>145866.518</v>
      </c>
      <c r="G19" s="211">
        <f t="shared" si="7"/>
        <v>282651.852</v>
      </c>
      <c r="H19" s="212"/>
      <c r="I19" s="106"/>
      <c r="J19" s="193" t="s">
        <v>67</v>
      </c>
      <c r="K19" s="252">
        <f t="shared" ref="K19:M19" si="9">D37</f>
        <v>0.281461095821866</v>
      </c>
      <c r="L19" s="252">
        <f t="shared" si="9"/>
        <v>0.160120090067551</v>
      </c>
      <c r="M19" s="252">
        <f t="shared" si="9"/>
        <v>0.087565674255692</v>
      </c>
    </row>
    <row r="20" s="109" customFormat="1" ht="24.95" customHeight="1" spans="2:13">
      <c r="B20" s="144" t="s">
        <v>68</v>
      </c>
      <c r="C20" s="145" t="s">
        <v>69</v>
      </c>
      <c r="D20" s="146">
        <f>毛利测算表!$C$19</f>
        <v>69</v>
      </c>
      <c r="E20" s="146">
        <f>毛利测算表!$C$19</f>
        <v>69</v>
      </c>
      <c r="F20" s="146">
        <f>毛利测算表!$C$19</f>
        <v>69</v>
      </c>
      <c r="G20" s="206"/>
      <c r="H20" s="200"/>
      <c r="I20" s="106"/>
      <c r="J20" s="193" t="s">
        <v>70</v>
      </c>
      <c r="K20" s="252">
        <f t="shared" ref="K20:M20" si="10">D29/D19</f>
        <v>0.200507880910683</v>
      </c>
      <c r="L20" s="252">
        <f t="shared" si="10"/>
        <v>0.132524393294971</v>
      </c>
      <c r="M20" s="252">
        <f t="shared" si="10"/>
        <v>0.0752092863421885</v>
      </c>
    </row>
    <row r="21" s="106" customFormat="1" ht="24.95" customHeight="1" spans="2:13">
      <c r="B21" s="141"/>
      <c r="C21" s="147" t="s">
        <v>71</v>
      </c>
      <c r="D21" s="148">
        <f t="shared" ref="D21:F21" si="11">D11*D20</f>
        <v>12558</v>
      </c>
      <c r="E21" s="148">
        <f t="shared" si="11"/>
        <v>20700</v>
      </c>
      <c r="F21" s="148">
        <f t="shared" si="11"/>
        <v>35466</v>
      </c>
      <c r="G21" s="213">
        <f t="shared" si="7"/>
        <v>68724</v>
      </c>
      <c r="H21" s="212"/>
      <c r="J21" s="193" t="s">
        <v>72</v>
      </c>
      <c r="K21" s="252">
        <f t="shared" ref="K21:M21" si="12">(D47+D48)/D19</f>
        <v>0.0183632007010985</v>
      </c>
      <c r="L21" s="252">
        <f t="shared" si="12"/>
        <v>0.0111403417586664</v>
      </c>
      <c r="M21" s="252">
        <f t="shared" si="12"/>
        <v>0.0130042899906612</v>
      </c>
    </row>
    <row r="22" s="108" customFormat="1" ht="24.95" customHeight="1" spans="2:13">
      <c r="B22" s="144" t="s">
        <v>73</v>
      </c>
      <c r="C22" s="145" t="s">
        <v>74</v>
      </c>
      <c r="D22" s="149">
        <f t="shared" ref="D22:F22" si="13">D18-D21</f>
        <v>39091.234</v>
      </c>
      <c r="E22" s="149">
        <f t="shared" si="13"/>
        <v>64436.1</v>
      </c>
      <c r="F22" s="149">
        <f t="shared" si="13"/>
        <v>110400.518</v>
      </c>
      <c r="G22" s="214">
        <f t="shared" si="7"/>
        <v>213927.852</v>
      </c>
      <c r="H22" s="200" t="s">
        <v>75</v>
      </c>
      <c r="I22" s="106"/>
      <c r="J22" s="253" t="s">
        <v>76</v>
      </c>
      <c r="K22" s="254">
        <f t="shared" ref="K22:M22" si="14">D21/D19</f>
        <v>0.24314010155504</v>
      </c>
      <c r="L22" s="254">
        <f t="shared" si="14"/>
        <v>0.24314010155504</v>
      </c>
      <c r="M22" s="254">
        <f t="shared" si="14"/>
        <v>0.24314010155504</v>
      </c>
    </row>
    <row r="23" s="106" customFormat="1" ht="24.95" customHeight="1" spans="2:13">
      <c r="B23" s="141"/>
      <c r="C23" s="147" t="s">
        <v>77</v>
      </c>
      <c r="D23" s="150">
        <f t="shared" ref="D23:F23" si="15">D22/D18</f>
        <v>0.75685989844496</v>
      </c>
      <c r="E23" s="150">
        <f t="shared" si="15"/>
        <v>0.75685989844496</v>
      </c>
      <c r="F23" s="150">
        <f t="shared" si="15"/>
        <v>0.75685989844496</v>
      </c>
      <c r="G23" s="215">
        <f>SUM(D22:F22)/SUM(D18:F18)</f>
        <v>0.75685989844496</v>
      </c>
      <c r="H23" s="212"/>
      <c r="J23" s="253" t="s">
        <v>78</v>
      </c>
      <c r="K23" s="254">
        <f t="shared" ref="K23:M23" si="16">D45/D19</f>
        <v>0.137427013922414</v>
      </c>
      <c r="L23" s="254">
        <f t="shared" si="16"/>
        <v>0.137427013922414</v>
      </c>
      <c r="M23" s="254">
        <f t="shared" si="16"/>
        <v>0.137427013922414</v>
      </c>
    </row>
    <row r="24" s="106" customFormat="1" ht="24.95" customHeight="1" spans="2:13">
      <c r="B24" s="151" t="s">
        <v>79</v>
      </c>
      <c r="C24" s="152" t="s">
        <v>80</v>
      </c>
      <c r="D24" s="153">
        <v>0</v>
      </c>
      <c r="E24" s="153">
        <v>0</v>
      </c>
      <c r="F24" s="153">
        <v>0</v>
      </c>
      <c r="G24" s="216"/>
      <c r="H24" s="200" t="s">
        <v>81</v>
      </c>
      <c r="J24" s="253" t="s">
        <v>82</v>
      </c>
      <c r="K24" s="254">
        <f t="shared" ref="K24:M24" si="17">D39</f>
        <v>0.15</v>
      </c>
      <c r="L24" s="254">
        <f t="shared" si="17"/>
        <v>0.15</v>
      </c>
      <c r="M24" s="254">
        <f t="shared" si="17"/>
        <v>0.15</v>
      </c>
    </row>
    <row r="25" s="106" customFormat="1" ht="24.95" customHeight="1" spans="2:13">
      <c r="B25" s="154"/>
      <c r="C25" s="155" t="s">
        <v>83</v>
      </c>
      <c r="D25" s="132">
        <v>0</v>
      </c>
      <c r="E25" s="132">
        <v>1</v>
      </c>
      <c r="F25" s="132">
        <v>2</v>
      </c>
      <c r="G25" s="217"/>
      <c r="H25" s="202" t="s">
        <v>84</v>
      </c>
      <c r="J25" s="253" t="s">
        <v>85</v>
      </c>
      <c r="K25" s="254">
        <f t="shared" ref="K25:M25" si="18">D42/D19</f>
        <v>0.137853390042532</v>
      </c>
      <c r="L25" s="254">
        <f t="shared" si="18"/>
        <v>0.137853390042532</v>
      </c>
      <c r="M25" s="254">
        <f t="shared" si="18"/>
        <v>0.137853390042532</v>
      </c>
    </row>
    <row r="26" s="106" customFormat="1" ht="24.95" customHeight="1" spans="2:13">
      <c r="B26" s="154"/>
      <c r="C26" s="155" t="s">
        <v>86</v>
      </c>
      <c r="D26" s="156">
        <v>0.2</v>
      </c>
      <c r="E26" s="156">
        <v>0.2</v>
      </c>
      <c r="F26" s="156">
        <v>0.1</v>
      </c>
      <c r="G26" s="217"/>
      <c r="H26" s="202" t="s">
        <v>87</v>
      </c>
      <c r="J26" s="253" t="s">
        <v>88</v>
      </c>
      <c r="K26" s="254">
        <v>0.02</v>
      </c>
      <c r="L26" s="254">
        <v>0.02</v>
      </c>
      <c r="M26" s="254">
        <v>0.02</v>
      </c>
    </row>
    <row r="27" s="106" customFormat="1" ht="24.95" customHeight="1" spans="2:13">
      <c r="B27" s="154"/>
      <c r="C27" s="155" t="s">
        <v>89</v>
      </c>
      <c r="D27" s="157">
        <v>0.7</v>
      </c>
      <c r="E27" s="157">
        <v>0.5</v>
      </c>
      <c r="F27" s="157">
        <v>0.4</v>
      </c>
      <c r="G27" s="217"/>
      <c r="H27" s="202" t="s">
        <v>90</v>
      </c>
      <c r="J27" s="253" t="s">
        <v>91</v>
      </c>
      <c r="K27" s="254">
        <f t="shared" ref="K27:M27" si="19">D17</f>
        <v>0.02</v>
      </c>
      <c r="L27" s="254">
        <f t="shared" si="19"/>
        <v>0.02</v>
      </c>
      <c r="M27" s="254">
        <f t="shared" si="19"/>
        <v>0.02</v>
      </c>
    </row>
    <row r="28" s="106" customFormat="1" ht="24.95" customHeight="1" spans="2:13">
      <c r="B28" s="154"/>
      <c r="C28" s="155" t="s">
        <v>92</v>
      </c>
      <c r="D28" s="157">
        <v>0.05</v>
      </c>
      <c r="E28" s="157">
        <v>0</v>
      </c>
      <c r="F28" s="157">
        <v>0</v>
      </c>
      <c r="G28" s="217"/>
      <c r="H28" s="202" t="s">
        <v>93</v>
      </c>
      <c r="J28" s="255" t="s">
        <v>94</v>
      </c>
      <c r="K28" s="256">
        <f t="shared" ref="K28:M28" si="20">1-SUM(K19:K27)</f>
        <v>-0.208752682953633</v>
      </c>
      <c r="L28" s="256">
        <f t="shared" si="20"/>
        <v>-0.0122053306411738</v>
      </c>
      <c r="M28" s="256">
        <f t="shared" si="20"/>
        <v>0.115800243891473</v>
      </c>
    </row>
    <row r="29" s="106" customFormat="1" ht="24.95" customHeight="1" spans="2:8">
      <c r="B29" s="158"/>
      <c r="C29" s="159" t="s">
        <v>95</v>
      </c>
      <c r="D29" s="148">
        <f>IF(D26&gt;0.8,(D24*$K$37+D25*$L$37+D26*D27*D11+D28*D14*D11+0.6*D11*D27)*D15,(D24*$K$37+D25*$L$37+D26*D14*D27*D11+D28*D14*D11+0.6*D11*D27)*D15)</f>
        <v>10356.07846</v>
      </c>
      <c r="E29" s="148">
        <f>IF(E26&gt;0.8,(E24*$K$37+E25*$L$37+E26*E27*E11+E28*E14*E11+0.6*E11*E27)*E15,(E24*$K$37+E25*$L$37+E26*E14*E27*E11+E28*E14*E11+0.6*E11*E27)*E15)</f>
        <v>11282.61</v>
      </c>
      <c r="F29" s="148">
        <f>IF(F26&gt;0.8,(F24*$K$37+F25*$L$37+F26*F27*F11+F28*F14*F11+0.6*F11*F27)*F15,(F24*$K$37+F25*$L$37+F26*F14*F27*F11+F28*F14*F11+0.6*F11*F27)*F15)</f>
        <v>10970.51672</v>
      </c>
      <c r="G29" s="218">
        <f>SUM(D29:F29)</f>
        <v>32609.20518</v>
      </c>
      <c r="H29" s="219" t="s">
        <v>96</v>
      </c>
    </row>
    <row r="30" s="106" customFormat="1" ht="24.95" customHeight="1" spans="2:11">
      <c r="B30" s="154" t="s">
        <v>97</v>
      </c>
      <c r="C30" s="160" t="s">
        <v>98</v>
      </c>
      <c r="D30" s="161">
        <v>1.8</v>
      </c>
      <c r="E30" s="161">
        <v>1.6</v>
      </c>
      <c r="F30" s="161">
        <v>1.4</v>
      </c>
      <c r="G30" s="220"/>
      <c r="H30" s="221" t="s">
        <v>99</v>
      </c>
      <c r="J30" s="257" t="s">
        <v>19</v>
      </c>
      <c r="K30" s="258"/>
    </row>
    <row r="31" s="106" customFormat="1" ht="24.95" customHeight="1" spans="2:11">
      <c r="B31" s="154"/>
      <c r="C31" s="162" t="s">
        <v>100</v>
      </c>
      <c r="D31" s="163">
        <v>0.08</v>
      </c>
      <c r="E31" s="163">
        <v>0.1</v>
      </c>
      <c r="F31" s="163">
        <v>0.12</v>
      </c>
      <c r="G31" s="206"/>
      <c r="H31" s="222" t="s">
        <v>101</v>
      </c>
      <c r="J31" s="189" t="s">
        <v>102</v>
      </c>
      <c r="K31" s="259">
        <v>7.1</v>
      </c>
    </row>
    <row r="32" s="106" customFormat="1" ht="24.95" customHeight="1" spans="2:13">
      <c r="B32" s="154"/>
      <c r="C32" s="155" t="s">
        <v>103</v>
      </c>
      <c r="D32" s="164">
        <f t="shared" ref="D32:F32" si="21">D30/D31</f>
        <v>22.5</v>
      </c>
      <c r="E32" s="164">
        <f t="shared" si="21"/>
        <v>16</v>
      </c>
      <c r="F32" s="164">
        <f t="shared" si="21"/>
        <v>11.6666666666667</v>
      </c>
      <c r="G32" s="223"/>
      <c r="H32" s="202" t="s">
        <v>104</v>
      </c>
      <c r="J32" s="189" t="s">
        <v>105</v>
      </c>
      <c r="K32" s="259">
        <v>7.3</v>
      </c>
      <c r="M32" s="260"/>
    </row>
    <row r="33" s="106" customFormat="1" ht="24.95" customHeight="1" spans="2:11">
      <c r="B33" s="154"/>
      <c r="C33" s="162" t="s">
        <v>106</v>
      </c>
      <c r="D33" s="163">
        <v>0.5</v>
      </c>
      <c r="E33" s="163">
        <v>0.4</v>
      </c>
      <c r="F33" s="163">
        <v>0.3</v>
      </c>
      <c r="G33" s="206"/>
      <c r="H33" s="222" t="s">
        <v>107</v>
      </c>
      <c r="J33" s="189" t="s">
        <v>108</v>
      </c>
      <c r="K33" s="259">
        <v>8.4</v>
      </c>
    </row>
    <row r="34" s="106" customFormat="1" ht="24.95" customHeight="1" spans="2:8">
      <c r="B34" s="158"/>
      <c r="C34" s="159" t="s">
        <v>109</v>
      </c>
      <c r="D34" s="165">
        <f t="shared" ref="D34:F34" si="22">D32/D14</f>
        <v>0.562922191643733</v>
      </c>
      <c r="E34" s="165">
        <f t="shared" si="22"/>
        <v>0.400300225168877</v>
      </c>
      <c r="F34" s="165">
        <f t="shared" si="22"/>
        <v>0.291885580852307</v>
      </c>
      <c r="G34" s="224"/>
      <c r="H34" s="212"/>
    </row>
    <row r="35" s="106" customFormat="1" ht="24.95" customHeight="1" spans="2:12">
      <c r="B35" s="144" t="s">
        <v>110</v>
      </c>
      <c r="C35" s="166" t="s">
        <v>111</v>
      </c>
      <c r="D35" s="167">
        <f t="shared" ref="D35:F35" si="23">D16*D11*D37</f>
        <v>14537.25</v>
      </c>
      <c r="E35" s="167">
        <f t="shared" si="23"/>
        <v>13632</v>
      </c>
      <c r="F35" s="167">
        <f t="shared" si="23"/>
        <v>12772.9</v>
      </c>
      <c r="G35" s="225">
        <f t="shared" ref="G35:G38" si="24">SUM(D35:F35)</f>
        <v>40942.15</v>
      </c>
      <c r="H35" s="226"/>
      <c r="J35" s="189" t="s">
        <v>112</v>
      </c>
      <c r="K35" s="189"/>
      <c r="L35" s="189"/>
    </row>
    <row r="36" s="107" customFormat="1" ht="24.95" customHeight="1" spans="2:13">
      <c r="B36" s="168"/>
      <c r="C36" s="169" t="s">
        <v>113</v>
      </c>
      <c r="D36" s="170">
        <f>D35/$D$15</f>
        <v>2047.5</v>
      </c>
      <c r="E36" s="170">
        <f>E35/$D$15</f>
        <v>1920</v>
      </c>
      <c r="F36" s="170">
        <f>F35/$D$15</f>
        <v>1799</v>
      </c>
      <c r="G36" s="227">
        <f t="shared" si="24"/>
        <v>5766.50000000001</v>
      </c>
      <c r="H36" s="228"/>
      <c r="I36" s="109"/>
      <c r="J36" s="189" t="s">
        <v>114</v>
      </c>
      <c r="K36" s="189" t="s">
        <v>115</v>
      </c>
      <c r="L36" s="189" t="s">
        <v>116</v>
      </c>
      <c r="M36" s="106"/>
    </row>
    <row r="37" s="109" customFormat="1" ht="24.95" customHeight="1" spans="2:13">
      <c r="B37" s="130"/>
      <c r="C37" s="171" t="s">
        <v>67</v>
      </c>
      <c r="D37" s="172">
        <f t="shared" ref="D37:F37" si="25">D34*D33</f>
        <v>0.281461095821866</v>
      </c>
      <c r="E37" s="172">
        <f t="shared" si="25"/>
        <v>0.160120090067551</v>
      </c>
      <c r="F37" s="172">
        <f t="shared" si="25"/>
        <v>0.087565674255692</v>
      </c>
      <c r="G37" s="229"/>
      <c r="H37" s="228" t="s">
        <v>117</v>
      </c>
      <c r="J37" s="189" t="s">
        <v>102</v>
      </c>
      <c r="K37" s="189">
        <v>150</v>
      </c>
      <c r="L37" s="189">
        <v>300</v>
      </c>
      <c r="M37" s="106"/>
    </row>
    <row r="38" s="110" customFormat="1" ht="24.95" customHeight="1" spans="2:13">
      <c r="B38" s="173"/>
      <c r="C38" s="174" t="s">
        <v>118</v>
      </c>
      <c r="D38" s="175">
        <f t="shared" ref="D38:F38" si="26">D16*D11*D39</f>
        <v>7747.3851</v>
      </c>
      <c r="E38" s="175">
        <f t="shared" si="26"/>
        <v>12770.415</v>
      </c>
      <c r="F38" s="175">
        <f t="shared" si="26"/>
        <v>21879.9777</v>
      </c>
      <c r="G38" s="230">
        <f t="shared" si="24"/>
        <v>42397.7778</v>
      </c>
      <c r="H38" s="231"/>
      <c r="J38" s="189" t="s">
        <v>119</v>
      </c>
      <c r="K38" s="189">
        <v>35</v>
      </c>
      <c r="L38" s="189">
        <v>70</v>
      </c>
      <c r="M38" s="107"/>
    </row>
    <row r="39" s="109" customFormat="1" ht="24.95" customHeight="1" spans="2:12">
      <c r="B39" s="130"/>
      <c r="C39" s="171" t="s">
        <v>120</v>
      </c>
      <c r="D39" s="176">
        <v>0.15</v>
      </c>
      <c r="E39" s="176">
        <v>0.15</v>
      </c>
      <c r="F39" s="176">
        <v>0.15</v>
      </c>
      <c r="G39" s="232"/>
      <c r="H39" s="228"/>
      <c r="J39" s="189" t="s">
        <v>108</v>
      </c>
      <c r="K39" s="189">
        <v>25</v>
      </c>
      <c r="L39" s="189">
        <v>50</v>
      </c>
    </row>
    <row r="40" s="109" customFormat="1" ht="24.95" customHeight="1" spans="2:13">
      <c r="B40" s="130"/>
      <c r="C40" s="171" t="s">
        <v>121</v>
      </c>
      <c r="D40" s="177">
        <v>5.51</v>
      </c>
      <c r="E40" s="178">
        <f>D40</f>
        <v>5.51</v>
      </c>
      <c r="F40" s="178">
        <f>E40</f>
        <v>5.51</v>
      </c>
      <c r="G40" s="233"/>
      <c r="H40" s="228"/>
      <c r="J40" s="189" t="s">
        <v>122</v>
      </c>
      <c r="K40" s="189">
        <v>20</v>
      </c>
      <c r="L40" s="189">
        <v>40</v>
      </c>
      <c r="M40" s="110"/>
    </row>
    <row r="41" s="109" customFormat="1" ht="24.95" customHeight="1" spans="2:8">
      <c r="B41" s="130"/>
      <c r="C41" s="171" t="s">
        <v>123</v>
      </c>
      <c r="D41" s="178">
        <f t="shared" ref="D41:F41" si="27">D40*D15</f>
        <v>39.121</v>
      </c>
      <c r="E41" s="178">
        <f t="shared" si="27"/>
        <v>39.121</v>
      </c>
      <c r="F41" s="178">
        <f t="shared" si="27"/>
        <v>39.121</v>
      </c>
      <c r="G41" s="233"/>
      <c r="H41" s="228" t="s">
        <v>124</v>
      </c>
    </row>
    <row r="42" s="109" customFormat="1" ht="24.95" customHeight="1" spans="2:8">
      <c r="B42" s="130"/>
      <c r="C42" s="171" t="s">
        <v>125</v>
      </c>
      <c r="D42" s="175">
        <f t="shared" ref="D42:F42" si="28">D41*D11</f>
        <v>7120.022</v>
      </c>
      <c r="E42" s="175">
        <f t="shared" si="28"/>
        <v>11736.3</v>
      </c>
      <c r="F42" s="175">
        <f t="shared" si="28"/>
        <v>20108.194</v>
      </c>
      <c r="G42" s="230">
        <f t="shared" ref="G42:G45" si="29">SUM(D42:F42)</f>
        <v>38964.516</v>
      </c>
      <c r="H42" s="228"/>
    </row>
    <row r="43" s="106" customFormat="1" ht="24.95" customHeight="1" spans="2:13">
      <c r="B43" s="130"/>
      <c r="C43" s="179" t="s">
        <v>126</v>
      </c>
      <c r="D43" s="175">
        <f t="shared" ref="D43:F43" si="30">ROUND(D19*2%,2)</f>
        <v>1032.98</v>
      </c>
      <c r="E43" s="175">
        <f t="shared" si="30"/>
        <v>1702.72</v>
      </c>
      <c r="F43" s="175">
        <f t="shared" si="30"/>
        <v>2917.33</v>
      </c>
      <c r="G43" s="230">
        <f t="shared" si="29"/>
        <v>5653.03</v>
      </c>
      <c r="H43" s="228" t="s">
        <v>127</v>
      </c>
      <c r="J43" s="109"/>
      <c r="K43" s="109"/>
      <c r="L43" s="109"/>
      <c r="M43" s="109"/>
    </row>
    <row r="44" s="106" customFormat="1" ht="24.95" customHeight="1" spans="2:13">
      <c r="B44" s="130"/>
      <c r="C44" s="179" t="s">
        <v>128</v>
      </c>
      <c r="D44" s="177">
        <v>39</v>
      </c>
      <c r="E44" s="178">
        <f>D44</f>
        <v>39</v>
      </c>
      <c r="F44" s="178">
        <f>E44</f>
        <v>39</v>
      </c>
      <c r="G44" s="233"/>
      <c r="H44" s="228" t="s">
        <v>129</v>
      </c>
      <c r="J44" s="109"/>
      <c r="K44" s="109"/>
      <c r="L44" s="109"/>
      <c r="M44" s="109"/>
    </row>
    <row r="45" s="106" customFormat="1" ht="24.95" customHeight="1" spans="2:8">
      <c r="B45" s="130"/>
      <c r="C45" s="179" t="s">
        <v>130</v>
      </c>
      <c r="D45" s="175">
        <f t="shared" ref="D45:F45" si="31">D44*D11</f>
        <v>7098</v>
      </c>
      <c r="E45" s="175">
        <f t="shared" si="31"/>
        <v>11700</v>
      </c>
      <c r="F45" s="175">
        <f t="shared" si="31"/>
        <v>20046</v>
      </c>
      <c r="G45" s="230">
        <f t="shared" si="29"/>
        <v>38844</v>
      </c>
      <c r="H45" s="228"/>
    </row>
    <row r="46" s="106" customFormat="1" ht="24.95" customHeight="1" spans="2:8">
      <c r="B46" s="130"/>
      <c r="C46" s="179" t="s">
        <v>131</v>
      </c>
      <c r="D46" s="177"/>
      <c r="E46" s="177"/>
      <c r="F46" s="177"/>
      <c r="G46" s="233"/>
      <c r="H46" s="228" t="s">
        <v>132</v>
      </c>
    </row>
    <row r="47" s="106" customFormat="1" ht="24.95" customHeight="1" spans="2:8">
      <c r="B47" s="130"/>
      <c r="C47" s="179" t="s">
        <v>133</v>
      </c>
      <c r="D47" s="175">
        <f t="shared" ref="D47:F47" si="32">((D14*0.15+D40)*D15+D20+D44+D46)*D9</f>
        <v>948.44525</v>
      </c>
      <c r="E47" s="175">
        <f t="shared" si="32"/>
        <v>948.44525</v>
      </c>
      <c r="F47" s="175">
        <f t="shared" si="32"/>
        <v>1896.8905</v>
      </c>
      <c r="G47" s="230">
        <f t="shared" ref="G47:G51" si="33">SUM(D47:F47)</f>
        <v>3793.781</v>
      </c>
      <c r="H47" s="228"/>
    </row>
    <row r="48" s="106" customFormat="1" ht="24.95" customHeight="1" spans="2:8">
      <c r="B48" s="130"/>
      <c r="C48" s="179" t="s">
        <v>134</v>
      </c>
      <c r="D48" s="178">
        <v>0</v>
      </c>
      <c r="E48" s="178">
        <v>0</v>
      </c>
      <c r="F48" s="178">
        <v>0</v>
      </c>
      <c r="G48" s="233">
        <f t="shared" si="33"/>
        <v>0</v>
      </c>
      <c r="H48" s="228" t="s">
        <v>135</v>
      </c>
    </row>
    <row r="49" s="106" customFormat="1" ht="24.95" customHeight="1" spans="2:8">
      <c r="B49" s="130"/>
      <c r="C49" s="179" t="s">
        <v>136</v>
      </c>
      <c r="D49" s="170">
        <f t="shared" ref="D49:G49" si="34">D48+D47+D45+D43+D42+D38+D35+D29+D17*D19</f>
        <v>49873.14549</v>
      </c>
      <c r="E49" s="170">
        <f t="shared" si="34"/>
        <v>65475.21225</v>
      </c>
      <c r="F49" s="170">
        <f t="shared" si="34"/>
        <v>93509.13928</v>
      </c>
      <c r="G49" s="227">
        <f t="shared" si="34"/>
        <v>203204.45998</v>
      </c>
      <c r="H49" s="228"/>
    </row>
    <row r="50" s="106" customFormat="1" ht="24.95" customHeight="1" spans="2:8">
      <c r="B50" s="141"/>
      <c r="C50" s="180" t="s">
        <v>137</v>
      </c>
      <c r="D50" s="181">
        <f>D49/D18</f>
        <v>0.965612490787375</v>
      </c>
      <c r="E50" s="181">
        <f t="shared" ref="D50:G50" si="35">E49/E18</f>
        <v>0.769065205594337</v>
      </c>
      <c r="F50" s="181">
        <f t="shared" si="35"/>
        <v>0.641059652085478</v>
      </c>
      <c r="G50" s="234">
        <f t="shared" si="35"/>
        <v>0.71892138170034</v>
      </c>
      <c r="H50" s="235"/>
    </row>
    <row r="51" s="111" customFormat="1" ht="24.95" customHeight="1" spans="2:14">
      <c r="B51" s="182" t="s">
        <v>138</v>
      </c>
      <c r="C51" s="183" t="s">
        <v>139</v>
      </c>
      <c r="D51" s="184">
        <f t="shared" ref="D51:F51" si="36">D22-D49</f>
        <v>-10781.91149</v>
      </c>
      <c r="E51" s="184">
        <f t="shared" si="36"/>
        <v>-1039.11225000004</v>
      </c>
      <c r="F51" s="184">
        <f t="shared" si="36"/>
        <v>16891.3787199999</v>
      </c>
      <c r="G51" s="184">
        <f t="shared" si="33"/>
        <v>5070.35497999992</v>
      </c>
      <c r="H51" s="236"/>
      <c r="J51" s="106"/>
      <c r="K51" s="106"/>
      <c r="L51" s="106"/>
      <c r="M51" s="106"/>
      <c r="N51" s="106"/>
    </row>
    <row r="52" s="111" customFormat="1" ht="24.95" customHeight="1" spans="2:13">
      <c r="B52" s="185"/>
      <c r="C52" s="186" t="s">
        <v>140</v>
      </c>
      <c r="D52" s="187">
        <f t="shared" ref="D52:G52" si="37">D51/D18</f>
        <v>-0.208752592342415</v>
      </c>
      <c r="E52" s="187">
        <f t="shared" si="37"/>
        <v>-0.0122053071493766</v>
      </c>
      <c r="F52" s="187">
        <f t="shared" si="37"/>
        <v>0.115800246359483</v>
      </c>
      <c r="G52" s="187">
        <f t="shared" si="37"/>
        <v>0.0179385167446202</v>
      </c>
      <c r="H52" s="237"/>
      <c r="J52" s="106"/>
      <c r="K52" s="106"/>
      <c r="L52" s="106"/>
      <c r="M52" s="106"/>
    </row>
    <row r="53" s="106" customFormat="1" customHeight="1" spans="6:14">
      <c r="F53" s="113"/>
      <c r="G53" s="113"/>
      <c r="J53" s="111"/>
      <c r="N53" s="111"/>
    </row>
    <row r="54" s="112" customFormat="1" spans="2:14">
      <c r="B54" s="188" t="s">
        <v>141</v>
      </c>
      <c r="C54" s="189" t="s">
        <v>142</v>
      </c>
      <c r="D54" s="189"/>
      <c r="E54" s="189"/>
      <c r="F54" s="238"/>
      <c r="G54" s="239"/>
      <c r="H54" s="240"/>
      <c r="J54" s="111"/>
      <c r="K54" s="111"/>
      <c r="L54" s="111"/>
      <c r="M54" s="111"/>
      <c r="N54" s="106"/>
    </row>
    <row r="55" s="112" customFormat="1" ht="33.95" customHeight="1" spans="2:13">
      <c r="B55" s="188"/>
      <c r="C55" s="190" t="s">
        <v>143</v>
      </c>
      <c r="D55" s="189"/>
      <c r="E55" s="189"/>
      <c r="F55" s="189"/>
      <c r="G55" s="189"/>
      <c r="H55" s="189"/>
      <c r="J55" s="106"/>
      <c r="K55" s="111"/>
      <c r="L55" s="111"/>
      <c r="M55" s="111"/>
    </row>
    <row r="56" s="112" customFormat="1" spans="2:13">
      <c r="B56" s="188"/>
      <c r="C56" s="189" t="s">
        <v>144</v>
      </c>
      <c r="D56" s="189"/>
      <c r="E56" s="189"/>
      <c r="F56" s="238"/>
      <c r="G56" s="239"/>
      <c r="H56" s="240"/>
      <c r="K56" s="106"/>
      <c r="L56" s="106"/>
      <c r="M56" s="106"/>
    </row>
    <row r="57" s="106" customFormat="1" customHeight="1" spans="6:13">
      <c r="F57" s="113"/>
      <c r="G57" s="113"/>
      <c r="J57" s="112"/>
      <c r="K57" s="112"/>
      <c r="L57" s="112"/>
      <c r="M57" s="112"/>
    </row>
    <row r="58" s="106" customFormat="1" customHeight="1" spans="2:13">
      <c r="B58" s="188" t="s">
        <v>145</v>
      </c>
      <c r="C58" s="189" t="s">
        <v>146</v>
      </c>
      <c r="D58" s="189" t="s">
        <v>147</v>
      </c>
      <c r="E58" s="189" t="s">
        <v>148</v>
      </c>
      <c r="F58" s="238" t="s">
        <v>149</v>
      </c>
      <c r="G58" s="238" t="s">
        <v>150</v>
      </c>
      <c r="H58" s="189" t="s">
        <v>151</v>
      </c>
      <c r="K58" s="112"/>
      <c r="L58" s="112"/>
      <c r="M58" s="112"/>
    </row>
    <row r="59" s="106" customFormat="1" customHeight="1" spans="2:8">
      <c r="B59" s="188"/>
      <c r="C59" s="189" t="s">
        <v>152</v>
      </c>
      <c r="D59" s="189">
        <f>D10</f>
        <v>177</v>
      </c>
      <c r="E59" s="189">
        <f>D19</f>
        <v>51649.234</v>
      </c>
      <c r="F59" s="189">
        <f>D35</f>
        <v>14537.25</v>
      </c>
      <c r="G59" s="241">
        <f>D37</f>
        <v>0.281461095821866</v>
      </c>
      <c r="H59" s="189">
        <f>D51</f>
        <v>-10781.91149</v>
      </c>
    </row>
    <row r="60" s="106" customFormat="1" customHeight="1" spans="2:8">
      <c r="B60" s="188"/>
      <c r="C60" s="189" t="s">
        <v>21</v>
      </c>
      <c r="D60" s="189">
        <f>E10</f>
        <v>295</v>
      </c>
      <c r="E60" s="189">
        <f>E19</f>
        <v>85136.1</v>
      </c>
      <c r="F60" s="189">
        <f>E35</f>
        <v>13632</v>
      </c>
      <c r="G60" s="241">
        <f>E37</f>
        <v>0.160120090067551</v>
      </c>
      <c r="H60" s="189">
        <f>E51</f>
        <v>-1039.11225000004</v>
      </c>
    </row>
    <row r="61" s="106" customFormat="1" customHeight="1" spans="2:8">
      <c r="B61" s="188"/>
      <c r="C61" s="189" t="s">
        <v>153</v>
      </c>
      <c r="D61" s="189">
        <f>F10</f>
        <v>504</v>
      </c>
      <c r="E61" s="189">
        <f>F19</f>
        <v>145866.518</v>
      </c>
      <c r="F61" s="189">
        <f>F35</f>
        <v>12772.9</v>
      </c>
      <c r="G61" s="241">
        <f>F37</f>
        <v>0.087565674255692</v>
      </c>
      <c r="H61" s="189">
        <f>F51</f>
        <v>16891.3787199999</v>
      </c>
    </row>
  </sheetData>
  <sheetProtection formatCells="0" insertHyperlinks="0" autoFilter="0"/>
  <mergeCells count="23">
    <mergeCell ref="B2:H2"/>
    <mergeCell ref="J2:M2"/>
    <mergeCell ref="K5:M5"/>
    <mergeCell ref="K6:M6"/>
    <mergeCell ref="B7:C7"/>
    <mergeCell ref="D7:E7"/>
    <mergeCell ref="K10:M10"/>
    <mergeCell ref="J13:M13"/>
    <mergeCell ref="J17:M17"/>
    <mergeCell ref="J30:K30"/>
    <mergeCell ref="J35:L35"/>
    <mergeCell ref="C55:H55"/>
    <mergeCell ref="B9:B19"/>
    <mergeCell ref="B20:B21"/>
    <mergeCell ref="B22:B23"/>
    <mergeCell ref="B24:B29"/>
    <mergeCell ref="B30:B34"/>
    <mergeCell ref="B35:B50"/>
    <mergeCell ref="B51:B52"/>
    <mergeCell ref="B54:B56"/>
    <mergeCell ref="B58:B61"/>
    <mergeCell ref="G7:G8"/>
    <mergeCell ref="H7:H8"/>
  </mergeCells>
  <dataValidations count="2">
    <dataValidation type="list" allowBlank="1" showInputMessage="1" showErrorMessage="1" sqref="D14:F14">
      <formula1>毛利测算表!$B$5:$B$14</formula1>
    </dataValidation>
    <dataValidation type="list" allowBlank="1" showInputMessage="1" showErrorMessage="1" sqref="C5">
      <formula1>"美元,英镑,欧元"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92"/>
  <sheetViews>
    <sheetView showGridLines="0" zoomScale="85" zoomScaleNormal="85" workbookViewId="0">
      <selection activeCell="N4" sqref="N4"/>
    </sheetView>
  </sheetViews>
  <sheetFormatPr defaultColWidth="9" defaultRowHeight="16.5"/>
  <cols>
    <col min="1" max="1" width="4.55833333333333" style="74" customWidth="1"/>
    <col min="2" max="2" width="12.125" style="74" customWidth="1"/>
    <col min="3" max="6" width="11.25" style="74" customWidth="1"/>
    <col min="7" max="7" width="10.375" style="74" customWidth="1"/>
    <col min="8" max="8" width="17.125" style="74" customWidth="1"/>
    <col min="9" max="9" width="16.5" style="74" customWidth="1"/>
    <col min="10" max="10" width="11.25" style="74" customWidth="1"/>
    <col min="11" max="11" width="2.125" style="74" customWidth="1"/>
    <col min="12" max="12" width="24.5" style="74" customWidth="1"/>
    <col min="13" max="13" width="19.125" style="74" customWidth="1"/>
    <col min="14" max="15" width="11.25" style="74" customWidth="1"/>
    <col min="16" max="16" width="15.125" style="74" customWidth="1"/>
    <col min="17" max="17" width="18.25" style="74" customWidth="1"/>
    <col min="18" max="18" width="11.25" style="74" customWidth="1"/>
    <col min="19" max="19" width="12.375" style="74" customWidth="1"/>
    <col min="20" max="20" width="16.5" style="74" customWidth="1"/>
    <col min="21" max="21" width="12.375" style="74" customWidth="1"/>
    <col min="22" max="16384" width="9" style="74"/>
  </cols>
  <sheetData>
    <row r="1" ht="17.25" spans="2:10">
      <c r="B1" s="14"/>
      <c r="C1" s="14"/>
      <c r="D1" s="14"/>
      <c r="E1" s="14"/>
      <c r="F1" s="14"/>
      <c r="G1" s="14"/>
      <c r="H1" s="14"/>
      <c r="I1" s="14"/>
      <c r="J1" s="14"/>
    </row>
    <row r="2" ht="42" spans="2:15">
      <c r="B2" s="75" t="s">
        <v>154</v>
      </c>
      <c r="C2" s="75" t="s">
        <v>146</v>
      </c>
      <c r="D2" s="75" t="s">
        <v>155</v>
      </c>
      <c r="E2" s="75" t="s">
        <v>156</v>
      </c>
      <c r="F2" s="78" t="s">
        <v>157</v>
      </c>
      <c r="G2" s="79" t="s">
        <v>158</v>
      </c>
      <c r="H2" s="75" t="s">
        <v>159</v>
      </c>
      <c r="I2" s="75" t="s">
        <v>160</v>
      </c>
      <c r="J2" s="75" t="s">
        <v>161</v>
      </c>
      <c r="L2" s="83" t="s">
        <v>162</v>
      </c>
      <c r="M2" s="90"/>
      <c r="N2" s="90"/>
      <c r="O2" s="91"/>
    </row>
    <row r="3" ht="20.25" spans="2:15">
      <c r="B3" s="76">
        <v>44875</v>
      </c>
      <c r="C3" s="77" t="s">
        <v>163</v>
      </c>
      <c r="D3" s="77" t="s">
        <v>164</v>
      </c>
      <c r="E3" s="80">
        <v>1</v>
      </c>
      <c r="F3" s="81">
        <v>39.97</v>
      </c>
      <c r="G3" s="82">
        <f>VLOOKUP(D3,L:N,3,0)</f>
        <v>4</v>
      </c>
      <c r="H3" s="82">
        <f>M21</f>
        <v>200</v>
      </c>
      <c r="I3" s="82">
        <f>H3-G3</f>
        <v>196</v>
      </c>
      <c r="J3" s="84"/>
      <c r="L3" s="85" t="s">
        <v>165</v>
      </c>
      <c r="M3" s="85" t="s">
        <v>166</v>
      </c>
      <c r="N3" s="85" t="s">
        <v>167</v>
      </c>
      <c r="O3" s="85" t="s">
        <v>168</v>
      </c>
    </row>
    <row r="4" ht="17.25" spans="2:15">
      <c r="B4" s="76">
        <v>44876</v>
      </c>
      <c r="C4" s="77" t="s">
        <v>163</v>
      </c>
      <c r="D4" s="77" t="s">
        <v>164</v>
      </c>
      <c r="E4" s="80">
        <v>2</v>
      </c>
      <c r="F4" s="81">
        <v>39.97</v>
      </c>
      <c r="G4" s="82">
        <f t="shared" ref="G4:G35" si="0">VLOOKUP(D4,L:N,3,0)</f>
        <v>4</v>
      </c>
      <c r="H4" s="82">
        <f t="shared" ref="H4:H67" si="1">IF(I3&lt;0,0,I3)</f>
        <v>196</v>
      </c>
      <c r="I4" s="82">
        <f t="shared" ref="I4:I67" si="2">IF(H4-G4+J4&lt;0,0,H4-G4+J4)</f>
        <v>192</v>
      </c>
      <c r="J4" s="86"/>
      <c r="L4" s="4" t="s">
        <v>164</v>
      </c>
      <c r="M4" s="92">
        <v>300</v>
      </c>
      <c r="N4" s="93">
        <v>4</v>
      </c>
      <c r="O4" s="94">
        <f>N4*7</f>
        <v>28</v>
      </c>
    </row>
    <row r="5" ht="17.25" spans="2:15">
      <c r="B5" s="76">
        <v>44877</v>
      </c>
      <c r="C5" s="77" t="s">
        <v>163</v>
      </c>
      <c r="D5" s="77" t="s">
        <v>164</v>
      </c>
      <c r="E5" s="80">
        <v>3</v>
      </c>
      <c r="F5" s="81">
        <v>39.97</v>
      </c>
      <c r="G5" s="82">
        <f t="shared" si="0"/>
        <v>4</v>
      </c>
      <c r="H5" s="82">
        <f t="shared" si="1"/>
        <v>192</v>
      </c>
      <c r="I5" s="82">
        <f t="shared" si="2"/>
        <v>188</v>
      </c>
      <c r="J5" s="84"/>
      <c r="L5" s="4" t="s">
        <v>169</v>
      </c>
      <c r="M5" s="92">
        <v>250</v>
      </c>
      <c r="N5" s="93">
        <v>5</v>
      </c>
      <c r="O5" s="94">
        <f t="shared" ref="O5:O16" si="3">N5*7</f>
        <v>35</v>
      </c>
    </row>
    <row r="6" ht="17.25" spans="2:15">
      <c r="B6" s="76">
        <v>44878</v>
      </c>
      <c r="C6" s="77" t="s">
        <v>163</v>
      </c>
      <c r="D6" s="77" t="s">
        <v>164</v>
      </c>
      <c r="E6" s="80">
        <v>4</v>
      </c>
      <c r="F6" s="81">
        <v>39.97</v>
      </c>
      <c r="G6" s="82">
        <f t="shared" si="0"/>
        <v>4</v>
      </c>
      <c r="H6" s="82">
        <f t="shared" si="1"/>
        <v>188</v>
      </c>
      <c r="I6" s="82">
        <f t="shared" si="2"/>
        <v>184</v>
      </c>
      <c r="J6" s="86"/>
      <c r="L6" s="4" t="s">
        <v>170</v>
      </c>
      <c r="M6" s="92">
        <v>200</v>
      </c>
      <c r="N6" s="93">
        <v>7</v>
      </c>
      <c r="O6" s="94">
        <f t="shared" si="3"/>
        <v>49</v>
      </c>
    </row>
    <row r="7" ht="17.25" spans="2:15">
      <c r="B7" s="76">
        <v>44879</v>
      </c>
      <c r="C7" s="77" t="s">
        <v>163</v>
      </c>
      <c r="D7" s="77" t="s">
        <v>164</v>
      </c>
      <c r="E7" s="80">
        <v>5</v>
      </c>
      <c r="F7" s="81">
        <v>39.97</v>
      </c>
      <c r="G7" s="82">
        <f t="shared" si="0"/>
        <v>4</v>
      </c>
      <c r="H7" s="82">
        <f t="shared" si="1"/>
        <v>184</v>
      </c>
      <c r="I7" s="82">
        <f t="shared" si="2"/>
        <v>180</v>
      </c>
      <c r="J7" s="84"/>
      <c r="L7" s="4" t="s">
        <v>171</v>
      </c>
      <c r="M7" s="92">
        <v>200</v>
      </c>
      <c r="N7" s="93">
        <v>7</v>
      </c>
      <c r="O7" s="94">
        <f t="shared" si="3"/>
        <v>49</v>
      </c>
    </row>
    <row r="8" ht="17.25" spans="2:15">
      <c r="B8" s="76">
        <v>44880</v>
      </c>
      <c r="C8" s="77" t="s">
        <v>163</v>
      </c>
      <c r="D8" s="77" t="s">
        <v>164</v>
      </c>
      <c r="E8" s="80">
        <v>6</v>
      </c>
      <c r="F8" s="81">
        <v>39.97</v>
      </c>
      <c r="G8" s="82">
        <f t="shared" si="0"/>
        <v>4</v>
      </c>
      <c r="H8" s="82">
        <f t="shared" si="1"/>
        <v>180</v>
      </c>
      <c r="I8" s="82">
        <f t="shared" si="2"/>
        <v>176</v>
      </c>
      <c r="J8" s="86"/>
      <c r="L8" s="4" t="s">
        <v>172</v>
      </c>
      <c r="M8" s="92">
        <v>180</v>
      </c>
      <c r="N8" s="93">
        <v>8</v>
      </c>
      <c r="O8" s="94">
        <f t="shared" si="3"/>
        <v>56</v>
      </c>
    </row>
    <row r="9" ht="17.25" spans="2:15">
      <c r="B9" s="76">
        <v>44881</v>
      </c>
      <c r="C9" s="77" t="s">
        <v>163</v>
      </c>
      <c r="D9" s="77" t="s">
        <v>164</v>
      </c>
      <c r="E9" s="80">
        <v>7</v>
      </c>
      <c r="F9" s="81">
        <v>39.97</v>
      </c>
      <c r="G9" s="82">
        <f t="shared" si="0"/>
        <v>4</v>
      </c>
      <c r="H9" s="82">
        <f t="shared" si="1"/>
        <v>176</v>
      </c>
      <c r="I9" s="82">
        <f t="shared" si="2"/>
        <v>172</v>
      </c>
      <c r="J9" s="84"/>
      <c r="L9" s="4" t="s">
        <v>173</v>
      </c>
      <c r="M9" s="92">
        <v>150</v>
      </c>
      <c r="N9" s="93">
        <v>9</v>
      </c>
      <c r="O9" s="94">
        <f t="shared" si="3"/>
        <v>63</v>
      </c>
    </row>
    <row r="10" ht="17.25" spans="2:15">
      <c r="B10" s="76">
        <v>44882</v>
      </c>
      <c r="C10" s="77" t="s">
        <v>163</v>
      </c>
      <c r="D10" s="77" t="s">
        <v>169</v>
      </c>
      <c r="E10" s="80">
        <v>8</v>
      </c>
      <c r="F10" s="81">
        <v>39.97</v>
      </c>
      <c r="G10" s="82">
        <f t="shared" si="0"/>
        <v>5</v>
      </c>
      <c r="H10" s="82">
        <f t="shared" si="1"/>
        <v>172</v>
      </c>
      <c r="I10" s="82">
        <f t="shared" si="2"/>
        <v>167</v>
      </c>
      <c r="J10" s="86"/>
      <c r="L10" s="4" t="s">
        <v>174</v>
      </c>
      <c r="M10" s="92">
        <v>140</v>
      </c>
      <c r="N10" s="93">
        <v>9</v>
      </c>
      <c r="O10" s="94">
        <f t="shared" si="3"/>
        <v>63</v>
      </c>
    </row>
    <row r="11" ht="17.25" spans="2:15">
      <c r="B11" s="76">
        <v>44883</v>
      </c>
      <c r="C11" s="77" t="s">
        <v>163</v>
      </c>
      <c r="D11" s="77" t="s">
        <v>169</v>
      </c>
      <c r="E11" s="80">
        <v>9</v>
      </c>
      <c r="F11" s="81">
        <v>39.97</v>
      </c>
      <c r="G11" s="82">
        <f t="shared" si="0"/>
        <v>5</v>
      </c>
      <c r="H11" s="82">
        <f t="shared" si="1"/>
        <v>167</v>
      </c>
      <c r="I11" s="82">
        <f t="shared" si="2"/>
        <v>162</v>
      </c>
      <c r="J11" s="84"/>
      <c r="L11" s="4" t="s">
        <v>175</v>
      </c>
      <c r="M11" s="92">
        <v>100</v>
      </c>
      <c r="N11" s="93">
        <v>11</v>
      </c>
      <c r="O11" s="94">
        <f t="shared" si="3"/>
        <v>77</v>
      </c>
    </row>
    <row r="12" ht="17.25" spans="2:15">
      <c r="B12" s="76">
        <v>44884</v>
      </c>
      <c r="C12" s="77" t="s">
        <v>163</v>
      </c>
      <c r="D12" s="77" t="s">
        <v>169</v>
      </c>
      <c r="E12" s="80">
        <v>10</v>
      </c>
      <c r="F12" s="81">
        <v>39.97</v>
      </c>
      <c r="G12" s="82">
        <f t="shared" si="0"/>
        <v>5</v>
      </c>
      <c r="H12" s="82">
        <f t="shared" si="1"/>
        <v>162</v>
      </c>
      <c r="I12" s="82">
        <f t="shared" si="2"/>
        <v>157</v>
      </c>
      <c r="J12" s="86"/>
      <c r="L12" s="4" t="s">
        <v>176</v>
      </c>
      <c r="M12" s="92">
        <v>80</v>
      </c>
      <c r="N12" s="93">
        <v>13</v>
      </c>
      <c r="O12" s="94">
        <f t="shared" si="3"/>
        <v>91</v>
      </c>
    </row>
    <row r="13" ht="17.25" spans="2:15">
      <c r="B13" s="76">
        <v>44885</v>
      </c>
      <c r="C13" s="77" t="s">
        <v>163</v>
      </c>
      <c r="D13" s="77" t="s">
        <v>169</v>
      </c>
      <c r="E13" s="80">
        <v>11</v>
      </c>
      <c r="F13" s="81">
        <v>39.97</v>
      </c>
      <c r="G13" s="82">
        <f t="shared" si="0"/>
        <v>5</v>
      </c>
      <c r="H13" s="82">
        <f t="shared" si="1"/>
        <v>157</v>
      </c>
      <c r="I13" s="82">
        <f t="shared" si="2"/>
        <v>152</v>
      </c>
      <c r="J13" s="84"/>
      <c r="L13" s="4" t="s">
        <v>177</v>
      </c>
      <c r="M13" s="92">
        <v>80</v>
      </c>
      <c r="N13" s="93">
        <v>13</v>
      </c>
      <c r="O13" s="94">
        <f t="shared" si="3"/>
        <v>91</v>
      </c>
    </row>
    <row r="14" ht="17.25" spans="2:15">
      <c r="B14" s="76">
        <v>44886</v>
      </c>
      <c r="C14" s="77" t="s">
        <v>163</v>
      </c>
      <c r="D14" s="77" t="s">
        <v>169</v>
      </c>
      <c r="E14" s="80">
        <v>12</v>
      </c>
      <c r="F14" s="81">
        <v>39.97</v>
      </c>
      <c r="G14" s="82">
        <f t="shared" si="0"/>
        <v>5</v>
      </c>
      <c r="H14" s="82">
        <f t="shared" si="1"/>
        <v>152</v>
      </c>
      <c r="I14" s="82">
        <f t="shared" si="2"/>
        <v>147</v>
      </c>
      <c r="J14" s="86"/>
      <c r="L14" s="4" t="s">
        <v>178</v>
      </c>
      <c r="M14" s="92">
        <v>60</v>
      </c>
      <c r="N14" s="93">
        <v>16</v>
      </c>
      <c r="O14" s="94">
        <f t="shared" si="3"/>
        <v>112</v>
      </c>
    </row>
    <row r="15" ht="17.25" spans="2:15">
      <c r="B15" s="76">
        <v>44887</v>
      </c>
      <c r="C15" s="77" t="s">
        <v>163</v>
      </c>
      <c r="D15" s="77" t="s">
        <v>169</v>
      </c>
      <c r="E15" s="80">
        <v>13</v>
      </c>
      <c r="F15" s="81">
        <v>39.97</v>
      </c>
      <c r="G15" s="82">
        <f t="shared" si="0"/>
        <v>5</v>
      </c>
      <c r="H15" s="82">
        <f t="shared" si="1"/>
        <v>147</v>
      </c>
      <c r="I15" s="82">
        <f t="shared" si="2"/>
        <v>142</v>
      </c>
      <c r="J15" s="84"/>
      <c r="L15" s="4" t="s">
        <v>179</v>
      </c>
      <c r="M15" s="92">
        <v>60</v>
      </c>
      <c r="N15" s="93">
        <v>16</v>
      </c>
      <c r="O15" s="94">
        <f t="shared" si="3"/>
        <v>112</v>
      </c>
    </row>
    <row r="16" ht="17.25" spans="2:15">
      <c r="B16" s="76">
        <v>44888</v>
      </c>
      <c r="C16" s="77" t="s">
        <v>163</v>
      </c>
      <c r="D16" s="77" t="s">
        <v>169</v>
      </c>
      <c r="E16" s="80">
        <v>14</v>
      </c>
      <c r="F16" s="81">
        <v>39.97</v>
      </c>
      <c r="G16" s="82">
        <f t="shared" si="0"/>
        <v>5</v>
      </c>
      <c r="H16" s="82">
        <f t="shared" si="1"/>
        <v>142</v>
      </c>
      <c r="I16" s="82">
        <f t="shared" si="2"/>
        <v>137</v>
      </c>
      <c r="J16" s="86"/>
      <c r="L16" s="4" t="s">
        <v>180</v>
      </c>
      <c r="M16" s="92">
        <v>50</v>
      </c>
      <c r="N16" s="93">
        <v>25</v>
      </c>
      <c r="O16" s="94">
        <f t="shared" si="3"/>
        <v>175</v>
      </c>
    </row>
    <row r="17" ht="17.25" spans="2:15">
      <c r="B17" s="76">
        <v>44889</v>
      </c>
      <c r="C17" s="77" t="s">
        <v>163</v>
      </c>
      <c r="D17" s="77" t="s">
        <v>170</v>
      </c>
      <c r="E17" s="80">
        <v>15</v>
      </c>
      <c r="F17" s="81">
        <v>39.97</v>
      </c>
      <c r="G17" s="82">
        <f t="shared" si="0"/>
        <v>7</v>
      </c>
      <c r="H17" s="82">
        <f t="shared" si="1"/>
        <v>137</v>
      </c>
      <c r="I17" s="82">
        <f t="shared" si="2"/>
        <v>130</v>
      </c>
      <c r="J17" s="84"/>
      <c r="L17" s="4" t="s">
        <v>181</v>
      </c>
      <c r="M17" s="95"/>
      <c r="N17" s="96"/>
      <c r="O17" s="94">
        <f>SUM(O4:O16)</f>
        <v>1001</v>
      </c>
    </row>
    <row r="18" spans="2:10">
      <c r="B18" s="76">
        <v>44890</v>
      </c>
      <c r="C18" s="77" t="s">
        <v>163</v>
      </c>
      <c r="D18" s="77" t="s">
        <v>170</v>
      </c>
      <c r="E18" s="80">
        <v>16</v>
      </c>
      <c r="F18" s="81">
        <v>39.97</v>
      </c>
      <c r="G18" s="82">
        <f t="shared" si="0"/>
        <v>7</v>
      </c>
      <c r="H18" s="82">
        <f t="shared" si="1"/>
        <v>130</v>
      </c>
      <c r="I18" s="82">
        <f t="shared" si="2"/>
        <v>123</v>
      </c>
      <c r="J18" s="86"/>
    </row>
    <row r="19" ht="21" spans="2:21">
      <c r="B19" s="76">
        <v>44891</v>
      </c>
      <c r="C19" s="77" t="s">
        <v>163</v>
      </c>
      <c r="D19" s="77" t="s">
        <v>170</v>
      </c>
      <c r="E19" s="80">
        <v>17</v>
      </c>
      <c r="F19" s="81">
        <v>39.97</v>
      </c>
      <c r="G19" s="82">
        <f t="shared" si="0"/>
        <v>7</v>
      </c>
      <c r="H19" s="82">
        <f t="shared" si="1"/>
        <v>123</v>
      </c>
      <c r="I19" s="82">
        <f t="shared" si="2"/>
        <v>116</v>
      </c>
      <c r="J19" s="84"/>
      <c r="L19" s="87" t="s">
        <v>182</v>
      </c>
      <c r="M19" s="87"/>
      <c r="N19" s="87"/>
      <c r="O19" s="87"/>
      <c r="P19" s="87"/>
      <c r="Q19" s="87"/>
      <c r="R19" s="87"/>
      <c r="S19" s="87"/>
      <c r="T19" s="87"/>
      <c r="U19" s="87"/>
    </row>
    <row r="20" ht="21" spans="2:21">
      <c r="B20" s="76">
        <v>44892</v>
      </c>
      <c r="C20" s="77" t="s">
        <v>163</v>
      </c>
      <c r="D20" s="77" t="s">
        <v>170</v>
      </c>
      <c r="E20" s="80">
        <v>18</v>
      </c>
      <c r="F20" s="81">
        <v>39.97</v>
      </c>
      <c r="G20" s="82">
        <f t="shared" si="0"/>
        <v>7</v>
      </c>
      <c r="H20" s="82">
        <f t="shared" si="1"/>
        <v>116</v>
      </c>
      <c r="I20" s="82">
        <f t="shared" si="2"/>
        <v>109</v>
      </c>
      <c r="J20" s="86"/>
      <c r="L20" s="88" t="s">
        <v>183</v>
      </c>
      <c r="M20" s="88" t="s">
        <v>184</v>
      </c>
      <c r="N20" s="88" t="s">
        <v>185</v>
      </c>
      <c r="O20" s="88" t="s">
        <v>186</v>
      </c>
      <c r="P20" s="88" t="s">
        <v>187</v>
      </c>
      <c r="Q20" s="88" t="s">
        <v>188</v>
      </c>
      <c r="R20" s="88" t="s">
        <v>189</v>
      </c>
      <c r="S20" s="88" t="s">
        <v>190</v>
      </c>
      <c r="T20" s="88" t="s">
        <v>191</v>
      </c>
      <c r="U20" s="88" t="s">
        <v>192</v>
      </c>
    </row>
    <row r="21" ht="17.25" spans="2:21">
      <c r="B21" s="76">
        <v>44893</v>
      </c>
      <c r="C21" s="77" t="s">
        <v>163</v>
      </c>
      <c r="D21" s="77" t="s">
        <v>170</v>
      </c>
      <c r="E21" s="80">
        <v>19</v>
      </c>
      <c r="F21" s="81">
        <v>39.97</v>
      </c>
      <c r="G21" s="82">
        <f t="shared" si="0"/>
        <v>7</v>
      </c>
      <c r="H21" s="82">
        <f t="shared" si="1"/>
        <v>109</v>
      </c>
      <c r="I21" s="82">
        <f t="shared" si="2"/>
        <v>102</v>
      </c>
      <c r="J21" s="84"/>
      <c r="L21" s="4" t="s">
        <v>193</v>
      </c>
      <c r="M21" s="5">
        <v>200</v>
      </c>
      <c r="N21" s="4">
        <f>_xlfn.IFS(O21=$L$29,$M$29,O21=$L$30,$M$30,O21=$L$31,$M$31,O21=$L$32,$M$32,O21=$L$33,$M$33)</f>
        <v>20</v>
      </c>
      <c r="O21" s="5" t="s">
        <v>194</v>
      </c>
      <c r="P21" s="4">
        <f t="shared" ref="P21:P24" si="4">$M$27</f>
        <v>30</v>
      </c>
      <c r="Q21" s="101">
        <v>44818</v>
      </c>
      <c r="R21" s="4">
        <f>M21*$M$28</f>
        <v>13800</v>
      </c>
      <c r="S21" s="102">
        <f>P21+Q21</f>
        <v>44848</v>
      </c>
      <c r="T21" s="102">
        <f>S21+M35</f>
        <v>44855</v>
      </c>
      <c r="U21" s="102">
        <f>T21+N21</f>
        <v>44875</v>
      </c>
    </row>
    <row r="22" ht="18" spans="2:21">
      <c r="B22" s="76">
        <v>44894</v>
      </c>
      <c r="C22" s="77" t="s">
        <v>163</v>
      </c>
      <c r="D22" s="77" t="s">
        <v>170</v>
      </c>
      <c r="E22" s="80">
        <v>20</v>
      </c>
      <c r="F22" s="81">
        <v>39.97</v>
      </c>
      <c r="G22" s="82">
        <f t="shared" si="0"/>
        <v>7</v>
      </c>
      <c r="H22" s="82">
        <f t="shared" si="1"/>
        <v>102</v>
      </c>
      <c r="I22" s="82">
        <f t="shared" si="2"/>
        <v>95</v>
      </c>
      <c r="J22" s="86"/>
      <c r="L22" s="4" t="s">
        <v>195</v>
      </c>
      <c r="M22" s="97">
        <v>480</v>
      </c>
      <c r="N22" s="4">
        <f>_xlfn.IFS(O22=$L$29,$M$29,O22=$L$30,$M$30,O22=$L$31,$M$31,O22=$L$32,$M$32,O22=$L$33,$M$33)</f>
        <v>20</v>
      </c>
      <c r="O22" s="5" t="s">
        <v>194</v>
      </c>
      <c r="P22" s="4">
        <f t="shared" si="4"/>
        <v>30</v>
      </c>
      <c r="Q22" s="103">
        <f t="shared" ref="Q22:Q24" si="5">S22-P22</f>
        <v>44847</v>
      </c>
      <c r="R22" s="4">
        <f>M22*$M$28</f>
        <v>33120</v>
      </c>
      <c r="S22" s="102">
        <f>T22-M35</f>
        <v>44877</v>
      </c>
      <c r="T22" s="102">
        <f t="shared" ref="T22:T24" si="6">U22-N22</f>
        <v>44884</v>
      </c>
      <c r="U22" s="104">
        <f>B32</f>
        <v>44904</v>
      </c>
    </row>
    <row r="23" ht="17.25" spans="2:21">
      <c r="B23" s="76">
        <v>44895</v>
      </c>
      <c r="C23" s="77" t="s">
        <v>163</v>
      </c>
      <c r="D23" s="77" t="s">
        <v>170</v>
      </c>
      <c r="E23" s="80">
        <v>21</v>
      </c>
      <c r="F23" s="81">
        <v>39.97</v>
      </c>
      <c r="G23" s="82">
        <f t="shared" si="0"/>
        <v>7</v>
      </c>
      <c r="H23" s="82">
        <f t="shared" si="1"/>
        <v>95</v>
      </c>
      <c r="I23" s="82">
        <f t="shared" si="2"/>
        <v>88</v>
      </c>
      <c r="J23" s="84"/>
      <c r="L23" s="4" t="s">
        <v>196</v>
      </c>
      <c r="M23" s="5"/>
      <c r="N23" s="4">
        <f>_xlfn.IFS(O23=$L$29,$M$29,O23=$L$30,$M$30,O23=$L$31,$M$31,O23=$L$32,$M$32,O23=$L$33,$M$33)</f>
        <v>20</v>
      </c>
      <c r="O23" s="5" t="s">
        <v>197</v>
      </c>
      <c r="P23" s="4">
        <f t="shared" si="4"/>
        <v>30</v>
      </c>
      <c r="Q23" s="103">
        <f t="shared" si="5"/>
        <v>-50</v>
      </c>
      <c r="R23" s="4">
        <f>M23*$M$28</f>
        <v>0</v>
      </c>
      <c r="S23" s="102">
        <f>T23-M38</f>
        <v>-20</v>
      </c>
      <c r="T23" s="102">
        <f t="shared" si="6"/>
        <v>-20</v>
      </c>
      <c r="U23" s="105"/>
    </row>
    <row r="24" ht="17.25" spans="2:21">
      <c r="B24" s="76">
        <v>44896</v>
      </c>
      <c r="C24" s="77" t="s">
        <v>163</v>
      </c>
      <c r="D24" s="77" t="s">
        <v>171</v>
      </c>
      <c r="E24" s="80">
        <v>22</v>
      </c>
      <c r="F24" s="81">
        <v>39.97</v>
      </c>
      <c r="G24" s="82">
        <f t="shared" si="0"/>
        <v>7</v>
      </c>
      <c r="H24" s="82">
        <f t="shared" si="1"/>
        <v>88</v>
      </c>
      <c r="I24" s="82">
        <f t="shared" si="2"/>
        <v>81</v>
      </c>
      <c r="J24" s="86"/>
      <c r="L24" s="4" t="s">
        <v>198</v>
      </c>
      <c r="M24" s="5"/>
      <c r="N24" s="4">
        <f>_xlfn.IFS(O24=$L$29,$M$29,O24=$L$30,$M$30,O24=$L$31,$M$31,O24=$L$32,$M$32,O24=$L$33,$M$33)</f>
        <v>20</v>
      </c>
      <c r="O24" s="5" t="s">
        <v>194</v>
      </c>
      <c r="P24" s="4">
        <f t="shared" si="4"/>
        <v>30</v>
      </c>
      <c r="Q24" s="103">
        <f t="shared" si="5"/>
        <v>-50</v>
      </c>
      <c r="R24" s="4">
        <f>M24*$M$28</f>
        <v>0</v>
      </c>
      <c r="S24" s="102">
        <f>T24-M39</f>
        <v>-20</v>
      </c>
      <c r="T24" s="102">
        <f t="shared" si="6"/>
        <v>-20</v>
      </c>
      <c r="U24" s="105"/>
    </row>
    <row r="25" spans="2:20">
      <c r="B25" s="76">
        <v>44897</v>
      </c>
      <c r="C25" s="77" t="s">
        <v>163</v>
      </c>
      <c r="D25" s="77" t="s">
        <v>171</v>
      </c>
      <c r="E25" s="80">
        <v>23</v>
      </c>
      <c r="F25" s="81">
        <v>39.97</v>
      </c>
      <c r="G25" s="82">
        <f t="shared" si="0"/>
        <v>7</v>
      </c>
      <c r="H25" s="82">
        <f t="shared" si="1"/>
        <v>81</v>
      </c>
      <c r="I25" s="82">
        <f t="shared" si="2"/>
        <v>74</v>
      </c>
      <c r="J25" s="84"/>
      <c r="Q25" s="98"/>
      <c r="R25" s="98"/>
      <c r="S25" s="98"/>
      <c r="T25" s="98"/>
    </row>
    <row r="26" ht="21" spans="2:20">
      <c r="B26" s="76">
        <v>44898</v>
      </c>
      <c r="C26" s="77" t="s">
        <v>163</v>
      </c>
      <c r="D26" s="77" t="s">
        <v>171</v>
      </c>
      <c r="E26" s="80">
        <v>24</v>
      </c>
      <c r="F26" s="81">
        <v>39.97</v>
      </c>
      <c r="G26" s="82">
        <f t="shared" si="0"/>
        <v>7</v>
      </c>
      <c r="H26" s="82">
        <f t="shared" si="1"/>
        <v>74</v>
      </c>
      <c r="I26" s="82">
        <f t="shared" si="2"/>
        <v>67</v>
      </c>
      <c r="J26" s="86"/>
      <c r="L26" s="87" t="s">
        <v>199</v>
      </c>
      <c r="M26" s="87"/>
      <c r="N26" s="87"/>
      <c r="O26" s="98"/>
      <c r="P26" s="98"/>
      <c r="Q26" s="98"/>
      <c r="R26" s="98"/>
      <c r="S26" s="98"/>
      <c r="T26" s="98"/>
    </row>
    <row r="27" ht="21" spans="2:20">
      <c r="B27" s="76">
        <v>44899</v>
      </c>
      <c r="C27" s="77" t="s">
        <v>163</v>
      </c>
      <c r="D27" s="77" t="s">
        <v>171</v>
      </c>
      <c r="E27" s="80">
        <v>25</v>
      </c>
      <c r="F27" s="81">
        <v>39.97</v>
      </c>
      <c r="G27" s="82">
        <f t="shared" si="0"/>
        <v>7</v>
      </c>
      <c r="H27" s="82">
        <f t="shared" si="1"/>
        <v>67</v>
      </c>
      <c r="I27" s="82">
        <f t="shared" si="2"/>
        <v>60</v>
      </c>
      <c r="J27" s="84"/>
      <c r="L27" s="88" t="s">
        <v>200</v>
      </c>
      <c r="M27" s="99">
        <v>30</v>
      </c>
      <c r="N27" s="100" t="s">
        <v>201</v>
      </c>
      <c r="O27" s="98"/>
      <c r="P27" s="98"/>
      <c r="Q27" s="98"/>
      <c r="R27" s="98"/>
      <c r="S27" s="98"/>
      <c r="T27" s="98"/>
    </row>
    <row r="28" ht="21" spans="2:20">
      <c r="B28" s="76">
        <v>44900</v>
      </c>
      <c r="C28" s="77" t="s">
        <v>163</v>
      </c>
      <c r="D28" s="77" t="s">
        <v>171</v>
      </c>
      <c r="E28" s="80">
        <v>26</v>
      </c>
      <c r="F28" s="81">
        <v>39.97</v>
      </c>
      <c r="G28" s="82">
        <f t="shared" si="0"/>
        <v>7</v>
      </c>
      <c r="H28" s="82">
        <f t="shared" si="1"/>
        <v>60</v>
      </c>
      <c r="I28" s="82">
        <f t="shared" si="2"/>
        <v>53</v>
      </c>
      <c r="J28" s="86"/>
      <c r="L28" s="88" t="s">
        <v>68</v>
      </c>
      <c r="M28" s="99">
        <v>69</v>
      </c>
      <c r="N28" s="100" t="s">
        <v>202</v>
      </c>
      <c r="O28" s="98"/>
      <c r="P28" s="98"/>
      <c r="Q28" s="98"/>
      <c r="R28" s="98"/>
      <c r="S28" s="98"/>
      <c r="T28" s="98"/>
    </row>
    <row r="29" ht="21" spans="2:14">
      <c r="B29" s="76">
        <v>44901</v>
      </c>
      <c r="C29" s="77" t="s">
        <v>163</v>
      </c>
      <c r="D29" s="77" t="s">
        <v>171</v>
      </c>
      <c r="E29" s="80">
        <v>27</v>
      </c>
      <c r="F29" s="81">
        <v>39.97</v>
      </c>
      <c r="G29" s="82">
        <f t="shared" si="0"/>
        <v>7</v>
      </c>
      <c r="H29" s="82">
        <f t="shared" si="1"/>
        <v>53</v>
      </c>
      <c r="I29" s="82">
        <f t="shared" si="2"/>
        <v>46</v>
      </c>
      <c r="J29" s="84"/>
      <c r="L29" s="88" t="s">
        <v>194</v>
      </c>
      <c r="M29" s="99">
        <v>20</v>
      </c>
      <c r="N29" s="100" t="s">
        <v>201</v>
      </c>
    </row>
    <row r="30" ht="21" spans="2:14">
      <c r="B30" s="76">
        <v>44902</v>
      </c>
      <c r="C30" s="77" t="s">
        <v>163</v>
      </c>
      <c r="D30" s="77" t="s">
        <v>171</v>
      </c>
      <c r="E30" s="80">
        <v>28</v>
      </c>
      <c r="F30" s="81">
        <v>39.97</v>
      </c>
      <c r="G30" s="82">
        <f t="shared" si="0"/>
        <v>7</v>
      </c>
      <c r="H30" s="82">
        <f t="shared" si="1"/>
        <v>46</v>
      </c>
      <c r="I30" s="82">
        <f t="shared" si="2"/>
        <v>39</v>
      </c>
      <c r="J30" s="86"/>
      <c r="L30" s="88" t="s">
        <v>203</v>
      </c>
      <c r="M30" s="99">
        <v>30</v>
      </c>
      <c r="N30" s="100" t="s">
        <v>201</v>
      </c>
    </row>
    <row r="31" ht="21" spans="2:14">
      <c r="B31" s="76">
        <v>44903</v>
      </c>
      <c r="C31" s="77" t="s">
        <v>163</v>
      </c>
      <c r="D31" s="77" t="s">
        <v>172</v>
      </c>
      <c r="E31" s="80">
        <v>29</v>
      </c>
      <c r="F31" s="81">
        <v>39.97</v>
      </c>
      <c r="G31" s="82">
        <f t="shared" si="0"/>
        <v>8</v>
      </c>
      <c r="H31" s="82">
        <f t="shared" si="1"/>
        <v>39</v>
      </c>
      <c r="I31" s="82">
        <f t="shared" si="2"/>
        <v>31</v>
      </c>
      <c r="J31" s="84"/>
      <c r="L31" s="88" t="s">
        <v>204</v>
      </c>
      <c r="M31" s="99">
        <v>40</v>
      </c>
      <c r="N31" s="100" t="s">
        <v>201</v>
      </c>
    </row>
    <row r="32" ht="21" spans="2:14">
      <c r="B32" s="76">
        <v>44904</v>
      </c>
      <c r="C32" s="77" t="s">
        <v>163</v>
      </c>
      <c r="D32" s="77" t="s">
        <v>172</v>
      </c>
      <c r="E32" s="80">
        <v>30</v>
      </c>
      <c r="F32" s="81">
        <v>39.97</v>
      </c>
      <c r="G32" s="82">
        <f t="shared" si="0"/>
        <v>8</v>
      </c>
      <c r="H32" s="82">
        <f t="shared" si="1"/>
        <v>31</v>
      </c>
      <c r="I32" s="82">
        <f t="shared" si="2"/>
        <v>23</v>
      </c>
      <c r="J32" s="86"/>
      <c r="L32" s="88" t="s">
        <v>197</v>
      </c>
      <c r="M32" s="99">
        <v>20</v>
      </c>
      <c r="N32" s="100" t="s">
        <v>201</v>
      </c>
    </row>
    <row r="33" ht="21" spans="2:14">
      <c r="B33" s="76">
        <v>44905</v>
      </c>
      <c r="C33" s="77" t="s">
        <v>205</v>
      </c>
      <c r="D33" s="77" t="s">
        <v>172</v>
      </c>
      <c r="E33" s="80">
        <v>31</v>
      </c>
      <c r="F33" s="81">
        <v>39.97</v>
      </c>
      <c r="G33" s="82">
        <f t="shared" si="0"/>
        <v>8</v>
      </c>
      <c r="H33" s="82">
        <f t="shared" si="1"/>
        <v>23</v>
      </c>
      <c r="I33" s="82">
        <f t="shared" si="2"/>
        <v>15</v>
      </c>
      <c r="J33" s="84"/>
      <c r="L33" s="88" t="s">
        <v>206</v>
      </c>
      <c r="M33" s="99">
        <v>40</v>
      </c>
      <c r="N33" s="100" t="s">
        <v>201</v>
      </c>
    </row>
    <row r="34" ht="21" spans="2:14">
      <c r="B34" s="76">
        <v>44906</v>
      </c>
      <c r="C34" s="77" t="s">
        <v>205</v>
      </c>
      <c r="D34" s="77" t="s">
        <v>172</v>
      </c>
      <c r="E34" s="80">
        <v>32</v>
      </c>
      <c r="F34" s="81">
        <v>39.97</v>
      </c>
      <c r="G34" s="82">
        <f t="shared" si="0"/>
        <v>8</v>
      </c>
      <c r="H34" s="82">
        <f t="shared" si="1"/>
        <v>15</v>
      </c>
      <c r="I34" s="82">
        <f t="shared" si="2"/>
        <v>7</v>
      </c>
      <c r="J34" s="86"/>
      <c r="L34" s="88" t="s">
        <v>207</v>
      </c>
      <c r="M34" s="5">
        <v>60</v>
      </c>
      <c r="N34" s="100" t="s">
        <v>201</v>
      </c>
    </row>
    <row r="35" ht="21" spans="2:14">
      <c r="B35" s="76">
        <v>44907</v>
      </c>
      <c r="C35" s="77" t="s">
        <v>205</v>
      </c>
      <c r="D35" s="77" t="s">
        <v>172</v>
      </c>
      <c r="E35" s="80">
        <v>33</v>
      </c>
      <c r="F35" s="81">
        <v>39.97</v>
      </c>
      <c r="G35" s="82">
        <f t="shared" si="0"/>
        <v>8</v>
      </c>
      <c r="H35" s="82">
        <f t="shared" si="1"/>
        <v>7</v>
      </c>
      <c r="I35" s="82">
        <f t="shared" si="2"/>
        <v>0</v>
      </c>
      <c r="J35" s="84"/>
      <c r="L35" s="88" t="s">
        <v>208</v>
      </c>
      <c r="M35" s="5">
        <v>7</v>
      </c>
      <c r="N35" s="100" t="s">
        <v>201</v>
      </c>
    </row>
    <row r="36" spans="2:10">
      <c r="B36" s="76">
        <v>44908</v>
      </c>
      <c r="C36" s="77" t="s">
        <v>205</v>
      </c>
      <c r="D36" s="77" t="s">
        <v>172</v>
      </c>
      <c r="E36" s="80">
        <v>34</v>
      </c>
      <c r="F36" s="81">
        <v>39.97</v>
      </c>
      <c r="G36" s="82">
        <f t="shared" ref="G36:G67" si="7">VLOOKUP(D36,L:N,3,0)</f>
        <v>8</v>
      </c>
      <c r="H36" s="82">
        <f t="shared" si="1"/>
        <v>0</v>
      </c>
      <c r="I36" s="82">
        <f t="shared" si="2"/>
        <v>0</v>
      </c>
      <c r="J36" s="86"/>
    </row>
    <row r="37" spans="2:10">
      <c r="B37" s="76">
        <v>44909</v>
      </c>
      <c r="C37" s="77" t="s">
        <v>205</v>
      </c>
      <c r="D37" s="77" t="s">
        <v>172</v>
      </c>
      <c r="E37" s="80">
        <v>35</v>
      </c>
      <c r="F37" s="81">
        <v>39.97</v>
      </c>
      <c r="G37" s="82">
        <f t="shared" si="7"/>
        <v>8</v>
      </c>
      <c r="H37" s="82">
        <f t="shared" si="1"/>
        <v>0</v>
      </c>
      <c r="I37" s="82">
        <f t="shared" si="2"/>
        <v>0</v>
      </c>
      <c r="J37" s="84"/>
    </row>
    <row r="38" spans="2:10">
      <c r="B38" s="76">
        <v>44910</v>
      </c>
      <c r="C38" s="77" t="s">
        <v>205</v>
      </c>
      <c r="D38" s="77" t="s">
        <v>173</v>
      </c>
      <c r="E38" s="80">
        <v>36</v>
      </c>
      <c r="F38" s="81">
        <v>39.97</v>
      </c>
      <c r="G38" s="82">
        <f t="shared" si="7"/>
        <v>9</v>
      </c>
      <c r="H38" s="82">
        <f t="shared" si="1"/>
        <v>0</v>
      </c>
      <c r="I38" s="82">
        <f t="shared" si="2"/>
        <v>0</v>
      </c>
      <c r="J38" s="86"/>
    </row>
    <row r="39" spans="2:10">
      <c r="B39" s="76">
        <v>44911</v>
      </c>
      <c r="C39" s="77" t="s">
        <v>205</v>
      </c>
      <c r="D39" s="77" t="s">
        <v>173</v>
      </c>
      <c r="E39" s="80">
        <v>37</v>
      </c>
      <c r="F39" s="81">
        <v>39.97</v>
      </c>
      <c r="G39" s="82">
        <f t="shared" si="7"/>
        <v>9</v>
      </c>
      <c r="H39" s="82">
        <f t="shared" si="1"/>
        <v>0</v>
      </c>
      <c r="I39" s="82">
        <f t="shared" si="2"/>
        <v>0</v>
      </c>
      <c r="J39" s="84"/>
    </row>
    <row r="40" spans="2:10">
      <c r="B40" s="76">
        <v>44912</v>
      </c>
      <c r="C40" s="77" t="s">
        <v>205</v>
      </c>
      <c r="D40" s="77" t="s">
        <v>173</v>
      </c>
      <c r="E40" s="80">
        <v>38</v>
      </c>
      <c r="F40" s="81">
        <v>39.97</v>
      </c>
      <c r="G40" s="82">
        <f t="shared" si="7"/>
        <v>9</v>
      </c>
      <c r="H40" s="82">
        <f t="shared" si="1"/>
        <v>0</v>
      </c>
      <c r="I40" s="82">
        <f t="shared" si="2"/>
        <v>0</v>
      </c>
      <c r="J40" s="86"/>
    </row>
    <row r="41" spans="2:10">
      <c r="B41" s="76">
        <v>44913</v>
      </c>
      <c r="C41" s="77" t="s">
        <v>205</v>
      </c>
      <c r="D41" s="77" t="s">
        <v>173</v>
      </c>
      <c r="E41" s="80">
        <v>39</v>
      </c>
      <c r="F41" s="81">
        <v>39.97</v>
      </c>
      <c r="G41" s="82">
        <f t="shared" si="7"/>
        <v>9</v>
      </c>
      <c r="H41" s="82">
        <f t="shared" si="1"/>
        <v>0</v>
      </c>
      <c r="I41" s="82">
        <f t="shared" si="2"/>
        <v>0</v>
      </c>
      <c r="J41" s="84"/>
    </row>
    <row r="42" spans="2:10">
      <c r="B42" s="76">
        <v>44914</v>
      </c>
      <c r="C42" s="77" t="s">
        <v>205</v>
      </c>
      <c r="D42" s="77" t="s">
        <v>173</v>
      </c>
      <c r="E42" s="80">
        <v>40</v>
      </c>
      <c r="F42" s="81">
        <v>39.97</v>
      </c>
      <c r="G42" s="82">
        <f t="shared" si="7"/>
        <v>9</v>
      </c>
      <c r="H42" s="82">
        <f t="shared" si="1"/>
        <v>0</v>
      </c>
      <c r="I42" s="82">
        <f t="shared" si="2"/>
        <v>0</v>
      </c>
      <c r="J42" s="86"/>
    </row>
    <row r="43" spans="2:10">
      <c r="B43" s="76">
        <v>44915</v>
      </c>
      <c r="C43" s="77" t="s">
        <v>205</v>
      </c>
      <c r="D43" s="77" t="s">
        <v>173</v>
      </c>
      <c r="E43" s="80">
        <v>41</v>
      </c>
      <c r="F43" s="81">
        <v>39.97</v>
      </c>
      <c r="G43" s="82">
        <f t="shared" si="7"/>
        <v>9</v>
      </c>
      <c r="H43" s="82">
        <f t="shared" si="1"/>
        <v>0</v>
      </c>
      <c r="I43" s="82">
        <f t="shared" si="2"/>
        <v>0</v>
      </c>
      <c r="J43" s="84"/>
    </row>
    <row r="44" spans="2:10">
      <c r="B44" s="76">
        <v>44916</v>
      </c>
      <c r="C44" s="77" t="s">
        <v>205</v>
      </c>
      <c r="D44" s="77" t="s">
        <v>173</v>
      </c>
      <c r="E44" s="80">
        <v>42</v>
      </c>
      <c r="F44" s="81">
        <v>39.97</v>
      </c>
      <c r="G44" s="82">
        <f t="shared" si="7"/>
        <v>9</v>
      </c>
      <c r="H44" s="82">
        <f t="shared" si="1"/>
        <v>0</v>
      </c>
      <c r="I44" s="82">
        <f t="shared" si="2"/>
        <v>0</v>
      </c>
      <c r="J44" s="86"/>
    </row>
    <row r="45" spans="2:10">
      <c r="B45" s="76">
        <v>44917</v>
      </c>
      <c r="C45" s="77" t="s">
        <v>205</v>
      </c>
      <c r="D45" s="77" t="s">
        <v>174</v>
      </c>
      <c r="E45" s="80">
        <v>43</v>
      </c>
      <c r="F45" s="81">
        <v>39.97</v>
      </c>
      <c r="G45" s="82">
        <f t="shared" si="7"/>
        <v>9</v>
      </c>
      <c r="H45" s="82">
        <f t="shared" si="1"/>
        <v>0</v>
      </c>
      <c r="I45" s="82">
        <f t="shared" si="2"/>
        <v>0</v>
      </c>
      <c r="J45" s="84"/>
    </row>
    <row r="46" spans="2:10">
      <c r="B46" s="76">
        <v>44918</v>
      </c>
      <c r="C46" s="77" t="s">
        <v>205</v>
      </c>
      <c r="D46" s="77" t="s">
        <v>174</v>
      </c>
      <c r="E46" s="80">
        <v>44</v>
      </c>
      <c r="F46" s="81">
        <v>39.97</v>
      </c>
      <c r="G46" s="82">
        <f t="shared" si="7"/>
        <v>9</v>
      </c>
      <c r="H46" s="82">
        <f t="shared" si="1"/>
        <v>0</v>
      </c>
      <c r="I46" s="82">
        <f t="shared" si="2"/>
        <v>0</v>
      </c>
      <c r="J46" s="86"/>
    </row>
    <row r="47" spans="2:10">
      <c r="B47" s="76">
        <v>44919</v>
      </c>
      <c r="C47" s="77" t="s">
        <v>205</v>
      </c>
      <c r="D47" s="77" t="s">
        <v>174</v>
      </c>
      <c r="E47" s="80">
        <v>45</v>
      </c>
      <c r="F47" s="81">
        <v>39.97</v>
      </c>
      <c r="G47" s="82">
        <f t="shared" si="7"/>
        <v>9</v>
      </c>
      <c r="H47" s="82">
        <f t="shared" si="1"/>
        <v>0</v>
      </c>
      <c r="I47" s="82">
        <f t="shared" si="2"/>
        <v>0</v>
      </c>
      <c r="J47" s="84"/>
    </row>
    <row r="48" spans="2:10">
      <c r="B48" s="76">
        <v>44920</v>
      </c>
      <c r="C48" s="77" t="s">
        <v>205</v>
      </c>
      <c r="D48" s="77" t="s">
        <v>174</v>
      </c>
      <c r="E48" s="80">
        <v>46</v>
      </c>
      <c r="F48" s="81">
        <v>39.97</v>
      </c>
      <c r="G48" s="82">
        <f t="shared" si="7"/>
        <v>9</v>
      </c>
      <c r="H48" s="82">
        <f t="shared" si="1"/>
        <v>0</v>
      </c>
      <c r="I48" s="82">
        <f t="shared" si="2"/>
        <v>0</v>
      </c>
      <c r="J48" s="86"/>
    </row>
    <row r="49" spans="2:10">
      <c r="B49" s="76">
        <v>44921</v>
      </c>
      <c r="C49" s="77" t="s">
        <v>205</v>
      </c>
      <c r="D49" s="77" t="s">
        <v>174</v>
      </c>
      <c r="E49" s="80">
        <v>47</v>
      </c>
      <c r="F49" s="81">
        <v>39.97</v>
      </c>
      <c r="G49" s="82">
        <f t="shared" si="7"/>
        <v>9</v>
      </c>
      <c r="H49" s="82">
        <f t="shared" si="1"/>
        <v>0</v>
      </c>
      <c r="I49" s="82">
        <f t="shared" si="2"/>
        <v>0</v>
      </c>
      <c r="J49" s="84"/>
    </row>
    <row r="50" spans="2:10">
      <c r="B50" s="76">
        <v>44922</v>
      </c>
      <c r="C50" s="77" t="s">
        <v>205</v>
      </c>
      <c r="D50" s="77" t="s">
        <v>174</v>
      </c>
      <c r="E50" s="80">
        <v>48</v>
      </c>
      <c r="F50" s="81">
        <v>39.97</v>
      </c>
      <c r="G50" s="82">
        <f t="shared" si="7"/>
        <v>9</v>
      </c>
      <c r="H50" s="82">
        <f t="shared" si="1"/>
        <v>0</v>
      </c>
      <c r="I50" s="82">
        <f t="shared" si="2"/>
        <v>0</v>
      </c>
      <c r="J50" s="86"/>
    </row>
    <row r="51" spans="2:10">
      <c r="B51" s="76">
        <v>44923</v>
      </c>
      <c r="C51" s="77" t="s">
        <v>205</v>
      </c>
      <c r="D51" s="77" t="s">
        <v>174</v>
      </c>
      <c r="E51" s="80">
        <v>49</v>
      </c>
      <c r="F51" s="81">
        <v>39.97</v>
      </c>
      <c r="G51" s="82">
        <f t="shared" si="7"/>
        <v>9</v>
      </c>
      <c r="H51" s="82">
        <f t="shared" si="1"/>
        <v>0</v>
      </c>
      <c r="I51" s="82">
        <f t="shared" si="2"/>
        <v>0</v>
      </c>
      <c r="J51" s="84"/>
    </row>
    <row r="52" spans="2:10">
      <c r="B52" s="76">
        <v>44924</v>
      </c>
      <c r="C52" s="77" t="s">
        <v>205</v>
      </c>
      <c r="D52" s="77" t="s">
        <v>175</v>
      </c>
      <c r="E52" s="80">
        <v>50</v>
      </c>
      <c r="F52" s="81">
        <v>39.97</v>
      </c>
      <c r="G52" s="82">
        <f t="shared" si="7"/>
        <v>11</v>
      </c>
      <c r="H52" s="82">
        <f t="shared" si="1"/>
        <v>0</v>
      </c>
      <c r="I52" s="82">
        <f t="shared" si="2"/>
        <v>0</v>
      </c>
      <c r="J52" s="84"/>
    </row>
    <row r="53" spans="2:10">
      <c r="B53" s="76">
        <v>44925</v>
      </c>
      <c r="C53" s="77" t="s">
        <v>205</v>
      </c>
      <c r="D53" s="77" t="s">
        <v>175</v>
      </c>
      <c r="E53" s="80">
        <v>51</v>
      </c>
      <c r="F53" s="81">
        <v>39.97</v>
      </c>
      <c r="G53" s="82">
        <f t="shared" si="7"/>
        <v>11</v>
      </c>
      <c r="H53" s="82">
        <f t="shared" si="1"/>
        <v>0</v>
      </c>
      <c r="I53" s="82">
        <f t="shared" si="2"/>
        <v>0</v>
      </c>
      <c r="J53" s="84"/>
    </row>
    <row r="54" spans="2:10">
      <c r="B54" s="76">
        <v>44926</v>
      </c>
      <c r="C54" s="77" t="s">
        <v>205</v>
      </c>
      <c r="D54" s="77" t="s">
        <v>175</v>
      </c>
      <c r="E54" s="80">
        <v>52</v>
      </c>
      <c r="F54" s="81">
        <v>39.97</v>
      </c>
      <c r="G54" s="82">
        <f t="shared" si="7"/>
        <v>11</v>
      </c>
      <c r="H54" s="82">
        <f t="shared" si="1"/>
        <v>0</v>
      </c>
      <c r="I54" s="82">
        <f t="shared" si="2"/>
        <v>0</v>
      </c>
      <c r="J54" s="86"/>
    </row>
    <row r="55" spans="2:10">
      <c r="B55" s="76">
        <v>44927</v>
      </c>
      <c r="C55" s="77" t="s">
        <v>205</v>
      </c>
      <c r="D55" s="77" t="s">
        <v>175</v>
      </c>
      <c r="E55" s="80">
        <v>53</v>
      </c>
      <c r="F55" s="81">
        <v>39.97</v>
      </c>
      <c r="G55" s="82">
        <f t="shared" si="7"/>
        <v>11</v>
      </c>
      <c r="H55" s="82">
        <f t="shared" si="1"/>
        <v>0</v>
      </c>
      <c r="I55" s="82">
        <f t="shared" si="2"/>
        <v>0</v>
      </c>
      <c r="J55" s="84"/>
    </row>
    <row r="56" spans="2:10">
      <c r="B56" s="76">
        <v>44928</v>
      </c>
      <c r="C56" s="77" t="s">
        <v>205</v>
      </c>
      <c r="D56" s="77" t="s">
        <v>175</v>
      </c>
      <c r="E56" s="80">
        <v>54</v>
      </c>
      <c r="F56" s="81">
        <v>39.97</v>
      </c>
      <c r="G56" s="82">
        <f t="shared" si="7"/>
        <v>11</v>
      </c>
      <c r="H56" s="82">
        <f t="shared" si="1"/>
        <v>0</v>
      </c>
      <c r="I56" s="89">
        <f t="shared" si="2"/>
        <v>0</v>
      </c>
      <c r="J56" s="86"/>
    </row>
    <row r="57" spans="2:10">
      <c r="B57" s="76">
        <v>44929</v>
      </c>
      <c r="C57" s="77" t="s">
        <v>205</v>
      </c>
      <c r="D57" s="77" t="s">
        <v>175</v>
      </c>
      <c r="E57" s="80">
        <v>55</v>
      </c>
      <c r="F57" s="81">
        <v>39.97</v>
      </c>
      <c r="G57" s="82">
        <f t="shared" si="7"/>
        <v>11</v>
      </c>
      <c r="H57" s="82">
        <f t="shared" si="1"/>
        <v>0</v>
      </c>
      <c r="I57" s="82">
        <f t="shared" si="2"/>
        <v>0</v>
      </c>
      <c r="J57" s="84"/>
    </row>
    <row r="58" spans="2:10">
      <c r="B58" s="76">
        <v>44930</v>
      </c>
      <c r="C58" s="77" t="s">
        <v>205</v>
      </c>
      <c r="D58" s="77" t="s">
        <v>175</v>
      </c>
      <c r="E58" s="80">
        <v>56</v>
      </c>
      <c r="F58" s="81">
        <v>39.97</v>
      </c>
      <c r="G58" s="82">
        <f t="shared" si="7"/>
        <v>11</v>
      </c>
      <c r="H58" s="82">
        <f t="shared" si="1"/>
        <v>0</v>
      </c>
      <c r="I58" s="82">
        <f t="shared" si="2"/>
        <v>0</v>
      </c>
      <c r="J58" s="86"/>
    </row>
    <row r="59" spans="2:10">
      <c r="B59" s="76">
        <v>44931</v>
      </c>
      <c r="C59" s="77" t="s">
        <v>205</v>
      </c>
      <c r="D59" s="77" t="s">
        <v>176</v>
      </c>
      <c r="E59" s="80">
        <v>57</v>
      </c>
      <c r="F59" s="81">
        <v>39.97</v>
      </c>
      <c r="G59" s="82">
        <f t="shared" si="7"/>
        <v>13</v>
      </c>
      <c r="H59" s="82">
        <f t="shared" si="1"/>
        <v>0</v>
      </c>
      <c r="I59" s="82">
        <f t="shared" si="2"/>
        <v>0</v>
      </c>
      <c r="J59" s="84"/>
    </row>
    <row r="60" spans="2:10">
      <c r="B60" s="76">
        <v>44932</v>
      </c>
      <c r="C60" s="77" t="s">
        <v>205</v>
      </c>
      <c r="D60" s="77" t="s">
        <v>176</v>
      </c>
      <c r="E60" s="80">
        <v>58</v>
      </c>
      <c r="F60" s="81">
        <v>39.97</v>
      </c>
      <c r="G60" s="82">
        <f t="shared" si="7"/>
        <v>13</v>
      </c>
      <c r="H60" s="82">
        <f t="shared" si="1"/>
        <v>0</v>
      </c>
      <c r="I60" s="82">
        <f t="shared" si="2"/>
        <v>0</v>
      </c>
      <c r="J60" s="86"/>
    </row>
    <row r="61" spans="2:10">
      <c r="B61" s="76">
        <v>44933</v>
      </c>
      <c r="C61" s="77" t="s">
        <v>205</v>
      </c>
      <c r="D61" s="77" t="s">
        <v>176</v>
      </c>
      <c r="E61" s="80">
        <v>59</v>
      </c>
      <c r="F61" s="81">
        <v>39.97</v>
      </c>
      <c r="G61" s="82">
        <f t="shared" si="7"/>
        <v>13</v>
      </c>
      <c r="H61" s="82">
        <f t="shared" si="1"/>
        <v>0</v>
      </c>
      <c r="I61" s="82">
        <f t="shared" si="2"/>
        <v>0</v>
      </c>
      <c r="J61" s="84"/>
    </row>
    <row r="62" spans="2:10">
      <c r="B62" s="76">
        <v>44934</v>
      </c>
      <c r="C62" s="77" t="s">
        <v>205</v>
      </c>
      <c r="D62" s="77" t="s">
        <v>176</v>
      </c>
      <c r="E62" s="80">
        <v>60</v>
      </c>
      <c r="F62" s="81">
        <v>39.97</v>
      </c>
      <c r="G62" s="82">
        <f t="shared" si="7"/>
        <v>13</v>
      </c>
      <c r="H62" s="82">
        <f t="shared" si="1"/>
        <v>0</v>
      </c>
      <c r="I62" s="82">
        <f t="shared" si="2"/>
        <v>0</v>
      </c>
      <c r="J62" s="86"/>
    </row>
    <row r="63" spans="2:10">
      <c r="B63" s="76">
        <v>44935</v>
      </c>
      <c r="C63" s="77" t="s">
        <v>209</v>
      </c>
      <c r="D63" s="77" t="s">
        <v>176</v>
      </c>
      <c r="E63" s="80">
        <v>61</v>
      </c>
      <c r="F63" s="81">
        <v>39.97</v>
      </c>
      <c r="G63" s="82">
        <f t="shared" si="7"/>
        <v>13</v>
      </c>
      <c r="H63" s="82">
        <f t="shared" si="1"/>
        <v>0</v>
      </c>
      <c r="I63" s="82">
        <f t="shared" si="2"/>
        <v>0</v>
      </c>
      <c r="J63" s="86"/>
    </row>
    <row r="64" spans="2:10">
      <c r="B64" s="76">
        <v>44936</v>
      </c>
      <c r="C64" s="77" t="s">
        <v>209</v>
      </c>
      <c r="D64" s="77" t="s">
        <v>176</v>
      </c>
      <c r="E64" s="80">
        <v>62</v>
      </c>
      <c r="F64" s="81">
        <v>39.97</v>
      </c>
      <c r="G64" s="82">
        <f t="shared" si="7"/>
        <v>13</v>
      </c>
      <c r="H64" s="82">
        <f t="shared" si="1"/>
        <v>0</v>
      </c>
      <c r="I64" s="82">
        <f t="shared" si="2"/>
        <v>0</v>
      </c>
      <c r="J64" s="86"/>
    </row>
    <row r="65" spans="2:10">
      <c r="B65" s="76">
        <v>44937</v>
      </c>
      <c r="C65" s="77" t="s">
        <v>209</v>
      </c>
      <c r="D65" s="77" t="s">
        <v>176</v>
      </c>
      <c r="E65" s="80">
        <v>63</v>
      </c>
      <c r="F65" s="81">
        <v>39.97</v>
      </c>
      <c r="G65" s="82">
        <f t="shared" si="7"/>
        <v>13</v>
      </c>
      <c r="H65" s="82">
        <f t="shared" si="1"/>
        <v>0</v>
      </c>
      <c r="I65" s="82">
        <f t="shared" si="2"/>
        <v>0</v>
      </c>
      <c r="J65" s="84"/>
    </row>
    <row r="66" spans="2:10">
      <c r="B66" s="76">
        <v>44938</v>
      </c>
      <c r="C66" s="77" t="s">
        <v>209</v>
      </c>
      <c r="D66" s="77" t="s">
        <v>177</v>
      </c>
      <c r="E66" s="80">
        <v>64</v>
      </c>
      <c r="F66" s="81">
        <v>39.97</v>
      </c>
      <c r="G66" s="82">
        <f t="shared" si="7"/>
        <v>13</v>
      </c>
      <c r="H66" s="82">
        <f t="shared" si="1"/>
        <v>0</v>
      </c>
      <c r="I66" s="82">
        <f t="shared" si="2"/>
        <v>0</v>
      </c>
      <c r="J66" s="86"/>
    </row>
    <row r="67" spans="2:10">
      <c r="B67" s="76">
        <v>44939</v>
      </c>
      <c r="C67" s="77" t="s">
        <v>209</v>
      </c>
      <c r="D67" s="77" t="s">
        <v>177</v>
      </c>
      <c r="E67" s="80">
        <v>65</v>
      </c>
      <c r="F67" s="81">
        <v>39.97</v>
      </c>
      <c r="G67" s="82">
        <f t="shared" si="7"/>
        <v>13</v>
      </c>
      <c r="H67" s="82">
        <f t="shared" si="1"/>
        <v>0</v>
      </c>
      <c r="I67" s="82">
        <f t="shared" si="2"/>
        <v>0</v>
      </c>
      <c r="J67" s="84"/>
    </row>
    <row r="68" spans="2:10">
      <c r="B68" s="76">
        <v>44940</v>
      </c>
      <c r="C68" s="77" t="s">
        <v>209</v>
      </c>
      <c r="D68" s="77" t="s">
        <v>177</v>
      </c>
      <c r="E68" s="80">
        <v>66</v>
      </c>
      <c r="F68" s="81">
        <v>39.97</v>
      </c>
      <c r="G68" s="82">
        <f t="shared" ref="G68:G92" si="8">VLOOKUP(D68,L:N,3,0)</f>
        <v>13</v>
      </c>
      <c r="H68" s="82">
        <f t="shared" ref="H68:H92" si="9">IF(I67&lt;0,0,I67)</f>
        <v>0</v>
      </c>
      <c r="I68" s="82">
        <f t="shared" ref="I68:I92" si="10">IF(H68-G68+J68&lt;0,0,H68-G68+J68)</f>
        <v>0</v>
      </c>
      <c r="J68" s="86"/>
    </row>
    <row r="69" spans="2:10">
      <c r="B69" s="76">
        <v>44941</v>
      </c>
      <c r="C69" s="77" t="s">
        <v>209</v>
      </c>
      <c r="D69" s="77" t="s">
        <v>177</v>
      </c>
      <c r="E69" s="80">
        <v>67</v>
      </c>
      <c r="F69" s="81">
        <v>39.97</v>
      </c>
      <c r="G69" s="82">
        <f t="shared" si="8"/>
        <v>13</v>
      </c>
      <c r="H69" s="82">
        <f t="shared" si="9"/>
        <v>0</v>
      </c>
      <c r="I69" s="82">
        <f t="shared" si="10"/>
        <v>0</v>
      </c>
      <c r="J69" s="84"/>
    </row>
    <row r="70" spans="2:10">
      <c r="B70" s="76">
        <v>44942</v>
      </c>
      <c r="C70" s="77" t="s">
        <v>209</v>
      </c>
      <c r="D70" s="77" t="s">
        <v>177</v>
      </c>
      <c r="E70" s="80">
        <v>68</v>
      </c>
      <c r="F70" s="81">
        <v>39.97</v>
      </c>
      <c r="G70" s="82">
        <f t="shared" si="8"/>
        <v>13</v>
      </c>
      <c r="H70" s="82">
        <f t="shared" si="9"/>
        <v>0</v>
      </c>
      <c r="I70" s="82">
        <f t="shared" si="10"/>
        <v>0</v>
      </c>
      <c r="J70" s="86"/>
    </row>
    <row r="71" spans="2:10">
      <c r="B71" s="76">
        <v>44943</v>
      </c>
      <c r="C71" s="77" t="s">
        <v>209</v>
      </c>
      <c r="D71" s="77" t="s">
        <v>177</v>
      </c>
      <c r="E71" s="80">
        <v>69</v>
      </c>
      <c r="F71" s="81">
        <v>39.97</v>
      </c>
      <c r="G71" s="82">
        <f t="shared" si="8"/>
        <v>13</v>
      </c>
      <c r="H71" s="82">
        <f t="shared" si="9"/>
        <v>0</v>
      </c>
      <c r="I71" s="82">
        <f t="shared" si="10"/>
        <v>0</v>
      </c>
      <c r="J71" s="84"/>
    </row>
    <row r="72" spans="2:10">
      <c r="B72" s="76">
        <v>44944</v>
      </c>
      <c r="C72" s="77" t="s">
        <v>209</v>
      </c>
      <c r="D72" s="77" t="s">
        <v>177</v>
      </c>
      <c r="E72" s="80">
        <v>70</v>
      </c>
      <c r="F72" s="81">
        <v>39.97</v>
      </c>
      <c r="G72" s="82">
        <f t="shared" si="8"/>
        <v>13</v>
      </c>
      <c r="H72" s="82">
        <f t="shared" si="9"/>
        <v>0</v>
      </c>
      <c r="I72" s="82">
        <f t="shared" si="10"/>
        <v>0</v>
      </c>
      <c r="J72" s="86"/>
    </row>
    <row r="73" spans="2:10">
      <c r="B73" s="76">
        <v>44945</v>
      </c>
      <c r="C73" s="77" t="s">
        <v>209</v>
      </c>
      <c r="D73" s="77" t="s">
        <v>178</v>
      </c>
      <c r="E73" s="80">
        <v>71</v>
      </c>
      <c r="F73" s="81">
        <v>39.97</v>
      </c>
      <c r="G73" s="82">
        <f t="shared" si="8"/>
        <v>16</v>
      </c>
      <c r="H73" s="82">
        <f t="shared" si="9"/>
        <v>0</v>
      </c>
      <c r="I73" s="82">
        <f t="shared" si="10"/>
        <v>0</v>
      </c>
      <c r="J73" s="84"/>
    </row>
    <row r="74" spans="2:10">
      <c r="B74" s="76">
        <v>44946</v>
      </c>
      <c r="C74" s="77" t="s">
        <v>209</v>
      </c>
      <c r="D74" s="77" t="s">
        <v>178</v>
      </c>
      <c r="E74" s="80">
        <v>72</v>
      </c>
      <c r="F74" s="81">
        <v>39.97</v>
      </c>
      <c r="G74" s="82">
        <f t="shared" si="8"/>
        <v>16</v>
      </c>
      <c r="H74" s="82">
        <f t="shared" si="9"/>
        <v>0</v>
      </c>
      <c r="I74" s="82">
        <f t="shared" si="10"/>
        <v>0</v>
      </c>
      <c r="J74" s="86"/>
    </row>
    <row r="75" spans="2:10">
      <c r="B75" s="76">
        <v>44947</v>
      </c>
      <c r="C75" s="77" t="s">
        <v>209</v>
      </c>
      <c r="D75" s="77" t="s">
        <v>178</v>
      </c>
      <c r="E75" s="80">
        <v>73</v>
      </c>
      <c r="F75" s="81">
        <v>39.97</v>
      </c>
      <c r="G75" s="82">
        <f t="shared" si="8"/>
        <v>16</v>
      </c>
      <c r="H75" s="82">
        <f t="shared" si="9"/>
        <v>0</v>
      </c>
      <c r="I75" s="82">
        <f t="shared" si="10"/>
        <v>0</v>
      </c>
      <c r="J75" s="84"/>
    </row>
    <row r="76" spans="2:10">
      <c r="B76" s="76">
        <v>44948</v>
      </c>
      <c r="C76" s="77" t="s">
        <v>209</v>
      </c>
      <c r="D76" s="77" t="s">
        <v>178</v>
      </c>
      <c r="E76" s="80">
        <v>74</v>
      </c>
      <c r="F76" s="81">
        <v>39.97</v>
      </c>
      <c r="G76" s="82">
        <f t="shared" si="8"/>
        <v>16</v>
      </c>
      <c r="H76" s="82">
        <f t="shared" si="9"/>
        <v>0</v>
      </c>
      <c r="I76" s="82">
        <f t="shared" si="10"/>
        <v>0</v>
      </c>
      <c r="J76" s="86"/>
    </row>
    <row r="77" spans="2:10">
      <c r="B77" s="76">
        <v>44949</v>
      </c>
      <c r="C77" s="77" t="s">
        <v>209</v>
      </c>
      <c r="D77" s="77" t="s">
        <v>178</v>
      </c>
      <c r="E77" s="80">
        <v>75</v>
      </c>
      <c r="F77" s="81">
        <v>39.97</v>
      </c>
      <c r="G77" s="82">
        <f t="shared" si="8"/>
        <v>16</v>
      </c>
      <c r="H77" s="82">
        <f t="shared" si="9"/>
        <v>0</v>
      </c>
      <c r="I77" s="82">
        <f t="shared" si="10"/>
        <v>0</v>
      </c>
      <c r="J77" s="84"/>
    </row>
    <row r="78" spans="2:10">
      <c r="B78" s="76">
        <v>44950</v>
      </c>
      <c r="C78" s="77" t="s">
        <v>209</v>
      </c>
      <c r="D78" s="77" t="s">
        <v>178</v>
      </c>
      <c r="E78" s="80">
        <v>76</v>
      </c>
      <c r="F78" s="81">
        <v>39.97</v>
      </c>
      <c r="G78" s="82">
        <f t="shared" si="8"/>
        <v>16</v>
      </c>
      <c r="H78" s="82">
        <f t="shared" si="9"/>
        <v>0</v>
      </c>
      <c r="I78" s="82">
        <f t="shared" si="10"/>
        <v>0</v>
      </c>
      <c r="J78" s="86"/>
    </row>
    <row r="79" spans="2:10">
      <c r="B79" s="76">
        <v>44951</v>
      </c>
      <c r="C79" s="77" t="s">
        <v>209</v>
      </c>
      <c r="D79" s="77" t="s">
        <v>178</v>
      </c>
      <c r="E79" s="80">
        <v>77</v>
      </c>
      <c r="F79" s="81">
        <v>39.97</v>
      </c>
      <c r="G79" s="82">
        <f t="shared" si="8"/>
        <v>16</v>
      </c>
      <c r="H79" s="82">
        <f t="shared" si="9"/>
        <v>0</v>
      </c>
      <c r="I79" s="82">
        <f t="shared" si="10"/>
        <v>0</v>
      </c>
      <c r="J79" s="84"/>
    </row>
    <row r="80" spans="2:10">
      <c r="B80" s="76">
        <v>44952</v>
      </c>
      <c r="C80" s="77" t="s">
        <v>209</v>
      </c>
      <c r="D80" s="77" t="s">
        <v>179</v>
      </c>
      <c r="E80" s="80">
        <v>78</v>
      </c>
      <c r="F80" s="81">
        <v>39.97</v>
      </c>
      <c r="G80" s="82">
        <f t="shared" si="8"/>
        <v>16</v>
      </c>
      <c r="H80" s="82">
        <f t="shared" si="9"/>
        <v>0</v>
      </c>
      <c r="I80" s="82">
        <f t="shared" si="10"/>
        <v>0</v>
      </c>
      <c r="J80" s="86"/>
    </row>
    <row r="81" spans="2:10">
      <c r="B81" s="76">
        <v>44953</v>
      </c>
      <c r="C81" s="77" t="s">
        <v>209</v>
      </c>
      <c r="D81" s="77" t="s">
        <v>179</v>
      </c>
      <c r="E81" s="80">
        <v>79</v>
      </c>
      <c r="F81" s="81">
        <v>39.97</v>
      </c>
      <c r="G81" s="82">
        <f t="shared" si="8"/>
        <v>16</v>
      </c>
      <c r="H81" s="82">
        <f t="shared" si="9"/>
        <v>0</v>
      </c>
      <c r="I81" s="82">
        <f t="shared" si="10"/>
        <v>0</v>
      </c>
      <c r="J81" s="84"/>
    </row>
    <row r="82" spans="2:10">
      <c r="B82" s="76">
        <v>44954</v>
      </c>
      <c r="C82" s="77" t="s">
        <v>209</v>
      </c>
      <c r="D82" s="77" t="s">
        <v>179</v>
      </c>
      <c r="E82" s="80">
        <v>80</v>
      </c>
      <c r="F82" s="81">
        <v>39.97</v>
      </c>
      <c r="G82" s="82">
        <f t="shared" si="8"/>
        <v>16</v>
      </c>
      <c r="H82" s="82">
        <f t="shared" si="9"/>
        <v>0</v>
      </c>
      <c r="I82" s="82">
        <f t="shared" si="10"/>
        <v>0</v>
      </c>
      <c r="J82" s="86"/>
    </row>
    <row r="83" spans="2:10">
      <c r="B83" s="76">
        <v>44955</v>
      </c>
      <c r="C83" s="77" t="s">
        <v>209</v>
      </c>
      <c r="D83" s="77" t="s">
        <v>179</v>
      </c>
      <c r="E83" s="80">
        <v>81</v>
      </c>
      <c r="F83" s="81">
        <v>39.97</v>
      </c>
      <c r="G83" s="82">
        <f t="shared" si="8"/>
        <v>16</v>
      </c>
      <c r="H83" s="82">
        <f t="shared" si="9"/>
        <v>0</v>
      </c>
      <c r="I83" s="82">
        <f t="shared" si="10"/>
        <v>0</v>
      </c>
      <c r="J83" s="84"/>
    </row>
    <row r="84" spans="2:10">
      <c r="B84" s="76">
        <v>44956</v>
      </c>
      <c r="C84" s="77" t="s">
        <v>209</v>
      </c>
      <c r="D84" s="77" t="s">
        <v>179</v>
      </c>
      <c r="E84" s="80">
        <v>82</v>
      </c>
      <c r="F84" s="81">
        <v>39.97</v>
      </c>
      <c r="G84" s="82">
        <f t="shared" si="8"/>
        <v>16</v>
      </c>
      <c r="H84" s="82">
        <f t="shared" si="9"/>
        <v>0</v>
      </c>
      <c r="I84" s="82">
        <f t="shared" si="10"/>
        <v>0</v>
      </c>
      <c r="J84" s="86"/>
    </row>
    <row r="85" spans="2:10">
      <c r="B85" s="76">
        <v>44957</v>
      </c>
      <c r="C85" s="77" t="s">
        <v>209</v>
      </c>
      <c r="D85" s="77" t="s">
        <v>179</v>
      </c>
      <c r="E85" s="80">
        <v>83</v>
      </c>
      <c r="F85" s="81">
        <v>39.97</v>
      </c>
      <c r="G85" s="82">
        <f t="shared" si="8"/>
        <v>16</v>
      </c>
      <c r="H85" s="82">
        <f t="shared" si="9"/>
        <v>0</v>
      </c>
      <c r="I85" s="82">
        <f t="shared" si="10"/>
        <v>0</v>
      </c>
      <c r="J85" s="84"/>
    </row>
    <row r="86" ht="17.25" spans="2:10">
      <c r="B86" s="76">
        <v>44958</v>
      </c>
      <c r="C86" s="77" t="s">
        <v>209</v>
      </c>
      <c r="D86" s="77" t="s">
        <v>179</v>
      </c>
      <c r="E86" s="80">
        <v>84</v>
      </c>
      <c r="F86" s="81">
        <v>39.97</v>
      </c>
      <c r="G86" s="82">
        <f t="shared" si="8"/>
        <v>16</v>
      </c>
      <c r="H86" s="82">
        <f t="shared" si="9"/>
        <v>0</v>
      </c>
      <c r="I86" s="82">
        <f t="shared" si="10"/>
        <v>0</v>
      </c>
      <c r="J86" s="5"/>
    </row>
    <row r="87" ht="17.25" spans="2:10">
      <c r="B87" s="76">
        <v>44959</v>
      </c>
      <c r="C87" s="77" t="s">
        <v>209</v>
      </c>
      <c r="D87" s="77" t="s">
        <v>180</v>
      </c>
      <c r="E87" s="80">
        <v>85</v>
      </c>
      <c r="F87" s="81">
        <v>39.97</v>
      </c>
      <c r="G87" s="82">
        <f t="shared" si="8"/>
        <v>25</v>
      </c>
      <c r="H87" s="82">
        <f t="shared" si="9"/>
        <v>0</v>
      </c>
      <c r="I87" s="82">
        <f t="shared" si="10"/>
        <v>0</v>
      </c>
      <c r="J87" s="5"/>
    </row>
    <row r="88" ht="17.25" spans="2:10">
      <c r="B88" s="76">
        <v>44960</v>
      </c>
      <c r="C88" s="77" t="s">
        <v>209</v>
      </c>
      <c r="D88" s="77" t="s">
        <v>180</v>
      </c>
      <c r="E88" s="80">
        <v>86</v>
      </c>
      <c r="F88" s="81">
        <v>39.97</v>
      </c>
      <c r="G88" s="82">
        <f t="shared" si="8"/>
        <v>25</v>
      </c>
      <c r="H88" s="82">
        <f t="shared" si="9"/>
        <v>0</v>
      </c>
      <c r="I88" s="82">
        <f t="shared" si="10"/>
        <v>0</v>
      </c>
      <c r="J88" s="5"/>
    </row>
    <row r="89" ht="17.25" spans="2:10">
      <c r="B89" s="76">
        <v>44961</v>
      </c>
      <c r="C89" s="77" t="s">
        <v>209</v>
      </c>
      <c r="D89" s="77" t="s">
        <v>180</v>
      </c>
      <c r="E89" s="80">
        <v>87</v>
      </c>
      <c r="F89" s="81">
        <v>39.97</v>
      </c>
      <c r="G89" s="82">
        <f t="shared" si="8"/>
        <v>25</v>
      </c>
      <c r="H89" s="82">
        <f t="shared" si="9"/>
        <v>0</v>
      </c>
      <c r="I89" s="82">
        <f t="shared" si="10"/>
        <v>0</v>
      </c>
      <c r="J89" s="5"/>
    </row>
    <row r="90" ht="17.25" spans="2:10">
      <c r="B90" s="76">
        <v>44962</v>
      </c>
      <c r="C90" s="77" t="s">
        <v>209</v>
      </c>
      <c r="D90" s="77" t="s">
        <v>180</v>
      </c>
      <c r="E90" s="80">
        <v>88</v>
      </c>
      <c r="F90" s="81">
        <v>39.97</v>
      </c>
      <c r="G90" s="82">
        <f t="shared" si="8"/>
        <v>25</v>
      </c>
      <c r="H90" s="82">
        <f t="shared" si="9"/>
        <v>0</v>
      </c>
      <c r="I90" s="82">
        <f t="shared" si="10"/>
        <v>0</v>
      </c>
      <c r="J90" s="5"/>
    </row>
    <row r="91" ht="17.25" spans="2:10">
      <c r="B91" s="76">
        <v>44963</v>
      </c>
      <c r="C91" s="77" t="s">
        <v>209</v>
      </c>
      <c r="D91" s="77" t="s">
        <v>180</v>
      </c>
      <c r="E91" s="80">
        <v>89</v>
      </c>
      <c r="F91" s="81">
        <v>39.97</v>
      </c>
      <c r="G91" s="82">
        <f t="shared" si="8"/>
        <v>25</v>
      </c>
      <c r="H91" s="82">
        <f t="shared" si="9"/>
        <v>0</v>
      </c>
      <c r="I91" s="82">
        <f t="shared" si="10"/>
        <v>0</v>
      </c>
      <c r="J91" s="5"/>
    </row>
    <row r="92" ht="17.25" spans="2:10">
      <c r="B92" s="76">
        <v>44964</v>
      </c>
      <c r="C92" s="77" t="s">
        <v>209</v>
      </c>
      <c r="D92" s="77" t="s">
        <v>180</v>
      </c>
      <c r="E92" s="80">
        <v>90</v>
      </c>
      <c r="F92" s="81">
        <v>39.97</v>
      </c>
      <c r="G92" s="82">
        <f t="shared" si="8"/>
        <v>25</v>
      </c>
      <c r="H92" s="82">
        <f t="shared" si="9"/>
        <v>0</v>
      </c>
      <c r="I92" s="82">
        <f t="shared" si="10"/>
        <v>0</v>
      </c>
      <c r="J92" s="5"/>
    </row>
  </sheetData>
  <sheetProtection formatCells="0" insertHyperlinks="0" autoFilter="0"/>
  <mergeCells count="3">
    <mergeCell ref="L2:O2"/>
    <mergeCell ref="L19:U19"/>
    <mergeCell ref="L26:N26"/>
  </mergeCells>
  <conditionalFormatting sqref="I3:I92">
    <cfRule type="cellIs" dxfId="0" priority="1" operator="lessThan">
      <formula>10</formula>
    </cfRule>
  </conditionalFormatting>
  <dataValidations count="1">
    <dataValidation type="list" allowBlank="1" showInputMessage="1" showErrorMessage="1" sqref="O21:O24">
      <formula1>$L$29:$L$33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42"/>
  <sheetViews>
    <sheetView showGridLines="0" tabSelected="1" topLeftCell="A16" workbookViewId="0">
      <selection activeCell="H30" sqref="H30:L42"/>
    </sheetView>
  </sheetViews>
  <sheetFormatPr defaultColWidth="9" defaultRowHeight="13.5"/>
  <cols>
    <col min="1" max="1" width="2.25" customWidth="1"/>
    <col min="2" max="2" width="11.625" customWidth="1"/>
    <col min="3" max="3" width="13.125" customWidth="1"/>
    <col min="4" max="8" width="8.875" customWidth="1"/>
    <col min="9" max="9" width="13.75" customWidth="1"/>
    <col min="10" max="12" width="8.875" customWidth="1"/>
    <col min="13" max="14" width="8.125" customWidth="1"/>
    <col min="15" max="15" width="8" customWidth="1"/>
    <col min="16" max="16" width="7" customWidth="1"/>
    <col min="17" max="19" width="8.875" customWidth="1"/>
    <col min="20" max="20" width="8.125" customWidth="1"/>
    <col min="21" max="21" width="8" customWidth="1"/>
    <col min="22" max="22" width="8.875" customWidth="1"/>
    <col min="23" max="23" width="12.875" customWidth="1"/>
    <col min="24" max="25" width="8.875" customWidth="1"/>
    <col min="26" max="26" width="8.125" customWidth="1"/>
    <col min="27" max="27" width="12.875" customWidth="1"/>
    <col min="28" max="28" width="18.875" customWidth="1"/>
  </cols>
  <sheetData>
    <row r="2" ht="22.5" spans="2:28">
      <c r="B2" s="31">
        <v>1</v>
      </c>
      <c r="C2" s="32" t="s">
        <v>210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72"/>
      <c r="P2" s="46"/>
      <c r="V2" s="46"/>
      <c r="AB2" s="46"/>
    </row>
    <row r="3" ht="16.5" spans="2:28">
      <c r="B3" s="34" t="s">
        <v>211</v>
      </c>
      <c r="C3" s="35" t="s">
        <v>212</v>
      </c>
      <c r="D3" s="36"/>
      <c r="E3" s="36"/>
      <c r="F3" s="36"/>
      <c r="G3" s="36"/>
      <c r="H3" s="36"/>
      <c r="I3" s="36"/>
      <c r="J3" s="36"/>
      <c r="K3" s="36"/>
      <c r="L3" s="68"/>
      <c r="M3" s="68"/>
      <c r="N3" s="70" t="s">
        <v>138</v>
      </c>
      <c r="O3" s="71" t="s">
        <v>77</v>
      </c>
      <c r="P3" s="46"/>
      <c r="V3" s="46"/>
      <c r="AB3" s="46"/>
    </row>
    <row r="4" ht="16.5" spans="2:28">
      <c r="B4" s="34"/>
      <c r="C4" s="37" t="s">
        <v>213</v>
      </c>
      <c r="D4" s="37" t="s">
        <v>214</v>
      </c>
      <c r="E4" s="37" t="s">
        <v>215</v>
      </c>
      <c r="F4" s="37" t="s">
        <v>216</v>
      </c>
      <c r="G4" s="37" t="s">
        <v>217</v>
      </c>
      <c r="H4" s="37" t="s">
        <v>218</v>
      </c>
      <c r="I4" s="37" t="s">
        <v>219</v>
      </c>
      <c r="J4" s="37" t="s">
        <v>220</v>
      </c>
      <c r="K4" s="37" t="s">
        <v>221</v>
      </c>
      <c r="L4" s="37" t="s">
        <v>222</v>
      </c>
      <c r="M4" s="37" t="s">
        <v>223</v>
      </c>
      <c r="N4" s="70"/>
      <c r="O4" s="71"/>
      <c r="P4" s="46"/>
      <c r="V4" s="46"/>
      <c r="AB4" s="46"/>
    </row>
    <row r="5" ht="16.5" spans="2:28">
      <c r="B5" s="38">
        <f>B6-$B$2</f>
        <v>35.97</v>
      </c>
      <c r="C5" s="39">
        <f t="shared" ref="C5:C14" si="0">$E$19</f>
        <v>9.72790074721556</v>
      </c>
      <c r="D5" s="40">
        <f t="shared" ref="D5:D14" si="1">C5/B5*100%</f>
        <v>0.270444835897013</v>
      </c>
      <c r="E5" s="39">
        <f t="shared" ref="E5:E14" si="2">$E$20</f>
        <v>1.28577470745806</v>
      </c>
      <c r="F5" s="40">
        <f t="shared" ref="F5:F14" si="3">E5/B5*100%</f>
        <v>0.0357457522229096</v>
      </c>
      <c r="G5" s="53">
        <f t="shared" ref="G5:G14" si="4">$C$36</f>
        <v>5.4</v>
      </c>
      <c r="H5" s="39">
        <f t="shared" ref="H5:H14" si="5">B5*0.15</f>
        <v>5.3955</v>
      </c>
      <c r="I5" s="39">
        <v>0</v>
      </c>
      <c r="J5" s="39">
        <v>0</v>
      </c>
      <c r="K5" s="39">
        <f t="shared" ref="K5:K14" si="6">B5*0.03</f>
        <v>1.0791</v>
      </c>
      <c r="L5" s="39">
        <f>B5*$C$29</f>
        <v>0.7194</v>
      </c>
      <c r="M5" s="39">
        <v>0</v>
      </c>
      <c r="N5" s="39">
        <f t="shared" ref="N5:N14" si="7">B5-C5-E5-G5-H5-J5-K5-L5-I5-M5</f>
        <v>12.3623245453264</v>
      </c>
      <c r="O5" s="40">
        <f t="shared" ref="O5:O14" si="8">N5/B5</f>
        <v>0.343684307626533</v>
      </c>
      <c r="P5" s="46"/>
      <c r="V5" s="46"/>
      <c r="AB5" s="46"/>
    </row>
    <row r="6" ht="16.5" spans="2:28">
      <c r="B6" s="38">
        <f>B7-$B$2</f>
        <v>36.97</v>
      </c>
      <c r="C6" s="39">
        <f t="shared" si="0"/>
        <v>9.72790074721556</v>
      </c>
      <c r="D6" s="40">
        <f t="shared" si="1"/>
        <v>0.263129584723169</v>
      </c>
      <c r="E6" s="39">
        <f t="shared" si="2"/>
        <v>1.28577470745806</v>
      </c>
      <c r="F6" s="40">
        <f t="shared" si="3"/>
        <v>0.0347788668503668</v>
      </c>
      <c r="G6" s="53">
        <f t="shared" si="4"/>
        <v>5.4</v>
      </c>
      <c r="H6" s="39">
        <f t="shared" si="5"/>
        <v>5.5455</v>
      </c>
      <c r="I6" s="39">
        <v>0</v>
      </c>
      <c r="J6" s="39">
        <v>0</v>
      </c>
      <c r="K6" s="39">
        <f t="shared" si="6"/>
        <v>1.1091</v>
      </c>
      <c r="L6" s="39">
        <f t="shared" ref="L6:L14" si="9">B6*$C$29</f>
        <v>0.7394</v>
      </c>
      <c r="M6" s="39">
        <v>0</v>
      </c>
      <c r="N6" s="39">
        <f t="shared" si="7"/>
        <v>13.1623245453264</v>
      </c>
      <c r="O6" s="40">
        <f t="shared" si="8"/>
        <v>0.35602717190496</v>
      </c>
      <c r="P6" s="46"/>
      <c r="V6" s="46"/>
      <c r="AB6" s="46"/>
    </row>
    <row r="7" ht="16.5" spans="2:28">
      <c r="B7" s="38">
        <f>B8-$B$2</f>
        <v>37.97</v>
      </c>
      <c r="C7" s="39">
        <f t="shared" si="0"/>
        <v>9.72790074721556</v>
      </c>
      <c r="D7" s="40">
        <f t="shared" si="1"/>
        <v>0.256199650966962</v>
      </c>
      <c r="E7" s="39">
        <f t="shared" si="2"/>
        <v>1.28577470745806</v>
      </c>
      <c r="F7" s="40">
        <f t="shared" si="3"/>
        <v>0.0338629103886769</v>
      </c>
      <c r="G7" s="53">
        <f t="shared" si="4"/>
        <v>5.4</v>
      </c>
      <c r="H7" s="39">
        <f t="shared" si="5"/>
        <v>5.6955</v>
      </c>
      <c r="I7" s="39">
        <v>0</v>
      </c>
      <c r="J7" s="39">
        <v>0</v>
      </c>
      <c r="K7" s="39">
        <f t="shared" si="6"/>
        <v>1.1391</v>
      </c>
      <c r="L7" s="39">
        <f t="shared" si="9"/>
        <v>0.7594</v>
      </c>
      <c r="M7" s="39">
        <v>0</v>
      </c>
      <c r="N7" s="39">
        <f t="shared" si="7"/>
        <v>13.9623245453264</v>
      </c>
      <c r="O7" s="40">
        <f t="shared" si="8"/>
        <v>0.367719898481074</v>
      </c>
      <c r="P7" s="46"/>
      <c r="V7" s="46"/>
      <c r="AB7" s="46"/>
    </row>
    <row r="8" ht="16.5" spans="2:28">
      <c r="B8" s="38">
        <f>B9-$B$2</f>
        <v>38.97</v>
      </c>
      <c r="C8" s="39">
        <f t="shared" si="0"/>
        <v>9.72790074721556</v>
      </c>
      <c r="D8" s="40">
        <f t="shared" si="1"/>
        <v>0.249625372009637</v>
      </c>
      <c r="E8" s="39">
        <f t="shared" si="2"/>
        <v>1.28577470745806</v>
      </c>
      <c r="F8" s="40">
        <f t="shared" si="3"/>
        <v>0.0329939622134478</v>
      </c>
      <c r="G8" s="53">
        <f t="shared" si="4"/>
        <v>5.4</v>
      </c>
      <c r="H8" s="39">
        <f t="shared" si="5"/>
        <v>5.8455</v>
      </c>
      <c r="I8" s="39">
        <v>0</v>
      </c>
      <c r="J8" s="39">
        <v>0</v>
      </c>
      <c r="K8" s="39">
        <f t="shared" si="6"/>
        <v>1.1691</v>
      </c>
      <c r="L8" s="39">
        <f t="shared" si="9"/>
        <v>0.7794</v>
      </c>
      <c r="M8" s="39">
        <v>0</v>
      </c>
      <c r="N8" s="39">
        <f t="shared" si="7"/>
        <v>14.7623245453264</v>
      </c>
      <c r="O8" s="40">
        <f t="shared" si="8"/>
        <v>0.378812536446661</v>
      </c>
      <c r="P8" s="46"/>
      <c r="V8" s="46"/>
      <c r="AB8" s="46"/>
    </row>
    <row r="9" ht="16.5" spans="2:28">
      <c r="B9" s="41">
        <f>B17</f>
        <v>39.97</v>
      </c>
      <c r="C9" s="42">
        <f t="shared" si="0"/>
        <v>9.72790074721556</v>
      </c>
      <c r="D9" s="43">
        <f t="shared" si="1"/>
        <v>0.24338005372068</v>
      </c>
      <c r="E9" s="42">
        <f t="shared" si="2"/>
        <v>1.28577470745806</v>
      </c>
      <c r="F9" s="43">
        <f t="shared" si="3"/>
        <v>0.0321684940569942</v>
      </c>
      <c r="G9" s="65">
        <f t="shared" si="4"/>
        <v>5.4</v>
      </c>
      <c r="H9" s="42">
        <f t="shared" si="5"/>
        <v>5.9955</v>
      </c>
      <c r="I9" s="42">
        <v>0</v>
      </c>
      <c r="J9" s="42">
        <v>0</v>
      </c>
      <c r="K9" s="42">
        <f t="shared" si="6"/>
        <v>1.1991</v>
      </c>
      <c r="L9" s="42">
        <f t="shared" si="9"/>
        <v>0.7994</v>
      </c>
      <c r="M9" s="42">
        <v>0</v>
      </c>
      <c r="N9" s="42">
        <f t="shared" si="7"/>
        <v>15.5623245453264</v>
      </c>
      <c r="O9" s="43">
        <f t="shared" si="8"/>
        <v>0.38935012622783</v>
      </c>
      <c r="P9" s="46"/>
      <c r="V9" s="46"/>
      <c r="AB9" s="46"/>
    </row>
    <row r="10" ht="16.5" spans="2:28">
      <c r="B10" s="38">
        <f>B9+$B$2</f>
        <v>40.97</v>
      </c>
      <c r="C10" s="39">
        <f t="shared" si="0"/>
        <v>9.72790074721556</v>
      </c>
      <c r="D10" s="40">
        <f t="shared" si="1"/>
        <v>0.237439608181976</v>
      </c>
      <c r="E10" s="39">
        <f t="shared" si="2"/>
        <v>1.28577470745806</v>
      </c>
      <c r="F10" s="40">
        <f t="shared" si="3"/>
        <v>0.0313833221249221</v>
      </c>
      <c r="G10" s="53">
        <f t="shared" si="4"/>
        <v>5.4</v>
      </c>
      <c r="H10" s="39">
        <f t="shared" si="5"/>
        <v>6.1455</v>
      </c>
      <c r="I10" s="39">
        <v>0</v>
      </c>
      <c r="J10" s="39">
        <v>0</v>
      </c>
      <c r="K10" s="39">
        <f t="shared" si="6"/>
        <v>1.2291</v>
      </c>
      <c r="L10" s="39">
        <f t="shared" si="9"/>
        <v>0.8194</v>
      </c>
      <c r="M10" s="39">
        <v>0</v>
      </c>
      <c r="N10" s="39">
        <f t="shared" si="7"/>
        <v>16.3623245453264</v>
      </c>
      <c r="O10" s="40">
        <f t="shared" si="8"/>
        <v>0.399373310845164</v>
      </c>
      <c r="P10" s="46"/>
      <c r="V10" s="46"/>
      <c r="AB10" s="46"/>
    </row>
    <row r="11" ht="16.5" spans="2:28">
      <c r="B11" s="38">
        <f>B10+$B$2</f>
        <v>41.97</v>
      </c>
      <c r="C11" s="39">
        <f t="shared" si="0"/>
        <v>9.72790074721556</v>
      </c>
      <c r="D11" s="40">
        <f t="shared" si="1"/>
        <v>0.231782243202658</v>
      </c>
      <c r="E11" s="39">
        <f t="shared" si="2"/>
        <v>1.28577470745806</v>
      </c>
      <c r="F11" s="40">
        <f t="shared" si="3"/>
        <v>0.0306355660580905</v>
      </c>
      <c r="G11" s="39">
        <f t="shared" si="4"/>
        <v>5.4</v>
      </c>
      <c r="H11" s="39">
        <f t="shared" si="5"/>
        <v>6.2955</v>
      </c>
      <c r="I11" s="39">
        <v>0</v>
      </c>
      <c r="J11" s="39">
        <v>0</v>
      </c>
      <c r="K11" s="39">
        <f t="shared" si="6"/>
        <v>1.2591</v>
      </c>
      <c r="L11" s="39">
        <f t="shared" si="9"/>
        <v>0.8394</v>
      </c>
      <c r="M11" s="39">
        <v>0</v>
      </c>
      <c r="N11" s="39">
        <f t="shared" si="7"/>
        <v>17.1623245453264</v>
      </c>
      <c r="O11" s="40">
        <f t="shared" si="8"/>
        <v>0.408918859788572</v>
      </c>
      <c r="P11" s="73"/>
      <c r="V11" s="73"/>
      <c r="AB11" s="46"/>
    </row>
    <row r="12" ht="16.5" spans="2:28">
      <c r="B12" s="38">
        <f>B11+$B$2</f>
        <v>42.97</v>
      </c>
      <c r="C12" s="39">
        <f t="shared" si="0"/>
        <v>9.72790074721556</v>
      </c>
      <c r="D12" s="40">
        <f t="shared" si="1"/>
        <v>0.226388195187702</v>
      </c>
      <c r="E12" s="39">
        <f t="shared" si="2"/>
        <v>1.28577470745806</v>
      </c>
      <c r="F12" s="40">
        <f t="shared" si="3"/>
        <v>0.0299226136248094</v>
      </c>
      <c r="G12" s="53">
        <f t="shared" si="4"/>
        <v>5.4</v>
      </c>
      <c r="H12" s="39">
        <f t="shared" si="5"/>
        <v>6.4455</v>
      </c>
      <c r="I12" s="39">
        <v>0</v>
      </c>
      <c r="J12" s="39">
        <v>0</v>
      </c>
      <c r="K12" s="39">
        <f t="shared" si="6"/>
        <v>1.2891</v>
      </c>
      <c r="L12" s="39">
        <f t="shared" si="9"/>
        <v>0.8594</v>
      </c>
      <c r="M12" s="39">
        <v>0</v>
      </c>
      <c r="N12" s="39">
        <f t="shared" si="7"/>
        <v>17.9623245453264</v>
      </c>
      <c r="O12" s="40">
        <f t="shared" si="8"/>
        <v>0.418020119742294</v>
      </c>
      <c r="P12" s="73"/>
      <c r="V12" s="73"/>
      <c r="AB12" s="46"/>
    </row>
    <row r="13" ht="16.5" spans="2:28">
      <c r="B13" s="38">
        <f>B12+$B$2</f>
        <v>43.97</v>
      </c>
      <c r="C13" s="39">
        <f t="shared" si="0"/>
        <v>9.72790074721556</v>
      </c>
      <c r="D13" s="40">
        <f t="shared" si="1"/>
        <v>0.221239498458393</v>
      </c>
      <c r="E13" s="39">
        <f t="shared" si="2"/>
        <v>1.28577470745806</v>
      </c>
      <c r="F13" s="40">
        <f t="shared" si="3"/>
        <v>0.0292420902310225</v>
      </c>
      <c r="G13" s="53">
        <f t="shared" si="4"/>
        <v>5.4</v>
      </c>
      <c r="H13" s="39">
        <f t="shared" si="5"/>
        <v>6.5955</v>
      </c>
      <c r="I13" s="39">
        <v>0</v>
      </c>
      <c r="J13" s="39">
        <v>0</v>
      </c>
      <c r="K13" s="39">
        <f t="shared" si="6"/>
        <v>1.3191</v>
      </c>
      <c r="L13" s="39">
        <f t="shared" si="9"/>
        <v>0.8794</v>
      </c>
      <c r="M13" s="39">
        <v>0</v>
      </c>
      <c r="N13" s="39">
        <f t="shared" si="7"/>
        <v>18.7623245453264</v>
      </c>
      <c r="O13" s="40">
        <f t="shared" si="8"/>
        <v>0.426707403805467</v>
      </c>
      <c r="P13" s="73"/>
      <c r="V13" s="73"/>
      <c r="AB13" s="46"/>
    </row>
    <row r="14" ht="16.5" spans="2:28">
      <c r="B14" s="38">
        <f>B13+$B$2</f>
        <v>44.97</v>
      </c>
      <c r="C14" s="44">
        <f t="shared" si="0"/>
        <v>9.72790074721556</v>
      </c>
      <c r="D14" s="45">
        <f t="shared" si="1"/>
        <v>0.21631978535058</v>
      </c>
      <c r="E14" s="44">
        <f t="shared" si="2"/>
        <v>1.28577470745806</v>
      </c>
      <c r="F14" s="45">
        <f t="shared" si="3"/>
        <v>0.0285918324985115</v>
      </c>
      <c r="G14" s="53">
        <f t="shared" si="4"/>
        <v>5.4</v>
      </c>
      <c r="H14" s="44">
        <f t="shared" si="5"/>
        <v>6.7455</v>
      </c>
      <c r="I14" s="44">
        <v>0</v>
      </c>
      <c r="J14" s="44">
        <v>0</v>
      </c>
      <c r="K14" s="44">
        <f t="shared" si="6"/>
        <v>1.3491</v>
      </c>
      <c r="L14" s="39">
        <f t="shared" si="9"/>
        <v>0.8994</v>
      </c>
      <c r="M14" s="39">
        <v>0</v>
      </c>
      <c r="N14" s="39">
        <f t="shared" si="7"/>
        <v>19.5623245453264</v>
      </c>
      <c r="O14" s="45">
        <f t="shared" si="8"/>
        <v>0.435008328781997</v>
      </c>
      <c r="P14" s="73"/>
      <c r="V14" s="73"/>
      <c r="AB14" s="46"/>
    </row>
    <row r="15" ht="16.5" spans="2:28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22.5" spans="2:28">
      <c r="B16" s="47" t="s">
        <v>224</v>
      </c>
      <c r="C16" s="46"/>
      <c r="D16" s="46"/>
      <c r="E16" s="46"/>
      <c r="F16" s="46"/>
      <c r="G16" s="46"/>
      <c r="H16" s="66" t="s">
        <v>225</v>
      </c>
      <c r="I16" s="66"/>
      <c r="J16" s="66"/>
      <c r="K16" s="66"/>
      <c r="L16" s="69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ht="22.5" spans="2:28">
      <c r="B17" s="48">
        <v>39.97</v>
      </c>
      <c r="C17" s="46"/>
      <c r="D17" s="46"/>
      <c r="E17" s="46"/>
      <c r="F17" s="46"/>
      <c r="G17" s="46"/>
      <c r="H17" s="36"/>
      <c r="I17" s="36"/>
      <c r="J17" s="36"/>
      <c r="K17" s="70" t="s">
        <v>138</v>
      </c>
      <c r="L17" s="71" t="s">
        <v>77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ht="16.5" spans="2:28">
      <c r="B18" s="49"/>
      <c r="C18" s="50" t="s">
        <v>202</v>
      </c>
      <c r="D18" s="50"/>
      <c r="E18" s="50" t="s">
        <v>226</v>
      </c>
      <c r="F18" s="46"/>
      <c r="G18" s="46"/>
      <c r="H18" s="37" t="s">
        <v>214</v>
      </c>
      <c r="I18" s="37" t="s">
        <v>215</v>
      </c>
      <c r="J18" s="37" t="s">
        <v>216</v>
      </c>
      <c r="K18" s="70"/>
      <c r="L18" s="71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ht="16.5" spans="2:28">
      <c r="B19" s="51" t="s">
        <v>213</v>
      </c>
      <c r="C19" s="52">
        <v>69</v>
      </c>
      <c r="D19" s="53"/>
      <c r="E19" s="53">
        <f t="shared" ref="E19:E22" si="10">C19/$C$23</f>
        <v>9.72790074721556</v>
      </c>
      <c r="F19" s="46"/>
      <c r="G19" s="46"/>
      <c r="H19" s="40">
        <f t="shared" ref="H19:H28" si="11">C5/B5*100%</f>
        <v>0.270444835897013</v>
      </c>
      <c r="I19" s="39">
        <f t="shared" ref="I19:I28" si="12">$E$21</f>
        <v>4.17876779923869</v>
      </c>
      <c r="J19" s="40">
        <f t="shared" ref="J19:J28" si="13">I19/B5*100%</f>
        <v>0.116173694724456</v>
      </c>
      <c r="K19" s="39">
        <f t="shared" ref="K19:K28" si="14">B5-C5-I19-G5-H5--J5-K5-L5-I5-M5</f>
        <v>9.46933145354575</v>
      </c>
      <c r="L19" s="40">
        <f t="shared" ref="L19:L28" si="15">K19/B5</f>
        <v>0.263256365124986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ht="16.5" spans="2:28">
      <c r="B20" s="39" t="s">
        <v>227</v>
      </c>
      <c r="C20" s="54">
        <f>MAX(C28*C32,C27*C32)</f>
        <v>9.12</v>
      </c>
      <c r="D20" s="53"/>
      <c r="E20" s="53">
        <f t="shared" si="10"/>
        <v>1.28577470745806</v>
      </c>
      <c r="F20" s="46"/>
      <c r="G20" s="46"/>
      <c r="H20" s="40">
        <f t="shared" si="11"/>
        <v>0.263129584723169</v>
      </c>
      <c r="I20" s="39">
        <f t="shared" si="12"/>
        <v>4.17876779923869</v>
      </c>
      <c r="J20" s="40">
        <f t="shared" si="13"/>
        <v>0.113031317263692</v>
      </c>
      <c r="K20" s="39">
        <f t="shared" si="14"/>
        <v>10.2693314535458</v>
      </c>
      <c r="L20" s="40">
        <f t="shared" si="15"/>
        <v>0.277774721491635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ht="16.5" spans="2:28">
      <c r="B21" s="55" t="s">
        <v>228</v>
      </c>
      <c r="C21" s="54">
        <f>MAX(C27*C33,C28*C33)</f>
        <v>29.64</v>
      </c>
      <c r="D21" s="53"/>
      <c r="E21" s="53">
        <f t="shared" si="10"/>
        <v>4.17876779923869</v>
      </c>
      <c r="F21" s="46"/>
      <c r="G21" s="46"/>
      <c r="H21" s="40">
        <f t="shared" si="11"/>
        <v>0.256199650966962</v>
      </c>
      <c r="I21" s="39">
        <f t="shared" si="12"/>
        <v>4.17876779923869</v>
      </c>
      <c r="J21" s="40">
        <f t="shared" si="13"/>
        <v>0.1100544587632</v>
      </c>
      <c r="K21" s="39">
        <f t="shared" si="14"/>
        <v>11.0693314535458</v>
      </c>
      <c r="L21" s="40">
        <f t="shared" si="15"/>
        <v>0.291528350106551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ht="16.5" spans="2:28">
      <c r="B22" s="55" t="s">
        <v>229</v>
      </c>
      <c r="C22" s="54">
        <f>MAX(C34*C27,C34*C28)</f>
        <v>34.2</v>
      </c>
      <c r="D22" s="53"/>
      <c r="E22" s="53">
        <f t="shared" si="10"/>
        <v>4.82165515296771</v>
      </c>
      <c r="F22" s="46"/>
      <c r="G22" s="46"/>
      <c r="H22" s="40">
        <f t="shared" si="11"/>
        <v>0.249625372009637</v>
      </c>
      <c r="I22" s="39">
        <f t="shared" si="12"/>
        <v>4.17876779923869</v>
      </c>
      <c r="J22" s="40">
        <f t="shared" si="13"/>
        <v>0.107230377193705</v>
      </c>
      <c r="K22" s="39">
        <f t="shared" si="14"/>
        <v>11.8693314535457</v>
      </c>
      <c r="L22" s="40">
        <f t="shared" si="15"/>
        <v>0.304576121466404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ht="16.5" spans="2:28">
      <c r="B23" s="56" t="s">
        <v>19</v>
      </c>
      <c r="C23" s="56">
        <v>7.093</v>
      </c>
      <c r="D23" s="57"/>
      <c r="E23" s="49"/>
      <c r="F23" s="46"/>
      <c r="G23" s="46"/>
      <c r="H23" s="43">
        <f t="shared" si="11"/>
        <v>0.24338005372068</v>
      </c>
      <c r="I23" s="42">
        <f t="shared" si="12"/>
        <v>4.17876779923869</v>
      </c>
      <c r="J23" s="43">
        <f t="shared" si="13"/>
        <v>0.104547605685231</v>
      </c>
      <c r="K23" s="42">
        <f t="shared" si="14"/>
        <v>12.6693314535458</v>
      </c>
      <c r="L23" s="43">
        <f t="shared" si="15"/>
        <v>0.316971014599593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ht="16.5" spans="2:28">
      <c r="B24" s="56" t="s">
        <v>230</v>
      </c>
      <c r="C24" s="56">
        <v>6</v>
      </c>
      <c r="D24" s="49"/>
      <c r="E24" s="49" t="s">
        <v>231</v>
      </c>
      <c r="F24" s="46"/>
      <c r="G24" s="46"/>
      <c r="H24" s="40">
        <f t="shared" si="11"/>
        <v>0.237439608181976</v>
      </c>
      <c r="I24" s="39">
        <f t="shared" si="12"/>
        <v>4.17876779923869</v>
      </c>
      <c r="J24" s="40">
        <f t="shared" si="13"/>
        <v>0.101995796905997</v>
      </c>
      <c r="K24" s="39">
        <f t="shared" si="14"/>
        <v>13.4693314535458</v>
      </c>
      <c r="L24" s="40">
        <f t="shared" si="15"/>
        <v>0.32876083606409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ht="16.5" spans="2:28">
      <c r="B25" s="56" t="s">
        <v>232</v>
      </c>
      <c r="C25" s="56">
        <v>13</v>
      </c>
      <c r="D25" s="49"/>
      <c r="E25" s="49" t="s">
        <v>231</v>
      </c>
      <c r="F25" s="46"/>
      <c r="G25" s="46"/>
      <c r="H25" s="40">
        <f t="shared" si="11"/>
        <v>0.231782243202658</v>
      </c>
      <c r="I25" s="44">
        <f t="shared" si="12"/>
        <v>4.17876779923869</v>
      </c>
      <c r="J25" s="40">
        <f t="shared" si="13"/>
        <v>0.0995655896887941</v>
      </c>
      <c r="K25" s="39">
        <f t="shared" si="14"/>
        <v>14.2693314535458</v>
      </c>
      <c r="L25" s="40">
        <f t="shared" si="15"/>
        <v>0.339988836157869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ht="16.5" spans="2:28">
      <c r="B26" s="56" t="s">
        <v>233</v>
      </c>
      <c r="C26" s="56">
        <v>20</v>
      </c>
      <c r="D26" s="49"/>
      <c r="E26" s="49" t="s">
        <v>231</v>
      </c>
      <c r="F26" s="46"/>
      <c r="G26" s="46"/>
      <c r="H26" s="40">
        <f t="shared" si="11"/>
        <v>0.226388195187702</v>
      </c>
      <c r="I26" s="44">
        <f t="shared" si="12"/>
        <v>4.17876779923869</v>
      </c>
      <c r="J26" s="40">
        <f t="shared" si="13"/>
        <v>0.0972484942806304</v>
      </c>
      <c r="K26" s="39">
        <f t="shared" si="14"/>
        <v>15.0693314535458</v>
      </c>
      <c r="L26" s="40">
        <f t="shared" si="15"/>
        <v>0.350694239086473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ht="16.5" spans="2:28">
      <c r="B27" s="51" t="s">
        <v>234</v>
      </c>
      <c r="C27" s="58">
        <v>0.76</v>
      </c>
      <c r="D27" s="49"/>
      <c r="E27" s="49" t="s">
        <v>235</v>
      </c>
      <c r="F27" s="46"/>
      <c r="G27" s="46"/>
      <c r="H27" s="40">
        <f t="shared" si="11"/>
        <v>0.221239498458393</v>
      </c>
      <c r="I27" s="44">
        <f t="shared" si="12"/>
        <v>4.17876779923869</v>
      </c>
      <c r="J27" s="40">
        <f t="shared" si="13"/>
        <v>0.0950367932508231</v>
      </c>
      <c r="K27" s="39">
        <f t="shared" si="14"/>
        <v>15.8693314535458</v>
      </c>
      <c r="L27" s="40">
        <f t="shared" si="15"/>
        <v>0.360912700785666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ht="16.5" spans="2:28">
      <c r="B28" s="51" t="s">
        <v>236</v>
      </c>
      <c r="C28" s="58">
        <f>C24*C25*C26/6000</f>
        <v>0.26</v>
      </c>
      <c r="D28" s="49"/>
      <c r="E28" s="49" t="s">
        <v>235</v>
      </c>
      <c r="F28" s="46"/>
      <c r="G28" s="46"/>
      <c r="H28" s="40">
        <f t="shared" si="11"/>
        <v>0.21631978535058</v>
      </c>
      <c r="I28" s="44">
        <f t="shared" si="12"/>
        <v>4.17876779923869</v>
      </c>
      <c r="J28" s="40">
        <f t="shared" si="13"/>
        <v>0.0929234556201621</v>
      </c>
      <c r="K28" s="39">
        <f t="shared" si="14"/>
        <v>16.6693314535458</v>
      </c>
      <c r="L28" s="40">
        <f t="shared" si="15"/>
        <v>0.370676705660346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ht="16.5" spans="2:28">
      <c r="B29" s="51" t="s">
        <v>62</v>
      </c>
      <c r="C29" s="58">
        <v>0.02</v>
      </c>
      <c r="D29" s="49"/>
      <c r="E29" s="49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ht="22.5" spans="2:28">
      <c r="B30" s="46"/>
      <c r="C30" s="46"/>
      <c r="D30" s="46"/>
      <c r="E30" s="62"/>
      <c r="F30" s="46"/>
      <c r="G30" s="46"/>
      <c r="H30" s="66" t="s">
        <v>237</v>
      </c>
      <c r="I30" s="66"/>
      <c r="J30" s="66"/>
      <c r="K30" s="66"/>
      <c r="L30" s="69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ht="16.5" spans="2:28">
      <c r="B31" s="59" t="s">
        <v>238</v>
      </c>
      <c r="C31" s="59" t="s">
        <v>239</v>
      </c>
      <c r="D31" s="46"/>
      <c r="E31" s="62"/>
      <c r="F31" s="46"/>
      <c r="G31" s="46"/>
      <c r="H31" s="36"/>
      <c r="I31" s="36"/>
      <c r="J31" s="36"/>
      <c r="K31" s="70" t="s">
        <v>138</v>
      </c>
      <c r="L31" s="71" t="s">
        <v>77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ht="16.5" spans="2:28">
      <c r="B32" s="60" t="s">
        <v>240</v>
      </c>
      <c r="C32" s="61">
        <v>12</v>
      </c>
      <c r="D32" s="46"/>
      <c r="E32" s="62" t="s">
        <v>241</v>
      </c>
      <c r="F32" s="46"/>
      <c r="G32" s="46"/>
      <c r="H32" s="67" t="s">
        <v>214</v>
      </c>
      <c r="I32" s="67" t="s">
        <v>242</v>
      </c>
      <c r="J32" s="67" t="s">
        <v>216</v>
      </c>
      <c r="K32" s="70"/>
      <c r="L32" s="71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ht="16.5" spans="2:28">
      <c r="B33" s="60" t="s">
        <v>243</v>
      </c>
      <c r="C33" s="61">
        <v>39</v>
      </c>
      <c r="D33" s="46"/>
      <c r="E33" s="62" t="s">
        <v>241</v>
      </c>
      <c r="F33" s="46"/>
      <c r="G33" s="46"/>
      <c r="H33" s="40">
        <f t="shared" ref="H33:H42" si="16">C5/B5*100%</f>
        <v>0.270444835897013</v>
      </c>
      <c r="I33" s="39">
        <f t="shared" ref="I33:I42" si="17">$E$22</f>
        <v>4.82165515296771</v>
      </c>
      <c r="J33" s="40">
        <f t="shared" ref="J33:J42" si="18">I33/B5*100%</f>
        <v>0.134046570835911</v>
      </c>
      <c r="K33" s="39">
        <f t="shared" ref="K33:K42" si="19">B5-C5-I33-G5-H5--J5-K5-L5-I5-M5</f>
        <v>8.82644409981673</v>
      </c>
      <c r="L33" s="40">
        <f t="shared" ref="L33:L42" si="20">K33/B5</f>
        <v>0.245383489013531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ht="16.5" spans="2:28">
      <c r="B34" s="60" t="s">
        <v>244</v>
      </c>
      <c r="C34" s="61">
        <v>45</v>
      </c>
      <c r="D34" s="46"/>
      <c r="E34" s="62" t="s">
        <v>241</v>
      </c>
      <c r="F34" s="46"/>
      <c r="G34" s="46"/>
      <c r="H34" s="40">
        <f t="shared" si="16"/>
        <v>0.263129584723169</v>
      </c>
      <c r="I34" s="39">
        <f t="shared" si="17"/>
        <v>4.82165515296771</v>
      </c>
      <c r="J34" s="40">
        <f t="shared" si="18"/>
        <v>0.130420750688875</v>
      </c>
      <c r="K34" s="39">
        <f t="shared" si="19"/>
        <v>9.62644409981673</v>
      </c>
      <c r="L34" s="40">
        <f t="shared" si="20"/>
        <v>0.260385288066452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ht="16.5" spans="2:28">
      <c r="B35" s="46"/>
      <c r="C35" s="62"/>
      <c r="D35" s="46"/>
      <c r="E35" s="62"/>
      <c r="F35" s="46"/>
      <c r="G35" s="46"/>
      <c r="H35" s="40">
        <f t="shared" si="16"/>
        <v>0.256199650966962</v>
      </c>
      <c r="I35" s="39">
        <f t="shared" si="17"/>
        <v>4.82165515296771</v>
      </c>
      <c r="J35" s="40">
        <f t="shared" si="18"/>
        <v>0.126985913957538</v>
      </c>
      <c r="K35" s="39">
        <f t="shared" si="19"/>
        <v>10.4264440998167</v>
      </c>
      <c r="L35" s="40">
        <f t="shared" si="20"/>
        <v>0.274596894912213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ht="16.5" spans="2:28">
      <c r="B36" s="46" t="s">
        <v>245</v>
      </c>
      <c r="C36" s="63">
        <v>5.4</v>
      </c>
      <c r="D36" s="46"/>
      <c r="E36" s="62"/>
      <c r="F36" s="46"/>
      <c r="G36" s="46"/>
      <c r="H36" s="40">
        <f t="shared" si="16"/>
        <v>0.249625372009637</v>
      </c>
      <c r="I36" s="39">
        <f t="shared" si="17"/>
        <v>4.82165515296771</v>
      </c>
      <c r="J36" s="40">
        <f t="shared" si="18"/>
        <v>0.123727358300429</v>
      </c>
      <c r="K36" s="39">
        <f t="shared" si="19"/>
        <v>11.2264440998167</v>
      </c>
      <c r="L36" s="40">
        <f t="shared" si="20"/>
        <v>0.28807914035968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t="16.5" spans="2:28">
      <c r="B37" s="46"/>
      <c r="C37" s="64"/>
      <c r="D37" s="46"/>
      <c r="E37" s="62"/>
      <c r="F37" s="46"/>
      <c r="G37" s="46"/>
      <c r="H37" s="43">
        <f t="shared" si="16"/>
        <v>0.24338005372068</v>
      </c>
      <c r="I37" s="42">
        <f t="shared" si="17"/>
        <v>4.82165515296771</v>
      </c>
      <c r="J37" s="43">
        <f t="shared" si="18"/>
        <v>0.120631852713728</v>
      </c>
      <c r="K37" s="42">
        <f t="shared" si="19"/>
        <v>12.0264440998167</v>
      </c>
      <c r="L37" s="43">
        <f t="shared" si="20"/>
        <v>0.300886767571097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ht="16.5" spans="2:28">
      <c r="B38" s="46"/>
      <c r="C38" s="64"/>
      <c r="D38" s="46"/>
      <c r="E38" s="62"/>
      <c r="F38" s="46"/>
      <c r="G38" s="46"/>
      <c r="H38" s="40">
        <f t="shared" si="16"/>
        <v>0.237439608181976</v>
      </c>
      <c r="I38" s="39">
        <f t="shared" si="17"/>
        <v>4.82165515296771</v>
      </c>
      <c r="J38" s="40">
        <f t="shared" si="18"/>
        <v>0.117687457968458</v>
      </c>
      <c r="K38" s="39">
        <f t="shared" si="19"/>
        <v>12.8264440998167</v>
      </c>
      <c r="L38" s="40">
        <f t="shared" si="20"/>
        <v>0.313069175001629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ht="16.5" spans="8:12">
      <c r="H39" s="40">
        <f t="shared" si="16"/>
        <v>0.231782243202658</v>
      </c>
      <c r="I39" s="44">
        <f t="shared" si="17"/>
        <v>4.82165515296771</v>
      </c>
      <c r="J39" s="40">
        <f t="shared" si="18"/>
        <v>0.114883372717839</v>
      </c>
      <c r="K39" s="39">
        <f t="shared" si="19"/>
        <v>13.6264440998167</v>
      </c>
      <c r="L39" s="40">
        <f t="shared" si="20"/>
        <v>0.324671053128824</v>
      </c>
    </row>
    <row r="40" ht="16.5" spans="8:12">
      <c r="H40" s="40">
        <f t="shared" si="16"/>
        <v>0.226388195187702</v>
      </c>
      <c r="I40" s="44">
        <f t="shared" si="17"/>
        <v>4.82165515296771</v>
      </c>
      <c r="J40" s="40">
        <f t="shared" si="18"/>
        <v>0.112209801093035</v>
      </c>
      <c r="K40" s="39">
        <f t="shared" si="19"/>
        <v>14.4264440998167</v>
      </c>
      <c r="L40" s="40">
        <f t="shared" si="20"/>
        <v>0.335732932274069</v>
      </c>
    </row>
    <row r="41" ht="16.5" spans="8:12">
      <c r="H41" s="40">
        <f t="shared" si="16"/>
        <v>0.221239498458393</v>
      </c>
      <c r="I41" s="44">
        <f t="shared" si="17"/>
        <v>4.82165515296771</v>
      </c>
      <c r="J41" s="40">
        <f t="shared" si="18"/>
        <v>0.109657838366334</v>
      </c>
      <c r="K41" s="39">
        <f t="shared" si="19"/>
        <v>15.2264440998167</v>
      </c>
      <c r="L41" s="40">
        <f t="shared" si="20"/>
        <v>0.346291655670155</v>
      </c>
    </row>
    <row r="42" ht="16.5" spans="8:12">
      <c r="H42" s="40">
        <f t="shared" si="16"/>
        <v>0.21631978535058</v>
      </c>
      <c r="I42" s="44">
        <f t="shared" si="17"/>
        <v>4.82165515296771</v>
      </c>
      <c r="J42" s="40">
        <f t="shared" si="18"/>
        <v>0.107219371869418</v>
      </c>
      <c r="K42" s="39">
        <f t="shared" si="19"/>
        <v>16.0264440998167</v>
      </c>
      <c r="L42" s="40">
        <f t="shared" si="20"/>
        <v>0.35638078941109</v>
      </c>
    </row>
  </sheetData>
  <sheetProtection formatCells="0" insertHyperlinks="0" autoFilter="0"/>
  <mergeCells count="13">
    <mergeCell ref="C2:O2"/>
    <mergeCell ref="C3:L3"/>
    <mergeCell ref="H16:L16"/>
    <mergeCell ref="H17:J17"/>
    <mergeCell ref="H30:L30"/>
    <mergeCell ref="H31:J31"/>
    <mergeCell ref="B3:B4"/>
    <mergeCell ref="K17:K18"/>
    <mergeCell ref="K31:K32"/>
    <mergeCell ref="L17:L18"/>
    <mergeCell ref="L31:L32"/>
    <mergeCell ref="N3:N4"/>
    <mergeCell ref="O3:O4"/>
  </mergeCells>
  <conditionalFormatting sqref="N5:O14 K19:L28 K33:L42">
    <cfRule type="cellIs" dxfId="1" priority="1" stopIfTrue="1" operator="lessThan">
      <formula>0</formula>
    </cfRule>
  </conditionalFormatting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EH31"/>
  <sheetViews>
    <sheetView showGridLines="0" workbookViewId="0">
      <selection activeCell="H14" sqref="H14"/>
    </sheetView>
  </sheetViews>
  <sheetFormatPr defaultColWidth="9" defaultRowHeight="16.5"/>
  <cols>
    <col min="1" max="1" width="2.625" style="3" customWidth="1"/>
    <col min="2" max="2" width="10.375" style="3" customWidth="1"/>
    <col min="3" max="3" width="9.375" style="3" customWidth="1"/>
    <col min="4" max="4" width="11.875" style="3" customWidth="1"/>
    <col min="5" max="5" width="7.375" style="3" customWidth="1"/>
    <col min="6" max="6" width="24.75" style="3" customWidth="1"/>
    <col min="7" max="8" width="10.375" style="3" customWidth="1"/>
    <col min="9" max="9" width="8.125" style="3" customWidth="1"/>
    <col min="10" max="10" width="8" style="3" customWidth="1"/>
    <col min="11" max="11" width="10.375" style="3" customWidth="1"/>
    <col min="12" max="12" width="15.125" style="3" customWidth="1"/>
    <col min="13" max="14" width="10.375" style="3" customWidth="1"/>
    <col min="15" max="15" width="8.125" style="3" customWidth="1"/>
    <col min="16" max="16" width="10.375" style="3" customWidth="1"/>
    <col min="17" max="17" width="8" style="3" customWidth="1"/>
    <col min="18" max="16384" width="9" style="3"/>
  </cols>
  <sheetData>
    <row r="2" s="1" customFormat="1" ht="18" customHeight="1" spans="2:11">
      <c r="B2" s="4" t="s">
        <v>246</v>
      </c>
      <c r="C2" s="4" t="s">
        <v>247</v>
      </c>
      <c r="D2" s="4" t="s">
        <v>248</v>
      </c>
      <c r="E2" s="4" t="s">
        <v>19</v>
      </c>
      <c r="F2" s="14"/>
      <c r="K2" s="19"/>
    </row>
    <row r="3" s="1" customFormat="1" ht="18" customHeight="1" spans="2:11">
      <c r="B3" s="5">
        <v>69</v>
      </c>
      <c r="C3" s="5">
        <v>39</v>
      </c>
      <c r="D3" s="5">
        <v>5.83</v>
      </c>
      <c r="E3" s="5">
        <v>7.09</v>
      </c>
      <c r="F3" s="14"/>
      <c r="K3" s="19"/>
    </row>
    <row r="4" s="1" customFormat="1" ht="22" customHeight="1"/>
    <row r="5" s="1" customFormat="1" ht="46" customHeight="1" spans="2:15">
      <c r="B5" s="6" t="s">
        <v>249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8"/>
    </row>
    <row r="6" s="2" customFormat="1" ht="42" customHeight="1" spans="2:19">
      <c r="B6" s="8" t="s">
        <v>250</v>
      </c>
      <c r="C6" s="8" t="s">
        <v>251</v>
      </c>
      <c r="D6" s="8" t="s">
        <v>68</v>
      </c>
      <c r="E6" s="8" t="s">
        <v>252</v>
      </c>
      <c r="F6" s="8" t="s">
        <v>253</v>
      </c>
      <c r="G6" s="8" t="s">
        <v>254</v>
      </c>
      <c r="H6" s="8" t="s">
        <v>138</v>
      </c>
      <c r="I6" s="20" t="s">
        <v>255</v>
      </c>
      <c r="J6" s="21" t="s">
        <v>256</v>
      </c>
      <c r="K6" s="8" t="s">
        <v>257</v>
      </c>
      <c r="L6" s="8" t="s">
        <v>258</v>
      </c>
      <c r="M6" s="8" t="s">
        <v>259</v>
      </c>
      <c r="N6" s="8" t="s">
        <v>260</v>
      </c>
      <c r="O6" s="8" t="s">
        <v>61</v>
      </c>
      <c r="P6" s="29"/>
      <c r="Q6" s="29"/>
      <c r="R6" s="29"/>
      <c r="S6" s="29"/>
    </row>
    <row r="7" s="1" customFormat="1" ht="34" customHeight="1" spans="2:19">
      <c r="B7" s="9"/>
      <c r="C7" s="5">
        <v>35.97</v>
      </c>
      <c r="D7" s="10">
        <f>B3/E3</f>
        <v>9.73201692524683</v>
      </c>
      <c r="E7" s="10">
        <f>C3/E3</f>
        <v>5.50070521861777</v>
      </c>
      <c r="F7" s="10">
        <f>C7*0.15</f>
        <v>5.3955</v>
      </c>
      <c r="G7" s="4">
        <f>D3</f>
        <v>5.83</v>
      </c>
      <c r="H7" s="10">
        <f>C7-D7-E7-F7-G7</f>
        <v>9.5117778561354</v>
      </c>
      <c r="I7" s="22">
        <f>H7/C7</f>
        <v>0.264436415238682</v>
      </c>
      <c r="J7" s="23">
        <v>15</v>
      </c>
      <c r="K7" s="24">
        <f>J7-M10</f>
        <v>4.95</v>
      </c>
      <c r="L7" s="4">
        <f>K7*C7</f>
        <v>178.0515</v>
      </c>
      <c r="M7" s="10">
        <f>H7*K7</f>
        <v>47.0833003878702</v>
      </c>
      <c r="N7" s="10">
        <f>O7*L7</f>
        <v>3.56103</v>
      </c>
      <c r="O7" s="30">
        <v>0.02</v>
      </c>
      <c r="P7" s="29"/>
      <c r="Q7" s="29"/>
      <c r="R7" s="29"/>
      <c r="S7" s="29"/>
    </row>
    <row r="8" s="1" customFormat="1" ht="12" customHeight="1"/>
    <row r="9" s="2" customFormat="1" ht="42" customHeight="1" spans="2:19">
      <c r="B9" s="11" t="s">
        <v>261</v>
      </c>
      <c r="C9" s="11" t="s">
        <v>251</v>
      </c>
      <c r="D9" s="11" t="s">
        <v>68</v>
      </c>
      <c r="E9" s="11" t="s">
        <v>252</v>
      </c>
      <c r="F9" s="11" t="s">
        <v>262</v>
      </c>
      <c r="G9" s="11" t="s">
        <v>263</v>
      </c>
      <c r="H9" s="11" t="s">
        <v>254</v>
      </c>
      <c r="I9" s="11" t="s">
        <v>264</v>
      </c>
      <c r="J9" s="11" t="s">
        <v>73</v>
      </c>
      <c r="K9" s="25" t="s">
        <v>77</v>
      </c>
      <c r="L9" s="11" t="s">
        <v>265</v>
      </c>
      <c r="M9" s="11" t="s">
        <v>266</v>
      </c>
      <c r="N9" s="11" t="s">
        <v>258</v>
      </c>
      <c r="O9" s="11" t="s">
        <v>259</v>
      </c>
      <c r="P9" s="11" t="s">
        <v>260</v>
      </c>
      <c r="Q9" s="11" t="s">
        <v>61</v>
      </c>
      <c r="R9" s="29"/>
      <c r="S9" s="29"/>
    </row>
    <row r="10" s="1" customFormat="1" ht="39" customHeight="1" spans="2:19">
      <c r="B10" s="9"/>
      <c r="C10" s="10">
        <f>C7-C7*F10</f>
        <v>25.179</v>
      </c>
      <c r="D10" s="10">
        <f>D7</f>
        <v>9.73201692524683</v>
      </c>
      <c r="E10" s="10">
        <f>E7</f>
        <v>5.50070521861777</v>
      </c>
      <c r="F10" s="15">
        <v>0.3</v>
      </c>
      <c r="G10" s="10">
        <f>C10*0.15</f>
        <v>3.77685</v>
      </c>
      <c r="H10" s="4">
        <f>G7</f>
        <v>5.83</v>
      </c>
      <c r="I10" s="26">
        <v>0.6</v>
      </c>
      <c r="J10" s="10">
        <f>C10-D10-E10-G10-H10-I10</f>
        <v>-0.260572143864597</v>
      </c>
      <c r="K10" s="22">
        <f>J10/C10</f>
        <v>-0.0103487884294292</v>
      </c>
      <c r="L10" s="27">
        <v>0.67</v>
      </c>
      <c r="M10" s="24">
        <f>J7*L10</f>
        <v>10.05</v>
      </c>
      <c r="N10" s="24">
        <f>M10*C10</f>
        <v>253.04895</v>
      </c>
      <c r="O10" s="10">
        <f>M10*J10</f>
        <v>-2.6187500458392</v>
      </c>
      <c r="P10" s="10">
        <f>Q10*N10</f>
        <v>5.060979</v>
      </c>
      <c r="Q10" s="22">
        <f>O7</f>
        <v>0.02</v>
      </c>
      <c r="R10" s="29"/>
      <c r="S10" s="29"/>
    </row>
    <row r="11" s="1" customFormat="1" ht="12" customHeight="1"/>
    <row r="12" s="1" customFormat="1" ht="32" customHeight="1" spans="2:9">
      <c r="B12" s="4" t="s">
        <v>267</v>
      </c>
      <c r="C12" s="4" t="s">
        <v>258</v>
      </c>
      <c r="D12" s="4" t="s">
        <v>259</v>
      </c>
      <c r="E12" s="4" t="s">
        <v>149</v>
      </c>
      <c r="F12" s="4" t="s">
        <v>268</v>
      </c>
      <c r="G12" s="4" t="s">
        <v>269</v>
      </c>
      <c r="H12" s="4" t="s">
        <v>94</v>
      </c>
      <c r="I12" s="22" t="s">
        <v>150</v>
      </c>
    </row>
    <row r="13" s="1" customFormat="1" ht="32" customHeight="1" spans="2:9">
      <c r="B13" s="12" t="s">
        <v>270</v>
      </c>
      <c r="C13" s="13">
        <f>L7+N10</f>
        <v>431.10045</v>
      </c>
      <c r="D13" s="13">
        <f>M7+O10</f>
        <v>44.464550342031</v>
      </c>
      <c r="E13" s="16">
        <v>210</v>
      </c>
      <c r="F13" s="13">
        <f>P10+N7</f>
        <v>8.622009</v>
      </c>
      <c r="G13" s="13">
        <f>D13-E13-F13</f>
        <v>-174.157458657969</v>
      </c>
      <c r="H13" s="17">
        <f>G13/C13</f>
        <v>-0.403983476839259</v>
      </c>
      <c r="I13" s="17">
        <f t="shared" ref="I13:I17" si="0">E13/C13</f>
        <v>0.487125448372879</v>
      </c>
    </row>
    <row r="14" s="1" customFormat="1" ht="33" customHeight="1" spans="2:9">
      <c r="B14" s="12" t="s">
        <v>155</v>
      </c>
      <c r="C14" s="13">
        <f>C13*7</f>
        <v>3017.70315</v>
      </c>
      <c r="D14" s="13">
        <f>D13*7</f>
        <v>311.251852394217</v>
      </c>
      <c r="E14" s="18">
        <f>E13*7</f>
        <v>1470</v>
      </c>
      <c r="F14" s="13">
        <f>F13*7</f>
        <v>60.354063</v>
      </c>
      <c r="G14" s="13">
        <f t="shared" ref="G13:G17" si="1">D14-E14-F14</f>
        <v>-1219.10221060578</v>
      </c>
      <c r="H14" s="17">
        <f t="shared" ref="H13:H17" si="2">G14/C14</f>
        <v>-0.403983476839259</v>
      </c>
      <c r="I14" s="17">
        <f t="shared" si="0"/>
        <v>0.487125448372879</v>
      </c>
    </row>
    <row r="15" s="1" customFormat="1" ht="33" customHeight="1" spans="2:9">
      <c r="B15" s="12" t="s">
        <v>271</v>
      </c>
      <c r="C15" s="13">
        <f>C13*10</f>
        <v>4311.0045</v>
      </c>
      <c r="D15" s="13">
        <f>D13*10</f>
        <v>444.64550342031</v>
      </c>
      <c r="E15" s="18">
        <f>E13*10</f>
        <v>2100</v>
      </c>
      <c r="F15" s="13">
        <f>F13*10</f>
        <v>86.22009</v>
      </c>
      <c r="G15" s="13">
        <f t="shared" si="1"/>
        <v>-1741.57458657969</v>
      </c>
      <c r="H15" s="17">
        <f t="shared" si="2"/>
        <v>-0.403983476839259</v>
      </c>
      <c r="I15" s="17">
        <f t="shared" si="0"/>
        <v>0.487125448372879</v>
      </c>
    </row>
    <row r="16" s="1" customFormat="1" ht="33" customHeight="1" spans="2:9">
      <c r="B16" s="12" t="s">
        <v>272</v>
      </c>
      <c r="C16" s="13">
        <f>C13*15</f>
        <v>6466.50675</v>
      </c>
      <c r="D16" s="13">
        <f>D13*15</f>
        <v>666.968255130465</v>
      </c>
      <c r="E16" s="18">
        <f>E13*15</f>
        <v>3150</v>
      </c>
      <c r="F16" s="13">
        <f>F13*15</f>
        <v>129.330135</v>
      </c>
      <c r="G16" s="13">
        <f t="shared" si="1"/>
        <v>-2612.36187986953</v>
      </c>
      <c r="H16" s="17">
        <f t="shared" si="2"/>
        <v>-0.403983476839259</v>
      </c>
      <c r="I16" s="17">
        <f t="shared" si="0"/>
        <v>0.487125448372879</v>
      </c>
    </row>
    <row r="17" s="1" customFormat="1" ht="33" customHeight="1" spans="2:9">
      <c r="B17" s="12" t="s">
        <v>273</v>
      </c>
      <c r="C17" s="13">
        <f>C13*30</f>
        <v>12933.0135</v>
      </c>
      <c r="D17" s="13">
        <f>D13*30</f>
        <v>1333.93651026093</v>
      </c>
      <c r="E17" s="18">
        <f>E13*30</f>
        <v>6300</v>
      </c>
      <c r="F17" s="13">
        <f>F13*30</f>
        <v>258.66027</v>
      </c>
      <c r="G17" s="13">
        <f t="shared" si="1"/>
        <v>-5224.72375973907</v>
      </c>
      <c r="H17" s="17">
        <f t="shared" si="2"/>
        <v>-0.403983476839259</v>
      </c>
      <c r="I17" s="17">
        <f t="shared" si="0"/>
        <v>0.487125448372879</v>
      </c>
    </row>
    <row r="18" s="1" customFormat="1" ht="22" customHeight="1"/>
    <row r="19" s="1" customFormat="1" ht="46" customHeight="1" spans="2:15">
      <c r="B19" s="6" t="s">
        <v>274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28"/>
    </row>
    <row r="20" s="2" customFormat="1" ht="42" customHeight="1" spans="2:19">
      <c r="B20" s="8" t="s">
        <v>250</v>
      </c>
      <c r="C20" s="8" t="s">
        <v>251</v>
      </c>
      <c r="D20" s="8" t="s">
        <v>68</v>
      </c>
      <c r="E20" s="8" t="s">
        <v>252</v>
      </c>
      <c r="F20" s="8" t="s">
        <v>253</v>
      </c>
      <c r="G20" s="8" t="s">
        <v>254</v>
      </c>
      <c r="H20" s="8" t="s">
        <v>138</v>
      </c>
      <c r="I20" s="20" t="s">
        <v>255</v>
      </c>
      <c r="J20" s="21" t="s">
        <v>256</v>
      </c>
      <c r="K20" s="8" t="s">
        <v>257</v>
      </c>
      <c r="L20" s="8" t="s">
        <v>258</v>
      </c>
      <c r="M20" s="8" t="s">
        <v>259</v>
      </c>
      <c r="N20" s="8" t="s">
        <v>260</v>
      </c>
      <c r="O20" s="8" t="s">
        <v>61</v>
      </c>
      <c r="P20" s="29"/>
      <c r="Q20" s="29"/>
      <c r="R20" s="29"/>
      <c r="S20" s="29"/>
    </row>
    <row r="21" s="1" customFormat="1" ht="34" customHeight="1" spans="2:19">
      <c r="B21" s="9"/>
      <c r="C21" s="5">
        <v>39.97</v>
      </c>
      <c r="D21" s="10">
        <f>B3/E3</f>
        <v>9.73201692524683</v>
      </c>
      <c r="E21" s="10">
        <f>E7</f>
        <v>5.50070521861777</v>
      </c>
      <c r="F21" s="10">
        <f>C21*0.15</f>
        <v>5.9955</v>
      </c>
      <c r="G21" s="4">
        <f>D3</f>
        <v>5.83</v>
      </c>
      <c r="H21" s="10">
        <f>C21-D21-E21-F21-G21</f>
        <v>12.9117778561354</v>
      </c>
      <c r="I21" s="22">
        <f>H21/C21</f>
        <v>0.323036723946345</v>
      </c>
      <c r="J21" s="23">
        <v>40</v>
      </c>
      <c r="K21" s="24">
        <f>J21-M24</f>
        <v>20</v>
      </c>
      <c r="L21" s="4">
        <f>K21*C21</f>
        <v>799.4</v>
      </c>
      <c r="M21" s="10">
        <f>H21*K21</f>
        <v>258.235557122708</v>
      </c>
      <c r="N21" s="10">
        <f>O21*L21</f>
        <v>15.988</v>
      </c>
      <c r="O21" s="30">
        <v>0.02</v>
      </c>
      <c r="P21" s="29"/>
      <c r="Q21" s="29"/>
      <c r="R21" s="29"/>
      <c r="S21" s="29"/>
    </row>
    <row r="22" s="1" customFormat="1" ht="12" customHeight="1"/>
    <row r="23" s="2" customFormat="1" ht="42" customHeight="1" spans="2:19">
      <c r="B23" s="11" t="s">
        <v>261</v>
      </c>
      <c r="C23" s="11" t="s">
        <v>251</v>
      </c>
      <c r="D23" s="11" t="s">
        <v>68</v>
      </c>
      <c r="E23" s="11" t="s">
        <v>252</v>
      </c>
      <c r="F23" s="11" t="s">
        <v>262</v>
      </c>
      <c r="G23" s="11" t="s">
        <v>263</v>
      </c>
      <c r="H23" s="11" t="s">
        <v>254</v>
      </c>
      <c r="I23" s="11" t="s">
        <v>264</v>
      </c>
      <c r="J23" s="11" t="s">
        <v>73</v>
      </c>
      <c r="K23" s="25" t="s">
        <v>77</v>
      </c>
      <c r="L23" s="11" t="s">
        <v>265</v>
      </c>
      <c r="M23" s="11" t="s">
        <v>266</v>
      </c>
      <c r="N23" s="11" t="s">
        <v>258</v>
      </c>
      <c r="O23" s="11" t="s">
        <v>259</v>
      </c>
      <c r="P23" s="11" t="s">
        <v>260</v>
      </c>
      <c r="Q23" s="11" t="s">
        <v>61</v>
      </c>
      <c r="R23" s="29"/>
      <c r="S23" s="29"/>
    </row>
    <row r="24" s="1" customFormat="1" ht="39" customHeight="1" spans="2:19">
      <c r="B24" s="9"/>
      <c r="C24" s="10">
        <f>C21-C21*F24</f>
        <v>31.976</v>
      </c>
      <c r="D24" s="10">
        <f>D21</f>
        <v>9.73201692524683</v>
      </c>
      <c r="E24" s="10">
        <f>E21</f>
        <v>5.50070521861777</v>
      </c>
      <c r="F24" s="15">
        <v>0.2</v>
      </c>
      <c r="G24" s="10">
        <f>C24*0.15</f>
        <v>4.7964</v>
      </c>
      <c r="H24" s="4">
        <f>G21</f>
        <v>5.83</v>
      </c>
      <c r="I24" s="5">
        <v>0.6</v>
      </c>
      <c r="J24" s="10">
        <f>C24-D24-E24-G24-H24-I24</f>
        <v>5.51687785613541</v>
      </c>
      <c r="K24" s="22">
        <f>J24/C24</f>
        <v>0.17253183187814</v>
      </c>
      <c r="L24" s="27">
        <v>0.5</v>
      </c>
      <c r="M24" s="24">
        <f>J21*L24</f>
        <v>20</v>
      </c>
      <c r="N24" s="24">
        <f>M24*C24</f>
        <v>639.52</v>
      </c>
      <c r="O24" s="10">
        <f>M24*J24</f>
        <v>110.337557122708</v>
      </c>
      <c r="P24" s="10">
        <f>Q24*N24</f>
        <v>12.7904</v>
      </c>
      <c r="Q24" s="22">
        <f>O21</f>
        <v>0.02</v>
      </c>
      <c r="R24" s="29"/>
      <c r="S24" s="29"/>
    </row>
    <row r="25" s="1" customFormat="1" ht="12" customHeight="1"/>
    <row r="26" s="1" customFormat="1" ht="32" customHeight="1" spans="2:9">
      <c r="B26" s="4" t="s">
        <v>267</v>
      </c>
      <c r="C26" s="4" t="s">
        <v>258</v>
      </c>
      <c r="D26" s="4" t="s">
        <v>259</v>
      </c>
      <c r="E26" s="4" t="s">
        <v>149</v>
      </c>
      <c r="F26" s="4" t="s">
        <v>268</v>
      </c>
      <c r="G26" s="4" t="s">
        <v>269</v>
      </c>
      <c r="H26" s="4" t="s">
        <v>94</v>
      </c>
      <c r="I26" s="22" t="s">
        <v>150</v>
      </c>
    </row>
    <row r="27" s="1" customFormat="1" ht="32" customHeight="1" spans="2:9">
      <c r="B27" s="12" t="s">
        <v>270</v>
      </c>
      <c r="C27" s="13">
        <f>L21+N24</f>
        <v>1438.92</v>
      </c>
      <c r="D27" s="13">
        <f>M21+O24</f>
        <v>368.573114245416</v>
      </c>
      <c r="E27" s="16">
        <v>150</v>
      </c>
      <c r="F27" s="13">
        <f>P24+N21</f>
        <v>28.7784</v>
      </c>
      <c r="G27" s="13">
        <f t="shared" ref="G27:G31" si="3">D27-E27-F27</f>
        <v>189.794714245416</v>
      </c>
      <c r="H27" s="17">
        <f t="shared" ref="H27:H31" si="4">G27/C27</f>
        <v>0.131900810500526</v>
      </c>
      <c r="I27" s="17">
        <f t="shared" ref="I27:I31" si="5">E27/C27</f>
        <v>0.104244850304395</v>
      </c>
    </row>
    <row r="28" s="1" customFormat="1" ht="33" customHeight="1" spans="2:9">
      <c r="B28" s="12" t="s">
        <v>155</v>
      </c>
      <c r="C28" s="13">
        <f>C27*7</f>
        <v>10072.44</v>
      </c>
      <c r="D28" s="13">
        <f>D27*7</f>
        <v>2580.01179971791</v>
      </c>
      <c r="E28" s="18">
        <f>E27*7</f>
        <v>1050</v>
      </c>
      <c r="F28" s="13">
        <f>F27*7</f>
        <v>201.4488</v>
      </c>
      <c r="G28" s="13">
        <f t="shared" si="3"/>
        <v>1328.56299971791</v>
      </c>
      <c r="H28" s="17">
        <f t="shared" si="4"/>
        <v>0.131900810500526</v>
      </c>
      <c r="I28" s="17">
        <f t="shared" si="5"/>
        <v>0.104244850304395</v>
      </c>
    </row>
    <row r="29" s="1" customFormat="1" ht="33" customHeight="1" spans="2:9">
      <c r="B29" s="12" t="s">
        <v>271</v>
      </c>
      <c r="C29" s="13">
        <f>C27*10</f>
        <v>14389.2</v>
      </c>
      <c r="D29" s="13">
        <f>D27*10</f>
        <v>3685.73114245416</v>
      </c>
      <c r="E29" s="18">
        <f>E27*10</f>
        <v>1500</v>
      </c>
      <c r="F29" s="13">
        <f>F27*10</f>
        <v>287.784</v>
      </c>
      <c r="G29" s="13">
        <f t="shared" si="3"/>
        <v>1897.94714245416</v>
      </c>
      <c r="H29" s="17">
        <f t="shared" si="4"/>
        <v>0.131900810500526</v>
      </c>
      <c r="I29" s="17">
        <f t="shared" si="5"/>
        <v>0.104244850304395</v>
      </c>
    </row>
    <row r="30" s="1" customFormat="1" ht="33" customHeight="1" spans="2:9">
      <c r="B30" s="12" t="s">
        <v>272</v>
      </c>
      <c r="C30" s="13">
        <f>C27*15</f>
        <v>21583.8</v>
      </c>
      <c r="D30" s="13">
        <f>D27*15</f>
        <v>5528.59671368124</v>
      </c>
      <c r="E30" s="18">
        <f>E27*15</f>
        <v>2250</v>
      </c>
      <c r="F30" s="13">
        <f>F27*15</f>
        <v>431.676</v>
      </c>
      <c r="G30" s="13">
        <f t="shared" si="3"/>
        <v>2846.92071368124</v>
      </c>
      <c r="H30" s="17">
        <f t="shared" si="4"/>
        <v>0.131900810500526</v>
      </c>
      <c r="I30" s="17">
        <f t="shared" si="5"/>
        <v>0.104244850304395</v>
      </c>
    </row>
    <row r="31" s="1" customFormat="1" ht="33" customHeight="1" spans="2:9">
      <c r="B31" s="12" t="s">
        <v>273</v>
      </c>
      <c r="C31" s="13">
        <f>C27*30</f>
        <v>43167.6</v>
      </c>
      <c r="D31" s="13">
        <f>D27*30</f>
        <v>11057.1934273625</v>
      </c>
      <c r="E31" s="18">
        <f>E27*30</f>
        <v>4500</v>
      </c>
      <c r="F31" s="13">
        <f>F27*30</f>
        <v>863.352</v>
      </c>
      <c r="G31" s="13">
        <f t="shared" si="3"/>
        <v>5693.84142736249</v>
      </c>
      <c r="H31" s="17">
        <f t="shared" si="4"/>
        <v>0.131900810500526</v>
      </c>
      <c r="I31" s="17">
        <f t="shared" si="5"/>
        <v>0.104244850304395</v>
      </c>
    </row>
  </sheetData>
  <sheetProtection formatCells="0" insertHyperlinks="0" autoFilter="0"/>
  <mergeCells count="8">
    <mergeCell ref="B5:O5"/>
    <mergeCell ref="B8:XEH8"/>
    <mergeCell ref="B11:XEH11"/>
    <mergeCell ref="B19:O19"/>
    <mergeCell ref="B6:B7"/>
    <mergeCell ref="B9:B10"/>
    <mergeCell ref="B20:B21"/>
    <mergeCell ref="B23:B2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5">
    <comment s:ref="F2" rgbClr="FF0000">
      <item id="{5f2d324e-316f-4838-b72f-37c5ca15ea2c}" isNormal="1">
        <s:text>
          <s:r>
            <s:t xml:space="preserve">seamoon ao:
定价目标，由运营人员根据阶段定价策划确定</s:t>
          </s:r>
        </s:text>
      </item>
    </comment>
    <comment s:ref="B3" rgbClr="FF0000">
      <item id="{9a72d016-1445-4400-9b32-04d8a1b535b7}" isNormal="1">
        <s:text>
          <s:r>
            <s:t xml:space="preserve">zbird:
开始售卖的第一天</s:t>
          </s:r>
        </s:text>
      </item>
    </comment>
    <comment s:ref="N3" rgbClr="FF0000">
      <item id="{7adb1ea1-7646-4f4f-b25f-19683106a1f0}" isNormal="1">
        <s:text>
          <s:r>
            <s:t xml:space="preserve">zbird:
有两周的实际销量后，对应的日销需要填写实际的日销，同时后续的日销需要重新预估</s:t>
          </s:r>
        </s:text>
      </item>
    </comment>
  </commentList>
  <commentList sheetStid="2">
    <comment s:ref="B2" rgbClr="FF0000">
      <item id="{e068197e-b640-4cf5-bad5-6f5063dc168c}" isNormal="1">
        <s:text>
          <s:r>
            <s:t xml:space="preserve">设置售价梯度值</s:t>
          </s:r>
        </s:text>
      </item>
    </comment>
    <comment s:ref="B17" rgbClr="FF0000">
      <item id="{0f323b5e-511f-48d7-8f82-89703b83bec3}" isNormal="1">
        <s:text>
          <s:r>
            <s:t xml:space="preserve">在此调价！
不用手动改上面表格数据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/>
    <woSheetProps sheetStid="5" interlineOnOff="0" interlineColor="0" isDbSheet="0" isDashBoardSheet="0"/>
    <woSheetProps sheetStid="2" interlineOnOff="0" interlineColor="0" isDbSheet="0" isDashBoardSheet="0"/>
    <woSheetProps sheetStid="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3" master=""/>
  <rangeList sheetStid="5" master=""/>
  <rangeList sheetStid="2" master=""/>
  <rangeList sheetStid="4" master=""/>
</allowEditUser>
</file>

<file path=customXml/item4.xml><?xml version="1.0" encoding="utf-8"?>
<pixelators xmlns="https://web.wps.cn/et/2018/main" xmlns:s="http://schemas.openxmlformats.org/spreadsheetml/2006/main">
  <pixelatorList sheetStid="3"/>
  <pixelatorList sheetStid="5"/>
  <pixelatorList sheetStid="2"/>
  <pixelatorList sheetStid="4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运营推广计划表</vt:lpstr>
      <vt:lpstr>首批与返单囤货数量预测表</vt:lpstr>
      <vt:lpstr>毛利测算表</vt:lpstr>
      <vt:lpstr>价格策略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zbird</dc:creator>
  <cp:lastModifiedBy>Steve Luo</cp:lastModifiedBy>
  <dcterms:created xsi:type="dcterms:W3CDTF">2022-11-14T15:51:00Z</dcterms:created>
  <dcterms:modified xsi:type="dcterms:W3CDTF">2023-10-25T10:27:00Z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3F60CDB6CB47418498A8094E7EF88944_13</vt:lpwstr>
  </property>
  <property fmtid="{D5CDD505-2E9C-101B-9397-08002B2CF9AE}" pid="3" name="KSOProductBuildVer">
    <vt:lpwstr>2052-0.0.0.0</vt:lpwstr>
  </property>
  <property fmtid="{D5CDD505-2E9C-101B-9397-08002B2CF9AE}" pid="4" name="KSOReadingLayout">
    <vt:bool>true</vt:bool>
  </property>
</Properties>
</file>