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2400" activeTab="4"/>
  </bookViews>
  <sheets>
    <sheet name="运营推广计划" sheetId="8" r:id="rId1"/>
    <sheet name="高低预算方案" sheetId="4" r:id="rId2"/>
    <sheet name="推广目标及推广计划" sheetId="9" r:id="rId3"/>
    <sheet name="爆款推广计划" sheetId="10" r:id="rId4"/>
    <sheet name="年度备货销售计划" sheetId="6" r:id="rId5"/>
    <sheet name="推广运营计划周报" sheetId="5" r:id="rId6"/>
    <sheet name="销售计划" sheetId="1" state="hidden" r:id="rId7"/>
    <sheet name="成本利润核算" sheetId="2"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<sst xmlns="http://schemas.openxmlformats.org/spreadsheetml/2006/main" count="487" uniqueCount="326">
  <si>
    <t>2026亚马逊运营推广计划</t>
  </si>
  <si>
    <t>目标单量</t>
  </si>
  <si>
    <t>目标价格$</t>
  </si>
  <si>
    <t>广告预算$/天</t>
  </si>
  <si>
    <t>广告预算$/月</t>
  </si>
  <si>
    <t>预估毛利/月</t>
  </si>
  <si>
    <t>周期</t>
  </si>
  <si>
    <t>具体行动</t>
  </si>
  <si>
    <t>内容</t>
  </si>
  <si>
    <t>备注</t>
  </si>
  <si>
    <t>产品分析</t>
  </si>
  <si>
    <t>1.看平台有没有同类似元素的产品，上架时间，排名，评价，分数，这几点衡量；           
2.如果没有同类型的，按产品细分词搜热度，看这个产品的热度周期，这个时间上是否合适，看这类型产品，亚马逊均排名，评价，如果十几万，几十万也不用考虑了；</t>
  </si>
  <si>
    <t>适用于所有产品</t>
  </si>
  <si>
    <t xml:space="preserve">
</t>
  </si>
  <si>
    <t>上架前</t>
  </si>
  <si>
    <t>本地备货，到货发走，时间不间断，不把时间浪费在业务手上，快进快出；</t>
  </si>
  <si>
    <t>新品期</t>
  </si>
  <si>
    <t>变体/备货</t>
  </si>
  <si>
    <t>单一变体上架</t>
  </si>
  <si>
    <t>第二批备货看产品站内稳定3-5天出单再备货，库存多的话可看7-10天备货</t>
  </si>
  <si>
    <t>目标竞品ASIN</t>
  </si>
  <si>
    <t>oled同款</t>
  </si>
  <si>
    <t>核心关键词</t>
  </si>
  <si>
    <t>第一周</t>
  </si>
  <si>
    <t>listing的编辑</t>
  </si>
  <si>
    <t>产品定价比市场同类产品低2美金为最佳，标题三个长尾词组成，核心关键词+辅助修饰词（产品特性+适用范围+变体形式）、关键词（搜索框查询、同行产品标题，卖点、关键词工具）、五点（埋关键词，借鉴竞争对手，描述场景化）长描述（场景化）确定流量入口转化率，有流量没有转化率推款非常慢</t>
  </si>
  <si>
    <t>13.99-15%</t>
  </si>
  <si>
    <t>图片</t>
  </si>
  <si>
    <t>准备精修产品图7张，注意展示产品的卖点，适用场景和功能（主图，角度图，尺寸图，细节图，颜色图，场景图等）</t>
  </si>
  <si>
    <t>A+</t>
  </si>
  <si>
    <t>模板6张，选择不同的模板丰富一些，一定的场景化效果（外国人喜欢联想场景化）</t>
  </si>
  <si>
    <t>广告（自动）</t>
  </si>
  <si>
    <t>挑出小类排名前二十名的ASIN关键词反查出来的词，相似不相干的词（大词）做否定词组，可能转化不了的词（大词）做否定精准，开启自动广告，预算10，动态仅降低竞价，一开始的竞价根据曝光来调整，紧接着竞价和预算根据近日每天的点击成本花费比均值略高一点点调整</t>
  </si>
  <si>
    <t>竞价预算一定是跑出来后看效果调动的，不要凭经验定死，看产品，关键词去的，新品前期不是流量越多越好，更多的是流量精准</t>
  </si>
  <si>
    <t>优惠券</t>
  </si>
  <si>
    <t>15%折扣的优惠券（跟同行拉开优惠力度）预算根据库存数量来设置，打开流量入口，到了成长期后就关闭</t>
  </si>
  <si>
    <t>充分利用免费的流量入口</t>
  </si>
  <si>
    <t>Post</t>
  </si>
  <si>
    <t>开启免费的流量入口，放一张场景图，优质图</t>
  </si>
  <si>
    <t>后台数据</t>
  </si>
  <si>
    <t>分析后台数据（店铺每天销售和流量统计、产品排名和关键词数据统计）查看竞争对手相关动作</t>
  </si>
  <si>
    <t>第二周</t>
  </si>
  <si>
    <t>自动广告，加大预算，提高竞价增加曝光量，前台看广告位、广告曝光量每个广告组的预算和竞价进行优化，竞价和预算根据近日每天的点击成本花费比均值略高一点点调整</t>
  </si>
  <si>
    <t>早期评论/Vine</t>
  </si>
  <si>
    <t>整个链接稳定3-5天出单合计10单以上且评论低于5个评价可以开启早期评论，Vine计划</t>
  </si>
  <si>
    <t>QA</t>
  </si>
  <si>
    <t>安排十个QA，分别三天上完</t>
  </si>
  <si>
    <t>第三周</t>
  </si>
  <si>
    <t>listing优化</t>
  </si>
  <si>
    <t>结合店铺数据和广告数据回头进行listing优化，筛选出来的关键词埋入review，QA，五点描述等</t>
  </si>
  <si>
    <t>广告（手动）</t>
  </si>
  <si>
    <t>1.下载广告报表搜索词，选择既有点击又有出单，转化率高的主推关键词，关键词搜索工具流量大的词；点击率0.5%以上，转化率大于10%的词；两个单词左右的开广泛匹配，三个单词或以上开精准匹配；
2.投放手动关键词广告广泛（略大词）精准（长尾词）自动广告否定不相关的关键词和ASIN商品，投入产出比亏损的相关关键词和ASIN商品，前台看广告位每个广告组的预算和竞价进行优化；</t>
  </si>
  <si>
    <t>评论跟进</t>
  </si>
  <si>
    <t>（文字、星星、视频、Top评论）点击率和转化率是对listing关键词转化和排名的重要因素</t>
  </si>
  <si>
    <t>原价+站外推广+秒杀</t>
  </si>
  <si>
    <t>安排社交媒体代码站外推广（取消优惠券）一个月内可以2次-3次推广，控制出单，保证不断货。
有评价后开启秒杀，看效果换推广渠道；</t>
  </si>
  <si>
    <t>加大站内站外促销力度，进入销量的快车道</t>
  </si>
  <si>
    <t>第四周</t>
  </si>
  <si>
    <t>广告</t>
  </si>
  <si>
    <t>1.开启分类广告投放到产品各分类里，定位广告投放到竞品的ASIN下，展示型广告、品牌广告考虑；前台看广告位、广告曝光量每个广告组的预算和竞价进行优化；</t>
  </si>
  <si>
    <t>目标BSR排名</t>
  </si>
  <si>
    <t>大类8000名以内</t>
  </si>
  <si>
    <t>小类350以内</t>
  </si>
  <si>
    <t>成长期</t>
  </si>
  <si>
    <t>两到三个月的时间</t>
  </si>
  <si>
    <t>结合店铺数据和广告数据、关键词工具进行listing优化，筛选出来的关键词埋入review，QA，五点描述等</t>
  </si>
  <si>
    <t>通过广告数据报表和品牌分析：自动广告关键词和商品ASIN，手动广泛关键词优化否定；前台看广告位、广告曝光量每个广告组的预算和竞价进行优化（哪些关键词的CR和CTR高，需要放到词组匹配、精准匹配里，哪些词需要进行否定）</t>
  </si>
  <si>
    <t>秒杀</t>
  </si>
  <si>
    <t>每天看一次，出现秒杀推荐的有库存就可以报</t>
  </si>
  <si>
    <t>一个月1-2个QA</t>
  </si>
  <si>
    <t>FBA发货及补货</t>
  </si>
  <si>
    <t>合理的备货降低断货和库存积压风险，每天看库存数据，补货安全周期为7天销量；14天销量；30天销量；平均销量；可售库存等</t>
  </si>
  <si>
    <t>处理邮件及客户差评</t>
  </si>
  <si>
    <t>及时查看邮件是否有客户售后问题，如果是产品方面问题，及时和客户沟通，重新免费寄送产品，并跟踪客户接收情况，提升店铺品牌形象，提高复购率</t>
  </si>
  <si>
    <t>大类3000名以内</t>
  </si>
  <si>
    <t>小类前100</t>
  </si>
  <si>
    <t>成熟期</t>
  </si>
  <si>
    <t>结合店铺数据和广告数据，优先使用品牌分析、第三方关键词工具进行listing优化；
筛选出来的关键词埋入review，QA，五点描述等</t>
  </si>
  <si>
    <t>40~50</t>
  </si>
  <si>
    <t>12.99-10%</t>
  </si>
  <si>
    <t>9966~15352</t>
  </si>
  <si>
    <t>加变体</t>
  </si>
  <si>
    <t>分析竞争对手的相关动作，增加颜色卖的好的变体；</t>
  </si>
  <si>
    <t>最终的目标BSR排名</t>
  </si>
  <si>
    <t>大类1000名以内</t>
  </si>
  <si>
    <t>小类前30</t>
  </si>
  <si>
    <t>新品推广计划（高预算）</t>
  </si>
  <si>
    <t>序号</t>
  </si>
  <si>
    <t>项目名称</t>
  </si>
  <si>
    <t>项目解释</t>
  </si>
  <si>
    <t>推广目标</t>
  </si>
  <si>
    <t>测评数量</t>
  </si>
  <si>
    <t>预算金额-$</t>
  </si>
  <si>
    <t>时间周期(days)</t>
  </si>
  <si>
    <t>实施细节</t>
  </si>
  <si>
    <t>vine voice（无法参与）</t>
  </si>
  <si>
    <t>30个产品计划</t>
  </si>
  <si>
    <t>rank10000</t>
  </si>
  <si>
    <t>新品期30天</t>
  </si>
  <si>
    <t>亚马逊早期评论人计划</t>
  </si>
  <si>
    <t>60美金</t>
  </si>
  <si>
    <t>giveaway、coupon，捆绑促销</t>
  </si>
  <si>
    <t>产品A+页面</t>
  </si>
  <si>
    <t>主图视频</t>
  </si>
  <si>
    <t>图片建模</t>
  </si>
  <si>
    <t>CPC、ams广告、ARA及对手广告数据获取出单词竞价标准</t>
  </si>
  <si>
    <t>长期</t>
  </si>
  <si>
    <t>预算季度20%，前期控制排名，曝光优化图片，acos不管理，刷单刷广告词，中期转化率20%控制。后期CTR千分之5-1%,CR转化率10%合格,CR行业转化率15%.</t>
  </si>
  <si>
    <t>TopReviewer</t>
  </si>
  <si>
    <t>亚马逊职业测评师对产品做专业评测上传视频或文字测评内容，提供给消费者说服力和引导力，是最终形成购买的关键因素</t>
  </si>
  <si>
    <t>RANK30000</t>
  </si>
  <si>
    <t>5-10个优质Top reviewer,2个视频，3个图片，2个文字评字数50字</t>
  </si>
  <si>
    <t>超链和权威链接分享</t>
  </si>
  <si>
    <t>邮件分享或超链提高转化</t>
  </si>
  <si>
    <t>刷单（真实购买）</t>
  </si>
  <si>
    <t>第一周1-5个左右一天，看产品，自然销量增加后2-4个，刷关键转化率，保持持续出单，提升排名；增加好评维护评分提高转化</t>
  </si>
  <si>
    <t>rank20000</t>
  </si>
  <si>
    <t>看竞争对手</t>
  </si>
  <si>
    <t>螺旋式刷，配合广告曝光</t>
  </si>
  <si>
    <t>真实Reviewer评论+评论图片和视频</t>
  </si>
  <si>
    <t>找中介</t>
  </si>
  <si>
    <t>10—20</t>
  </si>
  <si>
    <t>监控差评增加好评10-20，依据行业定，做好评论跟进。</t>
  </si>
  <si>
    <t>直评论、qa、feedback</t>
  </si>
  <si>
    <t>每周增加2-3个直评</t>
  </si>
  <si>
    <t>每周1-3，埋词引导</t>
  </si>
  <si>
    <t>老账号购买</t>
  </si>
  <si>
    <t>社交红人推广、FaceBook、youtube红人、tomoson红人、刷促销量</t>
  </si>
  <si>
    <t xml:space="preserve">http://www.baixiaotangtop.com/BBS/Detail/10066 </t>
  </si>
  <si>
    <t>通过Yotube外部流量，通过reviewer测评最终形成购买</t>
  </si>
  <si>
    <t>确定推广日期，预算好推广数量，最好红人可以再购买产品，确认发帖时间，辅助红人留言</t>
  </si>
  <si>
    <t>加购物车</t>
  </si>
  <si>
    <t>每2天1次、中介</t>
  </si>
  <si>
    <t>增加权重</t>
  </si>
  <si>
    <t>15-30</t>
  </si>
  <si>
    <t>feedback及点赞跟进</t>
  </si>
  <si>
    <t>增加权重、点好评</t>
  </si>
  <si>
    <t>LD、LD加购、天天秒杀</t>
  </si>
  <si>
    <t>增加权重曝光</t>
  </si>
  <si>
    <t>月4次</t>
  </si>
  <si>
    <t>确定好秒杀时间</t>
  </si>
  <si>
    <t>BD</t>
  </si>
  <si>
    <t>sd类型平台促销、各个国外电子类或reddit类型网站发帖、可品牌合作</t>
  </si>
  <si>
    <t>http://www.baixiaotangtop.com/BBS/Detail/10066</t>
  </si>
  <si>
    <t>发帖sd50-150美金，品牌合作最低20美金</t>
  </si>
  <si>
    <t>电台、电视广告、bbc类型媒体、新闻网站</t>
  </si>
  <si>
    <t>联系发稿上新闻</t>
  </si>
  <si>
    <t>独立站引流到亚马逊+亚马逊联盟</t>
  </si>
  <si>
    <t>做透明计划或独家计划、限购、防断货、调价等等</t>
  </si>
  <si>
    <t>其他</t>
  </si>
  <si>
    <t>新品推广计划（低预算）</t>
  </si>
  <si>
    <t>单独建立listing</t>
  </si>
  <si>
    <t>完善5点，描述，图片，准备好A+图片和文案（A+先不上传）</t>
  </si>
  <si>
    <t>/</t>
  </si>
  <si>
    <t>合并到老的listing</t>
  </si>
  <si>
    <t>去同行标题寻找关键词放入ST</t>
  </si>
  <si>
    <t>开3个自动广告组</t>
  </si>
  <si>
    <t>根据产品情况和FBA库存而定</t>
  </si>
  <si>
    <t>$10-$50</t>
  </si>
  <si>
    <t>不刷免评，至少一张带图，图片必须精美，带视频最好</t>
  </si>
  <si>
    <t>&lt;$120</t>
  </si>
  <si>
    <t>与刷单同时进行，每天上2个，连续10天</t>
  </si>
  <si>
    <t>&lt;$30</t>
  </si>
  <si>
    <t>giveaway隔一天放一单，做8折扣码</t>
  </si>
  <si>
    <t>共做5单,控制好利润</t>
  </si>
  <si>
    <t>产品成本</t>
  </si>
  <si>
    <t>10天后评价QA都齐了，调整自动广告，开启手动广告</t>
  </si>
  <si>
    <t>否定点击差的词，好词放入词组和广泛，熟悉的词或特别好的词直接打精准</t>
  </si>
  <si>
    <t>$20-$50</t>
  </si>
  <si>
    <t>跟进亚马逊推荐的秒杀活动</t>
  </si>
  <si>
    <t>用父体里其他产品报名秒杀，能报的全报（后面留下时段好的，其他取消）秒杀编辑里其他产品去掉，留下新品，让秒杀过渡给新品独有</t>
  </si>
  <si>
    <t>拆分变体，上传A+页面</t>
  </si>
  <si>
    <t>自动广告刷流量，手动广告引订单</t>
  </si>
  <si>
    <t>每周下载周报告，每月下载月报告，定期调整</t>
  </si>
  <si>
    <t>视情况而定</t>
  </si>
  <si>
    <t>向老客户发邮件找他们测试店铺新品</t>
  </si>
  <si>
    <t>尽量先发给留了feedback的客户</t>
  </si>
  <si>
    <t>推广目标&amp;推广计划</t>
  </si>
  <si>
    <t>Date</t>
  </si>
  <si>
    <t>REVIEW计划</t>
  </si>
  <si>
    <t>定价</t>
  </si>
  <si>
    <t>推广计划</t>
  </si>
  <si>
    <t>目标日销及目标排名</t>
  </si>
  <si>
    <t>广告架构</t>
  </si>
  <si>
    <t>主要目标</t>
  </si>
  <si>
    <t>对应的词</t>
  </si>
  <si>
    <t>第一阶段</t>
  </si>
  <si>
    <t>1.4个直评
2.30个vine
3.私域库留评上3个测评单
4.国际vine共享</t>
  </si>
  <si>
    <t>1.链接：完善listing内容
2.优惠券：30%coupon挂上
3.QA: 上5组基本操作的QA部分
4.视频部分：做一个安装视频放买家秀
5.测评：私域库留评做3个测评单
6.投放post，每天一次</t>
  </si>
  <si>
    <t>5/#250</t>
  </si>
  <si>
    <t xml:space="preserve">
1. 包含hair 并且ABA排名小于30W的关键词
手动广告精准匹配，固定竞价，建议竞价1.2倍。预算10美金
2.包含hair 并且ABA排名大于30W的关键词
手动广告精准匹配，固定竞价，CPC 1.13，高预算
3.针对kit，clippers，groomer，dog，pet使用同样的广告策略</t>
  </si>
  <si>
    <t>1.增加关键词收录
2.增强系统对链接关键词标签识别
3.获得精准的流量，同时推进属性词的权重</t>
  </si>
  <si>
    <t>关键词词库</t>
  </si>
  <si>
    <t>第二阶段</t>
  </si>
  <si>
    <t>1.私域库留评上5个测评单</t>
  </si>
  <si>
    <t>1.优惠券：30%coupon挂上
2. QA: 做5组QA上去
3.测评：私域库留评上5个测评单
4.站外：联系YouTube网红，做视频宣传
5.投放post，每天一次</t>
  </si>
  <si>
    <t>10/#150</t>
  </si>
  <si>
    <t xml:space="preserve">
1.将第一阶段关键词排名自然排名进前三页的关键词拉出来开单词单组
使用固定竞价，CPC 为0.45美金，搜索结果其余位置200%
2.开启SBV视频广告投放出单多的关键词，进行流量补充
</t>
  </si>
  <si>
    <t>1.精准提升属性关键词排名
2.观察大词收录情况
3.视频广告拓展有效流量拓流</t>
  </si>
  <si>
    <t>广告报告和自然排名前3关键词</t>
  </si>
  <si>
    <t>第三阶段</t>
  </si>
  <si>
    <t>1.优惠券：关闭优惠券
2.QA: 上5组基本操作的QA部分
3.站外：联系做一波站外，折扣50%
4.测评：私域库留评上5个测评单
5.投放post，每天一次</t>
  </si>
  <si>
    <t>15#100</t>
  </si>
  <si>
    <t xml:space="preserve">1.对自然排名进首页的关键词，增加首页顶部200%
2.开启海量关键词捡漏，竞价为建议竞价的10%，提高或降低
</t>
  </si>
  <si>
    <t>1.继续提升关键词排名，目的从搜索结果其余位置转移到搜索结果顶部。
2.使用捡漏策略，增加订单</t>
  </si>
  <si>
    <t>自然排名首页关键词</t>
  </si>
  <si>
    <t>第四阶段</t>
  </si>
  <si>
    <t>1.使用明信片进行索评</t>
  </si>
  <si>
    <t>1.优惠券：关闭优惠券，做20%优惠券
2.申报秒杀
3.联系明信片
4.投放post，每天一次</t>
  </si>
  <si>
    <t>20#80</t>
  </si>
  <si>
    <t>1.针对主核心词进行精准投放，通过百分比强推首页顶部，必要时采取提高或降低
2.对于主核心词排名前40名的ASIN进行定位（SP,SD看竞价）精准，建议竞价1.2倍，固定竞价，中等预算
3.开启自动广告，建议竞价的中位数，低预算</t>
  </si>
  <si>
    <t>1.最大力气冲击核心词的排名
2.通过SP,SD打关联流量
3.自动广告拓流</t>
  </si>
  <si>
    <t>dog grooming vacuum
dog grooming
pet grooming vacuum for dogs
pet grooming kit
dog hair vacuum
pet grooming vacuum</t>
  </si>
  <si>
    <t>爆款打造推广计划（20个动作）</t>
  </si>
  <si>
    <t>运营动作</t>
  </si>
  <si>
    <t>运营动作说明</t>
  </si>
  <si>
    <t>vine voice</t>
  </si>
  <si>
    <t>测评人计划</t>
  </si>
  <si>
    <t>coupon优惠券</t>
  </si>
  <si>
    <t>Product descriptionA+、From the manufacturer</t>
  </si>
  <si>
    <t>CPC广告、ABA及对手广告数据获取出单词竞价标准</t>
  </si>
  <si>
    <t>S单（真实购买VP订单）</t>
  </si>
  <si>
    <t>螺旋式S单，配合广告曝光</t>
  </si>
  <si>
    <t>直评论、QA、feedback</t>
  </si>
  <si>
    <t>社交红人推广、FaceBook、youtube红人、刷促销量</t>
  </si>
  <si>
    <t>、</t>
  </si>
  <si>
    <t>LD、LD加购、天天秒杀（风险大）</t>
  </si>
  <si>
    <t>BD申请，账户经理</t>
  </si>
  <si>
    <t>A产品asin12335bo销售美国推广计划</t>
  </si>
  <si>
    <t>进度计划</t>
  </si>
  <si>
    <r>
      <rPr>
        <sz val="11"/>
        <color theme="1"/>
        <rFont val="Tahoma"/>
        <charset val="134"/>
      </rPr>
      <t>4</t>
    </r>
    <r>
      <rPr>
        <sz val="11"/>
        <color theme="1"/>
        <rFont val="宋体"/>
        <charset val="134"/>
      </rPr>
      <t>月</t>
    </r>
  </si>
  <si>
    <r>
      <rPr>
        <sz val="11"/>
        <color theme="1"/>
        <rFont val="Tahoma"/>
        <charset val="134"/>
      </rPr>
      <t>5月</t>
    </r>
  </si>
  <si>
    <r>
      <rPr>
        <sz val="11"/>
        <color theme="1"/>
        <rFont val="Tahoma"/>
        <charset val="134"/>
      </rPr>
      <t>6月</t>
    </r>
  </si>
  <si>
    <r>
      <rPr>
        <sz val="11"/>
        <color theme="1"/>
        <rFont val="Tahoma"/>
        <charset val="134"/>
      </rPr>
      <t>7月</t>
    </r>
  </si>
  <si>
    <r>
      <rPr>
        <sz val="11"/>
        <color theme="1"/>
        <rFont val="Tahoma"/>
        <charset val="134"/>
      </rPr>
      <t>8月</t>
    </r>
  </si>
  <si>
    <r>
      <rPr>
        <sz val="11"/>
        <color theme="1"/>
        <rFont val="Tahoma"/>
        <charset val="134"/>
      </rPr>
      <t>9月</t>
    </r>
  </si>
  <si>
    <r>
      <rPr>
        <sz val="11"/>
        <color theme="1"/>
        <rFont val="Tahoma"/>
        <charset val="134"/>
      </rPr>
      <t>10月</t>
    </r>
  </si>
  <si>
    <r>
      <rPr>
        <sz val="11"/>
        <color theme="1"/>
        <rFont val="Tahoma"/>
        <charset val="134"/>
      </rPr>
      <t>11月</t>
    </r>
  </si>
  <si>
    <r>
      <rPr>
        <sz val="11"/>
        <color theme="1"/>
        <rFont val="Tahoma"/>
        <charset val="134"/>
      </rPr>
      <t>12月</t>
    </r>
  </si>
  <si>
    <r>
      <rPr>
        <sz val="11"/>
        <color theme="1"/>
        <rFont val="Tahoma"/>
        <charset val="134"/>
      </rPr>
      <t>1</t>
    </r>
    <r>
      <rPr>
        <sz val="11"/>
        <color theme="1"/>
        <rFont val="宋体"/>
        <charset val="134"/>
      </rPr>
      <t>月</t>
    </r>
  </si>
  <si>
    <r>
      <rPr>
        <sz val="11"/>
        <color theme="1"/>
        <rFont val="Tahoma"/>
        <charset val="134"/>
      </rPr>
      <t>2月</t>
    </r>
  </si>
  <si>
    <r>
      <rPr>
        <sz val="11"/>
        <color theme="1"/>
        <rFont val="Tahoma"/>
        <charset val="134"/>
      </rPr>
      <t>3月</t>
    </r>
  </si>
  <si>
    <t>总计</t>
  </si>
  <si>
    <t>销量</t>
  </si>
  <si>
    <t>价格</t>
  </si>
  <si>
    <t>销售额</t>
  </si>
  <si>
    <t>产品总成本</t>
  </si>
  <si>
    <t>亚马逊佣金</t>
  </si>
  <si>
    <t>FBA物流</t>
  </si>
  <si>
    <t>退货</t>
  </si>
  <si>
    <t>站内广告</t>
  </si>
  <si>
    <t>测评费用
（含测评亚马逊佣金、fba物流费和中介佣金）</t>
  </si>
  <si>
    <t>头程</t>
  </si>
  <si>
    <r>
      <rPr>
        <b/>
        <sz val="11"/>
        <color theme="1"/>
        <rFont val="宋体"/>
        <charset val="134"/>
      </rPr>
      <t>站内</t>
    </r>
    <r>
      <rPr>
        <b/>
        <sz val="11"/>
        <color theme="1"/>
        <rFont val="Tahoma"/>
        <charset val="134"/>
      </rPr>
      <t>deal</t>
    </r>
  </si>
  <si>
    <r>
      <rPr>
        <b/>
        <sz val="11"/>
        <color theme="1"/>
        <rFont val="宋体"/>
        <charset val="134"/>
      </rPr>
      <t>站外</t>
    </r>
    <r>
      <rPr>
        <b/>
        <sz val="11"/>
        <color theme="1"/>
        <rFont val="Tahoma"/>
        <charset val="134"/>
      </rPr>
      <t>deal</t>
    </r>
  </si>
  <si>
    <t>推广</t>
  </si>
  <si>
    <t>备注其他推广手段</t>
  </si>
  <si>
    <t>利润</t>
  </si>
  <si>
    <r>
      <rPr>
        <sz val="16"/>
        <color theme="1"/>
        <rFont val="Tahoma"/>
        <charset val="134"/>
      </rPr>
      <t xml:space="preserve">1. </t>
    </r>
    <r>
      <rPr>
        <sz val="16"/>
        <color theme="1"/>
        <rFont val="宋体"/>
        <charset val="134"/>
      </rPr>
      <t>英国年度销量预计：</t>
    </r>
    <r>
      <rPr>
        <sz val="16"/>
        <color theme="1"/>
        <rFont val="Tahoma"/>
        <charset val="134"/>
      </rPr>
      <t xml:space="preserve">pcs    </t>
    </r>
    <r>
      <rPr>
        <sz val="16"/>
        <color theme="1"/>
        <rFont val="宋体"/>
        <charset val="134"/>
      </rPr>
      <t>销售额预计：</t>
    </r>
    <r>
      <rPr>
        <sz val="16"/>
        <color theme="1"/>
        <rFont val="Tahoma"/>
        <charset val="134"/>
      </rPr>
      <t xml:space="preserve">   
2. </t>
    </r>
    <r>
      <rPr>
        <sz val="16"/>
        <rFont val="宋体"/>
        <charset val="134"/>
      </rPr>
      <t>年度毛利润额（除去退货广告推广测评</t>
    </r>
    <r>
      <rPr>
        <sz val="16"/>
        <rFont val="Tahoma"/>
        <charset val="134"/>
      </rPr>
      <t>deal</t>
    </r>
    <r>
      <rPr>
        <sz val="16"/>
        <rFont val="宋体"/>
        <charset val="134"/>
      </rPr>
      <t>等）：</t>
    </r>
    <r>
      <rPr>
        <sz val="16"/>
        <rFont val="Tahoma"/>
        <charset val="134"/>
      </rPr>
      <t xml:space="preserve"> </t>
    </r>
    <r>
      <rPr>
        <sz val="16"/>
        <color rgb="FFFF0000"/>
        <rFont val="Tahoma"/>
        <charset val="134"/>
      </rPr>
      <t xml:space="preserve">
</t>
    </r>
    <r>
      <rPr>
        <sz val="16"/>
        <rFont val="Tahoma"/>
        <charset val="134"/>
      </rPr>
      <t xml:space="preserve">3. </t>
    </r>
    <r>
      <rPr>
        <sz val="16"/>
        <rFont val="宋体"/>
        <charset val="134"/>
      </rPr>
      <t>毛利润率</t>
    </r>
    <r>
      <rPr>
        <sz val="16"/>
        <rFont val="Tahoma"/>
        <charset val="134"/>
      </rPr>
      <t>:</t>
    </r>
  </si>
  <si>
    <t>跟踪表部分asin数据状态和登记日期</t>
  </si>
  <si>
    <t>备货计划</t>
  </si>
  <si>
    <t>推广计划周报</t>
  </si>
  <si>
    <t>推广计划本月报</t>
  </si>
  <si>
    <t>推广计划下月预计报</t>
  </si>
  <si>
    <t>Type</t>
  </si>
  <si>
    <t>Brand</t>
  </si>
  <si>
    <t>SKU</t>
  </si>
  <si>
    <t>product-name</t>
  </si>
  <si>
    <t>ASIN</t>
  </si>
  <si>
    <t>Track Date</t>
  </si>
  <si>
    <t>Price</t>
  </si>
  <si>
    <t>RANK</t>
  </si>
  <si>
    <t>product star</t>
  </si>
  <si>
    <t>review (数量）</t>
  </si>
  <si>
    <t>Sales</t>
  </si>
  <si>
    <t>Inventory</t>
  </si>
  <si>
    <t>本月底预计剩余库存余量</t>
  </si>
  <si>
    <t>预计下月所需库存量</t>
  </si>
  <si>
    <t>在途库存量1</t>
  </si>
  <si>
    <t>本月发货时间</t>
  </si>
  <si>
    <t>预计库存到货时间</t>
  </si>
  <si>
    <t>预计产品到货时间当天在仓余量</t>
  </si>
  <si>
    <t>预计库存到货后合计库存在仓余量(减去预估销量后剩余的库存）</t>
  </si>
  <si>
    <t>预计下月底亚马逊库存在仓余量</t>
  </si>
  <si>
    <t>是否会缺货？填写是或否</t>
  </si>
  <si>
    <t>本周计划上评</t>
  </si>
  <si>
    <t>上评完成率</t>
  </si>
  <si>
    <t>本周计划销量</t>
  </si>
  <si>
    <t>本周销量完成率（均按照实际完成填写）</t>
  </si>
  <si>
    <t>本周推广计划费用$（广告/站内站外推广加刷单刷评论，含刷单中介佣金+刷单产品成本、fba佣金、fba物流费）</t>
  </si>
  <si>
    <t>本周推广计划花费完成率</t>
  </si>
  <si>
    <t>本月计划上评</t>
  </si>
  <si>
    <t>本月完成率</t>
  </si>
  <si>
    <t>本月计划销量</t>
  </si>
  <si>
    <t>本月销量完成率</t>
  </si>
  <si>
    <t>本月推广计划费用$（广告/站内站外推广加刷单刷评论，含刷单中介佣金+刷单产品成本、fba佣金、fba物流费）</t>
  </si>
  <si>
    <t>本月推广计划花费完成率</t>
  </si>
  <si>
    <t>下月计划上评</t>
  </si>
  <si>
    <t>下月完成率</t>
  </si>
  <si>
    <t>下月计划销量</t>
  </si>
  <si>
    <t>下月销量完成率</t>
  </si>
  <si>
    <t>下月推广计划费用$（广告/站内站外推广加刷单刷评论，含刷单中介佣金+刷单产品成本、fba佣金、fba物流费）</t>
  </si>
  <si>
    <t>下月推广计划花费完成率</t>
  </si>
  <si>
    <t>a18</t>
  </si>
  <si>
    <t>A</t>
  </si>
  <si>
    <t>Q00046</t>
  </si>
  <si>
    <t>6DAAD7U</t>
  </si>
  <si>
    <t>A产品销售英国推广计划</t>
  </si>
  <si>
    <t>测评费用</t>
  </si>
  <si>
    <t>总结：</t>
  </si>
  <si>
    <r>
      <rPr>
        <sz val="16"/>
        <color theme="1"/>
        <rFont val="Tahoma"/>
        <charset val="134"/>
      </rPr>
      <t xml:space="preserve">1. </t>
    </r>
    <r>
      <rPr>
        <sz val="16"/>
        <color theme="1"/>
        <rFont val="宋体"/>
        <charset val="134"/>
      </rPr>
      <t>英国年度销量预计：</t>
    </r>
    <r>
      <rPr>
        <sz val="16"/>
        <color theme="1"/>
        <rFont val="Tahoma"/>
        <charset val="134"/>
      </rPr>
      <t xml:space="preserve">4850-5000pcs    </t>
    </r>
    <r>
      <rPr>
        <sz val="16"/>
        <color theme="1"/>
        <rFont val="宋体"/>
        <charset val="134"/>
      </rPr>
      <t>销售额预计：</t>
    </r>
    <r>
      <rPr>
        <sz val="16"/>
        <color theme="1"/>
        <rFont val="Tahoma"/>
        <charset val="134"/>
      </rPr>
      <t xml:space="preserve"> 22W-23W  GBP    
2. </t>
    </r>
    <r>
      <rPr>
        <sz val="16"/>
        <rFont val="宋体"/>
        <charset val="134"/>
      </rPr>
      <t>年度毛利润额（除去退货广告推广测评</t>
    </r>
    <r>
      <rPr>
        <sz val="16"/>
        <rFont val="Tahoma"/>
        <charset val="134"/>
      </rPr>
      <t>deal</t>
    </r>
    <r>
      <rPr>
        <sz val="16"/>
        <rFont val="宋体"/>
        <charset val="134"/>
      </rPr>
      <t>等）：</t>
    </r>
    <r>
      <rPr>
        <sz val="16"/>
        <rFont val="Tahoma"/>
        <charset val="134"/>
      </rPr>
      <t xml:space="preserve"> </t>
    </r>
    <r>
      <rPr>
        <sz val="16"/>
        <color rgb="FFFF0000"/>
        <rFont val="Tahoma"/>
        <charset val="134"/>
      </rPr>
      <t xml:space="preserve">
   </t>
    </r>
    <r>
      <rPr>
        <sz val="16"/>
        <rFont val="Tahoma"/>
        <charset val="134"/>
      </rPr>
      <t>15.44*4850-22305.15-11152.58-12417.3-800-200-1200</t>
    </r>
    <r>
      <rPr>
        <sz val="16"/>
        <color rgb="FFFF0000"/>
        <rFont val="Tahoma"/>
        <charset val="134"/>
      </rPr>
      <t xml:space="preserve">=2.7W GBP = 23W RMB
</t>
    </r>
    <r>
      <rPr>
        <sz val="16"/>
        <rFont val="Tahoma"/>
        <charset val="134"/>
      </rPr>
      <t xml:space="preserve">3. </t>
    </r>
    <r>
      <rPr>
        <sz val="16"/>
        <rFont val="宋体"/>
        <charset val="134"/>
      </rPr>
      <t>毛利润率</t>
    </r>
    <r>
      <rPr>
        <sz val="16"/>
        <rFont val="Tahoma"/>
        <charset val="134"/>
      </rPr>
      <t xml:space="preserve">=12%  
4. </t>
    </r>
    <r>
      <rPr>
        <sz val="16"/>
        <rFont val="宋体"/>
        <charset val="134"/>
      </rPr>
      <t>综上所述预计欧洲五国年度销量：</t>
    </r>
    <r>
      <rPr>
        <sz val="16"/>
        <rFont val="Tahoma"/>
        <charset val="134"/>
      </rPr>
      <t xml:space="preserve"> 1.3W pcs   </t>
    </r>
    <r>
      <rPr>
        <sz val="16"/>
        <rFont val="宋体"/>
        <charset val="134"/>
      </rPr>
      <t>销售额预计：</t>
    </r>
    <r>
      <rPr>
        <sz val="16"/>
        <rFont val="Tahoma"/>
        <charset val="134"/>
      </rPr>
      <t xml:space="preserve"> 600W RMB   </t>
    </r>
    <r>
      <rPr>
        <sz val="16"/>
        <rFont val="宋体"/>
        <charset val="134"/>
      </rPr>
      <t>毛利：</t>
    </r>
    <r>
      <rPr>
        <sz val="16"/>
        <rFont val="Tahoma"/>
        <charset val="134"/>
      </rPr>
      <t xml:space="preserve"> 70W RMB</t>
    </r>
  </si>
  <si>
    <t>汇率：</t>
  </si>
  <si>
    <r>
      <rPr>
        <sz val="11"/>
        <color theme="1"/>
        <rFont val="宋体"/>
        <charset val="134"/>
      </rPr>
      <t>产品名称</t>
    </r>
  </si>
  <si>
    <t>国家</t>
  </si>
  <si>
    <r>
      <rPr>
        <sz val="11"/>
        <color theme="1"/>
        <rFont val="宋体"/>
        <charset val="134"/>
      </rPr>
      <t>售价</t>
    </r>
  </si>
  <si>
    <r>
      <rPr>
        <sz val="11"/>
        <color theme="1"/>
        <rFont val="宋体"/>
        <charset val="134"/>
      </rPr>
      <t>佣金比例</t>
    </r>
  </si>
  <si>
    <r>
      <rPr>
        <sz val="11"/>
        <color theme="1"/>
        <rFont val="宋体"/>
        <charset val="134"/>
      </rPr>
      <t>佣金</t>
    </r>
  </si>
  <si>
    <r>
      <rPr>
        <sz val="11"/>
        <color theme="1"/>
        <rFont val="宋体"/>
        <charset val="134"/>
      </rPr>
      <t>平台运费</t>
    </r>
  </si>
  <si>
    <r>
      <rPr>
        <sz val="11"/>
        <color theme="1"/>
        <rFont val="宋体"/>
        <charset val="134"/>
      </rPr>
      <t>空运</t>
    </r>
  </si>
  <si>
    <r>
      <rPr>
        <sz val="11"/>
        <color theme="1"/>
        <rFont val="宋体"/>
        <charset val="134"/>
      </rPr>
      <t>最低售价</t>
    </r>
  </si>
  <si>
    <r>
      <rPr>
        <sz val="11"/>
        <color theme="1"/>
        <rFont val="宋体"/>
        <charset val="134"/>
      </rPr>
      <t>成本（</t>
    </r>
    <r>
      <rPr>
        <sz val="11"/>
        <color theme="1"/>
        <rFont val="Calibri"/>
        <charset val="134"/>
      </rPr>
      <t>RMB</t>
    </r>
    <r>
      <rPr>
        <sz val="11"/>
        <color theme="1"/>
        <rFont val="宋体"/>
        <charset val="134"/>
      </rPr>
      <t>）</t>
    </r>
  </si>
  <si>
    <t>成本</t>
  </si>
  <si>
    <r>
      <rPr>
        <sz val="11"/>
        <color theme="1"/>
        <rFont val="宋体"/>
        <charset val="134"/>
      </rPr>
      <t>毛利</t>
    </r>
  </si>
  <si>
    <r>
      <rPr>
        <sz val="11"/>
        <color theme="1"/>
        <rFont val="宋体"/>
        <charset val="134"/>
      </rPr>
      <t>毛利润率</t>
    </r>
  </si>
  <si>
    <t>英国</t>
  </si>
  <si>
    <t>欧四</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</si>
</sst>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00_ "/>
    <numFmt numFmtId="178" formatCode="\¥#,##0.00;\¥\-#,##0.00"/>
    <numFmt numFmtId="179" formatCode="\$#,##0.00;\-\$#,##0.00"/>
    <numFmt numFmtId="180" formatCode="m&quot;月&quot;d&quot;日&quot;;@"/>
  </numFmts>
  <fonts count="56">
    <font>
      <sz val="11"/>
      <color theme="1"/>
      <name val="Tahoma"/>
      <charset val="134"/>
    </font>
    <font>
      <sz val="26"/>
      <color theme="1"/>
      <name val="Calibri"/>
      <charset val="134"/>
    </font>
    <font>
      <sz val="11"/>
      <color theme="1"/>
      <name val="Calibri"/>
      <charset val="134"/>
    </font>
    <font>
      <sz val="11"/>
      <color theme="1"/>
      <name val="宋体"/>
      <charset val="134"/>
    </font>
    <font>
      <sz val="11"/>
      <color theme="1"/>
      <name val="宋体"/>
      <charset val="134"/>
      <scheme val="minor"/>
    </font>
    <font>
      <sz val="11"/>
      <color indexed="8"/>
      <name val="Calibri"/>
      <charset val="134"/>
    </font>
    <font>
      <b/>
      <sz val="11"/>
      <color theme="1"/>
      <name val="宋体"/>
      <charset val="134"/>
    </font>
    <font>
      <b/>
      <sz val="11"/>
      <color theme="1"/>
      <name val="Tahoma"/>
      <charset val="134"/>
    </font>
    <font>
      <sz val="16"/>
      <color theme="1"/>
      <name val="Tahoma"/>
      <charset val="134"/>
    </font>
    <font>
      <b/>
      <sz val="26"/>
      <color theme="1"/>
      <name val="宋体"/>
      <charset val="134"/>
    </font>
    <font>
      <b/>
      <sz val="26"/>
      <color theme="1"/>
      <name val="Tahoma"/>
      <charset val="134"/>
    </font>
    <font>
      <b/>
      <sz val="8"/>
      <color theme="1"/>
      <name val="Arial Unicode MS"/>
      <charset val="134"/>
    </font>
    <font>
      <sz val="10"/>
      <color theme="1"/>
      <name val="微软雅黑"/>
      <charset val="134"/>
    </font>
    <font>
      <b/>
      <sz val="8"/>
      <color rgb="FF000000"/>
      <name val="Arial Unicode MS"/>
      <charset val="134"/>
    </font>
    <font>
      <sz val="9"/>
      <color theme="1"/>
      <name val="宋体"/>
      <charset val="134"/>
    </font>
    <font>
      <b/>
      <sz val="26"/>
      <color theme="0"/>
      <name val="宋体"/>
      <charset val="134"/>
    </font>
    <font>
      <b/>
      <sz val="20"/>
      <color theme="1"/>
      <name val="微软雅黑"/>
      <charset val="134"/>
    </font>
    <font>
      <b/>
      <sz val="10"/>
      <color theme="1"/>
      <name val="微软雅黑"/>
      <charset val="134"/>
    </font>
    <font>
      <u/>
      <sz val="11"/>
      <color rgb="FF800080"/>
      <name val="宋体"/>
      <charset val="134"/>
      <scheme val="minor"/>
    </font>
    <font>
      <u/>
      <sz val="10"/>
      <color rgb="FF0000FF"/>
      <name val="微软雅黑"/>
      <charset val="134"/>
    </font>
    <font>
      <b/>
      <sz val="36"/>
      <color rgb="FF000000"/>
      <name val="宋体"/>
      <charset val="134"/>
    </font>
    <font>
      <b/>
      <sz val="10"/>
      <name val="微软雅黑"/>
      <charset val="134"/>
    </font>
    <font>
      <sz val="10"/>
      <name val="微软雅黑"/>
      <charset val="134"/>
    </font>
    <font>
      <b/>
      <sz val="16"/>
      <color theme="1"/>
      <name val="微软雅黑"/>
      <charset val="134"/>
    </font>
    <font>
      <b/>
      <sz val="48"/>
      <color rgb="FFFFFFFF"/>
      <name val="宋体"/>
      <charset val="134"/>
    </font>
    <font>
      <b/>
      <sz val="48"/>
      <color theme="0"/>
      <name val="宋体"/>
      <charset val="134"/>
      <scheme val="minor"/>
    </font>
    <font>
      <sz val="48"/>
      <color theme="0"/>
      <name val="宋体"/>
      <charset val="134"/>
      <scheme val="minor"/>
    </font>
    <font>
      <b/>
      <sz val="11"/>
      <color theme="1"/>
      <name val="宋体"/>
      <charset val="134"/>
      <scheme val="minor"/>
    </font>
    <font>
      <sz val="11"/>
      <name val="宋体"/>
      <charset val="134"/>
      <scheme val="minor"/>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theme="1"/>
      <name val="宋体"/>
      <charset val="134"/>
      <scheme val="minor"/>
    </font>
    <font>
      <sz val="9"/>
      <name val="宋体"/>
      <charset val="134"/>
    </font>
    <font>
      <sz val="11"/>
      <color rgb="FF000000"/>
      <name val="宋体"/>
      <charset val="134"/>
    </font>
    <font>
      <sz val="12"/>
      <name val="宋体"/>
      <charset val="134"/>
    </font>
    <font>
      <sz val="16"/>
      <color theme="1"/>
      <name val="宋体"/>
      <charset val="134"/>
    </font>
    <font>
      <sz val="16"/>
      <name val="宋体"/>
      <charset val="134"/>
    </font>
    <font>
      <sz val="16"/>
      <name val="Tahoma"/>
      <charset val="134"/>
    </font>
    <font>
      <sz val="16"/>
      <color rgb="FFFF0000"/>
      <name val="Tahoma"/>
      <charset val="134"/>
    </font>
  </fonts>
  <fills count="45">
    <fill>
      <patternFill patternType="none"/>
    </fill>
    <fill>
      <patternFill patternType="gray125"/>
    </fill>
    <fill>
      <patternFill patternType="solid">
        <fgColor theme="9" tint="0.599993896298105"/>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00B050"/>
        <bgColor indexed="64"/>
      </patternFill>
    </fill>
    <fill>
      <patternFill patternType="solid">
        <fgColor theme="3" tint="0.599993896298105"/>
        <bgColor indexed="64"/>
      </patternFill>
    </fill>
    <fill>
      <patternFill patternType="solid">
        <fgColor theme="4" tint="-0.249977111117893"/>
        <bgColor indexed="64"/>
      </patternFill>
    </fill>
    <fill>
      <patternFill patternType="solid">
        <fgColor theme="8" tint="-0.249977111117893"/>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6"/>
        <bgColor indexed="64"/>
      </patternFill>
    </fill>
    <fill>
      <patternFill patternType="solid">
        <fgColor theme="5" tint="0.399945066682943"/>
        <bgColor indexed="64"/>
      </patternFill>
    </fill>
    <fill>
      <patternFill patternType="solid">
        <fgColor theme="0" tint="-0.14996795556505"/>
        <bgColor indexed="64"/>
      </patternFill>
    </fill>
    <fill>
      <patternFill patternType="solid">
        <fgColor rgb="FF6DD9FF"/>
        <bgColor indexed="64"/>
      </patternFill>
    </fill>
    <fill>
      <patternFill patternType="solid">
        <fgColor rgb="FFFFC000"/>
        <bgColor indexed="64"/>
      </patternFill>
    </fill>
    <fill>
      <patternFill patternType="solid">
        <fgColor rgb="FF8EB4E2"/>
        <bgColor indexed="64"/>
      </patternFill>
    </fill>
    <fill>
      <patternFill patternType="solid">
        <fgColor theme="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49">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rgb="FF7030A0"/>
      </left>
      <right style="hair">
        <color rgb="FF7030A0"/>
      </right>
      <top style="medium">
        <color rgb="FF7030A0"/>
      </top>
      <bottom style="hair">
        <color rgb="FF7030A0"/>
      </bottom>
      <diagonal/>
    </border>
    <border>
      <left style="hair">
        <color rgb="FF7030A0"/>
      </left>
      <right style="hair">
        <color rgb="FF7030A0"/>
      </right>
      <top style="medium">
        <color rgb="FF7030A0"/>
      </top>
      <bottom style="hair">
        <color rgb="FF7030A0"/>
      </bottom>
      <diagonal/>
    </border>
    <border>
      <left style="medium">
        <color rgb="FF7030A0"/>
      </left>
      <right style="hair">
        <color rgb="FF7030A0"/>
      </right>
      <top style="hair">
        <color rgb="FF7030A0"/>
      </top>
      <bottom style="hair">
        <color rgb="FF7030A0"/>
      </bottom>
      <diagonal/>
    </border>
    <border>
      <left style="hair">
        <color rgb="FF7030A0"/>
      </left>
      <right style="hair">
        <color rgb="FF7030A0"/>
      </right>
      <top style="hair">
        <color rgb="FF7030A0"/>
      </top>
      <bottom style="hair">
        <color rgb="FF7030A0"/>
      </bottom>
      <diagonal/>
    </border>
    <border>
      <left style="hair">
        <color rgb="FF7030A0"/>
      </left>
      <right style="medium">
        <color rgb="FF7030A0"/>
      </right>
      <top style="medium">
        <color rgb="FF7030A0"/>
      </top>
      <bottom style="hair">
        <color rgb="FF7030A0"/>
      </bottom>
      <diagonal/>
    </border>
    <border>
      <left style="hair">
        <color rgb="FF7030A0"/>
      </left>
      <right style="medium">
        <color rgb="FF7030A0"/>
      </right>
      <top style="hair">
        <color rgb="FF7030A0"/>
      </top>
      <bottom style="hair">
        <color rgb="FF7030A0"/>
      </bottom>
      <diagonal/>
    </border>
    <border>
      <left style="medium">
        <color rgb="FF7030A0"/>
      </left>
      <right style="hair">
        <color rgb="FF7030A0"/>
      </right>
      <top style="hair">
        <color rgb="FF7030A0"/>
      </top>
      <bottom style="medium">
        <color rgb="FF7030A0"/>
      </bottom>
      <diagonal/>
    </border>
    <border>
      <left style="hair">
        <color rgb="FF7030A0"/>
      </left>
      <right style="hair">
        <color rgb="FF7030A0"/>
      </right>
      <top style="hair">
        <color rgb="FF7030A0"/>
      </top>
      <bottom style="medium">
        <color rgb="FF7030A0"/>
      </bottom>
      <diagonal/>
    </border>
    <border>
      <left style="hair">
        <color rgb="FF7030A0"/>
      </left>
      <right style="medium">
        <color rgb="FF7030A0"/>
      </right>
      <top style="hair">
        <color rgb="FF7030A0"/>
      </top>
      <bottom style="medium">
        <color rgb="FF7030A0"/>
      </bottom>
      <diagonal/>
    </border>
    <border>
      <left style="thick">
        <color rgb="FF7030A0"/>
      </left>
      <right style="hair">
        <color rgb="FF7030A0"/>
      </right>
      <top style="thick">
        <color rgb="FF7030A0"/>
      </top>
      <bottom style="hair">
        <color rgb="FF7030A0"/>
      </bottom>
      <diagonal/>
    </border>
    <border>
      <left style="hair">
        <color rgb="FF7030A0"/>
      </left>
      <right style="hair">
        <color rgb="FF7030A0"/>
      </right>
      <top style="thick">
        <color rgb="FF7030A0"/>
      </top>
      <bottom style="hair">
        <color rgb="FF7030A0"/>
      </bottom>
      <diagonal/>
    </border>
    <border>
      <left style="thick">
        <color rgb="FF7030A0"/>
      </left>
      <right style="hair">
        <color rgb="FF7030A0"/>
      </right>
      <top style="hair">
        <color rgb="FF7030A0"/>
      </top>
      <bottom style="thick">
        <color rgb="FF7030A0"/>
      </bottom>
      <diagonal/>
    </border>
    <border>
      <left style="hair">
        <color rgb="FF7030A0"/>
      </left>
      <right style="hair">
        <color rgb="FF7030A0"/>
      </right>
      <top style="hair">
        <color rgb="FF7030A0"/>
      </top>
      <bottom style="thick">
        <color rgb="FF7030A0"/>
      </bottom>
      <diagonal/>
    </border>
    <border>
      <left style="hair">
        <color theme="7"/>
      </left>
      <right style="hair">
        <color theme="7"/>
      </right>
      <top/>
      <bottom style="hair">
        <color theme="7"/>
      </bottom>
      <diagonal/>
    </border>
    <border>
      <left style="hair">
        <color rgb="FF7030A0"/>
      </left>
      <right style="thick">
        <color rgb="FF7030A0"/>
      </right>
      <top style="thick">
        <color rgb="FF7030A0"/>
      </top>
      <bottom style="hair">
        <color rgb="FF7030A0"/>
      </bottom>
      <diagonal/>
    </border>
    <border>
      <left style="hair">
        <color rgb="FF7030A0"/>
      </left>
      <right style="thick">
        <color rgb="FF7030A0"/>
      </right>
      <top style="hair">
        <color rgb="FF7030A0"/>
      </top>
      <bottom style="thick">
        <color rgb="FF7030A0"/>
      </bottom>
      <diagonal/>
    </border>
    <border>
      <left style="thin">
        <color theme="7"/>
      </left>
      <right/>
      <top style="thin">
        <color theme="7"/>
      </top>
      <bottom/>
      <diagonal/>
    </border>
    <border>
      <left/>
      <right/>
      <top style="thin">
        <color theme="7"/>
      </top>
      <bottom/>
      <diagonal/>
    </border>
    <border>
      <left style="thin">
        <color theme="7"/>
      </left>
      <right/>
      <top/>
      <bottom/>
      <diagonal/>
    </border>
    <border>
      <left style="thin">
        <color theme="7"/>
      </left>
      <right/>
      <top/>
      <bottom style="thin">
        <color theme="7"/>
      </bottom>
      <diagonal/>
    </border>
    <border>
      <left/>
      <right/>
      <top/>
      <bottom style="thin">
        <color theme="7"/>
      </bottom>
      <diagonal/>
    </border>
    <border>
      <left style="thin">
        <color theme="7"/>
      </left>
      <right style="thin">
        <color theme="7"/>
      </right>
      <top style="thin">
        <color theme="7"/>
      </top>
      <bottom style="thin">
        <color theme="7"/>
      </bottom>
      <diagonal/>
    </border>
    <border>
      <left/>
      <right style="thin">
        <color theme="7"/>
      </right>
      <top style="thin">
        <color theme="7"/>
      </top>
      <bottom/>
      <diagonal/>
    </border>
    <border>
      <left/>
      <right style="thin">
        <color theme="7"/>
      </right>
      <top/>
      <bottom/>
      <diagonal/>
    </border>
    <border>
      <left/>
      <right style="thin">
        <color theme="7"/>
      </right>
      <top/>
      <bottom style="thin">
        <color theme="7"/>
      </bottom>
      <diagonal/>
    </border>
    <border>
      <left style="thick">
        <color rgb="FF7030A0"/>
      </left>
      <right style="hair">
        <color rgb="FF7030A0"/>
      </right>
      <top style="hair">
        <color rgb="FF7030A0"/>
      </top>
      <bottom style="hair">
        <color rgb="FF7030A0"/>
      </bottom>
      <diagonal/>
    </border>
    <border>
      <left style="hair">
        <color rgb="FF7030A0"/>
      </left>
      <right style="thick">
        <color rgb="FF7030A0"/>
      </right>
      <top style="hair">
        <color rgb="FF7030A0"/>
      </top>
      <bottom style="hair">
        <color rgb="FF7030A0"/>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top/>
      <bottom style="thin">
        <color auto="1"/>
      </bottom>
      <diagonal/>
    </border>
    <border>
      <left style="thin">
        <color auto="1"/>
      </left>
      <right style="thin">
        <color auto="1"/>
      </right>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4" fillId="20" borderId="41"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42" applyNumberFormat="0" applyFill="0" applyAlignment="0" applyProtection="0">
      <alignment vertical="center"/>
    </xf>
    <xf numFmtId="0" fontId="35" fillId="0" borderId="42" applyNumberFormat="0" applyFill="0" applyAlignment="0" applyProtection="0">
      <alignment vertical="center"/>
    </xf>
    <xf numFmtId="0" fontId="36" fillId="0" borderId="43" applyNumberFormat="0" applyFill="0" applyAlignment="0" applyProtection="0">
      <alignment vertical="center"/>
    </xf>
    <xf numFmtId="0" fontId="36" fillId="0" borderId="0" applyNumberFormat="0" applyFill="0" applyBorder="0" applyAlignment="0" applyProtection="0">
      <alignment vertical="center"/>
    </xf>
    <xf numFmtId="0" fontId="37" fillId="21" borderId="44" applyNumberFormat="0" applyAlignment="0" applyProtection="0">
      <alignment vertical="center"/>
    </xf>
    <xf numFmtId="0" fontId="38" fillId="22" borderId="45" applyNumberFormat="0" applyAlignment="0" applyProtection="0">
      <alignment vertical="center"/>
    </xf>
    <xf numFmtId="0" fontId="39" fillId="22" borderId="44" applyNumberFormat="0" applyAlignment="0" applyProtection="0">
      <alignment vertical="center"/>
    </xf>
    <xf numFmtId="0" fontId="40" fillId="23" borderId="46" applyNumberFormat="0" applyAlignment="0" applyProtection="0">
      <alignment vertical="center"/>
    </xf>
    <xf numFmtId="0" fontId="41" fillId="0" borderId="47" applyNumberFormat="0" applyFill="0" applyAlignment="0" applyProtection="0">
      <alignment vertical="center"/>
    </xf>
    <xf numFmtId="0" fontId="42" fillId="0" borderId="48" applyNumberFormat="0" applyFill="0" applyAlignment="0" applyProtection="0">
      <alignment vertical="center"/>
    </xf>
    <xf numFmtId="0" fontId="43" fillId="24" borderId="0" applyNumberFormat="0" applyBorder="0" applyAlignment="0" applyProtection="0">
      <alignment vertical="center"/>
    </xf>
    <xf numFmtId="0" fontId="44" fillId="25" borderId="0" applyNumberFormat="0" applyBorder="0" applyAlignment="0" applyProtection="0">
      <alignment vertical="center"/>
    </xf>
    <xf numFmtId="0" fontId="45" fillId="26" borderId="0" applyNumberFormat="0" applyBorder="0" applyAlignment="0" applyProtection="0">
      <alignment vertical="center"/>
    </xf>
    <xf numFmtId="0" fontId="46" fillId="27" borderId="0" applyNumberFormat="0" applyBorder="0" applyAlignment="0" applyProtection="0">
      <alignment vertical="center"/>
    </xf>
    <xf numFmtId="0" fontId="47" fillId="28" borderId="0" applyNumberFormat="0" applyBorder="0" applyAlignment="0" applyProtection="0">
      <alignment vertical="center"/>
    </xf>
    <xf numFmtId="0" fontId="47" fillId="29" borderId="0" applyNumberFormat="0" applyBorder="0" applyAlignment="0" applyProtection="0">
      <alignment vertical="center"/>
    </xf>
    <xf numFmtId="0" fontId="46" fillId="30" borderId="0" applyNumberFormat="0" applyBorder="0" applyAlignment="0" applyProtection="0">
      <alignment vertical="center"/>
    </xf>
    <xf numFmtId="0" fontId="46" fillId="19"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33" borderId="0" applyNumberFormat="0" applyBorder="0" applyAlignment="0" applyProtection="0">
      <alignment vertical="center"/>
    </xf>
    <xf numFmtId="0" fontId="46" fillId="13" borderId="0" applyNumberFormat="0" applyBorder="0" applyAlignment="0" applyProtection="0">
      <alignment vertical="center"/>
    </xf>
    <xf numFmtId="0" fontId="47" fillId="34" borderId="0" applyNumberFormat="0" applyBorder="0" applyAlignment="0" applyProtection="0">
      <alignment vertical="center"/>
    </xf>
    <xf numFmtId="0" fontId="47" fillId="35" borderId="0" applyNumberFormat="0" applyBorder="0" applyAlignment="0" applyProtection="0">
      <alignment vertical="center"/>
    </xf>
    <xf numFmtId="0" fontId="46" fillId="36" borderId="0" applyNumberFormat="0" applyBorder="0" applyAlignment="0" applyProtection="0">
      <alignment vertical="center"/>
    </xf>
    <xf numFmtId="0" fontId="46" fillId="37" borderId="0" applyNumberFormat="0" applyBorder="0" applyAlignment="0" applyProtection="0">
      <alignment vertical="center"/>
    </xf>
    <xf numFmtId="0" fontId="47" fillId="38" borderId="0" applyNumberFormat="0" applyBorder="0" applyAlignment="0" applyProtection="0">
      <alignment vertical="center"/>
    </xf>
    <xf numFmtId="0" fontId="47" fillId="39" borderId="0" applyNumberFormat="0" applyBorder="0" applyAlignment="0" applyProtection="0">
      <alignment vertical="center"/>
    </xf>
    <xf numFmtId="0" fontId="46" fillId="40" borderId="0" applyNumberFormat="0" applyBorder="0" applyAlignment="0" applyProtection="0">
      <alignment vertical="center"/>
    </xf>
    <xf numFmtId="0" fontId="46" fillId="41" borderId="0" applyNumberFormat="0" applyBorder="0" applyAlignment="0" applyProtection="0">
      <alignment vertical="center"/>
    </xf>
    <xf numFmtId="0" fontId="47" fillId="12" borderId="0" applyNumberFormat="0" applyBorder="0" applyAlignment="0" applyProtection="0">
      <alignment vertical="center"/>
    </xf>
    <xf numFmtId="0" fontId="47" fillId="11" borderId="0" applyNumberFormat="0" applyBorder="0" applyAlignment="0" applyProtection="0">
      <alignment vertical="center"/>
    </xf>
    <xf numFmtId="0" fontId="46" fillId="10" borderId="0" applyNumberFormat="0" applyBorder="0" applyAlignment="0" applyProtection="0">
      <alignment vertical="center"/>
    </xf>
    <xf numFmtId="0" fontId="46" fillId="42" borderId="0" applyNumberFormat="0" applyBorder="0" applyAlignment="0" applyProtection="0">
      <alignment vertical="center"/>
    </xf>
    <xf numFmtId="0" fontId="47" fillId="43" borderId="0" applyNumberFormat="0" applyBorder="0" applyAlignment="0" applyProtection="0">
      <alignment vertical="center"/>
    </xf>
    <xf numFmtId="0" fontId="47" fillId="2" borderId="0" applyNumberFormat="0" applyBorder="0" applyAlignment="0" applyProtection="0">
      <alignment vertical="center"/>
    </xf>
    <xf numFmtId="0" fontId="46" fillId="44" borderId="0" applyNumberFormat="0" applyBorder="0" applyAlignment="0" applyProtection="0">
      <alignment vertical="center"/>
    </xf>
    <xf numFmtId="0" fontId="48" fillId="0" borderId="0">
      <alignment vertical="center"/>
    </xf>
    <xf numFmtId="0" fontId="49" fillId="0" borderId="0" applyFont="0" applyAlignment="0">
      <alignment vertical="center"/>
    </xf>
    <xf numFmtId="0" fontId="50" fillId="0" borderId="0">
      <protection locked="0"/>
    </xf>
    <xf numFmtId="0" fontId="51" fillId="0" borderId="0">
      <alignment vertical="center"/>
    </xf>
    <xf numFmtId="0" fontId="4" fillId="0" borderId="0">
      <alignment vertical="center"/>
    </xf>
    <xf numFmtId="0" fontId="51" fillId="0" borderId="0">
      <protection locked="0"/>
    </xf>
    <xf numFmtId="0" fontId="4" fillId="0" borderId="0">
      <alignment vertical="center"/>
    </xf>
    <xf numFmtId="0" fontId="4" fillId="0" borderId="0"/>
  </cellStyleXfs>
  <cellXfs count="169">
    <xf numFmtId="0" fontId="0" fillId="0" borderId="0" xfId="0"/>
    <xf numFmtId="176" fontId="0" fillId="0" borderId="0" xfId="0" applyNumberFormat="1"/>
    <xf numFmtId="40" fontId="0" fillId="0" borderId="0" xfId="0" applyNumberFormat="1"/>
    <xf numFmtId="10" fontId="0" fillId="0" borderId="0" xfId="0" applyNumberFormat="1"/>
    <xf numFmtId="0" fontId="1" fillId="2" borderId="1" xfId="55" applyFont="1" applyFill="1" applyBorder="1" applyAlignment="1">
      <alignment horizontal="center" vertical="center"/>
    </xf>
    <xf numFmtId="9" fontId="1" fillId="2" borderId="1" xfId="55" applyNumberFormat="1" applyFont="1" applyFill="1" applyBorder="1" applyAlignment="1">
      <alignment horizontal="center" vertical="center"/>
    </xf>
    <xf numFmtId="0" fontId="2" fillId="3" borderId="2" xfId="55" applyFont="1" applyFill="1" applyBorder="1" applyAlignment="1">
      <alignment horizontal="left" vertical="center" wrapText="1"/>
    </xf>
    <xf numFmtId="0" fontId="3" fillId="3" borderId="2" xfId="55" applyFont="1" applyFill="1" applyBorder="1" applyAlignment="1">
      <alignment horizontal="left" vertical="center" wrapText="1"/>
    </xf>
    <xf numFmtId="9" fontId="2" fillId="3" borderId="2" xfId="55" applyNumberFormat="1" applyFont="1" applyFill="1" applyBorder="1" applyAlignment="1">
      <alignment horizontal="left" vertical="center" wrapText="1"/>
    </xf>
    <xf numFmtId="0" fontId="3" fillId="0" borderId="0" xfId="0" applyFont="1"/>
    <xf numFmtId="9" fontId="0" fillId="0" borderId="0" xfId="0" applyNumberFormat="1"/>
    <xf numFmtId="177" fontId="1" fillId="2" borderId="1" xfId="55" applyNumberFormat="1" applyFont="1" applyFill="1" applyBorder="1" applyAlignment="1">
      <alignment horizontal="center" vertical="center"/>
    </xf>
    <xf numFmtId="176" fontId="2" fillId="3" borderId="2" xfId="55" applyNumberFormat="1" applyFont="1" applyFill="1" applyBorder="1" applyAlignment="1">
      <alignment horizontal="left" vertical="center" wrapText="1"/>
    </xf>
    <xf numFmtId="40" fontId="2" fillId="3" borderId="2" xfId="55" applyNumberFormat="1" applyFont="1" applyFill="1" applyBorder="1" applyAlignment="1">
      <alignment horizontal="left" vertical="center" wrapText="1"/>
    </xf>
    <xf numFmtId="178" fontId="1" fillId="2" borderId="1" xfId="55" applyNumberFormat="1" applyFont="1" applyFill="1" applyBorder="1" applyAlignment="1">
      <alignment horizontal="center" vertical="center"/>
    </xf>
    <xf numFmtId="179" fontId="1" fillId="2" borderId="1" xfId="55" applyNumberFormat="1" applyFont="1" applyFill="1" applyBorder="1" applyAlignment="1">
      <alignment horizontal="center" vertical="center"/>
    </xf>
    <xf numFmtId="10" fontId="1" fillId="2" borderId="3" xfId="55" applyNumberFormat="1" applyFont="1" applyFill="1" applyBorder="1" applyAlignment="1">
      <alignment horizontal="center" vertical="center"/>
    </xf>
    <xf numFmtId="178" fontId="2" fillId="3" borderId="2" xfId="55" applyNumberFormat="1" applyFont="1" applyFill="1" applyBorder="1" applyAlignment="1">
      <alignment horizontal="left" vertical="center" wrapText="1"/>
    </xf>
    <xf numFmtId="176" fontId="3" fillId="3" borderId="2" xfId="55" applyNumberFormat="1" applyFont="1" applyFill="1" applyBorder="1" applyAlignment="1">
      <alignment horizontal="left" vertical="center" wrapText="1"/>
    </xf>
    <xf numFmtId="10" fontId="2" fillId="3" borderId="2" xfId="55" applyNumberFormat="1" applyFont="1" applyFill="1" applyBorder="1" applyAlignment="1">
      <alignment horizontal="left" vertical="center" wrapText="1"/>
    </xf>
    <xf numFmtId="0" fontId="3" fillId="4" borderId="2" xfId="55" applyFont="1" applyFill="1" applyBorder="1" applyAlignment="1">
      <alignment horizontal="left" vertical="center"/>
    </xf>
    <xf numFmtId="0" fontId="4" fillId="0" borderId="0" xfId="55">
      <alignment vertical="center"/>
    </xf>
    <xf numFmtId="0" fontId="5" fillId="3" borderId="2" xfId="49" applyFont="1" applyFill="1" applyBorder="1" applyAlignment="1">
      <alignment horizontal="left" vertical="center" wrapText="1"/>
    </xf>
    <xf numFmtId="0" fontId="0" fillId="0" borderId="4" xfId="0" applyBorder="1"/>
    <xf numFmtId="0" fontId="0" fillId="0" borderId="5" xfId="0" applyBorder="1"/>
    <xf numFmtId="0" fontId="0" fillId="0" borderId="6" xfId="0" applyBorder="1"/>
    <xf numFmtId="0" fontId="0" fillId="0" borderId="7" xfId="0" applyBorder="1"/>
    <xf numFmtId="0" fontId="3" fillId="5" borderId="6" xfId="0" applyFont="1" applyFill="1" applyBorder="1"/>
    <xf numFmtId="0" fontId="3" fillId="5" borderId="7" xfId="0" applyFont="1" applyFill="1" applyBorder="1"/>
    <xf numFmtId="0" fontId="0" fillId="5" borderId="7" xfId="0" applyFill="1" applyBorder="1"/>
    <xf numFmtId="0" fontId="6" fillId="0" borderId="6" xfId="0" applyFont="1" applyBorder="1"/>
    <xf numFmtId="0" fontId="7" fillId="0" borderId="6" xfId="0" applyFont="1" applyBorder="1"/>
    <xf numFmtId="0" fontId="8" fillId="0" borderId="7" xfId="0" applyFont="1" applyBorder="1" applyAlignment="1">
      <alignment horizontal="left" vertical="center" wrapText="1"/>
    </xf>
    <xf numFmtId="0" fontId="0" fillId="0" borderId="7" xfId="0" applyBorder="1" applyAlignment="1">
      <alignment horizontal="left" vertical="center"/>
    </xf>
    <xf numFmtId="0" fontId="9" fillId="0" borderId="5" xfId="0" applyFont="1" applyBorder="1" applyAlignment="1">
      <alignment horizontal="center" vertical="center"/>
    </xf>
    <xf numFmtId="0" fontId="10" fillId="0" borderId="5" xfId="0" applyFont="1" applyBorder="1" applyAlignment="1">
      <alignment horizontal="center" vertical="center"/>
    </xf>
    <xf numFmtId="0" fontId="10" fillId="0" borderId="7" xfId="0" applyFont="1" applyBorder="1" applyAlignment="1">
      <alignment horizontal="center" vertical="center"/>
    </xf>
    <xf numFmtId="0" fontId="0" fillId="0" borderId="8" xfId="0" applyBorder="1"/>
    <xf numFmtId="0" fontId="0" fillId="0" borderId="9" xfId="0" applyBorder="1"/>
    <xf numFmtId="0" fontId="0" fillId="0" borderId="10" xfId="0" applyBorder="1"/>
    <xf numFmtId="0" fontId="0" fillId="0" borderId="11" xfId="0" applyBorder="1" applyAlignment="1">
      <alignment horizontal="left" vertical="center"/>
    </xf>
    <xf numFmtId="0" fontId="0" fillId="0" borderId="11" xfId="0" applyBorder="1"/>
    <xf numFmtId="0" fontId="0" fillId="0" borderId="12" xfId="0" applyBorder="1"/>
    <xf numFmtId="0" fontId="3" fillId="6" borderId="13" xfId="0" applyFont="1" applyFill="1" applyBorder="1" applyAlignment="1">
      <alignment horizontal="center"/>
    </xf>
    <xf numFmtId="0" fontId="0" fillId="6" borderId="14" xfId="0" applyFill="1" applyBorder="1" applyAlignment="1">
      <alignment horizontal="center"/>
    </xf>
    <xf numFmtId="0" fontId="11" fillId="7" borderId="15" xfId="0" applyFont="1" applyFill="1" applyBorder="1" applyAlignment="1">
      <alignment horizontal="center" vertical="center" wrapText="1"/>
    </xf>
    <xf numFmtId="0" fontId="11" fillId="7" borderId="16" xfId="0" applyFont="1" applyFill="1" applyBorder="1" applyAlignment="1">
      <alignment horizontal="center" vertical="center" wrapText="1"/>
    </xf>
    <xf numFmtId="180" fontId="12" fillId="0" borderId="17" xfId="0" applyNumberFormat="1" applyFont="1" applyBorder="1" applyAlignment="1">
      <alignment vertical="center"/>
    </xf>
    <xf numFmtId="0" fontId="4" fillId="0" borderId="0" xfId="0" applyFont="1" applyAlignment="1">
      <alignment vertical="center"/>
    </xf>
    <xf numFmtId="14" fontId="4" fillId="0" borderId="0" xfId="0" applyNumberFormat="1" applyFont="1" applyAlignment="1">
      <alignment vertical="center"/>
    </xf>
    <xf numFmtId="0" fontId="11" fillId="3" borderId="16" xfId="0" applyFont="1" applyFill="1" applyBorder="1" applyAlignment="1">
      <alignment horizontal="center" vertical="center" wrapText="1"/>
    </xf>
    <xf numFmtId="0" fontId="13" fillId="8" borderId="16" xfId="0" applyFont="1" applyFill="1" applyBorder="1" applyAlignment="1">
      <alignment horizontal="center" vertical="center" wrapText="1"/>
    </xf>
    <xf numFmtId="0" fontId="4" fillId="0" borderId="17" xfId="0" applyFont="1" applyBorder="1" applyAlignment="1">
      <alignment vertical="center"/>
    </xf>
    <xf numFmtId="0" fontId="3" fillId="9" borderId="14" xfId="0" applyFont="1" applyFill="1" applyBorder="1" applyAlignment="1">
      <alignment horizontal="center"/>
    </xf>
    <xf numFmtId="0" fontId="0" fillId="9" borderId="14" xfId="0" applyFill="1" applyBorder="1" applyAlignment="1">
      <alignment horizontal="center"/>
    </xf>
    <xf numFmtId="0" fontId="13" fillId="3" borderId="16" xfId="0" applyFont="1" applyFill="1" applyBorder="1" applyAlignment="1">
      <alignment horizontal="center" vertical="center" wrapText="1"/>
    </xf>
    <xf numFmtId="0" fontId="3" fillId="10" borderId="14" xfId="0" applyFont="1" applyFill="1" applyBorder="1" applyAlignment="1">
      <alignment horizontal="center"/>
    </xf>
    <xf numFmtId="0" fontId="0" fillId="10" borderId="14" xfId="0" applyFill="1" applyBorder="1" applyAlignment="1">
      <alignment horizontal="center"/>
    </xf>
    <xf numFmtId="0" fontId="14" fillId="3" borderId="16" xfId="0" applyFont="1" applyFill="1" applyBorder="1" applyAlignment="1">
      <alignment horizontal="center" vertical="center" wrapText="1"/>
    </xf>
    <xf numFmtId="0" fontId="3" fillId="11" borderId="14" xfId="0" applyFont="1" applyFill="1" applyBorder="1" applyAlignment="1">
      <alignment horizontal="center"/>
    </xf>
    <xf numFmtId="0" fontId="0" fillId="11" borderId="14" xfId="0" applyFill="1" applyBorder="1" applyAlignment="1">
      <alignment horizontal="center"/>
    </xf>
    <xf numFmtId="0" fontId="3" fillId="12" borderId="14" xfId="0" applyFont="1" applyFill="1" applyBorder="1" applyAlignment="1">
      <alignment horizontal="center"/>
    </xf>
    <xf numFmtId="0" fontId="3" fillId="12" borderId="18" xfId="0" applyFont="1" applyFill="1" applyBorder="1" applyAlignment="1">
      <alignment horizontal="center"/>
    </xf>
    <xf numFmtId="0" fontId="14" fillId="3" borderId="19" xfId="0" applyFont="1" applyFill="1" applyBorder="1" applyAlignment="1">
      <alignment horizontal="center" vertical="center" wrapText="1"/>
    </xf>
    <xf numFmtId="0" fontId="15" fillId="13" borderId="20" xfId="0" applyFont="1" applyFill="1" applyBorder="1" applyAlignment="1">
      <alignment horizontal="center" vertical="center"/>
    </xf>
    <xf numFmtId="0" fontId="15" fillId="13" borderId="21" xfId="0" applyFont="1" applyFill="1" applyBorder="1" applyAlignment="1">
      <alignment horizontal="center" vertical="center"/>
    </xf>
    <xf numFmtId="0" fontId="15" fillId="13" borderId="22" xfId="0" applyFont="1" applyFill="1" applyBorder="1" applyAlignment="1">
      <alignment horizontal="center" vertical="center"/>
    </xf>
    <xf numFmtId="0" fontId="15" fillId="13" borderId="0" xfId="0" applyFont="1" applyFill="1" applyBorder="1" applyAlignment="1">
      <alignment horizontal="center" vertical="center"/>
    </xf>
    <xf numFmtId="0" fontId="15" fillId="13" borderId="23" xfId="0" applyFont="1" applyFill="1" applyBorder="1" applyAlignment="1">
      <alignment horizontal="center" vertical="center"/>
    </xf>
    <xf numFmtId="0" fontId="15" fillId="13" borderId="24" xfId="0" applyFont="1" applyFill="1" applyBorder="1" applyAlignment="1">
      <alignment horizontal="center" vertical="center"/>
    </xf>
    <xf numFmtId="0" fontId="0" fillId="0" borderId="25" xfId="0" applyBorder="1"/>
    <xf numFmtId="0" fontId="3" fillId="6" borderId="25" xfId="0" applyFont="1" applyFill="1" applyBorder="1" applyAlignment="1">
      <alignment horizontal="center"/>
    </xf>
    <xf numFmtId="0" fontId="0" fillId="6" borderId="25" xfId="0" applyFont="1" applyFill="1" applyBorder="1" applyAlignment="1">
      <alignment horizontal="center"/>
    </xf>
    <xf numFmtId="0" fontId="0" fillId="6" borderId="25" xfId="0" applyFill="1" applyBorder="1" applyAlignment="1">
      <alignment horizontal="center"/>
    </xf>
    <xf numFmtId="0" fontId="6" fillId="3" borderId="25" xfId="0" applyFont="1" applyFill="1" applyBorder="1" applyAlignment="1">
      <alignment horizontal="center"/>
    </xf>
    <xf numFmtId="0" fontId="0" fillId="0" borderId="25" xfId="0" applyBorder="1" applyAlignment="1">
      <alignment horizontal="center"/>
    </xf>
    <xf numFmtId="0" fontId="6" fillId="5" borderId="25" xfId="0" applyFont="1" applyFill="1" applyBorder="1" applyAlignment="1">
      <alignment horizontal="center" wrapText="1"/>
    </xf>
    <xf numFmtId="0" fontId="3" fillId="5" borderId="25" xfId="0" applyFont="1" applyFill="1" applyBorder="1" applyAlignment="1">
      <alignment horizontal="center" wrapText="1"/>
    </xf>
    <xf numFmtId="0" fontId="7" fillId="5" borderId="25" xfId="0" applyFont="1" applyFill="1" applyBorder="1" applyAlignment="1">
      <alignment horizontal="center" wrapText="1"/>
    </xf>
    <xf numFmtId="0" fontId="8"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0" xfId="0" applyFont="1" applyBorder="1" applyAlignment="1">
      <alignment horizontal="center" vertical="center" wrapText="1"/>
    </xf>
    <xf numFmtId="0" fontId="15" fillId="13" borderId="26" xfId="0" applyFont="1" applyFill="1" applyBorder="1" applyAlignment="1">
      <alignment horizontal="center" vertical="center"/>
    </xf>
    <xf numFmtId="0" fontId="15" fillId="13" borderId="27" xfId="0" applyFont="1" applyFill="1" applyBorder="1" applyAlignment="1">
      <alignment horizontal="center" vertical="center"/>
    </xf>
    <xf numFmtId="0" fontId="15" fillId="13" borderId="28" xfId="0" applyFont="1" applyFill="1" applyBorder="1" applyAlignment="1">
      <alignment horizontal="center" vertical="center"/>
    </xf>
    <xf numFmtId="0" fontId="8" fillId="0" borderId="23" xfId="0" applyFont="1" applyBorder="1" applyAlignment="1">
      <alignment horizontal="center" vertical="center" wrapText="1"/>
    </xf>
    <xf numFmtId="0" fontId="8" fillId="0" borderId="24" xfId="0" applyFont="1" applyBorder="1" applyAlignment="1">
      <alignment horizontal="center" vertical="center" wrapText="1"/>
    </xf>
    <xf numFmtId="0" fontId="4" fillId="0" borderId="0" xfId="53" applyAlignment="1">
      <alignment horizontal="center" vertical="center"/>
    </xf>
    <xf numFmtId="0" fontId="4" fillId="0" borderId="0" xfId="53">
      <alignment vertical="center"/>
    </xf>
    <xf numFmtId="0" fontId="16" fillId="3" borderId="13" xfId="53" applyFont="1" applyFill="1" applyBorder="1" applyAlignment="1">
      <alignment horizontal="center" vertical="center" wrapText="1"/>
    </xf>
    <xf numFmtId="0" fontId="16" fillId="3" borderId="14" xfId="53" applyFont="1" applyFill="1" applyBorder="1" applyAlignment="1">
      <alignment horizontal="center" vertical="center" wrapText="1"/>
    </xf>
    <xf numFmtId="0" fontId="17" fillId="14" borderId="29" xfId="53" applyFont="1" applyFill="1" applyBorder="1" applyAlignment="1">
      <alignment horizontal="center" vertical="center" wrapText="1"/>
    </xf>
    <xf numFmtId="0" fontId="17" fillId="14" borderId="7" xfId="53" applyFont="1" applyFill="1" applyBorder="1" applyAlignment="1">
      <alignment horizontal="center" vertical="center" wrapText="1"/>
    </xf>
    <xf numFmtId="0" fontId="12" fillId="15" borderId="29" xfId="53" applyFont="1" applyFill="1" applyBorder="1" applyAlignment="1">
      <alignment horizontal="center" vertical="center" wrapText="1"/>
    </xf>
    <xf numFmtId="0" fontId="12" fillId="16" borderId="7" xfId="53" applyFont="1" applyFill="1" applyBorder="1" applyAlignment="1">
      <alignment vertical="center" wrapText="1"/>
    </xf>
    <xf numFmtId="0" fontId="12" fillId="15" borderId="7" xfId="53" applyFont="1" applyFill="1" applyBorder="1" applyAlignment="1">
      <alignment vertical="center" wrapText="1"/>
    </xf>
    <xf numFmtId="0" fontId="12" fillId="15" borderId="7" xfId="53" applyFont="1" applyFill="1" applyBorder="1" applyAlignment="1">
      <alignment horizontal="center" vertical="center" wrapText="1"/>
    </xf>
    <xf numFmtId="0" fontId="12" fillId="15" borderId="7" xfId="53" applyFont="1" applyFill="1" applyBorder="1" applyAlignment="1">
      <alignment wrapText="1"/>
    </xf>
    <xf numFmtId="0" fontId="18" fillId="15" borderId="7" xfId="6" applyFont="1" applyFill="1" applyBorder="1" applyAlignment="1">
      <alignment vertical="center" wrapText="1"/>
    </xf>
    <xf numFmtId="0" fontId="19" fillId="15" borderId="7" xfId="6" applyFont="1" applyFill="1" applyBorder="1" applyAlignment="1">
      <alignment horizontal="center" vertical="center" wrapText="1"/>
    </xf>
    <xf numFmtId="0" fontId="12" fillId="16" borderId="16" xfId="53" applyFont="1" applyFill="1" applyBorder="1" applyAlignment="1">
      <alignment wrapText="1"/>
    </xf>
    <xf numFmtId="0" fontId="12" fillId="15" borderId="16" xfId="53" applyFont="1" applyFill="1" applyBorder="1" applyAlignment="1">
      <alignment wrapText="1"/>
    </xf>
    <xf numFmtId="0" fontId="12" fillId="15" borderId="16" xfId="53" applyFont="1" applyFill="1" applyBorder="1" applyAlignment="1">
      <alignment horizontal="center" vertical="center" wrapText="1"/>
    </xf>
    <xf numFmtId="0" fontId="16" fillId="3" borderId="18" xfId="53" applyFont="1" applyFill="1" applyBorder="1" applyAlignment="1">
      <alignment horizontal="center" vertical="center" wrapText="1"/>
    </xf>
    <xf numFmtId="0" fontId="17" fillId="14" borderId="30" xfId="53" applyFont="1" applyFill="1" applyBorder="1" applyAlignment="1">
      <alignment horizontal="center" vertical="center" wrapText="1"/>
    </xf>
    <xf numFmtId="0" fontId="12" fillId="15" borderId="30" xfId="53" applyFont="1" applyFill="1" applyBorder="1" applyAlignment="1">
      <alignment vertical="center" wrapText="1"/>
    </xf>
    <xf numFmtId="0" fontId="12" fillId="15" borderId="19" xfId="53" applyFont="1" applyFill="1" applyBorder="1" applyAlignment="1">
      <alignment vertical="center" wrapText="1"/>
    </xf>
    <xf numFmtId="0" fontId="20" fillId="17" borderId="31" xfId="53" applyFont="1" applyFill="1" applyBorder="1" applyAlignment="1">
      <alignment horizontal="center" vertical="center"/>
    </xf>
    <xf numFmtId="0" fontId="20" fillId="17" borderId="1" xfId="53" applyFont="1" applyFill="1" applyBorder="1" applyAlignment="1">
      <alignment horizontal="center" vertical="center"/>
    </xf>
    <xf numFmtId="0" fontId="21" fillId="18" borderId="2" xfId="54" applyFont="1" applyFill="1" applyBorder="1" applyAlignment="1" applyProtection="1">
      <alignment horizontal="center" vertical="center" wrapText="1"/>
    </xf>
    <xf numFmtId="0" fontId="22" fillId="0" borderId="32" xfId="51" applyFont="1" applyBorder="1" applyAlignment="1" applyProtection="1">
      <alignment horizontal="center" vertical="center" wrapText="1"/>
    </xf>
    <xf numFmtId="0" fontId="22" fillId="0" borderId="32" xfId="51" applyFont="1" applyBorder="1" applyAlignment="1" applyProtection="1">
      <alignment vertical="center" wrapText="1"/>
    </xf>
    <xf numFmtId="0" fontId="20" fillId="17" borderId="3" xfId="53" applyFont="1" applyFill="1" applyBorder="1" applyAlignment="1">
      <alignment horizontal="center" vertical="center"/>
    </xf>
    <xf numFmtId="0" fontId="22" fillId="0" borderId="32" xfId="51" applyFont="1" applyBorder="1" applyAlignment="1" applyProtection="1">
      <alignment horizontal="left" vertical="center" wrapText="1"/>
    </xf>
    <xf numFmtId="9" fontId="22" fillId="0" borderId="32" xfId="51" applyNumberFormat="1" applyFont="1" applyBorder="1" applyAlignment="1" applyProtection="1">
      <alignment horizontal="left" vertical="center" wrapText="1"/>
    </xf>
    <xf numFmtId="0" fontId="12" fillId="0" borderId="0" xfId="0" applyFont="1" applyAlignment="1">
      <alignment horizontal="center" wrapText="1"/>
    </xf>
    <xf numFmtId="0" fontId="12" fillId="0" borderId="0" xfId="0" applyFont="1" applyAlignment="1">
      <alignment wrapText="1"/>
    </xf>
    <xf numFmtId="0" fontId="23" fillId="17" borderId="2" xfId="0" applyFont="1" applyFill="1" applyBorder="1" applyAlignment="1">
      <alignment horizontal="center" vertical="center" wrapText="1"/>
    </xf>
    <xf numFmtId="0" fontId="17" fillId="6" borderId="2" xfId="0" applyFont="1" applyFill="1" applyBorder="1" applyAlignment="1">
      <alignment horizontal="center" wrapText="1"/>
    </xf>
    <xf numFmtId="0" fontId="17" fillId="6" borderId="2" xfId="0" applyFont="1" applyFill="1" applyBorder="1" applyAlignment="1">
      <alignment vertical="center" wrapText="1"/>
    </xf>
    <xf numFmtId="0" fontId="12" fillId="0" borderId="2" xfId="0" applyFont="1" applyBorder="1" applyAlignment="1">
      <alignment horizontal="center" wrapText="1"/>
    </xf>
    <xf numFmtId="0" fontId="12" fillId="0" borderId="2" xfId="0" applyFont="1" applyBorder="1" applyAlignment="1">
      <alignment vertical="center" wrapText="1"/>
    </xf>
    <xf numFmtId="0" fontId="12" fillId="0" borderId="2" xfId="0" applyFont="1" applyBorder="1" applyAlignment="1">
      <alignment vertical="center"/>
    </xf>
    <xf numFmtId="0" fontId="12" fillId="0" borderId="2" xfId="0" applyFont="1" applyBorder="1" applyAlignment="1">
      <alignment wrapText="1"/>
    </xf>
    <xf numFmtId="0" fontId="18" fillId="0" borderId="2" xfId="6" applyFont="1" applyFill="1" applyBorder="1" applyAlignment="1">
      <alignment vertical="center" wrapText="1"/>
    </xf>
    <xf numFmtId="0" fontId="19" fillId="0" borderId="2" xfId="6" applyFont="1" applyFill="1" applyBorder="1" applyAlignment="1">
      <alignment vertical="center" wrapText="1"/>
    </xf>
    <xf numFmtId="0" fontId="17" fillId="6" borderId="2" xfId="0" applyFont="1" applyFill="1" applyBorder="1" applyAlignment="1">
      <alignment horizontal="center" vertical="center" wrapText="1"/>
    </xf>
    <xf numFmtId="0" fontId="12" fillId="0" borderId="2" xfId="0" applyFont="1" applyBorder="1" applyAlignment="1">
      <alignment horizontal="center" vertical="center" wrapText="1"/>
    </xf>
    <xf numFmtId="24" fontId="12" fillId="0" borderId="2" xfId="0" applyNumberFormat="1" applyFont="1" applyBorder="1" applyAlignment="1">
      <alignment horizontal="center" vertical="center" wrapText="1"/>
    </xf>
    <xf numFmtId="0" fontId="24" fillId="19" borderId="2" xfId="53" applyFont="1" applyFill="1" applyBorder="1" applyAlignment="1">
      <alignment horizontal="center" vertical="center"/>
    </xf>
    <xf numFmtId="0" fontId="25" fillId="19" borderId="2" xfId="53" applyFont="1" applyFill="1" applyBorder="1" applyAlignment="1">
      <alignment horizontal="center" vertical="center"/>
    </xf>
    <xf numFmtId="0" fontId="26" fillId="19" borderId="2" xfId="53" applyFont="1" applyFill="1" applyBorder="1" applyAlignment="1">
      <alignment horizontal="center" vertical="center"/>
    </xf>
    <xf numFmtId="0" fontId="27" fillId="17" borderId="2" xfId="53" applyFont="1" applyFill="1" applyBorder="1" applyAlignment="1">
      <alignment horizontal="center" vertical="center"/>
    </xf>
    <xf numFmtId="0" fontId="4" fillId="0" borderId="2" xfId="53" applyBorder="1">
      <alignment vertical="center"/>
    </xf>
    <xf numFmtId="0" fontId="4" fillId="0" borderId="2" xfId="53" applyBorder="1" applyAlignment="1">
      <alignment horizontal="center" vertical="center"/>
    </xf>
    <xf numFmtId="0" fontId="4" fillId="0" borderId="2" xfId="53" applyBorder="1" applyAlignment="1">
      <alignment horizontal="center" vertical="center" wrapText="1"/>
    </xf>
    <xf numFmtId="0" fontId="4" fillId="0" borderId="3" xfId="53" applyBorder="1" applyAlignment="1">
      <alignment horizontal="center" vertical="center" wrapText="1"/>
    </xf>
    <xf numFmtId="0" fontId="4" fillId="0" borderId="3" xfId="53" applyBorder="1" applyAlignment="1">
      <alignment horizontal="center" vertical="center"/>
    </xf>
    <xf numFmtId="0" fontId="4" fillId="0" borderId="33" xfId="53" applyBorder="1" applyAlignment="1">
      <alignment horizontal="center" vertical="center"/>
    </xf>
    <xf numFmtId="0" fontId="4" fillId="0" borderId="34" xfId="53" applyBorder="1" applyAlignment="1">
      <alignment horizontal="center" vertical="center" wrapText="1"/>
    </xf>
    <xf numFmtId="0" fontId="4" fillId="0" borderId="35" xfId="53" applyBorder="1" applyAlignment="1">
      <alignment horizontal="center" vertical="center"/>
    </xf>
    <xf numFmtId="0" fontId="4" fillId="0" borderId="36" xfId="53" applyBorder="1" applyAlignment="1">
      <alignment horizontal="center" vertical="center" wrapText="1"/>
    </xf>
    <xf numFmtId="0" fontId="4" fillId="0" borderId="31" xfId="53" applyBorder="1" applyAlignment="1">
      <alignment horizontal="center" vertical="center"/>
    </xf>
    <xf numFmtId="0" fontId="4" fillId="0" borderId="37" xfId="53" applyBorder="1" applyAlignment="1">
      <alignment horizontal="center" vertical="center"/>
    </xf>
    <xf numFmtId="0" fontId="4" fillId="0" borderId="38" xfId="53" applyBorder="1" applyAlignment="1">
      <alignment horizontal="center" vertical="center"/>
    </xf>
    <xf numFmtId="0" fontId="4" fillId="0" borderId="1" xfId="53" applyBorder="1" applyAlignment="1">
      <alignment horizontal="center" vertical="center"/>
    </xf>
    <xf numFmtId="0" fontId="4" fillId="0" borderId="37" xfId="53" applyBorder="1" applyAlignment="1">
      <alignment horizontal="center" vertical="center" wrapText="1"/>
    </xf>
    <xf numFmtId="0" fontId="4" fillId="0" borderId="39" xfId="53" applyBorder="1" applyAlignment="1">
      <alignment horizontal="center" vertical="center" wrapText="1"/>
    </xf>
    <xf numFmtId="0" fontId="4" fillId="0" borderId="32" xfId="53" applyBorder="1" applyAlignment="1">
      <alignment horizontal="center" vertical="center" wrapText="1"/>
    </xf>
    <xf numFmtId="0" fontId="4" fillId="0" borderId="32" xfId="53" applyBorder="1">
      <alignment vertical="center"/>
    </xf>
    <xf numFmtId="0" fontId="4" fillId="0" borderId="40" xfId="53" applyBorder="1" applyAlignment="1">
      <alignment horizontal="center" vertical="center" wrapText="1"/>
    </xf>
    <xf numFmtId="0" fontId="4" fillId="0" borderId="38" xfId="53" applyBorder="1" applyAlignment="1">
      <alignment horizontal="center" vertical="center" wrapText="1"/>
    </xf>
    <xf numFmtId="0" fontId="27" fillId="13" borderId="2" xfId="53" applyFont="1" applyFill="1" applyBorder="1" applyAlignment="1">
      <alignment horizontal="center" vertical="center"/>
    </xf>
    <xf numFmtId="0" fontId="27" fillId="17" borderId="2" xfId="53" applyFont="1" applyFill="1" applyBorder="1">
      <alignment vertical="center"/>
    </xf>
    <xf numFmtId="0" fontId="4" fillId="0" borderId="31" xfId="53" applyBorder="1" applyAlignment="1">
      <alignment horizontal="center" vertical="center" wrapText="1"/>
    </xf>
    <xf numFmtId="0" fontId="4" fillId="0" borderId="37" xfId="53" applyBorder="1">
      <alignment vertical="center"/>
    </xf>
    <xf numFmtId="0" fontId="4" fillId="0" borderId="39" xfId="53" applyBorder="1" applyAlignment="1">
      <alignment horizontal="center" vertical="center"/>
    </xf>
    <xf numFmtId="0" fontId="4" fillId="0" borderId="32" xfId="53" applyBorder="1" applyAlignment="1">
      <alignment horizontal="center" vertical="center"/>
    </xf>
    <xf numFmtId="0" fontId="4" fillId="0" borderId="33" xfId="53" applyBorder="1" applyAlignment="1">
      <alignment horizontal="center" vertical="center" wrapText="1"/>
    </xf>
    <xf numFmtId="0" fontId="4" fillId="0" borderId="35" xfId="53" applyBorder="1" applyAlignment="1">
      <alignment horizontal="center" vertical="center" wrapText="1"/>
    </xf>
    <xf numFmtId="0" fontId="4" fillId="0" borderId="31" xfId="53" applyBorder="1">
      <alignment vertical="center"/>
    </xf>
    <xf numFmtId="0" fontId="4" fillId="0" borderId="2" xfId="53" applyBorder="1" applyAlignment="1">
      <alignment vertical="center" wrapText="1"/>
    </xf>
    <xf numFmtId="0" fontId="4" fillId="0" borderId="31" xfId="53" applyBorder="1" applyAlignment="1">
      <alignment vertical="center" wrapText="1"/>
    </xf>
    <xf numFmtId="0" fontId="28" fillId="0" borderId="31" xfId="53" applyFont="1" applyBorder="1" applyAlignment="1">
      <alignment horizontal="center" vertical="center"/>
    </xf>
    <xf numFmtId="0" fontId="28" fillId="0" borderId="0" xfId="53" applyFont="1" applyAlignment="1">
      <alignment horizontal="center" vertical="center"/>
    </xf>
    <xf numFmtId="0" fontId="28" fillId="0" borderId="40" xfId="53" applyFont="1" applyBorder="1" applyAlignment="1">
      <alignment horizontal="center" vertical="center"/>
    </xf>
    <xf numFmtId="0" fontId="4" fillId="0" borderId="1" xfId="53" applyBorder="1" applyAlignment="1">
      <alignment horizontal="center" vertical="center" wrapText="1"/>
    </xf>
    <xf numFmtId="0" fontId="28" fillId="0" borderId="33" xfId="53" applyFont="1" applyBorder="1" applyAlignment="1">
      <alignment horizontal="center" vertical="center"/>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 name="常规 2 2 2" xfId="51"/>
    <cellStyle name="常规 2 6" xfId="52"/>
    <cellStyle name="常规 3" xfId="53"/>
    <cellStyle name="常规 3 2" xfId="54"/>
    <cellStyle name="常规 4" xfId="55"/>
    <cellStyle name="常规 5" xfId="56"/>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48">
    <open main="84" threadCnt="1"/>
    <sheetInfos>
      <sheetInfo cellCmpFml="0" sheetStid="8">
        <open main="1" threadCnt="1"/>
      </sheetInfo>
      <sheetInfo cellCmpFml="0" sheetStid="4">
        <open threadCnt="1"/>
      </sheetInfo>
      <sheetInfo cellCmpFml="0" sheetStid="9">
        <open threadCnt="1"/>
      </sheetInfo>
      <sheetInfo cellCmpFml="0" sheetStid="10">
        <open threadCnt="1"/>
      </sheetInfo>
      <sheetInfo cellCmpFml="19" sheetStid="6">
        <open main="1" threadCnt="1"/>
      </sheetInfo>
      <sheetInfo cellCmpFml="0" sheetStid="5">
        <open threadCnt="1"/>
      </sheetInfo>
      <sheetInfo cellCmpFml="17" sheetStid="1">
        <open main="1" threadCnt="1"/>
      </sheetInfo>
      <sheetInfo cellCmpFml="12" sheetStid="2">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www.wps.cn/officeDocument/2023/relationships/woinfos" Target="woinfos.xml"/><Relationship Id="rId15" Type="http://www.wps.cn/officeDocument/2023/relationships/customStorage" Target="customStorage/customStorage.xml"/><Relationship Id="rId14" Type="http://schemas.openxmlformats.org/officeDocument/2006/relationships/styles" Target="styles.xml"/><Relationship Id="rId13" Type="http://schemas.openxmlformats.org/officeDocument/2006/relationships/customXml" Target="../customXml/item2.xml"/><Relationship Id="rId12" Type="http://schemas.openxmlformats.org/officeDocument/2006/relationships/customXml" Target="../customXml/item1.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www.baixiaotangtop.com/BBS/Detail/1006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P47"/>
  <sheetViews>
    <sheetView zoomScale="60" zoomScaleNormal="60" workbookViewId="0">
      <pane ySplit="1" topLeftCell="A2" activePane="bottomLeft" state="frozen"/>
      <selection/>
      <selection pane="bottomLeft" activeCell="A1" sqref="A1:K1"/>
    </sheetView>
  </sheetViews>
  <sheetFormatPr defaultColWidth="9" defaultRowHeight="13.5"/>
  <cols>
    <col min="1" max="1" width="15.6666666666667" style="89" customWidth="1"/>
    <col min="2" max="2" width="17.8333333333333" style="89" customWidth="1"/>
    <col min="3" max="3" width="21.6666666666667" style="88" customWidth="1"/>
    <col min="4" max="4" width="22.3333333333333" style="89" customWidth="1"/>
    <col min="5" max="5" width="22.5" style="89" customWidth="1"/>
    <col min="6" max="6" width="23.6666666666667" style="89" customWidth="1"/>
    <col min="7" max="7" width="16" style="89" customWidth="1"/>
    <col min="8" max="8" width="14.6666666666667" style="89" customWidth="1"/>
    <col min="9" max="9" width="15" style="89" customWidth="1"/>
    <col min="10" max="10" width="12.3333333333333" style="89" customWidth="1"/>
    <col min="11" max="11" width="13" style="89" customWidth="1"/>
    <col min="12" max="12" width="9" style="89"/>
    <col min="13" max="13" width="12" style="89" customWidth="1"/>
    <col min="14" max="14" width="15" style="89" customWidth="1"/>
    <col min="15" max="15" width="14" style="89" customWidth="1"/>
    <col min="16" max="16" width="12.6666666666667" style="89" customWidth="1"/>
    <col min="17" max="16384" width="9" style="89"/>
  </cols>
  <sheetData>
    <row r="1" ht="100" customHeight="1" spans="1:16">
      <c r="A1" s="130" t="s">
        <v>0</v>
      </c>
      <c r="B1" s="131"/>
      <c r="C1" s="132"/>
      <c r="D1" s="132"/>
      <c r="E1" s="132"/>
      <c r="F1" s="132"/>
      <c r="G1" s="132"/>
      <c r="H1" s="132"/>
      <c r="I1" s="132"/>
      <c r="J1" s="132"/>
      <c r="K1" s="132"/>
      <c r="L1" s="153" t="s">
        <v>1</v>
      </c>
      <c r="M1" s="153" t="s">
        <v>2</v>
      </c>
      <c r="N1" s="153" t="s">
        <v>3</v>
      </c>
      <c r="O1" s="153" t="s">
        <v>4</v>
      </c>
      <c r="P1" s="153" t="s">
        <v>5</v>
      </c>
    </row>
    <row r="2" ht="24" customHeight="1" spans="1:16">
      <c r="A2" s="133" t="s">
        <v>6</v>
      </c>
      <c r="B2" s="133"/>
      <c r="C2" s="133" t="s">
        <v>7</v>
      </c>
      <c r="D2" s="133" t="s">
        <v>8</v>
      </c>
      <c r="E2" s="133"/>
      <c r="F2" s="133"/>
      <c r="G2" s="133"/>
      <c r="H2" s="133"/>
      <c r="I2" s="133"/>
      <c r="J2" s="133" t="s">
        <v>9</v>
      </c>
      <c r="K2" s="133"/>
      <c r="L2" s="154"/>
      <c r="M2" s="154"/>
      <c r="N2" s="154"/>
      <c r="O2" s="154"/>
      <c r="P2" s="154"/>
    </row>
    <row r="3" ht="49" customHeight="1" spans="1:16">
      <c r="A3" s="134"/>
      <c r="B3" s="134"/>
      <c r="C3" s="135" t="s">
        <v>10</v>
      </c>
      <c r="D3" s="136" t="s">
        <v>11</v>
      </c>
      <c r="E3" s="135"/>
      <c r="F3" s="135"/>
      <c r="G3" s="135"/>
      <c r="H3" s="135"/>
      <c r="I3" s="135"/>
      <c r="J3" s="135" t="s">
        <v>12</v>
      </c>
      <c r="K3" s="135"/>
      <c r="L3" s="134"/>
      <c r="M3" s="134"/>
      <c r="N3" s="162" t="s">
        <v>13</v>
      </c>
      <c r="O3" s="134"/>
      <c r="P3" s="134"/>
    </row>
    <row r="4" ht="35" customHeight="1" spans="1:16">
      <c r="A4" s="134"/>
      <c r="B4" s="134"/>
      <c r="C4" s="135" t="s">
        <v>14</v>
      </c>
      <c r="D4" s="135" t="s">
        <v>15</v>
      </c>
      <c r="E4" s="135"/>
      <c r="F4" s="135"/>
      <c r="G4" s="135"/>
      <c r="H4" s="135"/>
      <c r="I4" s="135"/>
      <c r="J4" s="135"/>
      <c r="K4" s="135"/>
      <c r="L4" s="134"/>
      <c r="M4" s="134"/>
      <c r="N4" s="162"/>
      <c r="O4" s="134"/>
      <c r="P4" s="134"/>
    </row>
    <row r="5" ht="53" customHeight="1" spans="1:16">
      <c r="A5" s="135" t="s">
        <v>16</v>
      </c>
      <c r="B5" s="135"/>
      <c r="C5" s="137" t="s">
        <v>17</v>
      </c>
      <c r="D5" s="135" t="s">
        <v>18</v>
      </c>
      <c r="E5" s="135"/>
      <c r="F5" s="135"/>
      <c r="G5" s="144"/>
      <c r="H5" s="144"/>
      <c r="I5" s="135"/>
      <c r="J5" s="136" t="s">
        <v>19</v>
      </c>
      <c r="K5" s="136"/>
      <c r="L5" s="134"/>
      <c r="M5" s="134"/>
      <c r="N5" s="162"/>
      <c r="O5" s="134"/>
      <c r="P5" s="134"/>
    </row>
    <row r="6" ht="53" customHeight="1" spans="1:16">
      <c r="A6" s="135"/>
      <c r="B6" s="135"/>
      <c r="C6" s="135" t="s">
        <v>20</v>
      </c>
      <c r="D6" s="135"/>
      <c r="E6" s="135"/>
      <c r="F6" s="135"/>
      <c r="G6" s="135"/>
      <c r="H6" s="135"/>
      <c r="I6" s="135"/>
      <c r="J6" s="135" t="s">
        <v>21</v>
      </c>
      <c r="K6" s="135"/>
      <c r="L6" s="134"/>
      <c r="M6" s="134"/>
      <c r="N6" s="134"/>
      <c r="O6" s="134"/>
      <c r="P6" s="156"/>
    </row>
    <row r="7" ht="67" customHeight="1" spans="1:16">
      <c r="A7" s="135"/>
      <c r="B7" s="135"/>
      <c r="C7" s="137" t="s">
        <v>22</v>
      </c>
      <c r="D7" s="136"/>
      <c r="E7" s="136"/>
      <c r="F7" s="136"/>
      <c r="G7" s="149"/>
      <c r="H7" s="150"/>
      <c r="I7" s="135"/>
      <c r="J7" s="155"/>
      <c r="K7" s="137"/>
      <c r="L7" s="156"/>
      <c r="M7" s="156"/>
      <c r="N7" s="162"/>
      <c r="O7" s="134"/>
      <c r="P7" s="156"/>
    </row>
    <row r="8" ht="51" customHeight="1" spans="1:16">
      <c r="A8" s="135"/>
      <c r="B8" s="136" t="s">
        <v>23</v>
      </c>
      <c r="C8" s="138" t="s">
        <v>24</v>
      </c>
      <c r="D8" s="136" t="s">
        <v>25</v>
      </c>
      <c r="E8" s="136"/>
      <c r="F8" s="136"/>
      <c r="G8" s="136"/>
      <c r="H8" s="136"/>
      <c r="I8" s="136"/>
      <c r="J8" s="134"/>
      <c r="K8" s="134"/>
      <c r="L8" s="144">
        <v>5</v>
      </c>
      <c r="M8" s="136" t="s">
        <v>26</v>
      </c>
      <c r="N8" s="148">
        <v>30</v>
      </c>
      <c r="O8" s="144">
        <v>2170</v>
      </c>
      <c r="P8" s="144">
        <v>-5479</v>
      </c>
    </row>
    <row r="9" ht="33" customHeight="1" spans="1:16">
      <c r="A9" s="135"/>
      <c r="B9" s="136"/>
      <c r="C9" s="138" t="s">
        <v>27</v>
      </c>
      <c r="D9" s="136" t="s">
        <v>28</v>
      </c>
      <c r="E9" s="136"/>
      <c r="F9" s="136"/>
      <c r="G9" s="136"/>
      <c r="H9" s="136"/>
      <c r="I9" s="136"/>
      <c r="J9" s="134"/>
      <c r="K9" s="134"/>
      <c r="L9" s="157"/>
      <c r="M9" s="136"/>
      <c r="N9" s="148"/>
      <c r="O9" s="157"/>
      <c r="P9" s="157"/>
    </row>
    <row r="10" ht="33" customHeight="1" spans="1:16">
      <c r="A10" s="135"/>
      <c r="B10" s="136"/>
      <c r="C10" s="138" t="s">
        <v>29</v>
      </c>
      <c r="D10" s="135" t="s">
        <v>30</v>
      </c>
      <c r="E10" s="135"/>
      <c r="F10" s="135"/>
      <c r="G10" s="135"/>
      <c r="H10" s="135"/>
      <c r="I10" s="135"/>
      <c r="J10" s="134"/>
      <c r="K10" s="134"/>
      <c r="L10" s="157"/>
      <c r="M10" s="136"/>
      <c r="N10" s="148"/>
      <c r="O10" s="157"/>
      <c r="P10" s="157"/>
    </row>
    <row r="11" ht="91" customHeight="1" spans="1:16">
      <c r="A11" s="135"/>
      <c r="B11" s="136"/>
      <c r="C11" s="138" t="s">
        <v>31</v>
      </c>
      <c r="D11" s="136" t="s">
        <v>32</v>
      </c>
      <c r="E11" s="136"/>
      <c r="F11" s="136"/>
      <c r="G11" s="136"/>
      <c r="H11" s="136"/>
      <c r="I11" s="136"/>
      <c r="J11" s="136" t="s">
        <v>33</v>
      </c>
      <c r="K11" s="136"/>
      <c r="L11" s="157"/>
      <c r="M11" s="136"/>
      <c r="N11" s="148"/>
      <c r="O11" s="157"/>
      <c r="P11" s="157"/>
    </row>
    <row r="12" ht="36" customHeight="1" spans="1:16">
      <c r="A12" s="135"/>
      <c r="B12" s="136"/>
      <c r="C12" s="138" t="s">
        <v>34</v>
      </c>
      <c r="D12" s="136" t="s">
        <v>35</v>
      </c>
      <c r="E12" s="136"/>
      <c r="F12" s="136"/>
      <c r="G12" s="136"/>
      <c r="H12" s="136"/>
      <c r="I12" s="136"/>
      <c r="J12" s="136" t="s">
        <v>36</v>
      </c>
      <c r="K12" s="136"/>
      <c r="L12" s="157"/>
      <c r="M12" s="136"/>
      <c r="N12" s="148"/>
      <c r="O12" s="157"/>
      <c r="P12" s="157"/>
    </row>
    <row r="13" ht="24" customHeight="1" spans="1:16">
      <c r="A13" s="135"/>
      <c r="B13" s="136"/>
      <c r="C13" s="138" t="s">
        <v>37</v>
      </c>
      <c r="D13" s="135" t="s">
        <v>38</v>
      </c>
      <c r="E13" s="135"/>
      <c r="F13" s="135"/>
      <c r="G13" s="135"/>
      <c r="H13" s="135"/>
      <c r="I13" s="135"/>
      <c r="J13" s="136"/>
      <c r="K13" s="136"/>
      <c r="L13" s="157"/>
      <c r="M13" s="136"/>
      <c r="N13" s="148"/>
      <c r="O13" s="157"/>
      <c r="P13" s="157"/>
    </row>
    <row r="14" ht="25" customHeight="1" spans="1:16">
      <c r="A14" s="135"/>
      <c r="B14" s="136"/>
      <c r="C14" s="138" t="s">
        <v>39</v>
      </c>
      <c r="D14" s="88" t="s">
        <v>40</v>
      </c>
      <c r="E14" s="88"/>
      <c r="F14" s="88"/>
      <c r="G14" s="88"/>
      <c r="H14" s="88"/>
      <c r="I14" s="88"/>
      <c r="J14" s="136"/>
      <c r="K14" s="136"/>
      <c r="L14" s="158"/>
      <c r="M14" s="136"/>
      <c r="N14" s="148"/>
      <c r="O14" s="157"/>
      <c r="P14" s="157"/>
    </row>
    <row r="15" ht="23" customHeight="1" spans="1:16">
      <c r="A15" s="135"/>
      <c r="B15" s="135" t="s">
        <v>41</v>
      </c>
      <c r="C15" s="139" t="s">
        <v>31</v>
      </c>
      <c r="D15" s="140" t="s">
        <v>42</v>
      </c>
      <c r="E15" s="151"/>
      <c r="F15" s="151"/>
      <c r="G15" s="151"/>
      <c r="H15" s="151"/>
      <c r="I15" s="159"/>
      <c r="J15" s="136"/>
      <c r="K15" s="136"/>
      <c r="L15" s="157">
        <v>10</v>
      </c>
      <c r="M15" s="148" t="s">
        <v>26</v>
      </c>
      <c r="N15" s="136">
        <v>60</v>
      </c>
      <c r="O15" s="157"/>
      <c r="P15" s="157"/>
    </row>
    <row r="16" ht="26" customHeight="1" spans="1:16">
      <c r="A16" s="135"/>
      <c r="B16" s="135"/>
      <c r="C16" s="141"/>
      <c r="D16" s="142"/>
      <c r="E16" s="152"/>
      <c r="F16" s="152"/>
      <c r="G16" s="152"/>
      <c r="H16" s="152"/>
      <c r="I16" s="160"/>
      <c r="J16" s="134"/>
      <c r="K16" s="134"/>
      <c r="L16" s="157"/>
      <c r="M16" s="148"/>
      <c r="N16" s="136"/>
      <c r="O16" s="157"/>
      <c r="P16" s="157"/>
    </row>
    <row r="17" ht="24" customHeight="1" spans="1:16">
      <c r="A17" s="135"/>
      <c r="B17" s="135"/>
      <c r="C17" s="137" t="s">
        <v>43</v>
      </c>
      <c r="D17" s="135" t="s">
        <v>44</v>
      </c>
      <c r="E17" s="135"/>
      <c r="F17" s="135"/>
      <c r="G17" s="135"/>
      <c r="H17" s="135"/>
      <c r="I17" s="135"/>
      <c r="J17" s="134"/>
      <c r="K17" s="134"/>
      <c r="L17" s="157"/>
      <c r="M17" s="148"/>
      <c r="N17" s="136"/>
      <c r="O17" s="157"/>
      <c r="P17" s="157"/>
    </row>
    <row r="18" ht="22" customHeight="1" spans="1:16">
      <c r="A18" s="135"/>
      <c r="B18" s="135"/>
      <c r="C18" s="137" t="s">
        <v>45</v>
      </c>
      <c r="D18" s="135" t="s">
        <v>46</v>
      </c>
      <c r="E18" s="135"/>
      <c r="F18" s="135"/>
      <c r="G18" s="135"/>
      <c r="H18" s="135"/>
      <c r="I18" s="135"/>
      <c r="J18" s="134"/>
      <c r="K18" s="134"/>
      <c r="L18" s="157"/>
      <c r="M18" s="148"/>
      <c r="N18" s="136"/>
      <c r="O18" s="157"/>
      <c r="P18" s="157"/>
    </row>
    <row r="19" ht="25" customHeight="1" spans="1:16">
      <c r="A19" s="135"/>
      <c r="B19" s="135"/>
      <c r="C19" s="137" t="s">
        <v>39</v>
      </c>
      <c r="D19" s="135" t="s">
        <v>40</v>
      </c>
      <c r="E19" s="135"/>
      <c r="F19" s="135"/>
      <c r="G19" s="135"/>
      <c r="H19" s="135"/>
      <c r="I19" s="135"/>
      <c r="J19" s="134"/>
      <c r="K19" s="134"/>
      <c r="L19" s="158"/>
      <c r="M19" s="149"/>
      <c r="N19" s="136"/>
      <c r="O19" s="157"/>
      <c r="P19" s="157"/>
    </row>
    <row r="20" ht="25" customHeight="1" spans="1:16">
      <c r="A20" s="135"/>
      <c r="B20" s="135" t="s">
        <v>47</v>
      </c>
      <c r="C20" s="137" t="s">
        <v>48</v>
      </c>
      <c r="D20" s="143" t="s">
        <v>49</v>
      </c>
      <c r="E20" s="146"/>
      <c r="F20" s="146"/>
      <c r="G20" s="146"/>
      <c r="H20" s="146"/>
      <c r="I20" s="138"/>
      <c r="J20" s="134"/>
      <c r="K20" s="161"/>
      <c r="L20" s="135">
        <v>20</v>
      </c>
      <c r="M20" s="135" t="s">
        <v>26</v>
      </c>
      <c r="N20" s="135">
        <v>100</v>
      </c>
      <c r="O20" s="157"/>
      <c r="P20" s="157"/>
    </row>
    <row r="21" ht="62" customHeight="1" spans="1:16">
      <c r="A21" s="135"/>
      <c r="B21" s="135"/>
      <c r="C21" s="138" t="s">
        <v>50</v>
      </c>
      <c r="D21" s="136" t="s">
        <v>51</v>
      </c>
      <c r="E21" s="136"/>
      <c r="F21" s="136"/>
      <c r="G21" s="136"/>
      <c r="H21" s="136"/>
      <c r="I21" s="136"/>
      <c r="J21" s="134"/>
      <c r="K21" s="161"/>
      <c r="L21" s="135"/>
      <c r="M21" s="135"/>
      <c r="N21" s="135"/>
      <c r="O21" s="157"/>
      <c r="P21" s="157"/>
    </row>
    <row r="22" ht="23" customHeight="1" spans="1:16">
      <c r="A22" s="135"/>
      <c r="B22" s="135"/>
      <c r="C22" s="138" t="s">
        <v>52</v>
      </c>
      <c r="D22" s="135" t="s">
        <v>53</v>
      </c>
      <c r="E22" s="135"/>
      <c r="F22" s="135"/>
      <c r="G22" s="135"/>
      <c r="H22" s="135"/>
      <c r="I22" s="135"/>
      <c r="J22" s="134"/>
      <c r="K22" s="161"/>
      <c r="L22" s="135"/>
      <c r="M22" s="135"/>
      <c r="N22" s="135"/>
      <c r="O22" s="157"/>
      <c r="P22" s="157"/>
    </row>
    <row r="23" ht="42" customHeight="1" spans="1:16">
      <c r="A23" s="135"/>
      <c r="B23" s="135"/>
      <c r="C23" s="138" t="s">
        <v>54</v>
      </c>
      <c r="D23" s="136" t="s">
        <v>55</v>
      </c>
      <c r="E23" s="136"/>
      <c r="F23" s="136"/>
      <c r="G23" s="136"/>
      <c r="H23" s="136"/>
      <c r="I23" s="136"/>
      <c r="J23" s="136" t="s">
        <v>56</v>
      </c>
      <c r="K23" s="155"/>
      <c r="L23" s="135"/>
      <c r="M23" s="135"/>
      <c r="N23" s="135"/>
      <c r="O23" s="157"/>
      <c r="P23" s="157"/>
    </row>
    <row r="24" ht="22" customHeight="1" spans="1:16">
      <c r="A24" s="135"/>
      <c r="B24" s="135"/>
      <c r="C24" s="138" t="s">
        <v>39</v>
      </c>
      <c r="D24" s="143" t="s">
        <v>40</v>
      </c>
      <c r="E24" s="146"/>
      <c r="F24" s="146"/>
      <c r="G24" s="146"/>
      <c r="H24" s="146"/>
      <c r="I24" s="138"/>
      <c r="J24" s="136"/>
      <c r="K24" s="155"/>
      <c r="L24" s="135"/>
      <c r="M24" s="135"/>
      <c r="N24" s="135"/>
      <c r="O24" s="157"/>
      <c r="P24" s="157"/>
    </row>
    <row r="25" ht="22" customHeight="1" spans="1:16">
      <c r="A25" s="135"/>
      <c r="B25" s="135" t="s">
        <v>57</v>
      </c>
      <c r="C25" s="138" t="s">
        <v>48</v>
      </c>
      <c r="D25" s="135" t="s">
        <v>49</v>
      </c>
      <c r="E25" s="135"/>
      <c r="F25" s="135"/>
      <c r="G25" s="135"/>
      <c r="H25" s="135"/>
      <c r="I25" s="135"/>
      <c r="J25" s="162"/>
      <c r="K25" s="163"/>
      <c r="L25" s="135">
        <v>30</v>
      </c>
      <c r="M25" s="135"/>
      <c r="N25" s="135">
        <v>120</v>
      </c>
      <c r="O25" s="157"/>
      <c r="P25" s="157"/>
    </row>
    <row r="26" ht="45" customHeight="1" spans="1:16">
      <c r="A26" s="135"/>
      <c r="B26" s="135"/>
      <c r="C26" s="138" t="s">
        <v>58</v>
      </c>
      <c r="D26" s="136" t="s">
        <v>59</v>
      </c>
      <c r="E26" s="136"/>
      <c r="F26" s="136"/>
      <c r="G26" s="136"/>
      <c r="H26" s="136"/>
      <c r="I26" s="136"/>
      <c r="J26" s="162"/>
      <c r="K26" s="163"/>
      <c r="L26" s="135"/>
      <c r="M26" s="135"/>
      <c r="N26" s="135"/>
      <c r="O26" s="157"/>
      <c r="P26" s="157"/>
    </row>
    <row r="27" ht="22" customHeight="1" spans="1:16">
      <c r="A27" s="135"/>
      <c r="B27" s="135"/>
      <c r="C27" s="138" t="s">
        <v>52</v>
      </c>
      <c r="D27" s="135" t="s">
        <v>53</v>
      </c>
      <c r="E27" s="135"/>
      <c r="F27" s="135"/>
      <c r="G27" s="135"/>
      <c r="H27" s="135"/>
      <c r="I27" s="135"/>
      <c r="J27" s="162"/>
      <c r="K27" s="163"/>
      <c r="L27" s="135"/>
      <c r="M27" s="135"/>
      <c r="N27" s="135"/>
      <c r="O27" s="157"/>
      <c r="P27" s="157"/>
    </row>
    <row r="28" ht="18" customHeight="1" spans="1:16">
      <c r="A28" s="135"/>
      <c r="B28" s="144"/>
      <c r="C28" s="139" t="s">
        <v>39</v>
      </c>
      <c r="D28" s="135" t="s">
        <v>40</v>
      </c>
      <c r="E28" s="135"/>
      <c r="F28" s="135"/>
      <c r="G28" s="135"/>
      <c r="H28" s="135"/>
      <c r="I28" s="135"/>
      <c r="J28" s="135"/>
      <c r="K28" s="143"/>
      <c r="L28" s="135"/>
      <c r="M28" s="135"/>
      <c r="N28" s="135"/>
      <c r="O28" s="157"/>
      <c r="P28" s="157"/>
    </row>
    <row r="29" ht="24" customHeight="1" spans="1:16">
      <c r="A29" s="135"/>
      <c r="B29" s="135" t="s">
        <v>60</v>
      </c>
      <c r="C29" s="135"/>
      <c r="D29" s="143" t="s">
        <v>61</v>
      </c>
      <c r="E29" s="146"/>
      <c r="F29" s="138"/>
      <c r="G29" s="135" t="s">
        <v>62</v>
      </c>
      <c r="H29" s="135"/>
      <c r="I29" s="135"/>
      <c r="J29" s="134"/>
      <c r="K29" s="134"/>
      <c r="L29" s="135"/>
      <c r="M29" s="135"/>
      <c r="N29" s="135"/>
      <c r="O29" s="158"/>
      <c r="P29" s="158"/>
    </row>
    <row r="30" ht="25" customHeight="1" spans="1:16">
      <c r="A30" s="143"/>
      <c r="B30" s="145"/>
      <c r="C30" s="145"/>
      <c r="D30" s="146"/>
      <c r="E30" s="146"/>
      <c r="F30" s="146"/>
      <c r="G30" s="146"/>
      <c r="H30" s="146"/>
      <c r="I30" s="146"/>
      <c r="J30" s="146"/>
      <c r="K30" s="146"/>
      <c r="L30" s="146"/>
      <c r="M30" s="146"/>
      <c r="N30" s="146"/>
      <c r="O30" s="146"/>
      <c r="P30" s="138"/>
    </row>
    <row r="31" ht="26" customHeight="1" spans="1:16">
      <c r="A31" s="135" t="s">
        <v>63</v>
      </c>
      <c r="B31" s="147" t="s">
        <v>64</v>
      </c>
      <c r="C31" s="135" t="s">
        <v>48</v>
      </c>
      <c r="D31" s="135" t="s">
        <v>65</v>
      </c>
      <c r="E31" s="135"/>
      <c r="F31" s="135"/>
      <c r="G31" s="135"/>
      <c r="H31" s="135"/>
      <c r="I31" s="135"/>
      <c r="J31" s="134"/>
      <c r="K31" s="134"/>
      <c r="L31" s="144">
        <v>50</v>
      </c>
      <c r="M31" s="144" t="s">
        <v>26</v>
      </c>
      <c r="N31" s="144">
        <v>80</v>
      </c>
      <c r="O31" s="144">
        <v>2400</v>
      </c>
      <c r="P31" s="135">
        <v>13133</v>
      </c>
    </row>
    <row r="32" ht="48" customHeight="1" spans="1:16">
      <c r="A32" s="135"/>
      <c r="B32" s="148"/>
      <c r="C32" s="135" t="s">
        <v>58</v>
      </c>
      <c r="D32" s="136" t="s">
        <v>66</v>
      </c>
      <c r="E32" s="136"/>
      <c r="F32" s="136"/>
      <c r="G32" s="136"/>
      <c r="H32" s="136"/>
      <c r="I32" s="136"/>
      <c r="J32" s="134"/>
      <c r="K32" s="134"/>
      <c r="L32" s="157"/>
      <c r="M32" s="157"/>
      <c r="N32" s="157"/>
      <c r="O32" s="157"/>
      <c r="P32" s="135"/>
    </row>
    <row r="33" ht="23" customHeight="1" spans="1:16">
      <c r="A33" s="135"/>
      <c r="B33" s="148"/>
      <c r="C33" s="135" t="s">
        <v>67</v>
      </c>
      <c r="D33" s="135" t="s">
        <v>68</v>
      </c>
      <c r="E33" s="135"/>
      <c r="F33" s="135"/>
      <c r="G33" s="135"/>
      <c r="H33" s="135"/>
      <c r="I33" s="135"/>
      <c r="J33" s="134"/>
      <c r="K33" s="134"/>
      <c r="L33" s="157"/>
      <c r="M33" s="157"/>
      <c r="N33" s="157"/>
      <c r="O33" s="157"/>
      <c r="P33" s="135"/>
    </row>
    <row r="34" ht="23" customHeight="1" spans="1:16">
      <c r="A34" s="135"/>
      <c r="B34" s="148"/>
      <c r="C34" s="135" t="s">
        <v>45</v>
      </c>
      <c r="D34" s="143" t="s">
        <v>69</v>
      </c>
      <c r="E34" s="146"/>
      <c r="F34" s="146"/>
      <c r="G34" s="146"/>
      <c r="H34" s="146"/>
      <c r="I34" s="138"/>
      <c r="J34" s="134"/>
      <c r="K34" s="134"/>
      <c r="L34" s="157"/>
      <c r="M34" s="157"/>
      <c r="N34" s="157"/>
      <c r="O34" s="157"/>
      <c r="P34" s="135"/>
    </row>
    <row r="35" ht="33" customHeight="1" spans="1:16">
      <c r="A35" s="135"/>
      <c r="B35" s="148"/>
      <c r="C35" s="135" t="s">
        <v>70</v>
      </c>
      <c r="D35" s="136" t="s">
        <v>71</v>
      </c>
      <c r="E35" s="136"/>
      <c r="F35" s="136"/>
      <c r="G35" s="136"/>
      <c r="H35" s="136"/>
      <c r="I35" s="136"/>
      <c r="J35" s="134"/>
      <c r="K35" s="134"/>
      <c r="L35" s="157"/>
      <c r="M35" s="157"/>
      <c r="N35" s="157"/>
      <c r="O35" s="157"/>
      <c r="P35" s="135"/>
    </row>
    <row r="36" ht="37" customHeight="1" spans="1:16">
      <c r="A36" s="135"/>
      <c r="B36" s="148"/>
      <c r="C36" s="135" t="s">
        <v>72</v>
      </c>
      <c r="D36" s="155" t="s">
        <v>73</v>
      </c>
      <c r="E36" s="167"/>
      <c r="F36" s="167"/>
      <c r="G36" s="167"/>
      <c r="H36" s="167"/>
      <c r="I36" s="137"/>
      <c r="J36" s="134"/>
      <c r="K36" s="134"/>
      <c r="L36" s="157"/>
      <c r="M36" s="157"/>
      <c r="N36" s="157"/>
      <c r="O36" s="157"/>
      <c r="P36" s="135"/>
    </row>
    <row r="37" ht="37" customHeight="1" spans="1:16">
      <c r="A37" s="135"/>
      <c r="B37" s="148"/>
      <c r="C37" s="144" t="s">
        <v>39</v>
      </c>
      <c r="D37" s="136" t="s">
        <v>40</v>
      </c>
      <c r="E37" s="136"/>
      <c r="F37" s="136"/>
      <c r="G37" s="136"/>
      <c r="H37" s="136"/>
      <c r="I37" s="136"/>
      <c r="J37" s="134"/>
      <c r="K37" s="134"/>
      <c r="L37" s="157"/>
      <c r="M37" s="157"/>
      <c r="N37" s="157"/>
      <c r="O37" s="157"/>
      <c r="P37" s="135"/>
    </row>
    <row r="38" ht="27" customHeight="1" spans="1:16">
      <c r="A38" s="135"/>
      <c r="B38" s="136" t="s">
        <v>60</v>
      </c>
      <c r="C38" s="136"/>
      <c r="D38" s="143" t="s">
        <v>74</v>
      </c>
      <c r="E38" s="146"/>
      <c r="F38" s="138"/>
      <c r="G38" s="143" t="s">
        <v>75</v>
      </c>
      <c r="H38" s="146"/>
      <c r="I38" s="138"/>
      <c r="J38" s="134"/>
      <c r="K38" s="134"/>
      <c r="L38" s="158"/>
      <c r="M38" s="158"/>
      <c r="N38" s="158"/>
      <c r="O38" s="158"/>
      <c r="P38" s="135"/>
    </row>
    <row r="39" ht="25" customHeight="1" spans="1:16">
      <c r="A39" s="164"/>
      <c r="B39" s="165"/>
      <c r="C39" s="165"/>
      <c r="D39" s="166"/>
      <c r="E39" s="166"/>
      <c r="F39" s="166"/>
      <c r="G39" s="166"/>
      <c r="H39" s="166"/>
      <c r="I39" s="166"/>
      <c r="J39" s="166"/>
      <c r="K39" s="166"/>
      <c r="L39" s="166"/>
      <c r="M39" s="166"/>
      <c r="N39" s="166"/>
      <c r="O39" s="166"/>
      <c r="P39" s="168"/>
    </row>
    <row r="40" ht="36" customHeight="1" spans="1:16">
      <c r="A40" s="135" t="s">
        <v>76</v>
      </c>
      <c r="B40" s="144"/>
      <c r="C40" s="135" t="s">
        <v>48</v>
      </c>
      <c r="D40" s="136" t="s">
        <v>77</v>
      </c>
      <c r="E40" s="136"/>
      <c r="F40" s="136"/>
      <c r="G40" s="136"/>
      <c r="H40" s="136"/>
      <c r="I40" s="136"/>
      <c r="J40" s="135"/>
      <c r="K40" s="135"/>
      <c r="L40" s="135" t="s">
        <v>78</v>
      </c>
      <c r="M40" s="135" t="s">
        <v>79</v>
      </c>
      <c r="N40" s="135">
        <v>60</v>
      </c>
      <c r="O40" s="135">
        <v>1800</v>
      </c>
      <c r="P40" s="135" t="s">
        <v>80</v>
      </c>
    </row>
    <row r="41" ht="51" customHeight="1" spans="1:16">
      <c r="A41" s="135"/>
      <c r="B41" s="157"/>
      <c r="C41" s="135" t="s">
        <v>58</v>
      </c>
      <c r="D41" s="136" t="s">
        <v>66</v>
      </c>
      <c r="E41" s="136"/>
      <c r="F41" s="136"/>
      <c r="G41" s="136"/>
      <c r="H41" s="136"/>
      <c r="I41" s="136"/>
      <c r="J41" s="134"/>
      <c r="K41" s="134"/>
      <c r="L41" s="135"/>
      <c r="M41" s="135"/>
      <c r="N41" s="135"/>
      <c r="O41" s="135"/>
      <c r="P41" s="135"/>
    </row>
    <row r="42" ht="28" customHeight="1" spans="1:16">
      <c r="A42" s="135"/>
      <c r="B42" s="157"/>
      <c r="C42" s="135" t="s">
        <v>67</v>
      </c>
      <c r="D42" s="136" t="s">
        <v>68</v>
      </c>
      <c r="E42" s="136"/>
      <c r="F42" s="136"/>
      <c r="G42" s="136"/>
      <c r="H42" s="136"/>
      <c r="I42" s="136"/>
      <c r="J42" s="134"/>
      <c r="K42" s="134"/>
      <c r="L42" s="135"/>
      <c r="M42" s="135"/>
      <c r="N42" s="135"/>
      <c r="O42" s="135"/>
      <c r="P42" s="135"/>
    </row>
    <row r="43" ht="28" customHeight="1" spans="1:16">
      <c r="A43" s="135"/>
      <c r="B43" s="157"/>
      <c r="C43" s="135" t="s">
        <v>81</v>
      </c>
      <c r="D43" s="136" t="s">
        <v>82</v>
      </c>
      <c r="E43" s="136"/>
      <c r="F43" s="136"/>
      <c r="G43" s="136"/>
      <c r="H43" s="136"/>
      <c r="I43" s="136"/>
      <c r="J43" s="134"/>
      <c r="K43" s="134"/>
      <c r="L43" s="135"/>
      <c r="M43" s="135"/>
      <c r="N43" s="135"/>
      <c r="O43" s="135"/>
      <c r="P43" s="135"/>
    </row>
    <row r="44" ht="37" customHeight="1" spans="1:16">
      <c r="A44" s="135"/>
      <c r="B44" s="157"/>
      <c r="C44" s="135" t="s">
        <v>70</v>
      </c>
      <c r="D44" s="136" t="s">
        <v>71</v>
      </c>
      <c r="E44" s="136"/>
      <c r="F44" s="136"/>
      <c r="G44" s="136"/>
      <c r="H44" s="136"/>
      <c r="I44" s="136"/>
      <c r="J44" s="134"/>
      <c r="K44" s="134"/>
      <c r="L44" s="135"/>
      <c r="M44" s="135"/>
      <c r="N44" s="135"/>
      <c r="O44" s="135"/>
      <c r="P44" s="135"/>
    </row>
    <row r="45" ht="35" customHeight="1" spans="1:16">
      <c r="A45" s="135"/>
      <c r="B45" s="157"/>
      <c r="C45" s="135" t="s">
        <v>72</v>
      </c>
      <c r="D45" s="136" t="s">
        <v>73</v>
      </c>
      <c r="E45" s="136"/>
      <c r="F45" s="136"/>
      <c r="G45" s="136"/>
      <c r="H45" s="136"/>
      <c r="I45" s="136"/>
      <c r="J45" s="134"/>
      <c r="K45" s="134"/>
      <c r="L45" s="135"/>
      <c r="M45" s="135"/>
      <c r="N45" s="135"/>
      <c r="O45" s="135"/>
      <c r="P45" s="135"/>
    </row>
    <row r="46" ht="35" customHeight="1" spans="1:16">
      <c r="A46" s="135"/>
      <c r="B46" s="158"/>
      <c r="C46" s="135" t="s">
        <v>39</v>
      </c>
      <c r="D46" s="135" t="s">
        <v>40</v>
      </c>
      <c r="E46" s="135"/>
      <c r="F46" s="135"/>
      <c r="G46" s="135"/>
      <c r="H46" s="135"/>
      <c r="I46" s="135"/>
      <c r="J46" s="134"/>
      <c r="K46" s="134"/>
      <c r="L46" s="135"/>
      <c r="M46" s="135"/>
      <c r="N46" s="135"/>
      <c r="O46" s="135"/>
      <c r="P46" s="135"/>
    </row>
    <row r="47" ht="24" customHeight="1" spans="1:16">
      <c r="A47" s="135"/>
      <c r="B47" s="143" t="s">
        <v>83</v>
      </c>
      <c r="C47" s="138"/>
      <c r="D47" s="143" t="s">
        <v>84</v>
      </c>
      <c r="E47" s="146"/>
      <c r="F47" s="138"/>
      <c r="G47" s="143" t="s">
        <v>85</v>
      </c>
      <c r="H47" s="146"/>
      <c r="I47" s="138"/>
      <c r="J47" s="134"/>
      <c r="K47" s="134"/>
      <c r="L47" s="135"/>
      <c r="M47" s="135"/>
      <c r="N47" s="135"/>
      <c r="O47" s="135"/>
      <c r="P47" s="135"/>
    </row>
  </sheetData>
  <sheetProtection formatCells="0" insertHyperlinks="0" autoFilter="0"/>
  <mergeCells count="93">
    <mergeCell ref="A1:K1"/>
    <mergeCell ref="D2:I2"/>
    <mergeCell ref="J2:K2"/>
    <mergeCell ref="D3:I3"/>
    <mergeCell ref="J3:K3"/>
    <mergeCell ref="D4:I4"/>
    <mergeCell ref="J4:K4"/>
    <mergeCell ref="D5:I5"/>
    <mergeCell ref="J5:K5"/>
    <mergeCell ref="G6:H6"/>
    <mergeCell ref="J6:K6"/>
    <mergeCell ref="J7:K7"/>
    <mergeCell ref="D8:I8"/>
    <mergeCell ref="D9:I9"/>
    <mergeCell ref="D10:I10"/>
    <mergeCell ref="D11:I11"/>
    <mergeCell ref="J11:K11"/>
    <mergeCell ref="D12:I12"/>
    <mergeCell ref="D13:I13"/>
    <mergeCell ref="D14:I14"/>
    <mergeCell ref="D17:I17"/>
    <mergeCell ref="D18:I18"/>
    <mergeCell ref="D19:I19"/>
    <mergeCell ref="D20:I20"/>
    <mergeCell ref="D21:I21"/>
    <mergeCell ref="D22:I22"/>
    <mergeCell ref="D23:I23"/>
    <mergeCell ref="J23:K23"/>
    <mergeCell ref="D24:I24"/>
    <mergeCell ref="D25:I25"/>
    <mergeCell ref="D26:I26"/>
    <mergeCell ref="D27:I27"/>
    <mergeCell ref="D28:I28"/>
    <mergeCell ref="B29:C29"/>
    <mergeCell ref="D29:F29"/>
    <mergeCell ref="G29:I29"/>
    <mergeCell ref="A30:P30"/>
    <mergeCell ref="D31:I31"/>
    <mergeCell ref="D32:I32"/>
    <mergeCell ref="D33:I33"/>
    <mergeCell ref="D34:I34"/>
    <mergeCell ref="D35:I35"/>
    <mergeCell ref="D36:I36"/>
    <mergeCell ref="D37:I37"/>
    <mergeCell ref="B38:C38"/>
    <mergeCell ref="D38:F38"/>
    <mergeCell ref="G38:I38"/>
    <mergeCell ref="A39:P39"/>
    <mergeCell ref="D40:I40"/>
    <mergeCell ref="D41:I41"/>
    <mergeCell ref="D42:I42"/>
    <mergeCell ref="D43:I43"/>
    <mergeCell ref="D44:I44"/>
    <mergeCell ref="D45:I45"/>
    <mergeCell ref="D46:I46"/>
    <mergeCell ref="B47:C47"/>
    <mergeCell ref="D47:F47"/>
    <mergeCell ref="G47:I47"/>
    <mergeCell ref="A5:A29"/>
    <mergeCell ref="A31:A38"/>
    <mergeCell ref="A40:A47"/>
    <mergeCell ref="B8:B14"/>
    <mergeCell ref="B15:B19"/>
    <mergeCell ref="B20:B24"/>
    <mergeCell ref="B25:B28"/>
    <mergeCell ref="B31:B37"/>
    <mergeCell ref="B40:B46"/>
    <mergeCell ref="C15:C16"/>
    <mergeCell ref="L8:L14"/>
    <mergeCell ref="L15:L19"/>
    <mergeCell ref="L20:L24"/>
    <mergeCell ref="L25:L29"/>
    <mergeCell ref="L31:L38"/>
    <mergeCell ref="L40:L47"/>
    <mergeCell ref="M8:M14"/>
    <mergeCell ref="M15:M19"/>
    <mergeCell ref="M20:M29"/>
    <mergeCell ref="M31:M38"/>
    <mergeCell ref="M40:M47"/>
    <mergeCell ref="N8:N14"/>
    <mergeCell ref="N15:N19"/>
    <mergeCell ref="N20:N24"/>
    <mergeCell ref="N25:N29"/>
    <mergeCell ref="N31:N38"/>
    <mergeCell ref="N40:N47"/>
    <mergeCell ref="O8:O29"/>
    <mergeCell ref="O31:O38"/>
    <mergeCell ref="O40:O47"/>
    <mergeCell ref="P8:P29"/>
    <mergeCell ref="P31:P38"/>
    <mergeCell ref="P40:P47"/>
    <mergeCell ref="J12:K15"/>
    <mergeCell ref="D15:I1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H37"/>
  <sheetViews>
    <sheetView workbookViewId="0">
      <selection activeCell="J21" sqref="J21"/>
    </sheetView>
  </sheetViews>
  <sheetFormatPr defaultColWidth="10.6666666666667" defaultRowHeight="16.5" outlineLevelCol="7"/>
  <cols>
    <col min="1" max="1" width="10.6666666666667" style="116" customWidth="1"/>
    <col min="2" max="2" width="27.6666666666667" style="117" customWidth="1"/>
    <col min="3" max="3" width="55.1666666666667" style="117" customWidth="1"/>
    <col min="4" max="4" width="26.1666666666667" style="117" customWidth="1"/>
    <col min="5" max="5" width="10.6666666666667" style="116" customWidth="1"/>
    <col min="6" max="6" width="8" style="116" customWidth="1"/>
    <col min="7" max="7" width="9.5" style="117" customWidth="1"/>
    <col min="8" max="8" width="35.8333333333333" style="117" customWidth="1"/>
    <col min="9" max="9" width="10.6666666666667" style="117" customWidth="1"/>
    <col min="10" max="16384" width="10.6666666666667" style="117"/>
  </cols>
  <sheetData>
    <row r="1" ht="50" customHeight="1" spans="1:8">
      <c r="A1" s="118" t="s">
        <v>86</v>
      </c>
      <c r="B1" s="118"/>
      <c r="C1" s="118"/>
      <c r="D1" s="118"/>
      <c r="E1" s="118"/>
      <c r="F1" s="118"/>
      <c r="G1" s="118"/>
      <c r="H1" s="118"/>
    </row>
    <row r="2" ht="33" spans="1:8">
      <c r="A2" s="119" t="s">
        <v>87</v>
      </c>
      <c r="B2" s="120" t="s">
        <v>88</v>
      </c>
      <c r="C2" s="120" t="s">
        <v>89</v>
      </c>
      <c r="D2" s="120" t="s">
        <v>90</v>
      </c>
      <c r="E2" s="127" t="s">
        <v>91</v>
      </c>
      <c r="F2" s="127" t="s">
        <v>92</v>
      </c>
      <c r="G2" s="120" t="s">
        <v>93</v>
      </c>
      <c r="H2" s="120" t="s">
        <v>94</v>
      </c>
    </row>
    <row r="3" spans="1:8">
      <c r="A3" s="121">
        <v>1</v>
      </c>
      <c r="B3" s="122" t="s">
        <v>95</v>
      </c>
      <c r="C3" s="122" t="s">
        <v>96</v>
      </c>
      <c r="D3" s="122" t="s">
        <v>97</v>
      </c>
      <c r="E3" s="128">
        <v>30</v>
      </c>
      <c r="F3" s="128">
        <v>2500</v>
      </c>
      <c r="G3" s="122" t="s">
        <v>98</v>
      </c>
      <c r="H3" s="122"/>
    </row>
    <row r="4" spans="1:8">
      <c r="A4" s="121">
        <v>2</v>
      </c>
      <c r="B4" s="122" t="s">
        <v>99</v>
      </c>
      <c r="C4" s="122" t="s">
        <v>100</v>
      </c>
      <c r="D4" s="122"/>
      <c r="E4" s="128">
        <v>3</v>
      </c>
      <c r="F4" s="128"/>
      <c r="G4" s="122" t="s">
        <v>98</v>
      </c>
      <c r="H4" s="122"/>
    </row>
    <row r="5" spans="1:8">
      <c r="A5" s="121">
        <v>3</v>
      </c>
      <c r="B5" s="122" t="s">
        <v>101</v>
      </c>
      <c r="C5" s="122"/>
      <c r="D5" s="122"/>
      <c r="E5" s="128"/>
      <c r="F5" s="128"/>
      <c r="G5" s="122" t="s">
        <v>98</v>
      </c>
      <c r="H5" s="122"/>
    </row>
    <row r="6" spans="1:8">
      <c r="A6" s="121">
        <v>4</v>
      </c>
      <c r="B6" s="123" t="s">
        <v>102</v>
      </c>
      <c r="C6" s="122"/>
      <c r="D6" s="122"/>
      <c r="E6" s="128"/>
      <c r="F6" s="128"/>
      <c r="G6" s="122" t="s">
        <v>98</v>
      </c>
      <c r="H6" s="122"/>
    </row>
    <row r="7" spans="1:8">
      <c r="A7" s="121">
        <v>5</v>
      </c>
      <c r="B7" s="122" t="s">
        <v>103</v>
      </c>
      <c r="C7" s="122"/>
      <c r="D7" s="122"/>
      <c r="E7" s="128">
        <v>1</v>
      </c>
      <c r="F7" s="128"/>
      <c r="G7" s="122" t="s">
        <v>98</v>
      </c>
      <c r="H7" s="122"/>
    </row>
    <row r="8" spans="1:8">
      <c r="A8" s="121">
        <v>6</v>
      </c>
      <c r="B8" s="122" t="s">
        <v>104</v>
      </c>
      <c r="C8" s="124"/>
      <c r="D8" s="122"/>
      <c r="E8" s="128">
        <v>2</v>
      </c>
      <c r="F8" s="128"/>
      <c r="G8" s="122" t="s">
        <v>98</v>
      </c>
      <c r="H8" s="122"/>
    </row>
    <row r="9" ht="66" spans="1:8">
      <c r="A9" s="121">
        <v>7</v>
      </c>
      <c r="B9" s="122" t="s">
        <v>105</v>
      </c>
      <c r="C9" s="122"/>
      <c r="D9" s="122" t="s">
        <v>97</v>
      </c>
      <c r="E9" s="128"/>
      <c r="F9" s="128"/>
      <c r="G9" s="122" t="s">
        <v>106</v>
      </c>
      <c r="H9" s="122" t="s">
        <v>107</v>
      </c>
    </row>
    <row r="10" ht="33" spans="1:8">
      <c r="A10" s="121">
        <v>8</v>
      </c>
      <c r="B10" s="122" t="s">
        <v>108</v>
      </c>
      <c r="C10" s="122" t="s">
        <v>109</v>
      </c>
      <c r="D10" s="122" t="s">
        <v>110</v>
      </c>
      <c r="E10" s="128">
        <v>5</v>
      </c>
      <c r="F10" s="128"/>
      <c r="G10" s="122" t="s">
        <v>98</v>
      </c>
      <c r="H10" s="122" t="s">
        <v>111</v>
      </c>
    </row>
    <row r="11" spans="1:8">
      <c r="A11" s="121">
        <v>9</v>
      </c>
      <c r="B11" s="122" t="s">
        <v>112</v>
      </c>
      <c r="C11" s="122" t="s">
        <v>113</v>
      </c>
      <c r="D11" s="122"/>
      <c r="E11" s="128">
        <v>20</v>
      </c>
      <c r="F11" s="128"/>
      <c r="G11" s="122" t="s">
        <v>106</v>
      </c>
      <c r="H11" s="122"/>
    </row>
    <row r="12" ht="33" spans="1:8">
      <c r="A12" s="121">
        <v>10</v>
      </c>
      <c r="B12" s="122" t="s">
        <v>114</v>
      </c>
      <c r="C12" s="122" t="s">
        <v>115</v>
      </c>
      <c r="D12" s="122" t="s">
        <v>116</v>
      </c>
      <c r="E12" s="128" t="s">
        <v>117</v>
      </c>
      <c r="F12" s="128"/>
      <c r="G12" s="122" t="s">
        <v>98</v>
      </c>
      <c r="H12" s="122" t="s">
        <v>118</v>
      </c>
    </row>
    <row r="13" ht="33" spans="1:8">
      <c r="A13" s="121">
        <v>11</v>
      </c>
      <c r="B13" s="122" t="s">
        <v>119</v>
      </c>
      <c r="C13" s="122" t="s">
        <v>120</v>
      </c>
      <c r="D13" s="122"/>
      <c r="E13" s="128" t="s">
        <v>121</v>
      </c>
      <c r="F13" s="128"/>
      <c r="G13" s="122" t="s">
        <v>106</v>
      </c>
      <c r="H13" s="122" t="s">
        <v>122</v>
      </c>
    </row>
    <row r="14" spans="1:8">
      <c r="A14" s="121">
        <v>12</v>
      </c>
      <c r="B14" s="122" t="s">
        <v>123</v>
      </c>
      <c r="C14" s="122" t="s">
        <v>124</v>
      </c>
      <c r="D14" s="122" t="s">
        <v>125</v>
      </c>
      <c r="E14" s="128">
        <v>8</v>
      </c>
      <c r="F14" s="128"/>
      <c r="G14" s="122" t="s">
        <v>98</v>
      </c>
      <c r="H14" s="122" t="s">
        <v>126</v>
      </c>
    </row>
    <row r="15" ht="33" spans="1:8">
      <c r="A15" s="121">
        <v>13</v>
      </c>
      <c r="B15" s="122" t="s">
        <v>127</v>
      </c>
      <c r="C15" s="125" t="s">
        <v>128</v>
      </c>
      <c r="D15" s="122" t="s">
        <v>129</v>
      </c>
      <c r="E15" s="128"/>
      <c r="F15" s="128"/>
      <c r="G15" s="122" t="s">
        <v>98</v>
      </c>
      <c r="H15" s="122" t="s">
        <v>130</v>
      </c>
    </row>
    <row r="16" spans="1:8">
      <c r="A16" s="121">
        <v>14</v>
      </c>
      <c r="B16" s="122" t="s">
        <v>131</v>
      </c>
      <c r="C16" s="122" t="s">
        <v>132</v>
      </c>
      <c r="D16" s="122" t="s">
        <v>133</v>
      </c>
      <c r="E16" s="128" t="s">
        <v>134</v>
      </c>
      <c r="F16" s="128"/>
      <c r="G16" s="122" t="s">
        <v>98</v>
      </c>
      <c r="H16" s="122"/>
    </row>
    <row r="17" spans="1:8">
      <c r="A17" s="121">
        <v>15</v>
      </c>
      <c r="B17" s="122" t="s">
        <v>135</v>
      </c>
      <c r="C17" s="122" t="s">
        <v>120</v>
      </c>
      <c r="D17" s="122" t="s">
        <v>136</v>
      </c>
      <c r="E17" s="128"/>
      <c r="F17" s="128"/>
      <c r="G17" s="122" t="s">
        <v>98</v>
      </c>
      <c r="H17" s="122"/>
    </row>
    <row r="18" spans="1:8">
      <c r="A18" s="121">
        <v>16</v>
      </c>
      <c r="B18" s="122" t="s">
        <v>137</v>
      </c>
      <c r="C18" s="122" t="s">
        <v>120</v>
      </c>
      <c r="D18" s="122" t="s">
        <v>138</v>
      </c>
      <c r="E18" s="128" t="s">
        <v>139</v>
      </c>
      <c r="F18" s="128">
        <v>150</v>
      </c>
      <c r="G18" s="122" t="s">
        <v>106</v>
      </c>
      <c r="H18" s="122" t="s">
        <v>140</v>
      </c>
    </row>
    <row r="19" spans="1:8">
      <c r="A19" s="121">
        <v>17</v>
      </c>
      <c r="B19" s="122" t="s">
        <v>141</v>
      </c>
      <c r="C19" s="122" t="s">
        <v>120</v>
      </c>
      <c r="D19" s="122"/>
      <c r="E19" s="128"/>
      <c r="F19" s="128"/>
      <c r="G19" s="122" t="s">
        <v>106</v>
      </c>
      <c r="H19" s="122"/>
    </row>
    <row r="20" ht="33" spans="1:8">
      <c r="A20" s="121">
        <v>18</v>
      </c>
      <c r="B20" s="122" t="s">
        <v>142</v>
      </c>
      <c r="C20" s="122" t="s">
        <v>120</v>
      </c>
      <c r="D20" s="126" t="s">
        <v>143</v>
      </c>
      <c r="E20" s="128"/>
      <c r="F20" s="128"/>
      <c r="G20" s="122" t="s">
        <v>106</v>
      </c>
      <c r="H20" s="122" t="s">
        <v>144</v>
      </c>
    </row>
    <row r="21" ht="33" spans="1:8">
      <c r="A21" s="121">
        <v>19</v>
      </c>
      <c r="B21" s="122" t="s">
        <v>145</v>
      </c>
      <c r="C21" s="122" t="s">
        <v>146</v>
      </c>
      <c r="D21" s="122"/>
      <c r="E21" s="128"/>
      <c r="F21" s="128"/>
      <c r="G21" s="122" t="s">
        <v>106</v>
      </c>
      <c r="H21" s="122"/>
    </row>
    <row r="22" spans="1:8">
      <c r="A22" s="121">
        <v>20</v>
      </c>
      <c r="B22" s="122" t="s">
        <v>147</v>
      </c>
      <c r="C22" s="122"/>
      <c r="D22" s="122"/>
      <c r="E22" s="128"/>
      <c r="F22" s="128"/>
      <c r="G22" s="122"/>
      <c r="H22" s="122"/>
    </row>
    <row r="23" ht="33" spans="1:8">
      <c r="A23" s="121">
        <v>21</v>
      </c>
      <c r="B23" s="124" t="s">
        <v>148</v>
      </c>
      <c r="C23" s="124"/>
      <c r="D23" s="124"/>
      <c r="E23" s="128"/>
      <c r="F23" s="128"/>
      <c r="G23" s="122" t="s">
        <v>98</v>
      </c>
      <c r="H23" s="122" t="s">
        <v>149</v>
      </c>
    </row>
    <row r="24" ht="50" customHeight="1" spans="1:8">
      <c r="A24" s="118" t="s">
        <v>150</v>
      </c>
      <c r="B24" s="118"/>
      <c r="C24" s="118"/>
      <c r="D24" s="118"/>
      <c r="E24" s="118"/>
      <c r="F24" s="118"/>
      <c r="G24" s="118"/>
      <c r="H24" s="118"/>
    </row>
    <row r="25" spans="1:8">
      <c r="A25" s="119" t="s">
        <v>87</v>
      </c>
      <c r="B25" s="120" t="s">
        <v>88</v>
      </c>
      <c r="C25" s="120" t="s">
        <v>89</v>
      </c>
      <c r="D25" s="127" t="s">
        <v>92</v>
      </c>
      <c r="E25" s="127" t="s">
        <v>9</v>
      </c>
      <c r="F25" s="127"/>
      <c r="G25" s="127"/>
      <c r="H25" s="127"/>
    </row>
    <row r="26" spans="1:8">
      <c r="A26" s="121">
        <v>1</v>
      </c>
      <c r="B26" s="122" t="s">
        <v>151</v>
      </c>
      <c r="C26" s="122" t="s">
        <v>152</v>
      </c>
      <c r="D26" s="128" t="s">
        <v>153</v>
      </c>
      <c r="E26" s="128"/>
      <c r="F26" s="128"/>
      <c r="G26" s="128"/>
      <c r="H26" s="128"/>
    </row>
    <row r="27" spans="1:8">
      <c r="A27" s="121">
        <v>2</v>
      </c>
      <c r="B27" s="122" t="s">
        <v>99</v>
      </c>
      <c r="C27" s="122" t="s">
        <v>100</v>
      </c>
      <c r="D27" s="129">
        <v>60</v>
      </c>
      <c r="E27" s="128"/>
      <c r="F27" s="128"/>
      <c r="G27" s="128"/>
      <c r="H27" s="128"/>
    </row>
    <row r="28" spans="1:8">
      <c r="A28" s="121">
        <v>3</v>
      </c>
      <c r="B28" s="122" t="s">
        <v>154</v>
      </c>
      <c r="C28" s="122" t="s">
        <v>155</v>
      </c>
      <c r="D28" s="128" t="s">
        <v>153</v>
      </c>
      <c r="E28" s="128"/>
      <c r="F28" s="128"/>
      <c r="G28" s="128"/>
      <c r="H28" s="128"/>
    </row>
    <row r="29" spans="1:8">
      <c r="A29" s="121">
        <v>4</v>
      </c>
      <c r="B29" s="123" t="s">
        <v>156</v>
      </c>
      <c r="C29" s="124" t="s">
        <v>157</v>
      </c>
      <c r="D29" s="121" t="s">
        <v>158</v>
      </c>
      <c r="E29" s="128"/>
      <c r="F29" s="128"/>
      <c r="G29" s="128"/>
      <c r="H29" s="128"/>
    </row>
    <row r="30" spans="1:8">
      <c r="A30" s="121">
        <v>5</v>
      </c>
      <c r="B30" s="122" t="s">
        <v>114</v>
      </c>
      <c r="C30" s="122" t="s">
        <v>159</v>
      </c>
      <c r="D30" s="128" t="s">
        <v>160</v>
      </c>
      <c r="E30" s="128"/>
      <c r="F30" s="128"/>
      <c r="G30" s="128"/>
      <c r="H30" s="128"/>
    </row>
    <row r="31" spans="1:8">
      <c r="A31" s="121">
        <v>6</v>
      </c>
      <c r="B31" s="122" t="s">
        <v>45</v>
      </c>
      <c r="C31" s="124" t="s">
        <v>161</v>
      </c>
      <c r="D31" s="128" t="s">
        <v>162</v>
      </c>
      <c r="E31" s="128"/>
      <c r="F31" s="128"/>
      <c r="G31" s="128"/>
      <c r="H31" s="128"/>
    </row>
    <row r="32" spans="1:8">
      <c r="A32" s="121">
        <v>7</v>
      </c>
      <c r="B32" s="122" t="s">
        <v>163</v>
      </c>
      <c r="C32" s="122" t="s">
        <v>164</v>
      </c>
      <c r="D32" s="128" t="s">
        <v>165</v>
      </c>
      <c r="E32" s="128"/>
      <c r="F32" s="128"/>
      <c r="G32" s="128"/>
      <c r="H32" s="128"/>
    </row>
    <row r="33" ht="33" spans="1:8">
      <c r="A33" s="121">
        <v>8</v>
      </c>
      <c r="B33" s="122" t="s">
        <v>166</v>
      </c>
      <c r="C33" s="122" t="s">
        <v>167</v>
      </c>
      <c r="D33" s="128" t="s">
        <v>168</v>
      </c>
      <c r="E33" s="128"/>
      <c r="F33" s="128"/>
      <c r="G33" s="128"/>
      <c r="H33" s="128"/>
    </row>
    <row r="34" ht="33" spans="1:8">
      <c r="A34" s="121">
        <v>9</v>
      </c>
      <c r="B34" s="122" t="s">
        <v>169</v>
      </c>
      <c r="C34" s="122" t="s">
        <v>170</v>
      </c>
      <c r="D34" s="129">
        <v>300</v>
      </c>
      <c r="E34" s="128"/>
      <c r="F34" s="128"/>
      <c r="G34" s="128"/>
      <c r="H34" s="128"/>
    </row>
    <row r="35" spans="1:8">
      <c r="A35" s="121">
        <v>10</v>
      </c>
      <c r="B35" s="122" t="s">
        <v>171</v>
      </c>
      <c r="C35" s="122"/>
      <c r="D35" s="128" t="s">
        <v>153</v>
      </c>
      <c r="E35" s="128"/>
      <c r="F35" s="128"/>
      <c r="G35" s="128"/>
      <c r="H35" s="128"/>
    </row>
    <row r="36" spans="1:8">
      <c r="A36" s="121">
        <v>11</v>
      </c>
      <c r="B36" s="122" t="s">
        <v>172</v>
      </c>
      <c r="C36" s="122" t="s">
        <v>173</v>
      </c>
      <c r="D36" s="128" t="s">
        <v>174</v>
      </c>
      <c r="E36" s="128"/>
      <c r="F36" s="128"/>
      <c r="G36" s="128"/>
      <c r="H36" s="128"/>
    </row>
    <row r="37" spans="1:8">
      <c r="A37" s="121">
        <v>12</v>
      </c>
      <c r="B37" s="122" t="s">
        <v>175</v>
      </c>
      <c r="C37" s="122" t="s">
        <v>176</v>
      </c>
      <c r="D37" s="128" t="s">
        <v>153</v>
      </c>
      <c r="E37" s="128"/>
      <c r="F37" s="128"/>
      <c r="G37" s="128"/>
      <c r="H37" s="128"/>
    </row>
  </sheetData>
  <sheetProtection formatCells="0" insertHyperlinks="0" autoFilter="0"/>
  <mergeCells count="15">
    <mergeCell ref="A1:H1"/>
    <mergeCell ref="A24:H24"/>
    <mergeCell ref="E25:H25"/>
    <mergeCell ref="E26:H26"/>
    <mergeCell ref="E27:H27"/>
    <mergeCell ref="E28:H28"/>
    <mergeCell ref="E29:H29"/>
    <mergeCell ref="E30:H30"/>
    <mergeCell ref="E31:H31"/>
    <mergeCell ref="E32:H32"/>
    <mergeCell ref="E33:H33"/>
    <mergeCell ref="E34:H34"/>
    <mergeCell ref="E35:H35"/>
    <mergeCell ref="E36:H36"/>
    <mergeCell ref="E37:H37"/>
  </mergeCells>
  <hyperlinks>
    <hyperlink ref="D20" r:id="rId1" display="http://www.baixiaotangtop.com/BBS/Detail/10066"/>
    <hyperlink ref="C15" r:id="rId1" display="http://www.baixiaotangtop.com/BBS/Detail/10066 "/>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2" tint="-0.249977111117893"/>
  </sheetPr>
  <dimension ref="A1:H7"/>
  <sheetViews>
    <sheetView zoomScale="90" zoomScaleNormal="90" workbookViewId="0">
      <selection activeCell="A1" sqref="A1:H1"/>
    </sheetView>
  </sheetViews>
  <sheetFormatPr defaultColWidth="9.16666666666667" defaultRowHeight="13.5" outlineLevelRow="6" outlineLevelCol="7"/>
  <cols>
    <col min="1" max="1" width="17.8333333333333" style="89" customWidth="1"/>
    <col min="2" max="2" width="25.1666666666667" style="89" customWidth="1"/>
    <col min="3" max="3" width="8.66666666666667" style="89" customWidth="1"/>
    <col min="4" max="4" width="37.6666666666667" style="89" customWidth="1"/>
    <col min="5" max="5" width="28.6666666666667" style="89" customWidth="1"/>
    <col min="6" max="6" width="66.6666666666667" style="89" customWidth="1"/>
    <col min="7" max="7" width="28.6666666666667" style="89" customWidth="1"/>
    <col min="8" max="8" width="25.1666666666667" style="89" customWidth="1"/>
    <col min="9" max="16384" width="9.16666666666667" style="89"/>
  </cols>
  <sheetData>
    <row r="1" ht="65" customHeight="1" spans="1:8">
      <c r="A1" s="108" t="s">
        <v>177</v>
      </c>
      <c r="B1" s="109"/>
      <c r="C1" s="109"/>
      <c r="D1" s="109"/>
      <c r="E1" s="109"/>
      <c r="F1" s="109"/>
      <c r="G1" s="109"/>
      <c r="H1" s="113"/>
    </row>
    <row r="2" spans="1:8">
      <c r="A2" s="110" t="s">
        <v>178</v>
      </c>
      <c r="B2" s="110" t="s">
        <v>179</v>
      </c>
      <c r="C2" s="110" t="s">
        <v>180</v>
      </c>
      <c r="D2" s="110" t="s">
        <v>181</v>
      </c>
      <c r="E2" s="110" t="s">
        <v>182</v>
      </c>
      <c r="F2" s="110" t="s">
        <v>183</v>
      </c>
      <c r="G2" s="110" t="s">
        <v>184</v>
      </c>
      <c r="H2" s="110" t="s">
        <v>185</v>
      </c>
    </row>
    <row r="3" spans="1:8">
      <c r="A3" s="110"/>
      <c r="B3" s="110"/>
      <c r="C3" s="110"/>
      <c r="D3" s="110"/>
      <c r="E3" s="110"/>
      <c r="F3" s="110"/>
      <c r="G3" s="110"/>
      <c r="H3" s="110"/>
    </row>
    <row r="4" ht="223" customHeight="1" spans="1:8">
      <c r="A4" s="111" t="s">
        <v>186</v>
      </c>
      <c r="B4" s="112" t="s">
        <v>187</v>
      </c>
      <c r="C4" s="111">
        <v>79.99</v>
      </c>
      <c r="D4" s="112" t="s">
        <v>188</v>
      </c>
      <c r="E4" s="111" t="s">
        <v>189</v>
      </c>
      <c r="F4" s="112" t="s">
        <v>190</v>
      </c>
      <c r="G4" s="114" t="s">
        <v>191</v>
      </c>
      <c r="H4" s="115" t="s">
        <v>192</v>
      </c>
    </row>
    <row r="5" ht="235" customHeight="1" spans="1:8">
      <c r="A5" s="111" t="s">
        <v>193</v>
      </c>
      <c r="B5" s="112" t="s">
        <v>194</v>
      </c>
      <c r="C5" s="111">
        <v>79.99</v>
      </c>
      <c r="D5" s="112" t="s">
        <v>195</v>
      </c>
      <c r="E5" s="111" t="s">
        <v>196</v>
      </c>
      <c r="F5" s="112" t="s">
        <v>197</v>
      </c>
      <c r="G5" s="114" t="s">
        <v>198</v>
      </c>
      <c r="H5" s="115" t="s">
        <v>199</v>
      </c>
    </row>
    <row r="6" ht="264" customHeight="1" spans="1:8">
      <c r="A6" s="111" t="s">
        <v>200</v>
      </c>
      <c r="B6" s="112" t="s">
        <v>194</v>
      </c>
      <c r="C6" s="111">
        <v>79.99</v>
      </c>
      <c r="D6" s="112" t="s">
        <v>201</v>
      </c>
      <c r="E6" s="111" t="s">
        <v>202</v>
      </c>
      <c r="F6" s="112" t="s">
        <v>203</v>
      </c>
      <c r="G6" s="114" t="s">
        <v>204</v>
      </c>
      <c r="H6" s="115" t="s">
        <v>205</v>
      </c>
    </row>
    <row r="7" ht="212" customHeight="1" spans="1:8">
      <c r="A7" s="111" t="s">
        <v>206</v>
      </c>
      <c r="B7" s="112" t="s">
        <v>207</v>
      </c>
      <c r="C7" s="111">
        <v>79.99</v>
      </c>
      <c r="D7" s="112" t="s">
        <v>208</v>
      </c>
      <c r="E7" s="111" t="s">
        <v>209</v>
      </c>
      <c r="F7" s="112" t="s">
        <v>210</v>
      </c>
      <c r="G7" s="114" t="s">
        <v>211</v>
      </c>
      <c r="H7" s="115" t="s">
        <v>212</v>
      </c>
    </row>
  </sheetData>
  <sheetProtection formatCells="0" insertHyperlinks="0" autoFilter="0"/>
  <mergeCells count="9">
    <mergeCell ref="A1:H1"/>
    <mergeCell ref="A2:A3"/>
    <mergeCell ref="B2:B3"/>
    <mergeCell ref="C2:C3"/>
    <mergeCell ref="D2:D3"/>
    <mergeCell ref="E2:E3"/>
    <mergeCell ref="F2:F3"/>
    <mergeCell ref="G2:G3"/>
    <mergeCell ref="H2:H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H22"/>
  <sheetViews>
    <sheetView zoomScale="120" zoomScaleNormal="120" workbookViewId="0">
      <selection activeCell="A1" sqref="A1:H1"/>
    </sheetView>
  </sheetViews>
  <sheetFormatPr defaultColWidth="19.6666666666667" defaultRowHeight="31" customHeight="1" outlineLevelCol="7"/>
  <cols>
    <col min="1" max="1" width="4.33333333333333" style="88" customWidth="1"/>
    <col min="2" max="2" width="32.8333333333333" style="89" customWidth="1"/>
    <col min="3" max="3" width="35.6666666666667" style="89" customWidth="1"/>
    <col min="4" max="4" width="25.6666666666667" style="88" customWidth="1"/>
    <col min="5" max="6" width="13.1666666666667" style="88" customWidth="1"/>
    <col min="7" max="7" width="15" style="88" customWidth="1"/>
    <col min="8" max="8" width="33.3333333333333" style="89" customWidth="1"/>
    <col min="9" max="9" width="19.6666666666667" style="89" customWidth="1"/>
    <col min="10" max="16384" width="19.6666666666667" style="89"/>
  </cols>
  <sheetData>
    <row r="1" customHeight="1" spans="1:8">
      <c r="A1" s="90" t="s">
        <v>213</v>
      </c>
      <c r="B1" s="91"/>
      <c r="C1" s="91"/>
      <c r="D1" s="91"/>
      <c r="E1" s="91"/>
      <c r="F1" s="91"/>
      <c r="G1" s="91"/>
      <c r="H1" s="104"/>
    </row>
    <row r="2" customHeight="1" spans="1:8">
      <c r="A2" s="92" t="s">
        <v>87</v>
      </c>
      <c r="B2" s="93" t="s">
        <v>214</v>
      </c>
      <c r="C2" s="93" t="s">
        <v>215</v>
      </c>
      <c r="D2" s="93" t="s">
        <v>90</v>
      </c>
      <c r="E2" s="93" t="s">
        <v>91</v>
      </c>
      <c r="F2" s="93" t="s">
        <v>92</v>
      </c>
      <c r="G2" s="93" t="s">
        <v>93</v>
      </c>
      <c r="H2" s="105" t="s">
        <v>94</v>
      </c>
    </row>
    <row r="3" customHeight="1" spans="1:8">
      <c r="A3" s="94">
        <v>1</v>
      </c>
      <c r="B3" s="95" t="s">
        <v>216</v>
      </c>
      <c r="C3" s="96" t="s">
        <v>96</v>
      </c>
      <c r="D3" s="97" t="s">
        <v>97</v>
      </c>
      <c r="E3" s="97">
        <v>30</v>
      </c>
      <c r="F3" s="97">
        <v>2500</v>
      </c>
      <c r="G3" s="97" t="s">
        <v>98</v>
      </c>
      <c r="H3" s="106"/>
    </row>
    <row r="4" customHeight="1" spans="1:8">
      <c r="A4" s="94">
        <v>2</v>
      </c>
      <c r="B4" s="95" t="s">
        <v>217</v>
      </c>
      <c r="C4" s="96" t="s">
        <v>100</v>
      </c>
      <c r="D4" s="97"/>
      <c r="E4" s="97">
        <v>3</v>
      </c>
      <c r="F4" s="97"/>
      <c r="G4" s="97" t="s">
        <v>98</v>
      </c>
      <c r="H4" s="106"/>
    </row>
    <row r="5" customHeight="1" spans="1:8">
      <c r="A5" s="94">
        <v>3</v>
      </c>
      <c r="B5" s="95" t="s">
        <v>218</v>
      </c>
      <c r="C5" s="96"/>
      <c r="D5" s="97"/>
      <c r="E5" s="97"/>
      <c r="F5" s="97"/>
      <c r="G5" s="97" t="s">
        <v>98</v>
      </c>
      <c r="H5" s="106"/>
    </row>
    <row r="6" customHeight="1" spans="1:8">
      <c r="A6" s="94">
        <v>4</v>
      </c>
      <c r="B6" s="95" t="s">
        <v>219</v>
      </c>
      <c r="C6" s="96"/>
      <c r="D6" s="97"/>
      <c r="E6" s="97"/>
      <c r="F6" s="97"/>
      <c r="G6" s="97" t="s">
        <v>98</v>
      </c>
      <c r="H6" s="106"/>
    </row>
    <row r="7" customHeight="1" spans="1:8">
      <c r="A7" s="94">
        <v>5</v>
      </c>
      <c r="B7" s="95" t="s">
        <v>103</v>
      </c>
      <c r="C7" s="96"/>
      <c r="D7" s="97"/>
      <c r="E7" s="97">
        <v>1</v>
      </c>
      <c r="F7" s="97"/>
      <c r="G7" s="97" t="s">
        <v>98</v>
      </c>
      <c r="H7" s="106"/>
    </row>
    <row r="8" customHeight="1" spans="1:8">
      <c r="A8" s="94">
        <v>6</v>
      </c>
      <c r="B8" s="95" t="s">
        <v>104</v>
      </c>
      <c r="C8" s="98"/>
      <c r="D8" s="97"/>
      <c r="E8" s="97">
        <v>2</v>
      </c>
      <c r="F8" s="97"/>
      <c r="G8" s="97" t="s">
        <v>98</v>
      </c>
      <c r="H8" s="106"/>
    </row>
    <row r="9" customHeight="1" spans="1:8">
      <c r="A9" s="94">
        <v>7</v>
      </c>
      <c r="B9" s="95" t="s">
        <v>220</v>
      </c>
      <c r="C9" s="96"/>
      <c r="D9" s="97" t="s">
        <v>97</v>
      </c>
      <c r="E9" s="97"/>
      <c r="F9" s="97"/>
      <c r="G9" s="97" t="s">
        <v>106</v>
      </c>
      <c r="H9" s="106" t="s">
        <v>107</v>
      </c>
    </row>
    <row r="10" ht="48" customHeight="1" spans="1:8">
      <c r="A10" s="94">
        <v>8</v>
      </c>
      <c r="B10" s="95" t="s">
        <v>108</v>
      </c>
      <c r="C10" s="96" t="s">
        <v>109</v>
      </c>
      <c r="D10" s="97" t="s">
        <v>110</v>
      </c>
      <c r="E10" s="97">
        <v>5</v>
      </c>
      <c r="F10" s="97"/>
      <c r="G10" s="97" t="s">
        <v>98</v>
      </c>
      <c r="H10" s="106" t="s">
        <v>111</v>
      </c>
    </row>
    <row r="11" customHeight="1" spans="1:8">
      <c r="A11" s="94">
        <v>9</v>
      </c>
      <c r="B11" s="95" t="s">
        <v>112</v>
      </c>
      <c r="C11" s="96" t="s">
        <v>113</v>
      </c>
      <c r="D11" s="97"/>
      <c r="E11" s="97">
        <v>20</v>
      </c>
      <c r="F11" s="97"/>
      <c r="G11" s="97" t="s">
        <v>106</v>
      </c>
      <c r="H11" s="106"/>
    </row>
    <row r="12" ht="60" customHeight="1" spans="1:8">
      <c r="A12" s="94">
        <v>10</v>
      </c>
      <c r="B12" s="95" t="s">
        <v>221</v>
      </c>
      <c r="C12" s="96" t="s">
        <v>115</v>
      </c>
      <c r="D12" s="97" t="s">
        <v>116</v>
      </c>
      <c r="E12" s="97" t="s">
        <v>117</v>
      </c>
      <c r="F12" s="97"/>
      <c r="G12" s="97" t="s">
        <v>98</v>
      </c>
      <c r="H12" s="106" t="s">
        <v>222</v>
      </c>
    </row>
    <row r="13" customHeight="1" spans="1:8">
      <c r="A13" s="94">
        <v>11</v>
      </c>
      <c r="B13" s="95" t="s">
        <v>119</v>
      </c>
      <c r="C13" s="96" t="s">
        <v>120</v>
      </c>
      <c r="D13" s="97"/>
      <c r="E13" s="97" t="s">
        <v>121</v>
      </c>
      <c r="F13" s="97"/>
      <c r="G13" s="97" t="s">
        <v>106</v>
      </c>
      <c r="H13" s="106" t="s">
        <v>122</v>
      </c>
    </row>
    <row r="14" customHeight="1" spans="1:8">
      <c r="A14" s="94">
        <v>12</v>
      </c>
      <c r="B14" s="95" t="s">
        <v>223</v>
      </c>
      <c r="C14" s="96" t="s">
        <v>124</v>
      </c>
      <c r="D14" s="97" t="s">
        <v>125</v>
      </c>
      <c r="E14" s="97">
        <v>8</v>
      </c>
      <c r="F14" s="97"/>
      <c r="G14" s="97" t="s">
        <v>98</v>
      </c>
      <c r="H14" s="106" t="s">
        <v>126</v>
      </c>
    </row>
    <row r="15" customHeight="1" spans="1:8">
      <c r="A15" s="94">
        <v>13</v>
      </c>
      <c r="B15" s="95" t="s">
        <v>224</v>
      </c>
      <c r="C15" s="99"/>
      <c r="D15" s="97" t="s">
        <v>129</v>
      </c>
      <c r="E15" s="97"/>
      <c r="F15" s="97"/>
      <c r="G15" s="97" t="s">
        <v>98</v>
      </c>
      <c r="H15" s="106" t="s">
        <v>130</v>
      </c>
    </row>
    <row r="16" customHeight="1" spans="1:8">
      <c r="A16" s="94">
        <v>14</v>
      </c>
      <c r="B16" s="95" t="s">
        <v>131</v>
      </c>
      <c r="C16" s="96" t="s">
        <v>132</v>
      </c>
      <c r="D16" s="97" t="s">
        <v>133</v>
      </c>
      <c r="E16" s="97" t="s">
        <v>134</v>
      </c>
      <c r="F16" s="97"/>
      <c r="G16" s="97" t="s">
        <v>98</v>
      </c>
      <c r="H16" s="106"/>
    </row>
    <row r="17" customHeight="1" spans="1:8">
      <c r="A17" s="94">
        <v>15</v>
      </c>
      <c r="B17" s="95" t="s">
        <v>135</v>
      </c>
      <c r="C17" s="96" t="s">
        <v>225</v>
      </c>
      <c r="D17" s="97" t="s">
        <v>136</v>
      </c>
      <c r="E17" s="97"/>
      <c r="F17" s="97"/>
      <c r="G17" s="97" t="s">
        <v>98</v>
      </c>
      <c r="H17" s="106"/>
    </row>
    <row r="18" customHeight="1" spans="1:8">
      <c r="A18" s="94">
        <v>16</v>
      </c>
      <c r="B18" s="95" t="s">
        <v>226</v>
      </c>
      <c r="C18" s="96" t="s">
        <v>120</v>
      </c>
      <c r="D18" s="97" t="s">
        <v>138</v>
      </c>
      <c r="E18" s="97" t="s">
        <v>139</v>
      </c>
      <c r="F18" s="97">
        <v>150</v>
      </c>
      <c r="G18" s="97" t="s">
        <v>106</v>
      </c>
      <c r="H18" s="106" t="s">
        <v>140</v>
      </c>
    </row>
    <row r="19" customHeight="1" spans="1:8">
      <c r="A19" s="94">
        <v>17</v>
      </c>
      <c r="B19" s="95" t="s">
        <v>227</v>
      </c>
      <c r="C19" s="96" t="s">
        <v>120</v>
      </c>
      <c r="D19" s="97"/>
      <c r="E19" s="97"/>
      <c r="F19" s="97"/>
      <c r="G19" s="97" t="s">
        <v>106</v>
      </c>
      <c r="H19" s="106"/>
    </row>
    <row r="20" customHeight="1" spans="1:8">
      <c r="A20" s="94">
        <v>18</v>
      </c>
      <c r="B20" s="95" t="s">
        <v>142</v>
      </c>
      <c r="C20" s="96" t="s">
        <v>120</v>
      </c>
      <c r="D20" s="100"/>
      <c r="E20" s="97"/>
      <c r="F20" s="97"/>
      <c r="G20" s="97" t="s">
        <v>106</v>
      </c>
      <c r="H20" s="106" t="s">
        <v>144</v>
      </c>
    </row>
    <row r="21" customHeight="1" spans="1:8">
      <c r="A21" s="94">
        <v>19</v>
      </c>
      <c r="B21" s="95" t="s">
        <v>147</v>
      </c>
      <c r="C21" s="96"/>
      <c r="D21" s="97"/>
      <c r="E21" s="97"/>
      <c r="F21" s="97"/>
      <c r="G21" s="97"/>
      <c r="H21" s="106"/>
    </row>
    <row r="22" customHeight="1" spans="1:8">
      <c r="A22" s="94">
        <v>20</v>
      </c>
      <c r="B22" s="101" t="s">
        <v>148</v>
      </c>
      <c r="C22" s="102"/>
      <c r="D22" s="103"/>
      <c r="E22" s="103"/>
      <c r="F22" s="103"/>
      <c r="G22" s="103" t="s">
        <v>98</v>
      </c>
      <c r="H22" s="107" t="s">
        <v>149</v>
      </c>
    </row>
  </sheetData>
  <sheetProtection formatCells="0" insertHyperlinks="0" autoFilter="0"/>
  <mergeCells count="1">
    <mergeCell ref="A1:H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5"/>
  <sheetViews>
    <sheetView tabSelected="1" zoomScale="160" zoomScaleNormal="160" workbookViewId="0">
      <selection activeCell="A1" sqref="A1:O3"/>
    </sheetView>
  </sheetViews>
  <sheetFormatPr defaultColWidth="8.83333333333333" defaultRowHeight="14.25"/>
  <cols>
    <col min="1" max="1" width="42.8333333333333" customWidth="1"/>
    <col min="9" max="9" width="9.5"/>
    <col min="15" max="15" width="10.5"/>
  </cols>
  <sheetData>
    <row r="1" ht="14" customHeight="1" spans="1:15">
      <c r="A1" s="64" t="s">
        <v>228</v>
      </c>
      <c r="B1" s="65"/>
      <c r="C1" s="65"/>
      <c r="D1" s="65"/>
      <c r="E1" s="65"/>
      <c r="F1" s="65"/>
      <c r="G1" s="65"/>
      <c r="H1" s="65"/>
      <c r="I1" s="65"/>
      <c r="J1" s="65"/>
      <c r="K1" s="65"/>
      <c r="L1" s="65"/>
      <c r="M1" s="65"/>
      <c r="N1" s="65"/>
      <c r="O1" s="83"/>
    </row>
    <row r="2" ht="14" customHeight="1" spans="1:15">
      <c r="A2" s="66"/>
      <c r="B2" s="67"/>
      <c r="C2" s="67"/>
      <c r="D2" s="67"/>
      <c r="E2" s="67"/>
      <c r="F2" s="67"/>
      <c r="G2" s="67"/>
      <c r="H2" s="67"/>
      <c r="I2" s="67"/>
      <c r="J2" s="67"/>
      <c r="K2" s="67"/>
      <c r="L2" s="67"/>
      <c r="M2" s="67"/>
      <c r="N2" s="67"/>
      <c r="O2" s="84"/>
    </row>
    <row r="3" ht="14" customHeight="1" spans="1:15">
      <c r="A3" s="68"/>
      <c r="B3" s="69"/>
      <c r="C3" s="69"/>
      <c r="D3" s="69"/>
      <c r="E3" s="69"/>
      <c r="F3" s="69"/>
      <c r="G3" s="69"/>
      <c r="H3" s="69"/>
      <c r="I3" s="69"/>
      <c r="J3" s="69"/>
      <c r="K3" s="69"/>
      <c r="L3" s="69"/>
      <c r="M3" s="69"/>
      <c r="N3" s="69"/>
      <c r="O3" s="85"/>
    </row>
    <row r="4" spans="1:15">
      <c r="A4" s="70"/>
      <c r="B4" s="70"/>
      <c r="C4" s="70"/>
      <c r="D4" s="70"/>
      <c r="E4" s="70"/>
      <c r="F4" s="70"/>
      <c r="G4" s="70"/>
      <c r="H4" s="70"/>
      <c r="I4" s="70"/>
      <c r="J4" s="70"/>
      <c r="K4" s="70"/>
      <c r="L4" s="70"/>
      <c r="M4" s="70"/>
      <c r="N4" s="70"/>
      <c r="O4" s="70"/>
    </row>
    <row r="5" ht="19.5" customHeight="1" spans="1:15">
      <c r="A5" s="71" t="s">
        <v>229</v>
      </c>
      <c r="B5" s="71" t="s">
        <v>9</v>
      </c>
      <c r="C5" s="72" t="s">
        <v>230</v>
      </c>
      <c r="D5" s="73" t="s">
        <v>231</v>
      </c>
      <c r="E5" s="73" t="s">
        <v>232</v>
      </c>
      <c r="F5" s="73" t="s">
        <v>233</v>
      </c>
      <c r="G5" s="73" t="s">
        <v>234</v>
      </c>
      <c r="H5" s="73" t="s">
        <v>235</v>
      </c>
      <c r="I5" s="73" t="s">
        <v>236</v>
      </c>
      <c r="J5" s="73" t="s">
        <v>237</v>
      </c>
      <c r="K5" s="73" t="s">
        <v>238</v>
      </c>
      <c r="L5" s="73" t="s">
        <v>239</v>
      </c>
      <c r="M5" s="73" t="s">
        <v>240</v>
      </c>
      <c r="N5" s="73" t="s">
        <v>241</v>
      </c>
      <c r="O5" s="71" t="s">
        <v>242</v>
      </c>
    </row>
    <row r="6" ht="19.5" customHeight="1" spans="1:15">
      <c r="A6" s="74" t="s">
        <v>243</v>
      </c>
      <c r="B6" s="75"/>
      <c r="C6" s="75">
        <v>300</v>
      </c>
      <c r="D6" s="75">
        <v>300</v>
      </c>
      <c r="E6" s="75">
        <v>500</v>
      </c>
      <c r="F6" s="75">
        <v>600</v>
      </c>
      <c r="G6" s="75">
        <v>500</v>
      </c>
      <c r="H6" s="75">
        <v>500</v>
      </c>
      <c r="I6" s="75">
        <v>450</v>
      </c>
      <c r="J6" s="75">
        <v>800</v>
      </c>
      <c r="K6" s="75">
        <v>500</v>
      </c>
      <c r="L6" s="75">
        <v>500</v>
      </c>
      <c r="M6" s="75">
        <v>400</v>
      </c>
      <c r="N6" s="75">
        <v>400</v>
      </c>
      <c r="O6" s="75">
        <v>4850</v>
      </c>
    </row>
    <row r="7" ht="19.5" customHeight="1" spans="1:15">
      <c r="A7" s="76" t="s">
        <v>244</v>
      </c>
      <c r="B7" s="75"/>
      <c r="C7" s="75">
        <v>45.99</v>
      </c>
      <c r="D7" s="75">
        <v>45.99</v>
      </c>
      <c r="E7" s="75">
        <v>45.99</v>
      </c>
      <c r="F7" s="75">
        <v>45.99</v>
      </c>
      <c r="G7" s="75">
        <v>45.99</v>
      </c>
      <c r="H7" s="75">
        <v>45.99</v>
      </c>
      <c r="I7" s="75">
        <v>45.99</v>
      </c>
      <c r="J7" s="75">
        <v>45.99</v>
      </c>
      <c r="K7" s="75">
        <v>45.99</v>
      </c>
      <c r="L7" s="75">
        <v>45.99</v>
      </c>
      <c r="M7" s="75">
        <v>45.99</v>
      </c>
      <c r="N7" s="75">
        <v>45.99</v>
      </c>
      <c r="O7" s="75">
        <v>45.99</v>
      </c>
    </row>
    <row r="8" spans="1:15">
      <c r="A8" s="76" t="s">
        <v>245</v>
      </c>
      <c r="B8" s="75"/>
      <c r="C8" s="75">
        <f>C6*C7</f>
        <v>13797</v>
      </c>
      <c r="D8" s="75">
        <f t="shared" ref="D8:O8" si="0">D6*D7</f>
        <v>13797</v>
      </c>
      <c r="E8" s="75">
        <f t="shared" si="0"/>
        <v>22995</v>
      </c>
      <c r="F8" s="75">
        <f t="shared" si="0"/>
        <v>27594</v>
      </c>
      <c r="G8" s="75">
        <f t="shared" si="0"/>
        <v>22995</v>
      </c>
      <c r="H8" s="75">
        <f t="shared" si="0"/>
        <v>22995</v>
      </c>
      <c r="I8" s="75">
        <f t="shared" si="0"/>
        <v>20695.5</v>
      </c>
      <c r="J8" s="75">
        <f t="shared" si="0"/>
        <v>36792</v>
      </c>
      <c r="K8" s="75">
        <f t="shared" si="0"/>
        <v>22995</v>
      </c>
      <c r="L8" s="75">
        <f t="shared" si="0"/>
        <v>22995</v>
      </c>
      <c r="M8" s="75">
        <f t="shared" si="0"/>
        <v>18396</v>
      </c>
      <c r="N8" s="75">
        <f t="shared" si="0"/>
        <v>18396</v>
      </c>
      <c r="O8" s="75">
        <f t="shared" si="0"/>
        <v>223051.5</v>
      </c>
    </row>
    <row r="9" spans="1:15">
      <c r="A9" s="76" t="s">
        <v>165</v>
      </c>
      <c r="B9" s="75"/>
      <c r="C9" s="75">
        <v>15</v>
      </c>
      <c r="D9" s="75">
        <v>15</v>
      </c>
      <c r="E9" s="75">
        <v>15</v>
      </c>
      <c r="F9" s="75">
        <v>15</v>
      </c>
      <c r="G9" s="75">
        <v>15</v>
      </c>
      <c r="H9" s="75">
        <v>15</v>
      </c>
      <c r="I9" s="75">
        <v>15</v>
      </c>
      <c r="J9" s="75">
        <v>15</v>
      </c>
      <c r="K9" s="75">
        <v>15</v>
      </c>
      <c r="L9" s="75">
        <v>15</v>
      </c>
      <c r="M9" s="75">
        <v>15</v>
      </c>
      <c r="N9" s="75">
        <v>15</v>
      </c>
      <c r="O9" s="75">
        <v>15</v>
      </c>
    </row>
    <row r="10" spans="1:15">
      <c r="A10" s="76" t="s">
        <v>246</v>
      </c>
      <c r="B10" s="75"/>
      <c r="C10" s="75">
        <f>C9*C6</f>
        <v>4500</v>
      </c>
      <c r="D10" s="75">
        <f t="shared" ref="D10:O10" si="1">D9*D6</f>
        <v>4500</v>
      </c>
      <c r="E10" s="75">
        <f t="shared" si="1"/>
        <v>7500</v>
      </c>
      <c r="F10" s="75">
        <f t="shared" si="1"/>
        <v>9000</v>
      </c>
      <c r="G10" s="75">
        <f t="shared" si="1"/>
        <v>7500</v>
      </c>
      <c r="H10" s="75">
        <f t="shared" si="1"/>
        <v>7500</v>
      </c>
      <c r="I10" s="75">
        <f t="shared" si="1"/>
        <v>6750</v>
      </c>
      <c r="J10" s="75">
        <f t="shared" si="1"/>
        <v>12000</v>
      </c>
      <c r="K10" s="75">
        <f t="shared" si="1"/>
        <v>7500</v>
      </c>
      <c r="L10" s="75">
        <f t="shared" si="1"/>
        <v>7500</v>
      </c>
      <c r="M10" s="75">
        <f t="shared" si="1"/>
        <v>6000</v>
      </c>
      <c r="N10" s="75">
        <f t="shared" si="1"/>
        <v>6000</v>
      </c>
      <c r="O10" s="75">
        <f t="shared" si="1"/>
        <v>72750</v>
      </c>
    </row>
    <row r="11" spans="1:15">
      <c r="A11" s="76" t="s">
        <v>247</v>
      </c>
      <c r="B11" s="75"/>
      <c r="C11" s="75">
        <f>C8*0.15</f>
        <v>2069.55</v>
      </c>
      <c r="D11" s="75">
        <f t="shared" ref="D11:O11" si="2">D8*0.15</f>
        <v>2069.55</v>
      </c>
      <c r="E11" s="75">
        <f t="shared" si="2"/>
        <v>3449.25</v>
      </c>
      <c r="F11" s="75">
        <f t="shared" si="2"/>
        <v>4139.1</v>
      </c>
      <c r="G11" s="75">
        <f t="shared" si="2"/>
        <v>3449.25</v>
      </c>
      <c r="H11" s="75">
        <f t="shared" si="2"/>
        <v>3449.25</v>
      </c>
      <c r="I11" s="75">
        <f t="shared" si="2"/>
        <v>3104.325</v>
      </c>
      <c r="J11" s="75">
        <f t="shared" si="2"/>
        <v>5518.8</v>
      </c>
      <c r="K11" s="75">
        <f t="shared" si="2"/>
        <v>3449.25</v>
      </c>
      <c r="L11" s="75">
        <f t="shared" si="2"/>
        <v>3449.25</v>
      </c>
      <c r="M11" s="75">
        <f t="shared" si="2"/>
        <v>2759.4</v>
      </c>
      <c r="N11" s="75">
        <f t="shared" si="2"/>
        <v>2759.4</v>
      </c>
      <c r="O11" s="75">
        <f t="shared" si="2"/>
        <v>33457.725</v>
      </c>
    </row>
    <row r="12" spans="1:15">
      <c r="A12" s="76" t="s">
        <v>248</v>
      </c>
      <c r="B12" s="75"/>
      <c r="C12" s="75">
        <f>4.17*C6</f>
        <v>1251</v>
      </c>
      <c r="D12" s="75">
        <f t="shared" ref="D12:O12" si="3">4.17*D6</f>
        <v>1251</v>
      </c>
      <c r="E12" s="75">
        <f t="shared" si="3"/>
        <v>2085</v>
      </c>
      <c r="F12" s="75">
        <f t="shared" si="3"/>
        <v>2502</v>
      </c>
      <c r="G12" s="75">
        <f t="shared" si="3"/>
        <v>2085</v>
      </c>
      <c r="H12" s="75">
        <f t="shared" si="3"/>
        <v>2085</v>
      </c>
      <c r="I12" s="75">
        <f t="shared" si="3"/>
        <v>1876.5</v>
      </c>
      <c r="J12" s="75">
        <f t="shared" si="3"/>
        <v>3336</v>
      </c>
      <c r="K12" s="75">
        <f t="shared" si="3"/>
        <v>2085</v>
      </c>
      <c r="L12" s="75">
        <f t="shared" si="3"/>
        <v>2085</v>
      </c>
      <c r="M12" s="75">
        <f t="shared" si="3"/>
        <v>1668</v>
      </c>
      <c r="N12" s="75">
        <f t="shared" si="3"/>
        <v>1668</v>
      </c>
      <c r="O12" s="75">
        <f t="shared" si="3"/>
        <v>20224.5</v>
      </c>
    </row>
    <row r="13" spans="1:15">
      <c r="A13" s="76" t="s">
        <v>249</v>
      </c>
      <c r="B13" s="75"/>
      <c r="C13" s="75">
        <f>C8*0.05</f>
        <v>689.85</v>
      </c>
      <c r="D13" s="75">
        <f t="shared" ref="D13:O13" si="4">D8*0.05</f>
        <v>689.85</v>
      </c>
      <c r="E13" s="75">
        <f t="shared" si="4"/>
        <v>1149.75</v>
      </c>
      <c r="F13" s="75">
        <f t="shared" si="4"/>
        <v>1379.7</v>
      </c>
      <c r="G13" s="75">
        <f t="shared" si="4"/>
        <v>1149.75</v>
      </c>
      <c r="H13" s="75">
        <f t="shared" si="4"/>
        <v>1149.75</v>
      </c>
      <c r="I13" s="75">
        <f t="shared" si="4"/>
        <v>1034.775</v>
      </c>
      <c r="J13" s="75">
        <f t="shared" si="4"/>
        <v>1839.6</v>
      </c>
      <c r="K13" s="75">
        <f t="shared" si="4"/>
        <v>1149.75</v>
      </c>
      <c r="L13" s="75">
        <f t="shared" si="4"/>
        <v>1149.75</v>
      </c>
      <c r="M13" s="75">
        <f t="shared" si="4"/>
        <v>919.8</v>
      </c>
      <c r="N13" s="75">
        <f t="shared" si="4"/>
        <v>919.8</v>
      </c>
      <c r="O13" s="75">
        <f t="shared" si="4"/>
        <v>11152.575</v>
      </c>
    </row>
    <row r="14" spans="1:15">
      <c r="A14" s="76" t="s">
        <v>250</v>
      </c>
      <c r="B14" s="75"/>
      <c r="C14" s="75">
        <f>C8*0.1</f>
        <v>1379.7</v>
      </c>
      <c r="D14" s="75">
        <f t="shared" ref="D14:O14" si="5">D8*0.1</f>
        <v>1379.7</v>
      </c>
      <c r="E14" s="75">
        <f t="shared" si="5"/>
        <v>2299.5</v>
      </c>
      <c r="F14" s="75">
        <f t="shared" si="5"/>
        <v>2759.4</v>
      </c>
      <c r="G14" s="75">
        <f t="shared" si="5"/>
        <v>2299.5</v>
      </c>
      <c r="H14" s="75">
        <f t="shared" si="5"/>
        <v>2299.5</v>
      </c>
      <c r="I14" s="75">
        <f t="shared" si="5"/>
        <v>2069.55</v>
      </c>
      <c r="J14" s="75">
        <f t="shared" si="5"/>
        <v>3679.2</v>
      </c>
      <c r="K14" s="75">
        <f t="shared" si="5"/>
        <v>2299.5</v>
      </c>
      <c r="L14" s="75">
        <f t="shared" si="5"/>
        <v>2299.5</v>
      </c>
      <c r="M14" s="75">
        <f t="shared" si="5"/>
        <v>1839.6</v>
      </c>
      <c r="N14" s="75">
        <f t="shared" si="5"/>
        <v>1839.6</v>
      </c>
      <c r="O14" s="75">
        <f t="shared" si="5"/>
        <v>22305.15</v>
      </c>
    </row>
    <row r="15" ht="27" spans="1:15">
      <c r="A15" s="76" t="s">
        <v>251</v>
      </c>
      <c r="B15" s="75"/>
      <c r="C15" s="75">
        <f>C8*0.1</f>
        <v>1379.7</v>
      </c>
      <c r="D15" s="75">
        <f t="shared" ref="D15:O15" si="6">D8*0.1</f>
        <v>1379.7</v>
      </c>
      <c r="E15" s="75">
        <f t="shared" si="6"/>
        <v>2299.5</v>
      </c>
      <c r="F15" s="75">
        <f t="shared" si="6"/>
        <v>2759.4</v>
      </c>
      <c r="G15" s="75">
        <f t="shared" si="6"/>
        <v>2299.5</v>
      </c>
      <c r="H15" s="75">
        <f t="shared" si="6"/>
        <v>2299.5</v>
      </c>
      <c r="I15" s="75">
        <f t="shared" si="6"/>
        <v>2069.55</v>
      </c>
      <c r="J15" s="75">
        <f t="shared" si="6"/>
        <v>3679.2</v>
      </c>
      <c r="K15" s="75">
        <f t="shared" si="6"/>
        <v>2299.5</v>
      </c>
      <c r="L15" s="75">
        <f t="shared" si="6"/>
        <v>2299.5</v>
      </c>
      <c r="M15" s="75">
        <f t="shared" si="6"/>
        <v>1839.6</v>
      </c>
      <c r="N15" s="75">
        <f t="shared" si="6"/>
        <v>1839.6</v>
      </c>
      <c r="O15" s="75">
        <f t="shared" si="6"/>
        <v>22305.15</v>
      </c>
    </row>
    <row r="16" spans="1:15">
      <c r="A16" s="77" t="s">
        <v>252</v>
      </c>
      <c r="B16" s="75"/>
      <c r="C16" s="75">
        <f>1.5*C6</f>
        <v>450</v>
      </c>
      <c r="D16" s="75">
        <f t="shared" ref="D16:O16" si="7">1.5*D6</f>
        <v>450</v>
      </c>
      <c r="E16" s="75">
        <f t="shared" si="7"/>
        <v>750</v>
      </c>
      <c r="F16" s="75">
        <f t="shared" si="7"/>
        <v>900</v>
      </c>
      <c r="G16" s="75">
        <f t="shared" si="7"/>
        <v>750</v>
      </c>
      <c r="H16" s="75">
        <f t="shared" si="7"/>
        <v>750</v>
      </c>
      <c r="I16" s="75">
        <f t="shared" si="7"/>
        <v>675</v>
      </c>
      <c r="J16" s="75">
        <f t="shared" si="7"/>
        <v>1200</v>
      </c>
      <c r="K16" s="75">
        <f t="shared" si="7"/>
        <v>750</v>
      </c>
      <c r="L16" s="75">
        <f t="shared" si="7"/>
        <v>750</v>
      </c>
      <c r="M16" s="75">
        <f t="shared" si="7"/>
        <v>600</v>
      </c>
      <c r="N16" s="75">
        <f t="shared" si="7"/>
        <v>600</v>
      </c>
      <c r="O16" s="75">
        <f t="shared" si="7"/>
        <v>7275</v>
      </c>
    </row>
    <row r="17" spans="1:15">
      <c r="A17" s="78" t="s">
        <v>253</v>
      </c>
      <c r="B17" s="75"/>
      <c r="C17" s="75">
        <v>50</v>
      </c>
      <c r="D17" s="75">
        <v>50</v>
      </c>
      <c r="E17" s="75">
        <v>50</v>
      </c>
      <c r="F17" s="75">
        <v>75</v>
      </c>
      <c r="G17" s="75">
        <v>25</v>
      </c>
      <c r="H17" s="75">
        <v>50</v>
      </c>
      <c r="I17" s="75">
        <v>50</v>
      </c>
      <c r="J17" s="75">
        <v>150</v>
      </c>
      <c r="K17" s="75">
        <v>150</v>
      </c>
      <c r="L17" s="75">
        <v>50</v>
      </c>
      <c r="M17" s="75">
        <v>50</v>
      </c>
      <c r="N17" s="75">
        <v>50</v>
      </c>
      <c r="O17" s="75">
        <f t="shared" ref="O17:O19" si="8">SUM(C17:N17)</f>
        <v>800</v>
      </c>
    </row>
    <row r="18" spans="1:15">
      <c r="A18" s="78" t="s">
        <v>254</v>
      </c>
      <c r="B18" s="75"/>
      <c r="C18" s="75"/>
      <c r="D18" s="75"/>
      <c r="E18" s="75">
        <v>100</v>
      </c>
      <c r="F18" s="75"/>
      <c r="G18" s="75"/>
      <c r="H18" s="75"/>
      <c r="I18" s="75">
        <v>100</v>
      </c>
      <c r="J18" s="75"/>
      <c r="K18" s="75"/>
      <c r="L18" s="75"/>
      <c r="M18" s="75"/>
      <c r="N18" s="75"/>
      <c r="O18" s="75">
        <f t="shared" si="8"/>
        <v>200</v>
      </c>
    </row>
    <row r="19" spans="1:15">
      <c r="A19" s="76" t="s">
        <v>255</v>
      </c>
      <c r="B19" s="75"/>
      <c r="C19" s="75">
        <v>100</v>
      </c>
      <c r="D19" s="75">
        <v>100</v>
      </c>
      <c r="E19" s="75">
        <v>100</v>
      </c>
      <c r="F19" s="75">
        <v>100</v>
      </c>
      <c r="G19" s="75">
        <v>100</v>
      </c>
      <c r="H19" s="75">
        <v>100</v>
      </c>
      <c r="I19" s="75">
        <v>100</v>
      </c>
      <c r="J19" s="75">
        <v>100</v>
      </c>
      <c r="K19" s="75">
        <v>100</v>
      </c>
      <c r="L19" s="75">
        <v>100</v>
      </c>
      <c r="M19" s="75">
        <v>100</v>
      </c>
      <c r="N19" s="75">
        <v>100</v>
      </c>
      <c r="O19" s="75">
        <f t="shared" si="8"/>
        <v>1200</v>
      </c>
    </row>
    <row r="20" spans="1:15">
      <c r="A20" s="76" t="s">
        <v>256</v>
      </c>
      <c r="B20" s="75"/>
      <c r="C20" s="75"/>
      <c r="D20" s="75"/>
      <c r="E20" s="75"/>
      <c r="F20" s="75"/>
      <c r="G20" s="75"/>
      <c r="H20" s="75"/>
      <c r="I20" s="75"/>
      <c r="J20" s="75"/>
      <c r="K20" s="75"/>
      <c r="L20" s="75"/>
      <c r="M20" s="75"/>
      <c r="N20" s="75"/>
      <c r="O20" s="75"/>
    </row>
    <row r="21" spans="1:15">
      <c r="A21" s="77" t="s">
        <v>257</v>
      </c>
      <c r="B21" s="75"/>
      <c r="C21" s="75">
        <f>C8-C11-C12-C13-C14-C15-C16-C17-C18-C19-C10-C20</f>
        <v>1927.2</v>
      </c>
      <c r="D21" s="75">
        <f t="shared" ref="D21:O21" si="9">D8-D11-D12-D13-D14-D15-D16-D17-D18-D19-D10-D20</f>
        <v>1927.2</v>
      </c>
      <c r="E21" s="75">
        <f t="shared" si="9"/>
        <v>3212</v>
      </c>
      <c r="F21" s="75">
        <f t="shared" si="9"/>
        <v>3979.4</v>
      </c>
      <c r="G21" s="75">
        <f t="shared" si="9"/>
        <v>3337</v>
      </c>
      <c r="H21" s="75">
        <f t="shared" si="9"/>
        <v>3312</v>
      </c>
      <c r="I21" s="75">
        <f t="shared" si="9"/>
        <v>2865.8</v>
      </c>
      <c r="J21" s="75">
        <f t="shared" si="9"/>
        <v>5289.2</v>
      </c>
      <c r="K21" s="75">
        <f t="shared" si="9"/>
        <v>3212</v>
      </c>
      <c r="L21" s="75">
        <f t="shared" si="9"/>
        <v>3312</v>
      </c>
      <c r="M21" s="75">
        <f t="shared" si="9"/>
        <v>2619.6</v>
      </c>
      <c r="N21" s="75">
        <f t="shared" si="9"/>
        <v>2619.6</v>
      </c>
      <c r="O21" s="75">
        <f t="shared" si="9"/>
        <v>31381.4</v>
      </c>
    </row>
    <row r="22" ht="14" customHeight="1" spans="1:15">
      <c r="A22" s="79" t="s">
        <v>258</v>
      </c>
      <c r="B22" s="80"/>
      <c r="C22" s="80"/>
      <c r="D22" s="80"/>
      <c r="E22" s="80"/>
      <c r="F22" s="80"/>
      <c r="G22" s="80"/>
      <c r="H22" s="80"/>
      <c r="I22" s="80"/>
      <c r="J22" s="80"/>
      <c r="K22" s="80"/>
      <c r="L22" s="80"/>
      <c r="M22" s="80"/>
      <c r="N22" s="80"/>
      <c r="O22" s="80"/>
    </row>
    <row r="23" ht="14" customHeight="1" spans="1:15">
      <c r="A23" s="81"/>
      <c r="B23" s="82"/>
      <c r="C23" s="82"/>
      <c r="D23" s="82"/>
      <c r="E23" s="82"/>
      <c r="F23" s="82"/>
      <c r="G23" s="82"/>
      <c r="H23" s="82"/>
      <c r="I23" s="82"/>
      <c r="J23" s="82"/>
      <c r="K23" s="82"/>
      <c r="L23" s="82"/>
      <c r="M23" s="82"/>
      <c r="N23" s="82"/>
      <c r="O23" s="82"/>
    </row>
    <row r="24" ht="14" customHeight="1" spans="1:15">
      <c r="A24" s="81"/>
      <c r="B24" s="82"/>
      <c r="C24" s="82"/>
      <c r="D24" s="82"/>
      <c r="E24" s="82"/>
      <c r="F24" s="82"/>
      <c r="G24" s="82"/>
      <c r="H24" s="82"/>
      <c r="I24" s="82"/>
      <c r="J24" s="82"/>
      <c r="K24" s="82"/>
      <c r="L24" s="82"/>
      <c r="M24" s="82"/>
      <c r="N24" s="82"/>
      <c r="O24" s="82"/>
    </row>
    <row r="25" ht="14" customHeight="1" spans="1:15">
      <c r="A25" s="81"/>
      <c r="B25" s="82"/>
      <c r="C25" s="82"/>
      <c r="D25" s="82"/>
      <c r="E25" s="82"/>
      <c r="F25" s="82"/>
      <c r="G25" s="82"/>
      <c r="H25" s="82"/>
      <c r="I25" s="82"/>
      <c r="J25" s="82"/>
      <c r="K25" s="82"/>
      <c r="L25" s="82"/>
      <c r="M25" s="82"/>
      <c r="N25" s="82"/>
      <c r="O25" s="82"/>
    </row>
    <row r="26" ht="14" customHeight="1" spans="1:15">
      <c r="A26" s="81"/>
      <c r="B26" s="82"/>
      <c r="C26" s="82"/>
      <c r="D26" s="82"/>
      <c r="E26" s="82"/>
      <c r="F26" s="82"/>
      <c r="G26" s="82"/>
      <c r="H26" s="82"/>
      <c r="I26" s="82"/>
      <c r="J26" s="82"/>
      <c r="K26" s="82"/>
      <c r="L26" s="82"/>
      <c r="M26" s="82"/>
      <c r="N26" s="82"/>
      <c r="O26" s="82"/>
    </row>
    <row r="27" ht="14" customHeight="1" spans="1:15">
      <c r="A27" s="81"/>
      <c r="B27" s="82"/>
      <c r="C27" s="82"/>
      <c r="D27" s="82"/>
      <c r="E27" s="82"/>
      <c r="F27" s="82"/>
      <c r="G27" s="82"/>
      <c r="H27" s="82"/>
      <c r="I27" s="82"/>
      <c r="J27" s="82"/>
      <c r="K27" s="82"/>
      <c r="L27" s="82"/>
      <c r="M27" s="82"/>
      <c r="N27" s="82"/>
      <c r="O27" s="82"/>
    </row>
    <row r="28" ht="14" customHeight="1" spans="1:15">
      <c r="A28" s="81"/>
      <c r="B28" s="82"/>
      <c r="C28" s="82"/>
      <c r="D28" s="82"/>
      <c r="E28" s="82"/>
      <c r="F28" s="82"/>
      <c r="G28" s="82"/>
      <c r="H28" s="82"/>
      <c r="I28" s="82"/>
      <c r="J28" s="82"/>
      <c r="K28" s="82"/>
      <c r="L28" s="82"/>
      <c r="M28" s="82"/>
      <c r="N28" s="82"/>
      <c r="O28" s="82"/>
    </row>
    <row r="29" ht="14" customHeight="1" spans="1:15">
      <c r="A29" s="81"/>
      <c r="B29" s="82"/>
      <c r="C29" s="82"/>
      <c r="D29" s="82"/>
      <c r="E29" s="82"/>
      <c r="F29" s="82"/>
      <c r="G29" s="82"/>
      <c r="H29" s="82"/>
      <c r="I29" s="82"/>
      <c r="J29" s="82"/>
      <c r="K29" s="82"/>
      <c r="L29" s="82"/>
      <c r="M29" s="82"/>
      <c r="N29" s="82"/>
      <c r="O29" s="82"/>
    </row>
    <row r="30" ht="14" customHeight="1" spans="1:15">
      <c r="A30" s="81"/>
      <c r="B30" s="82"/>
      <c r="C30" s="82"/>
      <c r="D30" s="82"/>
      <c r="E30" s="82"/>
      <c r="F30" s="82"/>
      <c r="G30" s="82"/>
      <c r="H30" s="82"/>
      <c r="I30" s="82"/>
      <c r="J30" s="82"/>
      <c r="K30" s="82"/>
      <c r="L30" s="82"/>
      <c r="M30" s="82"/>
      <c r="N30" s="82"/>
      <c r="O30" s="82"/>
    </row>
    <row r="31" ht="14" customHeight="1" spans="1:15">
      <c r="A31" s="81"/>
      <c r="B31" s="82"/>
      <c r="C31" s="82"/>
      <c r="D31" s="82"/>
      <c r="E31" s="82"/>
      <c r="F31" s="82"/>
      <c r="G31" s="82"/>
      <c r="H31" s="82"/>
      <c r="I31" s="82"/>
      <c r="J31" s="82"/>
      <c r="K31" s="82"/>
      <c r="L31" s="82"/>
      <c r="M31" s="82"/>
      <c r="N31" s="82"/>
      <c r="O31" s="82"/>
    </row>
    <row r="32" ht="14" customHeight="1" spans="1:15">
      <c r="A32" s="81"/>
      <c r="B32" s="82"/>
      <c r="C32" s="82"/>
      <c r="D32" s="82"/>
      <c r="E32" s="82"/>
      <c r="F32" s="82"/>
      <c r="G32" s="82"/>
      <c r="H32" s="82"/>
      <c r="I32" s="82"/>
      <c r="J32" s="82"/>
      <c r="K32" s="82"/>
      <c r="L32" s="82"/>
      <c r="M32" s="82"/>
      <c r="N32" s="82"/>
      <c r="O32" s="82"/>
    </row>
    <row r="33" ht="14" customHeight="1" spans="1:15">
      <c r="A33" s="81"/>
      <c r="B33" s="82"/>
      <c r="C33" s="82"/>
      <c r="D33" s="82"/>
      <c r="E33" s="82"/>
      <c r="F33" s="82"/>
      <c r="G33" s="82"/>
      <c r="H33" s="82"/>
      <c r="I33" s="82"/>
      <c r="J33" s="82"/>
      <c r="K33" s="82"/>
      <c r="L33" s="82"/>
      <c r="M33" s="82"/>
      <c r="N33" s="82"/>
      <c r="O33" s="82"/>
    </row>
    <row r="34" ht="14" customHeight="1" spans="1:15">
      <c r="A34" s="81"/>
      <c r="B34" s="82"/>
      <c r="C34" s="82"/>
      <c r="D34" s="82"/>
      <c r="E34" s="82"/>
      <c r="F34" s="82"/>
      <c r="G34" s="82"/>
      <c r="H34" s="82"/>
      <c r="I34" s="82"/>
      <c r="J34" s="82"/>
      <c r="K34" s="82"/>
      <c r="L34" s="82"/>
      <c r="M34" s="82"/>
      <c r="N34" s="82"/>
      <c r="O34" s="82"/>
    </row>
    <row r="35" spans="1:15">
      <c r="A35" s="86"/>
      <c r="B35" s="87"/>
      <c r="C35" s="87"/>
      <c r="D35" s="87"/>
      <c r="E35" s="87"/>
      <c r="F35" s="87"/>
      <c r="G35" s="87"/>
      <c r="H35" s="87"/>
      <c r="I35" s="87"/>
      <c r="J35" s="87"/>
      <c r="K35" s="87"/>
      <c r="L35" s="87"/>
      <c r="M35" s="87"/>
      <c r="N35" s="87"/>
      <c r="O35" s="87"/>
    </row>
  </sheetData>
  <sheetProtection formatCells="0" insertHyperlinks="0" autoFilter="0"/>
  <mergeCells count="2">
    <mergeCell ref="A22:O35"/>
    <mergeCell ref="A1:O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3"/>
  <sheetViews>
    <sheetView zoomScale="120" zoomScaleNormal="120" workbookViewId="0">
      <selection activeCell="F4" sqref="F4"/>
    </sheetView>
  </sheetViews>
  <sheetFormatPr defaultColWidth="3.83333333333333" defaultRowHeight="14.25" outlineLevelRow="2"/>
  <cols>
    <col min="1" max="5" width="3.83333333333333" customWidth="1"/>
    <col min="6" max="6" width="8.16666666666667" customWidth="1"/>
    <col min="7" max="7" width="3.83333333333333" customWidth="1"/>
    <col min="8" max="8" width="7.16666666666667" customWidth="1"/>
    <col min="9" max="12" width="3.83333333333333" customWidth="1"/>
    <col min="13" max="13" width="5.33333333333333" customWidth="1"/>
    <col min="14" max="17" width="3.83333333333333" customWidth="1"/>
    <col min="18" max="21" width="5.83333333333333" customWidth="1"/>
    <col min="22" max="25" width="7.16666666666667" customWidth="1"/>
    <col min="26" max="26" width="10.1666666666667" customWidth="1"/>
    <col min="27" max="38" width="7.16666666666667" customWidth="1"/>
    <col min="39" max="39" width="3.83333333333333" customWidth="1"/>
    <col min="40" max="40" width="6.16666666666667" customWidth="1"/>
    <col min="41" max="16383" width="3.83333333333333" customWidth="1"/>
  </cols>
  <sheetData>
    <row r="1" ht="15" spans="1:41">
      <c r="A1" s="43" t="s">
        <v>259</v>
      </c>
      <c r="B1" s="44"/>
      <c r="C1" s="44"/>
      <c r="D1" s="44"/>
      <c r="E1" s="44"/>
      <c r="F1" s="44"/>
      <c r="G1" s="44"/>
      <c r="H1" s="44"/>
      <c r="I1" s="44"/>
      <c r="J1" s="44"/>
      <c r="K1" s="44"/>
      <c r="L1" s="44"/>
      <c r="M1" s="53" t="s">
        <v>260</v>
      </c>
      <c r="N1" s="54"/>
      <c r="O1" s="54"/>
      <c r="P1" s="54"/>
      <c r="Q1" s="54"/>
      <c r="R1" s="54"/>
      <c r="S1" s="54"/>
      <c r="T1" s="54"/>
      <c r="U1" s="54"/>
      <c r="V1" s="56" t="s">
        <v>261</v>
      </c>
      <c r="W1" s="57"/>
      <c r="X1" s="57"/>
      <c r="Y1" s="57"/>
      <c r="Z1" s="57"/>
      <c r="AA1" s="57"/>
      <c r="AB1" s="59" t="s">
        <v>262</v>
      </c>
      <c r="AC1" s="60"/>
      <c r="AD1" s="60"/>
      <c r="AE1" s="60"/>
      <c r="AF1" s="60"/>
      <c r="AG1" s="60"/>
      <c r="AH1" s="61" t="s">
        <v>263</v>
      </c>
      <c r="AI1" s="61"/>
      <c r="AJ1" s="61"/>
      <c r="AK1" s="61"/>
      <c r="AL1" s="61"/>
      <c r="AM1" s="61"/>
      <c r="AN1" s="61"/>
      <c r="AO1" s="62"/>
    </row>
    <row r="2" ht="82" customHeight="1" spans="1:41">
      <c r="A2" s="45" t="s">
        <v>264</v>
      </c>
      <c r="B2" s="46" t="s">
        <v>265</v>
      </c>
      <c r="C2" s="46" t="s">
        <v>266</v>
      </c>
      <c r="D2" s="46" t="s">
        <v>267</v>
      </c>
      <c r="E2" s="46" t="s">
        <v>268</v>
      </c>
      <c r="F2" s="46" t="s">
        <v>269</v>
      </c>
      <c r="G2" s="46" t="s">
        <v>270</v>
      </c>
      <c r="H2" s="46" t="s">
        <v>271</v>
      </c>
      <c r="I2" s="46" t="s">
        <v>272</v>
      </c>
      <c r="J2" s="46" t="s">
        <v>273</v>
      </c>
      <c r="K2" s="50" t="s">
        <v>274</v>
      </c>
      <c r="L2" s="51" t="s">
        <v>275</v>
      </c>
      <c r="M2" s="55" t="s">
        <v>276</v>
      </c>
      <c r="N2" s="55" t="s">
        <v>277</v>
      </c>
      <c r="O2" s="55" t="s">
        <v>278</v>
      </c>
      <c r="P2" s="55" t="s">
        <v>279</v>
      </c>
      <c r="Q2" s="55" t="s">
        <v>280</v>
      </c>
      <c r="R2" s="55" t="s">
        <v>281</v>
      </c>
      <c r="S2" s="55" t="s">
        <v>282</v>
      </c>
      <c r="T2" s="55" t="s">
        <v>283</v>
      </c>
      <c r="U2" s="55" t="s">
        <v>284</v>
      </c>
      <c r="V2" s="58" t="s">
        <v>285</v>
      </c>
      <c r="W2" s="58" t="s">
        <v>286</v>
      </c>
      <c r="X2" s="58" t="s">
        <v>287</v>
      </c>
      <c r="Y2" s="58" t="s">
        <v>288</v>
      </c>
      <c r="Z2" s="58" t="s">
        <v>289</v>
      </c>
      <c r="AA2" s="58" t="s">
        <v>290</v>
      </c>
      <c r="AB2" s="58" t="s">
        <v>291</v>
      </c>
      <c r="AC2" s="58" t="s">
        <v>292</v>
      </c>
      <c r="AD2" s="58" t="s">
        <v>293</v>
      </c>
      <c r="AE2" s="58" t="s">
        <v>294</v>
      </c>
      <c r="AF2" s="58" t="s">
        <v>295</v>
      </c>
      <c r="AG2" s="58" t="s">
        <v>296</v>
      </c>
      <c r="AH2" s="58" t="s">
        <v>297</v>
      </c>
      <c r="AI2" s="58" t="s">
        <v>298</v>
      </c>
      <c r="AJ2" s="58" t="s">
        <v>299</v>
      </c>
      <c r="AK2" s="58" t="s">
        <v>300</v>
      </c>
      <c r="AL2" s="58" t="s">
        <v>297</v>
      </c>
      <c r="AM2" s="58" t="s">
        <v>300</v>
      </c>
      <c r="AN2" s="58" t="s">
        <v>301</v>
      </c>
      <c r="AO2" s="63" t="s">
        <v>302</v>
      </c>
    </row>
    <row r="3" ht="17.25" spans="1:21">
      <c r="A3" s="47" t="s">
        <v>303</v>
      </c>
      <c r="B3" s="47" t="s">
        <v>304</v>
      </c>
      <c r="C3" s="48" t="s">
        <v>305</v>
      </c>
      <c r="D3" s="48">
        <v>7</v>
      </c>
      <c r="E3" s="48" t="s">
        <v>306</v>
      </c>
      <c r="F3" s="49">
        <v>46031</v>
      </c>
      <c r="G3" s="48">
        <v>59.99</v>
      </c>
      <c r="H3" s="48">
        <v>5220</v>
      </c>
      <c r="I3" s="48">
        <v>3.7</v>
      </c>
      <c r="J3" s="48">
        <v>386</v>
      </c>
      <c r="K3" s="52"/>
      <c r="L3" s="48">
        <v>110</v>
      </c>
      <c r="M3" s="48"/>
      <c r="N3" s="48"/>
      <c r="O3" s="48"/>
      <c r="P3" s="48"/>
      <c r="Q3" s="48"/>
      <c r="R3" s="48"/>
      <c r="S3" s="48"/>
      <c r="T3" s="48"/>
      <c r="U3" s="48"/>
    </row>
  </sheetData>
  <sheetProtection formatCells="0" insertHyperlinks="0" autoFilter="0"/>
  <mergeCells count="5">
    <mergeCell ref="A1:L1"/>
    <mergeCell ref="M1:U1"/>
    <mergeCell ref="V1:AA1"/>
    <mergeCell ref="AB1:AG1"/>
    <mergeCell ref="AH1:AO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F5:U42"/>
  <sheetViews>
    <sheetView zoomScale="85" zoomScaleNormal="85" topLeftCell="D19" workbookViewId="0">
      <selection activeCell="G29" sqref="G29:S42"/>
    </sheetView>
  </sheetViews>
  <sheetFormatPr defaultColWidth="9" defaultRowHeight="14.25"/>
  <cols>
    <col min="6" max="6" width="21" customWidth="1"/>
    <col min="14" max="14" width="9.5"/>
    <col min="20" max="20" width="10.5"/>
    <col min="22" max="22" width="10.5" customWidth="1"/>
  </cols>
  <sheetData>
    <row r="5" ht="15"/>
    <row r="6" spans="6:21">
      <c r="F6" s="23"/>
      <c r="G6" s="24"/>
      <c r="H6" s="24"/>
      <c r="I6" s="24"/>
      <c r="J6" s="34" t="s">
        <v>307</v>
      </c>
      <c r="K6" s="35"/>
      <c r="L6" s="35"/>
      <c r="M6" s="35"/>
      <c r="N6" s="35"/>
      <c r="O6" s="35"/>
      <c r="P6" s="35"/>
      <c r="Q6" s="35"/>
      <c r="R6" s="24"/>
      <c r="S6" s="24"/>
      <c r="T6" s="24"/>
      <c r="U6" s="37"/>
    </row>
    <row r="7" spans="6:21">
      <c r="F7" s="25"/>
      <c r="G7" s="26"/>
      <c r="H7" s="26"/>
      <c r="I7" s="26"/>
      <c r="J7" s="36"/>
      <c r="K7" s="36"/>
      <c r="L7" s="36"/>
      <c r="M7" s="36"/>
      <c r="N7" s="36"/>
      <c r="O7" s="36"/>
      <c r="P7" s="36"/>
      <c r="Q7" s="36"/>
      <c r="R7" s="26"/>
      <c r="S7" s="26"/>
      <c r="T7" s="26"/>
      <c r="U7" s="38"/>
    </row>
    <row r="8" spans="6:21">
      <c r="F8" s="25"/>
      <c r="G8" s="26"/>
      <c r="H8" s="26"/>
      <c r="I8" s="26"/>
      <c r="J8" s="36"/>
      <c r="K8" s="36"/>
      <c r="L8" s="36"/>
      <c r="M8" s="36"/>
      <c r="N8" s="36"/>
      <c r="O8" s="36"/>
      <c r="P8" s="36"/>
      <c r="Q8" s="36"/>
      <c r="R8" s="26"/>
      <c r="S8" s="26"/>
      <c r="T8" s="26"/>
      <c r="U8" s="38"/>
    </row>
    <row r="9" spans="6:21">
      <c r="F9" s="25"/>
      <c r="G9" s="26"/>
      <c r="H9" s="26"/>
      <c r="I9" s="26"/>
      <c r="J9" s="26"/>
      <c r="K9" s="26"/>
      <c r="L9" s="26"/>
      <c r="M9" s="26"/>
      <c r="N9" s="26"/>
      <c r="O9" s="26"/>
      <c r="P9" s="26"/>
      <c r="Q9" s="26"/>
      <c r="R9" s="26"/>
      <c r="S9" s="26"/>
      <c r="T9" s="26"/>
      <c r="U9" s="38"/>
    </row>
    <row r="10" ht="19.5" customHeight="1" spans="6:21">
      <c r="F10" s="27" t="s">
        <v>229</v>
      </c>
      <c r="G10" s="28" t="s">
        <v>9</v>
      </c>
      <c r="H10" s="29" t="s">
        <v>230</v>
      </c>
      <c r="I10" s="29" t="s">
        <v>231</v>
      </c>
      <c r="J10" s="29" t="s">
        <v>232</v>
      </c>
      <c r="K10" s="29" t="s">
        <v>233</v>
      </c>
      <c r="L10" s="29" t="s">
        <v>234</v>
      </c>
      <c r="M10" s="29" t="s">
        <v>235</v>
      </c>
      <c r="N10" s="29" t="s">
        <v>236</v>
      </c>
      <c r="O10" s="29" t="s">
        <v>237</v>
      </c>
      <c r="P10" s="29" t="s">
        <v>238</v>
      </c>
      <c r="Q10" s="29" t="s">
        <v>239</v>
      </c>
      <c r="R10" s="29" t="s">
        <v>240</v>
      </c>
      <c r="S10" s="29" t="s">
        <v>241</v>
      </c>
      <c r="T10" s="28" t="s">
        <v>242</v>
      </c>
      <c r="U10" s="38"/>
    </row>
    <row r="11" ht="19.5" customHeight="1" spans="6:21">
      <c r="F11" s="25"/>
      <c r="G11" s="26"/>
      <c r="H11" s="26"/>
      <c r="I11" s="26"/>
      <c r="J11" s="26"/>
      <c r="K11" s="26"/>
      <c r="L11" s="26"/>
      <c r="M11" s="26"/>
      <c r="N11" s="26"/>
      <c r="O11" s="26"/>
      <c r="P11" s="26"/>
      <c r="Q11" s="26"/>
      <c r="R11" s="26"/>
      <c r="S11" s="26"/>
      <c r="T11" s="26"/>
      <c r="U11" s="38"/>
    </row>
    <row r="12" ht="19.5" customHeight="1" spans="6:21">
      <c r="F12" s="30" t="s">
        <v>243</v>
      </c>
      <c r="G12" s="26"/>
      <c r="H12" s="26">
        <v>300</v>
      </c>
      <c r="I12" s="26">
        <v>300</v>
      </c>
      <c r="J12" s="26">
        <v>500</v>
      </c>
      <c r="K12" s="26">
        <v>600</v>
      </c>
      <c r="L12" s="26">
        <v>500</v>
      </c>
      <c r="M12" s="26">
        <v>500</v>
      </c>
      <c r="N12" s="26">
        <v>450</v>
      </c>
      <c r="O12" s="26">
        <v>800</v>
      </c>
      <c r="P12" s="26">
        <v>500</v>
      </c>
      <c r="Q12" s="26">
        <v>500</v>
      </c>
      <c r="R12" s="26">
        <v>400</v>
      </c>
      <c r="S12" s="26">
        <v>400</v>
      </c>
      <c r="T12" s="26">
        <v>4850</v>
      </c>
      <c r="U12" s="38"/>
    </row>
    <row r="13" ht="8.25" customHeight="1" spans="6:21">
      <c r="F13" s="31"/>
      <c r="G13" s="26"/>
      <c r="H13" s="26"/>
      <c r="I13" s="26"/>
      <c r="J13" s="26"/>
      <c r="K13" s="26"/>
      <c r="L13" s="26"/>
      <c r="M13" s="26"/>
      <c r="N13" s="26"/>
      <c r="O13" s="26"/>
      <c r="P13" s="26"/>
      <c r="Q13" s="26"/>
      <c r="R13" s="26"/>
      <c r="S13" s="26"/>
      <c r="T13" s="26"/>
      <c r="U13" s="38"/>
    </row>
    <row r="14" ht="19.5" customHeight="1" spans="6:21">
      <c r="F14" s="30" t="s">
        <v>245</v>
      </c>
      <c r="G14" s="26"/>
      <c r="H14" s="26">
        <f>H12*45.99</f>
        <v>13797</v>
      </c>
      <c r="I14" s="26">
        <f t="shared" ref="I14:S14" si="0">I12*45.99</f>
        <v>13797</v>
      </c>
      <c r="J14" s="26">
        <f t="shared" si="0"/>
        <v>22995</v>
      </c>
      <c r="K14" s="26">
        <f t="shared" si="0"/>
        <v>27594</v>
      </c>
      <c r="L14" s="26">
        <f t="shared" si="0"/>
        <v>22995</v>
      </c>
      <c r="M14" s="26">
        <f t="shared" si="0"/>
        <v>22995</v>
      </c>
      <c r="N14" s="26">
        <f t="shared" si="0"/>
        <v>20695.5</v>
      </c>
      <c r="O14" s="26">
        <f t="shared" si="0"/>
        <v>36792</v>
      </c>
      <c r="P14" s="26">
        <f t="shared" si="0"/>
        <v>22995</v>
      </c>
      <c r="Q14" s="26">
        <f t="shared" si="0"/>
        <v>22995</v>
      </c>
      <c r="R14" s="26">
        <f t="shared" si="0"/>
        <v>18396</v>
      </c>
      <c r="S14" s="26">
        <f t="shared" si="0"/>
        <v>18396</v>
      </c>
      <c r="T14" s="26">
        <f>SUM(H14:S14)</f>
        <v>264442.5</v>
      </c>
      <c r="U14" s="38"/>
    </row>
    <row r="15" ht="9" customHeight="1" spans="6:21">
      <c r="F15" s="31"/>
      <c r="G15" s="26"/>
      <c r="H15" s="26"/>
      <c r="I15" s="26"/>
      <c r="J15" s="26"/>
      <c r="K15" s="26"/>
      <c r="L15" s="26"/>
      <c r="M15" s="26"/>
      <c r="N15" s="26"/>
      <c r="O15" s="26"/>
      <c r="P15" s="26"/>
      <c r="Q15" s="26"/>
      <c r="R15" s="26"/>
      <c r="S15" s="26"/>
      <c r="T15" s="26"/>
      <c r="U15" s="38"/>
    </row>
    <row r="16" ht="19.5" customHeight="1" spans="6:21">
      <c r="F16" s="30" t="s">
        <v>249</v>
      </c>
      <c r="G16" s="26"/>
      <c r="H16" s="26">
        <f>H14*0.05</f>
        <v>689.85</v>
      </c>
      <c r="I16" s="26">
        <f t="shared" ref="I16:S16" si="1">I14*0.05</f>
        <v>689.85</v>
      </c>
      <c r="J16" s="26">
        <f t="shared" si="1"/>
        <v>1149.75</v>
      </c>
      <c r="K16" s="26">
        <f t="shared" si="1"/>
        <v>1379.7</v>
      </c>
      <c r="L16" s="26">
        <f t="shared" si="1"/>
        <v>1149.75</v>
      </c>
      <c r="M16" s="26">
        <f t="shared" si="1"/>
        <v>1149.75</v>
      </c>
      <c r="N16" s="26">
        <f t="shared" si="1"/>
        <v>1034.775</v>
      </c>
      <c r="O16" s="26">
        <f t="shared" si="1"/>
        <v>1839.6</v>
      </c>
      <c r="P16" s="26">
        <f t="shared" si="1"/>
        <v>1149.75</v>
      </c>
      <c r="Q16" s="26">
        <f t="shared" si="1"/>
        <v>1149.75</v>
      </c>
      <c r="R16" s="26">
        <f t="shared" si="1"/>
        <v>919.8</v>
      </c>
      <c r="S16" s="26">
        <f t="shared" si="1"/>
        <v>919.8</v>
      </c>
      <c r="T16" s="26">
        <f t="shared" ref="T16" si="2">SUM(H16:S16)</f>
        <v>13222.125</v>
      </c>
      <c r="U16" s="38"/>
    </row>
    <row r="17" ht="9.75" customHeight="1" spans="6:21">
      <c r="F17" s="31"/>
      <c r="G17" s="26"/>
      <c r="H17" s="26"/>
      <c r="I17" s="26"/>
      <c r="J17" s="26"/>
      <c r="K17" s="26"/>
      <c r="L17" s="26"/>
      <c r="M17" s="26"/>
      <c r="N17" s="26"/>
      <c r="O17" s="26"/>
      <c r="P17" s="26"/>
      <c r="Q17" s="26"/>
      <c r="R17" s="26"/>
      <c r="S17" s="26"/>
      <c r="T17" s="26"/>
      <c r="U17" s="38"/>
    </row>
    <row r="18" ht="19.5" customHeight="1" spans="6:21">
      <c r="F18" s="30" t="s">
        <v>250</v>
      </c>
      <c r="G18" s="26"/>
      <c r="H18" s="26">
        <f>H14*0.1</f>
        <v>1379.7</v>
      </c>
      <c r="I18" s="26">
        <f t="shared" ref="I18:S18" si="3">I14*0.1</f>
        <v>1379.7</v>
      </c>
      <c r="J18" s="26">
        <f t="shared" si="3"/>
        <v>2299.5</v>
      </c>
      <c r="K18" s="26">
        <f t="shared" si="3"/>
        <v>2759.4</v>
      </c>
      <c r="L18" s="26">
        <f t="shared" si="3"/>
        <v>2299.5</v>
      </c>
      <c r="M18" s="26">
        <f t="shared" si="3"/>
        <v>2299.5</v>
      </c>
      <c r="N18" s="26">
        <f t="shared" si="3"/>
        <v>2069.55</v>
      </c>
      <c r="O18" s="26">
        <f t="shared" si="3"/>
        <v>3679.2</v>
      </c>
      <c r="P18" s="26">
        <f t="shared" si="3"/>
        <v>2299.5</v>
      </c>
      <c r="Q18" s="26">
        <f t="shared" si="3"/>
        <v>2299.5</v>
      </c>
      <c r="R18" s="26">
        <f t="shared" si="3"/>
        <v>1839.6</v>
      </c>
      <c r="S18" s="26">
        <f t="shared" si="3"/>
        <v>1839.6</v>
      </c>
      <c r="T18" s="26">
        <f>SUM(H18:S18)</f>
        <v>26444.25</v>
      </c>
      <c r="U18" s="38"/>
    </row>
    <row r="19" ht="11.25" customHeight="1" spans="6:21">
      <c r="F19" s="31"/>
      <c r="G19" s="26"/>
      <c r="H19" s="26"/>
      <c r="I19" s="26"/>
      <c r="J19" s="26"/>
      <c r="K19" s="26"/>
      <c r="L19" s="26"/>
      <c r="M19" s="26"/>
      <c r="N19" s="26"/>
      <c r="O19" s="26"/>
      <c r="P19" s="26"/>
      <c r="Q19" s="26"/>
      <c r="R19" s="26"/>
      <c r="S19" s="26"/>
      <c r="T19" s="26"/>
      <c r="U19" s="38"/>
    </row>
    <row r="20" ht="19.5" customHeight="1" spans="6:21">
      <c r="F20" s="30" t="s">
        <v>308</v>
      </c>
      <c r="G20" s="26"/>
      <c r="H20" s="26">
        <f>H14*0.1</f>
        <v>1379.7</v>
      </c>
      <c r="I20" s="26">
        <f>I14*0.1</f>
        <v>1379.7</v>
      </c>
      <c r="J20" s="26">
        <f>J14*0.05</f>
        <v>1149.75</v>
      </c>
      <c r="K20" s="26">
        <f t="shared" ref="K20:S20" si="4">K14*0.05</f>
        <v>1379.7</v>
      </c>
      <c r="L20" s="26">
        <f t="shared" si="4"/>
        <v>1149.75</v>
      </c>
      <c r="M20" s="26">
        <f t="shared" si="4"/>
        <v>1149.75</v>
      </c>
      <c r="N20" s="26">
        <f t="shared" si="4"/>
        <v>1034.775</v>
      </c>
      <c r="O20" s="26">
        <f t="shared" si="4"/>
        <v>1839.6</v>
      </c>
      <c r="P20" s="26">
        <f t="shared" si="4"/>
        <v>1149.75</v>
      </c>
      <c r="Q20" s="26">
        <f t="shared" si="4"/>
        <v>1149.75</v>
      </c>
      <c r="R20" s="26">
        <f t="shared" si="4"/>
        <v>919.8</v>
      </c>
      <c r="S20" s="26">
        <f t="shared" si="4"/>
        <v>919.8</v>
      </c>
      <c r="T20" s="26">
        <f>SUM(H20:S20)</f>
        <v>14601.825</v>
      </c>
      <c r="U20" s="38"/>
    </row>
    <row r="21" ht="8.25" customHeight="1" spans="6:21">
      <c r="F21" s="31"/>
      <c r="G21" s="26"/>
      <c r="H21" s="26"/>
      <c r="I21" s="26"/>
      <c r="J21" s="26"/>
      <c r="K21" s="26"/>
      <c r="L21" s="26"/>
      <c r="M21" s="26"/>
      <c r="N21" s="26"/>
      <c r="O21" s="26"/>
      <c r="P21" s="26"/>
      <c r="Q21" s="26"/>
      <c r="R21" s="26"/>
      <c r="S21" s="26"/>
      <c r="T21" s="26"/>
      <c r="U21" s="38"/>
    </row>
    <row r="22" ht="19.5" customHeight="1" spans="6:21">
      <c r="F22" s="31" t="s">
        <v>253</v>
      </c>
      <c r="G22" s="26"/>
      <c r="H22" s="26">
        <v>50</v>
      </c>
      <c r="I22" s="26">
        <v>50</v>
      </c>
      <c r="J22" s="26">
        <v>50</v>
      </c>
      <c r="K22" s="26">
        <v>75</v>
      </c>
      <c r="L22" s="26">
        <v>25</v>
      </c>
      <c r="M22" s="26">
        <v>50</v>
      </c>
      <c r="N22" s="26">
        <v>50</v>
      </c>
      <c r="O22" s="26">
        <v>150</v>
      </c>
      <c r="P22" s="26">
        <v>150</v>
      </c>
      <c r="Q22" s="26">
        <v>50</v>
      </c>
      <c r="R22" s="26">
        <v>50</v>
      </c>
      <c r="S22" s="26">
        <v>50</v>
      </c>
      <c r="T22" s="26">
        <f>SUM(H22:S22)</f>
        <v>800</v>
      </c>
      <c r="U22" s="38"/>
    </row>
    <row r="23" ht="8.25" customHeight="1" spans="6:21">
      <c r="F23" s="31"/>
      <c r="G23" s="26"/>
      <c r="H23" s="26"/>
      <c r="I23" s="26"/>
      <c r="J23" s="26"/>
      <c r="K23" s="26"/>
      <c r="L23" s="26"/>
      <c r="M23" s="26"/>
      <c r="N23" s="26"/>
      <c r="O23" s="26"/>
      <c r="P23" s="26"/>
      <c r="Q23" s="26"/>
      <c r="R23" s="26"/>
      <c r="S23" s="26"/>
      <c r="T23" s="26"/>
      <c r="U23" s="38"/>
    </row>
    <row r="24" ht="19.5" customHeight="1" spans="6:21">
      <c r="F24" s="31" t="s">
        <v>254</v>
      </c>
      <c r="G24" s="26"/>
      <c r="H24" s="26"/>
      <c r="I24" s="26"/>
      <c r="J24" s="26">
        <v>100</v>
      </c>
      <c r="K24" s="26"/>
      <c r="L24" s="26"/>
      <c r="M24" s="26"/>
      <c r="N24" s="26">
        <v>100</v>
      </c>
      <c r="O24" s="26"/>
      <c r="P24" s="26"/>
      <c r="Q24" s="26"/>
      <c r="R24" s="26"/>
      <c r="S24" s="26"/>
      <c r="T24" s="26">
        <f>SUM(H24:S24)</f>
        <v>200</v>
      </c>
      <c r="U24" s="38"/>
    </row>
    <row r="25" ht="9.75" customHeight="1" spans="6:21">
      <c r="F25" s="31"/>
      <c r="G25" s="26"/>
      <c r="H25" s="26"/>
      <c r="I25" s="26"/>
      <c r="J25" s="26"/>
      <c r="K25" s="26"/>
      <c r="L25" s="26"/>
      <c r="M25" s="26"/>
      <c r="N25" s="26"/>
      <c r="O25" s="26"/>
      <c r="P25" s="26"/>
      <c r="Q25" s="26"/>
      <c r="R25" s="26"/>
      <c r="S25" s="26"/>
      <c r="T25" s="26"/>
      <c r="U25" s="38"/>
    </row>
    <row r="26" ht="19.5" customHeight="1" spans="6:21">
      <c r="F26" s="30" t="s">
        <v>255</v>
      </c>
      <c r="G26" s="26"/>
      <c r="H26" s="26">
        <v>100</v>
      </c>
      <c r="I26" s="26">
        <v>100</v>
      </c>
      <c r="J26" s="26">
        <v>100</v>
      </c>
      <c r="K26" s="26">
        <v>100</v>
      </c>
      <c r="L26" s="26">
        <v>100</v>
      </c>
      <c r="M26" s="26">
        <v>100</v>
      </c>
      <c r="N26" s="26">
        <v>100</v>
      </c>
      <c r="O26" s="26">
        <v>100</v>
      </c>
      <c r="P26" s="26">
        <v>100</v>
      </c>
      <c r="Q26" s="26">
        <v>100</v>
      </c>
      <c r="R26" s="26">
        <v>100</v>
      </c>
      <c r="S26" s="26">
        <v>100</v>
      </c>
      <c r="T26" s="26">
        <f>SUM(H26:S26)</f>
        <v>1200</v>
      </c>
      <c r="U26" s="38"/>
    </row>
    <row r="27" ht="19.5" customHeight="1" spans="6:21">
      <c r="F27" s="30" t="s">
        <v>256</v>
      </c>
      <c r="G27" s="26"/>
      <c r="H27" s="26"/>
      <c r="I27" s="26"/>
      <c r="J27" s="26"/>
      <c r="K27" s="26"/>
      <c r="L27" s="26"/>
      <c r="M27" s="26"/>
      <c r="N27" s="26"/>
      <c r="O27" s="26"/>
      <c r="P27" s="26"/>
      <c r="Q27" s="26"/>
      <c r="R27" s="26"/>
      <c r="S27" s="26"/>
      <c r="T27" s="26"/>
      <c r="U27" s="38"/>
    </row>
    <row r="28" ht="9.75" customHeight="1" spans="6:21">
      <c r="F28" s="31"/>
      <c r="G28" s="26"/>
      <c r="H28" s="26"/>
      <c r="I28" s="26"/>
      <c r="J28" s="26"/>
      <c r="K28" s="26"/>
      <c r="L28" s="26"/>
      <c r="M28" s="26"/>
      <c r="N28" s="26"/>
      <c r="O28" s="26"/>
      <c r="P28" s="26"/>
      <c r="Q28" s="26"/>
      <c r="R28" s="26"/>
      <c r="S28" s="26"/>
      <c r="T28" s="26"/>
      <c r="U28" s="38"/>
    </row>
    <row r="29" spans="6:21">
      <c r="F29" s="30" t="s">
        <v>309</v>
      </c>
      <c r="G29" s="32" t="s">
        <v>310</v>
      </c>
      <c r="H29" s="33"/>
      <c r="I29" s="33"/>
      <c r="J29" s="33"/>
      <c r="K29" s="33"/>
      <c r="L29" s="33"/>
      <c r="M29" s="33"/>
      <c r="N29" s="33"/>
      <c r="O29" s="33"/>
      <c r="P29" s="33"/>
      <c r="Q29" s="33"/>
      <c r="R29" s="33"/>
      <c r="S29" s="33"/>
      <c r="T29" s="26"/>
      <c r="U29" s="38"/>
    </row>
    <row r="30" spans="6:21">
      <c r="F30" s="25"/>
      <c r="G30" s="33"/>
      <c r="H30" s="33"/>
      <c r="I30" s="33"/>
      <c r="J30" s="33"/>
      <c r="K30" s="33"/>
      <c r="L30" s="33"/>
      <c r="M30" s="33"/>
      <c r="N30" s="33"/>
      <c r="O30" s="33"/>
      <c r="P30" s="33"/>
      <c r="Q30" s="33"/>
      <c r="R30" s="33"/>
      <c r="S30" s="33"/>
      <c r="T30" s="26"/>
      <c r="U30" s="38"/>
    </row>
    <row r="31" spans="6:21">
      <c r="F31" s="25"/>
      <c r="G31" s="33"/>
      <c r="H31" s="33"/>
      <c r="I31" s="33"/>
      <c r="J31" s="33"/>
      <c r="K31" s="33"/>
      <c r="L31" s="33"/>
      <c r="M31" s="33"/>
      <c r="N31" s="33"/>
      <c r="O31" s="33"/>
      <c r="P31" s="33"/>
      <c r="Q31" s="33"/>
      <c r="R31" s="33"/>
      <c r="S31" s="33"/>
      <c r="T31" s="26"/>
      <c r="U31" s="38"/>
    </row>
    <row r="32" spans="6:21">
      <c r="F32" s="25"/>
      <c r="G32" s="33"/>
      <c r="H32" s="33"/>
      <c r="I32" s="33"/>
      <c r="J32" s="33"/>
      <c r="K32" s="33"/>
      <c r="L32" s="33"/>
      <c r="M32" s="33"/>
      <c r="N32" s="33"/>
      <c r="O32" s="33"/>
      <c r="P32" s="33"/>
      <c r="Q32" s="33"/>
      <c r="R32" s="33"/>
      <c r="S32" s="33"/>
      <c r="T32" s="26"/>
      <c r="U32" s="38"/>
    </row>
    <row r="33" spans="6:21">
      <c r="F33" s="25"/>
      <c r="G33" s="33"/>
      <c r="H33" s="33"/>
      <c r="I33" s="33"/>
      <c r="J33" s="33"/>
      <c r="K33" s="33"/>
      <c r="L33" s="33"/>
      <c r="M33" s="33"/>
      <c r="N33" s="33"/>
      <c r="O33" s="33"/>
      <c r="P33" s="33"/>
      <c r="Q33" s="33"/>
      <c r="R33" s="33"/>
      <c r="S33" s="33"/>
      <c r="T33" s="26"/>
      <c r="U33" s="38"/>
    </row>
    <row r="34" spans="6:21">
      <c r="F34" s="25"/>
      <c r="G34" s="33"/>
      <c r="H34" s="33"/>
      <c r="I34" s="33"/>
      <c r="J34" s="33"/>
      <c r="K34" s="33"/>
      <c r="L34" s="33"/>
      <c r="M34" s="33"/>
      <c r="N34" s="33"/>
      <c r="O34" s="33"/>
      <c r="P34" s="33"/>
      <c r="Q34" s="33"/>
      <c r="R34" s="33"/>
      <c r="S34" s="33"/>
      <c r="T34" s="26"/>
      <c r="U34" s="38"/>
    </row>
    <row r="35" spans="6:21">
      <c r="F35" s="25"/>
      <c r="G35" s="33"/>
      <c r="H35" s="33"/>
      <c r="I35" s="33"/>
      <c r="J35" s="33"/>
      <c r="K35" s="33"/>
      <c r="L35" s="33"/>
      <c r="M35" s="33"/>
      <c r="N35" s="33"/>
      <c r="O35" s="33"/>
      <c r="P35" s="33"/>
      <c r="Q35" s="33"/>
      <c r="R35" s="33"/>
      <c r="S35" s="33"/>
      <c r="T35" s="26"/>
      <c r="U35" s="38"/>
    </row>
    <row r="36" spans="6:21">
      <c r="F36" s="25"/>
      <c r="G36" s="33"/>
      <c r="H36" s="33"/>
      <c r="I36" s="33"/>
      <c r="J36" s="33"/>
      <c r="K36" s="33"/>
      <c r="L36" s="33"/>
      <c r="M36" s="33"/>
      <c r="N36" s="33"/>
      <c r="O36" s="33"/>
      <c r="P36" s="33"/>
      <c r="Q36" s="33"/>
      <c r="R36" s="33"/>
      <c r="S36" s="33"/>
      <c r="T36" s="26"/>
      <c r="U36" s="38"/>
    </row>
    <row r="37" spans="6:21">
      <c r="F37" s="25"/>
      <c r="G37" s="33"/>
      <c r="H37" s="33"/>
      <c r="I37" s="33"/>
      <c r="J37" s="33"/>
      <c r="K37" s="33"/>
      <c r="L37" s="33"/>
      <c r="M37" s="33"/>
      <c r="N37" s="33"/>
      <c r="O37" s="33"/>
      <c r="P37" s="33"/>
      <c r="Q37" s="33"/>
      <c r="R37" s="33"/>
      <c r="S37" s="33"/>
      <c r="T37" s="26"/>
      <c r="U37" s="38"/>
    </row>
    <row r="38" spans="6:21">
      <c r="F38" s="25"/>
      <c r="G38" s="33"/>
      <c r="H38" s="33"/>
      <c r="I38" s="33"/>
      <c r="J38" s="33"/>
      <c r="K38" s="33"/>
      <c r="L38" s="33"/>
      <c r="M38" s="33"/>
      <c r="N38" s="33"/>
      <c r="O38" s="33"/>
      <c r="P38" s="33"/>
      <c r="Q38" s="33"/>
      <c r="R38" s="33"/>
      <c r="S38" s="33"/>
      <c r="T38" s="26"/>
      <c r="U38" s="38"/>
    </row>
    <row r="39" spans="6:21">
      <c r="F39" s="25"/>
      <c r="G39" s="33"/>
      <c r="H39" s="33"/>
      <c r="I39" s="33"/>
      <c r="J39" s="33"/>
      <c r="K39" s="33"/>
      <c r="L39" s="33"/>
      <c r="M39" s="33"/>
      <c r="N39" s="33"/>
      <c r="O39" s="33"/>
      <c r="P39" s="33"/>
      <c r="Q39" s="33"/>
      <c r="R39" s="33"/>
      <c r="S39" s="33"/>
      <c r="T39" s="26"/>
      <c r="U39" s="38"/>
    </row>
    <row r="40" spans="6:21">
      <c r="F40" s="25"/>
      <c r="G40" s="33"/>
      <c r="H40" s="33"/>
      <c r="I40" s="33"/>
      <c r="J40" s="33"/>
      <c r="K40" s="33"/>
      <c r="L40" s="33"/>
      <c r="M40" s="33"/>
      <c r="N40" s="33"/>
      <c r="O40" s="33"/>
      <c r="P40" s="33"/>
      <c r="Q40" s="33"/>
      <c r="R40" s="33"/>
      <c r="S40" s="33"/>
      <c r="T40" s="26"/>
      <c r="U40" s="38"/>
    </row>
    <row r="41" spans="6:21">
      <c r="F41" s="25"/>
      <c r="G41" s="33"/>
      <c r="H41" s="33"/>
      <c r="I41" s="33"/>
      <c r="J41" s="33"/>
      <c r="K41" s="33"/>
      <c r="L41" s="33"/>
      <c r="M41" s="33"/>
      <c r="N41" s="33"/>
      <c r="O41" s="33"/>
      <c r="P41" s="33"/>
      <c r="Q41" s="33"/>
      <c r="R41" s="33"/>
      <c r="S41" s="33"/>
      <c r="T41" s="26"/>
      <c r="U41" s="38"/>
    </row>
    <row r="42" ht="15" spans="6:21">
      <c r="F42" s="39"/>
      <c r="G42" s="40"/>
      <c r="H42" s="40"/>
      <c r="I42" s="40"/>
      <c r="J42" s="40"/>
      <c r="K42" s="40"/>
      <c r="L42" s="40"/>
      <c r="M42" s="40"/>
      <c r="N42" s="40"/>
      <c r="O42" s="40"/>
      <c r="P42" s="40"/>
      <c r="Q42" s="40"/>
      <c r="R42" s="40"/>
      <c r="S42" s="40"/>
      <c r="T42" s="41"/>
      <c r="U42" s="42"/>
    </row>
  </sheetData>
  <sheetProtection formatCells="0" insertHyperlinks="0" autoFilter="0"/>
  <mergeCells count="2">
    <mergeCell ref="J6:Q8"/>
    <mergeCell ref="G29:S42"/>
  </mergeCells>
  <pageMargins left="0.699305555555556" right="0.699305555555556"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
  <sheetViews>
    <sheetView workbookViewId="0">
      <selection activeCell="L4" sqref="L4"/>
    </sheetView>
  </sheetViews>
  <sheetFormatPr defaultColWidth="9" defaultRowHeight="14.25" outlineLevelRow="3"/>
  <cols>
    <col min="1" max="1" width="13.1666666666667" customWidth="1"/>
    <col min="5" max="5" width="9" style="1"/>
    <col min="7" max="7" width="9" style="2"/>
    <col min="10" max="10" width="9" style="1"/>
    <col min="12" max="12" width="9" style="3"/>
  </cols>
  <sheetData>
    <row r="1" ht="34.5" spans="1:18">
      <c r="A1" s="4"/>
      <c r="B1" s="4"/>
      <c r="C1" s="4"/>
      <c r="D1" s="5"/>
      <c r="E1" s="11"/>
      <c r="F1" s="4"/>
      <c r="G1" s="4"/>
      <c r="H1" s="4"/>
      <c r="I1" s="14"/>
      <c r="J1" s="15"/>
      <c r="K1" s="4"/>
      <c r="L1" s="16"/>
      <c r="M1" s="20" t="s">
        <v>311</v>
      </c>
      <c r="N1" s="21">
        <v>8.7236</v>
      </c>
      <c r="O1" s="21">
        <v>7.5506</v>
      </c>
      <c r="P1" s="21"/>
      <c r="Q1" s="21"/>
      <c r="R1" s="21"/>
    </row>
    <row r="2" ht="28.5" spans="1:18">
      <c r="A2" s="6" t="s">
        <v>312</v>
      </c>
      <c r="B2" s="7" t="s">
        <v>313</v>
      </c>
      <c r="C2" s="6" t="s">
        <v>314</v>
      </c>
      <c r="D2" s="8" t="s">
        <v>315</v>
      </c>
      <c r="E2" s="12" t="s">
        <v>316</v>
      </c>
      <c r="F2" s="6" t="s">
        <v>317</v>
      </c>
      <c r="G2" s="13" t="s">
        <v>318</v>
      </c>
      <c r="H2" s="6" t="s">
        <v>319</v>
      </c>
      <c r="I2" s="17" t="s">
        <v>320</v>
      </c>
      <c r="J2" s="18" t="s">
        <v>321</v>
      </c>
      <c r="K2" s="6" t="s">
        <v>322</v>
      </c>
      <c r="L2" s="19" t="s">
        <v>323</v>
      </c>
      <c r="M2" s="22"/>
      <c r="N2" s="22"/>
      <c r="O2" s="22"/>
      <c r="P2" s="22"/>
      <c r="Q2" s="22"/>
      <c r="R2" s="22"/>
    </row>
    <row r="3" ht="30.75" customHeight="1" spans="2:13">
      <c r="B3" s="9" t="s">
        <v>324</v>
      </c>
      <c r="C3">
        <v>45.99</v>
      </c>
      <c r="D3" s="10">
        <v>0.15</v>
      </c>
      <c r="E3" s="1">
        <f>D3*C3</f>
        <v>6.8985</v>
      </c>
      <c r="F3">
        <v>2.41</v>
      </c>
      <c r="G3" s="2">
        <f>G4*O1/N1</f>
        <v>1.982080104544</v>
      </c>
      <c r="H3" s="1">
        <f>J3+E3+F3+G3</f>
        <v>30.5486845568343</v>
      </c>
      <c r="I3">
        <v>168</v>
      </c>
      <c r="J3" s="1">
        <f>I3/N1</f>
        <v>19.2581044522903</v>
      </c>
      <c r="K3" s="1">
        <f>C3-E3-F3-G3-J3</f>
        <v>15.4413154431657</v>
      </c>
      <c r="L3" s="3">
        <f>K3/C3</f>
        <v>0.335753760451526</v>
      </c>
      <c r="M3">
        <f>K3*4850</f>
        <v>74890.3798993535</v>
      </c>
    </row>
    <row r="4" ht="30.75" customHeight="1" spans="2:12">
      <c r="B4" s="9" t="s">
        <v>325</v>
      </c>
      <c r="C4">
        <v>69.99</v>
      </c>
      <c r="D4" s="10">
        <v>0.15</v>
      </c>
      <c r="E4" s="1">
        <f>D4*C4</f>
        <v>10.4985</v>
      </c>
      <c r="F4">
        <v>3.74</v>
      </c>
      <c r="G4" s="2">
        <v>2.29</v>
      </c>
      <c r="H4" s="1">
        <f>J4+E4+F4+G4</f>
        <v>38.7783874261648</v>
      </c>
      <c r="I4">
        <v>168</v>
      </c>
      <c r="J4" s="1">
        <f>I4/O1</f>
        <v>22.2498874261648</v>
      </c>
      <c r="K4" s="1">
        <f>C4-E4-F4-G4-J4</f>
        <v>31.2116125738352</v>
      </c>
      <c r="L4" s="3">
        <f>K4/C4</f>
        <v>0.445943885895631</v>
      </c>
    </row>
  </sheetData>
  <sheetProtection formatCells="0" insertHyperlinks="0" autoFilter="0"/>
  <mergeCells count="1">
    <mergeCell ref="A1:L1"/>
  </mergeCells>
  <pageMargins left="0.699305555555556" right="0.699305555555556"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8"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fileId="EZPSZPYEUMZAWQEW:41512919171368378688"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8"/>
  <pixelatorList sheetStid="4"/>
  <pixelatorList sheetStid="9"/>
  <pixelatorList sheetStid="10"/>
  <pixelatorList sheetStid="6"/>
  <pixelatorList sheetStid="5"/>
  <pixelatorList sheetStid="1"/>
  <pixelatorList sheetStid="2"/>
  <pixelatorList sheetStid="11"/>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WWO_wpscloud_20250424194432-d21c6c7b9b</Application>
  <HeadingPairs>
    <vt:vector size="2" baseType="variant">
      <vt:variant>
        <vt:lpstr>工作表</vt:lpstr>
      </vt:variant>
      <vt:variant>
        <vt:i4>8</vt:i4>
      </vt:variant>
    </vt:vector>
  </HeadingPairs>
  <TitlesOfParts>
    <vt:vector size="8" baseType="lpstr">
      <vt:lpstr>运营推广计划</vt:lpstr>
      <vt:lpstr>高低预算方案</vt:lpstr>
      <vt:lpstr>推广目标及推广计划</vt:lpstr>
      <vt:lpstr>爆款推广计划</vt:lpstr>
      <vt:lpstr>年度备货销售计划</vt:lpstr>
      <vt:lpstr>推广运营计划周报</vt:lpstr>
      <vt:lpstr>销售计划</vt:lpstr>
      <vt:lpstr>成本利润核算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博 来</cp:lastModifiedBy>
  <dcterms:created xsi:type="dcterms:W3CDTF">2008-09-12T09:22:00Z</dcterms:created>
  <dcterms:modified xsi:type="dcterms:W3CDTF">2026-01-09T18:20:00Z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ubyTemplateID" linkTarget="0">
    <vt:lpwstr>14</vt:lpwstr>
  </property>
  <property fmtid="{D5CDD505-2E9C-101B-9397-08002B2CF9AE}" pid="3" name="KSOProductBuildVer">
    <vt:lpwstr>2052-0.0.0.0</vt:lpwstr>
  </property>
  <property fmtid="{D5CDD505-2E9C-101B-9397-08002B2CF9AE}" pid="4" name="ICV">
    <vt:lpwstr>9BF80485B9FB4C8989EDF8CED3C80BB5</vt:lpwstr>
  </property>
</Properties>
</file>