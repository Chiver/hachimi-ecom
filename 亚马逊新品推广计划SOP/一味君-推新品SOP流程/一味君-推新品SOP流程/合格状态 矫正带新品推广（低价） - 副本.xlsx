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 activeTab="5"/>
  </bookViews>
  <sheets>
    <sheet name="小类目分析" sheetId="31" r:id="rId1"/>
    <sheet name="新品订单数据" sheetId="30" r:id="rId2"/>
    <sheet name="每日实际盈亏" sheetId="18" r:id="rId3"/>
    <sheet name="阶段实际盈亏" sheetId="20" state="hidden" r:id="rId4"/>
    <sheet name="阶段盈亏模拟" sheetId="16" r:id="rId5"/>
    <sheet name="盈亏模拟" sheetId="17" r:id="rId6"/>
    <sheet name="CPC模拟" sheetId="15" r:id="rId7"/>
    <sheet name="主要出单词" sheetId="32" r:id="rId8"/>
    <sheet name="广告策略" sheetId="33" r:id="rId9"/>
    <sheet name="2" sheetId="25" state="hidden" r:id="rId10"/>
    <sheet name="WpsReserved_CellImgList" sheetId="14" state="veryHidden" r:id="rId11"/>
  </sheets>
  <definedNames>
    <definedName name="_xlnm._FilterDatabase" localSheetId="2" hidden="1">每日实际盈亏!$A$2:$AB$8</definedName>
    <definedName name="_xlnm._FilterDatabase" localSheetId="9" hidden="1">'2'!$A$1:$AZ$13</definedName>
  </definedNames>
  <calcPr calcId="144525" concurrentCalc="0"/>
</workbook>
</file>

<file path=xl/sharedStrings.xml><?xml version="1.0" encoding="utf-8"?>
<sst xmlns="http://schemas.openxmlformats.org/spreadsheetml/2006/main" count="701" uniqueCount="343">
  <si>
    <t>大会当天，我一开场就会带老铁们来分析【矫正带】这个小类目，这个类目老铁们好好研究一下，可以用几套方法。点击下面的链接，复制到浏览器打开这个小类目。</t>
  </si>
  <si>
    <t>https://www.amazon.com/Best-Sellers-Health-Household-Back-Braces/zgbs/hpc/5006367011</t>
  </si>
  <si>
    <t>对标竞品链接</t>
  </si>
  <si>
    <t>https://www.amazon.com/dp/B07ZQPKTVV</t>
  </si>
  <si>
    <t>常规数据</t>
  </si>
  <si>
    <t>广告数据</t>
  </si>
  <si>
    <t>实时更新</t>
  </si>
  <si>
    <t>操作备注</t>
  </si>
  <si>
    <t>日期</t>
  </si>
  <si>
    <t>星期</t>
  </si>
  <si>
    <t>FBA
可售</t>
  </si>
  <si>
    <t>价格</t>
  </si>
  <si>
    <t>会员价</t>
  </si>
  <si>
    <t>站内
coupon</t>
  </si>
  <si>
    <t>站内
code</t>
  </si>
  <si>
    <t>站外
code</t>
  </si>
  <si>
    <t>新品
榜单</t>
  </si>
  <si>
    <t>类目
排名</t>
  </si>
  <si>
    <t>总
销量</t>
  </si>
  <si>
    <t>总访
问量</t>
  </si>
  <si>
    <t>CVR
总转化</t>
  </si>
  <si>
    <t>评论
数量</t>
  </si>
  <si>
    <t>评分</t>
  </si>
  <si>
    <t>曝光
量</t>
  </si>
  <si>
    <t>点击
量</t>
  </si>
  <si>
    <t>CTR
点击率</t>
  </si>
  <si>
    <t>广告
单</t>
  </si>
  <si>
    <t>CVR
转化率</t>
  </si>
  <si>
    <t>平均
CPC</t>
  </si>
  <si>
    <t>广告
花费</t>
  </si>
  <si>
    <t>CPA</t>
  </si>
  <si>
    <t>ACOS</t>
  </si>
  <si>
    <t>自然
访问</t>
  </si>
  <si>
    <t>非广告单</t>
  </si>
  <si>
    <t>非广告单占比</t>
  </si>
  <si>
    <t>站外
订单</t>
  </si>
  <si>
    <t>站内
订单</t>
  </si>
  <si>
    <t>站内
自然单</t>
  </si>
  <si>
    <t>最终
盈亏</t>
  </si>
  <si>
    <t>西柚
质量分</t>
  </si>
  <si>
    <t>西柚
截图</t>
  </si>
  <si>
    <t>运营操作/调整</t>
  </si>
  <si>
    <t>广告操作</t>
  </si>
  <si>
    <t>站外投放截图</t>
  </si>
  <si>
    <t>每日盈亏数据预估</t>
  </si>
  <si>
    <t>订单类型</t>
  </si>
  <si>
    <t>定价</t>
  </si>
  <si>
    <t>code</t>
  </si>
  <si>
    <t>coupon</t>
  </si>
  <si>
    <t>折后价</t>
  </si>
  <si>
    <t>FBA    
配送费</t>
  </si>
  <si>
    <t>亚马逊
佣金</t>
  </si>
  <si>
    <t>账号
回款</t>
  </si>
  <si>
    <t>仓储费</t>
  </si>
  <si>
    <t>coupon
费用</t>
  </si>
  <si>
    <t>产品
成本</t>
  </si>
  <si>
    <t>物流费
海运</t>
  </si>
  <si>
    <t>退货成本(公式后面加的是单套产品的移除费）</t>
  </si>
  <si>
    <t>退货率</t>
  </si>
  <si>
    <t>每单平摊
退货成本</t>
  </si>
  <si>
    <t>每单
毛利</t>
  </si>
  <si>
    <t>毛利率</t>
  </si>
  <si>
    <t>订单
数量</t>
  </si>
  <si>
    <t>每日
订单
亏损</t>
  </si>
  <si>
    <t>每日
站外
费用</t>
  </si>
  <si>
    <t>每日
广告
费用</t>
  </si>
  <si>
    <t>每日
总盈亏</t>
  </si>
  <si>
    <t>每日
出单</t>
  </si>
  <si>
    <t>备注</t>
  </si>
  <si>
    <t>原价订单</t>
  </si>
  <si>
    <t>coupon订单</t>
  </si>
  <si>
    <t>时间</t>
  </si>
  <si>
    <t>实际</t>
  </si>
  <si>
    <t>站外
折扣</t>
  </si>
  <si>
    <t>站内
广告单</t>
  </si>
  <si>
    <t>阶段
销售
订单</t>
  </si>
  <si>
    <t>时间
/天</t>
  </si>
  <si>
    <t>阶段广告费
（出1单广告单预估）</t>
  </si>
  <si>
    <t>阶段站外费用
（5美金/单）</t>
  </si>
  <si>
    <t>阶段订单
盈亏</t>
  </si>
  <si>
    <t>阶段亏损
/美金</t>
  </si>
  <si>
    <t>六阶段
总亏损</t>
  </si>
  <si>
    <t>阶段日均
订单</t>
  </si>
  <si>
    <t>阶段日均
广告订单</t>
  </si>
  <si>
    <t>阶段日均
自然订单</t>
  </si>
  <si>
    <t>新品
排行榜</t>
  </si>
  <si>
    <t>小类目
排名</t>
  </si>
  <si>
    <t>9月7-9月12</t>
  </si>
  <si>
    <t>第一阶段</t>
  </si>
  <si>
    <t>9月13-9月21</t>
  </si>
  <si>
    <t>第二阶段</t>
  </si>
  <si>
    <t>9月22-10月1</t>
  </si>
  <si>
    <t>第三阶段</t>
  </si>
  <si>
    <t>10月2-10月11</t>
  </si>
  <si>
    <t>第四阶段</t>
  </si>
  <si>
    <t>10月12-10月21</t>
  </si>
  <si>
    <t>第五阶段</t>
  </si>
  <si>
    <t>10月22-10月31</t>
  </si>
  <si>
    <t>第六阶段</t>
  </si>
  <si>
    <t>11月1-11月30</t>
  </si>
  <si>
    <t>十一月份</t>
  </si>
  <si>
    <t>12月1-12月31</t>
  </si>
  <si>
    <t>十二月份</t>
  </si>
  <si>
    <t>1月1-1月31</t>
  </si>
  <si>
    <t>一月份</t>
  </si>
  <si>
    <t>模拟</t>
  </si>
  <si>
    <t xml:space="preserve">
阶段
广告费
</t>
  </si>
  <si>
    <t>阶段
站外费用
2美金/单</t>
  </si>
  <si>
    <t>评论数量</t>
  </si>
  <si>
    <t>阶段
日均
订单</t>
  </si>
  <si>
    <t>阶段
日均
广告单</t>
  </si>
  <si>
    <t>阶段
日均
自然单</t>
  </si>
  <si>
    <t>日均
广告费</t>
  </si>
  <si>
    <t>找真人模特拍摄做图片A+视频要-1000美金，做三条种子链接评论90条，-200*3=-600，一条vine成本8.5美金左右，90条就是-765美金，前期成本1000+600+765</t>
  </si>
  <si>
    <t>11/1-11/10</t>
  </si>
  <si>
    <t>稳定在前50名</t>
  </si>
  <si>
    <t>稳定在前200名</t>
  </si>
  <si>
    <t>11/11-11/20</t>
  </si>
  <si>
    <t>稳定在前40名</t>
  </si>
  <si>
    <t>稳定在前150名</t>
  </si>
  <si>
    <t>11/21-11/30</t>
  </si>
  <si>
    <t>稳定在前30名</t>
  </si>
  <si>
    <t>稳定在前100名</t>
  </si>
  <si>
    <t>12/1-12/10</t>
  </si>
  <si>
    <t>稳定在前20名</t>
  </si>
  <si>
    <t>稳定在前80名</t>
  </si>
  <si>
    <t>12/11-12/20</t>
  </si>
  <si>
    <t>稳定在前10名</t>
  </si>
  <si>
    <t>稳定在前60名</t>
  </si>
  <si>
    <t>12/21-12/30</t>
  </si>
  <si>
    <t>前40名</t>
  </si>
  <si>
    <t>二月份</t>
  </si>
  <si>
    <t>前30名</t>
  </si>
  <si>
    <t>三月份</t>
  </si>
  <si>
    <t>前20名</t>
  </si>
  <si>
    <t>未来</t>
  </si>
  <si>
    <t>前10名</t>
  </si>
  <si>
    <t xml:space="preserve">
实际
广告费
</t>
  </si>
  <si>
    <t>实际
站外费用</t>
  </si>
  <si>
    <t>站外/
站内</t>
  </si>
  <si>
    <t>阶段
订单
亏损</t>
  </si>
  <si>
    <t>阶段
订单
总盈亏</t>
  </si>
  <si>
    <t>阶段
出单</t>
  </si>
  <si>
    <t>站内订单</t>
  </si>
  <si>
    <t>CVR</t>
  </si>
  <si>
    <t>曝光量</t>
  </si>
  <si>
    <t>点击量</t>
  </si>
  <si>
    <t>CTR</t>
  </si>
  <si>
    <t>广告单</t>
  </si>
  <si>
    <t>平均
CVR</t>
  </si>
  <si>
    <t>花费</t>
  </si>
  <si>
    <t>自然
订单</t>
  </si>
  <si>
    <t>自然
单占比</t>
  </si>
  <si>
    <t>运营调整</t>
  </si>
  <si>
    <t>关键词</t>
  </si>
  <si>
    <t>7天展示量</t>
  </si>
  <si>
    <t>流量占比</t>
  </si>
  <si>
    <t>流量分布(自然)</t>
  </si>
  <si>
    <t>流量分布(广告)</t>
  </si>
  <si>
    <t>展示位置</t>
  </si>
  <si>
    <t>自然排名</t>
  </si>
  <si>
    <t>自然排名(页码-页内排名)</t>
  </si>
  <si>
    <t>sp广告排名</t>
  </si>
  <si>
    <t>sp广告排名(页码-页内排名)</t>
  </si>
  <si>
    <t>关键词排名</t>
  </si>
  <si>
    <t>周搜索量</t>
  </si>
  <si>
    <t>亚马逊建议竞价</t>
  </si>
  <si>
    <t>posture corrector for women</t>
  </si>
  <si>
    <t>自然,SP,OOR,HR</t>
  </si>
  <si>
    <t>P1-1</t>
  </si>
  <si>
    <t>posture corrector</t>
  </si>
  <si>
    <t>P1-2</t>
  </si>
  <si>
    <t>posture corrector for men</t>
  </si>
  <si>
    <t>P1-4</t>
  </si>
  <si>
    <t>back brace posture corrector</t>
  </si>
  <si>
    <t>P1-3</t>
  </si>
  <si>
    <t>back posture corrector</t>
  </si>
  <si>
    <t>back posture corrector women</t>
  </si>
  <si>
    <t>P1-5</t>
  </si>
  <si>
    <t>back straightener posture corrector</t>
  </si>
  <si>
    <t>posture brace</t>
  </si>
  <si>
    <t>back posture corrector for men</t>
  </si>
  <si>
    <t>back straightener</t>
  </si>
  <si>
    <t>广告类似</t>
  </si>
  <si>
    <t>匹配类型</t>
  </si>
  <si>
    <t>竞价策略</t>
  </si>
  <si>
    <t>CPC</t>
  </si>
  <si>
    <t>自动广告</t>
  </si>
  <si>
    <t>紧密匹配</t>
  </si>
  <si>
    <t>提降</t>
  </si>
  <si>
    <t>手动广告</t>
  </si>
  <si>
    <t>精准匹配</t>
  </si>
  <si>
    <t>词根 posture corrector</t>
  </si>
  <si>
    <t>词根 back brace</t>
  </si>
  <si>
    <t>词根 posture brace</t>
  </si>
  <si>
    <t>品牌视频广告</t>
  </si>
  <si>
    <t>自动竞价</t>
  </si>
  <si>
    <t>amazon-order-id</t>
  </si>
  <si>
    <t>merchant-order-id</t>
  </si>
  <si>
    <t>purchase-date</t>
  </si>
  <si>
    <t>last-updated-date</t>
  </si>
  <si>
    <t>order-status</t>
  </si>
  <si>
    <t>fulfillment-channel</t>
  </si>
  <si>
    <t>sales-channel</t>
  </si>
  <si>
    <t>order-channel</t>
  </si>
  <si>
    <t>url</t>
  </si>
  <si>
    <t>ship-service-level</t>
  </si>
  <si>
    <t>product-name</t>
  </si>
  <si>
    <t>sku</t>
  </si>
  <si>
    <t>asin</t>
  </si>
  <si>
    <t>item-status</t>
  </si>
  <si>
    <t>quantity</t>
  </si>
  <si>
    <t>currency</t>
  </si>
  <si>
    <t>item-price</t>
  </si>
  <si>
    <t>item-tax</t>
  </si>
  <si>
    <t>shipping-price</t>
  </si>
  <si>
    <t>shipping-tax</t>
  </si>
  <si>
    <t>gift-wrap-price</t>
  </si>
  <si>
    <t>gift-wrap-tax</t>
  </si>
  <si>
    <t>item-promotion-discount</t>
  </si>
  <si>
    <t>ship-promotion-discount</t>
  </si>
  <si>
    <t>ship-city</t>
  </si>
  <si>
    <t>ship-state</t>
  </si>
  <si>
    <t>ship-postal-code</t>
  </si>
  <si>
    <t>ship-country</t>
  </si>
  <si>
    <t>promotion-ids</t>
  </si>
  <si>
    <t>is-business-order</t>
  </si>
  <si>
    <t>purchase-order-number</t>
  </si>
  <si>
    <t>price-designation</t>
  </si>
  <si>
    <t>default-ship-from-address-name</t>
  </si>
  <si>
    <t>default-ship-from-address-field-1</t>
  </si>
  <si>
    <t>default-ship-from-address-field-2</t>
  </si>
  <si>
    <t>default-ship-from-address-field-3</t>
  </si>
  <si>
    <t>default-ship-from-city</t>
  </si>
  <si>
    <t>default-ship-from-state</t>
  </si>
  <si>
    <t>default-ship-from-country</t>
  </si>
  <si>
    <t>default-ship-from-postal-code</t>
  </si>
  <si>
    <t>actual-ship-from-address-name</t>
  </si>
  <si>
    <t>actual-ship-from-address-field-1</t>
  </si>
  <si>
    <t>actual-ship-from-address-field-2</t>
  </si>
  <si>
    <t>actual-ship-from-address-field-3</t>
  </si>
  <si>
    <t>actual-ship-from-city</t>
  </si>
  <si>
    <t>actual-ship-from-state</t>
  </si>
  <si>
    <t>actual-ship-from-country</t>
  </si>
  <si>
    <t>actual-ship-from-postal-code</t>
  </si>
  <si>
    <t>is-buyer-requested-cancellation</t>
  </si>
  <si>
    <t>buyer-requested-cancel-reason</t>
  </si>
  <si>
    <t>serial-numbers</t>
  </si>
  <si>
    <t xml:space="preserve">signature-confirmation-recommended </t>
  </si>
  <si>
    <t>111-9858618-2103444</t>
  </si>
  <si>
    <t>2023-09-12T05:37:43+00:00</t>
  </si>
  <si>
    <t>2023-09-12T05:37:48+00:00</t>
  </si>
  <si>
    <t>Pending</t>
  </si>
  <si>
    <t>Amazon</t>
  </si>
  <si>
    <t>Amazon.com</t>
  </si>
  <si>
    <t>Expedited</t>
  </si>
  <si>
    <t>Dash Cam Front with FHD 1080p, Wanlipo 2 Inch LCD Dashcam, Dashboard Camera for Cars with 24h Parking Monitor, G-Sensor, Loop Recording, Free 32GB SD</t>
  </si>
  <si>
    <t>J09-C1</t>
  </si>
  <si>
    <t>B0BG6WPM3W</t>
  </si>
  <si>
    <t>Unshipped</t>
  </si>
  <si>
    <t>USD</t>
  </si>
  <si>
    <t>BELLMAWR</t>
  </si>
  <si>
    <t>NJ</t>
  </si>
  <si>
    <t>08031-2115</t>
  </si>
  <si>
    <t>US</t>
  </si>
  <si>
    <t>MPC-S Percentage Off 2023/09/10 11-52-12-900</t>
  </si>
  <si>
    <t>114-5667916-6324215</t>
  </si>
  <si>
    <t>2023-09-12T03:37:05+00:00</t>
  </si>
  <si>
    <t>2023-09-12T09:02:46+00:00</t>
  </si>
  <si>
    <t>Shipped</t>
  </si>
  <si>
    <t>4K Dash Cam Front Built-in WiFi, WANLIPO Dash Camera for Cars with 64GB SD Card, Car Camera with 3" IPS Screen, 2160P Dashcam for Cars with App Contro</t>
  </si>
  <si>
    <t>Wanlipo M03-3</t>
  </si>
  <si>
    <t>B0CC8CHTTJ</t>
  </si>
  <si>
    <t>MONROE</t>
  </si>
  <si>
    <t>GA</t>
  </si>
  <si>
    <t>30656-4723</t>
  </si>
  <si>
    <t>MPC-S Percentage Off 2023/09/11 9-53-46-600</t>
  </si>
  <si>
    <t>111-1595396-9168227</t>
  </si>
  <si>
    <t>2023-09-11T23:55:05+00:00</t>
  </si>
  <si>
    <t>2023-09-11T23:55:11+00:00</t>
  </si>
  <si>
    <t>SILVER SPRING</t>
  </si>
  <si>
    <t>MD</t>
  </si>
  <si>
    <t>20906-4527</t>
  </si>
  <si>
    <t>MPC-S Percentage Off 2023/09/10 11-52-3-698</t>
  </si>
  <si>
    <t>112-7810040-2837843</t>
  </si>
  <si>
    <t>2023-09-11T19:41:13+00:00</t>
  </si>
  <si>
    <t>2023-09-12T01:35:23+00:00</t>
  </si>
  <si>
    <t>Nashville</t>
  </si>
  <si>
    <t>TN</t>
  </si>
  <si>
    <t>37208-1058</t>
  </si>
  <si>
    <t>MPC-S Percentage Off 2023/09/10 11-52-13-889</t>
  </si>
  <si>
    <t>111-4369826-2407442</t>
  </si>
  <si>
    <t>2023-09-11T18:52:15+00:00</t>
  </si>
  <si>
    <t>2023-09-11T18:52:21+00:00</t>
  </si>
  <si>
    <t>Standard</t>
  </si>
  <si>
    <t>4K Dash Cam Front with WiFi 2160P, VOFRTY Dash Camera for Cars with 3" IPS, Car Camera with App Control, Dashcam with G-Sensor, Loop Recording, 64GB S</t>
  </si>
  <si>
    <t>M03-3</t>
  </si>
  <si>
    <t>B0C1C9T9KP</t>
  </si>
  <si>
    <t>HUNTINGTON</t>
  </si>
  <si>
    <t>WV</t>
  </si>
  <si>
    <t>25704-1119</t>
  </si>
  <si>
    <t>US Core Free Shipping Promotion A3JU1FCINF5SD0,Percentage Off 2023/08/28 6-17-47-400</t>
  </si>
  <si>
    <t>114-0862837-0430606</t>
  </si>
  <si>
    <t>2023-09-11T17:17:31+00:00</t>
  </si>
  <si>
    <t>2023-09-11T17:17:37+00:00</t>
  </si>
  <si>
    <t>LOS ANGELES</t>
  </si>
  <si>
    <t>CA</t>
  </si>
  <si>
    <t>90016-2009</t>
  </si>
  <si>
    <t>114-2447819-7327466</t>
  </si>
  <si>
    <t>2023-09-11T15:45:23+00:00</t>
  </si>
  <si>
    <t>2023-09-11T15:45:29+00:00</t>
  </si>
  <si>
    <t>DES MOINES</t>
  </si>
  <si>
    <t>IA</t>
  </si>
  <si>
    <t>50317-6307</t>
  </si>
  <si>
    <t>MPC-S Percentage Off 2023/09/11 9-54-8-40</t>
  </si>
  <si>
    <t>114-3078544-2276207</t>
  </si>
  <si>
    <t>2023-09-11T15:21:19+00:00</t>
  </si>
  <si>
    <t>2023-09-12T04:25:37+00:00</t>
  </si>
  <si>
    <t>LA VERGNE</t>
  </si>
  <si>
    <t>37086-1439</t>
  </si>
  <si>
    <t>114-1356066-5534643</t>
  </si>
  <si>
    <t>2023-09-11T13:58:53+00:00</t>
  </si>
  <si>
    <t>2023-09-12T07:08:25+00:00</t>
  </si>
  <si>
    <t>BLACKSTONE</t>
  </si>
  <si>
    <t>MA</t>
  </si>
  <si>
    <t>01504-1408</t>
  </si>
  <si>
    <t>MPC-S Percentage Off 2023/09/10 5-41-22-292</t>
  </si>
  <si>
    <t>112-9726611-4879461</t>
  </si>
  <si>
    <t>2023-09-11T12:39:23+00:00</t>
  </si>
  <si>
    <t>2023-09-12T09:25:25+00:00</t>
  </si>
  <si>
    <t>Brooklyn</t>
  </si>
  <si>
    <t>NY</t>
  </si>
  <si>
    <t>MPC-S Percentage Off 2023/09/07 1-34-35-547</t>
  </si>
  <si>
    <t>113-6400382-4997016</t>
  </si>
  <si>
    <t>2023-09-11T11:06:47+00:00</t>
  </si>
  <si>
    <t>2023-09-11T11:06:52+00:00</t>
  </si>
  <si>
    <t>BRONX</t>
  </si>
  <si>
    <t>112-9947498-4884232</t>
  </si>
  <si>
    <t>2023-09-11T07:15:23+00:00</t>
  </si>
  <si>
    <t>2023-09-11T18:12:08+00:00</t>
  </si>
  <si>
    <t>WEST COVINA</t>
  </si>
  <si>
    <t>91792-1494</t>
  </si>
  <si>
    <t>Percentage Off 2023/08/28 6-17-47-400</t>
  </si>
</sst>
</file>

<file path=xl/styles.xml><?xml version="1.0" encoding="utf-8"?>
<styleSheet xmlns="http://schemas.openxmlformats.org/spreadsheetml/2006/main" xmlns:xr9="http://schemas.microsoft.com/office/spreadsheetml/2016/revision9">
  <numFmts count="9">
    <numFmt numFmtId="41" formatCode="_ * #,##0_ ;_ * \-#,##0_ ;_ * &quot;-&quot;_ ;_ @_ "/>
    <numFmt numFmtId="43" formatCode="_ * #,##0.00_ ;_ * \-#,##0.00_ ;_ * &quot;-&quot;??_ ;_ @_ "/>
    <numFmt numFmtId="176" formatCode="_(&quot;$&quot;* #,##0.00_);_(&quot;$&quot;* \(#,##0.00\);_(&quot;$&quot;* &quot;-&quot;??_);_(@_)"/>
    <numFmt numFmtId="177" formatCode="_(&quot;$&quot;* #,##0_);_(&quot;$&quot;* \(#,##0\);_(&quot;$&quot;* &quot;-&quot;_);_(@_)"/>
    <numFmt numFmtId="178" formatCode="0_ "/>
    <numFmt numFmtId="179" formatCode="0.00_ "/>
    <numFmt numFmtId="180" formatCode="0.0_ "/>
    <numFmt numFmtId="181" formatCode="0;[Red]0"/>
    <numFmt numFmtId="182" formatCode="0.00;[Red]0.00"/>
  </numFmts>
  <fonts count="36">
    <font>
      <sz val="11"/>
      <color theme="1"/>
      <name val="宋体"/>
      <charset val="134"/>
      <scheme val="minor"/>
    </font>
    <font>
      <u/>
      <sz val="11"/>
      <color rgb="FF0000FF"/>
      <name val="宋体"/>
      <charset val="134"/>
      <scheme val="minor"/>
    </font>
    <font>
      <sz val="11"/>
      <color theme="1"/>
      <name val="Calibri"/>
      <charset val="134"/>
    </font>
    <font>
      <sz val="11"/>
      <color rgb="FFFFFFFF"/>
      <name val="Calibri"/>
      <charset val="134"/>
    </font>
    <font>
      <sz val="11"/>
      <color rgb="FFFFFFFF"/>
      <name val="宋体"/>
      <charset val="134"/>
    </font>
    <font>
      <sz val="11"/>
      <color theme="1"/>
      <name val="微软雅黑"/>
      <charset val="134"/>
    </font>
    <font>
      <u/>
      <sz val="11"/>
      <color rgb="FF0000FF"/>
      <name val="微软雅黑"/>
      <charset val="134"/>
    </font>
    <font>
      <sz val="11"/>
      <color rgb="FF000000"/>
      <name val="微软雅黑"/>
      <charset val="134"/>
    </font>
    <font>
      <b/>
      <sz val="11"/>
      <color rgb="FF000000"/>
      <name val="微软雅黑"/>
      <charset val="134"/>
    </font>
    <font>
      <sz val="11"/>
      <color rgb="FF000000"/>
      <name val="宋体"/>
      <charset val="134"/>
    </font>
    <font>
      <sz val="11"/>
      <color rgb="FF000000"/>
      <name val="宋体"/>
      <charset val="134"/>
      <scheme val="minor"/>
    </font>
    <font>
      <b/>
      <sz val="14"/>
      <color rgb="FF000000"/>
      <name val="微软雅黑"/>
      <charset val="134"/>
    </font>
    <font>
      <sz val="10"/>
      <color rgb="FF000000"/>
      <name val="微软雅黑"/>
      <charset val="134"/>
    </font>
    <font>
      <b/>
      <sz val="11"/>
      <color rgb="FF7030A0"/>
      <name val="微软雅黑"/>
      <charset val="134"/>
    </font>
    <font>
      <b/>
      <sz val="11"/>
      <color rgb="FF000000"/>
      <name val="宋体"/>
      <charset val="134"/>
    </font>
    <font>
      <b/>
      <sz val="10"/>
      <color rgb="FF7030A0"/>
      <name val="微软雅黑"/>
      <charset val="134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2">
    <fill>
      <patternFill patternType="none"/>
    </fill>
    <fill>
      <patternFill patternType="gray125"/>
    </fill>
    <fill>
      <gradientFill>
        <stop position="0">
          <color rgb="FF2F75B5"/>
        </stop>
        <stop position="1">
          <color rgb="FF2F75B5"/>
        </stop>
      </gradientFill>
    </fill>
    <fill>
      <patternFill patternType="solid">
        <fgColor rgb="FFBDD7EE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D0CECE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0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/>
      <top style="thin">
        <color rgb="FF808080"/>
      </top>
      <bottom style="thin">
        <color rgb="FF80808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0" fillId="11" borderId="12" applyNumberFormat="0" applyFon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13" applyNumberFormat="0" applyFill="0" applyAlignment="0" applyProtection="0">
      <alignment vertical="center"/>
    </xf>
    <xf numFmtId="0" fontId="23" fillId="0" borderId="13" applyNumberFormat="0" applyFill="0" applyAlignment="0" applyProtection="0">
      <alignment vertical="center"/>
    </xf>
    <xf numFmtId="0" fontId="24" fillId="0" borderId="14" applyNumberFormat="0" applyFill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12" borderId="15" applyNumberFormat="0" applyAlignment="0" applyProtection="0">
      <alignment vertical="center"/>
    </xf>
    <xf numFmtId="0" fontId="26" fillId="13" borderId="16" applyNumberFormat="0" applyAlignment="0" applyProtection="0">
      <alignment vertical="center"/>
    </xf>
    <xf numFmtId="0" fontId="27" fillId="13" borderId="15" applyNumberFormat="0" applyAlignment="0" applyProtection="0">
      <alignment vertical="center"/>
    </xf>
    <xf numFmtId="0" fontId="28" fillId="14" borderId="17" applyNumberFormat="0" applyAlignment="0" applyProtection="0">
      <alignment vertical="center"/>
    </xf>
    <xf numFmtId="0" fontId="29" fillId="0" borderId="18" applyNumberFormat="0" applyFill="0" applyAlignment="0" applyProtection="0">
      <alignment vertical="center"/>
    </xf>
    <xf numFmtId="0" fontId="30" fillId="0" borderId="19" applyNumberFormat="0" applyFill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5" fillId="20" borderId="0" applyNumberFormat="0" applyBorder="0" applyAlignment="0" applyProtection="0">
      <alignment vertical="center"/>
    </xf>
    <xf numFmtId="0" fontId="34" fillId="21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5" fillId="23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4" fillId="25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5" fillId="27" borderId="0" applyNumberFormat="0" applyBorder="0" applyAlignment="0" applyProtection="0">
      <alignment vertical="center"/>
    </xf>
    <xf numFmtId="0" fontId="35" fillId="28" borderId="0" applyNumberFormat="0" applyBorder="0" applyAlignment="0" applyProtection="0">
      <alignment vertical="center"/>
    </xf>
    <xf numFmtId="0" fontId="34" fillId="29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5" fillId="31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4" fillId="33" borderId="0" applyNumberFormat="0" applyBorder="0" applyAlignment="0" applyProtection="0">
      <alignment vertical="center"/>
    </xf>
    <xf numFmtId="0" fontId="34" fillId="34" borderId="0" applyNumberFormat="0" applyBorder="0" applyAlignment="0" applyProtection="0">
      <alignment vertical="center"/>
    </xf>
    <xf numFmtId="0" fontId="35" fillId="35" borderId="0" applyNumberFormat="0" applyBorder="0" applyAlignment="0" applyProtection="0">
      <alignment vertical="center"/>
    </xf>
    <xf numFmtId="0" fontId="35" fillId="36" borderId="0" applyNumberFormat="0" applyBorder="0" applyAlignment="0" applyProtection="0">
      <alignment vertical="center"/>
    </xf>
    <xf numFmtId="0" fontId="34" fillId="37" borderId="0" applyNumberFormat="0" applyBorder="0" applyAlignment="0" applyProtection="0">
      <alignment vertical="center"/>
    </xf>
    <xf numFmtId="0" fontId="34" fillId="38" borderId="0" applyNumberFormat="0" applyBorder="0" applyAlignment="0" applyProtection="0">
      <alignment vertical="center"/>
    </xf>
    <xf numFmtId="0" fontId="35" fillId="39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4" fillId="41" borderId="0" applyNumberFormat="0" applyBorder="0" applyAlignment="0" applyProtection="0">
      <alignment vertical="center"/>
    </xf>
  </cellStyleXfs>
  <cellXfs count="145">
    <xf numFmtId="0" fontId="0" fillId="0" borderId="0" xfId="0">
      <alignment vertical="center"/>
    </xf>
    <xf numFmtId="0" fontId="1" fillId="0" borderId="0" xfId="6" applyFont="1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 applyFill="1" applyAlignment="1">
      <alignment horizontal="left"/>
    </xf>
    <xf numFmtId="0" fontId="2" fillId="0" borderId="0" xfId="0" applyNumberFormat="1" applyFont="1" applyFill="1" applyAlignment="1">
      <alignment horizontal="left"/>
    </xf>
    <xf numFmtId="0" fontId="2" fillId="0" borderId="0" xfId="0" applyFont="1" applyAlignment="1">
      <alignment horizontal="left"/>
    </xf>
    <xf numFmtId="0" fontId="3" fillId="2" borderId="0" xfId="0" applyFont="1" applyFill="1" applyAlignment="1">
      <alignment horizontal="left"/>
    </xf>
    <xf numFmtId="1" fontId="2" fillId="0" borderId="0" xfId="0" applyNumberFormat="1" applyFont="1" applyFill="1" applyAlignment="1">
      <alignment horizontal="left"/>
    </xf>
    <xf numFmtId="10" fontId="2" fillId="0" borderId="0" xfId="0" applyNumberFormat="1" applyFont="1" applyFill="1" applyAlignment="1">
      <alignment horizontal="left"/>
    </xf>
    <xf numFmtId="9" fontId="2" fillId="0" borderId="0" xfId="0" applyNumberFormat="1" applyFont="1" applyFill="1" applyAlignment="1">
      <alignment horizontal="left"/>
    </xf>
    <xf numFmtId="0" fontId="4" fillId="2" borderId="0" xfId="0" applyNumberFormat="1" applyFont="1" applyFill="1" applyAlignment="1">
      <alignment horizontal="left"/>
    </xf>
    <xf numFmtId="0" fontId="5" fillId="0" borderId="0" xfId="0" applyFont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178" fontId="5" fillId="0" borderId="0" xfId="0" applyNumberFormat="1" applyFont="1" applyFill="1" applyAlignment="1">
      <alignment horizontal="center" vertical="center"/>
    </xf>
    <xf numFmtId="179" fontId="5" fillId="0" borderId="0" xfId="0" applyNumberFormat="1" applyFont="1" applyFill="1" applyAlignment="1">
      <alignment horizontal="center" vertical="center"/>
    </xf>
    <xf numFmtId="9" fontId="5" fillId="0" borderId="0" xfId="0" applyNumberFormat="1" applyFont="1" applyFill="1" applyAlignment="1">
      <alignment horizontal="center" vertical="center"/>
    </xf>
    <xf numFmtId="180" fontId="5" fillId="0" borderId="0" xfId="0" applyNumberFormat="1" applyFont="1" applyFill="1" applyAlignment="1">
      <alignment horizontal="center" vertical="center"/>
    </xf>
    <xf numFmtId="10" fontId="5" fillId="0" borderId="0" xfId="0" applyNumberFormat="1" applyFont="1" applyFill="1" applyAlignment="1">
      <alignment horizontal="center" vertical="center"/>
    </xf>
    <xf numFmtId="181" fontId="5" fillId="0" borderId="0" xfId="0" applyNumberFormat="1" applyFont="1" applyFill="1" applyAlignment="1">
      <alignment horizontal="center" vertical="center"/>
    </xf>
    <xf numFmtId="0" fontId="6" fillId="0" borderId="0" xfId="6" applyFont="1" applyFill="1" applyAlignment="1">
      <alignment horizontal="center" vertical="center"/>
    </xf>
    <xf numFmtId="179" fontId="7" fillId="3" borderId="0" xfId="0" applyNumberFormat="1" applyFont="1" applyFill="1" applyAlignment="1">
      <alignment horizontal="center" vertical="center"/>
    </xf>
    <xf numFmtId="179" fontId="5" fillId="3" borderId="0" xfId="0" applyNumberFormat="1" applyFont="1" applyFill="1" applyAlignment="1">
      <alignment horizontal="center" vertical="center"/>
    </xf>
    <xf numFmtId="0" fontId="8" fillId="0" borderId="1" xfId="0" applyNumberFormat="1" applyFont="1" applyFill="1" applyBorder="1" applyAlignment="1">
      <alignment horizontal="center" vertical="center"/>
    </xf>
    <xf numFmtId="178" fontId="8" fillId="0" borderId="1" xfId="0" applyNumberFormat="1" applyFont="1" applyFill="1" applyBorder="1" applyAlignment="1">
      <alignment horizontal="center" vertical="center"/>
    </xf>
    <xf numFmtId="0" fontId="8" fillId="0" borderId="1" xfId="0" applyNumberFormat="1" applyFont="1" applyFill="1" applyBorder="1" applyAlignment="1">
      <alignment horizontal="center" vertical="center" wrapText="1"/>
    </xf>
    <xf numFmtId="179" fontId="8" fillId="3" borderId="1" xfId="0" applyNumberFormat="1" applyFont="1" applyFill="1" applyBorder="1" applyAlignment="1">
      <alignment horizontal="center" vertical="center" wrapText="1"/>
    </xf>
    <xf numFmtId="9" fontId="8" fillId="3" borderId="1" xfId="0" applyNumberFormat="1" applyFont="1" applyFill="1" applyBorder="1" applyAlignment="1">
      <alignment horizontal="center" vertical="center" wrapText="1"/>
    </xf>
    <xf numFmtId="0" fontId="8" fillId="3" borderId="1" xfId="0" applyNumberFormat="1" applyFont="1" applyFill="1" applyBorder="1" applyAlignment="1">
      <alignment horizontal="center" vertical="center" wrapText="1"/>
    </xf>
    <xf numFmtId="0" fontId="9" fillId="0" borderId="0" xfId="0" applyFont="1" applyFill="1" applyAlignment="1">
      <alignment horizontal="center" vertical="center"/>
    </xf>
    <xf numFmtId="178" fontId="7" fillId="0" borderId="0" xfId="0" applyNumberFormat="1" applyFont="1" applyFill="1" applyAlignment="1">
      <alignment horizontal="center" vertical="center"/>
    </xf>
    <xf numFmtId="0" fontId="7" fillId="0" borderId="0" xfId="0" applyNumberFormat="1" applyFont="1" applyFill="1" applyAlignment="1">
      <alignment horizontal="center" vertical="center"/>
    </xf>
    <xf numFmtId="179" fontId="7" fillId="0" borderId="0" xfId="0" applyNumberFormat="1" applyFont="1" applyFill="1" applyAlignment="1">
      <alignment horizontal="center"/>
    </xf>
    <xf numFmtId="9" fontId="7" fillId="0" borderId="0" xfId="0" applyNumberFormat="1" applyFont="1" applyFill="1" applyAlignment="1">
      <alignment horizontal="center"/>
    </xf>
    <xf numFmtId="178" fontId="7" fillId="0" borderId="0" xfId="0" applyNumberFormat="1" applyFont="1" applyAlignment="1">
      <alignment horizontal="center" vertical="center"/>
    </xf>
    <xf numFmtId="0" fontId="7" fillId="0" borderId="0" xfId="0" applyNumberFormat="1" applyFont="1" applyAlignment="1">
      <alignment horizontal="center" vertical="center"/>
    </xf>
    <xf numFmtId="179" fontId="7" fillId="0" borderId="0" xfId="0" applyNumberFormat="1" applyFont="1" applyAlignment="1">
      <alignment horizontal="center"/>
    </xf>
    <xf numFmtId="9" fontId="7" fillId="0" borderId="0" xfId="0" applyNumberFormat="1" applyFont="1" applyAlignment="1">
      <alignment horizontal="center"/>
    </xf>
    <xf numFmtId="9" fontId="7" fillId="0" borderId="0" xfId="0" applyNumberFormat="1" applyFont="1" applyAlignment="1">
      <alignment horizontal="center" vertical="center"/>
    </xf>
    <xf numFmtId="180" fontId="5" fillId="3" borderId="0" xfId="0" applyNumberFormat="1" applyFont="1" applyFill="1" applyAlignment="1">
      <alignment horizontal="center" vertical="center"/>
    </xf>
    <xf numFmtId="0" fontId="7" fillId="4" borderId="0" xfId="0" applyFont="1" applyFill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8" fillId="3" borderId="1" xfId="0" applyNumberFormat="1" applyFont="1" applyFill="1" applyBorder="1" applyAlignment="1">
      <alignment horizontal="center" vertical="center"/>
    </xf>
    <xf numFmtId="178" fontId="8" fillId="3" borderId="1" xfId="0" applyNumberFormat="1" applyFont="1" applyFill="1" applyBorder="1" applyAlignment="1">
      <alignment horizontal="center" vertical="center" wrapText="1"/>
    </xf>
    <xf numFmtId="180" fontId="8" fillId="3" borderId="1" xfId="0" applyNumberFormat="1" applyFont="1" applyFill="1" applyBorder="1" applyAlignment="1">
      <alignment horizontal="center" vertical="center"/>
    </xf>
    <xf numFmtId="0" fontId="8" fillId="4" borderId="1" xfId="0" applyNumberFormat="1" applyFont="1" applyFill="1" applyBorder="1" applyAlignment="1">
      <alignment horizontal="center" vertical="center"/>
    </xf>
    <xf numFmtId="10" fontId="7" fillId="0" borderId="0" xfId="0" applyNumberFormat="1" applyFont="1" applyFill="1" applyAlignment="1">
      <alignment horizontal="center"/>
    </xf>
    <xf numFmtId="178" fontId="7" fillId="0" borderId="0" xfId="0" applyNumberFormat="1" applyFont="1" applyFill="1" applyAlignment="1">
      <alignment horizontal="center"/>
    </xf>
    <xf numFmtId="180" fontId="7" fillId="0" borderId="0" xfId="0" applyNumberFormat="1" applyFont="1" applyFill="1" applyAlignment="1">
      <alignment horizontal="center" vertical="center"/>
    </xf>
    <xf numFmtId="10" fontId="5" fillId="4" borderId="0" xfId="0" applyNumberFormat="1" applyFont="1" applyFill="1" applyAlignment="1">
      <alignment horizontal="center" vertical="center"/>
    </xf>
    <xf numFmtId="179" fontId="5" fillId="4" borderId="0" xfId="0" applyNumberFormat="1" applyFont="1" applyFill="1" applyAlignment="1">
      <alignment horizontal="center" vertical="center"/>
    </xf>
    <xf numFmtId="10" fontId="8" fillId="4" borderId="1" xfId="0" applyNumberFormat="1" applyFont="1" applyFill="1" applyBorder="1" applyAlignment="1">
      <alignment horizontal="center" vertical="center" wrapText="1"/>
    </xf>
    <xf numFmtId="179" fontId="8" fillId="4" borderId="1" xfId="0" applyNumberFormat="1" applyFont="1" applyFill="1" applyBorder="1" applyAlignment="1">
      <alignment horizontal="center" vertical="center" wrapText="1"/>
    </xf>
    <xf numFmtId="182" fontId="8" fillId="4" borderId="1" xfId="0" applyNumberFormat="1" applyFont="1" applyFill="1" applyBorder="1" applyAlignment="1">
      <alignment horizontal="center" vertical="center"/>
    </xf>
    <xf numFmtId="10" fontId="8" fillId="4" borderId="1" xfId="0" applyNumberFormat="1" applyFont="1" applyFill="1" applyBorder="1" applyAlignment="1">
      <alignment horizontal="center" vertical="center"/>
    </xf>
    <xf numFmtId="179" fontId="8" fillId="4" borderId="1" xfId="0" applyNumberFormat="1" applyFont="1" applyFill="1" applyBorder="1" applyAlignment="1">
      <alignment horizontal="center" vertical="center"/>
    </xf>
    <xf numFmtId="178" fontId="8" fillId="0" borderId="1" xfId="0" applyNumberFormat="1" applyFont="1" applyFill="1" applyBorder="1" applyAlignment="1">
      <alignment horizontal="center" vertical="center" wrapText="1"/>
    </xf>
    <xf numFmtId="0" fontId="7" fillId="5" borderId="0" xfId="0" applyFont="1" applyFill="1" applyAlignment="1">
      <alignment horizontal="center" vertical="center"/>
    </xf>
    <xf numFmtId="0" fontId="7" fillId="6" borderId="0" xfId="0" applyFont="1" applyFill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10" fontId="8" fillId="0" borderId="1" xfId="0" applyNumberFormat="1" applyFont="1" applyFill="1" applyBorder="1" applyAlignment="1">
      <alignment horizontal="center" vertical="center" wrapText="1"/>
    </xf>
    <xf numFmtId="181" fontId="8" fillId="7" borderId="1" xfId="0" applyNumberFormat="1" applyFont="1" applyFill="1" applyBorder="1" applyAlignment="1">
      <alignment horizontal="center" vertical="center" wrapText="1"/>
    </xf>
    <xf numFmtId="179" fontId="8" fillId="0" borderId="2" xfId="0" applyNumberFormat="1" applyFont="1" applyFill="1" applyBorder="1" applyAlignment="1">
      <alignment horizontal="center" vertical="center" wrapText="1"/>
    </xf>
    <xf numFmtId="0" fontId="8" fillId="5" borderId="3" xfId="0" applyNumberFormat="1" applyFont="1" applyFill="1" applyBorder="1" applyAlignment="1">
      <alignment horizontal="center" vertical="center" wrapText="1"/>
    </xf>
    <xf numFmtId="0" fontId="7" fillId="6" borderId="3" xfId="0" applyFont="1" applyFill="1" applyBorder="1" applyAlignment="1">
      <alignment horizontal="center" vertical="center"/>
    </xf>
    <xf numFmtId="0" fontId="7" fillId="0" borderId="0" xfId="0" applyNumberFormat="1" applyFont="1" applyFill="1" applyAlignment="1">
      <alignment horizontal="center"/>
    </xf>
    <xf numFmtId="0" fontId="7" fillId="0" borderId="0" xfId="0" applyFont="1" applyFill="1" applyAlignment="1">
      <alignment horizontal="center" vertical="center"/>
    </xf>
    <xf numFmtId="179" fontId="7" fillId="0" borderId="0" xfId="0" applyNumberFormat="1" applyFont="1" applyFill="1" applyAlignment="1">
      <alignment horizontal="center" vertical="center"/>
    </xf>
    <xf numFmtId="179" fontId="10" fillId="0" borderId="0" xfId="0" applyNumberFormat="1" applyFont="1" applyFill="1">
      <alignment vertical="center"/>
    </xf>
    <xf numFmtId="0" fontId="0" fillId="0" borderId="0" xfId="0" applyFill="1">
      <alignment vertical="center"/>
    </xf>
    <xf numFmtId="178" fontId="0" fillId="0" borderId="0" xfId="0" applyNumberFormat="1" applyFill="1">
      <alignment vertical="center"/>
    </xf>
    <xf numFmtId="0" fontId="11" fillId="0" borderId="0" xfId="0" applyFont="1" applyAlignment="1">
      <alignment horizontal="center" vertical="center"/>
    </xf>
    <xf numFmtId="0" fontId="8" fillId="0" borderId="3" xfId="0" applyFont="1" applyFill="1" applyBorder="1" applyAlignment="1">
      <alignment horizontal="center" vertical="center" wrapText="1"/>
    </xf>
    <xf numFmtId="0" fontId="8" fillId="3" borderId="3" xfId="0" applyFont="1" applyFill="1" applyBorder="1" applyAlignment="1">
      <alignment horizontal="center" vertical="center" wrapText="1"/>
    </xf>
    <xf numFmtId="10" fontId="8" fillId="3" borderId="3" xfId="0" applyNumberFormat="1" applyFont="1" applyFill="1" applyBorder="1" applyAlignment="1">
      <alignment horizontal="center" vertical="center" wrapText="1"/>
    </xf>
    <xf numFmtId="179" fontId="8" fillId="0" borderId="3" xfId="0" applyNumberFormat="1" applyFont="1" applyFill="1" applyBorder="1" applyAlignment="1">
      <alignment horizontal="center" vertical="center" wrapText="1"/>
    </xf>
    <xf numFmtId="58" fontId="12" fillId="0" borderId="3" xfId="0" applyNumberFormat="1" applyFont="1" applyFill="1" applyBorder="1" applyAlignment="1">
      <alignment horizontal="center" vertical="center"/>
    </xf>
    <xf numFmtId="0" fontId="12" fillId="0" borderId="3" xfId="0" applyFont="1" applyFill="1" applyBorder="1" applyAlignment="1">
      <alignment horizontal="center" vertical="center"/>
    </xf>
    <xf numFmtId="9" fontId="12" fillId="0" borderId="3" xfId="0" applyNumberFormat="1" applyFont="1" applyFill="1" applyBorder="1" applyAlignment="1" applyProtection="1">
      <alignment horizontal="center" vertical="center"/>
    </xf>
    <xf numFmtId="9" fontId="12" fillId="0" borderId="3" xfId="0" applyNumberFormat="1" applyFont="1" applyFill="1" applyBorder="1" applyAlignment="1">
      <alignment horizontal="center" vertical="center"/>
    </xf>
    <xf numFmtId="179" fontId="12" fillId="0" borderId="3" xfId="0" applyNumberFormat="1" applyFont="1" applyFill="1" applyBorder="1" applyAlignment="1">
      <alignment horizontal="center" vertical="center"/>
    </xf>
    <xf numFmtId="58" fontId="12" fillId="0" borderId="4" xfId="0" applyNumberFormat="1" applyFont="1" applyFill="1" applyBorder="1" applyAlignment="1">
      <alignment horizontal="center" vertical="center"/>
    </xf>
    <xf numFmtId="58" fontId="12" fillId="0" borderId="5" xfId="0" applyNumberFormat="1" applyFont="1" applyFill="1" applyBorder="1" applyAlignment="1">
      <alignment horizontal="center" vertical="center"/>
    </xf>
    <xf numFmtId="58" fontId="12" fillId="0" borderId="6" xfId="0" applyNumberFormat="1" applyFont="1" applyFill="1" applyBorder="1" applyAlignment="1">
      <alignment horizontal="center" vertical="center"/>
    </xf>
    <xf numFmtId="58" fontId="12" fillId="0" borderId="7" xfId="0" applyNumberFormat="1" applyFont="1" applyFill="1" applyBorder="1" applyAlignment="1">
      <alignment horizontal="center" vertical="center"/>
    </xf>
    <xf numFmtId="0" fontId="0" fillId="0" borderId="0" xfId="0" applyFill="1" applyAlignment="1">
      <alignment vertical="center"/>
    </xf>
    <xf numFmtId="58" fontId="12" fillId="0" borderId="8" xfId="0" applyNumberFormat="1" applyFont="1" applyFill="1" applyBorder="1" applyAlignment="1">
      <alignment horizontal="center" vertical="center"/>
    </xf>
    <xf numFmtId="58" fontId="12" fillId="0" borderId="0" xfId="0" applyNumberFormat="1" applyFont="1" applyFill="1" applyAlignment="1">
      <alignment horizontal="center" vertical="center"/>
    </xf>
    <xf numFmtId="0" fontId="0" fillId="0" borderId="0" xfId="0" applyAlignment="1">
      <alignment vertical="center"/>
    </xf>
    <xf numFmtId="179" fontId="8" fillId="3" borderId="3" xfId="0" applyNumberFormat="1" applyFont="1" applyFill="1" applyBorder="1" applyAlignment="1">
      <alignment horizontal="center" vertical="center" wrapText="1"/>
    </xf>
    <xf numFmtId="10" fontId="8" fillId="0" borderId="3" xfId="0" applyNumberFormat="1" applyFont="1" applyFill="1" applyBorder="1" applyAlignment="1">
      <alignment horizontal="center" vertical="center" wrapText="1"/>
    </xf>
    <xf numFmtId="179" fontId="12" fillId="0" borderId="3" xfId="0" applyNumberFormat="1" applyFont="1" applyFill="1" applyBorder="1" applyAlignment="1" applyProtection="1">
      <alignment horizontal="center" vertical="center"/>
    </xf>
    <xf numFmtId="10" fontId="12" fillId="0" borderId="3" xfId="0" applyNumberFormat="1" applyFont="1" applyFill="1" applyBorder="1" applyAlignment="1" applyProtection="1">
      <alignment horizontal="center" vertical="center"/>
    </xf>
    <xf numFmtId="179" fontId="11" fillId="0" borderId="0" xfId="0" applyNumberFormat="1" applyFont="1" applyFill="1" applyAlignment="1">
      <alignment horizontal="center" vertical="center"/>
    </xf>
    <xf numFmtId="0" fontId="11" fillId="0" borderId="0" xfId="0" applyFont="1" applyFill="1" applyAlignment="1">
      <alignment horizontal="center" vertical="center"/>
    </xf>
    <xf numFmtId="0" fontId="8" fillId="3" borderId="3" xfId="0" applyNumberFormat="1" applyFont="1" applyFill="1" applyBorder="1" applyAlignment="1">
      <alignment horizontal="center" vertical="center" wrapText="1"/>
    </xf>
    <xf numFmtId="179" fontId="13" fillId="0" borderId="3" xfId="0" applyNumberFormat="1" applyFont="1" applyFill="1" applyBorder="1" applyAlignment="1">
      <alignment horizontal="center" vertical="center" wrapText="1"/>
    </xf>
    <xf numFmtId="180" fontId="14" fillId="0" borderId="3" xfId="0" applyNumberFormat="1" applyFont="1" applyBorder="1" applyAlignment="1">
      <alignment horizontal="center" vertical="center" wrapText="1"/>
    </xf>
    <xf numFmtId="10" fontId="12" fillId="0" borderId="3" xfId="0" applyNumberFormat="1" applyFont="1" applyFill="1" applyBorder="1" applyAlignment="1">
      <alignment horizontal="center" vertical="center"/>
    </xf>
    <xf numFmtId="0" fontId="12" fillId="0" borderId="3" xfId="0" applyNumberFormat="1" applyFont="1" applyFill="1" applyBorder="1" applyAlignment="1">
      <alignment horizontal="center" vertical="center"/>
    </xf>
    <xf numFmtId="179" fontId="15" fillId="0" borderId="4" xfId="0" applyNumberFormat="1" applyFont="1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179" fontId="15" fillId="0" borderId="9" xfId="0" applyNumberFormat="1" applyFont="1" applyFill="1" applyBorder="1" applyAlignment="1">
      <alignment horizontal="center" vertical="center"/>
    </xf>
    <xf numFmtId="0" fontId="0" fillId="0" borderId="4" xfId="0" applyFill="1" applyBorder="1" applyAlignment="1">
      <alignment horizontal="center" vertical="center"/>
    </xf>
    <xf numFmtId="58" fontId="12" fillId="0" borderId="10" xfId="0" applyNumberFormat="1" applyFont="1" applyFill="1" applyBorder="1" applyAlignment="1">
      <alignment horizontal="center" vertical="center"/>
    </xf>
    <xf numFmtId="0" fontId="0" fillId="0" borderId="7" xfId="0" applyFill="1" applyBorder="1" applyAlignment="1">
      <alignment horizontal="center" vertical="center"/>
    </xf>
    <xf numFmtId="178" fontId="9" fillId="0" borderId="0" xfId="0" applyNumberFormat="1" applyFont="1" applyFill="1">
      <alignment vertical="center"/>
    </xf>
    <xf numFmtId="179" fontId="15" fillId="0" borderId="3" xfId="0" applyNumberFormat="1" applyFont="1" applyFill="1" applyBorder="1" applyAlignment="1">
      <alignment horizontal="center" vertical="center"/>
    </xf>
    <xf numFmtId="58" fontId="12" fillId="0" borderId="11" xfId="0" applyNumberFormat="1" applyFont="1" applyFill="1" applyBorder="1" applyAlignment="1">
      <alignment horizontal="center" vertical="center"/>
    </xf>
    <xf numFmtId="179" fontId="15" fillId="0" borderId="7" xfId="0" applyNumberFormat="1" applyFont="1" applyFill="1" applyBorder="1" applyAlignment="1">
      <alignment horizontal="center" vertical="center"/>
    </xf>
    <xf numFmtId="0" fontId="0" fillId="0" borderId="0" xfId="0" applyFill="1" applyAlignment="1">
      <alignment horizontal="center" vertical="center"/>
    </xf>
    <xf numFmtId="179" fontId="0" fillId="0" borderId="0" xfId="0" applyNumberFormat="1" applyFill="1" applyAlignment="1">
      <alignment horizontal="center" vertical="center"/>
    </xf>
    <xf numFmtId="180" fontId="0" fillId="0" borderId="0" xfId="0" applyNumberFormat="1" applyFill="1" applyAlignment="1">
      <alignment horizontal="center" vertical="center"/>
    </xf>
    <xf numFmtId="0" fontId="9" fillId="8" borderId="0" xfId="0" applyFont="1" applyFill="1" applyAlignment="1">
      <alignment horizontal="center" vertical="center"/>
    </xf>
    <xf numFmtId="0" fontId="9" fillId="0" borderId="0" xfId="0" applyFont="1" applyFill="1" applyAlignment="1">
      <alignment horizontal="center" vertical="center" wrapText="1"/>
    </xf>
    <xf numFmtId="9" fontId="9" fillId="0" borderId="0" xfId="0" applyNumberFormat="1" applyFont="1" applyFill="1" applyAlignment="1">
      <alignment horizontal="center" vertical="center"/>
    </xf>
    <xf numFmtId="9" fontId="0" fillId="0" borderId="0" xfId="0" applyNumberFormat="1" applyFill="1" applyAlignment="1">
      <alignment horizontal="center" vertical="center"/>
    </xf>
    <xf numFmtId="0" fontId="9" fillId="0" borderId="0" xfId="0" applyNumberFormat="1" applyFont="1" applyFill="1" applyAlignment="1">
      <alignment horizontal="center" vertical="center"/>
    </xf>
    <xf numFmtId="0" fontId="14" fillId="0" borderId="0" xfId="0" applyFont="1" applyFill="1" applyAlignment="1">
      <alignment horizontal="center" vertical="center" wrapText="1"/>
    </xf>
    <xf numFmtId="179" fontId="9" fillId="0" borderId="0" xfId="0" applyNumberFormat="1" applyFont="1" applyFill="1" applyAlignment="1">
      <alignment horizontal="center" vertical="center" wrapText="1"/>
    </xf>
    <xf numFmtId="0" fontId="16" fillId="0" borderId="0" xfId="0" applyFont="1" applyFill="1" applyAlignment="1">
      <alignment horizontal="center" vertical="center"/>
    </xf>
    <xf numFmtId="179" fontId="9" fillId="0" borderId="0" xfId="0" applyNumberFormat="1" applyFont="1" applyFill="1" applyAlignment="1">
      <alignment horizontal="center" vertical="center"/>
    </xf>
    <xf numFmtId="180" fontId="9" fillId="0" borderId="0" xfId="0" applyNumberFormat="1" applyFont="1" applyFill="1" applyAlignment="1">
      <alignment horizontal="center" vertical="center" wrapText="1"/>
    </xf>
    <xf numFmtId="0" fontId="14" fillId="7" borderId="0" xfId="0" applyFont="1" applyFill="1" applyAlignment="1">
      <alignment horizontal="center" vertical="center" wrapText="1"/>
    </xf>
    <xf numFmtId="0" fontId="9" fillId="9" borderId="0" xfId="0" applyFont="1" applyFill="1" applyAlignment="1">
      <alignment horizontal="center" vertical="center"/>
    </xf>
    <xf numFmtId="178" fontId="0" fillId="0" borderId="0" xfId="0" applyNumberFormat="1" applyFill="1" applyBorder="1">
      <alignment vertical="center"/>
    </xf>
    <xf numFmtId="179" fontId="12" fillId="0" borderId="4" xfId="0" applyNumberFormat="1" applyFont="1" applyFill="1" applyBorder="1" applyAlignment="1">
      <alignment horizontal="center" vertical="center"/>
    </xf>
    <xf numFmtId="179" fontId="12" fillId="0" borderId="7" xfId="0" applyNumberFormat="1" applyFont="1" applyFill="1" applyBorder="1" applyAlignment="1">
      <alignment horizontal="center" vertical="center"/>
    </xf>
    <xf numFmtId="178" fontId="0" fillId="0" borderId="3" xfId="0" applyNumberFormat="1" applyFill="1" applyBorder="1">
      <alignment vertical="center"/>
    </xf>
    <xf numFmtId="180" fontId="14" fillId="0" borderId="5" xfId="0" applyNumberFormat="1" applyFont="1" applyBorder="1" applyAlignment="1">
      <alignment horizontal="center" vertical="center" wrapText="1"/>
    </xf>
    <xf numFmtId="178" fontId="9" fillId="0" borderId="3" xfId="0" applyNumberFormat="1" applyFont="1" applyFill="1" applyBorder="1">
      <alignment vertical="center"/>
    </xf>
    <xf numFmtId="0" fontId="0" fillId="0" borderId="5" xfId="0" applyFill="1" applyBorder="1" applyAlignment="1">
      <alignment horizontal="center" vertical="center"/>
    </xf>
    <xf numFmtId="178" fontId="0" fillId="0" borderId="3" xfId="0" applyNumberFormat="1" applyFill="1" applyBorder="1" applyAlignment="1">
      <alignment horizontal="center" vertical="center"/>
    </xf>
    <xf numFmtId="0" fontId="17" fillId="0" borderId="0" xfId="6" applyFill="1" applyAlignment="1">
      <alignment horizontal="center" vertical="center"/>
    </xf>
    <xf numFmtId="10" fontId="5" fillId="3" borderId="0" xfId="0" applyNumberFormat="1" applyFont="1" applyFill="1" applyAlignment="1">
      <alignment horizontal="center" vertical="center"/>
    </xf>
    <xf numFmtId="10" fontId="8" fillId="3" borderId="1" xfId="0" applyNumberFormat="1" applyFont="1" applyFill="1" applyBorder="1" applyAlignment="1">
      <alignment horizontal="center" vertical="center" wrapText="1"/>
    </xf>
    <xf numFmtId="0" fontId="8" fillId="4" borderId="1" xfId="0" applyNumberFormat="1" applyFont="1" applyFill="1" applyBorder="1" applyAlignment="1">
      <alignment horizontal="center" vertical="center" wrapText="1"/>
    </xf>
    <xf numFmtId="0" fontId="8" fillId="10" borderId="1" xfId="0" applyNumberFormat="1" applyFont="1" applyFill="1" applyBorder="1" applyAlignment="1">
      <alignment horizontal="center" vertical="center" wrapText="1"/>
    </xf>
    <xf numFmtId="182" fontId="8" fillId="4" borderId="1" xfId="0" applyNumberFormat="1" applyFont="1" applyFill="1" applyBorder="1" applyAlignment="1">
      <alignment horizontal="center" vertical="center" wrapText="1"/>
    </xf>
    <xf numFmtId="10" fontId="8" fillId="10" borderId="2" xfId="0" applyNumberFormat="1" applyFont="1" applyFill="1" applyBorder="1" applyAlignment="1">
      <alignment horizontal="center" vertical="center" wrapText="1"/>
    </xf>
    <xf numFmtId="179" fontId="8" fillId="10" borderId="2" xfId="0" applyNumberFormat="1" applyFont="1" applyFill="1" applyBorder="1" applyAlignment="1">
      <alignment horizontal="center" vertical="center" wrapText="1"/>
    </xf>
    <xf numFmtId="0" fontId="5" fillId="0" borderId="0" xfId="0" applyFont="1" applyFill="1" applyAlignment="1">
      <alignment horizontal="left" vertical="center"/>
    </xf>
    <xf numFmtId="0" fontId="7" fillId="6" borderId="0" xfId="0" applyFont="1" applyFill="1" applyAlignment="1">
      <alignment horizontal="left" vertical="center"/>
    </xf>
    <xf numFmtId="0" fontId="7" fillId="6" borderId="3" xfId="0" applyFont="1" applyFill="1" applyBorder="1" applyAlignment="1">
      <alignment horizontal="left" vertical="center"/>
    </xf>
    <xf numFmtId="0" fontId="7" fillId="0" borderId="0" xfId="0" applyFont="1" applyAlignment="1">
      <alignment horizontal="center" vertical="center"/>
    </xf>
    <xf numFmtId="0" fontId="17" fillId="0" borderId="0" xfId="6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7" Type="http://schemas.openxmlformats.org/officeDocument/2006/relationships/sharedStrings" Target="sharedStrings.xml"/><Relationship Id="rId16" Type="http://schemas.openxmlformats.org/officeDocument/2006/relationships/styles" Target="styles.xml"/><Relationship Id="rId15" Type="http://schemas.openxmlformats.org/officeDocument/2006/relationships/theme" Target="theme/theme1.xml"/><Relationship Id="rId14" Type="http://schemas.openxmlformats.org/officeDocument/2006/relationships/customXml" Target="../customXml/item3.xml"/><Relationship Id="rId13" Type="http://schemas.openxmlformats.org/officeDocument/2006/relationships/customXml" Target="../customXml/item2.xml"/><Relationship Id="rId12" Type="http://schemas.openxmlformats.org/officeDocument/2006/relationships/customXml" Target="../customXml/item1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1101725</xdr:colOff>
      <xdr:row>13</xdr:row>
      <xdr:rowOff>114300</xdr:rowOff>
    </xdr:from>
    <xdr:to>
      <xdr:col>6</xdr:col>
      <xdr:colOff>311150</xdr:colOff>
      <xdr:row>36</xdr:row>
      <xdr:rowOff>98425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101725" y="2590800"/>
          <a:ext cx="5581650" cy="436562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amazon.com/dp/B07ZQPKTVV" TargetMode="External"/><Relationship Id="rId1" Type="http://schemas.openxmlformats.org/officeDocument/2006/relationships/hyperlink" Target="https://www.amazon.com/Best-Sellers-Health-Household-Back-Braces/zgbs/hpc/5006367011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amazon.com/dp/B07ZQPKTVV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hyperlink" Target="https://Amazon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4:V18"/>
  <sheetViews>
    <sheetView workbookViewId="0">
      <selection activeCell="Q26" sqref="Q26"/>
    </sheetView>
  </sheetViews>
  <sheetFormatPr defaultColWidth="9" defaultRowHeight="13.5"/>
  <sheetData>
    <row r="4" spans="1:22">
      <c r="A4" s="87" t="s">
        <v>0</v>
      </c>
      <c r="B4" s="87"/>
      <c r="C4" s="87"/>
      <c r="D4" s="87"/>
      <c r="E4" s="87"/>
      <c r="F4" s="87"/>
      <c r="G4" s="87"/>
      <c r="H4" s="87"/>
      <c r="I4" s="87"/>
      <c r="J4" s="87"/>
      <c r="K4" s="87"/>
      <c r="L4" s="87"/>
      <c r="M4" s="87"/>
      <c r="N4" s="87"/>
      <c r="O4" s="87"/>
      <c r="P4" s="87"/>
      <c r="Q4" s="87"/>
      <c r="R4" s="87"/>
      <c r="S4" s="87"/>
      <c r="T4" s="87"/>
      <c r="U4" s="87"/>
      <c r="V4" s="87"/>
    </row>
    <row r="5" spans="1:22">
      <c r="A5" s="87"/>
      <c r="B5" s="87"/>
      <c r="C5" s="87"/>
      <c r="D5" s="87"/>
      <c r="E5" s="87"/>
      <c r="F5" s="87"/>
      <c r="G5" s="87"/>
      <c r="H5" s="87"/>
      <c r="I5" s="87"/>
      <c r="J5" s="87"/>
      <c r="K5" s="87"/>
      <c r="L5" s="87"/>
      <c r="M5" s="87"/>
      <c r="N5" s="87"/>
      <c r="O5" s="87"/>
      <c r="P5" s="87"/>
      <c r="Q5" s="87"/>
      <c r="R5" s="87"/>
      <c r="S5" s="87"/>
      <c r="T5" s="87"/>
      <c r="U5" s="87"/>
      <c r="V5" s="87"/>
    </row>
    <row r="6" spans="1:22">
      <c r="A6" s="87"/>
      <c r="B6" s="87"/>
      <c r="C6" s="87"/>
      <c r="D6" s="87"/>
      <c r="E6" s="87"/>
      <c r="F6" s="87"/>
      <c r="G6" s="87"/>
      <c r="H6" s="87"/>
      <c r="I6" s="87"/>
      <c r="J6" s="87"/>
      <c r="K6" s="87"/>
      <c r="L6" s="87"/>
      <c r="M6" s="87"/>
      <c r="N6" s="87"/>
      <c r="O6" s="87"/>
      <c r="P6" s="87"/>
      <c r="Q6" s="87"/>
      <c r="R6" s="87"/>
      <c r="S6" s="87"/>
      <c r="T6" s="87"/>
      <c r="U6" s="87"/>
      <c r="V6" s="87"/>
    </row>
    <row r="7" spans="1:22">
      <c r="A7" s="87"/>
      <c r="B7" s="87"/>
      <c r="C7" s="87"/>
      <c r="D7" s="87"/>
      <c r="E7" s="87"/>
      <c r="F7" s="87"/>
      <c r="G7" s="87"/>
      <c r="H7" s="87"/>
      <c r="I7" s="87"/>
      <c r="J7" s="87"/>
      <c r="K7" s="87"/>
      <c r="L7" s="87"/>
      <c r="M7" s="87"/>
      <c r="N7" s="87"/>
      <c r="O7" s="87"/>
      <c r="P7" s="87"/>
      <c r="Q7" s="87"/>
      <c r="R7" s="87"/>
      <c r="S7" s="87"/>
      <c r="T7" s="87"/>
      <c r="U7" s="87"/>
      <c r="V7" s="87"/>
    </row>
    <row r="9" spans="1:22">
      <c r="A9" s="144" t="s">
        <v>1</v>
      </c>
      <c r="B9" s="87"/>
      <c r="C9" s="87"/>
      <c r="D9" s="87"/>
      <c r="E9" s="87"/>
      <c r="F9" s="87"/>
      <c r="G9" s="87"/>
      <c r="H9" s="87"/>
      <c r="I9" s="87"/>
      <c r="J9" s="87"/>
      <c r="K9" s="87"/>
      <c r="L9" s="87"/>
      <c r="M9" s="87"/>
      <c r="N9" s="87"/>
      <c r="O9" s="87"/>
      <c r="P9" s="87"/>
      <c r="Q9" s="87"/>
      <c r="R9" s="87"/>
      <c r="S9" s="87"/>
      <c r="T9" s="87"/>
      <c r="U9" s="87"/>
      <c r="V9" s="87"/>
    </row>
    <row r="10" spans="1:22">
      <c r="A10" s="87"/>
      <c r="B10" s="87"/>
      <c r="C10" s="87"/>
      <c r="D10" s="87"/>
      <c r="E10" s="87"/>
      <c r="F10" s="87"/>
      <c r="G10" s="87"/>
      <c r="H10" s="87"/>
      <c r="I10" s="87"/>
      <c r="J10" s="87"/>
      <c r="K10" s="87"/>
      <c r="L10" s="87"/>
      <c r="M10" s="87"/>
      <c r="N10" s="87"/>
      <c r="O10" s="87"/>
      <c r="P10" s="87"/>
      <c r="Q10" s="87"/>
      <c r="R10" s="87"/>
      <c r="S10" s="87"/>
      <c r="T10" s="87"/>
      <c r="U10" s="87"/>
      <c r="V10" s="87"/>
    </row>
    <row r="11" spans="1:22">
      <c r="A11" s="87"/>
      <c r="B11" s="87"/>
      <c r="C11" s="87"/>
      <c r="D11" s="87"/>
      <c r="E11" s="87"/>
      <c r="F11" s="87"/>
      <c r="G11" s="87"/>
      <c r="H11" s="87"/>
      <c r="I11" s="87"/>
      <c r="J11" s="87"/>
      <c r="K11" s="87"/>
      <c r="L11" s="87"/>
      <c r="M11" s="87"/>
      <c r="N11" s="87"/>
      <c r="O11" s="87"/>
      <c r="P11" s="87"/>
      <c r="Q11" s="87"/>
      <c r="R11" s="87"/>
      <c r="S11" s="87"/>
      <c r="T11" s="87"/>
      <c r="U11" s="87"/>
      <c r="V11" s="87"/>
    </row>
    <row r="12" spans="1:22">
      <c r="A12" s="87"/>
      <c r="B12" s="87"/>
      <c r="C12" s="87"/>
      <c r="D12" s="87"/>
      <c r="E12" s="87"/>
      <c r="F12" s="87"/>
      <c r="G12" s="87"/>
      <c r="H12" s="87"/>
      <c r="I12" s="87"/>
      <c r="J12" s="87"/>
      <c r="K12" s="87"/>
      <c r="L12" s="87"/>
      <c r="M12" s="87"/>
      <c r="N12" s="87"/>
      <c r="O12" s="87"/>
      <c r="P12" s="87"/>
      <c r="Q12" s="87"/>
      <c r="R12" s="87"/>
      <c r="S12" s="87"/>
      <c r="T12" s="87"/>
      <c r="U12" s="87"/>
      <c r="V12" s="87"/>
    </row>
    <row r="14" spans="1:22">
      <c r="A14" s="87" t="s">
        <v>2</v>
      </c>
      <c r="B14" s="87"/>
      <c r="C14" s="87"/>
      <c r="D14" s="87"/>
      <c r="E14" s="87"/>
      <c r="F14" s="87"/>
      <c r="G14" s="87"/>
      <c r="H14" s="87"/>
      <c r="I14" s="87"/>
      <c r="J14" s="87"/>
      <c r="K14" s="87"/>
      <c r="L14" s="87"/>
      <c r="M14" s="87"/>
      <c r="N14" s="87"/>
      <c r="O14" s="87"/>
      <c r="P14" s="87"/>
      <c r="Q14" s="87"/>
      <c r="R14" s="87"/>
      <c r="S14" s="87"/>
      <c r="T14" s="87"/>
      <c r="U14" s="87"/>
      <c r="V14" s="87"/>
    </row>
    <row r="15" spans="1:22">
      <c r="A15" s="144" t="s">
        <v>3</v>
      </c>
      <c r="B15" s="87"/>
      <c r="C15" s="87"/>
      <c r="D15" s="87"/>
      <c r="E15" s="87"/>
      <c r="F15" s="87"/>
      <c r="G15" s="87"/>
      <c r="H15" s="87"/>
      <c r="I15" s="87"/>
      <c r="J15" s="87"/>
      <c r="K15" s="87"/>
      <c r="L15" s="87"/>
      <c r="M15" s="87"/>
      <c r="N15" s="87"/>
      <c r="O15" s="87"/>
      <c r="P15" s="87"/>
      <c r="Q15" s="87"/>
      <c r="R15" s="87"/>
      <c r="S15" s="87"/>
      <c r="T15" s="87"/>
      <c r="U15" s="87"/>
      <c r="V15" s="87"/>
    </row>
    <row r="16" spans="1:22">
      <c r="A16" s="87"/>
      <c r="B16" s="87"/>
      <c r="C16" s="87"/>
      <c r="D16" s="87"/>
      <c r="E16" s="87"/>
      <c r="F16" s="87"/>
      <c r="G16" s="87"/>
      <c r="H16" s="87"/>
      <c r="I16" s="87"/>
      <c r="J16" s="87"/>
      <c r="K16" s="87"/>
      <c r="L16" s="87"/>
      <c r="M16" s="87"/>
      <c r="N16" s="87"/>
      <c r="O16" s="87"/>
      <c r="P16" s="87"/>
      <c r="Q16" s="87"/>
      <c r="R16" s="87"/>
      <c r="S16" s="87"/>
      <c r="T16" s="87"/>
      <c r="U16" s="87"/>
      <c r="V16" s="87"/>
    </row>
    <row r="17" spans="1:22">
      <c r="A17" s="87"/>
      <c r="B17" s="87"/>
      <c r="C17" s="87"/>
      <c r="D17" s="87"/>
      <c r="E17" s="87"/>
      <c r="F17" s="87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7"/>
      <c r="V17" s="87"/>
    </row>
    <row r="18" spans="1:22">
      <c r="A18" s="87"/>
      <c r="B18" s="87"/>
      <c r="C18" s="87"/>
      <c r="D18" s="87"/>
      <c r="E18" s="87"/>
      <c r="F18" s="87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7"/>
      <c r="V18" s="87"/>
    </row>
  </sheetData>
  <mergeCells count="4">
    <mergeCell ref="A14:V14"/>
    <mergeCell ref="A4:V7"/>
    <mergeCell ref="A9:V12"/>
    <mergeCell ref="A15:V18"/>
  </mergeCells>
  <hyperlinks>
    <hyperlink ref="A9" r:id="rId1" display="https://www.amazon.com/Best-Sellers-Health-Household-Back-Braces/zgbs/hpc/5006367011"/>
    <hyperlink ref="A15" r:id="rId2" display="https://www.amazon.com/dp/B07ZQPKTVV"/>
  </hyperlink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J3"/>
  <sheetViews>
    <sheetView workbookViewId="0">
      <pane ySplit="3" topLeftCell="A4" activePane="bottomLeft" state="frozen"/>
      <selection/>
      <selection pane="bottomLeft" activeCell="A1" sqref="A1:AG1"/>
    </sheetView>
  </sheetViews>
  <sheetFormatPr defaultColWidth="9" defaultRowHeight="13.5" outlineLevelRow="2"/>
  <cols>
    <col min="1" max="1" width="7.375" customWidth="1"/>
    <col min="2" max="2" width="6.125" customWidth="1"/>
    <col min="3" max="3" width="6.625" customWidth="1"/>
    <col min="4" max="8" width="5.875" customWidth="1"/>
    <col min="9" max="9" width="5.5" customWidth="1"/>
    <col min="10" max="10" width="5.75" customWidth="1"/>
    <col min="11" max="11" width="6" customWidth="1"/>
    <col min="12" max="12" width="6.375" customWidth="1"/>
    <col min="13" max="13" width="7.5" customWidth="1"/>
    <col min="14" max="14" width="6.375" customWidth="1"/>
    <col min="15" max="15" width="5.5" customWidth="1"/>
    <col min="16" max="17" width="6.125" customWidth="1"/>
    <col min="18" max="18" width="7" customWidth="1"/>
    <col min="19" max="19" width="6.125" customWidth="1"/>
    <col min="20" max="20" width="8.625" customWidth="1"/>
    <col min="21" max="21" width="6.125" customWidth="1"/>
    <col min="22" max="22" width="7.25" customWidth="1"/>
    <col min="23" max="23" width="6.375" customWidth="1"/>
    <col min="24" max="24" width="7.375" customWidth="1"/>
    <col min="25" max="25" width="6.625" customWidth="1"/>
    <col min="26" max="26" width="5.875" customWidth="1"/>
    <col min="27" max="27" width="8.125" customWidth="1"/>
    <col min="28" max="29" width="6.625" customWidth="1"/>
    <col min="30" max="30" width="6.875" customWidth="1"/>
    <col min="31" max="31" width="8.375" customWidth="1"/>
    <col min="32" max="32" width="6.625" customWidth="1"/>
    <col min="33" max="33" width="8.125" customWidth="1"/>
    <col min="34" max="34" width="18.25" customWidth="1"/>
    <col min="35" max="35" width="23.5" customWidth="1"/>
    <col min="36" max="36" width="19" customWidth="1"/>
    <col min="37" max="16384" width="12.75"/>
  </cols>
  <sheetData>
    <row r="1" s="12" customFormat="1" ht="16.5" spans="1:34">
      <c r="A1" s="132" t="s">
        <v>3</v>
      </c>
      <c r="M1" s="17"/>
      <c r="O1" s="16"/>
      <c r="R1" s="17"/>
      <c r="AH1" s="140"/>
    </row>
    <row r="2" s="12" customFormat="1" ht="16.5" spans="2:35">
      <c r="B2" s="13"/>
      <c r="D2" s="20" t="s">
        <v>4</v>
      </c>
      <c r="E2" s="20"/>
      <c r="F2" s="21"/>
      <c r="G2" s="21"/>
      <c r="H2" s="21"/>
      <c r="I2" s="21"/>
      <c r="J2" s="21"/>
      <c r="K2" s="21"/>
      <c r="L2" s="21"/>
      <c r="M2" s="133"/>
      <c r="N2" s="21"/>
      <c r="O2" s="38"/>
      <c r="P2" s="39" t="s">
        <v>5</v>
      </c>
      <c r="Q2" s="40"/>
      <c r="R2" s="48"/>
      <c r="S2" s="40"/>
      <c r="T2" s="48"/>
      <c r="U2" s="49"/>
      <c r="V2" s="40"/>
      <c r="W2" s="40"/>
      <c r="X2" s="40"/>
      <c r="Y2" s="13"/>
      <c r="AD2" s="18"/>
      <c r="AE2" s="14"/>
      <c r="AF2" s="56" t="s">
        <v>6</v>
      </c>
      <c r="AG2" s="56"/>
      <c r="AH2" s="141" t="s">
        <v>7</v>
      </c>
      <c r="AI2" s="58"/>
    </row>
    <row r="3" s="11" customFormat="1" ht="32.25" customHeight="1" spans="1:36">
      <c r="A3" s="22" t="s">
        <v>8</v>
      </c>
      <c r="B3" s="23" t="s">
        <v>9</v>
      </c>
      <c r="C3" s="24" t="s">
        <v>10</v>
      </c>
      <c r="D3" s="25" t="s">
        <v>11</v>
      </c>
      <c r="E3" s="25" t="s">
        <v>12</v>
      </c>
      <c r="F3" s="26" t="s">
        <v>13</v>
      </c>
      <c r="G3" s="26" t="s">
        <v>14</v>
      </c>
      <c r="H3" s="26" t="s">
        <v>15</v>
      </c>
      <c r="I3" s="27" t="s">
        <v>16</v>
      </c>
      <c r="J3" s="27" t="s">
        <v>17</v>
      </c>
      <c r="K3" s="27" t="s">
        <v>18</v>
      </c>
      <c r="L3" s="27" t="s">
        <v>19</v>
      </c>
      <c r="M3" s="134" t="s">
        <v>20</v>
      </c>
      <c r="N3" s="42" t="s">
        <v>21</v>
      </c>
      <c r="O3" s="43" t="s">
        <v>22</v>
      </c>
      <c r="P3" s="135" t="s">
        <v>23</v>
      </c>
      <c r="Q3" s="135" t="s">
        <v>24</v>
      </c>
      <c r="R3" s="50" t="s">
        <v>25</v>
      </c>
      <c r="S3" s="136" t="s">
        <v>26</v>
      </c>
      <c r="T3" s="50" t="s">
        <v>27</v>
      </c>
      <c r="U3" s="51" t="s">
        <v>28</v>
      </c>
      <c r="V3" s="137" t="s">
        <v>29</v>
      </c>
      <c r="W3" s="137" t="s">
        <v>30</v>
      </c>
      <c r="X3" s="44" t="s">
        <v>31</v>
      </c>
      <c r="Y3" s="55" t="s">
        <v>32</v>
      </c>
      <c r="Z3" s="24" t="s">
        <v>33</v>
      </c>
      <c r="AA3" s="59" t="s">
        <v>34</v>
      </c>
      <c r="AB3" s="138" t="s">
        <v>35</v>
      </c>
      <c r="AC3" s="61" t="s">
        <v>36</v>
      </c>
      <c r="AD3" s="139" t="s">
        <v>37</v>
      </c>
      <c r="AE3" s="61" t="s">
        <v>38</v>
      </c>
      <c r="AF3" s="62" t="s">
        <v>39</v>
      </c>
      <c r="AG3" s="62" t="s">
        <v>40</v>
      </c>
      <c r="AH3" s="142" t="s">
        <v>41</v>
      </c>
      <c r="AI3" s="63" t="s">
        <v>42</v>
      </c>
      <c r="AJ3" s="143" t="s">
        <v>43</v>
      </c>
    </row>
  </sheetData>
  <mergeCells count="5">
    <mergeCell ref="A1:AG1"/>
    <mergeCell ref="D2:O2"/>
    <mergeCell ref="P2:X2"/>
    <mergeCell ref="AF2:AG2"/>
    <mergeCell ref="AH2:AI2"/>
  </mergeCells>
  <hyperlinks>
    <hyperlink ref="A1" r:id="rId1" display="https://www.amazon.com/dp/B07ZQPKTVV" tooltip="https://www.amazon.com/dp/B07ZQPKTVV"/>
  </hyperlink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8"/>
  <sheetViews>
    <sheetView zoomScale="90" zoomScaleNormal="90" workbookViewId="0">
      <pane xSplit="1" ySplit="2" topLeftCell="B3" activePane="bottomRight" state="frozen"/>
      <selection/>
      <selection pane="topRight"/>
      <selection pane="bottomLeft"/>
      <selection pane="bottomRight" activeCell="H35" sqref="H35"/>
    </sheetView>
  </sheetViews>
  <sheetFormatPr defaultColWidth="9" defaultRowHeight="13.5" outlineLevelRow="7"/>
  <cols>
    <col min="2" max="2" width="21.5" customWidth="1"/>
    <col min="3" max="3" width="7.25" customWidth="1"/>
    <col min="4" max="4" width="7.875" customWidth="1"/>
    <col min="5" max="5" width="8.5" customWidth="1"/>
    <col min="6" max="6" width="6.5" customWidth="1"/>
    <col min="7" max="7" width="7.375" customWidth="1"/>
    <col min="8" max="10" width="7.25" customWidth="1"/>
    <col min="11" max="11" width="10.5583333333333"/>
    <col min="12" max="12" width="6.625" customWidth="1"/>
    <col min="13" max="13" width="6.25" customWidth="1"/>
    <col min="14" max="14" width="13.75" customWidth="1"/>
    <col min="15" max="15" width="8" customWidth="1"/>
    <col min="17" max="17" width="7.375" customWidth="1"/>
    <col min="18" max="18" width="7.75" customWidth="1"/>
    <col min="19" max="19" width="6.875" customWidth="1"/>
    <col min="20" max="20" width="8.75" style="67" customWidth="1"/>
    <col min="21" max="21" width="8" style="67" customWidth="1"/>
    <col min="22" max="22" width="9.125" style="67" customWidth="1"/>
    <col min="23" max="23" width="7.5" style="67" customWidth="1"/>
    <col min="24" max="24" width="13.75" style="68"/>
    <col min="25" max="25" width="7.75" style="2" customWidth="1"/>
    <col min="26" max="26" width="15.275" style="124" customWidth="1"/>
    <col min="27" max="27" width="15.05" style="68" customWidth="1"/>
    <col min="28" max="28" width="9" style="68"/>
  </cols>
  <sheetData>
    <row r="1" ht="21" spans="1:26">
      <c r="A1" s="70" t="s">
        <v>44</v>
      </c>
      <c r="B1" s="70"/>
      <c r="C1" s="70"/>
      <c r="D1" s="70"/>
      <c r="E1" s="70"/>
      <c r="F1" s="70"/>
      <c r="G1" s="70"/>
      <c r="H1" s="70"/>
      <c r="I1" s="70"/>
      <c r="J1" s="70"/>
      <c r="K1" s="70"/>
      <c r="L1" s="70"/>
      <c r="M1" s="70"/>
      <c r="N1" s="70"/>
      <c r="O1" s="70"/>
      <c r="P1" s="70"/>
      <c r="Q1" s="70"/>
      <c r="R1" s="70"/>
      <c r="S1" s="70"/>
      <c r="T1" s="92"/>
      <c r="U1" s="92"/>
      <c r="V1" s="92"/>
      <c r="W1" s="92"/>
      <c r="X1" s="93"/>
      <c r="Y1" s="70"/>
      <c r="Z1" s="127"/>
    </row>
    <row r="2" ht="47.25" customHeight="1" spans="1:26">
      <c r="A2" s="71" t="s">
        <v>8</v>
      </c>
      <c r="B2" s="71" t="s">
        <v>45</v>
      </c>
      <c r="C2" s="72" t="s">
        <v>46</v>
      </c>
      <c r="D2" s="72" t="s">
        <v>47</v>
      </c>
      <c r="E2" s="73" t="s">
        <v>48</v>
      </c>
      <c r="F2" s="74" t="s">
        <v>49</v>
      </c>
      <c r="G2" s="74" t="s">
        <v>50</v>
      </c>
      <c r="H2" s="74" t="s">
        <v>51</v>
      </c>
      <c r="I2" s="74" t="s">
        <v>52</v>
      </c>
      <c r="J2" s="74" t="s">
        <v>53</v>
      </c>
      <c r="K2" s="88" t="s">
        <v>54</v>
      </c>
      <c r="L2" s="74" t="s">
        <v>55</v>
      </c>
      <c r="M2" s="74" t="s">
        <v>56</v>
      </c>
      <c r="N2" s="74" t="s">
        <v>57</v>
      </c>
      <c r="O2" s="89" t="s">
        <v>58</v>
      </c>
      <c r="P2" s="74" t="s">
        <v>59</v>
      </c>
      <c r="Q2" s="74" t="s">
        <v>60</v>
      </c>
      <c r="R2" s="89" t="s">
        <v>61</v>
      </c>
      <c r="S2" s="94" t="s">
        <v>62</v>
      </c>
      <c r="T2" s="74" t="s">
        <v>63</v>
      </c>
      <c r="U2" s="74" t="s">
        <v>63</v>
      </c>
      <c r="V2" s="74" t="s">
        <v>64</v>
      </c>
      <c r="W2" s="74" t="s">
        <v>65</v>
      </c>
      <c r="X2" s="95" t="s">
        <v>66</v>
      </c>
      <c r="Y2" s="128" t="s">
        <v>67</v>
      </c>
      <c r="Z2" s="129" t="s">
        <v>68</v>
      </c>
    </row>
    <row r="3" ht="19" customHeight="1" spans="1:26">
      <c r="A3" s="80">
        <v>45231</v>
      </c>
      <c r="B3" s="76" t="s">
        <v>69</v>
      </c>
      <c r="C3" s="76">
        <v>12.99</v>
      </c>
      <c r="D3" s="77">
        <v>0</v>
      </c>
      <c r="E3" s="78">
        <v>0</v>
      </c>
      <c r="F3" s="79">
        <f t="shared" ref="F3:F8" si="0">SUM(C3*(1-D3-E3))</f>
        <v>12.99</v>
      </c>
      <c r="G3" s="79">
        <v>4.38</v>
      </c>
      <c r="H3" s="79">
        <f t="shared" ref="H3:H8" si="1">SUM(F3*15%)</f>
        <v>1.9485</v>
      </c>
      <c r="I3" s="79">
        <f t="shared" ref="I3:I8" si="2">SUM(F3-G3-H3)</f>
        <v>6.6615</v>
      </c>
      <c r="J3" s="90">
        <v>0.01</v>
      </c>
      <c r="K3" s="79">
        <v>0</v>
      </c>
      <c r="L3" s="79">
        <v>2.5</v>
      </c>
      <c r="M3" s="79">
        <v>0.5</v>
      </c>
      <c r="N3" s="79">
        <f t="shared" ref="N3:N8" si="3">SUM(20%*15%*F3+G3+J3+50%*L3+M3+1.46)</f>
        <v>7.9897</v>
      </c>
      <c r="O3" s="91">
        <v>0.15</v>
      </c>
      <c r="P3" s="79">
        <f t="shared" ref="P3:P8" si="4">SUM(N3*O3/(1-O3))</f>
        <v>1.40994705882353</v>
      </c>
      <c r="Q3" s="79">
        <f t="shared" ref="Q3:Q8" si="5">SUM(I3-J3-K3-L3-M3-P3)</f>
        <v>2.24155294117647</v>
      </c>
      <c r="R3" s="97">
        <f t="shared" ref="R3:R8" si="6">SUM(Q3/C3)</f>
        <v>0.172559887696418</v>
      </c>
      <c r="S3" s="98">
        <v>1</v>
      </c>
      <c r="T3" s="79">
        <f t="shared" ref="T3:T8" si="7">SUM(Q3*S3)</f>
        <v>2.24155294117647</v>
      </c>
      <c r="U3" s="125">
        <f t="shared" ref="U3:U7" si="8">T3:T4</f>
        <v>2.24155294117647</v>
      </c>
      <c r="V3" s="125">
        <v>0</v>
      </c>
      <c r="W3" s="125">
        <v>0</v>
      </c>
      <c r="X3" s="106">
        <f t="shared" ref="X3:X7" si="9">U3+V3+W3</f>
        <v>2.24155294117647</v>
      </c>
      <c r="Y3" s="130">
        <f t="shared" ref="Y3:Y7" si="10">SUM(S3:S4)</f>
        <v>1</v>
      </c>
      <c r="Z3" s="131"/>
    </row>
    <row r="4" ht="19" customHeight="1" spans="1:26">
      <c r="A4" s="83"/>
      <c r="B4" s="76" t="s">
        <v>70</v>
      </c>
      <c r="C4" s="76">
        <v>12.99</v>
      </c>
      <c r="D4" s="77">
        <v>0</v>
      </c>
      <c r="E4" s="78">
        <v>0.1</v>
      </c>
      <c r="F4" s="79">
        <f t="shared" si="0"/>
        <v>11.691</v>
      </c>
      <c r="G4" s="79">
        <v>4.38</v>
      </c>
      <c r="H4" s="79">
        <f t="shared" si="1"/>
        <v>1.75365</v>
      </c>
      <c r="I4" s="79">
        <f t="shared" si="2"/>
        <v>5.55735</v>
      </c>
      <c r="J4" s="90">
        <v>0.01</v>
      </c>
      <c r="K4" s="79">
        <v>0.6</v>
      </c>
      <c r="L4" s="79">
        <v>2.5</v>
      </c>
      <c r="M4" s="79">
        <v>0.5</v>
      </c>
      <c r="N4" s="79">
        <f t="shared" si="3"/>
        <v>7.95073</v>
      </c>
      <c r="O4" s="91">
        <v>0.15</v>
      </c>
      <c r="P4" s="79">
        <f t="shared" si="4"/>
        <v>1.40307</v>
      </c>
      <c r="Q4" s="79">
        <f t="shared" si="5"/>
        <v>0.544280000000001</v>
      </c>
      <c r="R4" s="97">
        <f t="shared" si="6"/>
        <v>0.041899923017706</v>
      </c>
      <c r="S4" s="98">
        <v>0</v>
      </c>
      <c r="T4" s="79">
        <f t="shared" si="7"/>
        <v>0</v>
      </c>
      <c r="U4" s="126"/>
      <c r="V4" s="126"/>
      <c r="W4" s="126"/>
      <c r="X4" s="106"/>
      <c r="Y4" s="130"/>
      <c r="Z4" s="131"/>
    </row>
    <row r="5" ht="19" customHeight="1" spans="1:26">
      <c r="A5" s="80">
        <v>45232</v>
      </c>
      <c r="B5" s="76" t="s">
        <v>69</v>
      </c>
      <c r="C5" s="76">
        <v>12.99</v>
      </c>
      <c r="D5" s="77">
        <v>0</v>
      </c>
      <c r="E5" s="78">
        <v>0</v>
      </c>
      <c r="F5" s="79">
        <f t="shared" si="0"/>
        <v>12.99</v>
      </c>
      <c r="G5" s="79">
        <v>4.38</v>
      </c>
      <c r="H5" s="79">
        <f t="shared" si="1"/>
        <v>1.9485</v>
      </c>
      <c r="I5" s="79">
        <f t="shared" si="2"/>
        <v>6.6615</v>
      </c>
      <c r="J5" s="90">
        <v>0.01</v>
      </c>
      <c r="K5" s="79">
        <v>0</v>
      </c>
      <c r="L5" s="79">
        <v>2.5</v>
      </c>
      <c r="M5" s="79">
        <v>0.5</v>
      </c>
      <c r="N5" s="79">
        <f t="shared" si="3"/>
        <v>7.9897</v>
      </c>
      <c r="O5" s="91">
        <v>0.15</v>
      </c>
      <c r="P5" s="79">
        <f t="shared" si="4"/>
        <v>1.40994705882353</v>
      </c>
      <c r="Q5" s="79">
        <f t="shared" si="5"/>
        <v>2.24155294117647</v>
      </c>
      <c r="R5" s="97">
        <f t="shared" si="6"/>
        <v>0.172559887696418</v>
      </c>
      <c r="S5" s="98">
        <v>1</v>
      </c>
      <c r="T5" s="79">
        <f t="shared" si="7"/>
        <v>2.24155294117647</v>
      </c>
      <c r="U5" s="125">
        <f t="shared" si="8"/>
        <v>2.24155294117647</v>
      </c>
      <c r="V5" s="125">
        <v>0</v>
      </c>
      <c r="W5" s="125">
        <v>0</v>
      </c>
      <c r="X5" s="106">
        <f t="shared" si="9"/>
        <v>2.24155294117647</v>
      </c>
      <c r="Y5" s="130">
        <f t="shared" si="10"/>
        <v>1</v>
      </c>
      <c r="Z5" s="131"/>
    </row>
    <row r="6" ht="19" customHeight="1" spans="1:26">
      <c r="A6" s="83"/>
      <c r="B6" s="76" t="s">
        <v>70</v>
      </c>
      <c r="C6" s="76">
        <v>12.99</v>
      </c>
      <c r="D6" s="77">
        <v>0</v>
      </c>
      <c r="E6" s="78">
        <v>0.1</v>
      </c>
      <c r="F6" s="79">
        <f t="shared" si="0"/>
        <v>11.691</v>
      </c>
      <c r="G6" s="79">
        <v>4.38</v>
      </c>
      <c r="H6" s="79">
        <f t="shared" si="1"/>
        <v>1.75365</v>
      </c>
      <c r="I6" s="79">
        <f t="shared" si="2"/>
        <v>5.55735</v>
      </c>
      <c r="J6" s="90">
        <v>0.01</v>
      </c>
      <c r="K6" s="79">
        <v>0.6</v>
      </c>
      <c r="L6" s="79">
        <v>2.5</v>
      </c>
      <c r="M6" s="79">
        <v>0.5</v>
      </c>
      <c r="N6" s="79">
        <f t="shared" si="3"/>
        <v>7.95073</v>
      </c>
      <c r="O6" s="91">
        <v>0.15</v>
      </c>
      <c r="P6" s="79">
        <f t="shared" si="4"/>
        <v>1.40307</v>
      </c>
      <c r="Q6" s="79">
        <f t="shared" si="5"/>
        <v>0.544280000000001</v>
      </c>
      <c r="R6" s="97">
        <f t="shared" si="6"/>
        <v>0.041899923017706</v>
      </c>
      <c r="S6" s="98">
        <v>0</v>
      </c>
      <c r="T6" s="79">
        <f t="shared" si="7"/>
        <v>0</v>
      </c>
      <c r="U6" s="126"/>
      <c r="V6" s="126"/>
      <c r="W6" s="126"/>
      <c r="X6" s="106"/>
      <c r="Y6" s="130"/>
      <c r="Z6" s="131"/>
    </row>
    <row r="7" ht="19" customHeight="1" spans="1:26">
      <c r="A7" s="80">
        <v>45233</v>
      </c>
      <c r="B7" s="76" t="s">
        <v>69</v>
      </c>
      <c r="C7" s="76">
        <v>12.99</v>
      </c>
      <c r="D7" s="77">
        <v>0</v>
      </c>
      <c r="E7" s="78">
        <v>0</v>
      </c>
      <c r="F7" s="79">
        <f t="shared" si="0"/>
        <v>12.99</v>
      </c>
      <c r="G7" s="79">
        <v>4.38</v>
      </c>
      <c r="H7" s="79">
        <f t="shared" si="1"/>
        <v>1.9485</v>
      </c>
      <c r="I7" s="79">
        <f t="shared" si="2"/>
        <v>6.6615</v>
      </c>
      <c r="J7" s="90">
        <v>0.01</v>
      </c>
      <c r="K7" s="79">
        <v>0</v>
      </c>
      <c r="L7" s="79">
        <v>2.5</v>
      </c>
      <c r="M7" s="79">
        <v>0.5</v>
      </c>
      <c r="N7" s="79">
        <f t="shared" si="3"/>
        <v>7.9897</v>
      </c>
      <c r="O7" s="91">
        <v>0.15</v>
      </c>
      <c r="P7" s="79">
        <f t="shared" si="4"/>
        <v>1.40994705882353</v>
      </c>
      <c r="Q7" s="79">
        <f t="shared" si="5"/>
        <v>2.24155294117647</v>
      </c>
      <c r="R7" s="97">
        <f t="shared" si="6"/>
        <v>0.172559887696418</v>
      </c>
      <c r="S7" s="98">
        <v>1</v>
      </c>
      <c r="T7" s="79">
        <f t="shared" si="7"/>
        <v>2.24155294117647</v>
      </c>
      <c r="U7" s="125">
        <f t="shared" si="8"/>
        <v>2.24155294117647</v>
      </c>
      <c r="V7" s="125">
        <v>0</v>
      </c>
      <c r="W7" s="125">
        <v>0</v>
      </c>
      <c r="X7" s="106">
        <f t="shared" si="9"/>
        <v>2.24155294117647</v>
      </c>
      <c r="Y7" s="130">
        <f t="shared" si="10"/>
        <v>1</v>
      </c>
      <c r="Z7" s="131"/>
    </row>
    <row r="8" ht="19" customHeight="1" spans="1:26">
      <c r="A8" s="83"/>
      <c r="B8" s="76" t="s">
        <v>70</v>
      </c>
      <c r="C8" s="76">
        <v>12.99</v>
      </c>
      <c r="D8" s="77">
        <v>0</v>
      </c>
      <c r="E8" s="78">
        <v>0.1</v>
      </c>
      <c r="F8" s="79">
        <f t="shared" si="0"/>
        <v>11.691</v>
      </c>
      <c r="G8" s="79">
        <v>4.38</v>
      </c>
      <c r="H8" s="79">
        <f t="shared" si="1"/>
        <v>1.75365</v>
      </c>
      <c r="I8" s="79">
        <f t="shared" si="2"/>
        <v>5.55735</v>
      </c>
      <c r="J8" s="90">
        <v>0.01</v>
      </c>
      <c r="K8" s="79">
        <v>0.6</v>
      </c>
      <c r="L8" s="79">
        <v>2.5</v>
      </c>
      <c r="M8" s="79">
        <v>0.5</v>
      </c>
      <c r="N8" s="79">
        <f t="shared" si="3"/>
        <v>7.95073</v>
      </c>
      <c r="O8" s="91">
        <v>0.15</v>
      </c>
      <c r="P8" s="79">
        <f t="shared" si="4"/>
        <v>1.40307</v>
      </c>
      <c r="Q8" s="79">
        <f t="shared" si="5"/>
        <v>0.544280000000001</v>
      </c>
      <c r="R8" s="97">
        <f t="shared" si="6"/>
        <v>0.041899923017706</v>
      </c>
      <c r="S8" s="98">
        <v>0</v>
      </c>
      <c r="T8" s="79">
        <f t="shared" si="7"/>
        <v>0</v>
      </c>
      <c r="U8" s="126"/>
      <c r="V8" s="126"/>
      <c r="W8" s="126"/>
      <c r="X8" s="106"/>
      <c r="Y8" s="130"/>
      <c r="Z8" s="131"/>
    </row>
  </sheetData>
  <sheetProtection formatCells="0" insertHyperlinks="0" autoFilter="0"/>
  <autoFilter ref="A2:AB8">
    <extLst/>
  </autoFilter>
  <mergeCells count="22">
    <mergeCell ref="A1:Y1"/>
    <mergeCell ref="A3:A4"/>
    <mergeCell ref="A5:A6"/>
    <mergeCell ref="A7:A8"/>
    <mergeCell ref="U3:U4"/>
    <mergeCell ref="U5:U6"/>
    <mergeCell ref="U7:U8"/>
    <mergeCell ref="V3:V4"/>
    <mergeCell ref="V5:V6"/>
    <mergeCell ref="V7:V8"/>
    <mergeCell ref="W3:W4"/>
    <mergeCell ref="W5:W6"/>
    <mergeCell ref="W7:W8"/>
    <mergeCell ref="X3:X4"/>
    <mergeCell ref="X5:X6"/>
    <mergeCell ref="X7:X8"/>
    <mergeCell ref="Y3:Y4"/>
    <mergeCell ref="Y5:Y6"/>
    <mergeCell ref="Y7:Y8"/>
    <mergeCell ref="Z3:Z4"/>
    <mergeCell ref="Z5:Z6"/>
    <mergeCell ref="Z7:Z8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12"/>
  <sheetViews>
    <sheetView topLeftCell="K1" workbookViewId="0">
      <pane ySplit="1" topLeftCell="A2" activePane="bottomLeft" state="frozen"/>
      <selection/>
      <selection pane="bottomLeft" activeCell="R4" sqref="R4:R12"/>
    </sheetView>
  </sheetViews>
  <sheetFormatPr defaultColWidth="9" defaultRowHeight="13.5"/>
  <cols>
    <col min="1" max="1" width="12.875" style="109" customWidth="1"/>
    <col min="2" max="2" width="10" style="109" customWidth="1"/>
    <col min="3" max="3" width="7.875" style="109" customWidth="1"/>
    <col min="4" max="4" width="7.125" style="109" customWidth="1"/>
    <col min="5" max="6" width="6.5" style="109" customWidth="1"/>
    <col min="7" max="7" width="6.625" style="109" customWidth="1"/>
    <col min="8" max="8" width="6.75" style="109" customWidth="1"/>
    <col min="9" max="9" width="7.375" style="109" customWidth="1"/>
    <col min="10" max="10" width="7.5" style="109" customWidth="1"/>
    <col min="11" max="11" width="7.125" style="109" customWidth="1"/>
    <col min="12" max="12" width="13.125" style="109" customWidth="1"/>
    <col min="13" max="13" width="8.75" style="109" customWidth="1"/>
    <col min="14" max="14" width="11.375" style="110" customWidth="1"/>
    <col min="15" max="15" width="11.625" style="110" customWidth="1"/>
    <col min="16" max="16" width="9.375" style="110" customWidth="1"/>
    <col min="17" max="17" width="13.75" style="109"/>
    <col min="18" max="18" width="9" style="111"/>
    <col min="19" max="19" width="9.75" style="111" customWidth="1"/>
    <col min="20" max="20" width="11.5" style="111" customWidth="1"/>
    <col min="21" max="21" width="14" style="109" customWidth="1"/>
    <col min="22" max="22" width="15.25" style="109" customWidth="1"/>
    <col min="23" max="16384" width="9" style="109"/>
  </cols>
  <sheetData>
    <row r="1" s="109" customFormat="1" ht="62.25" customHeight="1" spans="1:22">
      <c r="A1" s="28" t="s">
        <v>71</v>
      </c>
      <c r="B1" s="112" t="s">
        <v>72</v>
      </c>
      <c r="C1" s="28" t="s">
        <v>11</v>
      </c>
      <c r="D1" s="113" t="s">
        <v>13</v>
      </c>
      <c r="E1" s="113" t="s">
        <v>14</v>
      </c>
      <c r="F1" s="113" t="s">
        <v>73</v>
      </c>
      <c r="G1" s="113" t="s">
        <v>35</v>
      </c>
      <c r="H1" s="113" t="s">
        <v>37</v>
      </c>
      <c r="I1" s="113" t="s">
        <v>74</v>
      </c>
      <c r="J1" s="122" t="s">
        <v>75</v>
      </c>
      <c r="K1" s="113" t="s">
        <v>76</v>
      </c>
      <c r="L1" s="113" t="s">
        <v>77</v>
      </c>
      <c r="M1" s="113" t="s">
        <v>78</v>
      </c>
      <c r="N1" s="118" t="s">
        <v>79</v>
      </c>
      <c r="O1" s="118" t="s">
        <v>80</v>
      </c>
      <c r="P1" s="118" t="s">
        <v>81</v>
      </c>
      <c r="R1" s="121" t="s">
        <v>82</v>
      </c>
      <c r="S1" s="121" t="s">
        <v>83</v>
      </c>
      <c r="T1" s="121" t="s">
        <v>84</v>
      </c>
      <c r="U1" s="113" t="s">
        <v>85</v>
      </c>
      <c r="V1" s="113" t="s">
        <v>86</v>
      </c>
    </row>
    <row r="2" s="109" customFormat="1" ht="24" customHeight="1" spans="1:22">
      <c r="A2" s="28" t="s">
        <v>87</v>
      </c>
      <c r="B2" s="28" t="s">
        <v>88</v>
      </c>
      <c r="C2" s="28">
        <v>99.99</v>
      </c>
      <c r="D2" s="114">
        <v>0.05</v>
      </c>
      <c r="E2" s="114">
        <v>0.5</v>
      </c>
      <c r="F2" s="114">
        <v>0.68</v>
      </c>
      <c r="G2" s="109">
        <f>SUM(每日实际盈亏!S3:S6)</f>
        <v>2</v>
      </c>
      <c r="H2" s="109">
        <v>0</v>
      </c>
      <c r="I2" s="109">
        <v>0</v>
      </c>
      <c r="J2" s="119">
        <f>SUM(G2:I2)</f>
        <v>2</v>
      </c>
      <c r="K2" s="109">
        <v>6</v>
      </c>
      <c r="L2" s="28">
        <v>0</v>
      </c>
      <c r="M2" s="110">
        <f>SUM(每日实际盈亏!V3:V6)</f>
        <v>0</v>
      </c>
      <c r="N2" s="110">
        <f>SUM(每日实际盈亏!U3:U6)</f>
        <v>4.48310588235294</v>
      </c>
      <c r="O2" s="110">
        <f>SUM(L2:N2)</f>
        <v>4.48310588235294</v>
      </c>
      <c r="P2" s="110"/>
      <c r="R2" s="111"/>
      <c r="S2" s="111"/>
      <c r="T2" s="111"/>
      <c r="U2" s="123"/>
      <c r="V2" s="123"/>
    </row>
    <row r="3" s="109" customFormat="1" ht="24" customHeight="1" spans="1:22">
      <c r="A3" s="28" t="s">
        <v>89</v>
      </c>
      <c r="B3" s="28" t="s">
        <v>90</v>
      </c>
      <c r="C3" s="109">
        <v>79.99</v>
      </c>
      <c r="D3" s="115">
        <v>0.3</v>
      </c>
      <c r="E3" s="115">
        <v>0.2</v>
      </c>
      <c r="F3" s="115">
        <v>0.3</v>
      </c>
      <c r="G3" s="109">
        <v>81</v>
      </c>
      <c r="H3" s="109">
        <v>14</v>
      </c>
      <c r="I3" s="109">
        <v>0</v>
      </c>
      <c r="J3" s="119">
        <f>SUM(G3:I3)</f>
        <v>95</v>
      </c>
      <c r="K3" s="109">
        <v>9</v>
      </c>
      <c r="L3" s="28" t="e">
        <f>SUM(每日实际盈亏!#REF!)</f>
        <v>#REF!</v>
      </c>
      <c r="M3" s="109" t="e">
        <f>SUM(每日实际盈亏!#REF!)</f>
        <v>#REF!</v>
      </c>
      <c r="N3" s="110" t="e">
        <f>SUM(每日实际盈亏!#REF!)</f>
        <v>#REF!</v>
      </c>
      <c r="O3" s="110" t="e">
        <f>SUM(L3:N3)</f>
        <v>#REF!</v>
      </c>
      <c r="P3" s="110"/>
      <c r="R3" s="111"/>
      <c r="S3" s="111"/>
      <c r="T3" s="111"/>
      <c r="U3" s="28"/>
      <c r="V3" s="28"/>
    </row>
    <row r="4" s="109" customFormat="1" ht="24" customHeight="1" spans="1:22">
      <c r="A4" s="28" t="s">
        <v>91</v>
      </c>
      <c r="B4" s="28" t="s">
        <v>92</v>
      </c>
      <c r="C4" s="109">
        <v>69.99</v>
      </c>
      <c r="D4" s="114">
        <v>0.3</v>
      </c>
      <c r="E4" s="114">
        <v>0.2</v>
      </c>
      <c r="F4" s="114">
        <v>0.25</v>
      </c>
      <c r="G4" s="109">
        <v>45</v>
      </c>
      <c r="H4" s="109">
        <v>60</v>
      </c>
      <c r="I4" s="109">
        <v>3</v>
      </c>
      <c r="J4" s="119">
        <f>SUM(G4:I4)</f>
        <v>108</v>
      </c>
      <c r="K4" s="109">
        <v>10</v>
      </c>
      <c r="L4" s="28" t="e">
        <f>SUM(每日实际盈亏!#REF!)</f>
        <v>#REF!</v>
      </c>
      <c r="M4" s="109" t="e">
        <f>SUM(每日实际盈亏!#REF!)</f>
        <v>#REF!</v>
      </c>
      <c r="N4" s="110" t="e">
        <f>SUM(每日实际盈亏!#REF!)</f>
        <v>#REF!</v>
      </c>
      <c r="O4" s="110" t="e">
        <f>SUM(L4:N4)</f>
        <v>#REF!</v>
      </c>
      <c r="P4" s="110"/>
      <c r="R4" s="111"/>
      <c r="S4" s="111"/>
      <c r="T4" s="111"/>
      <c r="U4" s="28"/>
      <c r="V4" s="28"/>
    </row>
    <row r="5" s="109" customFormat="1" ht="24" customHeight="1" spans="1:22">
      <c r="A5" s="28" t="s">
        <v>93</v>
      </c>
      <c r="B5" s="28" t="s">
        <v>94</v>
      </c>
      <c r="C5" s="109">
        <v>69.99</v>
      </c>
      <c r="D5" s="114">
        <v>0.3</v>
      </c>
      <c r="E5" s="114">
        <v>0</v>
      </c>
      <c r="F5" s="114">
        <v>0.25</v>
      </c>
      <c r="J5" s="119"/>
      <c r="L5" s="28"/>
      <c r="N5" s="110"/>
      <c r="O5" s="110"/>
      <c r="P5" s="110"/>
      <c r="R5" s="111"/>
      <c r="S5" s="111"/>
      <c r="T5" s="111"/>
      <c r="U5" s="28"/>
      <c r="V5" s="28"/>
    </row>
    <row r="6" s="109" customFormat="1" ht="24" customHeight="1" spans="1:22">
      <c r="A6" s="28" t="s">
        <v>95</v>
      </c>
      <c r="B6" s="28" t="s">
        <v>96</v>
      </c>
      <c r="C6" s="109">
        <v>69.99</v>
      </c>
      <c r="D6" s="114">
        <v>0.3</v>
      </c>
      <c r="E6" s="114">
        <v>0</v>
      </c>
      <c r="F6" s="114">
        <v>0.25</v>
      </c>
      <c r="J6" s="119"/>
      <c r="L6" s="28"/>
      <c r="N6" s="110"/>
      <c r="O6" s="110"/>
      <c r="P6" s="110"/>
      <c r="R6" s="111"/>
      <c r="S6" s="111"/>
      <c r="T6" s="111"/>
      <c r="U6" s="28"/>
      <c r="V6" s="28"/>
    </row>
    <row r="7" s="109" customFormat="1" ht="24" customHeight="1" spans="1:22">
      <c r="A7" s="28" t="s">
        <v>97</v>
      </c>
      <c r="B7" s="28" t="s">
        <v>98</v>
      </c>
      <c r="C7" s="109">
        <v>69.99</v>
      </c>
      <c r="D7" s="114">
        <v>0.3</v>
      </c>
      <c r="E7" s="114">
        <v>0</v>
      </c>
      <c r="F7" s="114">
        <v>0</v>
      </c>
      <c r="J7" s="119"/>
      <c r="L7" s="28"/>
      <c r="N7" s="110"/>
      <c r="O7" s="110"/>
      <c r="P7" s="110"/>
      <c r="R7" s="111"/>
      <c r="S7" s="111"/>
      <c r="T7" s="111"/>
      <c r="U7" s="28"/>
      <c r="V7" s="28"/>
    </row>
    <row r="8" s="109" customFormat="1" ht="24" customHeight="1" spans="10:20">
      <c r="J8" s="119"/>
      <c r="N8" s="120"/>
      <c r="O8" s="120"/>
      <c r="P8" s="110"/>
      <c r="R8" s="111"/>
      <c r="S8" s="111"/>
      <c r="T8" s="111"/>
    </row>
    <row r="9" s="109" customFormat="1" ht="24" customHeight="1" spans="1:22">
      <c r="A9" s="28" t="s">
        <v>99</v>
      </c>
      <c r="B9" s="28" t="s">
        <v>100</v>
      </c>
      <c r="C9" s="109">
        <v>69.99</v>
      </c>
      <c r="D9" s="114">
        <v>0.2</v>
      </c>
      <c r="E9" s="114">
        <v>0</v>
      </c>
      <c r="F9" s="114">
        <v>0</v>
      </c>
      <c r="J9" s="119"/>
      <c r="L9" s="28"/>
      <c r="N9" s="110"/>
      <c r="O9" s="110"/>
      <c r="P9" s="110"/>
      <c r="R9" s="111"/>
      <c r="S9" s="111"/>
      <c r="T9" s="111"/>
      <c r="U9" s="28"/>
      <c r="V9" s="28"/>
    </row>
    <row r="10" s="109" customFormat="1" ht="24" customHeight="1" spans="1:22">
      <c r="A10" s="28" t="s">
        <v>101</v>
      </c>
      <c r="B10" s="28" t="s">
        <v>102</v>
      </c>
      <c r="C10" s="109">
        <v>69.99</v>
      </c>
      <c r="D10" s="114">
        <v>0.2</v>
      </c>
      <c r="E10" s="114">
        <v>0</v>
      </c>
      <c r="F10" s="114">
        <v>0</v>
      </c>
      <c r="J10" s="119"/>
      <c r="L10" s="28"/>
      <c r="N10" s="110"/>
      <c r="O10" s="110"/>
      <c r="P10" s="110"/>
      <c r="R10" s="111"/>
      <c r="S10" s="111"/>
      <c r="T10" s="111"/>
      <c r="U10" s="28"/>
      <c r="V10" s="28"/>
    </row>
    <row r="11" s="109" customFormat="1" ht="24" customHeight="1" spans="1:22">
      <c r="A11" s="28" t="s">
        <v>103</v>
      </c>
      <c r="B11" s="28" t="s">
        <v>104</v>
      </c>
      <c r="C11" s="109">
        <v>69.99</v>
      </c>
      <c r="D11" s="114">
        <v>0.2</v>
      </c>
      <c r="E11" s="114">
        <v>0</v>
      </c>
      <c r="F11" s="114">
        <v>0</v>
      </c>
      <c r="J11" s="119"/>
      <c r="L11" s="28"/>
      <c r="N11" s="110"/>
      <c r="O11" s="110"/>
      <c r="P11" s="110"/>
      <c r="R11" s="111"/>
      <c r="S11" s="111"/>
      <c r="T11" s="111"/>
      <c r="U11" s="28"/>
      <c r="V11" s="28"/>
    </row>
    <row r="12" s="109" customFormat="1" ht="24" customHeight="1" spans="14:20">
      <c r="N12" s="110"/>
      <c r="O12" s="120"/>
      <c r="P12" s="110"/>
      <c r="R12" s="111"/>
      <c r="S12" s="111"/>
      <c r="T12" s="111"/>
    </row>
  </sheetData>
  <sheetProtection formatCells="0" insertHyperlinks="0" autoFilter="0"/>
  <mergeCells count="1">
    <mergeCell ref="P2:P7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35"/>
  <sheetViews>
    <sheetView workbookViewId="0">
      <pane ySplit="1" topLeftCell="A2" activePane="bottomLeft" state="frozen"/>
      <selection/>
      <selection pane="bottomLeft" activeCell="A2" sqref="A2:P2"/>
    </sheetView>
  </sheetViews>
  <sheetFormatPr defaultColWidth="9" defaultRowHeight="13.5"/>
  <cols>
    <col min="1" max="1" width="16.25" style="109" customWidth="1"/>
    <col min="2" max="2" width="10" style="109" customWidth="1"/>
    <col min="3" max="3" width="7.875" style="109" customWidth="1"/>
    <col min="4" max="4" width="7.125" style="109" customWidth="1"/>
    <col min="5" max="6" width="6.5" style="109" customWidth="1"/>
    <col min="7" max="7" width="6.625" style="109" customWidth="1"/>
    <col min="8" max="8" width="6.75" style="109" customWidth="1"/>
    <col min="9" max="9" width="7.125" style="109" customWidth="1"/>
    <col min="10" max="10" width="7.5" style="109" customWidth="1"/>
    <col min="11" max="11" width="7.125" style="109" customWidth="1"/>
    <col min="12" max="12" width="8.5" style="110" customWidth="1"/>
    <col min="13" max="13" width="10.25" style="110" customWidth="1"/>
    <col min="14" max="14" width="10.125" style="109" customWidth="1"/>
    <col min="15" max="16" width="10.75" style="110" customWidth="1"/>
    <col min="17" max="17" width="9.375" style="110" customWidth="1"/>
    <col min="18" max="18" width="10.75" style="109" customWidth="1"/>
    <col min="19" max="19" width="8.5" style="111" customWidth="1"/>
    <col min="20" max="20" width="7.5" style="111" customWidth="1"/>
    <col min="21" max="21" width="8.5" style="111" customWidth="1"/>
    <col min="22" max="22" width="7.5" style="111" customWidth="1"/>
    <col min="23" max="23" width="13.25" style="109" customWidth="1"/>
    <col min="24" max="24" width="15.25" style="109" customWidth="1"/>
    <col min="25" max="16384" width="9" style="109"/>
  </cols>
  <sheetData>
    <row r="1" ht="51.75" customHeight="1" spans="1:24">
      <c r="A1" s="28" t="s">
        <v>71</v>
      </c>
      <c r="B1" s="112" t="s">
        <v>105</v>
      </c>
      <c r="C1" s="28" t="s">
        <v>11</v>
      </c>
      <c r="D1" s="113" t="s">
        <v>13</v>
      </c>
      <c r="E1" s="113" t="s">
        <v>14</v>
      </c>
      <c r="F1" s="113" t="s">
        <v>73</v>
      </c>
      <c r="G1" s="113" t="s">
        <v>35</v>
      </c>
      <c r="H1" s="113" t="s">
        <v>37</v>
      </c>
      <c r="I1" s="113" t="s">
        <v>74</v>
      </c>
      <c r="J1" s="117" t="s">
        <v>75</v>
      </c>
      <c r="K1" s="113" t="s">
        <v>76</v>
      </c>
      <c r="L1" s="118" t="s">
        <v>30</v>
      </c>
      <c r="M1" s="118" t="s">
        <v>106</v>
      </c>
      <c r="N1" s="113" t="s">
        <v>107</v>
      </c>
      <c r="O1" s="118" t="s">
        <v>79</v>
      </c>
      <c r="P1" s="118" t="s">
        <v>80</v>
      </c>
      <c r="Q1" s="118" t="s">
        <v>81</v>
      </c>
      <c r="R1" s="28" t="s">
        <v>108</v>
      </c>
      <c r="S1" s="121" t="s">
        <v>109</v>
      </c>
      <c r="T1" s="121" t="s">
        <v>110</v>
      </c>
      <c r="U1" s="121" t="s">
        <v>111</v>
      </c>
      <c r="V1" s="121" t="s">
        <v>112</v>
      </c>
      <c r="W1" s="113" t="s">
        <v>85</v>
      </c>
      <c r="X1" s="113" t="s">
        <v>86</v>
      </c>
    </row>
    <row r="2" ht="21" customHeight="1" spans="1:24">
      <c r="A2" s="113" t="s">
        <v>113</v>
      </c>
      <c r="B2" s="113"/>
      <c r="C2" s="113"/>
      <c r="D2" s="113"/>
      <c r="E2" s="113"/>
      <c r="F2" s="113"/>
      <c r="G2" s="113"/>
      <c r="H2" s="113"/>
      <c r="I2" s="113"/>
      <c r="J2" s="113"/>
      <c r="K2" s="113"/>
      <c r="L2" s="113"/>
      <c r="M2" s="113"/>
      <c r="N2" s="113"/>
      <c r="O2" s="113"/>
      <c r="P2" s="113"/>
      <c r="Q2" s="118">
        <f>-1000-600-765</f>
        <v>-2365</v>
      </c>
      <c r="R2" s="28"/>
      <c r="S2" s="121"/>
      <c r="T2" s="121"/>
      <c r="U2" s="121"/>
      <c r="V2" s="121"/>
      <c r="W2" s="113"/>
      <c r="X2" s="113"/>
    </row>
    <row r="3" ht="15" customHeight="1" spans="1:24">
      <c r="A3" s="28" t="s">
        <v>114</v>
      </c>
      <c r="B3" s="28" t="s">
        <v>88</v>
      </c>
      <c r="C3" s="28">
        <v>12.99</v>
      </c>
      <c r="D3" s="114">
        <v>0</v>
      </c>
      <c r="E3" s="114">
        <v>0</v>
      </c>
      <c r="F3" s="114">
        <v>0</v>
      </c>
      <c r="G3" s="109">
        <v>0</v>
      </c>
      <c r="H3" s="109">
        <v>5</v>
      </c>
      <c r="I3" s="109">
        <v>25</v>
      </c>
      <c r="J3" s="119">
        <f>G3+H3+I3</f>
        <v>30</v>
      </c>
      <c r="K3" s="109">
        <v>10</v>
      </c>
      <c r="L3" s="110">
        <f>CPC模拟!W4</f>
        <v>25</v>
      </c>
      <c r="M3" s="120">
        <f>SUM(I3*-L3)</f>
        <v>-625</v>
      </c>
      <c r="N3" s="109">
        <f t="shared" ref="N3:N12" si="0">SUM(G3*-2)</f>
        <v>0</v>
      </c>
      <c r="O3" s="110">
        <f>盈亏模拟!V3</f>
        <v>67.2465882352941</v>
      </c>
      <c r="P3" s="110">
        <f t="shared" ref="P3:P12" si="1">SUM(M3:O3)</f>
        <v>-557.753411764706</v>
      </c>
      <c r="Q3" s="110">
        <f>SUM(P3:P8)</f>
        <v>-4562.55857013574</v>
      </c>
      <c r="S3" s="111">
        <f t="shared" ref="S3:S8" si="2">SUM(J3/K3)</f>
        <v>3</v>
      </c>
      <c r="T3" s="111">
        <f t="shared" ref="T3:T8" si="3">SUM(I3/K3)</f>
        <v>2.5</v>
      </c>
      <c r="U3" s="111">
        <f t="shared" ref="U3:U8" si="4">SUM(H3/K3)</f>
        <v>0.5</v>
      </c>
      <c r="V3" s="111">
        <f t="shared" ref="V3:V12" si="5">SUM(M3/K3)</f>
        <v>-62.5</v>
      </c>
      <c r="W3" s="28" t="s">
        <v>115</v>
      </c>
      <c r="X3" s="28" t="s">
        <v>116</v>
      </c>
    </row>
    <row r="4" ht="15" customHeight="1" spans="1:24">
      <c r="A4" s="28" t="s">
        <v>117</v>
      </c>
      <c r="B4" s="28" t="s">
        <v>90</v>
      </c>
      <c r="C4" s="109">
        <v>12.99</v>
      </c>
      <c r="D4" s="115">
        <v>0</v>
      </c>
      <c r="E4" s="115">
        <v>0</v>
      </c>
      <c r="F4" s="115">
        <v>0</v>
      </c>
      <c r="G4" s="109">
        <v>0</v>
      </c>
      <c r="H4" s="109">
        <v>10</v>
      </c>
      <c r="I4" s="109">
        <v>40</v>
      </c>
      <c r="J4" s="119">
        <f t="shared" ref="J4:J12" si="6">G4+H4+I4</f>
        <v>50</v>
      </c>
      <c r="K4" s="109">
        <v>10</v>
      </c>
      <c r="L4" s="110">
        <f>CPC模拟!W5</f>
        <v>23.0769230769231</v>
      </c>
      <c r="M4" s="120">
        <f t="shared" ref="M4:M12" si="7">SUM(I4*-L4)</f>
        <v>-923.076923076923</v>
      </c>
      <c r="N4" s="109">
        <f t="shared" si="0"/>
        <v>0</v>
      </c>
      <c r="O4" s="110">
        <f>盈亏模拟!V6</f>
        <v>112.077647058824</v>
      </c>
      <c r="P4" s="110">
        <f t="shared" si="1"/>
        <v>-810.9992760181</v>
      </c>
      <c r="S4" s="111">
        <f t="shared" si="2"/>
        <v>5</v>
      </c>
      <c r="T4" s="111">
        <f t="shared" si="3"/>
        <v>4</v>
      </c>
      <c r="U4" s="111">
        <f t="shared" si="4"/>
        <v>1</v>
      </c>
      <c r="V4" s="111">
        <f t="shared" si="5"/>
        <v>-92.3076923076923</v>
      </c>
      <c r="W4" s="28" t="s">
        <v>118</v>
      </c>
      <c r="X4" s="28" t="s">
        <v>119</v>
      </c>
    </row>
    <row r="5" ht="15" customHeight="1" spans="1:24">
      <c r="A5" s="28" t="s">
        <v>120</v>
      </c>
      <c r="B5" s="28" t="s">
        <v>92</v>
      </c>
      <c r="C5" s="109">
        <v>13.99</v>
      </c>
      <c r="D5" s="114">
        <v>0</v>
      </c>
      <c r="E5" s="114">
        <v>0</v>
      </c>
      <c r="F5" s="114">
        <v>0</v>
      </c>
      <c r="G5" s="109">
        <v>0</v>
      </c>
      <c r="H5" s="109">
        <v>30</v>
      </c>
      <c r="I5" s="109">
        <v>70</v>
      </c>
      <c r="J5" s="119">
        <f t="shared" si="6"/>
        <v>100</v>
      </c>
      <c r="K5" s="109">
        <v>10</v>
      </c>
      <c r="L5" s="110">
        <f>CPC模拟!W6</f>
        <v>18.5714285714286</v>
      </c>
      <c r="M5" s="120">
        <f t="shared" si="7"/>
        <v>-1300</v>
      </c>
      <c r="N5" s="109">
        <f t="shared" si="0"/>
        <v>0</v>
      </c>
      <c r="O5" s="110">
        <f>盈亏模拟!V9</f>
        <v>308.625882352941</v>
      </c>
      <c r="P5" s="110">
        <f t="shared" si="1"/>
        <v>-991.374117647059</v>
      </c>
      <c r="S5" s="111">
        <f t="shared" si="2"/>
        <v>10</v>
      </c>
      <c r="T5" s="111">
        <f t="shared" si="3"/>
        <v>7</v>
      </c>
      <c r="U5" s="111">
        <f t="shared" si="4"/>
        <v>3</v>
      </c>
      <c r="V5" s="111">
        <f t="shared" si="5"/>
        <v>-130</v>
      </c>
      <c r="W5" s="28" t="s">
        <v>121</v>
      </c>
      <c r="X5" s="28" t="s">
        <v>122</v>
      </c>
    </row>
    <row r="6" ht="15" customHeight="1" spans="1:24">
      <c r="A6" s="28" t="s">
        <v>123</v>
      </c>
      <c r="B6" s="28" t="s">
        <v>94</v>
      </c>
      <c r="C6" s="109">
        <v>13.99</v>
      </c>
      <c r="D6" s="114">
        <v>0</v>
      </c>
      <c r="E6" s="114">
        <v>0</v>
      </c>
      <c r="F6" s="114">
        <v>0</v>
      </c>
      <c r="G6" s="109">
        <v>0</v>
      </c>
      <c r="H6" s="109">
        <v>60</v>
      </c>
      <c r="I6" s="109">
        <v>90</v>
      </c>
      <c r="J6" s="119">
        <f t="shared" si="6"/>
        <v>150</v>
      </c>
      <c r="K6" s="109">
        <v>10</v>
      </c>
      <c r="L6" s="110">
        <f>CPC模拟!W7</f>
        <v>17.3333333333333</v>
      </c>
      <c r="M6" s="120">
        <f t="shared" si="7"/>
        <v>-1560</v>
      </c>
      <c r="N6" s="109">
        <f t="shared" si="0"/>
        <v>0</v>
      </c>
      <c r="O6" s="110">
        <f>盈亏模拟!V12</f>
        <v>462.938823529412</v>
      </c>
      <c r="P6" s="110">
        <f t="shared" si="1"/>
        <v>-1097.06117647059</v>
      </c>
      <c r="S6" s="111">
        <f t="shared" si="2"/>
        <v>15</v>
      </c>
      <c r="T6" s="111">
        <f t="shared" si="3"/>
        <v>9</v>
      </c>
      <c r="U6" s="111">
        <f t="shared" si="4"/>
        <v>6</v>
      </c>
      <c r="V6" s="111">
        <f t="shared" si="5"/>
        <v>-156</v>
      </c>
      <c r="W6" s="28" t="s">
        <v>124</v>
      </c>
      <c r="X6" s="28" t="s">
        <v>125</v>
      </c>
    </row>
    <row r="7" ht="15" customHeight="1" spans="1:24">
      <c r="A7" s="28" t="s">
        <v>126</v>
      </c>
      <c r="B7" s="28" t="s">
        <v>96</v>
      </c>
      <c r="C7" s="109">
        <v>14.99</v>
      </c>
      <c r="D7" s="114">
        <v>0</v>
      </c>
      <c r="E7" s="114">
        <v>0</v>
      </c>
      <c r="F7" s="114">
        <v>0</v>
      </c>
      <c r="G7" s="109">
        <v>0</v>
      </c>
      <c r="H7" s="109">
        <v>90</v>
      </c>
      <c r="I7" s="109">
        <v>110</v>
      </c>
      <c r="J7" s="119">
        <f t="shared" si="6"/>
        <v>200</v>
      </c>
      <c r="K7" s="109">
        <v>10</v>
      </c>
      <c r="L7" s="110">
        <f>CPC模拟!W8</f>
        <v>13.75</v>
      </c>
      <c r="M7" s="120">
        <f t="shared" si="7"/>
        <v>-1512.5</v>
      </c>
      <c r="N7" s="109">
        <f t="shared" si="0"/>
        <v>0</v>
      </c>
      <c r="O7" s="110">
        <f>盈亏模拟!V15</f>
        <v>786.192941176471</v>
      </c>
      <c r="P7" s="110">
        <f t="shared" si="1"/>
        <v>-726.307058823529</v>
      </c>
      <c r="S7" s="111">
        <f t="shared" si="2"/>
        <v>20</v>
      </c>
      <c r="T7" s="111">
        <f t="shared" si="3"/>
        <v>11</v>
      </c>
      <c r="U7" s="111">
        <f t="shared" si="4"/>
        <v>9</v>
      </c>
      <c r="V7" s="111">
        <f t="shared" si="5"/>
        <v>-151.25</v>
      </c>
      <c r="W7" s="28" t="s">
        <v>127</v>
      </c>
      <c r="X7" s="28" t="s">
        <v>128</v>
      </c>
    </row>
    <row r="8" ht="15" customHeight="1" spans="1:24">
      <c r="A8" s="28" t="s">
        <v>129</v>
      </c>
      <c r="B8" s="28" t="s">
        <v>98</v>
      </c>
      <c r="C8" s="109">
        <v>15.99</v>
      </c>
      <c r="D8" s="114">
        <v>0</v>
      </c>
      <c r="E8" s="114">
        <v>0</v>
      </c>
      <c r="F8" s="114">
        <v>0</v>
      </c>
      <c r="G8" s="109">
        <v>0</v>
      </c>
      <c r="H8" s="109">
        <v>160</v>
      </c>
      <c r="I8" s="109">
        <v>140</v>
      </c>
      <c r="J8" s="119">
        <f t="shared" si="6"/>
        <v>300</v>
      </c>
      <c r="K8" s="109">
        <v>10</v>
      </c>
      <c r="L8" s="110">
        <f>CPC模拟!W9</f>
        <v>12.9411764705882</v>
      </c>
      <c r="M8" s="120">
        <f t="shared" si="7"/>
        <v>-1811.76470588235</v>
      </c>
      <c r="N8" s="109">
        <f t="shared" si="0"/>
        <v>0</v>
      </c>
      <c r="O8" s="110">
        <f>盈亏模拟!V18</f>
        <v>1432.70117647059</v>
      </c>
      <c r="P8" s="110">
        <f t="shared" si="1"/>
        <v>-379.063529411762</v>
      </c>
      <c r="S8" s="111">
        <f t="shared" si="2"/>
        <v>30</v>
      </c>
      <c r="T8" s="111">
        <f t="shared" si="3"/>
        <v>14</v>
      </c>
      <c r="U8" s="111">
        <f t="shared" si="4"/>
        <v>16</v>
      </c>
      <c r="V8" s="111">
        <f t="shared" si="5"/>
        <v>-181.176470588235</v>
      </c>
      <c r="W8" s="28" t="s">
        <v>127</v>
      </c>
      <c r="X8" s="28" t="s">
        <v>115</v>
      </c>
    </row>
    <row r="9" ht="15" customHeight="1" spans="1:24">
      <c r="A9" s="28" t="s">
        <v>104</v>
      </c>
      <c r="B9" s="28" t="s">
        <v>100</v>
      </c>
      <c r="C9" s="109">
        <v>16.99</v>
      </c>
      <c r="D9" s="114">
        <v>0.1</v>
      </c>
      <c r="E9" s="114">
        <v>0</v>
      </c>
      <c r="F9" s="114">
        <v>0</v>
      </c>
      <c r="G9" s="109">
        <v>0</v>
      </c>
      <c r="H9" s="109">
        <v>750</v>
      </c>
      <c r="I9" s="109">
        <v>450</v>
      </c>
      <c r="J9" s="119">
        <f t="shared" si="6"/>
        <v>1200</v>
      </c>
      <c r="K9" s="109">
        <v>30</v>
      </c>
      <c r="L9" s="110">
        <f>CPC模拟!W10</f>
        <v>11.1111111111111</v>
      </c>
      <c r="M9" s="120">
        <f t="shared" si="7"/>
        <v>-5000</v>
      </c>
      <c r="N9" s="109">
        <f t="shared" si="0"/>
        <v>0</v>
      </c>
      <c r="O9" s="110">
        <f>盈亏模拟!V21</f>
        <v>5523.35858823529</v>
      </c>
      <c r="P9" s="110">
        <f t="shared" si="1"/>
        <v>523.35858823529</v>
      </c>
      <c r="Q9" s="110">
        <f t="shared" ref="Q9:Q12" si="8">P9</f>
        <v>523.35858823529</v>
      </c>
      <c r="R9" s="28"/>
      <c r="S9" s="111">
        <f t="shared" ref="S9:S12" si="9">SUM(J9/K9)</f>
        <v>40</v>
      </c>
      <c r="T9" s="111">
        <f t="shared" ref="T9:T12" si="10">SUM(I9/K9)</f>
        <v>15</v>
      </c>
      <c r="U9" s="111">
        <f t="shared" ref="U9:U12" si="11">SUM(H9/K9)</f>
        <v>25</v>
      </c>
      <c r="V9" s="111">
        <f t="shared" si="5"/>
        <v>-166.666666666667</v>
      </c>
      <c r="W9" s="28" t="s">
        <v>127</v>
      </c>
      <c r="X9" s="28" t="s">
        <v>130</v>
      </c>
    </row>
    <row r="10" ht="15" customHeight="1" spans="1:24">
      <c r="A10" s="28" t="s">
        <v>131</v>
      </c>
      <c r="B10" s="28" t="s">
        <v>102</v>
      </c>
      <c r="C10" s="109">
        <v>17.99</v>
      </c>
      <c r="D10" s="114">
        <v>0.1</v>
      </c>
      <c r="E10" s="114">
        <v>0</v>
      </c>
      <c r="F10" s="114">
        <v>0</v>
      </c>
      <c r="G10" s="109">
        <v>0</v>
      </c>
      <c r="H10" s="109">
        <v>1000</v>
      </c>
      <c r="I10" s="109">
        <v>500</v>
      </c>
      <c r="J10" s="119">
        <f t="shared" si="6"/>
        <v>1500</v>
      </c>
      <c r="K10" s="109">
        <v>30</v>
      </c>
      <c r="L10" s="110">
        <f>CPC模拟!W11</f>
        <v>10.5263157894737</v>
      </c>
      <c r="M10" s="120">
        <f t="shared" si="7"/>
        <v>-5263.15789473684</v>
      </c>
      <c r="N10" s="109">
        <f t="shared" si="0"/>
        <v>0</v>
      </c>
      <c r="O10" s="110">
        <f>盈亏模拟!V24</f>
        <v>8107.90411764706</v>
      </c>
      <c r="P10" s="110">
        <f t="shared" si="1"/>
        <v>2844.74622291022</v>
      </c>
      <c r="Q10" s="110">
        <f t="shared" si="8"/>
        <v>2844.74622291022</v>
      </c>
      <c r="R10" s="28"/>
      <c r="S10" s="111">
        <f t="shared" si="9"/>
        <v>50</v>
      </c>
      <c r="T10" s="111">
        <f t="shared" si="10"/>
        <v>16.6666666666667</v>
      </c>
      <c r="U10" s="111">
        <f t="shared" si="11"/>
        <v>33.3333333333333</v>
      </c>
      <c r="V10" s="111">
        <f t="shared" si="5"/>
        <v>-175.438596491228</v>
      </c>
      <c r="W10" s="28"/>
      <c r="X10" s="28" t="s">
        <v>132</v>
      </c>
    </row>
    <row r="11" ht="15" customHeight="1" spans="1:24">
      <c r="A11" s="28" t="s">
        <v>133</v>
      </c>
      <c r="B11" s="28" t="s">
        <v>104</v>
      </c>
      <c r="C11" s="109">
        <v>18.99</v>
      </c>
      <c r="D11" s="114">
        <v>0.1</v>
      </c>
      <c r="E11" s="114">
        <v>0</v>
      </c>
      <c r="F11" s="114">
        <v>0</v>
      </c>
      <c r="G11" s="109">
        <v>0</v>
      </c>
      <c r="H11" s="109">
        <v>1200</v>
      </c>
      <c r="I11" s="109">
        <v>600</v>
      </c>
      <c r="J11" s="119">
        <f t="shared" si="6"/>
        <v>1800</v>
      </c>
      <c r="K11" s="109">
        <v>30</v>
      </c>
      <c r="L11" s="110">
        <f>CPC模拟!W12</f>
        <v>10</v>
      </c>
      <c r="M11" s="120">
        <f t="shared" si="7"/>
        <v>-6000</v>
      </c>
      <c r="N11" s="109">
        <f t="shared" si="0"/>
        <v>0</v>
      </c>
      <c r="O11" s="110">
        <f>盈亏模拟!V27</f>
        <v>11173.932</v>
      </c>
      <c r="P11" s="110">
        <f t="shared" si="1"/>
        <v>5173.932</v>
      </c>
      <c r="Q11" s="110">
        <f t="shared" si="8"/>
        <v>5173.932</v>
      </c>
      <c r="R11" s="28"/>
      <c r="S11" s="111">
        <f t="shared" si="9"/>
        <v>60</v>
      </c>
      <c r="T11" s="111">
        <f t="shared" si="10"/>
        <v>20</v>
      </c>
      <c r="U11" s="111">
        <f t="shared" si="11"/>
        <v>40</v>
      </c>
      <c r="V11" s="111">
        <f t="shared" si="5"/>
        <v>-200</v>
      </c>
      <c r="W11" s="28"/>
      <c r="X11" s="28" t="s">
        <v>134</v>
      </c>
    </row>
    <row r="12" ht="15" customHeight="1" spans="1:24">
      <c r="A12" s="28" t="s">
        <v>135</v>
      </c>
      <c r="B12" s="28" t="s">
        <v>135</v>
      </c>
      <c r="C12" s="109">
        <v>19.99</v>
      </c>
      <c r="D12" s="114">
        <v>0.1</v>
      </c>
      <c r="E12" s="114">
        <v>0</v>
      </c>
      <c r="F12" s="114">
        <v>0</v>
      </c>
      <c r="G12" s="109">
        <v>0</v>
      </c>
      <c r="H12" s="109">
        <v>1600</v>
      </c>
      <c r="I12" s="109">
        <v>800</v>
      </c>
      <c r="J12" s="119">
        <f t="shared" si="6"/>
        <v>2400</v>
      </c>
      <c r="K12" s="109">
        <v>30</v>
      </c>
      <c r="L12" s="110">
        <f>CPC模拟!W13</f>
        <v>6.66666666666667</v>
      </c>
      <c r="M12" s="120">
        <f t="shared" si="7"/>
        <v>-5333.33333333333</v>
      </c>
      <c r="N12" s="109">
        <f t="shared" si="0"/>
        <v>0</v>
      </c>
      <c r="O12" s="110">
        <f>盈亏模拟!V30</f>
        <v>16824.5054117647</v>
      </c>
      <c r="P12" s="110">
        <f t="shared" si="1"/>
        <v>11491.1720784314</v>
      </c>
      <c r="Q12" s="110">
        <f t="shared" si="8"/>
        <v>11491.1720784314</v>
      </c>
      <c r="R12" s="28"/>
      <c r="S12" s="111">
        <f t="shared" si="9"/>
        <v>80</v>
      </c>
      <c r="T12" s="111">
        <f t="shared" si="10"/>
        <v>26.6666666666667</v>
      </c>
      <c r="U12" s="111">
        <f t="shared" si="11"/>
        <v>53.3333333333333</v>
      </c>
      <c r="V12" s="111">
        <f t="shared" si="5"/>
        <v>-177.777777777778</v>
      </c>
      <c r="X12" s="28" t="s">
        <v>136</v>
      </c>
    </row>
    <row r="13" ht="15" customHeight="1"/>
    <row r="14" ht="15" customHeight="1"/>
    <row r="15" ht="15" customHeight="1"/>
    <row r="16" ht="15" customHeight="1"/>
    <row r="17" ht="51.75" customHeight="1" spans="1:24">
      <c r="A17" s="28" t="s">
        <v>71</v>
      </c>
      <c r="B17" s="112" t="s">
        <v>72</v>
      </c>
      <c r="C17" s="28" t="s">
        <v>11</v>
      </c>
      <c r="D17" s="113" t="s">
        <v>13</v>
      </c>
      <c r="E17" s="113" t="s">
        <v>14</v>
      </c>
      <c r="F17" s="113" t="s">
        <v>73</v>
      </c>
      <c r="G17" s="113" t="s">
        <v>35</v>
      </c>
      <c r="H17" s="113" t="s">
        <v>37</v>
      </c>
      <c r="I17" s="113" t="s">
        <v>74</v>
      </c>
      <c r="J17" s="117" t="s">
        <v>75</v>
      </c>
      <c r="K17" s="113" t="s">
        <v>76</v>
      </c>
      <c r="L17" s="118" t="s">
        <v>30</v>
      </c>
      <c r="M17" s="118" t="s">
        <v>137</v>
      </c>
      <c r="N17" s="113" t="s">
        <v>138</v>
      </c>
      <c r="O17" s="118" t="s">
        <v>79</v>
      </c>
      <c r="P17" s="118" t="s">
        <v>80</v>
      </c>
      <c r="Q17" s="118" t="s">
        <v>81</v>
      </c>
      <c r="R17" s="28" t="s">
        <v>108</v>
      </c>
      <c r="S17" s="121" t="s">
        <v>109</v>
      </c>
      <c r="T17" s="121" t="s">
        <v>110</v>
      </c>
      <c r="U17" s="121" t="s">
        <v>111</v>
      </c>
      <c r="V17" s="121" t="s">
        <v>112</v>
      </c>
      <c r="W17" s="113" t="s">
        <v>85</v>
      </c>
      <c r="X17" s="113" t="s">
        <v>86</v>
      </c>
    </row>
    <row r="18" ht="21" customHeight="1" spans="1:24">
      <c r="A18" s="28"/>
      <c r="B18" s="116"/>
      <c r="C18" s="116"/>
      <c r="D18" s="116"/>
      <c r="E18" s="116"/>
      <c r="F18" s="116"/>
      <c r="G18" s="116"/>
      <c r="H18" s="116"/>
      <c r="I18" s="116"/>
      <c r="J18" s="116"/>
      <c r="K18" s="116"/>
      <c r="L18" s="116"/>
      <c r="M18" s="116"/>
      <c r="N18" s="116"/>
      <c r="O18" s="116"/>
      <c r="P18" s="116"/>
      <c r="Q18" s="118"/>
      <c r="R18" s="28"/>
      <c r="S18" s="121"/>
      <c r="T18" s="121"/>
      <c r="U18" s="121"/>
      <c r="V18" s="121"/>
      <c r="W18" s="113"/>
      <c r="X18" s="113"/>
    </row>
    <row r="19" ht="15" customHeight="1" spans="1:24">
      <c r="A19" s="28" t="s">
        <v>114</v>
      </c>
      <c r="B19" s="28" t="s">
        <v>88</v>
      </c>
      <c r="C19" s="28"/>
      <c r="D19" s="114"/>
      <c r="E19" s="114"/>
      <c r="F19" s="114"/>
      <c r="J19" s="119"/>
      <c r="N19" s="110"/>
      <c r="W19" s="30"/>
      <c r="X19" s="30"/>
    </row>
    <row r="20" ht="15" customHeight="1" spans="1:24">
      <c r="A20" s="28" t="s">
        <v>117</v>
      </c>
      <c r="B20" s="28" t="s">
        <v>90</v>
      </c>
      <c r="D20" s="115"/>
      <c r="E20" s="115"/>
      <c r="F20" s="115"/>
      <c r="J20" s="119"/>
      <c r="M20" s="28"/>
      <c r="N20" s="110"/>
      <c r="W20" s="30"/>
      <c r="X20" s="30"/>
    </row>
    <row r="21" ht="15" customHeight="1" spans="1:24">
      <c r="A21" s="28" t="s">
        <v>120</v>
      </c>
      <c r="B21" s="28" t="s">
        <v>92</v>
      </c>
      <c r="D21" s="114"/>
      <c r="E21" s="114"/>
      <c r="F21" s="114"/>
      <c r="J21" s="119"/>
      <c r="N21" s="110"/>
      <c r="W21" s="30"/>
      <c r="X21" s="30"/>
    </row>
    <row r="22" ht="15" customHeight="1" spans="1:24">
      <c r="A22" s="28" t="s">
        <v>123</v>
      </c>
      <c r="B22" s="28" t="s">
        <v>94</v>
      </c>
      <c r="D22" s="114"/>
      <c r="E22" s="114"/>
      <c r="F22" s="114"/>
      <c r="J22" s="119"/>
      <c r="N22" s="110"/>
      <c r="W22" s="30"/>
      <c r="X22" s="30"/>
    </row>
    <row r="23" ht="15" customHeight="1" spans="1:24">
      <c r="A23" s="28" t="s">
        <v>126</v>
      </c>
      <c r="B23" s="28" t="s">
        <v>96</v>
      </c>
      <c r="D23" s="114"/>
      <c r="E23" s="114"/>
      <c r="F23" s="114"/>
      <c r="J23" s="119"/>
      <c r="N23" s="110"/>
      <c r="W23" s="30"/>
      <c r="X23" s="30"/>
    </row>
    <row r="24" ht="15" customHeight="1" spans="1:14">
      <c r="A24" s="28" t="s">
        <v>129</v>
      </c>
      <c r="B24" s="28" t="s">
        <v>98</v>
      </c>
      <c r="D24" s="114"/>
      <c r="E24" s="114"/>
      <c r="F24" s="114"/>
      <c r="N24" s="110"/>
    </row>
    <row r="25" ht="15" customHeight="1" spans="1:14">
      <c r="A25" s="28" t="s">
        <v>104</v>
      </c>
      <c r="B25" s="28" t="s">
        <v>100</v>
      </c>
      <c r="D25" s="114"/>
      <c r="E25" s="114"/>
      <c r="F25" s="114"/>
      <c r="N25" s="110"/>
    </row>
    <row r="26" ht="15" customHeight="1" spans="1:14">
      <c r="A26" s="28" t="s">
        <v>131</v>
      </c>
      <c r="B26" s="28" t="s">
        <v>102</v>
      </c>
      <c r="D26" s="114"/>
      <c r="E26" s="114"/>
      <c r="F26" s="114"/>
      <c r="N26" s="110"/>
    </row>
    <row r="27" ht="15" customHeight="1" spans="1:14">
      <c r="A27" s="28" t="s">
        <v>133</v>
      </c>
      <c r="B27" s="28" t="s">
        <v>104</v>
      </c>
      <c r="D27" s="114"/>
      <c r="E27" s="114"/>
      <c r="F27" s="114"/>
      <c r="N27" s="110"/>
    </row>
    <row r="28" ht="15" customHeight="1" spans="1:14">
      <c r="A28" s="28" t="s">
        <v>135</v>
      </c>
      <c r="B28" s="28" t="s">
        <v>135</v>
      </c>
      <c r="D28" s="114"/>
      <c r="E28" s="114"/>
      <c r="F28" s="114"/>
      <c r="N28" s="110"/>
    </row>
    <row r="29" ht="15" customHeight="1" spans="14:14">
      <c r="N29" s="110"/>
    </row>
    <row r="30" spans="14:14">
      <c r="N30" s="110"/>
    </row>
    <row r="31" spans="1:14">
      <c r="A31" s="28"/>
      <c r="N31" s="110"/>
    </row>
    <row r="32" spans="14:14">
      <c r="N32" s="110"/>
    </row>
    <row r="33" spans="14:14">
      <c r="N33" s="110"/>
    </row>
    <row r="34" spans="14:14">
      <c r="N34" s="110"/>
    </row>
    <row r="35" spans="14:14">
      <c r="N35" s="110"/>
    </row>
  </sheetData>
  <sheetProtection formatCells="0" insertHyperlinks="0" autoFilter="0"/>
  <mergeCells count="4">
    <mergeCell ref="A2:P2"/>
    <mergeCell ref="B18:P18"/>
    <mergeCell ref="Q3:Q8"/>
    <mergeCell ref="Q19:Q24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31"/>
  <sheetViews>
    <sheetView tabSelected="1" workbookViewId="0">
      <pane ySplit="2" topLeftCell="A3" activePane="bottomLeft" state="frozen"/>
      <selection/>
      <selection pane="bottomLeft" activeCell="A23" sqref="A23:W23"/>
    </sheetView>
  </sheetViews>
  <sheetFormatPr defaultColWidth="9" defaultRowHeight="13.5"/>
  <cols>
    <col min="1" max="1" width="13.125" customWidth="1"/>
    <col min="3" max="3" width="21.125" customWidth="1"/>
    <col min="4" max="4" width="7.25" customWidth="1"/>
    <col min="5" max="5" width="7.875" customWidth="1"/>
    <col min="6" max="6" width="8.5" customWidth="1"/>
    <col min="7" max="7" width="7.75" customWidth="1"/>
    <col min="10" max="10" width="7.25" customWidth="1"/>
    <col min="11" max="11" width="7.625" customWidth="1"/>
    <col min="13" max="13" width="6.625" customWidth="1"/>
    <col min="14" max="14" width="6.25" customWidth="1"/>
    <col min="15" max="15" width="13.75" customWidth="1"/>
    <col min="16" max="16" width="8" customWidth="1"/>
    <col min="18" max="18" width="7.375" customWidth="1"/>
    <col min="19" max="19" width="7.75" customWidth="1"/>
    <col min="20" max="20" width="6.875" customWidth="1"/>
    <col min="21" max="21" width="8.75" style="67" customWidth="1"/>
    <col min="22" max="22" width="9.375" style="68"/>
    <col min="23" max="23" width="7.75" style="2" customWidth="1"/>
    <col min="24" max="24" width="9" style="69"/>
    <col min="25" max="26" width="9" style="68"/>
  </cols>
  <sheetData>
    <row r="1" ht="21" spans="1:23">
      <c r="A1" s="70" t="s">
        <v>44</v>
      </c>
      <c r="B1" s="70"/>
      <c r="C1" s="70"/>
      <c r="D1" s="70"/>
      <c r="E1" s="70"/>
      <c r="F1" s="70"/>
      <c r="G1" s="70"/>
      <c r="H1" s="70"/>
      <c r="I1" s="70"/>
      <c r="J1" s="70"/>
      <c r="K1" s="70"/>
      <c r="L1" s="70"/>
      <c r="M1" s="70"/>
      <c r="N1" s="70"/>
      <c r="O1" s="70"/>
      <c r="P1" s="70"/>
      <c r="Q1" s="70"/>
      <c r="R1" s="70"/>
      <c r="S1" s="70"/>
      <c r="T1" s="70"/>
      <c r="U1" s="92"/>
      <c r="V1" s="93"/>
      <c r="W1" s="70"/>
    </row>
    <row r="2" ht="47.25" customHeight="1" spans="1:23">
      <c r="A2" s="71" t="s">
        <v>8</v>
      </c>
      <c r="B2" s="71" t="s">
        <v>139</v>
      </c>
      <c r="C2" s="71" t="s">
        <v>45</v>
      </c>
      <c r="D2" s="72" t="s">
        <v>46</v>
      </c>
      <c r="E2" s="72" t="s">
        <v>47</v>
      </c>
      <c r="F2" s="73" t="s">
        <v>48</v>
      </c>
      <c r="G2" s="74" t="s">
        <v>49</v>
      </c>
      <c r="H2" s="74" t="s">
        <v>50</v>
      </c>
      <c r="I2" s="74" t="s">
        <v>51</v>
      </c>
      <c r="J2" s="74" t="s">
        <v>52</v>
      </c>
      <c r="K2" s="74" t="s">
        <v>53</v>
      </c>
      <c r="L2" s="88" t="s">
        <v>54</v>
      </c>
      <c r="M2" s="74" t="s">
        <v>55</v>
      </c>
      <c r="N2" s="74" t="s">
        <v>56</v>
      </c>
      <c r="O2" s="74" t="s">
        <v>57</v>
      </c>
      <c r="P2" s="89" t="s">
        <v>58</v>
      </c>
      <c r="Q2" s="74" t="s">
        <v>59</v>
      </c>
      <c r="R2" s="74" t="s">
        <v>60</v>
      </c>
      <c r="S2" s="89" t="s">
        <v>61</v>
      </c>
      <c r="T2" s="94" t="s">
        <v>62</v>
      </c>
      <c r="U2" s="74" t="s">
        <v>140</v>
      </c>
      <c r="V2" s="95" t="s">
        <v>141</v>
      </c>
      <c r="W2" s="96" t="s">
        <v>142</v>
      </c>
    </row>
    <row r="3" ht="19" customHeight="1" spans="1:23">
      <c r="A3" s="75" t="s">
        <v>114</v>
      </c>
      <c r="B3" s="75" t="s">
        <v>143</v>
      </c>
      <c r="C3" s="76" t="s">
        <v>69</v>
      </c>
      <c r="D3" s="76">
        <v>12.99</v>
      </c>
      <c r="E3" s="77">
        <v>0</v>
      </c>
      <c r="F3" s="78">
        <v>0</v>
      </c>
      <c r="G3" s="79">
        <f t="shared" ref="G3:G7" si="0">SUM(D3*(1-E3-F3))</f>
        <v>12.99</v>
      </c>
      <c r="H3" s="79">
        <v>4.38</v>
      </c>
      <c r="I3" s="79">
        <f t="shared" ref="I3:I7" si="1">SUM(G3*15%)</f>
        <v>1.9485</v>
      </c>
      <c r="J3" s="79">
        <f t="shared" ref="J3:J7" si="2">SUM(G3-H3-I3)</f>
        <v>6.6615</v>
      </c>
      <c r="K3" s="90">
        <v>0.01</v>
      </c>
      <c r="L3" s="79">
        <v>0</v>
      </c>
      <c r="M3" s="79">
        <v>2.5</v>
      </c>
      <c r="N3" s="79">
        <v>0.5</v>
      </c>
      <c r="O3" s="79">
        <f t="shared" ref="O3:O7" si="3">SUM(20%*15%*G3+H3+K3+50%*M3+N3+1.46)</f>
        <v>7.9897</v>
      </c>
      <c r="P3" s="91">
        <v>0.15</v>
      </c>
      <c r="Q3" s="79">
        <f t="shared" ref="Q3:Q7" si="4">SUM(O3*P3/(1-P3))</f>
        <v>1.40994705882353</v>
      </c>
      <c r="R3" s="79">
        <f t="shared" ref="R3:R7" si="5">SUM(J3-K3-L3-M3-N3-Q3)</f>
        <v>2.24155294117647</v>
      </c>
      <c r="S3" s="97">
        <f t="shared" ref="S3:S7" si="6">SUM(R3/D3)</f>
        <v>0.172559887696418</v>
      </c>
      <c r="T3" s="98">
        <v>30</v>
      </c>
      <c r="U3" s="79">
        <f t="shared" ref="U3:U7" si="7">SUM(R3*T3)</f>
        <v>67.2465882352941</v>
      </c>
      <c r="V3" s="99">
        <f>SUM(U3:U4)</f>
        <v>67.2465882352941</v>
      </c>
      <c r="W3" s="100">
        <f>SUM(T3:T4)</f>
        <v>30</v>
      </c>
    </row>
    <row r="4" ht="19" customHeight="1" spans="1:23">
      <c r="A4" s="80" t="s">
        <v>88</v>
      </c>
      <c r="B4" s="80" t="s">
        <v>143</v>
      </c>
      <c r="C4" s="76" t="s">
        <v>70</v>
      </c>
      <c r="D4" s="76">
        <v>12.99</v>
      </c>
      <c r="E4" s="77">
        <v>0</v>
      </c>
      <c r="F4" s="78">
        <v>0</v>
      </c>
      <c r="G4" s="79">
        <f t="shared" si="0"/>
        <v>12.99</v>
      </c>
      <c r="H4" s="79">
        <v>4.38</v>
      </c>
      <c r="I4" s="79">
        <f t="shared" si="1"/>
        <v>1.9485</v>
      </c>
      <c r="J4" s="79">
        <f t="shared" si="2"/>
        <v>6.6615</v>
      </c>
      <c r="K4" s="90">
        <v>0.01</v>
      </c>
      <c r="L4" s="79">
        <v>0.6</v>
      </c>
      <c r="M4" s="79">
        <v>2.5</v>
      </c>
      <c r="N4" s="79">
        <v>0.5</v>
      </c>
      <c r="O4" s="79">
        <f t="shared" si="3"/>
        <v>7.9897</v>
      </c>
      <c r="P4" s="91">
        <v>0.15</v>
      </c>
      <c r="Q4" s="79">
        <f t="shared" si="4"/>
        <v>1.40994705882353</v>
      </c>
      <c r="R4" s="79">
        <f t="shared" si="5"/>
        <v>1.64155294117647</v>
      </c>
      <c r="S4" s="97">
        <f t="shared" si="6"/>
        <v>0.126370511253</v>
      </c>
      <c r="T4" s="98">
        <v>0</v>
      </c>
      <c r="U4" s="79">
        <f t="shared" si="7"/>
        <v>0</v>
      </c>
      <c r="V4" s="101"/>
      <c r="W4" s="102"/>
    </row>
    <row r="5" ht="19" customHeight="1" spans="1:23">
      <c r="A5" s="81"/>
      <c r="B5" s="82"/>
      <c r="C5" s="82"/>
      <c r="D5" s="82"/>
      <c r="E5" s="82"/>
      <c r="F5" s="82"/>
      <c r="G5" s="82"/>
      <c r="H5" s="82"/>
      <c r="I5" s="82"/>
      <c r="J5" s="82"/>
      <c r="K5" s="82"/>
      <c r="L5" s="82"/>
      <c r="M5" s="82"/>
      <c r="N5" s="82"/>
      <c r="O5" s="82"/>
      <c r="P5" s="82"/>
      <c r="Q5" s="82"/>
      <c r="R5" s="82"/>
      <c r="S5" s="82"/>
      <c r="T5" s="82"/>
      <c r="U5" s="82"/>
      <c r="V5" s="82"/>
      <c r="W5" s="103"/>
    </row>
    <row r="6" ht="19" customHeight="1" spans="1:24">
      <c r="A6" s="83" t="s">
        <v>117</v>
      </c>
      <c r="B6" s="75" t="s">
        <v>143</v>
      </c>
      <c r="C6" s="76" t="s">
        <v>69</v>
      </c>
      <c r="D6" s="76">
        <v>12.99</v>
      </c>
      <c r="E6" s="77">
        <v>0</v>
      </c>
      <c r="F6" s="78">
        <v>0</v>
      </c>
      <c r="G6" s="79">
        <f t="shared" si="0"/>
        <v>12.99</v>
      </c>
      <c r="H6" s="79">
        <v>4.38</v>
      </c>
      <c r="I6" s="79">
        <f t="shared" si="1"/>
        <v>1.9485</v>
      </c>
      <c r="J6" s="79">
        <f t="shared" si="2"/>
        <v>6.6615</v>
      </c>
      <c r="K6" s="90">
        <v>0.01</v>
      </c>
      <c r="L6" s="79">
        <v>0</v>
      </c>
      <c r="M6" s="79">
        <v>2.5</v>
      </c>
      <c r="N6" s="79">
        <v>0.5</v>
      </c>
      <c r="O6" s="79">
        <f t="shared" si="3"/>
        <v>7.9897</v>
      </c>
      <c r="P6" s="91">
        <v>0.15</v>
      </c>
      <c r="Q6" s="79">
        <f t="shared" si="4"/>
        <v>1.40994705882353</v>
      </c>
      <c r="R6" s="79">
        <f t="shared" si="5"/>
        <v>2.24155294117647</v>
      </c>
      <c r="S6" s="97">
        <f t="shared" si="6"/>
        <v>0.172559887696418</v>
      </c>
      <c r="T6" s="98">
        <v>50</v>
      </c>
      <c r="U6" s="79">
        <f t="shared" si="7"/>
        <v>112.077647058824</v>
      </c>
      <c r="V6" s="99">
        <f>SUM(U6:U7)</f>
        <v>112.077647058824</v>
      </c>
      <c r="W6" s="104">
        <f>SUM(T6:T7)</f>
        <v>50</v>
      </c>
      <c r="X6" s="105"/>
    </row>
    <row r="7" customFormat="1" ht="19" customHeight="1" spans="1:26">
      <c r="A7" s="75" t="s">
        <v>90</v>
      </c>
      <c r="B7" s="80" t="s">
        <v>143</v>
      </c>
      <c r="C7" s="76" t="s">
        <v>70</v>
      </c>
      <c r="D7" s="76">
        <v>12.99</v>
      </c>
      <c r="E7" s="77">
        <v>0</v>
      </c>
      <c r="F7" s="78">
        <v>0</v>
      </c>
      <c r="G7" s="79">
        <f t="shared" si="0"/>
        <v>12.99</v>
      </c>
      <c r="H7" s="79">
        <v>4.38</v>
      </c>
      <c r="I7" s="79">
        <f t="shared" si="1"/>
        <v>1.9485</v>
      </c>
      <c r="J7" s="79">
        <f t="shared" si="2"/>
        <v>6.6615</v>
      </c>
      <c r="K7" s="90">
        <v>0.01</v>
      </c>
      <c r="L7" s="79">
        <v>0.6</v>
      </c>
      <c r="M7" s="79">
        <v>2.5</v>
      </c>
      <c r="N7" s="79">
        <v>0.5</v>
      </c>
      <c r="O7" s="79">
        <f t="shared" si="3"/>
        <v>7.9897</v>
      </c>
      <c r="P7" s="91">
        <v>0.15</v>
      </c>
      <c r="Q7" s="79">
        <f t="shared" si="4"/>
        <v>1.40994705882353</v>
      </c>
      <c r="R7" s="79">
        <f t="shared" si="5"/>
        <v>1.64155294117647</v>
      </c>
      <c r="S7" s="97">
        <f t="shared" si="6"/>
        <v>0.126370511253</v>
      </c>
      <c r="T7" s="98">
        <v>0</v>
      </c>
      <c r="U7" s="79">
        <f t="shared" si="7"/>
        <v>0</v>
      </c>
      <c r="V7" s="101"/>
      <c r="W7" s="100"/>
      <c r="X7" s="69"/>
      <c r="Y7" s="68"/>
      <c r="Z7" s="68"/>
    </row>
    <row r="8" ht="19" customHeight="1" spans="1:23">
      <c r="A8" s="81"/>
      <c r="B8" s="82"/>
      <c r="C8" s="82"/>
      <c r="D8" s="82"/>
      <c r="E8" s="82"/>
      <c r="F8" s="82"/>
      <c r="G8" s="82"/>
      <c r="H8" s="82"/>
      <c r="I8" s="82"/>
      <c r="J8" s="82"/>
      <c r="K8" s="82"/>
      <c r="L8" s="82"/>
      <c r="M8" s="82"/>
      <c r="N8" s="82"/>
      <c r="O8" s="82"/>
      <c r="P8" s="82"/>
      <c r="Q8" s="82"/>
      <c r="R8" s="82"/>
      <c r="S8" s="82"/>
      <c r="T8" s="82"/>
      <c r="U8" s="82"/>
      <c r="V8" s="82"/>
      <c r="W8" s="103"/>
    </row>
    <row r="9" ht="19" customHeight="1" spans="1:24">
      <c r="A9" s="75" t="s">
        <v>120</v>
      </c>
      <c r="B9" s="75" t="s">
        <v>143</v>
      </c>
      <c r="C9" s="76" t="s">
        <v>69</v>
      </c>
      <c r="D9" s="76">
        <v>13.99</v>
      </c>
      <c r="E9" s="77">
        <v>0</v>
      </c>
      <c r="F9" s="78">
        <v>0</v>
      </c>
      <c r="G9" s="79">
        <f t="shared" ref="G9:G13" si="8">SUM(D9*(1-E9-F9))</f>
        <v>13.99</v>
      </c>
      <c r="H9" s="79">
        <v>4.38</v>
      </c>
      <c r="I9" s="79">
        <f t="shared" ref="I9:I13" si="9">SUM(G9*15%)</f>
        <v>2.0985</v>
      </c>
      <c r="J9" s="79">
        <f t="shared" ref="J9:J13" si="10">SUM(G9-H9-I9)</f>
        <v>7.5115</v>
      </c>
      <c r="K9" s="90">
        <v>0.01</v>
      </c>
      <c r="L9" s="79">
        <v>0</v>
      </c>
      <c r="M9" s="79">
        <v>2.5</v>
      </c>
      <c r="N9" s="79">
        <v>0.5</v>
      </c>
      <c r="O9" s="79">
        <f t="shared" ref="O9:O13" si="11">SUM(20%*15%*G9+H9+K9+50%*M9+N9+1.46)</f>
        <v>8.0197</v>
      </c>
      <c r="P9" s="91">
        <v>0.15</v>
      </c>
      <c r="Q9" s="79">
        <f t="shared" ref="Q9:Q13" si="12">SUM(O9*P9/(1-P9))</f>
        <v>1.41524117647059</v>
      </c>
      <c r="R9" s="79">
        <f t="shared" ref="R9:R13" si="13">SUM(J9-K9-L9-M9-N9-Q9)</f>
        <v>3.08625882352941</v>
      </c>
      <c r="S9" s="97">
        <f t="shared" ref="S9:S13" si="14">SUM(R9/D9)</f>
        <v>0.220604633561788</v>
      </c>
      <c r="T9" s="98">
        <v>100</v>
      </c>
      <c r="U9" s="79">
        <f t="shared" ref="U9:U13" si="15">SUM(R9*T9)</f>
        <v>308.625882352941</v>
      </c>
      <c r="V9" s="106">
        <f>SUM(U9:U10)</f>
        <v>308.625882352941</v>
      </c>
      <c r="W9" s="100">
        <f>SUM(T9:T10)</f>
        <v>100</v>
      </c>
      <c r="X9" s="105"/>
    </row>
    <row r="10" customFormat="1" ht="19" customHeight="1" spans="1:26">
      <c r="A10" s="75" t="s">
        <v>92</v>
      </c>
      <c r="B10" s="75" t="s">
        <v>143</v>
      </c>
      <c r="C10" s="76" t="s">
        <v>70</v>
      </c>
      <c r="D10" s="76">
        <v>13.99</v>
      </c>
      <c r="E10" s="77">
        <v>0</v>
      </c>
      <c r="F10" s="78">
        <v>0</v>
      </c>
      <c r="G10" s="79">
        <f t="shared" si="8"/>
        <v>13.99</v>
      </c>
      <c r="H10" s="79">
        <v>4.38</v>
      </c>
      <c r="I10" s="79">
        <f t="shared" si="9"/>
        <v>2.0985</v>
      </c>
      <c r="J10" s="79">
        <f t="shared" si="10"/>
        <v>7.5115</v>
      </c>
      <c r="K10" s="90">
        <v>0.01</v>
      </c>
      <c r="L10" s="79">
        <v>0.6</v>
      </c>
      <c r="M10" s="79">
        <v>2.5</v>
      </c>
      <c r="N10" s="79">
        <v>0.5</v>
      </c>
      <c r="O10" s="79">
        <f t="shared" si="11"/>
        <v>8.0197</v>
      </c>
      <c r="P10" s="91">
        <v>0.15</v>
      </c>
      <c r="Q10" s="79">
        <f t="shared" si="12"/>
        <v>1.41524117647059</v>
      </c>
      <c r="R10" s="79">
        <f t="shared" si="13"/>
        <v>2.48625882352941</v>
      </c>
      <c r="S10" s="97">
        <f t="shared" si="14"/>
        <v>0.177716856578228</v>
      </c>
      <c r="T10" s="98">
        <v>0</v>
      </c>
      <c r="U10" s="79">
        <f t="shared" si="15"/>
        <v>0</v>
      </c>
      <c r="V10" s="106"/>
      <c r="W10" s="100"/>
      <c r="X10" s="69"/>
      <c r="Y10" s="68"/>
      <c r="Z10" s="68"/>
    </row>
    <row r="11" ht="19" customHeight="1" spans="1:23">
      <c r="A11" s="84"/>
      <c r="B11" s="84"/>
      <c r="C11" s="84"/>
      <c r="D11" s="84"/>
      <c r="E11" s="84"/>
      <c r="F11" s="84"/>
      <c r="G11" s="84"/>
      <c r="H11" s="84"/>
      <c r="I11" s="84"/>
      <c r="J11" s="84"/>
      <c r="K11" s="84"/>
      <c r="L11" s="84"/>
      <c r="M11" s="84"/>
      <c r="N11" s="84"/>
      <c r="O11" s="84"/>
      <c r="P11" s="84"/>
      <c r="Q11" s="84"/>
      <c r="R11" s="84"/>
      <c r="S11" s="84"/>
      <c r="T11" s="84"/>
      <c r="U11" s="84"/>
      <c r="V11" s="84"/>
      <c r="W11" s="84"/>
    </row>
    <row r="12" customFormat="1" ht="19" customHeight="1" spans="1:26">
      <c r="A12" s="75" t="s">
        <v>123</v>
      </c>
      <c r="B12" s="75" t="s">
        <v>143</v>
      </c>
      <c r="C12" s="76" t="s">
        <v>69</v>
      </c>
      <c r="D12" s="76">
        <v>13.99</v>
      </c>
      <c r="E12" s="77">
        <v>0</v>
      </c>
      <c r="F12" s="78">
        <v>0</v>
      </c>
      <c r="G12" s="79">
        <f t="shared" si="8"/>
        <v>13.99</v>
      </c>
      <c r="H12" s="79">
        <v>4.38</v>
      </c>
      <c r="I12" s="79">
        <f t="shared" si="9"/>
        <v>2.0985</v>
      </c>
      <c r="J12" s="79">
        <f t="shared" si="10"/>
        <v>7.5115</v>
      </c>
      <c r="K12" s="90">
        <v>0.01</v>
      </c>
      <c r="L12" s="79">
        <v>0</v>
      </c>
      <c r="M12" s="79">
        <v>2.5</v>
      </c>
      <c r="N12" s="79">
        <v>0.5</v>
      </c>
      <c r="O12" s="79">
        <f t="shared" si="11"/>
        <v>8.0197</v>
      </c>
      <c r="P12" s="91">
        <v>0.15</v>
      </c>
      <c r="Q12" s="79">
        <f t="shared" si="12"/>
        <v>1.41524117647059</v>
      </c>
      <c r="R12" s="79">
        <f t="shared" si="13"/>
        <v>3.08625882352941</v>
      </c>
      <c r="S12" s="97">
        <f t="shared" si="14"/>
        <v>0.220604633561788</v>
      </c>
      <c r="T12" s="98">
        <v>150</v>
      </c>
      <c r="U12" s="79">
        <f t="shared" si="15"/>
        <v>462.938823529412</v>
      </c>
      <c r="V12" s="106">
        <f>SUM(U12:U13)</f>
        <v>462.938823529412</v>
      </c>
      <c r="W12" s="100">
        <f>SUM(T12:T13)</f>
        <v>150</v>
      </c>
      <c r="X12" s="105"/>
      <c r="Y12" s="68"/>
      <c r="Z12" s="68"/>
    </row>
    <row r="13" customFormat="1" ht="19" customHeight="1" spans="1:26">
      <c r="A13" s="75" t="s">
        <v>94</v>
      </c>
      <c r="B13" s="75" t="s">
        <v>143</v>
      </c>
      <c r="C13" s="76" t="s">
        <v>70</v>
      </c>
      <c r="D13" s="76">
        <v>13.99</v>
      </c>
      <c r="E13" s="77">
        <v>0</v>
      </c>
      <c r="F13" s="78">
        <v>0</v>
      </c>
      <c r="G13" s="79">
        <f t="shared" si="8"/>
        <v>13.99</v>
      </c>
      <c r="H13" s="79">
        <v>4.38</v>
      </c>
      <c r="I13" s="79">
        <f t="shared" si="9"/>
        <v>2.0985</v>
      </c>
      <c r="J13" s="79">
        <f t="shared" si="10"/>
        <v>7.5115</v>
      </c>
      <c r="K13" s="90">
        <v>0.01</v>
      </c>
      <c r="L13" s="79">
        <v>0.6</v>
      </c>
      <c r="M13" s="79">
        <v>2.5</v>
      </c>
      <c r="N13" s="79">
        <v>0.5</v>
      </c>
      <c r="O13" s="79">
        <f t="shared" si="11"/>
        <v>8.0197</v>
      </c>
      <c r="P13" s="91">
        <v>0.15</v>
      </c>
      <c r="Q13" s="79">
        <f t="shared" si="12"/>
        <v>1.41524117647059</v>
      </c>
      <c r="R13" s="79">
        <f t="shared" si="13"/>
        <v>2.48625882352941</v>
      </c>
      <c r="S13" s="97">
        <f t="shared" si="14"/>
        <v>0.177716856578228</v>
      </c>
      <c r="T13" s="98">
        <v>0</v>
      </c>
      <c r="U13" s="79">
        <f t="shared" si="15"/>
        <v>0</v>
      </c>
      <c r="V13" s="106"/>
      <c r="W13" s="100"/>
      <c r="X13" s="69"/>
      <c r="Y13" s="68"/>
      <c r="Z13" s="68"/>
    </row>
    <row r="14" customFormat="1" ht="19" customHeight="1" spans="1:26">
      <c r="A14" s="85"/>
      <c r="B14" s="86"/>
      <c r="C14" s="86"/>
      <c r="D14" s="86"/>
      <c r="E14" s="86"/>
      <c r="F14" s="86"/>
      <c r="G14" s="86"/>
      <c r="H14" s="86"/>
      <c r="I14" s="86"/>
      <c r="J14" s="86"/>
      <c r="K14" s="86"/>
      <c r="L14" s="86"/>
      <c r="M14" s="86"/>
      <c r="N14" s="86"/>
      <c r="O14" s="86"/>
      <c r="P14" s="86"/>
      <c r="Q14" s="86"/>
      <c r="R14" s="86"/>
      <c r="S14" s="86"/>
      <c r="T14" s="86"/>
      <c r="U14" s="86"/>
      <c r="V14" s="86"/>
      <c r="W14" s="107"/>
      <c r="X14" s="69"/>
      <c r="Y14" s="68"/>
      <c r="Z14" s="68"/>
    </row>
    <row r="15" customFormat="1" ht="19" customHeight="1" spans="1:26">
      <c r="A15" s="75" t="s">
        <v>126</v>
      </c>
      <c r="B15" s="75" t="s">
        <v>143</v>
      </c>
      <c r="C15" s="76" t="s">
        <v>69</v>
      </c>
      <c r="D15" s="76">
        <v>14.99</v>
      </c>
      <c r="E15" s="77">
        <v>0</v>
      </c>
      <c r="F15" s="78">
        <v>0</v>
      </c>
      <c r="G15" s="79">
        <f t="shared" ref="G15:G19" si="16">SUM(D15*(1-E15-F15))</f>
        <v>14.99</v>
      </c>
      <c r="H15" s="79">
        <v>4.38</v>
      </c>
      <c r="I15" s="79">
        <f t="shared" ref="I15:I19" si="17">SUM(G15*15%)</f>
        <v>2.2485</v>
      </c>
      <c r="J15" s="79">
        <f t="shared" ref="J15:J19" si="18">SUM(G15-H15-I15)</f>
        <v>8.3615</v>
      </c>
      <c r="K15" s="90">
        <v>0.01</v>
      </c>
      <c r="L15" s="79">
        <v>0</v>
      </c>
      <c r="M15" s="79">
        <v>2.5</v>
      </c>
      <c r="N15" s="79">
        <v>0.5</v>
      </c>
      <c r="O15" s="79">
        <f t="shared" ref="O15:O19" si="19">SUM(20%*15%*G15+H15+K15+50%*M15+N15+1.46)</f>
        <v>8.0497</v>
      </c>
      <c r="P15" s="91">
        <v>0.15</v>
      </c>
      <c r="Q15" s="79">
        <f t="shared" ref="Q15:Q19" si="20">SUM(O15*P15/(1-P15))</f>
        <v>1.42053529411765</v>
      </c>
      <c r="R15" s="79">
        <f t="shared" ref="R15:R19" si="21">SUM(J15-K15-L15-M15-N15-Q15)</f>
        <v>3.93096470588235</v>
      </c>
      <c r="S15" s="97">
        <f t="shared" ref="S15:S19" si="22">SUM(R15/D15)</f>
        <v>0.262239139818703</v>
      </c>
      <c r="T15" s="98">
        <v>200</v>
      </c>
      <c r="U15" s="79">
        <f t="shared" ref="U15:U19" si="23">SUM(R15*T15)</f>
        <v>786.192941176471</v>
      </c>
      <c r="V15" s="106">
        <f>SUM(U15:U16)</f>
        <v>786.192941176471</v>
      </c>
      <c r="W15" s="100">
        <f>SUM(T15:T16)</f>
        <v>200</v>
      </c>
      <c r="X15" s="69"/>
      <c r="Y15" s="68"/>
      <c r="Z15" s="68"/>
    </row>
    <row r="16" customFormat="1" ht="19" customHeight="1" spans="1:26">
      <c r="A16" s="75" t="s">
        <v>96</v>
      </c>
      <c r="B16" s="75" t="s">
        <v>143</v>
      </c>
      <c r="C16" s="76" t="s">
        <v>70</v>
      </c>
      <c r="D16" s="76">
        <v>14.99</v>
      </c>
      <c r="E16" s="77">
        <v>0</v>
      </c>
      <c r="F16" s="78">
        <v>0</v>
      </c>
      <c r="G16" s="79">
        <f t="shared" si="16"/>
        <v>14.99</v>
      </c>
      <c r="H16" s="79">
        <v>4.38</v>
      </c>
      <c r="I16" s="79">
        <f t="shared" si="17"/>
        <v>2.2485</v>
      </c>
      <c r="J16" s="79">
        <f t="shared" si="18"/>
        <v>8.3615</v>
      </c>
      <c r="K16" s="90">
        <v>0.01</v>
      </c>
      <c r="L16" s="79">
        <v>0.6</v>
      </c>
      <c r="M16" s="79">
        <v>2.5</v>
      </c>
      <c r="N16" s="79">
        <v>0.5</v>
      </c>
      <c r="O16" s="79">
        <f t="shared" si="19"/>
        <v>8.0497</v>
      </c>
      <c r="P16" s="91">
        <v>0.15</v>
      </c>
      <c r="Q16" s="79">
        <f t="shared" si="20"/>
        <v>1.42053529411765</v>
      </c>
      <c r="R16" s="79">
        <f t="shared" si="21"/>
        <v>3.33096470588235</v>
      </c>
      <c r="S16" s="97">
        <f t="shared" si="22"/>
        <v>0.222212455362398</v>
      </c>
      <c r="T16" s="98">
        <v>0</v>
      </c>
      <c r="U16" s="79">
        <f t="shared" si="23"/>
        <v>0</v>
      </c>
      <c r="V16" s="106"/>
      <c r="W16" s="100"/>
      <c r="X16" s="69"/>
      <c r="Y16" s="68"/>
      <c r="Z16" s="68"/>
    </row>
    <row r="17" customFormat="1" ht="19" customHeight="1" spans="1:26">
      <c r="A17" s="86"/>
      <c r="B17" s="86"/>
      <c r="C17" s="86"/>
      <c r="D17" s="86"/>
      <c r="E17" s="86"/>
      <c r="F17" s="86"/>
      <c r="G17" s="86"/>
      <c r="H17" s="86"/>
      <c r="I17" s="86"/>
      <c r="J17" s="86"/>
      <c r="K17" s="86"/>
      <c r="L17" s="86"/>
      <c r="M17" s="86"/>
      <c r="N17" s="86"/>
      <c r="O17" s="86"/>
      <c r="P17" s="86"/>
      <c r="Q17" s="86"/>
      <c r="R17" s="86"/>
      <c r="S17" s="86"/>
      <c r="T17" s="86"/>
      <c r="U17" s="86"/>
      <c r="V17" s="86"/>
      <c r="W17" s="86"/>
      <c r="X17" s="69"/>
      <c r="Y17" s="68"/>
      <c r="Z17" s="68"/>
    </row>
    <row r="18" customFormat="1" ht="19" customHeight="1" spans="1:26">
      <c r="A18" s="75" t="s">
        <v>129</v>
      </c>
      <c r="B18" s="75" t="s">
        <v>143</v>
      </c>
      <c r="C18" s="76" t="s">
        <v>69</v>
      </c>
      <c r="D18" s="76">
        <v>15.99</v>
      </c>
      <c r="E18" s="77">
        <v>0</v>
      </c>
      <c r="F18" s="78">
        <v>0</v>
      </c>
      <c r="G18" s="79">
        <f t="shared" si="16"/>
        <v>15.99</v>
      </c>
      <c r="H18" s="79">
        <v>4.38</v>
      </c>
      <c r="I18" s="79">
        <f t="shared" si="17"/>
        <v>2.3985</v>
      </c>
      <c r="J18" s="79">
        <f t="shared" si="18"/>
        <v>9.2115</v>
      </c>
      <c r="K18" s="90">
        <v>0.01</v>
      </c>
      <c r="L18" s="79">
        <v>0</v>
      </c>
      <c r="M18" s="79">
        <v>2.5</v>
      </c>
      <c r="N18" s="79">
        <v>0.5</v>
      </c>
      <c r="O18" s="79">
        <f t="shared" si="19"/>
        <v>8.0797</v>
      </c>
      <c r="P18" s="91">
        <v>0.15</v>
      </c>
      <c r="Q18" s="79">
        <f t="shared" si="20"/>
        <v>1.42582941176471</v>
      </c>
      <c r="R18" s="79">
        <f t="shared" si="21"/>
        <v>4.77567058823529</v>
      </c>
      <c r="S18" s="97">
        <f t="shared" si="22"/>
        <v>0.298666078063495</v>
      </c>
      <c r="T18" s="98">
        <v>300</v>
      </c>
      <c r="U18" s="79">
        <f t="shared" si="23"/>
        <v>1432.70117647059</v>
      </c>
      <c r="V18" s="106">
        <f>SUM(U18:U19)</f>
        <v>1432.70117647059</v>
      </c>
      <c r="W18" s="100">
        <f>SUM(T18:T19)</f>
        <v>300</v>
      </c>
      <c r="X18" s="69"/>
      <c r="Y18" s="68"/>
      <c r="Z18" s="68"/>
    </row>
    <row r="19" customFormat="1" ht="19" customHeight="1" spans="1:26">
      <c r="A19" s="75" t="s">
        <v>98</v>
      </c>
      <c r="B19" s="75" t="s">
        <v>143</v>
      </c>
      <c r="C19" s="76" t="s">
        <v>70</v>
      </c>
      <c r="D19" s="76">
        <v>15.99</v>
      </c>
      <c r="E19" s="77">
        <v>0</v>
      </c>
      <c r="F19" s="78">
        <v>0</v>
      </c>
      <c r="G19" s="79">
        <f t="shared" si="16"/>
        <v>15.99</v>
      </c>
      <c r="H19" s="79">
        <v>4.38</v>
      </c>
      <c r="I19" s="79">
        <f t="shared" si="17"/>
        <v>2.3985</v>
      </c>
      <c r="J19" s="79">
        <f t="shared" si="18"/>
        <v>9.2115</v>
      </c>
      <c r="K19" s="90">
        <v>0.01</v>
      </c>
      <c r="L19" s="79">
        <v>0.6</v>
      </c>
      <c r="M19" s="79">
        <v>2.5</v>
      </c>
      <c r="N19" s="79">
        <v>0.5</v>
      </c>
      <c r="O19" s="79">
        <f t="shared" si="19"/>
        <v>8.0797</v>
      </c>
      <c r="P19" s="91">
        <v>0.15</v>
      </c>
      <c r="Q19" s="79">
        <f t="shared" si="20"/>
        <v>1.42582941176471</v>
      </c>
      <c r="R19" s="79">
        <f t="shared" si="21"/>
        <v>4.17567058823529</v>
      </c>
      <c r="S19" s="97">
        <f t="shared" si="22"/>
        <v>0.261142625905897</v>
      </c>
      <c r="T19" s="98">
        <v>0</v>
      </c>
      <c r="U19" s="79">
        <f t="shared" si="23"/>
        <v>0</v>
      </c>
      <c r="V19" s="106"/>
      <c r="W19" s="100"/>
      <c r="X19" s="69"/>
      <c r="Y19" s="68"/>
      <c r="Z19" s="68"/>
    </row>
    <row r="20" customFormat="1" ht="19" customHeight="1" spans="1:26">
      <c r="A20" s="86"/>
      <c r="B20" s="86"/>
      <c r="C20" s="86"/>
      <c r="D20" s="86"/>
      <c r="E20" s="86"/>
      <c r="F20" s="86"/>
      <c r="G20" s="86"/>
      <c r="H20" s="86"/>
      <c r="I20" s="86"/>
      <c r="J20" s="86"/>
      <c r="K20" s="86"/>
      <c r="L20" s="86"/>
      <c r="M20" s="86"/>
      <c r="N20" s="86"/>
      <c r="O20" s="86"/>
      <c r="P20" s="86"/>
      <c r="Q20" s="86"/>
      <c r="R20" s="86"/>
      <c r="S20" s="86"/>
      <c r="T20" s="86"/>
      <c r="U20" s="86"/>
      <c r="V20" s="86"/>
      <c r="W20" s="86"/>
      <c r="X20" s="69"/>
      <c r="Y20" s="68"/>
      <c r="Z20" s="68"/>
    </row>
    <row r="21" customFormat="1" ht="19" customHeight="1" spans="1:26">
      <c r="A21" s="75" t="s">
        <v>104</v>
      </c>
      <c r="B21" s="75" t="s">
        <v>143</v>
      </c>
      <c r="C21" s="76" t="s">
        <v>69</v>
      </c>
      <c r="D21" s="76">
        <v>16.99</v>
      </c>
      <c r="E21" s="77">
        <v>0</v>
      </c>
      <c r="F21" s="78">
        <v>0</v>
      </c>
      <c r="G21" s="79">
        <f>SUM(D21*(1-E21-F21))</f>
        <v>16.99</v>
      </c>
      <c r="H21" s="79">
        <v>4.38</v>
      </c>
      <c r="I21" s="79">
        <f>SUM(G21*15%)</f>
        <v>2.5485</v>
      </c>
      <c r="J21" s="79">
        <f>SUM(G21-H21-I21)</f>
        <v>10.0615</v>
      </c>
      <c r="K21" s="90">
        <v>0.01</v>
      </c>
      <c r="L21" s="79">
        <v>0</v>
      </c>
      <c r="M21" s="79">
        <v>2.5</v>
      </c>
      <c r="N21" s="79">
        <v>0.5</v>
      </c>
      <c r="O21" s="79">
        <f>SUM(20%*15%*G21+H21+K21+50%*M21+N21+1.46)</f>
        <v>8.1097</v>
      </c>
      <c r="P21" s="91">
        <v>0.15</v>
      </c>
      <c r="Q21" s="79">
        <f>SUM(O21*P21/(1-P21))</f>
        <v>1.43112352941176</v>
      </c>
      <c r="R21" s="79">
        <f>SUM(J21-K21-L21-M21-N21-Q21)</f>
        <v>5.62037647058823</v>
      </c>
      <c r="S21" s="97">
        <f>SUM(R21/D21)</f>
        <v>0.33080497178271</v>
      </c>
      <c r="T21" s="98">
        <v>600</v>
      </c>
      <c r="U21" s="79">
        <f>SUM(R21*T21)</f>
        <v>3372.22588235294</v>
      </c>
      <c r="V21" s="99">
        <f>SUM(U21:U22)</f>
        <v>5523.35858823529</v>
      </c>
      <c r="W21" s="102">
        <f>SUM(T21:T22)</f>
        <v>1200</v>
      </c>
      <c r="X21" s="69"/>
      <c r="Y21" s="68"/>
      <c r="Z21" s="68"/>
    </row>
    <row r="22" customFormat="1" ht="19" customHeight="1" spans="1:26">
      <c r="A22" s="75" t="s">
        <v>104</v>
      </c>
      <c r="B22" s="75" t="s">
        <v>143</v>
      </c>
      <c r="C22" s="76" t="s">
        <v>70</v>
      </c>
      <c r="D22" s="76">
        <v>16.99</v>
      </c>
      <c r="E22" s="77">
        <v>0</v>
      </c>
      <c r="F22" s="78">
        <v>0.1</v>
      </c>
      <c r="G22" s="79">
        <f>SUM(D22*(1-E22-F22))</f>
        <v>15.291</v>
      </c>
      <c r="H22" s="79">
        <v>4.38</v>
      </c>
      <c r="I22" s="79">
        <f>SUM(G22*15%)</f>
        <v>2.29365</v>
      </c>
      <c r="J22" s="79">
        <f>SUM(G22-H22-I22)</f>
        <v>8.61735</v>
      </c>
      <c r="K22" s="90">
        <v>0.01</v>
      </c>
      <c r="L22" s="79">
        <v>0.6</v>
      </c>
      <c r="M22" s="79">
        <v>2.5</v>
      </c>
      <c r="N22" s="79">
        <v>0.5</v>
      </c>
      <c r="O22" s="79">
        <f>SUM(20%*15%*G22+H22+K22+50%*M22+N22+1.46)</f>
        <v>8.05873</v>
      </c>
      <c r="P22" s="91">
        <v>0.15</v>
      </c>
      <c r="Q22" s="79">
        <f>SUM(O22*P22/(1-P22))</f>
        <v>1.42212882352941</v>
      </c>
      <c r="R22" s="79">
        <f>SUM(J22-K22-L22-M22-N22-Q22)</f>
        <v>3.58522117647059</v>
      </c>
      <c r="S22" s="97">
        <f>SUM(R22/D22)</f>
        <v>0.211019492434996</v>
      </c>
      <c r="T22" s="98">
        <v>600</v>
      </c>
      <c r="U22" s="79">
        <f>SUM(R22*T22)</f>
        <v>2151.13270588235</v>
      </c>
      <c r="V22" s="108"/>
      <c r="W22" s="104"/>
      <c r="X22" s="69"/>
      <c r="Y22" s="68"/>
      <c r="Z22" s="68"/>
    </row>
    <row r="23" ht="19" customHeight="1" spans="1:23">
      <c r="A23" s="87"/>
      <c r="B23" s="87"/>
      <c r="C23" s="87"/>
      <c r="D23" s="87"/>
      <c r="E23" s="87"/>
      <c r="F23" s="87"/>
      <c r="G23" s="87"/>
      <c r="H23" s="87"/>
      <c r="I23" s="87"/>
      <c r="J23" s="87"/>
      <c r="K23" s="87"/>
      <c r="L23" s="87"/>
      <c r="M23" s="87"/>
      <c r="N23" s="87"/>
      <c r="O23" s="87"/>
      <c r="P23" s="87"/>
      <c r="Q23" s="87"/>
      <c r="R23" s="87"/>
      <c r="S23" s="87"/>
      <c r="T23" s="87"/>
      <c r="U23" s="87"/>
      <c r="V23" s="87"/>
      <c r="W23" s="87"/>
    </row>
    <row r="24" customFormat="1" ht="19" customHeight="1" spans="1:26">
      <c r="A24" s="75" t="s">
        <v>131</v>
      </c>
      <c r="B24" s="75" t="s">
        <v>143</v>
      </c>
      <c r="C24" s="76" t="s">
        <v>69</v>
      </c>
      <c r="D24" s="76">
        <v>17.99</v>
      </c>
      <c r="E24" s="77">
        <v>0</v>
      </c>
      <c r="F24" s="78">
        <v>0</v>
      </c>
      <c r="G24" s="79">
        <f>SUM(D24*(1-E24-F24))</f>
        <v>17.99</v>
      </c>
      <c r="H24" s="79">
        <v>4.38</v>
      </c>
      <c r="I24" s="79">
        <f>SUM(G24*15%)</f>
        <v>2.6985</v>
      </c>
      <c r="J24" s="79">
        <f>SUM(G24-H24-I24)</f>
        <v>10.9115</v>
      </c>
      <c r="K24" s="90">
        <v>0.01</v>
      </c>
      <c r="L24" s="79">
        <v>0</v>
      </c>
      <c r="M24" s="79">
        <v>2.5</v>
      </c>
      <c r="N24" s="79">
        <v>0.5</v>
      </c>
      <c r="O24" s="79">
        <f>SUM(20%*15%*G24+H24+K24+50%*M24+N24+1.46)</f>
        <v>8.1397</v>
      </c>
      <c r="P24" s="91">
        <v>0.15</v>
      </c>
      <c r="Q24" s="79">
        <f>SUM(O24*P24/(1-P24))</f>
        <v>1.43641764705882</v>
      </c>
      <c r="R24" s="79">
        <f>SUM(J24-K24-L24-M24-N24-Q24)</f>
        <v>6.46508235294118</v>
      </c>
      <c r="S24" s="97">
        <f>SUM(R24/D24)</f>
        <v>0.359370892325802</v>
      </c>
      <c r="T24" s="98">
        <v>750</v>
      </c>
      <c r="U24" s="79">
        <f>SUM(R24*T24)</f>
        <v>4848.81176470588</v>
      </c>
      <c r="V24" s="99">
        <f>SUM(U24:U25)</f>
        <v>8107.90411764706</v>
      </c>
      <c r="W24" s="102">
        <f>SUM(T24:T25)</f>
        <v>1500</v>
      </c>
      <c r="X24" s="69"/>
      <c r="Y24" s="68"/>
      <c r="Z24" s="68"/>
    </row>
    <row r="25" customFormat="1" ht="19" customHeight="1" spans="1:26">
      <c r="A25" s="75" t="s">
        <v>131</v>
      </c>
      <c r="B25" s="75" t="s">
        <v>143</v>
      </c>
      <c r="C25" s="76" t="s">
        <v>70</v>
      </c>
      <c r="D25" s="76">
        <v>17.99</v>
      </c>
      <c r="E25" s="77">
        <v>0</v>
      </c>
      <c r="F25" s="78">
        <v>0.1</v>
      </c>
      <c r="G25" s="79">
        <f>SUM(D25*(1-E25-F25))</f>
        <v>16.191</v>
      </c>
      <c r="H25" s="79">
        <v>4.38</v>
      </c>
      <c r="I25" s="79">
        <f>SUM(G25*15%)</f>
        <v>2.42865</v>
      </c>
      <c r="J25" s="79">
        <f>SUM(G25-H25-I25)</f>
        <v>9.38235</v>
      </c>
      <c r="K25" s="90">
        <v>0.01</v>
      </c>
      <c r="L25" s="79">
        <v>0.6</v>
      </c>
      <c r="M25" s="79">
        <v>2.5</v>
      </c>
      <c r="N25" s="79">
        <v>0.5</v>
      </c>
      <c r="O25" s="79">
        <f>SUM(20%*15%*G25+H25+K25+50%*M25+N25+1.46)</f>
        <v>8.08573</v>
      </c>
      <c r="P25" s="91">
        <v>0.15</v>
      </c>
      <c r="Q25" s="79">
        <f>SUM(O25*P25/(1-P25))</f>
        <v>1.42689352941176</v>
      </c>
      <c r="R25" s="79">
        <f>SUM(J25-K25-L25-M25-N25-Q25)</f>
        <v>4.34545647058824</v>
      </c>
      <c r="S25" s="97">
        <f>SUM(R25/D25)</f>
        <v>0.241548441944871</v>
      </c>
      <c r="T25" s="98">
        <v>750</v>
      </c>
      <c r="U25" s="79">
        <f>SUM(R25*T25)</f>
        <v>3259.09235294118</v>
      </c>
      <c r="V25" s="108"/>
      <c r="W25" s="104"/>
      <c r="X25" s="69"/>
      <c r="Y25" s="68"/>
      <c r="Z25" s="68"/>
    </row>
    <row r="26" ht="18" customHeight="1" spans="1:23">
      <c r="A26" s="87"/>
      <c r="B26" s="87"/>
      <c r="C26" s="87"/>
      <c r="D26" s="87"/>
      <c r="E26" s="87"/>
      <c r="F26" s="87"/>
      <c r="G26" s="87"/>
      <c r="H26" s="87"/>
      <c r="I26" s="87"/>
      <c r="J26" s="87"/>
      <c r="K26" s="87"/>
      <c r="L26" s="87"/>
      <c r="M26" s="87"/>
      <c r="N26" s="87"/>
      <c r="O26" s="87"/>
      <c r="P26" s="87"/>
      <c r="Q26" s="87"/>
      <c r="R26" s="87"/>
      <c r="S26" s="87"/>
      <c r="T26" s="87"/>
      <c r="U26" s="87"/>
      <c r="V26" s="87"/>
      <c r="W26" s="87"/>
    </row>
    <row r="27" customFormat="1" ht="19" customHeight="1" spans="1:26">
      <c r="A27" s="75" t="s">
        <v>133</v>
      </c>
      <c r="B27" s="75" t="s">
        <v>143</v>
      </c>
      <c r="C27" s="76" t="s">
        <v>69</v>
      </c>
      <c r="D27" s="76">
        <v>18.99</v>
      </c>
      <c r="E27" s="77">
        <v>0</v>
      </c>
      <c r="F27" s="78">
        <v>0</v>
      </c>
      <c r="G27" s="79">
        <f>SUM(D27*(1-E27-F27))</f>
        <v>18.99</v>
      </c>
      <c r="H27" s="79">
        <v>4.38</v>
      </c>
      <c r="I27" s="79">
        <f>SUM(G27*15%)</f>
        <v>2.8485</v>
      </c>
      <c r="J27" s="79">
        <f>SUM(G27-H27-I27)</f>
        <v>11.7615</v>
      </c>
      <c r="K27" s="90">
        <v>0.01</v>
      </c>
      <c r="L27" s="79">
        <v>0</v>
      </c>
      <c r="M27" s="79">
        <v>2.5</v>
      </c>
      <c r="N27" s="79">
        <v>0.5</v>
      </c>
      <c r="O27" s="79">
        <f>SUM(20%*15%*G27+H27+K27+50%*M27+N27+1.46)</f>
        <v>8.1697</v>
      </c>
      <c r="P27" s="91">
        <v>0.15</v>
      </c>
      <c r="Q27" s="79">
        <f>SUM(O27*P27/(1-P27))</f>
        <v>1.44171176470588</v>
      </c>
      <c r="R27" s="79">
        <f>SUM(J27-K27-L27-M27-N27-Q27)</f>
        <v>7.30978823529412</v>
      </c>
      <c r="S27" s="97">
        <f>SUM(R27/D27)</f>
        <v>0.384928290431497</v>
      </c>
      <c r="T27" s="98">
        <v>900</v>
      </c>
      <c r="U27" s="79">
        <f>SUM(R27*T27)</f>
        <v>6578.80941176471</v>
      </c>
      <c r="V27" s="99">
        <f>SUM(U27:U28)</f>
        <v>11173.932</v>
      </c>
      <c r="W27" s="102">
        <f>SUM(T27:T28)</f>
        <v>1800</v>
      </c>
      <c r="X27" s="69"/>
      <c r="Y27" s="68"/>
      <c r="Z27" s="68"/>
    </row>
    <row r="28" customFormat="1" ht="19" customHeight="1" spans="1:26">
      <c r="A28" s="75" t="s">
        <v>133</v>
      </c>
      <c r="B28" s="75" t="s">
        <v>143</v>
      </c>
      <c r="C28" s="76" t="s">
        <v>70</v>
      </c>
      <c r="D28" s="76">
        <v>18.99</v>
      </c>
      <c r="E28" s="77">
        <v>0</v>
      </c>
      <c r="F28" s="78">
        <v>0.1</v>
      </c>
      <c r="G28" s="79">
        <f>SUM(D28*(1-E28-F28))</f>
        <v>17.091</v>
      </c>
      <c r="H28" s="79">
        <v>4.38</v>
      </c>
      <c r="I28" s="79">
        <f>SUM(G28*15%)</f>
        <v>2.56365</v>
      </c>
      <c r="J28" s="79">
        <f>SUM(G28-H28-I28)</f>
        <v>10.14735</v>
      </c>
      <c r="K28" s="90">
        <v>0.01</v>
      </c>
      <c r="L28" s="79">
        <v>0.6</v>
      </c>
      <c r="M28" s="79">
        <v>2.5</v>
      </c>
      <c r="N28" s="79">
        <v>0.5</v>
      </c>
      <c r="O28" s="79">
        <f>SUM(20%*15%*G28+H28+K28+50%*M28+N28+1.46)</f>
        <v>8.11273</v>
      </c>
      <c r="P28" s="91">
        <v>0.15</v>
      </c>
      <c r="Q28" s="79">
        <f>SUM(O28*P28/(1-P28))</f>
        <v>1.43165823529412</v>
      </c>
      <c r="R28" s="79">
        <f>SUM(J28-K28-L28-M28-N28-Q28)</f>
        <v>5.10569176470588</v>
      </c>
      <c r="S28" s="97">
        <f>SUM(R28/D28)</f>
        <v>0.268862125576929</v>
      </c>
      <c r="T28" s="98">
        <v>900</v>
      </c>
      <c r="U28" s="79">
        <f>SUM(R28*T28)</f>
        <v>4595.12258823529</v>
      </c>
      <c r="V28" s="108"/>
      <c r="W28" s="104"/>
      <c r="X28" s="69"/>
      <c r="Y28" s="68"/>
      <c r="Z28" s="68"/>
    </row>
    <row r="29" ht="17" customHeight="1" spans="1:23">
      <c r="A29" s="87"/>
      <c r="B29" s="87"/>
      <c r="C29" s="87"/>
      <c r="D29" s="87"/>
      <c r="E29" s="87"/>
      <c r="F29" s="87"/>
      <c r="G29" s="87"/>
      <c r="H29" s="87"/>
      <c r="I29" s="87"/>
      <c r="J29" s="87"/>
      <c r="K29" s="87"/>
      <c r="L29" s="87"/>
      <c r="M29" s="87"/>
      <c r="N29" s="87"/>
      <c r="O29" s="87"/>
      <c r="P29" s="87"/>
      <c r="Q29" s="87"/>
      <c r="R29" s="87"/>
      <c r="S29" s="87"/>
      <c r="T29" s="87"/>
      <c r="U29" s="87"/>
      <c r="V29" s="87"/>
      <c r="W29" s="87"/>
    </row>
    <row r="30" customFormat="1" ht="19" customHeight="1" spans="1:26">
      <c r="A30" s="75" t="s">
        <v>135</v>
      </c>
      <c r="B30" s="75" t="s">
        <v>143</v>
      </c>
      <c r="C30" s="76" t="s">
        <v>69</v>
      </c>
      <c r="D30" s="76">
        <v>19.99</v>
      </c>
      <c r="E30" s="77">
        <v>0</v>
      </c>
      <c r="F30" s="78">
        <v>0</v>
      </c>
      <c r="G30" s="79">
        <f>SUM(D30*(1-E30-F30))</f>
        <v>19.99</v>
      </c>
      <c r="H30" s="79">
        <v>4.38</v>
      </c>
      <c r="I30" s="79">
        <f>SUM(G30*15%)</f>
        <v>2.9985</v>
      </c>
      <c r="J30" s="79">
        <f>SUM(G30-H30-I30)</f>
        <v>12.6115</v>
      </c>
      <c r="K30" s="90">
        <v>0.01</v>
      </c>
      <c r="L30" s="79">
        <v>0</v>
      </c>
      <c r="M30" s="79">
        <v>2.5</v>
      </c>
      <c r="N30" s="79">
        <v>0.5</v>
      </c>
      <c r="O30" s="79">
        <f>SUM(20%*15%*G30+H30+K30+50%*M30+N30+1.46)</f>
        <v>8.1997</v>
      </c>
      <c r="P30" s="91">
        <v>0.15</v>
      </c>
      <c r="Q30" s="79">
        <f>SUM(O30*P30/(1-P30))</f>
        <v>1.44700588235294</v>
      </c>
      <c r="R30" s="79">
        <f>SUM(J30-K30-L30-M30-N30-Q30)</f>
        <v>8.15449411764706</v>
      </c>
      <c r="S30" s="97">
        <f>SUM(R30/D30)</f>
        <v>0.407928670217462</v>
      </c>
      <c r="T30" s="98">
        <v>1200</v>
      </c>
      <c r="U30" s="79">
        <f>SUM(R30*T30)</f>
        <v>9785.39294117647</v>
      </c>
      <c r="V30" s="99">
        <f>SUM(U30:U31)</f>
        <v>16824.5054117647</v>
      </c>
      <c r="W30" s="102">
        <f>SUM(T30:T31)</f>
        <v>2400</v>
      </c>
      <c r="X30" s="69"/>
      <c r="Y30" s="68"/>
      <c r="Z30" s="68"/>
    </row>
    <row r="31" customFormat="1" ht="19" customHeight="1" spans="1:26">
      <c r="A31" s="75" t="s">
        <v>135</v>
      </c>
      <c r="B31" s="75" t="s">
        <v>143</v>
      </c>
      <c r="C31" s="76" t="s">
        <v>70</v>
      </c>
      <c r="D31" s="76">
        <v>19.99</v>
      </c>
      <c r="E31" s="77">
        <v>0</v>
      </c>
      <c r="F31" s="78">
        <v>0.1</v>
      </c>
      <c r="G31" s="79">
        <f>SUM(D31*(1-E31-F31))</f>
        <v>17.991</v>
      </c>
      <c r="H31" s="79">
        <v>4.38</v>
      </c>
      <c r="I31" s="79">
        <f>SUM(G31*15%)</f>
        <v>2.69865</v>
      </c>
      <c r="J31" s="79">
        <f>SUM(G31-H31-I31)</f>
        <v>10.91235</v>
      </c>
      <c r="K31" s="90">
        <v>0.01</v>
      </c>
      <c r="L31" s="79">
        <v>0.6</v>
      </c>
      <c r="M31" s="79">
        <v>2.5</v>
      </c>
      <c r="N31" s="79">
        <v>0.5</v>
      </c>
      <c r="O31" s="79">
        <f>SUM(20%*15%*G31+H31+K31+50%*M31+N31+1.46)</f>
        <v>8.13973</v>
      </c>
      <c r="P31" s="91">
        <v>0.15</v>
      </c>
      <c r="Q31" s="79">
        <f>SUM(O31*P31/(1-P31))</f>
        <v>1.43642294117647</v>
      </c>
      <c r="R31" s="79">
        <f>SUM(J31-K31-L31-M31-N31-Q31)</f>
        <v>5.86592705882353</v>
      </c>
      <c r="S31" s="97">
        <f>SUM(R31/D31)</f>
        <v>0.293443074478416</v>
      </c>
      <c r="T31" s="98">
        <v>1200</v>
      </c>
      <c r="U31" s="79">
        <f>SUM(R31*T31)</f>
        <v>7039.11247058824</v>
      </c>
      <c r="V31" s="108"/>
      <c r="W31" s="104"/>
      <c r="X31" s="69"/>
      <c r="Y31" s="68"/>
      <c r="Z31" s="68"/>
    </row>
  </sheetData>
  <sheetProtection formatCells="0" insertHyperlinks="0" autoFilter="0"/>
  <mergeCells count="30">
    <mergeCell ref="A1:W1"/>
    <mergeCell ref="A5:W5"/>
    <mergeCell ref="A8:W8"/>
    <mergeCell ref="A11:W11"/>
    <mergeCell ref="A14:W14"/>
    <mergeCell ref="A17:W17"/>
    <mergeCell ref="A20:W20"/>
    <mergeCell ref="A23:W23"/>
    <mergeCell ref="A26:W26"/>
    <mergeCell ref="A29:W29"/>
    <mergeCell ref="V3:V4"/>
    <mergeCell ref="V6:V7"/>
    <mergeCell ref="V9:V10"/>
    <mergeCell ref="V12:V13"/>
    <mergeCell ref="V15:V16"/>
    <mergeCell ref="V18:V19"/>
    <mergeCell ref="V21:V22"/>
    <mergeCell ref="V24:V25"/>
    <mergeCell ref="V27:V28"/>
    <mergeCell ref="V30:V31"/>
    <mergeCell ref="W3:W4"/>
    <mergeCell ref="W6:W7"/>
    <mergeCell ref="W9:W10"/>
    <mergeCell ref="W12:W13"/>
    <mergeCell ref="W15:W16"/>
    <mergeCell ref="W18:W19"/>
    <mergeCell ref="W21:W22"/>
    <mergeCell ref="W24:W25"/>
    <mergeCell ref="W27:W28"/>
    <mergeCell ref="W30:W31"/>
  </mergeCells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F14"/>
  <sheetViews>
    <sheetView workbookViewId="0">
      <pane ySplit="3" topLeftCell="A4" activePane="bottomLeft" state="frozen"/>
      <selection/>
      <selection pane="bottomLeft" activeCell="P23" sqref="P23"/>
    </sheetView>
  </sheetViews>
  <sheetFormatPr defaultColWidth="9" defaultRowHeight="16.5"/>
  <cols>
    <col min="1" max="1" width="18.625" style="12" customWidth="1"/>
    <col min="2" max="2" width="5.125" style="13" customWidth="1"/>
    <col min="3" max="3" width="6.125" style="12" customWidth="1"/>
    <col min="4" max="4" width="7" style="14" customWidth="1"/>
    <col min="5" max="7" width="5.875" style="15" customWidth="1"/>
    <col min="8" max="8" width="6.25" style="12" customWidth="1"/>
    <col min="9" max="9" width="7" style="12" customWidth="1"/>
    <col min="10" max="10" width="7.375" style="12" customWidth="1"/>
    <col min="11" max="11" width="6.375" style="12" customWidth="1"/>
    <col min="12" max="12" width="8.625" style="12" customWidth="1"/>
    <col min="13" max="13" width="6.375" style="13" customWidth="1"/>
    <col min="14" max="14" width="5.5" style="16" customWidth="1"/>
    <col min="15" max="18" width="6.125" style="12" customWidth="1"/>
    <col min="19" max="19" width="7.125" style="17" customWidth="1"/>
    <col min="20" max="20" width="6.125" style="14" customWidth="1"/>
    <col min="21" max="21" width="6.125" style="12" customWidth="1"/>
    <col min="22" max="22" width="10" style="17" customWidth="1"/>
    <col min="23" max="23" width="9.375" style="14" customWidth="1"/>
    <col min="24" max="24" width="6.625" style="13" customWidth="1"/>
    <col min="25" max="25" width="7.625" style="12" customWidth="1"/>
    <col min="26" max="26" width="8.875" style="12" customWidth="1"/>
    <col min="27" max="27" width="6.875" style="18" customWidth="1"/>
    <col min="28" max="28" width="8.375" style="14" customWidth="1"/>
    <col min="29" max="30" width="6.625" style="12" customWidth="1"/>
    <col min="31" max="31" width="33" style="12" customWidth="1"/>
    <col min="32" max="32" width="35.125" style="12" customWidth="1"/>
    <col min="33" max="16384" width="12.75" style="12"/>
  </cols>
  <sheetData>
    <row r="1" spans="1:28">
      <c r="A1" s="19"/>
      <c r="B1" s="12"/>
      <c r="D1" s="12"/>
      <c r="E1" s="12"/>
      <c r="F1" s="12"/>
      <c r="G1" s="12"/>
      <c r="M1" s="12"/>
      <c r="S1" s="12"/>
      <c r="T1" s="12"/>
      <c r="X1" s="12"/>
      <c r="AA1" s="12"/>
      <c r="AB1" s="12"/>
    </row>
    <row r="2" spans="4:32">
      <c r="D2" s="20" t="s">
        <v>4</v>
      </c>
      <c r="E2" s="21"/>
      <c r="F2" s="21"/>
      <c r="G2" s="21"/>
      <c r="H2" s="21"/>
      <c r="I2" s="21"/>
      <c r="J2" s="21"/>
      <c r="K2" s="21"/>
      <c r="L2" s="21"/>
      <c r="M2" s="21"/>
      <c r="N2" s="38"/>
      <c r="O2" s="39" t="s">
        <v>5</v>
      </c>
      <c r="P2" s="40"/>
      <c r="Q2" s="40"/>
      <c r="R2" s="40"/>
      <c r="S2" s="48"/>
      <c r="T2" s="49"/>
      <c r="U2" s="40"/>
      <c r="V2" s="48"/>
      <c r="W2" s="49"/>
      <c r="AC2" s="56" t="s">
        <v>6</v>
      </c>
      <c r="AD2" s="56"/>
      <c r="AE2" s="57" t="s">
        <v>7</v>
      </c>
      <c r="AF2" s="58"/>
    </row>
    <row r="3" s="11" customFormat="1" ht="32.25" customHeight="1" spans="1:32">
      <c r="A3" s="22" t="s">
        <v>8</v>
      </c>
      <c r="B3" s="23" t="s">
        <v>9</v>
      </c>
      <c r="C3" s="24" t="s">
        <v>10</v>
      </c>
      <c r="D3" s="25" t="s">
        <v>11</v>
      </c>
      <c r="E3" s="26" t="s">
        <v>13</v>
      </c>
      <c r="F3" s="26" t="s">
        <v>14</v>
      </c>
      <c r="G3" s="26" t="s">
        <v>15</v>
      </c>
      <c r="H3" s="27" t="s">
        <v>16</v>
      </c>
      <c r="I3" s="27" t="s">
        <v>86</v>
      </c>
      <c r="J3" s="41" t="s">
        <v>18</v>
      </c>
      <c r="K3" s="27" t="s">
        <v>19</v>
      </c>
      <c r="L3" s="41" t="s">
        <v>144</v>
      </c>
      <c r="M3" s="42" t="s">
        <v>21</v>
      </c>
      <c r="N3" s="43" t="s">
        <v>22</v>
      </c>
      <c r="O3" s="44" t="s">
        <v>145</v>
      </c>
      <c r="P3" s="44" t="s">
        <v>146</v>
      </c>
      <c r="Q3" s="44" t="s">
        <v>147</v>
      </c>
      <c r="R3" s="44" t="s">
        <v>148</v>
      </c>
      <c r="S3" s="50" t="s">
        <v>149</v>
      </c>
      <c r="T3" s="51" t="s">
        <v>28</v>
      </c>
      <c r="U3" s="52" t="s">
        <v>150</v>
      </c>
      <c r="V3" s="53" t="s">
        <v>31</v>
      </c>
      <c r="W3" s="54" t="s">
        <v>30</v>
      </c>
      <c r="X3" s="55" t="s">
        <v>32</v>
      </c>
      <c r="Y3" s="24" t="s">
        <v>151</v>
      </c>
      <c r="Z3" s="59" t="s">
        <v>152</v>
      </c>
      <c r="AA3" s="60" t="s">
        <v>37</v>
      </c>
      <c r="AB3" s="61" t="s">
        <v>38</v>
      </c>
      <c r="AC3" s="62" t="s">
        <v>39</v>
      </c>
      <c r="AD3" s="62" t="s">
        <v>40</v>
      </c>
      <c r="AE3" s="63" t="s">
        <v>153</v>
      </c>
      <c r="AF3" s="63" t="s">
        <v>42</v>
      </c>
    </row>
    <row r="4" s="12" customFormat="1" ht="20" customHeight="1" spans="1:32">
      <c r="A4" s="28" t="s">
        <v>114</v>
      </c>
      <c r="B4" s="29"/>
      <c r="C4" s="30"/>
      <c r="D4" s="31">
        <v>12.99</v>
      </c>
      <c r="E4" s="32">
        <v>0</v>
      </c>
      <c r="F4" s="32">
        <v>0</v>
      </c>
      <c r="G4" s="32">
        <v>0</v>
      </c>
      <c r="H4" s="30"/>
      <c r="I4" s="30"/>
      <c r="J4" s="30"/>
      <c r="K4" s="30"/>
      <c r="L4" s="45"/>
      <c r="M4" s="46"/>
      <c r="N4" s="47"/>
      <c r="O4" s="30"/>
      <c r="P4" s="30">
        <f>R4/S4</f>
        <v>416.666666666667</v>
      </c>
      <c r="R4" s="30">
        <f>阶段盈亏模拟!I3</f>
        <v>25</v>
      </c>
      <c r="S4" s="45">
        <v>0.06</v>
      </c>
      <c r="T4" s="31">
        <v>1.5</v>
      </c>
      <c r="U4" s="12">
        <f>P4*T4</f>
        <v>625</v>
      </c>
      <c r="V4" s="17">
        <f>T4/S4/D4</f>
        <v>1.92455735180908</v>
      </c>
      <c r="W4" s="31">
        <f>SUM(U4/R4)</f>
        <v>25</v>
      </c>
      <c r="X4" s="46"/>
      <c r="Z4" s="45"/>
      <c r="AA4" s="64"/>
      <c r="AB4" s="31"/>
      <c r="AC4" s="30"/>
      <c r="AD4" s="30"/>
      <c r="AF4" s="65"/>
    </row>
    <row r="5" s="12" customFormat="1" ht="20" customHeight="1" spans="1:32">
      <c r="A5" s="28" t="s">
        <v>117</v>
      </c>
      <c r="B5" s="29"/>
      <c r="C5" s="30"/>
      <c r="D5" s="31">
        <v>12.99</v>
      </c>
      <c r="E5" s="32">
        <v>0</v>
      </c>
      <c r="F5" s="32">
        <v>0</v>
      </c>
      <c r="G5" s="32">
        <v>0</v>
      </c>
      <c r="H5" s="30"/>
      <c r="I5" s="30"/>
      <c r="J5" s="30"/>
      <c r="K5" s="30"/>
      <c r="L5" s="45"/>
      <c r="M5" s="46"/>
      <c r="N5" s="47"/>
      <c r="O5" s="30"/>
      <c r="P5" s="30">
        <f>R5/S5</f>
        <v>615.384615384615</v>
      </c>
      <c r="R5" s="30">
        <f>阶段盈亏模拟!I4</f>
        <v>40</v>
      </c>
      <c r="S5" s="45">
        <v>0.065</v>
      </c>
      <c r="T5" s="31">
        <v>1.5</v>
      </c>
      <c r="U5" s="12">
        <f>P5*T5</f>
        <v>923.076923076923</v>
      </c>
      <c r="V5" s="17">
        <f>T5/S5/D5</f>
        <v>1.776514478593</v>
      </c>
      <c r="W5" s="31">
        <f t="shared" ref="W5:W14" si="0">SUM(U5/R5)</f>
        <v>23.0769230769231</v>
      </c>
      <c r="X5" s="46"/>
      <c r="Z5" s="45"/>
      <c r="AA5" s="64"/>
      <c r="AB5" s="31"/>
      <c r="AC5" s="30"/>
      <c r="AD5" s="30"/>
      <c r="AF5" s="65"/>
    </row>
    <row r="6" s="12" customFormat="1" ht="20" customHeight="1" spans="1:32">
      <c r="A6" s="28" t="s">
        <v>120</v>
      </c>
      <c r="B6" s="29"/>
      <c r="C6" s="30"/>
      <c r="D6" s="31">
        <v>13.99</v>
      </c>
      <c r="E6" s="32">
        <v>0</v>
      </c>
      <c r="F6" s="32">
        <v>0</v>
      </c>
      <c r="G6" s="32">
        <v>0</v>
      </c>
      <c r="H6" s="30"/>
      <c r="I6" s="30"/>
      <c r="J6" s="30"/>
      <c r="K6" s="30"/>
      <c r="L6" s="45"/>
      <c r="M6" s="46"/>
      <c r="N6" s="47"/>
      <c r="O6" s="30"/>
      <c r="P6" s="30">
        <f>R6/S6</f>
        <v>1000</v>
      </c>
      <c r="Q6" s="45"/>
      <c r="R6" s="30">
        <f>阶段盈亏模拟!I5</f>
        <v>70</v>
      </c>
      <c r="S6" s="45">
        <v>0.07</v>
      </c>
      <c r="T6" s="31">
        <v>1.3</v>
      </c>
      <c r="U6" s="12">
        <f>SUM(P6*T6)</f>
        <v>1300</v>
      </c>
      <c r="V6" s="17">
        <f t="shared" ref="V5:V14" si="1">SUM(T6/S6/D6)</f>
        <v>1.32747881139589</v>
      </c>
      <c r="W6" s="31">
        <f t="shared" si="0"/>
        <v>18.5714285714286</v>
      </c>
      <c r="X6" s="46"/>
      <c r="Z6" s="45"/>
      <c r="AA6" s="64"/>
      <c r="AB6" s="31"/>
      <c r="AC6" s="30"/>
      <c r="AD6" s="30"/>
      <c r="AF6" s="65"/>
    </row>
    <row r="7" ht="20" customHeight="1" spans="1:28">
      <c r="A7" s="28" t="s">
        <v>123</v>
      </c>
      <c r="B7" s="29"/>
      <c r="D7" s="31">
        <v>13.99</v>
      </c>
      <c r="E7" s="32">
        <v>0</v>
      </c>
      <c r="F7" s="32">
        <v>0</v>
      </c>
      <c r="G7" s="32">
        <v>0</v>
      </c>
      <c r="H7" s="30"/>
      <c r="I7" s="30"/>
      <c r="L7" s="45"/>
      <c r="P7" s="30">
        <f>SUM(R7/S7)</f>
        <v>1200</v>
      </c>
      <c r="R7" s="30">
        <f>阶段盈亏模拟!I6</f>
        <v>90</v>
      </c>
      <c r="S7" s="45">
        <v>0.075</v>
      </c>
      <c r="T7" s="31">
        <v>1.3</v>
      </c>
      <c r="U7" s="12">
        <f>SUM(P7*T7)</f>
        <v>1560</v>
      </c>
      <c r="V7" s="17">
        <f t="shared" si="1"/>
        <v>1.2389802239695</v>
      </c>
      <c r="W7" s="31">
        <f t="shared" si="0"/>
        <v>17.3333333333333</v>
      </c>
      <c r="AA7" s="12"/>
      <c r="AB7" s="66"/>
    </row>
    <row r="8" spans="1:23">
      <c r="A8" s="28" t="s">
        <v>126</v>
      </c>
      <c r="B8" s="33"/>
      <c r="C8" s="34"/>
      <c r="D8" s="35">
        <v>14.99</v>
      </c>
      <c r="E8" s="36">
        <v>0</v>
      </c>
      <c r="F8" s="36">
        <v>0</v>
      </c>
      <c r="G8" s="36">
        <v>0</v>
      </c>
      <c r="P8" s="30">
        <f t="shared" ref="P8:P14" si="2">SUM(R8/S8)</f>
        <v>1375</v>
      </c>
      <c r="R8" s="30">
        <f>阶段盈亏模拟!I7</f>
        <v>110</v>
      </c>
      <c r="S8" s="17">
        <v>0.08</v>
      </c>
      <c r="T8" s="14">
        <v>1.1</v>
      </c>
      <c r="U8" s="12">
        <f t="shared" ref="U8:U14" si="3">SUM(P8*T8)</f>
        <v>1512.5</v>
      </c>
      <c r="V8" s="17">
        <f t="shared" si="1"/>
        <v>0.917278185456971</v>
      </c>
      <c r="W8" s="31">
        <f t="shared" si="0"/>
        <v>13.75</v>
      </c>
    </row>
    <row r="9" spans="1:23">
      <c r="A9" s="28" t="s">
        <v>129</v>
      </c>
      <c r="B9" s="33"/>
      <c r="C9" s="34"/>
      <c r="D9" s="35">
        <v>15.99</v>
      </c>
      <c r="E9" s="36">
        <v>0</v>
      </c>
      <c r="F9" s="36">
        <v>0</v>
      </c>
      <c r="G9" s="36">
        <v>0</v>
      </c>
      <c r="P9" s="30">
        <f t="shared" si="2"/>
        <v>1647.05882352941</v>
      </c>
      <c r="R9" s="30">
        <f>阶段盈亏模拟!I8</f>
        <v>140</v>
      </c>
      <c r="S9" s="17">
        <v>0.085</v>
      </c>
      <c r="T9" s="14">
        <v>1.1</v>
      </c>
      <c r="U9" s="12">
        <f t="shared" si="3"/>
        <v>1811.76470588235</v>
      </c>
      <c r="V9" s="17">
        <f t="shared" si="1"/>
        <v>0.809329360261928</v>
      </c>
      <c r="W9" s="31">
        <f t="shared" si="0"/>
        <v>12.9411764705882</v>
      </c>
    </row>
    <row r="10" spans="1:23">
      <c r="A10" s="28" t="s">
        <v>104</v>
      </c>
      <c r="B10" s="33"/>
      <c r="C10" s="34"/>
      <c r="D10" s="35">
        <v>16.99</v>
      </c>
      <c r="E10" s="37">
        <v>0.1</v>
      </c>
      <c r="F10" s="37">
        <v>0</v>
      </c>
      <c r="G10" s="36">
        <v>0</v>
      </c>
      <c r="P10" s="30">
        <f t="shared" si="2"/>
        <v>5000</v>
      </c>
      <c r="R10" s="30">
        <f>阶段盈亏模拟!I9</f>
        <v>450</v>
      </c>
      <c r="S10" s="17">
        <v>0.09</v>
      </c>
      <c r="T10" s="14">
        <v>1</v>
      </c>
      <c r="U10" s="12">
        <f t="shared" si="3"/>
        <v>5000</v>
      </c>
      <c r="V10" s="17">
        <f t="shared" si="1"/>
        <v>0.653979465044798</v>
      </c>
      <c r="W10" s="31">
        <f t="shared" si="0"/>
        <v>11.1111111111111</v>
      </c>
    </row>
    <row r="11" spans="1:23">
      <c r="A11" s="28" t="s">
        <v>131</v>
      </c>
      <c r="B11" s="33"/>
      <c r="C11" s="34"/>
      <c r="D11" s="35">
        <v>17.99</v>
      </c>
      <c r="E11" s="37">
        <v>0.1</v>
      </c>
      <c r="F11" s="37">
        <v>0</v>
      </c>
      <c r="G11" s="37">
        <v>0</v>
      </c>
      <c r="P11" s="30">
        <f t="shared" si="2"/>
        <v>5263.15789473684</v>
      </c>
      <c r="R11" s="30">
        <f>阶段盈亏模拟!I10</f>
        <v>500</v>
      </c>
      <c r="S11" s="17">
        <v>0.095</v>
      </c>
      <c r="T11" s="14">
        <v>1</v>
      </c>
      <c r="U11" s="12">
        <f t="shared" si="3"/>
        <v>5263.15789473684</v>
      </c>
      <c r="V11" s="17">
        <f t="shared" si="1"/>
        <v>0.585120388519938</v>
      </c>
      <c r="W11" s="31">
        <f t="shared" si="0"/>
        <v>10.5263157894737</v>
      </c>
    </row>
    <row r="12" spans="1:23">
      <c r="A12" s="28" t="s">
        <v>133</v>
      </c>
      <c r="B12" s="33"/>
      <c r="C12" s="34"/>
      <c r="D12" s="35">
        <v>18.99</v>
      </c>
      <c r="E12" s="37">
        <v>0.1</v>
      </c>
      <c r="F12" s="37">
        <v>0</v>
      </c>
      <c r="G12" s="37">
        <v>0</v>
      </c>
      <c r="P12" s="30">
        <f t="shared" si="2"/>
        <v>6000</v>
      </c>
      <c r="R12" s="30">
        <f>阶段盈亏模拟!I11</f>
        <v>600</v>
      </c>
      <c r="S12" s="17">
        <v>0.1</v>
      </c>
      <c r="T12" s="14">
        <v>1</v>
      </c>
      <c r="U12" s="12">
        <f t="shared" si="3"/>
        <v>6000</v>
      </c>
      <c r="V12" s="17">
        <f t="shared" si="1"/>
        <v>0.526592943654555</v>
      </c>
      <c r="W12" s="31">
        <f t="shared" si="0"/>
        <v>10</v>
      </c>
    </row>
    <row r="13" spans="1:23">
      <c r="A13" s="28" t="s">
        <v>135</v>
      </c>
      <c r="B13" s="33"/>
      <c r="C13" s="34"/>
      <c r="D13" s="35">
        <v>19.99</v>
      </c>
      <c r="E13" s="37">
        <v>0.1</v>
      </c>
      <c r="F13" s="37">
        <v>0</v>
      </c>
      <c r="G13" s="37">
        <v>0</v>
      </c>
      <c r="P13" s="30">
        <f t="shared" si="2"/>
        <v>6666.66666666667</v>
      </c>
      <c r="R13" s="30">
        <f>阶段盈亏模拟!I12</f>
        <v>800</v>
      </c>
      <c r="S13" s="17">
        <v>0.12</v>
      </c>
      <c r="T13" s="14">
        <v>0.8</v>
      </c>
      <c r="U13" s="12">
        <f t="shared" si="3"/>
        <v>5333.33333333333</v>
      </c>
      <c r="V13" s="17">
        <f t="shared" si="1"/>
        <v>0.333500083375021</v>
      </c>
      <c r="W13" s="31">
        <f t="shared" si="0"/>
        <v>6.66666666666667</v>
      </c>
    </row>
    <row r="14" spans="23:23">
      <c r="W14" s="31"/>
    </row>
  </sheetData>
  <sheetProtection formatCells="0" insertHyperlinks="0" autoFilter="0"/>
  <mergeCells count="5">
    <mergeCell ref="A1:AD1"/>
    <mergeCell ref="D2:N2"/>
    <mergeCell ref="O2:W2"/>
    <mergeCell ref="AC2:AD2"/>
    <mergeCell ref="AE2:AF2"/>
  </mergeCells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1"/>
  <sheetViews>
    <sheetView workbookViewId="0">
      <selection activeCell="A9" sqref="A9"/>
    </sheetView>
  </sheetViews>
  <sheetFormatPr defaultColWidth="7.875" defaultRowHeight="15"/>
  <cols>
    <col min="1" max="1" width="34.625" style="3" customWidth="1"/>
    <col min="2" max="3" width="8.75" style="3" customWidth="1"/>
    <col min="4" max="5" width="11.375" style="3" customWidth="1"/>
    <col min="6" max="7" width="8.75" style="3" customWidth="1"/>
    <col min="8" max="8" width="19.125" style="3" customWidth="1"/>
    <col min="9" max="9" width="8.75" style="3" customWidth="1"/>
    <col min="10" max="10" width="19.25" style="3" customWidth="1"/>
    <col min="11" max="11" width="8.75" style="3" customWidth="1"/>
    <col min="12" max="12" width="11.25" style="3" customWidth="1"/>
    <col min="13" max="13" width="13.875" style="4" customWidth="1"/>
    <col min="14" max="14" width="10.5" style="3" customWidth="1"/>
    <col min="15" max="16380" width="7.875" style="3"/>
    <col min="16381" max="16384" width="7.875" style="5"/>
  </cols>
  <sheetData>
    <row r="1" s="3" customFormat="1" spans="1:14">
      <c r="A1" s="6" t="s">
        <v>154</v>
      </c>
      <c r="B1" s="6" t="s">
        <v>155</v>
      </c>
      <c r="C1" s="6" t="s">
        <v>156</v>
      </c>
      <c r="D1" s="6" t="s">
        <v>157</v>
      </c>
      <c r="E1" s="6" t="s">
        <v>158</v>
      </c>
      <c r="F1" s="6" t="s">
        <v>159</v>
      </c>
      <c r="G1" s="6" t="s">
        <v>160</v>
      </c>
      <c r="H1" s="6" t="s">
        <v>161</v>
      </c>
      <c r="I1" s="6" t="s">
        <v>162</v>
      </c>
      <c r="J1" s="6" t="s">
        <v>163</v>
      </c>
      <c r="K1" s="6" t="s">
        <v>164</v>
      </c>
      <c r="L1" s="6" t="s">
        <v>165</v>
      </c>
      <c r="M1" s="10" t="s">
        <v>166</v>
      </c>
      <c r="N1" s="6"/>
    </row>
    <row r="2" s="3" customFormat="1" spans="1:14">
      <c r="A2" s="3" t="s">
        <v>167</v>
      </c>
      <c r="B2" s="7">
        <v>102490</v>
      </c>
      <c r="C2" s="8">
        <v>0.25373963</v>
      </c>
      <c r="D2" s="9">
        <v>0.5267929</v>
      </c>
      <c r="E2" s="9">
        <v>0.47320715</v>
      </c>
      <c r="F2" s="3" t="s">
        <v>168</v>
      </c>
      <c r="G2" s="7">
        <v>1</v>
      </c>
      <c r="H2" s="3" t="s">
        <v>169</v>
      </c>
      <c r="I2" s="7">
        <v>1</v>
      </c>
      <c r="J2" s="3" t="s">
        <v>169</v>
      </c>
      <c r="K2" s="7">
        <v>1604</v>
      </c>
      <c r="L2" s="7">
        <v>79073</v>
      </c>
      <c r="M2" s="4">
        <v>2.08</v>
      </c>
      <c r="N2" s="8"/>
    </row>
    <row r="3" s="3" customFormat="1" spans="1:14">
      <c r="A3" s="3" t="s">
        <v>170</v>
      </c>
      <c r="B3" s="7">
        <v>50096</v>
      </c>
      <c r="C3" s="8">
        <v>0.12402517</v>
      </c>
      <c r="D3" s="9">
        <v>0.5772517</v>
      </c>
      <c r="E3" s="9">
        <v>0.42274833</v>
      </c>
      <c r="F3" s="3" t="s">
        <v>168</v>
      </c>
      <c r="G3" s="7">
        <v>2</v>
      </c>
      <c r="H3" s="3" t="s">
        <v>171</v>
      </c>
      <c r="I3" s="7">
        <v>1</v>
      </c>
      <c r="J3" s="3" t="s">
        <v>169</v>
      </c>
      <c r="K3" s="7">
        <v>11292</v>
      </c>
      <c r="L3" s="7">
        <v>13394</v>
      </c>
      <c r="M3" s="4">
        <v>2.31</v>
      </c>
      <c r="N3" s="8"/>
    </row>
    <row r="4" s="3" customFormat="1" spans="1:14">
      <c r="A4" s="3" t="s">
        <v>172</v>
      </c>
      <c r="B4" s="7">
        <v>33698</v>
      </c>
      <c r="C4" s="8">
        <v>0.083427824</v>
      </c>
      <c r="D4" s="9">
        <v>0.5654045</v>
      </c>
      <c r="E4" s="9">
        <v>0.43459553</v>
      </c>
      <c r="F4" s="3" t="s">
        <v>168</v>
      </c>
      <c r="G4" s="7">
        <v>4</v>
      </c>
      <c r="H4" s="3" t="s">
        <v>173</v>
      </c>
      <c r="I4" s="7">
        <v>1</v>
      </c>
      <c r="J4" s="3" t="s">
        <v>169</v>
      </c>
      <c r="K4" s="7">
        <v>5765</v>
      </c>
      <c r="L4" s="7">
        <v>23020</v>
      </c>
      <c r="M4" s="4">
        <v>3.13</v>
      </c>
      <c r="N4" s="8"/>
    </row>
    <row r="5" s="3" customFormat="1" spans="1:14">
      <c r="A5" s="3" t="s">
        <v>174</v>
      </c>
      <c r="B5" s="7">
        <v>17567</v>
      </c>
      <c r="C5" s="8">
        <v>0.0434915</v>
      </c>
      <c r="D5" s="9">
        <v>0.64000684</v>
      </c>
      <c r="E5" s="9">
        <v>0.35999316</v>
      </c>
      <c r="F5" s="3" t="s">
        <v>168</v>
      </c>
      <c r="G5" s="7">
        <v>4</v>
      </c>
      <c r="H5" s="3" t="s">
        <v>173</v>
      </c>
      <c r="I5" s="7">
        <v>3</v>
      </c>
      <c r="J5" s="3" t="s">
        <v>175</v>
      </c>
      <c r="K5" s="7">
        <v>13181</v>
      </c>
      <c r="L5" s="7">
        <v>11923</v>
      </c>
      <c r="M5" s="4">
        <v>2.24</v>
      </c>
      <c r="N5" s="8"/>
    </row>
    <row r="6" s="3" customFormat="1" spans="1:14">
      <c r="A6" s="3" t="s">
        <v>176</v>
      </c>
      <c r="B6" s="7">
        <v>16300</v>
      </c>
      <c r="C6" s="8">
        <v>0.040354725</v>
      </c>
      <c r="D6" s="9">
        <v>0.56453985</v>
      </c>
      <c r="E6" s="9">
        <v>0.43546012</v>
      </c>
      <c r="F6" s="3" t="s">
        <v>168</v>
      </c>
      <c r="G6" s="7">
        <v>1</v>
      </c>
      <c r="H6" s="3" t="s">
        <v>169</v>
      </c>
      <c r="I6" s="7">
        <v>1</v>
      </c>
      <c r="J6" s="3" t="s">
        <v>169</v>
      </c>
      <c r="K6" s="7">
        <v>46272</v>
      </c>
      <c r="L6" s="7">
        <v>4885</v>
      </c>
      <c r="M6" s="4">
        <v>2.49</v>
      </c>
      <c r="N6" s="8"/>
    </row>
    <row r="7" s="3" customFormat="1" spans="1:14">
      <c r="A7" s="3" t="s">
        <v>177</v>
      </c>
      <c r="B7" s="7">
        <v>13350</v>
      </c>
      <c r="C7" s="8">
        <v>0.033051264</v>
      </c>
      <c r="D7" s="9">
        <v>0.5414981</v>
      </c>
      <c r="E7" s="9">
        <v>0.45850188</v>
      </c>
      <c r="F7" s="3" t="s">
        <v>168</v>
      </c>
      <c r="G7" s="7">
        <v>5</v>
      </c>
      <c r="H7" s="3" t="s">
        <v>178</v>
      </c>
      <c r="I7" s="7">
        <v>2</v>
      </c>
      <c r="J7" s="3" t="s">
        <v>171</v>
      </c>
      <c r="K7" s="7">
        <v>25323</v>
      </c>
      <c r="L7" s="7">
        <v>7505</v>
      </c>
      <c r="M7" s="4">
        <v>1.43</v>
      </c>
      <c r="N7" s="8"/>
    </row>
    <row r="8" s="3" customFormat="1" spans="1:14">
      <c r="A8" s="3" t="s">
        <v>179</v>
      </c>
      <c r="B8" s="7">
        <v>10216</v>
      </c>
      <c r="C8" s="8">
        <v>0.025292262</v>
      </c>
      <c r="D8" s="9">
        <v>0.5456147</v>
      </c>
      <c r="E8" s="9">
        <v>0.45438528</v>
      </c>
      <c r="F8" s="3" t="s">
        <v>168</v>
      </c>
      <c r="G8" s="7">
        <v>2</v>
      </c>
      <c r="H8" s="3" t="s">
        <v>171</v>
      </c>
      <c r="I8" s="7">
        <v>1</v>
      </c>
      <c r="J8" s="3" t="s">
        <v>169</v>
      </c>
      <c r="K8" s="7">
        <v>42579</v>
      </c>
      <c r="L8" s="7">
        <v>5204</v>
      </c>
      <c r="M8" s="4">
        <v>2.51</v>
      </c>
      <c r="N8" s="8"/>
    </row>
    <row r="9" s="3" customFormat="1" spans="1:14">
      <c r="A9" s="3" t="s">
        <v>180</v>
      </c>
      <c r="B9" s="7">
        <v>8317</v>
      </c>
      <c r="C9" s="8">
        <v>0.020590814</v>
      </c>
      <c r="D9" s="9">
        <v>0.53757364</v>
      </c>
      <c r="E9" s="9">
        <v>0.46242636</v>
      </c>
      <c r="F9" s="3" t="s">
        <v>168</v>
      </c>
      <c r="G9" s="7">
        <v>3</v>
      </c>
      <c r="H9" s="3" t="s">
        <v>175</v>
      </c>
      <c r="I9" s="7">
        <v>1</v>
      </c>
      <c r="J9" s="3" t="s">
        <v>169</v>
      </c>
      <c r="K9" s="7">
        <v>75464</v>
      </c>
      <c r="L9" s="7">
        <v>3077</v>
      </c>
      <c r="M9" s="4">
        <v>2.39</v>
      </c>
      <c r="N9" s="8"/>
    </row>
    <row r="10" s="3" customFormat="1" spans="1:14">
      <c r="A10" s="3" t="s">
        <v>181</v>
      </c>
      <c r="B10" s="7">
        <v>3574</v>
      </c>
      <c r="C10" s="8">
        <v>0.008848331</v>
      </c>
      <c r="D10" s="9">
        <v>0.61135983</v>
      </c>
      <c r="E10" s="9">
        <v>0.38864017</v>
      </c>
      <c r="F10" s="3" t="s">
        <v>168</v>
      </c>
      <c r="G10" s="7">
        <v>2</v>
      </c>
      <c r="H10" s="3" t="s">
        <v>171</v>
      </c>
      <c r="I10" s="7">
        <v>2</v>
      </c>
      <c r="J10" s="3" t="s">
        <v>171</v>
      </c>
      <c r="K10" s="7">
        <v>87697</v>
      </c>
      <c r="L10" s="7">
        <v>2504</v>
      </c>
      <c r="M10" s="4">
        <v>1.61</v>
      </c>
      <c r="N10" s="8"/>
    </row>
    <row r="11" s="3" customFormat="1" spans="1:14">
      <c r="A11" s="3" t="s">
        <v>182</v>
      </c>
      <c r="B11" s="7">
        <v>3007</v>
      </c>
      <c r="C11" s="8">
        <v>0.0074445806</v>
      </c>
      <c r="D11" s="9">
        <v>0.55237776</v>
      </c>
      <c r="E11" s="9">
        <v>0.4476222</v>
      </c>
      <c r="F11" s="3" t="s">
        <v>168</v>
      </c>
      <c r="G11" s="7">
        <v>5</v>
      </c>
      <c r="H11" s="3" t="s">
        <v>178</v>
      </c>
      <c r="I11" s="7">
        <v>1</v>
      </c>
      <c r="J11" s="3" t="s">
        <v>169</v>
      </c>
      <c r="K11" s="7">
        <v>88173</v>
      </c>
      <c r="L11" s="7">
        <v>2483</v>
      </c>
      <c r="M11" s="4">
        <v>2.06</v>
      </c>
      <c r="N11" s="8"/>
    </row>
  </sheetData>
  <pageMargins left="0.75" right="0.75" top="1" bottom="1" header="0.5" footer="0.5"/>
  <headerFooter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8"/>
  <sheetViews>
    <sheetView workbookViewId="0">
      <selection activeCell="E34" sqref="E34"/>
    </sheetView>
  </sheetViews>
  <sheetFormatPr defaultColWidth="9" defaultRowHeight="13.5" outlineLevelRow="7" outlineLevelCol="4"/>
  <cols>
    <col min="1" max="1" width="29.625" style="2" customWidth="1"/>
    <col min="2" max="2" width="15.375" style="2" customWidth="1"/>
    <col min="3" max="3" width="13.375" style="2" customWidth="1"/>
    <col min="4" max="4" width="11.875" style="2" customWidth="1"/>
    <col min="5" max="5" width="33.25" style="2" customWidth="1"/>
    <col min="6" max="16384" width="9" style="2"/>
  </cols>
  <sheetData>
    <row r="1" spans="1:5">
      <c r="A1" s="2" t="s">
        <v>183</v>
      </c>
      <c r="B1" s="2" t="s">
        <v>184</v>
      </c>
      <c r="C1" s="2" t="s">
        <v>185</v>
      </c>
      <c r="D1" s="2" t="s">
        <v>186</v>
      </c>
      <c r="E1" s="2" t="s">
        <v>154</v>
      </c>
    </row>
    <row r="2" spans="1:4">
      <c r="A2" s="2" t="s">
        <v>187</v>
      </c>
      <c r="B2" s="2" t="s">
        <v>188</v>
      </c>
      <c r="C2" s="2" t="s">
        <v>189</v>
      </c>
      <c r="D2" s="2">
        <v>0.5</v>
      </c>
    </row>
    <row r="3" spans="1:5">
      <c r="A3" s="2" t="s">
        <v>190</v>
      </c>
      <c r="B3" s="2" t="s">
        <v>191</v>
      </c>
      <c r="C3" s="2" t="s">
        <v>189</v>
      </c>
      <c r="D3" s="2">
        <v>0.8</v>
      </c>
      <c r="E3" s="2" t="s">
        <v>192</v>
      </c>
    </row>
    <row r="4" spans="1:5">
      <c r="A4" s="2" t="s">
        <v>190</v>
      </c>
      <c r="B4" s="2" t="s">
        <v>191</v>
      </c>
      <c r="C4" s="2" t="s">
        <v>189</v>
      </c>
      <c r="D4" s="2">
        <v>0.8</v>
      </c>
      <c r="E4" s="2" t="s">
        <v>193</v>
      </c>
    </row>
    <row r="5" spans="1:5">
      <c r="A5" s="2" t="s">
        <v>190</v>
      </c>
      <c r="B5" s="2" t="s">
        <v>191</v>
      </c>
      <c r="C5" s="2" t="s">
        <v>189</v>
      </c>
      <c r="D5" s="2">
        <v>0.8</v>
      </c>
      <c r="E5" s="2" t="s">
        <v>194</v>
      </c>
    </row>
    <row r="6" spans="1:4">
      <c r="A6" s="2" t="s">
        <v>195</v>
      </c>
      <c r="B6" s="2" t="s">
        <v>191</v>
      </c>
      <c r="C6" s="2" t="s">
        <v>196</v>
      </c>
      <c r="D6" s="2">
        <v>0.8</v>
      </c>
    </row>
    <row r="7" spans="1:4">
      <c r="A7" s="2" t="s">
        <v>195</v>
      </c>
      <c r="B7" s="2" t="s">
        <v>191</v>
      </c>
      <c r="C7" s="2" t="s">
        <v>196</v>
      </c>
      <c r="D7" s="2">
        <v>0.8</v>
      </c>
    </row>
    <row r="8" spans="1:4">
      <c r="A8" s="2" t="s">
        <v>195</v>
      </c>
      <c r="B8" s="2" t="s">
        <v>191</v>
      </c>
      <c r="C8" s="2" t="s">
        <v>196</v>
      </c>
      <c r="D8" s="2">
        <v>0.8</v>
      </c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Z13"/>
  <sheetViews>
    <sheetView topLeftCell="Z4" workbookViewId="0">
      <selection activeCell="Z4" sqref="Z4:Z16"/>
    </sheetView>
  </sheetViews>
  <sheetFormatPr defaultColWidth="9" defaultRowHeight="13.5"/>
  <cols>
    <col min="28" max="28" width="9" hidden="1" customWidth="1"/>
    <col min="29" max="29" width="48.45" customWidth="1"/>
  </cols>
  <sheetData>
    <row r="1" spans="1:52">
      <c r="A1" t="s">
        <v>197</v>
      </c>
      <c r="B1" t="s">
        <v>198</v>
      </c>
      <c r="C1" t="s">
        <v>199</v>
      </c>
      <c r="D1" t="s">
        <v>200</v>
      </c>
      <c r="E1" t="s">
        <v>201</v>
      </c>
      <c r="F1" t="s">
        <v>202</v>
      </c>
      <c r="G1" t="s">
        <v>203</v>
      </c>
      <c r="H1" t="s">
        <v>204</v>
      </c>
      <c r="I1" t="s">
        <v>205</v>
      </c>
      <c r="J1" t="s">
        <v>206</v>
      </c>
      <c r="K1" t="s">
        <v>207</v>
      </c>
      <c r="L1" t="s">
        <v>208</v>
      </c>
      <c r="M1" t="s">
        <v>209</v>
      </c>
      <c r="N1" t="s">
        <v>210</v>
      </c>
      <c r="O1" t="s">
        <v>211</v>
      </c>
      <c r="P1" t="s">
        <v>212</v>
      </c>
      <c r="Q1" t="s">
        <v>213</v>
      </c>
      <c r="R1" t="s">
        <v>214</v>
      </c>
      <c r="S1" t="s">
        <v>215</v>
      </c>
      <c r="T1" t="s">
        <v>216</v>
      </c>
      <c r="U1" t="s">
        <v>217</v>
      </c>
      <c r="V1" t="s">
        <v>218</v>
      </c>
      <c r="W1" t="s">
        <v>219</v>
      </c>
      <c r="X1" t="s">
        <v>220</v>
      </c>
      <c r="Y1" t="s">
        <v>221</v>
      </c>
      <c r="Z1" t="s">
        <v>222</v>
      </c>
      <c r="AA1" t="s">
        <v>223</v>
      </c>
      <c r="AB1" t="s">
        <v>224</v>
      </c>
      <c r="AC1" t="s">
        <v>225</v>
      </c>
      <c r="AD1" t="s">
        <v>226</v>
      </c>
      <c r="AE1" t="s">
        <v>227</v>
      </c>
      <c r="AF1" t="s">
        <v>228</v>
      </c>
      <c r="AG1" t="s">
        <v>229</v>
      </c>
      <c r="AH1" t="s">
        <v>230</v>
      </c>
      <c r="AI1" t="s">
        <v>231</v>
      </c>
      <c r="AJ1" t="s">
        <v>232</v>
      </c>
      <c r="AK1" t="s">
        <v>233</v>
      </c>
      <c r="AL1" t="s">
        <v>234</v>
      </c>
      <c r="AM1" t="s">
        <v>235</v>
      </c>
      <c r="AN1" t="s">
        <v>236</v>
      </c>
      <c r="AO1" t="s">
        <v>237</v>
      </c>
      <c r="AP1" t="s">
        <v>238</v>
      </c>
      <c r="AQ1" t="s">
        <v>239</v>
      </c>
      <c r="AR1" t="s">
        <v>240</v>
      </c>
      <c r="AS1" t="s">
        <v>241</v>
      </c>
      <c r="AT1" t="s">
        <v>242</v>
      </c>
      <c r="AU1" t="s">
        <v>243</v>
      </c>
      <c r="AV1" t="s">
        <v>244</v>
      </c>
      <c r="AW1" t="s">
        <v>245</v>
      </c>
      <c r="AX1" t="s">
        <v>246</v>
      </c>
      <c r="AY1" t="s">
        <v>247</v>
      </c>
      <c r="AZ1" t="s">
        <v>248</v>
      </c>
    </row>
    <row r="2" spans="1:52">
      <c r="A2" t="s">
        <v>249</v>
      </c>
      <c r="B2" t="s">
        <v>249</v>
      </c>
      <c r="C2" t="s">
        <v>250</v>
      </c>
      <c r="D2" t="s">
        <v>251</v>
      </c>
      <c r="E2" t="s">
        <v>252</v>
      </c>
      <c r="F2" t="s">
        <v>253</v>
      </c>
      <c r="G2" s="1" t="s">
        <v>254</v>
      </c>
      <c r="J2" t="s">
        <v>255</v>
      </c>
      <c r="K2" t="s">
        <v>256</v>
      </c>
      <c r="L2" t="s">
        <v>257</v>
      </c>
      <c r="M2" t="s">
        <v>258</v>
      </c>
      <c r="N2" t="s">
        <v>259</v>
      </c>
      <c r="O2">
        <v>1</v>
      </c>
      <c r="P2" t="s">
        <v>260</v>
      </c>
      <c r="Q2">
        <v>79.99</v>
      </c>
      <c r="Y2" t="s">
        <v>261</v>
      </c>
      <c r="Z2" t="s">
        <v>262</v>
      </c>
      <c r="AA2" t="s">
        <v>263</v>
      </c>
      <c r="AB2" t="s">
        <v>264</v>
      </c>
      <c r="AC2" t="s">
        <v>265</v>
      </c>
      <c r="AD2" t="b">
        <v>0</v>
      </c>
      <c r="AW2" t="b">
        <v>0</v>
      </c>
      <c r="AZ2" t="b">
        <v>0</v>
      </c>
    </row>
    <row r="3" spans="1:52">
      <c r="A3" t="s">
        <v>266</v>
      </c>
      <c r="B3" t="s">
        <v>266</v>
      </c>
      <c r="C3" t="s">
        <v>267</v>
      </c>
      <c r="D3" t="s">
        <v>268</v>
      </c>
      <c r="E3" t="s">
        <v>269</v>
      </c>
      <c r="F3" t="s">
        <v>253</v>
      </c>
      <c r="G3" s="1" t="s">
        <v>254</v>
      </c>
      <c r="J3" t="s">
        <v>255</v>
      </c>
      <c r="K3" t="s">
        <v>270</v>
      </c>
      <c r="L3" t="s">
        <v>271</v>
      </c>
      <c r="M3" t="s">
        <v>272</v>
      </c>
      <c r="N3" t="s">
        <v>269</v>
      </c>
      <c r="O3">
        <v>1</v>
      </c>
      <c r="P3" t="s">
        <v>260</v>
      </c>
      <c r="Q3">
        <v>99.99</v>
      </c>
      <c r="R3">
        <v>1.89</v>
      </c>
      <c r="W3">
        <v>72.99</v>
      </c>
      <c r="Y3" t="s">
        <v>273</v>
      </c>
      <c r="Z3" t="s">
        <v>274</v>
      </c>
      <c r="AA3" t="s">
        <v>275</v>
      </c>
      <c r="AB3" t="s">
        <v>264</v>
      </c>
      <c r="AC3" t="s">
        <v>276</v>
      </c>
      <c r="AD3" t="b">
        <v>0</v>
      </c>
      <c r="AW3" t="b">
        <v>0</v>
      </c>
      <c r="AZ3" t="b">
        <v>0</v>
      </c>
    </row>
    <row r="4" spans="1:52">
      <c r="A4" t="s">
        <v>277</v>
      </c>
      <c r="B4" t="s">
        <v>277</v>
      </c>
      <c r="C4" t="s">
        <v>278</v>
      </c>
      <c r="D4" t="s">
        <v>279</v>
      </c>
      <c r="E4" t="s">
        <v>252</v>
      </c>
      <c r="F4" t="s">
        <v>253</v>
      </c>
      <c r="G4" s="1" t="s">
        <v>254</v>
      </c>
      <c r="J4" t="s">
        <v>255</v>
      </c>
      <c r="K4" t="s">
        <v>256</v>
      </c>
      <c r="L4" t="s">
        <v>257</v>
      </c>
      <c r="M4" t="s">
        <v>258</v>
      </c>
      <c r="N4" t="s">
        <v>259</v>
      </c>
      <c r="O4">
        <v>1</v>
      </c>
      <c r="P4" t="s">
        <v>260</v>
      </c>
      <c r="Q4">
        <v>79.99</v>
      </c>
      <c r="Y4" t="s">
        <v>280</v>
      </c>
      <c r="Z4" t="s">
        <v>281</v>
      </c>
      <c r="AA4" t="s">
        <v>282</v>
      </c>
      <c r="AB4" t="s">
        <v>264</v>
      </c>
      <c r="AC4" t="s">
        <v>283</v>
      </c>
      <c r="AD4" t="b">
        <v>0</v>
      </c>
      <c r="AW4" t="b">
        <v>0</v>
      </c>
      <c r="AZ4" t="b">
        <v>0</v>
      </c>
    </row>
    <row r="5" spans="1:52">
      <c r="A5" t="s">
        <v>284</v>
      </c>
      <c r="B5" t="s">
        <v>284</v>
      </c>
      <c r="C5" t="s">
        <v>285</v>
      </c>
      <c r="D5" t="s">
        <v>286</v>
      </c>
      <c r="E5" t="s">
        <v>269</v>
      </c>
      <c r="F5" t="s">
        <v>253</v>
      </c>
      <c r="G5" s="1" t="s">
        <v>254</v>
      </c>
      <c r="J5" t="s">
        <v>255</v>
      </c>
      <c r="K5" t="s">
        <v>256</v>
      </c>
      <c r="L5" t="s">
        <v>257</v>
      </c>
      <c r="M5" t="s">
        <v>258</v>
      </c>
      <c r="N5" t="s">
        <v>269</v>
      </c>
      <c r="O5">
        <v>1</v>
      </c>
      <c r="P5" t="s">
        <v>260</v>
      </c>
      <c r="Q5">
        <v>79.99</v>
      </c>
      <c r="R5">
        <v>1.85</v>
      </c>
      <c r="W5">
        <v>59.99</v>
      </c>
      <c r="Y5" t="s">
        <v>287</v>
      </c>
      <c r="Z5" t="s">
        <v>288</v>
      </c>
      <c r="AA5" t="s">
        <v>289</v>
      </c>
      <c r="AB5" t="s">
        <v>264</v>
      </c>
      <c r="AC5" t="s">
        <v>290</v>
      </c>
      <c r="AD5" t="b">
        <v>0</v>
      </c>
      <c r="AW5" t="b">
        <v>0</v>
      </c>
      <c r="AZ5" t="b">
        <v>0</v>
      </c>
    </row>
    <row r="6" spans="1:52">
      <c r="A6" t="s">
        <v>291</v>
      </c>
      <c r="B6" t="s">
        <v>291</v>
      </c>
      <c r="C6" t="s">
        <v>292</v>
      </c>
      <c r="D6" t="s">
        <v>293</v>
      </c>
      <c r="E6" t="s">
        <v>252</v>
      </c>
      <c r="F6" t="s">
        <v>253</v>
      </c>
      <c r="G6" s="1" t="s">
        <v>254</v>
      </c>
      <c r="J6" t="s">
        <v>294</v>
      </c>
      <c r="K6" t="s">
        <v>295</v>
      </c>
      <c r="L6" t="s">
        <v>296</v>
      </c>
      <c r="M6" t="s">
        <v>297</v>
      </c>
      <c r="N6" t="s">
        <v>259</v>
      </c>
      <c r="O6">
        <v>1</v>
      </c>
      <c r="P6" t="s">
        <v>260</v>
      </c>
      <c r="Q6">
        <v>79.99</v>
      </c>
      <c r="Y6" t="s">
        <v>298</v>
      </c>
      <c r="Z6" t="s">
        <v>299</v>
      </c>
      <c r="AA6" t="s">
        <v>300</v>
      </c>
      <c r="AB6" t="s">
        <v>264</v>
      </c>
      <c r="AC6" t="s">
        <v>301</v>
      </c>
      <c r="AD6" t="b">
        <v>0</v>
      </c>
      <c r="AW6" t="b">
        <v>0</v>
      </c>
      <c r="AZ6" t="b">
        <v>0</v>
      </c>
    </row>
    <row r="7" spans="1:52">
      <c r="A7" t="s">
        <v>302</v>
      </c>
      <c r="B7" t="s">
        <v>302</v>
      </c>
      <c r="C7" t="s">
        <v>303</v>
      </c>
      <c r="D7" t="s">
        <v>304</v>
      </c>
      <c r="E7" t="s">
        <v>252</v>
      </c>
      <c r="F7" t="s">
        <v>253</v>
      </c>
      <c r="G7" s="1" t="s">
        <v>254</v>
      </c>
      <c r="J7" t="s">
        <v>255</v>
      </c>
      <c r="K7" t="s">
        <v>256</v>
      </c>
      <c r="L7" t="s">
        <v>257</v>
      </c>
      <c r="M7" t="s">
        <v>258</v>
      </c>
      <c r="N7" t="s">
        <v>259</v>
      </c>
      <c r="O7">
        <v>1</v>
      </c>
      <c r="P7" t="s">
        <v>260</v>
      </c>
      <c r="Q7">
        <v>79.99</v>
      </c>
      <c r="Y7" t="s">
        <v>305</v>
      </c>
      <c r="Z7" t="s">
        <v>306</v>
      </c>
      <c r="AA7" t="s">
        <v>307</v>
      </c>
      <c r="AB7" t="s">
        <v>264</v>
      </c>
      <c r="AC7" t="s">
        <v>283</v>
      </c>
      <c r="AD7" t="b">
        <v>0</v>
      </c>
      <c r="AW7" t="b">
        <v>0</v>
      </c>
      <c r="AZ7" t="b">
        <v>0</v>
      </c>
    </row>
    <row r="8" spans="1:52">
      <c r="A8" t="s">
        <v>308</v>
      </c>
      <c r="B8" t="s">
        <v>308</v>
      </c>
      <c r="C8" t="s">
        <v>309</v>
      </c>
      <c r="D8" t="s">
        <v>310</v>
      </c>
      <c r="E8" t="s">
        <v>252</v>
      </c>
      <c r="F8" t="s">
        <v>253</v>
      </c>
      <c r="G8" s="1" t="s">
        <v>254</v>
      </c>
      <c r="J8" t="s">
        <v>255</v>
      </c>
      <c r="K8" t="s">
        <v>295</v>
      </c>
      <c r="L8" t="s">
        <v>296</v>
      </c>
      <c r="M8" t="s">
        <v>297</v>
      </c>
      <c r="N8" t="s">
        <v>259</v>
      </c>
      <c r="O8">
        <v>1</v>
      </c>
      <c r="P8" t="s">
        <v>260</v>
      </c>
      <c r="Q8">
        <v>79.99</v>
      </c>
      <c r="Y8" t="s">
        <v>311</v>
      </c>
      <c r="Z8" t="s">
        <v>312</v>
      </c>
      <c r="AA8" t="s">
        <v>313</v>
      </c>
      <c r="AB8" t="s">
        <v>264</v>
      </c>
      <c r="AC8" t="s">
        <v>314</v>
      </c>
      <c r="AD8" t="b">
        <v>0</v>
      </c>
      <c r="AW8" t="b">
        <v>0</v>
      </c>
      <c r="AZ8" t="b">
        <v>0</v>
      </c>
    </row>
    <row r="9" spans="1:52">
      <c r="A9" t="s">
        <v>315</v>
      </c>
      <c r="B9" t="s">
        <v>315</v>
      </c>
      <c r="C9" t="s">
        <v>316</v>
      </c>
      <c r="D9" t="s">
        <v>317</v>
      </c>
      <c r="E9" t="s">
        <v>269</v>
      </c>
      <c r="F9" t="s">
        <v>253</v>
      </c>
      <c r="G9" s="1" t="s">
        <v>254</v>
      </c>
      <c r="J9" t="s">
        <v>255</v>
      </c>
      <c r="K9" t="s">
        <v>295</v>
      </c>
      <c r="L9" t="s">
        <v>296</v>
      </c>
      <c r="M9" t="s">
        <v>297</v>
      </c>
      <c r="N9" t="s">
        <v>269</v>
      </c>
      <c r="O9">
        <v>1</v>
      </c>
      <c r="P9" t="s">
        <v>260</v>
      </c>
      <c r="Q9">
        <v>79.99</v>
      </c>
      <c r="R9">
        <v>3.12</v>
      </c>
      <c r="W9">
        <v>47.99</v>
      </c>
      <c r="Y9" t="s">
        <v>318</v>
      </c>
      <c r="Z9" t="s">
        <v>288</v>
      </c>
      <c r="AA9" t="s">
        <v>319</v>
      </c>
      <c r="AB9" t="s">
        <v>264</v>
      </c>
      <c r="AC9" t="s">
        <v>314</v>
      </c>
      <c r="AD9" t="b">
        <v>0</v>
      </c>
      <c r="AW9" t="b">
        <v>0</v>
      </c>
      <c r="AZ9" t="b">
        <v>0</v>
      </c>
    </row>
    <row r="10" spans="1:52">
      <c r="A10" t="s">
        <v>320</v>
      </c>
      <c r="B10" t="s">
        <v>320</v>
      </c>
      <c r="C10" t="s">
        <v>321</v>
      </c>
      <c r="D10" t="s">
        <v>322</v>
      </c>
      <c r="E10" t="s">
        <v>269</v>
      </c>
      <c r="F10" t="s">
        <v>253</v>
      </c>
      <c r="G10" s="1" t="s">
        <v>254</v>
      </c>
      <c r="J10" t="s">
        <v>255</v>
      </c>
      <c r="K10" t="s">
        <v>256</v>
      </c>
      <c r="L10" t="s">
        <v>257</v>
      </c>
      <c r="M10" t="s">
        <v>258</v>
      </c>
      <c r="N10" t="s">
        <v>269</v>
      </c>
      <c r="O10">
        <v>1</v>
      </c>
      <c r="P10" t="s">
        <v>260</v>
      </c>
      <c r="Q10">
        <v>79.99</v>
      </c>
      <c r="R10">
        <v>1.25</v>
      </c>
      <c r="S10">
        <v>2.99</v>
      </c>
      <c r="W10">
        <v>59.99</v>
      </c>
      <c r="X10">
        <v>2.99</v>
      </c>
      <c r="Y10" t="s">
        <v>323</v>
      </c>
      <c r="Z10" t="s">
        <v>324</v>
      </c>
      <c r="AA10" t="s">
        <v>325</v>
      </c>
      <c r="AB10" t="s">
        <v>264</v>
      </c>
      <c r="AC10" t="s">
        <v>326</v>
      </c>
      <c r="AD10" t="b">
        <v>0</v>
      </c>
      <c r="AW10" t="b">
        <v>0</v>
      </c>
      <c r="AZ10" t="b">
        <v>0</v>
      </c>
    </row>
    <row r="11" spans="1:52">
      <c r="A11" t="s">
        <v>327</v>
      </c>
      <c r="B11" t="s">
        <v>327</v>
      </c>
      <c r="C11" t="s">
        <v>328</v>
      </c>
      <c r="D11" t="s">
        <v>329</v>
      </c>
      <c r="E11" t="s">
        <v>269</v>
      </c>
      <c r="F11" t="s">
        <v>253</v>
      </c>
      <c r="G11" s="1" t="s">
        <v>254</v>
      </c>
      <c r="J11" t="s">
        <v>294</v>
      </c>
      <c r="K11" t="s">
        <v>270</v>
      </c>
      <c r="L11" t="s">
        <v>271</v>
      </c>
      <c r="M11" t="s">
        <v>272</v>
      </c>
      <c r="N11" t="s">
        <v>269</v>
      </c>
      <c r="O11">
        <v>1</v>
      </c>
      <c r="P11" t="s">
        <v>260</v>
      </c>
      <c r="Q11">
        <v>99.99</v>
      </c>
      <c r="R11">
        <v>2.84</v>
      </c>
      <c r="W11">
        <v>67.99</v>
      </c>
      <c r="Y11" t="s">
        <v>330</v>
      </c>
      <c r="Z11" t="s">
        <v>331</v>
      </c>
      <c r="AA11">
        <v>11235</v>
      </c>
      <c r="AB11" t="s">
        <v>264</v>
      </c>
      <c r="AC11" t="s">
        <v>332</v>
      </c>
      <c r="AD11" t="b">
        <v>0</v>
      </c>
      <c r="AW11" t="b">
        <v>0</v>
      </c>
      <c r="AZ11" t="b">
        <v>0</v>
      </c>
    </row>
    <row r="12" spans="1:52">
      <c r="A12" t="s">
        <v>333</v>
      </c>
      <c r="B12" t="s">
        <v>333</v>
      </c>
      <c r="C12" t="s">
        <v>334</v>
      </c>
      <c r="D12" t="s">
        <v>335</v>
      </c>
      <c r="E12" t="s">
        <v>252</v>
      </c>
      <c r="F12" t="s">
        <v>253</v>
      </c>
      <c r="G12" s="1" t="s">
        <v>254</v>
      </c>
      <c r="J12" t="s">
        <v>255</v>
      </c>
      <c r="K12" t="s">
        <v>256</v>
      </c>
      <c r="L12" t="s">
        <v>257</v>
      </c>
      <c r="M12" t="s">
        <v>258</v>
      </c>
      <c r="N12" t="s">
        <v>259</v>
      </c>
      <c r="O12">
        <v>1</v>
      </c>
      <c r="P12" t="s">
        <v>260</v>
      </c>
      <c r="Q12">
        <v>79.99</v>
      </c>
      <c r="Y12" t="s">
        <v>336</v>
      </c>
      <c r="Z12" t="s">
        <v>331</v>
      </c>
      <c r="AA12">
        <v>10461</v>
      </c>
      <c r="AB12" t="s">
        <v>264</v>
      </c>
      <c r="AC12" t="s">
        <v>265</v>
      </c>
      <c r="AD12" t="b">
        <v>0</v>
      </c>
      <c r="AW12" t="b">
        <v>0</v>
      </c>
      <c r="AZ12" t="b">
        <v>0</v>
      </c>
    </row>
    <row r="13" spans="1:52">
      <c r="A13" t="s">
        <v>337</v>
      </c>
      <c r="B13" t="s">
        <v>337</v>
      </c>
      <c r="C13" t="s">
        <v>338</v>
      </c>
      <c r="D13" t="s">
        <v>339</v>
      </c>
      <c r="E13" t="s">
        <v>269</v>
      </c>
      <c r="F13" t="s">
        <v>253</v>
      </c>
      <c r="G13" s="1" t="s">
        <v>254</v>
      </c>
      <c r="J13" t="s">
        <v>255</v>
      </c>
      <c r="K13" t="s">
        <v>295</v>
      </c>
      <c r="L13" t="s">
        <v>296</v>
      </c>
      <c r="M13" t="s">
        <v>297</v>
      </c>
      <c r="N13" t="s">
        <v>269</v>
      </c>
      <c r="O13">
        <v>1</v>
      </c>
      <c r="P13" t="s">
        <v>260</v>
      </c>
      <c r="Q13">
        <v>79.99</v>
      </c>
      <c r="R13">
        <v>3.8</v>
      </c>
      <c r="W13">
        <v>40</v>
      </c>
      <c r="Y13" t="s">
        <v>340</v>
      </c>
      <c r="Z13" t="s">
        <v>306</v>
      </c>
      <c r="AA13" t="s">
        <v>341</v>
      </c>
      <c r="AB13" t="s">
        <v>264</v>
      </c>
      <c r="AC13" t="s">
        <v>342</v>
      </c>
      <c r="AD13" t="b">
        <v>0</v>
      </c>
      <c r="AW13" t="b">
        <v>0</v>
      </c>
      <c r="AZ13" t="b">
        <v>0</v>
      </c>
    </row>
  </sheetData>
  <sheetProtection formatCells="0" insertHyperlinks="0" autoFilter="0"/>
  <autoFilter ref="A1:AZ13">
    <extLst/>
  </autoFilter>
  <hyperlinks>
    <hyperlink ref="G2" r:id="rId1" display="Amazon.com" tooltip="Amazon.com"/>
    <hyperlink ref="G3" r:id="rId1" display="Amazon.com" tooltip="Amazon.com"/>
    <hyperlink ref="G4" r:id="rId1" display="Amazon.com" tooltip="Amazon.com"/>
    <hyperlink ref="G5" r:id="rId1" display="Amazon.com" tooltip="Amazon.com"/>
    <hyperlink ref="G6" r:id="rId1" display="Amazon.com" tooltip="Amazon.com"/>
    <hyperlink ref="G7" r:id="rId1" display="Amazon.com" tooltip="Amazon.com"/>
    <hyperlink ref="G8" r:id="rId1" display="Amazon.com" tooltip="Amazon.com"/>
    <hyperlink ref="G9" r:id="rId1" display="Amazon.com" tooltip="Amazon.com"/>
    <hyperlink ref="G10" r:id="rId1" display="Amazon.com" tooltip="Amazon.com"/>
    <hyperlink ref="G11" r:id="rId1" display="Amazon.com" tooltip="Amazon.com"/>
    <hyperlink ref="G12" r:id="rId1" display="Amazon.com" tooltip="Amazon.com"/>
    <hyperlink ref="G13" r:id="rId1" display="Amazon.com" tooltip="Amazon.com"/>
  </hyperlinks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sheetProtection formatCells="0" insertHyperlinks="0" autoFilter="0"/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��ۏL�-N�]�[b
</file>

<file path=customXml/item2.xml>��
</file>

<file path=customXml/item3.xml>��
</file>

<file path=customXml/itemProps1.xml><?xml version="1.0" encoding="utf-8"?>
<ds:datastoreItem xmlns:ds="http://schemas.openxmlformats.org/officeDocument/2006/customXml" ds:itemID="{D5662047-3127-477A-AC3A-1D340467FB41}">
  <ds:schemaRefs/>
</ds:datastoreItem>
</file>

<file path=customXml/itemProps2.xml><?xml version="1.0" encoding="utf-8"?>
<ds:datastoreItem xmlns:ds="http://schemas.openxmlformats.org/officeDocument/2006/customXml" ds:itemID="{06C82605-B75B-4693-9329-32AAD527C692}">
  <ds:schemaRefs/>
</ds:datastoreItem>
</file>

<file path=customXml/itemProps3.xml><?xml version="1.0" encoding="utf-8"?>
<ds:datastoreItem xmlns:ds="http://schemas.openxmlformats.org/officeDocument/2006/customXml" ds:itemID="{224D003E-15C9-4FFE-AB16-9E66474EAE4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WWO_wpscloud_20231026212829-34ac9b8820</Application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小类目分析</vt:lpstr>
      <vt:lpstr>新品订单数据</vt:lpstr>
      <vt:lpstr>每日实际盈亏</vt:lpstr>
      <vt:lpstr>阶段实际盈亏</vt:lpstr>
      <vt:lpstr>阶段盈亏模拟</vt:lpstr>
      <vt:lpstr>盈亏模拟</vt:lpstr>
      <vt:lpstr>CPC模拟</vt:lpstr>
      <vt:lpstr>主要出单词</vt:lpstr>
      <vt:lpstr>广告策略</vt:lpstr>
      <vt:lpstr>2</vt:lpstr>
      <vt:lpstr>WpsReserved_CellImgList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2018-07-15T08:28:00Z</dcterms:created>
  <dcterms:modified xsi:type="dcterms:W3CDTF">2023-11-02T02:25:33Z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2052-12.1.0.15712</vt:lpwstr>
  </property>
  <property fmtid="{D5CDD505-2E9C-101B-9397-08002B2CF9AE}" pid="3" name="ICV">
    <vt:lpwstr/>
  </property>
  <property fmtid="{D5CDD505-2E9C-101B-9397-08002B2CF9AE}" pid="4" name="KSOReadingLayout">
    <vt:bool>false</vt:bool>
  </property>
</Properties>
</file>