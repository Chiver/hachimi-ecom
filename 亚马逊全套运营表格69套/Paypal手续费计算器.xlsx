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1" sheetId="1" r:id="rId1"/>
  </sheets>
  <calcPr calcId="144525"/>
</workbook>
</file>

<file path=xl/sharedStrings.xml><?xml version="1.0" encoding="utf-8"?>
<sst xmlns="http://schemas.openxmlformats.org/spreadsheetml/2006/main" count="25" uniqueCount="17">
  <si>
    <t>国家</t>
  </si>
  <si>
    <t>收到</t>
  </si>
  <si>
    <t>手续费率</t>
  </si>
  <si>
    <t>手续费</t>
  </si>
  <si>
    <t>付款人应转</t>
  </si>
  <si>
    <t>转出</t>
  </si>
  <si>
    <t>收款人收到</t>
  </si>
  <si>
    <t>UK</t>
  </si>
  <si>
    <t xml:space="preserve"> 5.4% + 0.2</t>
  </si>
  <si>
    <t>DE</t>
  </si>
  <si>
    <t xml:space="preserve"> 5.79% + 0.35</t>
  </si>
  <si>
    <t>FR</t>
  </si>
  <si>
    <t>5.4% + 0.25</t>
  </si>
  <si>
    <t>IT</t>
  </si>
  <si>
    <t>5.4% + 0.35</t>
  </si>
  <si>
    <t>ES</t>
  </si>
  <si>
    <t>备注：只需填写蓝色区域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</si>
</sst>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);\(0.00\)"/>
  </numFmts>
  <fonts count="22">
    <font>
      <sz val="11"/>
      <color theme="1"/>
      <name val="宋体"/>
      <charset val="134"/>
      <scheme val="minor"/>
    </font>
    <font>
      <sz val="14"/>
      <color theme="1"/>
      <name val="Segoe UI Symbol"/>
      <charset val="134"/>
    </font>
    <font>
      <sz val="14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26" borderId="8" applyNumberFormat="0" applyAlignment="0" applyProtection="0">
      <alignment vertical="center"/>
    </xf>
    <xf numFmtId="0" fontId="21" fillId="26" borderId="4" applyNumberFormat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E10" sqref="E10"/>
    </sheetView>
  </sheetViews>
  <sheetFormatPr defaultColWidth="9" defaultRowHeight="20.25" outlineLevelRow="7"/>
  <cols>
    <col min="1" max="2" width="9" style="1"/>
    <col min="3" max="3" width="17.125" style="1" customWidth="1"/>
    <col min="4" max="4" width="9" style="1"/>
    <col min="5" max="5" width="14.125" style="2" customWidth="1"/>
    <col min="6" max="6" width="3.75" style="1" customWidth="1"/>
    <col min="7" max="7" width="9" style="1"/>
    <col min="8" max="8" width="15.5" style="1" customWidth="1"/>
    <col min="9" max="9" width="9" style="2"/>
    <col min="10" max="10" width="12.75" style="2" customWidth="1"/>
    <col min="11" max="16384" width="9" style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/>
      <c r="G1" s="3" t="s">
        <v>5</v>
      </c>
      <c r="H1" s="3" t="s">
        <v>2</v>
      </c>
      <c r="I1" s="4" t="s">
        <v>3</v>
      </c>
      <c r="J1" s="4" t="s">
        <v>6</v>
      </c>
    </row>
    <row r="2" spans="1:10">
      <c r="A2" s="5" t="s">
        <v>7</v>
      </c>
      <c r="B2" s="6">
        <v>1</v>
      </c>
      <c r="C2" s="5" t="s">
        <v>8</v>
      </c>
      <c r="D2" s="5"/>
      <c r="E2" s="7">
        <f>(B2+0.2)/(1-5.4%)</f>
        <v>1.26849894291755</v>
      </c>
      <c r="F2" s="5"/>
      <c r="G2" s="6">
        <v>1</v>
      </c>
      <c r="H2" s="5" t="s">
        <v>8</v>
      </c>
      <c r="I2" s="7">
        <f>G2*5.4%+0.2</f>
        <v>0.254</v>
      </c>
      <c r="J2" s="7">
        <f t="shared" ref="J2:J6" si="0">G2-I2</f>
        <v>0.746</v>
      </c>
    </row>
    <row r="3" spans="1:10">
      <c r="A3" s="5" t="s">
        <v>9</v>
      </c>
      <c r="B3" s="6">
        <v>1</v>
      </c>
      <c r="C3" s="5" t="s">
        <v>10</v>
      </c>
      <c r="D3" s="5"/>
      <c r="E3" s="7">
        <f>(B3+0.35)/(1-5.79%)</f>
        <v>1.43296889926759</v>
      </c>
      <c r="F3" s="5"/>
      <c r="G3" s="6">
        <v>1</v>
      </c>
      <c r="H3" s="5" t="s">
        <v>10</v>
      </c>
      <c r="I3" s="7">
        <f>G3*5.79%+0.35</f>
        <v>0.4079</v>
      </c>
      <c r="J3" s="7">
        <f t="shared" si="0"/>
        <v>0.5921</v>
      </c>
    </row>
    <row r="4" spans="1:10">
      <c r="A4" s="5" t="s">
        <v>11</v>
      </c>
      <c r="B4" s="6">
        <v>1</v>
      </c>
      <c r="C4" s="5" t="s">
        <v>12</v>
      </c>
      <c r="D4" s="5"/>
      <c r="E4" s="7">
        <f>(B4+0.25)/(1-5.4%)</f>
        <v>1.32135306553911</v>
      </c>
      <c r="F4" s="5"/>
      <c r="G4" s="6">
        <v>1</v>
      </c>
      <c r="H4" s="5" t="s">
        <v>12</v>
      </c>
      <c r="I4" s="7">
        <f>G4*5.4%+0.25</f>
        <v>0.304</v>
      </c>
      <c r="J4" s="7">
        <f t="shared" si="0"/>
        <v>0.696</v>
      </c>
    </row>
    <row r="5" spans="1:10">
      <c r="A5" s="5" t="s">
        <v>13</v>
      </c>
      <c r="B5" s="6">
        <v>1</v>
      </c>
      <c r="C5" s="5" t="s">
        <v>14</v>
      </c>
      <c r="D5" s="5"/>
      <c r="E5" s="7">
        <f>(B5+0.35)/(1-5.4%)</f>
        <v>1.42706131078224</v>
      </c>
      <c r="F5" s="5"/>
      <c r="G5" s="6">
        <v>1</v>
      </c>
      <c r="H5" s="5" t="s">
        <v>14</v>
      </c>
      <c r="I5" s="7">
        <f>G5*5.4%+0.35</f>
        <v>0.404</v>
      </c>
      <c r="J5" s="7">
        <f t="shared" si="0"/>
        <v>0.596</v>
      </c>
    </row>
    <row r="6" spans="1:10">
      <c r="A6" s="5" t="s">
        <v>15</v>
      </c>
      <c r="B6" s="6">
        <v>1</v>
      </c>
      <c r="C6" s="5" t="s">
        <v>14</v>
      </c>
      <c r="D6" s="5"/>
      <c r="E6" s="7">
        <f>(B6+0.35)/(1-5.4%)</f>
        <v>1.42706131078224</v>
      </c>
      <c r="F6" s="5"/>
      <c r="G6" s="6">
        <v>1</v>
      </c>
      <c r="H6" s="5" t="s">
        <v>14</v>
      </c>
      <c r="I6" s="7">
        <f>G6*5.4%+0.35</f>
        <v>0.404</v>
      </c>
      <c r="J6" s="7">
        <f t="shared" si="0"/>
        <v>0.596</v>
      </c>
    </row>
    <row r="8" ht="18.75" spans="1:1">
      <c r="A8" s="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阿焕</cp:lastModifiedBy>
  <dcterms:created xsi:type="dcterms:W3CDTF">2019-10-10T03:23:00Z</dcterms:created>
  <dcterms:modified xsi:type="dcterms:W3CDTF">2021-09-11T02:11:56Z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