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竞价计算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<sst xmlns="http://schemas.openxmlformats.org/spreadsheetml/2006/main" count="33" uniqueCount="30">
  <si>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手动填入数值</t>
  </si>
  <si>
    <t>自动计算数值，勿修改删除</t>
  </si>
  <si>
    <t>基础竞价</t>
  </si>
  <si>
    <t>目标ACoS</t>
  </si>
  <si>
    <t>产品售价</t>
  </si>
  <si>
    <t>转化率</t>
  </si>
  <si>
    <t>调整比例</t>
  </si>
  <si>
    <t>期望投入多少产生1个销售</t>
  </si>
  <si>
    <t>多少次点击产生1个销售</t>
  </si>
  <si>
    <t>单次点击收入</t>
  </si>
  <si>
    <t>目标竞价</t>
  </si>
  <si>
    <t>广告位调整竞价</t>
  </si>
  <si>
    <t>广告位 Placement</t>
  </si>
  <si>
    <t>点击</t>
  </si>
  <si>
    <t>销售额</t>
  </si>
  <si>
    <t>SPC</t>
  </si>
  <si>
    <t>First page Top of Search on Amazon</t>
  </si>
  <si>
    <t>Product pages on Amazon</t>
  </si>
  <si>
    <t>Rest of search on Amazon</t>
  </si>
  <si>
    <t>总计</t>
  </si>
  <si>
    <t>最高SPC位置点击占比</t>
  </si>
  <si>
    <t>默认竞价(单关键词广告活动）</t>
  </si>
  <si>
    <t>Top of Search 调整比例</t>
  </si>
  <si>
    <t>Product pages 调整比例</t>
  </si>
  <si>
    <t>多关键词广告活动</t>
  </si>
  <si>
    <t>关键词</t>
  </si>
  <si>
    <t>竞价</t>
  </si>
  <si>
    <t>关键词1</t>
  </si>
  <si>
    <t>关键词2</t>
  </si>
  <si>
    <t>表格行下来，添加更多关键词…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</si>
</sst>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);[Red]\(0.00\)"/>
    <numFmt numFmtId="178" formatCode="[$$-409]#,##0.00;\([$$-409]#,##0.00\)"/>
    <numFmt numFmtId="179" formatCode="[$$-409]#,##0.00_);\([$$-409]#,##0.00\)"/>
  </numFmts>
  <fonts count="27">
    <font>
      <sz val="11"/>
      <color theme="1"/>
      <name val="等线"/>
      <charset val="134"/>
      <scheme val="minor"/>
    </font>
    <font>
      <sz val="14"/>
      <color theme="1"/>
      <name val="Microsoft YaHei UI"/>
      <charset val="134"/>
    </font>
    <font>
      <sz val="11"/>
      <color theme="1"/>
      <name val="Microsoft YaHei UI"/>
      <charset val="134"/>
    </font>
    <font>
      <u/>
      <sz val="11"/>
      <color theme="10"/>
      <name val="等线"/>
      <charset val="134"/>
      <scheme val="minor"/>
    </font>
    <font>
      <b/>
      <sz val="11"/>
      <color theme="1"/>
      <name val="Microsoft YaHei UI"/>
      <charset val="134"/>
    </font>
    <font>
      <sz val="11"/>
      <color theme="0"/>
      <name val="Microsoft YaHei UI"/>
      <charset val="134"/>
    </font>
    <font>
      <sz val="11"/>
      <color theme="1"/>
      <name val="Arial"/>
      <charset val="134"/>
    </font>
    <font>
      <b/>
      <sz val="11"/>
      <color theme="0"/>
      <name val="Microsoft YaHei UI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58C9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6">
      <alignment vertical="center"/>
    </xf>
    <xf numFmtId="0" fontId="2" fillId="3" borderId="0" xfId="0" applyFont="1" applyFill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>
      <alignment vertical="center"/>
    </xf>
    <xf numFmtId="9" fontId="6" fillId="2" borderId="1" xfId="0" applyNumberFormat="1" applyFont="1" applyFill="1" applyBorder="1">
      <alignment vertical="center"/>
    </xf>
    <xf numFmtId="176" fontId="6" fillId="2" borderId="1" xfId="0" applyNumberFormat="1" applyFont="1" applyFill="1" applyBorder="1">
      <alignment vertical="center"/>
    </xf>
    <xf numFmtId="0" fontId="6" fillId="0" borderId="0" xfId="0" applyFont="1">
      <alignment vertical="center"/>
    </xf>
    <xf numFmtId="176" fontId="6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177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1" fontId="6" fillId="2" borderId="1" xfId="0" applyNumberFormat="1" applyFont="1" applyFill="1" applyBorder="1">
      <alignment vertical="center"/>
    </xf>
    <xf numFmtId="178" fontId="6" fillId="2" borderId="1" xfId="0" applyNumberFormat="1" applyFont="1" applyFill="1" applyBorder="1">
      <alignment vertical="center"/>
    </xf>
    <xf numFmtId="179" fontId="6" fillId="3" borderId="1" xfId="0" applyNumberFormat="1" applyFont="1" applyFill="1" applyBorder="1" applyAlignment="1">
      <alignment horizontal="right" vertical="center"/>
    </xf>
    <xf numFmtId="179" fontId="1" fillId="0" borderId="0" xfId="0" applyNumberFormat="1" applyFont="1">
      <alignment vertical="center"/>
    </xf>
    <xf numFmtId="9" fontId="1" fillId="0" borderId="0" xfId="3" applyFont="1">
      <alignment vertical="center"/>
    </xf>
    <xf numFmtId="1" fontId="6" fillId="3" borderId="1" xfId="0" applyNumberFormat="1" applyFont="1" applyFill="1" applyBorder="1">
      <alignment vertical="center"/>
    </xf>
    <xf numFmtId="178" fontId="6" fillId="3" borderId="1" xfId="0" applyNumberFormat="1" applyFont="1" applyFill="1" applyBorder="1">
      <alignment vertical="center"/>
    </xf>
    <xf numFmtId="10" fontId="6" fillId="3" borderId="1" xfId="3" applyNumberFormat="1" applyFont="1" applyFill="1" applyBorder="1" applyAlignment="1">
      <alignment horizontal="right" vertical="center"/>
    </xf>
    <xf numFmtId="1" fontId="6" fillId="0" borderId="0" xfId="0" applyNumberFormat="1" applyFont="1">
      <alignment vertical="center"/>
    </xf>
    <xf numFmtId="0" fontId="5" fillId="4" borderId="1" xfId="0" applyFont="1" applyFill="1" applyBorder="1" applyAlignment="1">
      <alignment horizontal="left" vertical="center"/>
    </xf>
    <xf numFmtId="179" fontId="6" fillId="0" borderId="0" xfId="0" applyNumberFormat="1" applyFont="1">
      <alignment vertical="center"/>
    </xf>
    <xf numFmtId="9" fontId="6" fillId="3" borderId="1" xfId="3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1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58C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1"/>
  <sheetViews>
    <sheetView tabSelected="1" zoomScale="115" zoomScaleNormal="115" workbookViewId="0">
      <selection activeCell="E13" sqref="E13"/>
    </sheetView>
  </sheetViews>
  <sheetFormatPr defaultColWidth="8.88333333333333" defaultRowHeight="16.5"/>
  <cols>
    <col min="1" max="1" width="6.21666666666667" style="2" customWidth="1"/>
    <col min="2" max="2" width="37.8833333333333" style="2" customWidth="1"/>
    <col min="3" max="5" width="12.775" style="2" customWidth="1"/>
    <col min="6" max="6" width="10.775" style="2" customWidth="1"/>
    <col min="7" max="7" width="8.88333333333333" style="2"/>
    <col min="8" max="8" width="12.775" style="2" customWidth="1"/>
    <col min="9" max="9" width="8.88333333333333" style="2"/>
    <col min="10" max="11" width="9.55833333333333" style="2" customWidth="1"/>
    <col min="12" max="16384" width="8.88333333333333" style="2"/>
  </cols>
  <sheetData>
    <row r="1" ht="18.6" customHeight="1"/>
    <row r="2" ht="18.6" customHeight="1" spans="4:5">
      <c r="D2" s="3"/>
      <c r="E2" s="2" t="s">
        <v>0</v>
      </c>
    </row>
    <row r="3" ht="18.6" customHeight="1" spans="2:5">
      <c r="B3" s="4"/>
      <c r="D3" s="5"/>
      <c r="E3" s="2" t="s">
        <v>1</v>
      </c>
    </row>
    <row r="4" ht="18.6" customHeight="1" spans="2:2">
      <c r="B4" s="6" t="s">
        <v>2</v>
      </c>
    </row>
    <row r="5" ht="19.95" customHeight="1" spans="2:3">
      <c r="B5" s="7" t="s">
        <v>3</v>
      </c>
      <c r="C5" s="8">
        <v>0.25</v>
      </c>
    </row>
    <row r="6" ht="19.95" customHeight="1" spans="2:3">
      <c r="B6" s="7" t="s">
        <v>4</v>
      </c>
      <c r="C6" s="9">
        <v>40</v>
      </c>
    </row>
    <row r="7" ht="19.95" customHeight="1" spans="2:3">
      <c r="B7" s="7" t="s">
        <v>5</v>
      </c>
      <c r="C7" s="8">
        <v>0.05</v>
      </c>
    </row>
    <row r="8" ht="19.95" customHeight="1" spans="2:3">
      <c r="B8" s="7" t="s">
        <v>6</v>
      </c>
      <c r="C8" s="8">
        <v>0.5</v>
      </c>
    </row>
    <row r="9" ht="19.95" customHeight="1" spans="3:3">
      <c r="C9" s="10"/>
    </row>
    <row r="10" ht="19.95" customHeight="1" spans="2:3">
      <c r="B10" s="7" t="s">
        <v>7</v>
      </c>
      <c r="C10" s="11">
        <f>C5*C6</f>
        <v>10</v>
      </c>
    </row>
    <row r="11" ht="19.95" customHeight="1" spans="2:3">
      <c r="B11" s="7" t="s">
        <v>8</v>
      </c>
      <c r="C11" s="12">
        <f>1/C7</f>
        <v>20</v>
      </c>
    </row>
    <row r="12" ht="19.95" customHeight="1" spans="2:3">
      <c r="B12" s="7" t="s">
        <v>9</v>
      </c>
      <c r="C12" s="11">
        <f>C6*C7</f>
        <v>2</v>
      </c>
    </row>
    <row r="13" ht="19.95" customHeight="1" spans="2:4">
      <c r="B13" s="7" t="s">
        <v>10</v>
      </c>
      <c r="C13" s="11">
        <f>C5*C6*C7*(1+C8)</f>
        <v>0.75</v>
      </c>
      <c r="D13" s="13"/>
    </row>
    <row r="14" spans="4:4">
      <c r="D14" s="14"/>
    </row>
    <row r="15" spans="2:2">
      <c r="B15" s="6" t="s">
        <v>11</v>
      </c>
    </row>
    <row r="16" s="1" customFormat="1" ht="20.25" spans="2:5">
      <c r="B16" s="15" t="s">
        <v>12</v>
      </c>
      <c r="C16" s="15" t="s">
        <v>13</v>
      </c>
      <c r="D16" s="15" t="s">
        <v>14</v>
      </c>
      <c r="E16" s="15" t="s">
        <v>15</v>
      </c>
    </row>
    <row r="17" s="1" customFormat="1" ht="20.25" spans="2:11">
      <c r="B17" s="16" t="s">
        <v>16</v>
      </c>
      <c r="C17" s="17">
        <v>33</v>
      </c>
      <c r="D17" s="18">
        <v>135.97</v>
      </c>
      <c r="E17" s="19">
        <f>D17/C17</f>
        <v>4.12030303030303</v>
      </c>
      <c r="F17" s="20"/>
      <c r="G17" s="21"/>
      <c r="H17" s="20"/>
      <c r="I17" s="32"/>
      <c r="J17" s="20"/>
      <c r="K17" s="20"/>
    </row>
    <row r="18" s="1" customFormat="1" ht="20.25" spans="2:7">
      <c r="B18" s="16" t="s">
        <v>17</v>
      </c>
      <c r="C18" s="17">
        <v>683</v>
      </c>
      <c r="D18" s="18">
        <v>987.36</v>
      </c>
      <c r="E18" s="19">
        <f>D18/C18</f>
        <v>1.44562225475842</v>
      </c>
      <c r="F18" s="20"/>
      <c r="G18" s="21"/>
    </row>
    <row r="19" s="1" customFormat="1" ht="20.25" spans="2:6">
      <c r="B19" s="16" t="s">
        <v>18</v>
      </c>
      <c r="C19" s="17">
        <v>571</v>
      </c>
      <c r="D19" s="18">
        <v>1057.38</v>
      </c>
      <c r="E19" s="19">
        <f t="shared" ref="E19:E20" si="0">D19/C19</f>
        <v>1.85180385288967</v>
      </c>
      <c r="F19" s="20"/>
    </row>
    <row r="20" s="1" customFormat="1" ht="20.25" spans="2:6">
      <c r="B20" s="16" t="s">
        <v>19</v>
      </c>
      <c r="C20" s="22">
        <f>SUM(C17:C19)</f>
        <v>1287</v>
      </c>
      <c r="D20" s="23">
        <f>SUM(D17:D19)</f>
        <v>2180.71</v>
      </c>
      <c r="E20" s="19">
        <f t="shared" si="0"/>
        <v>1.69441336441336</v>
      </c>
      <c r="F20" s="20"/>
    </row>
    <row r="21" s="1" customFormat="1" ht="20.25" spans="2:6">
      <c r="B21" s="7" t="s">
        <v>20</v>
      </c>
      <c r="C21" s="24">
        <f>C17/C20</f>
        <v>0.0256410256410256</v>
      </c>
      <c r="D21" s="19"/>
      <c r="E21" s="19"/>
      <c r="F21" s="20"/>
    </row>
    <row r="22" s="1" customFormat="1" ht="20.25" spans="2:6">
      <c r="B22" s="2"/>
      <c r="C22" s="25"/>
      <c r="D22" s="10"/>
      <c r="E22" s="10"/>
      <c r="F22" s="20"/>
    </row>
    <row r="23" s="1" customFormat="1" ht="20.25" spans="2:5">
      <c r="B23" s="26" t="s">
        <v>21</v>
      </c>
      <c r="C23" s="11">
        <f>_xlfn.IFS(AND(E19&lt;E18,E19&lt;E17),E19*C5,AND(E18&lt;E17,E18&lt;E19),(D18+D19)/(C18+C19)*C5,AND(E17&lt;E18,E17&lt;E19),(D17+D19)/(C17+C19)*C5)</f>
        <v>0.407643540669857</v>
      </c>
      <c r="D23" s="27"/>
      <c r="E23" s="10"/>
    </row>
    <row r="24" s="1" customFormat="1" ht="20.25" spans="2:5">
      <c r="B24" s="26" t="s">
        <v>22</v>
      </c>
      <c r="C24" s="28">
        <f>IF((E17/((D18+D19)/(C18+C19))-1)&lt;0,"0%",(E17/((D18+D19)/(C18+C19))-1))</f>
        <v>1.52690317595391</v>
      </c>
      <c r="D24" s="10"/>
      <c r="E24" s="10"/>
    </row>
    <row r="25" s="1" customFormat="1" ht="20.25" spans="2:5">
      <c r="B25" s="26" t="s">
        <v>23</v>
      </c>
      <c r="C25" s="28" t="str">
        <f>IF(E18/((D18+D19)/(C18+C19))-1&lt;0,"0%",(E18/((D18+D19)/(C18+C19))-1))</f>
        <v>0%</v>
      </c>
      <c r="D25" s="10"/>
      <c r="E25" s="10"/>
    </row>
    <row r="27" spans="2:2">
      <c r="B27" s="6" t="s">
        <v>24</v>
      </c>
    </row>
    <row r="28" spans="2:6">
      <c r="B28" s="15" t="s">
        <v>25</v>
      </c>
      <c r="C28" s="15" t="s">
        <v>13</v>
      </c>
      <c r="D28" s="15" t="s">
        <v>14</v>
      </c>
      <c r="E28" s="15" t="s">
        <v>15</v>
      </c>
      <c r="F28" s="15" t="s">
        <v>26</v>
      </c>
    </row>
    <row r="29" spans="2:6">
      <c r="B29" s="16" t="s">
        <v>27</v>
      </c>
      <c r="C29" s="29">
        <v>80</v>
      </c>
      <c r="D29" s="29">
        <v>289.65</v>
      </c>
      <c r="E29" s="30">
        <f>D29/C29</f>
        <v>3.620625</v>
      </c>
      <c r="F29" s="31">
        <f>E29*$C$5/(1+$C$24*$C$21)</f>
        <v>0.871053324670152</v>
      </c>
    </row>
    <row r="30" spans="2:6">
      <c r="B30" s="16" t="s">
        <v>28</v>
      </c>
      <c r="C30" s="29">
        <v>50</v>
      </c>
      <c r="D30" s="29">
        <v>82.74</v>
      </c>
      <c r="E30" s="30">
        <f>D30/C30</f>
        <v>1.6548</v>
      </c>
      <c r="F30" s="31">
        <f>E30*$C$5/(1+$C$24*$C$21)</f>
        <v>0.398113320673687</v>
      </c>
    </row>
    <row r="31" spans="2:2">
      <c r="B31" s="2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竞价计算器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WPS_1664800949</cp:lastModifiedBy>
  <dcterms:created xsi:type="dcterms:W3CDTF">2020-11-12T14:59:00Z</dcterms:created>
  <dcterms:modified xsi:type="dcterms:W3CDTF">2025-04-02T12:31:54Z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0A4F7A3E51514FCA8C1ADA287AE96622_13</vt:lpwstr>
  </property>
</Properties>
</file>