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站外红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<sst xmlns="http://schemas.openxmlformats.org/spreadsheetml/2006/main" count="21" uniqueCount="20">
  <si>
    <t>红人开发</t>
  </si>
  <si>
    <t>受众分析</t>
  </si>
  <si>
    <t>搜索词挖掘</t>
  </si>
  <si>
    <t>红人开发信</t>
  </si>
  <si>
    <t xml:space="preserve"> 消息回复</t>
  </si>
  <si>
    <t>任务类型</t>
  </si>
  <si>
    <t>红人沟通</t>
  </si>
  <si>
    <t>商品名称</t>
  </si>
  <si>
    <t>portable power station</t>
  </si>
  <si>
    <t>·</t>
  </si>
  <si>
    <t>消息回复</t>
  </si>
  <si>
    <t>销售站点</t>
  </si>
  <si>
    <t>🇺🇸美国</t>
  </si>
  <si>
    <t>我很高兴更你合作，但是我要收取300美金一条视频</t>
  </si>
  <si>
    <t>跟kol友好的砍价，希望他的价格能给得更低一点</t>
  </si>
  <si>
    <t>我们提供免费但产品，并给到红人粉丝10%但优惠,希望红人帮忙为什么产品做一条体验视频分享</t>
  </si>
  <si>
    <t>Jayden</t>
  </si>
  <si>
    <t>Anker</t>
  </si>
  <si>
    <t>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t>
  </si>
  <si>
    <t>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</si>
</sst>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indexed="8"/>
      <name val="Helvetica Neue"/>
      <charset val="134"/>
    </font>
    <font>
      <sz val="11"/>
      <color rgb="FF000000"/>
      <name val="宋体"/>
      <charset val="134"/>
    </font>
    <font>
      <sz val="11"/>
      <color theme="1"/>
      <name val="宋体"/>
      <charset val="134"/>
      <scheme val="minor"/>
    </font>
    <font>
      <b/>
      <sz val="14"/>
      <color rgb="FF000000"/>
      <name val="宋体"/>
      <charset val="134"/>
    </font>
    <font>
      <b/>
      <sz val="11"/>
      <color rgb="FF000000"/>
      <name val="宋体"/>
      <charset val="134"/>
    </font>
    <font>
      <b/>
      <sz val="11"/>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2F75B5"/>
        <bgColor indexed="64"/>
      </patternFill>
    </fill>
    <fill>
      <patternFill patternType="solid">
        <fgColor rgb="FFF4B084"/>
        <bgColor indexed="64"/>
      </patternFill>
    </fill>
    <fill>
      <patternFill patternType="solid">
        <fgColor rgb="FF9BC2E6"/>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 fillId="7" borderId="1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3" applyNumberFormat="0" applyFill="0" applyAlignment="0" applyProtection="0">
      <alignment vertical="center"/>
    </xf>
    <xf numFmtId="0" fontId="13" fillId="0" borderId="13" applyNumberFormat="0" applyFill="0" applyAlignment="0" applyProtection="0">
      <alignment vertical="center"/>
    </xf>
    <xf numFmtId="0" fontId="14" fillId="0" borderId="14" applyNumberFormat="0" applyFill="0" applyAlignment="0" applyProtection="0">
      <alignment vertical="center"/>
    </xf>
    <xf numFmtId="0" fontId="14" fillId="0" borderId="0" applyNumberFormat="0" applyFill="0" applyBorder="0" applyAlignment="0" applyProtection="0">
      <alignment vertical="center"/>
    </xf>
    <xf numFmtId="0" fontId="15" fillId="8" borderId="15" applyNumberFormat="0" applyAlignment="0" applyProtection="0">
      <alignment vertical="center"/>
    </xf>
    <xf numFmtId="0" fontId="16" fillId="9" borderId="16" applyNumberFormat="0" applyAlignment="0" applyProtection="0">
      <alignment vertical="center"/>
    </xf>
    <xf numFmtId="0" fontId="17" fillId="9" borderId="15" applyNumberFormat="0" applyAlignment="0" applyProtection="0">
      <alignment vertical="center"/>
    </xf>
    <xf numFmtId="0" fontId="18" fillId="10" borderId="17" applyNumberFormat="0" applyAlignment="0" applyProtection="0">
      <alignment vertical="center"/>
    </xf>
    <xf numFmtId="0" fontId="19" fillId="0" borderId="18" applyNumberFormat="0" applyFill="0" applyAlignment="0" applyProtection="0">
      <alignment vertical="center"/>
    </xf>
    <xf numFmtId="0" fontId="20" fillId="0" borderId="1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36">
    <xf numFmtId="0" fontId="0" fillId="0" borderId="0" xfId="0">
      <alignment vertical="top" wrapText="1"/>
    </xf>
    <xf numFmtId="0" fontId="1" fillId="0" borderId="0" xfId="0" applyNumberFormat="1" applyFont="1" applyFill="1" applyBorder="1" applyAlignment="1" applyProtection="1">
      <alignment vertical="center"/>
      <protection locked="0" hidden="1"/>
    </xf>
    <xf numFmtId="0" fontId="1" fillId="0" borderId="0" xfId="0" applyNumberFormat="1" applyFont="1" applyFill="1" applyBorder="1" applyAlignment="1" applyProtection="1">
      <alignment horizontal="left" vertical="center"/>
      <protection locked="0" hidden="1"/>
    </xf>
    <xf numFmtId="0" fontId="1" fillId="0" borderId="0" xfId="0" applyNumberFormat="1" applyFont="1" applyFill="1" applyBorder="1" applyAlignment="1" applyProtection="1">
      <alignment vertical="center" wrapText="1"/>
      <protection locked="0" hidden="1"/>
    </xf>
    <xf numFmtId="0" fontId="1" fillId="0" borderId="1" xfId="0" applyNumberFormat="1" applyFont="1" applyFill="1" applyBorder="1" applyAlignment="1" applyProtection="1">
      <alignment vertical="center" wrapText="1"/>
      <protection locked="0" hidden="1"/>
    </xf>
    <xf numFmtId="0" fontId="2" fillId="0" borderId="2" xfId="0" applyNumberFormat="1" applyFont="1" applyFill="1" applyBorder="1" applyAlignment="1" applyProtection="1">
      <alignment vertical="center"/>
    </xf>
    <xf numFmtId="0" fontId="1" fillId="0" borderId="3" xfId="0" applyNumberFormat="1" applyFont="1" applyFill="1" applyBorder="1" applyAlignment="1" applyProtection="1">
      <alignment vertical="center" wrapText="1"/>
      <protection locked="0" hidden="1"/>
    </xf>
    <xf numFmtId="0" fontId="3" fillId="2" borderId="4" xfId="0" applyNumberFormat="1" applyFont="1" applyFill="1" applyBorder="1" applyAlignment="1" applyProtection="1">
      <alignment horizontal="left" vertical="center"/>
      <protection locked="0" hidden="1"/>
    </xf>
    <xf numFmtId="0" fontId="3" fillId="2" borderId="0" xfId="0" applyNumberFormat="1" applyFont="1" applyFill="1" applyBorder="1" applyAlignment="1" applyProtection="1">
      <alignment horizontal="left" vertical="center"/>
      <protection locked="0" hidden="1"/>
    </xf>
    <xf numFmtId="0" fontId="3" fillId="2" borderId="0" xfId="0" applyNumberFormat="1" applyFont="1" applyFill="1" applyBorder="1" applyAlignment="1" applyProtection="1">
      <alignment horizontal="center" vertical="center"/>
      <protection locked="0" hidden="1"/>
    </xf>
    <xf numFmtId="0" fontId="4" fillId="3" borderId="2" xfId="0" applyNumberFormat="1" applyFont="1" applyFill="1" applyBorder="1" applyAlignment="1" applyProtection="1">
      <alignment horizontal="center" vertical="center" wrapText="1"/>
      <protection locked="0" hidden="1"/>
    </xf>
    <xf numFmtId="0" fontId="4" fillId="0" borderId="5" xfId="0" applyNumberFormat="1" applyFont="1" applyFill="1" applyBorder="1" applyAlignment="1" applyProtection="1">
      <alignment horizontal="center" vertical="center"/>
      <protection locked="0" hidden="1"/>
    </xf>
    <xf numFmtId="0" fontId="1" fillId="0" borderId="2" xfId="0" applyNumberFormat="1" applyFont="1" applyFill="1" applyBorder="1" applyAlignment="1" applyProtection="1">
      <alignment vertical="center"/>
      <protection locked="0" hidden="1"/>
    </xf>
    <xf numFmtId="0" fontId="4" fillId="0" borderId="3" xfId="0" applyNumberFormat="1" applyFont="1" applyFill="1" applyBorder="1" applyAlignment="1" applyProtection="1">
      <alignment horizontal="center" vertical="center"/>
      <protection locked="0" hidden="1"/>
    </xf>
    <xf numFmtId="0" fontId="5" fillId="4" borderId="2" xfId="0" applyNumberFormat="1" applyFont="1" applyFill="1" applyBorder="1" applyAlignment="1" applyProtection="1">
      <alignment horizontal="left" vertical="center"/>
      <protection locked="0" hidden="1"/>
    </xf>
    <xf numFmtId="0" fontId="1" fillId="5" borderId="2" xfId="0" applyNumberFormat="1" applyFont="1" applyFill="1" applyBorder="1" applyAlignment="1" applyProtection="1">
      <alignment horizontal="left" vertical="center"/>
      <protection locked="0"/>
    </xf>
    <xf numFmtId="0" fontId="4" fillId="5" borderId="1" xfId="0" applyNumberFormat="1" applyFont="1" applyFill="1" applyBorder="1" applyAlignment="1" applyProtection="1">
      <alignment vertical="center"/>
      <protection locked="0"/>
    </xf>
    <xf numFmtId="0" fontId="4" fillId="6" borderId="2" xfId="0" applyNumberFormat="1" applyFont="1" applyFill="1" applyBorder="1" applyAlignment="1" applyProtection="1">
      <alignment horizontal="center" vertical="center" wrapText="1"/>
      <protection hidden="1"/>
    </xf>
    <xf numFmtId="0" fontId="6" fillId="0" borderId="5" xfId="0" applyNumberFormat="1" applyFont="1" applyFill="1" applyBorder="1" applyAlignment="1" applyProtection="1">
      <alignment vertical="center" wrapText="1"/>
      <protection locked="0" hidden="1"/>
    </xf>
    <xf numFmtId="0" fontId="6" fillId="0" borderId="3" xfId="0" applyNumberFormat="1" applyFont="1" applyFill="1" applyBorder="1" applyAlignment="1" applyProtection="1">
      <alignment vertical="center" wrapText="1"/>
      <protection locked="0" hidden="1"/>
    </xf>
    <xf numFmtId="0" fontId="1" fillId="0" borderId="5" xfId="0" applyNumberFormat="1" applyFont="1" applyFill="1" applyBorder="1" applyAlignment="1" applyProtection="1">
      <alignment vertical="center"/>
      <protection locked="0" hidden="1"/>
    </xf>
    <xf numFmtId="0" fontId="1" fillId="0" borderId="3" xfId="0" applyNumberFormat="1" applyFont="1" applyFill="1" applyBorder="1" applyAlignment="1" applyProtection="1">
      <alignment vertical="center"/>
      <protection locked="0" hidden="1"/>
    </xf>
    <xf numFmtId="0" fontId="1" fillId="5" borderId="1" xfId="0" applyNumberFormat="1" applyFont="1" applyFill="1" applyBorder="1" applyAlignment="1" applyProtection="1">
      <alignment vertical="center"/>
      <protection locked="0"/>
    </xf>
    <xf numFmtId="0" fontId="1" fillId="0" borderId="5" xfId="0" applyNumberFormat="1" applyFont="1" applyFill="1" applyBorder="1" applyAlignment="1" applyProtection="1">
      <alignment vertical="center" wrapText="1"/>
      <protection locked="0" hidden="1"/>
    </xf>
    <xf numFmtId="0" fontId="4" fillId="6" borderId="2" xfId="0" applyNumberFormat="1" applyFont="1" applyFill="1" applyBorder="1" applyAlignment="1" applyProtection="1">
      <alignment vertical="center" wrapText="1"/>
      <protection hidden="1"/>
    </xf>
    <xf numFmtId="0" fontId="1" fillId="0" borderId="1" xfId="0" applyNumberFormat="1" applyFont="1" applyFill="1" applyBorder="1" applyAlignment="1" applyProtection="1">
      <alignment vertical="center"/>
      <protection locked="0" hidden="1"/>
    </xf>
    <xf numFmtId="0" fontId="6" fillId="0" borderId="1" xfId="0" applyNumberFormat="1" applyFont="1" applyFill="1" applyBorder="1" applyAlignment="1" applyProtection="1">
      <alignment vertical="center" wrapText="1"/>
      <protection locked="0" hidden="1"/>
    </xf>
    <xf numFmtId="0" fontId="1" fillId="0" borderId="0" xfId="0" applyNumberFormat="1" applyFont="1" applyFill="1" applyBorder="1" applyAlignment="1" applyProtection="1">
      <alignment vertical="center" wrapText="1"/>
      <protection hidden="1"/>
    </xf>
    <xf numFmtId="0" fontId="1" fillId="0" borderId="2" xfId="0" applyNumberFormat="1" applyFont="1" applyFill="1" applyBorder="1" applyAlignment="1" applyProtection="1">
      <alignment vertical="center" wrapText="1"/>
      <protection locked="0" hidden="1"/>
    </xf>
    <xf numFmtId="0" fontId="1" fillId="0" borderId="6" xfId="0" applyNumberFormat="1" applyFont="1" applyFill="1" applyBorder="1" applyAlignment="1" applyProtection="1">
      <alignment horizontal="center" vertical="center" wrapText="1"/>
      <protection locked="0" hidden="1"/>
    </xf>
    <xf numFmtId="0" fontId="1" fillId="0" borderId="7" xfId="0" applyNumberFormat="1" applyFont="1" applyFill="1" applyBorder="1" applyAlignment="1" applyProtection="1">
      <alignment horizontal="center" vertical="center" wrapText="1"/>
      <protection locked="0" hidden="1"/>
    </xf>
    <xf numFmtId="0" fontId="1" fillId="0" borderId="0" xfId="0" applyNumberFormat="1" applyFont="1" applyFill="1" applyBorder="1" applyAlignment="1" applyProtection="1">
      <alignment horizontal="center" vertical="center" wrapText="1"/>
      <protection locked="0" hidden="1"/>
    </xf>
    <xf numFmtId="0" fontId="1" fillId="0" borderId="8" xfId="0" applyNumberFormat="1" applyFont="1" applyFill="1" applyBorder="1" applyAlignment="1" applyProtection="1">
      <alignment horizontal="center" vertical="center" wrapText="1"/>
      <protection locked="0" hidden="1"/>
    </xf>
    <xf numFmtId="0" fontId="1" fillId="0" borderId="9" xfId="0" applyNumberFormat="1" applyFont="1" applyFill="1" applyBorder="1" applyAlignment="1" applyProtection="1">
      <alignment horizontal="center" vertical="center" wrapText="1"/>
      <protection locked="0" hidden="1"/>
    </xf>
    <xf numFmtId="0" fontId="1" fillId="0" borderId="10" xfId="0" applyNumberFormat="1" applyFont="1" applyFill="1" applyBorder="1" applyAlignment="1" applyProtection="1">
      <alignment horizontal="center" vertical="center" wrapText="1"/>
      <protection locked="0" hidden="1"/>
    </xf>
    <xf numFmtId="0" fontId="1" fillId="0" borderId="11" xfId="0" applyNumberFormat="1" applyFont="1" applyFill="1" applyBorder="1" applyAlignment="1" applyProtection="1">
      <alignment vertical="center" wrapText="1"/>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tabSelected="1" workbookViewId="0">
      <selection activeCell="B2" sqref="B2"/>
    </sheetView>
  </sheetViews>
  <sheetFormatPr defaultColWidth="8.35238095238095" defaultRowHeight="13.5"/>
  <cols>
    <col min="1" max="1" width="15.7809523809524" style="2" customWidth="1"/>
    <col min="2" max="2" width="23.647619047619" style="2" customWidth="1"/>
    <col min="3" max="3" width="15.3333333333333" style="2" customWidth="1"/>
    <col min="4" max="4" width="27.9714285714286" style="1" customWidth="1"/>
    <col min="5" max="5" width="75.5904761904762" style="3" customWidth="1"/>
    <col min="6" max="6" width="24.4" style="4" customWidth="1"/>
    <col min="7" max="7" width="23.2095238095238" style="5" customWidth="1"/>
    <col min="8" max="8" width="57.2857142857143" style="6" customWidth="1"/>
    <col min="9" max="9" width="50.152380952381" style="1" customWidth="1"/>
    <col min="10" max="10" width="38.2380952380952" style="3" customWidth="1"/>
    <col min="11" max="11" width="43" style="1" customWidth="1"/>
    <col min="12" max="16384" width="8.57142857142857" style="1"/>
  </cols>
  <sheetData>
    <row r="1" s="1" customFormat="1" ht="60" customHeight="1" spans="1:11">
      <c r="A1" s="7" t="s">
        <v>0</v>
      </c>
      <c r="B1" s="8"/>
      <c r="C1" s="8"/>
      <c r="D1" s="9"/>
      <c r="E1" s="10" t="str">
        <f>IF(OR(B2="受众分析",B2="搜索词挖掘",B2="红人开发"),B2,B3)&amp;"Prompts"</f>
        <v>消息回复Prompts</v>
      </c>
      <c r="F1" s="11" t="s">
        <v>1</v>
      </c>
      <c r="G1" s="12" t="s">
        <v>2</v>
      </c>
      <c r="H1" s="13" t="s">
        <v>0</v>
      </c>
      <c r="I1" s="21" t="s">
        <v>3</v>
      </c>
      <c r="J1" s="28" t="s">
        <v>4</v>
      </c>
      <c r="K1" s="3"/>
    </row>
    <row r="2" s="1" customFormat="1" ht="39" customHeight="1" spans="1:11">
      <c r="A2" s="14" t="s">
        <v>5</v>
      </c>
      <c r="B2" s="15" t="s">
        <v>6</v>
      </c>
      <c r="C2" s="14" t="s">
        <v>7</v>
      </c>
      <c r="D2" s="16" t="s">
        <v>8</v>
      </c>
      <c r="E2" s="17" t="str">
        <f>IF(IF($B$2="受众分析",F2,IF($B$2="红人开发",H2,IF($B$2="搜索词挖掘",G2,IF(AND($B$2="红人沟通",$B$3="开发信"),I2,IF(AND($B$2="红人沟通",$B$3="消息回复"),J2,"")))))=0,"",IF($B$2="受众分析",F2,IF($B$2="红人开发",H2,IF($B$2="搜索词挖掘",G2,IF(AND($B$2="红人沟通",$B$3="开发信"),I2,IF(AND($B$2="红人沟通",$B$3="消息回复"),J2,""))))))</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same,【常见问题】:Q: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system.。你是一名资深的有着10年经验来自品牌Anker的portable power station🇺🇸美国市场推广经理,名叫Jayden,你将根据产品说明书、常见问题的内容，并结合我的要求，回复红人消息，用*🇺🇸美国语言输出并翻译为中文，
1.【红人消息】：我很高兴更你合作，但是我要收取300美金一条视频
2.【我的要求】是:跟kol友好的砍价，希望他的价格能给得更低一点</v>
      </c>
      <c r="F2" s="18" t="str">
        <f>"【角色设定】你是一名"&amp;D3&amp;"亚马逊"&amp;D2&amp;"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【角色设定】你是一名🇺🇸美国亚马逊portable power station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G2" s="12" t="str">
        <f>"【受众搜索词】"&amp;"你是一名资深的"&amp;D3&amp;D2&amp;"站外推广专家，你将帮助我做红人开发,"&amp;D3&amp;D2&amp;"的受众人群，最常在"&amp;B4&amp;"平台上使用的20个搜索关键词有哪些?"</f>
        <v>【受众搜索词】你是一名资深的🇺🇸美国portable power station站外推广专家，你将帮助我做红人开发,🇺🇸美国portable power station的受众人群，最常在我很高兴更你合作，但是我要收取300美金一条视频平台上使用的20个搜索关键词有哪些?</v>
      </c>
      <c r="H2" s="19" t="str">
        <f>"【角色设定】你是一名资深的"&amp;D3&amp;"亚马逊"&amp;D2&amp;"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f>
        <v>【角色设定】你是一名资深的🇺🇸美国亚马逊portable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I2" s="29" t="str">
        <f>"你是一名资深的有着10年经验来自品牌"&amp;D6&amp;"的"&amp;D2&amp;D3&amp;"市场推广经理,名叫"&amp;D5&amp;",你将为我的产品寻找KOL并为我撰写合作信，红人开发信内容包含但不限于，1、邮件主题；2、自我介绍；3、结合分析红人信息或链接，赞美红人表示对他的喜爱；4、产品及其亮点介绍；5、最后告知合作方式并真诚希望与其合作的心愿；6、整个信件内容表达出热情友好尊重最后用*"&amp;D3&amp;"语言输出并翻译为中文，以下是相关信息：
-红人信息或链接:"&amp;D4&amp;"
-产品亮点:"&amp;B4&amp;"
-合作方式:"&amp;B5&amp;"
参考输出格式
-&lt;原文&gt;-：
-&lt;中文&gt;-"</f>
        <v>你是一名资深的有着10年经验来自品牌Anker的portable power station🇺🇸美国市场推广经理,名叫Jayden,你将为我的产品寻找KOL并为我撰写合作信，红人开发信内容包含但不限于，1、邮件主题；2、自我介绍；3、结合分析红人信息或链接，赞美红人表示对他的喜爱；4、产品及其亮点介绍；5、最后告知合作方式并真诚希望与其合作的心愿；6、整个信件内容表达出热情友好尊重最后用*🇺🇸美国语言输出并翻译为中文，以下是相关信息：
-红人信息或链接:跟kol友好的砍价，希望他的价格能给得更低一点
-产品亮点:我很高兴更你合作，但是我要收取300美金一条视频
-合作方式:我们提供免费但产品，并给到红人粉丝10%但优惠,希望红人帮忙为什么产品做一条体验视频分享
参考输出格式
-&lt;原文&gt;-：
-&lt;中文&gt;-</v>
      </c>
      <c r="J2" s="30" t="str">
        <f>"【说明书内容】："&amp;D7&amp;",【常见问题】:"&amp;B7&amp;"。你是一名资深的有着10年经验来自品牌"&amp;D6&amp;"的"&amp;D2&amp;D3&amp;"市场推广经理,名叫"&amp;D5&amp;",你将根据产品说明书、常见问题的内容，并结合我的要求，回复红人消息，用*"&amp;D3&amp;"语言输出并翻译为中文，
1.【红人消息】："&amp;B4&amp;"
2.【我的要求】是:"&amp;D4</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same,【常见问题】:Q: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system.。你是一名资深的有着10年经验来自品牌Anker的portable power station🇺🇸美国市场推广经理,名叫Jayden,你将根据产品说明书、常见问题的内容，并结合我的要求，回复红人消息，用*🇺🇸美国语言输出并翻译为中文，
1.【红人消息】：我很高兴更你合作，但是我要收取300美金一条视频
2.【我的要求】是:跟kol友好的砍价，希望他的价格能给得更低一点</v>
      </c>
      <c r="K2" s="31" t="s">
        <v>9</v>
      </c>
    </row>
    <row r="3" s="1" customFormat="1" ht="39" customHeight="1" spans="1:11">
      <c r="A3" s="14" t="str">
        <f>IF(B2="红人沟通","细分任务","")</f>
        <v>细分任务</v>
      </c>
      <c r="B3" s="15" t="s">
        <v>10</v>
      </c>
      <c r="C3" s="14" t="s">
        <v>11</v>
      </c>
      <c r="D3" s="16" t="s">
        <v>12</v>
      </c>
      <c r="E3" s="17"/>
      <c r="F3" s="20" t="str">
        <f>"【受众特征】分析"&amp;D2&amp;"在"&amp;D3&amp;"的受众人群特征,包括不限于他们的所在性别，年龄，兴趣，职业，收入，教育，家庭情况"</f>
        <v>【受众特征】分析portable power station在🇺🇸美国的受众人群特征,包括不限于他们的所在性别，年龄，兴趣，职业，收入，教育，家庭情况</v>
      </c>
      <c r="G3" s="12"/>
      <c r="H3" s="21" t="str">
        <f>"【受众特征】分析"&amp;D2&amp;"在"&amp;D3&amp;"的受众人群t特征,包括不限于他们的所在性别，年龄，兴趣，职业，收入，教育，家庭情况"</f>
        <v>【受众特征】分析portable power station在🇺🇸美国的受众人群t特征,包括不限于他们的所在性别，年龄，兴趣，职业，收入，教育，家庭情况</v>
      </c>
      <c r="I3" s="32"/>
      <c r="J3" s="33"/>
      <c r="K3" s="31"/>
    </row>
    <row r="4" s="1" customFormat="1" ht="53" customHeight="1" spans="1:11">
      <c r="A4" s="14" t="str">
        <f>IF(B2="搜索词挖掘","社媒平台",IF(AND(B2="红人沟通",B3="开发信"),"产品亮点",IF(AND(B2="红人沟通",B3="消息回复"),"红人消息","")))</f>
        <v>红人消息</v>
      </c>
      <c r="B4" s="15" t="s">
        <v>13</v>
      </c>
      <c r="C4" s="14" t="str">
        <f>IF(AND(B2="红人沟通",B3="开发信"),"红人信息或链接",IF(AND(B2="红人沟通",B3="消息回复"),"我的要求",""))</f>
        <v>我的要求</v>
      </c>
      <c r="D4" s="22" t="s">
        <v>14</v>
      </c>
      <c r="E4" s="17"/>
      <c r="F4" s="23" t="str">
        <f>"【受众习惯】分析"&amp;D2&amp;"在"&amp;D3&amp;"的受众人群购物频次，消费金额，购物时间，购物方式"</f>
        <v>【受众习惯】分析portable power station在🇺🇸美国的受众人群购物频次，消费金额，购物时间，购物方式</v>
      </c>
      <c r="G4" s="12"/>
      <c r="H4" s="21" t="str">
        <f>"【受众话题】"&amp;D3&amp;D2&amp;"的受众人群喜欢哪些话题内容，他们平时最常用的社媒平台有哪些?"</f>
        <v>【受众话题】🇺🇸美国portable power station的受众人群喜欢哪些话题内容，他们平时最常用的社媒平台有哪些?</v>
      </c>
      <c r="I4" s="32"/>
      <c r="J4" s="33"/>
      <c r="K4" s="31"/>
    </row>
    <row r="5" s="1" customFormat="1" ht="40" customHeight="1" spans="1:11">
      <c r="A5" s="14" t="str">
        <f>IF(AND(B2="红人沟通",B3="开发信"),"合作方式","")</f>
        <v/>
      </c>
      <c r="B5" s="15" t="s">
        <v>15</v>
      </c>
      <c r="C5" s="14" t="str">
        <f>IF(B2="红人沟通","姓名","")</f>
        <v>姓名</v>
      </c>
      <c r="D5" s="22" t="s">
        <v>16</v>
      </c>
      <c r="E5" s="17"/>
      <c r="F5" s="23" t="str">
        <f>"【受众需求】分析"&amp;D2&amp;"在"&amp;D3&amp;"的受众人群购买"&amp;D2&amp;"的动机，未满足需求，使用时间，使用场景"</f>
        <v>【受众需求】分析portable power station在🇺🇸美国的受众人群购买portable power station的动机，未满足需求，使用时间，使用场景</v>
      </c>
      <c r="G5" s="12"/>
      <c r="H5" s="21" t="str">
        <f>"【社媒平台】如果我要在"&amp;D3&amp;"推广"&amp;D2&amp;"可以使用哪些社媒平台推广？如果只选择其中一个平台,你最会推荐哪个平台？原因是什么?"</f>
        <v>【社媒平台】如果我要在🇺🇸美国推广portable power station可以使用哪些社媒平台推广？如果只选择其中一个平台,你最会推荐哪个平台？原因是什么?</v>
      </c>
      <c r="I5" s="32"/>
      <c r="J5" s="33"/>
      <c r="K5" s="31"/>
    </row>
    <row r="6" s="1" customFormat="1" ht="38" customHeight="1" spans="1:11">
      <c r="A6" s="14"/>
      <c r="B6" s="15"/>
      <c r="C6" s="14" t="str">
        <f>IF(B2="红人沟通","品牌","")</f>
        <v>品牌</v>
      </c>
      <c r="D6" s="22" t="s">
        <v>17</v>
      </c>
      <c r="E6" s="24" t="str">
        <f>IF(IF($B$2="受众分析",F3,IF($B$2="红人开发",H3,IF($B$2="搜索词挖掘",G3,IF(AND($B$2="红人沟通",$B$3="开发信"),I3,IF(AND($B$2="红人沟通",$B$3="消息回复"),J3,"")))))=0,"",IF($B$2="受众分析",F3,IF($B$2="红人开发",H3,IF($B$2="搜索词挖掘",G3,IF(AND($B$2="红人沟通",$B$3="开发信"),I3,IF(AND($B$2="红人沟通",$B$3="消息回复"),J3,""))))))</f>
        <v/>
      </c>
      <c r="F6" s="23" t="str">
        <f>"【受众购买产品】分析"&amp;D2&amp;"在"&amp;D3&amp;"的受众人群购买"&amp;D2&amp;"常购买的互补产品和其它产品"</f>
        <v>【受众购买产品】分析portable power station在🇺🇸美国的受众人群购买portable power station常购买的互补产品和其它产品</v>
      </c>
      <c r="G6" s="12"/>
      <c r="H6" s="21" t="str">
        <f>"【找KOL】找20个"&amp;D3&amp;"你最推荐的平台KOL与"&amp;D2&amp;"话题相关，粉丝数量在1w-10w粉丝，并给到他们的频道名称，粉丝数量，频道介绍，国家，并用表格输出结果。"</f>
        <v>【找KOL】找20个🇺🇸美国你最推荐的平台KOL与portable power station话题相关，粉丝数量在1w-10w粉丝，并给到他们的频道名称，粉丝数量，频道介绍，国家，并用表格输出结果。</v>
      </c>
      <c r="I6" s="32"/>
      <c r="J6" s="33"/>
      <c r="K6" s="31"/>
    </row>
    <row r="7" s="1" customFormat="1" ht="39" customHeight="1" spans="1:11">
      <c r="A7" s="14" t="str">
        <f>IF(AND(B2="红人沟通",B3="消息回复"),"常见问题","")</f>
        <v>常见问题</v>
      </c>
      <c r="B7" s="15" t="s">
        <v>18</v>
      </c>
      <c r="C7" s="14" t="str">
        <f>IF(AND(B2="红人沟通",B3="消息回复"),"说明书","")</f>
        <v>说明书</v>
      </c>
      <c r="D7" s="22" t="s">
        <v>19</v>
      </c>
      <c r="E7" s="24" t="str">
        <f>IF(IF($B$2="受众分析",F4,IF($B$2="红人开发",H4,IF($B$2="搜索词挖掘",G4,IF(AND($B$2="红人沟通",$B$3="开发信"),I4,IF(AND($B$2="红人沟通",$B$3="消息回复"),J4,"")))))=0,"",IF($B$2="受众分析",F4,IF($B$2="红人开发",H4,IF($B$2="搜索词挖掘",G4,IF(AND($B$2="红人沟通",$B$3="开发信"),I4,IF(AND($B$2="红人沟通",$B$3="消息回复"),J4,""))))))</f>
        <v/>
      </c>
      <c r="F7" s="23" t="str">
        <f>"【受众问题】关于"&amp;D2&amp;"受众常问的TOP20的问题有哪些?"</f>
        <v>【受众问题】关于portable power station受众常问的TOP20的问题有哪些?</v>
      </c>
      <c r="G7" s="12"/>
      <c r="H7" s="21" t="str">
        <f>"【受众搜索词】"&amp;D3&amp;D2&amp;"的受众人群，最常在该推荐平台上常使用的20个搜索关键词有哪些？"</f>
        <v>【受众搜索词】🇺🇸美国portable power station的受众人群，最常在该推荐平台上常使用的20个搜索关键词有哪些？</v>
      </c>
      <c r="I7" s="32"/>
      <c r="J7" s="33"/>
      <c r="K7" s="31"/>
    </row>
    <row r="8" s="1" customFormat="1" ht="39" customHeight="1" spans="1:10">
      <c r="A8" s="2"/>
      <c r="B8" s="2"/>
      <c r="C8" s="2"/>
      <c r="E8" s="24" t="str">
        <f>IF(IF($B$2="受众分析",F5,IF($B$2="红人开发",H5,IF($B$2="搜索词挖掘",G5,IF(AND($B$2="红人沟通",$B$3="开发信"),I5,IF(AND($B$2="红人沟通",$B$3="消息回复"),J5,"")))))=0,"",IF($B$2="受众分析",F5,IF($B$2="红人开发",H5,IF($B$2="搜索词挖掘",G5,IF(AND($B$2="红人沟通",$B$3="开发信"),I5,IF(AND($B$2="红人沟通",$B$3="消息回复"),J5,""))))))</f>
        <v/>
      </c>
      <c r="F8" s="20" t="str">
        <f>"【受众好评】关于"&amp;D2&amp;"受众对"&amp;D2&amp;"最常给出的TOP20好评有哪些？按照出现频次占比进行降序。"</f>
        <v>【受众好评】关于portable power station受众对portable power station最常给出的TOP20好评有哪些？按照出现频次占比进行降序。</v>
      </c>
      <c r="G8" s="12"/>
      <c r="H8" s="21"/>
      <c r="I8" s="32"/>
      <c r="J8" s="33"/>
    </row>
    <row r="9" s="1" customFormat="1" ht="39" customHeight="1" spans="1:10">
      <c r="A9" s="2"/>
      <c r="B9" s="2"/>
      <c r="C9" s="2"/>
      <c r="E9" s="24" t="str">
        <f>IF(IF($B$2="受众分析",F6,IF($B$2="红人开发",H6,IF($B$2="搜索词挖掘",G6,IF(AND($B$2="红人沟通",$B$3="开发信"),I6,IF(AND($B$2="红人沟通",$B$3="消息回复"),J6,"")))))=0,"",IF($B$2="受众分析",F6,IF($B$2="红人开发",H6,IF($B$2="搜索词挖掘",G6,IF(AND($B$2="红人沟通",$B$3="开发信"),I6,IF(AND($B$2="红人沟通",$B$3="消息回复"),J6,""))))))</f>
        <v/>
      </c>
      <c r="F9" s="4" t="str">
        <f>"【受众差评】关于"&amp;D2&amp;"受众对"&amp;D2&amp;"最常给出的TOP20差评有哪些？按照出现频次占比进行降序。"</f>
        <v>【受众差评】关于portable power station受众对portable power station最常给出的TOP20差评有哪些？按照出现频次占比进行降序。</v>
      </c>
      <c r="G9" s="12"/>
      <c r="H9" s="6"/>
      <c r="I9" s="32"/>
      <c r="J9" s="34"/>
    </row>
    <row r="10" s="1" customFormat="1" ht="39" customHeight="1" spans="1:10">
      <c r="A10" s="2"/>
      <c r="B10" s="2"/>
      <c r="C10" s="2"/>
      <c r="E10" s="24" t="str">
        <f>IF(IF($B$2="受众分析",F7,IF($B$2="红人开发",H7,IF($B$2="搜索词挖掘",G7,IF(AND($B$2="红人沟通",$B$3="开发信"),I7,IF(AND($B$2="红人沟通",$B$3="消息回复"),J7,"")))))=0,"",IF($B$2="受众分析",F7,IF($B$2="红人开发",H7,IF($B$2="搜索词挖掘",G7,IF(AND($B$2="红人沟通",$B$3="开发信"),I7,IF(AND($B$2="红人沟通",$B$3="消息回复"),J7,""))))))</f>
        <v/>
      </c>
      <c r="G10" s="12"/>
      <c r="I10" s="35"/>
      <c r="J10" s="28"/>
    </row>
    <row r="11" s="1" customFormat="1" ht="39" customHeight="1" spans="1:10">
      <c r="A11" s="2"/>
      <c r="B11" s="2"/>
      <c r="C11" s="2"/>
      <c r="E11" s="24" t="str">
        <f>IF(IF($B$2="受众分析",F8,IF($B$2="红人开发",H8,IF($B$2="搜索词挖掘",G8,IF(AND($B$2="红人沟通",$B$3="开发信"),I8,IF(AND($B$2="红人沟通",$B$3="消息回复"),J8,"")))))=0,"",IF($B$2="受众分析",F8,IF($B$2="红人开发",H8,IF($B$2="搜索词挖掘",G8,IF(AND($B$2="红人沟通",$B$3="开发信"),I8,IF(AND($B$2="红人沟通",$B$3="消息回复"),J8,""))))))</f>
        <v/>
      </c>
      <c r="F11" s="25"/>
      <c r="G11" s="12"/>
      <c r="H11" s="21"/>
      <c r="I11" s="6"/>
      <c r="J11" s="28"/>
    </row>
    <row r="12" s="1" customFormat="1" ht="39" customHeight="1" spans="1:10">
      <c r="A12" s="2"/>
      <c r="B12" s="2"/>
      <c r="C12" s="2"/>
      <c r="E12" s="24" t="str">
        <f>IF(IF($B$2="受众分析",F9,IF($B$2="红人开发",H9,IF($B$2="搜索词挖掘",G9,IF(AND($B$2="红人沟通",$B$3="开发信"),I9,IF(AND($B$2="红人沟通",$B$3="消息回复"),J9,"")))))=0,"",IF($B$2="受众分析",F9,IF($B$2="红人开发",H9,IF($B$2="搜索词挖掘",G9,IF(AND($B$2="红人沟通",$B$3="开发信"),I9,IF(AND($B$2="红人沟通",$B$3="消息回复"),J9,""))))))</f>
        <v/>
      </c>
      <c r="F12" s="4"/>
      <c r="G12" s="12"/>
      <c r="H12" s="6"/>
      <c r="I12" s="6"/>
      <c r="J12" s="28"/>
    </row>
    <row r="13" s="1" customFormat="1" ht="39" customHeight="1" spans="1:10">
      <c r="A13" s="2"/>
      <c r="B13" s="2"/>
      <c r="C13" s="2"/>
      <c r="E13" s="24" t="str">
        <f>IF(IF($B$2="受众分析",F10,IF($B$2="红人开发",H10,IF($B$2="搜索词挖掘",G10,IF(AND($B$2="红人沟通",$B$3="开发信"),I10,IF(AND($B$2="红人沟通",$B$3="消息回复"),J10,"")))))=0,"",IF($B$2="受众分析",F10,IF($B$2="红人开发",H10,IF($B$2="搜索词挖掘",G10,IF(AND($B$2="红人沟通",$B$3="开发信"),I10,IF(AND($B$2="红人沟通",$B$3="消息回复"),J10,""))))))</f>
        <v/>
      </c>
      <c r="F13" s="26"/>
      <c r="G13" s="12"/>
      <c r="H13" s="19"/>
      <c r="I13" s="6"/>
      <c r="J13" s="28"/>
    </row>
    <row r="14" s="1" customFormat="1" ht="39" customHeight="1" spans="1:10">
      <c r="A14" s="2"/>
      <c r="B14" s="2"/>
      <c r="C14" s="2"/>
      <c r="E14" s="24" t="str">
        <f>IF(IF($B$2="受众分析",F11,IF($B$2="红人开发",H11,IF($B$2="搜索词挖掘",G11,IF(AND($B$2="红人沟通",$B$3="开发信"),I11,IF(AND($B$2="红人沟通",$B$3="消息回复"),J11,"")))))=0,"",IF($B$2="受众分析",F11,IF($B$2="红人开发",H11,IF($B$2="搜索词挖掘",G11,IF(AND($B$2="红人沟通",$B$3="开发信"),I11,IF(AND($B$2="红人沟通",$B$3="消息回复"),J11,""))))))</f>
        <v/>
      </c>
      <c r="F14" s="26"/>
      <c r="G14" s="12"/>
      <c r="H14" s="19"/>
      <c r="I14" s="6"/>
      <c r="J14" s="28"/>
    </row>
    <row r="15" s="1" customFormat="1" ht="39" customHeight="1" spans="1:10">
      <c r="A15" s="2"/>
      <c r="B15" s="2"/>
      <c r="C15" s="2"/>
      <c r="E15" s="24" t="str">
        <f>IF(IF($B$2="受众分析",F12,IF($B$2="红人开发",H12,IF($B$2="搜索词挖掘",G12,IF(AND($B$2="红人沟通",$B$3="开发信"),I12,IF(AND($B$2="红人沟通",$B$3="消息回复"),J12,"")))))=0,"",IF($B$2="受众分析",F12,IF($B$2="红人开发",H12,IF($B$2="搜索词挖掘",G12,IF(AND($B$2="红人沟通",$B$3="开发信"),I12,IF(AND($B$2="红人沟通",$B$3="消息回复"),J12,""))))))</f>
        <v/>
      </c>
      <c r="F15" s="26"/>
      <c r="G15" s="12"/>
      <c r="H15" s="19"/>
      <c r="I15" s="6"/>
      <c r="J15" s="28"/>
    </row>
    <row r="16" s="1" customFormat="1" ht="39" customHeight="1" spans="1:10">
      <c r="A16" s="2"/>
      <c r="B16" s="2"/>
      <c r="C16" s="2"/>
      <c r="E16" s="24" t="str">
        <f>IF(IF($B$2="受众分析",F13,IF($B$2="红人开发",H13,IF($B$2="搜索词挖掘",G13,IF(AND($B$2="红人沟通",$B$3="开发信"),I13,IF(AND($B$2="红人沟通",$B$3="消息回复"),J13,"")))))=0,"",IF($B$2="受众分析",F13,IF($B$2="红人开发",H13,IF($B$2="搜索词挖掘",G13,IF(AND($B$2="红人沟通",$B$3="开发信"),I13,IF(AND($B$2="红人沟通",$B$3="消息回复"),J13,""))))))</f>
        <v/>
      </c>
      <c r="F16" s="26"/>
      <c r="G16" s="12"/>
      <c r="H16" s="19"/>
      <c r="I16" s="6"/>
      <c r="J16" s="28"/>
    </row>
    <row r="17" s="1" customFormat="1" ht="37" customHeight="1" spans="1:10">
      <c r="A17" s="2"/>
      <c r="B17" s="2"/>
      <c r="C17" s="2"/>
      <c r="E17" s="24" t="str">
        <f>IF(IF($B$2="受众分析",F14,IF($B$2="红人开发",H14,IF($B$2="搜索词挖掘",G14,IF(AND($B$2="红人沟通",$B$3="开发信"),I14,IF(AND($B$2="红人沟通",$B$3="消息回复"),J14,"")))))=0,"",IF($B$2="受众分析",F14,IF($B$2="红人开发",H14,IF($B$2="搜索词挖掘",G14,IF(AND($B$2="红人沟通",$B$3="开发信"),I14,IF(AND($B$2="红人沟通",$B$3="消息回复"),J14,""))))))</f>
        <v/>
      </c>
      <c r="F17" s="26"/>
      <c r="G17" s="12"/>
      <c r="H17" s="19"/>
      <c r="I17" s="6"/>
      <c r="J17" s="28"/>
    </row>
    <row r="18" s="1" customFormat="1" ht="37" customHeight="1" spans="1:10">
      <c r="A18" s="2"/>
      <c r="B18" s="2"/>
      <c r="C18" s="2"/>
      <c r="E18" s="24" t="str">
        <f>IF(IF($B$2="受众分析",F15,IF($B$2="红人开发",H15,IF($B$2="搜索词挖掘",G15,IF(AND($B$2="红人沟通",$B$3="开发信"),I15,IF(AND($B$2="红人沟通",$B$3="消息回复"),J15,"")))))=0,"",IF($B$2="受众分析",F15,IF($B$2="红人开发",H15,IF($B$2="搜索词挖掘",G15,IF(AND($B$2="红人沟通",$B$3="开发信"),I15,IF(AND($B$2="红人沟通",$B$3="消息回复"),J15,""))))))</f>
        <v/>
      </c>
      <c r="F18" s="26"/>
      <c r="G18" s="12"/>
      <c r="H18" s="19"/>
      <c r="I18" s="6"/>
      <c r="J18" s="28"/>
    </row>
    <row r="19" s="1" customFormat="1" spans="1:10">
      <c r="A19" s="2"/>
      <c r="B19" s="2"/>
      <c r="C19" s="2"/>
      <c r="E19" s="24" t="str">
        <f>IF(IF($B$2="受众分析",F16,IF($B$2="红人开发",H16,IF($B$2="搜索词挖掘",G16,IF(AND($B$2="红人沟通",$B$3="开发信"),I16,IF(AND($B$2="红人沟通",$B$3="消息回复"),J16,"")))))=0,"",IF($B$2="受众分析",F16,IF($B$2="红人开发",H16,IF($B$2="搜索词挖掘",G16,IF(AND($B$2="红人沟通",$B$3="开发信"),I16,IF(AND($B$2="红人沟通",$B$3="消息回复"),J16,""))))))</f>
        <v/>
      </c>
      <c r="F19" s="26"/>
      <c r="G19" s="12"/>
      <c r="H19" s="19"/>
      <c r="I19" s="6"/>
      <c r="J19" s="28"/>
    </row>
    <row r="20" s="1" customFormat="1" spans="1:10">
      <c r="A20" s="2"/>
      <c r="B20" s="2"/>
      <c r="C20" s="2"/>
      <c r="E20" s="24" t="str">
        <f>IF(IF($B$2="受众分析",F17,IF($B$2="红人开发",H17,IF($B$2="搜索词挖掘",G17,IF(AND($B$2="红人沟通",$B$3="开发信"),I17,IF(AND($B$2="红人沟通",$B$3="消息回复"),J17,"")))))=0,"",IF($B$2="受众分析",F17,IF($B$2="红人开发",H17,IF($B$2="搜索词挖掘",G17,IF(AND($B$2="红人沟通",$B$3="开发信"),I17,IF(AND($B$2="红人沟通",$B$3="消息回复"),J17,""))))))</f>
        <v/>
      </c>
      <c r="F20" s="26"/>
      <c r="G20" s="12"/>
      <c r="H20" s="19"/>
      <c r="I20" s="6"/>
      <c r="J20" s="28"/>
    </row>
    <row r="21" s="1" customFormat="1" spans="1:10">
      <c r="A21" s="2"/>
      <c r="B21" s="2"/>
      <c r="C21" s="2"/>
      <c r="E21" s="24" t="str">
        <f>IF(IF($B$2="受众分析",F18,IF($B$2="红人开发",H18,IF($B$2="搜索词挖掘",G18,IF(AND($B$2="红人沟通",$B$3="开发信"),I18,IF(AND($B$2="红人沟通",$B$3="消息回复"),J18,"")))))=0,"",IF($B$2="受众分析",F18,IF($B$2="红人开发",H18,IF($B$2="搜索词挖掘",G18,IF(AND($B$2="红人沟通",$B$3="开发信"),I18,IF(AND($B$2="红人沟通",$B$3="消息回复"),J18,""))))))</f>
        <v/>
      </c>
      <c r="F21" s="26"/>
      <c r="G21" s="12"/>
      <c r="H21" s="19"/>
      <c r="I21" s="6"/>
      <c r="J21" s="28"/>
    </row>
    <row r="22" s="1" customFormat="1" spans="1:10">
      <c r="A22" s="2"/>
      <c r="B22" s="2"/>
      <c r="C22" s="2"/>
      <c r="E22" s="24" t="str">
        <f>IF(IF($B$2="受众分析",F19,IF($B$2="红人开发",H19,IF($B$2="搜索词挖掘",G19,IF(AND($B$2="红人沟通",$B$3="开发信"),I19,IF(AND($B$2="红人沟通",$B$3="消息回复"),J19,"")))))=0,"",IF($B$2="受众分析",F19,IF($B$2="红人开发",H19,IF($B$2="搜索词挖掘",G19,IF(AND($B$2="红人沟通",$B$3="开发信"),I19,IF(AND($B$2="红人沟通",$B$3="消息回复"),J19,""))))))</f>
        <v/>
      </c>
      <c r="F22" s="26"/>
      <c r="G22" s="12"/>
      <c r="H22" s="19"/>
      <c r="I22" s="3"/>
      <c r="J22" s="3"/>
    </row>
    <row r="23" s="1" customFormat="1" spans="1:10">
      <c r="A23" s="2"/>
      <c r="B23" s="2"/>
      <c r="C23" s="2"/>
      <c r="E23" s="24" t="str">
        <f>IF(IF($B$2="受众分析",F20,IF($B$2="红人开发",H20,IF($B$2="搜索词挖掘",G20,IF(AND($B$2="红人沟通",$B$3="开发信"),I20,IF(AND($B$2="红人沟通",$B$3="消息回复"),J20,"")))))=0,"",IF($B$2="受众分析",F20,IF($B$2="红人开发",H20,IF($B$2="搜索词挖掘",G20,IF(AND($B$2="红人沟通",$B$3="开发信"),I20,IF(AND($B$2="红人沟通",$B$3="消息回复"),J20,""))))))</f>
        <v/>
      </c>
      <c r="F23" s="26"/>
      <c r="G23" s="12"/>
      <c r="H23" s="19"/>
      <c r="I23" s="3"/>
      <c r="J23" s="3"/>
    </row>
    <row r="24" s="1" customFormat="1" spans="1:10">
      <c r="A24" s="2"/>
      <c r="B24" s="2"/>
      <c r="C24" s="2"/>
      <c r="E24" s="24" t="str">
        <f>IF(IF($B$2="受众分析",F21,IF($B$2="红人开发",H21,IF($B$2="搜索词挖掘",G21,IF(AND($B$2="红人沟通",$B$3="开发信"),I21,IF(AND($B$2="红人沟通",$B$3="消息回复"),J21,"")))))=0,"",IF($B$2="受众分析",F21,IF($B$2="红人开发",H21,IF($B$2="搜索词挖掘",G21,IF(AND($B$2="红人沟通",$B$3="开发信"),I21,IF(AND($B$2="红人沟通",$B$3="消息回复"),J21,""))))))</f>
        <v/>
      </c>
      <c r="F24" s="26"/>
      <c r="G24" s="12"/>
      <c r="H24" s="19"/>
      <c r="I24" s="3"/>
      <c r="J24" s="3"/>
    </row>
    <row r="25" s="1" customFormat="1" spans="1:10">
      <c r="A25" s="2"/>
      <c r="B25" s="2"/>
      <c r="C25" s="2"/>
      <c r="E25" s="24" t="str">
        <f>IF(IF($B$2="受众分析",F22,IF($B$2="红人开发",H22,IF($B$2="搜索词挖掘",G22,IF(AND($B$2="红人沟通",$B$3="开发信"),I22,IF(AND($B$2="红人沟通",$B$3="消息回复"),J22,"")))))=0,"",IF($B$2="受众分析",F22,IF($B$2="红人开发",H22,IF($B$2="搜索词挖掘",G22,IF(AND($B$2="红人沟通",$B$3="开发信"),I22,IF(AND($B$2="红人沟通",$B$3="消息回复"),J22,""))))))</f>
        <v/>
      </c>
      <c r="F25" s="26"/>
      <c r="G25" s="12"/>
      <c r="H25" s="19"/>
      <c r="I25" s="3"/>
      <c r="J25" s="3"/>
    </row>
    <row r="26" s="1" customFormat="1" spans="1:10">
      <c r="A26" s="2"/>
      <c r="B26" s="2"/>
      <c r="C26" s="2"/>
      <c r="E26" s="24" t="str">
        <f>IF(IF($B$2="受众分析",F23,IF($B$2="红人开发",H23,IF($B$2="搜索词挖掘",G23,IF(AND($B$2="红人沟通",$B$3="开发信"),I23,IF(AND($B$2="红人沟通",$B$3="消息回复"),J23,"")))))=0,"",IF($B$2="受众分析",F23,IF($B$2="红人开发",H23,IF($B$2="搜索词挖掘",G23,IF(AND($B$2="红人沟通",$B$3="开发信"),I23,IF(AND($B$2="红人沟通",$B$3="消息回复"),J23,""))))))</f>
        <v/>
      </c>
      <c r="F26" s="4"/>
      <c r="G26" s="12"/>
      <c r="H26" s="6"/>
      <c r="J26" s="3"/>
    </row>
    <row r="27" s="1" customFormat="1" spans="1:10">
      <c r="A27" s="2"/>
      <c r="B27" s="2"/>
      <c r="C27" s="2"/>
      <c r="E27" s="24" t="str">
        <f>IF(IF($B$2="受众分析",F24,IF($B$2="红人开发",H24,IF($B$2="搜索词挖掘",G24,IF(AND($B$2="红人沟通",$B$3="开发信"),I24,IF(AND($B$2="红人沟通",$B$3="消息回复"),J24,"")))))=0,"",IF($B$2="受众分析",F24,IF($B$2="红人开发",H24,IF($B$2="搜索词挖掘",G24,IF(AND($B$2="红人沟通",$B$3="开发信"),I24,IF(AND($B$2="红人沟通",$B$3="消息回复"),J24,""))))))</f>
        <v/>
      </c>
      <c r="F27" s="4"/>
      <c r="G27" s="12"/>
      <c r="H27" s="6"/>
      <c r="J27" s="3"/>
    </row>
    <row r="28" s="1" customFormat="1" spans="1:10">
      <c r="A28" s="2"/>
      <c r="B28" s="2"/>
      <c r="C28" s="2"/>
      <c r="E28" s="24" t="str">
        <f>IF(IF($B$2="受众分析",F25,IF($B$2="红人开发",H25,IF($B$2="搜索词挖掘",G25,IF(AND($B$2="红人沟通",$B$3="开发信"),I25,IF(AND($B$2="红人沟通",$B$3="消息回复"),J25,"")))))=0,"",IF($B$2="受众分析",F25,IF($B$2="红人开发",H25,IF($B$2="搜索词挖掘",G25,IF(AND($B$2="红人沟通",$B$3="开发信"),I25,IF(AND($B$2="红人沟通",$B$3="消息回复"),J25,""))))))</f>
        <v/>
      </c>
      <c r="F28" s="4"/>
      <c r="G28" s="12"/>
      <c r="H28" s="6"/>
      <c r="J28" s="3"/>
    </row>
    <row r="29" s="1" customFormat="1" spans="1:10">
      <c r="A29" s="2"/>
      <c r="B29" s="2"/>
      <c r="C29" s="2"/>
      <c r="E29" s="24" t="str">
        <f>IF(IF($B$2="受众分析",F26,IF($B$2="红人开发",H26,IF($B$2="搜索词挖掘",G26,IF(AND($B$2="红人沟通",$B$3="开发信"),I26,IF(AND($B$2="红人沟通",$B$3="消息回复"),J26,"")))))=0,"",IF($B$2="受众分析",F26,IF($B$2="红人开发",H26,IF($B$2="搜索词挖掘",G26,IF(AND($B$2="红人沟通",$B$3="开发信"),I26,IF(AND($B$2="红人沟通",$B$3="消息回复"),J26,""))))))</f>
        <v/>
      </c>
      <c r="F29" s="4"/>
      <c r="G29" s="12"/>
      <c r="H29" s="6"/>
      <c r="J29" s="3"/>
    </row>
    <row r="30" s="1" customFormat="1" spans="1:10">
      <c r="A30" s="2"/>
      <c r="B30" s="2"/>
      <c r="C30" s="2"/>
      <c r="E30" s="24" t="str">
        <f>IF(IF($B$2="受众分析",F27,IF($B$2="红人开发",H27,IF($B$2="搜索词挖掘",G27,IF(AND($B$2="红人沟通",$B$3="开发信"),I27,IF(AND($B$2="红人沟通",$B$3="消息回复"),J27,"")))))=0,"",IF($B$2="受众分析",F27,IF($B$2="红人开发",H27,IF($B$2="搜索词挖掘",G27,IF(AND($B$2="红人沟通",$B$3="开发信"),I27,IF(AND($B$2="红人沟通",$B$3="消息回复"),J27,""))))))</f>
        <v/>
      </c>
      <c r="F30" s="4"/>
      <c r="G30" s="12"/>
      <c r="H30" s="6"/>
      <c r="J30" s="3"/>
    </row>
    <row r="31" s="1" customFormat="1" spans="1:10">
      <c r="A31" s="2"/>
      <c r="B31" s="2"/>
      <c r="C31" s="2"/>
      <c r="E31" s="24" t="str">
        <f>IF(IF($B$2="受众分析",F28,IF($B$2="红人开发",H28,IF($B$2="搜索词挖掘",G28,IF(AND($B$2="红人沟通",$B$3="开发信"),I28,IF(AND($B$2="红人沟通",$B$3="消息回复"),J28,"")))))=0,"",IF($B$2="受众分析",F28,IF($B$2="红人开发",H28,IF($B$2="搜索词挖掘",G28,IF(AND($B$2="红人沟通",$B$3="开发信"),I28,IF(AND($B$2="红人沟通",$B$3="消息回复"),J28,""))))))</f>
        <v/>
      </c>
      <c r="F31" s="4"/>
      <c r="G31" s="12"/>
      <c r="H31" s="6"/>
      <c r="J31" s="3"/>
    </row>
    <row r="32" s="1" customFormat="1" spans="1:10">
      <c r="A32" s="2"/>
      <c r="B32" s="2"/>
      <c r="C32" s="2"/>
      <c r="E32" s="27"/>
      <c r="F32" s="4"/>
      <c r="G32" s="12"/>
      <c r="H32" s="6"/>
      <c r="J32" s="3"/>
    </row>
    <row r="33" s="1" customFormat="1" spans="1:10">
      <c r="A33" s="2"/>
      <c r="B33" s="2"/>
      <c r="C33" s="2"/>
      <c r="E33" s="27"/>
      <c r="F33" s="4"/>
      <c r="G33" s="12"/>
      <c r="H33" s="6"/>
      <c r="J33" s="3"/>
    </row>
    <row r="34" s="1" customFormat="1" spans="1:10">
      <c r="A34" s="2"/>
      <c r="B34" s="2"/>
      <c r="C34" s="2"/>
      <c r="E34" s="27"/>
      <c r="F34" s="4"/>
      <c r="G34" s="12"/>
      <c r="H34" s="6"/>
      <c r="J34" s="3"/>
    </row>
    <row r="35" s="1" customFormat="1" spans="1:10">
      <c r="A35" s="2"/>
      <c r="B35" s="2"/>
      <c r="C35" s="2"/>
      <c r="E35" s="27"/>
      <c r="F35" s="4"/>
      <c r="G35" s="12"/>
      <c r="H35" s="6"/>
      <c r="J35" s="3"/>
    </row>
    <row r="36" s="1" customFormat="1" spans="1:10">
      <c r="A36" s="2"/>
      <c r="B36" s="2"/>
      <c r="C36" s="2"/>
      <c r="E36" s="27"/>
      <c r="F36" s="4"/>
      <c r="G36" s="12"/>
      <c r="H36" s="6"/>
      <c r="J36" s="3"/>
    </row>
    <row r="37" s="1" customFormat="1" spans="1:10">
      <c r="A37" s="2"/>
      <c r="B37" s="2"/>
      <c r="C37" s="2"/>
      <c r="E37" s="27"/>
      <c r="F37" s="4"/>
      <c r="G37" s="12"/>
      <c r="H37" s="6"/>
      <c r="J37" s="3"/>
    </row>
    <row r="38" s="1" customFormat="1" spans="1:10">
      <c r="A38" s="2"/>
      <c r="B38" s="2"/>
      <c r="C38" s="2"/>
      <c r="E38" s="27"/>
      <c r="F38" s="4"/>
      <c r="G38" s="12"/>
      <c r="H38" s="6"/>
      <c r="J38" s="3"/>
    </row>
    <row r="39" s="1" customFormat="1" spans="1:10">
      <c r="A39" s="2"/>
      <c r="B39" s="2"/>
      <c r="C39" s="2"/>
      <c r="E39" s="27"/>
      <c r="F39" s="4"/>
      <c r="G39" s="12"/>
      <c r="H39" s="6"/>
      <c r="J39" s="3"/>
    </row>
    <row r="40" s="1" customFormat="1" spans="1:10">
      <c r="A40" s="2"/>
      <c r="B40" s="2"/>
      <c r="C40" s="2"/>
      <c r="E40" s="27"/>
      <c r="F40" s="4"/>
      <c r="G40" s="12"/>
      <c r="H40" s="6"/>
      <c r="J40" s="3"/>
    </row>
    <row r="41" s="1" customFormat="1" spans="1:10">
      <c r="A41" s="2"/>
      <c r="B41" s="2"/>
      <c r="C41" s="2"/>
      <c r="E41" s="27"/>
      <c r="F41" s="4"/>
      <c r="G41" s="12"/>
      <c r="H41" s="6"/>
      <c r="J41" s="3"/>
    </row>
    <row r="42" s="1" customFormat="1" spans="1:10">
      <c r="A42" s="2"/>
      <c r="B42" s="2"/>
      <c r="C42" s="2"/>
      <c r="E42" s="27"/>
      <c r="F42" s="4"/>
      <c r="G42" s="5"/>
      <c r="H42" s="6"/>
      <c r="J42" s="3"/>
    </row>
    <row r="43" s="1" customFormat="1" spans="1:10">
      <c r="A43" s="2"/>
      <c r="B43" s="2"/>
      <c r="C43" s="2"/>
      <c r="E43" s="27"/>
      <c r="F43" s="4"/>
      <c r="G43" s="5"/>
      <c r="H43" s="6"/>
      <c r="J43" s="3"/>
    </row>
  </sheetData>
  <mergeCells count="5">
    <mergeCell ref="A1:D1"/>
    <mergeCell ref="E2:E5"/>
    <mergeCell ref="I2:I9"/>
    <mergeCell ref="J2:J9"/>
    <mergeCell ref="K2:K7"/>
  </mergeCells>
  <dataValidations count="3">
    <dataValidation type="list" allowBlank="1" showInputMessage="1" showErrorMessage="1" sqref="B2">
      <formula1>"受众分析,搜索词挖掘,红人开发,红人沟通"</formula1>
    </dataValidation>
    <dataValidation type="list" allowBlank="1" showInputMessage="1" showErrorMessage="1" sqref="B3">
      <formula1>"开发信,消息回复"</formula1>
    </dataValidation>
    <dataValidation type="list" allowBlank="1" showInputMessage="1" showErrorMessage="1" sqref="D3">
      <formula1>"🇺🇸美国,🇯🇵日本,🇩🇪德国,🇨🇦加拿大,🇲🇽墨西哥,🇫🇷法国,🇮🇹意大利,🇪🇸西班牙,🇳🇱荷兰,🇵🇹葡萄牙,🇹🇷土耳其,🇦🇪阿拉伯,🇸🇪瑞典,🇵🇱波兰"</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站外红人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2024-12-12T09:00:00Z</dcterms:created>
  <dcterms:modified xsi:type="dcterms:W3CDTF">2024-12-31T02:53:43Z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6B102BEE7ED44BD68C2EFE4B10F0A65C_11</vt:lpwstr>
  </property>
  <property fmtid="{D5CDD505-2E9C-101B-9397-08002B2CF9AE}" pid="3" name="KSOProductBuildVer">
    <vt:lpwstr>2052-12.1.0.19302</vt:lpwstr>
  </property>
</Properties>
</file>