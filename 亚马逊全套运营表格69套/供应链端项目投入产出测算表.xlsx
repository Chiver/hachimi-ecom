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投入产出概览" sheetId="2" r:id="rId1"/>
    <sheet name="模具费用" sheetId="3" r:id="rId2"/>
    <sheet name="人力费用" sheetId="4" r:id="rId3"/>
    <sheet name="差旅费用" sheetId="5" r:id="rId4"/>
    <sheet name="测试及工装费用" sheetId="6" r:id="rId5"/>
    <sheet name="认证费用" sheetId="7" r:id="rId6"/>
    <sheet name="样机费用" sheetId="8" r:id="rId7"/>
    <sheet name="项目研发预算及成本概览" sheetId="9" state="hidden" r:id="rId8"/>
    <sheet name="产品端费用列表" sheetId="10" state="hidden" r:id="rId9"/>
    <sheet name="专利费用列表" sheetId="11" state="hidden" r:id="rId10"/>
    <sheet name="其它费用列表" sheetId="12" state="hidden" r:id="rId11"/>
    <sheet name="BOM及物流售后成本列表" sheetId="13" state="hidden" r:id="rId12"/>
  </sheets>
  <calcPr calcId="144525"/>
</workbook>
</file>

<file path=xl/sharedStrings.xml><?xml version="1.0" encoding="utf-8"?>
<sst xmlns="http://schemas.openxmlformats.org/spreadsheetml/2006/main" count="420" uniqueCount="286">
  <si>
    <t>项    目    投   入   产   出   测   算   表</t>
  </si>
  <si>
    <t>项目名称：</t>
  </si>
  <si>
    <t xml:space="preserve">项目编号： </t>
  </si>
  <si>
    <t>产品线：</t>
  </si>
  <si>
    <t>年度：</t>
  </si>
  <si>
    <t>填表日期：</t>
  </si>
  <si>
    <t>项目
总目标</t>
  </si>
  <si>
    <t>产品定位：</t>
  </si>
  <si>
    <t>项目优先级</t>
  </si>
  <si>
    <t>技术难度评级</t>
  </si>
  <si>
    <t>上市第1年目标销量：</t>
  </si>
  <si>
    <t>上市第一年目标销售额
（含税）</t>
  </si>
  <si>
    <t>盈亏平衡点：</t>
  </si>
  <si>
    <t>上市第1年目标营业利润额：</t>
  </si>
  <si>
    <t>上市第1年目标
营业利润率：</t>
  </si>
  <si>
    <t>项目立项时间</t>
  </si>
  <si>
    <t>项目MP时间</t>
  </si>
  <si>
    <t>项目上市时间</t>
  </si>
  <si>
    <t>产品卖点</t>
  </si>
  <si>
    <t>产品功能定义及软件交互</t>
  </si>
  <si>
    <t>产品销售渠道</t>
  </si>
  <si>
    <t>产品认证要求</t>
  </si>
  <si>
    <t>单位销售、管理变动成本参考值</t>
  </si>
  <si>
    <t>销售平台加点费率</t>
  </si>
  <si>
    <t>亚马逊</t>
  </si>
  <si>
    <t>沃尔玛</t>
  </si>
  <si>
    <t xml:space="preserve">ETSY </t>
  </si>
  <si>
    <t>Ebay</t>
  </si>
  <si>
    <t>阿里国际</t>
  </si>
  <si>
    <t>线下</t>
  </si>
  <si>
    <t>海外跨境</t>
  </si>
  <si>
    <t>海外KA</t>
  </si>
  <si>
    <t>整体管理费用</t>
  </si>
  <si>
    <t>第一年产出预估</t>
  </si>
  <si>
    <t>序号</t>
  </si>
  <si>
    <t>SKU描述</t>
  </si>
  <si>
    <t>京东</t>
  </si>
  <si>
    <t>合计销售额</t>
  </si>
  <si>
    <t>合计销售平台加点费率</t>
  </si>
  <si>
    <t>年销量</t>
  </si>
  <si>
    <t>预计销售额</t>
  </si>
  <si>
    <t>销售占比</t>
  </si>
  <si>
    <t>合计</t>
  </si>
  <si>
    <t>产品价格体系</t>
  </si>
  <si>
    <t>自营线上价格体系</t>
  </si>
  <si>
    <t>自营线下价格体系</t>
  </si>
  <si>
    <t>海外价格体系</t>
  </si>
  <si>
    <t>标准定价</t>
  </si>
  <si>
    <t>标准定价
占比</t>
  </si>
  <si>
    <t>活动价</t>
  </si>
  <si>
    <t>活动销售
占比</t>
  </si>
  <si>
    <t>大促价格</t>
  </si>
  <si>
    <t>大促销售
占比</t>
  </si>
  <si>
    <t>国内线上
平均成交价</t>
  </si>
  <si>
    <t>渠道商
最大利润</t>
  </si>
  <si>
    <t>渠道商
平均利润</t>
  </si>
  <si>
    <t>经销商价
（线下定价）</t>
  </si>
  <si>
    <t>海外跨境定价（含税）</t>
  </si>
  <si>
    <t>海外KA（折人民币含税）</t>
  </si>
  <si>
    <t>项目投入测算</t>
  </si>
  <si>
    <t>单位制造变动成本（含税）</t>
  </si>
  <si>
    <t>单位变动市场、销售、管理费用（含税）</t>
  </si>
  <si>
    <t>变动成本合计
（不含税）</t>
  </si>
  <si>
    <t>产品开发固定费用（不含税）</t>
  </si>
  <si>
    <t>营销固定费用</t>
  </si>
  <si>
    <t>固定费用合计
(不含税）</t>
  </si>
  <si>
    <t>BOM成本</t>
  </si>
  <si>
    <t>生产变动成本</t>
  </si>
  <si>
    <t>生产固定成本分摊</t>
  </si>
  <si>
    <t>供应商费用利润</t>
  </si>
  <si>
    <t>其他变动
成本</t>
  </si>
  <si>
    <t>合计变动成本</t>
  </si>
  <si>
    <t>运输费</t>
  </si>
  <si>
    <t>平均售后成本</t>
  </si>
  <si>
    <t>单位变动销售费用（如产品赠品等）</t>
  </si>
  <si>
    <t>销售平台费用加点</t>
  </si>
  <si>
    <t>管理费用分摊</t>
  </si>
  <si>
    <t>合计变动费用</t>
  </si>
  <si>
    <t>研发
模具费</t>
  </si>
  <si>
    <t>研发人员费用</t>
  </si>
  <si>
    <t>差旅费用</t>
  </si>
  <si>
    <t>测试、开发、工装等开发费用</t>
  </si>
  <si>
    <t>产品认证费用</t>
  </si>
  <si>
    <t>样品及其他费用</t>
  </si>
  <si>
    <t>宣传物料费用</t>
  </si>
  <si>
    <t>活动费用</t>
  </si>
  <si>
    <t>EE</t>
  </si>
  <si>
    <t>ME</t>
  </si>
  <si>
    <t>包装</t>
  </si>
  <si>
    <t>材料合计</t>
  </si>
  <si>
    <t>生产人工</t>
  </si>
  <si>
    <t>能耗及
其他</t>
  </si>
  <si>
    <t>折旧费</t>
  </si>
  <si>
    <t>管理人工</t>
  </si>
  <si>
    <t>税费</t>
  </si>
  <si>
    <t>利润</t>
  </si>
  <si>
    <t>B端运费</t>
  </si>
  <si>
    <t>C端运费</t>
  </si>
  <si>
    <t>项目投产测算</t>
  </si>
  <si>
    <t>单位边际贡献(元/个)</t>
  </si>
  <si>
    <t>上市第一年目标销量</t>
  </si>
  <si>
    <t>上市第1年销售额（含税）</t>
  </si>
  <si>
    <t>销售额占比</t>
  </si>
  <si>
    <t>盈亏
平衡点
(个)</t>
  </si>
  <si>
    <t>上市第1年产出目标</t>
  </si>
  <si>
    <t>边际贡献总额
(不含税)</t>
  </si>
  <si>
    <t>营业利润总额
(不含税)</t>
  </si>
  <si>
    <t>营业利润率</t>
  </si>
  <si>
    <t>合计/加权平均值</t>
  </si>
  <si>
    <t>项目资源需求</t>
  </si>
  <si>
    <t>项目人力资源需求</t>
  </si>
  <si>
    <t>生产/供应资源需求</t>
  </si>
  <si>
    <t>角色</t>
  </si>
  <si>
    <t>姓名</t>
  </si>
  <si>
    <t>生产方式</t>
  </si>
  <si>
    <t>ODM选品</t>
  </si>
  <si>
    <t>项目经理</t>
  </si>
  <si>
    <t>光学工程师</t>
  </si>
  <si>
    <t>认证工程师</t>
  </si>
  <si>
    <t>DQA</t>
  </si>
  <si>
    <t>供应商：</t>
  </si>
  <si>
    <t>产品经理</t>
  </si>
  <si>
    <t>ID设计师</t>
  </si>
  <si>
    <t>软件项目经理</t>
  </si>
  <si>
    <t>NPI</t>
  </si>
  <si>
    <t>供应商资质要求</t>
  </si>
  <si>
    <t>项目技术leader</t>
  </si>
  <si>
    <t>项目采购工程师</t>
  </si>
  <si>
    <t>固件工程师</t>
  </si>
  <si>
    <t>PQE</t>
  </si>
  <si>
    <t>电子工程师</t>
  </si>
  <si>
    <t>包装工程师</t>
  </si>
  <si>
    <t>插件工程师</t>
  </si>
  <si>
    <t>生产能力、设备等要求</t>
  </si>
  <si>
    <t>结构工程师</t>
  </si>
  <si>
    <t>模具工程师</t>
  </si>
  <si>
    <t>项目时间计划</t>
  </si>
  <si>
    <t>项目里程碑节点计划</t>
  </si>
  <si>
    <t>里程碑节点</t>
  </si>
  <si>
    <t>时间</t>
  </si>
  <si>
    <t>产品立项完成</t>
  </si>
  <si>
    <t>ES1试制</t>
  </si>
  <si>
    <t>产品上市时间</t>
  </si>
  <si>
    <t>项目立项完成</t>
  </si>
  <si>
    <t>软硬件封样</t>
  </si>
  <si>
    <t>WS评审</t>
  </si>
  <si>
    <t>PP(中试)</t>
  </si>
  <si>
    <t>结构件/PCB开模启动</t>
  </si>
  <si>
    <t>MP(量产)</t>
  </si>
  <si>
    <t>Pre ES试制</t>
  </si>
  <si>
    <t>首单入库完毕</t>
  </si>
  <si>
    <t xml:space="preserve">拟制： </t>
  </si>
  <si>
    <t>产品总监：</t>
  </si>
  <si>
    <t>销售总监：</t>
  </si>
  <si>
    <t>CTO：</t>
  </si>
  <si>
    <t>CFO：</t>
  </si>
  <si>
    <t>批准：COO</t>
  </si>
  <si>
    <t>模具费用</t>
  </si>
  <si>
    <t>类别</t>
  </si>
  <si>
    <t>部件名称</t>
  </si>
  <si>
    <t>模具类别</t>
  </si>
  <si>
    <t>模具费用（含税/RMB)</t>
  </si>
  <si>
    <t>合计(含税/RMB)</t>
  </si>
  <si>
    <t>备注</t>
  </si>
  <si>
    <t>钣金件</t>
  </si>
  <si>
    <t>模具</t>
  </si>
  <si>
    <t>吹塑件</t>
  </si>
  <si>
    <t>铝挤件</t>
  </si>
  <si>
    <t>挤塑件</t>
  </si>
  <si>
    <t>保利龙</t>
  </si>
  <si>
    <t>注塑件</t>
  </si>
  <si>
    <t>xxx模具</t>
  </si>
  <si>
    <t>部件1</t>
  </si>
  <si>
    <t>……</t>
  </si>
  <si>
    <t>部件2</t>
  </si>
  <si>
    <t xml:space="preserve">…… </t>
  </si>
  <si>
    <t>费用总计</t>
  </si>
  <si>
    <t>不含税费用总计</t>
  </si>
  <si>
    <t>人力投入比
（时/月）</t>
  </si>
  <si>
    <t>负责人</t>
  </si>
  <si>
    <t>工时</t>
  </si>
  <si>
    <t>费用</t>
  </si>
  <si>
    <t>每人每月工作满勤工时为1，超勤或缺勤根据比例换算即可。</t>
  </si>
  <si>
    <t>软件项目</t>
  </si>
  <si>
    <t>软件工程师</t>
  </si>
  <si>
    <t>软件QA工程师</t>
  </si>
  <si>
    <t>DOA</t>
  </si>
  <si>
    <t>包材设计师</t>
  </si>
  <si>
    <t>采购工程师</t>
  </si>
  <si>
    <t>差旅费</t>
  </si>
  <si>
    <t>项目阶段</t>
  </si>
  <si>
    <t>PRD</t>
  </si>
  <si>
    <t>WS</t>
  </si>
  <si>
    <t>Pre ES</t>
  </si>
  <si>
    <t>ES1</t>
  </si>
  <si>
    <t>PP</t>
  </si>
  <si>
    <t>MP</t>
  </si>
  <si>
    <t>出差城市</t>
  </si>
  <si>
    <t>出差人数</t>
  </si>
  <si>
    <t>出差天数</t>
  </si>
  <si>
    <t>机票</t>
  </si>
  <si>
    <t>打车</t>
  </si>
  <si>
    <t>补贴</t>
  </si>
  <si>
    <t>住宿费</t>
  </si>
  <si>
    <t>阶段费用</t>
  </si>
  <si>
    <t>费用合计</t>
  </si>
  <si>
    <t>不含税费用合计</t>
  </si>
  <si>
    <t>人力及差旅费用，项目组会输出如上表格信息，由财务统一估算输出汇总。</t>
  </si>
  <si>
    <t>一、工装治具</t>
  </si>
  <si>
    <t>工装名称</t>
  </si>
  <si>
    <t>数量</t>
  </si>
  <si>
    <t>单价</t>
  </si>
  <si>
    <t>费用合计①</t>
  </si>
  <si>
    <t>二、可靠性</t>
  </si>
  <si>
    <t>NO.</t>
  </si>
  <si>
    <t>测试内容</t>
  </si>
  <si>
    <t>价格（人民币）</t>
  </si>
  <si>
    <t>实验次数</t>
  </si>
  <si>
    <t>各项累计价格
（人民币）</t>
  </si>
  <si>
    <t>费用合计②</t>
  </si>
  <si>
    <t>费用总计①+②</t>
  </si>
  <si>
    <t>不含税费用总计①+②</t>
  </si>
  <si>
    <t>认证费用</t>
  </si>
  <si>
    <t>销售区域</t>
  </si>
  <si>
    <t>认证项目</t>
  </si>
  <si>
    <t>认证类型</t>
  </si>
  <si>
    <t>费用（含税/RMB)</t>
  </si>
  <si>
    <t>中国</t>
  </si>
  <si>
    <t>台湾</t>
  </si>
  <si>
    <t>美国</t>
  </si>
  <si>
    <t>欧盟</t>
  </si>
  <si>
    <t>日本</t>
  </si>
  <si>
    <t>样品费</t>
  </si>
  <si>
    <t>区分</t>
  </si>
  <si>
    <t>用途</t>
  </si>
  <si>
    <t>硬件工程师</t>
  </si>
  <si>
    <t>软件封样</t>
  </si>
  <si>
    <t>质量工程师</t>
  </si>
  <si>
    <t>产品站需求</t>
  </si>
  <si>
    <t>市场推广</t>
  </si>
  <si>
    <t>单机成本</t>
  </si>
  <si>
    <t>填写说明:
1.在空格位置填写需求数量，对应每个阶段的需求数量帮忙备注用途，有阶段不需要样机的，空着即可
2.软件部分请萌萌工统一帮忙填写
3.样机需求请尽量压缩至最小需求量</t>
  </si>
  <si>
    <t>项目研发预算及成本概览</t>
  </si>
  <si>
    <t>表号</t>
  </si>
  <si>
    <t>QMP-08-F07</t>
  </si>
  <si>
    <t>版本</t>
  </si>
  <si>
    <t>A</t>
  </si>
  <si>
    <t>页次</t>
  </si>
  <si>
    <t>1/1</t>
  </si>
  <si>
    <t>预算类别</t>
  </si>
  <si>
    <t>研发预算（含税/RMB）</t>
  </si>
  <si>
    <t>销量预估（PCS)
市场销售预估量</t>
  </si>
  <si>
    <t>分摊成本（含税/RMB）</t>
  </si>
  <si>
    <t>人力及差旅费用</t>
  </si>
  <si>
    <t>产品端费用列表</t>
  </si>
  <si>
    <t>研发费用</t>
  </si>
  <si>
    <t>专利费用</t>
  </si>
  <si>
    <t>其它费用</t>
  </si>
  <si>
    <t>分摊合计</t>
  </si>
  <si>
    <t>产品成本</t>
  </si>
  <si>
    <t>备注说明：《项目研发预算及成本概览》表格不需要手动输入，会根据预算类别分支费用自动汇总。</t>
  </si>
  <si>
    <t>竞品样品购买</t>
  </si>
  <si>
    <t>外聘ID设计费</t>
  </si>
  <si>
    <t>道具购买</t>
  </si>
  <si>
    <t>产品站拍摄</t>
  </si>
  <si>
    <t>申请国家</t>
  </si>
  <si>
    <t>专利类型</t>
  </si>
  <si>
    <t>目标数量（项）</t>
  </si>
  <si>
    <t>专利费用（含税/RMB)</t>
  </si>
  <si>
    <t>外观设计</t>
  </si>
  <si>
    <t>实用新型</t>
  </si>
  <si>
    <t>发明</t>
  </si>
  <si>
    <t>费用（含税/RMB）</t>
  </si>
  <si>
    <t>营销策划</t>
  </si>
  <si>
    <t>外聘顾问</t>
  </si>
  <si>
    <t>BOM成本费用</t>
  </si>
  <si>
    <t>单机价格（含税/RMB）</t>
  </si>
  <si>
    <t>物料损耗（%）</t>
  </si>
  <si>
    <t>实际价格（含税/RMB)</t>
  </si>
  <si>
    <t>电子</t>
  </si>
  <si>
    <t>结构</t>
  </si>
  <si>
    <t>包材</t>
  </si>
  <si>
    <t>售后物流费用</t>
  </si>
  <si>
    <t>物流损耗（%）</t>
  </si>
  <si>
    <t>仓储物流</t>
  </si>
  <si>
    <t>售后维修</t>
  </si>
</sst>
</file>

<file path=xl/styles.xml><?xml version="1.0" encoding="utf-8"?>
<styleSheet xmlns="http://schemas.openxmlformats.org/spreadsheetml/2006/main">
  <numFmts count="52">
    <numFmt numFmtId="176" formatCode="\¥#,##0.00;[Red]\¥\-#,##0.00"/>
    <numFmt numFmtId="23" formatCode="\$#,##0_);\(\$#,##0\)"/>
    <numFmt numFmtId="177" formatCode="#\ ??/??"/>
    <numFmt numFmtId="178" formatCode="mmmm\-yy"/>
    <numFmt numFmtId="24" formatCode="\$#,##0_);[Red]\(\$#,##0\)"/>
    <numFmt numFmtId="25" formatCode="\$#,##0.00_);\(\$#,##0.00\)"/>
    <numFmt numFmtId="26" formatCode="\$#,##0.00_);[Red]\(\$#,##0.00\)"/>
    <numFmt numFmtId="179" formatCode="[DBNum1][$-804]yyyy&quot;年&quot;m&quot;月&quot;"/>
    <numFmt numFmtId="180" formatCode="[$-804]aaa"/>
    <numFmt numFmtId="181" formatCode="h:mm:ss\ AM/PM"/>
    <numFmt numFmtId="182" formatCode="#\ ?/?"/>
    <numFmt numFmtId="183" formatCode="[DBNum1]上午/下午h&quot;时&quot;mm&quot;分&quot;"/>
    <numFmt numFmtId="184" formatCode="[DBNum1][$-804]m&quot;月&quot;d&quot;日&quot;"/>
    <numFmt numFmtId="5" formatCode="&quot;￥&quot;#,##0;&quot;￥&quot;\-#,##0"/>
    <numFmt numFmtId="185" formatCode="yyyy/m/d\ h:mm\ AM/PM"/>
    <numFmt numFmtId="186" formatCode="0_ "/>
    <numFmt numFmtId="187" formatCode="yy/m/d"/>
    <numFmt numFmtId="188" formatCode="m/d"/>
    <numFmt numFmtId="189" formatCode="mmmmm"/>
    <numFmt numFmtId="190" formatCode="mmmmm\-yy"/>
    <numFmt numFmtId="191" formatCode="h:mm\ AM/PM"/>
    <numFmt numFmtId="192" formatCode="[DBNum1]h&quot;时&quot;mm&quot;分&quot;"/>
    <numFmt numFmtId="193" formatCode="dd\-mmm\-yy"/>
    <numFmt numFmtId="194" formatCode="\¥#,##0;\¥\-#,##0"/>
    <numFmt numFmtId="195" formatCode="\¥#,##0;[Red]\¥\-#,##0"/>
    <numFmt numFmtId="196" formatCode="\¥#,##0.00;\¥\-#,##0.00"/>
    <numFmt numFmtId="197" formatCode="m\-d\-yy"/>
    <numFmt numFmtId="198" formatCode="#,##0.00_);[Red]\(#,##0.00\)"/>
    <numFmt numFmtId="44" formatCode="_ &quot;￥&quot;* #,##0.00_ ;_ &quot;￥&quot;* \-#,##0.00_ ;_ &quot;￥&quot;* &quot;-&quot;??_ ;_ @_ "/>
    <numFmt numFmtId="199" formatCode="yyyy/mm/dd"/>
    <numFmt numFmtId="200" formatCode="[$-804]aaaa"/>
    <numFmt numFmtId="201" formatCode="yyyy&quot;年&quot;m&quot;月&quot;d&quot;日&quot;;@"/>
    <numFmt numFmtId="202" formatCode="#\ ??"/>
    <numFmt numFmtId="203" formatCode="#,##0_);[Red]\(#,##0\)"/>
    <numFmt numFmtId="204" formatCode="yyyy&quot;年&quot;mm&quot;月&quot;dd&quot;日&quot;;@"/>
    <numFmt numFmtId="42" formatCode="_ &quot;￥&quot;* #,##0_ ;_ &quot;￥&quot;* \-#,##0_ ;_ &quot;￥&quot;* &quot;-&quot;_ ;_ @_ "/>
    <numFmt numFmtId="205" formatCode="#,##0.00_ "/>
    <numFmt numFmtId="206" formatCode="[DBNum1][$-804]yyyy&quot;年&quot;m&quot;月&quot;d&quot;日&quot;"/>
    <numFmt numFmtId="8" formatCode="&quot;￥&quot;#,##0.00;[Red]&quot;￥&quot;\-#,##0.00"/>
    <numFmt numFmtId="41" formatCode="_ * #,##0_ ;_ * \-#,##0_ ;_ * &quot;-&quot;_ ;_ @_ "/>
    <numFmt numFmtId="207" formatCode="yyyy&quot;年&quot;m&quot;月&quot;;@"/>
    <numFmt numFmtId="7" formatCode="&quot;￥&quot;#,##0.00;&quot;￥&quot;\-#,##0.00"/>
    <numFmt numFmtId="208" formatCode="0.0%"/>
    <numFmt numFmtId="6" formatCode="&quot;￥&quot;#,##0;[Red]&quot;￥&quot;\-#,##0"/>
    <numFmt numFmtId="43" formatCode="_ * #,##0.00_ ;_ * \-#,##0.00_ ;_ * &quot;-&quot;??_ ;_ @_ "/>
    <numFmt numFmtId="209" formatCode="0.00_);[Red]\(0.00\)"/>
    <numFmt numFmtId="210" formatCode="[$-F800]dddd\,\ mmmm\ dd\,\ yyyy"/>
    <numFmt numFmtId="211" formatCode="\¥#,##0.00;[Red]\¥#,##0.00"/>
    <numFmt numFmtId="212" formatCode="mm/dd/yy"/>
    <numFmt numFmtId="213" formatCode="#,##0_ &quot;万个&quot;"/>
    <numFmt numFmtId="214" formatCode="_ * #,##0_ ;_ * \-#,##0_ ;_ * &quot;-&quot;??_ ;_ @_ "/>
    <numFmt numFmtId="215" formatCode="0.00_ "/>
  </numFmts>
  <fonts count="36">
    <font>
      <sz val="10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1"/>
      <color rgb="FFFFFFFF"/>
      <name val="Calibri"/>
      <charset val="134"/>
    </font>
    <font>
      <sz val="9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12"/>
      <color rgb="FF525252"/>
      <name val="Calibri"/>
      <charset val="134"/>
    </font>
    <font>
      <b/>
      <sz val="10"/>
      <color rgb="FF000000"/>
      <name val="Calibri"/>
      <charset val="134"/>
    </font>
    <font>
      <sz val="9"/>
      <color rgb="FFFF0000"/>
      <name val="Calibri"/>
      <charset val="134"/>
    </font>
    <font>
      <sz val="10"/>
      <color rgb="FF000000"/>
      <name val="Calibri"/>
      <charset val="134"/>
    </font>
    <font>
      <sz val="10"/>
      <color rgb="FF525252"/>
      <name val="Calibri"/>
      <charset val="134"/>
    </font>
    <font>
      <b/>
      <sz val="10"/>
      <color rgb="FF000000"/>
      <name val="宋体"/>
      <charset val="134"/>
    </font>
    <font>
      <b/>
      <sz val="9"/>
      <color rgb="FF000000"/>
      <name val="Calibri"/>
      <charset val="134"/>
    </font>
    <font>
      <b/>
      <sz val="9"/>
      <color rgb="FFFF0000"/>
      <name val="Calibri"/>
      <charset val="134"/>
    </font>
    <font>
      <sz val="9"/>
      <color rgb="FF1F2329"/>
      <name val="Calibri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u/>
      <sz val="11"/>
      <color rgb="FF0000FF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E2EE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A9CD90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0" fontId="18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24" borderId="28" applyNumberFormat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4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6" fillId="11" borderId="28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31" fillId="0" borderId="31" applyNumberFormat="0" applyFill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29" fillId="26" borderId="30" applyNumberFormat="0" applyAlignment="0" applyProtection="0">
      <alignment vertical="center"/>
    </xf>
    <xf numFmtId="0" fontId="20" fillId="11" borderId="25" applyNumberFormat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9" fillId="25" borderId="29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6" fillId="0" borderId="24" applyNumberFormat="0" applyFill="0" applyAlignment="0" applyProtection="0">
      <alignment vertical="center"/>
    </xf>
  </cellStyleXfs>
  <cellXfs count="210">
    <xf numFmtId="0" fontId="0" fillId="0" borderId="0" xfId="0" applyAlignment="1">
      <alignment horizontal="center"/>
    </xf>
    <xf numFmtId="210" fontId="1" fillId="0" borderId="0" xfId="0" applyNumberFormat="1" applyFont="1" applyAlignment="1">
      <alignment horizontal="center" vertical="center"/>
    </xf>
    <xf numFmtId="210" fontId="1" fillId="0" borderId="1" xfId="0" applyNumberFormat="1" applyFont="1" applyBorder="1" applyAlignment="1">
      <alignment horizontal="center" vertical="center"/>
    </xf>
    <xf numFmtId="210" fontId="1" fillId="0" borderId="0" xfId="0" applyNumberFormat="1" applyFont="1" applyAlignment="1">
      <alignment vertical="center"/>
    </xf>
    <xf numFmtId="210" fontId="1" fillId="2" borderId="2" xfId="0" applyNumberFormat="1" applyFont="1" applyFill="1" applyBorder="1" applyAlignment="1">
      <alignment horizontal="center" vertical="center"/>
    </xf>
    <xf numFmtId="210" fontId="1" fillId="0" borderId="2" xfId="0" applyNumberFormat="1" applyFont="1" applyBorder="1" applyAlignment="1">
      <alignment horizontal="center" vertical="center"/>
    </xf>
    <xf numFmtId="211" fontId="1" fillId="0" borderId="2" xfId="0" applyNumberFormat="1" applyFont="1" applyBorder="1" applyAlignment="1">
      <alignment horizontal="center" vertical="center"/>
    </xf>
    <xf numFmtId="210" fontId="1" fillId="0" borderId="3" xfId="0" applyNumberFormat="1" applyFont="1" applyBorder="1" applyAlignment="1">
      <alignment horizontal="center" vertical="center"/>
    </xf>
    <xf numFmtId="211" fontId="1" fillId="0" borderId="3" xfId="0" applyNumberFormat="1" applyFont="1" applyBorder="1" applyAlignment="1">
      <alignment horizontal="center" vertical="center"/>
    </xf>
    <xf numFmtId="210" fontId="1" fillId="0" borderId="4" xfId="0" applyNumberFormat="1" applyFont="1" applyBorder="1" applyAlignment="1">
      <alignment horizontal="center" vertical="center"/>
    </xf>
    <xf numFmtId="210" fontId="2" fillId="2" borderId="3" xfId="0" applyNumberFormat="1" applyFont="1" applyFill="1" applyBorder="1" applyAlignment="1">
      <alignment horizontal="center" vertical="center"/>
    </xf>
    <xf numFmtId="210" fontId="2" fillId="2" borderId="5" xfId="0" applyNumberFormat="1" applyFont="1" applyFill="1" applyBorder="1" applyAlignment="1">
      <alignment horizontal="center" vertical="center"/>
    </xf>
    <xf numFmtId="210" fontId="1" fillId="0" borderId="2" xfId="0" applyNumberFormat="1" applyFont="1" applyBorder="1" applyAlignment="1">
      <alignment horizontal="center"/>
    </xf>
    <xf numFmtId="210" fontId="1" fillId="0" borderId="3" xfId="0" applyNumberFormat="1" applyFont="1" applyBorder="1" applyAlignment="1">
      <alignment horizontal="center"/>
    </xf>
    <xf numFmtId="210" fontId="1" fillId="3" borderId="2" xfId="0" applyNumberFormat="1" applyFont="1" applyFill="1" applyBorder="1" applyAlignment="1">
      <alignment horizontal="center" vertical="center"/>
    </xf>
    <xf numFmtId="210" fontId="2" fillId="3" borderId="3" xfId="0" applyNumberFormat="1" applyFont="1" applyFill="1" applyBorder="1" applyAlignment="1">
      <alignment horizontal="center" vertical="center"/>
    </xf>
    <xf numFmtId="210" fontId="2" fillId="3" borderId="5" xfId="0" applyNumberFormat="1" applyFont="1" applyFill="1" applyBorder="1" applyAlignment="1">
      <alignment horizontal="center" vertical="center"/>
    </xf>
    <xf numFmtId="210" fontId="1" fillId="0" borderId="0" xfId="0" applyNumberFormat="1" applyFont="1"/>
    <xf numFmtId="210" fontId="1" fillId="4" borderId="2" xfId="0" applyNumberFormat="1" applyFont="1" applyFill="1" applyBorder="1" applyAlignment="1">
      <alignment horizontal="center" vertical="center"/>
    </xf>
    <xf numFmtId="210" fontId="2" fillId="4" borderId="2" xfId="0" applyNumberFormat="1" applyFont="1" applyFill="1" applyBorder="1" applyAlignment="1">
      <alignment horizontal="center" vertical="center"/>
    </xf>
    <xf numFmtId="210" fontId="3" fillId="5" borderId="2" xfId="0" applyNumberFormat="1" applyFont="1" applyFill="1" applyBorder="1" applyAlignment="1">
      <alignment horizontal="center" vertical="center"/>
    </xf>
    <xf numFmtId="210" fontId="4" fillId="0" borderId="3" xfId="0" applyNumberFormat="1" applyFont="1" applyBorder="1" applyAlignment="1">
      <alignment horizontal="center" vertical="center" wrapText="1"/>
    </xf>
    <xf numFmtId="210" fontId="1" fillId="0" borderId="5" xfId="0" applyNumberFormat="1" applyFont="1" applyBorder="1" applyAlignment="1">
      <alignment horizontal="center" vertical="center"/>
    </xf>
    <xf numFmtId="210" fontId="1" fillId="0" borderId="5" xfId="0" applyNumberFormat="1" applyFont="1" applyBorder="1" applyAlignment="1">
      <alignment horizontal="center"/>
    </xf>
    <xf numFmtId="210" fontId="2" fillId="6" borderId="3" xfId="0" applyNumberFormat="1" applyFont="1" applyFill="1" applyBorder="1" applyAlignment="1">
      <alignment horizontal="center" vertical="center"/>
    </xf>
    <xf numFmtId="210" fontId="2" fillId="6" borderId="5" xfId="0" applyNumberFormat="1" applyFont="1" applyFill="1" applyBorder="1" applyAlignment="1">
      <alignment horizontal="center" vertical="center"/>
    </xf>
    <xf numFmtId="210" fontId="5" fillId="0" borderId="2" xfId="0" applyNumberFormat="1" applyFont="1" applyBorder="1" applyAlignment="1">
      <alignment horizontal="center" vertical="center"/>
    </xf>
    <xf numFmtId="210" fontId="6" fillId="7" borderId="2" xfId="0" applyNumberFormat="1" applyFont="1" applyFill="1" applyBorder="1" applyAlignment="1">
      <alignment horizontal="center" vertical="center"/>
    </xf>
    <xf numFmtId="210" fontId="6" fillId="7" borderId="2" xfId="0" applyNumberFormat="1" applyFont="1" applyFill="1" applyBorder="1" applyAlignment="1">
      <alignment horizontal="center" vertical="center" wrapText="1"/>
    </xf>
    <xf numFmtId="211" fontId="1" fillId="0" borderId="5" xfId="0" applyNumberFormat="1" applyFont="1" applyBorder="1" applyAlignment="1">
      <alignment horizontal="center" vertical="center"/>
    </xf>
    <xf numFmtId="210" fontId="1" fillId="0" borderId="6" xfId="0" applyNumberFormat="1" applyFont="1" applyBorder="1" applyAlignment="1">
      <alignment horizontal="center" vertical="center"/>
    </xf>
    <xf numFmtId="210" fontId="6" fillId="7" borderId="3" xfId="0" applyNumberFormat="1" applyFont="1" applyFill="1" applyBorder="1" applyAlignment="1">
      <alignment horizontal="center" vertical="center"/>
    </xf>
    <xf numFmtId="210" fontId="6" fillId="7" borderId="5" xfId="0" applyNumberFormat="1" applyFont="1" applyFill="1" applyBorder="1" applyAlignment="1">
      <alignment horizontal="center" vertical="center"/>
    </xf>
    <xf numFmtId="210" fontId="6" fillId="0" borderId="0" xfId="0" applyNumberFormat="1" applyFont="1" applyAlignment="1">
      <alignment horizontal="center" vertical="center"/>
    </xf>
    <xf numFmtId="211" fontId="1" fillId="0" borderId="0" xfId="0" applyNumberFormat="1" applyFont="1" applyAlignment="1">
      <alignment horizontal="center" vertical="center"/>
    </xf>
    <xf numFmtId="210" fontId="6" fillId="8" borderId="2" xfId="0" applyNumberFormat="1" applyFont="1" applyFill="1" applyBorder="1" applyAlignment="1">
      <alignment horizontal="center" vertical="center"/>
    </xf>
    <xf numFmtId="211" fontId="1" fillId="0" borderId="7" xfId="0" applyNumberFormat="1" applyFont="1" applyBorder="1" applyAlignment="1">
      <alignment horizontal="center" vertical="center"/>
    </xf>
    <xf numFmtId="210" fontId="7" fillId="0" borderId="8" xfId="0" applyNumberFormat="1" applyFont="1" applyBorder="1" applyAlignment="1">
      <alignment horizontal="center" vertical="center"/>
    </xf>
    <xf numFmtId="210" fontId="7" fillId="0" borderId="4" xfId="0" applyNumberFormat="1" applyFont="1" applyBorder="1" applyAlignment="1">
      <alignment horizontal="center" vertical="center"/>
    </xf>
    <xf numFmtId="210" fontId="7" fillId="0" borderId="9" xfId="0" applyNumberFormat="1" applyFont="1" applyBorder="1" applyAlignment="1">
      <alignment horizontal="center" vertical="center"/>
    </xf>
    <xf numFmtId="210" fontId="7" fillId="0" borderId="1" xfId="0" applyNumberFormat="1" applyFont="1" applyBorder="1" applyAlignment="1">
      <alignment horizontal="center" vertical="center"/>
    </xf>
    <xf numFmtId="210" fontId="7" fillId="0" borderId="10" xfId="0" applyNumberFormat="1" applyFont="1" applyBorder="1" applyAlignment="1">
      <alignment horizontal="center" vertical="center"/>
    </xf>
    <xf numFmtId="210" fontId="7" fillId="0" borderId="11" xfId="0" applyNumberFormat="1" applyFont="1" applyBorder="1" applyAlignment="1">
      <alignment horizontal="center" vertical="center"/>
    </xf>
    <xf numFmtId="210" fontId="8" fillId="9" borderId="12" xfId="0" applyNumberFormat="1" applyFont="1" applyFill="1" applyBorder="1" applyAlignment="1">
      <alignment horizontal="left" vertical="center"/>
    </xf>
    <xf numFmtId="210" fontId="8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209" fontId="10" fillId="0" borderId="12" xfId="0" applyNumberFormat="1" applyFont="1" applyBorder="1" applyAlignment="1">
      <alignment horizontal="center" vertical="center"/>
    </xf>
    <xf numFmtId="186" fontId="10" fillId="0" borderId="13" xfId="0" applyNumberFormat="1" applyFont="1" applyBorder="1" applyAlignment="1">
      <alignment horizontal="center" vertical="center"/>
    </xf>
    <xf numFmtId="209" fontId="10" fillId="0" borderId="14" xfId="0" applyNumberFormat="1" applyFont="1" applyBorder="1" applyAlignment="1">
      <alignment horizontal="center" vertical="center"/>
    </xf>
    <xf numFmtId="186" fontId="10" fillId="0" borderId="13" xfId="0" applyNumberFormat="1" applyFont="1" applyBorder="1" applyAlignment="1">
      <alignment horizontal="center" vertical="center" wrapText="1"/>
    </xf>
    <xf numFmtId="209" fontId="10" fillId="0" borderId="2" xfId="0" applyNumberFormat="1" applyFont="1" applyBorder="1" applyAlignment="1">
      <alignment horizontal="center" vertical="center"/>
    </xf>
    <xf numFmtId="209" fontId="10" fillId="0" borderId="15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10" fontId="10" fillId="0" borderId="12" xfId="0" applyNumberFormat="1" applyFont="1" applyBorder="1" applyAlignment="1">
      <alignment horizontal="center" vertical="center"/>
    </xf>
    <xf numFmtId="210" fontId="10" fillId="0" borderId="16" xfId="0" applyNumberFormat="1" applyFont="1" applyBorder="1" applyAlignment="1">
      <alignment horizontal="center" vertical="center"/>
    </xf>
    <xf numFmtId="210" fontId="10" fillId="0" borderId="15" xfId="0" applyNumberFormat="1" applyFont="1" applyBorder="1" applyAlignment="1">
      <alignment horizontal="center" vertical="center"/>
    </xf>
    <xf numFmtId="210" fontId="10" fillId="0" borderId="17" xfId="0" applyNumberFormat="1" applyFont="1" applyBorder="1" applyAlignment="1">
      <alignment horizontal="center" vertical="center"/>
    </xf>
    <xf numFmtId="215" fontId="10" fillId="0" borderId="12" xfId="0" applyNumberFormat="1" applyFont="1" applyBorder="1" applyAlignment="1">
      <alignment horizontal="center" vertical="center"/>
    </xf>
    <xf numFmtId="186" fontId="10" fillId="0" borderId="16" xfId="0" applyNumberFormat="1" applyFont="1" applyBorder="1" applyAlignment="1">
      <alignment horizontal="center" vertical="center"/>
    </xf>
    <xf numFmtId="210" fontId="10" fillId="0" borderId="0" xfId="0" applyNumberFormat="1" applyFont="1" applyAlignment="1">
      <alignment horizontal="center" vertical="center"/>
    </xf>
    <xf numFmtId="210" fontId="10" fillId="0" borderId="0" xfId="0" applyNumberFormat="1" applyFont="1" applyAlignment="1">
      <alignment horizontal="left" vertical="center" wrapText="1"/>
    </xf>
    <xf numFmtId="210" fontId="10" fillId="0" borderId="18" xfId="0" applyNumberFormat="1" applyFont="1" applyBorder="1" applyAlignment="1">
      <alignment horizontal="center" vertical="center" wrapText="1"/>
    </xf>
    <xf numFmtId="210" fontId="10" fillId="0" borderId="12" xfId="0" applyNumberFormat="1" applyFont="1" applyBorder="1" applyAlignment="1">
      <alignment horizontal="center" vertical="center" wrapText="1"/>
    </xf>
    <xf numFmtId="210" fontId="10" fillId="0" borderId="18" xfId="0" applyNumberFormat="1" applyFont="1" applyBorder="1" applyAlignment="1">
      <alignment horizontal="center" vertical="center"/>
    </xf>
    <xf numFmtId="186" fontId="10" fillId="0" borderId="12" xfId="0" applyNumberFormat="1" applyFont="1" applyBorder="1" applyAlignment="1">
      <alignment horizontal="center" vertical="center"/>
    </xf>
    <xf numFmtId="186" fontId="10" fillId="0" borderId="15" xfId="0" applyNumberFormat="1" applyFont="1" applyBorder="1" applyAlignment="1">
      <alignment horizontal="center" vertical="center"/>
    </xf>
    <xf numFmtId="186" fontId="10" fillId="0" borderId="19" xfId="0" applyNumberFormat="1" applyFont="1" applyBorder="1" applyAlignment="1">
      <alignment horizontal="center" vertical="center"/>
    </xf>
    <xf numFmtId="215" fontId="10" fillId="0" borderId="18" xfId="0" applyNumberFormat="1" applyFont="1" applyBorder="1" applyAlignment="1">
      <alignment horizontal="center" vertical="center"/>
    </xf>
    <xf numFmtId="210" fontId="10" fillId="0" borderId="12" xfId="0" applyNumberFormat="1" applyFont="1" applyBorder="1" applyAlignment="1">
      <alignment vertical="center"/>
    </xf>
    <xf numFmtId="211" fontId="8" fillId="0" borderId="12" xfId="0" applyNumberFormat="1" applyFont="1" applyBorder="1" applyAlignment="1">
      <alignment horizontal="center" vertical="center"/>
    </xf>
    <xf numFmtId="211" fontId="10" fillId="0" borderId="12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10" fontId="10" fillId="0" borderId="2" xfId="0" applyNumberFormat="1" applyFont="1" applyBorder="1" applyAlignment="1">
      <alignment horizontal="center" vertical="center" wrapText="1"/>
    </xf>
    <xf numFmtId="8" fontId="10" fillId="0" borderId="2" xfId="0" applyNumberFormat="1" applyFont="1" applyBorder="1" applyAlignment="1">
      <alignment horizontal="center" vertical="center" wrapText="1"/>
    </xf>
    <xf numFmtId="210" fontId="10" fillId="0" borderId="3" xfId="0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8" fontId="10" fillId="0" borderId="7" xfId="0" applyNumberFormat="1" applyFont="1" applyBorder="1" applyAlignment="1">
      <alignment horizontal="center" vertical="center" wrapText="1"/>
    </xf>
    <xf numFmtId="210" fontId="10" fillId="0" borderId="0" xfId="0" applyNumberFormat="1" applyFont="1" applyAlignment="1">
      <alignment vertical="center" wrapText="1"/>
    </xf>
    <xf numFmtId="215" fontId="10" fillId="0" borderId="2" xfId="0" applyNumberFormat="1" applyFont="1" applyBorder="1" applyAlignment="1">
      <alignment vertical="center" wrapText="1"/>
    </xf>
    <xf numFmtId="7" fontId="10" fillId="0" borderId="2" xfId="0" applyNumberFormat="1" applyFont="1" applyBorder="1" applyAlignment="1">
      <alignment horizontal="center" vertical="center" wrapText="1"/>
    </xf>
    <xf numFmtId="211" fontId="10" fillId="0" borderId="12" xfId="0" applyNumberFormat="1" applyFont="1" applyBorder="1" applyAlignment="1">
      <alignment vertical="center"/>
    </xf>
    <xf numFmtId="210" fontId="11" fillId="0" borderId="12" xfId="0" applyNumberFormat="1" applyFont="1" applyBorder="1" applyAlignment="1">
      <alignment horizontal="left" vertical="center" wrapText="1"/>
    </xf>
    <xf numFmtId="210" fontId="11" fillId="0" borderId="12" xfId="0" applyNumberFormat="1" applyFont="1" applyBorder="1" applyAlignment="1">
      <alignment horizontal="left" vertical="center"/>
    </xf>
    <xf numFmtId="210" fontId="8" fillId="9" borderId="2" xfId="0" applyNumberFormat="1" applyFont="1" applyFill="1" applyBorder="1" applyAlignment="1">
      <alignment horizontal="left" vertical="center"/>
    </xf>
    <xf numFmtId="210" fontId="10" fillId="9" borderId="2" xfId="0" applyNumberFormat="1" applyFont="1" applyFill="1" applyBorder="1" applyAlignment="1">
      <alignment horizontal="left" vertical="center"/>
    </xf>
    <xf numFmtId="210" fontId="8" fillId="0" borderId="2" xfId="0" applyNumberFormat="1" applyFont="1" applyBorder="1" applyAlignment="1">
      <alignment horizontal="center" vertical="center" wrapText="1"/>
    </xf>
    <xf numFmtId="207" fontId="8" fillId="0" borderId="2" xfId="0" applyNumberFormat="1" applyFont="1" applyBorder="1" applyAlignment="1">
      <alignment horizontal="center" vertical="center"/>
    </xf>
    <xf numFmtId="209" fontId="10" fillId="0" borderId="2" xfId="0" applyNumberFormat="1" applyFont="1" applyBorder="1" applyAlignment="1">
      <alignment vertical="center"/>
    </xf>
    <xf numFmtId="210" fontId="10" fillId="0" borderId="2" xfId="0" applyNumberFormat="1" applyFont="1" applyBorder="1" applyAlignment="1">
      <alignment horizontal="center" vertical="center"/>
    </xf>
    <xf numFmtId="210" fontId="8" fillId="0" borderId="2" xfId="0" applyNumberFormat="1" applyFont="1" applyBorder="1" applyAlignment="1">
      <alignment horizontal="center" vertical="center"/>
    </xf>
    <xf numFmtId="209" fontId="10" fillId="0" borderId="2" xfId="0" applyNumberFormat="1" applyFont="1" applyBorder="1" applyAlignment="1">
      <alignment horizontal="center" vertical="center" wrapText="1"/>
    </xf>
    <xf numFmtId="211" fontId="10" fillId="0" borderId="2" xfId="0" applyNumberFormat="1" applyFont="1" applyBorder="1" applyAlignment="1">
      <alignment horizontal="center" vertical="center"/>
    </xf>
    <xf numFmtId="210" fontId="10" fillId="0" borderId="2" xfId="0" applyNumberFormat="1" applyFont="1" applyBorder="1" applyAlignment="1">
      <alignment vertical="center"/>
    </xf>
    <xf numFmtId="0" fontId="8" fillId="9" borderId="2" xfId="0" applyFont="1" applyFill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198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98" fontId="10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98" fontId="12" fillId="0" borderId="0" xfId="0" applyNumberFormat="1" applyFont="1" applyAlignment="1">
      <alignment horizontal="left" vertical="center" wrapText="1"/>
    </xf>
    <xf numFmtId="198" fontId="8" fillId="0" borderId="0" xfId="0" applyNumberFormat="1" applyFont="1" applyAlignment="1">
      <alignment horizontal="left" vertical="center" wrapText="1"/>
    </xf>
    <xf numFmtId="198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198" fontId="13" fillId="0" borderId="0" xfId="0" applyNumberFormat="1" applyFont="1" applyAlignment="1">
      <alignment horizontal="left" vertical="center" wrapText="1"/>
    </xf>
    <xf numFmtId="198" fontId="13" fillId="10" borderId="2" xfId="0" applyNumberFormat="1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vertical="center" wrapText="1"/>
    </xf>
    <xf numFmtId="0" fontId="13" fillId="1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198" fontId="13" fillId="0" borderId="0" xfId="0" applyNumberFormat="1" applyFont="1" applyAlignment="1">
      <alignment horizontal="center" vertical="center" wrapText="1"/>
    </xf>
    <xf numFmtId="0" fontId="9" fillId="0" borderId="8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4" fontId="4" fillId="0" borderId="0" xfId="0" applyNumberFormat="1" applyFont="1" applyAlignment="1">
      <alignment horizontal="center" vertical="center" wrapText="1"/>
    </xf>
    <xf numFmtId="4" fontId="13" fillId="10" borderId="2" xfId="0" applyNumberFormat="1" applyFont="1" applyFill="1" applyBorder="1" applyAlignment="1">
      <alignment horizontal="center" vertical="center" wrapText="1"/>
    </xf>
    <xf numFmtId="4" fontId="4" fillId="11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13" fillId="0" borderId="0" xfId="0" applyNumberFormat="1" applyFont="1" applyAlignment="1">
      <alignment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198" fontId="13" fillId="11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98" fontId="13" fillId="10" borderId="20" xfId="0" applyNumberFormat="1" applyFont="1" applyFill="1" applyBorder="1" applyAlignment="1">
      <alignment horizontal="center" vertical="center" wrapText="1"/>
    </xf>
    <xf numFmtId="198" fontId="4" fillId="1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" fontId="9" fillId="0" borderId="2" xfId="0" applyNumberFormat="1" applyFont="1" applyBorder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198" fontId="13" fillId="12" borderId="2" xfId="0" applyNumberFormat="1" applyFont="1" applyFill="1" applyBorder="1" applyAlignment="1">
      <alignment horizontal="center" vertical="center" wrapText="1"/>
    </xf>
    <xf numFmtId="210" fontId="13" fillId="12" borderId="2" xfId="0" applyNumberFormat="1" applyFont="1" applyFill="1" applyBorder="1" applyAlignment="1">
      <alignment horizontal="center" vertical="center" wrapText="1"/>
    </xf>
    <xf numFmtId="198" fontId="4" fillId="0" borderId="2" xfId="0" applyNumberFormat="1" applyFont="1" applyBorder="1" applyAlignment="1">
      <alignment horizontal="center" vertical="center" wrapText="1"/>
    </xf>
    <xf numFmtId="198" fontId="9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204" fontId="9" fillId="0" borderId="2" xfId="0" applyNumberFormat="1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/>
    </xf>
    <xf numFmtId="0" fontId="1" fillId="0" borderId="22" xfId="0" applyFont="1" applyBorder="1" applyAlignment="1">
      <alignment horizontal="right" vertical="center"/>
    </xf>
    <xf numFmtId="198" fontId="8" fillId="0" borderId="0" xfId="0" applyNumberFormat="1" applyFont="1" applyAlignment="1">
      <alignment vertical="center" wrapText="1"/>
    </xf>
    <xf numFmtId="198" fontId="13" fillId="0" borderId="0" xfId="0" applyNumberFormat="1" applyFont="1" applyAlignment="1">
      <alignment vertical="center" wrapText="1"/>
    </xf>
    <xf numFmtId="203" fontId="4" fillId="0" borderId="2" xfId="0" applyNumberFormat="1" applyFont="1" applyBorder="1" applyAlignment="1">
      <alignment horizontal="center" vertical="center" wrapText="1"/>
    </xf>
    <xf numFmtId="213" fontId="4" fillId="0" borderId="0" xfId="0" applyNumberFormat="1" applyFont="1" applyAlignment="1">
      <alignment horizontal="center" vertical="center" wrapText="1"/>
    </xf>
    <xf numFmtId="213" fontId="4" fillId="0" borderId="0" xfId="0" applyNumberFormat="1" applyFont="1" applyAlignment="1">
      <alignment horizontal="left" vertical="center" wrapText="1"/>
    </xf>
    <xf numFmtId="208" fontId="4" fillId="0" borderId="2" xfId="0" applyNumberFormat="1" applyFont="1" applyBorder="1" applyAlignment="1">
      <alignment horizontal="center" vertical="center" wrapText="1"/>
    </xf>
    <xf numFmtId="208" fontId="4" fillId="0" borderId="0" xfId="0" applyNumberFormat="1" applyFont="1" applyAlignment="1">
      <alignment vertical="center" wrapText="1"/>
    </xf>
    <xf numFmtId="9" fontId="4" fillId="0" borderId="2" xfId="0" applyNumberFormat="1" applyFont="1" applyBorder="1" applyAlignment="1">
      <alignment vertical="center"/>
    </xf>
    <xf numFmtId="198" fontId="13" fillId="10" borderId="22" xfId="0" applyNumberFormat="1" applyFont="1" applyFill="1" applyBorder="1" applyAlignment="1">
      <alignment horizontal="center" vertical="center" wrapText="1"/>
    </xf>
    <xf numFmtId="198" fontId="4" fillId="10" borderId="3" xfId="0" applyNumberFormat="1" applyFont="1" applyFill="1" applyBorder="1" applyAlignment="1">
      <alignment horizontal="center" vertical="center" wrapText="1"/>
    </xf>
    <xf numFmtId="198" fontId="4" fillId="10" borderId="5" xfId="0" applyNumberFormat="1" applyFont="1" applyFill="1" applyBorder="1" applyAlignment="1">
      <alignment horizontal="center" vertical="center" wrapText="1"/>
    </xf>
    <xf numFmtId="9" fontId="9" fillId="0" borderId="2" xfId="0" applyNumberFormat="1" applyFont="1" applyBorder="1" applyAlignment="1">
      <alignment horizontal="center" vertical="center" wrapText="1"/>
    </xf>
    <xf numFmtId="4" fontId="9" fillId="0" borderId="20" xfId="0" applyNumberFormat="1" applyFont="1" applyBorder="1" applyAlignment="1">
      <alignment horizontal="center" vertical="center" wrapText="1"/>
    </xf>
    <xf numFmtId="4" fontId="9" fillId="0" borderId="2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3" fontId="13" fillId="13" borderId="2" xfId="0" applyNumberFormat="1" applyFont="1" applyFill="1" applyBorder="1" applyAlignment="1">
      <alignment horizontal="center" vertical="center" wrapText="1"/>
    </xf>
    <xf numFmtId="210" fontId="4" fillId="0" borderId="2" xfId="0" applyNumberFormat="1" applyFont="1" applyBorder="1" applyAlignment="1">
      <alignment horizontal="center" vertical="center" wrapText="1"/>
    </xf>
    <xf numFmtId="210" fontId="4" fillId="0" borderId="2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204" fontId="8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right" vertical="center" wrapText="1"/>
    </xf>
    <xf numFmtId="204" fontId="4" fillId="0" borderId="0" xfId="0" applyNumberFormat="1" applyFont="1" applyAlignment="1">
      <alignment horizontal="left" vertical="center" wrapText="1"/>
    </xf>
    <xf numFmtId="3" fontId="4" fillId="0" borderId="2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23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9" fontId="4" fillId="0" borderId="0" xfId="0" applyNumberFormat="1" applyFont="1" applyAlignment="1">
      <alignment vertical="center" wrapText="1"/>
    </xf>
    <xf numFmtId="10" fontId="4" fillId="0" borderId="2" xfId="0" applyNumberFormat="1" applyFont="1" applyBorder="1" applyAlignment="1">
      <alignment vertical="center"/>
    </xf>
    <xf numFmtId="198" fontId="13" fillId="10" borderId="7" xfId="0" applyNumberFormat="1" applyFont="1" applyFill="1" applyBorder="1" applyAlignment="1">
      <alignment horizontal="center" vertical="center" wrapText="1"/>
    </xf>
    <xf numFmtId="4" fontId="9" fillId="0" borderId="7" xfId="0" applyNumberFormat="1" applyFont="1" applyBorder="1" applyAlignment="1">
      <alignment horizontal="center" vertical="center" wrapText="1"/>
    </xf>
    <xf numFmtId="208" fontId="4" fillId="0" borderId="2" xfId="0" applyNumberFormat="1" applyFont="1" applyBorder="1" applyAlignment="1">
      <alignment vertical="center" wrapText="1"/>
    </xf>
    <xf numFmtId="9" fontId="13" fillId="13" borderId="2" xfId="0" applyNumberFormat="1" applyFont="1" applyFill="1" applyBorder="1" applyAlignment="1">
      <alignment horizontal="center" vertical="center" wrapText="1"/>
    </xf>
    <xf numFmtId="198" fontId="13" fillId="0" borderId="2" xfId="0" applyNumberFormat="1" applyFont="1" applyBorder="1" applyAlignment="1">
      <alignment horizontal="center" vertical="center" wrapText="1"/>
    </xf>
    <xf numFmtId="198" fontId="8" fillId="0" borderId="0" xfId="0" applyNumberFormat="1" applyFont="1" applyAlignment="1">
      <alignment horizontal="right" vertical="center" wrapText="1"/>
    </xf>
    <xf numFmtId="198" fontId="13" fillId="0" borderId="0" xfId="0" applyNumberFormat="1" applyFont="1" applyAlignment="1">
      <alignment horizontal="right" vertical="center" wrapText="1"/>
    </xf>
    <xf numFmtId="208" fontId="4" fillId="0" borderId="2" xfId="0" applyNumberFormat="1" applyFont="1" applyBorder="1" applyAlignment="1">
      <alignment horizontal="center" vertical="center"/>
    </xf>
    <xf numFmtId="198" fontId="9" fillId="0" borderId="2" xfId="0" applyNumberFormat="1" applyFont="1" applyBorder="1" applyAlignment="1">
      <alignment horizontal="left" vertical="top" wrapText="1"/>
    </xf>
    <xf numFmtId="198" fontId="14" fillId="0" borderId="2" xfId="0" applyNumberFormat="1" applyFont="1" applyBorder="1" applyAlignment="1">
      <alignment horizontal="left" vertical="top" wrapText="1"/>
    </xf>
    <xf numFmtId="4" fontId="4" fillId="0" borderId="0" xfId="0" applyNumberFormat="1" applyFont="1" applyAlignment="1">
      <alignment vertical="center" wrapText="1"/>
    </xf>
    <xf numFmtId="198" fontId="4" fillId="10" borderId="7" xfId="0" applyNumberFormat="1" applyFont="1" applyFill="1" applyBorder="1" applyAlignment="1">
      <alignment horizontal="center" vertical="center" wrapText="1"/>
    </xf>
    <xf numFmtId="205" fontId="4" fillId="0" borderId="2" xfId="0" applyNumberFormat="1" applyFont="1" applyBorder="1" applyAlignment="1">
      <alignment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99" fontId="8" fillId="0" borderId="0" xfId="0" applyNumberFormat="1" applyFont="1" applyAlignment="1">
      <alignment horizontal="left" vertical="center"/>
    </xf>
    <xf numFmtId="197" fontId="4" fillId="0" borderId="0" xfId="0" applyNumberFormat="1" applyFont="1" applyAlignment="1">
      <alignment horizontal="center" vertical="center"/>
    </xf>
    <xf numFmtId="204" fontId="15" fillId="0" borderId="2" xfId="0" applyNumberFormat="1" applyFont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2" fontId="4" fillId="0" borderId="2" xfId="0" applyNumberFormat="1" applyFont="1" applyBorder="1" applyAlignment="1">
      <alignment vertical="center" wrapText="1"/>
    </xf>
    <xf numFmtId="215" fontId="4" fillId="0" borderId="2" xfId="0" applyNumberFormat="1" applyFont="1" applyBorder="1" applyAlignment="1">
      <alignment vertical="center" wrapText="1"/>
    </xf>
    <xf numFmtId="208" fontId="13" fillId="13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197" fontId="10" fillId="0" borderId="0" xfId="0" applyNumberFormat="1" applyFont="1" applyAlignment="1">
      <alignment vertical="center" wrapText="1"/>
    </xf>
    <xf numFmtId="197" fontId="4" fillId="0" borderId="0" xfId="0" applyNumberFormat="1" applyFont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214" fontId="1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04" fontId="4" fillId="0" borderId="0" xfId="0" applyNumberFormat="1" applyFont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4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69"/>
  <sheetViews>
    <sheetView tabSelected="1" zoomScale="70" zoomScaleNormal="70" workbookViewId="0">
      <selection activeCell="N13" sqref="N13"/>
    </sheetView>
  </sheetViews>
  <sheetFormatPr defaultColWidth="10" defaultRowHeight="12.75"/>
  <cols>
    <col min="1" max="1" width="5.14285714285714" customWidth="1"/>
    <col min="2" max="2" width="4.5047619047619" customWidth="1"/>
    <col min="3" max="3" width="13.847619047619" customWidth="1"/>
    <col min="4" max="4" width="8.28571428571429" customWidth="1"/>
    <col min="5" max="5" width="8.14285714285714" customWidth="1"/>
    <col min="6" max="6" width="6.14285714285714" customWidth="1"/>
    <col min="7" max="7" width="8.28571428571429" customWidth="1"/>
    <col min="8" max="8" width="8.20952380952381" customWidth="1"/>
    <col min="9" max="9" width="8.63809523809524" customWidth="1"/>
    <col min="10" max="10" width="7.57142857142857" customWidth="1"/>
    <col min="11" max="11" width="8.07619047619048" customWidth="1"/>
    <col min="12" max="12" width="10.847619047619" customWidth="1"/>
    <col min="13" max="13" width="10.5047619047619" customWidth="1"/>
    <col min="14" max="14" width="9.92380952380952" customWidth="1"/>
    <col min="15" max="15" width="11.4285714285714" customWidth="1"/>
    <col min="16" max="16" width="8.84761904761905" customWidth="1"/>
    <col min="17" max="17" width="7.07619047619048" customWidth="1"/>
    <col min="18" max="18" width="10.4285714285714" customWidth="1"/>
    <col min="19" max="19" width="7.71428571428571" customWidth="1"/>
    <col min="20" max="20" width="12.2857142857143" customWidth="1"/>
    <col min="21" max="21" width="8.35238095238095" customWidth="1"/>
    <col min="22" max="22" width="5.42857142857143" customWidth="1"/>
    <col min="23" max="23" width="6.71428571428571" customWidth="1"/>
    <col min="24" max="24" width="5.07619047619048" customWidth="1"/>
    <col min="25" max="25" width="8.5047619047619" customWidth="1"/>
    <col min="26" max="26" width="8.57142857142857" customWidth="1"/>
    <col min="27" max="27" width="8.63809523809524" customWidth="1"/>
    <col min="28" max="28" width="7.42857142857143" customWidth="1"/>
    <col min="29" max="29" width="7.20952380952381" customWidth="1"/>
    <col min="30" max="30" width="9.57142857142857" customWidth="1"/>
    <col min="31" max="31" width="4.42857142857143" customWidth="1"/>
    <col min="32" max="33" width="9" customWidth="1"/>
    <col min="34" max="34" width="11.6380952380952" customWidth="1"/>
    <col min="35" max="35" width="10.2095238095238" customWidth="1"/>
    <col min="36" max="36" width="18.4285714285714" customWidth="1"/>
    <col min="37" max="38" width="8.79047619047619" customWidth="1"/>
    <col min="39" max="39" width="15.4285714285714" customWidth="1"/>
    <col min="40" max="500" width="8.79047619047619" customWidth="1"/>
  </cols>
  <sheetData>
    <row r="1" ht="23.55" customHeight="1" spans="1:30">
      <c r="A1" s="10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</row>
    <row r="2" ht="6" customHeight="1" spans="1:30">
      <c r="A2" s="101"/>
      <c r="B2" s="102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ht="11.25" customHeight="1" spans="1:30">
      <c r="A3" s="103"/>
      <c r="B3" s="104"/>
      <c r="C3" s="105" t="s">
        <v>1</v>
      </c>
      <c r="D3" s="106"/>
      <c r="E3" s="106"/>
      <c r="F3" s="146" t="s">
        <v>2</v>
      </c>
      <c r="G3" s="146"/>
      <c r="H3" s="146"/>
      <c r="I3" s="165"/>
      <c r="J3" s="165" t="s">
        <v>3</v>
      </c>
      <c r="K3" s="166"/>
      <c r="L3" s="166"/>
      <c r="M3" s="166"/>
      <c r="N3" s="180" t="s">
        <v>4</v>
      </c>
      <c r="O3" s="106"/>
      <c r="P3" s="106"/>
      <c r="Q3" s="106"/>
      <c r="R3" s="180" t="s">
        <v>5</v>
      </c>
      <c r="S3" s="180"/>
      <c r="T3" s="191"/>
      <c r="U3" s="191"/>
      <c r="V3" s="199"/>
      <c r="W3" s="199"/>
      <c r="X3" s="199"/>
      <c r="Y3" s="199"/>
      <c r="Z3" s="199"/>
      <c r="AA3" s="201"/>
      <c r="AB3" s="103"/>
      <c r="AC3" s="199"/>
      <c r="AD3" s="199"/>
    </row>
    <row r="4" ht="5.55" customHeight="1" spans="1:30">
      <c r="A4" s="107"/>
      <c r="B4" s="108"/>
      <c r="C4" s="109"/>
      <c r="D4" s="109"/>
      <c r="E4" s="109"/>
      <c r="F4" s="147"/>
      <c r="G4" s="147"/>
      <c r="H4" s="147"/>
      <c r="I4" s="167"/>
      <c r="J4" s="167"/>
      <c r="K4" s="168"/>
      <c r="L4" s="168"/>
      <c r="M4" s="168"/>
      <c r="N4" s="147"/>
      <c r="O4" s="181"/>
      <c r="P4" s="115"/>
      <c r="Q4" s="115"/>
      <c r="R4" s="115"/>
      <c r="S4" s="115"/>
      <c r="T4" s="192"/>
      <c r="U4" s="125"/>
      <c r="V4" s="141"/>
      <c r="W4" s="141"/>
      <c r="X4" s="141"/>
      <c r="Y4" s="141"/>
      <c r="Z4" s="141"/>
      <c r="AA4" s="202"/>
      <c r="AB4" s="107"/>
      <c r="AC4" s="141"/>
      <c r="AD4" s="141"/>
    </row>
    <row r="5" ht="22.5" customHeight="1" spans="1:30">
      <c r="A5" s="110" t="s">
        <v>6</v>
      </c>
      <c r="B5" s="110"/>
      <c r="C5" s="111" t="s">
        <v>7</v>
      </c>
      <c r="D5" s="112" t="s">
        <v>8</v>
      </c>
      <c r="E5" s="112"/>
      <c r="F5" s="112" t="s">
        <v>9</v>
      </c>
      <c r="G5" s="112"/>
      <c r="H5" s="127" t="s">
        <v>10</v>
      </c>
      <c r="I5" s="127"/>
      <c r="J5" s="127" t="s">
        <v>11</v>
      </c>
      <c r="K5" s="127"/>
      <c r="L5" s="110" t="s">
        <v>12</v>
      </c>
      <c r="M5" s="110"/>
      <c r="N5" s="110" t="s">
        <v>13</v>
      </c>
      <c r="O5" s="110"/>
      <c r="P5" s="110" t="s">
        <v>14</v>
      </c>
      <c r="Q5" s="110"/>
      <c r="R5" s="110" t="s">
        <v>15</v>
      </c>
      <c r="S5" s="110"/>
      <c r="T5" s="110" t="s">
        <v>16</v>
      </c>
      <c r="U5" s="110"/>
      <c r="V5" s="110" t="s">
        <v>17</v>
      </c>
      <c r="W5" s="110"/>
      <c r="X5" s="141"/>
      <c r="Y5" s="141"/>
      <c r="Z5" s="141"/>
      <c r="AA5" s="141"/>
      <c r="AB5" s="108"/>
      <c r="AC5" s="108"/>
      <c r="AD5" s="108"/>
    </row>
    <row r="6" ht="11.25" customHeight="1" spans="1:30">
      <c r="A6" s="110"/>
      <c r="B6" s="110"/>
      <c r="C6" s="113"/>
      <c r="D6" s="114"/>
      <c r="E6" s="114"/>
      <c r="F6" s="114"/>
      <c r="G6" s="114"/>
      <c r="H6" s="148"/>
      <c r="I6" s="148"/>
      <c r="J6" s="169"/>
      <c r="K6" s="128"/>
      <c r="L6" s="148"/>
      <c r="M6" s="148"/>
      <c r="N6" s="169"/>
      <c r="O6" s="169"/>
      <c r="P6" s="182"/>
      <c r="Q6" s="128"/>
      <c r="R6" s="193"/>
      <c r="S6" s="193"/>
      <c r="T6" s="193"/>
      <c r="U6" s="193"/>
      <c r="V6" s="162"/>
      <c r="W6" s="162"/>
      <c r="X6" s="141"/>
      <c r="Y6" s="141"/>
      <c r="Z6" s="108"/>
      <c r="AA6" s="108"/>
      <c r="AB6" s="108"/>
      <c r="AC6" s="108"/>
      <c r="AD6" s="108"/>
    </row>
    <row r="7" ht="11.25" customHeight="1" spans="1:30">
      <c r="A7" s="115"/>
      <c r="B7" s="115"/>
      <c r="C7" s="108"/>
      <c r="D7" s="108"/>
      <c r="E7" s="149"/>
      <c r="F7" s="150"/>
      <c r="G7" s="150"/>
      <c r="H7" s="149"/>
      <c r="I7" s="149"/>
      <c r="J7" s="149"/>
      <c r="K7" s="149"/>
      <c r="L7" s="101"/>
      <c r="M7" s="101"/>
      <c r="N7" s="122"/>
      <c r="O7" s="101"/>
      <c r="P7" s="101"/>
      <c r="Q7" s="101"/>
      <c r="R7" s="101"/>
      <c r="S7" s="122"/>
      <c r="T7" s="101"/>
      <c r="U7" s="101"/>
      <c r="V7" s="101"/>
      <c r="W7" s="107"/>
      <c r="X7" s="101"/>
      <c r="Y7" s="101"/>
      <c r="Z7" s="101"/>
      <c r="AA7" s="101"/>
      <c r="AB7" s="107"/>
      <c r="AC7" s="208"/>
      <c r="AD7" s="208"/>
    </row>
    <row r="8" ht="11.25" customHeight="1" spans="1:30">
      <c r="A8" s="110" t="s">
        <v>18</v>
      </c>
      <c r="B8" s="110"/>
      <c r="C8" s="116"/>
      <c r="D8" s="117"/>
      <c r="E8" s="117"/>
      <c r="F8" s="117"/>
      <c r="G8" s="117"/>
      <c r="H8" s="117"/>
      <c r="I8" s="117"/>
      <c r="J8" s="170"/>
      <c r="K8" s="110" t="s">
        <v>19</v>
      </c>
      <c r="L8" s="110"/>
      <c r="M8" s="183"/>
      <c r="N8" s="184"/>
      <c r="O8" s="184"/>
      <c r="P8" s="184"/>
      <c r="Q8" s="184"/>
      <c r="R8" s="184"/>
      <c r="S8" s="184"/>
      <c r="T8" s="184"/>
      <c r="U8" s="110" t="s">
        <v>20</v>
      </c>
      <c r="V8" s="110"/>
      <c r="W8" s="183"/>
      <c r="X8" s="184"/>
      <c r="Y8" s="184"/>
      <c r="Z8" s="184"/>
      <c r="AA8" s="184"/>
      <c r="AB8" s="110" t="s">
        <v>21</v>
      </c>
      <c r="AC8" s="110"/>
      <c r="AD8" s="183"/>
    </row>
    <row r="9" ht="11.25" customHeight="1" spans="1:30">
      <c r="A9" s="110"/>
      <c r="B9" s="110"/>
      <c r="C9" s="118"/>
      <c r="D9" s="119"/>
      <c r="E9" s="119"/>
      <c r="F9" s="119"/>
      <c r="G9" s="119"/>
      <c r="H9" s="119"/>
      <c r="I9" s="119"/>
      <c r="J9" s="171"/>
      <c r="K9" s="110"/>
      <c r="L9" s="110"/>
      <c r="M9" s="184"/>
      <c r="N9" s="184"/>
      <c r="O9" s="184"/>
      <c r="P9" s="184"/>
      <c r="Q9" s="184"/>
      <c r="R9" s="184"/>
      <c r="S9" s="184"/>
      <c r="T9" s="184"/>
      <c r="U9" s="110"/>
      <c r="V9" s="110"/>
      <c r="W9" s="184"/>
      <c r="X9" s="184"/>
      <c r="Y9" s="184"/>
      <c r="Z9" s="184"/>
      <c r="AA9" s="184"/>
      <c r="AB9" s="110"/>
      <c r="AC9" s="110"/>
      <c r="AD9" s="184"/>
    </row>
    <row r="10" ht="24" customHeight="1" spans="1:30">
      <c r="A10" s="110"/>
      <c r="B10" s="110"/>
      <c r="C10" s="120"/>
      <c r="D10" s="121"/>
      <c r="E10" s="121"/>
      <c r="F10" s="121"/>
      <c r="G10" s="121"/>
      <c r="H10" s="121"/>
      <c r="I10" s="121"/>
      <c r="J10" s="172"/>
      <c r="K10" s="110"/>
      <c r="L10" s="110"/>
      <c r="M10" s="184"/>
      <c r="N10" s="184"/>
      <c r="O10" s="184"/>
      <c r="P10" s="184"/>
      <c r="Q10" s="184"/>
      <c r="R10" s="184"/>
      <c r="S10" s="184"/>
      <c r="T10" s="184"/>
      <c r="U10" s="110"/>
      <c r="V10" s="110"/>
      <c r="W10" s="184"/>
      <c r="X10" s="184"/>
      <c r="Y10" s="184"/>
      <c r="Z10" s="184"/>
      <c r="AA10" s="184"/>
      <c r="AB10" s="110"/>
      <c r="AC10" s="110"/>
      <c r="AD10" s="184"/>
    </row>
    <row r="11" ht="10.5" customHeight="1" spans="1:30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</row>
    <row r="12" ht="15.6" customHeight="1" spans="1:30">
      <c r="A12" s="123" t="s">
        <v>22</v>
      </c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41"/>
      <c r="W12" s="141"/>
      <c r="X12" s="141"/>
      <c r="Y12" s="141"/>
      <c r="Z12" s="141"/>
      <c r="AA12" s="141"/>
      <c r="AB12" s="141"/>
      <c r="AC12" s="141"/>
      <c r="AD12" s="141"/>
    </row>
    <row r="13" ht="20.95" customHeight="1" spans="1:30">
      <c r="A13" s="112" t="s">
        <v>23</v>
      </c>
      <c r="B13" s="112"/>
      <c r="C13" s="112"/>
      <c r="D13" s="124" t="s">
        <v>24</v>
      </c>
      <c r="E13" s="151"/>
      <c r="F13" s="124" t="s">
        <v>25</v>
      </c>
      <c r="G13" s="151"/>
      <c r="H13" s="124" t="s">
        <v>26</v>
      </c>
      <c r="I13" s="151"/>
      <c r="J13" s="124" t="s">
        <v>27</v>
      </c>
      <c r="K13" s="151"/>
      <c r="L13" s="124" t="s">
        <v>28</v>
      </c>
      <c r="M13" s="151"/>
      <c r="N13" s="124" t="s">
        <v>29</v>
      </c>
      <c r="O13" s="151"/>
      <c r="P13" s="124" t="s">
        <v>30</v>
      </c>
      <c r="Q13" s="151"/>
      <c r="R13" s="124" t="s">
        <v>31</v>
      </c>
      <c r="S13" s="151"/>
      <c r="T13" s="194" t="s">
        <v>32</v>
      </c>
      <c r="U13" s="151"/>
      <c r="V13" s="141"/>
      <c r="W13" s="141"/>
      <c r="X13" s="141"/>
      <c r="Y13" s="141"/>
      <c r="Z13" s="141"/>
      <c r="AA13" s="141"/>
      <c r="AB13" s="141"/>
      <c r="AC13" s="141"/>
      <c r="AD13" s="141"/>
    </row>
    <row r="14" ht="20.25" customHeight="1" spans="1:30">
      <c r="A14" s="125"/>
      <c r="B14" s="125"/>
      <c r="C14" s="125"/>
      <c r="D14" s="126"/>
      <c r="E14" s="152"/>
      <c r="F14" s="126"/>
      <c r="G14" s="152"/>
      <c r="H14" s="126"/>
      <c r="I14" s="173"/>
      <c r="J14" s="126"/>
      <c r="K14" s="173"/>
      <c r="L14" s="126"/>
      <c r="M14" s="152"/>
      <c r="N14" s="185"/>
      <c r="O14" s="173"/>
      <c r="P14" s="173"/>
      <c r="Q14" s="141"/>
      <c r="R14" s="141"/>
      <c r="S14" s="141"/>
      <c r="T14" s="125"/>
      <c r="U14" s="125"/>
      <c r="V14" s="125"/>
      <c r="W14" s="125"/>
      <c r="X14" s="108"/>
      <c r="Y14" s="173"/>
      <c r="Z14" s="141"/>
      <c r="AA14" s="141"/>
      <c r="AB14" s="173"/>
      <c r="AC14" s="141"/>
      <c r="AD14" s="141"/>
    </row>
    <row r="15" ht="11.25" customHeight="1" spans="1:30">
      <c r="A15" s="110" t="s">
        <v>33</v>
      </c>
      <c r="B15" s="127" t="s">
        <v>34</v>
      </c>
      <c r="C15" s="110" t="s">
        <v>35</v>
      </c>
      <c r="D15" s="110" t="s">
        <v>25</v>
      </c>
      <c r="E15" s="110"/>
      <c r="F15" s="110"/>
      <c r="G15" s="110" t="s">
        <v>24</v>
      </c>
      <c r="H15" s="110"/>
      <c r="I15" s="110"/>
      <c r="J15" s="110" t="s">
        <v>36</v>
      </c>
      <c r="K15" s="110"/>
      <c r="L15" s="110"/>
      <c r="M15" s="110" t="s">
        <v>27</v>
      </c>
      <c r="N15" s="110"/>
      <c r="O15" s="110"/>
      <c r="P15" s="110" t="s">
        <v>28</v>
      </c>
      <c r="Q15" s="110"/>
      <c r="R15" s="110"/>
      <c r="S15" s="110" t="s">
        <v>29</v>
      </c>
      <c r="T15" s="110"/>
      <c r="U15" s="110"/>
      <c r="V15" s="110" t="s">
        <v>30</v>
      </c>
      <c r="W15" s="110"/>
      <c r="X15" s="110"/>
      <c r="Y15" s="110" t="s">
        <v>31</v>
      </c>
      <c r="Z15" s="110"/>
      <c r="AA15" s="110"/>
      <c r="AB15" s="110" t="s">
        <v>37</v>
      </c>
      <c r="AC15" s="110"/>
      <c r="AD15" s="110" t="s">
        <v>38</v>
      </c>
    </row>
    <row r="16" ht="22.5" customHeight="1" spans="1:30">
      <c r="A16" s="110"/>
      <c r="B16" s="127"/>
      <c r="C16" s="110"/>
      <c r="D16" s="110" t="s">
        <v>39</v>
      </c>
      <c r="E16" s="110" t="s">
        <v>40</v>
      </c>
      <c r="F16" s="110" t="s">
        <v>41</v>
      </c>
      <c r="G16" s="110" t="s">
        <v>39</v>
      </c>
      <c r="H16" s="110" t="s">
        <v>40</v>
      </c>
      <c r="I16" s="110" t="s">
        <v>41</v>
      </c>
      <c r="J16" s="110" t="s">
        <v>39</v>
      </c>
      <c r="K16" s="110" t="s">
        <v>40</v>
      </c>
      <c r="L16" s="110" t="s">
        <v>41</v>
      </c>
      <c r="M16" s="110" t="s">
        <v>39</v>
      </c>
      <c r="N16" s="110" t="s">
        <v>40</v>
      </c>
      <c r="O16" s="110" t="s">
        <v>41</v>
      </c>
      <c r="P16" s="110" t="s">
        <v>39</v>
      </c>
      <c r="Q16" s="110" t="s">
        <v>40</v>
      </c>
      <c r="R16" s="110" t="s">
        <v>41</v>
      </c>
      <c r="S16" s="110" t="s">
        <v>39</v>
      </c>
      <c r="T16" s="110" t="s">
        <v>40</v>
      </c>
      <c r="U16" s="110" t="s">
        <v>41</v>
      </c>
      <c r="V16" s="110" t="s">
        <v>39</v>
      </c>
      <c r="W16" s="110" t="s">
        <v>40</v>
      </c>
      <c r="X16" s="110" t="s">
        <v>41</v>
      </c>
      <c r="Y16" s="110" t="s">
        <v>39</v>
      </c>
      <c r="Z16" s="110" t="s">
        <v>40</v>
      </c>
      <c r="AA16" s="110" t="s">
        <v>41</v>
      </c>
      <c r="AB16" s="110"/>
      <c r="AC16" s="110"/>
      <c r="AD16" s="110"/>
    </row>
    <row r="17" spans="1:30">
      <c r="A17" s="110"/>
      <c r="B17" s="128">
        <v>1</v>
      </c>
      <c r="C17" s="45"/>
      <c r="D17" s="129"/>
      <c r="E17" s="131"/>
      <c r="F17" s="153"/>
      <c r="G17" s="129"/>
      <c r="H17" s="131"/>
      <c r="I17" s="174"/>
      <c r="J17" s="129"/>
      <c r="K17" s="131"/>
      <c r="L17" s="174"/>
      <c r="M17" s="129"/>
      <c r="N17" s="131"/>
      <c r="O17" s="174"/>
      <c r="P17" s="129"/>
      <c r="Q17" s="131"/>
      <c r="R17" s="174"/>
      <c r="S17" s="129"/>
      <c r="T17" s="131"/>
      <c r="U17" s="174"/>
      <c r="V17" s="129"/>
      <c r="W17" s="131"/>
      <c r="X17" s="174"/>
      <c r="Y17" s="129"/>
      <c r="Z17" s="131"/>
      <c r="AA17" s="174"/>
      <c r="AB17" s="128"/>
      <c r="AC17" s="128"/>
      <c r="AD17" s="209"/>
    </row>
    <row r="18" spans="1:30">
      <c r="A18" s="110"/>
      <c r="B18" s="128">
        <v>2</v>
      </c>
      <c r="C18" s="45"/>
      <c r="D18" s="129"/>
      <c r="E18" s="131"/>
      <c r="F18" s="153"/>
      <c r="G18" s="129"/>
      <c r="H18" s="131"/>
      <c r="I18" s="174"/>
      <c r="J18" s="129"/>
      <c r="K18" s="131"/>
      <c r="L18" s="174"/>
      <c r="M18" s="129"/>
      <c r="N18" s="131"/>
      <c r="O18" s="174"/>
      <c r="P18" s="129"/>
      <c r="Q18" s="131"/>
      <c r="R18" s="174"/>
      <c r="S18" s="129"/>
      <c r="T18" s="131"/>
      <c r="U18" s="174"/>
      <c r="V18" s="129"/>
      <c r="W18" s="131"/>
      <c r="X18" s="174"/>
      <c r="Y18" s="129"/>
      <c r="Z18" s="131"/>
      <c r="AA18" s="174"/>
      <c r="AB18" s="203"/>
      <c r="AC18" s="200"/>
      <c r="AD18" s="209"/>
    </row>
    <row r="19" spans="1:30">
      <c r="A19" s="110"/>
      <c r="B19" s="128">
        <v>3</v>
      </c>
      <c r="C19" s="45"/>
      <c r="D19" s="129"/>
      <c r="E19" s="131"/>
      <c r="F19" s="153"/>
      <c r="G19" s="129"/>
      <c r="H19" s="131"/>
      <c r="I19" s="174"/>
      <c r="J19" s="129"/>
      <c r="K19" s="131"/>
      <c r="L19" s="174"/>
      <c r="M19" s="129"/>
      <c r="N19" s="131"/>
      <c r="O19" s="174"/>
      <c r="P19" s="129"/>
      <c r="Q19" s="131"/>
      <c r="R19" s="174"/>
      <c r="S19" s="129"/>
      <c r="T19" s="131"/>
      <c r="U19" s="174"/>
      <c r="V19" s="129"/>
      <c r="W19" s="131"/>
      <c r="X19" s="174"/>
      <c r="Y19" s="129"/>
      <c r="Z19" s="131"/>
      <c r="AA19" s="174"/>
      <c r="AB19" s="203"/>
      <c r="AC19" s="200"/>
      <c r="AD19" s="209"/>
    </row>
    <row r="20" spans="1:30">
      <c r="A20" s="110"/>
      <c r="B20" s="128">
        <v>4</v>
      </c>
      <c r="C20" s="45"/>
      <c r="D20" s="129"/>
      <c r="E20" s="131"/>
      <c r="F20" s="153"/>
      <c r="G20" s="129"/>
      <c r="H20" s="131"/>
      <c r="I20" s="174"/>
      <c r="J20" s="131"/>
      <c r="K20" s="131"/>
      <c r="L20" s="174"/>
      <c r="M20" s="131"/>
      <c r="N20" s="131"/>
      <c r="O20" s="174"/>
      <c r="P20" s="131"/>
      <c r="Q20" s="131"/>
      <c r="R20" s="174"/>
      <c r="S20" s="131"/>
      <c r="T20" s="131"/>
      <c r="U20" s="174"/>
      <c r="V20" s="129"/>
      <c r="W20" s="131"/>
      <c r="X20" s="174"/>
      <c r="Y20" s="129"/>
      <c r="Z20" s="131"/>
      <c r="AA20" s="174"/>
      <c r="AB20" s="128"/>
      <c r="AC20" s="128"/>
      <c r="AD20" s="209"/>
    </row>
    <row r="21" ht="11.25" customHeight="1" spans="1:30">
      <c r="A21" s="130" t="s">
        <v>42</v>
      </c>
      <c r="B21" s="130"/>
      <c r="C21" s="130"/>
      <c r="D21" s="131"/>
      <c r="E21" s="131"/>
      <c r="F21" s="153"/>
      <c r="G21" s="131"/>
      <c r="H21" s="131"/>
      <c r="I21" s="153"/>
      <c r="J21" s="131"/>
      <c r="K21" s="131"/>
      <c r="L21" s="153"/>
      <c r="M21" s="131"/>
      <c r="N21" s="131"/>
      <c r="O21" s="153"/>
      <c r="P21" s="131"/>
      <c r="Q21" s="131"/>
      <c r="R21" s="153"/>
      <c r="S21" s="131"/>
      <c r="T21" s="131"/>
      <c r="U21" s="153"/>
      <c r="V21" s="131"/>
      <c r="W21" s="131"/>
      <c r="X21" s="153"/>
      <c r="Y21" s="131"/>
      <c r="Z21" s="131"/>
      <c r="AA21" s="174"/>
      <c r="AB21" s="204"/>
      <c r="AC21" s="204"/>
      <c r="AD21" s="209"/>
    </row>
    <row r="22" ht="8.55" customHeight="1" spans="1:30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08"/>
    </row>
    <row r="23" ht="11.25" customHeight="1" spans="1:15">
      <c r="A23" s="110" t="s">
        <v>43</v>
      </c>
      <c r="B23" s="127" t="s">
        <v>34</v>
      </c>
      <c r="C23" s="110" t="s">
        <v>35</v>
      </c>
      <c r="D23" s="132" t="s">
        <v>44</v>
      </c>
      <c r="E23" s="154"/>
      <c r="F23" s="154"/>
      <c r="G23" s="154"/>
      <c r="H23" s="154"/>
      <c r="I23" s="154"/>
      <c r="J23" s="175"/>
      <c r="K23" s="110" t="s">
        <v>45</v>
      </c>
      <c r="L23" s="110"/>
      <c r="M23" s="110"/>
      <c r="N23" s="110" t="s">
        <v>46</v>
      </c>
      <c r="O23" s="110"/>
    </row>
    <row r="24" ht="11.25" customHeight="1" spans="1:15">
      <c r="A24" s="110"/>
      <c r="B24" s="127"/>
      <c r="C24" s="110"/>
      <c r="D24" s="133" t="s">
        <v>47</v>
      </c>
      <c r="E24" s="155" t="s">
        <v>48</v>
      </c>
      <c r="F24" s="133" t="s">
        <v>49</v>
      </c>
      <c r="G24" s="155" t="s">
        <v>50</v>
      </c>
      <c r="H24" s="133" t="s">
        <v>51</v>
      </c>
      <c r="I24" s="133" t="s">
        <v>52</v>
      </c>
      <c r="J24" s="155" t="s">
        <v>53</v>
      </c>
      <c r="K24" s="155" t="s">
        <v>54</v>
      </c>
      <c r="L24" s="155" t="s">
        <v>55</v>
      </c>
      <c r="M24" s="133" t="s">
        <v>56</v>
      </c>
      <c r="N24" s="186" t="s">
        <v>57</v>
      </c>
      <c r="O24" s="186" t="s">
        <v>58</v>
      </c>
    </row>
    <row r="25" ht="11.25" customHeight="1" spans="1:15">
      <c r="A25" s="110"/>
      <c r="B25" s="127"/>
      <c r="C25" s="110"/>
      <c r="D25" s="133"/>
      <c r="E25" s="156"/>
      <c r="F25" s="133"/>
      <c r="G25" s="156"/>
      <c r="H25" s="133"/>
      <c r="I25" s="133"/>
      <c r="J25" s="156"/>
      <c r="K25" s="156"/>
      <c r="L25" s="156"/>
      <c r="M25" s="133"/>
      <c r="N25" s="186"/>
      <c r="O25" s="186"/>
    </row>
    <row r="26" spans="1:15">
      <c r="A26" s="110"/>
      <c r="B26" s="134">
        <v>1</v>
      </c>
      <c r="C26" s="45" t="str">
        <f>IF(C17&lt;&gt;"",C17,"")</f>
        <v/>
      </c>
      <c r="D26" s="135"/>
      <c r="E26" s="157"/>
      <c r="F26" s="135"/>
      <c r="G26" s="157"/>
      <c r="H26" s="135"/>
      <c r="I26" s="157"/>
      <c r="J26" s="136"/>
      <c r="K26" s="153"/>
      <c r="L26" s="153"/>
      <c r="M26" s="135"/>
      <c r="N26" s="176"/>
      <c r="O26" s="176"/>
    </row>
    <row r="27" spans="1:15">
      <c r="A27" s="110"/>
      <c r="B27" s="134">
        <v>2</v>
      </c>
      <c r="C27" s="45" t="str">
        <f>IF(C18&lt;&gt;"",C18,"")</f>
        <v/>
      </c>
      <c r="D27" s="135"/>
      <c r="E27" s="157"/>
      <c r="F27" s="135"/>
      <c r="G27" s="157"/>
      <c r="H27" s="135"/>
      <c r="I27" s="157"/>
      <c r="J27" s="136"/>
      <c r="K27" s="153"/>
      <c r="L27" s="153"/>
      <c r="M27" s="135"/>
      <c r="N27" s="176"/>
      <c r="O27" s="176"/>
    </row>
    <row r="28" ht="11.25" customHeight="1" spans="1:15">
      <c r="A28" s="110"/>
      <c r="B28" s="134">
        <v>3</v>
      </c>
      <c r="C28" s="45" t="str">
        <f>IF(C19&lt;&gt;"",C19,"")</f>
        <v/>
      </c>
      <c r="D28" s="135"/>
      <c r="E28" s="157"/>
      <c r="F28" s="135"/>
      <c r="G28" s="157"/>
      <c r="H28" s="135"/>
      <c r="I28" s="157"/>
      <c r="J28" s="136"/>
      <c r="K28" s="153"/>
      <c r="L28" s="153"/>
      <c r="M28" s="135"/>
      <c r="N28" s="176"/>
      <c r="O28" s="176"/>
    </row>
    <row r="29" ht="11.25" customHeight="1" spans="1:15">
      <c r="A29" s="110"/>
      <c r="B29" s="134">
        <v>4</v>
      </c>
      <c r="C29" s="45" t="str">
        <f>IF(C20&lt;&gt;"",C20,"")</f>
        <v/>
      </c>
      <c r="D29" s="135"/>
      <c r="E29" s="157"/>
      <c r="F29" s="135"/>
      <c r="G29" s="157"/>
      <c r="H29" s="135"/>
      <c r="I29" s="157"/>
      <c r="J29" s="136"/>
      <c r="K29" s="153"/>
      <c r="L29" s="153"/>
      <c r="M29" s="135"/>
      <c r="N29" s="176"/>
      <c r="O29" s="176"/>
    </row>
    <row r="30" ht="9" customHeight="1" spans="1:30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</row>
    <row r="31" ht="11.25" customHeight="1" spans="1:30">
      <c r="A31" s="110" t="s">
        <v>59</v>
      </c>
      <c r="B31" s="110" t="s">
        <v>60</v>
      </c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32" t="s">
        <v>61</v>
      </c>
      <c r="O31" s="154"/>
      <c r="P31" s="154"/>
      <c r="Q31" s="154"/>
      <c r="R31" s="154"/>
      <c r="S31" s="154"/>
      <c r="T31" s="175"/>
      <c r="U31" s="127" t="s">
        <v>62</v>
      </c>
      <c r="V31" s="110" t="s">
        <v>63</v>
      </c>
      <c r="W31" s="110"/>
      <c r="X31" s="110"/>
      <c r="Y31" s="110"/>
      <c r="Z31" s="110"/>
      <c r="AA31" s="110"/>
      <c r="AB31" s="127" t="s">
        <v>64</v>
      </c>
      <c r="AC31" s="127"/>
      <c r="AD31" s="127" t="s">
        <v>65</v>
      </c>
    </row>
    <row r="32" ht="11.25" customHeight="1" spans="1:30">
      <c r="A32" s="110"/>
      <c r="B32" s="133" t="s">
        <v>66</v>
      </c>
      <c r="C32" s="133"/>
      <c r="D32" s="133"/>
      <c r="E32" s="133"/>
      <c r="F32" s="133" t="s">
        <v>67</v>
      </c>
      <c r="G32" s="133"/>
      <c r="H32" s="133" t="s">
        <v>68</v>
      </c>
      <c r="I32" s="133"/>
      <c r="J32" s="133" t="s">
        <v>69</v>
      </c>
      <c r="K32" s="133"/>
      <c r="L32" s="133" t="s">
        <v>70</v>
      </c>
      <c r="M32" s="133" t="s">
        <v>71</v>
      </c>
      <c r="N32" s="133" t="s">
        <v>72</v>
      </c>
      <c r="O32" s="133"/>
      <c r="P32" s="155" t="s">
        <v>73</v>
      </c>
      <c r="Q32" s="155" t="s">
        <v>74</v>
      </c>
      <c r="R32" s="155" t="s">
        <v>75</v>
      </c>
      <c r="S32" s="155" t="s">
        <v>76</v>
      </c>
      <c r="T32" s="155" t="s">
        <v>77</v>
      </c>
      <c r="U32" s="127"/>
      <c r="V32" s="133" t="s">
        <v>78</v>
      </c>
      <c r="W32" s="133" t="s">
        <v>79</v>
      </c>
      <c r="X32" s="133" t="s">
        <v>80</v>
      </c>
      <c r="Y32" s="133" t="s">
        <v>81</v>
      </c>
      <c r="Z32" s="133" t="s">
        <v>82</v>
      </c>
      <c r="AA32" s="133" t="s">
        <v>83</v>
      </c>
      <c r="AB32" s="133" t="s">
        <v>84</v>
      </c>
      <c r="AC32" s="133" t="s">
        <v>85</v>
      </c>
      <c r="AD32" s="127"/>
    </row>
    <row r="33" ht="22.5" customHeight="1" spans="1:30">
      <c r="A33" s="110"/>
      <c r="B33" s="133" t="s">
        <v>86</v>
      </c>
      <c r="C33" s="133" t="s">
        <v>87</v>
      </c>
      <c r="D33" s="133" t="s">
        <v>88</v>
      </c>
      <c r="E33" s="133" t="s">
        <v>89</v>
      </c>
      <c r="F33" s="133" t="s">
        <v>90</v>
      </c>
      <c r="G33" s="133" t="s">
        <v>91</v>
      </c>
      <c r="H33" s="133" t="s">
        <v>92</v>
      </c>
      <c r="I33" s="133" t="s">
        <v>93</v>
      </c>
      <c r="J33" s="133" t="s">
        <v>94</v>
      </c>
      <c r="K33" s="133" t="s">
        <v>95</v>
      </c>
      <c r="L33" s="133"/>
      <c r="M33" s="133"/>
      <c r="N33" s="133" t="s">
        <v>96</v>
      </c>
      <c r="O33" s="133" t="s">
        <v>97</v>
      </c>
      <c r="P33" s="156"/>
      <c r="Q33" s="156"/>
      <c r="R33" s="156"/>
      <c r="S33" s="156"/>
      <c r="T33" s="156"/>
      <c r="U33" s="127"/>
      <c r="V33" s="133"/>
      <c r="W33" s="133"/>
      <c r="X33" s="133"/>
      <c r="Y33" s="133"/>
      <c r="Z33" s="133"/>
      <c r="AA33" s="133"/>
      <c r="AB33" s="133"/>
      <c r="AC33" s="133"/>
      <c r="AD33" s="127"/>
    </row>
    <row r="34" ht="11.25" customHeight="1" spans="1:30">
      <c r="A34" s="110"/>
      <c r="B34" s="135"/>
      <c r="C34" s="135"/>
      <c r="D34" s="135"/>
      <c r="E34" s="136"/>
      <c r="F34" s="158"/>
      <c r="G34" s="159"/>
      <c r="H34" s="159"/>
      <c r="I34" s="159"/>
      <c r="J34" s="159"/>
      <c r="K34" s="176"/>
      <c r="L34" s="135"/>
      <c r="M34" s="187"/>
      <c r="N34" s="135"/>
      <c r="O34" s="135"/>
      <c r="P34" s="131"/>
      <c r="Q34" s="136"/>
      <c r="R34" s="195"/>
      <c r="S34" s="196"/>
      <c r="T34" s="136"/>
      <c r="U34" s="136"/>
      <c r="V34" s="160"/>
      <c r="W34" s="160"/>
      <c r="X34" s="160"/>
      <c r="Y34" s="160"/>
      <c r="Z34" s="160"/>
      <c r="AA34" s="160"/>
      <c r="AB34" s="205"/>
      <c r="AC34" s="205"/>
      <c r="AD34" s="160"/>
    </row>
    <row r="35" ht="11.25" customHeight="1" spans="1:30">
      <c r="A35" s="110"/>
      <c r="B35" s="135"/>
      <c r="C35" s="135"/>
      <c r="D35" s="135"/>
      <c r="E35" s="136"/>
      <c r="F35" s="158"/>
      <c r="G35" s="159"/>
      <c r="H35" s="159"/>
      <c r="I35" s="159"/>
      <c r="J35" s="159"/>
      <c r="K35" s="176"/>
      <c r="L35" s="135"/>
      <c r="M35" s="187"/>
      <c r="N35" s="135"/>
      <c r="O35" s="135"/>
      <c r="P35" s="131"/>
      <c r="Q35" s="136"/>
      <c r="R35" s="195"/>
      <c r="S35" s="196"/>
      <c r="T35" s="136"/>
      <c r="U35" s="136"/>
      <c r="V35" s="160"/>
      <c r="W35" s="160"/>
      <c r="X35" s="160"/>
      <c r="Y35" s="160"/>
      <c r="Z35" s="160"/>
      <c r="AA35" s="160"/>
      <c r="AB35" s="206"/>
      <c r="AC35" s="206"/>
      <c r="AD35" s="160"/>
    </row>
    <row r="36" ht="11.25" customHeight="1" spans="1:30">
      <c r="A36" s="110"/>
      <c r="B36" s="135"/>
      <c r="C36" s="135"/>
      <c r="D36" s="135"/>
      <c r="E36" s="136"/>
      <c r="F36" s="158"/>
      <c r="G36" s="159"/>
      <c r="H36" s="159"/>
      <c r="I36" s="159"/>
      <c r="J36" s="159"/>
      <c r="K36" s="176"/>
      <c r="L36" s="135"/>
      <c r="M36" s="187"/>
      <c r="N36" s="135"/>
      <c r="O36" s="135"/>
      <c r="P36" s="131"/>
      <c r="Q36" s="136"/>
      <c r="R36" s="195"/>
      <c r="S36" s="196"/>
      <c r="T36" s="136"/>
      <c r="U36" s="136"/>
      <c r="V36" s="160"/>
      <c r="W36" s="160"/>
      <c r="X36" s="160"/>
      <c r="Y36" s="160"/>
      <c r="Z36" s="160"/>
      <c r="AA36" s="160"/>
      <c r="AB36" s="206"/>
      <c r="AC36" s="206"/>
      <c r="AD36" s="160"/>
    </row>
    <row r="37" ht="11.25" customHeight="1" spans="1:30">
      <c r="A37" s="110"/>
      <c r="B37" s="135"/>
      <c r="C37" s="135"/>
      <c r="D37" s="135"/>
      <c r="E37" s="136"/>
      <c r="F37" s="158"/>
      <c r="G37" s="159"/>
      <c r="H37" s="159"/>
      <c r="I37" s="159"/>
      <c r="J37" s="159"/>
      <c r="K37" s="176"/>
      <c r="L37" s="135"/>
      <c r="M37" s="187"/>
      <c r="N37" s="135"/>
      <c r="O37" s="135"/>
      <c r="P37" s="131"/>
      <c r="Q37" s="136"/>
      <c r="R37" s="195"/>
      <c r="S37" s="196"/>
      <c r="T37" s="136"/>
      <c r="U37" s="136"/>
      <c r="V37" s="160"/>
      <c r="W37" s="160"/>
      <c r="X37" s="160"/>
      <c r="Y37" s="160"/>
      <c r="Z37" s="160"/>
      <c r="AA37" s="160"/>
      <c r="AB37" s="207"/>
      <c r="AC37" s="207"/>
      <c r="AD37" s="160"/>
    </row>
    <row r="38" ht="9" customHeight="1" spans="1:30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</row>
    <row r="39" ht="11.25" customHeight="1" spans="1:30">
      <c r="A39" s="110" t="s">
        <v>98</v>
      </c>
      <c r="B39" s="127" t="s">
        <v>34</v>
      </c>
      <c r="C39" s="110" t="s">
        <v>35</v>
      </c>
      <c r="D39" s="110" t="s">
        <v>99</v>
      </c>
      <c r="E39" s="110"/>
      <c r="F39" s="110" t="s">
        <v>100</v>
      </c>
      <c r="G39" s="110"/>
      <c r="H39" s="110" t="s">
        <v>101</v>
      </c>
      <c r="I39" s="110"/>
      <c r="J39" s="110" t="s">
        <v>102</v>
      </c>
      <c r="K39" s="110" t="s">
        <v>103</v>
      </c>
      <c r="L39" s="110"/>
      <c r="M39" s="110" t="s">
        <v>104</v>
      </c>
      <c r="N39" s="110"/>
      <c r="O39" s="110"/>
      <c r="P39" s="110"/>
      <c r="Q39" s="110"/>
      <c r="R39" s="108"/>
      <c r="S39" s="108"/>
      <c r="T39" s="108"/>
      <c r="U39" s="108"/>
      <c r="V39" s="108"/>
      <c r="W39" s="108"/>
      <c r="X39" s="108"/>
      <c r="Y39" s="108"/>
      <c r="Z39" s="108"/>
      <c r="AA39" s="141"/>
      <c r="AB39" s="141"/>
      <c r="AC39" s="141"/>
      <c r="AD39" s="141"/>
    </row>
    <row r="40" ht="11.25" customHeight="1" spans="1:30">
      <c r="A40" s="110"/>
      <c r="B40" s="127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 t="s">
        <v>105</v>
      </c>
      <c r="N40" s="110"/>
      <c r="O40" s="110" t="s">
        <v>106</v>
      </c>
      <c r="P40" s="110"/>
      <c r="Q40" s="110" t="s">
        <v>107</v>
      </c>
      <c r="R40" s="108"/>
      <c r="S40" s="108"/>
      <c r="T40" s="141"/>
      <c r="U40" s="141"/>
      <c r="X40" s="141"/>
      <c r="Y40" s="141"/>
      <c r="Z40" s="141"/>
      <c r="AA40" s="141"/>
      <c r="AB40" s="141"/>
      <c r="AC40" s="141"/>
      <c r="AD40" s="141"/>
    </row>
    <row r="41" ht="11.25" customHeight="1" spans="1:30">
      <c r="A41" s="110"/>
      <c r="B41" s="127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08"/>
      <c r="S41" s="108"/>
      <c r="T41" s="141"/>
      <c r="U41" s="141"/>
      <c r="X41" s="141"/>
      <c r="Y41" s="141"/>
      <c r="Z41" s="141"/>
      <c r="AA41" s="141"/>
      <c r="AB41" s="141"/>
      <c r="AC41" s="141"/>
      <c r="AD41" s="141"/>
    </row>
    <row r="42" spans="1:30">
      <c r="A42" s="110"/>
      <c r="B42" s="134">
        <v>1</v>
      </c>
      <c r="C42" s="134" t="str">
        <f>IF(C17&lt;&gt;"",C17,"")</f>
        <v/>
      </c>
      <c r="D42" s="136"/>
      <c r="E42" s="136"/>
      <c r="F42" s="160"/>
      <c r="G42" s="160"/>
      <c r="H42" s="160"/>
      <c r="I42" s="160"/>
      <c r="J42" s="177"/>
      <c r="K42" s="160"/>
      <c r="L42" s="160"/>
      <c r="M42" s="134"/>
      <c r="N42" s="134"/>
      <c r="O42" s="188"/>
      <c r="P42" s="188"/>
      <c r="Q42" s="151"/>
      <c r="R42" s="108"/>
      <c r="S42" s="108"/>
      <c r="T42" s="141"/>
      <c r="U42" s="141"/>
      <c r="X42" s="141"/>
      <c r="Y42" s="141"/>
      <c r="Z42" s="141"/>
      <c r="AA42" s="141"/>
      <c r="AB42" s="141"/>
      <c r="AC42" s="141"/>
      <c r="AD42" s="141"/>
    </row>
    <row r="43" spans="1:30">
      <c r="A43" s="110"/>
      <c r="B43" s="134">
        <v>2</v>
      </c>
      <c r="C43" s="134" t="str">
        <f>IF(C18&lt;&gt;"",C18,"")</f>
        <v/>
      </c>
      <c r="D43" s="136"/>
      <c r="E43" s="136"/>
      <c r="F43" s="160"/>
      <c r="G43" s="160"/>
      <c r="H43" s="160"/>
      <c r="I43" s="160"/>
      <c r="J43" s="177"/>
      <c r="K43" s="160"/>
      <c r="L43" s="160"/>
      <c r="M43" s="134"/>
      <c r="N43" s="134"/>
      <c r="O43" s="188"/>
      <c r="P43" s="188"/>
      <c r="Q43" s="151"/>
      <c r="R43" s="108"/>
      <c r="S43" s="108"/>
      <c r="T43" s="108"/>
      <c r="U43" s="108"/>
      <c r="X43" s="108"/>
      <c r="Y43" s="108"/>
      <c r="Z43" s="108"/>
      <c r="AA43" s="141"/>
      <c r="AB43" s="141"/>
      <c r="AC43" s="141"/>
      <c r="AD43" s="141"/>
    </row>
    <row r="44" ht="11.25" customHeight="1" spans="1:30">
      <c r="A44" s="110"/>
      <c r="B44" s="134">
        <v>3</v>
      </c>
      <c r="C44" s="134" t="str">
        <f>IF(C19&lt;&gt;"",C19,"")</f>
        <v/>
      </c>
      <c r="D44" s="136"/>
      <c r="E44" s="136"/>
      <c r="F44" s="160"/>
      <c r="G44" s="160"/>
      <c r="H44" s="160"/>
      <c r="I44" s="160"/>
      <c r="J44" s="177"/>
      <c r="K44" s="160"/>
      <c r="L44" s="160"/>
      <c r="M44" s="189"/>
      <c r="N44" s="190"/>
      <c r="O44" s="188"/>
      <c r="P44" s="188"/>
      <c r="Q44" s="151"/>
      <c r="R44" s="108"/>
      <c r="S44" s="108"/>
      <c r="T44" s="108"/>
      <c r="U44" s="108"/>
      <c r="X44" s="108"/>
      <c r="Y44" s="108"/>
      <c r="Z44" s="108"/>
      <c r="AA44" s="141"/>
      <c r="AB44" s="141"/>
      <c r="AC44" s="141"/>
      <c r="AD44" s="141"/>
    </row>
    <row r="45" ht="11.25" customHeight="1" spans="1:30">
      <c r="A45" s="110"/>
      <c r="B45" s="134">
        <v>4</v>
      </c>
      <c r="C45" s="134" t="str">
        <f>IF(C20&lt;&gt;"",C20,"")</f>
        <v/>
      </c>
      <c r="D45" s="136"/>
      <c r="E45" s="136"/>
      <c r="F45" s="160"/>
      <c r="G45" s="160"/>
      <c r="H45" s="160"/>
      <c r="I45" s="160"/>
      <c r="J45" s="177"/>
      <c r="K45" s="160"/>
      <c r="L45" s="160"/>
      <c r="M45" s="189"/>
      <c r="N45" s="190"/>
      <c r="O45" s="188"/>
      <c r="P45" s="188"/>
      <c r="Q45" s="151"/>
      <c r="R45" s="108"/>
      <c r="S45" s="108"/>
      <c r="T45" s="108"/>
      <c r="U45" s="108"/>
      <c r="X45" s="108"/>
      <c r="Y45" s="108"/>
      <c r="Z45" s="108"/>
      <c r="AA45" s="108"/>
      <c r="AB45" s="108"/>
      <c r="AC45" s="108"/>
      <c r="AD45" s="108"/>
    </row>
    <row r="46" ht="11.25" customHeight="1" spans="1:30">
      <c r="A46" s="110"/>
      <c r="B46" s="134" t="s">
        <v>108</v>
      </c>
      <c r="C46" s="134"/>
      <c r="D46" s="134"/>
      <c r="E46" s="134"/>
      <c r="F46" s="161"/>
      <c r="G46" s="161"/>
      <c r="H46" s="161"/>
      <c r="I46" s="161"/>
      <c r="J46" s="178"/>
      <c r="K46" s="161"/>
      <c r="L46" s="161"/>
      <c r="M46" s="161"/>
      <c r="N46" s="161"/>
      <c r="O46" s="161"/>
      <c r="P46" s="161"/>
      <c r="Q46" s="197"/>
      <c r="R46" s="122"/>
      <c r="S46" s="122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</row>
    <row r="47" ht="10.5" customHeight="1" spans="1:30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</row>
    <row r="48" ht="11.25" customHeight="1" spans="1:30">
      <c r="A48" s="137" t="s">
        <v>109</v>
      </c>
      <c r="B48" s="138" t="s">
        <v>110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98"/>
      <c r="S48" s="127" t="s">
        <v>111</v>
      </c>
      <c r="T48" s="127"/>
      <c r="U48" s="127"/>
      <c r="V48" s="127"/>
      <c r="W48" s="127"/>
      <c r="X48" s="127"/>
      <c r="Y48" s="108"/>
      <c r="Z48" s="141"/>
      <c r="AA48" s="141"/>
      <c r="AB48" s="141"/>
      <c r="AC48" s="141"/>
      <c r="AD48" s="141"/>
    </row>
    <row r="49" ht="11.25" customHeight="1" spans="1:30">
      <c r="A49" s="137"/>
      <c r="B49" s="130" t="s">
        <v>112</v>
      </c>
      <c r="C49" s="130"/>
      <c r="D49" s="130" t="s">
        <v>113</v>
      </c>
      <c r="E49" s="130"/>
      <c r="F49" s="130" t="s">
        <v>112</v>
      </c>
      <c r="G49" s="130"/>
      <c r="H49" s="130" t="s">
        <v>113</v>
      </c>
      <c r="I49" s="130"/>
      <c r="J49" s="130" t="s">
        <v>112</v>
      </c>
      <c r="K49" s="130"/>
      <c r="L49" s="130" t="s">
        <v>113</v>
      </c>
      <c r="M49" s="130"/>
      <c r="N49" s="130" t="s">
        <v>112</v>
      </c>
      <c r="O49" s="130"/>
      <c r="P49" s="130" t="s">
        <v>113</v>
      </c>
      <c r="Q49" s="130"/>
      <c r="R49" s="198"/>
      <c r="S49" s="134" t="s">
        <v>114</v>
      </c>
      <c r="T49" s="134"/>
      <c r="U49" s="139" t="s">
        <v>115</v>
      </c>
      <c r="V49" s="139"/>
      <c r="W49" s="139"/>
      <c r="X49" s="139"/>
      <c r="Y49" s="108"/>
      <c r="Z49" s="141"/>
      <c r="AA49" s="141"/>
      <c r="AB49" s="141"/>
      <c r="AC49" s="141"/>
      <c r="AD49" s="141"/>
    </row>
    <row r="50" ht="11.25" customHeight="1" spans="1:30">
      <c r="A50" s="137"/>
      <c r="B50" s="139" t="s">
        <v>116</v>
      </c>
      <c r="C50" s="139"/>
      <c r="D50" s="140"/>
      <c r="E50" s="140"/>
      <c r="F50" s="139" t="s">
        <v>117</v>
      </c>
      <c r="G50" s="139"/>
      <c r="H50" s="140"/>
      <c r="I50" s="140"/>
      <c r="J50" s="139" t="s">
        <v>118</v>
      </c>
      <c r="K50" s="139"/>
      <c r="L50" s="140"/>
      <c r="M50" s="140"/>
      <c r="N50" s="139" t="s">
        <v>119</v>
      </c>
      <c r="O50" s="139"/>
      <c r="P50" s="140"/>
      <c r="Q50" s="140"/>
      <c r="R50" s="198"/>
      <c r="S50" s="139" t="s">
        <v>120</v>
      </c>
      <c r="T50" s="139"/>
      <c r="U50" s="139"/>
      <c r="V50" s="139"/>
      <c r="W50" s="139"/>
      <c r="X50" s="139"/>
      <c r="Y50" s="108"/>
      <c r="Z50" s="141"/>
      <c r="AA50" s="141"/>
      <c r="AB50" s="141"/>
      <c r="AC50" s="141"/>
      <c r="AD50" s="141"/>
    </row>
    <row r="51" ht="11.25" customHeight="1" spans="1:30">
      <c r="A51" s="137"/>
      <c r="B51" s="139" t="s">
        <v>121</v>
      </c>
      <c r="C51" s="139"/>
      <c r="D51" s="140"/>
      <c r="E51" s="140"/>
      <c r="F51" s="139" t="s">
        <v>122</v>
      </c>
      <c r="G51" s="139"/>
      <c r="H51" s="140"/>
      <c r="I51" s="140"/>
      <c r="J51" s="139" t="s">
        <v>123</v>
      </c>
      <c r="K51" s="139"/>
      <c r="L51" s="140"/>
      <c r="M51" s="140"/>
      <c r="N51" s="139" t="s">
        <v>124</v>
      </c>
      <c r="O51" s="139"/>
      <c r="P51" s="140"/>
      <c r="Q51" s="140"/>
      <c r="R51" s="198"/>
      <c r="S51" s="134" t="s">
        <v>125</v>
      </c>
      <c r="T51" s="134"/>
      <c r="U51" s="134"/>
      <c r="V51" s="134"/>
      <c r="W51" s="134"/>
      <c r="X51" s="134"/>
      <c r="Y51" s="108"/>
      <c r="Z51" s="141"/>
      <c r="AA51" s="141"/>
      <c r="AB51" s="141"/>
      <c r="AC51" s="141"/>
      <c r="AD51" s="141"/>
    </row>
    <row r="52" ht="11.25" customHeight="1" spans="1:30">
      <c r="A52" s="137"/>
      <c r="B52" s="139" t="s">
        <v>126</v>
      </c>
      <c r="C52" s="139"/>
      <c r="D52" s="140"/>
      <c r="E52" s="140"/>
      <c r="F52" s="139" t="s">
        <v>127</v>
      </c>
      <c r="G52" s="139"/>
      <c r="H52" s="140"/>
      <c r="I52" s="140"/>
      <c r="J52" s="139" t="s">
        <v>128</v>
      </c>
      <c r="K52" s="139"/>
      <c r="L52" s="140"/>
      <c r="M52" s="140"/>
      <c r="N52" s="139" t="s">
        <v>129</v>
      </c>
      <c r="O52" s="139"/>
      <c r="P52" s="140"/>
      <c r="Q52" s="140"/>
      <c r="R52" s="198"/>
      <c r="S52" s="134"/>
      <c r="T52" s="134"/>
      <c r="U52" s="134"/>
      <c r="V52" s="134"/>
      <c r="W52" s="134"/>
      <c r="X52" s="134"/>
      <c r="Y52" s="108"/>
      <c r="Z52" s="141"/>
      <c r="AA52" s="141"/>
      <c r="AB52" s="141"/>
      <c r="AC52" s="141"/>
      <c r="AD52" s="141"/>
    </row>
    <row r="53" ht="11.25" customHeight="1" spans="1:30">
      <c r="A53" s="137"/>
      <c r="B53" s="139" t="s">
        <v>130</v>
      </c>
      <c r="C53" s="139"/>
      <c r="D53" s="140"/>
      <c r="E53" s="140"/>
      <c r="F53" s="139" t="s">
        <v>131</v>
      </c>
      <c r="G53" s="139"/>
      <c r="H53" s="140"/>
      <c r="I53" s="140"/>
      <c r="J53" s="139" t="s">
        <v>132</v>
      </c>
      <c r="K53" s="139"/>
      <c r="L53" s="140"/>
      <c r="M53" s="140"/>
      <c r="N53" s="139"/>
      <c r="O53" s="139"/>
      <c r="P53" s="139"/>
      <c r="Q53" s="139"/>
      <c r="R53" s="198"/>
      <c r="S53" s="134" t="s">
        <v>133</v>
      </c>
      <c r="T53" s="134"/>
      <c r="U53" s="134"/>
      <c r="V53" s="134"/>
      <c r="W53" s="134"/>
      <c r="X53" s="134"/>
      <c r="Y53" s="108"/>
      <c r="Z53" s="141"/>
      <c r="AA53" s="141"/>
      <c r="AB53" s="141"/>
      <c r="AC53" s="141"/>
      <c r="AD53" s="141"/>
    </row>
    <row r="54" ht="11.25" customHeight="1" spans="1:30">
      <c r="A54" s="137"/>
      <c r="B54" s="139" t="s">
        <v>134</v>
      </c>
      <c r="C54" s="139"/>
      <c r="D54" s="140"/>
      <c r="E54" s="140"/>
      <c r="F54" s="139" t="s">
        <v>135</v>
      </c>
      <c r="G54" s="139"/>
      <c r="H54" s="140"/>
      <c r="I54" s="140"/>
      <c r="J54" s="139"/>
      <c r="K54" s="139"/>
      <c r="L54" s="139"/>
      <c r="M54" s="139"/>
      <c r="N54" s="139"/>
      <c r="O54" s="139"/>
      <c r="P54" s="139"/>
      <c r="Q54" s="139"/>
      <c r="R54" s="198"/>
      <c r="S54" s="134"/>
      <c r="T54" s="134"/>
      <c r="U54" s="134"/>
      <c r="V54" s="134"/>
      <c r="W54" s="134"/>
      <c r="X54" s="134"/>
      <c r="Y54" s="108"/>
      <c r="Z54" s="141"/>
      <c r="AA54" s="141"/>
      <c r="AB54" s="141"/>
      <c r="AC54" s="141"/>
      <c r="AD54" s="141"/>
    </row>
    <row r="55" ht="14.25" customHeight="1" spans="1:30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</row>
    <row r="56" ht="11.25" customHeight="1" spans="1:30">
      <c r="A56" s="137" t="s">
        <v>136</v>
      </c>
      <c r="B56" s="137" t="s">
        <v>137</v>
      </c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</row>
    <row r="57" ht="11.25" customHeight="1" spans="1:30">
      <c r="A57" s="137"/>
      <c r="B57" s="130" t="s">
        <v>138</v>
      </c>
      <c r="C57" s="130"/>
      <c r="D57" s="130" t="s">
        <v>139</v>
      </c>
      <c r="E57" s="130"/>
      <c r="F57" s="130" t="s">
        <v>138</v>
      </c>
      <c r="G57" s="130"/>
      <c r="H57" s="130" t="s">
        <v>139</v>
      </c>
      <c r="I57" s="130"/>
      <c r="J57" s="130" t="s">
        <v>138</v>
      </c>
      <c r="K57" s="130"/>
      <c r="L57" s="130" t="s">
        <v>139</v>
      </c>
      <c r="M57" s="130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</row>
    <row r="58" ht="11.25" customHeight="1" spans="1:30">
      <c r="A58" s="137"/>
      <c r="B58" s="139" t="s">
        <v>140</v>
      </c>
      <c r="C58" s="139"/>
      <c r="D58" s="142"/>
      <c r="E58" s="142"/>
      <c r="F58" s="139" t="s">
        <v>141</v>
      </c>
      <c r="G58" s="139"/>
      <c r="H58" s="142"/>
      <c r="I58" s="142"/>
      <c r="J58" s="139" t="s">
        <v>142</v>
      </c>
      <c r="K58" s="139"/>
      <c r="L58" s="142"/>
      <c r="M58" s="142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</row>
    <row r="59" ht="11.25" customHeight="1" spans="1:30">
      <c r="A59" s="137"/>
      <c r="B59" s="139" t="s">
        <v>143</v>
      </c>
      <c r="C59" s="139"/>
      <c r="D59" s="142"/>
      <c r="E59" s="142"/>
      <c r="F59" s="162" t="s">
        <v>144</v>
      </c>
      <c r="G59" s="162"/>
      <c r="H59" s="142"/>
      <c r="I59" s="142"/>
      <c r="J59" s="139"/>
      <c r="K59" s="139"/>
      <c r="L59" s="179"/>
      <c r="M59" s="179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</row>
    <row r="60" ht="11.25" customHeight="1" spans="1:30">
      <c r="A60" s="137"/>
      <c r="B60" s="139" t="s">
        <v>145</v>
      </c>
      <c r="C60" s="139"/>
      <c r="D60" s="142"/>
      <c r="E60" s="142"/>
      <c r="F60" s="139" t="s">
        <v>146</v>
      </c>
      <c r="G60" s="139"/>
      <c r="H60" s="142"/>
      <c r="I60" s="142"/>
      <c r="J60" s="179"/>
      <c r="K60" s="179"/>
      <c r="L60" s="179"/>
      <c r="M60" s="179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</row>
    <row r="61" ht="11.25" customHeight="1" spans="1:30">
      <c r="A61" s="137"/>
      <c r="B61" s="139" t="s">
        <v>147</v>
      </c>
      <c r="C61" s="139"/>
      <c r="D61" s="142"/>
      <c r="E61" s="142"/>
      <c r="F61" s="139" t="s">
        <v>148</v>
      </c>
      <c r="G61" s="139"/>
      <c r="H61" s="142"/>
      <c r="I61" s="142"/>
      <c r="J61" s="179"/>
      <c r="K61" s="179"/>
      <c r="L61" s="179"/>
      <c r="M61" s="179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</row>
    <row r="62" ht="11.25" customHeight="1" spans="1:30">
      <c r="A62" s="137"/>
      <c r="B62" s="139" t="s">
        <v>149</v>
      </c>
      <c r="C62" s="139"/>
      <c r="D62" s="142"/>
      <c r="E62" s="142"/>
      <c r="F62" s="163" t="s">
        <v>150</v>
      </c>
      <c r="G62" s="163"/>
      <c r="H62" s="142"/>
      <c r="I62" s="142"/>
      <c r="J62" s="179"/>
      <c r="K62" s="179"/>
      <c r="L62" s="179"/>
      <c r="M62" s="179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</row>
    <row r="63" customHeight="1" spans="8:8">
      <c r="H63" s="141"/>
    </row>
    <row r="64" ht="21" customHeight="1" spans="2:21">
      <c r="B64" s="143" t="s">
        <v>151</v>
      </c>
      <c r="C64" s="144"/>
      <c r="D64" s="145" t="s">
        <v>152</v>
      </c>
      <c r="E64" s="145"/>
      <c r="F64" s="164"/>
      <c r="G64" s="164"/>
      <c r="H64" s="164" t="s">
        <v>153</v>
      </c>
      <c r="I64" s="164"/>
      <c r="J64" s="164"/>
      <c r="K64" s="164" t="s">
        <v>154</v>
      </c>
      <c r="L64" s="164"/>
      <c r="M64" s="164"/>
      <c r="N64" s="164" t="s">
        <v>155</v>
      </c>
      <c r="O64" s="164"/>
      <c r="P64" s="164"/>
      <c r="Q64" s="164"/>
      <c r="R64" s="164" t="s">
        <v>156</v>
      </c>
      <c r="S64" s="164"/>
      <c r="T64" s="164"/>
      <c r="U64" s="200"/>
    </row>
    <row r="65" ht="13.5" customHeight="1"/>
    <row r="66" ht="13.5" customHeight="1"/>
    <row r="67" ht="13.5" customHeight="1"/>
    <row r="68" ht="13.5" customHeight="1"/>
    <row r="69" ht="13.5" customHeight="1"/>
  </sheetData>
  <sheetProtection formatCells="0" insertHyperlinks="0" autoFilter="0"/>
  <mergeCells count="268">
    <mergeCell ref="A1:AH1"/>
    <mergeCell ref="C3:E3"/>
    <mergeCell ref="F3:H3"/>
    <mergeCell ref="K3:M3"/>
    <mergeCell ref="P3:Q3"/>
    <mergeCell ref="R3:S3"/>
    <mergeCell ref="T3:U3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A12:U12"/>
    <mergeCell ref="A13:C13"/>
    <mergeCell ref="D15:F15"/>
    <mergeCell ref="G15:I15"/>
    <mergeCell ref="J15:L15"/>
    <mergeCell ref="M15:O15"/>
    <mergeCell ref="P15:R15"/>
    <mergeCell ref="S15:U15"/>
    <mergeCell ref="V15:X15"/>
    <mergeCell ref="Y15:AA15"/>
    <mergeCell ref="AB17:AC17"/>
    <mergeCell ref="AD17:AE17"/>
    <mergeCell ref="AB18:AC18"/>
    <mergeCell ref="AD18:AE18"/>
    <mergeCell ref="AB19:AC19"/>
    <mergeCell ref="AD19:AE19"/>
    <mergeCell ref="AB20:AC20"/>
    <mergeCell ref="AD20:AE20"/>
    <mergeCell ref="A21:C21"/>
    <mergeCell ref="AB21:AC21"/>
    <mergeCell ref="AD21:AE21"/>
    <mergeCell ref="D23:J23"/>
    <mergeCell ref="K23:M23"/>
    <mergeCell ref="N23:O23"/>
    <mergeCell ref="A30:AN30"/>
    <mergeCell ref="B31:M31"/>
    <mergeCell ref="N31:T31"/>
    <mergeCell ref="V31:AA31"/>
    <mergeCell ref="AB31:AC31"/>
    <mergeCell ref="B32:E32"/>
    <mergeCell ref="F32:G32"/>
    <mergeCell ref="H32:I32"/>
    <mergeCell ref="J32:K32"/>
    <mergeCell ref="N32:O32"/>
    <mergeCell ref="F34:K34"/>
    <mergeCell ref="F35:K35"/>
    <mergeCell ref="F36:K36"/>
    <mergeCell ref="F37:K37"/>
    <mergeCell ref="A38:AN38"/>
    <mergeCell ref="M39:Q39"/>
    <mergeCell ref="D42:E42"/>
    <mergeCell ref="F42:G42"/>
    <mergeCell ref="H42:I42"/>
    <mergeCell ref="K42:L42"/>
    <mergeCell ref="M42:N42"/>
    <mergeCell ref="O42:P42"/>
    <mergeCell ref="D43:E43"/>
    <mergeCell ref="F43:G43"/>
    <mergeCell ref="H43:I43"/>
    <mergeCell ref="K43:L43"/>
    <mergeCell ref="M43:N43"/>
    <mergeCell ref="O43:P43"/>
    <mergeCell ref="D44:E44"/>
    <mergeCell ref="F44:G44"/>
    <mergeCell ref="H44:I44"/>
    <mergeCell ref="K44:L44"/>
    <mergeCell ref="M44:N44"/>
    <mergeCell ref="O44:P44"/>
    <mergeCell ref="D45:E45"/>
    <mergeCell ref="F45:G45"/>
    <mergeCell ref="H45:I45"/>
    <mergeCell ref="K45:L45"/>
    <mergeCell ref="M45:N45"/>
    <mergeCell ref="O45:P45"/>
    <mergeCell ref="B46:C46"/>
    <mergeCell ref="D46:E46"/>
    <mergeCell ref="F46:G46"/>
    <mergeCell ref="H46:I46"/>
    <mergeCell ref="K46:L46"/>
    <mergeCell ref="M46:N46"/>
    <mergeCell ref="O46:P46"/>
    <mergeCell ref="A47:AN47"/>
    <mergeCell ref="B48:Q48"/>
    <mergeCell ref="S48:X48"/>
    <mergeCell ref="B49:C49"/>
    <mergeCell ref="D49:E49"/>
    <mergeCell ref="F49:G49"/>
    <mergeCell ref="H49:I49"/>
    <mergeCell ref="J49:K49"/>
    <mergeCell ref="L49:M49"/>
    <mergeCell ref="N49:O49"/>
    <mergeCell ref="P49:Q49"/>
    <mergeCell ref="S49:T49"/>
    <mergeCell ref="U49:X49"/>
    <mergeCell ref="B50:C50"/>
    <mergeCell ref="D50:E50"/>
    <mergeCell ref="F50:G50"/>
    <mergeCell ref="H50:I50"/>
    <mergeCell ref="J50:K50"/>
    <mergeCell ref="L50:M50"/>
    <mergeCell ref="N50:O50"/>
    <mergeCell ref="P50:Q50"/>
    <mergeCell ref="S50:T50"/>
    <mergeCell ref="U50:X50"/>
    <mergeCell ref="B51:C51"/>
    <mergeCell ref="D51:E51"/>
    <mergeCell ref="F51:G51"/>
    <mergeCell ref="H51:I51"/>
    <mergeCell ref="J51:K51"/>
    <mergeCell ref="L51:M51"/>
    <mergeCell ref="N51:O51"/>
    <mergeCell ref="P51:Q51"/>
    <mergeCell ref="B52:C52"/>
    <mergeCell ref="D52:E52"/>
    <mergeCell ref="F52:G52"/>
    <mergeCell ref="H52:I52"/>
    <mergeCell ref="J52:K52"/>
    <mergeCell ref="L52:M52"/>
    <mergeCell ref="N52:O52"/>
    <mergeCell ref="P52:Q52"/>
    <mergeCell ref="B53:C53"/>
    <mergeCell ref="D53:E53"/>
    <mergeCell ref="F53:G53"/>
    <mergeCell ref="H53:I53"/>
    <mergeCell ref="J53:K53"/>
    <mergeCell ref="L53:M53"/>
    <mergeCell ref="N53:O53"/>
    <mergeCell ref="P53:Q53"/>
    <mergeCell ref="B54:C54"/>
    <mergeCell ref="D54:E54"/>
    <mergeCell ref="F54:G54"/>
    <mergeCell ref="H54:I54"/>
    <mergeCell ref="J54:K54"/>
    <mergeCell ref="L54:M54"/>
    <mergeCell ref="N54:O54"/>
    <mergeCell ref="P54:Q54"/>
    <mergeCell ref="B56:M56"/>
    <mergeCell ref="B57:C57"/>
    <mergeCell ref="D57:E57"/>
    <mergeCell ref="F57:G57"/>
    <mergeCell ref="H57:I57"/>
    <mergeCell ref="J57:K57"/>
    <mergeCell ref="L57:M57"/>
    <mergeCell ref="B58:C58"/>
    <mergeCell ref="D58:E58"/>
    <mergeCell ref="F58:G58"/>
    <mergeCell ref="H58:I58"/>
    <mergeCell ref="J58:K58"/>
    <mergeCell ref="L58:M58"/>
    <mergeCell ref="B59:C59"/>
    <mergeCell ref="D59:E59"/>
    <mergeCell ref="F59:G59"/>
    <mergeCell ref="H59:I59"/>
    <mergeCell ref="J59:K59"/>
    <mergeCell ref="L59:M59"/>
    <mergeCell ref="B60:C60"/>
    <mergeCell ref="D60:E60"/>
    <mergeCell ref="F60:G60"/>
    <mergeCell ref="H60:I60"/>
    <mergeCell ref="J60:K60"/>
    <mergeCell ref="L60:M60"/>
    <mergeCell ref="B61:C61"/>
    <mergeCell ref="D61:E61"/>
    <mergeCell ref="F61:G61"/>
    <mergeCell ref="H61:I61"/>
    <mergeCell ref="J61:K61"/>
    <mergeCell ref="L61:M61"/>
    <mergeCell ref="B62:C62"/>
    <mergeCell ref="D62:E62"/>
    <mergeCell ref="F62:G62"/>
    <mergeCell ref="H62:I62"/>
    <mergeCell ref="J62:K62"/>
    <mergeCell ref="L62:M62"/>
    <mergeCell ref="D64:E64"/>
    <mergeCell ref="H64:I64"/>
    <mergeCell ref="K64:L64"/>
    <mergeCell ref="N64:O64"/>
    <mergeCell ref="R64:S64"/>
    <mergeCell ref="A15:A20"/>
    <mergeCell ref="A23:A29"/>
    <mergeCell ref="A31:A37"/>
    <mergeCell ref="A39:A46"/>
    <mergeCell ref="A48:A54"/>
    <mergeCell ref="A56:A62"/>
    <mergeCell ref="B15:B16"/>
    <mergeCell ref="B23:B25"/>
    <mergeCell ref="B39:B41"/>
    <mergeCell ref="C15:C16"/>
    <mergeCell ref="C23:C25"/>
    <mergeCell ref="C39:C41"/>
    <mergeCell ref="D24:D25"/>
    <mergeCell ref="E24:E25"/>
    <mergeCell ref="F24:F25"/>
    <mergeCell ref="G24:G25"/>
    <mergeCell ref="H24:H25"/>
    <mergeCell ref="I24:I25"/>
    <mergeCell ref="J24:J25"/>
    <mergeCell ref="J39:J41"/>
    <mergeCell ref="K24:K25"/>
    <mergeCell ref="L24:L25"/>
    <mergeCell ref="L32:L33"/>
    <mergeCell ref="M24:M25"/>
    <mergeCell ref="M32:M33"/>
    <mergeCell ref="N24:N25"/>
    <mergeCell ref="O24:O25"/>
    <mergeCell ref="P32:P33"/>
    <mergeCell ref="Q32:Q33"/>
    <mergeCell ref="Q40:Q41"/>
    <mergeCell ref="R32:R33"/>
    <mergeCell ref="S32:S33"/>
    <mergeCell ref="T32:T33"/>
    <mergeCell ref="U31:U33"/>
    <mergeCell ref="V32:V33"/>
    <mergeCell ref="V34:V37"/>
    <mergeCell ref="W32:W33"/>
    <mergeCell ref="W34:W37"/>
    <mergeCell ref="X32:X33"/>
    <mergeCell ref="X34:X37"/>
    <mergeCell ref="Y32:Y33"/>
    <mergeCell ref="Y34:Y37"/>
    <mergeCell ref="Z32:Z33"/>
    <mergeCell ref="Z34:Z37"/>
    <mergeCell ref="AA32:AA33"/>
    <mergeCell ref="AA34:AA37"/>
    <mergeCell ref="AB32:AB33"/>
    <mergeCell ref="AB34:AB37"/>
    <mergeCell ref="AC32:AC33"/>
    <mergeCell ref="AC34:AC37"/>
    <mergeCell ref="AD31:AD33"/>
    <mergeCell ref="AD34:AD37"/>
    <mergeCell ref="U53:X54"/>
    <mergeCell ref="S53:T54"/>
    <mergeCell ref="S51:T52"/>
    <mergeCell ref="U51:X52"/>
    <mergeCell ref="D39:E41"/>
    <mergeCell ref="F39:G41"/>
    <mergeCell ref="H39:I41"/>
    <mergeCell ref="K39:L41"/>
    <mergeCell ref="M40:N41"/>
    <mergeCell ref="O40:P41"/>
    <mergeCell ref="A8:B10"/>
    <mergeCell ref="K8:L10"/>
    <mergeCell ref="U8:V10"/>
    <mergeCell ref="C8:J10"/>
    <mergeCell ref="M8:T10"/>
    <mergeCell ref="W8:AA10"/>
    <mergeCell ref="AB8:AC10"/>
    <mergeCell ref="AD8:AH10"/>
    <mergeCell ref="AB15:AC16"/>
    <mergeCell ref="AD15:AE16"/>
    <mergeCell ref="A5:B6"/>
  </mergeCells>
  <dataValidations count="3">
    <dataValidation type="list" allowBlank="1" sqref="F6:G6">
      <formula1>"1:困难,2:一般,3:简单,4:衍生,5:ODM"</formula1>
    </dataValidation>
    <dataValidation type="list" allowBlank="1" sqref="D6:E6">
      <formula1>"A:对产出目标影响极大,B:对目标有影响,C:对目标影响很小"</formula1>
    </dataValidation>
    <dataValidation type="list" allowBlank="1" sqref="C6">
      <formula1>"核心产品,利润产品,品牌产品"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workbookViewId="0">
      <selection activeCell="D25" sqref="D25"/>
    </sheetView>
  </sheetViews>
  <sheetFormatPr defaultColWidth="10" defaultRowHeight="12.75" outlineLevelCol="6"/>
  <cols>
    <col min="1" max="1" width="3.42857142857143" customWidth="1"/>
    <col min="2" max="2" width="12.5714285714286" customWidth="1"/>
    <col min="3" max="3" width="12.1428571428571" customWidth="1"/>
    <col min="4" max="4" width="15.352380952381" customWidth="1"/>
    <col min="5" max="5" width="15.7142857142857" customWidth="1"/>
    <col min="6" max="6" width="10.7142857142857" customWidth="1"/>
    <col min="7" max="7" width="15.0761904761905" customWidth="1"/>
  </cols>
  <sheetData>
    <row r="1" ht="13.5" customHeight="1" spans="2:7">
      <c r="B1" s="98" t="s">
        <v>157</v>
      </c>
      <c r="C1" s="98"/>
      <c r="D1" s="98"/>
      <c r="E1" s="98"/>
      <c r="F1" s="98"/>
      <c r="G1" s="98"/>
    </row>
    <row r="2" ht="17.75" customHeight="1" spans="2:7">
      <c r="B2" s="72" t="s">
        <v>158</v>
      </c>
      <c r="C2" s="72" t="s">
        <v>159</v>
      </c>
      <c r="D2" s="72" t="s">
        <v>160</v>
      </c>
      <c r="E2" s="72" t="s">
        <v>161</v>
      </c>
      <c r="F2" s="72" t="s">
        <v>162</v>
      </c>
      <c r="G2" s="72" t="s">
        <v>163</v>
      </c>
    </row>
    <row r="3" ht="13.5" customHeight="1" spans="2:7">
      <c r="B3" s="73"/>
      <c r="C3" s="73" t="s">
        <v>164</v>
      </c>
      <c r="D3" s="73" t="s">
        <v>165</v>
      </c>
      <c r="E3" s="96"/>
      <c r="F3" s="96">
        <f>SUM(E3:E7)</f>
        <v>0</v>
      </c>
      <c r="G3" s="74"/>
    </row>
    <row r="4" ht="13.5" customHeight="1" spans="2:7">
      <c r="B4" s="73"/>
      <c r="C4" s="73" t="s">
        <v>166</v>
      </c>
      <c r="D4" s="73" t="s">
        <v>165</v>
      </c>
      <c r="E4" s="96"/>
      <c r="F4" s="73"/>
      <c r="G4" s="74"/>
    </row>
    <row r="5" ht="13.5" customHeight="1" spans="2:7">
      <c r="B5" s="73"/>
      <c r="C5" s="73" t="s">
        <v>167</v>
      </c>
      <c r="D5" s="73" t="s">
        <v>165</v>
      </c>
      <c r="E5" s="96"/>
      <c r="F5" s="73"/>
      <c r="G5" s="74"/>
    </row>
    <row r="6" ht="13.5" customHeight="1" spans="2:7">
      <c r="B6" s="73"/>
      <c r="C6" s="73" t="s">
        <v>168</v>
      </c>
      <c r="D6" s="73" t="s">
        <v>165</v>
      </c>
      <c r="E6" s="96"/>
      <c r="F6" s="73"/>
      <c r="G6" s="74"/>
    </row>
    <row r="7" ht="13.5" customHeight="1" spans="2:7">
      <c r="B7" s="73"/>
      <c r="C7" s="73" t="s">
        <v>169</v>
      </c>
      <c r="D7" s="73" t="s">
        <v>165</v>
      </c>
      <c r="E7" s="96"/>
      <c r="F7" s="73"/>
      <c r="G7" s="74"/>
    </row>
    <row r="8" ht="13.5" customHeight="1" spans="2:7">
      <c r="B8" s="73"/>
      <c r="C8" s="73" t="s">
        <v>164</v>
      </c>
      <c r="D8" s="73" t="s">
        <v>165</v>
      </c>
      <c r="E8" s="96"/>
      <c r="F8" s="96">
        <f>SUM(E8:E12)</f>
        <v>0</v>
      </c>
      <c r="G8" s="74"/>
    </row>
    <row r="9" ht="13.5" customHeight="1" spans="2:7">
      <c r="B9" s="73"/>
      <c r="C9" s="73" t="s">
        <v>170</v>
      </c>
      <c r="D9" s="73" t="s">
        <v>165</v>
      </c>
      <c r="E9" s="96"/>
      <c r="F9" s="96"/>
      <c r="G9" s="74"/>
    </row>
    <row r="10" ht="13.5" customHeight="1" spans="2:7">
      <c r="B10" s="73"/>
      <c r="C10" s="73" t="s">
        <v>167</v>
      </c>
      <c r="D10" s="73" t="s">
        <v>165</v>
      </c>
      <c r="E10" s="96"/>
      <c r="F10" s="96"/>
      <c r="G10" s="74"/>
    </row>
    <row r="11" ht="13.5" customHeight="1" spans="2:7">
      <c r="B11" s="73"/>
      <c r="C11" s="73" t="s">
        <v>168</v>
      </c>
      <c r="D11" s="73" t="s">
        <v>165</v>
      </c>
      <c r="E11" s="96"/>
      <c r="F11" s="73"/>
      <c r="G11" s="74"/>
    </row>
    <row r="12" ht="13.5" customHeight="1" spans="2:7">
      <c r="B12" s="73"/>
      <c r="C12" s="73" t="s">
        <v>169</v>
      </c>
      <c r="D12" s="73" t="s">
        <v>165</v>
      </c>
      <c r="E12" s="96"/>
      <c r="F12" s="73"/>
      <c r="G12" s="74"/>
    </row>
    <row r="13" ht="13.5" customHeight="1" spans="2:7">
      <c r="B13" s="73" t="s">
        <v>171</v>
      </c>
      <c r="C13" s="73" t="s">
        <v>172</v>
      </c>
      <c r="D13" s="73" t="s">
        <v>173</v>
      </c>
      <c r="E13" s="96"/>
      <c r="F13" s="96">
        <f>SUM(E13:E15)</f>
        <v>0</v>
      </c>
      <c r="G13" s="73"/>
    </row>
    <row r="14" ht="13.5" customHeight="1" spans="2:7">
      <c r="B14" s="73"/>
      <c r="C14" s="73" t="s">
        <v>174</v>
      </c>
      <c r="D14" s="73" t="s">
        <v>175</v>
      </c>
      <c r="E14" s="96"/>
      <c r="F14" s="73"/>
      <c r="G14" s="73"/>
    </row>
    <row r="15" ht="13.5" customHeight="1" spans="2:7">
      <c r="B15" s="73"/>
      <c r="C15" s="73" t="s">
        <v>173</v>
      </c>
      <c r="D15" s="73" t="s">
        <v>173</v>
      </c>
      <c r="E15" s="96"/>
      <c r="F15" s="73"/>
      <c r="G15" s="73"/>
    </row>
    <row r="16" ht="13.5" customHeight="1" spans="2:7">
      <c r="B16" s="73" t="s">
        <v>176</v>
      </c>
      <c r="C16" s="73"/>
      <c r="D16" s="73"/>
      <c r="E16" s="73"/>
      <c r="F16" s="96">
        <f>SUM(F3:F15)</f>
        <v>0</v>
      </c>
      <c r="G16" s="99"/>
    </row>
    <row r="17" ht="13.5" customHeight="1" spans="2:7">
      <c r="B17" s="73" t="s">
        <v>177</v>
      </c>
      <c r="C17" s="73"/>
      <c r="D17" s="73"/>
      <c r="E17" s="73"/>
      <c r="F17" s="73">
        <f>F16/1.13</f>
        <v>0</v>
      </c>
      <c r="G17" s="99"/>
    </row>
  </sheetData>
  <sheetProtection formatCells="0" insertHyperlinks="0" autoFilter="0"/>
  <mergeCells count="12">
    <mergeCell ref="B1:G1"/>
    <mergeCell ref="B16:E16"/>
    <mergeCell ref="B17:E17"/>
    <mergeCell ref="B3:B7"/>
    <mergeCell ref="B8:B12"/>
    <mergeCell ref="B13:B15"/>
    <mergeCell ref="F3:F7"/>
    <mergeCell ref="F8:F12"/>
    <mergeCell ref="F13:F15"/>
    <mergeCell ref="G3:G7"/>
    <mergeCell ref="G8:G12"/>
    <mergeCell ref="G13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19"/>
  <sheetViews>
    <sheetView workbookViewId="0">
      <selection activeCell="H27" sqref="H27"/>
    </sheetView>
  </sheetViews>
  <sheetFormatPr defaultColWidth="10" defaultRowHeight="12.75"/>
  <cols>
    <col min="1" max="1" width="2.20952380952381" customWidth="1"/>
    <col min="2" max="2" width="10.1428571428571" customWidth="1"/>
    <col min="3" max="3" width="7.5047619047619" customWidth="1"/>
    <col min="4" max="6" width="10.7142857142857" customWidth="1"/>
    <col min="7" max="8" width="10.6380952380952" customWidth="1"/>
    <col min="9" max="11" width="11.847619047619" customWidth="1"/>
    <col min="12" max="12" width="10.6380952380952" customWidth="1"/>
    <col min="13" max="13" width="5.63809523809524" customWidth="1"/>
    <col min="14" max="14" width="10.7142857142857" customWidth="1"/>
    <col min="15" max="15" width="9" customWidth="1"/>
  </cols>
  <sheetData>
    <row r="1" ht="13.5" customHeight="1" spans="2:15">
      <c r="B1" s="88" t="s">
        <v>79</v>
      </c>
      <c r="C1" s="88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ht="29.45" customHeight="1" spans="2:15">
      <c r="B2" s="90" t="s">
        <v>178</v>
      </c>
      <c r="C2" s="90" t="s">
        <v>179</v>
      </c>
      <c r="D2" s="91">
        <v>44075</v>
      </c>
      <c r="E2" s="91">
        <v>44105</v>
      </c>
      <c r="F2" s="91">
        <v>44136</v>
      </c>
      <c r="G2" s="91">
        <v>44166</v>
      </c>
      <c r="H2" s="91">
        <v>44197</v>
      </c>
      <c r="I2" s="91">
        <v>44228</v>
      </c>
      <c r="J2" s="91">
        <v>44256</v>
      </c>
      <c r="K2" s="91">
        <v>44287</v>
      </c>
      <c r="L2" s="91">
        <v>44317</v>
      </c>
      <c r="M2" s="94" t="s">
        <v>180</v>
      </c>
      <c r="N2" s="94" t="s">
        <v>181</v>
      </c>
      <c r="O2" s="94" t="s">
        <v>163</v>
      </c>
    </row>
    <row r="3" ht="13.5" customHeight="1" spans="2:15">
      <c r="B3" s="50" t="s">
        <v>121</v>
      </c>
      <c r="C3" s="50"/>
      <c r="D3" s="92"/>
      <c r="E3" s="92"/>
      <c r="F3" s="92"/>
      <c r="G3" s="92"/>
      <c r="H3" s="92"/>
      <c r="I3" s="92"/>
      <c r="J3" s="92"/>
      <c r="K3" s="92"/>
      <c r="L3" s="92"/>
      <c r="M3" s="50">
        <f t="shared" ref="M3:M18" si="0">SUM(D3:L3)</f>
        <v>0</v>
      </c>
      <c r="N3" s="50">
        <f t="shared" ref="N3:N18" si="1">M3*12000</f>
        <v>0</v>
      </c>
      <c r="O3" s="95" t="s">
        <v>182</v>
      </c>
    </row>
    <row r="4" ht="13.5" customHeight="1" spans="2:15">
      <c r="B4" s="50" t="s">
        <v>116</v>
      </c>
      <c r="C4" s="50"/>
      <c r="D4" s="92"/>
      <c r="E4" s="92"/>
      <c r="F4" s="92"/>
      <c r="G4" s="92"/>
      <c r="H4" s="92"/>
      <c r="I4" s="92"/>
      <c r="J4" s="92"/>
      <c r="K4" s="92"/>
      <c r="L4" s="92"/>
      <c r="M4" s="50">
        <f t="shared" si="0"/>
        <v>0</v>
      </c>
      <c r="N4" s="50">
        <f t="shared" si="1"/>
        <v>0</v>
      </c>
      <c r="O4" s="95"/>
    </row>
    <row r="5" ht="13.5" customHeight="1" spans="2:15">
      <c r="B5" s="50" t="s">
        <v>122</v>
      </c>
      <c r="C5" s="50"/>
      <c r="D5" s="92"/>
      <c r="E5" s="92"/>
      <c r="F5" s="92"/>
      <c r="G5" s="92"/>
      <c r="H5" s="92"/>
      <c r="I5" s="92"/>
      <c r="J5" s="92"/>
      <c r="K5" s="92"/>
      <c r="L5" s="92"/>
      <c r="M5" s="50">
        <f t="shared" si="0"/>
        <v>0</v>
      </c>
      <c r="N5" s="50">
        <f t="shared" si="1"/>
        <v>0</v>
      </c>
      <c r="O5" s="95"/>
    </row>
    <row r="6" ht="13.5" customHeight="1" spans="2:15">
      <c r="B6" s="50" t="s">
        <v>134</v>
      </c>
      <c r="C6" s="50"/>
      <c r="D6" s="92"/>
      <c r="E6" s="92"/>
      <c r="F6" s="92"/>
      <c r="G6" s="92"/>
      <c r="H6" s="92"/>
      <c r="I6" s="92"/>
      <c r="J6" s="92"/>
      <c r="K6" s="92"/>
      <c r="L6" s="92"/>
      <c r="M6" s="50">
        <f t="shared" si="0"/>
        <v>0</v>
      </c>
      <c r="N6" s="50">
        <f t="shared" si="1"/>
        <v>0</v>
      </c>
      <c r="O6" s="95"/>
    </row>
    <row r="7" ht="13.15" customHeight="1" spans="2:15">
      <c r="B7" s="50" t="s">
        <v>130</v>
      </c>
      <c r="C7" s="50"/>
      <c r="D7" s="92"/>
      <c r="E7" s="92"/>
      <c r="F7" s="50"/>
      <c r="G7" s="92"/>
      <c r="H7" s="92"/>
      <c r="I7" s="92"/>
      <c r="J7" s="92"/>
      <c r="K7" s="92"/>
      <c r="L7" s="92"/>
      <c r="M7" s="50">
        <f t="shared" si="0"/>
        <v>0</v>
      </c>
      <c r="N7" s="50">
        <f t="shared" si="1"/>
        <v>0</v>
      </c>
      <c r="O7" s="95"/>
    </row>
    <row r="8" ht="13.5" customHeight="1" spans="2:15">
      <c r="B8" s="50" t="s">
        <v>117</v>
      </c>
      <c r="C8" s="50"/>
      <c r="D8" s="92"/>
      <c r="E8" s="92"/>
      <c r="F8" s="92"/>
      <c r="G8" s="92"/>
      <c r="H8" s="92"/>
      <c r="I8" s="92"/>
      <c r="J8" s="92"/>
      <c r="K8" s="92"/>
      <c r="L8" s="92"/>
      <c r="M8" s="50">
        <f t="shared" si="0"/>
        <v>0</v>
      </c>
      <c r="N8" s="50">
        <f t="shared" si="1"/>
        <v>0</v>
      </c>
      <c r="O8" s="95"/>
    </row>
    <row r="9" ht="13.5" customHeight="1" spans="2:15">
      <c r="B9" s="50" t="s">
        <v>118</v>
      </c>
      <c r="C9" s="50"/>
      <c r="D9" s="92"/>
      <c r="E9" s="92"/>
      <c r="F9" s="92"/>
      <c r="G9" s="92"/>
      <c r="H9" s="92"/>
      <c r="I9" s="92"/>
      <c r="J9" s="92"/>
      <c r="K9" s="92"/>
      <c r="L9" s="92"/>
      <c r="M9" s="50">
        <f t="shared" si="0"/>
        <v>0</v>
      </c>
      <c r="N9" s="50">
        <f t="shared" si="1"/>
        <v>0</v>
      </c>
      <c r="O9" s="95"/>
    </row>
    <row r="10" ht="13.5" customHeight="1" spans="2:15">
      <c r="B10" s="50" t="s">
        <v>183</v>
      </c>
      <c r="C10" s="50"/>
      <c r="D10" s="92"/>
      <c r="E10" s="92"/>
      <c r="F10" s="92"/>
      <c r="G10" s="92"/>
      <c r="H10" s="92"/>
      <c r="I10" s="92"/>
      <c r="J10" s="92"/>
      <c r="K10" s="92"/>
      <c r="L10" s="92"/>
      <c r="M10" s="50">
        <f t="shared" si="0"/>
        <v>0</v>
      </c>
      <c r="N10" s="50">
        <f t="shared" si="1"/>
        <v>0</v>
      </c>
      <c r="O10" s="95"/>
    </row>
    <row r="11" ht="13.5" customHeight="1" spans="2:15">
      <c r="B11" s="50" t="s">
        <v>128</v>
      </c>
      <c r="C11" s="50"/>
      <c r="D11" s="50"/>
      <c r="E11" s="92"/>
      <c r="F11" s="92"/>
      <c r="G11" s="92"/>
      <c r="H11" s="92"/>
      <c r="I11" s="92"/>
      <c r="J11" s="92"/>
      <c r="K11" s="92"/>
      <c r="L11" s="92"/>
      <c r="M11" s="50">
        <f t="shared" si="0"/>
        <v>0</v>
      </c>
      <c r="N11" s="50">
        <f t="shared" si="1"/>
        <v>0</v>
      </c>
      <c r="O11" s="95"/>
    </row>
    <row r="12" ht="13.5" customHeight="1" spans="2:15">
      <c r="B12" s="50" t="s">
        <v>184</v>
      </c>
      <c r="C12" s="50"/>
      <c r="D12" s="92"/>
      <c r="E12" s="92"/>
      <c r="F12" s="92"/>
      <c r="G12" s="50"/>
      <c r="H12" s="92"/>
      <c r="I12" s="92"/>
      <c r="J12" s="92"/>
      <c r="K12" s="92"/>
      <c r="L12" s="92"/>
      <c r="M12" s="50">
        <f t="shared" si="0"/>
        <v>0</v>
      </c>
      <c r="N12" s="50">
        <f t="shared" si="1"/>
        <v>0</v>
      </c>
      <c r="O12" s="95"/>
    </row>
    <row r="13" ht="13.5" customHeight="1" spans="2:15">
      <c r="B13" s="50" t="s">
        <v>185</v>
      </c>
      <c r="C13" s="50"/>
      <c r="D13" s="92"/>
      <c r="E13" s="92"/>
      <c r="F13" s="92"/>
      <c r="G13" s="92"/>
      <c r="H13" s="92"/>
      <c r="I13" s="92"/>
      <c r="J13" s="92"/>
      <c r="K13" s="92"/>
      <c r="L13" s="92"/>
      <c r="M13" s="50">
        <f t="shared" si="0"/>
        <v>0</v>
      </c>
      <c r="N13" s="50">
        <f t="shared" si="1"/>
        <v>0</v>
      </c>
      <c r="O13" s="95"/>
    </row>
    <row r="14" ht="13.5" customHeight="1" spans="2:15">
      <c r="B14" s="50" t="s">
        <v>124</v>
      </c>
      <c r="C14" s="50"/>
      <c r="D14" s="92"/>
      <c r="E14" s="92"/>
      <c r="F14" s="92"/>
      <c r="G14" s="92"/>
      <c r="H14" s="92"/>
      <c r="I14" s="92"/>
      <c r="J14" s="92"/>
      <c r="K14" s="92"/>
      <c r="L14" s="92"/>
      <c r="M14" s="50">
        <f t="shared" si="0"/>
        <v>0</v>
      </c>
      <c r="N14" s="50">
        <f t="shared" si="1"/>
        <v>0</v>
      </c>
      <c r="O14" s="95"/>
    </row>
    <row r="15" ht="13.5" customHeight="1" spans="2:15">
      <c r="B15" s="50" t="s">
        <v>186</v>
      </c>
      <c r="C15" s="50"/>
      <c r="D15" s="92"/>
      <c r="E15" s="92"/>
      <c r="F15" s="92"/>
      <c r="G15" s="92"/>
      <c r="H15" s="92"/>
      <c r="I15" s="92"/>
      <c r="J15" s="92"/>
      <c r="K15" s="92"/>
      <c r="L15" s="92"/>
      <c r="M15" s="50">
        <f t="shared" si="0"/>
        <v>0</v>
      </c>
      <c r="N15" s="50">
        <f t="shared" si="1"/>
        <v>0</v>
      </c>
      <c r="O15" s="95"/>
    </row>
    <row r="16" ht="13.5" customHeight="1" spans="2:15">
      <c r="B16" s="50" t="s">
        <v>129</v>
      </c>
      <c r="C16" s="50"/>
      <c r="D16" s="92"/>
      <c r="E16" s="92"/>
      <c r="F16" s="92"/>
      <c r="G16" s="92"/>
      <c r="H16" s="92"/>
      <c r="I16" s="92"/>
      <c r="J16" s="92"/>
      <c r="K16" s="92"/>
      <c r="L16" s="92"/>
      <c r="M16" s="50">
        <f t="shared" si="0"/>
        <v>0</v>
      </c>
      <c r="N16" s="50">
        <f t="shared" si="1"/>
        <v>0</v>
      </c>
      <c r="O16" s="95"/>
    </row>
    <row r="17" ht="13.45" customHeight="1" spans="2:15">
      <c r="B17" s="50" t="s">
        <v>187</v>
      </c>
      <c r="C17" s="50"/>
      <c r="D17" s="92"/>
      <c r="E17" s="92"/>
      <c r="F17" s="92"/>
      <c r="G17" s="92"/>
      <c r="H17" s="92"/>
      <c r="I17" s="92"/>
      <c r="J17" s="92"/>
      <c r="K17" s="92"/>
      <c r="L17" s="92"/>
      <c r="M17" s="50">
        <f t="shared" si="0"/>
        <v>0</v>
      </c>
      <c r="N17" s="50">
        <f t="shared" si="1"/>
        <v>0</v>
      </c>
      <c r="O17" s="95"/>
    </row>
    <row r="18" ht="13.5" customHeight="1" spans="2:15">
      <c r="B18" s="50" t="s">
        <v>188</v>
      </c>
      <c r="C18" s="50"/>
      <c r="D18" s="92"/>
      <c r="E18" s="92"/>
      <c r="F18" s="92"/>
      <c r="G18" s="92"/>
      <c r="H18" s="92"/>
      <c r="I18" s="92"/>
      <c r="J18" s="92"/>
      <c r="K18" s="92"/>
      <c r="L18" s="92"/>
      <c r="M18" s="50">
        <f t="shared" si="0"/>
        <v>0</v>
      </c>
      <c r="N18" s="50">
        <f t="shared" si="1"/>
        <v>0</v>
      </c>
      <c r="O18" s="95"/>
    </row>
    <row r="19" ht="13.5" customHeight="1" spans="2:15">
      <c r="B19" s="93" t="s">
        <v>176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6">
        <f>SUM(N3:N18)</f>
        <v>0</v>
      </c>
      <c r="O19" s="97"/>
    </row>
  </sheetData>
  <sheetProtection formatCells="0" insertHyperlinks="0" autoFilter="0"/>
  <mergeCells count="4">
    <mergeCell ref="B1:O1"/>
    <mergeCell ref="B19:M19"/>
    <mergeCell ref="C10:C13"/>
    <mergeCell ref="O3:O1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3"/>
  <sheetViews>
    <sheetView workbookViewId="0">
      <selection activeCell="C3" sqref="C3:H12"/>
    </sheetView>
  </sheetViews>
  <sheetFormatPr defaultColWidth="10" defaultRowHeight="12.75"/>
  <cols>
    <col min="1" max="1" width="2.5047619047619" customWidth="1"/>
    <col min="2" max="2" width="14.5714285714286" customWidth="1"/>
    <col min="3" max="4" width="6.14285714285714" customWidth="1"/>
    <col min="5" max="5" width="6.63809523809524" customWidth="1"/>
    <col min="6" max="6" width="14.9238095238095" customWidth="1"/>
    <col min="7" max="7" width="12.847619047619" customWidth="1"/>
    <col min="8" max="8" width="15.5047619047619" customWidth="1"/>
    <col min="9" max="9" width="5.63809523809524" customWidth="1"/>
  </cols>
  <sheetData>
    <row r="1" ht="13.5" customHeight="1" spans="2:9">
      <c r="B1" s="43" t="s">
        <v>189</v>
      </c>
      <c r="C1" s="43"/>
      <c r="D1" s="43"/>
      <c r="E1" s="43"/>
      <c r="F1" s="43"/>
      <c r="G1" s="43"/>
      <c r="H1" s="43"/>
      <c r="I1" s="43"/>
    </row>
    <row r="2" ht="13.5" customHeight="1" spans="2:9">
      <c r="B2" s="44" t="s">
        <v>190</v>
      </c>
      <c r="C2" s="44" t="s">
        <v>191</v>
      </c>
      <c r="D2" s="44" t="s">
        <v>192</v>
      </c>
      <c r="E2" s="44" t="s">
        <v>193</v>
      </c>
      <c r="F2" s="44" t="s">
        <v>194</v>
      </c>
      <c r="G2" s="44" t="s">
        <v>195</v>
      </c>
      <c r="H2" s="44" t="s">
        <v>196</v>
      </c>
      <c r="I2" s="44" t="s">
        <v>163</v>
      </c>
    </row>
    <row r="3" ht="13.5" customHeight="1" spans="2:9">
      <c r="B3" s="53" t="s">
        <v>197</v>
      </c>
      <c r="C3" s="53"/>
      <c r="D3" s="53"/>
      <c r="E3" s="53"/>
      <c r="F3" s="53"/>
      <c r="G3" s="53"/>
      <c r="H3" s="53"/>
      <c r="I3" s="68"/>
    </row>
    <row r="4" ht="13.5" customHeight="1" spans="2:9">
      <c r="B4" s="53" t="s">
        <v>198</v>
      </c>
      <c r="C4" s="52"/>
      <c r="D4" s="52"/>
      <c r="E4" s="52"/>
      <c r="F4" s="52"/>
      <c r="G4" s="52"/>
      <c r="H4" s="52"/>
      <c r="I4" s="68"/>
    </row>
    <row r="5" ht="13.5" customHeight="1" spans="2:9">
      <c r="B5" s="53" t="s">
        <v>199</v>
      </c>
      <c r="C5" s="52"/>
      <c r="D5" s="52"/>
      <c r="E5" s="52"/>
      <c r="F5" s="52"/>
      <c r="G5" s="52"/>
      <c r="H5" s="52"/>
      <c r="I5" s="68"/>
    </row>
    <row r="6" ht="13.5" customHeight="1" spans="2:9">
      <c r="B6" s="53" t="s">
        <v>200</v>
      </c>
      <c r="C6" s="52"/>
      <c r="D6" s="52"/>
      <c r="E6" s="52"/>
      <c r="F6" s="52"/>
      <c r="G6" s="52"/>
      <c r="H6" s="52"/>
      <c r="I6" s="68"/>
    </row>
    <row r="7" ht="13.5" customHeight="1" spans="2:9">
      <c r="B7" s="53" t="s">
        <v>201</v>
      </c>
      <c r="C7" s="52"/>
      <c r="D7" s="52"/>
      <c r="E7" s="52"/>
      <c r="F7" s="52"/>
      <c r="G7" s="52"/>
      <c r="H7" s="52"/>
      <c r="I7" s="68"/>
    </row>
    <row r="8" ht="13.45" customHeight="1" spans="2:9">
      <c r="B8" s="53" t="s">
        <v>202</v>
      </c>
      <c r="C8" s="52"/>
      <c r="D8" s="52"/>
      <c r="E8" s="52"/>
      <c r="F8" s="52"/>
      <c r="G8" s="52"/>
      <c r="H8" s="52"/>
      <c r="I8" s="68"/>
    </row>
    <row r="9" ht="13.5" customHeight="1" spans="2:9">
      <c r="B9" s="53" t="s">
        <v>203</v>
      </c>
      <c r="C9" s="52"/>
      <c r="D9" s="52"/>
      <c r="E9" s="52"/>
      <c r="F9" s="52"/>
      <c r="G9" s="52"/>
      <c r="H9" s="52"/>
      <c r="I9" s="68"/>
    </row>
    <row r="10" ht="13.5" customHeight="1" spans="2:9">
      <c r="B10" s="53" t="s">
        <v>204</v>
      </c>
      <c r="C10" s="85"/>
      <c r="D10" s="85"/>
      <c r="E10" s="85"/>
      <c r="F10" s="85"/>
      <c r="G10" s="85"/>
      <c r="H10" s="85"/>
      <c r="I10" s="62"/>
    </row>
    <row r="11" ht="13.5" customHeight="1" spans="2:9">
      <c r="B11" s="53" t="s">
        <v>205</v>
      </c>
      <c r="C11" s="70"/>
      <c r="D11" s="53"/>
      <c r="E11" s="53"/>
      <c r="F11" s="53"/>
      <c r="G11" s="53"/>
      <c r="H11" s="53"/>
      <c r="I11" s="62"/>
    </row>
    <row r="12" ht="13.5" customHeight="1" spans="2:9">
      <c r="B12" s="53" t="s">
        <v>206</v>
      </c>
      <c r="C12" s="70"/>
      <c r="D12" s="53"/>
      <c r="E12" s="53"/>
      <c r="F12" s="53"/>
      <c r="G12" s="53"/>
      <c r="H12" s="53"/>
      <c r="I12" s="62"/>
    </row>
    <row r="13" ht="13.5" customHeight="1" spans="2:9">
      <c r="B13" s="86" t="s">
        <v>207</v>
      </c>
      <c r="C13" s="87"/>
      <c r="D13" s="87"/>
      <c r="E13" s="87"/>
      <c r="F13" s="87"/>
      <c r="G13" s="87"/>
      <c r="H13" s="87"/>
      <c r="I13" s="87"/>
    </row>
  </sheetData>
  <sheetProtection formatCells="0" insertHyperlinks="0" autoFilter="0"/>
  <mergeCells count="5">
    <mergeCell ref="B1:I1"/>
    <mergeCell ref="C11:H11"/>
    <mergeCell ref="C12:H12"/>
    <mergeCell ref="B13:I13"/>
    <mergeCell ref="I10:I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4"/>
  <sheetViews>
    <sheetView workbookViewId="0">
      <selection activeCell="C3" sqref="C3:F3"/>
    </sheetView>
  </sheetViews>
  <sheetFormatPr defaultColWidth="10" defaultRowHeight="12.75" outlineLevelCol="6"/>
  <cols>
    <col min="1" max="1" width="4.57142857142857" customWidth="1"/>
    <col min="2" max="2" width="10.1428571428571" customWidth="1"/>
    <col min="3" max="3" width="24.1428571428571" customWidth="1"/>
    <col min="4" max="4" width="10.6380952380952" customWidth="1"/>
    <col min="5" max="5" width="9" customWidth="1"/>
    <col min="6" max="6" width="12.6380952380952" customWidth="1"/>
    <col min="7" max="7" width="9" customWidth="1"/>
  </cols>
  <sheetData>
    <row r="1" ht="13.15" customHeight="1" spans="2:7">
      <c r="B1" s="71" t="s">
        <v>208</v>
      </c>
      <c r="C1" s="71"/>
      <c r="D1" s="71"/>
      <c r="E1" s="71"/>
      <c r="F1" s="71"/>
      <c r="G1" s="71"/>
    </row>
    <row r="2" ht="13.15" customHeight="1" spans="2:7">
      <c r="B2" s="72" t="s">
        <v>34</v>
      </c>
      <c r="C2" s="72" t="s">
        <v>209</v>
      </c>
      <c r="D2" s="72" t="s">
        <v>210</v>
      </c>
      <c r="E2" s="72" t="s">
        <v>211</v>
      </c>
      <c r="F2" s="72" t="s">
        <v>181</v>
      </c>
      <c r="G2" s="72" t="s">
        <v>163</v>
      </c>
    </row>
    <row r="3" ht="13.15" customHeight="1" spans="2:7">
      <c r="B3" s="73">
        <v>1</v>
      </c>
      <c r="C3" s="73"/>
      <c r="D3" s="73"/>
      <c r="E3" s="73"/>
      <c r="F3" s="73"/>
      <c r="G3" s="73"/>
    </row>
    <row r="4" ht="13.15" customHeight="1" spans="2:7">
      <c r="B4" s="73">
        <v>2</v>
      </c>
      <c r="C4" s="73"/>
      <c r="D4" s="73"/>
      <c r="E4" s="73"/>
      <c r="F4" s="73">
        <f t="shared" ref="F4:F11" si="0">E4*D4</f>
        <v>0</v>
      </c>
      <c r="G4" s="73"/>
    </row>
    <row r="5" ht="13.15" customHeight="1" spans="2:7">
      <c r="B5" s="73">
        <v>3</v>
      </c>
      <c r="C5" s="73"/>
      <c r="D5" s="73"/>
      <c r="E5" s="73"/>
      <c r="F5" s="73">
        <f t="shared" si="0"/>
        <v>0</v>
      </c>
      <c r="G5" s="73"/>
    </row>
    <row r="6" ht="13.15" customHeight="1" spans="2:7">
      <c r="B6" s="73">
        <v>4</v>
      </c>
      <c r="C6" s="73"/>
      <c r="D6" s="73"/>
      <c r="E6" s="73"/>
      <c r="F6" s="73">
        <f t="shared" si="0"/>
        <v>0</v>
      </c>
      <c r="G6" s="73"/>
    </row>
    <row r="7" ht="13.15" customHeight="1" spans="2:7">
      <c r="B7" s="73">
        <v>5</v>
      </c>
      <c r="C7" s="73"/>
      <c r="D7" s="73"/>
      <c r="E7" s="73"/>
      <c r="F7" s="73">
        <f t="shared" si="0"/>
        <v>0</v>
      </c>
      <c r="G7" s="73"/>
    </row>
    <row r="8" ht="13.15" customHeight="1" spans="2:7">
      <c r="B8" s="73">
        <v>6</v>
      </c>
      <c r="C8" s="73"/>
      <c r="D8" s="73"/>
      <c r="E8" s="73"/>
      <c r="F8" s="73">
        <f t="shared" si="0"/>
        <v>0</v>
      </c>
      <c r="G8" s="73"/>
    </row>
    <row r="9" ht="13.15" customHeight="1" spans="2:7">
      <c r="B9" s="73">
        <v>7</v>
      </c>
      <c r="C9" s="73"/>
      <c r="D9" s="73"/>
      <c r="E9" s="73"/>
      <c r="F9" s="73">
        <f t="shared" si="0"/>
        <v>0</v>
      </c>
      <c r="G9" s="73"/>
    </row>
    <row r="10" ht="13.15" customHeight="1" spans="2:7">
      <c r="B10" s="73">
        <v>8</v>
      </c>
      <c r="C10" s="73"/>
      <c r="D10" s="73"/>
      <c r="E10" s="73"/>
      <c r="F10" s="73">
        <f t="shared" si="0"/>
        <v>0</v>
      </c>
      <c r="G10" s="74"/>
    </row>
    <row r="11" ht="13.15" customHeight="1" spans="2:7">
      <c r="B11" s="73">
        <v>9</v>
      </c>
      <c r="C11" s="73"/>
      <c r="D11" s="73"/>
      <c r="E11" s="73"/>
      <c r="F11" s="73">
        <f t="shared" si="0"/>
        <v>0</v>
      </c>
      <c r="G11" s="73"/>
    </row>
    <row r="12" ht="23" customHeight="1" spans="2:7">
      <c r="B12" s="74" t="s">
        <v>212</v>
      </c>
      <c r="C12" s="74"/>
      <c r="D12" s="74"/>
      <c r="E12" s="74"/>
      <c r="F12" s="74">
        <f>SUM(F3:F11)</f>
        <v>0</v>
      </c>
      <c r="G12" s="74"/>
    </row>
    <row r="13" ht="13.15" customHeight="1" spans="2:7">
      <c r="B13" s="75"/>
      <c r="C13" s="75"/>
      <c r="D13" s="75"/>
      <c r="E13" s="75"/>
      <c r="F13" s="75"/>
      <c r="G13" s="75"/>
    </row>
    <row r="14" ht="13.15" customHeight="1" spans="2:7">
      <c r="B14" s="71" t="s">
        <v>213</v>
      </c>
      <c r="C14" s="71"/>
      <c r="D14" s="71"/>
      <c r="E14" s="71"/>
      <c r="F14" s="71"/>
      <c r="G14" s="71"/>
    </row>
    <row r="15" ht="29.45" customHeight="1" spans="2:7">
      <c r="B15" s="76" t="s">
        <v>214</v>
      </c>
      <c r="C15" s="76" t="s">
        <v>215</v>
      </c>
      <c r="D15" s="76" t="s">
        <v>216</v>
      </c>
      <c r="E15" s="76" t="s">
        <v>217</v>
      </c>
      <c r="F15" s="76" t="s">
        <v>218</v>
      </c>
      <c r="G15" s="76" t="s">
        <v>163</v>
      </c>
    </row>
    <row r="16" ht="13.15" customHeight="1" spans="2:7">
      <c r="B16" s="74">
        <v>1</v>
      </c>
      <c r="C16" s="77"/>
      <c r="D16" s="78"/>
      <c r="E16" s="73"/>
      <c r="F16" s="78"/>
      <c r="G16" s="77"/>
    </row>
    <row r="17" ht="13.15" customHeight="1" spans="2:7">
      <c r="B17" s="74">
        <v>2</v>
      </c>
      <c r="C17" s="79"/>
      <c r="D17" s="78"/>
      <c r="E17" s="73"/>
      <c r="F17" s="78"/>
      <c r="G17" s="77"/>
    </row>
    <row r="18" ht="13.15" customHeight="1" spans="2:7">
      <c r="B18" s="80">
        <v>3</v>
      </c>
      <c r="C18" s="62"/>
      <c r="D18" s="81"/>
      <c r="E18" s="73"/>
      <c r="F18" s="78"/>
      <c r="G18" s="77"/>
    </row>
    <row r="19" ht="13.15" customHeight="1" spans="2:7">
      <c r="B19" s="80">
        <v>4</v>
      </c>
      <c r="C19" s="62"/>
      <c r="D19" s="81"/>
      <c r="E19" s="73"/>
      <c r="F19" s="78"/>
      <c r="G19" s="77"/>
    </row>
    <row r="20" ht="13.15" customHeight="1" spans="2:7">
      <c r="B20" s="80">
        <v>5</v>
      </c>
      <c r="C20" s="62"/>
      <c r="D20" s="81"/>
      <c r="E20" s="73"/>
      <c r="F20" s="78"/>
      <c r="G20" s="77"/>
    </row>
    <row r="21" ht="13.15" customHeight="1" spans="2:7">
      <c r="B21" s="80">
        <v>6</v>
      </c>
      <c r="C21" s="62"/>
      <c r="D21" s="81"/>
      <c r="E21" s="73"/>
      <c r="F21" s="78"/>
      <c r="G21" s="77"/>
    </row>
    <row r="22" ht="13.15" customHeight="1" spans="2:7">
      <c r="B22" s="80">
        <v>7</v>
      </c>
      <c r="C22" s="62"/>
      <c r="D22" s="81"/>
      <c r="E22" s="73"/>
      <c r="F22" s="78"/>
      <c r="G22" s="77"/>
    </row>
    <row r="23" ht="13.15" customHeight="1" spans="2:7">
      <c r="B23" s="80">
        <v>8</v>
      </c>
      <c r="C23" s="62"/>
      <c r="D23" s="81"/>
      <c r="E23" s="73"/>
      <c r="F23" s="78"/>
      <c r="G23" s="77"/>
    </row>
    <row r="24" ht="13.15" customHeight="1" spans="2:7">
      <c r="B24" s="80">
        <v>9</v>
      </c>
      <c r="C24" s="53"/>
      <c r="D24" s="81"/>
      <c r="E24" s="73"/>
      <c r="F24" s="78"/>
      <c r="G24" s="77"/>
    </row>
    <row r="25" ht="13.15" customHeight="1" spans="2:7">
      <c r="B25" s="80">
        <v>10</v>
      </c>
      <c r="C25" s="62"/>
      <c r="D25" s="81"/>
      <c r="E25" s="73"/>
      <c r="F25" s="78"/>
      <c r="G25" s="77"/>
    </row>
    <row r="26" ht="13.15" customHeight="1" spans="2:7">
      <c r="B26" s="80">
        <v>11</v>
      </c>
      <c r="C26" s="62"/>
      <c r="D26" s="81"/>
      <c r="E26" s="73"/>
      <c r="F26" s="78"/>
      <c r="G26" s="77"/>
    </row>
    <row r="27" ht="13.15" customHeight="1" spans="2:7">
      <c r="B27" s="80">
        <v>12</v>
      </c>
      <c r="C27" s="62"/>
      <c r="D27" s="81"/>
      <c r="E27" s="73"/>
      <c r="F27" s="78"/>
      <c r="G27" s="77"/>
    </row>
    <row r="28" ht="13.15" customHeight="1" spans="2:7">
      <c r="B28" s="80">
        <v>13</v>
      </c>
      <c r="C28" s="62"/>
      <c r="D28" s="81"/>
      <c r="E28" s="73"/>
      <c r="F28" s="78"/>
      <c r="G28" s="77"/>
    </row>
    <row r="29" ht="13.15" customHeight="1" spans="2:7">
      <c r="B29" s="80">
        <v>14</v>
      </c>
      <c r="C29" s="62"/>
      <c r="D29" s="81"/>
      <c r="E29" s="73"/>
      <c r="F29" s="78"/>
      <c r="G29" s="77"/>
    </row>
    <row r="30" ht="13.15" customHeight="1" spans="2:7">
      <c r="B30" s="80">
        <v>15</v>
      </c>
      <c r="C30" s="53"/>
      <c r="D30" s="81"/>
      <c r="E30" s="73"/>
      <c r="F30" s="78"/>
      <c r="G30" s="77"/>
    </row>
    <row r="31" ht="20" customHeight="1" spans="2:7">
      <c r="B31" s="74" t="s">
        <v>219</v>
      </c>
      <c r="C31" s="74"/>
      <c r="D31" s="74"/>
      <c r="E31" s="74"/>
      <c r="F31" s="84">
        <f>SUM(F16:F30)</f>
        <v>0</v>
      </c>
      <c r="G31" s="74"/>
    </row>
    <row r="32" ht="13.15" customHeight="1" spans="2:7">
      <c r="B32" s="75"/>
      <c r="C32" s="75"/>
      <c r="D32" s="75"/>
      <c r="E32" s="75"/>
      <c r="F32" s="75"/>
      <c r="G32" s="75"/>
    </row>
    <row r="33" ht="20" customHeight="1" spans="2:7">
      <c r="B33" s="75"/>
      <c r="C33" s="74" t="s">
        <v>220</v>
      </c>
      <c r="D33" s="74">
        <f>F12+F31</f>
        <v>0</v>
      </c>
      <c r="E33" s="75"/>
      <c r="F33" s="75"/>
      <c r="G33" s="75"/>
    </row>
    <row r="34" ht="20" customHeight="1" spans="2:7">
      <c r="B34" s="82"/>
      <c r="C34" s="77" t="s">
        <v>221</v>
      </c>
      <c r="D34" s="83">
        <f>D33/1.13</f>
        <v>0</v>
      </c>
      <c r="E34" s="82"/>
      <c r="F34" s="82"/>
      <c r="G34" s="82"/>
    </row>
  </sheetData>
  <sheetProtection formatCells="0" insertHyperlinks="0" autoFilter="0"/>
  <mergeCells count="4">
    <mergeCell ref="B1:G1"/>
    <mergeCell ref="B12:E12"/>
    <mergeCell ref="B14:G14"/>
    <mergeCell ref="B31:E3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29"/>
  <sheetViews>
    <sheetView workbookViewId="0">
      <selection activeCell="H8" sqref="H8"/>
    </sheetView>
  </sheetViews>
  <sheetFormatPr defaultColWidth="10" defaultRowHeight="12.75" outlineLevelCol="6"/>
  <cols>
    <col min="1" max="1" width="3.14285714285714" customWidth="1"/>
    <col min="2" max="2" width="9" customWidth="1"/>
    <col min="3" max="3" width="19.0761904761905" customWidth="1"/>
    <col min="4" max="4" width="13.5047619047619" customWidth="1"/>
    <col min="5" max="5" width="15.7904761904762" customWidth="1"/>
    <col min="6" max="6" width="16.5714285714286" customWidth="1"/>
    <col min="7" max="7" width="14.7904761904762" customWidth="1"/>
  </cols>
  <sheetData>
    <row r="1" ht="13.5" customHeight="1" spans="2:7">
      <c r="B1" s="43" t="s">
        <v>222</v>
      </c>
      <c r="C1" s="43"/>
      <c r="D1" s="43"/>
      <c r="E1" s="43"/>
      <c r="F1" s="43"/>
      <c r="G1" s="43"/>
    </row>
    <row r="2" ht="13.5" customHeight="1" spans="2:7">
      <c r="B2" s="44" t="s">
        <v>223</v>
      </c>
      <c r="C2" s="44" t="s">
        <v>224</v>
      </c>
      <c r="D2" s="44" t="s">
        <v>225</v>
      </c>
      <c r="E2" s="44" t="s">
        <v>226</v>
      </c>
      <c r="F2" s="44"/>
      <c r="G2" s="44" t="s">
        <v>162</v>
      </c>
    </row>
    <row r="3" customHeight="1" spans="2:7">
      <c r="B3" s="44"/>
      <c r="C3" s="44"/>
      <c r="D3" s="44"/>
      <c r="E3" s="69"/>
      <c r="F3" s="69"/>
      <c r="G3" s="44"/>
    </row>
    <row r="4" ht="13.5" customHeight="1" spans="2:7">
      <c r="B4" s="53" t="s">
        <v>227</v>
      </c>
      <c r="C4" s="53"/>
      <c r="D4" s="53"/>
      <c r="E4" s="70"/>
      <c r="F4" s="70"/>
      <c r="G4" s="70">
        <f>SUM(E4:F8)</f>
        <v>0</v>
      </c>
    </row>
    <row r="5" ht="13.5" customHeight="1" spans="2:7">
      <c r="B5" s="53"/>
      <c r="C5" s="53"/>
      <c r="D5" s="53"/>
      <c r="E5" s="70"/>
      <c r="F5" s="70"/>
      <c r="G5" s="53"/>
    </row>
    <row r="6" ht="13.5" customHeight="1" spans="2:7">
      <c r="B6" s="53"/>
      <c r="C6" s="53"/>
      <c r="D6" s="53"/>
      <c r="E6" s="70"/>
      <c r="F6" s="70"/>
      <c r="G6" s="53"/>
    </row>
    <row r="7" ht="13.5" customHeight="1" spans="2:7">
      <c r="B7" s="53"/>
      <c r="C7" s="53"/>
      <c r="D7" s="53"/>
      <c r="E7" s="70"/>
      <c r="F7" s="70"/>
      <c r="G7" s="53"/>
    </row>
    <row r="8" ht="13.5" customHeight="1" spans="2:7">
      <c r="B8" s="53"/>
      <c r="C8" s="53"/>
      <c r="D8" s="53"/>
      <c r="E8" s="70"/>
      <c r="F8" s="70"/>
      <c r="G8" s="53"/>
    </row>
    <row r="9" ht="13.5" customHeight="1" spans="2:7">
      <c r="B9" s="53" t="s">
        <v>228</v>
      </c>
      <c r="C9" s="53"/>
      <c r="D9" s="53"/>
      <c r="E9" s="70"/>
      <c r="F9" s="70"/>
      <c r="G9" s="70">
        <f>SUM(E9:F11)</f>
        <v>0</v>
      </c>
    </row>
    <row r="10" ht="13.5" customHeight="1" spans="2:7">
      <c r="B10" s="53"/>
      <c r="C10" s="53"/>
      <c r="D10" s="53"/>
      <c r="E10" s="70"/>
      <c r="F10" s="70"/>
      <c r="G10" s="53"/>
    </row>
    <row r="11" ht="13.5" customHeight="1" spans="2:7">
      <c r="B11" s="53"/>
      <c r="C11" s="53"/>
      <c r="D11" s="53"/>
      <c r="E11" s="70"/>
      <c r="F11" s="70"/>
      <c r="G11" s="53"/>
    </row>
    <row r="12" ht="13.5" customHeight="1" spans="2:7">
      <c r="B12" s="53" t="s">
        <v>229</v>
      </c>
      <c r="C12" s="53"/>
      <c r="D12" s="53"/>
      <c r="E12" s="70"/>
      <c r="F12" s="70"/>
      <c r="G12" s="70">
        <f>SUM(E12:F14)</f>
        <v>0</v>
      </c>
    </row>
    <row r="13" ht="13.5" customHeight="1" spans="2:7">
      <c r="B13" s="53"/>
      <c r="C13" s="53"/>
      <c r="D13" s="53"/>
      <c r="E13" s="70"/>
      <c r="F13" s="70"/>
      <c r="G13" s="53"/>
    </row>
    <row r="14" ht="13.5" customHeight="1" spans="2:7">
      <c r="B14" s="53"/>
      <c r="C14" s="53"/>
      <c r="D14" s="53"/>
      <c r="E14" s="70"/>
      <c r="F14" s="70"/>
      <c r="G14" s="53"/>
    </row>
    <row r="15" ht="13.5" customHeight="1" spans="2:7">
      <c r="B15" s="53" t="s">
        <v>230</v>
      </c>
      <c r="C15" s="53"/>
      <c r="D15" s="53"/>
      <c r="E15" s="70"/>
      <c r="F15" s="70"/>
      <c r="G15" s="70">
        <f>SUM(E15:F24)</f>
        <v>0</v>
      </c>
    </row>
    <row r="16" ht="13.5" customHeight="1" spans="2:7">
      <c r="B16" s="53"/>
      <c r="C16" s="53"/>
      <c r="D16" s="53"/>
      <c r="E16" s="70"/>
      <c r="F16" s="70"/>
      <c r="G16" s="53"/>
    </row>
    <row r="17" ht="13.15" customHeight="1" spans="2:7">
      <c r="B17" s="53"/>
      <c r="C17" s="53"/>
      <c r="D17" s="53"/>
      <c r="E17" s="70"/>
      <c r="F17" s="70"/>
      <c r="G17" s="53"/>
    </row>
    <row r="18" ht="13.15" customHeight="1" spans="2:7">
      <c r="B18" s="53"/>
      <c r="C18" s="53"/>
      <c r="D18" s="53"/>
      <c r="E18" s="70"/>
      <c r="F18" s="70"/>
      <c r="G18" s="53"/>
    </row>
    <row r="19" ht="13.15" customHeight="1" spans="2:7">
      <c r="B19" s="53"/>
      <c r="C19" s="53"/>
      <c r="D19" s="53"/>
      <c r="E19" s="70"/>
      <c r="F19" s="70"/>
      <c r="G19" s="53"/>
    </row>
    <row r="20" ht="13.15" customHeight="1" spans="2:7">
      <c r="B20" s="53"/>
      <c r="C20" s="53"/>
      <c r="D20" s="53"/>
      <c r="E20" s="70"/>
      <c r="F20" s="70"/>
      <c r="G20" s="53"/>
    </row>
    <row r="21" ht="13.15" customHeight="1" spans="2:7">
      <c r="B21" s="53"/>
      <c r="C21" s="53"/>
      <c r="D21" s="53"/>
      <c r="E21" s="70"/>
      <c r="F21" s="70"/>
      <c r="G21" s="53"/>
    </row>
    <row r="22" ht="13.15" customHeight="1" spans="2:7">
      <c r="B22" s="53"/>
      <c r="C22" s="53"/>
      <c r="D22" s="53"/>
      <c r="E22" s="70"/>
      <c r="F22" s="70"/>
      <c r="G22" s="53"/>
    </row>
    <row r="23" ht="13.15" customHeight="1" spans="2:7">
      <c r="B23" s="53"/>
      <c r="C23" s="53"/>
      <c r="D23" s="53"/>
      <c r="E23" s="70"/>
      <c r="F23" s="70"/>
      <c r="G23" s="53"/>
    </row>
    <row r="24" customHeight="1" spans="2:7">
      <c r="B24" s="53"/>
      <c r="C24" s="53"/>
      <c r="D24" s="53"/>
      <c r="E24" s="70"/>
      <c r="F24" s="70"/>
      <c r="G24" s="53"/>
    </row>
    <row r="25" ht="13.5" customHeight="1" spans="2:7">
      <c r="B25" s="53" t="s">
        <v>231</v>
      </c>
      <c r="C25" s="53"/>
      <c r="D25" s="53"/>
      <c r="E25" s="70"/>
      <c r="F25" s="70"/>
      <c r="G25" s="70">
        <f>SUM(E25:F27)</f>
        <v>0</v>
      </c>
    </row>
    <row r="26" ht="13.5" customHeight="1" spans="2:7">
      <c r="B26" s="53"/>
      <c r="C26" s="53"/>
      <c r="D26" s="53"/>
      <c r="E26" s="70"/>
      <c r="F26" s="70"/>
      <c r="G26" s="53"/>
    </row>
    <row r="27" ht="13.5" customHeight="1" spans="2:7">
      <c r="B27" s="53"/>
      <c r="C27" s="53"/>
      <c r="D27" s="53"/>
      <c r="E27" s="70"/>
      <c r="F27" s="70"/>
      <c r="G27" s="53"/>
    </row>
    <row r="28" ht="13.5" customHeight="1" spans="2:7">
      <c r="B28" s="68"/>
      <c r="C28" s="68"/>
      <c r="D28" s="68"/>
      <c r="E28" s="53" t="s">
        <v>176</v>
      </c>
      <c r="F28" s="53"/>
      <c r="G28" s="70">
        <f>SUM(G4:G27)</f>
        <v>0</v>
      </c>
    </row>
    <row r="29" ht="13.5" customHeight="1" spans="2:7">
      <c r="B29" s="68"/>
      <c r="C29" s="68"/>
      <c r="D29" s="68"/>
      <c r="E29" s="53" t="s">
        <v>177</v>
      </c>
      <c r="F29" s="53"/>
      <c r="G29" s="57">
        <f>G28/1.06</f>
        <v>0</v>
      </c>
    </row>
  </sheetData>
  <sheetProtection formatCells="0" insertHyperlinks="0" autoFilter="0"/>
  <mergeCells count="18">
    <mergeCell ref="B1:G1"/>
    <mergeCell ref="E2:F2"/>
    <mergeCell ref="E25:F25"/>
    <mergeCell ref="E26:F26"/>
    <mergeCell ref="B2:B3"/>
    <mergeCell ref="B4:B8"/>
    <mergeCell ref="B9:B11"/>
    <mergeCell ref="B12:B14"/>
    <mergeCell ref="B15:B24"/>
    <mergeCell ref="B25:B27"/>
    <mergeCell ref="C2:C3"/>
    <mergeCell ref="D2:D3"/>
    <mergeCell ref="G2:G3"/>
    <mergeCell ref="G4:G8"/>
    <mergeCell ref="G9:G11"/>
    <mergeCell ref="G12:G14"/>
    <mergeCell ref="G15:G24"/>
    <mergeCell ref="G25:G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6"/>
  <sheetViews>
    <sheetView workbookViewId="0">
      <selection activeCell="B26" sqref="B26:H26"/>
    </sheetView>
  </sheetViews>
  <sheetFormatPr defaultColWidth="10" defaultRowHeight="12.75" outlineLevelCol="7"/>
  <cols>
    <col min="1" max="1" width="3.63809523809524" customWidth="1"/>
    <col min="2" max="2" width="14.1428571428571" customWidth="1"/>
    <col min="3" max="3" width="7.42857142857143" customWidth="1"/>
    <col min="4" max="7" width="13.847619047619" customWidth="1"/>
    <col min="8" max="8" width="13.5714285714286" customWidth="1"/>
  </cols>
  <sheetData>
    <row r="1" ht="13.5" customHeight="1" spans="2:8">
      <c r="B1" s="43" t="s">
        <v>232</v>
      </c>
      <c r="C1" s="43"/>
      <c r="D1" s="43"/>
      <c r="E1" s="43"/>
      <c r="F1" s="43"/>
      <c r="G1" s="43"/>
      <c r="H1" s="43"/>
    </row>
    <row r="2" ht="13.5" customHeight="1" spans="2:8">
      <c r="B2" s="44" t="s">
        <v>233</v>
      </c>
      <c r="C2" s="44"/>
      <c r="D2" s="44" t="s">
        <v>194</v>
      </c>
      <c r="E2" s="44"/>
      <c r="F2" s="44"/>
      <c r="G2" s="44"/>
      <c r="H2" s="44"/>
    </row>
    <row r="3" ht="53" customHeight="1" spans="2:8">
      <c r="B3" s="44"/>
      <c r="C3" s="44"/>
      <c r="D3" s="45"/>
      <c r="E3" s="45"/>
      <c r="F3" s="45"/>
      <c r="G3" s="45"/>
      <c r="H3" s="44" t="s">
        <v>234</v>
      </c>
    </row>
    <row r="4" ht="13.15" customHeight="1" spans="2:8">
      <c r="B4" s="46" t="s">
        <v>121</v>
      </c>
      <c r="C4" s="46"/>
      <c r="D4" s="47"/>
      <c r="E4" s="47"/>
      <c r="F4" s="47"/>
      <c r="G4" s="47"/>
      <c r="H4" s="47"/>
    </row>
    <row r="5" customHeight="1" spans="2:8">
      <c r="B5" s="46" t="s">
        <v>116</v>
      </c>
      <c r="C5" s="46"/>
      <c r="D5" s="47"/>
      <c r="E5" s="47"/>
      <c r="F5" s="47"/>
      <c r="G5" s="47"/>
      <c r="H5" s="61"/>
    </row>
    <row r="6" ht="13.5" customHeight="1" spans="2:8">
      <c r="B6" s="46" t="s">
        <v>122</v>
      </c>
      <c r="C6" s="46"/>
      <c r="D6" s="47"/>
      <c r="E6" s="47"/>
      <c r="F6" s="47"/>
      <c r="G6" s="47"/>
      <c r="H6" s="53"/>
    </row>
    <row r="7" ht="13.5" customHeight="1" spans="2:8">
      <c r="B7" s="46" t="s">
        <v>134</v>
      </c>
      <c r="C7" s="46"/>
      <c r="D7" s="47"/>
      <c r="E7" s="47"/>
      <c r="F7" s="47"/>
      <c r="G7" s="47"/>
      <c r="H7" s="53"/>
    </row>
    <row r="8" ht="13.5" customHeight="1" spans="2:8">
      <c r="B8" s="46" t="s">
        <v>235</v>
      </c>
      <c r="C8" s="46"/>
      <c r="D8" s="47"/>
      <c r="E8" s="47"/>
      <c r="F8" s="47"/>
      <c r="G8" s="47"/>
      <c r="H8" s="53"/>
    </row>
    <row r="9" ht="13.5" customHeight="1" spans="2:8">
      <c r="B9" s="46" t="s">
        <v>117</v>
      </c>
      <c r="C9" s="46"/>
      <c r="D9" s="47"/>
      <c r="E9" s="47"/>
      <c r="F9" s="47"/>
      <c r="G9" s="47"/>
      <c r="H9" s="53"/>
    </row>
    <row r="10" ht="13.5" customHeight="1" spans="2:8">
      <c r="B10" s="46" t="s">
        <v>128</v>
      </c>
      <c r="C10" s="48"/>
      <c r="D10" s="47"/>
      <c r="E10" s="47"/>
      <c r="F10" s="47"/>
      <c r="G10" s="47"/>
      <c r="H10" s="53"/>
    </row>
    <row r="11" ht="13.5" customHeight="1" spans="2:8">
      <c r="B11" s="46" t="s">
        <v>184</v>
      </c>
      <c r="C11" s="48"/>
      <c r="D11" s="47"/>
      <c r="E11" s="47"/>
      <c r="F11" s="47"/>
      <c r="G11" s="47"/>
      <c r="H11" s="53"/>
    </row>
    <row r="12" ht="13.5" customHeight="1" spans="2:8">
      <c r="B12" s="46" t="s">
        <v>185</v>
      </c>
      <c r="C12" s="48"/>
      <c r="D12" s="47"/>
      <c r="E12" s="47"/>
      <c r="F12" s="47"/>
      <c r="G12" s="47"/>
      <c r="H12" s="53"/>
    </row>
    <row r="13" ht="13.5" customHeight="1" spans="2:8">
      <c r="B13" s="46" t="s">
        <v>236</v>
      </c>
      <c r="C13" s="48"/>
      <c r="D13" s="47"/>
      <c r="E13" s="47"/>
      <c r="F13" s="47"/>
      <c r="G13" s="47"/>
      <c r="H13" s="53"/>
    </row>
    <row r="14" ht="49.8" customHeight="1" spans="2:8">
      <c r="B14" s="46" t="s">
        <v>118</v>
      </c>
      <c r="C14" s="46"/>
      <c r="D14" s="49"/>
      <c r="E14" s="49"/>
      <c r="F14" s="49"/>
      <c r="G14" s="49"/>
      <c r="H14" s="62"/>
    </row>
    <row r="15" ht="13.5" customHeight="1" spans="2:8">
      <c r="B15" s="46" t="s">
        <v>237</v>
      </c>
      <c r="C15" s="46"/>
      <c r="D15" s="47"/>
      <c r="E15" s="47"/>
      <c r="F15" s="47"/>
      <c r="G15" s="47"/>
      <c r="H15" s="53"/>
    </row>
    <row r="16" ht="13.45" customHeight="1" spans="2:8">
      <c r="B16" s="46" t="s">
        <v>187</v>
      </c>
      <c r="C16" s="50"/>
      <c r="D16" s="47"/>
      <c r="E16" s="47"/>
      <c r="F16" s="47"/>
      <c r="G16" s="47"/>
      <c r="H16" s="63"/>
    </row>
    <row r="17" ht="13.45" customHeight="1" spans="2:8">
      <c r="B17" s="46" t="s">
        <v>188</v>
      </c>
      <c r="C17" s="51"/>
      <c r="D17" s="47"/>
      <c r="E17" s="47"/>
      <c r="F17" s="47"/>
      <c r="G17" s="47"/>
      <c r="H17" s="53"/>
    </row>
    <row r="18" ht="13.5" customHeight="1" spans="2:8">
      <c r="B18" s="48" t="s">
        <v>238</v>
      </c>
      <c r="C18" s="52"/>
      <c r="D18" s="47"/>
      <c r="E18" s="47"/>
      <c r="F18" s="47"/>
      <c r="G18" s="47"/>
      <c r="H18" s="47"/>
    </row>
    <row r="19" ht="13.5" customHeight="1" spans="2:8">
      <c r="B19" s="48" t="s">
        <v>239</v>
      </c>
      <c r="C19" s="52"/>
      <c r="D19" s="47"/>
      <c r="E19" s="47"/>
      <c r="F19" s="47"/>
      <c r="G19" s="47"/>
      <c r="H19" s="47"/>
    </row>
    <row r="20" customHeight="1" spans="2:8">
      <c r="B20" s="48"/>
      <c r="C20" s="52"/>
      <c r="D20" s="47"/>
      <c r="E20" s="47"/>
      <c r="F20" s="64"/>
      <c r="G20" s="64"/>
      <c r="H20" s="64"/>
    </row>
    <row r="21" ht="13.5" customHeight="1" spans="2:8">
      <c r="B21" s="53"/>
      <c r="C21" s="54"/>
      <c r="D21" s="47"/>
      <c r="E21" s="47"/>
      <c r="F21" s="47"/>
      <c r="G21" s="47"/>
      <c r="H21" s="65"/>
    </row>
    <row r="22" ht="13.5" customHeight="1" spans="2:8">
      <c r="B22" s="55" t="s">
        <v>240</v>
      </c>
      <c r="C22" s="56"/>
      <c r="D22" s="57"/>
      <c r="E22" s="57"/>
      <c r="F22" s="64"/>
      <c r="G22" s="64"/>
      <c r="H22" s="64"/>
    </row>
    <row r="23" ht="13.5" customHeight="1" spans="2:8">
      <c r="B23" s="53" t="s">
        <v>205</v>
      </c>
      <c r="C23" s="53"/>
      <c r="D23" s="58">
        <f>D22*D21+E21*E22</f>
        <v>0</v>
      </c>
      <c r="E23" s="58"/>
      <c r="F23" s="66"/>
      <c r="G23" s="66"/>
      <c r="H23" s="66"/>
    </row>
    <row r="24" ht="13.5" customHeight="1" spans="2:8">
      <c r="B24" s="1"/>
      <c r="C24" s="59"/>
      <c r="D24" s="53"/>
      <c r="E24" s="64">
        <f>SUM(D23:H23)</f>
        <v>0</v>
      </c>
      <c r="F24" s="64"/>
      <c r="G24" s="64"/>
      <c r="H24" s="64"/>
    </row>
    <row r="25" ht="13.5" customHeight="1" spans="2:8">
      <c r="B25" s="59"/>
      <c r="C25" s="59"/>
      <c r="D25" s="53"/>
      <c r="E25" s="67">
        <f>E24/1.13</f>
        <v>0</v>
      </c>
      <c r="F25" s="67"/>
      <c r="G25" s="67"/>
      <c r="H25" s="67"/>
    </row>
    <row r="26" ht="49.8" customHeight="1" spans="2:8">
      <c r="B26" s="60" t="s">
        <v>241</v>
      </c>
      <c r="C26" s="60"/>
      <c r="D26" s="60"/>
      <c r="E26" s="60"/>
      <c r="F26" s="60"/>
      <c r="G26" s="60"/>
      <c r="H26" s="60"/>
    </row>
  </sheetData>
  <sheetProtection formatCells="0" insertHyperlinks="0" autoFilter="0"/>
  <mergeCells count="27">
    <mergeCell ref="B1:H1"/>
    <mergeCell ref="D2:H2"/>
    <mergeCell ref="B21:C21"/>
    <mergeCell ref="B22:C22"/>
    <mergeCell ref="B23:C23"/>
    <mergeCell ref="D23:H23"/>
    <mergeCell ref="E24:H24"/>
    <mergeCell ref="E25:H25"/>
    <mergeCell ref="B26:H26"/>
    <mergeCell ref="C10:C12"/>
    <mergeCell ref="C18:C19"/>
    <mergeCell ref="D7:D9"/>
    <mergeCell ref="D10:D12"/>
    <mergeCell ref="D18:D19"/>
    <mergeCell ref="E7:E9"/>
    <mergeCell ref="E10:E12"/>
    <mergeCell ref="E18:E19"/>
    <mergeCell ref="F7:F9"/>
    <mergeCell ref="F10:F12"/>
    <mergeCell ref="F18:F19"/>
    <mergeCell ref="G7:G9"/>
    <mergeCell ref="G10:G12"/>
    <mergeCell ref="G18:G19"/>
    <mergeCell ref="H7:H9"/>
    <mergeCell ref="H10:H12"/>
    <mergeCell ref="H18:H19"/>
    <mergeCell ref="B2:C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10" defaultRowHeight="12.75" outlineLevelCol="5"/>
  <cols>
    <col min="1" max="1" width="8.63809523809524" customWidth="1"/>
    <col min="2" max="2" width="22" customWidth="1"/>
    <col min="3" max="3" width="32.7904761904762" customWidth="1"/>
    <col min="4" max="4" width="32.4285714285714" customWidth="1"/>
    <col min="5" max="5" width="37.2095238095238" customWidth="1"/>
    <col min="6" max="6" width="25.6380952380952" customWidth="1"/>
  </cols>
  <sheetData>
    <row r="1" ht="15" customHeight="1"/>
    <row r="2" ht="18.75" customHeight="1" spans="1:6">
      <c r="A2" s="1"/>
      <c r="B2" s="26" t="s">
        <v>242</v>
      </c>
      <c r="C2" s="26"/>
      <c r="D2" s="26"/>
      <c r="E2" s="5" t="s">
        <v>243</v>
      </c>
      <c r="F2" s="5" t="s">
        <v>244</v>
      </c>
    </row>
    <row r="3" ht="18.75" customHeight="1" spans="1:6">
      <c r="A3" s="1"/>
      <c r="B3" s="26"/>
      <c r="C3" s="26"/>
      <c r="D3" s="26"/>
      <c r="E3" s="5" t="s">
        <v>245</v>
      </c>
      <c r="F3" s="5" t="s">
        <v>246</v>
      </c>
    </row>
    <row r="4" ht="18.75" customHeight="1" spans="2:6">
      <c r="B4" s="26"/>
      <c r="C4" s="26"/>
      <c r="D4" s="26"/>
      <c r="E4" s="5" t="s">
        <v>247</v>
      </c>
      <c r="F4" s="5" t="s">
        <v>248</v>
      </c>
    </row>
    <row r="5" ht="30" customHeight="1" spans="2:6">
      <c r="B5" s="27" t="s">
        <v>249</v>
      </c>
      <c r="C5" s="27" t="s">
        <v>250</v>
      </c>
      <c r="D5" s="28" t="s">
        <v>251</v>
      </c>
      <c r="E5" s="27" t="s">
        <v>252</v>
      </c>
      <c r="F5" s="27" t="s">
        <v>163</v>
      </c>
    </row>
    <row r="6" ht="30" customHeight="1" spans="2:6">
      <c r="B6" s="5" t="s">
        <v>253</v>
      </c>
      <c r="C6" s="6" t="e">
        <f>#REF!</f>
        <v>#REF!</v>
      </c>
      <c r="D6" s="7">
        <v>100000</v>
      </c>
      <c r="E6" s="6" t="e">
        <f>C6/D6</f>
        <v>#REF!</v>
      </c>
      <c r="F6" s="5"/>
    </row>
    <row r="7" ht="30" customHeight="1" spans="2:6">
      <c r="B7" s="22" t="s">
        <v>254</v>
      </c>
      <c r="C7" s="29">
        <f>产品端费用列表!C10</f>
        <v>0</v>
      </c>
      <c r="D7" s="30"/>
      <c r="E7" s="29">
        <f>C7/D6</f>
        <v>0</v>
      </c>
      <c r="F7" s="22"/>
    </row>
    <row r="8" ht="30" customHeight="1" spans="2:6">
      <c r="B8" s="5" t="s">
        <v>255</v>
      </c>
      <c r="C8" s="6" t="e">
        <f>#REF!</f>
        <v>#REF!</v>
      </c>
      <c r="D8" s="30"/>
      <c r="E8" s="6" t="e">
        <f>C8/D6</f>
        <v>#REF!</v>
      </c>
      <c r="F8" s="5"/>
    </row>
    <row r="9" ht="30" customHeight="1" spans="2:6">
      <c r="B9" s="5" t="s">
        <v>222</v>
      </c>
      <c r="C9" s="6" t="e">
        <f>#REF!</f>
        <v>#REF!</v>
      </c>
      <c r="D9" s="30"/>
      <c r="E9" s="6" t="e">
        <f>C9/D6</f>
        <v>#REF!</v>
      </c>
      <c r="F9" s="5"/>
    </row>
    <row r="10" ht="30" customHeight="1" spans="2:6">
      <c r="B10" s="5" t="s">
        <v>256</v>
      </c>
      <c r="C10" s="6">
        <f>专利费用列表!F13</f>
        <v>0</v>
      </c>
      <c r="D10" s="30"/>
      <c r="E10" s="6">
        <f>C10/D6</f>
        <v>0</v>
      </c>
      <c r="F10" s="5"/>
    </row>
    <row r="11" ht="30" customHeight="1" spans="2:6">
      <c r="B11" s="5" t="s">
        <v>157</v>
      </c>
      <c r="C11" s="6" t="e">
        <f>#REF!</f>
        <v>#REF!</v>
      </c>
      <c r="D11" s="30"/>
      <c r="E11" s="6" t="e">
        <f>C11/D6</f>
        <v>#REF!</v>
      </c>
      <c r="F11" s="5"/>
    </row>
    <row r="12" ht="30" customHeight="1" spans="2:6">
      <c r="B12" s="5" t="s">
        <v>257</v>
      </c>
      <c r="C12" s="6">
        <f>其它费用列表!C8</f>
        <v>0</v>
      </c>
      <c r="D12" s="22"/>
      <c r="E12" s="6">
        <f>C12/D6</f>
        <v>0</v>
      </c>
      <c r="F12" s="5"/>
    </row>
    <row r="13" ht="13.5" customHeight="1" spans="5:5">
      <c r="E13" s="34"/>
    </row>
    <row r="14" ht="13.5" customHeight="1" spans="2:5">
      <c r="B14" s="27" t="s">
        <v>176</v>
      </c>
      <c r="C14" s="6" t="e">
        <f>SUM(C6:C12)</f>
        <v>#REF!</v>
      </c>
      <c r="D14" s="31" t="s">
        <v>258</v>
      </c>
      <c r="E14" s="8" t="e">
        <f>SUM(E6:E12)</f>
        <v>#REF!</v>
      </c>
    </row>
    <row r="15" ht="13.5" customHeight="1" spans="2:5">
      <c r="B15" s="27"/>
      <c r="C15" s="6"/>
      <c r="D15" s="32"/>
      <c r="E15" s="29"/>
    </row>
    <row r="16" ht="13.5" customHeight="1" spans="2:5">
      <c r="B16" s="33"/>
      <c r="C16" s="34"/>
      <c r="D16" s="33"/>
      <c r="E16" s="34"/>
    </row>
    <row r="17" ht="13.5" customHeight="1" spans="2:5">
      <c r="B17" s="35" t="s">
        <v>259</v>
      </c>
      <c r="C17" s="36" t="e">
        <f>E14+BOM及物流售后成本列表!E16</f>
        <v>#REF!</v>
      </c>
      <c r="D17" s="33"/>
      <c r="E17" s="34"/>
    </row>
    <row r="18" ht="13.5" customHeight="1" spans="2:5">
      <c r="B18" s="35"/>
      <c r="C18" s="36"/>
      <c r="D18" s="33"/>
      <c r="E18" s="34"/>
    </row>
    <row r="20" ht="13.5" customHeight="1" spans="2:6">
      <c r="B20" s="37" t="s">
        <v>260</v>
      </c>
      <c r="C20" s="38"/>
      <c r="D20" s="38"/>
      <c r="E20" s="38"/>
      <c r="F20" s="41"/>
    </row>
    <row r="21" ht="13.5" customHeight="1" spans="2:6">
      <c r="B21" s="39"/>
      <c r="C21" s="40"/>
      <c r="D21" s="40"/>
      <c r="E21" s="40"/>
      <c r="F21" s="42"/>
    </row>
  </sheetData>
  <sheetProtection formatCells="0" insertHyperlinks="0" autoFilter="0"/>
  <mergeCells count="9">
    <mergeCell ref="B14:B15"/>
    <mergeCell ref="B17:B18"/>
    <mergeCell ref="C14:C15"/>
    <mergeCell ref="C17:C18"/>
    <mergeCell ref="D6:D12"/>
    <mergeCell ref="D14:D15"/>
    <mergeCell ref="E14:E15"/>
    <mergeCell ref="B2:D4"/>
    <mergeCell ref="B20:F2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1" sqref="A1"/>
    </sheetView>
  </sheetViews>
  <sheetFormatPr defaultColWidth="10" defaultRowHeight="12.75" outlineLevelCol="4"/>
  <cols>
    <col min="1" max="1" width="3.63809523809524" customWidth="1"/>
    <col min="2" max="2" width="16.4285714285714" customWidth="1"/>
    <col min="3" max="3" width="17.6380952380952" customWidth="1"/>
    <col min="4" max="4" width="25.4285714285714" customWidth="1"/>
    <col min="5" max="5" width="9" customWidth="1"/>
  </cols>
  <sheetData>
    <row r="1" ht="20.25" customHeight="1"/>
    <row r="2" ht="25.05" customHeight="1" spans="1:4">
      <c r="A2" s="3"/>
      <c r="B2" s="20" t="s">
        <v>158</v>
      </c>
      <c r="C2" s="20" t="s">
        <v>226</v>
      </c>
      <c r="D2" s="20" t="s">
        <v>163</v>
      </c>
    </row>
    <row r="3" ht="20.25" customHeight="1" spans="2:4">
      <c r="B3" s="7" t="s">
        <v>261</v>
      </c>
      <c r="C3" s="6"/>
      <c r="D3" s="21"/>
    </row>
    <row r="4" ht="20.25" customHeight="1" spans="2:4">
      <c r="B4" s="7" t="s">
        <v>262</v>
      </c>
      <c r="C4" s="6"/>
      <c r="D4" s="21"/>
    </row>
    <row r="5" ht="20.25" customHeight="1" spans="2:4">
      <c r="B5" s="7" t="s">
        <v>263</v>
      </c>
      <c r="C5" s="6"/>
      <c r="D5" s="21"/>
    </row>
    <row r="6" ht="20.25" customHeight="1" spans="2:4">
      <c r="B6" s="7" t="s">
        <v>264</v>
      </c>
      <c r="C6" s="6"/>
      <c r="D6" s="21"/>
    </row>
    <row r="7" ht="20.25" customHeight="1" spans="2:4">
      <c r="B7" s="5" t="s">
        <v>173</v>
      </c>
      <c r="C7" s="6"/>
      <c r="D7" s="12"/>
    </row>
    <row r="8" ht="20.25" customHeight="1" spans="2:4">
      <c r="B8" s="22" t="s">
        <v>173</v>
      </c>
      <c r="C8" s="6"/>
      <c r="D8" s="23"/>
    </row>
    <row r="10" ht="15" customHeight="1" spans="2:3">
      <c r="B10" s="24" t="s">
        <v>176</v>
      </c>
      <c r="C10" s="6">
        <f>SUM(C3:C8)</f>
        <v>0</v>
      </c>
    </row>
    <row r="11" ht="15" customHeight="1" spans="2:3">
      <c r="B11" s="25"/>
      <c r="C11" s="5"/>
    </row>
    <row r="20" ht="13.5" customHeight="1" spans="1:5">
      <c r="A20" s="1"/>
      <c r="B20" s="1"/>
      <c r="C20" s="1"/>
      <c r="D20" s="17"/>
      <c r="E20" s="17"/>
    </row>
    <row r="21" ht="13.5" customHeight="1" spans="1:5">
      <c r="A21" s="1"/>
      <c r="B21" s="1"/>
      <c r="C21" s="1"/>
      <c r="D21" s="17"/>
      <c r="E21" s="17"/>
    </row>
    <row r="22" ht="13.5" customHeight="1" spans="1:5">
      <c r="A22" s="1"/>
      <c r="B22" s="1"/>
      <c r="C22" s="1"/>
      <c r="D22" s="17"/>
      <c r="E22" s="17"/>
    </row>
  </sheetData>
  <sheetProtection formatCells="0" insertHyperlinks="0" autoFilter="0"/>
  <mergeCells count="2">
    <mergeCell ref="B10:B11"/>
    <mergeCell ref="C10:C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10" defaultRowHeight="12.75" outlineLevelCol="6"/>
  <cols>
    <col min="1" max="1" width="3.63809523809524" customWidth="1"/>
    <col min="2" max="4" width="15.6380952380952" customWidth="1"/>
    <col min="5" max="5" width="21.7904761904762" customWidth="1"/>
    <col min="6" max="6" width="16.2095238095238" customWidth="1"/>
    <col min="7" max="7" width="15.6380952380952" customWidth="1"/>
  </cols>
  <sheetData>
    <row r="1" ht="20.25" customHeight="1"/>
    <row r="2" ht="25.05" customHeight="1" spans="1:7">
      <c r="A2" s="3"/>
      <c r="B2" s="18" t="s">
        <v>265</v>
      </c>
      <c r="C2" s="18" t="s">
        <v>266</v>
      </c>
      <c r="D2" s="18" t="s">
        <v>267</v>
      </c>
      <c r="E2" s="18" t="s">
        <v>268</v>
      </c>
      <c r="F2" s="18" t="s">
        <v>162</v>
      </c>
      <c r="G2" s="18" t="s">
        <v>163</v>
      </c>
    </row>
    <row r="3" ht="20.25" customHeight="1" spans="2:7">
      <c r="B3" s="5" t="s">
        <v>227</v>
      </c>
      <c r="C3" s="5" t="s">
        <v>269</v>
      </c>
      <c r="D3" s="5">
        <v>1</v>
      </c>
      <c r="E3" s="6"/>
      <c r="F3" s="6">
        <f>SUM(E3:E5)</f>
        <v>0</v>
      </c>
      <c r="G3" s="12"/>
    </row>
    <row r="4" ht="20.25" customHeight="1" spans="2:7">
      <c r="B4" s="5"/>
      <c r="C4" s="5" t="s">
        <v>270</v>
      </c>
      <c r="D4" s="5">
        <v>2</v>
      </c>
      <c r="E4" s="6"/>
      <c r="F4" s="5"/>
      <c r="G4" s="12"/>
    </row>
    <row r="5" ht="20.25" customHeight="1" spans="2:7">
      <c r="B5" s="5"/>
      <c r="C5" s="5" t="s">
        <v>271</v>
      </c>
      <c r="D5" s="5">
        <v>3</v>
      </c>
      <c r="E5" s="6"/>
      <c r="F5" s="5"/>
      <c r="G5" s="12"/>
    </row>
    <row r="6" ht="20.25" customHeight="1" spans="2:7">
      <c r="B6" s="5" t="s">
        <v>229</v>
      </c>
      <c r="C6" s="5" t="s">
        <v>173</v>
      </c>
      <c r="D6" s="5" t="s">
        <v>175</v>
      </c>
      <c r="E6" s="6"/>
      <c r="F6" s="6">
        <f>SUM(E6:E8)</f>
        <v>0</v>
      </c>
      <c r="G6" s="12"/>
    </row>
    <row r="7" ht="20.25" customHeight="1" spans="2:7">
      <c r="B7" s="5"/>
      <c r="C7" s="5" t="s">
        <v>173</v>
      </c>
      <c r="D7" s="5" t="s">
        <v>175</v>
      </c>
      <c r="E7" s="6"/>
      <c r="F7" s="5"/>
      <c r="G7" s="12"/>
    </row>
    <row r="8" ht="20.25" customHeight="1" spans="2:7">
      <c r="B8" s="5"/>
      <c r="C8" s="5" t="s">
        <v>173</v>
      </c>
      <c r="D8" s="5" t="s">
        <v>175</v>
      </c>
      <c r="E8" s="6"/>
      <c r="F8" s="5"/>
      <c r="G8" s="12"/>
    </row>
    <row r="9" ht="20.25" customHeight="1" spans="2:7">
      <c r="B9" s="5" t="s">
        <v>230</v>
      </c>
      <c r="C9" s="5" t="s">
        <v>173</v>
      </c>
      <c r="D9" s="5" t="s">
        <v>175</v>
      </c>
      <c r="E9" s="6"/>
      <c r="F9" s="6">
        <f>SUM(E9:E11)</f>
        <v>0</v>
      </c>
      <c r="G9" s="12"/>
    </row>
    <row r="10" ht="20.25" customHeight="1" spans="2:7">
      <c r="B10" s="5"/>
      <c r="C10" s="5" t="s">
        <v>173</v>
      </c>
      <c r="D10" s="5" t="s">
        <v>175</v>
      </c>
      <c r="E10" s="6"/>
      <c r="F10" s="5"/>
      <c r="G10" s="12"/>
    </row>
    <row r="11" ht="20.25" customHeight="1" spans="2:7">
      <c r="B11" s="5"/>
      <c r="C11" s="5" t="s">
        <v>173</v>
      </c>
      <c r="D11" s="5" t="s">
        <v>175</v>
      </c>
      <c r="E11" s="6"/>
      <c r="F11" s="5"/>
      <c r="G11" s="12"/>
    </row>
    <row r="13" ht="13.5" customHeight="1" spans="5:6">
      <c r="E13" s="19" t="s">
        <v>176</v>
      </c>
      <c r="F13" s="6">
        <f>SUM(F3:F11)</f>
        <v>0</v>
      </c>
    </row>
    <row r="14" ht="13.5" customHeight="1" spans="5:6">
      <c r="E14" s="19"/>
      <c r="F14" s="5"/>
    </row>
    <row r="23" ht="13.5" customHeight="1" spans="3:4">
      <c r="C23" s="17"/>
      <c r="D23" s="17"/>
    </row>
    <row r="24" ht="13.5" customHeight="1" spans="3:4">
      <c r="C24" s="17"/>
      <c r="D24" s="17"/>
    </row>
    <row r="25" ht="13.5" customHeight="1" spans="3:4">
      <c r="C25" s="17"/>
      <c r="D25" s="17"/>
    </row>
  </sheetData>
  <sheetProtection formatCells="0" insertHyperlinks="0" autoFilter="0"/>
  <mergeCells count="11">
    <mergeCell ref="B3:B5"/>
    <mergeCell ref="B6:B8"/>
    <mergeCell ref="B9:B11"/>
    <mergeCell ref="E13:E14"/>
    <mergeCell ref="F3:F5"/>
    <mergeCell ref="F6:F8"/>
    <mergeCell ref="F9:F11"/>
    <mergeCell ref="F13:F14"/>
    <mergeCell ref="G3:G5"/>
    <mergeCell ref="G6:G8"/>
    <mergeCell ref="G9:G11"/>
  </mergeCells>
  <pageMargins left="0.75" right="0.75" top="1" bottom="1" header="0.5" footer="0.5"/>
  <pageSetup paperSize="9" orientation="portrait" horizontalDpi="360" verticalDpi="36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"/>
    </sheetView>
  </sheetViews>
  <sheetFormatPr defaultColWidth="10" defaultRowHeight="12.75" outlineLevelCol="4"/>
  <cols>
    <col min="1" max="1" width="3.63809523809524" customWidth="1"/>
    <col min="2" max="2" width="15.6380952380952" customWidth="1"/>
    <col min="3" max="3" width="23.2095238095238" customWidth="1"/>
    <col min="4" max="4" width="15.6380952380952" customWidth="1"/>
    <col min="5" max="5" width="16.6380952380952" customWidth="1"/>
  </cols>
  <sheetData>
    <row r="1" ht="20.25" customHeight="1"/>
    <row r="2" ht="25.05" customHeight="1" spans="1:4">
      <c r="A2" s="3"/>
      <c r="B2" s="14" t="s">
        <v>158</v>
      </c>
      <c r="C2" s="14" t="s">
        <v>272</v>
      </c>
      <c r="D2" s="14" t="s">
        <v>163</v>
      </c>
    </row>
    <row r="3" ht="20.25" customHeight="1" spans="2:5">
      <c r="B3" s="5" t="s">
        <v>239</v>
      </c>
      <c r="C3" s="6"/>
      <c r="D3" s="12"/>
      <c r="E3" s="17"/>
    </row>
    <row r="4" ht="20.25" customHeight="1" spans="2:5">
      <c r="B4" s="5" t="s">
        <v>273</v>
      </c>
      <c r="C4" s="6"/>
      <c r="D4" s="12"/>
      <c r="E4" s="17"/>
    </row>
    <row r="5" ht="20.25" customHeight="1" spans="2:5">
      <c r="B5" s="7" t="s">
        <v>274</v>
      </c>
      <c r="C5" s="8"/>
      <c r="D5" s="13"/>
      <c r="E5" s="17"/>
    </row>
    <row r="6" ht="20.25" customHeight="1" spans="2:5">
      <c r="B6" s="5" t="s">
        <v>173</v>
      </c>
      <c r="C6" s="6"/>
      <c r="D6" s="12"/>
      <c r="E6" s="17"/>
    </row>
    <row r="8" ht="15" customHeight="1" spans="2:3">
      <c r="B8" s="15" t="s">
        <v>176</v>
      </c>
      <c r="C8" s="6">
        <f>SUM(C3:C6)</f>
        <v>0</v>
      </c>
    </row>
    <row r="9" ht="15" customHeight="1" spans="2:3">
      <c r="B9" s="16"/>
      <c r="C9" s="5"/>
    </row>
  </sheetData>
  <sheetProtection formatCells="0" insertHyperlinks="0" autoFilter="0"/>
  <mergeCells count="2">
    <mergeCell ref="B8:B9"/>
    <mergeCell ref="C8:C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A1" sqref="A1"/>
    </sheetView>
  </sheetViews>
  <sheetFormatPr defaultColWidth="10" defaultRowHeight="12.75" outlineLevelCol="5"/>
  <cols>
    <col min="1" max="1" width="3.63809523809524" customWidth="1"/>
    <col min="2" max="2" width="15.6380952380952" customWidth="1"/>
    <col min="3" max="3" width="23.2095238095238" customWidth="1"/>
    <col min="4" max="4" width="15.6380952380952" customWidth="1"/>
    <col min="5" max="5" width="21.7904761904762" customWidth="1"/>
    <col min="6" max="6" width="15.6380952380952" customWidth="1"/>
  </cols>
  <sheetData>
    <row r="1" ht="13.5" customHeight="1" spans="2:6">
      <c r="B1" s="1" t="s">
        <v>275</v>
      </c>
      <c r="F1" s="1"/>
    </row>
    <row r="2" ht="20.25" customHeight="1" spans="2:6">
      <c r="B2" s="2"/>
      <c r="C2" s="2"/>
      <c r="D2" s="2"/>
      <c r="E2" s="2"/>
      <c r="F2" s="2"/>
    </row>
    <row r="3" ht="25.05" customHeight="1" spans="1:6">
      <c r="A3" s="3"/>
      <c r="B3" s="4" t="s">
        <v>158</v>
      </c>
      <c r="C3" s="4" t="s">
        <v>276</v>
      </c>
      <c r="D3" s="4" t="s">
        <v>277</v>
      </c>
      <c r="E3" s="4" t="s">
        <v>278</v>
      </c>
      <c r="F3" s="4" t="s">
        <v>163</v>
      </c>
    </row>
    <row r="4" ht="20.25" customHeight="1" spans="2:6">
      <c r="B4" s="5" t="s">
        <v>279</v>
      </c>
      <c r="C4" s="6"/>
      <c r="D4" s="5"/>
      <c r="E4" s="6"/>
      <c r="F4" s="12"/>
    </row>
    <row r="5" ht="20.25" customHeight="1" spans="2:6">
      <c r="B5" s="5" t="s">
        <v>280</v>
      </c>
      <c r="C5" s="6"/>
      <c r="D5" s="5"/>
      <c r="E5" s="6"/>
      <c r="F5" s="12"/>
    </row>
    <row r="6" ht="20.25" customHeight="1" spans="2:6">
      <c r="B6" s="7" t="s">
        <v>281</v>
      </c>
      <c r="C6" s="8"/>
      <c r="D6" s="7"/>
      <c r="E6" s="8"/>
      <c r="F6" s="13"/>
    </row>
    <row r="7" ht="20.25" customHeight="1" spans="2:6">
      <c r="B7" s="7" t="s">
        <v>173</v>
      </c>
      <c r="C7" s="8"/>
      <c r="D7" s="7"/>
      <c r="E7" s="8"/>
      <c r="F7" s="13"/>
    </row>
    <row r="8" ht="20.25" customHeight="1" spans="2:6">
      <c r="B8" s="5" t="s">
        <v>173</v>
      </c>
      <c r="C8" s="6"/>
      <c r="D8" s="5"/>
      <c r="E8" s="6"/>
      <c r="F8" s="12"/>
    </row>
    <row r="9" ht="20.25" customHeight="1" spans="2:6">
      <c r="B9" s="9" t="s">
        <v>282</v>
      </c>
      <c r="C9" s="9"/>
      <c r="D9" s="9"/>
      <c r="E9" s="9"/>
      <c r="F9" s="9"/>
    </row>
    <row r="10" ht="13.5" customHeight="1" spans="2:6">
      <c r="B10" s="1"/>
      <c r="C10" s="1"/>
      <c r="D10" s="1"/>
      <c r="E10" s="1"/>
      <c r="F10" s="1"/>
    </row>
    <row r="11" ht="25.05" customHeight="1" spans="2:6">
      <c r="B11" s="4" t="s">
        <v>158</v>
      </c>
      <c r="C11" s="4" t="s">
        <v>276</v>
      </c>
      <c r="D11" s="4" t="s">
        <v>283</v>
      </c>
      <c r="E11" s="4" t="s">
        <v>278</v>
      </c>
      <c r="F11" s="4" t="s">
        <v>163</v>
      </c>
    </row>
    <row r="12" ht="20.25" customHeight="1" spans="2:6">
      <c r="B12" s="5" t="s">
        <v>284</v>
      </c>
      <c r="C12" s="5"/>
      <c r="D12" s="5"/>
      <c r="E12" s="5"/>
      <c r="F12" s="12"/>
    </row>
    <row r="13" ht="20.25" customHeight="1" spans="2:6">
      <c r="B13" s="5" t="s">
        <v>285</v>
      </c>
      <c r="C13" s="5"/>
      <c r="D13" s="5"/>
      <c r="E13" s="5"/>
      <c r="F13" s="12"/>
    </row>
    <row r="14" ht="20.25" customHeight="1" spans="2:6">
      <c r="B14" s="5" t="s">
        <v>173</v>
      </c>
      <c r="C14" s="5"/>
      <c r="D14" s="5"/>
      <c r="E14" s="5"/>
      <c r="F14" s="12"/>
    </row>
    <row r="16" ht="15" customHeight="1" spans="4:5">
      <c r="D16" s="10" t="s">
        <v>176</v>
      </c>
      <c r="E16" s="6">
        <f>SUM(E4:E8)+SUM(E12:E14)</f>
        <v>0</v>
      </c>
    </row>
    <row r="17" ht="15" customHeight="1" spans="4:5">
      <c r="D17" s="11"/>
      <c r="E17" s="5"/>
    </row>
  </sheetData>
  <sheetProtection formatCells="0" insertHyperlinks="0" autoFilter="0"/>
  <mergeCells count="4">
    <mergeCell ref="D16:D17"/>
    <mergeCell ref="E16:E17"/>
    <mergeCell ref="B9:F10"/>
    <mergeCell ref="B1:F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  <woSheetProps sheetStid="9" interlineOnOff="0" interlineColor="0" isDbSheet="0" isDashBoardSheet="0"/>
    <woSheetProps sheetStid="10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  <woSheetProps sheetStid="1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2" master=""/>
  <rangeList sheetStid="3" master=""/>
  <rangeList sheetStid="4" master=""/>
  <rangeList sheetStid="5" master=""/>
  <rangeList sheetStid="6" master=""/>
  <rangeList sheetStid="7" master=""/>
  <rangeList sheetStid="8" master=""/>
  <rangeList sheetStid="9" master=""/>
  <rangeList sheetStid="10" master=""/>
  <rangeList sheetStid="11" master=""/>
  <rangeList sheetStid="12" master=""/>
  <rangeList sheetStid="13" master=""/>
</allowEditUser>
</file>

<file path=customXml/item4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  <pixelatorList sheetStid="13"/>
  <pixelatorList sheetStid="14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投入产出概览</vt:lpstr>
      <vt:lpstr>模具费用</vt:lpstr>
      <vt:lpstr>人力费用</vt:lpstr>
      <vt:lpstr>差旅费用</vt:lpstr>
      <vt:lpstr>测试及工装费用</vt:lpstr>
      <vt:lpstr>认证费用</vt:lpstr>
      <vt:lpstr>样机费用</vt:lpstr>
      <vt:lpstr>项目研发预算及成本概览</vt:lpstr>
      <vt:lpstr>产品端费用列表</vt:lpstr>
      <vt:lpstr>专利费用列表</vt:lpstr>
      <vt:lpstr>其它费用列表</vt:lpstr>
      <vt:lpstr>BOM及物流售后成本列表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WPS_1664800949</cp:lastModifiedBy>
  <dcterms:created xsi:type="dcterms:W3CDTF">2020-11-28T15:28:00Z</dcterms:created>
  <dcterms:modified xsi:type="dcterms:W3CDTF">2025-04-01T15:53:00Z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F2396641E672403B8E192DEA17A0599C_13</vt:lpwstr>
  </property>
</Properties>
</file>