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5"/>
  </bookViews>
  <sheets>
    <sheet name="市场调研" sheetId="8" r:id="rId1"/>
    <sheet name="文案生成" sheetId="9" r:id="rId2"/>
    <sheet name="关键词&amp;广告" sheetId="10" r:id="rId3"/>
    <sheet name="站外红人" sheetId="11" r:id="rId4"/>
    <sheet name="客服板块" sheetId="12" r:id="rId5"/>
    <sheet name="Sheet1" sheetId="13" r:id="rId6"/>
    <sheet name="。" sheetId="3"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A2" authorId="0">
      <text>
        <r>
          <rPr>
            <sz val="9"/>
            <rFont val="宋体"/>
            <charset val="134"/>
          </rPr>
          <t>必填，选择生成调研还是竞品分析</t>
        </r>
      </text>
    </comment>
    <comment ref="C2" authorId="0">
      <text>
        <r>
          <rPr>
            <sz val="9"/>
            <rFont val="宋体"/>
            <charset val="134"/>
          </rPr>
          <t>建议最好是用本土最核心的关键词</t>
        </r>
      </text>
    </comment>
    <comment ref="A3" authorId="0">
      <text>
        <r>
          <rPr>
            <sz val="9"/>
            <rFont val="宋体"/>
            <charset val="134"/>
          </rPr>
          <t>竞品分析下选择具体任务</t>
        </r>
      </text>
    </comment>
  </commentList>
</comments>
</file>

<file path=xl/comments2.xml><?xml version="1.0" encoding="utf-8"?>
<comments xmlns="http://schemas.openxmlformats.org/spreadsheetml/2006/main">
  <authors>
    <author>user</author>
  </authors>
  <commentList>
    <comment ref="A4" authorId="0">
      <text>
        <r>
          <rPr>
            <sz val="9"/>
            <rFont val="宋体"/>
            <charset val="134"/>
          </rPr>
          <t>必填，最好用该产品本土最核心关键词</t>
        </r>
      </text>
    </comment>
    <comment ref="C4" authorId="0">
      <text>
        <r>
          <rPr>
            <sz val="9"/>
            <rFont val="宋体"/>
            <charset val="134"/>
          </rPr>
          <t>选填, 建议输入本土核心词或长尾词</t>
        </r>
      </text>
    </comment>
    <comment ref="C5" authorId="0">
      <text>
        <r>
          <rPr>
            <sz val="9"/>
            <rFont val="宋体"/>
            <charset val="134"/>
          </rPr>
          <t xml:space="preserve">选填，五行和描述是否在开头加入Emoji符号
</t>
        </r>
      </text>
    </comment>
    <comment ref="A6" authorId="0">
      <text>
        <r>
          <rPr>
            <sz val="9"/>
            <rFont val="宋体"/>
            <charset val="134"/>
          </rPr>
          <t>必填，产品形状、尺寸、颜色、功能、卖点等，用逗号隔开</t>
        </r>
      </text>
    </comment>
    <comment ref="A7" authorId="0">
      <text>
        <r>
          <rPr>
            <sz val="9"/>
            <rFont val="宋体"/>
            <charset val="134"/>
          </rPr>
          <t xml:space="preserve">选填，一条优秀的竞品标题
</t>
        </r>
      </text>
    </comment>
    <comment ref="A8" authorId="0">
      <text>
        <r>
          <rPr>
            <sz val="9"/>
            <rFont val="宋体"/>
            <charset val="134"/>
          </rPr>
          <t xml:space="preserve">选填，一条优秀的竞品五行
</t>
        </r>
      </text>
    </comment>
    <comment ref="A9" authorId="0">
      <text>
        <r>
          <rPr>
            <sz val="9"/>
            <rFont val="宋体"/>
            <charset val="134"/>
          </rPr>
          <t xml:space="preserve">选填，一条优秀的竞品描述
</t>
        </r>
      </text>
    </comment>
  </commentList>
</comments>
</file>

<file path=xl/comments3.xml><?xml version="1.0" encoding="utf-8"?>
<comments xmlns="http://schemas.openxmlformats.org/spreadsheetml/2006/main">
  <authors>
    <author>user</author>
  </authors>
  <commentList>
    <comment ref="A4" authorId="0">
      <text>
        <r>
          <rPr>
            <sz val="9"/>
            <rFont val="宋体"/>
            <charset val="134"/>
          </rPr>
          <t>放入一个或多个最相关核心关键词，做为相关性判断依据</t>
        </r>
      </text>
    </comment>
  </commentList>
</comments>
</file>

<file path=xl/comments4.xml><?xml version="1.0" encoding="utf-8"?>
<comments xmlns="http://schemas.openxmlformats.org/spreadsheetml/2006/main">
  <authors>
    <author>user</author>
  </authors>
  <commentList>
    <comment ref="A7" authorId="0">
      <text>
        <r>
          <rPr>
            <b/>
            <sz val="9"/>
            <rFont val="宋体"/>
            <charset val="134"/>
          </rPr>
          <t>user:</t>
        </r>
        <r>
          <rPr>
            <sz val="9"/>
            <rFont val="宋体"/>
            <charset val="134"/>
          </rPr>
          <t xml:space="preserve">
消息，评论，feedback，退款反馈，亚马逊case/poa</t>
        </r>
      </text>
    </comment>
  </commentList>
</comments>
</file>

<file path=xl/sharedStrings.xml><?xml version="1.0" encoding="utf-8"?>
<sst xmlns="http://schemas.openxmlformats.org/spreadsheetml/2006/main" count="3792" uniqueCount="3716">
  <si>
    <t>调研报告Prompts</t>
  </si>
  <si>
    <t>市场调研Prompts</t>
  </si>
  <si>
    <t>受众人群</t>
  </si>
  <si>
    <t>红人开发</t>
  </si>
  <si>
    <t>竞品功能对比</t>
  </si>
  <si>
    <t>文案能力分析</t>
  </si>
  <si>
    <t>*任务类型</t>
  </si>
  <si>
    <t>🔍微观竞品分析</t>
  </si>
  <si>
    <t>*商品名称</t>
  </si>
  <si>
    <t>【商品名称】portable power station</t>
  </si>
  <si>
    <t>·</t>
  </si>
  <si>
    <t>🆚竞品功能对比</t>
  </si>
  <si>
    <t>*销售站点</t>
  </si>
  <si>
    <t>🇺🇸美国</t>
  </si>
  <si>
    <t>关键词</t>
  </si>
  <si>
    <t>【关键词】portable power station, solar generator, power generator, outdoor generator, electric generator</t>
  </si>
  <si>
    <t>竞品ASIN1</t>
  </si>
  <si>
    <t>【竞品1标题】Portable Power Station, 300Wh Backup Lithium Battery,110V/300W Pure Sine Wave AC Outlet for Outdoors Camping Travel Hunting Blackout</t>
  </si>
  <si>
    <t>【竞品1五点】[PORTABLE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t>
  </si>
  <si>
    <t>竞品ASIN2</t>
  </si>
  <si>
    <t>【竞品2标题】Portable Power Station 300W (Peak 600W), GRECELL 288Wh Solar Generator with 60W USB-C PD Output, 110V Pure Sine Wave AC Outlet Backup Lithium Battery for Outdoors Camping Travel Hunting Home Blackout</t>
  </si>
  <si>
    <t>【竞品2五点】【288Wh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t>
  </si>
  <si>
    <t>竞品ASIN3</t>
  </si>
  <si>
    <t>【竞品3标题】300W Portable Power Station, 300Wh/81000mAh Laptop Power Bank with AC Outlet, Dual Way 65W PD/USB-C Port, Laptop Charger Battery Pack Power Supply for Outdoor Camping Home Emergency Outage</t>
  </si>
  <si>
    <t>【竞品3五点】【RAPID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t>
  </si>
  <si>
    <t>竞品ASIN4</t>
  </si>
  <si>
    <t>【竞品4标题】300W Portable Power Station, 299Wh/80818mAh Solar Generator, Regulated DC Output Backup Battery with Pass-Through Charging AC Outlet, Pure Sine Wave, LED Light Power Station for CPAP Camping</t>
  </si>
  <si>
    <t>【竞品4五点】More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t>
  </si>
  <si>
    <t>文案生成与优化</t>
  </si>
  <si>
    <t>SB/SD标题</t>
  </si>
  <si>
    <t>POST文案</t>
  </si>
  <si>
    <t>文案打分</t>
  </si>
  <si>
    <t>标题优化</t>
  </si>
  <si>
    <t>标题撰写</t>
  </si>
  <si>
    <t>五行优化</t>
  </si>
  <si>
    <t>五行撰写</t>
  </si>
  <si>
    <t>描述优化</t>
  </si>
  <si>
    <t>描述撰写</t>
  </si>
  <si>
    <t>🌟SB/SD标题</t>
  </si>
  <si>
    <t>【受众人群】</t>
  </si>
  <si>
    <t>【使用场景】</t>
  </si>
  <si>
    <t>【产品名称】portable power station</t>
  </si>
  <si>
    <t>【品牌名称】Anker</t>
  </si>
  <si>
    <t>不加入</t>
  </si>
  <si>
    <t>【产品参数】550Wh, 1000W, 4个小时快速充电，带LED灯光</t>
  </si>
  <si>
    <t>【产品型号】AKN889</t>
  </si>
  <si>
    <t>【竞品标题】Jackery Portable Power Station Explorer 300, 293Wh Backup Lithium Battery, 110V/300W Pure Sine Wave AC Outlet, Solar Generator (Solar Panel Not Included) for Outdoors Camping Travel Hunting Blackout</t>
  </si>
  <si>
    <t>【我的标题】Jackery Portable Power Station Explorer 300, 293Wh Backup Lithium Battery, 110V/300W Pure Sine Wave AC Outlet, Solar Generator (Solar Panel Not Included) for Outdoors Camping Travel Hunting Blackout</t>
  </si>
  <si>
    <t>【竞品五点】[Tiny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t>
  </si>
  <si>
    <t>【我的五点】Introducing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t>
  </si>
  <si>
    <t>【竞品描述】Introducing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t>
  </si>
  <si>
    <t>【我的描述】Introducing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t>
  </si>
  <si>
    <t>》》在出现的文字处填入相应内容，带*号是必填《《</t>
  </si>
  <si>
    <t>关键词与广告</t>
  </si>
  <si>
    <t>词别名</t>
  </si>
  <si>
    <t>相关性分析</t>
  </si>
  <si>
    <t>总体分析</t>
  </si>
  <si>
    <t>任务类型</t>
  </si>
  <si>
    <t>PROMPTS</t>
  </si>
  <si>
    <t>Excel分析</t>
  </si>
  <si>
    <t>关键词收集</t>
  </si>
  <si>
    <t>商品名称</t>
  </si>
  <si>
    <t>portable power station</t>
  </si>
  <si>
    <t>power station</t>
  </si>
  <si>
    <t>核心词</t>
  </si>
  <si>
    <t>词组分析</t>
  </si>
  <si>
    <t>时间分析</t>
  </si>
  <si>
    <t>细分任务</t>
  </si>
  <si>
    <t>销售站点</t>
  </si>
  <si>
    <t>小语种词</t>
  </si>
  <si>
    <t>词属性分析</t>
  </si>
  <si>
    <t>空间分析</t>
  </si>
  <si>
    <t>solar generator</t>
  </si>
  <si>
    <t>长尾词</t>
  </si>
  <si>
    <t>jackery</t>
  </si>
  <si>
    <t>power bank</t>
  </si>
  <si>
    <t>solar power bank</t>
  </si>
  <si>
    <t>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t>
  </si>
  <si>
    <t>anker power bank</t>
  </si>
  <si>
    <t>generator</t>
  </si>
  <si>
    <t xml:space="preserve">#词群判断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t>
  </si>
  <si>
    <t>anker</t>
  </si>
  <si>
    <t>广告结构</t>
  </si>
  <si>
    <t>solar generator with panels included</t>
  </si>
  <si>
    <t xml:space="preserve">#广告优化的操作参考：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t>
  </si>
  <si>
    <t>#分析广告数据参考：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t>
  </si>
  <si>
    <t>ecoflow</t>
  </si>
  <si>
    <t>camping</t>
  </si>
  <si>
    <t xml:space="preserve">#广告优化的操作参考：
-优化关键词（增加关键词，否定关键词，匹配方式），优化预算（增加广告预算，减少广告预算）、优化bid（增加竞价bid，减少竞价bid）。调整bid的方式（直接增减bid，在竞价策略调整bid，在bid+商品页面调整bid）
</t>
  </si>
  <si>
    <t>#分析广告数据参考：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t>
  </si>
  <si>
    <t>camping essentials</t>
  </si>
  <si>
    <t>generators for home use</t>
  </si>
  <si>
    <t>solar powered generator</t>
  </si>
  <si>
    <t>portable generator</t>
  </si>
  <si>
    <t>bluetti portable power station</t>
  </si>
  <si>
    <t>bluetti</t>
  </si>
  <si>
    <t>solar panels</t>
  </si>
  <si>
    <t>anker power station</t>
  </si>
  <si>
    <t>outdoor generators</t>
  </si>
  <si>
    <t>solar power station</t>
  </si>
  <si>
    <t>jackery 1000</t>
  </si>
  <si>
    <t>portable house</t>
  </si>
  <si>
    <t>ecoflow delta 2</t>
  </si>
  <si>
    <t>battery generator</t>
  </si>
  <si>
    <t>electric generator</t>
  </si>
  <si>
    <t>battery pack</t>
  </si>
  <si>
    <t>jackery 300</t>
  </si>
  <si>
    <t>ecoflow delta pro</t>
  </si>
  <si>
    <t>camping gear</t>
  </si>
  <si>
    <t>anker solix</t>
  </si>
  <si>
    <t>ecoflow river 2 pro</t>
  </si>
  <si>
    <t>anker 737</t>
  </si>
  <si>
    <t>jackery 500</t>
  </si>
  <si>
    <t>ecoflow river 2</t>
  </si>
  <si>
    <t>camping accessories</t>
  </si>
  <si>
    <t>ecoflow delta 2 max</t>
  </si>
  <si>
    <t>portable power station with solar panel</t>
  </si>
  <si>
    <t>power generator</t>
  </si>
  <si>
    <t>power station with solar panel</t>
  </si>
  <si>
    <t>solar power generator</t>
  </si>
  <si>
    <t>battery backup</t>
  </si>
  <si>
    <t>portable home</t>
  </si>
  <si>
    <t>anker battery</t>
  </si>
  <si>
    <t>anker power bank power stations</t>
  </si>
  <si>
    <t>jackery solar generator</t>
  </si>
  <si>
    <t>solar battery</t>
  </si>
  <si>
    <t>powerbank</t>
  </si>
  <si>
    <t>small generator</t>
  </si>
  <si>
    <t>generator for camping</t>
  </si>
  <si>
    <t>anker charging station</t>
  </si>
  <si>
    <t>solar generators for home use</t>
  </si>
  <si>
    <t>battery backup power supply</t>
  </si>
  <si>
    <t>portable solar generator</t>
  </si>
  <si>
    <t>portable generators for home use</t>
  </si>
  <si>
    <t>solar powered power bank</t>
  </si>
  <si>
    <t>ecoflow solar panel</t>
  </si>
  <si>
    <t>portable solar panel</t>
  </si>
  <si>
    <t>portable power</t>
  </si>
  <si>
    <t>anker solar panel</t>
  </si>
  <si>
    <t>portable battery</t>
  </si>
  <si>
    <t>portable outlet</t>
  </si>
  <si>
    <t>cpap battery backup power supply</t>
  </si>
  <si>
    <t>cpap</t>
  </si>
  <si>
    <t>power inverter</t>
  </si>
  <si>
    <t>electric generators portable</t>
  </si>
  <si>
    <t>anker solix f3800</t>
  </si>
  <si>
    <t>inverter</t>
  </si>
  <si>
    <t>power bank anker</t>
  </si>
  <si>
    <t>inverter generator</t>
  </si>
  <si>
    <t>mini generator</t>
  </si>
  <si>
    <t>bluetti eb3a</t>
  </si>
  <si>
    <t>portable power bank</t>
  </si>
  <si>
    <t>portable homes</t>
  </si>
  <si>
    <t>ecoflow power station</t>
  </si>
  <si>
    <t>power bank with ac outlet</t>
  </si>
  <si>
    <t>battery powered outlet</t>
  </si>
  <si>
    <t>portable generator for camping</t>
  </si>
  <si>
    <t>solar panel generator</t>
  </si>
  <si>
    <t>camping power bank</t>
  </si>
  <si>
    <t>solar generators</t>
  </si>
  <si>
    <t>home battery backup</t>
  </si>
  <si>
    <t>solar power</t>
  </si>
  <si>
    <t>anker prime</t>
  </si>
  <si>
    <t>solar</t>
  </si>
  <si>
    <t>battery generators portable</t>
  </si>
  <si>
    <t>anker solar generator</t>
  </si>
  <si>
    <t>cpap battery</t>
  </si>
  <si>
    <t>power outage supplies</t>
  </si>
  <si>
    <t>ecoflow wave 2</t>
  </si>
  <si>
    <t>power station 1000w</t>
  </si>
  <si>
    <t>anker battery pack</t>
  </si>
  <si>
    <t>power stations</t>
  </si>
  <si>
    <t>ecoflow delta pro ultra</t>
  </si>
  <si>
    <t>generador eléctrico portátil</t>
  </si>
  <si>
    <t>bluetti ac180</t>
  </si>
  <si>
    <t>generador solar</t>
  </si>
  <si>
    <t>solar power bank generator</t>
  </si>
  <si>
    <t>portable power supply</t>
  </si>
  <si>
    <t>camping power station</t>
  </si>
  <si>
    <t>powerstation</t>
  </si>
  <si>
    <t>car camping</t>
  </si>
  <si>
    <t>jackery 2000</t>
  </si>
  <si>
    <t>anker solar power bank</t>
  </si>
  <si>
    <t>camping lantern</t>
  </si>
  <si>
    <t>camping battery power station</t>
  </si>
  <si>
    <t>solar generator with panels</t>
  </si>
  <si>
    <t>battery powered heater</t>
  </si>
  <si>
    <t>solar power generators for home use</t>
  </si>
  <si>
    <t>camping generator</t>
  </si>
  <si>
    <t>portable power stations</t>
  </si>
  <si>
    <t>solar panels for homes</t>
  </si>
  <si>
    <t>solar generator for camping</t>
  </si>
  <si>
    <t>battery power station</t>
  </si>
  <si>
    <t>jackery solar panel</t>
  </si>
  <si>
    <t>lifepo4 power station</t>
  </si>
  <si>
    <t>camping battery</t>
  </si>
  <si>
    <t>jackery power station</t>
  </si>
  <si>
    <t>generators</t>
  </si>
  <si>
    <t>4patriots solar power generator</t>
  </si>
  <si>
    <t>backup battery power supply</t>
  </si>
  <si>
    <t>laptop power bank</t>
  </si>
  <si>
    <t>car camping essentials</t>
  </si>
  <si>
    <t>small generators portable quiet</t>
  </si>
  <si>
    <t>battery power for cpap machine</t>
  </si>
  <si>
    <t>anker 737 power bank</t>
  </si>
  <si>
    <t>anker prime power bank</t>
  </si>
  <si>
    <t>power generators portable</t>
  </si>
  <si>
    <t>hand crank generator</t>
  </si>
  <si>
    <t>power bank 50000mah</t>
  </si>
  <si>
    <t>estacion de energia portatil</t>
  </si>
  <si>
    <t>solar battery bank</t>
  </si>
  <si>
    <t>power bank for camping</t>
  </si>
  <si>
    <t>power</t>
  </si>
  <si>
    <t>power station 2000wh</t>
  </si>
  <si>
    <t>anker powerbank</t>
  </si>
  <si>
    <t>portable power bank with ac outlet</t>
  </si>
  <si>
    <t>camping supplies</t>
  </si>
  <si>
    <t>eco flow</t>
  </si>
  <si>
    <t>electric generators for home</t>
  </si>
  <si>
    <t>4patriots power generator</t>
  </si>
  <si>
    <t>solar powered generator with solar panels</t>
  </si>
  <si>
    <t>portable power station 1000w</t>
  </si>
  <si>
    <t>portable generators</t>
  </si>
  <si>
    <t>power box</t>
  </si>
  <si>
    <t>anker portable power station</t>
  </si>
  <si>
    <t>emergency power generator</t>
  </si>
  <si>
    <t>generator solar</t>
  </si>
  <si>
    <t>jackery 1500</t>
  </si>
  <si>
    <t>portable power station 2000w</t>
  </si>
  <si>
    <t>ecoflow portable power station</t>
  </si>
  <si>
    <t>mini generator portable</t>
  </si>
  <si>
    <t>solar generator for house</t>
  </si>
  <si>
    <t>bluetti ac200max</t>
  </si>
  <si>
    <t>power generator for home</t>
  </si>
  <si>
    <t>jackery 290</t>
  </si>
  <si>
    <t>camping stuff</t>
  </si>
  <si>
    <t>backup generator for home</t>
  </si>
  <si>
    <t>free energy generator</t>
  </si>
  <si>
    <t>anker power bank qd</t>
  </si>
  <si>
    <t>patriot power generator 2000x</t>
  </si>
  <si>
    <t>jackery 240</t>
  </si>
  <si>
    <t>battery powered generator</t>
  </si>
  <si>
    <t>ecoflow river</t>
  </si>
  <si>
    <t>power bank camping</t>
  </si>
  <si>
    <t>eco flow portable power station</t>
  </si>
  <si>
    <t>camping fan</t>
  </si>
  <si>
    <t>battery pack for reclining furniture</t>
  </si>
  <si>
    <t>large power bank</t>
  </si>
  <si>
    <t>anker generator</t>
  </si>
  <si>
    <t>anker power bank usb c</t>
  </si>
  <si>
    <t>4patriots</t>
  </si>
  <si>
    <t>ef ecoflow portable power station</t>
  </si>
  <si>
    <t>cpap battery backup</t>
  </si>
  <si>
    <t>4patriots solar generator</t>
  </si>
  <si>
    <t>jackery 300 plus</t>
  </si>
  <si>
    <t>emergency power bank</t>
  </si>
  <si>
    <t>battery generator for home</t>
  </si>
  <si>
    <t>bluetti power station</t>
  </si>
  <si>
    <t>estación de energía portátil</t>
  </si>
  <si>
    <t>solar cooker</t>
  </si>
  <si>
    <t>anker solix c1000</t>
  </si>
  <si>
    <t>anker 548</t>
  </si>
  <si>
    <t>home generators for power outages</t>
  </si>
  <si>
    <t>solor powered generator for 3000 watts in warehouse clearance</t>
  </si>
  <si>
    <t>ecoflow river 2 max</t>
  </si>
  <si>
    <t>portable solar power station</t>
  </si>
  <si>
    <t>indoor generator</t>
  </si>
  <si>
    <t>delta 2 max</t>
  </si>
  <si>
    <t>ecoflow solar generator</t>
  </si>
  <si>
    <t>portable outlet power supply</t>
  </si>
  <si>
    <t>paneles solares</t>
  </si>
  <si>
    <t>portable charger anker</t>
  </si>
  <si>
    <t>battery heater</t>
  </si>
  <si>
    <t>anker solar</t>
  </si>
  <si>
    <t>anker nano power bank</t>
  </si>
  <si>
    <t>power station 2000w</t>
  </si>
  <si>
    <t>anker magsafe battery pack</t>
  </si>
  <si>
    <t>vtoman power station</t>
  </si>
  <si>
    <t>small generators for home use</t>
  </si>
  <si>
    <t>inflatable tents for camping</t>
  </si>
  <si>
    <t>portable generator with solar panel</t>
  </si>
  <si>
    <t>portable charging station</t>
  </si>
  <si>
    <t>300w power station</t>
  </si>
  <si>
    <t>whole house battery backup</t>
  </si>
  <si>
    <t>marbero portable power station</t>
  </si>
  <si>
    <t>bluetti solar panels</t>
  </si>
  <si>
    <t>pecron power station</t>
  </si>
  <si>
    <t>the patriot solar generator</t>
  </si>
  <si>
    <t>patriot power generator</t>
  </si>
  <si>
    <t>anker 767</t>
  </si>
  <si>
    <t>power pack</t>
  </si>
  <si>
    <t>delta 2</t>
  </si>
  <si>
    <t>crank generator</t>
  </si>
  <si>
    <t>portable power station 500w</t>
  </si>
  <si>
    <t>camping kitchen</t>
  </si>
  <si>
    <t>solar power generators</t>
  </si>
  <si>
    <t>bluetti ac200l</t>
  </si>
  <si>
    <t>solar powered heater</t>
  </si>
  <si>
    <t>portable plug in outlet</t>
  </si>
  <si>
    <t>anker power</t>
  </si>
  <si>
    <t>power outage essentials</t>
  </si>
  <si>
    <t>wave 2 ecoflow</t>
  </si>
  <si>
    <t>jackery 1000 plus</t>
  </si>
  <si>
    <t>anker f3800</t>
  </si>
  <si>
    <t>ecoflow delta max</t>
  </si>
  <si>
    <t>generator solar powered</t>
  </si>
  <si>
    <t>solar inverter</t>
  </si>
  <si>
    <t>halo power bank</t>
  </si>
  <si>
    <t>solar generator 2000 watt</t>
  </si>
  <si>
    <t>portable power station 300w</t>
  </si>
  <si>
    <t>home generator</t>
  </si>
  <si>
    <t>pecron</t>
  </si>
  <si>
    <t>ac power bank</t>
  </si>
  <si>
    <t>off grid living supplies</t>
  </si>
  <si>
    <t>portable electric generator</t>
  </si>
  <si>
    <t>hand crank power bank</t>
  </si>
  <si>
    <t>delta pro</t>
  </si>
  <si>
    <t>portable battery pack</t>
  </si>
  <si>
    <t>4 patriots solar generator</t>
  </si>
  <si>
    <t>sump pump battery backup</t>
  </si>
  <si>
    <t>anker solix f2000</t>
  </si>
  <si>
    <t>anker solix f3800 portable power station</t>
  </si>
  <si>
    <t>ef ecoflow</t>
  </si>
  <si>
    <t>back up generator for home</t>
  </si>
  <si>
    <t>patriot solar generators</t>
  </si>
  <si>
    <t>portable charger</t>
  </si>
  <si>
    <t>solar powered</t>
  </si>
  <si>
    <t>dewalt power station</t>
  </si>
  <si>
    <t>generator portable</t>
  </si>
  <si>
    <t>back up battery power supply</t>
  </si>
  <si>
    <t>anker 548 power bank</t>
  </si>
  <si>
    <t>2000 watt solar generator</t>
  </si>
  <si>
    <t>anker battery bank</t>
  </si>
  <si>
    <t>flashfish portable power station</t>
  </si>
  <si>
    <t>bluetti ac70</t>
  </si>
  <si>
    <t>generator battery</t>
  </si>
  <si>
    <t>ecoflow glacier</t>
  </si>
  <si>
    <t>goal zero power bank</t>
  </si>
  <si>
    <t>generic</t>
  </si>
  <si>
    <t>generator for home</t>
  </si>
  <si>
    <t>power backup</t>
  </si>
  <si>
    <t>energizer power station</t>
  </si>
  <si>
    <t>1000w power station</t>
  </si>
  <si>
    <t>generator with solar panels</t>
  </si>
  <si>
    <t>grecell</t>
  </si>
  <si>
    <t>camping generators portable quiet</t>
  </si>
  <si>
    <t>ecoflow generator</t>
  </si>
  <si>
    <t>power station anker</t>
  </si>
  <si>
    <t>portable charger power bank</t>
  </si>
  <si>
    <t>ecoflow delta 2 max extra battery</t>
  </si>
  <si>
    <t>solar battery pack</t>
  </si>
  <si>
    <t>ecoflow delta mini</t>
  </si>
  <si>
    <t>small generator for camping</t>
  </si>
  <si>
    <t>camping cot</t>
  </si>
  <si>
    <t>ecoflow battery</t>
  </si>
  <si>
    <t>oupes</t>
  </si>
  <si>
    <t>portable cpap</t>
  </si>
  <si>
    <t>jackery 2000 pro</t>
  </si>
  <si>
    <t>backup battery</t>
  </si>
  <si>
    <t>ecoflow delta</t>
  </si>
  <si>
    <t>anker 521</t>
  </si>
  <si>
    <t>solar energy</t>
  </si>
  <si>
    <t>jackery 100</t>
  </si>
  <si>
    <t>portable charger station</t>
  </si>
  <si>
    <t>battery pack with ac outlet</t>
  </si>
  <si>
    <t>portable heater battery powered</t>
  </si>
  <si>
    <t>patriot solar generator</t>
  </si>
  <si>
    <t>indoor generator for apartment</t>
  </si>
  <si>
    <t>yoshino b2000 sst</t>
  </si>
  <si>
    <t>jackery explorer 1000</t>
  </si>
  <si>
    <t>anker c1000</t>
  </si>
  <si>
    <t>battery box power station</t>
  </si>
  <si>
    <t>solar panel generator for home</t>
  </si>
  <si>
    <t>solor powered generator</t>
  </si>
  <si>
    <t>solar charger power bank generator</t>
  </si>
  <si>
    <t>rechargeable outlet</t>
  </si>
  <si>
    <t>small portable generator</t>
  </si>
  <si>
    <t>house generator</t>
  </si>
  <si>
    <t>big power bank</t>
  </si>
  <si>
    <t>bluetti eb3a portable power station</t>
  </si>
  <si>
    <t>ecoflow wave 2 portable air conditioner</t>
  </si>
  <si>
    <t>2000 watt power station</t>
  </si>
  <si>
    <t>jackery power bank</t>
  </si>
  <si>
    <t>quiet generator for camping</t>
  </si>
  <si>
    <t>anker powerhouse</t>
  </si>
  <si>
    <t>jackery battery</t>
  </si>
  <si>
    <t>portable solar panels</t>
  </si>
  <si>
    <t>bateria portatil</t>
  </si>
  <si>
    <t>patriot generator</t>
  </si>
  <si>
    <t>backup power supply</t>
  </si>
  <si>
    <t>home solar power</t>
  </si>
  <si>
    <t>eco flow delta pro</t>
  </si>
  <si>
    <t>generador solar portatil 10000w</t>
  </si>
  <si>
    <t>cpap battery for camping</t>
  </si>
  <si>
    <t>jackery explorer 300</t>
  </si>
  <si>
    <t>portable cpap machine for travel</t>
  </si>
  <si>
    <t>jackery explorer 500</t>
  </si>
  <si>
    <t>camping stove</t>
  </si>
  <si>
    <t>anker 555</t>
  </si>
  <si>
    <t>jackery 3000</t>
  </si>
  <si>
    <t>atmospheric water generator</t>
  </si>
  <si>
    <t>lifepod 2.0</t>
  </si>
  <si>
    <t>generador</t>
  </si>
  <si>
    <t>delta pro ultra</t>
  </si>
  <si>
    <t>solar portable power station</t>
  </si>
  <si>
    <t>solar panels portable</t>
  </si>
  <si>
    <t>battery operated cooking appliances</t>
  </si>
  <si>
    <t>anker power banks</t>
  </si>
  <si>
    <t>lifepo4</t>
  </si>
  <si>
    <t>tent accessories</t>
  </si>
  <si>
    <t>ecoflow river pro</t>
  </si>
  <si>
    <t>eco flow delta 2</t>
  </si>
  <si>
    <t>solar powered charger</t>
  </si>
  <si>
    <t>pecron e1500lfp</t>
  </si>
  <si>
    <t>duracell power station</t>
  </si>
  <si>
    <t>solar chargers for multiple devices</t>
  </si>
  <si>
    <t>solar panels for camping</t>
  </si>
  <si>
    <t>halo power station</t>
  </si>
  <si>
    <t>anker usb c power bank</t>
  </si>
  <si>
    <t>foldable house</t>
  </si>
  <si>
    <t>home battery backup for power outage</t>
  </si>
  <si>
    <t>propane generator</t>
  </si>
  <si>
    <t>paneles solares para casas 10000 watt</t>
  </si>
  <si>
    <t>dewalt generator</t>
  </si>
  <si>
    <t>jackary</t>
  </si>
  <si>
    <t>anker 535</t>
  </si>
  <si>
    <t>solar heater for home</t>
  </si>
  <si>
    <t>portable battery bank</t>
  </si>
  <si>
    <t>generador de energia</t>
  </si>
  <si>
    <t>planta eléctrica portátil</t>
  </si>
  <si>
    <t>camping tent</t>
  </si>
  <si>
    <t>halo chargers portable</t>
  </si>
  <si>
    <t>12v power bank</t>
  </si>
  <si>
    <t>solar battery charger</t>
  </si>
  <si>
    <t>solar generators for home use 15000 watt</t>
  </si>
  <si>
    <t>jackery generator</t>
  </si>
  <si>
    <t>ecoflow delta max 2000</t>
  </si>
  <si>
    <t>bluetti eb55</t>
  </si>
  <si>
    <t>ugreen power bank</t>
  </si>
  <si>
    <t>ecoflow pro</t>
  </si>
  <si>
    <t>battery inverter</t>
  </si>
  <si>
    <t>jackery explorer 290</t>
  </si>
  <si>
    <t>anker portable charger power bank</t>
  </si>
  <si>
    <t>jackery explorer 1500</t>
  </si>
  <si>
    <t>cordless heater</t>
  </si>
  <si>
    <t>dewalt power inverter</t>
  </si>
  <si>
    <t>home backup generator</t>
  </si>
  <si>
    <t>anker powercore</t>
  </si>
  <si>
    <t>small solar generator</t>
  </si>
  <si>
    <t>generador de luz</t>
  </si>
  <si>
    <t>dewalt portable power station</t>
  </si>
  <si>
    <t>solar panel</t>
  </si>
  <si>
    <t>ecohousemart</t>
  </si>
  <si>
    <t>prefab house</t>
  </si>
  <si>
    <t>bluetti ac300</t>
  </si>
  <si>
    <t>50000mah power bank</t>
  </si>
  <si>
    <t>60000mah power bank</t>
  </si>
  <si>
    <t>camping furniture</t>
  </si>
  <si>
    <t>battery operated heaters for indoor use</t>
  </si>
  <si>
    <t>portable wall outlet</t>
  </si>
  <si>
    <t>yeti power station</t>
  </si>
  <si>
    <t>bluetti ac200p</t>
  </si>
  <si>
    <t>car camping must haves</t>
  </si>
  <si>
    <t>truck camping</t>
  </si>
  <si>
    <t>solar panel power bank</t>
  </si>
  <si>
    <t>anker ganprime</t>
  </si>
  <si>
    <t>silent generator</t>
  </si>
  <si>
    <t>portable cpap machine</t>
  </si>
  <si>
    <t>solar charger</t>
  </si>
  <si>
    <t>eco flow solar panel</t>
  </si>
  <si>
    <t>batería portátil</t>
  </si>
  <si>
    <t>camp</t>
  </si>
  <si>
    <t>100000mah power bank</t>
  </si>
  <si>
    <t>milwaukee generator</t>
  </si>
  <si>
    <t>anker charger</t>
  </si>
  <si>
    <t>ecoflow delta 2 extra battery</t>
  </si>
  <si>
    <t>bluetti solar panel</t>
  </si>
  <si>
    <t>solar charging station</t>
  </si>
  <si>
    <t>omnicharge</t>
  </si>
  <si>
    <t>pecron e2000lfp</t>
  </si>
  <si>
    <t>battery power bank</t>
  </si>
  <si>
    <t>anker 733</t>
  </si>
  <si>
    <t>power bank with outlet</t>
  </si>
  <si>
    <t>jackery 3000 pro</t>
  </si>
  <si>
    <t>tent heater for camping</t>
  </si>
  <si>
    <t>bluetti solar generator</t>
  </si>
  <si>
    <t>solar panel battery</t>
  </si>
  <si>
    <t>jackery explorer</t>
  </si>
  <si>
    <t>jackery 3000 pro solar generator with panels included</t>
  </si>
  <si>
    <t>anker wireless power bank</t>
  </si>
  <si>
    <t>anker charger station</t>
  </si>
  <si>
    <t>portable battery powered heater</t>
  </si>
  <si>
    <t>300w solar panel</t>
  </si>
  <si>
    <t>ego power station</t>
  </si>
  <si>
    <t>bluetti b300</t>
  </si>
  <si>
    <t>house kit to live in</t>
  </si>
  <si>
    <t>ecoflow air conditioner</t>
  </si>
  <si>
    <t>battery bank anker</t>
  </si>
  <si>
    <t>patriot generator with solar panels</t>
  </si>
  <si>
    <t>powerblock</t>
  </si>
  <si>
    <t>10kw solar system</t>
  </si>
  <si>
    <t>portable solar power bank</t>
  </si>
  <si>
    <t>solar generator 220v output</t>
  </si>
  <si>
    <t>anker portable power bank</t>
  </si>
  <si>
    <t>cuktech</t>
  </si>
  <si>
    <t>portable heater for camping</t>
  </si>
  <si>
    <t>solar power bank with crank</t>
  </si>
  <si>
    <t>generators for home</t>
  </si>
  <si>
    <t>jackery solar</t>
  </si>
  <si>
    <t>ego inverter</t>
  </si>
  <si>
    <t>portable charger for laptop</t>
  </si>
  <si>
    <t>off grid supplies</t>
  </si>
  <si>
    <t>inverter 12v to 110v</t>
  </si>
  <si>
    <t>patriot power generator reviews</t>
  </si>
  <si>
    <t>panel solar para casa</t>
  </si>
  <si>
    <t>crank power bank</t>
  </si>
  <si>
    <t>flash fish portable power station</t>
  </si>
  <si>
    <t>hydrogen generator</t>
  </si>
  <si>
    <t>goal zero</t>
  </si>
  <si>
    <t>steam deck</t>
  </si>
  <si>
    <t>car living essentials</t>
  </si>
  <si>
    <t>ryobi generator</t>
  </si>
  <si>
    <t>crank charger power bank</t>
  </si>
  <si>
    <t>large battery bank</t>
  </si>
  <si>
    <t>rv power &amp; electrical supplies</t>
  </si>
  <si>
    <t>banco de energia portatil</t>
  </si>
  <si>
    <t>solar bank</t>
  </si>
  <si>
    <t>amazon house kit to live in</t>
  </si>
  <si>
    <t>licitti battery box with inverter</t>
  </si>
  <si>
    <t>camping tent accessories</t>
  </si>
  <si>
    <t>crank charger</t>
  </si>
  <si>
    <t>solar charger power bank</t>
  </si>
  <si>
    <t>portable houses to live in</t>
  </si>
  <si>
    <t>anker laptop power bank</t>
  </si>
  <si>
    <t>pedal generator</t>
  </si>
  <si>
    <t>solar crank power bank</t>
  </si>
  <si>
    <t>solar outlet</t>
  </si>
  <si>
    <t>portable houses</t>
  </si>
  <si>
    <t>power bank laptop</t>
  </si>
  <si>
    <t>solar power flashlight</t>
  </si>
  <si>
    <t>anker 733 power bank</t>
  </si>
  <si>
    <t>anker power bank 737</t>
  </si>
  <si>
    <t>anker portable charger huge power</t>
  </si>
  <si>
    <t>westinghouse generator 12500</t>
  </si>
  <si>
    <t>grecell portable power station</t>
  </si>
  <si>
    <t>camping solar panels</t>
  </si>
  <si>
    <t>quiet generators portable</t>
  </si>
  <si>
    <t>hand cranked generator</t>
  </si>
  <si>
    <t>emergency lights for home power failure</t>
  </si>
  <si>
    <t>anker 747</t>
  </si>
  <si>
    <t>cool camping gadgets</t>
  </si>
  <si>
    <t>3000 watt solar generator</t>
  </si>
  <si>
    <t>solar rechargeable power bank</t>
  </si>
  <si>
    <t>200 watt solar panel</t>
  </si>
  <si>
    <t>crank solar power bank</t>
  </si>
  <si>
    <t>ac200l</t>
  </si>
  <si>
    <t>jackery 2000 plus</t>
  </si>
  <si>
    <t>tents for camping</t>
  </si>
  <si>
    <t>jackery charger</t>
  </si>
  <si>
    <t>battery powered hot plate</t>
  </si>
  <si>
    <t>solar generator 3000w</t>
  </si>
  <si>
    <t>emergency heater no electricity</t>
  </si>
  <si>
    <t>anker portable</t>
  </si>
  <si>
    <t>car camping gear</t>
  </si>
  <si>
    <t>hand generator</t>
  </si>
  <si>
    <t>biolite</t>
  </si>
  <si>
    <t>hand crank solar power bank</t>
  </si>
  <si>
    <t>camping heater</t>
  </si>
  <si>
    <t>westinghouse generator</t>
  </si>
  <si>
    <t>power smart generator</t>
  </si>
  <si>
    <t>portable ac power bank</t>
  </si>
  <si>
    <t>solar plug outlet</t>
  </si>
  <si>
    <t>hand crank usb charger</t>
  </si>
  <si>
    <t>hurricane preparedness items</t>
  </si>
  <si>
    <t>survival kit</t>
  </si>
  <si>
    <t>cargador de bateria de carro portatil</t>
  </si>
  <si>
    <t>home solar panels</t>
  </si>
  <si>
    <t>hocl generator</t>
  </si>
  <si>
    <t>solar power heater</t>
  </si>
  <si>
    <t>anker portable charger</t>
  </si>
  <si>
    <t>24 hour battery backup</t>
  </si>
  <si>
    <t>powersmart generator</t>
  </si>
  <si>
    <t>anker 747 power bank</t>
  </si>
  <si>
    <t>solar hand crank power bank</t>
  </si>
  <si>
    <t>refrigerator battery backup</t>
  </si>
  <si>
    <t>ac180</t>
  </si>
  <si>
    <t>power outage</t>
  </si>
  <si>
    <t>hand crank battery charger</t>
  </si>
  <si>
    <t>paneles solares para casas 20000 watt</t>
  </si>
  <si>
    <t>back up battery</t>
  </si>
  <si>
    <t>anker 737 power bank powercore 24k</t>
  </si>
  <si>
    <t>jackery portable charger</t>
  </si>
  <si>
    <t>1000 watt generator</t>
  </si>
  <si>
    <t>70000mah power bank</t>
  </si>
  <si>
    <t>battery portable</t>
  </si>
  <si>
    <t>anker 521 power bank</t>
  </si>
  <si>
    <t>power banks</t>
  </si>
  <si>
    <t>anker 533 power bank</t>
  </si>
  <si>
    <t>anker 26800 power bank</t>
  </si>
  <si>
    <t>anker 675</t>
  </si>
  <si>
    <t>camping supplies for tent camping</t>
  </si>
  <si>
    <t>wen generator</t>
  </si>
  <si>
    <t>generators for home use quiet</t>
  </si>
  <si>
    <t>power bank ac outlet</t>
  </si>
  <si>
    <t>anker maggo</t>
  </si>
  <si>
    <t>tailgating essentials</t>
  </si>
  <si>
    <t>emergency light</t>
  </si>
  <si>
    <t>folding solar panel</t>
  </si>
  <si>
    <t>van life essentials</t>
  </si>
  <si>
    <t>portable inverter generator</t>
  </si>
  <si>
    <t>portable shower for camping</t>
  </si>
  <si>
    <t>200w solar panel</t>
  </si>
  <si>
    <t>generadores de gasolina silencioso</t>
  </si>
  <si>
    <t>camping shower</t>
  </si>
  <si>
    <t>survival gear</t>
  </si>
  <si>
    <t>cpap machine</t>
  </si>
  <si>
    <t>camping tents</t>
  </si>
  <si>
    <t>panel</t>
  </si>
  <si>
    <t>portable office</t>
  </si>
  <si>
    <t>battery</t>
  </si>
  <si>
    <t>camping table</t>
  </si>
  <si>
    <t>casa portatil</t>
  </si>
  <si>
    <t>portable solar panels for camping</t>
  </si>
  <si>
    <t>c pap</t>
  </si>
  <si>
    <t>panel solar</t>
  </si>
  <si>
    <t>co2 generator</t>
  </si>
  <si>
    <t>power bank for iphone</t>
  </si>
  <si>
    <t>solar power bank portable charger</t>
  </si>
  <si>
    <t>hand crank charger</t>
  </si>
  <si>
    <t>solar panel with battery</t>
  </si>
  <si>
    <t>anker power strip</t>
  </si>
  <si>
    <t>ac pro</t>
  </si>
  <si>
    <t>portable shower</t>
  </si>
  <si>
    <t>solar panel charger</t>
  </si>
  <si>
    <t>camper must haves</t>
  </si>
  <si>
    <t>rv generator</t>
  </si>
  <si>
    <t>battery powered heater for camping</t>
  </si>
  <si>
    <t>honda generator</t>
  </si>
  <si>
    <t>dual fuel generator</t>
  </si>
  <si>
    <t>500w solar panel</t>
  </si>
  <si>
    <t>portable solar panel 200w</t>
  </si>
  <si>
    <t>survival tools</t>
  </si>
  <si>
    <t>camping must haves</t>
  </si>
  <si>
    <t>tacklife</t>
  </si>
  <si>
    <t>solar panel kit</t>
  </si>
  <si>
    <t>portable air conditioner</t>
  </si>
  <si>
    <t>motorcycle camping</t>
  </si>
  <si>
    <t>ups battery backup</t>
  </si>
  <si>
    <t>anker wireless charger</t>
  </si>
  <si>
    <t>wireless power bank</t>
  </si>
  <si>
    <t>anker qi2</t>
  </si>
  <si>
    <t>camping lights</t>
  </si>
  <si>
    <t>river monsters</t>
  </si>
  <si>
    <t>lifepo4 battery</t>
  </si>
  <si>
    <t>camping gear must haves</t>
  </si>
  <si>
    <t>solar heater</t>
  </si>
  <si>
    <t>portable</t>
  </si>
  <si>
    <t>camping cooking set</t>
  </si>
  <si>
    <t>cell phone portable power banks</t>
  </si>
  <si>
    <t>3500 watt generator</t>
  </si>
  <si>
    <t>solar panels 400 watts</t>
  </si>
  <si>
    <t>power bank 20000mah</t>
  </si>
  <si>
    <t>solar system kit</t>
  </si>
  <si>
    <t>tech</t>
  </si>
  <si>
    <t>coleman camping stove</t>
  </si>
  <si>
    <t>600w solar panel</t>
  </si>
  <si>
    <t>baseus power bank</t>
  </si>
  <si>
    <t>anker 622 magnetic battery</t>
  </si>
  <si>
    <t>camping equipment</t>
  </si>
  <si>
    <t>hisense u7k</t>
  </si>
  <si>
    <t>anker 20000mah power bank</t>
  </si>
  <si>
    <t>car camping accessories</t>
  </si>
  <si>
    <t>quiet generator</t>
  </si>
  <si>
    <t>power inverter 12v to 110v</t>
  </si>
  <si>
    <t>solar system</t>
  </si>
  <si>
    <t>external battery power bank</t>
  </si>
  <si>
    <t>12v lithium battery</t>
  </si>
  <si>
    <t>camping necessities</t>
  </si>
  <si>
    <t>anker 622</t>
  </si>
  <si>
    <t>travel cpap machine mini</t>
  </si>
  <si>
    <t>solar charger for cell phone</t>
  </si>
  <si>
    <t>generac generator</t>
  </si>
  <si>
    <t>computer uninterruptible power supply units</t>
  </si>
  <si>
    <t>solar fan</t>
  </si>
  <si>
    <t>magnetic power bank</t>
  </si>
  <si>
    <t>apple products</t>
  </si>
  <si>
    <t>gas generator</t>
  </si>
  <si>
    <t>camping pad</t>
  </si>
  <si>
    <t>wyze solar panel</t>
  </si>
  <si>
    <t>anker hub</t>
  </si>
  <si>
    <t>peace river</t>
  </si>
  <si>
    <t>hydrogen water generator</t>
  </si>
  <si>
    <t>man from snowy river</t>
  </si>
  <si>
    <t>140w power bank</t>
  </si>
  <si>
    <t>10000mah power bank</t>
  </si>
  <si>
    <t>anker power bank magsafe</t>
  </si>
  <si>
    <t>solar panel 200w</t>
  </si>
  <si>
    <t>electronic</t>
  </si>
  <si>
    <t>40000mah power bank</t>
  </si>
  <si>
    <t>wind generator</t>
  </si>
  <si>
    <t>500 watt power supply</t>
  </si>
  <si>
    <t>portable solar charger</t>
  </si>
  <si>
    <t>the man from snowy river</t>
  </si>
  <si>
    <t>charging bank</t>
  </si>
  <si>
    <t>gener</t>
  </si>
  <si>
    <t>glamping essentials</t>
  </si>
  <si>
    <t>100ah lifepo4 battery</t>
  </si>
  <si>
    <t>renogy</t>
  </si>
  <si>
    <t>alpha gear delta pro smart watch</t>
  </si>
  <si>
    <t>portable ac for camping</t>
  </si>
  <si>
    <t>solar panel portable</t>
  </si>
  <si>
    <t>dual fuel inverter generator</t>
  </si>
  <si>
    <t>inflatable camping tent</t>
  </si>
  <si>
    <t>anker wireless charging station</t>
  </si>
  <si>
    <t>calentador de comida portatil</t>
  </si>
  <si>
    <t>solar power kit</t>
  </si>
  <si>
    <t>anker charging block</t>
  </si>
  <si>
    <t>anker power brick</t>
  </si>
  <si>
    <t>camping air conditioner</t>
  </si>
  <si>
    <t>inverter generator dual fuel</t>
  </si>
  <si>
    <t>overlanding accessories</t>
  </si>
  <si>
    <t>power bank solar charger</t>
  </si>
  <si>
    <t>generac generators for home use</t>
  </si>
  <si>
    <t>porta power</t>
  </si>
  <si>
    <t>panel solar portatil</t>
  </si>
  <si>
    <t>shargeek power bank</t>
  </si>
  <si>
    <t>solar powered fan</t>
  </si>
  <si>
    <t>anker power bank 20000mah</t>
  </si>
  <si>
    <t>predator generator</t>
  </si>
  <si>
    <t>gas generators for home use</t>
  </si>
  <si>
    <t>camping kitchen station</t>
  </si>
  <si>
    <t>small solar panel</t>
  </si>
  <si>
    <t>power bank for laptop</t>
  </si>
  <si>
    <t>portable shed</t>
  </si>
  <si>
    <t>generator rex</t>
  </si>
  <si>
    <t>anker charger portable</t>
  </si>
  <si>
    <t>tent air conditioner</t>
  </si>
  <si>
    <t>camping kit</t>
  </si>
  <si>
    <t>inverter/ generator</t>
  </si>
  <si>
    <t>rechargeable battery</t>
  </si>
  <si>
    <t>cpap machines</t>
  </si>
  <si>
    <t>solar power charger</t>
  </si>
  <si>
    <t>camping tent 6 person</t>
  </si>
  <si>
    <t>air cooler</t>
  </si>
  <si>
    <t>mini ac unit</t>
  </si>
  <si>
    <t>propane generators for home use</t>
  </si>
  <si>
    <t>tent camping essentials</t>
  </si>
  <si>
    <t>wind generators for home use</t>
  </si>
  <si>
    <t>30000mah power bank</t>
  </si>
  <si>
    <t>100w power bank</t>
  </si>
  <si>
    <t>camping accessories for tent campers</t>
  </si>
  <si>
    <t>solar portable charger</t>
  </si>
  <si>
    <t>mini ac</t>
  </si>
  <si>
    <t>b08l9qdrc3</t>
  </si>
  <si>
    <t>solar power fan</t>
  </si>
  <si>
    <t>generac</t>
  </si>
  <si>
    <t>solar powered chargers for phones</t>
  </si>
  <si>
    <t>solar cells</t>
  </si>
  <si>
    <t>ryobi power station</t>
  </si>
  <si>
    <t>high capacity power bank</t>
  </si>
  <si>
    <t>wasserstein solar panel</t>
  </si>
  <si>
    <t>recharge</t>
  </si>
  <si>
    <t>camp light</t>
  </si>
  <si>
    <t>home solar power system complete kit</t>
  </si>
  <si>
    <t>portable power washer</t>
  </si>
  <si>
    <t>solar cell phone charger</t>
  </si>
  <si>
    <t>portable camping toilet</t>
  </si>
  <si>
    <t>rv supplies</t>
  </si>
  <si>
    <t>anker magsafe power bank</t>
  </si>
  <si>
    <t>solar charged power bank</t>
  </si>
  <si>
    <t>dometic</t>
  </si>
  <si>
    <t>westinghouse</t>
  </si>
  <si>
    <t>battery radio portable am fm emergency</t>
  </si>
  <si>
    <t>solar power system</t>
  </si>
  <si>
    <t>portable tiny home</t>
  </si>
  <si>
    <t>small ac unit</t>
  </si>
  <si>
    <t>overlanding</t>
  </si>
  <si>
    <t>anker outlet</t>
  </si>
  <si>
    <t>camping essentials cooking</t>
  </si>
  <si>
    <t>deep cycle battery</t>
  </si>
  <si>
    <t>usb c hub anker</t>
  </si>
  <si>
    <t>generator inverter</t>
  </si>
  <si>
    <t>anker 10000mah power bank</t>
  </si>
  <si>
    <t>camping stoves</t>
  </si>
  <si>
    <t>anker travel charger</t>
  </si>
  <si>
    <t>natural gas generator</t>
  </si>
  <si>
    <t>solar phone charger for android</t>
  </si>
  <si>
    <t>200ah lifepo4 battery</t>
  </si>
  <si>
    <t>super quiet generator</t>
  </si>
  <si>
    <t>generator exhaust extension kit</t>
  </si>
  <si>
    <t>delta pro smart watch</t>
  </si>
  <si>
    <t>wireless charger anker</t>
  </si>
  <si>
    <t>solar air conditioner</t>
  </si>
  <si>
    <t>charger bank</t>
  </si>
  <si>
    <t>enfriador de aire para cuartos</t>
  </si>
  <si>
    <t>turbina eólica de viento</t>
  </si>
  <si>
    <t>camping cooking gear</t>
  </si>
  <si>
    <t>anker prime 27,650mah power bank 250w</t>
  </si>
  <si>
    <t>travel battery pack</t>
  </si>
  <si>
    <t>power bank portable charger</t>
  </si>
  <si>
    <t>camp cooking</t>
  </si>
  <si>
    <t>tri fuel generators for home use</t>
  </si>
  <si>
    <t>thermoelectric generator</t>
  </si>
  <si>
    <t>windmill generator</t>
  </si>
  <si>
    <t>powerbank 50000mah</t>
  </si>
  <si>
    <t>powerwerx</t>
  </si>
  <si>
    <t>12v lifepo4 battery</t>
  </si>
  <si>
    <t>planta electrica</t>
  </si>
  <si>
    <t>24v lifepo4 battery</t>
  </si>
  <si>
    <t>anker magnetic battery</t>
  </si>
  <si>
    <t>anker portable charger iphone</t>
  </si>
  <si>
    <t>anker magnetic power bank</t>
  </si>
  <si>
    <t>50ah lifepo4 battery</t>
  </si>
  <si>
    <t>whole home generator</t>
  </si>
  <si>
    <t>generators for home use dual fuel</t>
  </si>
  <si>
    <t>truck camping accessories</t>
  </si>
  <si>
    <t>2000w inverter</t>
  </si>
  <si>
    <t>tesla usb hub</t>
  </si>
  <si>
    <t>anker maggo power bank 10k</t>
  </si>
  <si>
    <t>15000 watt generator</t>
  </si>
  <si>
    <t>fuente de poder 500w</t>
  </si>
  <si>
    <t>goal zero yeti</t>
  </si>
  <si>
    <t>usb c battery bank</t>
  </si>
  <si>
    <t>nexpow</t>
  </si>
  <si>
    <t>camping cooking essentials</t>
  </si>
  <si>
    <t>battery powered cooler</t>
  </si>
  <si>
    <t>remote start generator</t>
  </si>
  <si>
    <t>travel cpap</t>
  </si>
  <si>
    <t>camp gear</t>
  </si>
  <si>
    <t>anker powercore 10000</t>
  </si>
  <si>
    <t>solar portable charger power bank</t>
  </si>
  <si>
    <t>power bank with solar panel</t>
  </si>
  <si>
    <t>portable solar charger power bank</t>
  </si>
  <si>
    <t>gasoline</t>
  </si>
  <si>
    <t>mini camping stove</t>
  </si>
  <si>
    <t>anker 621</t>
  </si>
  <si>
    <t>small gas generator</t>
  </si>
  <si>
    <t>water turbine generator</t>
  </si>
  <si>
    <t>camping ac</t>
  </si>
  <si>
    <t>bargain finds</t>
  </si>
  <si>
    <t>westinghouse inverter generator</t>
  </si>
  <si>
    <t>zendure power bank</t>
  </si>
  <si>
    <t>power charger</t>
  </si>
  <si>
    <t>wind power generator kit</t>
  </si>
  <si>
    <t>amazon portable house</t>
  </si>
  <si>
    <t>house portable</t>
  </si>
  <si>
    <t>charging station anker</t>
  </si>
  <si>
    <t>compact power bank</t>
  </si>
  <si>
    <t>anker power bank magnetic</t>
  </si>
  <si>
    <t>battery powered radio emergency</t>
  </si>
  <si>
    <t>new home essentials must haves</t>
  </si>
  <si>
    <t>charger anker</t>
  </si>
  <si>
    <t>emergency phone charger</t>
  </si>
  <si>
    <t>champion generator dual fuel</t>
  </si>
  <si>
    <t>bateria</t>
  </si>
  <si>
    <t>high voltage generator</t>
  </si>
  <si>
    <t>camping items</t>
  </si>
  <si>
    <t>anker mini power bank</t>
  </si>
  <si>
    <t>camper van must haves</t>
  </si>
  <si>
    <t>solar power inverter</t>
  </si>
  <si>
    <t>30w power bank</t>
  </si>
  <si>
    <t>500 watt inverter</t>
  </si>
  <si>
    <t>travel grill</t>
  </si>
  <si>
    <t>power bank 2 pack</t>
  </si>
  <si>
    <t>solar powered portable charger</t>
  </si>
  <si>
    <t>crank radio solar charging with flashlight and power bank</t>
  </si>
  <si>
    <t>river floats for adults heavy duty</t>
  </si>
  <si>
    <t>solar power panel</t>
  </si>
  <si>
    <t>outdoor camping accessories</t>
  </si>
  <si>
    <t>permanent magnet generator</t>
  </si>
  <si>
    <t>outdoor camping</t>
  </si>
  <si>
    <t>suv camping accessories</t>
  </si>
  <si>
    <t>10000 watt generator</t>
  </si>
  <si>
    <t>rich solar</t>
  </si>
  <si>
    <t>ecoflow solar cable</t>
  </si>
  <si>
    <t>zendure</t>
  </si>
  <si>
    <t>micro hydro generator</t>
  </si>
  <si>
    <t>dewalt power bank</t>
  </si>
  <si>
    <t>growatt</t>
  </si>
  <si>
    <t>portable tiny house</t>
  </si>
  <si>
    <t>generators with a 50 amp plug</t>
  </si>
  <si>
    <t>25000 mah power bank</t>
  </si>
  <si>
    <t>50ah lithium battery</t>
  </si>
  <si>
    <t>power bank with wall plug</t>
  </si>
  <si>
    <t>portable glam station</t>
  </si>
  <si>
    <t>litheli</t>
  </si>
  <si>
    <t>battery operated phone charger</t>
  </si>
  <si>
    <t>alpha gear delta pro</t>
  </si>
  <si>
    <t>water generator</t>
  </si>
  <si>
    <t>generac whole house generator</t>
  </si>
  <si>
    <t>lifepo4 battery 12v</t>
  </si>
  <si>
    <t>turbine generator</t>
  </si>
  <si>
    <t>portable solar</t>
  </si>
  <si>
    <t>anker 525 charging station</t>
  </si>
  <si>
    <t>home solar system</t>
  </si>
  <si>
    <t>solar powered cooler</t>
  </si>
  <si>
    <t>goalzero</t>
  </si>
  <si>
    <t>3500 watt inverter generator</t>
  </si>
  <si>
    <t>iwave r</t>
  </si>
  <si>
    <t>small portable ac</t>
  </si>
  <si>
    <t>generator quiet</t>
  </si>
  <si>
    <t>terviiix</t>
  </si>
  <si>
    <t>anker wireless</t>
  </si>
  <si>
    <t>charging battery</t>
  </si>
  <si>
    <t>60w solar panel</t>
  </si>
  <si>
    <t>车载冰箱</t>
  </si>
  <si>
    <t>移动电源</t>
  </si>
  <si>
    <t>户外电源</t>
  </si>
  <si>
    <t>户外</t>
  </si>
  <si>
    <t>太阳能板</t>
  </si>
  <si>
    <t>发电机</t>
  </si>
  <si>
    <t>储能电源</t>
  </si>
  <si>
    <t>便携式户外储能电源</t>
  </si>
  <si>
    <t>便携式大功率户外储能电源</t>
  </si>
  <si>
    <t>zerolemon power bank</t>
  </si>
  <si>
    <t>zerokor portable power bank with ac outlet</t>
  </si>
  <si>
    <t>zerobreeze</t>
  </si>
  <si>
    <t>zero breeze</t>
  </si>
  <si>
    <t>zendure power station</t>
  </si>
  <si>
    <t>zamp portable solar panels for rv</t>
  </si>
  <si>
    <t>yoshino solid state power station</t>
  </si>
  <si>
    <t>yoshino power station</t>
  </si>
  <si>
    <t>yoshino power</t>
  </si>
  <si>
    <t>yoshino</t>
  </si>
  <si>
    <t>yoobao</t>
  </si>
  <si>
    <t>yolaness power station</t>
  </si>
  <si>
    <t>yeti goal zero</t>
  </si>
  <si>
    <t>yeti generator</t>
  </si>
  <si>
    <t>yeti battery backup power supply</t>
  </si>
  <si>
    <t>yeti battery</t>
  </si>
  <si>
    <t>yeti 6000x solar adapter</t>
  </si>
  <si>
    <t>yeti 500x portable power station</t>
  </si>
  <si>
    <t>yeti 500x</t>
  </si>
  <si>
    <t>yeti 4000</t>
  </si>
  <si>
    <t>yeti 3000x portable power station</t>
  </si>
  <si>
    <t>yeti 3000x</t>
  </si>
  <si>
    <t>yeti 300</t>
  </si>
  <si>
    <t>yeti 200x</t>
  </si>
  <si>
    <t>yeti 1500x portable power station</t>
  </si>
  <si>
    <t>yard force solar charger power bank</t>
  </si>
  <si>
    <t>yae tek portable generator hand crank</t>
  </si>
  <si>
    <t>xvjnp battery</t>
  </si>
  <si>
    <t>xv750 battery cover</t>
  </si>
  <si>
    <t>xerox b230 printer</t>
  </si>
  <si>
    <t>xbox 360 wireless battery pack</t>
  </si>
  <si>
    <t>xbox 360 rechargeable battery station</t>
  </si>
  <si>
    <t>xbox 360 rechargeable battery pack</t>
  </si>
  <si>
    <t>xbox 360 rechargeable battery</t>
  </si>
  <si>
    <t>xbox 360 controller wireless with battery</t>
  </si>
  <si>
    <t>xbox 360 controller wireless rechargeable battery</t>
  </si>
  <si>
    <t>xbox 360 controller wireless battery pack</t>
  </si>
  <si>
    <t>xbox 360 controller battery pack rechargeable</t>
  </si>
  <si>
    <t>xbox 360 controller battery pack</t>
  </si>
  <si>
    <t>xbox 360 controller battery back</t>
  </si>
  <si>
    <t>xbox 360 controller battery</t>
  </si>
  <si>
    <t>xbox 360 control battery</t>
  </si>
  <si>
    <t>xbox 360 control batteries</t>
  </si>
  <si>
    <t>xbox 360 battery rechargeable 2 pack</t>
  </si>
  <si>
    <t>xbox 360 battery pack rechargeable</t>
  </si>
  <si>
    <t>x30 bluuetti</t>
  </si>
  <si>
    <t>x30 bluetti</t>
  </si>
  <si>
    <t>wyze cam solar panel</t>
  </si>
  <si>
    <t>workbench power station</t>
  </si>
  <si>
    <t>with lithium battery</t>
  </si>
  <si>
    <t>with 538wh lifepo4 battery,1 hour fast charging, 600w</t>
  </si>
  <si>
    <t>wireless solar power bank</t>
  </si>
  <si>
    <t>wireless powerbank for apple watch</t>
  </si>
  <si>
    <t>wireless power outlet</t>
  </si>
  <si>
    <t>wireless power bank station</t>
  </si>
  <si>
    <t>wireless power bank for samsung</t>
  </si>
  <si>
    <t>wireless power</t>
  </si>
  <si>
    <t>wireless portable heaters for indoor use battery powered</t>
  </si>
  <si>
    <t>wireless portable charger power bank</t>
  </si>
  <si>
    <t>wireless keyboard battery powered</t>
  </si>
  <si>
    <t>wireless heater for camping</t>
  </si>
  <si>
    <t>wireless charging station power bank</t>
  </si>
  <si>
    <t>wireless battery pack</t>
  </si>
  <si>
    <t>wire led battery powered</t>
  </si>
  <si>
    <t>winter storm power outage supplies</t>
  </si>
  <si>
    <t>winter storm essentials</t>
  </si>
  <si>
    <t>winter preparedness home</t>
  </si>
  <si>
    <t>winter home essentials</t>
  </si>
  <si>
    <t>winter freeze home essentials</t>
  </si>
  <si>
    <t>winter essentials for home</t>
  </si>
  <si>
    <t>winter emergency supplies</t>
  </si>
  <si>
    <t>winter camping gear</t>
  </si>
  <si>
    <t>windproof camping stove</t>
  </si>
  <si>
    <t>wind up charger</t>
  </si>
  <si>
    <t>wind turbine generator kit</t>
  </si>
  <si>
    <t>wind turbine generator</t>
  </si>
  <si>
    <t>wind turbine battery charger</t>
  </si>
  <si>
    <t>wind turbine</t>
  </si>
  <si>
    <t>wind river movie prime</t>
  </si>
  <si>
    <t>wind river movie</t>
  </si>
  <si>
    <t>wind powered generator</t>
  </si>
  <si>
    <t>wind power generator</t>
  </si>
  <si>
    <t>wind power</t>
  </si>
  <si>
    <t>wind generators</t>
  </si>
  <si>
    <t>wii rechargeable batteries and docking station</t>
  </si>
  <si>
    <t>wii charging station with batteries</t>
  </si>
  <si>
    <t>wifi camp pro 2</t>
  </si>
  <si>
    <t>whole house solar power system</t>
  </si>
  <si>
    <t>whole house solar generator</t>
  </si>
  <si>
    <t>whole house power bank</t>
  </si>
  <si>
    <t>whole house portable solar power generator</t>
  </si>
  <si>
    <t>whole house inverter</t>
  </si>
  <si>
    <t>whole house generators for power outages</t>
  </si>
  <si>
    <t>whole house generators</t>
  </si>
  <si>
    <t>whole house generator</t>
  </si>
  <si>
    <t>whole house battery backup power supply</t>
  </si>
  <si>
    <t>whole home generators for power outages</t>
  </si>
  <si>
    <t>whole home charging solutions</t>
  </si>
  <si>
    <t>whole home battery backup</t>
  </si>
  <si>
    <t>what happened at 625 river road</t>
  </si>
  <si>
    <t>wgen9500df</t>
  </si>
  <si>
    <t>wf-9855</t>
  </si>
  <si>
    <t>westinghouse wgen9500df</t>
  </si>
  <si>
    <t>westinghouse power station</t>
  </si>
  <si>
    <t>westinghouse portable power station</t>
  </si>
  <si>
    <t>westinghouse portable generator</t>
  </si>
  <si>
    <t>westinghouse generators</t>
  </si>
  <si>
    <t>westinghouse generator battery</t>
  </si>
  <si>
    <t>westinghouse generator 4500</t>
  </si>
  <si>
    <t>werchtay solar panel</t>
  </si>
  <si>
    <t>wen inverter generator 3600</t>
  </si>
  <si>
    <t>wen generators</t>
  </si>
  <si>
    <t>wen generator inverter</t>
  </si>
  <si>
    <t>wen electricity generator</t>
  </si>
  <si>
    <t>wen dual fuel generator</t>
  </si>
  <si>
    <t>wen 3800w inverter generator</t>
  </si>
  <si>
    <t>wen 3500w generator</t>
  </si>
  <si>
    <t>welding generators</t>
  </si>
  <si>
    <t>welding generator</t>
  </si>
  <si>
    <t>welder generator combo</t>
  </si>
  <si>
    <t>welder generator</t>
  </si>
  <si>
    <t>wave 3 heater</t>
  </si>
  <si>
    <t>waterproof solar power bank</t>
  </si>
  <si>
    <t>waterproof solar battery charger</t>
  </si>
  <si>
    <t>waterproof power station</t>
  </si>
  <si>
    <t>waterproof portable generator through-the-wall pwr transfer kit</t>
  </si>
  <si>
    <t>waterproof battery charger</t>
  </si>
  <si>
    <t>water wheel generator</t>
  </si>
  <si>
    <t>water turbine</t>
  </si>
  <si>
    <t>water powered generator</t>
  </si>
  <si>
    <t>water generator turbine</t>
  </si>
  <si>
    <t>water generator from air</t>
  </si>
  <si>
    <t>warehouse deals today</t>
  </si>
  <si>
    <t>wall-mounted home energy storage battery</t>
  </si>
  <si>
    <t>wall lamp battery powered</t>
  </si>
  <si>
    <t>wall charger solar panel</t>
  </si>
  <si>
    <t>w28000</t>
  </si>
  <si>
    <t>vtopman extra battery</t>
  </si>
  <si>
    <t>vtoman600w</t>
  </si>
  <si>
    <t>vtoman powerstation</t>
  </si>
  <si>
    <t>vtoman portable power station</t>
  </si>
  <si>
    <t>vtoman jump 600x power station</t>
  </si>
  <si>
    <t>vtoman jump 600x portable power station 600w</t>
  </si>
  <si>
    <t>vtoman jump 1000 portable power station 1000w</t>
  </si>
  <si>
    <t>vtoman jump 1000</t>
  </si>
  <si>
    <t>vtoman flashspeed 1500 power station</t>
  </si>
  <si>
    <t>vtoman 1000 watt power station</t>
  </si>
  <si>
    <t>vtoman</t>
  </si>
  <si>
    <t>vp110 battery</t>
  </si>
  <si>
    <t>voxx power station</t>
  </si>
  <si>
    <t>vorgut portable power station1500w</t>
  </si>
  <si>
    <t>volt hero</t>
  </si>
  <si>
    <t>volcan solar generator</t>
  </si>
  <si>
    <t>volcan power station</t>
  </si>
  <si>
    <t>volcan power staiton</t>
  </si>
  <si>
    <t>volcan portable power station</t>
  </si>
  <si>
    <t>vitoman portable power station</t>
  </si>
  <si>
    <t>vitoman jump 1000 portable power station</t>
  </si>
  <si>
    <t>vision pro portable power case</t>
  </si>
  <si>
    <t>vevor power station</t>
  </si>
  <si>
    <t>vevor portable power station</t>
  </si>
  <si>
    <t>vertical wind turbine generator</t>
  </si>
  <si>
    <t>vehicle detailing kit</t>
  </si>
  <si>
    <t>vehicle backup power supply</t>
  </si>
  <si>
    <t>vdl solar generator</t>
  </si>
  <si>
    <t>vatid power station</t>
  </si>
  <si>
    <t>vatid portable power station</t>
  </si>
  <si>
    <t>vatid</t>
  </si>
  <si>
    <t>variety battery pack</t>
  </si>
  <si>
    <t>vanpowers</t>
  </si>
  <si>
    <t>van tents for camping</t>
  </si>
  <si>
    <t>van living essentials</t>
  </si>
  <si>
    <t>van life accessories</t>
  </si>
  <si>
    <t>van house</t>
  </si>
  <si>
    <t>van generator</t>
  </si>
  <si>
    <t>van camping</t>
  </si>
  <si>
    <t>vacation must haves</t>
  </si>
  <si>
    <t>v4 battery</t>
  </si>
  <si>
    <t>v20 battery</t>
  </si>
  <si>
    <t>v10 battery</t>
  </si>
  <si>
    <t>v steam chair</t>
  </si>
  <si>
    <t>used lifepo4 portable power station</t>
  </si>
  <si>
    <t>usb trip lights</t>
  </si>
  <si>
    <t>usb solar power bank charger</t>
  </si>
  <si>
    <t>usb solar power</t>
  </si>
  <si>
    <t>usb solar panel with battery</t>
  </si>
  <si>
    <t>usb solar panel for power bank</t>
  </si>
  <si>
    <t>usb solar battery pack</t>
  </si>
  <si>
    <t>usb power source</t>
  </si>
  <si>
    <t>usb power bank</t>
  </si>
  <si>
    <t>usb mini solar panel</t>
  </si>
  <si>
    <t>usb heater for camping</t>
  </si>
  <si>
    <t>usb generator</t>
  </si>
  <si>
    <t>usb crank charger</t>
  </si>
  <si>
    <t>usb camping lights</t>
  </si>
  <si>
    <t>usb c solar panel with battery</t>
  </si>
  <si>
    <t>usb c solar panel for powerbank</t>
  </si>
  <si>
    <t>usb c power bank</t>
  </si>
  <si>
    <t>usb c portable charger anker</t>
  </si>
  <si>
    <t>usb c portable battery pack</t>
  </si>
  <si>
    <t>usb battery power bank</t>
  </si>
  <si>
    <t>usb battery pack for lights</t>
  </si>
  <si>
    <t>usb battery pack</t>
  </si>
  <si>
    <t>urvns</t>
  </si>
  <si>
    <t>upusa generators for home use</t>
  </si>
  <si>
    <t>ups lithium battery backup</t>
  </si>
  <si>
    <t>ups lithium</t>
  </si>
  <si>
    <t>ups battery backup 1500va</t>
  </si>
  <si>
    <t>ups 1000w</t>
  </si>
  <si>
    <t>unregulated power supply board</t>
  </si>
  <si>
    <t>ultra quiet generator</t>
  </si>
  <si>
    <t>ugreen power station</t>
  </si>
  <si>
    <t>ugreen power bank chargers</t>
  </si>
  <si>
    <t>ugreen 145w power bank 25000mah</t>
  </si>
  <si>
    <t>turbopower</t>
  </si>
  <si>
    <t>turbina hidroelectrica</t>
  </si>
  <si>
    <t>tsa approved cpap battery</t>
  </si>
  <si>
    <t>truck tents for camping 5.5 bed</t>
  </si>
  <si>
    <t>trifuel generators</t>
  </si>
  <si>
    <t>triangle lithium ion battery</t>
  </si>
  <si>
    <t>tri fuel portable generator</t>
  </si>
  <si>
    <t>tri fuel inverter generator</t>
  </si>
  <si>
    <t>tri fuel generator natural gas</t>
  </si>
  <si>
    <t>travel solar panel</t>
  </si>
  <si>
    <t>travel battery</t>
  </si>
  <si>
    <t>trail camera solar panel with battery</t>
  </si>
  <si>
    <t>trail camera solar panel</t>
  </si>
  <si>
    <t>togopower</t>
  </si>
  <si>
    <t>togo power solar</t>
  </si>
  <si>
    <t>togo power 100w portable bifacial solar panel</t>
  </si>
  <si>
    <t>togo power</t>
  </si>
  <si>
    <t>tl-5920 battery</t>
  </si>
  <si>
    <t>tiny house foldable</t>
  </si>
  <si>
    <t>tiny house</t>
  </si>
  <si>
    <t>tiny homes</t>
  </si>
  <si>
    <t>tiny home</t>
  </si>
  <si>
    <t>tiny generator</t>
  </si>
  <si>
    <t>timeusb lifepo4 battery</t>
  </si>
  <si>
    <t>thousand watt generator</t>
  </si>
  <si>
    <t>things to have for a power outage</t>
  </si>
  <si>
    <t>things for power outages</t>
  </si>
  <si>
    <t>thermal generator</t>
  </si>
  <si>
    <t>thermal electric generator</t>
  </si>
  <si>
    <t>the jackery 1000</t>
  </si>
  <si>
    <t>the jackery</t>
  </si>
  <si>
    <t>tesla powerwall</t>
  </si>
  <si>
    <t>tesla power wall</t>
  </si>
  <si>
    <t>tesla portable charger</t>
  </si>
  <si>
    <t>tesla model y rooftop tent</t>
  </si>
  <si>
    <t>tesla gifts</t>
  </si>
  <si>
    <t>tesla camping plug</t>
  </si>
  <si>
    <t>tesla camping</t>
  </si>
  <si>
    <t>tents for camping 4 person waterproof</t>
  </si>
  <si>
    <t>tents for camping 4 person</t>
  </si>
  <si>
    <t>tent power station</t>
  </si>
  <si>
    <t>tent heaters for camping</t>
  </si>
  <si>
    <t>tent heater for camping rechargeable</t>
  </si>
  <si>
    <t>tent heater for camping battery powered rechargeable</t>
  </si>
  <si>
    <t>tent heater battery powered</t>
  </si>
  <si>
    <t>tent heater</t>
  </si>
  <si>
    <t>tent generator</t>
  </si>
  <si>
    <t>tent camping</t>
  </si>
  <si>
    <t>tenergy solar panel</t>
  </si>
  <si>
    <t>temporary electrical power outlet panel</t>
  </si>
  <si>
    <t>tattoo power supply</t>
  </si>
  <si>
    <t>takoki</t>
  </si>
  <si>
    <t>tailgate storage box with lights</t>
  </si>
  <si>
    <t>tailgate generator</t>
  </si>
  <si>
    <t>tailgate essentials</t>
  </si>
  <si>
    <t>tactical power bank</t>
  </si>
  <si>
    <t>tactacam solar panel kit</t>
  </si>
  <si>
    <t>syd portable power source</t>
  </si>
  <si>
    <t>swiss tech solar power bank</t>
  </si>
  <si>
    <t>swarey</t>
  </si>
  <si>
    <t>suv tents for camping</t>
  </si>
  <si>
    <t>suv camping tent</t>
  </si>
  <si>
    <t>suv camping</t>
  </si>
  <si>
    <t>survival solar</t>
  </si>
  <si>
    <t>survival kits for disaster preparedness</t>
  </si>
  <si>
    <t>supplies for power outage</t>
  </si>
  <si>
    <t>superallure portable power station</t>
  </si>
  <si>
    <t>super quiet inverter generator</t>
  </si>
  <si>
    <t>sunway solar</t>
  </si>
  <si>
    <t>sunpower solar panel</t>
  </si>
  <si>
    <t>sun power inverter</t>
  </si>
  <si>
    <t>sun panels</t>
  </si>
  <si>
    <t>sun joe 24v battery</t>
  </si>
  <si>
    <t>sump pump battery backup system</t>
  </si>
  <si>
    <t>sump pump battery backup inverter</t>
  </si>
  <si>
    <t>summer waves ac</t>
  </si>
  <si>
    <t>suitcase generator</t>
  </si>
  <si>
    <t>suaoki</t>
  </si>
  <si>
    <t>storage portable charger</t>
  </si>
  <si>
    <t>storage battery</t>
  </si>
  <si>
    <t>stokevoltaics</t>
  </si>
  <si>
    <t>station portable-childrens-accessories-cushions</t>
  </si>
  <si>
    <t>station energy for home</t>
  </si>
  <si>
    <t>static electricity generator</t>
  </si>
  <si>
    <t>start power supply</t>
  </si>
  <si>
    <t>starry sky camping light</t>
  </si>
  <si>
    <t>stanley power station</t>
  </si>
  <si>
    <t>stanley portable power station</t>
  </si>
  <si>
    <t>stanley j5c09d power station</t>
  </si>
  <si>
    <t>stanley fatmax power station</t>
  </si>
  <si>
    <t>standby generator with transfer switch</t>
  </si>
  <si>
    <t>standby generator</t>
  </si>
  <si>
    <t>stand by generators for home</t>
  </si>
  <si>
    <t>stacked energy storage battery</t>
  </si>
  <si>
    <t>square battery powered light</t>
  </si>
  <si>
    <t>sportsman generator</t>
  </si>
  <si>
    <t>sport</t>
  </si>
  <si>
    <t>space elevator power bank</t>
  </si>
  <si>
    <t>southwire elite 200 series portable power station</t>
  </si>
  <si>
    <t>sort savvy</t>
  </si>
  <si>
    <t>soow portable power cable</t>
  </si>
  <si>
    <t>solor power bank</t>
  </si>
  <si>
    <t>solor battery</t>
  </si>
  <si>
    <t>solix f3800 power station</t>
  </si>
  <si>
    <t>solix f3800</t>
  </si>
  <si>
    <t>solix f2000</t>
  </si>
  <si>
    <t>solix c1000</t>
  </si>
  <si>
    <t>solix</t>
  </si>
  <si>
    <t>solim power station</t>
  </si>
  <si>
    <t>solid state battery</t>
  </si>
  <si>
    <t>soler power bank</t>
  </si>
  <si>
    <t>solarsaga 100w solar panel</t>
  </si>
  <si>
    <t>solarsaga</t>
  </si>
  <si>
    <t>solarpanel</t>
  </si>
  <si>
    <t>solar-powered cooler</t>
  </si>
  <si>
    <t>solar with battery</t>
  </si>
  <si>
    <t>solar water system for plants</t>
  </si>
  <si>
    <t>solar usb power bank</t>
  </si>
  <si>
    <t>solar usb charger with battery</t>
  </si>
  <si>
    <t>solar usb charger waterproof outdoor</t>
  </si>
  <si>
    <t>solar usb</t>
  </si>
  <si>
    <t>solar tv</t>
  </si>
  <si>
    <t>solar systme</t>
  </si>
  <si>
    <t>solar suitcase 400w</t>
  </si>
  <si>
    <t>solar stations、</t>
  </si>
  <si>
    <t>solar stations</t>
  </si>
  <si>
    <t>solar station with panels included</t>
  </si>
  <si>
    <t>solar router</t>
  </si>
  <si>
    <t>solar refrigerator with solar panel</t>
  </si>
  <si>
    <t>solar refrigerator</t>
  </si>
  <si>
    <t>solar powerr system</t>
  </si>
  <si>
    <t>solar powered survival items</t>
  </si>
  <si>
    <t>solar powered survival</t>
  </si>
  <si>
    <t>solar powered stock tank heater</t>
  </si>
  <si>
    <t>solar powered station</t>
  </si>
  <si>
    <t>solar powered space heater</t>
  </si>
  <si>
    <t>solar powered refrigerator</t>
  </si>
  <si>
    <t>solar powered power station</t>
  </si>
  <si>
    <t>solar powered power generator</t>
  </si>
  <si>
    <t>solar powered power bank generator</t>
  </si>
  <si>
    <t>solar powered portable generator</t>
  </si>
  <si>
    <t>solar powered plug outlet</t>
  </si>
  <si>
    <t>solar powered phone charger portable</t>
  </si>
  <si>
    <t>solar powered outlet plug</t>
  </si>
  <si>
    <t>solar powered outlet</t>
  </si>
  <si>
    <t>solar powered home generator</t>
  </si>
  <si>
    <t>solar powered heaters for indoor use</t>
  </si>
  <si>
    <t>solar powered heater for car</t>
  </si>
  <si>
    <t>solar powered hand crank generator</t>
  </si>
  <si>
    <t>solar powered generatorsolar generator</t>
  </si>
  <si>
    <t>solar powered generators for home use</t>
  </si>
  <si>
    <t>solar powered generators</t>
  </si>
  <si>
    <t>solar powered generator for house</t>
  </si>
  <si>
    <t>solar powered generator for home</t>
  </si>
  <si>
    <t>solar powered generator for camping</t>
  </si>
  <si>
    <t>solar powered generator anker</t>
  </si>
  <si>
    <t>solar powered generator 1500 watt</t>
  </si>
  <si>
    <t>solar powered fridge</t>
  </si>
  <si>
    <t>solar powered devices</t>
  </si>
  <si>
    <t>solar powered charging station</t>
  </si>
  <si>
    <t>solar powered car heater</t>
  </si>
  <si>
    <t>solar powered battery pack</t>
  </si>
  <si>
    <t>solar powered battery charger</t>
  </si>
  <si>
    <t>solar powered battery bank</t>
  </si>
  <si>
    <t>solar powered battery</t>
  </si>
  <si>
    <t>solar powered bank</t>
  </si>
  <si>
    <t>solar powered airplane</t>
  </si>
  <si>
    <t>solar powered air conditioner</t>
  </si>
  <si>
    <t>solar powered ac unit</t>
  </si>
  <si>
    <t>solar power windmill</t>
  </si>
  <si>
    <t>solar power system complete kit</t>
  </si>
  <si>
    <t>solar power supply 12v</t>
  </si>
  <si>
    <t>solar power supply</t>
  </si>
  <si>
    <t>solar power strip</t>
  </si>
  <si>
    <t>solar power station with solar panels</t>
  </si>
  <si>
    <t>solar power station with panels included</t>
  </si>
  <si>
    <t>solar power station lifepo4</t>
  </si>
  <si>
    <t>solar power station ac outlet</t>
  </si>
  <si>
    <t>solar power station 500w</t>
  </si>
  <si>
    <t>solar power station 1000w</t>
  </si>
  <si>
    <t>solar power socket</t>
  </si>
  <si>
    <t>solar power power storage</t>
  </si>
  <si>
    <t>solar power power bank</t>
  </si>
  <si>
    <t>solar power portable generator</t>
  </si>
  <si>
    <t>solar power portable charger</t>
  </si>
  <si>
    <t>solar power portable</t>
  </si>
  <si>
    <t>solar power plug outlet</t>
  </si>
  <si>
    <t>solar power plant</t>
  </si>
  <si>
    <t>solar power panels bank</t>
  </si>
  <si>
    <t>solar power panels</t>
  </si>
  <si>
    <t>solar power panel cooler</t>
  </si>
  <si>
    <t>solar power packs for camping</t>
  </si>
  <si>
    <t>solar power package</t>
  </si>
  <si>
    <t>solar power outlets</t>
  </si>
  <si>
    <t>solar power outlet</t>
  </si>
  <si>
    <t>solar power outdoor</t>
  </si>
  <si>
    <t>solar power kits</t>
  </si>
  <si>
    <t>solar power kit for off grid house</t>
  </si>
  <si>
    <t>solar power irrigation system</t>
  </si>
  <si>
    <t>solar power inverter generator</t>
  </si>
  <si>
    <t>solar power heaters for indoor use</t>
  </si>
  <si>
    <t>solar power heater outdoor</t>
  </si>
  <si>
    <t>solar power generators with solar panels</t>
  </si>
  <si>
    <t>solar power generators for home use battery powered fan</t>
  </si>
  <si>
    <t>solar power generator for home</t>
  </si>
  <si>
    <t>solar power generator for camping</t>
  </si>
  <si>
    <t>solar power generation</t>
  </si>
  <si>
    <t>solar power gadgets</t>
  </si>
  <si>
    <t>solar power for home</t>
  </si>
  <si>
    <t>solar power flashlights for emergencies</t>
  </si>
  <si>
    <t>solar power digital bathroom</t>
  </si>
  <si>
    <t>solar power charging station</t>
  </si>
  <si>
    <t>solar power charging bank</t>
  </si>
  <si>
    <t>solar power charger for house</t>
  </si>
  <si>
    <t>solar power charger for camping</t>
  </si>
  <si>
    <t>solar power charger bank</t>
  </si>
  <si>
    <t>solar power camping table</t>
  </si>
  <si>
    <t>solar power block</t>
  </si>
  <si>
    <t>solar power battery pack</t>
  </si>
  <si>
    <t>solar power battery charger   usb</t>
  </si>
  <si>
    <t>solar power battery charger</t>
  </si>
  <si>
    <t>solar power battery bank</t>
  </si>
  <si>
    <t>solar power battery</t>
  </si>
  <si>
    <t>solar power bathroom</t>
  </si>
  <si>
    <t>solar power bank with solar panels</t>
  </si>
  <si>
    <t>solar power bank with plug socket</t>
  </si>
  <si>
    <t>solar power bank with ac plug</t>
  </si>
  <si>
    <t>solar power bank with ac outlet</t>
  </si>
  <si>
    <t>solar power bank wireless charger</t>
  </si>
  <si>
    <t>solar power bank usb c</t>
  </si>
  <si>
    <t>solar power bank portable charger usb c</t>
  </si>
  <si>
    <t>solar power bank portable charger ac outlet</t>
  </si>
  <si>
    <t>solar power bank phone charger</t>
  </si>
  <si>
    <t>solar power bank laptop</t>
  </si>
  <si>
    <t>solar power bank for laptop</t>
  </si>
  <si>
    <t>solar power bank for home off grid</t>
  </si>
  <si>
    <t>solar power bank for home</t>
  </si>
  <si>
    <t>solar power bank for cooking</t>
  </si>
  <si>
    <t>solar power bank foldable charger</t>
  </si>
  <si>
    <t>solar power bank charger 50000mah</t>
  </si>
  <si>
    <t>solar power bank charger</t>
  </si>
  <si>
    <t>solar power bank 36800mah portable solar</t>
  </si>
  <si>
    <t>solar power bank 12v output</t>
  </si>
  <si>
    <t>solar power bank 110v outlet</t>
  </si>
  <si>
    <t>solar powe bank</t>
  </si>
  <si>
    <t>solar portable power bank</t>
  </si>
  <si>
    <t>solar portable panel</t>
  </si>
  <si>
    <t>solar portable generator with solar panel</t>
  </si>
  <si>
    <t>solar portable generator</t>
  </si>
  <si>
    <t>solar portable charger power bank with solar panel</t>
  </si>
  <si>
    <t>solar portable battery usb lights charger</t>
  </si>
  <si>
    <t>solar phone chargers multiple devices</t>
  </si>
  <si>
    <t>solar phone chargers</t>
  </si>
  <si>
    <t>solar phone charger power bank</t>
  </si>
  <si>
    <t>solar phone charger for iphone</t>
  </si>
  <si>
    <t>solar pannel</t>
  </si>
  <si>
    <t>solar panel、</t>
  </si>
  <si>
    <t>solar panels with battery storage</t>
  </si>
  <si>
    <t>solar panels with battery</t>
  </si>
  <si>
    <t>solar panels marbero</t>
  </si>
  <si>
    <t>solar panels jackery compatible</t>
  </si>
  <si>
    <t>solar panels for power station</t>
  </si>
  <si>
    <t>solar panels for home</t>
  </si>
  <si>
    <t>solar panels for generator</t>
  </si>
  <si>
    <t>solar panels for camping outdoor</t>
  </si>
  <si>
    <t>solar panels charger</t>
  </si>
  <si>
    <t>solar panels bluetti</t>
  </si>
  <si>
    <t>solar panels battery</t>
  </si>
  <si>
    <t>solar panels and battery bank</t>
  </si>
  <si>
    <t>solar panels 400   watts</t>
  </si>
  <si>
    <t>solar panels 300w</t>
  </si>
  <si>
    <t>solar panels 200w</t>
  </si>
  <si>
    <t>solar panels 200 watt</t>
  </si>
  <si>
    <t>solar panel with power station</t>
  </si>
  <si>
    <t>solar panel with power bank</t>
  </si>
  <si>
    <t>solar panel with plug outlet</t>
  </si>
  <si>
    <t>solar panel with large power pack</t>
  </si>
  <si>
    <t>solar panel with battery box</t>
  </si>
  <si>
    <t>solar panel with battery bank</t>
  </si>
  <si>
    <t>solar panel with battery and usb ports</t>
  </si>
  <si>
    <t>solar panel with battery and usb output</t>
  </si>
  <si>
    <t>solar panel with ac box</t>
  </si>
  <si>
    <t>solar panel werchtay</t>
  </si>
  <si>
    <t>solar panel waterproof</t>
  </si>
  <si>
    <t>solar panel water fountain</t>
  </si>
  <si>
    <t>solar panel usb battery</t>
  </si>
  <si>
    <t>solar panel type c 60w</t>
  </si>
  <si>
    <t>solar panel system</t>
  </si>
  <si>
    <t>solar panel stands adjustable portable</t>
  </si>
  <si>
    <t>solar panel small</t>
  </si>
  <si>
    <t>solar panel power station</t>
  </si>
  <si>
    <t>solar panel power camping</t>
  </si>
  <si>
    <t>solar panel power bank usb c</t>
  </si>
  <si>
    <t>solar panel portable charger</t>
  </si>
  <si>
    <t>solar panel plug</t>
  </si>
  <si>
    <t>solar panel phone charger by ktenergy</t>
  </si>
  <si>
    <t>solar panel phone charger</t>
  </si>
  <si>
    <t>solar panel outlet</t>
  </si>
  <si>
    <t>solar panel optional</t>
  </si>
  <si>
    <t>solar panel kit with inverter</t>
  </si>
  <si>
    <t>solar panel kit with battery and inverter</t>
  </si>
  <si>
    <t>solar panel jackery</t>
  </si>
  <si>
    <t>solar panel inverter</t>
  </si>
  <si>
    <t>solar panel heater</t>
  </si>
  <si>
    <t>solar panel generator with panels included</t>
  </si>
  <si>
    <t>solar panel fuse</t>
  </si>
  <si>
    <t>solar panel for power station</t>
  </si>
  <si>
    <t>solar panel for ktenergy</t>
  </si>
  <si>
    <t>solar panel for jackery 300 plus solar charger</t>
  </si>
  <si>
    <t>solar panel for jackery 300 plus charger</t>
  </si>
  <si>
    <t>solar panel for jackery</t>
  </si>
  <si>
    <t>solar panel for generator</t>
  </si>
  <si>
    <t>solar panel for fridge</t>
  </si>
  <si>
    <t>solar panel for car</t>
  </si>
  <si>
    <t>solar panel for camping with outlets and usb</t>
  </si>
  <si>
    <t>solar panel for camping</t>
  </si>
  <si>
    <t>solar panel fan</t>
  </si>
  <si>
    <t>solar panel ef ecoflow 220w</t>
  </si>
  <si>
    <t>solar panel ef ecoflow 160w</t>
  </si>
  <si>
    <t>solar panel ecoflow</t>
  </si>
  <si>
    <t>solar panel connector</t>
  </si>
  <si>
    <t>solar panel chargers</t>
  </si>
  <si>
    <t>solar panel charger with wall plug outlet</t>
  </si>
  <si>
    <t>solar panel charger power bank</t>
  </si>
  <si>
    <t>solar panel charger for phone</t>
  </si>
  <si>
    <t>solar panel charger for ktenergy</t>
  </si>
  <si>
    <t>solar panel charger by ktenergy</t>
  </si>
  <si>
    <t>solar panel camping kit</t>
  </si>
  <si>
    <t>solar panel camping</t>
  </si>
  <si>
    <t>solar panel camera charger</t>
  </si>
  <si>
    <t>solar panel by ktenergy</t>
  </si>
  <si>
    <t>solar panel blanket</t>
  </si>
  <si>
    <t>solar panel battery bank</t>
  </si>
  <si>
    <t>solar panel backpack</t>
  </si>
  <si>
    <t>solar panel anker</t>
  </si>
  <si>
    <t>solar panel and power station</t>
  </si>
  <si>
    <t>solar panel and battery</t>
  </si>
  <si>
    <t>solar panel 300w</t>
  </si>
  <si>
    <t>solar panel 200w jackery</t>
  </si>
  <si>
    <t>solar panel 200 watt</t>
  </si>
  <si>
    <t>solar panel 110v</t>
  </si>
  <si>
    <t>solar panel 100w</t>
  </si>
  <si>
    <t>solar pad</t>
  </si>
  <si>
    <t>solar pack</t>
  </si>
  <si>
    <t>solar oven portable</t>
  </si>
  <si>
    <t>solar oven</t>
  </si>
  <si>
    <t>solar outlet plug outdoor</t>
  </si>
  <si>
    <t>solar move power</t>
  </si>
  <si>
    <t>solar mobile power supply</t>
  </si>
  <si>
    <t>solar laptop charger power bank</t>
  </si>
  <si>
    <t>solar laptop charger</t>
  </si>
  <si>
    <t>solar kits off grid with battery and inverter</t>
  </si>
  <si>
    <t>solar kit for shed</t>
  </si>
  <si>
    <t>solar kit</t>
  </si>
  <si>
    <t>solar jackery</t>
  </si>
  <si>
    <t>solar inverterss</t>
  </si>
  <si>
    <t>solar inverter generator</t>
  </si>
  <si>
    <t>solar inverter battery</t>
  </si>
  <si>
    <t>solar home generator</t>
  </si>
  <si>
    <t>solar heating</t>
  </si>
  <si>
    <t>solar heaters</t>
  </si>
  <si>
    <t>solar heater for camping</t>
  </si>
  <si>
    <t>solar heat lamp</t>
  </si>
  <si>
    <t>solar heat</t>
  </si>
  <si>
    <t>solar grill</t>
  </si>
  <si>
    <t>solar gengerator</t>
  </si>
  <si>
    <t>solar generators with solar panels</t>
  </si>
  <si>
    <t>solar generators portable</t>
  </si>
  <si>
    <t>solar generators home use</t>
  </si>
  <si>
    <t>solar generators for home use lifepo4</t>
  </si>
  <si>
    <t>solar generators for camping</t>
  </si>
  <si>
    <t>solar generators 1000w</t>
  </si>
  <si>
    <t>solar generator with solar panel</t>
  </si>
  <si>
    <t>solar generator with panels included for home</t>
  </si>
  <si>
    <t>solar generator with panels included 5000w</t>
  </si>
  <si>
    <t>solar generator with panel</t>
  </si>
  <si>
    <t>solar generator with 30 amp rv plug</t>
  </si>
  <si>
    <t>solar generator ups</t>
  </si>
  <si>
    <t>solar generator reviews</t>
  </si>
  <si>
    <t>solar generator power station</t>
  </si>
  <si>
    <t>solar generator portable power station</t>
  </si>
  <si>
    <t>solar generator lifepo4</t>
  </si>
  <si>
    <t>solar generator kit</t>
  </si>
  <si>
    <t>solar generator jackery</t>
  </si>
  <si>
    <t>solar generator for van</t>
  </si>
  <si>
    <t>solar generator for rv</t>
  </si>
  <si>
    <t>solar generator for refrigerator</t>
  </si>
  <si>
    <t>solar generator for home use</t>
  </si>
  <si>
    <t>solar generator for home</t>
  </si>
  <si>
    <t>solar generator ecoflow</t>
  </si>
  <si>
    <t>solar generator box</t>
  </si>
  <si>
    <t>solar generator bluetti</t>
  </si>
  <si>
    <t>solar generator anker</t>
  </si>
  <si>
    <t>solar generator 600w</t>
  </si>
  <si>
    <t>solar generator 2000/3000 watt</t>
  </si>
  <si>
    <t>solar generator 1500w</t>
  </si>
  <si>
    <t>solar generator 1000w</t>
  </si>
  <si>
    <t>solar generator 10000 watts</t>
  </si>
  <si>
    <t>solar furnaces</t>
  </si>
  <si>
    <t>solar fridge/freezer with solar panel</t>
  </si>
  <si>
    <t>solar fridge</t>
  </si>
  <si>
    <t>solar freezer</t>
  </si>
  <si>
    <t>solar fountain with battery backup</t>
  </si>
  <si>
    <t>solar energy storage device</t>
  </si>
  <si>
    <t>solar energy storage battery</t>
  </si>
  <si>
    <t>solar energy kit</t>
  </si>
  <si>
    <t>solar energy generator</t>
  </si>
  <si>
    <t>solar emergency supplies</t>
  </si>
  <si>
    <t>solar electric system</t>
  </si>
  <si>
    <t>solar electric generators 10000 watts</t>
  </si>
  <si>
    <t>solar electric generator</t>
  </si>
  <si>
    <t>solar cooler portable</t>
  </si>
  <si>
    <t>solar cooler</t>
  </si>
  <si>
    <t>solar cooking</t>
  </si>
  <si>
    <t>solar charging system</t>
  </si>
  <si>
    <t>solar charging power station</t>
  </si>
  <si>
    <t>solar charging power bank</t>
  </si>
  <si>
    <t>solar charging panel outdoor power supply</t>
  </si>
  <si>
    <t>solar charging panel</t>
  </si>
  <si>
    <t>solar chargers for laptops</t>
  </si>
  <si>
    <t>solar chargers electronic devices</t>
  </si>
  <si>
    <t>solar charger usb c</t>
  </si>
  <si>
    <t>solar charger power bank with head light</t>
  </si>
  <si>
    <t>solar charger power bank with crank with light</t>
  </si>
  <si>
    <t>solar charger power bank with built in battery</t>
  </si>
  <si>
    <t>solar charger power bank usb c</t>
  </si>
  <si>
    <t>solar charger power bank camping</t>
  </si>
  <si>
    <t>solar charger power bank 60000mah</t>
  </si>
  <si>
    <t>solar charger portable outdoor waterproof power bank, usb output</t>
  </si>
  <si>
    <t>solar charger for rv battery</t>
  </si>
  <si>
    <t>solar charger for ktenergy</t>
  </si>
  <si>
    <t>solar charger for iphone</t>
  </si>
  <si>
    <t>solar charger for camping</t>
  </si>
  <si>
    <t>solar charger camping</t>
  </si>
  <si>
    <t>solar charger by ktenergy</t>
  </si>
  <si>
    <t>solar charger 2000w</t>
  </si>
  <si>
    <t>solar charger 12v</t>
  </si>
  <si>
    <t>solar charge power station</t>
  </si>
  <si>
    <t>solar charge power bank</t>
  </si>
  <si>
    <t>solar charge battery</t>
  </si>
  <si>
    <t>solar charge</t>
  </si>
  <si>
    <t>solar cell module</t>
  </si>
  <si>
    <t>solar cell charger</t>
  </si>
  <si>
    <t>solar camping shower</t>
  </si>
  <si>
    <t>solar camping light</t>
  </si>
  <si>
    <t>solar camping items</t>
  </si>
  <si>
    <t>solar camping gear</t>
  </si>
  <si>
    <t>solar camping fan</t>
  </si>
  <si>
    <t>solar camping battery power station</t>
  </si>
  <si>
    <t>solar camping</t>
  </si>
  <si>
    <t>solar bundle</t>
  </si>
  <si>
    <t>solar battery power station</t>
  </si>
  <si>
    <t>solar battery power</t>
  </si>
  <si>
    <t>solar battery generator</t>
  </si>
  <si>
    <t>solar battery for home</t>
  </si>
  <si>
    <t>solar battery charger for usb</t>
  </si>
  <si>
    <t>solar battery charger for generator</t>
  </si>
  <si>
    <t>solar battery charge</t>
  </si>
  <si>
    <t>solar battery camera</t>
  </si>
  <si>
    <t>solar battery box</t>
  </si>
  <si>
    <t>solar battery backup power supply</t>
  </si>
  <si>
    <t>solar battery backup</t>
  </si>
  <si>
    <t>solar bank with panels</t>
  </si>
  <si>
    <t>solar bag</t>
  </si>
  <si>
    <t>solar backup system</t>
  </si>
  <si>
    <t>solar backup generator</t>
  </si>
  <si>
    <t>solar backup battery</t>
  </si>
  <si>
    <t>solar backup</t>
  </si>
  <si>
    <t>solar backpack with power bank</t>
  </si>
  <si>
    <t>solar backpack</t>
  </si>
  <si>
    <t>solar automatic plant</t>
  </si>
  <si>
    <t>solar appliances</t>
  </si>
  <si>
    <t>solar angle guide</t>
  </si>
  <si>
    <t>solar and wind generator system</t>
  </si>
  <si>
    <t>solar and crank power bank</t>
  </si>
  <si>
    <t>solar ac unit</t>
  </si>
  <si>
    <t>solar ac</t>
  </si>
  <si>
    <t>solar &amp; wind power inverters</t>
  </si>
  <si>
    <t>solar &amp; wind power</t>
  </si>
  <si>
    <t>sogos power</t>
  </si>
  <si>
    <t>sofa battery pack reclining rechargeable</t>
  </si>
  <si>
    <t>sodium hypochlorite generator</t>
  </si>
  <si>
    <t>social battery</t>
  </si>
  <si>
    <t>soalrlar</t>
  </si>
  <si>
    <t>soalr inverter</t>
  </si>
  <si>
    <t>snow blower battery powered</t>
  </si>
  <si>
    <t>snker</t>
  </si>
  <si>
    <t>snap wireless powerpack universal</t>
  </si>
  <si>
    <t>smoke generators</t>
  </si>
  <si>
    <t>smoke generator</t>
  </si>
  <si>
    <t>smart solar box</t>
  </si>
  <si>
    <t>smart solar auto charger</t>
  </si>
  <si>
    <t>small wind power generation</t>
  </si>
  <si>
    <t>small solar power bank</t>
  </si>
  <si>
    <t>small solar panels</t>
  </si>
  <si>
    <t>small quiet generator</t>
  </si>
  <si>
    <t>small propane generator</t>
  </si>
  <si>
    <t>small projector portable battery</t>
  </si>
  <si>
    <t>small power station</t>
  </si>
  <si>
    <t>small portable power station</t>
  </si>
  <si>
    <t>small portable generators</t>
  </si>
  <si>
    <t>small portable generator for camping</t>
  </si>
  <si>
    <t>small jackery</t>
  </si>
  <si>
    <t>small inverter generator</t>
  </si>
  <si>
    <t>small house to live in</t>
  </si>
  <si>
    <t>small generators portable</t>
  </si>
  <si>
    <t>small generators for home use indoor</t>
  </si>
  <si>
    <t>small generators</t>
  </si>
  <si>
    <t>small generator marbero</t>
  </si>
  <si>
    <t>small generator for camping quiet</t>
  </si>
  <si>
    <t>small generator for appliances</t>
  </si>
  <si>
    <t>small gas generators portable quiet</t>
  </si>
  <si>
    <t>small electric generator</t>
  </si>
  <si>
    <t>small diesel generator</t>
  </si>
  <si>
    <t>small anker power bank</t>
  </si>
  <si>
    <t>sleeping in car essentials</t>
  </si>
  <si>
    <t>sinkeu portable solar panel</t>
  </si>
  <si>
    <t>sinkeu portable power station</t>
  </si>
  <si>
    <t>sinewave generator</t>
  </si>
  <si>
    <t>sine wave generator</t>
  </si>
  <si>
    <t>simplisafe outdoor camera solar panel</t>
  </si>
  <si>
    <t>silicone sheets for scars</t>
  </si>
  <si>
    <t>silent generators portable</t>
  </si>
  <si>
    <t>silent generators for home use</t>
  </si>
  <si>
    <t>silent box for generator</t>
  </si>
  <si>
    <t>siemens generator interlock kit</t>
  </si>
  <si>
    <t>showery ecoflow</t>
  </si>
  <si>
    <t>shinegiant solar panel 5w usb solar panel</t>
  </si>
  <si>
    <t>shinegiant 5w usb solar panel</t>
  </si>
  <si>
    <t>sherpa 100pd</t>
  </si>
  <si>
    <t>shed kit</t>
  </si>
  <si>
    <t>sharkgeek</t>
  </si>
  <si>
    <t>shark vacuum battery 620</t>
  </si>
  <si>
    <t>shark geek power bank</t>
  </si>
  <si>
    <t>shark geek</t>
  </si>
  <si>
    <t>shargeek storm 2 power bank</t>
  </si>
  <si>
    <t>shargeek</t>
  </si>
  <si>
    <t>sharge</t>
  </si>
  <si>
    <t>shared rental power bank station</t>
  </si>
  <si>
    <t>sg2000</t>
  </si>
  <si>
    <t>semi solid powerstation</t>
  </si>
  <si>
    <t>select outdoor generators</t>
  </si>
  <si>
    <t>select generators for home use</t>
  </si>
  <si>
    <t>select ancoon portable power station</t>
  </si>
  <si>
    <t>seimens generator interlock kit</t>
  </si>
  <si>
    <t>security indoor wireless battery powered</t>
  </si>
  <si>
    <t>seat portable electric</t>
  </si>
  <si>
    <t>screen tents for camping</t>
  </si>
  <si>
    <t>screen room for camping</t>
  </si>
  <si>
    <t>schumann resonance generator</t>
  </si>
  <si>
    <t>scar sheets</t>
  </si>
  <si>
    <t>scale battery</t>
  </si>
  <si>
    <t>salt chlorine generator cell</t>
  </si>
  <si>
    <t>sales today clearance quiet 3500 generator</t>
  </si>
  <si>
    <t>safe speed solar power bank</t>
  </si>
  <si>
    <t>ryobi solar panel</t>
  </si>
  <si>
    <t>ryobi power station 40v</t>
  </si>
  <si>
    <t>ryobi power source</t>
  </si>
  <si>
    <t>ryobi portable power station</t>
  </si>
  <si>
    <t>ryobi p743 18-volt one  lithium-ion portable power source</t>
  </si>
  <si>
    <t>ryobi inverter</t>
  </si>
  <si>
    <t>ryobi heater</t>
  </si>
  <si>
    <t>ryobi generator 2300</t>
  </si>
  <si>
    <t>ryobi battery inverter</t>
  </si>
  <si>
    <t>ryobi battery</t>
  </si>
  <si>
    <t>ryobi 40v inverter</t>
  </si>
  <si>
    <t>ryobi 40v 300-watt power source</t>
  </si>
  <si>
    <t>ryobi 18v battery</t>
  </si>
  <si>
    <t>ryobi 1800 watt power station</t>
  </si>
  <si>
    <t>rvs、</t>
  </si>
  <si>
    <t>rv water pump 12v</t>
  </si>
  <si>
    <t>rv surge</t>
  </si>
  <si>
    <t>rv supplies must haves for inside</t>
  </si>
  <si>
    <t>rv solar panel mount</t>
  </si>
  <si>
    <t>rv solar charging</t>
  </si>
  <si>
    <t>rv solar charger</t>
  </si>
  <si>
    <t>rv solar battery charger kit</t>
  </si>
  <si>
    <t>rv portable power</t>
  </si>
  <si>
    <t>rv lifepo4 battery</t>
  </si>
  <si>
    <t>rv generators</t>
  </si>
  <si>
    <t>rv charging station</t>
  </si>
  <si>
    <t>rv camping battery</t>
  </si>
  <si>
    <t>rv camping accessories must haves</t>
  </si>
  <si>
    <t>rv camping accessories</t>
  </si>
  <si>
    <t>rv battery</t>
  </si>
  <si>
    <t>runhood</t>
  </si>
  <si>
    <t>run hood 600 solar generator</t>
  </si>
  <si>
    <t>rugged battery bank</t>
  </si>
  <si>
    <t>room cooler</t>
  </si>
  <si>
    <t>romoss power bank</t>
  </si>
  <si>
    <t>romoss portable power station</t>
  </si>
  <si>
    <t>rockpnls</t>
  </si>
  <si>
    <t>rockpals solar panel</t>
  </si>
  <si>
    <t>rockpals portable power station</t>
  </si>
  <si>
    <t>rockpals 500w portable power station</t>
  </si>
  <si>
    <t>rockpals</t>
  </si>
  <si>
    <t>river2pro</t>
  </si>
  <si>
    <t>river runs red</t>
  </si>
  <si>
    <t>river run</t>
  </si>
  <si>
    <t>river rocks</t>
  </si>
  <si>
    <t>river pro 2</t>
  </si>
  <si>
    <t>river pro</t>
  </si>
  <si>
    <t>river guide supply</t>
  </si>
  <si>
    <t>river float</t>
  </si>
  <si>
    <t>river ecoflow</t>
  </si>
  <si>
    <t>river 2\</t>
  </si>
  <si>
    <t>river 2 pro</t>
  </si>
  <si>
    <t>river 2 max</t>
  </si>
  <si>
    <t>river 2</t>
  </si>
  <si>
    <t>rgb outdoor power supply</t>
  </si>
  <si>
    <t>resmed airsense 10 battery backup</t>
  </si>
  <si>
    <t>resmed airsense 10 backup battery</t>
  </si>
  <si>
    <t>replacement for delta faucet classic 13 series</t>
  </si>
  <si>
    <t>renogy refrigerator</t>
  </si>
  <si>
    <t>renogy power station</t>
  </si>
  <si>
    <t>renogy power bank</t>
  </si>
  <si>
    <t>renogy portable refrigerator</t>
  </si>
  <si>
    <t>renogy portable refregerator</t>
  </si>
  <si>
    <t>renogy portable power station 200w</t>
  </si>
  <si>
    <t>renogy portable power station</t>
  </si>
  <si>
    <t>renogy portable air conditoner</t>
  </si>
  <si>
    <t>renogy portable air conditioner</t>
  </si>
  <si>
    <t>renogy generator</t>
  </si>
  <si>
    <t>renogy cpap battery</t>
  </si>
  <si>
    <t>remote start inverter generator</t>
  </si>
  <si>
    <t>remax power bank</t>
  </si>
  <si>
    <t>refurbished power station</t>
  </si>
  <si>
    <t>redarc dc to dc charger</t>
  </si>
  <si>
    <t>rechargeable xbox 360 battery pack</t>
  </si>
  <si>
    <t>rechargeable station</t>
  </si>
  <si>
    <t>rechargeable power supply</t>
  </si>
  <si>
    <t>rechargeable power station</t>
  </si>
  <si>
    <t>rechargeable plug outlet</t>
  </si>
  <si>
    <t>rechargeable outlet power source</t>
  </si>
  <si>
    <t>rechargeable heater for camping</t>
  </si>
  <si>
    <t>rechargeable heater</t>
  </si>
  <si>
    <t>rechargeable generators portable</t>
  </si>
  <si>
    <t>rechargeable generators for home use</t>
  </si>
  <si>
    <t>rechargeable generator</t>
  </si>
  <si>
    <t>rechargeable d batteries with charger</t>
  </si>
  <si>
    <t>rechargeable battery night light</t>
  </si>
  <si>
    <t>rechargable generator</t>
  </si>
  <si>
    <t>ready made houses</t>
  </si>
  <si>
    <t>ravpower</t>
  </si>
  <si>
    <t>rapid recharge power bank</t>
  </si>
  <si>
    <t>rancho</t>
  </si>
  <si>
    <t>ramjoy</t>
  </si>
  <si>
    <t>radio battery powered</t>
  </si>
  <si>
    <t>r3di rs600 portable power station</t>
  </si>
  <si>
    <t>quiet portable generator</t>
  </si>
  <si>
    <t>quiet generators for home use</t>
  </si>
  <si>
    <t>quiet generaetor</t>
  </si>
  <si>
    <t>quest battery pack</t>
  </si>
  <si>
    <t>qi2 power bank</t>
  </si>
  <si>
    <t>qi2 anker</t>
  </si>
  <si>
    <t>pwer station</t>
  </si>
  <si>
    <t>pv120</t>
  </si>
  <si>
    <t>pv module for roof</t>
  </si>
  <si>
    <t>pv module</t>
  </si>
  <si>
    <t>puxiour generator</t>
  </si>
  <si>
    <t>pure sine wave power station</t>
  </si>
  <si>
    <t>pure sine wave generator</t>
  </si>
  <si>
    <t>pure sine wave</t>
  </si>
  <si>
    <t>pure sine</t>
  </si>
  <si>
    <t>pure battery</t>
  </si>
  <si>
    <t>pulsar generator 4000 watts</t>
  </si>
  <si>
    <t>pulsar generator</t>
  </si>
  <si>
    <t>pulsar dual fuel generator</t>
  </si>
  <si>
    <t>pulsar 4000 watt dual fuel inverter generator</t>
  </si>
  <si>
    <t>pulsar 12000 watt generator</t>
  </si>
  <si>
    <t>pto generators for tractors</t>
  </si>
  <si>
    <t>psp battery</t>
  </si>
  <si>
    <t>ps4 portable gaming station</t>
  </si>
  <si>
    <t>ps vita battery 1000</t>
  </si>
  <si>
    <t>prymax power station</t>
  </si>
  <si>
    <t>prymax portable power station</t>
  </si>
  <si>
    <t>prymax 330w portable power station</t>
  </si>
  <si>
    <t>prymax</t>
  </si>
  <si>
    <t>protale tiny house</t>
  </si>
  <si>
    <t>protablepower bank</t>
  </si>
  <si>
    <t>protable tiny house</t>
  </si>
  <si>
    <t>protable power station</t>
  </si>
  <si>
    <t>protable power staion</t>
  </si>
  <si>
    <t>protable house</t>
  </si>
  <si>
    <t>protable home</t>
  </si>
  <si>
    <t>propane powered generator</t>
  </si>
  <si>
    <t>propane inverter generator</t>
  </si>
  <si>
    <t>propane generators portable</t>
  </si>
  <si>
    <t>progeny portable power station</t>
  </si>
  <si>
    <t>progeny</t>
  </si>
  <si>
    <t>prodable tiny houses</t>
  </si>
  <si>
    <t>proable home</t>
  </si>
  <si>
    <t>prime day deals today 2023 clearance</t>
  </si>
  <si>
    <t>preparedness items</t>
  </si>
  <si>
    <t>prefab tiny home</t>
  </si>
  <si>
    <t>predator inverter generator</t>
  </si>
  <si>
    <t>predator generator 9500</t>
  </si>
  <si>
    <t>predator engine</t>
  </si>
  <si>
    <t>predator 9500 inverter generator</t>
  </si>
  <si>
    <t>predator 5000 watt dual-fuel super quiet inverter generator</t>
  </si>
  <si>
    <t>predator 5000 inverter generator</t>
  </si>
  <si>
    <t>predator 4000 generator parts</t>
  </si>
  <si>
    <t>predator 3500 inverter generator</t>
  </si>
  <si>
    <t>predator 3500 generator parts</t>
  </si>
  <si>
    <t>predator 3500 generator carburetor</t>
  </si>
  <si>
    <t>poxurio 4000 watt generator</t>
  </si>
  <si>
    <t>powwr bank</t>
  </si>
  <si>
    <t>powkey solar generator with panel</t>
  </si>
  <si>
    <t>powkey power</t>
  </si>
  <si>
    <t>powkey 200 watt portable power bank with ac outlet</t>
  </si>
  <si>
    <t>powkey</t>
  </si>
  <si>
    <t>powerworks</t>
  </si>
  <si>
    <t>powerwall</t>
  </si>
  <si>
    <t>powerty</t>
  </si>
  <si>
    <t>powertech supplier</t>
  </si>
  <si>
    <t>powerstations portable</t>
  </si>
  <si>
    <t>powerstation kit</t>
  </si>
  <si>
    <t>powerstaion</t>
  </si>
  <si>
    <t>powersstation</t>
  </si>
  <si>
    <t>powersmart generators for home use</t>
  </si>
  <si>
    <t>powersmart 4400w inverter generator</t>
  </si>
  <si>
    <t>powersmart</t>
  </si>
  <si>
    <t>powers station</t>
  </si>
  <si>
    <t>powerr bank power station</t>
  </si>
  <si>
    <t>powerr</t>
  </si>
  <si>
    <t>powerpack universal</t>
  </si>
  <si>
    <t>poweroak bluetti ac200p</t>
  </si>
  <si>
    <t>powermax 700</t>
  </si>
  <si>
    <t>powermax</t>
  </si>
  <si>
    <t>powerhouse or the home store</t>
  </si>
  <si>
    <t>powerhouse</t>
  </si>
  <si>
    <t>powerhorse</t>
  </si>
  <si>
    <t>powerful power bank</t>
  </si>
  <si>
    <t>powerful multifunctional</t>
  </si>
  <si>
    <t>powerfort portable power station</t>
  </si>
  <si>
    <t>powerfilm lightsaver max</t>
  </si>
  <si>
    <t>powerfilm</t>
  </si>
  <si>
    <t>powered generator for camping</t>
  </si>
  <si>
    <t>powered battery</t>
  </si>
  <si>
    <t>powercore</t>
  </si>
  <si>
    <t>powerconf</t>
  </si>
  <si>
    <t>powerbox</t>
  </si>
  <si>
    <t>powerbanks</t>
  </si>
  <si>
    <t>powerbank with flashlight</t>
  </si>
  <si>
    <t>powerbank with apple watch charger</t>
  </si>
  <si>
    <t>powerbank with ac outlet</t>
  </si>
  <si>
    <t>powerbank usb c</t>
  </si>
  <si>
    <t>powerbank charger</t>
  </si>
  <si>
    <t>powerbank anker</t>
  </si>
  <si>
    <t>powerbank 140w</t>
  </si>
  <si>
    <t>power-generators</t>
  </si>
  <si>
    <t>power without an outlet</t>
  </si>
  <si>
    <t>power washer battery powered</t>
  </si>
  <si>
    <t>power wall</t>
  </si>
  <si>
    <t>power vank</t>
  </si>
  <si>
    <t>power tower charging station</t>
  </si>
  <si>
    <t>power tank</t>
  </si>
  <si>
    <t>power take off generatorspower take off generators</t>
  </si>
  <si>
    <t>power take off generators</t>
  </si>
  <si>
    <t>power supply tattoo</t>
  </si>
  <si>
    <t>power supply outdoor generators</t>
  </si>
  <si>
    <t>power supply inverter</t>
  </si>
  <si>
    <t>power supply for solar</t>
  </si>
  <si>
    <t>power supply extension</t>
  </si>
  <si>
    <t>power supply energy storage</t>
  </si>
  <si>
    <t>power supply 500w</t>
  </si>
  <si>
    <t>power supply 1000w</t>
  </si>
  <si>
    <t>power supply</t>
  </si>
  <si>
    <t>power suply</t>
  </si>
  <si>
    <t>power storage rack wall mount with charge station</t>
  </si>
  <si>
    <t>power storage bank</t>
  </si>
  <si>
    <t>power storage</t>
  </si>
  <si>
    <t>power statopn</t>
  </si>
  <si>
    <t>power statiopn</t>
  </si>
  <si>
    <t>power stations lifepo4</t>
  </si>
  <si>
    <t>power station3600</t>
  </si>
  <si>
    <t>power station, 600wh, solar, lifepo4, ups</t>
  </si>
  <si>
    <t>power station with solar panels</t>
  </si>
  <si>
    <t>power station with solar</t>
  </si>
  <si>
    <t>power station with built in solar panel</t>
  </si>
  <si>
    <t>power station with bluetooth</t>
  </si>
  <si>
    <t>power station ups</t>
  </si>
  <si>
    <t>power station sos light</t>
  </si>
  <si>
    <t>power station solar panel</t>
  </si>
  <si>
    <t>power station solar lifepo4</t>
  </si>
  <si>
    <t>power station solar generator</t>
  </si>
  <si>
    <t>power station solar</t>
  </si>
  <si>
    <t>power station s300</t>
  </si>
  <si>
    <t>power station portable</t>
  </si>
  <si>
    <t>power station pink</t>
  </si>
  <si>
    <t>power station lifepo4 wireless charging</t>
  </si>
  <si>
    <t>power station lifepo4 ups</t>
  </si>
  <si>
    <t>power station lifepo4 innopower</t>
  </si>
  <si>
    <t>power station lifepo4 ecoflow</t>
  </si>
  <si>
    <t>power station lifepo4 battery</t>
  </si>
  <si>
    <t>power station lifepo4 600w</t>
  </si>
  <si>
    <t>power station lifepo4 500wh</t>
  </si>
  <si>
    <t>power station lifepo4 1000w</t>
  </si>
  <si>
    <t>power station lifepo4</t>
  </si>
  <si>
    <t>power station jackery</t>
  </si>
  <si>
    <t>power station generator lifepo4</t>
  </si>
  <si>
    <t>power station for car</t>
  </si>
  <si>
    <t>power station for camping</t>
  </si>
  <si>
    <t>power station ecoflow</t>
  </si>
  <si>
    <t>power station deeno</t>
  </si>
  <si>
    <t>power station charger</t>
  </si>
  <si>
    <t>power station blutti</t>
  </si>
  <si>
    <t>power station bluetti 700w</t>
  </si>
  <si>
    <t>power station bluetti</t>
  </si>
  <si>
    <t>power station bluetooth</t>
  </si>
  <si>
    <t>power station ac outlet</t>
  </si>
  <si>
    <t>power station 600wh</t>
  </si>
  <si>
    <t>power station 600w</t>
  </si>
  <si>
    <t>power station 500w grecell</t>
  </si>
  <si>
    <t>power station 500w</t>
  </si>
  <si>
    <t>power station 300w</t>
  </si>
  <si>
    <t>power station 3000w</t>
  </si>
  <si>
    <t>power station 300</t>
  </si>
  <si>
    <t>power station 2200w bougerv</t>
  </si>
  <si>
    <t>power station 2200w</t>
  </si>
  <si>
    <t>power station 218wh</t>
  </si>
  <si>
    <t>power station 200w</t>
  </si>
  <si>
    <t>power station 2000w white</t>
  </si>
  <si>
    <t>power station 1800wh</t>
  </si>
  <si>
    <t>power station 1800w</t>
  </si>
  <si>
    <t>power station 1500wh</t>
  </si>
  <si>
    <t>power station 1500w</t>
  </si>
  <si>
    <t>power station 1500</t>
  </si>
  <si>
    <t>power station 1200w</t>
  </si>
  <si>
    <t>power station 1000wh</t>
  </si>
  <si>
    <t>power station 1000</t>
  </si>
  <si>
    <t>power statioin</t>
  </si>
  <si>
    <t>power statio</t>
  </si>
  <si>
    <t>power statin</t>
  </si>
  <si>
    <t>power source for electronics</t>
  </si>
  <si>
    <t>power source for camping</t>
  </si>
  <si>
    <t>power source</t>
  </si>
  <si>
    <t>power solar bank with crank handle</t>
  </si>
  <si>
    <t>power solar bank</t>
  </si>
  <si>
    <t>power smart portable power station</t>
  </si>
  <si>
    <t>power smart 4400 watt portable generator</t>
  </si>
  <si>
    <t>power smart</t>
  </si>
  <si>
    <t>power satition</t>
  </si>
  <si>
    <t>power sation</t>
  </si>
  <si>
    <t>power satation</t>
  </si>
  <si>
    <t>power river outlet</t>
  </si>
  <si>
    <t>power power station 1500w</t>
  </si>
  <si>
    <t>power power station</t>
  </si>
  <si>
    <t>power plant</t>
  </si>
  <si>
    <t>power packs portable chargers</t>
  </si>
  <si>
    <t>power packs</t>
  </si>
  <si>
    <t>power pack universal</t>
  </si>
  <si>
    <t>power pack for camping</t>
  </si>
  <si>
    <t>power outdoor</t>
  </si>
  <si>
    <t>power outages supplies for home</t>
  </si>
  <si>
    <t>power outage supplies winter</t>
  </si>
  <si>
    <t>power outage kit</t>
  </si>
  <si>
    <t>power outage heater</t>
  </si>
  <si>
    <t>power outage emergency kit</t>
  </si>
  <si>
    <t>power outage battery backup</t>
  </si>
  <si>
    <t>power oak bluetti ac200p</t>
  </si>
  <si>
    <t>power jack switch for travel trailer</t>
  </si>
  <si>
    <t>power inverts</t>
  </si>
  <si>
    <t>power invertor</t>
  </si>
  <si>
    <t>power inverters</t>
  </si>
  <si>
    <t>power inverter with solar panel</t>
  </si>
  <si>
    <t>power inverter pure sine wave</t>
  </si>
  <si>
    <t>power inverter generator</t>
  </si>
  <si>
    <t>power inverter dc to ac</t>
  </si>
  <si>
    <t>power inverter 2000w</t>
  </si>
  <si>
    <t>power grid survival kit</t>
  </si>
  <si>
    <t>power generators portable solar powered</t>
  </si>
  <si>
    <t>power generators for home use</t>
  </si>
  <si>
    <t>power generators for cpap</t>
  </si>
  <si>
    <t>power generators</t>
  </si>
  <si>
    <t>power generator with solar panel</t>
  </si>
  <si>
    <t>power generator gas</t>
  </si>
  <si>
    <t>power generator for home solar panel</t>
  </si>
  <si>
    <t>power generator battery</t>
  </si>
  <si>
    <t>power generator 10000 watt for camping</t>
  </si>
  <si>
    <t>power flow</t>
  </si>
  <si>
    <t>power delivery</t>
  </si>
  <si>
    <t>power crank generator</t>
  </si>
  <si>
    <t>power conversion system</t>
  </si>
  <si>
    <t>power charging station</t>
  </si>
  <si>
    <t>power cell</t>
  </si>
  <si>
    <t>power box for loss of power</t>
  </si>
  <si>
    <t>power box for camping</t>
  </si>
  <si>
    <t>power box crank</t>
  </si>
  <si>
    <t>power battery outdoor</t>
  </si>
  <si>
    <t>power battery cpap</t>
  </si>
  <si>
    <t>power battery bank</t>
  </si>
  <si>
    <t>power battery</t>
  </si>
  <si>
    <t>power banks with ac plug</t>
  </si>
  <si>
    <t>power banks for camping</t>
  </si>
  <si>
    <t>power banks and panels</t>
  </si>
  <si>
    <t>power banks 27000mha</t>
  </si>
  <si>
    <t>power banks 27000mah</t>
  </si>
  <si>
    <t>power banks 110v</t>
  </si>
  <si>
    <t>power bank with solar charger</t>
  </si>
  <si>
    <t>power bank with smart display</t>
  </si>
  <si>
    <t>power bank with plug outlet</t>
  </si>
  <si>
    <t>power bank with plug</t>
  </si>
  <si>
    <t>power bank with light</t>
  </si>
  <si>
    <t>power bank with led light</t>
  </si>
  <si>
    <t>power bank with headset compartment</t>
  </si>
  <si>
    <t>power bank with hand crank</t>
  </si>
  <si>
    <t>power bank with crank</t>
  </si>
  <si>
    <t>power bank with ac plug and built-in cable</t>
  </si>
  <si>
    <t>power bank with ac plug</t>
  </si>
  <si>
    <t>power bank with ac</t>
  </si>
  <si>
    <t>power bank usb c anker</t>
  </si>
  <si>
    <t>power bank usb c</t>
  </si>
  <si>
    <t>power bank usb</t>
  </si>
  <si>
    <t>power bank station anker</t>
  </si>
  <si>
    <t>power bank station</t>
  </si>
  <si>
    <t>power bank solar charger 50000mah</t>
  </si>
  <si>
    <t>power bank qi2</t>
  </si>
  <si>
    <t>power bank power strip</t>
  </si>
  <si>
    <t>power bank power station</t>
  </si>
  <si>
    <t>power bank powebanks laptop battery</t>
  </si>
  <si>
    <t>power bank portable station</t>
  </si>
  <si>
    <t>power bank plug in</t>
  </si>
  <si>
    <t>power bank outlet</t>
  </si>
  <si>
    <t>power bank large capacity</t>
  </si>
  <si>
    <t>power bank large</t>
  </si>
  <si>
    <t>power bank jackery</t>
  </si>
  <si>
    <t>power bank home</t>
  </si>
  <si>
    <t>power bank high capacity</t>
  </si>
  <si>
    <t>power bank hand crank</t>
  </si>
  <si>
    <t>power bank generator</t>
  </si>
  <si>
    <t>power bank game console</t>
  </si>
  <si>
    <t>power bank for tv</t>
  </si>
  <si>
    <t>power bank for steam deck</t>
  </si>
  <si>
    <t>power bank for power outage</t>
  </si>
  <si>
    <t>power bank for outdoor camping</t>
  </si>
  <si>
    <t>power bank for legion go</t>
  </si>
  <si>
    <t>power bank for iphone anker</t>
  </si>
  <si>
    <t>power bank for home</t>
  </si>
  <si>
    <t>power bank for heated vest</t>
  </si>
  <si>
    <t>power bank for car</t>
  </si>
  <si>
    <t>power bank fast charging anker</t>
  </si>
  <si>
    <t>power bank emergency</t>
  </si>
  <si>
    <t>power bank crank</t>
  </si>
  <si>
    <t>power bank charger station</t>
  </si>
  <si>
    <t>power bank camping solar</t>
  </si>
  <si>
    <t>power bank built in wall plug</t>
  </si>
  <si>
    <t>power bank bluetti</t>
  </si>
  <si>
    <t>power bank big</t>
  </si>
  <si>
    <t>power bank battery charger portable</t>
  </si>
  <si>
    <t>power bank apple watch</t>
  </si>
  <si>
    <t>power bank anker 50000mah</t>
  </si>
  <si>
    <t>power bank ac</t>
  </si>
  <si>
    <t>power bank 80000</t>
  </si>
  <si>
    <t>power bank 70000mah</t>
  </si>
  <si>
    <t>power bank 70000</t>
  </si>
  <si>
    <t>power bank 60000mah</t>
  </si>
  <si>
    <t>power bank 60000 mah fast charging</t>
  </si>
  <si>
    <t>power bank 60000 mah</t>
  </si>
  <si>
    <t>power bank 60000</t>
  </si>
  <si>
    <t>power bank 50000mah solar charger</t>
  </si>
  <si>
    <t>power bank 50000 mah</t>
  </si>
  <si>
    <t>power bank 40000 mah</t>
  </si>
  <si>
    <t>power bank 300w</t>
  </si>
  <si>
    <t>power bank 30000mah</t>
  </si>
  <si>
    <t>power bank 20000 mah</t>
  </si>
  <si>
    <t>power bank 120w</t>
  </si>
  <si>
    <t>power bank 110v with solar panel</t>
  </si>
  <si>
    <t>power bank 110v</t>
  </si>
  <si>
    <t>power bank 100wh</t>
  </si>
  <si>
    <t>power bank 100w</t>
  </si>
  <si>
    <t>power bank 10000mah</t>
  </si>
  <si>
    <t>power bank 100000mah</t>
  </si>
  <si>
    <t>power bank 100000 mah</t>
  </si>
  <si>
    <t>power bamk</t>
  </si>
  <si>
    <t>power backup for wifi router</t>
  </si>
  <si>
    <t>power backup for home</t>
  </si>
  <si>
    <t>power backup for computer</t>
  </si>
  <si>
    <t>power back up</t>
  </si>
  <si>
    <t>power back</t>
  </si>
  <si>
    <t>power babk</t>
  </si>
  <si>
    <t>power adapter for power station</t>
  </si>
  <si>
    <t>powebank</t>
  </si>
  <si>
    <t>powe bank</t>
  </si>
  <si>
    <t>powdeom 700w power station</t>
  </si>
  <si>
    <t>powdeom 155wh portable power station</t>
  </si>
  <si>
    <t>powdeom</t>
  </si>
  <si>
    <t>potable power station</t>
  </si>
  <si>
    <t>potable house</t>
  </si>
  <si>
    <t>potable home</t>
  </si>
  <si>
    <t>portátil house</t>
  </si>
  <si>
    <t>portible home</t>
  </si>
  <si>
    <t>portebal homes</t>
  </si>
  <si>
    <t>portebal haous</t>
  </si>
  <si>
    <t>portatil house</t>
  </si>
  <si>
    <t>portatil</t>
  </si>
  <si>
    <t>portalb power station</t>
  </si>
  <si>
    <t>portablepower station</t>
  </si>
  <si>
    <t>portablepower bank</t>
  </si>
  <si>
    <t>portablehouse</t>
  </si>
  <si>
    <t>portablehome</t>
  </si>
  <si>
    <t>portable wireless power bank</t>
  </si>
  <si>
    <t>portable wifi for camping</t>
  </si>
  <si>
    <t>portable welder generator</t>
  </si>
  <si>
    <t>portable tool battery led</t>
  </si>
  <si>
    <t>portable tesla charger</t>
  </si>
  <si>
    <t>portable storage battery</t>
  </si>
  <si>
    <t>portable steam generator</t>
  </si>
  <si>
    <t>portable station power</t>
  </si>
  <si>
    <t>portable station</t>
  </si>
  <si>
    <t>portable standby generator</t>
  </si>
  <si>
    <t>portable solar water heater</t>
  </si>
  <si>
    <t>portable solar powered generator</t>
  </si>
  <si>
    <t>portable solar power stationportable power station</t>
  </si>
  <si>
    <t>portable solar power station with solar panels included</t>
  </si>
  <si>
    <t>portable solar power set</t>
  </si>
  <si>
    <t>portable solar power pack</t>
  </si>
  <si>
    <t>portable solar power heater</t>
  </si>
  <si>
    <t>portable solar power generator</t>
  </si>
  <si>
    <t>portable solar power</t>
  </si>
  <si>
    <t>portable solar phone charger</t>
  </si>
  <si>
    <t>portable solar panels for large power bank</t>
  </si>
  <si>
    <t>portable solar panels for camping 200w</t>
  </si>
  <si>
    <t>portable solar panels camping</t>
  </si>
  <si>
    <t>portable solar panels 30w</t>
  </si>
  <si>
    <t>portable solar panels 20w</t>
  </si>
  <si>
    <t>portable solar panel]</t>
  </si>
  <si>
    <t>portable solar panel with battery bank</t>
  </si>
  <si>
    <t>portable solar panel kit</t>
  </si>
  <si>
    <t>portable solar panel for camping</t>
  </si>
  <si>
    <t>portable solar panel charger</t>
  </si>
  <si>
    <t>portable solar panel and bank</t>
  </si>
  <si>
    <t>portable solar panel 400w</t>
  </si>
  <si>
    <t>portable solar panel 30w</t>
  </si>
  <si>
    <t>portable solar panel 28w</t>
  </si>
  <si>
    <t>portable solar panel 18v foldable</t>
  </si>
  <si>
    <t>portable solar panel 100w</t>
  </si>
  <si>
    <t>portable solar heater</t>
  </si>
  <si>
    <t>portable solar generators for home use</t>
  </si>
  <si>
    <t>portable solar generator with panels included</t>
  </si>
  <si>
    <t>portable solar generator with panels</t>
  </si>
  <si>
    <t>portable solar generator power station</t>
  </si>
  <si>
    <t>portable solar generator for camping</t>
  </si>
  <si>
    <t>portable solar energy</t>
  </si>
  <si>
    <t>portable solar charger for camping</t>
  </si>
  <si>
    <t>portable rv</t>
  </si>
  <si>
    <t>portable refrigerator for camping</t>
  </si>
  <si>
    <t>portable refrigerator</t>
  </si>
  <si>
    <t>portable propane generator</t>
  </si>
  <si>
    <t>portable projector with wifi and bluetooth battery operated</t>
  </si>
  <si>
    <t>portable projector bluetooth battery</t>
  </si>
  <si>
    <t>portable projector battery smart</t>
  </si>
  <si>
    <t>portable powerstation</t>
  </si>
  <si>
    <t>portable powers bank</t>
  </si>
  <si>
    <t>portable power supply camping</t>
  </si>
  <si>
    <t>portable power strip for travel</t>
  </si>
  <si>
    <t>portable power strip</t>
  </si>
  <si>
    <t>portable power storage</t>
  </si>
  <si>
    <t>portable power stationss</t>
  </si>
  <si>
    <t>portable power stations with solar panel</t>
  </si>
  <si>
    <t>portable power stations daranener</t>
  </si>
  <si>
    <t>portable power stations 300w</t>
  </si>
  <si>
    <t>portable power station\</t>
  </si>
  <si>
    <t>portable power station100wh</t>
  </si>
  <si>
    <t>portable power station without inverter</t>
  </si>
  <si>
    <t>portable power station with wheels</t>
  </si>
  <si>
    <t>portable power station with solar panels</t>
  </si>
  <si>
    <t>portable power station with solar</t>
  </si>
  <si>
    <t>portable power station with lithium phosphate battery</t>
  </si>
  <si>
    <t>portable power station with lead battery</t>
  </si>
  <si>
    <t>portable power station with jumper cables</t>
  </si>
  <si>
    <t>portable power station with built in solar panel</t>
  </si>
  <si>
    <t>portable power station with batteries</t>
  </si>
  <si>
    <t>portable power station with air compressor</t>
  </si>
  <si>
    <t>portable power station with ac outlet</t>
  </si>
  <si>
    <t>portable power station wireless charger</t>
  </si>
  <si>
    <t>portable power station waterproof</t>
  </si>
  <si>
    <t>portable power station speaker</t>
  </si>
  <si>
    <t>portable power station solar panel</t>
  </si>
  <si>
    <t>portable power station solar generator lighting system</t>
  </si>
  <si>
    <t>portable power station solar</t>
  </si>
  <si>
    <t>portable power station no inverter</t>
  </si>
  <si>
    <t>portable power station like from anker</t>
  </si>
  <si>
    <t>portable power station lifepo4, 2500w</t>
  </si>
  <si>
    <t>portable power station lifepo4 battery solar generator</t>
  </si>
  <si>
    <t>portable power station lifepo4 battery golabs</t>
  </si>
  <si>
    <t>portable power station lifepo4 battery</t>
  </si>
  <si>
    <t>portable power station lifepo4 1000wh</t>
  </si>
  <si>
    <t>portable power station lifepo4</t>
  </si>
  <si>
    <t>portable power station kit</t>
  </si>
  <si>
    <t>portable power station jump starter</t>
  </si>
  <si>
    <t>portable power station jackery</t>
  </si>
  <si>
    <t>portable power station grounding adapter</t>
  </si>
  <si>
    <t>portable power station for oxygen</t>
  </si>
  <si>
    <t>portable power station for low temperature</t>
  </si>
  <si>
    <t>portable power station for camping</t>
  </si>
  <si>
    <t>portable power station fast charging</t>
  </si>
  <si>
    <t>portable power station explorer 300</t>
  </si>
  <si>
    <t>portable power station explorer</t>
  </si>
  <si>
    <t>portable power station expand battery</t>
  </si>
  <si>
    <t>portable power station cpap</t>
  </si>
  <si>
    <t>portable power station cold weather</t>
  </si>
  <si>
    <t>portable power station charger</t>
  </si>
  <si>
    <t>portable power station camping</t>
  </si>
  <si>
    <t>portable power station bundle</t>
  </si>
  <si>
    <t>portable power station built in solar panel</t>
  </si>
  <si>
    <t>portable power station bluetti</t>
  </si>
  <si>
    <t>portable power station battery</t>
  </si>
  <si>
    <t>portable power station anker</t>
  </si>
  <si>
    <t>portable power station aftime</t>
  </si>
  <si>
    <t>portable power station ac</t>
  </si>
  <si>
    <t>portable power station 900w</t>
  </si>
  <si>
    <t>portable power station 800wh lifepo4</t>
  </si>
  <si>
    <t>portable power station 800w</t>
  </si>
  <si>
    <t>portable power station 768wh lifepo4 battery</t>
  </si>
  <si>
    <t>portable power station 700wh</t>
  </si>
  <si>
    <t>portable power station 700w</t>
  </si>
  <si>
    <t>portable power station 66w</t>
  </si>
  <si>
    <t>portable power station 60w</t>
  </si>
  <si>
    <t>portable power station 600w</t>
  </si>
  <si>
    <t>portable power station 500wh</t>
  </si>
  <si>
    <t>portable power station 400w</t>
  </si>
  <si>
    <t>portable power station 300wh</t>
  </si>
  <si>
    <t>portable power station 3000w</t>
  </si>
  <si>
    <t>portable power station 250w</t>
  </si>
  <si>
    <t>portable power station 200w</t>
  </si>
  <si>
    <t>portable power station 200</t>
  </si>
  <si>
    <t>portable power station 170wh</t>
  </si>
  <si>
    <t>portable power station 1500wh</t>
  </si>
  <si>
    <t>portable power station 1500w, lifepo4 battery solar generator</t>
  </si>
  <si>
    <t>portable power station 1500w</t>
  </si>
  <si>
    <t>portable power station 1500 watts</t>
  </si>
  <si>
    <t>portable power station 1500 watt</t>
  </si>
  <si>
    <t>portable power station 1500 w</t>
  </si>
  <si>
    <t>portable power station 1500</t>
  </si>
  <si>
    <t>portable power station 1408wh</t>
  </si>
  <si>
    <t>portable power station 1200w</t>
  </si>
  <si>
    <t>portable power station 110v ac</t>
  </si>
  <si>
    <t>portable power station 10wh</t>
  </si>
  <si>
    <t>portable power station 1000ws</t>
  </si>
  <si>
    <t>portable power station 1000wh</t>
  </si>
  <si>
    <t>portable power source</t>
  </si>
  <si>
    <t>portable power solar</t>
  </si>
  <si>
    <t>portable power pack</t>
  </si>
  <si>
    <t>portable power outlet</t>
  </si>
  <si>
    <t>portable power lifepo4</t>
  </si>
  <si>
    <t>portable power inverter</t>
  </si>
  <si>
    <t>portable power generator solar</t>
  </si>
  <si>
    <t>portable power generator</t>
  </si>
  <si>
    <t>portable power drill</t>
  </si>
  <si>
    <t>portable power charging station</t>
  </si>
  <si>
    <t>portable power charger</t>
  </si>
  <si>
    <t>portable power case vision pro</t>
  </si>
  <si>
    <t>portable power cable</t>
  </si>
  <si>
    <t>portable power box</t>
  </si>
  <si>
    <t>portable power batteries</t>
  </si>
  <si>
    <t>portable power banks</t>
  </si>
  <si>
    <t>portable power bank with solar panel</t>
  </si>
  <si>
    <t>portable power bank with led light</t>
  </si>
  <si>
    <t>portable power bank with led</t>
  </si>
  <si>
    <t>portable power bank for outdoors</t>
  </si>
  <si>
    <t>portable power bank for laptop</t>
  </si>
  <si>
    <t>portable power bank camping</t>
  </si>
  <si>
    <t>portable power bank anker</t>
  </si>
  <si>
    <t>portable power bank 110v outlet</t>
  </si>
  <si>
    <t>portable power bank  b0cgwtyw2z</t>
  </si>
  <si>
    <t>portable power band</t>
  </si>
  <si>
    <t>portable power 2024</t>
  </si>
  <si>
    <t>portable plug outlet</t>
  </si>
  <si>
    <t>portable plug</t>
  </si>
  <si>
    <t>portable phone charging station</t>
  </si>
  <si>
    <t>portable oxygen generator</t>
  </si>
  <si>
    <t>portable oxygen generato</t>
  </si>
  <si>
    <t>portable outlets</t>
  </si>
  <si>
    <t>portable outlet charger</t>
  </si>
  <si>
    <t>portable outlet box</t>
  </si>
  <si>
    <t>portable outdoor solar energy</t>
  </si>
  <si>
    <t>portable outdoor power supply</t>
  </si>
  <si>
    <t>portable outdoor power</t>
  </si>
  <si>
    <t>portable outdoor mobile power supply</t>
  </si>
  <si>
    <t>portable mobile houses</t>
  </si>
  <si>
    <t>portable mobile homes</t>
  </si>
  <si>
    <t>portable mobile home</t>
  </si>
  <si>
    <t>portable mini outdoor power supply with 110v us</t>
  </si>
  <si>
    <t>portable mini generator</t>
  </si>
  <si>
    <t>portable lithium battery mower</t>
  </si>
  <si>
    <t>portable lights battery powered</t>
  </si>
  <si>
    <t>portable lifepo4 power station</t>
  </si>
  <si>
    <t>portable lead-acid battery solar system battery</t>
  </si>
  <si>
    <t>portable large capacity camper</t>
  </si>
  <si>
    <t>portable laptop charger power bank</t>
  </si>
  <si>
    <t>portable inverter</t>
  </si>
  <si>
    <t>portable hydrogen water generator</t>
  </si>
  <si>
    <t>portable house.</t>
  </si>
  <si>
    <t>portable hosue</t>
  </si>
  <si>
    <t>portable hiuse</t>
  </si>
  <si>
    <t>portable heaters for indoor use battery</t>
  </si>
  <si>
    <t>portable heater battery powered cordless</t>
  </si>
  <si>
    <t>portable heater battery operated</t>
  </si>
  <si>
    <t>portable heater battery</t>
  </si>
  <si>
    <t>portable heated blanket battery operated</t>
  </si>
  <si>
    <t>portable hand crank generator</t>
  </si>
  <si>
    <t>portable generators for camping quiet</t>
  </si>
  <si>
    <t>portable generators for camping</t>
  </si>
  <si>
    <t>portable generator with jumper cables</t>
  </si>
  <si>
    <t>portable generator with ac outlet</t>
  </si>
  <si>
    <t>portable generator through-the-wall</t>
  </si>
  <si>
    <t>portable generator solar powered</t>
  </si>
  <si>
    <t>portable generator solar</t>
  </si>
  <si>
    <t>portable generator quiet</t>
  </si>
  <si>
    <t>portable generator power station</t>
  </si>
  <si>
    <t>portable generator outdoors neoz</t>
  </si>
  <si>
    <t>portable generator outdoors</t>
  </si>
  <si>
    <t>portable generator inverter</t>
  </si>
  <si>
    <t>portable generator heater</t>
  </si>
  <si>
    <t>portable generator hand crank solar charger power bank</t>
  </si>
  <si>
    <t>portable generator hand crank</t>
  </si>
  <si>
    <t>portable generator for outdoors</t>
  </si>
  <si>
    <t>portable generator for home</t>
  </si>
  <si>
    <t>portable generator electric</t>
  </si>
  <si>
    <t>portable generator covers</t>
  </si>
  <si>
    <t>portable generator camping</t>
  </si>
  <si>
    <t>portable generator battery powered</t>
  </si>
  <si>
    <t>portable generator battery</t>
  </si>
  <si>
    <t>portable generator 10000 watt</t>
  </si>
  <si>
    <t>portable gear</t>
  </si>
  <si>
    <t>portable gas generators</t>
  </si>
  <si>
    <t>portable gas generator</t>
  </si>
  <si>
    <t>portable gas fire pit grill for camping</t>
  </si>
  <si>
    <t>portable garage</t>
  </si>
  <si>
    <t>portable fridge for camping</t>
  </si>
  <si>
    <t>portable freezer for car</t>
  </si>
  <si>
    <t>portable freezer</t>
  </si>
  <si>
    <t>portable fan for camping</t>
  </si>
  <si>
    <t>portable fan battery operated</t>
  </si>
  <si>
    <t>portable ev charger</t>
  </si>
  <si>
    <t>portable energy storage power supply</t>
  </si>
  <si>
    <t>portable energy storage generator</t>
  </si>
  <si>
    <t>portable electric power generators</t>
  </si>
  <si>
    <t>portable electric outlet battery powered</t>
  </si>
  <si>
    <t>portable electric car charger power bank</t>
  </si>
  <si>
    <t>portable electric car charger</t>
  </si>
  <si>
    <t>portable electric blanket battery powered</t>
  </si>
  <si>
    <t>portable electric</t>
  </si>
  <si>
    <t>portable cooking station</t>
  </si>
  <si>
    <t>portable computer charger</t>
  </si>
  <si>
    <t>portable charger with wall plug outlet</t>
  </si>
  <si>
    <t>portable charger with wall plug</t>
  </si>
  <si>
    <t>portable charger with solar panel</t>
  </si>
  <si>
    <t>portable charger with outlet</t>
  </si>
  <si>
    <t>portable charger with ac outlet</t>
  </si>
  <si>
    <t>portable charger usb c anker</t>
  </si>
  <si>
    <t>portable charger solar power bank</t>
  </si>
  <si>
    <t>portable charger solar power</t>
  </si>
  <si>
    <t>portable charger powerful</t>
  </si>
  <si>
    <t>portable charger power station</t>
  </si>
  <si>
    <t>portable charger power bank with solar panels</t>
  </si>
  <si>
    <t>portable charger power bank 50000mah</t>
  </si>
  <si>
    <t>portable charger outlet</t>
  </si>
  <si>
    <t>portable charger outdoor</t>
  </si>
  <si>
    <t>portable charger laptop</t>
  </si>
  <si>
    <t>portable charger high power</t>
  </si>
  <si>
    <t>portable charger for camping</t>
  </si>
  <si>
    <t>portable charger camping</t>
  </si>
  <si>
    <t>portable charger box</t>
  </si>
  <si>
    <t>portable charger big</t>
  </si>
  <si>
    <t>portable charger ac outlet</t>
  </si>
  <si>
    <t>portable charger 50000mah</t>
  </si>
  <si>
    <t>portable charger 30000mah</t>
  </si>
  <si>
    <t>portable charge station</t>
  </si>
  <si>
    <t>portable camping stove</t>
  </si>
  <si>
    <t>portable camping grill</t>
  </si>
  <si>
    <t>portable camping generator</t>
  </si>
  <si>
    <t>portable camping</t>
  </si>
  <si>
    <t>portable campfire</t>
  </si>
  <si>
    <t>portable camp charger</t>
  </si>
  <si>
    <t>portable battery with solar panels</t>
  </si>
  <si>
    <t>portable battery with solar panel</t>
  </si>
  <si>
    <t>portable battery with outlet</t>
  </si>
  <si>
    <t>portable battery with ac outlet</t>
  </si>
  <si>
    <t>portable battery station</t>
  </si>
  <si>
    <t>portable battery powered generator</t>
  </si>
  <si>
    <t>portable battery power supply</t>
  </si>
  <si>
    <t>portable battery power station</t>
  </si>
  <si>
    <t>portable battery power bank</t>
  </si>
  <si>
    <t>portable battery pack with ac outlet</t>
  </si>
  <si>
    <t>portable battery operated radio</t>
  </si>
  <si>
    <t>portable battery operated heater</t>
  </si>
  <si>
    <t>portable battery heater for camping</t>
  </si>
  <si>
    <t>portable battery heater</t>
  </si>
  <si>
    <t>portable battery generator</t>
  </si>
  <si>
    <t>portable battery for laptops</t>
  </si>
  <si>
    <t>portable battery for laptop</t>
  </si>
  <si>
    <t>portable battery for computer</t>
  </si>
  <si>
    <t>portable battery for camping</t>
  </si>
  <si>
    <t>portable battery charger for laptops</t>
  </si>
  <si>
    <t>portable battery charger for laptop</t>
  </si>
  <si>
    <t>portable battery charger</t>
  </si>
  <si>
    <t>portable battery anker</t>
  </si>
  <si>
    <t>portable batteries for laptops</t>
  </si>
  <si>
    <t>portable bank with ac outlet</t>
  </si>
  <si>
    <t>portable backup battery</t>
  </si>
  <si>
    <t>portable apple watch charger anker</t>
  </si>
  <si>
    <t>portable anker power bank</t>
  </si>
  <si>
    <t>portable and convenient</t>
  </si>
  <si>
    <t>portable air conditioner for room</t>
  </si>
  <si>
    <t>portable air conditioner camping</t>
  </si>
  <si>
    <t>portable ac unit for camping</t>
  </si>
  <si>
    <t>portable ac unit</t>
  </si>
  <si>
    <t>portable ac power</t>
  </si>
  <si>
    <t>portable ac outlet</t>
  </si>
  <si>
    <t>portable ac charger</t>
  </si>
  <si>
    <t>portable ac adapter battery</t>
  </si>
  <si>
    <t>portable ac</t>
  </si>
  <si>
    <t>portable 24v power supply</t>
  </si>
  <si>
    <t>portable 12v power supply</t>
  </si>
  <si>
    <t>portable 120 volt power supply</t>
  </si>
  <si>
    <t>portable 12 volt power supply</t>
  </si>
  <si>
    <t>portabke house</t>
  </si>
  <si>
    <t>portabel home</t>
  </si>
  <si>
    <t>portabel generator</t>
  </si>
  <si>
    <t>pordable home</t>
  </si>
  <si>
    <t>poartable house</t>
  </si>
  <si>
    <t>plug power bank</t>
  </si>
  <si>
    <t>plug in battery pack</t>
  </si>
  <si>
    <t>plantas eléctricas silenciosas</t>
  </si>
  <si>
    <t>plantas electricas gasolina</t>
  </si>
  <si>
    <t>plantas electricas</t>
  </si>
  <si>
    <t>planta solar portátil</t>
  </si>
  <si>
    <t>planta solar para casa</t>
  </si>
  <si>
    <t>planta solar</t>
  </si>
  <si>
    <t>planta inverter</t>
  </si>
  <si>
    <t>planta eléctrica silenciosa para casa</t>
  </si>
  <si>
    <t>planta eléctrica de gasolina</t>
  </si>
  <si>
    <t>planta eléctrica</t>
  </si>
  <si>
    <t>planta electrica solar portatil</t>
  </si>
  <si>
    <t>planta de luz portátil gasolina</t>
  </si>
  <si>
    <t>planta de corriente silencioso</t>
  </si>
  <si>
    <t>plan station</t>
  </si>
  <si>
    <t>placa solar</t>
  </si>
  <si>
    <t>pilas recargables</t>
  </si>
  <si>
    <t>phone solar charger</t>
  </si>
  <si>
    <t>phone battery charger pack portable</t>
  </si>
  <si>
    <t>phone backup battery charger solar</t>
  </si>
  <si>
    <t>petrol generator</t>
  </si>
  <si>
    <t>pet solar panel</t>
  </si>
  <si>
    <t>pellet stove with battery backup</t>
  </si>
  <si>
    <t>pellet stove battery backup</t>
  </si>
  <si>
    <t>pedal power generator</t>
  </si>
  <si>
    <t>pecron solar generator</t>
  </si>
  <si>
    <t>pecron portable power station</t>
  </si>
  <si>
    <t>pecron ef600lfp</t>
  </si>
  <si>
    <t>pecron e600lfp</t>
  </si>
  <si>
    <t>pdbest power bank</t>
  </si>
  <si>
    <t>pd power bank</t>
  </si>
  <si>
    <t>pd battery bank</t>
  </si>
  <si>
    <t>pd battery</t>
  </si>
  <si>
    <t>pc battery backup power supply</t>
  </si>
  <si>
    <t>pc battery backup</t>
  </si>
  <si>
    <t>paxcess power station</t>
  </si>
  <si>
    <t>patriots solar generator</t>
  </si>
  <si>
    <t>patriot solar generator with panels included</t>
  </si>
  <si>
    <t>patriot power solar generator</t>
  </si>
  <si>
    <t>patriot power sidekick</t>
  </si>
  <si>
    <t>patriot power generator 2000x solar</t>
  </si>
  <si>
    <t>patriot power</t>
  </si>
  <si>
    <t>patio power station</t>
  </si>
  <si>
    <t>partbal home</t>
  </si>
  <si>
    <t>pap 150</t>
  </si>
  <si>
    <t>panels</t>
  </si>
  <si>
    <t>panel solar para casa 5000w</t>
  </si>
  <si>
    <t>panel solar ecoflow</t>
  </si>
  <si>
    <t>panel solar 1000w</t>
  </si>
  <si>
    <t>pandora portable power</t>
  </si>
  <si>
    <t>ozone generator</t>
  </si>
  <si>
    <t>oxygen generator portable</t>
  </si>
  <si>
    <t>oxygen generator</t>
  </si>
  <si>
    <t>ower station</t>
  </si>
  <si>
    <t>overloading storage</t>
  </si>
  <si>
    <t>overlanding gear</t>
  </si>
  <si>
    <t>output for outdoor camping/rvs/home use</t>
  </si>
  <si>
    <t>outmax power station</t>
  </si>
  <si>
    <t>outlet power bank</t>
  </si>
  <si>
    <t>outlet generator</t>
  </si>
  <si>
    <t>outlet battery pack</t>
  </si>
  <si>
    <t>outlet battery</t>
  </si>
  <si>
    <t>outerland solarpak 2.0</t>
  </si>
  <si>
    <t>outdoors</t>
  </si>
  <si>
    <t>outdoor usb outlet</t>
  </si>
  <si>
    <t>outdoor usb c portable power bank</t>
  </si>
  <si>
    <t>outdoor solar usb charger power bank</t>
  </si>
  <si>
    <t>outdoor solar power bank</t>
  </si>
  <si>
    <t>outdoor solar panel charger</t>
  </si>
  <si>
    <t>outdoor solar generator with panels included</t>
  </si>
  <si>
    <t>outdoor solar energy</t>
  </si>
  <si>
    <t>outdoor sock heating element film</t>
  </si>
  <si>
    <t>outdoor powerstation</t>
  </si>
  <si>
    <t>outdoor power supply 600w</t>
  </si>
  <si>
    <t>outdoor power supply 300w</t>
  </si>
  <si>
    <t>outdoor power supply</t>
  </si>
  <si>
    <t>outdoor power station</t>
  </si>
  <si>
    <t>outdoor power equipment</t>
  </si>
  <si>
    <t>outdoor power bi-directional fast charging</t>
  </si>
  <si>
    <t>outdoor power battery</t>
  </si>
  <si>
    <t>outdoor power batteries and chargers</t>
  </si>
  <si>
    <t>outdoor power batteries &amp; chargers</t>
  </si>
  <si>
    <t>outdoor power batteries</t>
  </si>
  <si>
    <t>outdoor power bank</t>
  </si>
  <si>
    <t>outdoor power</t>
  </si>
  <si>
    <t>outdoor portable charger</t>
  </si>
  <si>
    <t>outdoor portable</t>
  </si>
  <si>
    <t>outdoor photovoltaic power station</t>
  </si>
  <si>
    <t>outdoor mobile power supply camping</t>
  </si>
  <si>
    <t>outdoor mobile power supply</t>
  </si>
  <si>
    <t>outdoor large capacity mobile power supply</t>
  </si>
  <si>
    <t>outdoor heater battery powered</t>
  </si>
  <si>
    <t>outdoor generators small</t>
  </si>
  <si>
    <t>outdoor generators power support</t>
  </si>
  <si>
    <t>outdoor generators power adapter</t>
  </si>
  <si>
    <t>outdoor generators 150w</t>
  </si>
  <si>
    <t>outdoor generators &amp; portable power</t>
  </si>
  <si>
    <t>outdoor generator transfer switches</t>
  </si>
  <si>
    <t>outdoor generator manual usb charger</t>
  </si>
  <si>
    <t>outdoor generator enclosure</t>
  </si>
  <si>
    <t>outdoor generator covers</t>
  </si>
  <si>
    <t>outdoor generator cover</t>
  </si>
  <si>
    <t>outdoor generator cords sets &amp; plugs</t>
  </si>
  <si>
    <t>outdoor generator cords sets</t>
  </si>
  <si>
    <t>outdoor generator accessories</t>
  </si>
  <si>
    <t>outdoor generator 2000wh</t>
  </si>
  <si>
    <t>outdoor generator</t>
  </si>
  <si>
    <t>outdoor gear</t>
  </si>
  <si>
    <t>outdoor gas heater small</t>
  </si>
  <si>
    <t>outdoor explorer</t>
  </si>
  <si>
    <t>outdoor energy storage power supply</t>
  </si>
  <si>
    <t>outdoor energy storage batteries</t>
  </si>
  <si>
    <t>outdoor energy storage</t>
  </si>
  <si>
    <t>outdoor energy</t>
  </si>
  <si>
    <t>outdoor decor</t>
  </si>
  <si>
    <t>outdoor dc power supply backup</t>
  </si>
  <si>
    <t>outdoor charging station</t>
  </si>
  <si>
    <t>outdoor charger station</t>
  </si>
  <si>
    <t>outdoor charger</t>
  </si>
  <si>
    <t>outdoor camping, rv travel, home use</t>
  </si>
  <si>
    <t>outdoor camera wireless battery powered</t>
  </si>
  <si>
    <t>outdoor battery pack</t>
  </si>
  <si>
    <t>outdoor battery box</t>
  </si>
  <si>
    <t>outdoor battery</t>
  </si>
  <si>
    <t>outdoor batteries</t>
  </si>
  <si>
    <t>oupes power station</t>
  </si>
  <si>
    <t>oupes mega 5</t>
  </si>
  <si>
    <t>oupes mega 3</t>
  </si>
  <si>
    <t>oupes mega 2</t>
  </si>
  <si>
    <t>oupes 2400 portable power station 2400w 2232wh</t>
  </si>
  <si>
    <t>oupes 1800w portable power station</t>
  </si>
  <si>
    <t>oukitel power station</t>
  </si>
  <si>
    <t>oukitel portable power station</t>
  </si>
  <si>
    <t>oukitel p2001 portable power station 2000w 2000wh</t>
  </si>
  <si>
    <t>oukitel p2001</t>
  </si>
  <si>
    <t>oscal powermax 700</t>
  </si>
  <si>
    <t>oscal power station</t>
  </si>
  <si>
    <t>oscal portable power station</t>
  </si>
  <si>
    <t>oscal</t>
  </si>
  <si>
    <t>organite generator</t>
  </si>
  <si>
    <t>open frame inverter generator</t>
  </si>
  <si>
    <t>onn power bank</t>
  </si>
  <si>
    <t>onite</t>
  </si>
  <si>
    <t>onan generator</t>
  </si>
  <si>
    <t>on the roam max</t>
  </si>
  <si>
    <t>omni charger</t>
  </si>
  <si>
    <t>omni charge</t>
  </si>
  <si>
    <t>offroad accessories 4x4 camping</t>
  </si>
  <si>
    <t>office supplies</t>
  </si>
  <si>
    <t>off grid solar power systems</t>
  </si>
  <si>
    <t>off grid solar</t>
  </si>
  <si>
    <t>off grid refrigerator</t>
  </si>
  <si>
    <t>off grid power systems</t>
  </si>
  <si>
    <t>off grid power</t>
  </si>
  <si>
    <t>off grid heater</t>
  </si>
  <si>
    <t>ofertas relampago</t>
  </si>
  <si>
    <t>oculus quest 2 battery pack</t>
  </si>
  <si>
    <t>oak and iron wave</t>
  </si>
  <si>
    <t>nuclear battery</t>
  </si>
  <si>
    <t>noolar ortable</t>
  </si>
  <si>
    <t>no power emergency kit</t>
  </si>
  <si>
    <t>nitrogen generator</t>
  </si>
  <si>
    <t>nitro red dumont</t>
  </si>
  <si>
    <t>ninjabatt portable power station</t>
  </si>
  <si>
    <t>nightstand power station</t>
  </si>
  <si>
    <t>night light battery backup</t>
  </si>
  <si>
    <t>nicebay</t>
  </si>
  <si>
    <t>nexpow portable power station 178wh</t>
  </si>
  <si>
    <t>nexpow portable power station</t>
  </si>
  <si>
    <t>nexpow portable inverter generator</t>
  </si>
  <si>
    <t>nexpow generators for home use</t>
  </si>
  <si>
    <t>newpowa</t>
  </si>
  <si>
    <t>new energy vehicle accessories</t>
  </si>
  <si>
    <t>nestout power bank</t>
  </si>
  <si>
    <t>neon sign battery powered</t>
  </si>
  <si>
    <t>neck cloud</t>
  </si>
  <si>
    <t>natures generator</t>
  </si>
  <si>
    <t>nature sounds relax and sleep river</t>
  </si>
  <si>
    <t>nature power</t>
  </si>
  <si>
    <t>natural gas whole house generators</t>
  </si>
  <si>
    <t>natural gas portable generator</t>
  </si>
  <si>
    <t>natural gas inverter generator</t>
  </si>
  <si>
    <t>natural gas generators for home use</t>
  </si>
  <si>
    <t>natural gas generators</t>
  </si>
  <si>
    <t>nanagiftree</t>
  </si>
  <si>
    <t>mypowr</t>
  </si>
  <si>
    <t>mypower</t>
  </si>
  <si>
    <t>multifunctional emergency power supply</t>
  </si>
  <si>
    <t>multi panel solar charger power bank</t>
  </si>
  <si>
    <t>multi battery pack</t>
  </si>
  <si>
    <t>muchpow</t>
  </si>
  <si>
    <t>mre</t>
  </si>
  <si>
    <t>movespeed power bank</t>
  </si>
  <si>
    <t>movespeed 70000mah power bank</t>
  </si>
  <si>
    <t>movespeed</t>
  </si>
  <si>
    <t>move speed</t>
  </si>
  <si>
    <t>motor power station</t>
  </si>
  <si>
    <t>moto camping gear</t>
  </si>
  <si>
    <t>moschino</t>
  </si>
  <si>
    <t>montek x1000 solar generator</t>
  </si>
  <si>
    <t>money bank tents</t>
  </si>
  <si>
    <t>modular power station</t>
  </si>
  <si>
    <t>modular homes prefabricated</t>
  </si>
  <si>
    <t>modem battery backup</t>
  </si>
  <si>
    <t>model y camping</t>
  </si>
  <si>
    <t>mobile solar</t>
  </si>
  <si>
    <t>mobile power supply for induction cookers</t>
  </si>
  <si>
    <t>mobile power supply</t>
  </si>
  <si>
    <t>mobile power station</t>
  </si>
  <si>
    <t>mobile power bank</t>
  </si>
  <si>
    <t>mobile power</t>
  </si>
  <si>
    <t>mobile portable house</t>
  </si>
  <si>
    <t>mobile portable home</t>
  </si>
  <si>
    <t>mobile houses to live in</t>
  </si>
  <si>
    <t>mobile houses for sale</t>
  </si>
  <si>
    <t>mobile house portable</t>
  </si>
  <si>
    <t>mobile house grid</t>
  </si>
  <si>
    <t>mobile house</t>
  </si>
  <si>
    <t>mobile home</t>
  </si>
  <si>
    <t>mobile generator</t>
  </si>
  <si>
    <t>mobile energy storage</t>
  </si>
  <si>
    <t>mobile battery pack</t>
  </si>
  <si>
    <t>mobile battery</t>
  </si>
  <si>
    <t>mobie home</t>
  </si>
  <si>
    <t>mobi garden</t>
  </si>
  <si>
    <t>mini water turbine</t>
  </si>
  <si>
    <t>mini ups battery backup for wifi router</t>
  </si>
  <si>
    <t>mini solar power bank</t>
  </si>
  <si>
    <t>mini solar panels</t>
  </si>
  <si>
    <t>mini solar generator</t>
  </si>
  <si>
    <t>mini power supply</t>
  </si>
  <si>
    <t>mini power stations &amp; power banks</t>
  </si>
  <si>
    <t>mini power station</t>
  </si>
  <si>
    <t>mini power</t>
  </si>
  <si>
    <t>mini portable generator</t>
  </si>
  <si>
    <t>mini portable air conditioner</t>
  </si>
  <si>
    <t>mini lifepo4 battery</t>
  </si>
  <si>
    <t>mini generators for camping</t>
  </si>
  <si>
    <t>mini generator portable indoor</t>
  </si>
  <si>
    <t>mini generator for home</t>
  </si>
  <si>
    <t>mini generator for camping</t>
  </si>
  <si>
    <t>mini gas generator</t>
  </si>
  <si>
    <t>mini explorer</t>
  </si>
  <si>
    <t>mini battery generator</t>
  </si>
  <si>
    <t>milwaukee rv generators</t>
  </si>
  <si>
    <t>milwaukee power supply</t>
  </si>
  <si>
    <t>milwaukee power station</t>
  </si>
  <si>
    <t>milwaukee power bank</t>
  </si>
  <si>
    <t>military hand crank generator</t>
  </si>
  <si>
    <t>microondas portatil</t>
  </si>
  <si>
    <t>micro hydroelectric generator</t>
  </si>
  <si>
    <t>miady solar charger power bank</t>
  </si>
  <si>
    <t>mfj power supply</t>
  </si>
  <si>
    <t>maxoak cpap battery backup</t>
  </si>
  <si>
    <t>maxoak</t>
  </si>
  <si>
    <t>marbero solar panels</t>
  </si>
  <si>
    <t>marbero solar panel</t>
  </si>
  <si>
    <t>marbero solar generator charger</t>
  </si>
  <si>
    <t>marbero solar generator</t>
  </si>
  <si>
    <t>marbero power station 150wh</t>
  </si>
  <si>
    <t>marbero power bank</t>
  </si>
  <si>
    <t>marbero portable solar panels</t>
  </si>
  <si>
    <t>marbero portable power station charger</t>
  </si>
  <si>
    <t>marbero portable power station 150wh</t>
  </si>
  <si>
    <t>marbero m82</t>
  </si>
  <si>
    <t>marbero generator portable solar</t>
  </si>
  <si>
    <t>marbero case</t>
  </si>
  <si>
    <t>marbero 88wh portable power station 24000mah camping solar generator</t>
  </si>
  <si>
    <t>marbero 88wh</t>
  </si>
  <si>
    <t>marbero</t>
  </si>
  <si>
    <t>manual hand crank generator</t>
  </si>
  <si>
    <t>manual generator hand crank</t>
  </si>
  <si>
    <t>manual generator</t>
  </si>
  <si>
    <t>manual electric generator</t>
  </si>
  <si>
    <t>mango power station</t>
  </si>
  <si>
    <t>mango power e power station</t>
  </si>
  <si>
    <t>mango power e 3.5kwh portable power station</t>
  </si>
  <si>
    <t>mango power</t>
  </si>
  <si>
    <t>makita power station</t>
  </si>
  <si>
    <t>makinex generator</t>
  </si>
  <si>
    <t>mahwer</t>
  </si>
  <si>
    <t>magsafe charger portable anker</t>
  </si>
  <si>
    <t>magsafe battery pack anker</t>
  </si>
  <si>
    <t>magnetic solar panel</t>
  </si>
  <si>
    <t>magnetic rechargeable long battery life touch lamp</t>
  </si>
  <si>
    <t>magnetic generator</t>
  </si>
  <si>
    <t>mag go anker</t>
  </si>
  <si>
    <t>m18 power inverter</t>
  </si>
  <si>
    <t>m12 battery charger and portable power source adapter</t>
  </si>
  <si>
    <t>m12 battery</t>
  </si>
  <si>
    <t>lpg generator</t>
  </si>
  <si>
    <t>low-voltage power supplies</t>
  </si>
  <si>
    <t>low temperature power bank</t>
  </si>
  <si>
    <t>low temperature portable power station</t>
  </si>
  <si>
    <t>low tem portable power station</t>
  </si>
  <si>
    <t>lottery number generator</t>
  </si>
  <si>
    <t>long battery life</t>
  </si>
  <si>
    <t>lofta explore 5500 chapters battery power station</t>
  </si>
  <si>
    <t>living in car essentials</t>
  </si>
  <si>
    <t>litime portable solar panel</t>
  </si>
  <si>
    <t>lithuim battery</t>
  </si>
  <si>
    <t>lithium ups battery backup</t>
  </si>
  <si>
    <t>lithium ups</t>
  </si>
  <si>
    <t>lithium power station</t>
  </si>
  <si>
    <t>lithium power bank</t>
  </si>
  <si>
    <t>lithium ion battery pack</t>
  </si>
  <si>
    <t>lithium hunting battery</t>
  </si>
  <si>
    <t>lithium generator portable</t>
  </si>
  <si>
    <t>lithium battery pack</t>
  </si>
  <si>
    <t>lithium battery for cpap</t>
  </si>
  <si>
    <t>lithium battery charger</t>
  </si>
  <si>
    <t>liquidation</t>
  </si>
  <si>
    <t>lipsweet portable power bank</t>
  </si>
  <si>
    <t>lipower</t>
  </si>
  <si>
    <t>lily and river</t>
  </si>
  <si>
    <t>light with battery</t>
  </si>
  <si>
    <t>light power bank</t>
  </si>
  <si>
    <t>light for camping</t>
  </si>
  <si>
    <t>light battery powered</t>
  </si>
  <si>
    <t>lifepo4 ups</t>
  </si>
  <si>
    <t>lifepo4 station</t>
  </si>
  <si>
    <t>lifepo4 solar power station</t>
  </si>
  <si>
    <t>lifepo4 solar generator 600w</t>
  </si>
  <si>
    <t>lifepo4 solar generator</t>
  </si>
  <si>
    <t>lifepo4 power stations</t>
  </si>
  <si>
    <t>lifepo4 power station with solar panel</t>
  </si>
  <si>
    <t>lifepo4 power station ups mode</t>
  </si>
  <si>
    <t>lifepo4 power station solar</t>
  </si>
  <si>
    <t>lifepo4 power station jackery</t>
  </si>
  <si>
    <t>lifepo4 power station deals</t>
  </si>
  <si>
    <t>lifepo4 power station bluetooth</t>
  </si>
  <si>
    <t>lifepo4 power station 500wh</t>
  </si>
  <si>
    <t>lifepo4 power station 5000wh</t>
  </si>
  <si>
    <t>lifepo4 power station 3000w</t>
  </si>
  <si>
    <t>lifepo4 power station 2400</t>
  </si>
  <si>
    <t>lifepo4 power station 2000wh</t>
  </si>
  <si>
    <t>lifepo4 power station 2000 w</t>
  </si>
  <si>
    <t>lifepo4 power station 1800w</t>
  </si>
  <si>
    <t>lifepo4 power station 1280wh</t>
  </si>
  <si>
    <t>lifepo4 power station 1200w</t>
  </si>
  <si>
    <t>lifepo4 power station 100ah</t>
  </si>
  <si>
    <t>lifepo4 power station 1000wh</t>
  </si>
  <si>
    <t>lifepo4 power generator</t>
  </si>
  <si>
    <t>lifepo4 power bank</t>
  </si>
  <si>
    <t>lifepo4 portable power station 2000 wh</t>
  </si>
  <si>
    <t>lifepo4 portable power station 1000wh</t>
  </si>
  <si>
    <t>lifepo4 portable power station</t>
  </si>
  <si>
    <t>lifepo4 portable charger case</t>
  </si>
  <si>
    <t>lifepo4 generator</t>
  </si>
  <si>
    <t>lifepo4 battery power station</t>
  </si>
  <si>
    <t>lifepo4 battery portable power station</t>
  </si>
  <si>
    <t>lifepo4 battery charger 60v</t>
  </si>
  <si>
    <t>lifepo4 battery cells</t>
  </si>
  <si>
    <t>lifepo4 battery backup</t>
  </si>
  <si>
    <t>lifepo4 battery 50ah</t>
  </si>
  <si>
    <t>lifepo4 battery 200ah</t>
  </si>
  <si>
    <t>lifepo4 battery 12v 100ah</t>
  </si>
  <si>
    <t>lifepo4 battery 100ah</t>
  </si>
  <si>
    <t>lifepo4 batteries power station</t>
  </si>
  <si>
    <t>lifepo4 1500w</t>
  </si>
  <si>
    <t>life po4 battery</t>
  </si>
  <si>
    <t>life battery</t>
  </si>
  <si>
    <t>licitti battery box</t>
  </si>
  <si>
    <t>lg v20 battery</t>
  </si>
  <si>
    <t>lfp power station</t>
  </si>
  <si>
    <t>lfp battery</t>
  </si>
  <si>
    <t>led strip battery powered</t>
  </si>
  <si>
    <t>led lights with battery</t>
  </si>
  <si>
    <t>led light battery powered</t>
  </si>
  <si>
    <t>led battery powered lights</t>
  </si>
  <si>
    <t>large solar power bank</t>
  </si>
  <si>
    <t>large power station</t>
  </si>
  <si>
    <t>large power bank for camping</t>
  </si>
  <si>
    <t>large portable power bank</t>
  </si>
  <si>
    <t>large portable battery</t>
  </si>
  <si>
    <t>large generator</t>
  </si>
  <si>
    <t>large capacity power bank</t>
  </si>
  <si>
    <t>large capacity backup battery</t>
  </si>
  <si>
    <t>large battery power bank</t>
  </si>
  <si>
    <t>large battery pack</t>
  </si>
  <si>
    <t>large battery</t>
  </si>
  <si>
    <t>large 120v power bank solar portable charger</t>
  </si>
  <si>
    <t>laptop power bank with ac outlet</t>
  </si>
  <si>
    <t>laptop portable power banks</t>
  </si>
  <si>
    <t>laptop emergency charger</t>
  </si>
  <si>
    <t>laptop charger portable</t>
  </si>
  <si>
    <t>laptop battery charger portable</t>
  </si>
  <si>
    <t>laptop battery bank</t>
  </si>
  <si>
    <t>laptop battery as10d31 power bank</t>
  </si>
  <si>
    <t>landnor portable power station, 640wh lifepo4 battery backup,</t>
  </si>
  <si>
    <t>la energía solar</t>
  </si>
  <si>
    <t>kyng power station</t>
  </si>
  <si>
    <t>ktenergy solar panel phone charger</t>
  </si>
  <si>
    <t>ktenergy solar panel 30w</t>
  </si>
  <si>
    <t>ktenergy solar panel 30 watt</t>
  </si>
  <si>
    <t>ktenergy solar panel</t>
  </si>
  <si>
    <t>ktenergy solar charger 30w</t>
  </si>
  <si>
    <t>kohler generators</t>
  </si>
  <si>
    <t>kohler generator</t>
  </si>
  <si>
    <t>kodak battery</t>
  </si>
  <si>
    <t>kobalt 40v battery</t>
  </si>
  <si>
    <t>kobalt 24v battery</t>
  </si>
  <si>
    <t>kit de supervivencia</t>
  </si>
  <si>
    <t>kikite portable power station</t>
  </si>
  <si>
    <t>jytigv</t>
  </si>
  <si>
    <t>justnow portable power station</t>
  </si>
  <si>
    <t>jupitek portable power station s1200</t>
  </si>
  <si>
    <t>jump grid</t>
  </si>
  <si>
    <t>jump 1500x power station</t>
  </si>
  <si>
    <t>joyvolt solar generator</t>
  </si>
  <si>
    <t>jeep camping</t>
  </si>
  <si>
    <t>jeackery</t>
  </si>
  <si>
    <t>jaxkery</t>
  </si>
  <si>
    <t>jarkery</t>
  </si>
  <si>
    <t>jakery</t>
  </si>
  <si>
    <t>jakcery</t>
  </si>
  <si>
    <t>jadens battery</t>
  </si>
  <si>
    <t>jackry</t>
  </si>
  <si>
    <t>jackety</t>
  </si>
  <si>
    <t>jackery with solar panel</t>
  </si>
  <si>
    <t>jackery solarsaga 100w solar panel</t>
  </si>
  <si>
    <t>jackery solarsaga</t>
  </si>
  <si>
    <t>jackery solar saga 100</t>
  </si>
  <si>
    <t>jackery solar panels</t>
  </si>
  <si>
    <t>jackery solar panel extension cable</t>
  </si>
  <si>
    <t>jackery solar panel 200w</t>
  </si>
  <si>
    <t>jackery solar generator 3000 pro</t>
  </si>
  <si>
    <t>jackery solar generator 2000 pro</t>
  </si>
  <si>
    <t>jackery sg1000</t>
  </si>
  <si>
    <t>jackery renewed</t>
  </si>
  <si>
    <t>jackery pro</t>
  </si>
  <si>
    <t>jackery power statio</t>
  </si>
  <si>
    <t>jackery power</t>
  </si>
  <si>
    <t>jackery portable power station solar panel</t>
  </si>
  <si>
    <t>jackery portable power station 500</t>
  </si>
  <si>
    <t>jackery portable power station 300</t>
  </si>
  <si>
    <t>jackery portable power station 200</t>
  </si>
  <si>
    <t>jackery portable power station 1500</t>
  </si>
  <si>
    <t>jackery portable power station 1000</t>
  </si>
  <si>
    <t>jackery portable generator</t>
  </si>
  <si>
    <t>jackery plus</t>
  </si>
  <si>
    <t>jackery explorer 880</t>
  </si>
  <si>
    <t>jackery explorer 550 portable power station</t>
  </si>
  <si>
    <t>jackery explorer 550</t>
  </si>
  <si>
    <t>jackery explorer 500 portable power station</t>
  </si>
  <si>
    <t>jackery explorer 3000 pro portable power station</t>
  </si>
  <si>
    <t>jackery explorer 3000 pro</t>
  </si>
  <si>
    <t>jackery explorer 300 plus</t>
  </si>
  <si>
    <t>jackery explorer 240</t>
  </si>
  <si>
    <t>jackery explorer 220</t>
  </si>
  <si>
    <t>jackery explorer 2000 pro portable power station</t>
  </si>
  <si>
    <t>jackery explorer 2000 pro</t>
  </si>
  <si>
    <t>jackery explorer 2000 plus</t>
  </si>
  <si>
    <t>jackery explorer 2000</t>
  </si>
  <si>
    <t>jackery explorer 1000 pro</t>
  </si>
  <si>
    <t>jackery explorer 1000 portable power station</t>
  </si>
  <si>
    <t>jackery explorer 1000 plus portable power station</t>
  </si>
  <si>
    <t>jackery explorer 1000 plus</t>
  </si>
  <si>
    <t>jackery explorer 100 plus</t>
  </si>
  <si>
    <t>jackery explorer 100</t>
  </si>
  <si>
    <t>jackery explore 1000 plus</t>
  </si>
  <si>
    <t>jackery expandable battery</t>
  </si>
  <si>
    <t>jackery e3000 pro</t>
  </si>
  <si>
    <t>jackery e240</t>
  </si>
  <si>
    <t>jackery e2000 pro</t>
  </si>
  <si>
    <t>jackery e1000  200w</t>
  </si>
  <si>
    <t>jackery e1000</t>
  </si>
  <si>
    <t>jackery e100 plus</t>
  </si>
  <si>
    <t>jackery chargers</t>
  </si>
  <si>
    <t>jackery case</t>
  </si>
  <si>
    <t>jackery battery pack</t>
  </si>
  <si>
    <t>jackery accessories</t>
  </si>
  <si>
    <t>jackery 880</t>
  </si>
  <si>
    <t>jackery 80w solar panel</t>
  </si>
  <si>
    <t>jackery 550</t>
  </si>
  <si>
    <t>jackery 500w</t>
  </si>
  <si>
    <t>jackery 500 watt portable power station</t>
  </si>
  <si>
    <t>jackery 500 portable power station</t>
  </si>
  <si>
    <t>jackery 500 plus</t>
  </si>
  <si>
    <t>jackery 40w solar panel</t>
  </si>
  <si>
    <t>jackery 40w</t>
  </si>
  <si>
    <t>jackery 400</t>
  </si>
  <si>
    <t>jackery 300plus</t>
  </si>
  <si>
    <t>jackery 240 power station</t>
  </si>
  <si>
    <t>jackery 2000wh portable power station</t>
  </si>
  <si>
    <t>jackery 2000 solar generator</t>
  </si>
  <si>
    <t>jackery 160</t>
  </si>
  <si>
    <t>jackery 1500 pro</t>
  </si>
  <si>
    <t>jackery 1500 price</t>
  </si>
  <si>
    <t>jackery 1500 portable power station</t>
  </si>
  <si>
    <t>jackery 100wh</t>
  </si>
  <si>
    <t>jackery 1000 pro</t>
  </si>
  <si>
    <t>jackery 100 plus</t>
  </si>
  <si>
    <t>ixnine power bank</t>
  </si>
  <si>
    <t>ivation</t>
  </si>
  <si>
    <t>itehil</t>
  </si>
  <si>
    <t>is crank generator</t>
  </si>
  <si>
    <t>ipower generator</t>
  </si>
  <si>
    <t>iphone xr extended battery verified</t>
  </si>
  <si>
    <t>iphone x battery</t>
  </si>
  <si>
    <t>iphone 7 high capacity battery</t>
  </si>
  <si>
    <t>iphone 7 battery</t>
  </si>
  <si>
    <t>iphone 6s battery full</t>
  </si>
  <si>
    <t>iphone 5s battery</t>
  </si>
  <si>
    <t>iphone 12 pro max battery</t>
  </si>
  <si>
    <t>ion auger battery</t>
  </si>
  <si>
    <t>invertor generator</t>
  </si>
  <si>
    <t>inverter generators for home use</t>
  </si>
  <si>
    <t>inverter generator remote start</t>
  </si>
  <si>
    <t>inverter generator quiet</t>
  </si>
  <si>
    <t>inverter generator propane</t>
  </si>
  <si>
    <t>inverter generator electric start</t>
  </si>
  <si>
    <t>inverter generator dual fue</t>
  </si>
  <si>
    <t>inverter generator champion</t>
  </si>
  <si>
    <t>inverter generator ats</t>
  </si>
  <si>
    <t>inverter for sump pump</t>
  </si>
  <si>
    <t>inverter battery</t>
  </si>
  <si>
    <t>interruptor</t>
  </si>
  <si>
    <t>integrated generator</t>
  </si>
  <si>
    <t>instar power station</t>
  </si>
  <si>
    <t>inside generators for home use</t>
  </si>
  <si>
    <t>innovative generator solutions</t>
  </si>
  <si>
    <t>inflatable tents for camping adult 8-10 person</t>
  </si>
  <si>
    <t>inflatable power starter</t>
  </si>
  <si>
    <t>indoor power station</t>
  </si>
  <si>
    <t>indoor power generator</t>
  </si>
  <si>
    <t>indoor outdoor portable solar power generator with panels</t>
  </si>
  <si>
    <t>indoor generators for power outages</t>
  </si>
  <si>
    <t>indoor generators for home use</t>
  </si>
  <si>
    <t>indoor generators for apartments</t>
  </si>
  <si>
    <t>indoor generator for home</t>
  </si>
  <si>
    <t>incipio 4-in-1 speaker, lantern, flashlight &amp; 8,000mah power bank</t>
  </si>
  <si>
    <t>in solar crank generator</t>
  </si>
  <si>
    <t>in outdoor generators</t>
  </si>
  <si>
    <t>in home generator</t>
  </si>
  <si>
    <t>immersion water heater electric camping accessories</t>
  </si>
  <si>
    <t>ikamper</t>
  </si>
  <si>
    <t>ihood battery</t>
  </si>
  <si>
    <t>ifanze solar panel</t>
  </si>
  <si>
    <t>ifanze 300w portable power station</t>
  </si>
  <si>
    <t>ifanze</t>
  </si>
  <si>
    <t>icemag charger</t>
  </si>
  <si>
    <t>ice fishing power box</t>
  </si>
  <si>
    <t>ice fishing lifepo4 battery</t>
  </si>
  <si>
    <t>ice fishing battery box</t>
  </si>
  <si>
    <t>ibnverter generator</t>
  </si>
  <si>
    <t>hysolis apollo 5k solar generator</t>
  </si>
  <si>
    <t>hydrogen water generator 1500ml</t>
  </si>
  <si>
    <t>hydroelectric generator kit</t>
  </si>
  <si>
    <t>hydroelectric generator</t>
  </si>
  <si>
    <t>hydro electricity generator kit</t>
  </si>
  <si>
    <t>hurricane supplies</t>
  </si>
  <si>
    <t>hqst solar panel</t>
  </si>
  <si>
    <t>hp500 portable power bank</t>
  </si>
  <si>
    <t>howeasy solar panel</t>
  </si>
  <si>
    <t>howeasy</t>
  </si>
  <si>
    <t>how much is the generac generator</t>
  </si>
  <si>
    <t>how much is a generac generator</t>
  </si>
  <si>
    <t>how easy portable power station</t>
  </si>
  <si>
    <t>houses for sale to live in</t>
  </si>
  <si>
    <t>household photovoltaic power station</t>
  </si>
  <si>
    <t>house to live in with electricity</t>
  </si>
  <si>
    <t>house to live in</t>
  </si>
  <si>
    <t>house solar panels</t>
  </si>
  <si>
    <t>house solar generator</t>
  </si>
  <si>
    <t>house power bank</t>
  </si>
  <si>
    <t>house portable home</t>
  </si>
  <si>
    <t>house kits to build to live in</t>
  </si>
  <si>
    <t>house generators for power outages</t>
  </si>
  <si>
    <t>house for sale to live in</t>
  </si>
  <si>
    <t>house battery backup power supply</t>
  </si>
  <si>
    <t>house battery</t>
  </si>
  <si>
    <t>houny power station</t>
  </si>
  <si>
    <t>houny portable power bank</t>
  </si>
  <si>
    <t>hot water generator</t>
  </si>
  <si>
    <t>hope trek portable power station</t>
  </si>
  <si>
    <t>honda portable generators for home use</t>
  </si>
  <si>
    <t>honda portable generators</t>
  </si>
  <si>
    <t>honda portable generator</t>
  </si>
  <si>
    <t>honda inverter generator</t>
  </si>
  <si>
    <t>honda generators portable</t>
  </si>
  <si>
    <t>honda generators for home use quiet</t>
  </si>
  <si>
    <t>honda generators for home use</t>
  </si>
  <si>
    <t>honda generators</t>
  </si>
  <si>
    <t>honda generator portable</t>
  </si>
  <si>
    <t>honda generator eu2200i</t>
  </si>
  <si>
    <t>honda gas generator</t>
  </si>
  <si>
    <t>honda eu2200i generator</t>
  </si>
  <si>
    <t>honda eu2200i</t>
  </si>
  <si>
    <t>honda eu2200</t>
  </si>
  <si>
    <t>honda 2200i generator</t>
  </si>
  <si>
    <t>homes for sale to live in</t>
  </si>
  <si>
    <t>homes for sale</t>
  </si>
  <si>
    <t>home ups battery backup</t>
  </si>
  <si>
    <t>home supplies</t>
  </si>
  <si>
    <t>home standby generator</t>
  </si>
  <si>
    <t>home source</t>
  </si>
  <si>
    <t>home solar powerr system complete kit</t>
  </si>
  <si>
    <t>home solar panel</t>
  </si>
  <si>
    <t>home solar generator</t>
  </si>
  <si>
    <t>home solar backup power supply</t>
  </si>
  <si>
    <t>home solar</t>
  </si>
  <si>
    <t>home power station</t>
  </si>
  <si>
    <t>home power bank for power outages</t>
  </si>
  <si>
    <t>home power bank</t>
  </si>
  <si>
    <t>home power</t>
  </si>
  <si>
    <t>home portable</t>
  </si>
  <si>
    <t>home generators for power outage</t>
  </si>
  <si>
    <t>home generators for home use</t>
  </si>
  <si>
    <t>home generators</t>
  </si>
  <si>
    <t>home generator for power outage</t>
  </si>
  <si>
    <t>home energy storage system</t>
  </si>
  <si>
    <t>home energy storage power generation system</t>
  </si>
  <si>
    <t>home energy storage battery pack</t>
  </si>
  <si>
    <t>home energy storage</t>
  </si>
  <si>
    <t>home emergency kit power outage</t>
  </si>
  <si>
    <t>home emergency battery power stations</t>
  </si>
  <si>
    <t>home battery</t>
  </si>
  <si>
    <t>home backup battery</t>
  </si>
  <si>
    <t>hiluckey solar charger 25000mah</t>
  </si>
  <si>
    <t>hiluckey solar charger</t>
  </si>
  <si>
    <t>hiking solar panel</t>
  </si>
  <si>
    <t>hiking gear</t>
  </si>
  <si>
    <t>hiking equipment</t>
  </si>
  <si>
    <t>受众分析</t>
  </si>
  <si>
    <t>搜索词挖掘</t>
  </si>
  <si>
    <t>红人开发信</t>
  </si>
  <si>
    <t xml:space="preserve"> 消息回复</t>
  </si>
  <si>
    <t>消息回复</t>
  </si>
  <si>
    <t>【产品亮点】我很高兴更你合作，但是我要收取300美金一条视频</t>
  </si>
  <si>
    <t>【红人信息或链接】跟kol友好的砍价，希望他的价格能给得更低一点</t>
  </si>
  <si>
    <t>【合作方式】我们提供免费但产品，并给到红人粉丝10%但优惠,希望红人帮忙为什么产品做一条体验视频分享</t>
  </si>
  <si>
    <t>【客服姓名】Jayden</t>
  </si>
  <si>
    <t>【品牌名】Anker</t>
  </si>
  <si>
    <t>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t>
  </si>
  <si>
    <t>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t>
  </si>
  <si>
    <t>售后管理</t>
  </si>
  <si>
    <t>退款回复</t>
  </si>
  <si>
    <t>邀请好评</t>
  </si>
  <si>
    <t>删除差评</t>
  </si>
  <si>
    <t>反馈分析</t>
  </si>
  <si>
    <t>撰写POA</t>
  </si>
  <si>
    <t>赶跟卖</t>
  </si>
  <si>
    <t>🐶赶跟卖</t>
  </si>
  <si>
    <t>*产品</t>
  </si>
  <si>
    <t>【产品】usb c hub</t>
  </si>
  <si>
    <t>*店铺/品牌名称</t>
  </si>
  <si>
    <t>【品牌名/店铺名】anker</t>
  </si>
  <si>
    <t>*客服姓名</t>
  </si>
  <si>
    <t>*客户消息(反馈)</t>
  </si>
  <si>
    <t>【客户消息】this hub is expensive but good quality</t>
  </si>
  <si>
    <t>我的要求</t>
  </si>
  <si>
    <t>【我的要求】一分钱一分货，感谢对产品对认可，我们会不断提升产品质量</t>
  </si>
  <si>
    <t>产品说明书</t>
  </si>
  <si>
    <t>产品常见问题</t>
  </si>
  <si>
    <t>退款换货政策</t>
  </si>
  <si>
    <t>1.如果顾客对产品不满意或者退款没有信息，可以给顾客10%退款；
2.如果产品损坏，可以给顾客换新品。</t>
  </si>
  <si>
    <t>产品</t>
  </si>
  <si>
    <t>说明书</t>
  </si>
  <si>
    <t>常见问题</t>
  </si>
  <si>
    <t>【产品】portable power station</t>
  </si>
  <si>
    <t>500Wh Portable Power Station User Manual
Thank you for choosing our 500Wh Portable Power Station. This user manual will guide you through its setup and operation to ensure you get the most out of your device. Please read this manual carefully before use.
Specifications:
Capacity: 500Wh (Watt-hours)
Input: AC Adapter 15V/4A
DC Input: Solar Panel 18V/100W Max.
Output:
AC Output: 110V/500W (Peak 1000W)
DC Output: 12V/10A (Max.)
USB Output: 5V/2.4A (x4), Quick Charge 3.0 (x1), Type-C PD 60W (x1)
Weight: [insert weight here]
Dimensions: [insert dimensions here]
Safety Precautions:
Keep the power station away from high temperatures, direct sunlight, water, and flammable materials.
Do not disassemble or modify the power station.
Keep out of reach of children.
Only use the included AC adapter for charging.
Do not expose the power station to rain or moisture.
Charging:
AC Charging: Connect the included AC adapter to the AC input port on the power station, then plug it into a standard wall outlet. The charging indicator will illuminate red while charging and turn green when fully charged.
Solar Charging: Connect a compatible solar panel (not included) to the DC input port on the power station. Ensure the solar panel is facing direct sunlight for optimal charging efficiency.
Usage:
Powering Devices: Press the power button to turn on the power station. Use the various output ports to charge or power your devices.
LED Light: Press the light button to turn on the LED light. Press again to switch between brightness levels (low, medium, high, SOS).
LCD Display: The LCD display shows the battery level, input/output status, and other information.
Maintenance:
Keep the power station clean and dry.
Store in a cool, dry place when not in use.
Recharge the power station every 3-6 months if not in use for an extended period.
Troubleshooting:
If the power station does not turn on, ensure it is adequately charged.
If the power station becomes hot during use, disconnect devices and allow it to cool down.
If you encounter any other issues, please contact customer support for assistance.
Warranty:
This power station is covered by a [insert warranty period] warranty against defects in materials and workmanship. Please retain your proof of purchase for warranty claims.
For further assistance or inquiries, please contact our customer support team at [insert contact information].
Thank you for choosing our 500Wh Portable Power Station. We hope it serves you well for all your portable power needs.</t>
  </si>
  <si>
    <t>Q: How long does it take to fully charge the power station using the AC adapter?
A: Typically, it takes approximately [insert charging time here] to fully charge the power station using the included AC adapter.
Q: Can I charge the power station while using it to power my devices?
A: Yes, you can charge the power station while simultaneously using it to power your devices. However, please note that this may affect the charging time.
Q: What type of solar panel should I use to charge the power station?
A: You should use a compatible solar panel with an output of 18V/100W maximum to charge the power station efficiently.
Q: How can I tell when the power station is fully charged?
A: The charging indicator will illuminate red while charging and turn green when the power station is fully charged.
Q: What is the maximum power output of the AC port?
A: The AC port has a maximum power output of 110V/500W, with a peak power of 1000W.
Q: Can I use the power station to charge my laptop?
A: Yes, you can use the Type-C PD 60W port to charge compatible laptops.
Q: How long does the LED light last on a full charge?
A: The LED light duration varies depending on the brightness level. Typically, it can last for several hours on a full charge.
Q: Can I charge the power station using a different AC adapter?
A: It is recommended to use the included AC adapter for charging to ensure compatibility and safety.
Q: Is the power station waterproof?
A: No, the power station is not waterproof. Keep it away from water and moisture to prevent damage.
Q: What should I do if the power station overheats during use?
A: Disconnect all devices and allow the power station to cool down. Ensure it is placed in a well-ventilated area to prevent overheating.</t>
  </si>
  <si>
    <t>空气净化器</t>
  </si>
  <si>
    <t>空气净化器使用说明书
感谢您选择我们的空气净化器。本使用说明书将指导您设置、操作和维护您的空气净化器，以确保其性能达到最佳状态。在使用前，请仔细阅读本手册。
规格参数：
型号：【填入型号】
覆盖面积：【填入覆盖面积，例如400平方英尺】
CADR（洁净空气传递率）：【填入除尘、花粉和烟雾的CADR】
过滤系统：预过滤器、真HEPA过滤器、活性炭过滤器
功耗：【填入功耗，单位瓦特】
噪音水平：【填入噪音水平，单位分贝】
尺寸：【填入尺寸，单位英寸或厘米】
重量：【填入重量，单位磅或千克】
额定电压：【填入额定电压】
额定频率：【填入额定频率】
安全注意事项：
在使用空气净化器前，请阅读所有说明。
保持空气净化器远离水源和潮湿处，以避免电气危险。
使用空气净化器时，请勿潮湿的手操作。
在清洁或维护空气净化器之前，请先拔掉电源插头。
将空气净化器放在儿童和宠物无法触及的地方。
使用时请勿堵塞空气进出口。
仅使用提供的电源线和适配器。
安装：
将空气净化器从包装中取出，放置在平坦稳固的表面上。
移除空气净化器上的任何包装材料。
在空气净化器内找到预过滤器、真HEPA过滤器和活性炭过滤器。
根据滤网更换指南中提供的说明安装滤网。
将电源线插入适当的电源插座中。
操作：
按下电源按钮打开空气净化器。
使用速度控制按钮选择所需的风速（低、中、高）。
空气净化器将开始循环并净化房间内的空气。
如有的话，使用定时器功能设置所需的运行时间。
监控空气质量指示器以评估空气净化过程的效果。
根据使用情况和环境条件更换滤网。
维护：
定期用软湿布清洁空气净化器外壳。
根据制造商的建议更换滤网。
检查空气进出口通风口是否有任何阻塞，并在必要时清洁。
当空气净化器不使用时，请将其存放在阴凉干燥的地方。
故障排除：
如果空气净化器无法启动，请检查电源线和电源插座。
如果空气净化器发出异常的气味或声音，请停止使用并联系客户支持。
如果空气净化器不能有效净化空气，请确保滤网安装正确且未被堵塞。
保修：
本空气净化器享有【填入保修期】的质量保证期，保修期内提供免费维修服务。请保留购买凭证以便索取保修服务。
如需进一步帮助或咨询，请联系我们的客户支持团队【填入联系方式】。
感谢您选择我们的空气净化器。我们希望它能为您提供清洁、新鲜的空气，持续多年。</t>
  </si>
  <si>
    <t>问：空气净化器需要多长时间清洁一次？
答：根据使用频率和环境条件不同，建议每2至4周清洁一次空气净化器外壳，并根据滤网更换指南定期更换滤网。
问：空气净化器可以在哪种空间使用？
答：我们的空气净化器适用于家庭、办公室、卧室、客厅等空间，覆盖面积为【填入覆盖面积】。
问：空气净化器可以去除哪些污染物？
答：空气净化器配备预过滤器、真HEPA过滤器和活性炭过滤器，可以有效去除空气中的灰尘、花粉、烟雾、异味和挥发性有机化合物等污染物。
问：空气净化器的噪音水平如何？
答：空气净化器的噪音水平较低，一般在【填入分贝数】之内，在夜间使用时也不会造成干扰。
问：滤网需要多久更换一次？
答：根据使用情况和环境条件不同，滤网更换周期一般为6个月至1年，具体时间可根据空气净化器显示的滤网寿命指示进行调整。
问：空气净化器需要特殊的维护吗？
答：除定期清洁外，空气净化器不需要特殊的维护。请保持通风良好，并定期更换滤网以保持最佳性能。
问：空气净化器是否可以改善室内空气质量？
答：是的，空气净化器通过过滤空气中的污染物质，可以显著改善室内空气质量，为您提供清新健康的室内环境。
问：空气净化器的能耗如何？
答：空气净化器的能耗较低，一般为【填入瓦特数】，是节能环保的家居设备。
问：可以长时间连续使用空气净化器吗？
答：是的，空气净化器可以长时间连续使用，但建议根据需要适时关闭，并在不使用时将其拔掉电源。
问：空气净化器可以去除宠物异味吗？
答：是的，空气净化器配备的活性炭过滤器可以有效去除宠物异味，为您打造清新舒适的家居环境。</t>
  </si>
  <si>
    <t>扫地机器人</t>
  </si>
  <si>
    <t xml:space="preserve">欢迎您购买我们的智能扫地机器人！这款机器人集先进技术与便捷功能于一身，为您的家庭清洁提供了全新的解决方案。在开始使用之前，请务必仔细阅读本说明书，以确保您能充分利用机器人的功能。
产品规格：
型号： XJ-2000
尺寸： 35厘米（直径）x 8厘米（高度）
重量： 3.5千克
电池容量： 4500毫安时（mAh）
充电时间： 4小时
工作时间： 2.5小时
吸尘器功率： 20瓦特（W）
噪音水平： 小于60分贝（dB）
配件清单：
充电座 x 1
遥控器 x 1
侧刷 x 2
滤网 x 1
使用说明书 x 1
使用方法：
充电： 将充电座连接电源，然后将机器人对准充电座并将其插入，确保充电接触良好。
启动机器人： 按下机器人上的电源按钮，等待机器人启动完成。
选择模式： 机器人配有自动、边沿、深度等多种清扫模式，请根据需要选择相应模式。
开始清扫： 按下开始按钮，机器人将开始自动清扫地面。
遥控操作： 如需手动控制机器人，可使用配备的遥控器进行方向控制和其他操作。
定时清扫： 通过遥控器或者机器人上的定时按钮设置清扫时间，机器人将在设定时间自动启动清扫。
注意事项：
请将机器人放置在平坦的地面上启动，避免在台阶或其他高低差明显的地方使用。
避免机器人长时间工作于潮湿环境，以免影响机器人性能和寿命。
定期清理滤网和侧刷，保持机器人吸尘效果。
请勿让机器人进入危险区域，如火灾危险区域或水池边缘。
如遇到障碍物，机器人会自动停止工作并发出警报，请及时检查和清理障碍物。
请勿将机器人用于吸尘液体或其他不可吸收的物质。
希望我们的产品能够为您的家庭清洁带来便利和舒适体验。如果您在使用过程中遇到任何问题，请及时联系我们的客服团队。
</t>
  </si>
  <si>
    <t>Q1：机器人启动后无法正常工作怎么办？
A1：首先，请确保机器人已充电并处于开启状态。如果问题仍然存在，可能是机器人传感器受到干扰或清洁零件需要更换，请联系客服人员进行进一步检查。
Q2：机器人清扫地面时漏吸怎么办？
A2：漏吸可能是由于滤网堵塞或吸尘口有异物阻塞导致的。建议清理滤网和吸尘口，并定期清理机器人各部件以保持畅通。
Q3：机器人清扫后地面上仍有灰尘怎么办？
A3：如果机器人无法完全清扫地面上的灰尘，可能是因为清扫模式选择不当或者清扫时间不足。请尝试使用深度清扫模式，并延长清扫时间。
Q4：机器人清扫时发出异常噪音怎么办？
A4：异常噪音可能是由于清扫刷或其他零部件磨损造成的。建议立即停止使用并联系客服进行检修或更换零件。
Q5：机器人能否清洁地毯和地板？
A5：是的，我们的机器人适用于清洁地毯和多种硬质地板，如木地板、瓷砖等。不过，不同类型的地毯和地板可能需要不同的清扫模式，建议根据实际情况选择合适的模式。
Q6：机器人能否通过遥控器进行控制？
A6：是的，我们的机器人配备了遥控器，您可以通过遥控器对机器人进行方向控制、启停操作等。
Q7：机器人如何避免撞到家具或墙壁？
A7：机器人配备了智能避障传感器，能够识别家具和墙壁等障碍物，并自动避开。但有时避障传感器可能会失灵，建议确保清扫区域内无障碍物，并定期清理机器人周围的空间。
Q8：机器人需要定期维护吗？
A8：是的，机器人需要定期清理滤网、侧刷等零部件，并确保各部件正常运转。建议每次使用后清理一次，定期进行彻底清洁和维护，以保持机器人的清扫效果和性能。
Q9：机器人的电池续航时间是多久？
A9：机器人的电池续航时间取决于清扫模式和工作环境，一般可以持续工作2至3个小时。充满电后，机器人通常能够清扫100至150平方米的区域。
Q10：机器人是否适用于所有房间？
A10：是的，我们的机器人适用于各种房间，包括客厅、卧室、厨房等。但请注意避免机器人进入危险区域，如厨房的油烟区域或浴室的湿润区域。</t>
  </si>
  <si>
    <t>baby monitor</t>
  </si>
  <si>
    <t>dash cam</t>
  </si>
  <si>
    <t>从后面</t>
  </si>
  <si>
    <t>from behind</t>
  </si>
  <si>
    <t>深色背景</t>
  </si>
  <si>
    <t>dark background</t>
  </si>
  <si>
    <r>
      <rPr>
        <sz val="14"/>
        <color theme="0"/>
        <rFont val="宋体-简"/>
        <charset val="134"/>
      </rPr>
      <t>低混乱值</t>
    </r>
    <r>
      <rPr>
        <sz val="14"/>
        <color theme="0"/>
        <rFont val="Helvetica Neue"/>
        <charset val="134"/>
      </rPr>
      <t>1</t>
    </r>
  </si>
  <si>
    <t>—chaos 1</t>
  </si>
  <si>
    <r>
      <rPr>
        <sz val="14"/>
        <color theme="0"/>
        <rFont val="宋体-简"/>
        <charset val="134"/>
      </rPr>
      <t>爱尔尼斯特</t>
    </r>
    <r>
      <rPr>
        <sz val="14"/>
        <color theme="0"/>
        <rFont val="Helvetica Neue"/>
        <charset val="134"/>
      </rPr>
      <t>·</t>
    </r>
    <r>
      <rPr>
        <sz val="14"/>
        <color theme="0"/>
        <rFont val="宋体-简"/>
        <charset val="134"/>
      </rPr>
      <t>穆</t>
    </r>
  </si>
  <si>
    <t>Ernesto Michahelles</t>
  </si>
  <si>
    <t>巴洛克风格</t>
  </si>
  <si>
    <t>Baroque</t>
  </si>
  <si>
    <t>棉</t>
  </si>
  <si>
    <t>Cotton</t>
  </si>
  <si>
    <t>苹果</t>
  </si>
  <si>
    <t>Apple</t>
  </si>
  <si>
    <r>
      <rPr>
        <sz val="14"/>
        <color theme="0"/>
        <rFont val="Helvetica Neue"/>
        <charset val="134"/>
      </rPr>
      <t>Oc</t>
    </r>
    <r>
      <rPr>
        <sz val="14"/>
        <color theme="0"/>
        <rFont val="宋体-简"/>
        <charset val="134"/>
      </rPr>
      <t>渲染</t>
    </r>
  </si>
  <si>
    <t>octane render</t>
  </si>
  <si>
    <r>
      <rPr>
        <sz val="14"/>
        <color theme="0"/>
        <rFont val="Helvetica Neue"/>
        <charset val="134"/>
      </rPr>
      <t>1080p</t>
    </r>
    <r>
      <rPr>
        <sz val="14"/>
        <color theme="0"/>
        <rFont val="宋体-简"/>
        <charset val="134"/>
      </rPr>
      <t>，</t>
    </r>
    <r>
      <rPr>
        <sz val="14"/>
        <color theme="0"/>
        <rFont val="Helvetica Neue"/>
        <charset val="134"/>
      </rPr>
      <t>2k</t>
    </r>
    <r>
      <rPr>
        <sz val="14"/>
        <color theme="0"/>
        <rFont val="宋体-简"/>
        <charset val="134"/>
      </rPr>
      <t>，</t>
    </r>
    <r>
      <rPr>
        <sz val="14"/>
        <color theme="0"/>
        <rFont val="Helvetica Neue"/>
        <charset val="134"/>
      </rPr>
      <t>4k</t>
    </r>
    <r>
      <rPr>
        <sz val="14"/>
        <color theme="0"/>
        <rFont val="宋体-简"/>
        <charset val="134"/>
      </rPr>
      <t>，</t>
    </r>
    <r>
      <rPr>
        <sz val="14"/>
        <color theme="0"/>
        <rFont val="Helvetica Neue"/>
        <charset val="134"/>
      </rPr>
      <t>8k</t>
    </r>
    <r>
      <rPr>
        <sz val="14"/>
        <color theme="0"/>
        <rFont val="宋体-简"/>
        <charset val="134"/>
      </rPr>
      <t>，</t>
    </r>
    <r>
      <rPr>
        <sz val="14"/>
        <color theme="0"/>
        <rFont val="Helvetica Neue"/>
        <charset val="134"/>
      </rPr>
      <t>HD</t>
    </r>
  </si>
  <si>
    <t>从下面</t>
  </si>
  <si>
    <t>from below</t>
  </si>
  <si>
    <t>白色背景</t>
  </si>
  <si>
    <t>white background</t>
  </si>
  <si>
    <r>
      <rPr>
        <sz val="14"/>
        <color theme="0"/>
        <rFont val="宋体-简"/>
        <charset val="134"/>
      </rPr>
      <t>中混乱值</t>
    </r>
    <r>
      <rPr>
        <sz val="14"/>
        <color theme="0"/>
        <rFont val="Helvetica Neue"/>
        <charset val="134"/>
      </rPr>
      <t>50</t>
    </r>
  </si>
  <si>
    <t>—chaos 50</t>
  </si>
  <si>
    <r>
      <rPr>
        <sz val="14"/>
        <color theme="0"/>
        <rFont val="宋体-简"/>
        <charset val="134"/>
      </rPr>
      <t>弗朗西斯科</t>
    </r>
    <r>
      <rPr>
        <sz val="14"/>
        <color theme="0"/>
        <rFont val="Helvetica Neue"/>
        <charset val="134"/>
      </rPr>
      <t>·</t>
    </r>
    <r>
      <rPr>
        <sz val="14"/>
        <color theme="0"/>
        <rFont val="宋体-简"/>
        <charset val="134"/>
      </rPr>
      <t>托马西尼</t>
    </r>
  </si>
  <si>
    <t>Francesco Tomassini</t>
  </si>
  <si>
    <t>洛可可风格</t>
  </si>
  <si>
    <t>rococo style</t>
  </si>
  <si>
    <t>麻</t>
  </si>
  <si>
    <t>Linen</t>
  </si>
  <si>
    <t>特斯拉</t>
  </si>
  <si>
    <t>tesla</t>
  </si>
  <si>
    <t>虚幻引擎</t>
  </si>
  <si>
    <t>Unreal Engine</t>
  </si>
  <si>
    <t>高细节</t>
  </si>
  <si>
    <t>high detail</t>
  </si>
  <si>
    <t>从上面</t>
  </si>
  <si>
    <t>from above</t>
  </si>
  <si>
    <t>黑色背景</t>
  </si>
  <si>
    <t>black background</t>
  </si>
  <si>
    <r>
      <rPr>
        <sz val="14"/>
        <color theme="0"/>
        <rFont val="宋体-简"/>
        <charset val="134"/>
      </rPr>
      <t>高混乱值</t>
    </r>
    <r>
      <rPr>
        <sz val="14"/>
        <color theme="0"/>
        <rFont val="Helvetica Neue"/>
        <charset val="134"/>
      </rPr>
      <t>100</t>
    </r>
  </si>
  <si>
    <t>—chaos 100</t>
  </si>
  <si>
    <r>
      <rPr>
        <sz val="14"/>
        <color theme="0"/>
        <rFont val="宋体-简"/>
        <charset val="134"/>
      </rPr>
      <t>阿切莫</t>
    </r>
    <r>
      <rPr>
        <sz val="14"/>
        <color theme="0"/>
        <rFont val="Helvetica Neue"/>
        <charset val="134"/>
      </rPr>
      <t>·</t>
    </r>
    <r>
      <rPr>
        <sz val="14"/>
        <color theme="0"/>
        <rFont val="宋体-简"/>
        <charset val="134"/>
      </rPr>
      <t>卡斯特利亚尼</t>
    </r>
  </si>
  <si>
    <t>Achille Castiglioni</t>
  </si>
  <si>
    <t>新古典主义风格</t>
  </si>
  <si>
    <t>neoclassical style</t>
  </si>
  <si>
    <t>大麻</t>
  </si>
  <si>
    <t>Hemp</t>
  </si>
  <si>
    <t>索尼</t>
  </si>
  <si>
    <t>sony</t>
  </si>
  <si>
    <r>
      <rPr>
        <sz val="14"/>
        <color theme="0"/>
        <rFont val="Helvetica Neue"/>
        <charset val="134"/>
      </rPr>
      <t>C4D</t>
    </r>
    <r>
      <rPr>
        <sz val="14"/>
        <color theme="0"/>
        <rFont val="宋体-简"/>
        <charset val="134"/>
      </rPr>
      <t>渲染</t>
    </r>
  </si>
  <si>
    <t>Maxon Cinema 4D</t>
  </si>
  <si>
    <t>高品质</t>
  </si>
  <si>
    <t>hyper quality</t>
  </si>
  <si>
    <t>侧角</t>
  </si>
  <si>
    <t>Side angle</t>
  </si>
  <si>
    <t>灰色背景</t>
  </si>
  <si>
    <t>gray background</t>
  </si>
  <si>
    <r>
      <rPr>
        <sz val="14"/>
        <color theme="0"/>
        <rFont val="宋体-简"/>
        <charset val="134"/>
      </rPr>
      <t>乔治</t>
    </r>
    <r>
      <rPr>
        <sz val="14"/>
        <color theme="0"/>
        <rFont val="Helvetica Neue"/>
        <charset val="134"/>
      </rPr>
      <t>·</t>
    </r>
    <r>
      <rPr>
        <sz val="14"/>
        <color theme="0"/>
        <rFont val="宋体-简"/>
        <charset val="134"/>
      </rPr>
      <t>内尔森</t>
    </r>
  </si>
  <si>
    <t>George Nelson</t>
  </si>
  <si>
    <t>工艺美术风格</t>
  </si>
  <si>
    <t>arts and crafts style</t>
  </si>
  <si>
    <t>黄麻</t>
  </si>
  <si>
    <t>Jute</t>
  </si>
  <si>
    <t>戴森</t>
  </si>
  <si>
    <t>Dyson</t>
  </si>
  <si>
    <t>建筑渲染</t>
  </si>
  <si>
    <t>architectural visualisation</t>
  </si>
  <si>
    <t>高分辨率</t>
  </si>
  <si>
    <t>high resolution</t>
  </si>
  <si>
    <t>自上而下的角度</t>
  </si>
  <si>
    <t>Top-down angle</t>
  </si>
  <si>
    <r>
      <rPr>
        <sz val="14"/>
        <color theme="0"/>
        <rFont val="宋体-简"/>
        <charset val="134"/>
      </rPr>
      <t>菲利普</t>
    </r>
    <r>
      <rPr>
        <sz val="14"/>
        <color theme="0"/>
        <rFont val="Helvetica Neue"/>
        <charset val="134"/>
      </rPr>
      <t>·</t>
    </r>
    <r>
      <rPr>
        <sz val="14"/>
        <color theme="0"/>
        <rFont val="宋体-简"/>
        <charset val="134"/>
      </rPr>
      <t>斯塔克</t>
    </r>
  </si>
  <si>
    <t>Philippe Starck</t>
  </si>
  <si>
    <t>装饰艺术风格</t>
  </si>
  <si>
    <t>art deco style</t>
  </si>
  <si>
    <t>纸沙草纤维</t>
  </si>
  <si>
    <t>papyrus fabric</t>
  </si>
  <si>
    <t>宜家</t>
  </si>
  <si>
    <t>IKEA</t>
  </si>
  <si>
    <t>室内渲染</t>
  </si>
  <si>
    <t>corona render</t>
  </si>
  <si>
    <t>超写实的</t>
  </si>
  <si>
    <t>hyperrealistic</t>
  </si>
  <si>
    <t>低角度：</t>
  </si>
  <si>
    <t>Low angle:</t>
  </si>
  <si>
    <r>
      <rPr>
        <sz val="14"/>
        <color theme="0"/>
        <rFont val="Helvetica Neue"/>
        <charset val="134"/>
      </rPr>
      <t>Ai</t>
    </r>
    <r>
      <rPr>
        <sz val="14"/>
        <color theme="0"/>
        <rFont val="宋体-简"/>
        <charset val="134"/>
      </rPr>
      <t>算法审美（算法风格）</t>
    </r>
  </si>
  <si>
    <r>
      <rPr>
        <sz val="14"/>
        <color theme="0"/>
        <rFont val="宋体-简"/>
        <charset val="134"/>
      </rPr>
      <t>卡尔</t>
    </r>
    <r>
      <rPr>
        <sz val="14"/>
        <color theme="0"/>
        <rFont val="Helvetica Neue"/>
        <charset val="134"/>
      </rPr>
      <t>·</t>
    </r>
    <r>
      <rPr>
        <sz val="14"/>
        <color theme="0"/>
        <rFont val="宋体-简"/>
        <charset val="134"/>
      </rPr>
      <t>拉格斐</t>
    </r>
  </si>
  <si>
    <t>Karim Rashid</t>
  </si>
  <si>
    <t>包豪斯风格</t>
  </si>
  <si>
    <t>bauhaus style</t>
  </si>
  <si>
    <t>沃尔</t>
  </si>
  <si>
    <t>Wool</t>
  </si>
  <si>
    <t>赫曼米勒</t>
  </si>
  <si>
    <t>Herman Miller</t>
  </si>
  <si>
    <t>真实感</t>
  </si>
  <si>
    <t>quixel megascans render</t>
  </si>
  <si>
    <t>photorealistic</t>
  </si>
  <si>
    <t>高角度</t>
  </si>
  <si>
    <t>High angle</t>
  </si>
  <si>
    <r>
      <rPr>
        <sz val="14"/>
        <color theme="0"/>
        <rFont val="宋体-简"/>
        <charset val="134"/>
      </rPr>
      <t>第</t>
    </r>
    <r>
      <rPr>
        <sz val="14"/>
        <color theme="0"/>
        <rFont val="Helvetica Neue"/>
        <charset val="134"/>
      </rPr>
      <t>4</t>
    </r>
    <r>
      <rPr>
        <sz val="14"/>
        <color theme="0"/>
        <rFont val="宋体-简"/>
        <charset val="134"/>
      </rPr>
      <t>版本算法风格</t>
    </r>
  </si>
  <si>
    <t>—v 4</t>
  </si>
  <si>
    <r>
      <rPr>
        <sz val="14"/>
        <color theme="0"/>
        <rFont val="宋体-简"/>
        <charset val="134"/>
      </rPr>
      <t>维克多</t>
    </r>
    <r>
      <rPr>
        <sz val="14"/>
        <color theme="0"/>
        <rFont val="Helvetica Neue"/>
        <charset val="134"/>
      </rPr>
      <t>·</t>
    </r>
    <r>
      <rPr>
        <sz val="14"/>
        <color theme="0"/>
        <rFont val="宋体-简"/>
        <charset val="134"/>
      </rPr>
      <t>帕帕涅克</t>
    </r>
  </si>
  <si>
    <t>Victor Papanek</t>
  </si>
  <si>
    <t>现代主义风格</t>
  </si>
  <si>
    <t>modernist style</t>
  </si>
  <si>
    <t>羊绒/克什米尔</t>
  </si>
  <si>
    <t>Cashmere</t>
  </si>
  <si>
    <t>保时捷</t>
  </si>
  <si>
    <t xml:space="preserve">Porsche Design </t>
  </si>
  <si>
    <t>情绪照明</t>
  </si>
  <si>
    <t>mood lighting</t>
  </si>
  <si>
    <t>超逼真</t>
  </si>
  <si>
    <t>Ultra Photoreal</t>
  </si>
  <si>
    <t>对角线角度</t>
  </si>
  <si>
    <t>Diagonal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</si>
  <si>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4a</t>
    </r>
  </si>
  <si>
    <t>—v 4 —style 4a</t>
  </si>
  <si>
    <r>
      <rPr>
        <sz val="14"/>
        <color theme="0"/>
        <rFont val="宋体-简"/>
        <charset val="134"/>
      </rPr>
      <t>威廉</t>
    </r>
    <r>
      <rPr>
        <sz val="14"/>
        <color theme="0"/>
        <rFont val="Helvetica Neue"/>
        <charset val="134"/>
      </rPr>
      <t>·</t>
    </r>
    <r>
      <rPr>
        <sz val="14"/>
        <color theme="0"/>
        <rFont val="宋体-简"/>
        <charset val="134"/>
      </rPr>
      <t>麦克唐纳</t>
    </r>
  </si>
  <si>
    <t>William McDonough</t>
  </si>
  <si>
    <t>后现代主义风格</t>
  </si>
  <si>
    <t>postmodernist style</t>
  </si>
  <si>
    <t>蚕丝</t>
  </si>
  <si>
    <t>Silk</t>
  </si>
  <si>
    <t>无印良品</t>
  </si>
  <si>
    <t>Muji</t>
  </si>
  <si>
    <t>强光</t>
  </si>
  <si>
    <t>hard lighting</t>
  </si>
  <si>
    <t>超详细</t>
  </si>
  <si>
    <t>Ultra detailed</t>
  </si>
  <si>
    <r>
      <rPr>
        <sz val="14"/>
        <color theme="0"/>
        <rFont val="Helvetica Neue"/>
        <charset val="134"/>
      </rPr>
      <t>3/4</t>
    </r>
    <r>
      <rPr>
        <sz val="14"/>
        <color theme="0"/>
        <rFont val="宋体-简"/>
        <charset val="134"/>
      </rPr>
      <t>角度</t>
    </r>
  </si>
  <si>
    <t>3/4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</si>
  <si>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4c</t>
    </r>
  </si>
  <si>
    <t>—v 4 —style 4c</t>
  </si>
  <si>
    <r>
      <rPr>
        <sz val="14"/>
        <color theme="0"/>
        <rFont val="宋体-简"/>
        <charset val="134"/>
      </rPr>
      <t>弗兰克</t>
    </r>
    <r>
      <rPr>
        <sz val="14"/>
        <color theme="0"/>
        <rFont val="Helvetica Neue"/>
        <charset val="134"/>
      </rPr>
      <t>·</t>
    </r>
    <r>
      <rPr>
        <sz val="14"/>
        <color theme="0"/>
        <rFont val="宋体-简"/>
        <charset val="134"/>
      </rPr>
      <t>盖里</t>
    </r>
  </si>
  <si>
    <t>Frank Gehry</t>
  </si>
  <si>
    <t>生态设计风格</t>
  </si>
  <si>
    <t>eco design style</t>
  </si>
  <si>
    <t>Mohair</t>
  </si>
  <si>
    <t>B&amp;O</t>
  </si>
  <si>
    <t>Bang &amp; Olufsen</t>
  </si>
  <si>
    <t>全局照明</t>
  </si>
  <si>
    <t>global lights</t>
  </si>
  <si>
    <t>细节复杂</t>
  </si>
  <si>
    <t>Intricate details</t>
  </si>
  <si>
    <t>广角</t>
  </si>
  <si>
    <t>wide angle</t>
  </si>
  <si>
    <r>
      <rPr>
        <sz val="14"/>
        <color theme="0"/>
        <rFont val="宋体-简"/>
        <charset val="134"/>
      </rPr>
      <t>第</t>
    </r>
    <r>
      <rPr>
        <sz val="14"/>
        <color theme="0"/>
        <rFont val="Helvetica Neue"/>
        <charset val="134"/>
      </rPr>
      <t>3</t>
    </r>
    <r>
      <rPr>
        <sz val="14"/>
        <color theme="0"/>
        <rFont val="宋体-简"/>
        <charset val="134"/>
      </rPr>
      <t>版本算法风格</t>
    </r>
  </si>
  <si>
    <t>—v 3</t>
  </si>
  <si>
    <r>
      <rPr>
        <sz val="14"/>
        <color theme="0"/>
        <rFont val="宋体-简"/>
        <charset val="134"/>
      </rPr>
      <t>雷蒙德</t>
    </r>
    <r>
      <rPr>
        <sz val="14"/>
        <color theme="0"/>
        <rFont val="Helvetica Neue"/>
        <charset val="134"/>
      </rPr>
      <t>·</t>
    </r>
    <r>
      <rPr>
        <sz val="14"/>
        <color theme="0"/>
        <rFont val="宋体-简"/>
        <charset val="134"/>
      </rPr>
      <t>洛伊</t>
    </r>
  </si>
  <si>
    <t>Raymond Loewy</t>
  </si>
  <si>
    <t>简约风格</t>
  </si>
  <si>
    <t>simple style</t>
  </si>
  <si>
    <t>羊驼毛</t>
  </si>
  <si>
    <t>Alpaca</t>
  </si>
  <si>
    <t>汤姆狄克逊</t>
  </si>
  <si>
    <t>Tom Dixon</t>
  </si>
  <si>
    <t>明亮的</t>
  </si>
  <si>
    <t>bright</t>
  </si>
  <si>
    <t>鱼眼镜头</t>
  </si>
  <si>
    <t>fisheye lens</t>
  </si>
  <si>
    <r>
      <rPr>
        <sz val="14"/>
        <color theme="0"/>
        <rFont val="宋体-简"/>
        <charset val="134"/>
      </rPr>
      <t>第</t>
    </r>
    <r>
      <rPr>
        <sz val="14"/>
        <color theme="0"/>
        <rFont val="Helvetica Neue"/>
        <charset val="134"/>
      </rPr>
      <t>2</t>
    </r>
    <r>
      <rPr>
        <sz val="14"/>
        <color theme="0"/>
        <rFont val="宋体-简"/>
        <charset val="134"/>
      </rPr>
      <t>版本算法风格</t>
    </r>
  </si>
  <si>
    <t>—v 2</t>
  </si>
  <si>
    <r>
      <rPr>
        <sz val="14"/>
        <color theme="0"/>
        <rFont val="宋体-简"/>
        <charset val="134"/>
      </rPr>
      <t>马克</t>
    </r>
    <r>
      <rPr>
        <sz val="14"/>
        <color theme="0"/>
        <rFont val="Helvetica Neue"/>
        <charset val="134"/>
      </rPr>
      <t>·</t>
    </r>
    <r>
      <rPr>
        <sz val="14"/>
        <color theme="0"/>
        <rFont val="宋体-简"/>
        <charset val="134"/>
      </rPr>
      <t>比尔</t>
    </r>
  </si>
  <si>
    <t>Max Bill</t>
  </si>
  <si>
    <t>有机风格</t>
  </si>
  <si>
    <t>organic style</t>
  </si>
  <si>
    <t>纱</t>
  </si>
  <si>
    <t>Yarn</t>
  </si>
  <si>
    <t>阿莱西</t>
  </si>
  <si>
    <t>Alessi</t>
  </si>
  <si>
    <t>工作室照明</t>
  </si>
  <si>
    <t>studio lighting</t>
  </si>
  <si>
    <t>长焦</t>
  </si>
  <si>
    <t>telephoto</t>
  </si>
  <si>
    <r>
      <rPr>
        <sz val="14"/>
        <color theme="0"/>
        <rFont val="宋体-简"/>
        <charset val="134"/>
      </rPr>
      <t>第</t>
    </r>
    <r>
      <rPr>
        <sz val="14"/>
        <color theme="0"/>
        <rFont val="Helvetica Neue"/>
        <charset val="134"/>
      </rPr>
      <t>1</t>
    </r>
    <r>
      <rPr>
        <sz val="14"/>
        <color theme="0"/>
        <rFont val="宋体-简"/>
        <charset val="134"/>
      </rPr>
      <t>版本算法风格</t>
    </r>
  </si>
  <si>
    <t>—v 1</t>
  </si>
  <si>
    <r>
      <rPr>
        <sz val="14"/>
        <color theme="0"/>
        <rFont val="宋体-简"/>
        <charset val="134"/>
      </rPr>
      <t>瓦尔特</t>
    </r>
    <r>
      <rPr>
        <sz val="14"/>
        <color theme="0"/>
        <rFont val="Helvetica Neue"/>
        <charset val="134"/>
      </rPr>
      <t>·</t>
    </r>
    <r>
      <rPr>
        <sz val="14"/>
        <color theme="0"/>
        <rFont val="宋体-简"/>
        <charset val="134"/>
      </rPr>
      <t>格罗皮乌斯</t>
    </r>
  </si>
  <si>
    <t>Walter Gropius</t>
  </si>
  <si>
    <t>技术感风格</t>
  </si>
  <si>
    <t>technical style</t>
  </si>
  <si>
    <t>碳纤维</t>
  </si>
  <si>
    <t>Carbon Fibers</t>
  </si>
  <si>
    <t>小米</t>
  </si>
  <si>
    <t>xiaomi</t>
  </si>
  <si>
    <t>体积光</t>
  </si>
  <si>
    <t>volumetric lighting</t>
  </si>
  <si>
    <r>
      <rPr>
        <sz val="14"/>
        <color theme="0"/>
        <rFont val="宋体-简"/>
        <charset val="134"/>
      </rPr>
      <t>米斯</t>
    </r>
    <r>
      <rPr>
        <sz val="14"/>
        <color theme="0"/>
        <rFont val="Helvetica Neue"/>
        <charset val="134"/>
      </rPr>
      <t>·</t>
    </r>
    <r>
      <rPr>
        <sz val="14"/>
        <color theme="0"/>
        <rFont val="宋体-简"/>
        <charset val="134"/>
      </rPr>
      <t>凡德罗</t>
    </r>
  </si>
  <si>
    <t>Ludwig Mies van der Rohe</t>
  </si>
  <si>
    <t>古典复古风格</t>
  </si>
  <si>
    <t>classic retro style</t>
  </si>
  <si>
    <t>金属纱</t>
  </si>
  <si>
    <t>Metallic Yarn</t>
  </si>
  <si>
    <t>华为</t>
  </si>
  <si>
    <t>Huawei</t>
  </si>
  <si>
    <t>电影灯光</t>
  </si>
  <si>
    <t>cinematic lighting</t>
  </si>
  <si>
    <t>全景</t>
  </si>
  <si>
    <t>panoramic</t>
  </si>
  <si>
    <r>
      <rPr>
        <sz val="14"/>
        <color theme="0"/>
        <rFont val="Helvetica Neue"/>
        <charset val="134"/>
      </rPr>
      <t>AI</t>
    </r>
    <r>
      <rPr>
        <sz val="14"/>
        <color theme="0"/>
        <rFont val="宋体-简"/>
        <charset val="134"/>
      </rPr>
      <t>画幅比例</t>
    </r>
  </si>
  <si>
    <r>
      <rPr>
        <sz val="14"/>
        <color theme="0"/>
        <rFont val="Helvetica Neue"/>
        <charset val="134"/>
      </rPr>
      <t>v4</t>
    </r>
    <r>
      <rPr>
        <sz val="14"/>
        <color theme="0"/>
        <rFont val="宋体-简"/>
        <charset val="134"/>
      </rPr>
      <t>只支持</t>
    </r>
    <r>
      <rPr>
        <sz val="14"/>
        <color theme="0"/>
        <rFont val="Helvetica Neue"/>
        <charset val="134"/>
      </rPr>
      <t>1:1</t>
    </r>
    <r>
      <rPr>
        <sz val="14"/>
        <color theme="0"/>
        <rFont val="宋体-简"/>
        <charset val="134"/>
      </rPr>
      <t>与</t>
    </r>
    <r>
      <rPr>
        <sz val="14"/>
        <color theme="0"/>
        <rFont val="Helvetica Neue"/>
        <charset val="134"/>
      </rPr>
      <t>2:3</t>
    </r>
    <r>
      <rPr>
        <sz val="14"/>
        <color theme="0"/>
        <rFont val="宋体-简"/>
        <charset val="134"/>
      </rPr>
      <t>比例，且必须要放在句末</t>
    </r>
  </si>
  <si>
    <r>
      <rPr>
        <sz val="14"/>
        <color theme="0"/>
        <rFont val="宋体-简"/>
        <charset val="134"/>
      </rPr>
      <t>威廉</t>
    </r>
    <r>
      <rPr>
        <sz val="14"/>
        <color theme="0"/>
        <rFont val="Helvetica Neue"/>
        <charset val="134"/>
      </rPr>
      <t>·</t>
    </r>
    <r>
      <rPr>
        <sz val="14"/>
        <color theme="0"/>
        <rFont val="宋体-简"/>
        <charset val="134"/>
      </rPr>
      <t>莫里斯</t>
    </r>
  </si>
  <si>
    <t>William Morris</t>
  </si>
  <si>
    <t>意大利现代主义风格</t>
  </si>
  <si>
    <t>italian modernist style</t>
  </si>
  <si>
    <t>符合</t>
  </si>
  <si>
    <t>Nylon , Plya Mid</t>
  </si>
  <si>
    <t>大疆</t>
  </si>
  <si>
    <t xml:space="preserve">DJI </t>
  </si>
  <si>
    <t>柔光箱照明</t>
  </si>
  <si>
    <t>softbox lighting</t>
  </si>
  <si>
    <t>背景虚化</t>
  </si>
  <si>
    <t>bokeh</t>
  </si>
  <si>
    <r>
      <rPr>
        <sz val="14"/>
        <color theme="0"/>
        <rFont val="宋体-简"/>
        <charset val="134"/>
      </rPr>
      <t>画幅</t>
    </r>
    <r>
      <rPr>
        <sz val="14"/>
        <color theme="0"/>
        <rFont val="Helvetica Neue"/>
        <charset val="134"/>
      </rPr>
      <t>1:1</t>
    </r>
  </si>
  <si>
    <t>—ar1:1</t>
  </si>
  <si>
    <r>
      <rPr>
        <sz val="14"/>
        <color theme="0"/>
        <rFont val="宋体-简"/>
        <charset val="134"/>
      </rPr>
      <t>查尔斯</t>
    </r>
    <r>
      <rPr>
        <sz val="14"/>
        <color theme="0"/>
        <rFont val="Helvetica Neue"/>
        <charset val="134"/>
      </rPr>
      <t>·</t>
    </r>
    <r>
      <rPr>
        <sz val="14"/>
        <color theme="0"/>
        <rFont val="宋体-简"/>
        <charset val="134"/>
      </rPr>
      <t>罗伯特</t>
    </r>
    <r>
      <rPr>
        <sz val="14"/>
        <color theme="0"/>
        <rFont val="Helvetica Neue"/>
        <charset val="134"/>
      </rPr>
      <t>·</t>
    </r>
    <r>
      <rPr>
        <sz val="14"/>
        <color theme="0"/>
        <rFont val="宋体-简"/>
        <charset val="134"/>
      </rPr>
      <t>阿什比</t>
    </r>
  </si>
  <si>
    <t>Charles Robert Ashbee</t>
  </si>
  <si>
    <t>美国现代主义风格</t>
  </si>
  <si>
    <t>american modernist style</t>
  </si>
  <si>
    <t>涤纶、涤纶</t>
  </si>
  <si>
    <t>Polyester</t>
  </si>
  <si>
    <t>格力</t>
  </si>
  <si>
    <t>gree</t>
  </si>
  <si>
    <t>发光灯</t>
  </si>
  <si>
    <t>glowing lights</t>
  </si>
  <si>
    <t>镜头光晕</t>
  </si>
  <si>
    <t>lens flare</t>
  </si>
  <si>
    <r>
      <rPr>
        <sz val="14"/>
        <color theme="0"/>
        <rFont val="宋体-简"/>
        <charset val="134"/>
      </rPr>
      <t>画幅</t>
    </r>
    <r>
      <rPr>
        <sz val="14"/>
        <color theme="0"/>
        <rFont val="Helvetica Neue"/>
        <charset val="134"/>
      </rPr>
      <t>2:3</t>
    </r>
  </si>
  <si>
    <t>—ar2:3</t>
  </si>
  <si>
    <r>
      <rPr>
        <sz val="14"/>
        <color theme="0"/>
        <rFont val="宋体-简"/>
        <charset val="134"/>
      </rPr>
      <t>鲁道夫</t>
    </r>
    <r>
      <rPr>
        <sz val="14"/>
        <color theme="0"/>
        <rFont val="Helvetica Neue"/>
        <charset val="134"/>
      </rPr>
      <t>·</t>
    </r>
    <r>
      <rPr>
        <sz val="14"/>
        <color theme="0"/>
        <rFont val="宋体-简"/>
        <charset val="134"/>
      </rPr>
      <t>斯特劳斯</t>
    </r>
  </si>
  <si>
    <t>Rudolf von Alt</t>
  </si>
  <si>
    <t>可持续设计风格</t>
  </si>
  <si>
    <t>Sustainable Design Style</t>
  </si>
  <si>
    <t>压克力纱</t>
  </si>
  <si>
    <t>Acrylic</t>
  </si>
  <si>
    <t>九阳</t>
  </si>
  <si>
    <t>joyouny</t>
  </si>
  <si>
    <t>蓝色照明</t>
  </si>
  <si>
    <t>blue lighting</t>
  </si>
  <si>
    <r>
      <rPr>
        <sz val="14"/>
        <color theme="0"/>
        <rFont val="宋体-简"/>
        <charset val="134"/>
      </rPr>
      <t>朱塞佩</t>
    </r>
    <r>
      <rPr>
        <sz val="14"/>
        <color theme="0"/>
        <rFont val="Helvetica Neue"/>
        <charset val="134"/>
      </rPr>
      <t>·</t>
    </r>
    <r>
      <rPr>
        <sz val="14"/>
        <color theme="0"/>
        <rFont val="宋体-简"/>
        <charset val="134"/>
      </rPr>
      <t>瓦隆</t>
    </r>
  </si>
  <si>
    <t>Giuseppe Valadier</t>
  </si>
  <si>
    <t>雕塑风格</t>
  </si>
  <si>
    <t>sculpture style</t>
  </si>
  <si>
    <t>人造棉人造丝</t>
  </si>
  <si>
    <t>Rayon</t>
  </si>
  <si>
    <t>比亚迪</t>
  </si>
  <si>
    <t>BYD</t>
  </si>
  <si>
    <t>长时间曝光</t>
  </si>
  <si>
    <t>long exposure</t>
  </si>
  <si>
    <t>无人机角度</t>
  </si>
  <si>
    <t>drone</t>
  </si>
  <si>
    <r>
      <rPr>
        <sz val="14"/>
        <color theme="0"/>
        <rFont val="Helvetica Neue"/>
        <charset val="134"/>
      </rPr>
      <t>seed</t>
    </r>
    <r>
      <rPr>
        <sz val="14"/>
        <color theme="0"/>
        <rFont val="宋体-简"/>
        <charset val="134"/>
      </rPr>
      <t>值</t>
    </r>
  </si>
  <si>
    <r>
      <rPr>
        <sz val="14"/>
        <color theme="0"/>
        <rFont val="宋体-简"/>
        <charset val="134"/>
      </rPr>
      <t>四宫格的图片会有一个身份证号，就是</t>
    </r>
    <r>
      <rPr>
        <sz val="14"/>
        <color theme="0"/>
        <rFont val="Helvetica Neue"/>
        <charset val="134"/>
      </rPr>
      <t>seed</t>
    </r>
    <r>
      <rPr>
        <sz val="14"/>
        <color theme="0"/>
        <rFont val="宋体-简"/>
        <charset val="134"/>
      </rPr>
      <t>值。完全同样的关键词和</t>
    </r>
    <r>
      <rPr>
        <sz val="14"/>
        <color theme="0"/>
        <rFont val="Helvetica Neue"/>
        <charset val="134"/>
      </rPr>
      <t>seed</t>
    </r>
    <r>
      <rPr>
        <sz val="14"/>
        <color theme="0"/>
        <rFont val="宋体-简"/>
        <charset val="134"/>
      </rPr>
      <t>值会产出完全相同的结果</t>
    </r>
  </si>
  <si>
    <r>
      <rPr>
        <sz val="14"/>
        <color theme="0"/>
        <rFont val="宋体-简"/>
        <charset val="134"/>
      </rPr>
      <t>查尔斯</t>
    </r>
    <r>
      <rPr>
        <sz val="14"/>
        <color theme="0"/>
        <rFont val="Helvetica Neue"/>
        <charset val="134"/>
      </rPr>
      <t>-</t>
    </r>
    <r>
      <rPr>
        <sz val="14"/>
        <color theme="0"/>
        <rFont val="宋体-简"/>
        <charset val="134"/>
      </rPr>
      <t>弗朗索瓦</t>
    </r>
  </si>
  <si>
    <t>Charles-Fosse</t>
  </si>
  <si>
    <t>波普艺术风格</t>
  </si>
  <si>
    <t>pop art style</t>
  </si>
  <si>
    <t>弹力纤维</t>
  </si>
  <si>
    <t>Elastane Fiber</t>
  </si>
  <si>
    <t>TCL</t>
  </si>
  <si>
    <t>童话般的灯光</t>
  </si>
  <si>
    <t>fairy lights</t>
  </si>
  <si>
    <t>在画布上</t>
  </si>
  <si>
    <t>on canvas</t>
  </si>
  <si>
    <r>
      <rPr>
        <sz val="14"/>
        <color theme="0"/>
        <rFont val="宋体-简"/>
        <charset val="134"/>
      </rPr>
      <t>图片左上角发送一个✉</t>
    </r>
    <r>
      <rPr>
        <sz val="14"/>
        <color theme="0"/>
        <rFont val="Helvetica Neue"/>
        <charset val="134"/>
      </rPr>
      <t>️</t>
    </r>
    <r>
      <rPr>
        <sz val="14"/>
        <color theme="0"/>
        <rFont val="宋体-简"/>
        <charset val="134"/>
      </rPr>
      <t>表情即可，收到系统的消息，告诉你</t>
    </r>
    <r>
      <rPr>
        <sz val="14"/>
        <color theme="0"/>
        <rFont val="Helvetica Neue"/>
        <charset val="134"/>
      </rPr>
      <t>seed</t>
    </r>
    <r>
      <rPr>
        <sz val="14"/>
        <color theme="0"/>
        <rFont val="宋体-简"/>
        <charset val="134"/>
      </rPr>
      <t>值</t>
    </r>
  </si>
  <si>
    <r>
      <rPr>
        <sz val="14"/>
        <color theme="0"/>
        <rFont val="宋体-简"/>
        <charset val="134"/>
      </rPr>
      <t>如何看到自己生成图的</t>
    </r>
    <r>
      <rPr>
        <sz val="14"/>
        <color theme="0"/>
        <rFont val="Helvetica Neue"/>
        <charset val="134"/>
      </rPr>
      <t>seed</t>
    </r>
    <r>
      <rPr>
        <sz val="14"/>
        <color theme="0"/>
        <rFont val="宋体-简"/>
        <charset val="134"/>
      </rPr>
      <t>值（最开始系统自己随机分配）</t>
    </r>
  </si>
  <si>
    <t>布鲁默</t>
  </si>
  <si>
    <t>Nicolas Pineau</t>
  </si>
  <si>
    <t>莫代尔</t>
  </si>
  <si>
    <t>Modal</t>
  </si>
  <si>
    <t>SpaceX</t>
  </si>
  <si>
    <t>spacex</t>
  </si>
  <si>
    <t>伦勃朗光</t>
  </si>
  <si>
    <t>rembrandt lighting</t>
  </si>
  <si>
    <t>特写</t>
  </si>
  <si>
    <t>close up</t>
  </si>
  <si>
    <t>—seed 2333</t>
  </si>
  <si>
    <r>
      <rPr>
        <sz val="14"/>
        <color theme="0"/>
        <rFont val="宋体-简"/>
        <charset val="134"/>
      </rPr>
      <t>莫里斯</t>
    </r>
    <r>
      <rPr>
        <sz val="14"/>
        <color theme="0"/>
        <rFont val="Helvetica Neue"/>
        <charset val="134"/>
      </rPr>
      <t>·</t>
    </r>
    <r>
      <rPr>
        <sz val="14"/>
        <color theme="0"/>
        <rFont val="宋体-简"/>
        <charset val="134"/>
      </rPr>
      <t>昂格</t>
    </r>
  </si>
  <si>
    <t>Maurice Angel</t>
  </si>
  <si>
    <t>日本的和风设计</t>
  </si>
  <si>
    <t>Japanese style design</t>
  </si>
  <si>
    <t>莱卡</t>
  </si>
  <si>
    <t>Lycra</t>
  </si>
  <si>
    <t>Vitra</t>
  </si>
  <si>
    <t>背光</t>
  </si>
  <si>
    <t>back lighting</t>
  </si>
  <si>
    <t>—seed 23333</t>
  </si>
  <si>
    <t>贝尔尼尼</t>
  </si>
  <si>
    <t>Gian Lorenzo Bernini</t>
  </si>
  <si>
    <t>公共艺术风格</t>
  </si>
  <si>
    <t>public art style</t>
  </si>
  <si>
    <t>皮革</t>
  </si>
  <si>
    <t>Leather</t>
  </si>
  <si>
    <t>Flos</t>
  </si>
  <si>
    <t>—seed 233333</t>
  </si>
  <si>
    <r>
      <rPr>
        <sz val="14"/>
        <color theme="0"/>
        <rFont val="宋体-简"/>
        <charset val="134"/>
      </rPr>
      <t>亚尔</t>
    </r>
    <r>
      <rPr>
        <sz val="14"/>
        <color theme="0"/>
        <rFont val="Helvetica Neue"/>
        <charset val="134"/>
      </rPr>
      <t>·</t>
    </r>
    <r>
      <rPr>
        <sz val="14"/>
        <color theme="0"/>
        <rFont val="宋体-简"/>
        <charset val="134"/>
      </rPr>
      <t>阿尔托</t>
    </r>
  </si>
  <si>
    <t>Alvar Aalto</t>
  </si>
  <si>
    <t>简约主义风格</t>
  </si>
  <si>
    <t>minimalist style</t>
  </si>
  <si>
    <t>扁柏</t>
  </si>
  <si>
    <t>Hinoki falsecypress</t>
  </si>
  <si>
    <t>Muuto</t>
  </si>
  <si>
    <t>通过潜望镜</t>
  </si>
  <si>
    <t>through a periscope</t>
  </si>
  <si>
    <r>
      <rPr>
        <sz val="14"/>
        <color theme="0"/>
        <rFont val="宋体-简"/>
        <charset val="134"/>
      </rPr>
      <t>阿奇葛尔</t>
    </r>
    <r>
      <rPr>
        <sz val="14"/>
        <color theme="0"/>
        <rFont val="Helvetica Neue"/>
        <charset val="134"/>
      </rPr>
      <t>·</t>
    </r>
    <r>
      <rPr>
        <sz val="14"/>
        <color theme="0"/>
        <rFont val="宋体-简"/>
        <charset val="134"/>
      </rPr>
      <t>雅各布森</t>
    </r>
  </si>
  <si>
    <t>Arne Jacobsen</t>
  </si>
  <si>
    <t>人性化设计风格</t>
  </si>
  <si>
    <t>Humanized Design Style</t>
  </si>
  <si>
    <t>松树</t>
  </si>
  <si>
    <t xml:space="preserve">Pine </t>
  </si>
  <si>
    <t>Braun</t>
  </si>
  <si>
    <t>通过舷窗</t>
  </si>
  <si>
    <t>through a porthole</t>
  </si>
  <si>
    <r>
      <rPr>
        <sz val="14"/>
        <color theme="0"/>
        <rFont val="宋体-简"/>
        <charset val="134"/>
      </rPr>
      <t>维格纳</t>
    </r>
    <r>
      <rPr>
        <sz val="14"/>
        <color theme="0"/>
        <rFont val="Helvetica Neue"/>
        <charset val="134"/>
      </rPr>
      <t>·</t>
    </r>
    <r>
      <rPr>
        <sz val="14"/>
        <color theme="0"/>
        <rFont val="宋体-简"/>
        <charset val="134"/>
      </rPr>
      <t>希斯科布</t>
    </r>
  </si>
  <si>
    <t>Verner Panton</t>
  </si>
  <si>
    <t>未来主义风格</t>
  </si>
  <si>
    <t>futuristic style</t>
  </si>
  <si>
    <t>冷杉</t>
  </si>
  <si>
    <t>Fir</t>
  </si>
  <si>
    <t>Kartell</t>
  </si>
  <si>
    <r>
      <rPr>
        <sz val="14"/>
        <color theme="0"/>
        <rFont val="宋体-简"/>
        <charset val="134"/>
      </rPr>
      <t>马库斯</t>
    </r>
    <r>
      <rPr>
        <sz val="14"/>
        <color theme="0"/>
        <rFont val="Helvetica Neue"/>
        <charset val="134"/>
      </rPr>
      <t>·</t>
    </r>
    <r>
      <rPr>
        <sz val="14"/>
        <color theme="0"/>
        <rFont val="宋体-简"/>
        <charset val="134"/>
      </rPr>
      <t>恩格曼</t>
    </r>
  </si>
  <si>
    <t>Marc Newson</t>
  </si>
  <si>
    <t>社会主义现实主义风格</t>
  </si>
  <si>
    <t>socialist realism style</t>
  </si>
  <si>
    <t>Hay</t>
  </si>
  <si>
    <t>关闭脸</t>
  </si>
  <si>
    <t>close face</t>
  </si>
  <si>
    <r>
      <rPr>
        <sz val="14"/>
        <color theme="0"/>
        <rFont val="宋体-简"/>
        <charset val="134"/>
      </rPr>
      <t>詹姆斯</t>
    </r>
    <r>
      <rPr>
        <sz val="14"/>
        <color theme="0"/>
        <rFont val="Helvetica Neue"/>
        <charset val="134"/>
      </rPr>
      <t>·</t>
    </r>
    <r>
      <rPr>
        <sz val="14"/>
        <color theme="0"/>
        <rFont val="宋体-简"/>
        <charset val="134"/>
      </rPr>
      <t>戴</t>
    </r>
  </si>
  <si>
    <t>James Dyson</t>
  </si>
  <si>
    <t>艺术装饰风格</t>
  </si>
  <si>
    <t>云杉</t>
  </si>
  <si>
    <t>Spruce</t>
  </si>
  <si>
    <t xml:space="preserve">Gubi </t>
  </si>
  <si>
    <t>低角度</t>
  </si>
  <si>
    <t>low angle</t>
  </si>
  <si>
    <r>
      <rPr>
        <sz val="14"/>
        <color theme="0"/>
        <rFont val="宋体-简"/>
        <charset val="134"/>
      </rPr>
      <t>罗斯</t>
    </r>
    <r>
      <rPr>
        <sz val="14"/>
        <color theme="0"/>
        <rFont val="Helvetica Neue"/>
        <charset val="134"/>
      </rPr>
      <t>·</t>
    </r>
    <r>
      <rPr>
        <sz val="14"/>
        <color theme="0"/>
        <rFont val="宋体-简"/>
        <charset val="134"/>
      </rPr>
      <t>拉夫拉克</t>
    </r>
  </si>
  <si>
    <t>Ross Lovegrov</t>
  </si>
  <si>
    <t>战争时期风格</t>
  </si>
  <si>
    <t>war time style</t>
  </si>
  <si>
    <t>雪松 / 香柏树</t>
  </si>
  <si>
    <t>Cedar</t>
  </si>
  <si>
    <t>Louis Poulsen</t>
  </si>
  <si>
    <t>等距的</t>
  </si>
  <si>
    <t>isometric</t>
  </si>
  <si>
    <t>科技主义风格</t>
  </si>
  <si>
    <t>techno style</t>
  </si>
  <si>
    <t>侧柏</t>
  </si>
  <si>
    <t>Arborvitae</t>
  </si>
  <si>
    <t>Magis</t>
  </si>
  <si>
    <t>从后面看</t>
  </si>
  <si>
    <t>viewed from behind</t>
  </si>
  <si>
    <t>北欧设计风格</t>
  </si>
  <si>
    <t>Scandinavian design style</t>
  </si>
  <si>
    <t>落叶松</t>
  </si>
  <si>
    <t>Larch</t>
  </si>
  <si>
    <t xml:space="preserve">Fritz Hansen </t>
  </si>
  <si>
    <t>85mm</t>
  </si>
  <si>
    <t>原研哉</t>
  </si>
  <si>
    <t>Kenya Hara</t>
  </si>
  <si>
    <t>形式主义设计风格</t>
  </si>
  <si>
    <t>formal design style</t>
  </si>
  <si>
    <t>落羽杉</t>
  </si>
  <si>
    <t>Bald Cypress / Swamp Cypess</t>
  </si>
  <si>
    <t xml:space="preserve">Muromachi </t>
  </si>
  <si>
    <t>极端特写镜头</t>
  </si>
  <si>
    <t>extreme close-up shot</t>
  </si>
  <si>
    <t>深泽直人</t>
  </si>
  <si>
    <t>Naoto Fukasawa</t>
  </si>
  <si>
    <t>折衷主义设计风格</t>
  </si>
  <si>
    <t>eclectic design style</t>
  </si>
  <si>
    <t>花旗杉 / 北美黄杉</t>
  </si>
  <si>
    <t>Douglas Fir</t>
  </si>
  <si>
    <t>Nendo</t>
  </si>
  <si>
    <t>中弹</t>
  </si>
  <si>
    <t>midshot</t>
  </si>
  <si>
    <r>
      <rPr>
        <sz val="14"/>
        <color theme="0"/>
        <rFont val="宋体-简"/>
        <charset val="134"/>
      </rPr>
      <t>荣久庵宪司</t>
    </r>
    <r>
      <rPr>
        <sz val="14"/>
        <color theme="0"/>
        <rFont val="Helvetica Neue"/>
        <charset val="134"/>
      </rPr>
      <t>GK</t>
    </r>
    <r>
      <rPr>
        <sz val="14"/>
        <color theme="0"/>
        <rFont val="宋体-简"/>
        <charset val="134"/>
      </rPr>
      <t>设计集团主席</t>
    </r>
  </si>
  <si>
    <t>Kenji Ekuan</t>
  </si>
  <si>
    <t>柏树</t>
  </si>
  <si>
    <t>Cypress</t>
  </si>
  <si>
    <t>Toshiba</t>
  </si>
  <si>
    <t>头部和肩部拍摄</t>
  </si>
  <si>
    <t>head-and-shoulders shot</t>
  </si>
  <si>
    <t>佐藤大</t>
  </si>
  <si>
    <t>nendo</t>
  </si>
  <si>
    <t>红桧</t>
  </si>
  <si>
    <t>Benihi</t>
  </si>
  <si>
    <t>远射</t>
  </si>
  <si>
    <t>long shot</t>
  </si>
  <si>
    <t>台湾肖楠</t>
  </si>
  <si>
    <t>Taiwan Incense Cedar</t>
  </si>
  <si>
    <t>全镜头</t>
  </si>
  <si>
    <t>full shot</t>
  </si>
  <si>
    <t>刺柏</t>
  </si>
  <si>
    <t>Juniper</t>
  </si>
  <si>
    <t>极端广角镜头</t>
  </si>
  <si>
    <t>extreme wide shot</t>
  </si>
  <si>
    <t>红杉</t>
  </si>
  <si>
    <t>Sequoia</t>
  </si>
  <si>
    <t>在远处</t>
  </si>
  <si>
    <t>in the distance</t>
  </si>
  <si>
    <t>北美白蜡木</t>
  </si>
  <si>
    <t>American White Ash</t>
  </si>
  <si>
    <t>俯视图</t>
  </si>
  <si>
    <t>overhead view</t>
  </si>
  <si>
    <r>
      <rPr>
        <sz val="14"/>
        <color theme="0"/>
        <rFont val="宋体-简"/>
        <charset val="134"/>
      </rPr>
      <t>北美红橡木</t>
    </r>
    <r>
      <rPr>
        <sz val="14"/>
        <color theme="0"/>
        <rFont val="Helvetica Neue"/>
        <charset val="134"/>
      </rPr>
      <t xml:space="preserve"> / </t>
    </r>
    <r>
      <rPr>
        <sz val="14"/>
        <color theme="0"/>
        <rFont val="宋体-简"/>
        <charset val="134"/>
      </rPr>
      <t>红栎木</t>
    </r>
  </si>
  <si>
    <t>American Red Oak</t>
  </si>
  <si>
    <t>鸟瞰图</t>
  </si>
  <si>
    <t>aerial view</t>
  </si>
  <si>
    <t>胡桃木</t>
  </si>
  <si>
    <t>Walnut</t>
  </si>
  <si>
    <t>倾斜的框架</t>
  </si>
  <si>
    <t>tilted frame</t>
  </si>
  <si>
    <r>
      <rPr>
        <sz val="14"/>
        <color theme="0"/>
        <rFont val="宋体-简"/>
        <charset val="134"/>
      </rPr>
      <t>黄杨木</t>
    </r>
    <r>
      <rPr>
        <sz val="14"/>
        <color theme="0"/>
        <rFont val="Helvetica Neue"/>
        <charset val="134"/>
      </rPr>
      <t xml:space="preserve"> / </t>
    </r>
    <r>
      <rPr>
        <sz val="14"/>
        <color theme="0"/>
        <rFont val="宋体-简"/>
        <charset val="134"/>
      </rPr>
      <t>北美鹅掌楸</t>
    </r>
  </si>
  <si>
    <t>Yellow poplar wood</t>
  </si>
  <si>
    <t>过肩射</t>
  </si>
  <si>
    <t>over-the-shoulder shot</t>
  </si>
  <si>
    <t>柚木</t>
  </si>
  <si>
    <t>Teak</t>
  </si>
  <si>
    <r>
      <rPr>
        <sz val="14"/>
        <color theme="0"/>
        <rFont val="Arial"/>
        <charset val="134"/>
      </rPr>
      <t xml:space="preserve">1/1000 </t>
    </r>
    <r>
      <rPr>
        <sz val="14"/>
        <color theme="0"/>
        <rFont val="宋体-简"/>
        <charset val="134"/>
      </rPr>
      <t>秒快门</t>
    </r>
  </si>
  <si>
    <t>1/1000 sec shutter</t>
  </si>
  <si>
    <t>玫瑰木</t>
  </si>
  <si>
    <t>Red Grandis</t>
  </si>
  <si>
    <t>运动模糊</t>
  </si>
  <si>
    <t>motion blur</t>
  </si>
  <si>
    <t>桃花心木</t>
  </si>
  <si>
    <t>mahogany / Swietenia</t>
  </si>
  <si>
    <t>棹木</t>
  </si>
  <si>
    <t>Beech</t>
  </si>
  <si>
    <t>山毛榉</t>
  </si>
  <si>
    <t>Fagaceae</t>
  </si>
  <si>
    <t>白桦树</t>
  </si>
  <si>
    <t>Birch / Betula</t>
  </si>
  <si>
    <r>
      <rPr>
        <sz val="10"/>
        <color theme="0"/>
        <rFont val="宋体-简"/>
        <charset val="134"/>
      </rPr>
      <t>橡木</t>
    </r>
    <r>
      <rPr>
        <sz val="10"/>
        <color theme="0"/>
        <rFont val="Helvetica Neue"/>
        <charset val="134"/>
      </rPr>
      <t xml:space="preserve"> / </t>
    </r>
    <r>
      <rPr>
        <sz val="10"/>
        <color theme="0"/>
        <rFont val="宋体-简"/>
        <charset val="134"/>
      </rPr>
      <t>栎树</t>
    </r>
  </si>
  <si>
    <t>Oak</t>
  </si>
  <si>
    <t>橡胶木</t>
  </si>
  <si>
    <t>Rubber Wood</t>
  </si>
  <si>
    <t>黑檀木</t>
  </si>
  <si>
    <t>Ebony</t>
  </si>
  <si>
    <t>檀木</t>
  </si>
  <si>
    <t>Sandalwood</t>
  </si>
  <si>
    <r>
      <rPr>
        <sz val="10"/>
        <color theme="0"/>
        <rFont val="宋体-简"/>
        <charset val="134"/>
      </rPr>
      <t>玫瑰木</t>
    </r>
    <r>
      <rPr>
        <sz val="10"/>
        <color theme="0"/>
        <rFont val="Helvetica Neue"/>
        <charset val="134"/>
      </rPr>
      <t xml:space="preserve"> / </t>
    </r>
    <r>
      <rPr>
        <sz val="10"/>
        <color theme="0"/>
        <rFont val="宋体-简"/>
        <charset val="134"/>
      </rPr>
      <t>紫檀木</t>
    </r>
  </si>
  <si>
    <t>Rosewood / Padauk</t>
  </si>
  <si>
    <t>定向纤维板</t>
  </si>
  <si>
    <t>Oriented Strand Board</t>
  </si>
  <si>
    <r>
      <rPr>
        <sz val="10"/>
        <color theme="0"/>
        <rFont val="宋体-简"/>
        <charset val="134"/>
      </rPr>
      <t>胶合板</t>
    </r>
    <r>
      <rPr>
        <sz val="10"/>
        <color theme="0"/>
        <rFont val="Helvetica Neue"/>
        <charset val="134"/>
      </rPr>
      <t>(</t>
    </r>
    <r>
      <rPr>
        <sz val="10"/>
        <color theme="0"/>
        <rFont val="宋体-简"/>
        <charset val="134"/>
      </rPr>
      <t>木夹板</t>
    </r>
    <r>
      <rPr>
        <sz val="10"/>
        <color theme="0"/>
        <rFont val="Helvetica Neue"/>
        <charset val="134"/>
      </rPr>
      <t>)</t>
    </r>
  </si>
  <si>
    <t>Wooden Plywood</t>
  </si>
  <si>
    <t>木芯版</t>
  </si>
  <si>
    <t>Lumber core plywood</t>
  </si>
  <si>
    <t>灼木皮</t>
  </si>
  <si>
    <t>Veneer</t>
  </si>
  <si>
    <t>人造板</t>
  </si>
  <si>
    <t>wood-based panel</t>
  </si>
  <si>
    <t>金</t>
  </si>
  <si>
    <t>Gold</t>
  </si>
  <si>
    <t>银</t>
  </si>
  <si>
    <t>Silver</t>
  </si>
  <si>
    <t>铜</t>
  </si>
  <si>
    <t>Copper</t>
  </si>
  <si>
    <t>铁</t>
  </si>
  <si>
    <t>iron</t>
  </si>
  <si>
    <t>面条</t>
  </si>
  <si>
    <t>Brass</t>
  </si>
  <si>
    <t>青铜</t>
  </si>
  <si>
    <t>Bronze</t>
  </si>
  <si>
    <t>锡</t>
  </si>
  <si>
    <t>Tin</t>
  </si>
  <si>
    <r>
      <rPr>
        <sz val="10"/>
        <color theme="0"/>
        <rFont val="宋体-简"/>
        <charset val="134"/>
      </rPr>
      <t>铂</t>
    </r>
    <r>
      <rPr>
        <sz val="10"/>
        <color theme="0"/>
        <rFont val="Helvetica Neue"/>
        <charset val="134"/>
      </rPr>
      <t xml:space="preserve"> / </t>
    </r>
    <r>
      <rPr>
        <sz val="10"/>
        <color theme="0"/>
        <rFont val="宋体-简"/>
        <charset val="134"/>
      </rPr>
      <t>白金</t>
    </r>
  </si>
  <si>
    <t>Platinum</t>
  </si>
  <si>
    <t>铋</t>
  </si>
  <si>
    <t>Bismuth</t>
  </si>
  <si>
    <t>镁合金</t>
  </si>
  <si>
    <t>Aluminum alloy</t>
  </si>
  <si>
    <t>金银花丝</t>
  </si>
  <si>
    <t xml:space="preserve"> filigree</t>
  </si>
  <si>
    <t>石灰岩</t>
  </si>
  <si>
    <t>Limestone</t>
  </si>
  <si>
    <r>
      <rPr>
        <sz val="10"/>
        <color theme="0"/>
        <rFont val="宋体-简"/>
        <charset val="134"/>
      </rPr>
      <t>泥岩</t>
    </r>
    <r>
      <rPr>
        <sz val="10"/>
        <color theme="0"/>
        <rFont val="Helvetica Neue"/>
        <charset val="134"/>
      </rPr>
      <t>/</t>
    </r>
    <r>
      <rPr>
        <sz val="10"/>
        <color theme="0"/>
        <rFont val="宋体-简"/>
        <charset val="134"/>
      </rPr>
      <t>页岩</t>
    </r>
  </si>
  <si>
    <t>Shale</t>
  </si>
  <si>
    <t>沙岩</t>
  </si>
  <si>
    <t>Sandstone</t>
  </si>
  <si>
    <t>板岩</t>
  </si>
  <si>
    <t>Slate</t>
  </si>
  <si>
    <t>燧石</t>
  </si>
  <si>
    <t>Chert</t>
  </si>
  <si>
    <r>
      <rPr>
        <sz val="10"/>
        <color theme="0"/>
        <rFont val="宋体-简"/>
        <charset val="134"/>
      </rPr>
      <t>熔岩</t>
    </r>
    <r>
      <rPr>
        <sz val="10"/>
        <color theme="0"/>
        <rFont val="Helvetica Neue"/>
        <charset val="134"/>
      </rPr>
      <t>(</t>
    </r>
    <r>
      <rPr>
        <sz val="10"/>
        <color theme="0"/>
        <rFont val="宋体-简"/>
        <charset val="134"/>
      </rPr>
      <t>岩浆状态</t>
    </r>
    <r>
      <rPr>
        <sz val="10"/>
        <color theme="0"/>
        <rFont val="Helvetica Neue"/>
        <charset val="134"/>
      </rPr>
      <t>)</t>
    </r>
  </si>
  <si>
    <t>Lava</t>
  </si>
  <si>
    <r>
      <rPr>
        <sz val="10"/>
        <color theme="0"/>
        <rFont val="宋体-简"/>
        <charset val="134"/>
      </rPr>
      <t>火山岩</t>
    </r>
    <r>
      <rPr>
        <sz val="10"/>
        <color theme="0"/>
        <rFont val="Helvetica Neue"/>
        <charset val="134"/>
      </rPr>
      <t>(</t>
    </r>
    <r>
      <rPr>
        <sz val="10"/>
        <color theme="0"/>
        <rFont val="宋体-简"/>
        <charset val="134"/>
      </rPr>
      <t>密恐那种</t>
    </r>
    <r>
      <rPr>
        <sz val="10"/>
        <color theme="0"/>
        <rFont val="Helvetica Neue"/>
        <charset val="134"/>
      </rPr>
      <t>)</t>
    </r>
  </si>
  <si>
    <t>volcanic rock</t>
  </si>
  <si>
    <t>安山岩</t>
  </si>
  <si>
    <t>Andesite</t>
  </si>
  <si>
    <t>花岗岩</t>
  </si>
  <si>
    <t>Granite</t>
  </si>
  <si>
    <t>玄武岩</t>
  </si>
  <si>
    <t>Basalt</t>
  </si>
  <si>
    <t>黑耀石</t>
  </si>
  <si>
    <t>Obsidian</t>
  </si>
  <si>
    <t>大理石</t>
  </si>
  <si>
    <t>Marble / Marbling</t>
  </si>
  <si>
    <t>石英岩</t>
  </si>
  <si>
    <t>Quartzite</t>
  </si>
  <si>
    <t>蛇岩纹</t>
  </si>
  <si>
    <t>Serpentinite</t>
  </si>
  <si>
    <t>磨石子</t>
  </si>
  <si>
    <t>Terrazzo</t>
  </si>
  <si>
    <r>
      <rPr>
        <sz val="10"/>
        <color theme="0"/>
        <rFont val="宋体-简"/>
        <charset val="134"/>
      </rPr>
      <t>洞岩</t>
    </r>
    <r>
      <rPr>
        <sz val="10"/>
        <color theme="0"/>
        <rFont val="Helvetica Neue"/>
        <charset val="134"/>
      </rPr>
      <t xml:space="preserve"> / </t>
    </r>
    <r>
      <rPr>
        <sz val="10"/>
        <color theme="0"/>
        <rFont val="宋体-简"/>
        <charset val="134"/>
      </rPr>
      <t>石灰华</t>
    </r>
  </si>
  <si>
    <t>Travertine</t>
  </si>
  <si>
    <t>马赛克</t>
  </si>
  <si>
    <t>Mosaic</t>
  </si>
  <si>
    <t>石柱</t>
  </si>
  <si>
    <t>Column</t>
  </si>
  <si>
    <t>哑光</t>
  </si>
  <si>
    <t>hone finished</t>
  </si>
  <si>
    <t>抛光</t>
  </si>
  <si>
    <t>polished finished</t>
  </si>
  <si>
    <t>混合结构</t>
  </si>
  <si>
    <t>concrete texture</t>
  </si>
  <si>
    <t>磁砖</t>
  </si>
  <si>
    <t>Tile</t>
  </si>
  <si>
    <t>鹅卵石</t>
  </si>
  <si>
    <t>cobblestone</t>
  </si>
  <si>
    <t>红宝石</t>
  </si>
  <si>
    <t>Ruby</t>
  </si>
  <si>
    <t>蓝宝石</t>
  </si>
  <si>
    <t>Sapphire</t>
  </si>
  <si>
    <t>天青石</t>
  </si>
  <si>
    <t>Celestine</t>
  </si>
  <si>
    <t>青金石</t>
  </si>
  <si>
    <t>Lazurite</t>
  </si>
  <si>
    <t>月光石</t>
  </si>
  <si>
    <t>Moonstone</t>
  </si>
  <si>
    <t>紫水晶</t>
  </si>
  <si>
    <t>Amethyst</t>
  </si>
  <si>
    <t>黄玉（黄晶）</t>
  </si>
  <si>
    <t>Citrine</t>
  </si>
  <si>
    <t>水晶</t>
  </si>
  <si>
    <t>Crystal</t>
  </si>
  <si>
    <t>本质</t>
  </si>
  <si>
    <t>Quartz</t>
  </si>
  <si>
    <t>石榴石</t>
  </si>
  <si>
    <t>tasty</t>
  </si>
  <si>
    <t>钻石</t>
  </si>
  <si>
    <t>Diamond</t>
  </si>
  <si>
    <r>
      <rPr>
        <sz val="10"/>
        <color theme="0"/>
        <rFont val="宋体-简"/>
        <charset val="134"/>
      </rPr>
      <t>亚历山大石</t>
    </r>
    <r>
      <rPr>
        <sz val="10"/>
        <color theme="0"/>
        <rFont val="Helvetica Neue"/>
        <charset val="134"/>
      </rPr>
      <t>/</t>
    </r>
    <r>
      <rPr>
        <sz val="10"/>
        <color theme="0"/>
        <rFont val="宋体-简"/>
        <charset val="134"/>
      </rPr>
      <t>变色石</t>
    </r>
  </si>
  <si>
    <t xml:space="preserve">Alexandrite        </t>
  </si>
  <si>
    <t>金绿玉</t>
  </si>
  <si>
    <t>Chrysoberyl</t>
  </si>
  <si>
    <t>电气石（碧玺）</t>
  </si>
  <si>
    <t>Tourmaline</t>
  </si>
  <si>
    <t>绿松石</t>
  </si>
  <si>
    <t>Turquoise</t>
  </si>
  <si>
    <t>祖母绿</t>
  </si>
  <si>
    <t>Emerald</t>
  </si>
  <si>
    <t>海蓝宝石</t>
  </si>
  <si>
    <t>Aquamarine</t>
  </si>
  <si>
    <t>橄榄石</t>
  </si>
  <si>
    <t>Olivine/Peridot</t>
  </si>
  <si>
    <t>玛瑙</t>
  </si>
  <si>
    <t>Agate</t>
  </si>
  <si>
    <t>蛋白石</t>
  </si>
  <si>
    <t>Opal</t>
  </si>
  <si>
    <t>绿柱石</t>
  </si>
  <si>
    <t>Beryl</t>
  </si>
  <si>
    <r>
      <rPr>
        <sz val="10"/>
        <color theme="0"/>
        <rFont val="宋体-简"/>
        <charset val="134"/>
      </rPr>
      <t>丹泉石</t>
    </r>
    <r>
      <rPr>
        <sz val="10"/>
        <color theme="0"/>
        <rFont val="Helvetica Neue"/>
        <charset val="134"/>
      </rPr>
      <t>(</t>
    </r>
    <r>
      <rPr>
        <sz val="10"/>
        <color theme="0"/>
        <rFont val="宋体-简"/>
        <charset val="134"/>
      </rPr>
      <t>坦桑石</t>
    </r>
    <r>
      <rPr>
        <sz val="10"/>
        <color theme="0"/>
        <rFont val="Helvetica Neue"/>
        <charset val="134"/>
      </rPr>
      <t>)</t>
    </r>
  </si>
  <si>
    <t>Tanzanite</t>
  </si>
  <si>
    <t>琥珀</t>
  </si>
  <si>
    <t>Amber</t>
  </si>
  <si>
    <t>珍珠</t>
  </si>
  <si>
    <t>Pearl</t>
  </si>
  <si>
    <t>珊瑚</t>
  </si>
  <si>
    <t>Coral</t>
  </si>
  <si>
    <t>象牙</t>
  </si>
  <si>
    <t>Ivory</t>
  </si>
  <si>
    <r>
      <rPr>
        <sz val="10"/>
        <color theme="0"/>
        <rFont val="宋体-简"/>
        <charset val="134"/>
      </rPr>
      <t>蓝铜矿</t>
    </r>
    <r>
      <rPr>
        <sz val="10"/>
        <color theme="0"/>
        <rFont val="Helvetica Neue"/>
        <charset val="134"/>
      </rPr>
      <t>/</t>
    </r>
    <r>
      <rPr>
        <sz val="10"/>
        <color theme="0"/>
        <rFont val="宋体-简"/>
        <charset val="134"/>
      </rPr>
      <t>石青</t>
    </r>
  </si>
  <si>
    <t>Azurite</t>
  </si>
  <si>
    <t>孔雀石</t>
  </si>
  <si>
    <t>Malachite</t>
  </si>
  <si>
    <r>
      <rPr>
        <sz val="10"/>
        <color theme="0"/>
        <rFont val="宋体-简"/>
        <charset val="134"/>
      </rPr>
      <t>翡翠</t>
    </r>
    <r>
      <rPr>
        <sz val="10"/>
        <color theme="0"/>
        <rFont val="Helvetica Neue"/>
        <charset val="134"/>
      </rPr>
      <t>/</t>
    </r>
    <r>
      <rPr>
        <sz val="10"/>
        <color theme="0"/>
        <rFont val="宋体-简"/>
        <charset val="134"/>
      </rPr>
      <t>玉石</t>
    </r>
  </si>
  <si>
    <t>Jadeite / Jade</t>
  </si>
  <si>
    <r>
      <rPr>
        <sz val="10"/>
        <color theme="0"/>
        <rFont val="宋体-简"/>
        <charset val="134"/>
      </rPr>
      <t>煤精</t>
    </r>
    <r>
      <rPr>
        <sz val="10"/>
        <color theme="0"/>
        <rFont val="Helvetica Neue"/>
        <charset val="134"/>
      </rPr>
      <t>/</t>
    </r>
    <r>
      <rPr>
        <sz val="10"/>
        <color theme="0"/>
        <rFont val="宋体-简"/>
        <charset val="134"/>
      </rPr>
      <t>炭玉</t>
    </r>
  </si>
  <si>
    <t>Jet</t>
  </si>
  <si>
    <t>斑彩石</t>
  </si>
  <si>
    <t>Calcentin / Korit</t>
  </si>
  <si>
    <t>硫</t>
  </si>
  <si>
    <t>Sulfur</t>
  </si>
  <si>
    <t>莫桑石（像钻石）</t>
  </si>
  <si>
    <t>Moissanite</t>
  </si>
  <si>
    <t>萤石</t>
  </si>
  <si>
    <t>Fluorite</t>
  </si>
  <si>
    <t>摩根石</t>
  </si>
  <si>
    <t>Morganite</t>
  </si>
  <si>
    <t>粉红尖晶石</t>
  </si>
  <si>
    <t>Pink Spinel</t>
  </si>
  <si>
    <t>煤矿</t>
  </si>
  <si>
    <t>coal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</si>
</sst>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43">
    <font>
      <sz val="10"/>
      <color indexed="8"/>
      <name val="Helvetica Neue"/>
      <charset val="134"/>
    </font>
    <font>
      <sz val="10"/>
      <color theme="0"/>
      <name val="Helvetica Neue"/>
      <charset val="134"/>
    </font>
    <font>
      <sz val="14"/>
      <color theme="0"/>
      <name val="宋体-简"/>
      <charset val="134"/>
    </font>
    <font>
      <sz val="14"/>
      <color theme="0"/>
      <name val="Helvetica Neue"/>
      <charset val="134"/>
    </font>
    <font>
      <sz val="14"/>
      <color theme="0"/>
      <name val="Arial"/>
      <charset val="134"/>
    </font>
    <font>
      <sz val="10"/>
      <color theme="0"/>
      <name val="Arial"/>
      <charset val="134"/>
    </font>
    <font>
      <sz val="11"/>
      <color theme="0"/>
      <name val="Helvetica Neue"/>
      <charset val="134"/>
    </font>
    <font>
      <sz val="10"/>
      <color theme="0"/>
      <name val="宋体-简"/>
      <charset val="134"/>
    </font>
    <font>
      <b/>
      <sz val="11"/>
      <color rgb="FF000000"/>
      <name val="宋体"/>
      <charset val="134"/>
    </font>
    <font>
      <sz val="11"/>
      <color rgb="FF000000"/>
      <name val="宋体"/>
      <charset val="134"/>
    </font>
    <font>
      <b/>
      <sz val="11"/>
      <name val="宋体"/>
      <charset val="134"/>
    </font>
    <font>
      <sz val="11"/>
      <color theme="1"/>
      <name val="Helvetica Neue"/>
      <charset val="134"/>
      <scheme val="minor"/>
    </font>
    <font>
      <b/>
      <sz val="14"/>
      <color rgb="FF000000"/>
      <name val="宋体"/>
      <charset val="134"/>
    </font>
    <font>
      <sz val="11"/>
      <name val="宋体"/>
      <charset val="134"/>
    </font>
    <font>
      <sz val="11"/>
      <color indexed="8"/>
      <name val="Helvetica Neue"/>
      <charset val="134"/>
      <scheme val="minor"/>
    </font>
    <font>
      <b/>
      <sz val="16"/>
      <color rgb="FF000000"/>
      <name val="宋体"/>
      <charset val="134"/>
    </font>
    <font>
      <sz val="10"/>
      <color rgb="FFFFFFFF"/>
      <name val="Helvetica Neue"/>
      <charset val="134"/>
      <scheme val="major"/>
    </font>
    <font>
      <sz val="10"/>
      <name val="等线"/>
      <charset val="134"/>
    </font>
    <font>
      <b/>
      <sz val="16"/>
      <name val="宋体"/>
      <charset val="134"/>
    </font>
    <font>
      <b/>
      <sz val="11"/>
      <color rgb="FFFF0000"/>
      <name val="宋体"/>
      <charset val="134"/>
    </font>
    <font>
      <sz val="11"/>
      <color rgb="FFFF0000"/>
      <name val="宋体"/>
      <charset val="134"/>
    </font>
    <font>
      <sz val="12"/>
      <name val="宋体"/>
      <charset val="134"/>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9"/>
      <name val="宋体"/>
      <charset val="134"/>
    </font>
    <font>
      <b/>
      <sz val="9"/>
      <name val="宋体"/>
      <charset val="134"/>
    </font>
  </fonts>
  <fills count="40">
    <fill>
      <patternFill patternType="none"/>
    </fill>
    <fill>
      <patternFill patternType="gray125"/>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FCE4D6"/>
        <bgColor indexed="64"/>
      </patternFill>
    </fill>
    <fill>
      <patternFill patternType="solid">
        <fgColor rgb="FFE98A00"/>
        <bgColor indexed="64"/>
      </patternFill>
    </fill>
    <fill>
      <patternFill patternType="solid">
        <fgColor rgb="FFDEEC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indexed="10"/>
      </left>
      <right style="thin">
        <color indexed="10"/>
      </right>
      <top style="thin">
        <color indexed="10"/>
      </top>
      <bottom style="thin">
        <color indexed="1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9" borderId="1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5" applyNumberFormat="0" applyFill="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29" fillId="0" borderId="0" applyNumberFormat="0" applyFill="0" applyBorder="0" applyAlignment="0" applyProtection="0">
      <alignment vertical="center"/>
    </xf>
    <xf numFmtId="0" fontId="30" fillId="10" borderId="17" applyNumberFormat="0" applyAlignment="0" applyProtection="0">
      <alignment vertical="center"/>
    </xf>
    <xf numFmtId="0" fontId="31" fillId="11" borderId="18" applyNumberFormat="0" applyAlignment="0" applyProtection="0">
      <alignment vertical="center"/>
    </xf>
    <xf numFmtId="0" fontId="32" fillId="11" borderId="17" applyNumberFormat="0" applyAlignment="0" applyProtection="0">
      <alignment vertical="center"/>
    </xf>
    <xf numFmtId="0" fontId="33" fillId="12" borderId="19" applyNumberFormat="0" applyAlignment="0" applyProtection="0">
      <alignment vertical="center"/>
    </xf>
    <xf numFmtId="0" fontId="34" fillId="0" borderId="20" applyNumberFormat="0" applyFill="0" applyAlignment="0" applyProtection="0">
      <alignment vertical="center"/>
    </xf>
    <xf numFmtId="0" fontId="35" fillId="0" borderId="21" applyNumberFormat="0" applyFill="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cellStyleXfs>
  <cellXfs count="106">
    <xf numFmtId="0" fontId="0" fillId="0" borderId="0" xfId="0" applyFont="1" applyAlignment="1">
      <alignment vertical="top" wrapText="1"/>
    </xf>
    <xf numFmtId="0" fontId="1" fillId="0" borderId="0" xfId="0" applyNumberFormat="1" applyFont="1" applyFill="1" applyAlignment="1">
      <alignment vertical="top" wrapText="1"/>
    </xf>
    <xf numFmtId="0" fontId="1" fillId="0" borderId="0" xfId="0" applyFont="1" applyFill="1" applyAlignment="1">
      <alignment vertical="top" wrapText="1"/>
    </xf>
    <xf numFmtId="49" fontId="2"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49" fontId="2" fillId="0" borderId="1" xfId="0" applyNumberFormat="1"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49" fontId="4" fillId="0" borderId="1" xfId="0" applyNumberFormat="1" applyFont="1" applyFill="1" applyBorder="1" applyAlignment="1">
      <alignment horizontal="left" vertical="center" wrapText="1" readingOrder="1"/>
    </xf>
    <xf numFmtId="49" fontId="2" fillId="0" borderId="1" xfId="0" applyNumberFormat="1" applyFont="1" applyFill="1" applyBorder="1" applyAlignment="1">
      <alignment horizontal="left" vertical="center" wrapText="1" readingOrder="1"/>
    </xf>
    <xf numFmtId="0" fontId="5" fillId="0" borderId="1" xfId="0" applyFont="1" applyFill="1" applyBorder="1" applyAlignment="1">
      <alignment horizontal="left" vertical="center" wrapText="1" readingOrder="1"/>
    </xf>
    <xf numFmtId="0" fontId="6" fillId="0" borderId="1" xfId="0" applyFont="1" applyFill="1" applyBorder="1" applyAlignment="1">
      <alignment vertical="top" wrapText="1"/>
    </xf>
    <xf numFmtId="0" fontId="1" fillId="0" borderId="1" xfId="0" applyFont="1" applyFill="1" applyBorder="1" applyAlignment="1">
      <alignment vertical="top" wrapText="1"/>
    </xf>
    <xf numFmtId="0" fontId="7" fillId="0" borderId="1" xfId="0" applyFont="1" applyFill="1" applyBorder="1" applyAlignment="1">
      <alignment horizontal="left" vertical="center" wrapText="1" readingOrder="1"/>
    </xf>
    <xf numFmtId="0" fontId="7" fillId="0" borderId="1" xfId="0" applyFont="1" applyFill="1" applyBorder="1" applyAlignment="1">
      <alignment vertical="top" wrapText="1"/>
    </xf>
    <xf numFmtId="0" fontId="7" fillId="0" borderId="0" xfId="0" applyNumberFormat="1" applyFont="1" applyFill="1" applyAlignment="1">
      <alignment vertical="top" wrapText="1"/>
    </xf>
    <xf numFmtId="0" fontId="8" fillId="0" borderId="0" xfId="0" applyNumberFormat="1" applyFont="1" applyFill="1" applyBorder="1" applyAlignment="1" applyProtection="1">
      <alignment vertical="center"/>
      <protection locked="0" hidden="1"/>
    </xf>
    <xf numFmtId="0" fontId="9" fillId="0" borderId="0" xfId="0" applyNumberFormat="1" applyFont="1" applyFill="1" applyBorder="1" applyAlignment="1" applyProtection="1">
      <alignment vertical="center"/>
      <protection locked="0" hidden="1"/>
    </xf>
    <xf numFmtId="0" fontId="9" fillId="0" borderId="0" xfId="0" applyNumberFormat="1" applyFont="1" applyFill="1" applyBorder="1" applyAlignment="1" applyProtection="1">
      <alignment vertical="center" wrapText="1"/>
      <protection locked="0" hidden="1"/>
    </xf>
    <xf numFmtId="0" fontId="8" fillId="2" borderId="2" xfId="0" applyNumberFormat="1" applyFont="1" applyFill="1" applyBorder="1" applyAlignment="1" applyProtection="1">
      <alignment horizontal="center" vertical="center"/>
      <protection locked="0" hidden="1"/>
    </xf>
    <xf numFmtId="0" fontId="8" fillId="3" borderId="2" xfId="0" applyNumberFormat="1" applyFont="1" applyFill="1" applyBorder="1" applyAlignment="1" applyProtection="1">
      <alignment vertical="center" wrapText="1"/>
      <protection locked="0" hidden="1"/>
    </xf>
    <xf numFmtId="0" fontId="8" fillId="0" borderId="2" xfId="0" applyNumberFormat="1" applyFont="1" applyFill="1" applyBorder="1" applyAlignment="1" applyProtection="1">
      <alignment vertical="center" wrapText="1"/>
      <protection locked="0" hidden="1"/>
    </xf>
    <xf numFmtId="0" fontId="10" fillId="4" borderId="2" xfId="0" applyNumberFormat="1" applyFont="1" applyFill="1" applyBorder="1" applyAlignment="1" applyProtection="1">
      <alignment vertical="center"/>
      <protection locked="0" hidden="1"/>
    </xf>
    <xf numFmtId="0" fontId="9" fillId="5" borderId="2" xfId="0" applyNumberFormat="1" applyFont="1" applyFill="1" applyBorder="1" applyAlignment="1" applyProtection="1">
      <alignment vertical="center"/>
      <protection locked="0" hidden="1"/>
    </xf>
    <xf numFmtId="0" fontId="9" fillId="6" borderId="2" xfId="0" applyNumberFormat="1" applyFont="1" applyFill="1" applyBorder="1" applyAlignment="1" applyProtection="1">
      <alignment horizontal="center" vertical="top" wrapText="1"/>
      <protection hidden="1"/>
    </xf>
    <xf numFmtId="0" fontId="9" fillId="0" borderId="2" xfId="0" applyNumberFormat="1" applyFont="1" applyFill="1" applyBorder="1" applyAlignment="1" applyProtection="1">
      <alignment horizontal="center" vertical="top" wrapText="1"/>
      <protection locked="0" hidden="1"/>
    </xf>
    <xf numFmtId="0" fontId="8" fillId="5" borderId="2" xfId="0" applyNumberFormat="1" applyFont="1" applyFill="1" applyBorder="1" applyAlignment="1" applyProtection="1">
      <alignment vertical="center"/>
      <protection locked="0" hidden="1"/>
    </xf>
    <xf numFmtId="0" fontId="8" fillId="4" borderId="2" xfId="0" applyNumberFormat="1" applyFont="1" applyFill="1" applyBorder="1" applyAlignment="1" applyProtection="1">
      <alignment vertical="center"/>
      <protection locked="0" hidden="1"/>
    </xf>
    <xf numFmtId="0" fontId="9" fillId="5" borderId="2" xfId="0" applyNumberFormat="1" applyFont="1" applyFill="1" applyBorder="1" applyAlignment="1" applyProtection="1">
      <alignment vertical="center" wrapText="1"/>
      <protection locked="0" hidden="1"/>
    </xf>
    <xf numFmtId="0" fontId="8" fillId="0" borderId="0" xfId="0" applyNumberFormat="1" applyFont="1" applyFill="1" applyBorder="1" applyAlignment="1" applyProtection="1">
      <alignment vertical="center" wrapText="1"/>
      <protection locked="0" hidden="1"/>
    </xf>
    <xf numFmtId="0" fontId="8" fillId="0" borderId="2" xfId="0" applyNumberFormat="1" applyFont="1" applyFill="1" applyBorder="1" applyAlignment="1" applyProtection="1">
      <alignment vertical="center"/>
      <protection locked="0" hidden="1"/>
    </xf>
    <xf numFmtId="0" fontId="9" fillId="0" borderId="0" xfId="0" applyNumberFormat="1" applyFont="1" applyFill="1" applyBorder="1" applyAlignment="1" applyProtection="1">
      <alignment horizontal="left" vertical="center"/>
      <protection locked="0" hidden="1"/>
    </xf>
    <xf numFmtId="0" fontId="9" fillId="0" borderId="3" xfId="0" applyNumberFormat="1" applyFont="1" applyFill="1" applyBorder="1" applyAlignment="1" applyProtection="1">
      <alignment vertical="center" wrapText="1"/>
      <protection locked="0" hidden="1"/>
    </xf>
    <xf numFmtId="0" fontId="11" fillId="0" borderId="2" xfId="0" applyNumberFormat="1" applyFont="1" applyFill="1" applyBorder="1" applyAlignment="1" applyProtection="1">
      <alignment vertical="center"/>
    </xf>
    <xf numFmtId="0" fontId="9" fillId="0" borderId="4" xfId="0" applyNumberFormat="1" applyFont="1" applyFill="1" applyBorder="1" applyAlignment="1" applyProtection="1">
      <alignment vertical="center" wrapText="1"/>
      <protection locked="0" hidden="1"/>
    </xf>
    <xf numFmtId="0" fontId="12" fillId="2" borderId="5" xfId="0" applyNumberFormat="1" applyFont="1" applyFill="1" applyBorder="1" applyAlignment="1" applyProtection="1">
      <alignment horizontal="left" vertical="center"/>
      <protection locked="0" hidden="1"/>
    </xf>
    <xf numFmtId="0" fontId="12" fillId="2" borderId="0" xfId="0" applyNumberFormat="1" applyFont="1" applyFill="1" applyBorder="1" applyAlignment="1" applyProtection="1">
      <alignment horizontal="left" vertical="center"/>
      <protection locked="0" hidden="1"/>
    </xf>
    <xf numFmtId="0" fontId="12" fillId="2" borderId="0" xfId="0" applyNumberFormat="1" applyFont="1" applyFill="1" applyBorder="1" applyAlignment="1" applyProtection="1">
      <alignment horizontal="center" vertical="center"/>
      <protection locked="0" hidden="1"/>
    </xf>
    <xf numFmtId="0" fontId="8" fillId="3" borderId="2" xfId="0" applyNumberFormat="1" applyFont="1" applyFill="1" applyBorder="1" applyAlignment="1" applyProtection="1">
      <alignment horizontal="center" vertical="center" wrapText="1"/>
      <protection locked="0" hidden="1"/>
    </xf>
    <xf numFmtId="0" fontId="8" fillId="0" borderId="6" xfId="0" applyNumberFormat="1" applyFont="1" applyFill="1" applyBorder="1" applyAlignment="1" applyProtection="1">
      <alignment horizontal="center" vertical="center"/>
      <protection locked="0" hidden="1"/>
    </xf>
    <xf numFmtId="0" fontId="9" fillId="0" borderId="2" xfId="0" applyNumberFormat="1" applyFont="1" applyFill="1" applyBorder="1" applyAlignment="1" applyProtection="1">
      <alignment vertical="center"/>
      <protection locked="0" hidden="1"/>
    </xf>
    <xf numFmtId="0" fontId="8" fillId="0" borderId="4" xfId="0" applyNumberFormat="1" applyFont="1" applyFill="1" applyBorder="1" applyAlignment="1" applyProtection="1">
      <alignment horizontal="center" vertical="center"/>
      <protection locked="0" hidden="1"/>
    </xf>
    <xf numFmtId="0" fontId="10" fillId="4" borderId="2" xfId="0" applyNumberFormat="1" applyFont="1" applyFill="1" applyBorder="1" applyAlignment="1" applyProtection="1">
      <alignment horizontal="left" vertical="center"/>
      <protection locked="0" hidden="1"/>
    </xf>
    <xf numFmtId="0" fontId="9" fillId="5" borderId="2" xfId="0" applyNumberFormat="1" applyFont="1" applyFill="1" applyBorder="1" applyAlignment="1" applyProtection="1">
      <alignment horizontal="left" vertical="center"/>
      <protection locked="0"/>
    </xf>
    <xf numFmtId="0" fontId="8" fillId="5" borderId="3" xfId="0" applyNumberFormat="1" applyFont="1" applyFill="1" applyBorder="1" applyAlignment="1" applyProtection="1">
      <alignment vertical="center"/>
      <protection locked="0"/>
    </xf>
    <xf numFmtId="0" fontId="8" fillId="6" borderId="2" xfId="0" applyNumberFormat="1" applyFont="1" applyFill="1" applyBorder="1" applyAlignment="1" applyProtection="1">
      <alignment horizontal="center" vertical="center" wrapText="1"/>
      <protection hidden="1"/>
    </xf>
    <xf numFmtId="0" fontId="13" fillId="0" borderId="6" xfId="0" applyNumberFormat="1" applyFont="1" applyFill="1" applyBorder="1" applyAlignment="1" applyProtection="1">
      <alignment vertical="center" wrapText="1"/>
      <protection locked="0" hidden="1"/>
    </xf>
    <xf numFmtId="0" fontId="13" fillId="0" borderId="4" xfId="0" applyNumberFormat="1" applyFont="1" applyFill="1" applyBorder="1" applyAlignment="1" applyProtection="1">
      <alignment vertical="center" wrapText="1"/>
      <protection locked="0" hidden="1"/>
    </xf>
    <xf numFmtId="0" fontId="9" fillId="0" borderId="6" xfId="0" applyNumberFormat="1" applyFont="1" applyFill="1" applyBorder="1" applyAlignment="1" applyProtection="1">
      <alignment vertical="center"/>
      <protection locked="0" hidden="1"/>
    </xf>
    <xf numFmtId="0" fontId="9" fillId="0" borderId="4" xfId="0" applyNumberFormat="1" applyFont="1" applyFill="1" applyBorder="1" applyAlignment="1" applyProtection="1">
      <alignment vertical="center"/>
      <protection locked="0" hidden="1"/>
    </xf>
    <xf numFmtId="0" fontId="9" fillId="5" borderId="3" xfId="0" applyNumberFormat="1" applyFont="1" applyFill="1" applyBorder="1" applyAlignment="1" applyProtection="1">
      <alignment vertical="center"/>
      <protection locked="0"/>
    </xf>
    <xf numFmtId="0" fontId="9" fillId="0" borderId="6" xfId="0" applyNumberFormat="1" applyFont="1" applyFill="1" applyBorder="1" applyAlignment="1" applyProtection="1">
      <alignment vertical="center" wrapText="1"/>
      <protection locked="0" hidden="1"/>
    </xf>
    <xf numFmtId="0" fontId="8" fillId="6" borderId="2" xfId="0" applyNumberFormat="1" applyFont="1" applyFill="1" applyBorder="1" applyAlignment="1" applyProtection="1">
      <alignment vertical="center" wrapText="1"/>
      <protection hidden="1"/>
    </xf>
    <xf numFmtId="0" fontId="9" fillId="0" borderId="3" xfId="0" applyNumberFormat="1" applyFont="1" applyFill="1" applyBorder="1" applyAlignment="1" applyProtection="1">
      <alignment vertical="center"/>
      <protection locked="0" hidden="1"/>
    </xf>
    <xf numFmtId="0" fontId="13" fillId="0" borderId="3" xfId="0" applyNumberFormat="1" applyFont="1" applyFill="1" applyBorder="1" applyAlignment="1" applyProtection="1">
      <alignment vertical="center" wrapText="1"/>
      <protection locked="0" hidden="1"/>
    </xf>
    <xf numFmtId="0" fontId="9" fillId="0" borderId="0" xfId="0" applyNumberFormat="1" applyFont="1" applyFill="1" applyBorder="1" applyAlignment="1" applyProtection="1">
      <alignment vertical="center" wrapText="1"/>
      <protection hidden="1"/>
    </xf>
    <xf numFmtId="0" fontId="9" fillId="0" borderId="2" xfId="0" applyNumberFormat="1" applyFont="1" applyFill="1" applyBorder="1" applyAlignment="1" applyProtection="1">
      <alignment vertical="center" wrapText="1"/>
      <protection locked="0" hidden="1"/>
    </xf>
    <xf numFmtId="0" fontId="9" fillId="0" borderId="7" xfId="0" applyNumberFormat="1" applyFont="1" applyFill="1" applyBorder="1" applyAlignment="1" applyProtection="1">
      <alignment horizontal="center" vertical="center" wrapText="1"/>
      <protection locked="0" hidden="1"/>
    </xf>
    <xf numFmtId="0" fontId="9" fillId="0" borderId="8" xfId="0" applyNumberFormat="1" applyFont="1" applyFill="1" applyBorder="1" applyAlignment="1" applyProtection="1">
      <alignment horizontal="center" vertical="center" wrapText="1"/>
      <protection locked="0" hidden="1"/>
    </xf>
    <xf numFmtId="0" fontId="9" fillId="0" borderId="0" xfId="0" applyNumberFormat="1" applyFont="1" applyFill="1" applyBorder="1" applyAlignment="1" applyProtection="1">
      <alignment horizontal="center" vertical="center" wrapText="1"/>
      <protection locked="0" hidden="1"/>
    </xf>
    <xf numFmtId="0" fontId="9" fillId="0" borderId="9" xfId="0" applyNumberFormat="1" applyFont="1" applyFill="1" applyBorder="1" applyAlignment="1" applyProtection="1">
      <alignment horizontal="center" vertical="center" wrapText="1"/>
      <protection locked="0" hidden="1"/>
    </xf>
    <xf numFmtId="0" fontId="9" fillId="0" borderId="10" xfId="0" applyNumberFormat="1" applyFont="1" applyFill="1" applyBorder="1" applyAlignment="1" applyProtection="1">
      <alignment horizontal="center" vertical="center" wrapText="1"/>
      <protection locked="0" hidden="1"/>
    </xf>
    <xf numFmtId="0" fontId="9" fillId="0" borderId="11" xfId="0" applyNumberFormat="1" applyFont="1" applyFill="1" applyBorder="1" applyAlignment="1" applyProtection="1">
      <alignment horizontal="center" vertical="center" wrapText="1"/>
      <protection locked="0" hidden="1"/>
    </xf>
    <xf numFmtId="0" fontId="9" fillId="0" borderId="12" xfId="0" applyNumberFormat="1" applyFont="1" applyFill="1" applyBorder="1" applyAlignment="1" applyProtection="1">
      <alignment vertical="center" wrapText="1"/>
      <protection locked="0" hidden="1"/>
    </xf>
    <xf numFmtId="0" fontId="9" fillId="0" borderId="0" xfId="0" applyNumberFormat="1" applyFont="1" applyFill="1" applyBorder="1" applyAlignment="1" applyProtection="1">
      <alignment vertical="center"/>
      <protection locked="0"/>
    </xf>
    <xf numFmtId="176" fontId="9" fillId="0" borderId="0" xfId="0" applyNumberFormat="1" applyFont="1" applyFill="1" applyBorder="1" applyAlignment="1" applyProtection="1">
      <alignment vertical="center"/>
      <protection locked="0"/>
    </xf>
    <xf numFmtId="0" fontId="14" fillId="0" borderId="0" xfId="0" applyNumberFormat="1" applyFont="1" applyFill="1" applyBorder="1" applyAlignment="1" applyProtection="1">
      <alignment vertical="center"/>
      <protection locked="0"/>
    </xf>
    <xf numFmtId="176" fontId="15" fillId="2" borderId="0" xfId="0" applyNumberFormat="1" applyFont="1" applyFill="1" applyBorder="1" applyAlignment="1" applyProtection="1">
      <alignment horizontal="center" vertical="center"/>
      <protection locked="0"/>
    </xf>
    <xf numFmtId="0" fontId="16" fillId="7" borderId="0" xfId="0" applyNumberFormat="1" applyFont="1" applyFill="1" applyBorder="1" applyAlignment="1" applyProtection="1">
      <alignment horizontal="center" vertical="center"/>
      <protection locked="0"/>
    </xf>
    <xf numFmtId="0" fontId="17" fillId="0" borderId="0" xfId="0" applyNumberFormat="1" applyFont="1" applyFill="1" applyBorder="1" applyAlignment="1" applyProtection="1">
      <alignment horizontal="left" vertical="center"/>
      <protection locked="0" hidden="1"/>
    </xf>
    <xf numFmtId="0" fontId="9" fillId="8" borderId="2" xfId="0" applyNumberFormat="1" applyFont="1" applyFill="1" applyBorder="1" applyAlignment="1" applyProtection="1">
      <alignment vertical="center" wrapText="1"/>
      <protection locked="0" hidden="1"/>
    </xf>
    <xf numFmtId="0" fontId="17" fillId="0" borderId="0" xfId="0" applyNumberFormat="1" applyFont="1" applyFill="1" applyBorder="1" applyAlignment="1" applyProtection="1">
      <alignment horizontal="left" vertical="center"/>
      <protection locked="0"/>
    </xf>
    <xf numFmtId="0" fontId="8" fillId="8" borderId="2" xfId="0" applyNumberFormat="1" applyFont="1" applyFill="1" applyBorder="1" applyAlignment="1" applyProtection="1">
      <alignment vertical="center"/>
      <protection locked="0"/>
    </xf>
    <xf numFmtId="9" fontId="9" fillId="8" borderId="2" xfId="0" applyNumberFormat="1" applyFont="1" applyFill="1" applyBorder="1" applyAlignment="1" applyProtection="1">
      <alignment vertical="center" wrapText="1"/>
      <protection locked="0"/>
    </xf>
    <xf numFmtId="176" fontId="18" fillId="3" borderId="5" xfId="0" applyNumberFormat="1" applyFont="1" applyFill="1" applyBorder="1" applyAlignment="1" applyProtection="1">
      <alignment horizontal="center" vertical="center" wrapText="1"/>
      <protection locked="0"/>
    </xf>
    <xf numFmtId="176" fontId="18" fillId="3" borderId="0" xfId="0" applyNumberFormat="1" applyFont="1" applyFill="1" applyBorder="1" applyAlignment="1" applyProtection="1">
      <alignment horizontal="center" vertical="center" wrapText="1"/>
      <protection locked="0"/>
    </xf>
    <xf numFmtId="176" fontId="9" fillId="0" borderId="0" xfId="0" applyNumberFormat="1" applyFont="1" applyFill="1" applyBorder="1" applyAlignment="1" applyProtection="1">
      <alignment horizontal="left" vertical="top" wrapText="1"/>
      <protection hidden="1"/>
    </xf>
    <xf numFmtId="176" fontId="9" fillId="0" borderId="0" xfId="0" applyNumberFormat="1" applyFont="1" applyFill="1" applyBorder="1" applyAlignment="1" applyProtection="1">
      <alignment vertical="top" wrapText="1"/>
      <protection locked="0"/>
    </xf>
    <xf numFmtId="10" fontId="9" fillId="0" borderId="0" xfId="0" applyNumberFormat="1" applyFont="1" applyFill="1" applyBorder="1" applyAlignment="1" applyProtection="1">
      <alignment vertical="center"/>
      <protection locked="0"/>
    </xf>
    <xf numFmtId="0" fontId="19" fillId="0" borderId="0" xfId="0" applyNumberFormat="1" applyFont="1" applyFill="1" applyBorder="1" applyAlignment="1" applyProtection="1">
      <alignment vertical="center"/>
      <protection locked="0" hidden="1"/>
    </xf>
    <xf numFmtId="0" fontId="19" fillId="0" borderId="0" xfId="0" applyNumberFormat="1" applyFont="1" applyFill="1" applyBorder="1" applyAlignment="1" applyProtection="1">
      <alignment vertical="center"/>
      <protection locked="0"/>
    </xf>
    <xf numFmtId="0" fontId="9" fillId="0" borderId="0" xfId="0" applyNumberFormat="1" applyFont="1" applyFill="1" applyBorder="1" applyAlignment="1" applyProtection="1">
      <alignment vertical="center" wrapText="1"/>
      <protection locked="0"/>
    </xf>
    <xf numFmtId="0" fontId="17" fillId="0" borderId="0" xfId="0" applyNumberFormat="1" applyFont="1" applyFill="1" applyBorder="1" applyAlignment="1" applyProtection="1">
      <alignment horizontal="left" vertical="center" wrapText="1"/>
      <protection locked="0" hidden="1"/>
    </xf>
    <xf numFmtId="0" fontId="17" fillId="0" borderId="0" xfId="0" applyNumberFormat="1" applyFont="1" applyFill="1" applyBorder="1" applyAlignment="1" applyProtection="1">
      <alignment vertical="center" wrapText="1"/>
      <protection locked="0" hidden="1"/>
    </xf>
    <xf numFmtId="0" fontId="8" fillId="2" borderId="0" xfId="0" applyNumberFormat="1" applyFont="1" applyFill="1" applyBorder="1" applyAlignment="1" applyProtection="1">
      <alignment horizontal="center" vertical="center"/>
      <protection locked="0" hidden="1"/>
    </xf>
    <xf numFmtId="0" fontId="9" fillId="5" borderId="3" xfId="0" applyNumberFormat="1" applyFont="1" applyFill="1" applyBorder="1" applyAlignment="1" applyProtection="1">
      <alignment vertical="center" wrapText="1"/>
      <protection locked="0" hidden="1"/>
    </xf>
    <xf numFmtId="0" fontId="9" fillId="6" borderId="2" xfId="0" applyNumberFormat="1" applyFont="1" applyFill="1" applyBorder="1" applyAlignment="1" applyProtection="1">
      <alignment horizontal="left" vertical="top" wrapText="1"/>
      <protection hidden="1"/>
    </xf>
    <xf numFmtId="0" fontId="9" fillId="0" borderId="0" xfId="0" applyNumberFormat="1" applyFont="1" applyFill="1" applyBorder="1" applyAlignment="1" applyProtection="1">
      <alignment horizontal="left" vertical="top" wrapText="1"/>
      <protection locked="0" hidden="1"/>
    </xf>
    <xf numFmtId="0" fontId="9" fillId="5" borderId="3" xfId="0" applyNumberFormat="1" applyFont="1" applyFill="1" applyBorder="1" applyAlignment="1" applyProtection="1">
      <alignment vertical="center"/>
      <protection locked="0" hidden="1"/>
    </xf>
    <xf numFmtId="0" fontId="20" fillId="0" borderId="0" xfId="0" applyNumberFormat="1" applyFont="1" applyFill="1" applyBorder="1" applyAlignment="1" applyProtection="1">
      <alignment horizontal="center" vertical="center"/>
      <protection locked="0" hidden="1"/>
    </xf>
    <xf numFmtId="0" fontId="9" fillId="0" borderId="0" xfId="0" applyNumberFormat="1" applyFont="1" applyFill="1" applyBorder="1" applyAlignment="1" applyProtection="1">
      <alignment horizontal="center" vertical="top" wrapText="1"/>
      <protection locked="0" hidden="1"/>
    </xf>
    <xf numFmtId="0" fontId="12" fillId="2" borderId="5" xfId="0" applyNumberFormat="1" applyFont="1" applyFill="1" applyBorder="1" applyAlignment="1" applyProtection="1">
      <alignment horizontal="center" vertical="center"/>
      <protection locked="0"/>
    </xf>
    <xf numFmtId="0" fontId="12" fillId="2" borderId="0" xfId="0" applyNumberFormat="1" applyFont="1" applyFill="1" applyBorder="1" applyAlignment="1" applyProtection="1">
      <alignment horizontal="center" vertical="center"/>
      <protection locked="0"/>
    </xf>
    <xf numFmtId="0" fontId="8" fillId="0" borderId="3" xfId="0" applyNumberFormat="1" applyFont="1" applyFill="1" applyBorder="1" applyAlignment="1" applyProtection="1">
      <alignment horizontal="center" vertical="center"/>
      <protection locked="0" hidden="1"/>
    </xf>
    <xf numFmtId="0" fontId="8" fillId="0" borderId="2" xfId="0" applyNumberFormat="1" applyFont="1" applyFill="1" applyBorder="1" applyAlignment="1" applyProtection="1">
      <alignment horizontal="center" vertical="center"/>
      <protection locked="0" hidden="1"/>
    </xf>
    <xf numFmtId="0" fontId="10" fillId="4" borderId="2" xfId="0" applyNumberFormat="1" applyFont="1" applyFill="1" applyBorder="1" applyAlignment="1" applyProtection="1">
      <alignment vertical="center"/>
      <protection locked="0"/>
    </xf>
    <xf numFmtId="0" fontId="9" fillId="5" borderId="2" xfId="0" applyNumberFormat="1" applyFont="1" applyFill="1" applyBorder="1" applyAlignment="1" applyProtection="1">
      <alignment vertical="center"/>
      <protection locked="0"/>
    </xf>
    <xf numFmtId="0" fontId="8" fillId="5" borderId="2" xfId="0" applyNumberFormat="1" applyFont="1" applyFill="1" applyBorder="1" applyAlignment="1" applyProtection="1">
      <alignment vertical="center"/>
      <protection locked="0"/>
    </xf>
    <xf numFmtId="0" fontId="13" fillId="0" borderId="2" xfId="0" applyNumberFormat="1" applyFont="1" applyFill="1" applyBorder="1" applyAlignment="1" applyProtection="1">
      <alignment vertical="center" wrapText="1"/>
      <protection locked="0" hidden="1"/>
    </xf>
    <xf numFmtId="0" fontId="9" fillId="0" borderId="2" xfId="0" applyNumberFormat="1" applyFont="1" applyFill="1" applyBorder="1" applyAlignment="1" applyProtection="1">
      <alignment horizontal="center" vertical="center" wrapText="1"/>
      <protection locked="0" hidden="1"/>
    </xf>
    <xf numFmtId="0" fontId="9" fillId="0" borderId="2" xfId="0" applyNumberFormat="1" applyFont="1" applyFill="1" applyBorder="1" applyAlignment="1" applyProtection="1">
      <alignment vertical="center"/>
      <protection locked="0"/>
    </xf>
    <xf numFmtId="177" fontId="21" fillId="0" borderId="2" xfId="0" applyNumberFormat="1" applyFont="1" applyFill="1" applyBorder="1" applyAlignment="1" applyProtection="1">
      <alignment horizontal="left" vertical="center" wrapText="1"/>
      <protection locked="0"/>
    </xf>
    <xf numFmtId="0" fontId="9" fillId="0" borderId="2" xfId="0" applyNumberFormat="1" applyFont="1" applyFill="1" applyBorder="1" applyAlignment="1" applyProtection="1">
      <alignment vertical="center" wrapText="1"/>
      <protection locked="0"/>
    </xf>
    <xf numFmtId="0" fontId="13" fillId="0" borderId="13" xfId="0" applyNumberFormat="1" applyFont="1" applyFill="1" applyBorder="1" applyAlignment="1" applyProtection="1">
      <alignment vertical="center" wrapText="1"/>
      <protection locked="0" hidden="1"/>
    </xf>
    <xf numFmtId="0" fontId="9" fillId="0" borderId="4" xfId="0" applyNumberFormat="1" applyFont="1" applyFill="1" applyBorder="1" applyAlignment="1" applyProtection="1">
      <alignment horizontal="center" vertical="center"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D5D5D5"/>
      <rgbColor rgb="00A5A5A5"/>
      <rgbColor rgb="003F3F3F"/>
      <rgbColor rgb="00FEFFFE"/>
      <rgbColor rgb="00BDC0BF"/>
      <rgbColor rgb="0037415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DEECF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3</xdr:col>
      <xdr:colOff>178435</xdr:colOff>
      <xdr:row>16</xdr:row>
      <xdr:rowOff>143510</xdr:rowOff>
    </xdr:to>
    <xdr:pic>
      <xdr:nvPicPr>
        <xdr:cNvPr id="2" name="图片 1"/>
        <xdr:cNvPicPr>
          <a:picLocks noChangeAspect="1"/>
        </xdr:cNvPicPr>
      </xdr:nvPicPr>
      <xdr:blipFill>
        <a:blip r:embed="rId1"/>
        <a:stretch>
          <a:fillRect/>
        </a:stretch>
      </xdr:blipFill>
      <xdr:spPr>
        <a:xfrm>
          <a:off x="9525" y="9525"/>
          <a:ext cx="1997710" cy="2724785"/>
        </a:xfrm>
        <a:prstGeom prst="rect">
          <a:avLst/>
        </a:prstGeom>
        <a:noFill/>
        <a:ln w="9525">
          <a:noFill/>
        </a:ln>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panose="02000503000000020004"/>
            <a:ea typeface="Helvetica Neue Medium" panose="02000503000000020004"/>
            <a:cs typeface="Helvetica Neue Medium" panose="02000503000000020004"/>
            <a:sym typeface="Helvetica Neue Medium"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workbookViewId="0">
      <selection activeCell="E7" sqref="E7"/>
    </sheetView>
  </sheetViews>
  <sheetFormatPr defaultColWidth="8.35238095238095" defaultRowHeight="13.5"/>
  <cols>
    <col min="1" max="1" width="9.80952380952381" style="65" customWidth="1"/>
    <col min="2" max="2" width="21.8571428571429" style="65" customWidth="1"/>
    <col min="3" max="3" width="15.3333333333333" style="65" customWidth="1"/>
    <col min="4" max="4" width="35.2857142857143" style="65" customWidth="1"/>
    <col min="5" max="5" width="75.5904761904762" style="19" customWidth="1"/>
    <col min="6" max="6" width="38.6857142857143" style="19" customWidth="1"/>
    <col min="7" max="8" width="38.6857142857143" style="57" customWidth="1"/>
    <col min="9" max="9" width="33.3333333333333" style="18" customWidth="1"/>
    <col min="10" max="10" width="38.2380952380952" style="19" customWidth="1"/>
    <col min="11" max="11" width="43" style="18" customWidth="1"/>
    <col min="12" max="16384" width="8.57142857142857" style="18"/>
  </cols>
  <sheetData>
    <row r="1" s="18" customFormat="1" ht="60" customHeight="1" spans="1:11">
      <c r="A1" s="92" t="s">
        <v>0</v>
      </c>
      <c r="B1" s="93"/>
      <c r="C1" s="93"/>
      <c r="D1" s="93"/>
      <c r="E1" s="39" t="str">
        <f>IF(OR(B2="👀宏观市场调研",B2="🙋受众分析",B2="💃红人开发"),B2,B3)&amp;"Prompts"</f>
        <v>🆚竞品功能对比Prompts</v>
      </c>
      <c r="F1" s="94" t="s">
        <v>1</v>
      </c>
      <c r="G1" s="95" t="s">
        <v>2</v>
      </c>
      <c r="H1" s="95" t="s">
        <v>3</v>
      </c>
      <c r="I1" s="50" t="s">
        <v>4</v>
      </c>
      <c r="J1" s="57" t="s">
        <v>5</v>
      </c>
      <c r="K1" s="19"/>
    </row>
    <row r="2" s="18" customFormat="1" ht="39" customHeight="1" spans="1:11">
      <c r="A2" s="96" t="s">
        <v>6</v>
      </c>
      <c r="B2" s="97" t="s">
        <v>7</v>
      </c>
      <c r="C2" s="96" t="s">
        <v>8</v>
      </c>
      <c r="D2" s="98" t="s">
        <v>9</v>
      </c>
      <c r="E2" s="46" t="str">
        <f>IF($B$2="👀宏观市场调研",F2,IF($B$2="🙋受众分析",G2,IF($B$2="💃红人开发",H2,IF(AND(B2="🔍微观竞品分析",B3="💯竞品文案分析"),J2,IF(AND(B2="🔍微观竞品分析",B3="🆚竞品功能对比"),I2,"")))))</f>
        <v>【竞品功能对比】将以下产品的功能进行归纳对比分析，并以表格形式中文输出，最后一列根据产品竞争力打一个总分（满分10分）：#竞品ASIN1| 【竞品1标题】Portable Power Station, 300Wh Backup Lithium Battery,110V/300W Pure Sine Wave AC Outlet for Outdoors Camping Travel Hunting Blackout| 【竞品1五点】[PORTABLE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hours.#竞品ASIN2| 【竞品2标题】Portable Power Station 300W (Peak 600W), GRECELL 288Wh Solar Generator with 60W USB-C PD Output, 110V Pure Sine Wave AC Outlet Backup Lithium Battery for Outdoors Camping Travel Hunting Home Blackout| 【竞品2五点】【288Wh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generator.#竞品ASIN3| 【竞品3标题】300W Portable Power Station, 300Wh/81000mAh Laptop Power Bank with AC Outlet, Dual Way 65W PD/USB-C Port, Laptop Charger Battery Pack Power Supply for Outdoor Camping Home Emergency Outage| 【竞品3五点】【RAPID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service.#竞品ASIN4| 【竞品4标题】300W Portable Power Station, 299Wh/80818mAh Solar Generator, Regulated DC Output Backup Battery with Pass-Through Charging AC Outlet, Pure Sine Wave, LED Light Power Station for CPAP Camping| 【竞品4五点】More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F2" s="55" t="str">
        <f>"【角色设定】你是一名资深的"&amp;D3&amp;"亚马逊"&amp;D2&amp;"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【角色设定】你是一名资深的🇺🇸美国亚马逊【商品名称】portable power station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99"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【角色设定】你是一名🇺🇸美国亚马逊【商品名称】portable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H2" s="99"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【角色设定】你是一名资深的🇺🇸美国亚马逊【商品名称】portable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105" t="str">
        <f>"【竞品功能对比】将以下产品的功能进行归纳对比分析，并以表格形式中文输出，最后一列根据产品竞争力打一个总分（满分10分）："&amp;"#"&amp;B6&amp;"| "&amp;C6&amp;"| "&amp;D6&amp;"#"&amp;B7&amp;"| "&amp;C7&amp;"| "&amp;D7&amp;"#"&amp;B8&amp;"| "&amp;C8&amp;"| "&amp;D8&amp;"#"&amp;B9&amp;"| "&amp;C9&amp;"| "&amp;D9</f>
        <v>【竞品功能对比】将以下产品的功能进行归纳对比分析，并以表格形式中文输出，最后一列根据产品竞争力打一个总分（满分10分）：#竞品ASIN1| 【竞品1标题】Portable Power Station, 300Wh Backup Lithium Battery,110V/300W Pure Sine Wave AC Outlet for Outdoors Camping Travel Hunting Blackout| 【竞品1五点】[PORTABLE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hours.#竞品ASIN2| 【竞品2标题】Portable Power Station 300W (Peak 600W), GRECELL 288Wh Solar Generator with 60W USB-C PD Output, 110V Pure Sine Wave AC Outlet Backup Lithium Battery for Outdoors Camping Travel Hunting Home Blackout| 【竞品2五点】【288Wh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generator.#竞品ASIN3| 【竞品3标题】300W Portable Power Station, 300Wh/81000mAh Laptop Power Bank with AC Outlet, Dual Way 65W PD/USB-C Port, Laptop Charger Battery Pack Power Supply for Outdoor Camping Home Emergency Outage| 【竞品3五点】【RAPID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service.#竞品ASIN4| 【竞品4标题】300W Portable Power Station, 299Wh/80818mAh Solar Generator, Regulated DC Output Backup Battery with Pass-Through Charging AC Outlet, Pure Sine Wave, LED Light Power Station for CPAP Camping| 【竞品4五点】More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J2" s="100" t="str">
        <f>"【文案能力分析】针对"&amp;D2&amp;"这款产品，请分析亚马逊平台竞争对手的Listing，根据亚马逊规则，从合规性、SEO（依据是否埋入以下关键词"&amp;B4&amp;")，语法拼写、可读性、卖点，语言本土化，专业性，情感表达、号召性等方面评估Listing的质量，并打分（满分10分），用表格形式中文输出, 参考格式：产、合规性、SEO，语法拼写，可读性、卖点、本土化、专业性、情感、号召性。最后给到打分理由："&amp;B6&amp;"| "&amp;D6&amp;B7&amp;"| "&amp;D7&amp;B8&amp;"| "&amp;D8&amp;B9&amp;"| "&amp;D9</f>
        <v>【文案能力分析】针对【商品名称】portable power station这款产品，请分析亚马逊平台竞争对手的Listing，根据亚马逊规则，从合规性、SEO（依据是否埋入以下关键词【关键词】portable power station, solar generator, power generator, outdoor generator, electric generator)，语法拼写、可读性、卖点，语言本土化，专业性，情感表达、号召性等方面评估Listing的质量，并打分（满分10分），用表格形式中文输出, 参考格式：产、合规性、SEO，语法拼写，可读性、卖点、本土化、专业性、情感、号召性。最后给到打分理由：竞品ASIN1| 【竞品1五点】[PORTABLE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hours.竞品ASIN2| 【竞品2五点】【288Wh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generator.竞品ASIN3| 【竞品3五点】【RAPID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service.竞品ASIN4| 【竞品4五点】More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K2" s="60" t="s">
        <v>10</v>
      </c>
    </row>
    <row r="3" s="18" customFormat="1" ht="39" customHeight="1" spans="1:11">
      <c r="A3" s="23" t="str">
        <f>IF(B2="🔍微观竞品分析","*细分任务","")</f>
        <v>*细分任务</v>
      </c>
      <c r="B3" s="97" t="s">
        <v>11</v>
      </c>
      <c r="C3" s="96" t="s">
        <v>12</v>
      </c>
      <c r="D3" s="98" t="s">
        <v>13</v>
      </c>
      <c r="E3" s="46"/>
      <c r="F3" s="55" t="str">
        <f>"【市场容量】"&amp;"分析"&amp;D2&amp;"在"&amp;D3&amp;"市场容量和年销售额。"</f>
        <v>【市场容量】分析【商品名称】portable power station在🇺🇸美国市场容量和年销售额。</v>
      </c>
      <c r="G3" s="41" t="str">
        <f>"【受众特征】分析"&amp;D2&amp;"在"&amp;D3&amp;"的受众人群特征,包括不限于他们的所在性别，年龄，兴趣，职业，收入，教育，家庭情况"</f>
        <v>【受众特征】分析【商品名称】portable power station在🇺🇸美国的受众人群特征,包括不限于他们的所在性别，年龄，兴趣，职业，收入，教育，家庭情况</v>
      </c>
      <c r="H3" s="41" t="str">
        <f>"【受众特征】分析"&amp;D2&amp;"在"&amp;D3&amp;"的受众人群t特征,包括不限于他们的所在性别，年龄，兴趣，职业，收入，教育，家庭情况"</f>
        <v>【受众特征】分析【商品名称】portable power station在🇺🇸美国的受众人群t特征,包括不限于他们的所在性别，年龄，兴趣，职业，收入，教育，家庭情况</v>
      </c>
      <c r="I3" s="105"/>
      <c r="J3" s="100"/>
      <c r="K3" s="60"/>
    </row>
    <row r="4" s="18" customFormat="1" ht="76" customHeight="1" spans="1:11">
      <c r="A4" s="41" t="s">
        <v>14</v>
      </c>
      <c r="B4" s="100" t="s">
        <v>15</v>
      </c>
      <c r="C4" s="100"/>
      <c r="D4" s="100"/>
      <c r="E4" s="46"/>
      <c r="F4" s="55" t="str">
        <f>"【市场趋势】"&amp;"分析"&amp;D3&amp;D2&amp;"，1、所处生命周期；2、年增长趋势和年复合增长率；3、旺季与淡季情况。"</f>
        <v>【市场趋势】分析🇺🇸美国【商品名称】portable power station，1、所处生命周期；2、年增长趋势和年复合增长率；3、旺季与淡季情况。</v>
      </c>
      <c r="G4" s="57" t="str">
        <f>"【受众习惯】分析"&amp;D2&amp;"在"&amp;D3&amp;"的受众人群购物频次，消费金额，购物时间，购物方式"</f>
        <v>【受众习惯】分析【商品名称】portable power station在🇺🇸美国的受众人群购物频次，消费金额，购物时间，购物方式</v>
      </c>
      <c r="H4" s="41" t="str">
        <f>"【受众话题】"&amp;D3&amp;D2&amp;"的受众人群喜欢哪些话题内容，他们平时最常用的社媒平台有哪些?"</f>
        <v>【受众话题】🇺🇸美国【商品名称】portable power station的受众人群喜欢哪些话题内容，他们平时最常用的社媒平台有哪些?</v>
      </c>
      <c r="I4" s="105"/>
      <c r="J4" s="100"/>
      <c r="K4" s="60"/>
    </row>
    <row r="5" s="18" customFormat="1" ht="61" customHeight="1" spans="1:11">
      <c r="A5" s="41" t="str">
        <f>IF(B2="🔍微观竞品分析","竞品","")</f>
        <v>竞品</v>
      </c>
      <c r="B5" s="41" t="str">
        <f>IF(B2="🔍微观竞品分析","*Asin","")</f>
        <v>*Asin</v>
      </c>
      <c r="C5" s="41" t="str">
        <f>IF(AND(B2="🔍微观竞品分析",B3="🆚竞品功能对比"),"*标题","")</f>
        <v>*标题</v>
      </c>
      <c r="D5" s="41" t="str">
        <f>IF(B2="🔍微观竞品分析","*五行","")</f>
        <v>*五行</v>
      </c>
      <c r="E5" s="46"/>
      <c r="F5" s="55" t="str">
        <f>"【市场竞争】"&amp;"分析"&amp;D2&amp;"在"&amp;D3&amp;"市场的竞争情况。"</f>
        <v>【市场竞争】分析【商品名称】portable power station在🇺🇸美国市场的竞争情况。</v>
      </c>
      <c r="G5" s="57" t="str">
        <f>"【受众需求】分析"&amp;D2&amp;"在"&amp;D3&amp;"的受众人群购买"&amp;D2&amp;"的动机，未满足需求，使用时间，使用场景"</f>
        <v>【受众需求】分析【商品名称】portable power station在🇺🇸美国的受众人群购买【商品名称】portable power station的动机，未满足需求，使用时间，使用场景</v>
      </c>
      <c r="H5" s="41" t="str">
        <f>"【社媒平台】如果我要在"&amp;D3&amp;"推广"&amp;D2&amp;"可以使用哪些社媒平台推广？如果只选择其中一个平台,你最会推荐哪个平台？原因是什么?"</f>
        <v>【社媒平台】如果我要在🇺🇸美国推广【商品名称】portable power station可以使用哪些社媒平台推广？如果只选择其中一个平台,你最会推荐哪个平台？原因是什么?</v>
      </c>
      <c r="I5" s="105"/>
      <c r="J5" s="100"/>
      <c r="K5" s="60"/>
    </row>
    <row r="6" s="18" customFormat="1" ht="39" customHeight="1" spans="1:11">
      <c r="A6" s="41" t="str">
        <f>IF(B2="🔍微观竞品分析","竞品1","")</f>
        <v>竞品1</v>
      </c>
      <c r="B6" s="101" t="s">
        <v>16</v>
      </c>
      <c r="C6" s="102" t="s">
        <v>17</v>
      </c>
      <c r="D6" s="103" t="s">
        <v>18</v>
      </c>
      <c r="E6" s="53" t="str">
        <f>IF(IF($B$2="👀宏观市场调研",F3,IF($B$2="🙋受众分析",G3,IF($B$2="💃红人开发",H3,"")))=0,"",IF($B$2="👀宏观市场调研",F3,IF($B$2="🙋受众分析",G3,IF($B$2="💃红人开发",H3,""))))</f>
        <v/>
      </c>
      <c r="F6" s="55" t="str">
        <f>"【TOP公司】"&amp;"分析"&amp;D3&amp;"市场头部的"&amp;D2&amp;"品牌，包括它们所属国家、成立年份、公司背景、年收入、"&amp;D2&amp;"市场份额占比和核心竞争力，并用表格形式输出结果。"</f>
        <v>【TOP公司】分析🇺🇸美国市场头部的【商品名称】portable power station品牌，包括它们所属国家、成立年份、公司背景、年收入、【商品名称】portable power station市场份额占比和核心竞争力，并用表格形式输出结果。</v>
      </c>
      <c r="G6" s="57" t="str">
        <f>"【受众购买产品】分析"&amp;D2&amp;"在"&amp;D3&amp;"的受众人群购买"&amp;D2&amp;"常购买的互补产品和其它产品"</f>
        <v>【受众购买产品】分析【商品名称】portable power station在🇺🇸美国的受众人群购买【商品名称】portable power station常购买的互补产品和其它产品</v>
      </c>
      <c r="H6" s="41" t="str">
        <f>"【找KOL】找20个"&amp;D3&amp;"你最推荐的平台KOL与"&amp;D2&amp;"话题相关，粉丝数量在1w-10w粉丝，并给到他们的频道名称，粉丝数量，频道介绍，国家，并用表格输出结果。"</f>
        <v>【找KOL】找20个🇺🇸美国你最推荐的平台KOL与【商品名称】portable power station话题相关，粉丝数量在1w-10w粉丝，并给到他们的频道名称，粉丝数量，频道介绍，国家，并用表格输出结果。</v>
      </c>
      <c r="I6" s="105"/>
      <c r="J6" s="100"/>
      <c r="K6" s="60"/>
    </row>
    <row r="7" s="18" customFormat="1" ht="39" customHeight="1" spans="1:10">
      <c r="A7" s="41" t="str">
        <f>IF(B2="🔍微观竞品分析","竞品2","")</f>
        <v>竞品2</v>
      </c>
      <c r="B7" s="101" t="s">
        <v>19</v>
      </c>
      <c r="C7" s="102" t="s">
        <v>20</v>
      </c>
      <c r="D7" s="103" t="s">
        <v>21</v>
      </c>
      <c r="E7" s="53" t="str">
        <f>IF(IF($B$2="👀宏观市场调研",F4,IF($B$2="🙋受众分析",G4,IF($B$2="💃红人开发",H4,"")))=0,"",IF($B$2="👀宏观市场调研",F4,IF($B$2="🙋受众分析",G4,IF($B$2="💃红人开发",H4,""))))</f>
        <v/>
      </c>
      <c r="F7" s="55" t="str">
        <f>"【产品认知】"&amp;"从多个方面和维度全面介绍"&amp;D2&amp;"。"</f>
        <v>【产品认知】从多个方面和维度全面介绍【商品名称】portable power station。</v>
      </c>
      <c r="G7" s="57" t="str">
        <f>"【受众问题】关于"&amp;D2&amp;"受众常问的TOP20的问题有哪些?"</f>
        <v>【受众问题】关于【商品名称】portable power station受众常问的TOP20的问题有哪些?</v>
      </c>
      <c r="H7" s="41" t="str">
        <f>"【受众搜索词】"&amp;D3&amp;D2&amp;"的受众人群，最常在该推荐平台上常使用的20个搜索关键词有哪些？"</f>
        <v>【受众搜索词】🇺🇸美国【商品名称】portable power station的受众人群，最常在该推荐平台上常使用的20个搜索关键词有哪些？</v>
      </c>
      <c r="I7" s="105"/>
      <c r="J7" s="100"/>
    </row>
    <row r="8" s="18" customFormat="1" ht="39" customHeight="1" spans="1:10">
      <c r="A8" s="41" t="str">
        <f>IF(B2="🔍微观竞品分析","竞品3","")</f>
        <v>竞品3</v>
      </c>
      <c r="B8" s="101" t="s">
        <v>22</v>
      </c>
      <c r="C8" s="102" t="s">
        <v>23</v>
      </c>
      <c r="D8" s="103" t="s">
        <v>24</v>
      </c>
      <c r="E8" s="53" t="str">
        <f>IF(IF($B$2="👀宏观市场调研",F5,IF($B$2="🙋受众分析",G5,IF($B$2="💃红人开发",H5,"")))=0,"",IF($B$2="👀宏观市场调研",F5,IF($B$2="🙋受众分析",G5,IF($B$2="💃红人开发",H5,""))))</f>
        <v/>
      </c>
      <c r="F8" s="55" t="str">
        <f>"【产品功能】"&amp;"详细阐述"&amp;D2&amp;"有哪些款式，功能和他们的平均成本，在"&amp;D3&amp;"市场平均客单价。"</f>
        <v>【产品功能】详细阐述【商品名称】portable power station有哪些款式，功能和他们的平均成本，在🇺🇸美国市场平均客单价。</v>
      </c>
      <c r="G8" s="41" t="str">
        <f>"【受众好评】关于"&amp;D2&amp;"受众对"&amp;D2&amp;"最常给出的TOP20好评有哪些？按照出现频次占比进行降序。"</f>
        <v>【受众好评】关于【商品名称】portable power station受众对【商品名称】portable power station最常给出的TOP20好评有哪些？按照出现频次占比进行降序。</v>
      </c>
      <c r="H8" s="41"/>
      <c r="I8" s="105"/>
      <c r="J8" s="100"/>
    </row>
    <row r="9" s="18" customFormat="1" ht="39" customHeight="1" spans="1:10">
      <c r="A9" s="41" t="str">
        <f>IF(B2="🔍微观竞品分析","竞品4","")</f>
        <v>竞品4</v>
      </c>
      <c r="B9" s="101" t="s">
        <v>25</v>
      </c>
      <c r="C9" s="102" t="s">
        <v>26</v>
      </c>
      <c r="D9" s="103" t="s">
        <v>27</v>
      </c>
      <c r="E9" s="53" t="str">
        <f>IF(IF($B$2="👀宏观市场调研",F6,IF($B$2="🙋受众分析",G6,IF($B$2="💃红人开发",H6,"")))=0,"",IF($B$2="👀宏观市场调研",F6,IF($B$2="🙋受众分析",G6,IF($B$2="💃红人开发",H6,""))))</f>
        <v/>
      </c>
      <c r="F9" s="55" t="str">
        <f>"【产品构成】"&amp;D2&amp;"由哪些材料和部件组成，他们的成本占比是多少，用表格输出。"</f>
        <v>【产品构成】【商品名称】portable power station由哪些材料和部件组成，他们的成本占比是多少，用表格输出。</v>
      </c>
      <c r="G9" s="57" t="str">
        <f>"【受众差评】关于"&amp;D2&amp;"受众对"&amp;D2&amp;"最常给出的TOP20差评有哪些？按照出现频次占比进行降序。"</f>
        <v>【受众差评】关于【商品名称】portable power station受众对【商品名称】portable power station最常给出的TOP20差评有哪些？按照出现频次占比进行降序。</v>
      </c>
      <c r="H9" s="57"/>
      <c r="I9" s="105"/>
      <c r="J9" s="100"/>
    </row>
    <row r="10" s="18" customFormat="1" ht="39" customHeight="1" spans="1:10">
      <c r="A10" s="65"/>
      <c r="B10" s="65"/>
      <c r="C10" s="65"/>
      <c r="D10" s="65"/>
      <c r="E10" s="53" t="str">
        <f>IF(IF($B$2="👀宏观市场调研",F7,IF($B$2="🙋受众分析",G7,IF($B$2="💃红人开发",H7,"")))=0,"",IF($B$2="👀宏观市场调研",F7,IF($B$2="🙋受众分析",G7,IF($B$2="💃红人开发",H7,""))))</f>
        <v/>
      </c>
      <c r="F10" s="55" t="str">
        <f>"【产品痛点】"&amp;D2&amp;"解决了哪些痛点,还有哪些痛点未被解决?"</f>
        <v>【产品痛点】【商品名称】portable power station解决了哪些痛点,还有哪些痛点未被解决?</v>
      </c>
      <c r="G10" s="41"/>
      <c r="H10" s="41"/>
      <c r="I10" s="105"/>
      <c r="J10" s="100"/>
    </row>
    <row r="11" s="18" customFormat="1" ht="39" customHeight="1" spans="1:10">
      <c r="A11" s="65"/>
      <c r="B11" s="65"/>
      <c r="C11" s="65"/>
      <c r="D11" s="65"/>
      <c r="E11" s="53" t="str">
        <f>IF(IF($B$2="👀宏观市场调研",F8,IF($B$2="🙋受众分析",G8,IF($B$2="💃红人开发",H8,"")))=0,"",IF($B$2="👀宏观市场调研",F8,IF($B$2="🙋受众分析",G8,IF($B$2="💃红人开发",H8,""))))</f>
        <v/>
      </c>
      <c r="F11" s="55" t="str">
        <f>"【客户问题】"&amp;"关于"&amp;D2&amp;"客户常问的问题有哪些?"</f>
        <v>【客户问题】关于【商品名称】portable power station客户常问的问题有哪些?</v>
      </c>
      <c r="G11" s="57"/>
      <c r="H11" s="57"/>
      <c r="I11" s="105"/>
      <c r="J11" s="100"/>
    </row>
    <row r="12" s="18" customFormat="1" ht="39" customHeight="1" spans="1:10">
      <c r="A12" s="65"/>
      <c r="B12" s="65"/>
      <c r="C12" s="65"/>
      <c r="D12" s="65"/>
      <c r="E12" s="53" t="str">
        <f>IF(IF($B$2="👀宏观市场调研",F9,IF($B$2="🙋受众分析",G9,IF($B$2="💃红人开发",H9,"")))=0,"",IF($B$2="👀宏观市场调研",F9,IF($B$2="🙋受众分析",G9,IF($B$2="💃红人开发",H9,""))))</f>
        <v/>
      </c>
      <c r="F12" s="55" t="str">
        <f>"【好评点】"&amp;"客户对"&amp;D2&amp;"最常给出的好评有哪些？按照占比进行降序。"</f>
        <v>【好评点】客户对【商品名称】portable power station最常给出的好评有哪些？按照占比进行降序。</v>
      </c>
      <c r="G12" s="99"/>
      <c r="H12" s="99"/>
      <c r="I12" s="105"/>
      <c r="J12" s="100"/>
    </row>
    <row r="13" s="18" customFormat="1" ht="39" customHeight="1" spans="1:10">
      <c r="A13" s="65"/>
      <c r="B13" s="65"/>
      <c r="C13" s="65"/>
      <c r="D13" s="65"/>
      <c r="E13" s="53" t="str">
        <f>IF(IF($B$2="👀宏观市场调研",F10,IF($B$2="🙋受众分析",G10,IF($B$2="💃红人开发",H10,"")))=0,"",IF($B$2="👀宏观市场调研",F10,IF($B$2="🙋受众分析",G10,IF($B$2="💃红人开发",H10,""))))</f>
        <v/>
      </c>
      <c r="F13" s="55" t="str">
        <f>"【吐槽点】"&amp;"客户对"&amp;D2&amp;"最常吐槽点点有哪些？按照占比进行降序。"</f>
        <v>【吐槽点】客户对【商品名称】portable power station最常吐槽点点有哪些？按照占比进行降序。</v>
      </c>
      <c r="G13" s="99"/>
      <c r="H13" s="99"/>
      <c r="I13" s="105"/>
      <c r="J13" s="100"/>
    </row>
    <row r="14" s="18" customFormat="1" ht="39" customHeight="1" spans="1:10">
      <c r="A14" s="65"/>
      <c r="B14" s="65"/>
      <c r="C14" s="65"/>
      <c r="D14" s="65"/>
      <c r="E14" s="53" t="str">
        <f>IF(IF($B$2="👀宏观市场调研",F11,IF($B$2="🙋受众分析",G11,IF($B$2="💃红人开发",H11,"")))=0,"",IF($B$2="👀宏观市场调研",F11,IF($B$2="🙋受众分析",G11,IF($B$2="💃红人开发",H11,""))))</f>
        <v/>
      </c>
      <c r="F14" s="55" t="str">
        <f>"【产品认证】"&amp;"将中国制造的"&amp;D2&amp;"销售到"&amp;D3&amp;"亚马逊平台需要做哪些认证？获取认证周期需要多久，费用需要多久，按照表格输出结果。"</f>
        <v>【产品认证】将中国制造的【商品名称】portable power station销售到🇺🇸美国亚马逊平台需要做哪些认证？获取认证周期需要多久，费用需要多久，按照表格输出结果。</v>
      </c>
      <c r="G14" s="99"/>
      <c r="H14" s="99"/>
      <c r="I14" s="105"/>
      <c r="J14" s="100"/>
    </row>
    <row r="15" s="18" customFormat="1" ht="39" customHeight="1" spans="1:10">
      <c r="A15" s="65"/>
      <c r="B15" s="65"/>
      <c r="C15" s="65"/>
      <c r="D15" s="65"/>
      <c r="E15" s="53" t="str">
        <f>IF(IF($B$2="👀宏观市场调研",F12,IF($B$2="🙋受众分析",G12,IF($B$2="💃红人开发",H12,"")))=0,"",IF($B$2="👀宏观市场调研",F12,IF($B$2="🙋受众分析",G12,IF($B$2="💃红人开发",H12,""))))</f>
        <v/>
      </c>
      <c r="F15" s="55" t="str">
        <f>"【产品专利】"&amp;D2&amp;"在美国销售是否有专利侵权风险，我可以从哪些方法去避免？"</f>
        <v>【产品专利】【商品名称】portable power station在美国销售是否有专利侵权风险，我可以从哪些方法去避免？</v>
      </c>
      <c r="G15" s="99"/>
      <c r="H15" s="99"/>
      <c r="I15" s="105"/>
      <c r="J15" s="100"/>
    </row>
    <row r="16" s="18" customFormat="1" ht="37" customHeight="1" spans="1:10">
      <c r="A16" s="65"/>
      <c r="B16" s="65"/>
      <c r="C16" s="65"/>
      <c r="D16" s="65"/>
      <c r="E16" s="53" t="str">
        <f>IF(IF($B$2="👀宏观市场调研",F13,IF($B$2="🙋受众分析",G13,IF($B$2="💃红人开发",H13,"")))=0,"",IF($B$2="👀宏观市场调研",F13,IF($B$2="🙋受众分析",G13,IF($B$2="💃红人开发",H13,""))))</f>
        <v/>
      </c>
      <c r="F16" s="55" t="str">
        <f>"【受众人群】"&amp;"分析"&amp;D2&amp;"在"&amp;D3&amp;"的目标受众，包含性别、年龄、兴趣、收入、教育程度、家庭情况以及常购买的产品。"</f>
        <v>【受众人群】分析【商品名称】portable power station在🇺🇸美国的目标受众，包含性别、年龄、兴趣、收入、教育程度、家庭情况以及常购买的产品。</v>
      </c>
      <c r="G16" s="99"/>
      <c r="H16" s="99"/>
      <c r="I16" s="105"/>
      <c r="J16" s="100"/>
    </row>
    <row r="17" s="18" customFormat="1" ht="37" customHeight="1" spans="1:10">
      <c r="A17" s="65"/>
      <c r="B17" s="65"/>
      <c r="C17" s="65"/>
      <c r="D17" s="65"/>
      <c r="E17" s="53" t="str">
        <f>IF(IF($B$2="👀宏观市场调研",F14,IF($B$2="🙋受众分析",G14,IF($B$2="💃红人开发",H14,"")))=0,"",IF($B$2="👀宏观市场调研",F14,IF($B$2="🙋受众分析",G14,IF($B$2="💃红人开发",H14,""))))</f>
        <v/>
      </c>
      <c r="F17" s="55" t="str">
        <f>"【使用场景】"&amp;"列出"&amp;D2&amp;"所有的应用场景。"</f>
        <v>【使用场景】列出【商品名称】portable power station所有的应用场景。</v>
      </c>
      <c r="G17" s="99"/>
      <c r="H17" s="99"/>
      <c r="I17" s="105"/>
      <c r="J17" s="100"/>
    </row>
    <row r="18" s="18" customFormat="1" ht="67.5" spans="1:10">
      <c r="A18" s="65"/>
      <c r="B18" s="65"/>
      <c r="C18" s="65"/>
      <c r="D18" s="65"/>
      <c r="E18" s="53" t="str">
        <f>IF(IF($B$2="👀宏观市场调研",F15,IF($B$2="🙋受众分析",G15,IF($B$2="💃红人开发",H15,"")))=0,"",IF($B$2="👀宏观市场调研",F15,IF($B$2="🙋受众分析",G15,IF($B$2="💃红人开发",H15,""))))</f>
        <v/>
      </c>
      <c r="F18" s="55" t="str">
        <f>"【差异设计】"&amp;"综上所述，你建议我做一个什么款式的"&amp;D2&amp;",从材料，外观，功能做差异化设计，以满足"&amp;D3&amp;"消费者的审美喜好和需求，并提高产品转化率。"</f>
        <v>【差异设计】综上所述，你建议我做一个什么款式的【商品名称】portable power station,从材料，外观，功能做差异化设计，以满足🇺🇸美国消费者的审美喜好和需求，并提高产品转化率。</v>
      </c>
      <c r="G18" s="99"/>
      <c r="H18" s="99"/>
      <c r="I18" s="105"/>
      <c r="J18" s="100"/>
    </row>
    <row r="19" s="18" customFormat="1" ht="81" spans="1:10">
      <c r="A19" s="65"/>
      <c r="B19" s="65"/>
      <c r="C19" s="65"/>
      <c r="D19" s="65"/>
      <c r="E19" s="53" t="str">
        <f>IF(IF($B$2="👀宏观市场调研",F16,IF($B$2="🙋受众分析",G16,IF($B$2="💃红人开发",H16,"")))=0,"",IF($B$2="👀宏观市场调研",F16,IF($B$2="🙋受众分析",G16,IF($B$2="💃红人开发",H16,""))))</f>
        <v/>
      </c>
      <c r="F19" s="55" t="str">
        <f>"【风险把控】"&amp;"如果我要开发"&amp;D2&amp;",在开发设计中需要注意具体的哪些点以降低风险，提高产品的成功率？针对"&amp;D2&amp;"进行详细说明。"</f>
        <v>【风险把控】如果我要开发【商品名称】portable power station,在开发设计中需要注意具体的哪些点以降低风险，提高产品的成功率？针对【商品名称】portable power station进行详细说明。</v>
      </c>
      <c r="G19" s="99"/>
      <c r="H19" s="99"/>
      <c r="I19" s="105"/>
      <c r="J19" s="100"/>
    </row>
    <row r="20" s="18" customFormat="1" ht="67.5" spans="1:10">
      <c r="A20" s="65"/>
      <c r="B20" s="65"/>
      <c r="C20" s="65"/>
      <c r="D20" s="65"/>
      <c r="E20" s="53" t="str">
        <f>IF(IF($B$2="👀宏观市场调研",F17,IF($B$2="🙋受众分析",G17,IF($B$2="💃红人开发",H17,"")))=0,"",IF($B$2="👀宏观市场调研",F17,IF($B$2="🙋受众分析",G17,IF($B$2="💃红人开发",H17,""))))</f>
        <v/>
      </c>
      <c r="F20" s="55" t="str">
        <f>"【SWOT与PEST】"&amp;"请用SWOT和PEST分别分析"&amp;D2&amp;"在"&amp;D3&amp;"市场进入的可行性，并最后总结，对进入可行性打分（满分10分）。"</f>
        <v>【SWOT与PEST】请用SWOT和PEST分别分析【商品名称】portable power station在🇺🇸美国市场进入的可行性，并最后总结，对进入可行性打分（满分10分）。</v>
      </c>
      <c r="G20" s="99"/>
      <c r="H20" s="99"/>
      <c r="I20" s="105"/>
      <c r="J20" s="100"/>
    </row>
    <row r="21" s="18" customFormat="1" spans="1:10">
      <c r="A21" s="65"/>
      <c r="B21" s="65"/>
      <c r="C21" s="65"/>
      <c r="D21" s="65"/>
      <c r="E21" s="53" t="str">
        <f>IF(IF($B$2="👀宏观市场调研",F18,IF($B$2="🙋受众分析",G18,IF($B$2="💃红人开发",H18,"")))=0,"",IF($B$2="👀宏观市场调研",F18,IF($B$2="🙋受众分析",G18,IF($B$2="💃红人开发",H18,""))))</f>
        <v/>
      </c>
      <c r="F21" s="104"/>
      <c r="G21" s="99"/>
      <c r="H21" s="99"/>
      <c r="I21" s="19"/>
      <c r="J21" s="19"/>
    </row>
    <row r="22" s="18" customFormat="1" spans="1:10">
      <c r="A22" s="65"/>
      <c r="B22" s="65"/>
      <c r="C22" s="65"/>
      <c r="D22" s="65"/>
      <c r="E22" s="53" t="str">
        <f>IF(IF($B$2="👀宏观市场调研",F19,IF($B$2="🙋受众分析",G19,IF($B$2="💃红人开发",H19,"")))=0,"",IF($B$2="👀宏观市场调研",F19,IF($B$2="🙋受众分析",G19,IF($B$2="💃红人开发",H19,""))))</f>
        <v/>
      </c>
      <c r="F22" s="47"/>
      <c r="G22" s="99"/>
      <c r="H22" s="99"/>
      <c r="I22" s="19"/>
      <c r="J22" s="19"/>
    </row>
    <row r="23" s="18" customFormat="1" spans="1:10">
      <c r="A23" s="65"/>
      <c r="B23" s="65"/>
      <c r="C23" s="65"/>
      <c r="D23" s="65"/>
      <c r="E23" s="53" t="str">
        <f>IF(IF($B$2="👀宏观市场调研",F20,IF($B$2="🙋受众分析",G20,IF($B$2="💃红人开发",H20,"")))=0,"",IF($B$2="👀宏观市场调研",F20,IF($B$2="🙋受众分析",G20,IF($B$2="💃红人开发",H20,""))))</f>
        <v/>
      </c>
      <c r="F23" s="47"/>
      <c r="G23" s="99"/>
      <c r="H23" s="99"/>
      <c r="I23" s="19"/>
      <c r="J23" s="19"/>
    </row>
    <row r="24" s="18" customFormat="1" spans="1:10">
      <c r="A24" s="65"/>
      <c r="B24" s="65"/>
      <c r="C24" s="65"/>
      <c r="D24" s="65"/>
      <c r="E24" s="53" t="str">
        <f>IF(IF($B$2="👀宏观市场调研",F21,IF($B$2="🙋受众分析",G21,IF($B$2="💃红人开发",H21,"")))=0,"",IF($B$2="👀宏观市场调研",F21,IF($B$2="🙋受众分析",G21,IF($B$2="💃红人开发",H21,""))))</f>
        <v/>
      </c>
      <c r="F24" s="55"/>
      <c r="G24" s="99"/>
      <c r="H24" s="99"/>
      <c r="I24" s="19"/>
      <c r="J24" s="19"/>
    </row>
    <row r="25" s="18" customFormat="1" spans="1:10">
      <c r="A25" s="65"/>
      <c r="B25" s="65"/>
      <c r="C25" s="65"/>
      <c r="D25" s="65"/>
      <c r="E25" s="56"/>
      <c r="F25" s="19"/>
      <c r="G25" s="57"/>
      <c r="H25" s="57"/>
      <c r="J25" s="19"/>
    </row>
    <row r="26" s="18" customFormat="1" spans="1:10">
      <c r="A26" s="65"/>
      <c r="B26" s="65"/>
      <c r="C26" s="65"/>
      <c r="D26" s="65"/>
      <c r="E26" s="56"/>
      <c r="F26" s="19"/>
      <c r="G26" s="57"/>
      <c r="H26" s="57"/>
      <c r="J26" s="19"/>
    </row>
    <row r="27" s="18" customFormat="1" spans="1:10">
      <c r="A27" s="65"/>
      <c r="B27" s="65"/>
      <c r="C27" s="65"/>
      <c r="D27" s="65"/>
      <c r="E27" s="56"/>
      <c r="F27" s="19"/>
      <c r="G27" s="57"/>
      <c r="H27" s="57"/>
      <c r="J27" s="19"/>
    </row>
    <row r="28" s="18" customFormat="1" spans="1:10">
      <c r="A28" s="65"/>
      <c r="B28" s="65"/>
      <c r="C28" s="65"/>
      <c r="D28" s="65"/>
      <c r="E28" s="56"/>
      <c r="F28" s="19"/>
      <c r="G28" s="57"/>
      <c r="H28" s="57"/>
      <c r="J28" s="19"/>
    </row>
    <row r="29" s="18" customFormat="1" spans="1:10">
      <c r="A29" s="65"/>
      <c r="B29" s="65"/>
      <c r="C29" s="65"/>
      <c r="D29" s="65"/>
      <c r="E29" s="56"/>
      <c r="F29" s="19"/>
      <c r="G29" s="57"/>
      <c r="H29" s="57"/>
      <c r="J29" s="19"/>
    </row>
    <row r="30" s="18" customFormat="1" spans="1:10">
      <c r="A30" s="65"/>
      <c r="B30" s="65"/>
      <c r="C30" s="65"/>
      <c r="D30" s="65"/>
      <c r="E30" s="56"/>
      <c r="F30" s="19"/>
      <c r="G30" s="57"/>
      <c r="H30" s="57"/>
      <c r="J30" s="19"/>
    </row>
    <row r="31" s="18" customFormat="1" spans="1:10">
      <c r="A31" s="65"/>
      <c r="B31" s="65"/>
      <c r="C31" s="65"/>
      <c r="D31" s="65"/>
      <c r="E31" s="56"/>
      <c r="F31" s="19"/>
      <c r="G31" s="57"/>
      <c r="H31" s="57"/>
      <c r="J31" s="19"/>
    </row>
    <row r="32" s="18" customFormat="1" spans="1:10">
      <c r="A32" s="65"/>
      <c r="B32" s="65"/>
      <c r="C32" s="65"/>
      <c r="D32" s="65"/>
      <c r="E32" s="56"/>
      <c r="F32" s="19"/>
      <c r="G32" s="57"/>
      <c r="H32" s="57"/>
      <c r="J32" s="19"/>
    </row>
    <row r="33" s="18" customFormat="1" spans="1:10">
      <c r="A33" s="65"/>
      <c r="B33" s="65"/>
      <c r="C33" s="65"/>
      <c r="D33" s="65"/>
      <c r="E33" s="56"/>
      <c r="F33" s="19"/>
      <c r="G33" s="57"/>
      <c r="H33" s="57"/>
      <c r="J33" s="19"/>
    </row>
    <row r="34" s="18" customFormat="1" spans="1:10">
      <c r="A34" s="65"/>
      <c r="B34" s="65"/>
      <c r="C34" s="65"/>
      <c r="D34" s="65"/>
      <c r="E34" s="56"/>
      <c r="F34" s="19"/>
      <c r="G34" s="57"/>
      <c r="H34" s="57"/>
      <c r="J34" s="19"/>
    </row>
    <row r="35" s="18" customFormat="1" spans="1:10">
      <c r="A35" s="65"/>
      <c r="B35" s="65"/>
      <c r="C35" s="65"/>
      <c r="D35" s="65"/>
      <c r="E35" s="56"/>
      <c r="F35" s="19"/>
      <c r="G35" s="57"/>
      <c r="H35" s="57"/>
      <c r="J35" s="19"/>
    </row>
    <row r="36" s="18" customFormat="1" spans="1:10">
      <c r="A36" s="65"/>
      <c r="B36" s="65"/>
      <c r="C36" s="65"/>
      <c r="D36" s="65"/>
      <c r="E36" s="56"/>
      <c r="F36" s="19"/>
      <c r="G36" s="57"/>
      <c r="H36" s="57"/>
      <c r="J36" s="19"/>
    </row>
    <row r="37" s="18" customFormat="1" spans="1:10">
      <c r="A37" s="65"/>
      <c r="B37" s="65"/>
      <c r="C37" s="65"/>
      <c r="D37" s="65"/>
      <c r="E37" s="56"/>
      <c r="F37" s="19"/>
      <c r="G37" s="57"/>
      <c r="H37" s="57"/>
      <c r="J37" s="19"/>
    </row>
    <row r="38" s="18" customFormat="1" spans="1:10">
      <c r="A38" s="65"/>
      <c r="B38" s="65"/>
      <c r="C38" s="65"/>
      <c r="D38" s="65"/>
      <c r="E38" s="56"/>
      <c r="F38" s="19"/>
      <c r="G38" s="57"/>
      <c r="H38" s="57"/>
      <c r="J38" s="19"/>
    </row>
    <row r="39" s="18" customFormat="1" spans="1:10">
      <c r="A39" s="65"/>
      <c r="B39" s="65"/>
      <c r="C39" s="65"/>
      <c r="D39" s="65"/>
      <c r="E39" s="56"/>
      <c r="F39" s="19"/>
      <c r="G39" s="57"/>
      <c r="H39" s="57"/>
      <c r="J39" s="19"/>
    </row>
    <row r="40" s="18" customFormat="1" spans="1:10">
      <c r="A40" s="65"/>
      <c r="B40" s="65"/>
      <c r="C40" s="65"/>
      <c r="D40" s="65"/>
      <c r="E40" s="56"/>
      <c r="F40" s="19"/>
      <c r="G40" s="57"/>
      <c r="H40" s="57"/>
      <c r="J40" s="19"/>
    </row>
  </sheetData>
  <mergeCells count="6">
    <mergeCell ref="A1:D1"/>
    <mergeCell ref="B4:D4"/>
    <mergeCell ref="E2:E5"/>
    <mergeCell ref="I2:I20"/>
    <mergeCell ref="J2:J20"/>
    <mergeCell ref="K2:K6"/>
  </mergeCells>
  <dataValidations count="3">
    <dataValidation type="list" allowBlank="1" showInputMessage="1" showErrorMessage="1" sqref="B2">
      <formula1>"👀宏观市场调研,🔍微观竞品分析,🙋受众分析"</formula1>
    </dataValidation>
    <dataValidation type="list" allowBlank="1" showInputMessage="1" showErrorMessage="1" sqref="B3">
      <formula1>"🆚竞品功能对比,💯竞品文案分析"</formula1>
    </dataValidation>
    <dataValidation type="list" allowBlank="1" showInputMessage="1" showErrorMessage="1" sqref="D3">
      <formula1>"🇺🇸美国,🇯🇵日本,🇩🇪德国,🇨🇦加拿大,🇲🇽墨西哥,🇫🇷法国,🇮🇹意大利,🇪🇸西班牙,🇳🇱荷兰,🇵🇹葡萄牙,🇹🇷土耳其,🇦🇪阿拉伯,🇸🇪瑞典,🇵🇱波兰,uk 英国"</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C13" sqref="C13"/>
    </sheetView>
  </sheetViews>
  <sheetFormatPr defaultColWidth="8.35238095238095" defaultRowHeight="13.5"/>
  <cols>
    <col min="1" max="1" width="13.3809523809524" style="18" customWidth="1"/>
    <col min="2" max="2" width="20.9809523809524" style="19" customWidth="1"/>
    <col min="3" max="4" width="20.9809523809524" style="18" customWidth="1"/>
    <col min="5" max="5" width="77.9714285714286" style="19" customWidth="1"/>
    <col min="6" max="7" width="45.2285714285714" style="19" customWidth="1"/>
    <col min="8" max="14" width="64.1333333333333" style="19" customWidth="1"/>
    <col min="15" max="15" width="8.57142857142857" style="18" customWidth="1"/>
    <col min="16" max="16384" width="8.57142857142857" style="18"/>
  </cols>
  <sheetData>
    <row r="1" s="17" customFormat="1" ht="31" customHeight="1" spans="1:14">
      <c r="A1" s="85" t="s">
        <v>28</v>
      </c>
      <c r="B1" s="85"/>
      <c r="C1" s="85"/>
      <c r="D1" s="85"/>
      <c r="E1" s="39" t="str">
        <f>B2&amp;"Prompts"</f>
        <v>🌟SB/SD标题Prompts</v>
      </c>
      <c r="F1" s="30" t="s">
        <v>29</v>
      </c>
      <c r="G1" s="30" t="s">
        <v>30</v>
      </c>
      <c r="H1" s="30" t="s">
        <v>31</v>
      </c>
      <c r="I1" s="30" t="s">
        <v>32</v>
      </c>
      <c r="J1" s="30" t="s">
        <v>33</v>
      </c>
      <c r="K1" s="30" t="s">
        <v>34</v>
      </c>
      <c r="L1" s="30" t="s">
        <v>35</v>
      </c>
      <c r="M1" s="30" t="s">
        <v>36</v>
      </c>
      <c r="N1" s="30" t="s">
        <v>37</v>
      </c>
    </row>
    <row r="2" s="18" customFormat="1" ht="31" customHeight="1" spans="1:14">
      <c r="A2" s="23" t="s">
        <v>6</v>
      </c>
      <c r="B2" s="29" t="s">
        <v>38</v>
      </c>
      <c r="C2" s="28" t="str">
        <f>IF(OR(B2="💯文案打分",B2="📖标题优化",B2="📖五行优化",B2="📖描述优化",),"","受众人群")</f>
        <v>受众人群</v>
      </c>
      <c r="D2" s="86" t="s">
        <v>39</v>
      </c>
      <c r="E2" s="87" t="str">
        <f>TRIM(IF(B2="✍️标题撰写",J2,IF(B2="✍️五行撰写",L2,IF(B2="✍️描述撰写",N2,IF(B2="💯文案打分",H2,IF(B2="📖标题优化",I2,IF(B2="📖五行优化",K2,IF(B2="📖描述优化",M2,IF(B2="📱亚马逊Post",G2,IF(B2="🌟SB/SD标题",F2,""))))))))))</f>
        <v>你是一名🇺🇸美国资深的亚马逊文案专家，用英文撰写 10 个亚马逊sponsered brand或sponsered display广告标题，字符不超过50个字符，关于【产品名称】portable power station，品牌为：【品牌名称】Anker，埋入关键词：【关键词】portable power station, solar generator, power generator, outdoor generator, electric generator，参数为【产品参数】550Wh, 1000W, 4个小时快速充电，带LED灯光，受众人群场景为【受众人群】，【使用场景】。，吸引人注意力，整个标题语言生动有感染力能激发消费者购买欲，用英文输出，并翻译为中文。</v>
      </c>
      <c r="F2" s="88" t="str">
        <f>"你是一名"&amp;B3&amp;"资深的亚马逊文案专家，用英文撰写 10 个亚马逊sponsered brand或sponsered display广告标题，字符不超过50个字符，关于"&amp;B4&amp;"，品牌为："&amp;B5&amp;"，埋入关键词："&amp;D4&amp;"，参数为"&amp;B6&amp;"，受众人群场景为"&amp;D2&amp;"，"&amp;D3&amp;"。，吸引人注意力，整个标题语言生动有感染力能激发消费者购买欲，用英文输出，并翻译为中文。"</f>
        <v>你是一名🇺🇸美国资深的亚马逊文案专家，用英文撰写 10 个亚马逊sponsered brand或sponsered display广告标题，字符不超过50个字符，关于【产品名称】portable power station，品牌为：【品牌名称】Anker，埋入关键词：【关键词】portable power station, solar generator, power generator, outdoor generator, electric generator，参数为【产品参数】550Wh, 1000W, 4个小时快速充电，带LED灯光，受众人群场景为【受众人群】，【使用场景】。，吸引人注意力，整个标题语言生动有感染力能激发消费者购买欲，用英文输出，并翻译为中文。</v>
      </c>
      <c r="G2" s="88" t="str">
        <f>"你是一名"&amp;B3&amp;"资深的亚马逊文案专家，用英文撰写10条关于"&amp;B4&amp;"在亚马逊的post，品牌为："&amp;B5&amp;"埋入关键词："&amp;D4&amp;"，参数为"&amp;B6&amp;"，受众人群场景为"&amp;D2&amp;"，"&amp;D3&amp;"。要求前100个字符吸引人注意力，整个post语言生动有感染力能激发消费者购买欲，"&amp;D5&amp;"emoji；再配上3个相关大流量的hashtag标签，用英文输出，并翻译为中文。"</f>
        <v>你是一名🇺🇸美国资深的亚马逊文案专家，用英文撰写10条关于【产品名称】portable power station在亚马逊的post，品牌为：【品牌名称】Anker埋入关键词：【关键词】portable power station, solar generator, power generator, outdoor generator, electric generator，参数为【产品参数】550Wh, 1000W, 4个小时快速充电，带LED灯光，受众人群场景为【受众人群】，【使用场景】。要求前100个字符吸引人注意力，整个post语言生动有感染力能激发消费者购买欲，不加入emoji；再配上3个相关大流量的hashtag标签，用英文输出，并翻译为中文。</v>
      </c>
      <c r="H2" s="88" t="str">
        <f>"你是一名"&amp;B3&amp;"资深的亚马逊文案专家，请分析以下bullet points内容，根据亚马逊规则，从合规性、SEO（依据是否埋入以下关键词"&amp;D4&amp;")，语法拼写、可读性、卖点，语言本土化，专业性，情感表达、号召性等方面评估Listing的质量，并打分（满分10分），最后给到打分理由用表格输出:
#bullet points：："&amp;D8</f>
        <v>你是一名🇺🇸美国资深的亚马逊文案专家，请分析以下bullet points内容，根据亚马逊规则，从合规性、SEO（依据是否埋入以下关键词【关键词】portable power station, solar generator, power generator, outdoor generator, electric generator)，语法拼写、可读性、卖点，语言本土化，专业性，情感表达、号召性等方面评估Listing的质量，并打分（满分10分），最后给到打分理由用表格输出:
#bullet points：：【我的五点】Introducing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v>
      </c>
      <c r="I2" s="88" t="str">
        <f>"你是一名"&amp;B3&amp;"资深的亚马逊文案专家，你将为我优化本土化的，生动的，详细的优秀文案，能够打动消费者的购买欲，提升商品曝光率和转化率。这是我的标题:"&amp;D7&amp;"。根据以上信息,优化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你是一名🇺🇸美国资深的亚马逊文案专家，你将为我优化本土化的，生动的，详细的优秀文案，能够打动消费者的购买欲，提升商品曝光率和转化率。这是我的标题:【我的标题】Jackery Portable Power Station Explorer 300, 293Wh Backup Lithium Battery, 110V/300W Pure Sine Wave AC Outlet, Solar Generator (Solar Panel Not Included) for Outdoors Camping Travel Hunting Blackout。根据以上信息,优化亚马逊标题,要求如下：1.字数不低于100字符，不超过200字符；2.用🇺🇸美国语输出标题；3.埋入以下关键词并加粗其字体:【关键词】portable power station, solar generator, power generator, outdoor generator, electric generator；4.将输出标题翻译为中文，不要有任何解释，输出格式：-标题：-翻译：</v>
      </c>
      <c r="J2" s="88" t="str">
        <f>"你是一名"&amp;B3&amp;"资深的亚马逊文案专家，你将为我撰写本土化的，生动的，详细的优秀文案，能够打动消费者的购买欲，提升商品曝光率和转化率。参考竞品标题:"&amp;B7&amp;"。以下是我的产品信息：品牌名称:"&amp;B5&amp;";产品型号:"&amp;D6&amp;";商品名称:"&amp;B4&amp;";产品受众:"&amp;D2&amp;";使用场景:"&amp;D3&amp;";核心参数:"&amp;B6&amp;";根据以上信息,撰写一条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你是一名🇺🇸美国资深的亚马逊文案专家，你将为我撰写本土化的，生动的，详细的优秀文案，能够打动消费者的购买欲，提升商品曝光率和转化率。参考竞品标题:【竞品标题】Jackery Portable Power Station Explorer 300, 293Wh Backup Lithium Battery, 110V/300W Pure Sine Wave AC Outlet, Solar Generator (Solar Panel Not Included) for Outdoors Camping Travel Hunting Blackout。以下是我的产品信息：品牌名称:【品牌名称】Anker;产品型号:【产品型号】AKN889;商品名称:【产品名称】portable power station;产品受众:【受众人群】;使用场景:【使用场景】;核心参数:【产品参数】550Wh, 1000W, 4个小时快速充电，带LED灯光;根据以上信息,撰写一条亚马逊标题,要求如下：1.字数不低于100字符，不超过200字符；2.用🇺🇸美国语输出标题；3.埋入以下关键词并加粗其字体:【关键词】portable power station, solar generator, power generator, outdoor generator, electric generator；4.将输出标题翻译为中文，不要有任何解释，输出格式：-标题：-翻译：</v>
      </c>
      <c r="K2" s="88" t="str">
        <f>"你是一名"&amp;B3&amp;"资深的亚马逊文案专家，你将为我优化本土化的，生动的，详细专业的优秀文案，能够打动消费者的购买欲，提升商品曝光率和转化率。
#这是我的Bullet Points:"&amp;D8&amp;"。
#以下是我的产品信息：
品牌名称:"&amp;B5&amp;";产品型号:"&amp;D6&amp;";商品名称:"&amp;B4&amp;";产品受众:"&amp;D2&amp;";使用场景:"&amp;D3&amp;";核心参数:"&amp;B6&amp;"
#根据以上信息,
1、检查Bullet Points与功能参数是否一致，用文字输出；
2、检查是否有语法和拼写错误，用文字输出；
3、检查是否埋入含有以下关键词"&amp;D4&amp;"将没有埋入的词找出来，用文字输出；
4、优化5条亚马逊Bullet Points,要求如下：
-内容与实际功能参数保持一致；
-保持正确的语法与拼写；
-字数不低于500字符，不超过1000字符；
-用"&amp;B3&amp;"语输出Bullet Points，每段开头"&amp;D5&amp;"*1个对应的Emoji符号；
-埋入以下关键词并加粗:"&amp;D4&amp;"；
-将输出内容翻译为中文，不要有任何解释，输出格式：
-&lt;原文&gt;-：
-&lt;翻译&gt;-：
-将更改的内容进行加粗，并告知更改原因。"</f>
        <v>你是一名🇺🇸美国资深的亚马逊文案专家，你将为我优化本土化的，生动的，详细专业的优秀文案，能够打动消费者的购买欲，提升商品曝光率和转化率。
#这是我的Bullet Points:【我的五点】Introducing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
#以下是我的产品信息：
品牌名称:【品牌名称】Anker;产品型号:【产品型号】AKN889;商品名称:【产品名称】portable power station;产品受众:【受众人群】;使用场景:【使用场景】;核心参数:【产品参数】550Wh, 1000W, 4个小时快速充电，带LED灯光
#根据以上信息,
1、检查Bullet Points与功能参数是否一致，用文字输出；
2、检查是否有语法和拼写错误，用文字输出；
3、检查是否埋入含有以下关键词【关键词】portable power station, solar generator, power generator, outdoor generator, electric generator将没有埋入的词找出来，用文字输出；
4、优化5条亚马逊Bullet Points,要求如下：
-内容与实际功能参数保持一致；
-保持正确的语法与拼写；
-字数不低于500字符，不超过1000字符；
-用🇺🇸美国语输出Bullet Points，每段开头不加入*1个对应的Emoji符号；
-埋入以下关键词并加粗:【关键词】portable power station, solar generator, power generator, outdoor generator, electric generator；
-将输出内容翻译为中文，不要有任何解释，输出格式：
-&lt;原文&gt;-：
-&lt;翻译&gt;-：
-将更改的内容进行加粗，并告知更改原因。</v>
      </c>
      <c r="L2" s="88" t="str">
        <f>"你是一名"&amp;B3&amp;"资深的亚马逊文案专家，你将为我撰写本土化的，生动的，详细的优秀文案，能够打动消费者的购买欲，提升商品曝光率和转化率。参考竞品Bullet Points:"&amp;B8&amp;"。以下是我的产品信息：品牌名称:"&amp;B5&amp;";产品型号:"&amp;D6&amp;";商品名称:"&amp;B4&amp;";产品受众:"&amp;D2&amp;";使用场景:"&amp;D3&amp;";核心参数:"&amp;B6&amp;";根据以上信息,撰写5条亚马逊Bullet Points,要求如下：1.字数不低于500字符，不超过1000字符；2.用"&amp;B3&amp;"语输出Bullet Points，每段开头"&amp;D5&amp;"*1个对应的Emoji符号；3.埋入以下关键词并加粗:"&amp;D4&amp;"；4.将输出内容翻译为中文，不要有任何解释，输出格式：
-&lt;原文&gt;-：
-&lt;翻译&gt;-："</f>
        <v>你是一名🇺🇸美国资深的亚马逊文案专家，你将为我撰写本土化的，生动的，详细的优秀文案，能够打动消费者的购买欲，提升商品曝光率和转化率。参考竞品Bullet Points:【竞品五点】[Tiny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service.。以下是我的产品信息：品牌名称:【品牌名称】Anker;产品型号:【产品型号】AKN889;商品名称:【产品名称】portable power station;产品受众:【受众人群】;使用场景:【使用场景】;核心参数:【产品参数】550Wh, 1000W, 4个小时快速充电，带LED灯光;根据以上信息,撰写5条亚马逊Bullet Points,要求如下：1.字数不低于500字符，不超过1000字符；2.用🇺🇸美国语输出Bullet Points，每段开头不加入*1个对应的Emoji符号；3.埋入以下关键词并加粗:【关键词】portable power station, solar generator, power generator, outdoor generator, electric generator；4.将输出内容翻译为中文，不要有任何解释，输出格式：
-&lt;原文&gt;-：
-&lt;翻译&gt;-：</v>
      </c>
      <c r="M2" s="91" t="str">
        <f>"你是一名"&amp;B3&amp;"资深的亚马逊文案专家，你将为我优化本土化的，生动的，详细的优秀文案，能够打动消费者的购买欲，提升商品曝光率和转化率。这是我的Description:"&amp;D9&amp;"。根据以上信息,优化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你是一名🇺🇸美国资深的亚马逊文案专家，你将为我优化本土化的，生动的，详细的优秀文案，能够打动消费者的购买欲，提升商品曝光率和转化率。这是我的Description:【我的描述】Introducing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根据以上信息,优化亚马Description,要求如下：1.用HTML语言输出，字数不低于1000字符，不超过2000字符；2.用🇺🇸美国语输出Description，每段开头不加入*1个对应的Emoji符号；3.埋入以下关键词并加粗:【关键词】portable power station, solar generator, power generator, outdoor generator, electric generator；4.将输出内容翻译为中文，不要有任何解释，输出格式：-Description:：-翻译：</v>
      </c>
      <c r="N2" s="88" t="str">
        <f>"你是一名"&amp;B3&amp;"资深的亚马逊文案专家，你将为我撰写本土化的，生动的，详细的优秀文案，能够打动消费者的购买欲，提升商品曝光率和转化率。参考竞品Description:"&amp;B9&amp;"。以下是我的产品信息：品牌名称:"&amp;B5&amp;";产品型号:"&amp;D6&amp;";商品名称:"&amp;B4&amp;";产品受众:"&amp;D2&amp;";使用场景:"&amp;D3&amp;";核心参数:"&amp;B6&amp;";根据以上信息,撰写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你是一名🇺🇸美国资深的亚马逊文案专家，你将为我撰写本土化的，生动的，详细的优秀文案，能够打动消费者的购买欲，提升商品曝光率和转化率。参考竞品Description:【竞品描述】Introducing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today!。以下是我的产品信息：品牌名称:【品牌名称】Anker;产品型号:【产品型号】AKN889;商品名称:【产品名称】portable power station;产品受众:【受众人群】;使用场景:【使用场景】;核心参数:【产品参数】550Wh, 1000W, 4个小时快速充电，带LED灯光;根据以上信息,撰写亚马Description,要求如下：1.用HTML语言输出，字数不低于1000字符，不超过2000字符；2.用🇺🇸美国语输出Description，每段开头不加入*1个对应的Emoji符号；3.埋入以下关键词并加粗:【关键词】portable power station, solar generator, power generator, outdoor generator, electric generator；4.将输出内容翻译为中文，不要有任何解释，输出格式：-Description:：-翻译：</v>
      </c>
    </row>
    <row r="3" s="18" customFormat="1" ht="31" customHeight="1" spans="1:14">
      <c r="A3" s="23" t="s">
        <v>12</v>
      </c>
      <c r="B3" s="27" t="s">
        <v>13</v>
      </c>
      <c r="C3" s="28" t="str">
        <f>IF(OR(B2="💯文案打分",B2="📖标题优化",B2="📖五行优化",B2="📖描述优化",),"","使用场景")</f>
        <v>使用场景</v>
      </c>
      <c r="D3" s="86" t="s">
        <v>40</v>
      </c>
      <c r="E3" s="87"/>
      <c r="F3" s="88"/>
      <c r="G3" s="88"/>
      <c r="H3" s="88"/>
      <c r="I3" s="88"/>
      <c r="J3" s="88"/>
      <c r="K3" s="88"/>
      <c r="L3" s="88"/>
      <c r="M3" s="91"/>
      <c r="N3" s="88"/>
    </row>
    <row r="4" s="18" customFormat="1" ht="31" customHeight="1" spans="1:14">
      <c r="A4" s="23" t="str">
        <f>IF(OR(B2="💯文案打分",B2="📖标题优化",B2="📖五行优化",B2="📖描述优化",),"","*商品名称")</f>
        <v>*商品名称</v>
      </c>
      <c r="B4" s="29" t="s">
        <v>41</v>
      </c>
      <c r="C4" s="28" t="str">
        <f>IF(B2="💯文案打分","","埋入关键词")</f>
        <v>埋入关键词</v>
      </c>
      <c r="D4" s="89" t="s">
        <v>15</v>
      </c>
      <c r="E4" s="87"/>
      <c r="F4" s="88"/>
      <c r="G4" s="88"/>
      <c r="H4" s="88"/>
      <c r="I4" s="88"/>
      <c r="J4" s="88"/>
      <c r="K4" s="88"/>
      <c r="L4" s="88"/>
      <c r="M4" s="91"/>
      <c r="N4" s="88"/>
    </row>
    <row r="5" s="18" customFormat="1" ht="31" customHeight="1" spans="1:14">
      <c r="A5" s="23" t="str">
        <f>IF(OR(B2="💯文案打分",B2="📖标题优化",B2="📖五行优化",B2="📖描述优化",),"","*品牌名称")</f>
        <v>*品牌名称</v>
      </c>
      <c r="B5" s="29" t="s">
        <v>42</v>
      </c>
      <c r="C5" s="28" t="str">
        <f>IF(OR(B2="💯文案打分",B2="📖标题优化",,B2="✍️标题撰写"),"","是否加入Emoji")</f>
        <v>是否加入Emoji</v>
      </c>
      <c r="D5" s="89" t="s">
        <v>43</v>
      </c>
      <c r="E5" s="87"/>
      <c r="F5" s="88"/>
      <c r="G5" s="88"/>
      <c r="H5" s="88"/>
      <c r="I5" s="88"/>
      <c r="J5" s="88"/>
      <c r="K5" s="88"/>
      <c r="L5" s="88"/>
      <c r="M5" s="91"/>
      <c r="N5" s="88"/>
    </row>
    <row r="6" s="18" customFormat="1" ht="31" customHeight="1" spans="1:14">
      <c r="A6" s="23" t="str">
        <f>IF(OR(B2="💯文案打分",B2="📖标题优化",B2="📖五行优化",B2="📖描述优化",),"","*产品参数")</f>
        <v>*产品参数</v>
      </c>
      <c r="B6" s="29" t="s">
        <v>44</v>
      </c>
      <c r="C6" s="28" t="str">
        <f>IF(OR(B2="💯文案打分",B2="📖标题优化",B2="📖五行优化",B2="📖描述优化",),"","产品型号")</f>
        <v>产品型号</v>
      </c>
      <c r="D6" s="29" t="s">
        <v>45</v>
      </c>
      <c r="E6" s="87"/>
      <c r="F6" s="88"/>
      <c r="G6" s="88"/>
      <c r="H6" s="88"/>
      <c r="I6" s="88"/>
      <c r="J6" s="88"/>
      <c r="K6" s="88"/>
      <c r="L6" s="88"/>
      <c r="M6" s="91"/>
      <c r="N6" s="88"/>
    </row>
    <row r="7" s="18" customFormat="1" ht="31" customHeight="1" spans="1:14">
      <c r="A7" s="28" t="str">
        <f>IF(B2="✍️标题撰写","参考竞品标题","")</f>
        <v/>
      </c>
      <c r="B7" s="89" t="s">
        <v>46</v>
      </c>
      <c r="C7" s="28" t="str">
        <f>IF(OR(B2="📖标题优化",B2="💯文案打分"),"*我的标题","")</f>
        <v/>
      </c>
      <c r="D7" s="89" t="s">
        <v>47</v>
      </c>
      <c r="E7" s="87"/>
      <c r="F7" s="88"/>
      <c r="G7" s="88"/>
      <c r="H7" s="88"/>
      <c r="I7" s="88"/>
      <c r="J7" s="88"/>
      <c r="K7" s="88"/>
      <c r="L7" s="88"/>
      <c r="M7" s="91"/>
      <c r="N7" s="88"/>
    </row>
    <row r="8" s="18" customFormat="1" ht="31" customHeight="1" spans="1:14">
      <c r="A8" s="28" t="str">
        <f>IF(B2="✍️五行撰写","参考竞品五行","")</f>
        <v/>
      </c>
      <c r="B8" s="86" t="s">
        <v>48</v>
      </c>
      <c r="C8" s="28" t="str">
        <f>IF(OR(B2="📖五行优化",B2="💯文案打分"),"*我的五行","")</f>
        <v/>
      </c>
      <c r="D8" s="86" t="s">
        <v>49</v>
      </c>
      <c r="E8" s="87"/>
      <c r="F8" s="88"/>
      <c r="G8" s="88"/>
      <c r="H8" s="88"/>
      <c r="I8" s="88"/>
      <c r="J8" s="88"/>
      <c r="K8" s="88"/>
      <c r="L8" s="88"/>
      <c r="M8" s="91"/>
      <c r="N8" s="88"/>
    </row>
    <row r="9" s="18" customFormat="1" ht="31" customHeight="1" spans="1:14">
      <c r="A9" s="28" t="str">
        <f>IF(B2="✍️描述撰写","参考竞品描述","")</f>
        <v/>
      </c>
      <c r="B9" s="86" t="s">
        <v>50</v>
      </c>
      <c r="C9" s="28" t="str">
        <f>IF(OR(B2="📖描述优化",B2="💯文案打分"),"*我的描述","")</f>
        <v/>
      </c>
      <c r="D9" s="86" t="s">
        <v>51</v>
      </c>
      <c r="E9" s="87"/>
      <c r="F9" s="88"/>
      <c r="G9" s="88"/>
      <c r="H9" s="88"/>
      <c r="I9" s="88"/>
      <c r="J9" s="88"/>
      <c r="K9" s="88"/>
      <c r="L9" s="88"/>
      <c r="M9" s="91"/>
      <c r="N9" s="88"/>
    </row>
    <row r="10" s="18" customFormat="1" ht="31" customHeight="1" spans="1:14">
      <c r="A10" s="90" t="s">
        <v>52</v>
      </c>
      <c r="B10" s="90"/>
      <c r="C10" s="90"/>
      <c r="D10" s="90"/>
      <c r="E10" s="87"/>
      <c r="F10" s="88"/>
      <c r="G10" s="88"/>
      <c r="H10" s="88"/>
      <c r="I10" s="88"/>
      <c r="J10" s="88"/>
      <c r="K10" s="88"/>
      <c r="L10" s="88"/>
      <c r="M10" s="91"/>
      <c r="N10" s="88"/>
    </row>
    <row r="11" s="18" customFormat="1" ht="31" customHeight="1" spans="3:14">
      <c r="C11" s="19"/>
      <c r="D11" s="19"/>
      <c r="E11" s="87"/>
      <c r="F11" s="88"/>
      <c r="G11" s="88"/>
      <c r="H11" s="88"/>
      <c r="I11" s="88"/>
      <c r="J11" s="88"/>
      <c r="K11" s="88"/>
      <c r="L11" s="88"/>
      <c r="M11" s="91"/>
      <c r="N11" s="88"/>
    </row>
    <row r="12" s="18" customFormat="1" ht="31" customHeight="1" spans="2:14">
      <c r="B12" s="19"/>
      <c r="C12" s="19"/>
      <c r="D12" s="19"/>
      <c r="E12" s="87"/>
      <c r="F12" s="88"/>
      <c r="G12" s="88"/>
      <c r="H12" s="88"/>
      <c r="I12" s="88"/>
      <c r="J12" s="88"/>
      <c r="K12" s="88"/>
      <c r="L12" s="88"/>
      <c r="M12" s="91"/>
      <c r="N12" s="88"/>
    </row>
    <row r="13" s="18" customFormat="1" ht="409" customHeight="1" spans="2:14">
      <c r="B13" s="19"/>
      <c r="E13" s="87"/>
      <c r="F13" s="88"/>
      <c r="G13" s="88"/>
      <c r="H13" s="88"/>
      <c r="I13" s="88"/>
      <c r="J13" s="88"/>
      <c r="K13" s="88"/>
      <c r="L13" s="88"/>
      <c r="M13" s="91"/>
      <c r="N13" s="88"/>
    </row>
    <row r="14" s="18" customFormat="1" spans="2:14">
      <c r="B14" s="19"/>
      <c r="E14" s="19"/>
      <c r="F14" s="19"/>
      <c r="G14" s="19"/>
      <c r="H14" s="19"/>
      <c r="I14" s="19"/>
      <c r="J14" s="19"/>
      <c r="K14" s="19"/>
      <c r="L14" s="19"/>
      <c r="M14" s="19"/>
      <c r="N14" s="19"/>
    </row>
    <row r="15" s="18" customFormat="1" spans="2:14">
      <c r="B15" s="19"/>
      <c r="E15" s="19"/>
      <c r="F15" s="19"/>
      <c r="G15" s="19"/>
      <c r="H15" s="19"/>
      <c r="I15" s="19"/>
      <c r="J15" s="19">
        <f>LEN(J14)*2</f>
        <v>0</v>
      </c>
      <c r="K15" s="19"/>
      <c r="L15" s="19"/>
      <c r="M15" s="19"/>
      <c r="N15" s="19"/>
    </row>
    <row r="16" s="18" customFormat="1" spans="2:14">
      <c r="B16" s="19"/>
      <c r="E16" s="19"/>
      <c r="F16" s="19"/>
      <c r="G16" s="19"/>
      <c r="H16" s="19"/>
      <c r="I16" s="19"/>
      <c r="J16" s="19"/>
      <c r="K16" s="19"/>
      <c r="L16" s="19"/>
      <c r="M16" s="19"/>
      <c r="N16" s="19"/>
    </row>
    <row r="17" s="18" customFormat="1" spans="2:14">
      <c r="B17" s="19"/>
      <c r="E17" s="19"/>
      <c r="F17" s="19"/>
      <c r="G17" s="19"/>
      <c r="H17" s="19"/>
      <c r="I17" s="19"/>
      <c r="J17" s="19"/>
      <c r="K17" s="19"/>
      <c r="L17" s="19"/>
      <c r="M17" s="19"/>
      <c r="N17" s="19"/>
    </row>
  </sheetData>
  <mergeCells count="12">
    <mergeCell ref="A1:D1"/>
    <mergeCell ref="A10:D10"/>
    <mergeCell ref="E2:E13"/>
    <mergeCell ref="F2:F13"/>
    <mergeCell ref="G2:G13"/>
    <mergeCell ref="H2:H13"/>
    <mergeCell ref="I2:I12"/>
    <mergeCell ref="J2:J13"/>
    <mergeCell ref="K2:K13"/>
    <mergeCell ref="L2:L13"/>
    <mergeCell ref="M2:M13"/>
    <mergeCell ref="N2:N13"/>
  </mergeCells>
  <dataValidations count="5">
    <dataValidation type="list" allowBlank="1" showInputMessage="1" showErrorMessage="1" sqref="B2">
      <formula1>"✍️标题撰写,✍️五行撰写,✍️描述撰写,💯文案打分,📖标题优化,📖五行优化,📖描述优化,📱亚马逊Post,🌟SB/SD标题,说明书,品牌名,品牌故事,Slogan,Review,QA,埋词,视频脚本,图片文案"</formula1>
    </dataValidation>
    <dataValidation type="list" allowBlank="1" showInputMessage="1" showErrorMessage="1" sqref="B3">
      <formula1>"🇺🇸美国,🇯🇵日本,🇩🇪德国,🇨🇦加拿大,🇲🇽墨西哥,🇫🇷法国,🇮🇹意大利,🇪🇸西班牙,🇳🇱荷兰,🇵🇹葡萄牙,🇹🇷土耳其,🇦🇪阿拉伯,🇸🇪瑞典,🇵🇱波兰,uk 英国"</formula1>
    </dataValidation>
    <dataValidation type="list" allowBlank="1" showInputMessage="1" showErrorMessage="1" sqref="D5 C14:I14">
      <formula1>"加入,不加入"</formula1>
    </dataValidation>
    <dataValidation type="list" allowBlank="1" showInputMessage="1" showErrorMessage="1" sqref="B18:I18">
      <formula1>"英语,日语,德语,法语,意大利语,西班牙语,荷兰语,葡萄牙语,土耳其语,阿拉伯语,瑞典语,波兰语"</formula1>
    </dataValidation>
    <dataValidation allowBlank="1" showInputMessage="1" showErrorMessage="1" sqref="E2:I13"/>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01"/>
  <sheetViews>
    <sheetView workbookViewId="0">
      <selection activeCell="D3" sqref="D3"/>
    </sheetView>
  </sheetViews>
  <sheetFormatPr defaultColWidth="8.35238095238095" defaultRowHeight="14.25"/>
  <cols>
    <col min="1" max="1" width="16.6571428571429" style="66" customWidth="1"/>
    <col min="2" max="2" width="18.7428571428571" style="65" customWidth="1"/>
    <col min="3" max="3" width="17.2571428571429" style="65" customWidth="1"/>
    <col min="4" max="4" width="20.2285714285714" style="65" customWidth="1"/>
    <col min="5" max="5" width="24.647619047619" style="67" customWidth="1"/>
    <col min="6" max="7" width="10.1238095238095" style="18" customWidth="1"/>
    <col min="8" max="8" width="18.0095238095238" style="18" customWidth="1"/>
    <col min="9" max="9" width="17.4095238095238" style="18" customWidth="1"/>
    <col min="10" max="10" width="49.8380952380952" style="18" customWidth="1"/>
    <col min="11" max="11" width="28.8666666666667" style="18" customWidth="1"/>
    <col min="12" max="12" width="23.5047619047619" style="18" customWidth="1"/>
    <col min="13" max="13" width="35.7142857142857" style="18" customWidth="1"/>
    <col min="14" max="15" width="12.7904761904762" style="65" customWidth="1"/>
    <col min="16" max="16" width="55.352380952381" style="65" customWidth="1"/>
    <col min="17" max="17" width="45.9809523809524" style="65" customWidth="1"/>
    <col min="18" max="18" width="54.3142857142857" style="65" customWidth="1"/>
    <col min="19" max="19" width="47.4666666666667" style="65" customWidth="1"/>
    <col min="20" max="20" width="45.3809523809524" style="65" customWidth="1"/>
    <col min="21" max="60" width="8.57142857142857" style="65" customWidth="1"/>
    <col min="61" max="16384" width="8.57142857142857" style="65"/>
  </cols>
  <sheetData>
    <row r="1" s="65" customFormat="1" ht="42" customHeight="1" spans="1:20">
      <c r="A1" s="68" t="s">
        <v>53</v>
      </c>
      <c r="B1" s="68"/>
      <c r="C1" s="68"/>
      <c r="D1" s="68"/>
      <c r="E1" s="69" t="s">
        <v>14</v>
      </c>
      <c r="F1" s="70" t="s">
        <v>54</v>
      </c>
      <c r="G1" s="70" t="s">
        <v>55</v>
      </c>
      <c r="H1" s="70" t="s">
        <v>56</v>
      </c>
      <c r="I1" s="80" t="s">
        <v>57</v>
      </c>
      <c r="J1" s="80" t="s">
        <v>58</v>
      </c>
      <c r="K1" s="80"/>
      <c r="L1" s="80"/>
      <c r="M1" s="80"/>
      <c r="N1" s="81"/>
      <c r="O1" s="81"/>
      <c r="T1" s="65" t="s">
        <v>59</v>
      </c>
    </row>
    <row r="2" s="65" customFormat="1" ht="43" customHeight="1" spans="1:15">
      <c r="A2" s="23" t="s">
        <v>6</v>
      </c>
      <c r="B2" s="29" t="s">
        <v>60</v>
      </c>
      <c r="C2" s="23" t="s">
        <v>61</v>
      </c>
      <c r="D2" s="71" t="s">
        <v>62</v>
      </c>
      <c r="E2" s="72" t="s">
        <v>63</v>
      </c>
      <c r="F2" s="70" t="s">
        <v>64</v>
      </c>
      <c r="G2" s="70" t="s">
        <v>65</v>
      </c>
      <c r="H2" s="18" t="s">
        <v>66</v>
      </c>
      <c r="I2" s="70" t="s">
        <v>54</v>
      </c>
      <c r="J2" s="70" t="str">
        <f>"你是一名资深的亚马逊SEO专家，非常擅长关键词的收集整理，列出10个购买"&amp;D2&amp;" "&amp;D3&amp;"消费者经常搜索的别名关键词词，按照相关性降序排列，并给相关性进行打分满分10分，用表格输出."</f>
        <v>你是一名资深的亚马逊SEO专家，非常擅长关键词的收集整理，列出10个购买portable power station 🇺🇸美国消费者经常搜索的别名关键词词，按照相关性降序排列，并给相关性进行打分满分10分，用表格输出.</v>
      </c>
      <c r="K2" s="70"/>
      <c r="L2" s="18"/>
      <c r="M2" s="70"/>
      <c r="N2" s="72"/>
      <c r="O2" s="72"/>
    </row>
    <row r="3" s="65" customFormat="1" ht="43" customHeight="1" spans="1:20">
      <c r="A3" s="23" t="s">
        <v>67</v>
      </c>
      <c r="B3" s="29" t="s">
        <v>59</v>
      </c>
      <c r="C3" s="23" t="s">
        <v>68</v>
      </c>
      <c r="D3" s="73" t="s">
        <v>13</v>
      </c>
      <c r="E3" s="72" t="s">
        <v>62</v>
      </c>
      <c r="F3" s="70" t="s">
        <v>69</v>
      </c>
      <c r="G3" s="70" t="s">
        <v>70</v>
      </c>
      <c r="H3" s="70" t="s">
        <v>71</v>
      </c>
      <c r="I3" s="70" t="s">
        <v>64</v>
      </c>
      <c r="J3" s="70" t="str">
        <f>"你是一名资深的亚马逊SEO专家，非常擅长关键词的收集整理，请列出30个购买"&amp;D2&amp;D3&amp;"消费者最常搜索的关键词，要求流量大且相关性高，并按照相关性进行降序 (满分10分),并按照谷歌趋势热度打标(满分100) ，用表格输出关键词、相关性、谷歌热度。"</f>
        <v>你是一名资深的亚马逊SEO专家，非常擅长关键词的收集整理，请列出30个购买portable power station🇺🇸美国消费者最常搜索的关键词，要求流量大且相关性高，并按照相关性进行降序 (满分10分),并按照谷歌趋势热度打标(满分100) ，用表格输出关键词、相关性、谷歌热度。</v>
      </c>
      <c r="K3" s="70"/>
      <c r="L3" s="70"/>
      <c r="M3" s="70"/>
      <c r="N3" s="72"/>
      <c r="O3" s="72"/>
      <c r="P3" s="82"/>
      <c r="Q3" s="82"/>
      <c r="R3" s="82"/>
      <c r="S3" s="82"/>
      <c r="T3" s="82"/>
    </row>
    <row r="4" s="65" customFormat="1" ht="43" customHeight="1" spans="1:20">
      <c r="A4" s="23" t="str">
        <f>IF(B3="广告搭建","预算目标",IF(OR(B3="相关性分析",B3="Excel分析"),"*强相关关键词",""))</f>
        <v>*强相关关键词</v>
      </c>
      <c r="B4" s="29"/>
      <c r="C4" s="23" t="str">
        <f>IF(B3="总体分析","*CVR目标不低于",IF(OR(B3="相关性分析",B3="Excel分析"),"弱相关关键词",""))</f>
        <v>弱相关关键词</v>
      </c>
      <c r="D4" s="74">
        <v>0.1</v>
      </c>
      <c r="E4" s="72" t="s">
        <v>72</v>
      </c>
      <c r="F4" s="70" t="s">
        <v>73</v>
      </c>
      <c r="G4" s="70" t="s">
        <v>59</v>
      </c>
      <c r="H4" s="70"/>
      <c r="I4" s="70" t="s">
        <v>69</v>
      </c>
      <c r="J4" s="70" t="str">
        <f>"你是一名资深的亚马逊SEO专家，非常擅长关键词的收集整理，请列出10个购买"&amp;D2&amp;D3&amp;"消费者最常搜索的小语种关键词，要求流量大且相关性高，对搜索词流量大小降序排列 (满分100) ，标注语种，翻译为英文，用表格输出: 关键词、流量大小、语种、英文翻译。"</f>
        <v>你是一名资深的亚马逊SEO专家，非常擅长关键词的收集整理，请列出10个购买portable power station🇺🇸美国消费者最常搜索的小语种关键词，要求流量大且相关性高，对搜索词流量大小降序排列 (满分100) ，标注语种，翻译为英文，用表格输出: 关键词、流量大小、语种、英文翻译。</v>
      </c>
      <c r="K4" s="70"/>
      <c r="L4" s="70"/>
      <c r="M4" s="70"/>
      <c r="N4" s="72"/>
      <c r="O4" s="72"/>
      <c r="P4" s="82"/>
      <c r="Q4" s="82"/>
      <c r="R4" s="82"/>
      <c r="S4" s="82"/>
      <c r="T4" s="82"/>
    </row>
    <row r="5" s="65" customFormat="1" ht="50" customHeight="1" spans="1:20">
      <c r="A5" s="23" t="str">
        <f>IF(B3="总体分析","CTR目标不低于",IF(OR(B3="相关性分析",B3="Excel分析"),"*较相关关键词",""))</f>
        <v>*较相关关键词</v>
      </c>
      <c r="B5" s="29">
        <v>0.003</v>
      </c>
      <c r="C5" s="23" t="str">
        <f>IF(B3="总体分析","*ACOS目标不高于",IF(OR(B3="相关性分析",B3="Excel分析"),"*不相关关键词",""))</f>
        <v>*不相关关键词</v>
      </c>
      <c r="D5" s="74">
        <v>0.4</v>
      </c>
      <c r="E5" s="72" t="s">
        <v>74</v>
      </c>
      <c r="F5" s="70"/>
      <c r="G5" s="70"/>
      <c r="H5" s="70"/>
      <c r="I5" s="18" t="s">
        <v>73</v>
      </c>
      <c r="J5" s="83" t="str">
        <f>"你是一名资深的亚马逊SEO专家，非常擅长关键词的收集整理，请列出购买"&amp;D2&amp;D3&amp;"消费者最常搜索的长尾词，按照功能、场景、人群划分分布罗列5个
输出格式:
#功能长尾词
-&lt;长尾词1&gt;-
#场景长尾词
-&lt;长尾词1&gt;-
#人群长尾词
-&lt;长尾词1&gt;-"</f>
        <v>你是一名资深的亚马逊SEO专家，非常擅长关键词的收集整理，请列出购买portable power station🇺🇸美国消费者最常搜索的长尾词，按照功能、场景、人群划分分布罗列5个
输出格式:
#功能长尾词
-&lt;长尾词1&gt;-
#场景长尾词
-&lt;长尾词1&gt;-
#人群长尾词
-&lt;长尾词1&gt;-</v>
      </c>
      <c r="K5" s="70"/>
      <c r="L5" s="70"/>
      <c r="M5" s="70"/>
      <c r="N5" s="72"/>
      <c r="O5" s="72"/>
      <c r="P5" s="82"/>
      <c r="Q5" s="82"/>
      <c r="R5" s="82"/>
      <c r="S5" s="82"/>
      <c r="T5" s="82"/>
    </row>
    <row r="6" s="65" customFormat="1" ht="54" customHeight="1" spans="1:20">
      <c r="A6" s="75" t="str">
        <f>B2&amp;"-"&amp;B3&amp;"Prompts"</f>
        <v>关键词收集-Excel分析Prompts</v>
      </c>
      <c r="B6" s="76"/>
      <c r="C6" s="76"/>
      <c r="D6" s="76"/>
      <c r="E6" s="72" t="s">
        <v>75</v>
      </c>
      <c r="F6" s="70" t="str">
        <f>IF(F4=1,2,IF(G4=3,1,""))</f>
        <v/>
      </c>
      <c r="G6" s="70"/>
      <c r="H6" s="70"/>
      <c r="I6" s="70" t="s">
        <v>55</v>
      </c>
      <c r="J6" s="19" t="str">
        <f>"你是一名资深的亚马逊操盘手，你非常擅长关键词的收集、整理、分析、词库搭建。请判断下列关键词与"&amp;D2&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/”，用表格输出关键词和相关性两列："&amp;_xlfn.TEXTJOIN(",",FALSE,E2:E1000)</f>
        <v>你是一名资深的亚马逊操盘手，你非常擅长关键词的收集、整理、分析、词库搭建。请判断下列关键词与portable power station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6" s="70"/>
      <c r="L6" s="70"/>
      <c r="M6" s="70"/>
      <c r="N6" s="72"/>
      <c r="O6" s="72"/>
      <c r="P6" s="82"/>
      <c r="Q6" s="82"/>
      <c r="R6" s="82"/>
      <c r="S6" s="82"/>
      <c r="T6" s="82"/>
    </row>
    <row r="7" s="65" customFormat="1" ht="52" customHeight="1" spans="1:20">
      <c r="A7" s="77" t="str">
        <f>IF(B3="空间分析",J13,IF(B3="时间分析",J12,IF(B3="总体分析",J11,IF(B3="广告搭建",J10,IF(B3="小语种词",J4,IF(B3="长尾词",J5,IF(B3="词别名",J2,IF(B3="核心词",J3,IF(B3="Excel分析",J9,IF(B3="相关性分析",J6,IF(B3="词属性分析",J8,IF(B3="词组分析",J7,"请选择任务类型"))))))))))))</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B7" s="77"/>
      <c r="C7" s="77"/>
      <c r="D7" s="77"/>
      <c r="E7" s="72" t="s">
        <v>76</v>
      </c>
      <c r="F7" s="70"/>
      <c r="G7" s="70"/>
      <c r="H7" s="70"/>
      <c r="I7" s="70" t="s">
        <v>65</v>
      </c>
      <c r="J7" s="19" t="str">
        <f>K7&amp;L7</f>
        <v>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K7" s="18" t="s">
        <v>77</v>
      </c>
      <c r="L7" s="18" t="str">
        <f>_xlfn.TEXTJOIN(",",FALSE,E2:E102)</f>
        <v>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M7" s="18"/>
      <c r="N7" s="72"/>
      <c r="O7" s="72"/>
      <c r="P7" s="82"/>
      <c r="Q7" s="82"/>
      <c r="R7" s="82"/>
      <c r="S7" s="82"/>
      <c r="T7" s="82"/>
    </row>
    <row r="8" s="65" customFormat="1" ht="52" customHeight="1" spans="1:20">
      <c r="A8" s="77"/>
      <c r="B8" s="77"/>
      <c r="C8" s="77"/>
      <c r="D8" s="77"/>
      <c r="E8" s="72" t="s">
        <v>78</v>
      </c>
      <c r="F8" s="70"/>
      <c r="G8" s="70"/>
      <c r="H8" s="70"/>
      <c r="I8" s="70" t="s">
        <v>70</v>
      </c>
      <c r="J8" s="19" t="str">
        <f>"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/”，用表格输出关键词和词属性两列："&amp;_xlfn.TEXTJOIN(",",FALSE,E2:E1000)</f>
        <v>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8" s="18"/>
      <c r="L8" s="18"/>
      <c r="M8" s="18"/>
      <c r="N8" s="72"/>
      <c r="O8" s="72"/>
      <c r="P8" s="82"/>
      <c r="Q8" s="82"/>
      <c r="R8" s="82"/>
      <c r="S8" s="82"/>
      <c r="T8" s="82"/>
    </row>
    <row r="9" s="65" customFormat="1" ht="52" customHeight="1" spans="1:20">
      <c r="A9" s="77"/>
      <c r="B9" s="77"/>
      <c r="C9" s="77"/>
      <c r="D9" s="77"/>
      <c r="E9" s="72" t="s">
        <v>79</v>
      </c>
      <c r="F9" s="70"/>
      <c r="G9" s="70"/>
      <c r="H9" s="70"/>
      <c r="I9" s="70" t="s">
        <v>59</v>
      </c>
      <c r="J9" s="19" t="str">
        <f t="shared" ref="J9:J13" si="0">K9&amp;L9&amp;M9</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K9" s="18" t="str">
        <f>"你是一名资深的亚马逊操盘手，你非常擅长关键词的收集、整理、分析、词库搭建。你将根据我提供的excel表格里的关键词进行#相关性判断，#词属性判断，#词群判断，每个判断一列，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amp;B4&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
"</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v>
      </c>
      <c r="L9" s="18" t="str">
        <f>"#词属性判断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f>
        <v>#词属性判断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v>
      </c>
      <c r="M9" s="18" t="s">
        <v>80</v>
      </c>
      <c r="N9" s="72"/>
      <c r="O9" s="72"/>
      <c r="P9" s="82"/>
      <c r="Q9" s="82"/>
      <c r="R9" s="82"/>
      <c r="S9" s="82"/>
      <c r="T9" s="82"/>
    </row>
    <row r="10" s="65" customFormat="1" ht="52" customHeight="1" spans="1:20">
      <c r="A10" s="77"/>
      <c r="B10" s="77"/>
      <c r="C10" s="77"/>
      <c r="D10" s="77"/>
      <c r="E10" s="72" t="s">
        <v>81</v>
      </c>
      <c r="F10" s="70"/>
      <c r="G10" s="70"/>
      <c r="H10" s="70"/>
      <c r="I10" s="70" t="s">
        <v>82</v>
      </c>
      <c r="J10" s="19" t="str">
        <f>K10&amp;L10</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K10" s="19" t="str">
        <f>"你是一名资深的亚马逊CPC广告专家,你精通亚马逊广告和算法，你将结合下面竞品流量结构(流量占比、相关性)协助我搭建广告结构，包含Campagin划分、Campaign预算、关键词投放、匹配方
式，目前我的总预算是"&amp;B4&amp;"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v>
      </c>
      <c r="L10" s="19" t="str">
        <f>"选择投放: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f>
        <v>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M10" s="18"/>
      <c r="N10" s="72"/>
      <c r="O10" s="72"/>
      <c r="P10" s="82"/>
      <c r="Q10" s="82"/>
      <c r="R10" s="82"/>
      <c r="S10" s="82"/>
      <c r="T10" s="82"/>
    </row>
    <row r="11" s="65" customFormat="1" ht="52" customHeight="1" spans="1:20">
      <c r="A11" s="77"/>
      <c r="B11" s="77"/>
      <c r="C11" s="77"/>
      <c r="D11" s="77"/>
      <c r="E11" s="72" t="s">
        <v>83</v>
      </c>
      <c r="F11" s="70"/>
      <c r="G11" s="70"/>
      <c r="H11" s="70"/>
      <c r="I11" s="70" t="s">
        <v>56</v>
      </c>
      <c r="J11" s="83" t="str">
        <f t="shared" si="0"/>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1" s="19"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1" s="19" t="s">
        <v>84</v>
      </c>
      <c r="M11" s="19" t="s">
        <v>85</v>
      </c>
      <c r="N11" s="72"/>
      <c r="O11" s="72"/>
      <c r="P11" s="82"/>
      <c r="Q11" s="82"/>
      <c r="R11" s="82"/>
      <c r="S11" s="82"/>
      <c r="T11" s="82"/>
    </row>
    <row r="12" s="65" customFormat="1" ht="52" customHeight="1" spans="1:20">
      <c r="A12" s="77"/>
      <c r="B12" s="77"/>
      <c r="C12" s="77"/>
      <c r="D12" s="77"/>
      <c r="E12" s="72" t="s">
        <v>86</v>
      </c>
      <c r="F12" s="70"/>
      <c r="G12" s="70"/>
      <c r="H12" s="70"/>
      <c r="I12" s="70" t="s">
        <v>66</v>
      </c>
      <c r="J12" s="83" t="str">
        <f t="shared" si="0"/>
        <v>你是一名资深的亚马逊CPC广告专家,你精通亚马逊广告和算法，你将根据我提供的不同时段的广告数据协助我优化广告，*只用给到我最新一个时间段的广告分析和优化方案,用中文输出。
#输出格式参考：
分析：
-&lt;优化建议&gt;-
#广告优化的操作参考：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2" s="19" t="str">
        <f>"你是一名资深的亚马逊CPC广告专家,你精通亚马逊广告和算法，你将根据我提供的不同时段的广告数据协助我优化广告，*只用给到我最新一个时间段的广告分析和优化方案,用中文输出。
#输出格式参考：
分析：
-&lt;优化建议&gt;-
"</f>
        <v>你是一名资深的亚马逊CPC广告专家,你精通亚马逊广告和算法，你将根据我提供的不同时段的广告数据协助我优化广告，*只用给到我最新一个时间段的广告分析和优化方案,用中文输出。
#输出格式参考：
分析：
-&lt;优化建议&gt;-
</v>
      </c>
      <c r="L12" s="19" t="s">
        <v>84</v>
      </c>
      <c r="M12" s="19" t="s">
        <v>85</v>
      </c>
      <c r="N12" s="72"/>
      <c r="O12" s="72"/>
      <c r="P12" s="82"/>
      <c r="Q12" s="82"/>
      <c r="R12" s="82"/>
      <c r="S12" s="82"/>
      <c r="T12" s="82"/>
    </row>
    <row r="13" s="65" customFormat="1" ht="52" customHeight="1" spans="1:20">
      <c r="A13" s="77"/>
      <c r="B13" s="77"/>
      <c r="C13" s="77"/>
      <c r="D13" s="77"/>
      <c r="E13" s="72" t="s">
        <v>87</v>
      </c>
      <c r="F13" s="70"/>
      <c r="G13" s="70"/>
      <c r="H13" s="70"/>
      <c r="I13" s="70" t="s">
        <v>71</v>
      </c>
      <c r="J13" s="84" t="str">
        <f t="shared" si="0"/>
        <v>你是一名资深的亚马逊CPC广告专家,你精通亚马逊广告和算法，你将根据我提供的各个维度广告数据协助我优化广告，*每一条广告都要给到分析和优化方案,用中文输出。
#输出格式参考：
分析：
-&lt;优化建议&gt;-
#广告优化的操作参考：
-优化关键词（增加关键词，否定关键词，匹配方式），优化预算（增加广告预算，减少广告预算）、优化bid（增加竞价bid，减少竞价bid）。调整bid的方式（直接增减bid，在竞价策略调整bid，在bid+商品页面调整bid）
#分析广告数据参考：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v>
      </c>
      <c r="K13" s="19" t="str">
        <f>"你是一名资深的亚马逊CPC广告专家,你精通亚马逊广告和算法，你将根据我提供的各个维度广告数据协助我优化广告，*每一条广告都要给到分析和优化方案,用中文输出。
#输出格式参考：
分析：
-&lt;优化建议&gt;-
"</f>
        <v>你是一名资深的亚马逊CPC广告专家,你精通亚马逊广告和算法，你将根据我提供的各个维度广告数据协助我优化广告，*每一条广告都要给到分析和优化方案,用中文输出。
#输出格式参考：
分析：
-&lt;优化建议&gt;-
</v>
      </c>
      <c r="L13" s="19" t="s">
        <v>88</v>
      </c>
      <c r="M13" s="19" t="s">
        <v>89</v>
      </c>
      <c r="N13" s="72"/>
      <c r="O13" s="72"/>
      <c r="P13" s="82"/>
      <c r="Q13" s="82"/>
      <c r="R13" s="82"/>
      <c r="S13" s="82"/>
      <c r="T13" s="82"/>
    </row>
    <row r="14" s="65" customFormat="1" ht="52" customHeight="1" spans="1:20">
      <c r="A14" s="77"/>
      <c r="B14" s="77"/>
      <c r="C14" s="77"/>
      <c r="D14" s="77"/>
      <c r="E14" s="72" t="s">
        <v>90</v>
      </c>
      <c r="F14" s="70"/>
      <c r="G14" s="70"/>
      <c r="H14" s="70"/>
      <c r="I14" s="18"/>
      <c r="J14" s="84"/>
      <c r="K14" s="19"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4" s="18"/>
      <c r="M14" s="18"/>
      <c r="N14" s="72"/>
      <c r="O14" s="72"/>
      <c r="P14" s="82"/>
      <c r="Q14" s="82"/>
      <c r="R14" s="82"/>
      <c r="S14" s="82"/>
      <c r="T14" s="82"/>
    </row>
    <row r="15" s="65" customFormat="1" ht="52" customHeight="1" spans="1:20">
      <c r="A15" s="77"/>
      <c r="B15" s="77"/>
      <c r="C15" s="77"/>
      <c r="D15" s="77"/>
      <c r="E15" s="72" t="s">
        <v>91</v>
      </c>
      <c r="F15" s="70"/>
      <c r="G15" s="70"/>
      <c r="H15" s="70"/>
      <c r="I15" s="70"/>
      <c r="J15" s="84"/>
      <c r="K15" s="18"/>
      <c r="L15" s="18"/>
      <c r="M15" s="18"/>
      <c r="N15" s="72"/>
      <c r="O15" s="72"/>
      <c r="P15" s="82"/>
      <c r="Q15" s="82"/>
      <c r="R15" s="82"/>
      <c r="S15" s="82"/>
      <c r="T15" s="82"/>
    </row>
    <row r="16" s="65" customFormat="1" ht="52" customHeight="1" spans="1:20">
      <c r="A16" s="77"/>
      <c r="B16" s="77"/>
      <c r="C16" s="77"/>
      <c r="D16" s="77"/>
      <c r="E16" s="72" t="s">
        <v>92</v>
      </c>
      <c r="F16" s="70"/>
      <c r="G16" s="70"/>
      <c r="H16" s="70"/>
      <c r="I16" s="70"/>
      <c r="J16" s="84"/>
      <c r="K16" s="18"/>
      <c r="L16" s="18"/>
      <c r="M16" s="18"/>
      <c r="N16" s="72"/>
      <c r="O16" s="72"/>
      <c r="P16" s="82"/>
      <c r="Q16" s="82"/>
      <c r="R16" s="82"/>
      <c r="S16" s="82"/>
      <c r="T16" s="82"/>
    </row>
    <row r="17" s="65" customFormat="1" ht="52" customHeight="1" spans="1:20">
      <c r="A17" s="77"/>
      <c r="B17" s="77"/>
      <c r="C17" s="77"/>
      <c r="D17" s="77"/>
      <c r="E17" s="72" t="s">
        <v>93</v>
      </c>
      <c r="F17" s="70"/>
      <c r="G17" s="70"/>
      <c r="H17" s="70"/>
      <c r="I17" s="70"/>
      <c r="J17" s="84"/>
      <c r="K17" s="18"/>
      <c r="L17" s="18"/>
      <c r="M17" s="18"/>
      <c r="N17" s="72"/>
      <c r="O17" s="72"/>
      <c r="P17" s="82"/>
      <c r="Q17" s="82"/>
      <c r="R17" s="82"/>
      <c r="S17" s="82"/>
      <c r="T17" s="82"/>
    </row>
    <row r="18" s="65" customFormat="1" ht="52" customHeight="1" spans="1:20">
      <c r="A18" s="77"/>
      <c r="B18" s="77"/>
      <c r="C18" s="77"/>
      <c r="D18" s="77"/>
      <c r="E18" s="72" t="s">
        <v>94</v>
      </c>
      <c r="F18" s="70"/>
      <c r="G18" s="70"/>
      <c r="H18" s="70"/>
      <c r="I18" s="70"/>
      <c r="J18" s="84"/>
      <c r="K18" s="18"/>
      <c r="L18" s="18"/>
      <c r="M18" s="18"/>
      <c r="N18" s="72"/>
      <c r="O18" s="72"/>
      <c r="P18" s="82"/>
      <c r="Q18" s="82"/>
      <c r="R18" s="82"/>
      <c r="S18" s="82"/>
      <c r="T18" s="82"/>
    </row>
    <row r="19" s="65" customFormat="1" ht="52" customHeight="1" spans="1:20">
      <c r="A19" s="77"/>
      <c r="B19" s="77"/>
      <c r="C19" s="77"/>
      <c r="D19" s="77"/>
      <c r="E19" s="72" t="s">
        <v>95</v>
      </c>
      <c r="F19" s="70"/>
      <c r="G19" s="70"/>
      <c r="H19" s="70"/>
      <c r="I19" s="70"/>
      <c r="J19" s="84"/>
      <c r="K19" s="18"/>
      <c r="L19" s="18"/>
      <c r="M19" s="18"/>
      <c r="N19" s="72"/>
      <c r="O19" s="72"/>
      <c r="P19" s="82"/>
      <c r="Q19" s="82"/>
      <c r="R19" s="82"/>
      <c r="S19" s="82"/>
      <c r="T19" s="82"/>
    </row>
    <row r="20" s="65" customFormat="1" ht="52" customHeight="1" spans="1:20">
      <c r="A20" s="77"/>
      <c r="B20" s="77"/>
      <c r="C20" s="77"/>
      <c r="D20" s="77"/>
      <c r="E20" s="72" t="s">
        <v>96</v>
      </c>
      <c r="F20" s="70"/>
      <c r="G20" s="70"/>
      <c r="H20" s="70"/>
      <c r="I20" s="70"/>
      <c r="J20" s="19"/>
      <c r="K20" s="18"/>
      <c r="L20" s="18"/>
      <c r="M20" s="18"/>
      <c r="N20" s="72"/>
      <c r="O20" s="72"/>
      <c r="P20" s="82"/>
      <c r="Q20" s="82"/>
      <c r="R20" s="82"/>
      <c r="S20" s="82"/>
      <c r="T20" s="82"/>
    </row>
    <row r="21" s="65" customFormat="1" ht="52" customHeight="1" spans="1:20">
      <c r="A21" s="77"/>
      <c r="B21" s="77"/>
      <c r="C21" s="77"/>
      <c r="D21" s="77"/>
      <c r="E21" s="72" t="s">
        <v>97</v>
      </c>
      <c r="F21" s="70"/>
      <c r="G21" s="70"/>
      <c r="H21" s="70"/>
      <c r="I21" s="70"/>
      <c r="J21" s="19"/>
      <c r="K21" s="18"/>
      <c r="L21" s="18"/>
      <c r="M21" s="18"/>
      <c r="N21" s="72"/>
      <c r="O21" s="72"/>
      <c r="P21" s="82"/>
      <c r="Q21" s="82"/>
      <c r="R21" s="82"/>
      <c r="S21" s="82"/>
      <c r="T21" s="82"/>
    </row>
    <row r="22" s="65" customFormat="1" ht="52" customHeight="1" spans="1:20">
      <c r="A22" s="77"/>
      <c r="B22" s="77"/>
      <c r="C22" s="77"/>
      <c r="D22" s="77"/>
      <c r="E22" s="72" t="s">
        <v>98</v>
      </c>
      <c r="F22" s="70"/>
      <c r="G22" s="70"/>
      <c r="H22" s="70"/>
      <c r="I22" s="70"/>
      <c r="J22" s="19"/>
      <c r="K22" s="18"/>
      <c r="L22" s="18"/>
      <c r="M22" s="18"/>
      <c r="N22" s="72"/>
      <c r="O22" s="72"/>
      <c r="P22" s="82"/>
      <c r="Q22" s="82"/>
      <c r="R22" s="82"/>
      <c r="S22" s="82"/>
      <c r="T22" s="82"/>
    </row>
    <row r="23" s="65" customFormat="1" ht="52" customHeight="1" spans="1:20">
      <c r="A23" s="77"/>
      <c r="B23" s="77"/>
      <c r="C23" s="77"/>
      <c r="D23" s="77"/>
      <c r="E23" s="72" t="s">
        <v>99</v>
      </c>
      <c r="F23" s="70"/>
      <c r="G23" s="70"/>
      <c r="H23" s="70"/>
      <c r="I23" s="70"/>
      <c r="J23" s="19"/>
      <c r="K23" s="18"/>
      <c r="L23" s="18"/>
      <c r="M23" s="18"/>
      <c r="N23" s="72"/>
      <c r="O23" s="72"/>
      <c r="P23" s="82"/>
      <c r="Q23" s="82"/>
      <c r="R23" s="82"/>
      <c r="S23" s="82"/>
      <c r="T23" s="82"/>
    </row>
    <row r="24" s="65" customFormat="1" ht="52" customHeight="1" spans="1:20">
      <c r="A24" s="77"/>
      <c r="B24" s="77"/>
      <c r="C24" s="77"/>
      <c r="D24" s="77"/>
      <c r="E24" s="72" t="s">
        <v>100</v>
      </c>
      <c r="F24" s="70"/>
      <c r="G24" s="70"/>
      <c r="H24" s="70"/>
      <c r="I24" s="70"/>
      <c r="J24" s="19"/>
      <c r="K24" s="18"/>
      <c r="L24" s="18"/>
      <c r="M24" s="18"/>
      <c r="N24" s="72"/>
      <c r="O24" s="72"/>
      <c r="P24" s="82"/>
      <c r="Q24" s="82"/>
      <c r="R24" s="82"/>
      <c r="S24" s="82"/>
      <c r="T24" s="82"/>
    </row>
    <row r="25" s="65" customFormat="1" ht="52" customHeight="1" spans="1:20">
      <c r="A25" s="78"/>
      <c r="B25" s="78"/>
      <c r="C25" s="78"/>
      <c r="D25" s="78"/>
      <c r="E25" s="72" t="s">
        <v>101</v>
      </c>
      <c r="F25" s="70"/>
      <c r="G25" s="70"/>
      <c r="H25" s="70"/>
      <c r="I25" s="70"/>
      <c r="J25" s="19"/>
      <c r="K25" s="18"/>
      <c r="L25" s="18"/>
      <c r="M25" s="18"/>
      <c r="N25" s="72"/>
      <c r="O25" s="72"/>
      <c r="P25" s="82"/>
      <c r="Q25" s="82"/>
      <c r="R25" s="82"/>
      <c r="S25" s="82"/>
      <c r="T25" s="82"/>
    </row>
    <row r="26" s="65" customFormat="1" ht="52" customHeight="1" spans="1:20">
      <c r="A26" s="78"/>
      <c r="B26" s="78"/>
      <c r="C26" s="78"/>
      <c r="D26" s="78"/>
      <c r="E26" s="72" t="s">
        <v>102</v>
      </c>
      <c r="F26" s="70"/>
      <c r="G26" s="70"/>
      <c r="H26" s="70"/>
      <c r="I26" s="70"/>
      <c r="J26" s="19"/>
      <c r="K26" s="18"/>
      <c r="L26" s="18"/>
      <c r="M26" s="18"/>
      <c r="N26" s="72"/>
      <c r="O26" s="72"/>
      <c r="P26" s="82"/>
      <c r="Q26" s="82"/>
      <c r="R26" s="82"/>
      <c r="S26" s="82"/>
      <c r="T26" s="82"/>
    </row>
    <row r="27" s="65" customFormat="1" ht="52" customHeight="1" spans="1:20">
      <c r="A27" s="78"/>
      <c r="B27" s="78"/>
      <c r="C27" s="78"/>
      <c r="D27" s="78"/>
      <c r="E27" s="72" t="s">
        <v>103</v>
      </c>
      <c r="F27" s="70"/>
      <c r="G27" s="70"/>
      <c r="H27" s="70"/>
      <c r="I27" s="70"/>
      <c r="J27" s="19"/>
      <c r="K27" s="18"/>
      <c r="L27" s="18"/>
      <c r="M27" s="18"/>
      <c r="N27" s="72"/>
      <c r="O27" s="72"/>
      <c r="P27" s="82"/>
      <c r="Q27" s="82"/>
      <c r="R27" s="82"/>
      <c r="S27" s="82"/>
      <c r="T27" s="82"/>
    </row>
    <row r="28" s="65" customFormat="1" ht="52" customHeight="1" spans="1:20">
      <c r="A28" s="78"/>
      <c r="B28" s="78"/>
      <c r="C28" s="78"/>
      <c r="D28" s="78"/>
      <c r="E28" s="72" t="s">
        <v>104</v>
      </c>
      <c r="F28" s="70"/>
      <c r="G28" s="70"/>
      <c r="H28" s="70"/>
      <c r="I28" s="70"/>
      <c r="J28" s="19"/>
      <c r="K28" s="18"/>
      <c r="L28" s="18"/>
      <c r="M28" s="18"/>
      <c r="N28" s="72"/>
      <c r="O28" s="72"/>
      <c r="P28" s="82"/>
      <c r="Q28" s="82"/>
      <c r="R28" s="82"/>
      <c r="S28" s="82"/>
      <c r="T28" s="82"/>
    </row>
    <row r="29" s="65" customFormat="1" ht="52" customHeight="1" spans="1:20">
      <c r="A29" s="78"/>
      <c r="B29" s="78"/>
      <c r="C29" s="78"/>
      <c r="D29" s="78"/>
      <c r="E29" s="72" t="s">
        <v>105</v>
      </c>
      <c r="F29" s="70"/>
      <c r="G29" s="70"/>
      <c r="H29" s="70"/>
      <c r="I29" s="70"/>
      <c r="J29" s="19"/>
      <c r="K29" s="18"/>
      <c r="L29" s="18"/>
      <c r="M29" s="18"/>
      <c r="N29" s="72"/>
      <c r="O29" s="72"/>
      <c r="P29" s="82"/>
      <c r="Q29" s="82"/>
      <c r="R29" s="82"/>
      <c r="S29" s="82"/>
      <c r="T29" s="82"/>
    </row>
    <row r="30" s="65" customFormat="1" ht="52" customHeight="1" spans="1:20">
      <c r="A30" s="78"/>
      <c r="B30" s="78"/>
      <c r="C30" s="78"/>
      <c r="D30" s="78"/>
      <c r="E30" s="72" t="s">
        <v>106</v>
      </c>
      <c r="F30" s="70"/>
      <c r="G30" s="70"/>
      <c r="H30" s="70"/>
      <c r="I30" s="70"/>
      <c r="J30" s="19"/>
      <c r="K30" s="18"/>
      <c r="L30" s="18"/>
      <c r="M30" s="18"/>
      <c r="N30" s="72"/>
      <c r="O30" s="72"/>
      <c r="P30" s="82"/>
      <c r="Q30" s="82"/>
      <c r="R30" s="82"/>
      <c r="S30" s="82"/>
      <c r="T30" s="82"/>
    </row>
    <row r="31" s="65" customFormat="1" ht="52" customHeight="1" spans="1:20">
      <c r="A31" s="78"/>
      <c r="B31" s="78"/>
      <c r="C31" s="78"/>
      <c r="D31" s="78"/>
      <c r="E31" s="72" t="s">
        <v>107</v>
      </c>
      <c r="F31" s="70"/>
      <c r="G31" s="70"/>
      <c r="H31" s="70"/>
      <c r="I31" s="70"/>
      <c r="J31" s="19"/>
      <c r="K31" s="18"/>
      <c r="L31" s="18"/>
      <c r="M31" s="18"/>
      <c r="N31" s="72"/>
      <c r="O31" s="72"/>
      <c r="P31" s="82"/>
      <c r="Q31" s="82"/>
      <c r="R31" s="82"/>
      <c r="S31" s="82"/>
      <c r="T31" s="82"/>
    </row>
    <row r="32" s="65" customFormat="1" ht="52" customHeight="1" spans="1:20">
      <c r="A32" s="78"/>
      <c r="B32" s="78"/>
      <c r="C32" s="78"/>
      <c r="D32" s="78"/>
      <c r="E32" s="72" t="s">
        <v>108</v>
      </c>
      <c r="F32" s="70"/>
      <c r="G32" s="70"/>
      <c r="H32" s="70"/>
      <c r="I32" s="70"/>
      <c r="J32" s="19"/>
      <c r="K32" s="18"/>
      <c r="L32" s="18"/>
      <c r="M32" s="18"/>
      <c r="N32" s="72"/>
      <c r="O32" s="72"/>
      <c r="P32" s="82"/>
      <c r="Q32" s="82"/>
      <c r="R32" s="82"/>
      <c r="S32" s="82"/>
      <c r="T32" s="82"/>
    </row>
    <row r="33" s="65" customFormat="1" ht="52" customHeight="1" spans="1:20">
      <c r="A33" s="78"/>
      <c r="B33" s="78"/>
      <c r="C33" s="78"/>
      <c r="D33" s="78"/>
      <c r="E33" s="72" t="s">
        <v>109</v>
      </c>
      <c r="F33" s="70"/>
      <c r="G33" s="70"/>
      <c r="H33" s="70"/>
      <c r="I33" s="70"/>
      <c r="J33" s="19"/>
      <c r="K33" s="18"/>
      <c r="L33" s="18"/>
      <c r="M33" s="18"/>
      <c r="N33" s="72"/>
      <c r="O33" s="72"/>
      <c r="P33" s="82"/>
      <c r="Q33" s="82"/>
      <c r="R33" s="82"/>
      <c r="S33" s="82"/>
      <c r="T33" s="82"/>
    </row>
    <row r="34" s="65" customFormat="1" ht="52" customHeight="1" spans="1:20">
      <c r="A34" s="78"/>
      <c r="B34" s="78"/>
      <c r="C34" s="78"/>
      <c r="D34" s="78"/>
      <c r="E34" s="72" t="s">
        <v>110</v>
      </c>
      <c r="F34" s="70"/>
      <c r="G34" s="70"/>
      <c r="H34" s="70"/>
      <c r="I34" s="70"/>
      <c r="J34" s="19"/>
      <c r="K34" s="18"/>
      <c r="L34" s="18"/>
      <c r="M34" s="18"/>
      <c r="N34" s="72"/>
      <c r="O34" s="72"/>
      <c r="P34" s="82"/>
      <c r="Q34" s="82"/>
      <c r="R34" s="82"/>
      <c r="S34" s="82"/>
      <c r="T34" s="82"/>
    </row>
    <row r="35" s="65" customFormat="1" ht="52" customHeight="1" spans="1:20">
      <c r="A35" s="78"/>
      <c r="B35" s="78"/>
      <c r="C35" s="78"/>
      <c r="D35" s="78"/>
      <c r="E35" s="72" t="s">
        <v>111</v>
      </c>
      <c r="F35" s="70"/>
      <c r="G35" s="70"/>
      <c r="H35" s="70"/>
      <c r="I35" s="70"/>
      <c r="J35" s="19"/>
      <c r="K35" s="18"/>
      <c r="L35" s="18"/>
      <c r="M35" s="18"/>
      <c r="N35" s="72"/>
      <c r="O35" s="72"/>
      <c r="P35" s="82"/>
      <c r="Q35" s="82"/>
      <c r="R35" s="82"/>
      <c r="S35" s="82"/>
      <c r="T35" s="82"/>
    </row>
    <row r="36" s="65" customFormat="1" ht="52" customHeight="1" spans="1:20">
      <c r="A36" s="78"/>
      <c r="B36" s="78"/>
      <c r="C36" s="78"/>
      <c r="D36" s="78"/>
      <c r="E36" s="72" t="s">
        <v>112</v>
      </c>
      <c r="F36" s="70"/>
      <c r="G36" s="70"/>
      <c r="H36" s="70"/>
      <c r="I36" s="70"/>
      <c r="J36" s="19"/>
      <c r="K36" s="18"/>
      <c r="L36" s="18"/>
      <c r="M36" s="18"/>
      <c r="N36" s="72"/>
      <c r="O36" s="72"/>
      <c r="P36" s="82"/>
      <c r="Q36" s="82"/>
      <c r="R36" s="82"/>
      <c r="S36" s="82"/>
      <c r="T36" s="82"/>
    </row>
    <row r="37" s="65" customFormat="1" ht="52" customHeight="1" spans="1:20">
      <c r="A37" s="78"/>
      <c r="B37" s="78"/>
      <c r="C37" s="78"/>
      <c r="D37" s="78"/>
      <c r="E37" s="72" t="s">
        <v>113</v>
      </c>
      <c r="F37" s="70"/>
      <c r="G37" s="70"/>
      <c r="H37" s="70"/>
      <c r="I37" s="70"/>
      <c r="J37" s="19"/>
      <c r="K37" s="18"/>
      <c r="L37" s="18"/>
      <c r="M37" s="18"/>
      <c r="N37" s="72"/>
      <c r="O37" s="72"/>
      <c r="P37" s="82"/>
      <c r="Q37" s="82"/>
      <c r="R37" s="82"/>
      <c r="S37" s="82"/>
      <c r="T37" s="82"/>
    </row>
    <row r="38" s="65" customFormat="1" ht="52" customHeight="1" spans="1:20">
      <c r="A38" s="78"/>
      <c r="B38" s="78"/>
      <c r="C38" s="78"/>
      <c r="D38" s="78"/>
      <c r="E38" s="72" t="s">
        <v>114</v>
      </c>
      <c r="F38" s="70"/>
      <c r="G38" s="70"/>
      <c r="H38" s="70"/>
      <c r="I38" s="70"/>
      <c r="J38" s="19"/>
      <c r="K38" s="18"/>
      <c r="L38" s="18"/>
      <c r="M38" s="18"/>
      <c r="N38" s="72"/>
      <c r="O38" s="72"/>
      <c r="P38" s="82"/>
      <c r="Q38" s="82"/>
      <c r="R38" s="82"/>
      <c r="S38" s="82"/>
      <c r="T38" s="82"/>
    </row>
    <row r="39" s="65" customFormat="1" ht="13.5" spans="5:15">
      <c r="E39" s="72" t="s">
        <v>115</v>
      </c>
      <c r="F39" s="70"/>
      <c r="G39" s="70"/>
      <c r="H39" s="70"/>
      <c r="I39" s="70"/>
      <c r="J39" s="70"/>
      <c r="K39" s="70"/>
      <c r="L39" s="70"/>
      <c r="M39" s="70"/>
      <c r="N39" s="72"/>
      <c r="O39" s="72"/>
    </row>
    <row r="40" s="65" customFormat="1" ht="13.5" spans="5:15">
      <c r="E40" s="72" t="s">
        <v>116</v>
      </c>
      <c r="F40" s="70"/>
      <c r="G40" s="70"/>
      <c r="H40" s="70"/>
      <c r="I40" s="70"/>
      <c r="J40" s="70"/>
      <c r="K40" s="70"/>
      <c r="L40" s="70"/>
      <c r="M40" s="70"/>
      <c r="N40" s="72"/>
      <c r="O40" s="72"/>
    </row>
    <row r="41" s="65" customFormat="1" ht="13.5" spans="5:15">
      <c r="E41" s="72" t="s">
        <v>117</v>
      </c>
      <c r="F41" s="70"/>
      <c r="G41" s="70"/>
      <c r="H41" s="70"/>
      <c r="I41" s="70"/>
      <c r="J41" s="70"/>
      <c r="K41" s="70"/>
      <c r="L41" s="70"/>
      <c r="M41" s="70"/>
      <c r="N41" s="72"/>
      <c r="O41" s="72"/>
    </row>
    <row r="42" s="65" customFormat="1" ht="13.5" spans="5:15">
      <c r="E42" s="72" t="s">
        <v>118</v>
      </c>
      <c r="F42" s="70"/>
      <c r="G42" s="70"/>
      <c r="H42" s="70"/>
      <c r="I42" s="70"/>
      <c r="J42" s="70"/>
      <c r="K42" s="70"/>
      <c r="L42" s="70"/>
      <c r="M42" s="70"/>
      <c r="N42" s="72"/>
      <c r="O42" s="72"/>
    </row>
    <row r="43" s="65" customFormat="1" ht="13.5" spans="5:15">
      <c r="E43" s="72" t="s">
        <v>119</v>
      </c>
      <c r="F43" s="70"/>
      <c r="G43" s="70"/>
      <c r="H43" s="70"/>
      <c r="I43" s="70"/>
      <c r="J43" s="70"/>
      <c r="K43" s="70"/>
      <c r="L43" s="70"/>
      <c r="M43" s="70"/>
      <c r="N43" s="72"/>
      <c r="O43" s="72"/>
    </row>
    <row r="44" s="65" customFormat="1" ht="13.5" spans="5:15">
      <c r="E44" s="72" t="s">
        <v>120</v>
      </c>
      <c r="F44" s="70"/>
      <c r="G44" s="70"/>
      <c r="H44" s="70"/>
      <c r="I44" s="70"/>
      <c r="J44" s="70"/>
      <c r="K44" s="70"/>
      <c r="L44" s="70"/>
      <c r="M44" s="70"/>
      <c r="N44" s="72"/>
      <c r="O44" s="72"/>
    </row>
    <row r="45" s="65" customFormat="1" ht="13.5" spans="5:15">
      <c r="E45" s="72" t="s">
        <v>121</v>
      </c>
      <c r="F45" s="70"/>
      <c r="G45" s="70"/>
      <c r="H45" s="70"/>
      <c r="I45" s="70"/>
      <c r="J45" s="70"/>
      <c r="K45" s="70"/>
      <c r="L45" s="70"/>
      <c r="M45" s="70"/>
      <c r="N45" s="72"/>
      <c r="O45" s="72"/>
    </row>
    <row r="46" s="65" customFormat="1" ht="13.5" spans="1:15">
      <c r="A46" s="66"/>
      <c r="C46" s="79"/>
      <c r="D46" s="79"/>
      <c r="E46" s="72" t="s">
        <v>122</v>
      </c>
      <c r="F46" s="70"/>
      <c r="G46" s="70"/>
      <c r="H46" s="70"/>
      <c r="I46" s="70"/>
      <c r="J46" s="70"/>
      <c r="K46" s="70"/>
      <c r="L46" s="70"/>
      <c r="M46" s="70"/>
      <c r="N46" s="72"/>
      <c r="O46" s="72"/>
    </row>
    <row r="47" s="65" customFormat="1" ht="13.5" spans="1:15">
      <c r="A47" s="66"/>
      <c r="C47" s="79"/>
      <c r="D47" s="79"/>
      <c r="E47" s="72" t="s">
        <v>123</v>
      </c>
      <c r="F47" s="70"/>
      <c r="G47" s="70"/>
      <c r="H47" s="70"/>
      <c r="I47" s="70"/>
      <c r="J47" s="70"/>
      <c r="K47" s="70"/>
      <c r="L47" s="70"/>
      <c r="M47" s="70"/>
      <c r="N47" s="72"/>
      <c r="O47" s="72"/>
    </row>
    <row r="48" s="65" customFormat="1" ht="13.5" spans="1:15">
      <c r="A48" s="66"/>
      <c r="C48" s="79"/>
      <c r="D48" s="79"/>
      <c r="E48" s="72" t="s">
        <v>124</v>
      </c>
      <c r="F48" s="70"/>
      <c r="G48" s="70"/>
      <c r="H48" s="70"/>
      <c r="I48" s="70"/>
      <c r="J48" s="70"/>
      <c r="K48" s="70"/>
      <c r="L48" s="70"/>
      <c r="M48" s="70"/>
      <c r="N48" s="72"/>
      <c r="O48" s="72"/>
    </row>
    <row r="49" s="65" customFormat="1" ht="13.5" spans="1:15">
      <c r="A49" s="66"/>
      <c r="C49" s="79"/>
      <c r="D49" s="79"/>
      <c r="E49" s="72" t="s">
        <v>125</v>
      </c>
      <c r="F49" s="70"/>
      <c r="G49" s="70"/>
      <c r="H49" s="70"/>
      <c r="I49" s="70"/>
      <c r="J49" s="70"/>
      <c r="K49" s="70"/>
      <c r="L49" s="70"/>
      <c r="M49" s="70"/>
      <c r="N49" s="72"/>
      <c r="O49" s="72"/>
    </row>
    <row r="50" s="65" customFormat="1" ht="13.5" spans="1:15">
      <c r="A50" s="66"/>
      <c r="C50" s="79"/>
      <c r="D50" s="79"/>
      <c r="E50" s="72" t="s">
        <v>126</v>
      </c>
      <c r="F50" s="70"/>
      <c r="G50" s="70"/>
      <c r="H50" s="70"/>
      <c r="I50" s="70"/>
      <c r="J50" s="70"/>
      <c r="K50" s="70"/>
      <c r="L50" s="70"/>
      <c r="M50" s="70"/>
      <c r="N50" s="72"/>
      <c r="O50" s="72"/>
    </row>
    <row r="51" s="65" customFormat="1" ht="13.5" spans="1:15">
      <c r="A51" s="66"/>
      <c r="C51" s="79"/>
      <c r="D51" s="79"/>
      <c r="E51" s="72" t="s">
        <v>127</v>
      </c>
      <c r="F51" s="70"/>
      <c r="G51" s="70"/>
      <c r="H51" s="70"/>
      <c r="I51" s="70"/>
      <c r="J51" s="70"/>
      <c r="K51" s="70"/>
      <c r="L51" s="70"/>
      <c r="M51" s="70"/>
      <c r="N51" s="72"/>
      <c r="O51" s="72"/>
    </row>
    <row r="52" s="65" customFormat="1" ht="13.5" spans="1:15">
      <c r="A52" s="66"/>
      <c r="E52" s="72" t="s">
        <v>128</v>
      </c>
      <c r="F52" s="70"/>
      <c r="G52" s="70"/>
      <c r="H52" s="70"/>
      <c r="I52" s="70"/>
      <c r="J52" s="70"/>
      <c r="K52" s="70"/>
      <c r="L52" s="70"/>
      <c r="M52" s="70"/>
      <c r="N52" s="72"/>
      <c r="O52" s="72"/>
    </row>
    <row r="53" s="65" customFormat="1" ht="13.5" spans="1:15">
      <c r="A53" s="66"/>
      <c r="E53" s="72" t="s">
        <v>129</v>
      </c>
      <c r="F53" s="70"/>
      <c r="G53" s="70"/>
      <c r="H53" s="70"/>
      <c r="I53" s="70"/>
      <c r="J53" s="70"/>
      <c r="K53" s="70"/>
      <c r="L53" s="70"/>
      <c r="M53" s="70"/>
      <c r="N53" s="72"/>
      <c r="O53" s="72"/>
    </row>
    <row r="54" s="65" customFormat="1" ht="13.5" spans="1:15">
      <c r="A54" s="66"/>
      <c r="E54" s="72" t="s">
        <v>130</v>
      </c>
      <c r="F54" s="70"/>
      <c r="G54" s="70"/>
      <c r="H54" s="70"/>
      <c r="I54" s="70"/>
      <c r="J54" s="70"/>
      <c r="K54" s="70"/>
      <c r="L54" s="70"/>
      <c r="M54" s="70"/>
      <c r="N54" s="72"/>
      <c r="O54" s="72"/>
    </row>
    <row r="55" s="65" customFormat="1" ht="13.5" spans="1:15">
      <c r="A55" s="66"/>
      <c r="E55" s="72" t="s">
        <v>131</v>
      </c>
      <c r="F55" s="70"/>
      <c r="G55" s="70"/>
      <c r="H55" s="70"/>
      <c r="I55" s="70"/>
      <c r="J55" s="70"/>
      <c r="K55" s="70"/>
      <c r="L55" s="70"/>
      <c r="M55" s="70"/>
      <c r="N55" s="72"/>
      <c r="O55" s="72"/>
    </row>
    <row r="56" s="65" customFormat="1" ht="13.5" spans="1:15">
      <c r="A56" s="66"/>
      <c r="E56" s="72" t="s">
        <v>132</v>
      </c>
      <c r="F56" s="70"/>
      <c r="G56" s="70"/>
      <c r="H56" s="70"/>
      <c r="I56" s="70"/>
      <c r="J56" s="70"/>
      <c r="K56" s="70"/>
      <c r="L56" s="70"/>
      <c r="M56" s="70"/>
      <c r="N56" s="72"/>
      <c r="O56" s="72"/>
    </row>
    <row r="57" s="65" customFormat="1" ht="13.5" spans="1:15">
      <c r="A57" s="66"/>
      <c r="E57" s="72" t="s">
        <v>133</v>
      </c>
      <c r="F57" s="70"/>
      <c r="G57" s="70"/>
      <c r="H57" s="70"/>
      <c r="I57" s="70"/>
      <c r="J57" s="70"/>
      <c r="K57" s="70"/>
      <c r="L57" s="70"/>
      <c r="M57" s="70"/>
      <c r="N57" s="72"/>
      <c r="O57" s="72"/>
    </row>
    <row r="58" s="65" customFormat="1" ht="13.5" spans="1:15">
      <c r="A58" s="66"/>
      <c r="E58" s="72" t="s">
        <v>134</v>
      </c>
      <c r="F58" s="70"/>
      <c r="G58" s="70"/>
      <c r="H58" s="70"/>
      <c r="I58" s="70"/>
      <c r="J58" s="70"/>
      <c r="K58" s="70"/>
      <c r="L58" s="70"/>
      <c r="M58" s="70"/>
      <c r="N58" s="72"/>
      <c r="O58" s="72"/>
    </row>
    <row r="59" s="65" customFormat="1" ht="13.5" spans="1:15">
      <c r="A59" s="66"/>
      <c r="E59" s="72" t="s">
        <v>135</v>
      </c>
      <c r="F59" s="70"/>
      <c r="G59" s="70"/>
      <c r="H59" s="70"/>
      <c r="I59" s="70"/>
      <c r="J59" s="70"/>
      <c r="K59" s="70"/>
      <c r="L59" s="70"/>
      <c r="M59" s="70"/>
      <c r="N59" s="72"/>
      <c r="O59" s="72"/>
    </row>
    <row r="60" s="65" customFormat="1" ht="13.5" spans="1:15">
      <c r="A60" s="66"/>
      <c r="E60" s="72" t="s">
        <v>136</v>
      </c>
      <c r="F60" s="70"/>
      <c r="G60" s="70"/>
      <c r="H60" s="70"/>
      <c r="I60" s="70"/>
      <c r="J60" s="70"/>
      <c r="K60" s="70"/>
      <c r="L60" s="70"/>
      <c r="M60" s="70"/>
      <c r="N60" s="72"/>
      <c r="O60" s="72"/>
    </row>
    <row r="61" s="65" customFormat="1" ht="13.5" spans="1:15">
      <c r="A61" s="66"/>
      <c r="E61" s="72" t="s">
        <v>137</v>
      </c>
      <c r="F61" s="70"/>
      <c r="G61" s="70"/>
      <c r="H61" s="70"/>
      <c r="I61" s="70"/>
      <c r="J61" s="70"/>
      <c r="K61" s="70"/>
      <c r="L61" s="70"/>
      <c r="M61" s="70"/>
      <c r="N61" s="72"/>
      <c r="O61" s="72"/>
    </row>
    <row r="62" s="65" customFormat="1" ht="13.5" spans="1:15">
      <c r="A62" s="66"/>
      <c r="E62" s="72" t="s">
        <v>138</v>
      </c>
      <c r="F62" s="70"/>
      <c r="G62" s="70"/>
      <c r="H62" s="70"/>
      <c r="I62" s="70"/>
      <c r="J62" s="70"/>
      <c r="K62" s="70"/>
      <c r="L62" s="70"/>
      <c r="M62" s="70"/>
      <c r="N62" s="72"/>
      <c r="O62" s="72"/>
    </row>
    <row r="63" s="65" customFormat="1" ht="13.5" spans="1:15">
      <c r="A63" s="66"/>
      <c r="E63" s="72" t="s">
        <v>139</v>
      </c>
      <c r="F63" s="70"/>
      <c r="G63" s="70"/>
      <c r="H63" s="70"/>
      <c r="I63" s="70"/>
      <c r="J63" s="70"/>
      <c r="K63" s="70"/>
      <c r="L63" s="70"/>
      <c r="M63" s="70"/>
      <c r="N63" s="72"/>
      <c r="O63" s="72"/>
    </row>
    <row r="64" s="65" customFormat="1" ht="13.5" spans="1:15">
      <c r="A64" s="66"/>
      <c r="E64" s="72" t="s">
        <v>140</v>
      </c>
      <c r="F64" s="70"/>
      <c r="G64" s="70"/>
      <c r="H64" s="70"/>
      <c r="I64" s="70"/>
      <c r="J64" s="70"/>
      <c r="K64" s="70"/>
      <c r="L64" s="70"/>
      <c r="M64" s="70"/>
      <c r="N64" s="72"/>
      <c r="O64" s="72"/>
    </row>
    <row r="65" s="65" customFormat="1" ht="13.5" spans="1:15">
      <c r="A65" s="66"/>
      <c r="E65" s="72" t="s">
        <v>141</v>
      </c>
      <c r="F65" s="70"/>
      <c r="G65" s="70"/>
      <c r="H65" s="70"/>
      <c r="I65" s="70"/>
      <c r="J65" s="70"/>
      <c r="K65" s="70"/>
      <c r="L65" s="70"/>
      <c r="M65" s="70"/>
      <c r="N65" s="72"/>
      <c r="O65" s="72"/>
    </row>
    <row r="66" s="65" customFormat="1" ht="13.5" spans="1:15">
      <c r="A66" s="66"/>
      <c r="E66" s="72" t="s">
        <v>142</v>
      </c>
      <c r="F66" s="70"/>
      <c r="G66" s="70"/>
      <c r="H66" s="70"/>
      <c r="I66" s="70"/>
      <c r="J66" s="70"/>
      <c r="K66" s="70"/>
      <c r="L66" s="70"/>
      <c r="M66" s="70"/>
      <c r="N66" s="72"/>
      <c r="O66" s="72"/>
    </row>
    <row r="67" s="65" customFormat="1" ht="13.5" spans="1:15">
      <c r="A67" s="66"/>
      <c r="E67" s="72" t="s">
        <v>143</v>
      </c>
      <c r="F67" s="70"/>
      <c r="G67" s="70"/>
      <c r="H67" s="70"/>
      <c r="I67" s="70"/>
      <c r="J67" s="70"/>
      <c r="K67" s="70"/>
      <c r="L67" s="70"/>
      <c r="M67" s="70"/>
      <c r="N67" s="72"/>
      <c r="O67" s="72"/>
    </row>
    <row r="68" s="65" customFormat="1" ht="13.5" spans="1:15">
      <c r="A68" s="66"/>
      <c r="E68" s="72" t="s">
        <v>144</v>
      </c>
      <c r="F68" s="70"/>
      <c r="G68" s="70"/>
      <c r="H68" s="70"/>
      <c r="I68" s="70"/>
      <c r="J68" s="70"/>
      <c r="K68" s="70"/>
      <c r="L68" s="70"/>
      <c r="M68" s="70"/>
      <c r="N68" s="72"/>
      <c r="O68" s="72"/>
    </row>
    <row r="69" s="65" customFormat="1" ht="13.5" spans="1:15">
      <c r="A69" s="66"/>
      <c r="E69" s="72" t="s">
        <v>145</v>
      </c>
      <c r="F69" s="70"/>
      <c r="G69" s="70"/>
      <c r="H69" s="70"/>
      <c r="I69" s="70"/>
      <c r="J69" s="70"/>
      <c r="K69" s="70"/>
      <c r="L69" s="70"/>
      <c r="M69" s="70"/>
      <c r="N69" s="72"/>
      <c r="O69" s="72"/>
    </row>
    <row r="70" s="65" customFormat="1" ht="13.5" spans="1:15">
      <c r="A70" s="66"/>
      <c r="E70" s="72" t="s">
        <v>146</v>
      </c>
      <c r="F70" s="70"/>
      <c r="G70" s="70"/>
      <c r="H70" s="70"/>
      <c r="I70" s="70"/>
      <c r="J70" s="70"/>
      <c r="K70" s="70"/>
      <c r="L70" s="70"/>
      <c r="M70" s="70"/>
      <c r="N70" s="72"/>
      <c r="O70" s="72"/>
    </row>
    <row r="71" s="65" customFormat="1" ht="13.5" spans="1:15">
      <c r="A71" s="66"/>
      <c r="E71" s="72" t="s">
        <v>147</v>
      </c>
      <c r="F71" s="70"/>
      <c r="G71" s="70"/>
      <c r="H71" s="70"/>
      <c r="I71" s="70"/>
      <c r="J71" s="70"/>
      <c r="K71" s="70"/>
      <c r="L71" s="70"/>
      <c r="M71" s="70"/>
      <c r="N71" s="72"/>
      <c r="O71" s="72"/>
    </row>
    <row r="72" s="65" customFormat="1" ht="13.5" spans="1:15">
      <c r="A72" s="66"/>
      <c r="E72" s="72" t="s">
        <v>148</v>
      </c>
      <c r="F72" s="70"/>
      <c r="G72" s="70"/>
      <c r="H72" s="70"/>
      <c r="I72" s="70"/>
      <c r="J72" s="70"/>
      <c r="K72" s="70"/>
      <c r="L72" s="70"/>
      <c r="M72" s="70"/>
      <c r="N72" s="72"/>
      <c r="O72" s="72"/>
    </row>
    <row r="73" s="65" customFormat="1" ht="13.5" spans="1:15">
      <c r="A73" s="66"/>
      <c r="E73" s="72" t="s">
        <v>149</v>
      </c>
      <c r="F73" s="70"/>
      <c r="G73" s="70"/>
      <c r="H73" s="70"/>
      <c r="I73" s="70"/>
      <c r="J73" s="70"/>
      <c r="K73" s="70"/>
      <c r="L73" s="70"/>
      <c r="M73" s="70"/>
      <c r="N73" s="72"/>
      <c r="O73" s="72"/>
    </row>
    <row r="74" s="65" customFormat="1" ht="13.5" spans="1:15">
      <c r="A74" s="66"/>
      <c r="E74" s="72" t="s">
        <v>150</v>
      </c>
      <c r="F74" s="70"/>
      <c r="G74" s="70"/>
      <c r="H74" s="70"/>
      <c r="I74" s="70"/>
      <c r="J74" s="70"/>
      <c r="K74" s="70"/>
      <c r="L74" s="70"/>
      <c r="M74" s="70"/>
      <c r="N74" s="72"/>
      <c r="O74" s="72"/>
    </row>
    <row r="75" s="65" customFormat="1" ht="13.5" spans="1:15">
      <c r="A75" s="66"/>
      <c r="E75" s="72" t="s">
        <v>151</v>
      </c>
      <c r="F75" s="70"/>
      <c r="G75" s="70"/>
      <c r="H75" s="70"/>
      <c r="I75" s="70"/>
      <c r="J75" s="70"/>
      <c r="K75" s="70"/>
      <c r="L75" s="70"/>
      <c r="M75" s="70"/>
      <c r="N75" s="72"/>
      <c r="O75" s="72"/>
    </row>
    <row r="76" s="65" customFormat="1" ht="13.5" spans="1:15">
      <c r="A76" s="66"/>
      <c r="E76" s="72" t="s">
        <v>152</v>
      </c>
      <c r="F76" s="70"/>
      <c r="G76" s="70"/>
      <c r="H76" s="70"/>
      <c r="I76" s="70"/>
      <c r="J76" s="70"/>
      <c r="K76" s="70"/>
      <c r="L76" s="70"/>
      <c r="M76" s="70"/>
      <c r="N76" s="72"/>
      <c r="O76" s="72"/>
    </row>
    <row r="77" s="65" customFormat="1" ht="13.5" spans="1:15">
      <c r="A77" s="66"/>
      <c r="E77" s="72" t="s">
        <v>153</v>
      </c>
      <c r="F77" s="70"/>
      <c r="G77" s="70"/>
      <c r="H77" s="70"/>
      <c r="I77" s="70"/>
      <c r="J77" s="70"/>
      <c r="K77" s="70"/>
      <c r="L77" s="70"/>
      <c r="M77" s="70"/>
      <c r="N77" s="72"/>
      <c r="O77" s="72"/>
    </row>
    <row r="78" s="65" customFormat="1" ht="13.5" spans="1:15">
      <c r="A78" s="66"/>
      <c r="E78" s="72" t="s">
        <v>154</v>
      </c>
      <c r="F78" s="70"/>
      <c r="G78" s="70"/>
      <c r="H78" s="70"/>
      <c r="I78" s="70"/>
      <c r="J78" s="70"/>
      <c r="K78" s="70"/>
      <c r="L78" s="70"/>
      <c r="M78" s="70"/>
      <c r="N78" s="72"/>
      <c r="O78" s="72"/>
    </row>
    <row r="79" s="65" customFormat="1" ht="13.5" spans="1:15">
      <c r="A79" s="66"/>
      <c r="E79" s="72" t="s">
        <v>155</v>
      </c>
      <c r="F79" s="70"/>
      <c r="G79" s="70"/>
      <c r="H79" s="70"/>
      <c r="I79" s="70"/>
      <c r="J79" s="70"/>
      <c r="K79" s="70"/>
      <c r="L79" s="70"/>
      <c r="M79" s="70"/>
      <c r="N79" s="72"/>
      <c r="O79" s="72"/>
    </row>
    <row r="80" s="65" customFormat="1" ht="13.5" spans="1:15">
      <c r="A80" s="66"/>
      <c r="E80" s="72" t="s">
        <v>156</v>
      </c>
      <c r="F80" s="70"/>
      <c r="G80" s="70"/>
      <c r="H80" s="70"/>
      <c r="I80" s="70"/>
      <c r="J80" s="70"/>
      <c r="K80" s="70"/>
      <c r="L80" s="70"/>
      <c r="M80" s="70"/>
      <c r="N80" s="72"/>
      <c r="O80" s="72"/>
    </row>
    <row r="81" s="65" customFormat="1" ht="13.5" spans="1:15">
      <c r="A81" s="66"/>
      <c r="E81" s="72" t="s">
        <v>157</v>
      </c>
      <c r="F81" s="70"/>
      <c r="G81" s="70"/>
      <c r="H81" s="70"/>
      <c r="I81" s="70"/>
      <c r="J81" s="70"/>
      <c r="K81" s="70"/>
      <c r="L81" s="70"/>
      <c r="M81" s="70"/>
      <c r="N81" s="72"/>
      <c r="O81" s="72"/>
    </row>
    <row r="82" s="65" customFormat="1" ht="13.5" spans="1:15">
      <c r="A82" s="66"/>
      <c r="E82" s="72" t="s">
        <v>158</v>
      </c>
      <c r="F82" s="70"/>
      <c r="G82" s="70"/>
      <c r="H82" s="70"/>
      <c r="I82" s="70"/>
      <c r="J82" s="70"/>
      <c r="K82" s="70"/>
      <c r="L82" s="70"/>
      <c r="M82" s="70"/>
      <c r="N82" s="72"/>
      <c r="O82" s="72"/>
    </row>
    <row r="83" s="65" customFormat="1" ht="13.5" spans="1:15">
      <c r="A83" s="66"/>
      <c r="E83" s="72" t="s">
        <v>159</v>
      </c>
      <c r="F83" s="70"/>
      <c r="G83" s="70"/>
      <c r="H83" s="70"/>
      <c r="I83" s="70"/>
      <c r="J83" s="70"/>
      <c r="K83" s="70"/>
      <c r="L83" s="70"/>
      <c r="M83" s="70"/>
      <c r="N83" s="72"/>
      <c r="O83" s="72"/>
    </row>
    <row r="84" s="65" customFormat="1" ht="13.5" spans="1:15">
      <c r="A84" s="66"/>
      <c r="E84" s="72" t="s">
        <v>160</v>
      </c>
      <c r="F84" s="70"/>
      <c r="G84" s="70"/>
      <c r="H84" s="70"/>
      <c r="I84" s="70"/>
      <c r="J84" s="70"/>
      <c r="K84" s="70"/>
      <c r="L84" s="70"/>
      <c r="M84" s="70"/>
      <c r="N84" s="72"/>
      <c r="O84" s="72"/>
    </row>
    <row r="85" s="65" customFormat="1" ht="13.5" spans="1:15">
      <c r="A85" s="66"/>
      <c r="E85" s="72" t="s">
        <v>161</v>
      </c>
      <c r="F85" s="70"/>
      <c r="G85" s="70"/>
      <c r="H85" s="70"/>
      <c r="I85" s="70"/>
      <c r="J85" s="70"/>
      <c r="K85" s="70"/>
      <c r="L85" s="70"/>
      <c r="M85" s="70"/>
      <c r="N85" s="72"/>
      <c r="O85" s="72"/>
    </row>
    <row r="86" s="65" customFormat="1" ht="13.5" spans="1:15">
      <c r="A86" s="66"/>
      <c r="E86" s="72" t="s">
        <v>162</v>
      </c>
      <c r="F86" s="70"/>
      <c r="G86" s="70"/>
      <c r="H86" s="70"/>
      <c r="I86" s="70"/>
      <c r="J86" s="70"/>
      <c r="K86" s="70"/>
      <c r="L86" s="70"/>
      <c r="M86" s="70"/>
      <c r="N86" s="72"/>
      <c r="O86" s="72"/>
    </row>
    <row r="87" s="65" customFormat="1" ht="13.5" spans="1:15">
      <c r="A87" s="66"/>
      <c r="E87" s="72" t="s">
        <v>163</v>
      </c>
      <c r="F87" s="70"/>
      <c r="G87" s="70"/>
      <c r="H87" s="70"/>
      <c r="I87" s="70"/>
      <c r="J87" s="70"/>
      <c r="K87" s="70"/>
      <c r="L87" s="70"/>
      <c r="M87" s="70"/>
      <c r="N87" s="72"/>
      <c r="O87" s="72"/>
    </row>
    <row r="88" s="65" customFormat="1" ht="13.5" spans="1:15">
      <c r="A88" s="66"/>
      <c r="E88" s="72" t="s">
        <v>164</v>
      </c>
      <c r="F88" s="70"/>
      <c r="G88" s="70"/>
      <c r="H88" s="70"/>
      <c r="I88" s="70"/>
      <c r="J88" s="70"/>
      <c r="K88" s="70"/>
      <c r="L88" s="70"/>
      <c r="M88" s="70"/>
      <c r="N88" s="72"/>
      <c r="O88" s="72"/>
    </row>
    <row r="89" s="65" customFormat="1" ht="13.5" spans="1:15">
      <c r="A89" s="66"/>
      <c r="E89" s="72" t="s">
        <v>165</v>
      </c>
      <c r="F89" s="70"/>
      <c r="G89" s="70"/>
      <c r="H89" s="70"/>
      <c r="I89" s="70"/>
      <c r="J89" s="70"/>
      <c r="K89" s="70"/>
      <c r="L89" s="70"/>
      <c r="M89" s="70"/>
      <c r="N89" s="72"/>
      <c r="O89" s="72"/>
    </row>
    <row r="90" s="65" customFormat="1" ht="13.5" spans="1:15">
      <c r="A90" s="66"/>
      <c r="E90" s="72" t="s">
        <v>166</v>
      </c>
      <c r="F90" s="70"/>
      <c r="G90" s="70"/>
      <c r="H90" s="70"/>
      <c r="I90" s="70"/>
      <c r="J90" s="70"/>
      <c r="K90" s="70"/>
      <c r="L90" s="70"/>
      <c r="M90" s="70"/>
      <c r="N90" s="72"/>
      <c r="O90" s="72"/>
    </row>
    <row r="91" s="65" customFormat="1" ht="13.5" spans="1:15">
      <c r="A91" s="66"/>
      <c r="E91" s="72" t="s">
        <v>167</v>
      </c>
      <c r="F91" s="70"/>
      <c r="G91" s="70"/>
      <c r="H91" s="70"/>
      <c r="I91" s="70"/>
      <c r="J91" s="70"/>
      <c r="K91" s="70"/>
      <c r="L91" s="70"/>
      <c r="M91" s="70"/>
      <c r="N91" s="72"/>
      <c r="O91" s="72"/>
    </row>
    <row r="92" s="65" customFormat="1" ht="13.5" spans="1:15">
      <c r="A92" s="66"/>
      <c r="E92" s="72" t="s">
        <v>168</v>
      </c>
      <c r="F92" s="70"/>
      <c r="G92" s="70"/>
      <c r="H92" s="70"/>
      <c r="I92" s="70"/>
      <c r="J92" s="70"/>
      <c r="K92" s="70"/>
      <c r="L92" s="70"/>
      <c r="M92" s="70"/>
      <c r="N92" s="72"/>
      <c r="O92" s="72"/>
    </row>
    <row r="93" s="65" customFormat="1" ht="13.5" spans="1:15">
      <c r="A93" s="66"/>
      <c r="E93" s="72" t="s">
        <v>169</v>
      </c>
      <c r="F93" s="70"/>
      <c r="G93" s="70"/>
      <c r="H93" s="70"/>
      <c r="I93" s="70"/>
      <c r="J93" s="70"/>
      <c r="K93" s="70"/>
      <c r="L93" s="70"/>
      <c r="M93" s="70"/>
      <c r="N93" s="72"/>
      <c r="O93" s="72"/>
    </row>
    <row r="94" s="65" customFormat="1" ht="13.5" spans="1:15">
      <c r="A94" s="66"/>
      <c r="E94" s="72" t="s">
        <v>170</v>
      </c>
      <c r="F94" s="70"/>
      <c r="G94" s="70"/>
      <c r="H94" s="70"/>
      <c r="I94" s="70"/>
      <c r="J94" s="70"/>
      <c r="K94" s="70"/>
      <c r="L94" s="70"/>
      <c r="M94" s="70"/>
      <c r="N94" s="72"/>
      <c r="O94" s="72"/>
    </row>
    <row r="95" s="65" customFormat="1" ht="13.5" spans="1:15">
      <c r="A95" s="66"/>
      <c r="E95" s="72" t="s">
        <v>171</v>
      </c>
      <c r="F95" s="70"/>
      <c r="G95" s="70"/>
      <c r="H95" s="70"/>
      <c r="I95" s="70"/>
      <c r="J95" s="70"/>
      <c r="K95" s="70"/>
      <c r="L95" s="70"/>
      <c r="M95" s="70"/>
      <c r="N95" s="72"/>
      <c r="O95" s="72"/>
    </row>
    <row r="96" s="65" customFormat="1" ht="13.5" spans="1:15">
      <c r="A96" s="66"/>
      <c r="E96" s="72" t="s">
        <v>172</v>
      </c>
      <c r="F96" s="70"/>
      <c r="G96" s="70"/>
      <c r="H96" s="70"/>
      <c r="I96" s="70"/>
      <c r="J96" s="70"/>
      <c r="K96" s="70"/>
      <c r="L96" s="70"/>
      <c r="M96" s="70"/>
      <c r="N96" s="72"/>
      <c r="O96" s="72"/>
    </row>
    <row r="97" s="65" customFormat="1" ht="13.5" spans="1:15">
      <c r="A97" s="66"/>
      <c r="E97" s="72" t="s">
        <v>173</v>
      </c>
      <c r="F97" s="70"/>
      <c r="G97" s="70"/>
      <c r="H97" s="70"/>
      <c r="I97" s="70"/>
      <c r="J97" s="70"/>
      <c r="K97" s="70"/>
      <c r="L97" s="70"/>
      <c r="M97" s="70"/>
      <c r="N97" s="72"/>
      <c r="O97" s="72"/>
    </row>
    <row r="98" s="65" customFormat="1" ht="13.5" spans="1:15">
      <c r="A98" s="66"/>
      <c r="E98" s="72" t="s">
        <v>174</v>
      </c>
      <c r="F98" s="70"/>
      <c r="G98" s="70"/>
      <c r="H98" s="70"/>
      <c r="I98" s="70"/>
      <c r="J98" s="70"/>
      <c r="K98" s="70"/>
      <c r="L98" s="70"/>
      <c r="M98" s="70"/>
      <c r="N98" s="72"/>
      <c r="O98" s="72"/>
    </row>
    <row r="99" s="65" customFormat="1" ht="13.5" spans="1:15">
      <c r="A99" s="66"/>
      <c r="E99" s="72" t="s">
        <v>175</v>
      </c>
      <c r="F99" s="70"/>
      <c r="G99" s="70"/>
      <c r="H99" s="70"/>
      <c r="I99" s="70"/>
      <c r="J99" s="70"/>
      <c r="K99" s="70"/>
      <c r="L99" s="70"/>
      <c r="M99" s="70"/>
      <c r="N99" s="72"/>
      <c r="O99" s="72"/>
    </row>
    <row r="100" s="65" customFormat="1" ht="13.5" spans="1:15">
      <c r="A100" s="66"/>
      <c r="E100" s="72" t="s">
        <v>176</v>
      </c>
      <c r="F100" s="70"/>
      <c r="G100" s="70"/>
      <c r="H100" s="70"/>
      <c r="I100" s="70"/>
      <c r="J100" s="70"/>
      <c r="K100" s="70"/>
      <c r="L100" s="70"/>
      <c r="M100" s="70"/>
      <c r="N100" s="72"/>
      <c r="O100" s="72"/>
    </row>
    <row r="101" s="65" customFormat="1" ht="13.5" spans="1:15">
      <c r="A101" s="66"/>
      <c r="E101" s="72" t="s">
        <v>177</v>
      </c>
      <c r="F101" s="70"/>
      <c r="G101" s="70"/>
      <c r="H101" s="70"/>
      <c r="I101" s="70"/>
      <c r="J101" s="70"/>
      <c r="K101" s="70"/>
      <c r="L101" s="70"/>
      <c r="M101" s="70"/>
      <c r="N101" s="72"/>
      <c r="O101" s="72"/>
    </row>
    <row r="102" s="65" customFormat="1" ht="13.5" spans="1:15">
      <c r="A102" s="66"/>
      <c r="E102" s="72" t="s">
        <v>178</v>
      </c>
      <c r="F102" s="70"/>
      <c r="G102" s="70"/>
      <c r="H102" s="70"/>
      <c r="I102" s="70"/>
      <c r="J102" s="70"/>
      <c r="K102" s="70"/>
      <c r="L102" s="70"/>
      <c r="M102" s="70"/>
      <c r="N102" s="72"/>
      <c r="O102" s="72"/>
    </row>
    <row r="103" s="65" customFormat="1" ht="13.5" spans="1:15">
      <c r="A103" s="66"/>
      <c r="E103" s="72" t="s">
        <v>91</v>
      </c>
      <c r="F103" s="70"/>
      <c r="G103" s="70"/>
      <c r="H103" s="70"/>
      <c r="I103" s="70"/>
      <c r="J103" s="70"/>
      <c r="K103" s="70"/>
      <c r="L103" s="70"/>
      <c r="M103" s="70"/>
      <c r="N103" s="72"/>
      <c r="O103" s="72"/>
    </row>
    <row r="104" s="65" customFormat="1" ht="13.5" spans="1:15">
      <c r="A104" s="66"/>
      <c r="E104" s="72" t="s">
        <v>179</v>
      </c>
      <c r="F104" s="70"/>
      <c r="G104" s="70"/>
      <c r="H104" s="70"/>
      <c r="I104" s="70"/>
      <c r="J104" s="70"/>
      <c r="K104" s="70"/>
      <c r="L104" s="70"/>
      <c r="M104" s="70"/>
      <c r="N104" s="72"/>
      <c r="O104" s="72"/>
    </row>
    <row r="105" s="65" customFormat="1" ht="13.5" spans="1:15">
      <c r="A105" s="66"/>
      <c r="E105" s="72" t="s">
        <v>180</v>
      </c>
      <c r="F105" s="70"/>
      <c r="G105" s="70"/>
      <c r="H105" s="70"/>
      <c r="I105" s="70"/>
      <c r="J105" s="70"/>
      <c r="K105" s="70"/>
      <c r="L105" s="70"/>
      <c r="M105" s="70"/>
      <c r="N105" s="72"/>
      <c r="O105" s="72"/>
    </row>
    <row r="106" s="65" customFormat="1" ht="13.5" spans="1:15">
      <c r="A106" s="66"/>
      <c r="E106" s="72" t="s">
        <v>181</v>
      </c>
      <c r="F106" s="70"/>
      <c r="G106" s="70"/>
      <c r="H106" s="70"/>
      <c r="I106" s="70"/>
      <c r="J106" s="70"/>
      <c r="K106" s="70"/>
      <c r="L106" s="70"/>
      <c r="M106" s="70"/>
      <c r="N106" s="72"/>
      <c r="O106" s="72"/>
    </row>
    <row r="107" s="65" customFormat="1" ht="13.5" spans="1:15">
      <c r="A107" s="66"/>
      <c r="E107" s="72" t="s">
        <v>182</v>
      </c>
      <c r="F107" s="70"/>
      <c r="G107" s="70"/>
      <c r="H107" s="70"/>
      <c r="I107" s="70"/>
      <c r="J107" s="70"/>
      <c r="K107" s="70"/>
      <c r="L107" s="70"/>
      <c r="M107" s="70"/>
      <c r="N107" s="72"/>
      <c r="O107" s="72"/>
    </row>
    <row r="108" s="65" customFormat="1" ht="13.5" spans="1:15">
      <c r="A108" s="66"/>
      <c r="E108" s="72" t="s">
        <v>183</v>
      </c>
      <c r="F108" s="70"/>
      <c r="G108" s="70"/>
      <c r="H108" s="70"/>
      <c r="I108" s="70"/>
      <c r="J108" s="70"/>
      <c r="K108" s="70"/>
      <c r="L108" s="70"/>
      <c r="M108" s="70"/>
      <c r="N108" s="72"/>
      <c r="O108" s="72"/>
    </row>
    <row r="109" s="65" customFormat="1" ht="13.5" spans="1:15">
      <c r="A109" s="66"/>
      <c r="E109" s="72" t="s">
        <v>184</v>
      </c>
      <c r="F109" s="70"/>
      <c r="G109" s="70"/>
      <c r="H109" s="70"/>
      <c r="I109" s="70"/>
      <c r="J109" s="70"/>
      <c r="K109" s="70"/>
      <c r="L109" s="70"/>
      <c r="M109" s="70"/>
      <c r="N109" s="72"/>
      <c r="O109" s="72"/>
    </row>
    <row r="110" s="65" customFormat="1" ht="13.5" spans="1:15">
      <c r="A110" s="66"/>
      <c r="E110" s="72" t="s">
        <v>185</v>
      </c>
      <c r="F110" s="70"/>
      <c r="G110" s="70"/>
      <c r="H110" s="70"/>
      <c r="I110" s="70"/>
      <c r="J110" s="70"/>
      <c r="K110" s="70"/>
      <c r="L110" s="70"/>
      <c r="M110" s="70"/>
      <c r="N110" s="72"/>
      <c r="O110" s="72"/>
    </row>
    <row r="111" s="65" customFormat="1" ht="13.5" spans="1:15">
      <c r="A111" s="66"/>
      <c r="E111" s="72" t="s">
        <v>186</v>
      </c>
      <c r="F111" s="70"/>
      <c r="G111" s="70"/>
      <c r="H111" s="70"/>
      <c r="I111" s="70"/>
      <c r="J111" s="70"/>
      <c r="K111" s="70"/>
      <c r="L111" s="70"/>
      <c r="M111" s="70"/>
      <c r="N111" s="72"/>
      <c r="O111" s="72"/>
    </row>
    <row r="112" s="65" customFormat="1" ht="13.5" spans="1:15">
      <c r="A112" s="66"/>
      <c r="E112" s="72" t="s">
        <v>187</v>
      </c>
      <c r="F112" s="70"/>
      <c r="G112" s="70"/>
      <c r="H112" s="70"/>
      <c r="I112" s="70"/>
      <c r="J112" s="70"/>
      <c r="K112" s="70"/>
      <c r="L112" s="70"/>
      <c r="M112" s="70"/>
      <c r="N112" s="72"/>
      <c r="O112" s="72"/>
    </row>
    <row r="113" s="65" customFormat="1" ht="13.5" spans="1:15">
      <c r="A113" s="66"/>
      <c r="E113" s="72" t="s">
        <v>188</v>
      </c>
      <c r="F113" s="70"/>
      <c r="G113" s="70"/>
      <c r="H113" s="70"/>
      <c r="I113" s="70"/>
      <c r="J113" s="70"/>
      <c r="K113" s="70"/>
      <c r="L113" s="70"/>
      <c r="M113" s="70"/>
      <c r="N113" s="72"/>
      <c r="O113" s="72"/>
    </row>
    <row r="114" s="65" customFormat="1" ht="13.5" spans="1:15">
      <c r="A114" s="66"/>
      <c r="E114" s="72" t="s">
        <v>189</v>
      </c>
      <c r="F114" s="70"/>
      <c r="G114" s="70"/>
      <c r="H114" s="70"/>
      <c r="I114" s="70"/>
      <c r="J114" s="70"/>
      <c r="K114" s="70"/>
      <c r="L114" s="70"/>
      <c r="M114" s="70"/>
      <c r="N114" s="72"/>
      <c r="O114" s="72"/>
    </row>
    <row r="115" s="65" customFormat="1" ht="13.5" spans="1:15">
      <c r="A115" s="66"/>
      <c r="E115" s="72" t="s">
        <v>190</v>
      </c>
      <c r="F115" s="70"/>
      <c r="G115" s="70"/>
      <c r="H115" s="70"/>
      <c r="I115" s="70"/>
      <c r="J115" s="70"/>
      <c r="K115" s="70"/>
      <c r="L115" s="70"/>
      <c r="M115" s="70"/>
      <c r="N115" s="72"/>
      <c r="O115" s="72"/>
    </row>
    <row r="116" s="65" customFormat="1" ht="13.5" spans="1:15">
      <c r="A116" s="66"/>
      <c r="E116" s="72" t="s">
        <v>191</v>
      </c>
      <c r="F116" s="70"/>
      <c r="G116" s="70"/>
      <c r="H116" s="70"/>
      <c r="I116" s="70"/>
      <c r="J116" s="70"/>
      <c r="K116" s="70"/>
      <c r="L116" s="70"/>
      <c r="M116" s="70"/>
      <c r="N116" s="72"/>
      <c r="O116" s="72"/>
    </row>
    <row r="117" s="65" customFormat="1" ht="13.5" spans="1:15">
      <c r="A117" s="66"/>
      <c r="E117" s="72" t="s">
        <v>192</v>
      </c>
      <c r="F117" s="70"/>
      <c r="G117" s="70"/>
      <c r="H117" s="70"/>
      <c r="I117" s="70"/>
      <c r="J117" s="70"/>
      <c r="K117" s="70"/>
      <c r="L117" s="70"/>
      <c r="M117" s="70"/>
      <c r="N117" s="72"/>
      <c r="O117" s="72"/>
    </row>
    <row r="118" s="65" customFormat="1" ht="13.5" spans="1:15">
      <c r="A118" s="66"/>
      <c r="E118" s="72" t="s">
        <v>193</v>
      </c>
      <c r="F118" s="70"/>
      <c r="G118" s="70"/>
      <c r="H118" s="70"/>
      <c r="I118" s="70"/>
      <c r="J118" s="70"/>
      <c r="K118" s="70"/>
      <c r="L118" s="70"/>
      <c r="M118" s="70"/>
      <c r="N118" s="72"/>
      <c r="O118" s="72"/>
    </row>
    <row r="119" s="65" customFormat="1" ht="13.5" spans="1:15">
      <c r="A119" s="66"/>
      <c r="E119" s="72" t="s">
        <v>194</v>
      </c>
      <c r="F119" s="70"/>
      <c r="G119" s="70"/>
      <c r="H119" s="70"/>
      <c r="I119" s="70"/>
      <c r="J119" s="70"/>
      <c r="K119" s="70"/>
      <c r="L119" s="70"/>
      <c r="M119" s="70"/>
      <c r="N119" s="72"/>
      <c r="O119" s="72"/>
    </row>
    <row r="120" s="65" customFormat="1" ht="13.5" spans="1:15">
      <c r="A120" s="66"/>
      <c r="E120" s="72" t="s">
        <v>195</v>
      </c>
      <c r="F120" s="70"/>
      <c r="G120" s="70"/>
      <c r="H120" s="70"/>
      <c r="I120" s="70"/>
      <c r="J120" s="70"/>
      <c r="K120" s="70"/>
      <c r="L120" s="70"/>
      <c r="M120" s="70"/>
      <c r="N120" s="72"/>
      <c r="O120" s="72"/>
    </row>
    <row r="121" s="65" customFormat="1" ht="13.5" spans="1:15">
      <c r="A121" s="66"/>
      <c r="E121" s="72" t="s">
        <v>196</v>
      </c>
      <c r="F121" s="70"/>
      <c r="G121" s="70"/>
      <c r="H121" s="70"/>
      <c r="I121" s="70"/>
      <c r="J121" s="70"/>
      <c r="K121" s="70"/>
      <c r="L121" s="70"/>
      <c r="M121" s="70"/>
      <c r="N121" s="72"/>
      <c r="O121" s="72"/>
    </row>
    <row r="122" s="65" customFormat="1" ht="13.5" spans="1:15">
      <c r="A122" s="66"/>
      <c r="E122" s="72" t="s">
        <v>197</v>
      </c>
      <c r="F122" s="70"/>
      <c r="G122" s="70"/>
      <c r="H122" s="70"/>
      <c r="I122" s="70"/>
      <c r="J122" s="70"/>
      <c r="K122" s="70"/>
      <c r="L122" s="70"/>
      <c r="M122" s="70"/>
      <c r="N122" s="72"/>
      <c r="O122" s="72"/>
    </row>
    <row r="123" s="65" customFormat="1" ht="13.5" spans="1:15">
      <c r="A123" s="66"/>
      <c r="E123" s="72" t="s">
        <v>198</v>
      </c>
      <c r="F123" s="70"/>
      <c r="G123" s="70"/>
      <c r="H123" s="70"/>
      <c r="I123" s="70"/>
      <c r="J123" s="70"/>
      <c r="K123" s="70"/>
      <c r="L123" s="70"/>
      <c r="M123" s="70"/>
      <c r="N123" s="72"/>
      <c r="O123" s="72"/>
    </row>
    <row r="124" s="65" customFormat="1" ht="13.5" spans="1:15">
      <c r="A124" s="66"/>
      <c r="E124" s="72" t="s">
        <v>199</v>
      </c>
      <c r="F124" s="70"/>
      <c r="G124" s="70"/>
      <c r="H124" s="70"/>
      <c r="I124" s="70"/>
      <c r="J124" s="70"/>
      <c r="K124" s="70"/>
      <c r="L124" s="70"/>
      <c r="M124" s="70"/>
      <c r="N124" s="72"/>
      <c r="O124" s="72"/>
    </row>
    <row r="125" s="65" customFormat="1" ht="13.5" spans="1:15">
      <c r="A125" s="66"/>
      <c r="E125" s="72" t="s">
        <v>200</v>
      </c>
      <c r="F125" s="70"/>
      <c r="G125" s="70"/>
      <c r="H125" s="70"/>
      <c r="I125" s="70"/>
      <c r="J125" s="70"/>
      <c r="K125" s="70"/>
      <c r="L125" s="70"/>
      <c r="M125" s="70"/>
      <c r="N125" s="72"/>
      <c r="O125" s="72"/>
    </row>
    <row r="126" s="65" customFormat="1" ht="13.5" spans="1:15">
      <c r="A126" s="66"/>
      <c r="E126" s="72" t="s">
        <v>201</v>
      </c>
      <c r="F126" s="70"/>
      <c r="G126" s="70"/>
      <c r="H126" s="70"/>
      <c r="I126" s="70"/>
      <c r="J126" s="70"/>
      <c r="K126" s="70"/>
      <c r="L126" s="70"/>
      <c r="M126" s="70"/>
      <c r="N126" s="72"/>
      <c r="O126" s="72"/>
    </row>
    <row r="127" s="65" customFormat="1" ht="13.5" spans="1:15">
      <c r="A127" s="66"/>
      <c r="E127" s="72" t="s">
        <v>202</v>
      </c>
      <c r="F127" s="70"/>
      <c r="G127" s="70"/>
      <c r="H127" s="70"/>
      <c r="I127" s="70"/>
      <c r="J127" s="70"/>
      <c r="K127" s="70"/>
      <c r="L127" s="70"/>
      <c r="M127" s="70"/>
      <c r="N127" s="72"/>
      <c r="O127" s="72"/>
    </row>
    <row r="128" s="65" customFormat="1" ht="13.5" spans="1:15">
      <c r="A128" s="66"/>
      <c r="E128" s="72" t="s">
        <v>203</v>
      </c>
      <c r="F128" s="70"/>
      <c r="G128" s="70"/>
      <c r="H128" s="70"/>
      <c r="I128" s="70"/>
      <c r="J128" s="70"/>
      <c r="K128" s="70"/>
      <c r="L128" s="70"/>
      <c r="M128" s="70"/>
      <c r="N128" s="72"/>
      <c r="O128" s="72"/>
    </row>
    <row r="129" s="65" customFormat="1" ht="13.5" spans="1:15">
      <c r="A129" s="66"/>
      <c r="E129" s="72" t="s">
        <v>204</v>
      </c>
      <c r="F129" s="70"/>
      <c r="G129" s="70"/>
      <c r="H129" s="70"/>
      <c r="I129" s="70"/>
      <c r="J129" s="70"/>
      <c r="K129" s="70"/>
      <c r="L129" s="70"/>
      <c r="M129" s="70"/>
      <c r="N129" s="72"/>
      <c r="O129" s="72"/>
    </row>
    <row r="130" s="65" customFormat="1" ht="13.5" spans="1:15">
      <c r="A130" s="66"/>
      <c r="E130" s="72" t="s">
        <v>205</v>
      </c>
      <c r="F130" s="70"/>
      <c r="G130" s="70"/>
      <c r="H130" s="70"/>
      <c r="I130" s="70"/>
      <c r="J130" s="70"/>
      <c r="K130" s="70"/>
      <c r="L130" s="70"/>
      <c r="M130" s="70"/>
      <c r="N130" s="72"/>
      <c r="O130" s="72"/>
    </row>
    <row r="131" s="65" customFormat="1" ht="13.5" spans="1:15">
      <c r="A131" s="66"/>
      <c r="E131" s="72" t="s">
        <v>206</v>
      </c>
      <c r="F131" s="70"/>
      <c r="G131" s="70"/>
      <c r="H131" s="70"/>
      <c r="I131" s="70"/>
      <c r="J131" s="70"/>
      <c r="K131" s="70"/>
      <c r="L131" s="70"/>
      <c r="M131" s="70"/>
      <c r="N131" s="72"/>
      <c r="O131" s="72"/>
    </row>
    <row r="132" s="65" customFormat="1" ht="13.5" spans="1:15">
      <c r="A132" s="66"/>
      <c r="E132" s="72" t="s">
        <v>207</v>
      </c>
      <c r="F132" s="70"/>
      <c r="G132" s="70"/>
      <c r="H132" s="70"/>
      <c r="I132" s="70"/>
      <c r="J132" s="70"/>
      <c r="K132" s="70"/>
      <c r="L132" s="70"/>
      <c r="M132" s="70"/>
      <c r="N132" s="72"/>
      <c r="O132" s="72"/>
    </row>
    <row r="133" s="65" customFormat="1" ht="13.5" spans="1:15">
      <c r="A133" s="66"/>
      <c r="E133" s="72" t="s">
        <v>208</v>
      </c>
      <c r="F133" s="70"/>
      <c r="G133" s="70"/>
      <c r="H133" s="70"/>
      <c r="I133" s="70"/>
      <c r="J133" s="70"/>
      <c r="K133" s="70"/>
      <c r="L133" s="70"/>
      <c r="M133" s="70"/>
      <c r="N133" s="72"/>
      <c r="O133" s="72"/>
    </row>
    <row r="134" s="65" customFormat="1" ht="13.5" spans="1:15">
      <c r="A134" s="66"/>
      <c r="E134" s="72" t="s">
        <v>209</v>
      </c>
      <c r="F134" s="70"/>
      <c r="G134" s="70"/>
      <c r="H134" s="70"/>
      <c r="I134" s="70"/>
      <c r="J134" s="70"/>
      <c r="K134" s="70"/>
      <c r="L134" s="70"/>
      <c r="M134" s="70"/>
      <c r="N134" s="72"/>
      <c r="O134" s="72"/>
    </row>
    <row r="135" s="65" customFormat="1" ht="13.5" spans="1:15">
      <c r="A135" s="66"/>
      <c r="E135" s="72" t="s">
        <v>210</v>
      </c>
      <c r="F135" s="70"/>
      <c r="G135" s="70"/>
      <c r="H135" s="70"/>
      <c r="I135" s="70"/>
      <c r="J135" s="70"/>
      <c r="K135" s="70"/>
      <c r="L135" s="70"/>
      <c r="M135" s="70"/>
      <c r="N135" s="72"/>
      <c r="O135" s="72"/>
    </row>
    <row r="136" s="65" customFormat="1" ht="13.5" spans="1:15">
      <c r="A136" s="66"/>
      <c r="E136" s="72" t="s">
        <v>211</v>
      </c>
      <c r="F136" s="70"/>
      <c r="G136" s="70"/>
      <c r="H136" s="70"/>
      <c r="I136" s="70"/>
      <c r="J136" s="70"/>
      <c r="K136" s="70"/>
      <c r="L136" s="70"/>
      <c r="M136" s="70"/>
      <c r="N136" s="72"/>
      <c r="O136" s="72"/>
    </row>
    <row r="137" s="65" customFormat="1" ht="13.5" spans="1:15">
      <c r="A137" s="66"/>
      <c r="E137" s="72" t="s">
        <v>212</v>
      </c>
      <c r="F137" s="70"/>
      <c r="G137" s="70"/>
      <c r="H137" s="70"/>
      <c r="I137" s="70"/>
      <c r="J137" s="70"/>
      <c r="K137" s="70"/>
      <c r="L137" s="70"/>
      <c r="M137" s="70"/>
      <c r="N137" s="72"/>
      <c r="O137" s="72"/>
    </row>
    <row r="138" s="65" customFormat="1" ht="13.5" spans="1:15">
      <c r="A138" s="66"/>
      <c r="E138" s="72" t="s">
        <v>213</v>
      </c>
      <c r="F138" s="70"/>
      <c r="G138" s="70"/>
      <c r="H138" s="70"/>
      <c r="I138" s="70"/>
      <c r="J138" s="70"/>
      <c r="K138" s="70"/>
      <c r="L138" s="70"/>
      <c r="M138" s="70"/>
      <c r="N138" s="72"/>
      <c r="O138" s="72"/>
    </row>
    <row r="139" s="65" customFormat="1" ht="13.5" spans="1:15">
      <c r="A139" s="66"/>
      <c r="E139" s="72" t="s">
        <v>214</v>
      </c>
      <c r="F139" s="70"/>
      <c r="G139" s="70"/>
      <c r="H139" s="70"/>
      <c r="I139" s="70"/>
      <c r="J139" s="70"/>
      <c r="K139" s="70"/>
      <c r="L139" s="70"/>
      <c r="M139" s="70"/>
      <c r="N139" s="72"/>
      <c r="O139" s="72"/>
    </row>
    <row r="140" s="65" customFormat="1" ht="13.5" spans="1:15">
      <c r="A140" s="66"/>
      <c r="E140" s="72" t="s">
        <v>215</v>
      </c>
      <c r="F140" s="70"/>
      <c r="G140" s="70"/>
      <c r="H140" s="70"/>
      <c r="I140" s="70"/>
      <c r="J140" s="70"/>
      <c r="K140" s="70"/>
      <c r="L140" s="70"/>
      <c r="M140" s="70"/>
      <c r="N140" s="72"/>
      <c r="O140" s="72"/>
    </row>
    <row r="141" s="65" customFormat="1" ht="13.5" spans="1:15">
      <c r="A141" s="66"/>
      <c r="E141" s="72" t="s">
        <v>216</v>
      </c>
      <c r="F141" s="70"/>
      <c r="G141" s="70"/>
      <c r="H141" s="70"/>
      <c r="I141" s="70"/>
      <c r="J141" s="70"/>
      <c r="K141" s="70"/>
      <c r="L141" s="70"/>
      <c r="M141" s="70"/>
      <c r="N141" s="72"/>
      <c r="O141" s="72"/>
    </row>
    <row r="142" s="65" customFormat="1" ht="13.5" spans="1:15">
      <c r="A142" s="66"/>
      <c r="E142" s="72" t="s">
        <v>217</v>
      </c>
      <c r="F142" s="70"/>
      <c r="G142" s="70"/>
      <c r="H142" s="70"/>
      <c r="I142" s="70"/>
      <c r="J142" s="70"/>
      <c r="K142" s="70"/>
      <c r="L142" s="70"/>
      <c r="M142" s="70"/>
      <c r="N142" s="72"/>
      <c r="O142" s="72"/>
    </row>
    <row r="143" s="65" customFormat="1" ht="13.5" spans="1:15">
      <c r="A143" s="66"/>
      <c r="E143" s="72" t="s">
        <v>218</v>
      </c>
      <c r="F143" s="70"/>
      <c r="G143" s="70"/>
      <c r="H143" s="70"/>
      <c r="I143" s="70"/>
      <c r="J143" s="70"/>
      <c r="K143" s="70"/>
      <c r="L143" s="70"/>
      <c r="M143" s="70"/>
      <c r="N143" s="72"/>
      <c r="O143" s="72"/>
    </row>
    <row r="144" s="65" customFormat="1" ht="13.5" spans="1:15">
      <c r="A144" s="66"/>
      <c r="E144" s="72" t="s">
        <v>219</v>
      </c>
      <c r="F144" s="70"/>
      <c r="G144" s="70"/>
      <c r="H144" s="70"/>
      <c r="I144" s="70"/>
      <c r="J144" s="70"/>
      <c r="K144" s="70"/>
      <c r="L144" s="70"/>
      <c r="M144" s="70"/>
      <c r="N144" s="72"/>
      <c r="O144" s="72"/>
    </row>
    <row r="145" s="65" customFormat="1" ht="13.5" spans="1:15">
      <c r="A145" s="66"/>
      <c r="E145" s="72" t="s">
        <v>220</v>
      </c>
      <c r="F145" s="70"/>
      <c r="G145" s="70"/>
      <c r="H145" s="70"/>
      <c r="I145" s="70"/>
      <c r="J145" s="70"/>
      <c r="K145" s="70"/>
      <c r="L145" s="70"/>
      <c r="M145" s="70"/>
      <c r="N145" s="72"/>
      <c r="O145" s="72"/>
    </row>
    <row r="146" s="65" customFormat="1" ht="13.5" spans="1:15">
      <c r="A146" s="66"/>
      <c r="E146" s="72" t="s">
        <v>221</v>
      </c>
      <c r="F146" s="70"/>
      <c r="G146" s="70"/>
      <c r="H146" s="70"/>
      <c r="I146" s="70"/>
      <c r="J146" s="70"/>
      <c r="K146" s="70"/>
      <c r="L146" s="70"/>
      <c r="M146" s="70"/>
      <c r="N146" s="72"/>
      <c r="O146" s="72"/>
    </row>
    <row r="147" s="65" customFormat="1" ht="13.5" spans="1:15">
      <c r="A147" s="66"/>
      <c r="E147" s="72" t="s">
        <v>222</v>
      </c>
      <c r="F147" s="70"/>
      <c r="G147" s="70"/>
      <c r="H147" s="70"/>
      <c r="I147" s="70"/>
      <c r="J147" s="70"/>
      <c r="K147" s="70"/>
      <c r="L147" s="70"/>
      <c r="M147" s="70"/>
      <c r="N147" s="72"/>
      <c r="O147" s="72"/>
    </row>
    <row r="148" s="65" customFormat="1" ht="13.5" spans="1:15">
      <c r="A148" s="66"/>
      <c r="E148" s="72" t="s">
        <v>223</v>
      </c>
      <c r="F148" s="70"/>
      <c r="G148" s="70"/>
      <c r="H148" s="70"/>
      <c r="I148" s="70"/>
      <c r="J148" s="70"/>
      <c r="K148" s="70"/>
      <c r="L148" s="70"/>
      <c r="M148" s="70"/>
      <c r="N148" s="72"/>
      <c r="O148" s="72"/>
    </row>
    <row r="149" s="65" customFormat="1" ht="13.5" spans="1:15">
      <c r="A149" s="66"/>
      <c r="E149" s="72" t="s">
        <v>224</v>
      </c>
      <c r="F149" s="70"/>
      <c r="G149" s="70"/>
      <c r="H149" s="70"/>
      <c r="I149" s="70"/>
      <c r="J149" s="70"/>
      <c r="K149" s="70"/>
      <c r="L149" s="70"/>
      <c r="M149" s="70"/>
      <c r="N149" s="72"/>
      <c r="O149" s="72"/>
    </row>
    <row r="150" s="65" customFormat="1" ht="13.5" spans="1:15">
      <c r="A150" s="66"/>
      <c r="E150" s="72" t="s">
        <v>225</v>
      </c>
      <c r="F150" s="70"/>
      <c r="G150" s="70"/>
      <c r="H150" s="70"/>
      <c r="I150" s="70"/>
      <c r="J150" s="70"/>
      <c r="K150" s="70"/>
      <c r="L150" s="70"/>
      <c r="M150" s="70"/>
      <c r="N150" s="72"/>
      <c r="O150" s="72"/>
    </row>
    <row r="151" s="65" customFormat="1" ht="13.5" spans="1:15">
      <c r="A151" s="66"/>
      <c r="E151" s="72" t="s">
        <v>226</v>
      </c>
      <c r="F151" s="70"/>
      <c r="G151" s="70"/>
      <c r="H151" s="70"/>
      <c r="I151" s="70"/>
      <c r="J151" s="70"/>
      <c r="K151" s="70"/>
      <c r="L151" s="70"/>
      <c r="M151" s="70"/>
      <c r="N151" s="72"/>
      <c r="O151" s="72"/>
    </row>
    <row r="152" s="65" customFormat="1" ht="13.5" spans="1:15">
      <c r="A152" s="66"/>
      <c r="E152" s="72" t="s">
        <v>227</v>
      </c>
      <c r="F152" s="70"/>
      <c r="G152" s="70"/>
      <c r="H152" s="70"/>
      <c r="I152" s="70"/>
      <c r="J152" s="70"/>
      <c r="K152" s="70"/>
      <c r="L152" s="70"/>
      <c r="M152" s="70"/>
      <c r="N152" s="72"/>
      <c r="O152" s="72"/>
    </row>
    <row r="153" s="65" customFormat="1" ht="13.5" spans="1:15">
      <c r="A153" s="66"/>
      <c r="E153" s="72" t="s">
        <v>228</v>
      </c>
      <c r="F153" s="70"/>
      <c r="G153" s="70"/>
      <c r="H153" s="70"/>
      <c r="I153" s="70"/>
      <c r="J153" s="70"/>
      <c r="K153" s="70"/>
      <c r="L153" s="70"/>
      <c r="M153" s="70"/>
      <c r="N153" s="72"/>
      <c r="O153" s="72"/>
    </row>
    <row r="154" s="65" customFormat="1" ht="13.5" spans="1:15">
      <c r="A154" s="66"/>
      <c r="E154" s="72" t="s">
        <v>229</v>
      </c>
      <c r="F154" s="70"/>
      <c r="G154" s="70"/>
      <c r="H154" s="70"/>
      <c r="I154" s="70"/>
      <c r="J154" s="70"/>
      <c r="K154" s="70"/>
      <c r="L154" s="70"/>
      <c r="M154" s="70"/>
      <c r="N154" s="72"/>
      <c r="O154" s="72"/>
    </row>
    <row r="155" s="65" customFormat="1" ht="13.5" spans="1:15">
      <c r="A155" s="66"/>
      <c r="E155" s="72" t="s">
        <v>230</v>
      </c>
      <c r="F155" s="70"/>
      <c r="G155" s="70"/>
      <c r="H155" s="70"/>
      <c r="I155" s="70"/>
      <c r="J155" s="70"/>
      <c r="K155" s="70"/>
      <c r="L155" s="70"/>
      <c r="M155" s="70"/>
      <c r="N155" s="72"/>
      <c r="O155" s="72"/>
    </row>
    <row r="156" s="65" customFormat="1" ht="13.5" spans="1:15">
      <c r="A156" s="66"/>
      <c r="E156" s="72" t="s">
        <v>231</v>
      </c>
      <c r="F156" s="70"/>
      <c r="G156" s="70"/>
      <c r="H156" s="70"/>
      <c r="I156" s="70"/>
      <c r="J156" s="70"/>
      <c r="K156" s="70"/>
      <c r="L156" s="70"/>
      <c r="M156" s="70"/>
      <c r="N156" s="72"/>
      <c r="O156" s="72"/>
    </row>
    <row r="157" s="65" customFormat="1" ht="13.5" spans="1:15">
      <c r="A157" s="66"/>
      <c r="E157" s="72" t="s">
        <v>232</v>
      </c>
      <c r="F157" s="70"/>
      <c r="G157" s="70"/>
      <c r="H157" s="70"/>
      <c r="I157" s="70"/>
      <c r="J157" s="70"/>
      <c r="K157" s="70"/>
      <c r="L157" s="70"/>
      <c r="M157" s="70"/>
      <c r="N157" s="72"/>
      <c r="O157" s="72"/>
    </row>
    <row r="158" s="65" customFormat="1" ht="13.5" spans="1:15">
      <c r="A158" s="66"/>
      <c r="E158" s="72" t="s">
        <v>233</v>
      </c>
      <c r="F158" s="70"/>
      <c r="G158" s="70"/>
      <c r="H158" s="70"/>
      <c r="I158" s="70"/>
      <c r="J158" s="70"/>
      <c r="K158" s="70"/>
      <c r="L158" s="70"/>
      <c r="M158" s="70"/>
      <c r="N158" s="72"/>
      <c r="O158" s="72"/>
    </row>
    <row r="159" s="65" customFormat="1" ht="13.5" spans="1:15">
      <c r="A159" s="66"/>
      <c r="E159" s="72" t="s">
        <v>234</v>
      </c>
      <c r="F159" s="70"/>
      <c r="G159" s="70"/>
      <c r="H159" s="70"/>
      <c r="I159" s="70"/>
      <c r="J159" s="70"/>
      <c r="K159" s="70"/>
      <c r="L159" s="70"/>
      <c r="M159" s="70"/>
      <c r="N159" s="72"/>
      <c r="O159" s="72"/>
    </row>
    <row r="160" s="65" customFormat="1" ht="13.5" spans="1:15">
      <c r="A160" s="66"/>
      <c r="E160" s="72" t="s">
        <v>235</v>
      </c>
      <c r="F160" s="70"/>
      <c r="G160" s="70"/>
      <c r="H160" s="70"/>
      <c r="I160" s="70"/>
      <c r="J160" s="70"/>
      <c r="K160" s="70"/>
      <c r="L160" s="70"/>
      <c r="M160" s="70"/>
      <c r="N160" s="72"/>
      <c r="O160" s="72"/>
    </row>
    <row r="161" s="65" customFormat="1" ht="13.5" spans="1:15">
      <c r="A161" s="66"/>
      <c r="E161" s="72" t="s">
        <v>236</v>
      </c>
      <c r="F161" s="70"/>
      <c r="G161" s="70"/>
      <c r="H161" s="70"/>
      <c r="I161" s="70"/>
      <c r="J161" s="70"/>
      <c r="K161" s="70"/>
      <c r="L161" s="70"/>
      <c r="M161" s="70"/>
      <c r="N161" s="72"/>
      <c r="O161" s="72"/>
    </row>
    <row r="162" s="65" customFormat="1" ht="13.5" spans="1:15">
      <c r="A162" s="66"/>
      <c r="E162" s="72" t="s">
        <v>237</v>
      </c>
      <c r="F162" s="70"/>
      <c r="G162" s="70"/>
      <c r="H162" s="70"/>
      <c r="I162" s="70"/>
      <c r="J162" s="70"/>
      <c r="K162" s="70"/>
      <c r="L162" s="70"/>
      <c r="M162" s="70"/>
      <c r="N162" s="72"/>
      <c r="O162" s="72"/>
    </row>
    <row r="163" s="65" customFormat="1" ht="13.5" spans="1:15">
      <c r="A163" s="66"/>
      <c r="E163" s="72" t="s">
        <v>238</v>
      </c>
      <c r="F163" s="70"/>
      <c r="G163" s="70"/>
      <c r="H163" s="70"/>
      <c r="I163" s="70"/>
      <c r="J163" s="70"/>
      <c r="K163" s="70"/>
      <c r="L163" s="70"/>
      <c r="M163" s="70"/>
      <c r="N163" s="72"/>
      <c r="O163" s="72"/>
    </row>
    <row r="164" s="65" customFormat="1" ht="13.5" spans="1:15">
      <c r="A164" s="66"/>
      <c r="E164" s="72" t="s">
        <v>239</v>
      </c>
      <c r="F164" s="70"/>
      <c r="G164" s="70"/>
      <c r="H164" s="70"/>
      <c r="I164" s="70"/>
      <c r="J164" s="70"/>
      <c r="K164" s="70"/>
      <c r="L164" s="70"/>
      <c r="M164" s="70"/>
      <c r="N164" s="72"/>
      <c r="O164" s="72"/>
    </row>
    <row r="165" s="65" customFormat="1" ht="13.5" spans="1:15">
      <c r="A165" s="66"/>
      <c r="E165" s="72" t="s">
        <v>240</v>
      </c>
      <c r="F165" s="70"/>
      <c r="G165" s="70"/>
      <c r="H165" s="70"/>
      <c r="I165" s="70"/>
      <c r="J165" s="70"/>
      <c r="K165" s="70"/>
      <c r="L165" s="70"/>
      <c r="M165" s="70"/>
      <c r="N165" s="72"/>
      <c r="O165" s="72"/>
    </row>
    <row r="166" s="65" customFormat="1" ht="13.5" spans="1:15">
      <c r="A166" s="66"/>
      <c r="E166" s="72" t="s">
        <v>241</v>
      </c>
      <c r="F166" s="70"/>
      <c r="G166" s="70"/>
      <c r="H166" s="70"/>
      <c r="I166" s="70"/>
      <c r="J166" s="70"/>
      <c r="K166" s="70"/>
      <c r="L166" s="70"/>
      <c r="M166" s="70"/>
      <c r="N166" s="72"/>
      <c r="O166" s="72"/>
    </row>
    <row r="167" s="65" customFormat="1" ht="13.5" spans="1:15">
      <c r="A167" s="66"/>
      <c r="E167" s="72" t="s">
        <v>242</v>
      </c>
      <c r="F167" s="70"/>
      <c r="G167" s="70"/>
      <c r="H167" s="70"/>
      <c r="I167" s="70"/>
      <c r="J167" s="70"/>
      <c r="K167" s="70"/>
      <c r="L167" s="70"/>
      <c r="M167" s="70"/>
      <c r="N167" s="72"/>
      <c r="O167" s="72"/>
    </row>
    <row r="168" s="65" customFormat="1" ht="13.5" spans="1:15">
      <c r="A168" s="66"/>
      <c r="E168" s="72" t="s">
        <v>243</v>
      </c>
      <c r="F168" s="70"/>
      <c r="G168" s="70"/>
      <c r="H168" s="70"/>
      <c r="I168" s="70"/>
      <c r="J168" s="70"/>
      <c r="K168" s="70"/>
      <c r="L168" s="70"/>
      <c r="M168" s="70"/>
      <c r="N168" s="72"/>
      <c r="O168" s="72"/>
    </row>
    <row r="169" s="65" customFormat="1" ht="13.5" spans="1:15">
      <c r="A169" s="66"/>
      <c r="E169" s="72" t="s">
        <v>244</v>
      </c>
      <c r="F169" s="70"/>
      <c r="G169" s="70"/>
      <c r="H169" s="70"/>
      <c r="I169" s="70"/>
      <c r="J169" s="70"/>
      <c r="K169" s="70"/>
      <c r="L169" s="70"/>
      <c r="M169" s="70"/>
      <c r="N169" s="72"/>
      <c r="O169" s="72"/>
    </row>
    <row r="170" s="65" customFormat="1" ht="13.5" spans="1:15">
      <c r="A170" s="66"/>
      <c r="E170" s="72" t="s">
        <v>245</v>
      </c>
      <c r="F170" s="70"/>
      <c r="G170" s="70"/>
      <c r="H170" s="70"/>
      <c r="I170" s="70"/>
      <c r="J170" s="70"/>
      <c r="K170" s="70"/>
      <c r="L170" s="70"/>
      <c r="M170" s="70"/>
      <c r="N170" s="72"/>
      <c r="O170" s="72"/>
    </row>
    <row r="171" s="65" customFormat="1" ht="13.5" spans="1:15">
      <c r="A171" s="66"/>
      <c r="E171" s="72" t="s">
        <v>246</v>
      </c>
      <c r="F171" s="70"/>
      <c r="G171" s="70"/>
      <c r="H171" s="70"/>
      <c r="I171" s="70"/>
      <c r="J171" s="70"/>
      <c r="K171" s="70"/>
      <c r="L171" s="70"/>
      <c r="M171" s="70"/>
      <c r="N171" s="72"/>
      <c r="O171" s="72"/>
    </row>
    <row r="172" s="65" customFormat="1" ht="13.5" spans="1:15">
      <c r="A172" s="66"/>
      <c r="E172" s="72" t="s">
        <v>247</v>
      </c>
      <c r="F172" s="70"/>
      <c r="G172" s="70"/>
      <c r="H172" s="70"/>
      <c r="I172" s="70"/>
      <c r="J172" s="70"/>
      <c r="K172" s="70"/>
      <c r="L172" s="70"/>
      <c r="M172" s="70"/>
      <c r="N172" s="72"/>
      <c r="O172" s="72"/>
    </row>
    <row r="173" s="65" customFormat="1" ht="13.5" spans="1:15">
      <c r="A173" s="66"/>
      <c r="E173" s="72" t="s">
        <v>248</v>
      </c>
      <c r="F173" s="70"/>
      <c r="G173" s="70"/>
      <c r="H173" s="70"/>
      <c r="I173" s="70"/>
      <c r="J173" s="70"/>
      <c r="K173" s="70"/>
      <c r="L173" s="70"/>
      <c r="M173" s="70"/>
      <c r="N173" s="72"/>
      <c r="O173" s="72"/>
    </row>
    <row r="174" s="65" customFormat="1" ht="13.5" spans="1:15">
      <c r="A174" s="66"/>
      <c r="E174" s="72" t="s">
        <v>249</v>
      </c>
      <c r="F174" s="70"/>
      <c r="G174" s="70"/>
      <c r="H174" s="70"/>
      <c r="I174" s="70"/>
      <c r="J174" s="70"/>
      <c r="K174" s="70"/>
      <c r="L174" s="70"/>
      <c r="M174" s="70"/>
      <c r="N174" s="72"/>
      <c r="O174" s="72"/>
    </row>
    <row r="175" s="65" customFormat="1" ht="13.5" spans="1:15">
      <c r="A175" s="66"/>
      <c r="E175" s="72" t="s">
        <v>250</v>
      </c>
      <c r="F175" s="70"/>
      <c r="G175" s="70"/>
      <c r="H175" s="70"/>
      <c r="I175" s="70"/>
      <c r="J175" s="70"/>
      <c r="K175" s="70"/>
      <c r="L175" s="70"/>
      <c r="M175" s="70"/>
      <c r="N175" s="72"/>
      <c r="O175" s="72"/>
    </row>
    <row r="176" s="65" customFormat="1" ht="13.5" spans="1:15">
      <c r="A176" s="66"/>
      <c r="E176" s="72" t="s">
        <v>251</v>
      </c>
      <c r="F176" s="70"/>
      <c r="G176" s="70"/>
      <c r="H176" s="70"/>
      <c r="I176" s="70"/>
      <c r="J176" s="70"/>
      <c r="K176" s="70"/>
      <c r="L176" s="70"/>
      <c r="M176" s="70"/>
      <c r="N176" s="72"/>
      <c r="O176" s="72"/>
    </row>
    <row r="177" s="65" customFormat="1" ht="13.5" spans="1:15">
      <c r="A177" s="66"/>
      <c r="E177" s="72" t="s">
        <v>252</v>
      </c>
      <c r="F177" s="70"/>
      <c r="G177" s="70"/>
      <c r="H177" s="70"/>
      <c r="I177" s="70"/>
      <c r="J177" s="70"/>
      <c r="K177" s="70"/>
      <c r="L177" s="70"/>
      <c r="M177" s="70"/>
      <c r="N177" s="72"/>
      <c r="O177" s="72"/>
    </row>
    <row r="178" s="65" customFormat="1" ht="13.5" spans="1:15">
      <c r="A178" s="66"/>
      <c r="E178" s="72" t="s">
        <v>253</v>
      </c>
      <c r="F178" s="70"/>
      <c r="G178" s="70"/>
      <c r="H178" s="70"/>
      <c r="I178" s="70"/>
      <c r="J178" s="70"/>
      <c r="K178" s="70"/>
      <c r="L178" s="70"/>
      <c r="M178" s="70"/>
      <c r="N178" s="72"/>
      <c r="O178" s="72"/>
    </row>
    <row r="179" s="65" customFormat="1" ht="13.5" spans="1:15">
      <c r="A179" s="66"/>
      <c r="E179" s="72" t="s">
        <v>254</v>
      </c>
      <c r="F179" s="70"/>
      <c r="G179" s="70"/>
      <c r="H179" s="70"/>
      <c r="I179" s="70"/>
      <c r="J179" s="70"/>
      <c r="K179" s="70"/>
      <c r="L179" s="70"/>
      <c r="M179" s="70"/>
      <c r="N179" s="72"/>
      <c r="O179" s="72"/>
    </row>
    <row r="180" s="65" customFormat="1" ht="13.5" spans="1:15">
      <c r="A180" s="66"/>
      <c r="E180" s="72" t="s">
        <v>255</v>
      </c>
      <c r="F180" s="70"/>
      <c r="G180" s="70"/>
      <c r="H180" s="70"/>
      <c r="I180" s="70"/>
      <c r="J180" s="70"/>
      <c r="K180" s="70"/>
      <c r="L180" s="70"/>
      <c r="M180" s="70"/>
      <c r="N180" s="72"/>
      <c r="O180" s="72"/>
    </row>
    <row r="181" s="65" customFormat="1" ht="13.5" spans="1:15">
      <c r="A181" s="66"/>
      <c r="E181" s="72" t="s">
        <v>256</v>
      </c>
      <c r="F181" s="70"/>
      <c r="G181" s="70"/>
      <c r="H181" s="70"/>
      <c r="I181" s="70"/>
      <c r="J181" s="70"/>
      <c r="K181" s="70"/>
      <c r="L181" s="70"/>
      <c r="M181" s="70"/>
      <c r="N181" s="72"/>
      <c r="O181" s="72"/>
    </row>
    <row r="182" s="65" customFormat="1" ht="13.5" spans="1:15">
      <c r="A182" s="66"/>
      <c r="E182" s="72" t="s">
        <v>257</v>
      </c>
      <c r="F182" s="70"/>
      <c r="G182" s="70"/>
      <c r="H182" s="70"/>
      <c r="I182" s="70"/>
      <c r="J182" s="70"/>
      <c r="K182" s="70"/>
      <c r="L182" s="70"/>
      <c r="M182" s="70"/>
      <c r="N182" s="72"/>
      <c r="O182" s="72"/>
    </row>
    <row r="183" s="65" customFormat="1" ht="13.5" spans="1:15">
      <c r="A183" s="66"/>
      <c r="E183" s="72" t="s">
        <v>258</v>
      </c>
      <c r="F183" s="70"/>
      <c r="G183" s="70"/>
      <c r="H183" s="70"/>
      <c r="I183" s="70"/>
      <c r="J183" s="70"/>
      <c r="K183" s="70"/>
      <c r="L183" s="70"/>
      <c r="M183" s="70"/>
      <c r="N183" s="72"/>
      <c r="O183" s="72"/>
    </row>
    <row r="184" s="65" customFormat="1" ht="13.5" spans="1:15">
      <c r="A184" s="66"/>
      <c r="E184" s="72" t="s">
        <v>259</v>
      </c>
      <c r="F184" s="70"/>
      <c r="G184" s="70"/>
      <c r="H184" s="70"/>
      <c r="I184" s="70"/>
      <c r="J184" s="70"/>
      <c r="K184" s="70"/>
      <c r="L184" s="70"/>
      <c r="M184" s="70"/>
      <c r="N184" s="72"/>
      <c r="O184" s="72"/>
    </row>
    <row r="185" s="65" customFormat="1" ht="13.5" spans="1:15">
      <c r="A185" s="66"/>
      <c r="E185" s="72" t="s">
        <v>260</v>
      </c>
      <c r="F185" s="70"/>
      <c r="G185" s="70"/>
      <c r="H185" s="70"/>
      <c r="I185" s="70"/>
      <c r="J185" s="70"/>
      <c r="K185" s="70"/>
      <c r="L185" s="70"/>
      <c r="M185" s="70"/>
      <c r="N185" s="72"/>
      <c r="O185" s="72"/>
    </row>
    <row r="186" s="65" customFormat="1" ht="13.5" spans="1:15">
      <c r="A186" s="66"/>
      <c r="E186" s="72" t="s">
        <v>261</v>
      </c>
      <c r="F186" s="70"/>
      <c r="G186" s="70"/>
      <c r="H186" s="70"/>
      <c r="I186" s="70"/>
      <c r="J186" s="70"/>
      <c r="K186" s="70"/>
      <c r="L186" s="70"/>
      <c r="M186" s="70"/>
      <c r="N186" s="72"/>
      <c r="O186" s="72"/>
    </row>
    <row r="187" s="65" customFormat="1" ht="13.5" spans="1:15">
      <c r="A187" s="66"/>
      <c r="E187" s="72" t="s">
        <v>262</v>
      </c>
      <c r="F187" s="70"/>
      <c r="G187" s="70"/>
      <c r="H187" s="70"/>
      <c r="I187" s="70"/>
      <c r="J187" s="70"/>
      <c r="K187" s="70"/>
      <c r="L187" s="70"/>
      <c r="M187" s="70"/>
      <c r="N187" s="72"/>
      <c r="O187" s="72"/>
    </row>
    <row r="188" s="65" customFormat="1" ht="13.5" spans="1:15">
      <c r="A188" s="66"/>
      <c r="E188" s="72" t="s">
        <v>263</v>
      </c>
      <c r="F188" s="70"/>
      <c r="G188" s="70"/>
      <c r="H188" s="70"/>
      <c r="I188" s="70"/>
      <c r="J188" s="70"/>
      <c r="K188" s="70"/>
      <c r="L188" s="70"/>
      <c r="M188" s="70"/>
      <c r="N188" s="72"/>
      <c r="O188" s="72"/>
    </row>
    <row r="189" s="65" customFormat="1" ht="13.5" spans="1:15">
      <c r="A189" s="66"/>
      <c r="E189" s="72" t="s">
        <v>264</v>
      </c>
      <c r="F189" s="70"/>
      <c r="G189" s="70"/>
      <c r="H189" s="70"/>
      <c r="I189" s="70"/>
      <c r="J189" s="70"/>
      <c r="K189" s="70"/>
      <c r="L189" s="70"/>
      <c r="M189" s="70"/>
      <c r="N189" s="72"/>
      <c r="O189" s="72"/>
    </row>
    <row r="190" s="65" customFormat="1" ht="13.5" spans="1:15">
      <c r="A190" s="66"/>
      <c r="E190" s="72" t="s">
        <v>265</v>
      </c>
      <c r="F190" s="70"/>
      <c r="G190" s="70"/>
      <c r="H190" s="70"/>
      <c r="I190" s="70"/>
      <c r="J190" s="70"/>
      <c r="K190" s="70"/>
      <c r="L190" s="70"/>
      <c r="M190" s="70"/>
      <c r="N190" s="72"/>
      <c r="O190" s="72"/>
    </row>
    <row r="191" s="65" customFormat="1" ht="13.5" spans="1:15">
      <c r="A191" s="66"/>
      <c r="E191" s="72" t="s">
        <v>266</v>
      </c>
      <c r="F191" s="70"/>
      <c r="G191" s="70"/>
      <c r="H191" s="70"/>
      <c r="I191" s="70"/>
      <c r="J191" s="70"/>
      <c r="K191" s="70"/>
      <c r="L191" s="70"/>
      <c r="M191" s="70"/>
      <c r="N191" s="72"/>
      <c r="O191" s="72"/>
    </row>
    <row r="192" s="65" customFormat="1" ht="13.5" spans="1:15">
      <c r="A192" s="66"/>
      <c r="E192" s="72" t="s">
        <v>267</v>
      </c>
      <c r="F192" s="70"/>
      <c r="G192" s="70"/>
      <c r="H192" s="70"/>
      <c r="I192" s="70"/>
      <c r="J192" s="70"/>
      <c r="K192" s="70"/>
      <c r="L192" s="70"/>
      <c r="M192" s="70"/>
      <c r="N192" s="72"/>
      <c r="O192" s="72"/>
    </row>
    <row r="193" s="65" customFormat="1" ht="13.5" spans="1:15">
      <c r="A193" s="66"/>
      <c r="E193" s="72" t="s">
        <v>268</v>
      </c>
      <c r="F193" s="70"/>
      <c r="G193" s="70"/>
      <c r="H193" s="70"/>
      <c r="I193" s="70"/>
      <c r="J193" s="70"/>
      <c r="K193" s="70"/>
      <c r="L193" s="70"/>
      <c r="M193" s="70"/>
      <c r="N193" s="72"/>
      <c r="O193" s="72"/>
    </row>
    <row r="194" s="65" customFormat="1" ht="13.5" spans="1:15">
      <c r="A194" s="66"/>
      <c r="E194" s="72" t="s">
        <v>269</v>
      </c>
      <c r="F194" s="70"/>
      <c r="G194" s="70"/>
      <c r="H194" s="70"/>
      <c r="I194" s="70"/>
      <c r="J194" s="70"/>
      <c r="K194" s="70"/>
      <c r="L194" s="70"/>
      <c r="M194" s="70"/>
      <c r="N194" s="72"/>
      <c r="O194" s="72"/>
    </row>
    <row r="195" s="65" customFormat="1" ht="13.5" spans="1:15">
      <c r="A195" s="66"/>
      <c r="E195" s="72" t="s">
        <v>270</v>
      </c>
      <c r="F195" s="70"/>
      <c r="G195" s="70"/>
      <c r="H195" s="70"/>
      <c r="I195" s="70"/>
      <c r="J195" s="70"/>
      <c r="K195" s="70"/>
      <c r="L195" s="70"/>
      <c r="M195" s="70"/>
      <c r="N195" s="72"/>
      <c r="O195" s="72"/>
    </row>
    <row r="196" s="65" customFormat="1" ht="13.5" spans="1:15">
      <c r="A196" s="66"/>
      <c r="E196" s="72" t="s">
        <v>271</v>
      </c>
      <c r="F196" s="70"/>
      <c r="G196" s="70"/>
      <c r="H196" s="70"/>
      <c r="I196" s="70"/>
      <c r="J196" s="70"/>
      <c r="K196" s="70"/>
      <c r="L196" s="70"/>
      <c r="M196" s="70"/>
      <c r="N196" s="72"/>
      <c r="O196" s="72"/>
    </row>
    <row r="197" s="65" customFormat="1" ht="13.5" spans="1:15">
      <c r="A197" s="66"/>
      <c r="E197" s="72" t="s">
        <v>272</v>
      </c>
      <c r="F197" s="70"/>
      <c r="G197" s="70"/>
      <c r="H197" s="70"/>
      <c r="I197" s="70"/>
      <c r="J197" s="70"/>
      <c r="K197" s="70"/>
      <c r="L197" s="70"/>
      <c r="M197" s="70"/>
      <c r="N197" s="72"/>
      <c r="O197" s="72"/>
    </row>
    <row r="198" s="65" customFormat="1" ht="13.5" spans="1:15">
      <c r="A198" s="66"/>
      <c r="E198" s="72" t="s">
        <v>273</v>
      </c>
      <c r="F198" s="70"/>
      <c r="G198" s="70"/>
      <c r="H198" s="70"/>
      <c r="I198" s="70"/>
      <c r="J198" s="70"/>
      <c r="K198" s="70"/>
      <c r="L198" s="70"/>
      <c r="M198" s="70"/>
      <c r="N198" s="72"/>
      <c r="O198" s="72"/>
    </row>
    <row r="199" s="65" customFormat="1" ht="13.5" spans="1:15">
      <c r="A199" s="66"/>
      <c r="E199" s="72" t="s">
        <v>274</v>
      </c>
      <c r="F199" s="70"/>
      <c r="G199" s="70"/>
      <c r="H199" s="70"/>
      <c r="I199" s="70"/>
      <c r="J199" s="70"/>
      <c r="K199" s="70"/>
      <c r="L199" s="70"/>
      <c r="M199" s="70"/>
      <c r="N199" s="72"/>
      <c r="O199" s="72"/>
    </row>
    <row r="200" s="65" customFormat="1" ht="13.5" spans="1:15">
      <c r="A200" s="66"/>
      <c r="E200" s="72" t="s">
        <v>275</v>
      </c>
      <c r="F200" s="70"/>
      <c r="G200" s="70"/>
      <c r="H200" s="70"/>
      <c r="I200" s="70"/>
      <c r="J200" s="70"/>
      <c r="K200" s="70"/>
      <c r="L200" s="70"/>
      <c r="M200" s="70"/>
      <c r="N200" s="72"/>
      <c r="O200" s="72"/>
    </row>
    <row r="201" s="65" customFormat="1" ht="13.5" spans="1:15">
      <c r="A201" s="66"/>
      <c r="E201" s="72" t="s">
        <v>276</v>
      </c>
      <c r="F201" s="70"/>
      <c r="G201" s="70"/>
      <c r="H201" s="70"/>
      <c r="I201" s="70"/>
      <c r="J201" s="70"/>
      <c r="K201" s="70"/>
      <c r="L201" s="70"/>
      <c r="M201" s="70"/>
      <c r="N201" s="72"/>
      <c r="O201" s="72"/>
    </row>
    <row r="202" s="65" customFormat="1" ht="13.5" spans="1:15">
      <c r="A202" s="66"/>
      <c r="E202" s="72" t="s">
        <v>277</v>
      </c>
      <c r="F202" s="70"/>
      <c r="G202" s="70"/>
      <c r="H202" s="70"/>
      <c r="I202" s="70"/>
      <c r="J202" s="70"/>
      <c r="K202" s="70"/>
      <c r="L202" s="70"/>
      <c r="M202" s="70"/>
      <c r="N202" s="72"/>
      <c r="O202" s="72"/>
    </row>
    <row r="203" s="65" customFormat="1" ht="13.5" spans="1:15">
      <c r="A203" s="66"/>
      <c r="E203" s="72" t="s">
        <v>278</v>
      </c>
      <c r="F203" s="70"/>
      <c r="G203" s="70"/>
      <c r="H203" s="70"/>
      <c r="I203" s="70"/>
      <c r="J203" s="70"/>
      <c r="K203" s="70"/>
      <c r="L203" s="70"/>
      <c r="M203" s="70"/>
      <c r="N203" s="72"/>
      <c r="O203" s="72"/>
    </row>
    <row r="204" s="65" customFormat="1" ht="13.5" spans="1:15">
      <c r="A204" s="66"/>
      <c r="E204" s="72" t="s">
        <v>279</v>
      </c>
      <c r="F204" s="70"/>
      <c r="G204" s="70"/>
      <c r="H204" s="70"/>
      <c r="I204" s="70"/>
      <c r="J204" s="70"/>
      <c r="K204" s="70"/>
      <c r="L204" s="70"/>
      <c r="M204" s="70"/>
      <c r="N204" s="72"/>
      <c r="O204" s="72"/>
    </row>
    <row r="205" s="65" customFormat="1" ht="13.5" spans="1:15">
      <c r="A205" s="66"/>
      <c r="E205" s="72" t="s">
        <v>280</v>
      </c>
      <c r="F205" s="70"/>
      <c r="G205" s="70"/>
      <c r="H205" s="70"/>
      <c r="I205" s="70"/>
      <c r="J205" s="70"/>
      <c r="K205" s="70"/>
      <c r="L205" s="70"/>
      <c r="M205" s="70"/>
      <c r="N205" s="72"/>
      <c r="O205" s="72"/>
    </row>
    <row r="206" s="65" customFormat="1" ht="13.5" spans="1:15">
      <c r="A206" s="66"/>
      <c r="E206" s="72" t="s">
        <v>281</v>
      </c>
      <c r="F206" s="70"/>
      <c r="G206" s="70"/>
      <c r="H206" s="70"/>
      <c r="I206" s="70"/>
      <c r="J206" s="70"/>
      <c r="K206" s="70"/>
      <c r="L206" s="70"/>
      <c r="M206" s="70"/>
      <c r="N206" s="72"/>
      <c r="O206" s="72"/>
    </row>
    <row r="207" s="65" customFormat="1" ht="13.5" spans="1:15">
      <c r="A207" s="66"/>
      <c r="E207" s="72" t="s">
        <v>282</v>
      </c>
      <c r="F207" s="70"/>
      <c r="G207" s="70"/>
      <c r="H207" s="70"/>
      <c r="I207" s="70"/>
      <c r="J207" s="70"/>
      <c r="K207" s="70"/>
      <c r="L207" s="70"/>
      <c r="M207" s="70"/>
      <c r="N207" s="72"/>
      <c r="O207" s="72"/>
    </row>
    <row r="208" s="65" customFormat="1" ht="13.5" spans="1:15">
      <c r="A208" s="66"/>
      <c r="E208" s="72" t="s">
        <v>283</v>
      </c>
      <c r="F208" s="70"/>
      <c r="G208" s="70"/>
      <c r="H208" s="70"/>
      <c r="I208" s="70"/>
      <c r="J208" s="70"/>
      <c r="K208" s="70"/>
      <c r="L208" s="70"/>
      <c r="M208" s="70"/>
      <c r="N208" s="72"/>
      <c r="O208" s="72"/>
    </row>
    <row r="209" s="65" customFormat="1" ht="13.5" spans="1:15">
      <c r="A209" s="66"/>
      <c r="E209" s="72" t="s">
        <v>284</v>
      </c>
      <c r="F209" s="70"/>
      <c r="G209" s="70"/>
      <c r="H209" s="70"/>
      <c r="I209" s="70"/>
      <c r="J209" s="70"/>
      <c r="K209" s="70"/>
      <c r="L209" s="70"/>
      <c r="M209" s="70"/>
      <c r="N209" s="72"/>
      <c r="O209" s="72"/>
    </row>
    <row r="210" s="65" customFormat="1" ht="13.5" spans="1:15">
      <c r="A210" s="66"/>
      <c r="E210" s="72" t="s">
        <v>285</v>
      </c>
      <c r="F210" s="70"/>
      <c r="G210" s="70"/>
      <c r="H210" s="70"/>
      <c r="I210" s="70"/>
      <c r="J210" s="70"/>
      <c r="K210" s="70"/>
      <c r="L210" s="70"/>
      <c r="M210" s="70"/>
      <c r="N210" s="72"/>
      <c r="O210" s="72"/>
    </row>
    <row r="211" s="65" customFormat="1" ht="13.5" spans="1:15">
      <c r="A211" s="66"/>
      <c r="E211" s="72" t="s">
        <v>286</v>
      </c>
      <c r="F211" s="70"/>
      <c r="G211" s="70"/>
      <c r="H211" s="70"/>
      <c r="I211" s="70"/>
      <c r="J211" s="70"/>
      <c r="K211" s="70"/>
      <c r="L211" s="70"/>
      <c r="M211" s="70"/>
      <c r="N211" s="72"/>
      <c r="O211" s="72"/>
    </row>
    <row r="212" s="65" customFormat="1" ht="13.5" spans="1:15">
      <c r="A212" s="66"/>
      <c r="E212" s="72" t="s">
        <v>287</v>
      </c>
      <c r="F212" s="70"/>
      <c r="G212" s="70"/>
      <c r="H212" s="70"/>
      <c r="I212" s="70"/>
      <c r="J212" s="70"/>
      <c r="K212" s="70"/>
      <c r="L212" s="70"/>
      <c r="M212" s="70"/>
      <c r="N212" s="72"/>
      <c r="O212" s="72"/>
    </row>
    <row r="213" s="65" customFormat="1" ht="13.5" spans="1:15">
      <c r="A213" s="66"/>
      <c r="E213" s="72" t="s">
        <v>288</v>
      </c>
      <c r="F213" s="70"/>
      <c r="G213" s="70"/>
      <c r="H213" s="70"/>
      <c r="I213" s="70"/>
      <c r="J213" s="70"/>
      <c r="K213" s="70"/>
      <c r="L213" s="70"/>
      <c r="M213" s="70"/>
      <c r="N213" s="72"/>
      <c r="O213" s="72"/>
    </row>
    <row r="214" s="65" customFormat="1" ht="13.5" spans="1:15">
      <c r="A214" s="66"/>
      <c r="E214" s="72" t="s">
        <v>289</v>
      </c>
      <c r="F214" s="70"/>
      <c r="G214" s="70"/>
      <c r="H214" s="70"/>
      <c r="I214" s="70"/>
      <c r="J214" s="70"/>
      <c r="K214" s="70"/>
      <c r="L214" s="70"/>
      <c r="M214" s="70"/>
      <c r="N214" s="72"/>
      <c r="O214" s="72"/>
    </row>
    <row r="215" s="65" customFormat="1" ht="13.5" spans="1:15">
      <c r="A215" s="66"/>
      <c r="E215" s="72" t="s">
        <v>290</v>
      </c>
      <c r="F215" s="70"/>
      <c r="G215" s="70"/>
      <c r="H215" s="70"/>
      <c r="I215" s="70"/>
      <c r="J215" s="70"/>
      <c r="K215" s="70"/>
      <c r="L215" s="70"/>
      <c r="M215" s="70"/>
      <c r="N215" s="72"/>
      <c r="O215" s="72"/>
    </row>
    <row r="216" s="65" customFormat="1" ht="13.5" spans="1:15">
      <c r="A216" s="66"/>
      <c r="E216" s="72" t="s">
        <v>291</v>
      </c>
      <c r="F216" s="70"/>
      <c r="G216" s="70"/>
      <c r="H216" s="70"/>
      <c r="I216" s="70"/>
      <c r="J216" s="70"/>
      <c r="K216" s="70"/>
      <c r="L216" s="70"/>
      <c r="M216" s="70"/>
      <c r="N216" s="72"/>
      <c r="O216" s="72"/>
    </row>
    <row r="217" s="65" customFormat="1" ht="13.5" spans="1:15">
      <c r="A217" s="66"/>
      <c r="E217" s="72" t="s">
        <v>292</v>
      </c>
      <c r="F217" s="70"/>
      <c r="G217" s="70"/>
      <c r="H217" s="70"/>
      <c r="I217" s="70"/>
      <c r="J217" s="70"/>
      <c r="K217" s="70"/>
      <c r="L217" s="70"/>
      <c r="M217" s="70"/>
      <c r="N217" s="72"/>
      <c r="O217" s="72"/>
    </row>
    <row r="218" s="65" customFormat="1" ht="13.5" spans="1:15">
      <c r="A218" s="66"/>
      <c r="E218" s="72" t="s">
        <v>293</v>
      </c>
      <c r="F218" s="70"/>
      <c r="G218" s="70"/>
      <c r="H218" s="70"/>
      <c r="I218" s="70"/>
      <c r="J218" s="70"/>
      <c r="K218" s="70"/>
      <c r="L218" s="70"/>
      <c r="M218" s="70"/>
      <c r="N218" s="72"/>
      <c r="O218" s="72"/>
    </row>
    <row r="219" s="65" customFormat="1" ht="13.5" spans="1:15">
      <c r="A219" s="66"/>
      <c r="E219" s="72" t="s">
        <v>294</v>
      </c>
      <c r="F219" s="70"/>
      <c r="G219" s="70"/>
      <c r="H219" s="70"/>
      <c r="I219" s="70"/>
      <c r="J219" s="70"/>
      <c r="K219" s="70"/>
      <c r="L219" s="70"/>
      <c r="M219" s="70"/>
      <c r="N219" s="72"/>
      <c r="O219" s="72"/>
    </row>
    <row r="220" s="65" customFormat="1" ht="13.5" spans="1:15">
      <c r="A220" s="66"/>
      <c r="E220" s="72" t="s">
        <v>295</v>
      </c>
      <c r="F220" s="70"/>
      <c r="G220" s="70"/>
      <c r="H220" s="70"/>
      <c r="I220" s="70"/>
      <c r="J220" s="70"/>
      <c r="K220" s="70"/>
      <c r="L220" s="70"/>
      <c r="M220" s="70"/>
      <c r="N220" s="72"/>
      <c r="O220" s="72"/>
    </row>
    <row r="221" s="65" customFormat="1" ht="13.5" spans="1:15">
      <c r="A221" s="66"/>
      <c r="E221" s="72" t="s">
        <v>296</v>
      </c>
      <c r="F221" s="70"/>
      <c r="G221" s="70"/>
      <c r="H221" s="70"/>
      <c r="I221" s="70"/>
      <c r="J221" s="70"/>
      <c r="K221" s="70"/>
      <c r="L221" s="70"/>
      <c r="M221" s="70"/>
      <c r="N221" s="72"/>
      <c r="O221" s="72"/>
    </row>
    <row r="222" s="65" customFormat="1" ht="13.5" spans="1:15">
      <c r="A222" s="66"/>
      <c r="E222" s="72" t="s">
        <v>297</v>
      </c>
      <c r="F222" s="70"/>
      <c r="G222" s="70"/>
      <c r="H222" s="70"/>
      <c r="I222" s="70"/>
      <c r="J222" s="70"/>
      <c r="K222" s="70"/>
      <c r="L222" s="70"/>
      <c r="M222" s="70"/>
      <c r="N222" s="72"/>
      <c r="O222" s="72"/>
    </row>
    <row r="223" s="65" customFormat="1" ht="13.5" spans="1:15">
      <c r="A223" s="66"/>
      <c r="E223" s="72" t="s">
        <v>298</v>
      </c>
      <c r="F223" s="70"/>
      <c r="G223" s="70"/>
      <c r="H223" s="70"/>
      <c r="I223" s="70"/>
      <c r="J223" s="70"/>
      <c r="K223" s="70"/>
      <c r="L223" s="70"/>
      <c r="M223" s="70"/>
      <c r="N223" s="72"/>
      <c r="O223" s="72"/>
    </row>
    <row r="224" s="65" customFormat="1" ht="13.5" spans="1:15">
      <c r="A224" s="66"/>
      <c r="E224" s="72" t="s">
        <v>299</v>
      </c>
      <c r="F224" s="70"/>
      <c r="G224" s="70"/>
      <c r="H224" s="70"/>
      <c r="I224" s="70"/>
      <c r="J224" s="70"/>
      <c r="K224" s="70"/>
      <c r="L224" s="70"/>
      <c r="M224" s="70"/>
      <c r="N224" s="72"/>
      <c r="O224" s="72"/>
    </row>
    <row r="225" s="65" customFormat="1" ht="13.5" spans="1:15">
      <c r="A225" s="66"/>
      <c r="E225" s="72" t="s">
        <v>300</v>
      </c>
      <c r="F225" s="70"/>
      <c r="G225" s="70"/>
      <c r="H225" s="70"/>
      <c r="I225" s="70"/>
      <c r="J225" s="70"/>
      <c r="K225" s="70"/>
      <c r="L225" s="70"/>
      <c r="M225" s="70"/>
      <c r="N225" s="72"/>
      <c r="O225" s="72"/>
    </row>
    <row r="226" s="65" customFormat="1" ht="13.5" spans="1:15">
      <c r="A226" s="66"/>
      <c r="E226" s="72" t="s">
        <v>301</v>
      </c>
      <c r="F226" s="70"/>
      <c r="G226" s="70"/>
      <c r="H226" s="70"/>
      <c r="I226" s="70"/>
      <c r="J226" s="70"/>
      <c r="K226" s="70"/>
      <c r="L226" s="70"/>
      <c r="M226" s="70"/>
      <c r="N226" s="72"/>
      <c r="O226" s="72"/>
    </row>
    <row r="227" s="65" customFormat="1" ht="13.5" spans="1:15">
      <c r="A227" s="66"/>
      <c r="E227" s="72" t="s">
        <v>302</v>
      </c>
      <c r="F227" s="70"/>
      <c r="G227" s="70"/>
      <c r="H227" s="70"/>
      <c r="I227" s="70"/>
      <c r="J227" s="70"/>
      <c r="K227" s="70"/>
      <c r="L227" s="70"/>
      <c r="M227" s="70"/>
      <c r="N227" s="72"/>
      <c r="O227" s="72"/>
    </row>
    <row r="228" s="65" customFormat="1" ht="13.5" spans="1:15">
      <c r="A228" s="66"/>
      <c r="E228" s="72" t="s">
        <v>303</v>
      </c>
      <c r="F228" s="70"/>
      <c r="G228" s="70"/>
      <c r="H228" s="70"/>
      <c r="I228" s="70"/>
      <c r="J228" s="70"/>
      <c r="K228" s="70"/>
      <c r="L228" s="70"/>
      <c r="M228" s="70"/>
      <c r="N228" s="72"/>
      <c r="O228" s="72"/>
    </row>
    <row r="229" s="65" customFormat="1" ht="13.5" spans="1:15">
      <c r="A229" s="66"/>
      <c r="E229" s="72" t="s">
        <v>304</v>
      </c>
      <c r="F229" s="70"/>
      <c r="G229" s="70"/>
      <c r="H229" s="70"/>
      <c r="I229" s="70"/>
      <c r="J229" s="70"/>
      <c r="K229" s="70"/>
      <c r="L229" s="70"/>
      <c r="M229" s="70"/>
      <c r="N229" s="72"/>
      <c r="O229" s="72"/>
    </row>
    <row r="230" s="65" customFormat="1" ht="13.5" spans="1:15">
      <c r="A230" s="66"/>
      <c r="E230" s="72" t="s">
        <v>305</v>
      </c>
      <c r="F230" s="70"/>
      <c r="G230" s="70"/>
      <c r="H230" s="70"/>
      <c r="I230" s="70"/>
      <c r="J230" s="70"/>
      <c r="K230" s="70"/>
      <c r="L230" s="70"/>
      <c r="M230" s="70"/>
      <c r="N230" s="72"/>
      <c r="O230" s="72"/>
    </row>
    <row r="231" s="65" customFormat="1" ht="13.5" spans="1:15">
      <c r="A231" s="66"/>
      <c r="E231" s="72" t="s">
        <v>306</v>
      </c>
      <c r="F231" s="70"/>
      <c r="G231" s="70"/>
      <c r="H231" s="70"/>
      <c r="I231" s="70"/>
      <c r="J231" s="70"/>
      <c r="K231" s="70"/>
      <c r="L231" s="70"/>
      <c r="M231" s="70"/>
      <c r="N231" s="72"/>
      <c r="O231" s="72"/>
    </row>
    <row r="232" s="65" customFormat="1" ht="13.5" spans="1:15">
      <c r="A232" s="66"/>
      <c r="E232" s="72" t="s">
        <v>307</v>
      </c>
      <c r="F232" s="70"/>
      <c r="G232" s="70"/>
      <c r="H232" s="70"/>
      <c r="I232" s="70"/>
      <c r="J232" s="70"/>
      <c r="K232" s="70"/>
      <c r="L232" s="70"/>
      <c r="M232" s="70"/>
      <c r="N232" s="72"/>
      <c r="O232" s="72"/>
    </row>
    <row r="233" s="65" customFormat="1" ht="13.5" spans="1:15">
      <c r="A233" s="66"/>
      <c r="E233" s="72" t="s">
        <v>308</v>
      </c>
      <c r="F233" s="70"/>
      <c r="G233" s="70"/>
      <c r="H233" s="70"/>
      <c r="I233" s="70"/>
      <c r="J233" s="70"/>
      <c r="K233" s="70"/>
      <c r="L233" s="70"/>
      <c r="M233" s="70"/>
      <c r="N233" s="72"/>
      <c r="O233" s="72"/>
    </row>
    <row r="234" s="65" customFormat="1" ht="13.5" spans="1:15">
      <c r="A234" s="66"/>
      <c r="E234" s="72" t="s">
        <v>309</v>
      </c>
      <c r="F234" s="70"/>
      <c r="G234" s="70"/>
      <c r="H234" s="70"/>
      <c r="I234" s="70"/>
      <c r="J234" s="70"/>
      <c r="K234" s="70"/>
      <c r="L234" s="70"/>
      <c r="M234" s="70"/>
      <c r="N234" s="72"/>
      <c r="O234" s="72"/>
    </row>
    <row r="235" s="65" customFormat="1" ht="13.5" spans="1:15">
      <c r="A235" s="66"/>
      <c r="E235" s="72" t="s">
        <v>310</v>
      </c>
      <c r="F235" s="70"/>
      <c r="G235" s="70"/>
      <c r="H235" s="70"/>
      <c r="I235" s="70"/>
      <c r="J235" s="70"/>
      <c r="K235" s="70"/>
      <c r="L235" s="70"/>
      <c r="M235" s="70"/>
      <c r="N235" s="72"/>
      <c r="O235" s="72"/>
    </row>
    <row r="236" s="65" customFormat="1" ht="13.5" spans="1:15">
      <c r="A236" s="66"/>
      <c r="E236" s="72" t="s">
        <v>311</v>
      </c>
      <c r="F236" s="70"/>
      <c r="G236" s="70"/>
      <c r="H236" s="70"/>
      <c r="I236" s="70"/>
      <c r="J236" s="70"/>
      <c r="K236" s="70"/>
      <c r="L236" s="70"/>
      <c r="M236" s="70"/>
      <c r="N236" s="72"/>
      <c r="O236" s="72"/>
    </row>
    <row r="237" s="65" customFormat="1" ht="13.5" spans="1:15">
      <c r="A237" s="66"/>
      <c r="E237" s="72" t="s">
        <v>312</v>
      </c>
      <c r="F237" s="70"/>
      <c r="G237" s="70"/>
      <c r="H237" s="70"/>
      <c r="I237" s="70"/>
      <c r="J237" s="70"/>
      <c r="K237" s="70"/>
      <c r="L237" s="70"/>
      <c r="M237" s="70"/>
      <c r="N237" s="72"/>
      <c r="O237" s="72"/>
    </row>
    <row r="238" s="65" customFormat="1" ht="13.5" spans="1:15">
      <c r="A238" s="66"/>
      <c r="E238" s="72" t="s">
        <v>313</v>
      </c>
      <c r="F238" s="70"/>
      <c r="G238" s="70"/>
      <c r="H238" s="70"/>
      <c r="I238" s="70"/>
      <c r="J238" s="70"/>
      <c r="K238" s="70"/>
      <c r="L238" s="70"/>
      <c r="M238" s="70"/>
      <c r="N238" s="72"/>
      <c r="O238" s="72"/>
    </row>
    <row r="239" s="65" customFormat="1" ht="13.5" spans="1:15">
      <c r="A239" s="66"/>
      <c r="E239" s="72" t="s">
        <v>314</v>
      </c>
      <c r="F239" s="70"/>
      <c r="G239" s="70"/>
      <c r="H239" s="70"/>
      <c r="I239" s="70"/>
      <c r="J239" s="70"/>
      <c r="K239" s="70"/>
      <c r="L239" s="70"/>
      <c r="M239" s="70"/>
      <c r="N239" s="72"/>
      <c r="O239" s="72"/>
    </row>
    <row r="240" s="65" customFormat="1" ht="13.5" spans="1:15">
      <c r="A240" s="66"/>
      <c r="E240" s="72" t="s">
        <v>315</v>
      </c>
      <c r="F240" s="70"/>
      <c r="G240" s="70"/>
      <c r="H240" s="70"/>
      <c r="I240" s="70"/>
      <c r="J240" s="70"/>
      <c r="K240" s="70"/>
      <c r="L240" s="70"/>
      <c r="M240" s="70"/>
      <c r="N240" s="72"/>
      <c r="O240" s="72"/>
    </row>
    <row r="241" s="65" customFormat="1" ht="13.5" spans="1:15">
      <c r="A241" s="66"/>
      <c r="E241" s="72" t="s">
        <v>316</v>
      </c>
      <c r="F241" s="70"/>
      <c r="G241" s="70"/>
      <c r="H241" s="70"/>
      <c r="I241" s="70"/>
      <c r="J241" s="70"/>
      <c r="K241" s="70"/>
      <c r="L241" s="70"/>
      <c r="M241" s="70"/>
      <c r="N241" s="72"/>
      <c r="O241" s="72"/>
    </row>
    <row r="242" s="65" customFormat="1" ht="13.5" spans="1:15">
      <c r="A242" s="66"/>
      <c r="E242" s="72" t="s">
        <v>317</v>
      </c>
      <c r="F242" s="70"/>
      <c r="G242" s="70"/>
      <c r="H242" s="70"/>
      <c r="I242" s="70"/>
      <c r="J242" s="70"/>
      <c r="K242" s="70"/>
      <c r="L242" s="70"/>
      <c r="M242" s="70"/>
      <c r="N242" s="72"/>
      <c r="O242" s="72"/>
    </row>
    <row r="243" s="65" customFormat="1" ht="13.5" spans="1:15">
      <c r="A243" s="66"/>
      <c r="E243" s="72" t="s">
        <v>318</v>
      </c>
      <c r="F243" s="70"/>
      <c r="G243" s="70"/>
      <c r="H243" s="70"/>
      <c r="I243" s="70"/>
      <c r="J243" s="70"/>
      <c r="K243" s="70"/>
      <c r="L243" s="70"/>
      <c r="M243" s="70"/>
      <c r="N243" s="72"/>
      <c r="O243" s="72"/>
    </row>
    <row r="244" s="65" customFormat="1" ht="13.5" spans="1:15">
      <c r="A244" s="66"/>
      <c r="E244" s="72" t="s">
        <v>319</v>
      </c>
      <c r="F244" s="70"/>
      <c r="G244" s="70"/>
      <c r="H244" s="70"/>
      <c r="I244" s="70"/>
      <c r="J244" s="70"/>
      <c r="K244" s="70"/>
      <c r="L244" s="70"/>
      <c r="M244" s="70"/>
      <c r="N244" s="72"/>
      <c r="O244" s="72"/>
    </row>
    <row r="245" s="65" customFormat="1" ht="13.5" spans="1:15">
      <c r="A245" s="66"/>
      <c r="E245" s="72" t="s">
        <v>320</v>
      </c>
      <c r="F245" s="70"/>
      <c r="G245" s="70"/>
      <c r="H245" s="70"/>
      <c r="I245" s="70"/>
      <c r="J245" s="70"/>
      <c r="K245" s="70"/>
      <c r="L245" s="70"/>
      <c r="M245" s="70"/>
      <c r="N245" s="72"/>
      <c r="O245" s="72"/>
    </row>
    <row r="246" s="65" customFormat="1" ht="13.5" spans="1:15">
      <c r="A246" s="66"/>
      <c r="E246" s="72" t="s">
        <v>321</v>
      </c>
      <c r="F246" s="70"/>
      <c r="G246" s="70"/>
      <c r="H246" s="70"/>
      <c r="I246" s="70"/>
      <c r="J246" s="70"/>
      <c r="K246" s="70"/>
      <c r="L246" s="70"/>
      <c r="M246" s="70"/>
      <c r="N246" s="72"/>
      <c r="O246" s="72"/>
    </row>
    <row r="247" s="65" customFormat="1" ht="13.5" spans="1:15">
      <c r="A247" s="66"/>
      <c r="E247" s="72" t="s">
        <v>322</v>
      </c>
      <c r="F247" s="70"/>
      <c r="G247" s="70"/>
      <c r="H247" s="70"/>
      <c r="I247" s="70"/>
      <c r="J247" s="70"/>
      <c r="K247" s="70"/>
      <c r="L247" s="70"/>
      <c r="M247" s="70"/>
      <c r="N247" s="72"/>
      <c r="O247" s="72"/>
    </row>
    <row r="248" s="65" customFormat="1" ht="13.5" spans="1:15">
      <c r="A248" s="66"/>
      <c r="E248" s="72" t="s">
        <v>323</v>
      </c>
      <c r="F248" s="70"/>
      <c r="G248" s="70"/>
      <c r="H248" s="70"/>
      <c r="I248" s="70"/>
      <c r="J248" s="70"/>
      <c r="K248" s="70"/>
      <c r="L248" s="70"/>
      <c r="M248" s="70"/>
      <c r="N248" s="72"/>
      <c r="O248" s="72"/>
    </row>
    <row r="249" s="65" customFormat="1" ht="13.5" spans="1:15">
      <c r="A249" s="66"/>
      <c r="E249" s="72" t="s">
        <v>324</v>
      </c>
      <c r="F249" s="70"/>
      <c r="G249" s="70"/>
      <c r="H249" s="70"/>
      <c r="I249" s="70"/>
      <c r="J249" s="70"/>
      <c r="K249" s="70"/>
      <c r="L249" s="70"/>
      <c r="M249" s="70"/>
      <c r="N249" s="72"/>
      <c r="O249" s="72"/>
    </row>
    <row r="250" s="65" customFormat="1" ht="13.5" spans="1:15">
      <c r="A250" s="66"/>
      <c r="E250" s="72" t="s">
        <v>325</v>
      </c>
      <c r="F250" s="70"/>
      <c r="G250" s="70"/>
      <c r="H250" s="70"/>
      <c r="I250" s="70"/>
      <c r="J250" s="70"/>
      <c r="K250" s="70"/>
      <c r="L250" s="70"/>
      <c r="M250" s="70"/>
      <c r="N250" s="72"/>
      <c r="O250" s="72"/>
    </row>
    <row r="251" s="65" customFormat="1" ht="13.5" spans="1:15">
      <c r="A251" s="66"/>
      <c r="E251" s="72" t="s">
        <v>326</v>
      </c>
      <c r="F251" s="70"/>
      <c r="G251" s="70"/>
      <c r="H251" s="70"/>
      <c r="I251" s="70"/>
      <c r="J251" s="70"/>
      <c r="K251" s="70"/>
      <c r="L251" s="70"/>
      <c r="M251" s="70"/>
      <c r="N251" s="72"/>
      <c r="O251" s="72"/>
    </row>
    <row r="252" s="65" customFormat="1" ht="13.5" spans="1:15">
      <c r="A252" s="66"/>
      <c r="E252" s="72" t="s">
        <v>327</v>
      </c>
      <c r="F252" s="70"/>
      <c r="G252" s="70"/>
      <c r="H252" s="70"/>
      <c r="I252" s="70"/>
      <c r="J252" s="70"/>
      <c r="K252" s="70"/>
      <c r="L252" s="70"/>
      <c r="M252" s="70"/>
      <c r="N252" s="72"/>
      <c r="O252" s="72"/>
    </row>
    <row r="253" s="65" customFormat="1" ht="13.5" spans="1:15">
      <c r="A253" s="66"/>
      <c r="E253" s="72" t="s">
        <v>328</v>
      </c>
      <c r="F253" s="70"/>
      <c r="G253" s="70"/>
      <c r="H253" s="70"/>
      <c r="I253" s="70"/>
      <c r="J253" s="70"/>
      <c r="K253" s="70"/>
      <c r="L253" s="70"/>
      <c r="M253" s="70"/>
      <c r="N253" s="72"/>
      <c r="O253" s="72"/>
    </row>
    <row r="254" s="65" customFormat="1" ht="13.5" spans="1:15">
      <c r="A254" s="66"/>
      <c r="E254" s="72" t="s">
        <v>329</v>
      </c>
      <c r="F254" s="70"/>
      <c r="G254" s="70"/>
      <c r="H254" s="70"/>
      <c r="I254" s="70"/>
      <c r="J254" s="70"/>
      <c r="K254" s="70"/>
      <c r="L254" s="70"/>
      <c r="M254" s="70"/>
      <c r="N254" s="72"/>
      <c r="O254" s="72"/>
    </row>
    <row r="255" s="65" customFormat="1" ht="13.5" spans="1:15">
      <c r="A255" s="66"/>
      <c r="E255" s="72" t="s">
        <v>330</v>
      </c>
      <c r="F255" s="70"/>
      <c r="G255" s="70"/>
      <c r="H255" s="70"/>
      <c r="I255" s="70"/>
      <c r="J255" s="70"/>
      <c r="K255" s="70"/>
      <c r="L255" s="70"/>
      <c r="M255" s="70"/>
      <c r="N255" s="72"/>
      <c r="O255" s="72"/>
    </row>
    <row r="256" s="65" customFormat="1" ht="13.5" spans="1:15">
      <c r="A256" s="66"/>
      <c r="E256" s="72" t="s">
        <v>331</v>
      </c>
      <c r="F256" s="70"/>
      <c r="G256" s="70"/>
      <c r="H256" s="70"/>
      <c r="I256" s="70"/>
      <c r="J256" s="70"/>
      <c r="K256" s="70"/>
      <c r="L256" s="70"/>
      <c r="M256" s="70"/>
      <c r="N256" s="72"/>
      <c r="O256" s="72"/>
    </row>
    <row r="257" s="65" customFormat="1" ht="13.5" spans="1:15">
      <c r="A257" s="66"/>
      <c r="E257" s="72" t="s">
        <v>332</v>
      </c>
      <c r="F257" s="70"/>
      <c r="G257" s="70"/>
      <c r="H257" s="70"/>
      <c r="I257" s="70"/>
      <c r="J257" s="70"/>
      <c r="K257" s="70"/>
      <c r="L257" s="70"/>
      <c r="M257" s="70"/>
      <c r="N257" s="72"/>
      <c r="O257" s="72"/>
    </row>
    <row r="258" s="65" customFormat="1" ht="13.5" spans="1:15">
      <c r="A258" s="66"/>
      <c r="E258" s="72" t="s">
        <v>333</v>
      </c>
      <c r="F258" s="70"/>
      <c r="G258" s="70"/>
      <c r="H258" s="70"/>
      <c r="I258" s="70"/>
      <c r="J258" s="70"/>
      <c r="K258" s="70"/>
      <c r="L258" s="70"/>
      <c r="M258" s="70"/>
      <c r="N258" s="72"/>
      <c r="O258" s="72"/>
    </row>
    <row r="259" s="65" customFormat="1" ht="13.5" spans="1:15">
      <c r="A259" s="66"/>
      <c r="E259" s="72" t="s">
        <v>334</v>
      </c>
      <c r="F259" s="70"/>
      <c r="G259" s="70"/>
      <c r="H259" s="70"/>
      <c r="I259" s="70"/>
      <c r="J259" s="70"/>
      <c r="K259" s="70"/>
      <c r="L259" s="70"/>
      <c r="M259" s="70"/>
      <c r="N259" s="72"/>
      <c r="O259" s="72"/>
    </row>
    <row r="260" s="65" customFormat="1" ht="13.5" spans="1:15">
      <c r="A260" s="66"/>
      <c r="E260" s="72" t="s">
        <v>335</v>
      </c>
      <c r="F260" s="70"/>
      <c r="G260" s="70"/>
      <c r="H260" s="70"/>
      <c r="I260" s="70"/>
      <c r="J260" s="70"/>
      <c r="K260" s="70"/>
      <c r="L260" s="70"/>
      <c r="M260" s="70"/>
      <c r="N260" s="72"/>
      <c r="O260" s="72"/>
    </row>
    <row r="261" s="65" customFormat="1" ht="13.5" spans="1:15">
      <c r="A261" s="66"/>
      <c r="E261" s="72" t="s">
        <v>336</v>
      </c>
      <c r="F261" s="70"/>
      <c r="G261" s="70"/>
      <c r="H261" s="70"/>
      <c r="I261" s="70"/>
      <c r="J261" s="70"/>
      <c r="K261" s="70"/>
      <c r="L261" s="70"/>
      <c r="M261" s="70"/>
      <c r="N261" s="72"/>
      <c r="O261" s="72"/>
    </row>
    <row r="262" s="65" customFormat="1" ht="13.5" spans="1:15">
      <c r="A262" s="66"/>
      <c r="E262" s="72" t="s">
        <v>337</v>
      </c>
      <c r="F262" s="70"/>
      <c r="G262" s="70"/>
      <c r="H262" s="70"/>
      <c r="I262" s="70"/>
      <c r="J262" s="70"/>
      <c r="K262" s="70"/>
      <c r="L262" s="70"/>
      <c r="M262" s="70"/>
      <c r="N262" s="72"/>
      <c r="O262" s="72"/>
    </row>
    <row r="263" s="65" customFormat="1" ht="13.5" spans="1:15">
      <c r="A263" s="66"/>
      <c r="E263" s="72" t="s">
        <v>338</v>
      </c>
      <c r="F263" s="70"/>
      <c r="G263" s="70"/>
      <c r="H263" s="70"/>
      <c r="I263" s="70"/>
      <c r="J263" s="70"/>
      <c r="K263" s="70"/>
      <c r="L263" s="70"/>
      <c r="M263" s="70"/>
      <c r="N263" s="72"/>
      <c r="O263" s="72"/>
    </row>
    <row r="264" s="65" customFormat="1" ht="13.5" spans="1:15">
      <c r="A264" s="66"/>
      <c r="E264" s="72" t="s">
        <v>339</v>
      </c>
      <c r="F264" s="70"/>
      <c r="G264" s="70"/>
      <c r="H264" s="70"/>
      <c r="I264" s="70"/>
      <c r="J264" s="70"/>
      <c r="K264" s="70"/>
      <c r="L264" s="70"/>
      <c r="M264" s="70"/>
      <c r="N264" s="72"/>
      <c r="O264" s="72"/>
    </row>
    <row r="265" s="65" customFormat="1" ht="13.5" spans="1:15">
      <c r="A265" s="66"/>
      <c r="E265" s="72" t="s">
        <v>340</v>
      </c>
      <c r="F265" s="70"/>
      <c r="G265" s="70"/>
      <c r="H265" s="70"/>
      <c r="I265" s="70"/>
      <c r="J265" s="70"/>
      <c r="K265" s="70"/>
      <c r="L265" s="70"/>
      <c r="M265" s="70"/>
      <c r="N265" s="72"/>
      <c r="O265" s="72"/>
    </row>
    <row r="266" s="65" customFormat="1" ht="13.5" spans="1:15">
      <c r="A266" s="66"/>
      <c r="E266" s="72" t="s">
        <v>341</v>
      </c>
      <c r="F266" s="70"/>
      <c r="G266" s="70"/>
      <c r="H266" s="70"/>
      <c r="I266" s="70"/>
      <c r="J266" s="70"/>
      <c r="K266" s="70"/>
      <c r="L266" s="70"/>
      <c r="M266" s="70"/>
      <c r="N266" s="72"/>
      <c r="O266" s="72"/>
    </row>
    <row r="267" s="65" customFormat="1" ht="13.5" spans="1:15">
      <c r="A267" s="66"/>
      <c r="E267" s="72" t="s">
        <v>342</v>
      </c>
      <c r="F267" s="70"/>
      <c r="G267" s="70"/>
      <c r="H267" s="70"/>
      <c r="I267" s="70"/>
      <c r="J267" s="70"/>
      <c r="K267" s="70"/>
      <c r="L267" s="70"/>
      <c r="M267" s="70"/>
      <c r="N267" s="72"/>
      <c r="O267" s="72"/>
    </row>
    <row r="268" s="65" customFormat="1" ht="13.5" spans="1:15">
      <c r="A268" s="66"/>
      <c r="E268" s="72" t="s">
        <v>343</v>
      </c>
      <c r="F268" s="70"/>
      <c r="G268" s="70"/>
      <c r="H268" s="70"/>
      <c r="I268" s="70"/>
      <c r="J268" s="70"/>
      <c r="K268" s="70"/>
      <c r="L268" s="70"/>
      <c r="M268" s="70"/>
      <c r="N268" s="72"/>
      <c r="O268" s="72"/>
    </row>
    <row r="269" s="65" customFormat="1" ht="13.5" spans="1:15">
      <c r="A269" s="66"/>
      <c r="E269" s="72" t="s">
        <v>344</v>
      </c>
      <c r="F269" s="70"/>
      <c r="G269" s="70"/>
      <c r="H269" s="70"/>
      <c r="I269" s="70"/>
      <c r="J269" s="70"/>
      <c r="K269" s="70"/>
      <c r="L269" s="70"/>
      <c r="M269" s="70"/>
      <c r="N269" s="72"/>
      <c r="O269" s="72"/>
    </row>
    <row r="270" s="65" customFormat="1" ht="13.5" spans="1:15">
      <c r="A270" s="66"/>
      <c r="E270" s="72" t="s">
        <v>345</v>
      </c>
      <c r="F270" s="70"/>
      <c r="G270" s="70"/>
      <c r="H270" s="70"/>
      <c r="I270" s="70"/>
      <c r="J270" s="70"/>
      <c r="K270" s="70"/>
      <c r="L270" s="70"/>
      <c r="M270" s="70"/>
      <c r="N270" s="72"/>
      <c r="O270" s="72"/>
    </row>
    <row r="271" s="65" customFormat="1" ht="13.5" spans="1:15">
      <c r="A271" s="66"/>
      <c r="E271" s="72" t="s">
        <v>346</v>
      </c>
      <c r="F271" s="70"/>
      <c r="G271" s="70"/>
      <c r="H271" s="70"/>
      <c r="I271" s="70"/>
      <c r="J271" s="70"/>
      <c r="K271" s="70"/>
      <c r="L271" s="70"/>
      <c r="M271" s="70"/>
      <c r="N271" s="72"/>
      <c r="O271" s="72"/>
    </row>
    <row r="272" s="65" customFormat="1" ht="13.5" spans="1:15">
      <c r="A272" s="66"/>
      <c r="E272" s="72" t="s">
        <v>347</v>
      </c>
      <c r="F272" s="70"/>
      <c r="G272" s="70"/>
      <c r="H272" s="70"/>
      <c r="I272" s="70"/>
      <c r="J272" s="70"/>
      <c r="K272" s="70"/>
      <c r="L272" s="70"/>
      <c r="M272" s="70"/>
      <c r="N272" s="72"/>
      <c r="O272" s="72"/>
    </row>
    <row r="273" s="65" customFormat="1" ht="13.5" spans="1:15">
      <c r="A273" s="66"/>
      <c r="E273" s="72" t="s">
        <v>348</v>
      </c>
      <c r="F273" s="70"/>
      <c r="G273" s="70"/>
      <c r="H273" s="70"/>
      <c r="I273" s="70"/>
      <c r="J273" s="70"/>
      <c r="K273" s="70"/>
      <c r="L273" s="70"/>
      <c r="M273" s="70"/>
      <c r="N273" s="72"/>
      <c r="O273" s="72"/>
    </row>
    <row r="274" s="65" customFormat="1" ht="13.5" spans="1:15">
      <c r="A274" s="66"/>
      <c r="E274" s="72" t="s">
        <v>349</v>
      </c>
      <c r="F274" s="70"/>
      <c r="G274" s="70"/>
      <c r="H274" s="70"/>
      <c r="I274" s="70"/>
      <c r="J274" s="70"/>
      <c r="K274" s="70"/>
      <c r="L274" s="70"/>
      <c r="M274" s="70"/>
      <c r="N274" s="72"/>
      <c r="O274" s="72"/>
    </row>
    <row r="275" s="65" customFormat="1" ht="13.5" spans="1:15">
      <c r="A275" s="66"/>
      <c r="E275" s="72" t="s">
        <v>350</v>
      </c>
      <c r="F275" s="70"/>
      <c r="G275" s="70"/>
      <c r="H275" s="70"/>
      <c r="I275" s="70"/>
      <c r="J275" s="70"/>
      <c r="K275" s="70"/>
      <c r="L275" s="70"/>
      <c r="M275" s="70"/>
      <c r="N275" s="72"/>
      <c r="O275" s="72"/>
    </row>
    <row r="276" s="65" customFormat="1" ht="13.5" spans="1:15">
      <c r="A276" s="66"/>
      <c r="E276" s="72" t="s">
        <v>351</v>
      </c>
      <c r="F276" s="70"/>
      <c r="G276" s="70"/>
      <c r="H276" s="70"/>
      <c r="I276" s="70"/>
      <c r="J276" s="70"/>
      <c r="K276" s="70"/>
      <c r="L276" s="70"/>
      <c r="M276" s="70"/>
      <c r="N276" s="72"/>
      <c r="O276" s="72"/>
    </row>
    <row r="277" s="65" customFormat="1" ht="13.5" spans="1:15">
      <c r="A277" s="66"/>
      <c r="E277" s="72" t="s">
        <v>352</v>
      </c>
      <c r="F277" s="70"/>
      <c r="G277" s="70"/>
      <c r="H277" s="70"/>
      <c r="I277" s="70"/>
      <c r="J277" s="70"/>
      <c r="K277" s="70"/>
      <c r="L277" s="70"/>
      <c r="M277" s="70"/>
      <c r="N277" s="72"/>
      <c r="O277" s="72"/>
    </row>
    <row r="278" s="65" customFormat="1" ht="13.5" spans="1:15">
      <c r="A278" s="66"/>
      <c r="E278" s="72" t="s">
        <v>353</v>
      </c>
      <c r="F278" s="70"/>
      <c r="G278" s="70"/>
      <c r="H278" s="70"/>
      <c r="I278" s="70"/>
      <c r="J278" s="70"/>
      <c r="K278" s="70"/>
      <c r="L278" s="70"/>
      <c r="M278" s="70"/>
      <c r="N278" s="72"/>
      <c r="O278" s="72"/>
    </row>
    <row r="279" s="65" customFormat="1" ht="13.5" spans="1:15">
      <c r="A279" s="66"/>
      <c r="E279" s="72" t="s">
        <v>354</v>
      </c>
      <c r="F279" s="70"/>
      <c r="G279" s="70"/>
      <c r="H279" s="70"/>
      <c r="I279" s="70"/>
      <c r="J279" s="70"/>
      <c r="K279" s="70"/>
      <c r="L279" s="70"/>
      <c r="M279" s="70"/>
      <c r="N279" s="72"/>
      <c r="O279" s="72"/>
    </row>
    <row r="280" s="65" customFormat="1" ht="13.5" spans="1:15">
      <c r="A280" s="66"/>
      <c r="E280" s="72" t="s">
        <v>355</v>
      </c>
      <c r="F280" s="70"/>
      <c r="G280" s="70"/>
      <c r="H280" s="70"/>
      <c r="I280" s="70"/>
      <c r="J280" s="70"/>
      <c r="K280" s="70"/>
      <c r="L280" s="70"/>
      <c r="M280" s="70"/>
      <c r="N280" s="72"/>
      <c r="O280" s="72"/>
    </row>
    <row r="281" s="65" customFormat="1" ht="13.5" spans="1:15">
      <c r="A281" s="66"/>
      <c r="E281" s="72" t="s">
        <v>356</v>
      </c>
      <c r="F281" s="70"/>
      <c r="G281" s="70"/>
      <c r="H281" s="70"/>
      <c r="I281" s="70"/>
      <c r="J281" s="70"/>
      <c r="K281" s="70"/>
      <c r="L281" s="70"/>
      <c r="M281" s="70"/>
      <c r="N281" s="72"/>
      <c r="O281" s="72"/>
    </row>
    <row r="282" s="65" customFormat="1" ht="13.5" spans="1:15">
      <c r="A282" s="66"/>
      <c r="E282" s="72" t="s">
        <v>357</v>
      </c>
      <c r="F282" s="70"/>
      <c r="G282" s="70"/>
      <c r="H282" s="70"/>
      <c r="I282" s="70"/>
      <c r="J282" s="70"/>
      <c r="K282" s="70"/>
      <c r="L282" s="70"/>
      <c r="M282" s="70"/>
      <c r="N282" s="72"/>
      <c r="O282" s="72"/>
    </row>
    <row r="283" s="65" customFormat="1" ht="13.5" spans="1:15">
      <c r="A283" s="66"/>
      <c r="E283" s="72" t="s">
        <v>358</v>
      </c>
      <c r="F283" s="70"/>
      <c r="G283" s="70"/>
      <c r="H283" s="70"/>
      <c r="I283" s="70"/>
      <c r="J283" s="70"/>
      <c r="K283" s="70"/>
      <c r="L283" s="70"/>
      <c r="M283" s="70"/>
      <c r="N283" s="72"/>
      <c r="O283" s="72"/>
    </row>
    <row r="284" s="65" customFormat="1" ht="13.5" spans="1:15">
      <c r="A284" s="66"/>
      <c r="E284" s="72" t="s">
        <v>359</v>
      </c>
      <c r="F284" s="70"/>
      <c r="G284" s="70"/>
      <c r="H284" s="70"/>
      <c r="I284" s="70"/>
      <c r="J284" s="70"/>
      <c r="K284" s="70"/>
      <c r="L284" s="70"/>
      <c r="M284" s="70"/>
      <c r="N284" s="72"/>
      <c r="O284" s="72"/>
    </row>
    <row r="285" s="65" customFormat="1" ht="13.5" spans="1:15">
      <c r="A285" s="66"/>
      <c r="E285" s="72" t="s">
        <v>360</v>
      </c>
      <c r="F285" s="70"/>
      <c r="G285" s="70"/>
      <c r="H285" s="70"/>
      <c r="I285" s="70"/>
      <c r="J285" s="70"/>
      <c r="K285" s="70"/>
      <c r="L285" s="70"/>
      <c r="M285" s="70"/>
      <c r="N285" s="72"/>
      <c r="O285" s="72"/>
    </row>
    <row r="286" s="65" customFormat="1" ht="13.5" spans="1:15">
      <c r="A286" s="66"/>
      <c r="E286" s="72" t="s">
        <v>361</v>
      </c>
      <c r="F286" s="70"/>
      <c r="G286" s="70"/>
      <c r="H286" s="70"/>
      <c r="I286" s="70"/>
      <c r="J286" s="70"/>
      <c r="K286" s="70"/>
      <c r="L286" s="70"/>
      <c r="M286" s="70"/>
      <c r="N286" s="72"/>
      <c r="O286" s="72"/>
    </row>
    <row r="287" s="65" customFormat="1" ht="13.5" spans="1:15">
      <c r="A287" s="66"/>
      <c r="E287" s="72" t="s">
        <v>362</v>
      </c>
      <c r="F287" s="70"/>
      <c r="G287" s="70"/>
      <c r="H287" s="70"/>
      <c r="I287" s="70"/>
      <c r="J287" s="70"/>
      <c r="K287" s="70"/>
      <c r="L287" s="70"/>
      <c r="M287" s="70"/>
      <c r="N287" s="72"/>
      <c r="O287" s="72"/>
    </row>
    <row r="288" s="65" customFormat="1" ht="13.5" spans="1:15">
      <c r="A288" s="66"/>
      <c r="E288" s="72" t="s">
        <v>363</v>
      </c>
      <c r="F288" s="70"/>
      <c r="G288" s="70"/>
      <c r="H288" s="70"/>
      <c r="I288" s="70"/>
      <c r="J288" s="70"/>
      <c r="K288" s="70"/>
      <c r="L288" s="70"/>
      <c r="M288" s="70"/>
      <c r="N288" s="72"/>
      <c r="O288" s="72"/>
    </row>
    <row r="289" s="65" customFormat="1" ht="13.5" spans="1:15">
      <c r="A289" s="66"/>
      <c r="E289" s="72" t="s">
        <v>364</v>
      </c>
      <c r="F289" s="70"/>
      <c r="G289" s="70"/>
      <c r="H289" s="70"/>
      <c r="I289" s="70"/>
      <c r="J289" s="70"/>
      <c r="K289" s="70"/>
      <c r="L289" s="70"/>
      <c r="M289" s="70"/>
      <c r="N289" s="72"/>
      <c r="O289" s="72"/>
    </row>
    <row r="290" s="65" customFormat="1" ht="13.5" spans="1:15">
      <c r="A290" s="66"/>
      <c r="E290" s="72" t="s">
        <v>365</v>
      </c>
      <c r="F290" s="70"/>
      <c r="G290" s="70"/>
      <c r="H290" s="70"/>
      <c r="I290" s="70"/>
      <c r="J290" s="70"/>
      <c r="K290" s="70"/>
      <c r="L290" s="70"/>
      <c r="M290" s="70"/>
      <c r="N290" s="72"/>
      <c r="O290" s="72"/>
    </row>
    <row r="291" s="65" customFormat="1" ht="13.5" spans="1:15">
      <c r="A291" s="66"/>
      <c r="E291" s="72" t="s">
        <v>366</v>
      </c>
      <c r="F291" s="70"/>
      <c r="G291" s="70"/>
      <c r="H291" s="70"/>
      <c r="I291" s="70"/>
      <c r="J291" s="70"/>
      <c r="K291" s="70"/>
      <c r="L291" s="70"/>
      <c r="M291" s="70"/>
      <c r="N291" s="72"/>
      <c r="O291" s="72"/>
    </row>
    <row r="292" s="65" customFormat="1" ht="13.5" spans="1:15">
      <c r="A292" s="66"/>
      <c r="E292" s="72" t="s">
        <v>367</v>
      </c>
      <c r="F292" s="70"/>
      <c r="G292" s="70"/>
      <c r="H292" s="70"/>
      <c r="I292" s="70"/>
      <c r="J292" s="70"/>
      <c r="K292" s="70"/>
      <c r="L292" s="70"/>
      <c r="M292" s="70"/>
      <c r="N292" s="72"/>
      <c r="O292" s="72"/>
    </row>
    <row r="293" s="65" customFormat="1" ht="13.5" spans="1:15">
      <c r="A293" s="66"/>
      <c r="E293" s="72" t="s">
        <v>368</v>
      </c>
      <c r="F293" s="70"/>
      <c r="G293" s="70"/>
      <c r="H293" s="70"/>
      <c r="I293" s="70"/>
      <c r="J293" s="70"/>
      <c r="K293" s="70"/>
      <c r="L293" s="70"/>
      <c r="M293" s="70"/>
      <c r="N293" s="72"/>
      <c r="O293" s="72"/>
    </row>
    <row r="294" s="65" customFormat="1" ht="13.5" spans="1:15">
      <c r="A294" s="66"/>
      <c r="E294" s="72" t="s">
        <v>369</v>
      </c>
      <c r="F294" s="70"/>
      <c r="G294" s="70"/>
      <c r="H294" s="70"/>
      <c r="I294" s="70"/>
      <c r="J294" s="70"/>
      <c r="K294" s="70"/>
      <c r="L294" s="70"/>
      <c r="M294" s="70"/>
      <c r="N294" s="72"/>
      <c r="O294" s="72"/>
    </row>
    <row r="295" s="65" customFormat="1" ht="13.5" spans="1:15">
      <c r="A295" s="66"/>
      <c r="E295" s="72" t="s">
        <v>370</v>
      </c>
      <c r="F295" s="70"/>
      <c r="G295" s="70"/>
      <c r="H295" s="70"/>
      <c r="I295" s="70"/>
      <c r="J295" s="70"/>
      <c r="K295" s="70"/>
      <c r="L295" s="70"/>
      <c r="M295" s="70"/>
      <c r="N295" s="72"/>
      <c r="O295" s="72"/>
    </row>
    <row r="296" s="65" customFormat="1" ht="13.5" spans="1:15">
      <c r="A296" s="66"/>
      <c r="E296" s="72" t="s">
        <v>371</v>
      </c>
      <c r="F296" s="70"/>
      <c r="G296" s="70"/>
      <c r="H296" s="70"/>
      <c r="I296" s="70"/>
      <c r="J296" s="70"/>
      <c r="K296" s="70"/>
      <c r="L296" s="70"/>
      <c r="M296" s="70"/>
      <c r="N296" s="72"/>
      <c r="O296" s="72"/>
    </row>
    <row r="297" s="65" customFormat="1" ht="13.5" spans="1:15">
      <c r="A297" s="66"/>
      <c r="E297" s="72" t="s">
        <v>372</v>
      </c>
      <c r="F297" s="70"/>
      <c r="G297" s="70"/>
      <c r="H297" s="70"/>
      <c r="I297" s="70"/>
      <c r="J297" s="70"/>
      <c r="K297" s="70"/>
      <c r="L297" s="70"/>
      <c r="M297" s="70"/>
      <c r="N297" s="72"/>
      <c r="O297" s="72"/>
    </row>
    <row r="298" s="65" customFormat="1" ht="13.5" spans="1:15">
      <c r="A298" s="66"/>
      <c r="E298" s="72" t="s">
        <v>373</v>
      </c>
      <c r="F298" s="70"/>
      <c r="G298" s="70"/>
      <c r="H298" s="70"/>
      <c r="I298" s="70"/>
      <c r="J298" s="70"/>
      <c r="K298" s="70"/>
      <c r="L298" s="70"/>
      <c r="M298" s="70"/>
      <c r="N298" s="72"/>
      <c r="O298" s="72"/>
    </row>
    <row r="299" s="65" customFormat="1" ht="13.5" spans="1:15">
      <c r="A299" s="66"/>
      <c r="E299" s="72" t="s">
        <v>374</v>
      </c>
      <c r="F299" s="70"/>
      <c r="G299" s="70"/>
      <c r="H299" s="70"/>
      <c r="I299" s="70"/>
      <c r="J299" s="70"/>
      <c r="K299" s="70"/>
      <c r="L299" s="70"/>
      <c r="M299" s="70"/>
      <c r="N299" s="72"/>
      <c r="O299" s="72"/>
    </row>
    <row r="300" s="65" customFormat="1" ht="13.5" spans="1:15">
      <c r="A300" s="66"/>
      <c r="E300" s="72" t="s">
        <v>375</v>
      </c>
      <c r="F300" s="70"/>
      <c r="G300" s="70"/>
      <c r="H300" s="70"/>
      <c r="I300" s="70"/>
      <c r="J300" s="70"/>
      <c r="K300" s="70"/>
      <c r="L300" s="70"/>
      <c r="M300" s="70"/>
      <c r="N300" s="72"/>
      <c r="O300" s="72"/>
    </row>
    <row r="301" s="65" customFormat="1" ht="13.5" spans="1:15">
      <c r="A301" s="66"/>
      <c r="E301" s="72" t="s">
        <v>376</v>
      </c>
      <c r="F301" s="70"/>
      <c r="G301" s="70"/>
      <c r="H301" s="70"/>
      <c r="I301" s="70"/>
      <c r="J301" s="70"/>
      <c r="K301" s="70"/>
      <c r="L301" s="70"/>
      <c r="M301" s="70"/>
      <c r="N301" s="72"/>
      <c r="O301" s="72"/>
    </row>
    <row r="302" s="65" customFormat="1" ht="13.5" spans="1:15">
      <c r="A302" s="66"/>
      <c r="E302" s="72" t="s">
        <v>377</v>
      </c>
      <c r="F302" s="70"/>
      <c r="G302" s="70"/>
      <c r="H302" s="70"/>
      <c r="I302" s="70"/>
      <c r="J302" s="70"/>
      <c r="K302" s="70"/>
      <c r="L302" s="70"/>
      <c r="M302" s="70"/>
      <c r="N302" s="72"/>
      <c r="O302" s="72"/>
    </row>
    <row r="303" s="65" customFormat="1" ht="13.5" spans="1:15">
      <c r="A303" s="66"/>
      <c r="E303" s="72" t="s">
        <v>378</v>
      </c>
      <c r="F303" s="70"/>
      <c r="G303" s="70"/>
      <c r="H303" s="70"/>
      <c r="I303" s="70"/>
      <c r="J303" s="70"/>
      <c r="K303" s="70"/>
      <c r="L303" s="70"/>
      <c r="M303" s="70"/>
      <c r="N303" s="72"/>
      <c r="O303" s="72"/>
    </row>
    <row r="304" s="65" customFormat="1" ht="13.5" spans="1:15">
      <c r="A304" s="66"/>
      <c r="E304" s="72" t="s">
        <v>379</v>
      </c>
      <c r="F304" s="70"/>
      <c r="G304" s="70"/>
      <c r="H304" s="70"/>
      <c r="I304" s="70"/>
      <c r="J304" s="70"/>
      <c r="K304" s="70"/>
      <c r="L304" s="70"/>
      <c r="M304" s="70"/>
      <c r="N304" s="72"/>
      <c r="O304" s="72"/>
    </row>
    <row r="305" s="65" customFormat="1" ht="13.5" spans="1:15">
      <c r="A305" s="66"/>
      <c r="E305" s="72" t="s">
        <v>380</v>
      </c>
      <c r="F305" s="70"/>
      <c r="G305" s="70"/>
      <c r="H305" s="70"/>
      <c r="I305" s="70"/>
      <c r="J305" s="70"/>
      <c r="K305" s="70"/>
      <c r="L305" s="70"/>
      <c r="M305" s="70"/>
      <c r="N305" s="72"/>
      <c r="O305" s="72"/>
    </row>
    <row r="306" s="65" customFormat="1" ht="13.5" spans="1:15">
      <c r="A306" s="66"/>
      <c r="E306" s="72" t="s">
        <v>381</v>
      </c>
      <c r="F306" s="70"/>
      <c r="G306" s="70"/>
      <c r="H306" s="70"/>
      <c r="I306" s="70"/>
      <c r="J306" s="70"/>
      <c r="K306" s="70"/>
      <c r="L306" s="70"/>
      <c r="M306" s="70"/>
      <c r="N306" s="72"/>
      <c r="O306" s="72"/>
    </row>
    <row r="307" s="65" customFormat="1" ht="13.5" spans="1:15">
      <c r="A307" s="66"/>
      <c r="E307" s="72" t="s">
        <v>382</v>
      </c>
      <c r="F307" s="70"/>
      <c r="G307" s="70"/>
      <c r="H307" s="70"/>
      <c r="I307" s="70"/>
      <c r="J307" s="70"/>
      <c r="K307" s="70"/>
      <c r="L307" s="70"/>
      <c r="M307" s="70"/>
      <c r="N307" s="72"/>
      <c r="O307" s="72"/>
    </row>
    <row r="308" s="65" customFormat="1" ht="13.5" spans="1:15">
      <c r="A308" s="66"/>
      <c r="E308" s="72" t="s">
        <v>383</v>
      </c>
      <c r="F308" s="70"/>
      <c r="G308" s="70"/>
      <c r="H308" s="70"/>
      <c r="I308" s="70"/>
      <c r="J308" s="70"/>
      <c r="K308" s="70"/>
      <c r="L308" s="70"/>
      <c r="M308" s="70"/>
      <c r="N308" s="72"/>
      <c r="O308" s="72"/>
    </row>
    <row r="309" s="65" customFormat="1" ht="13.5" spans="1:15">
      <c r="A309" s="66"/>
      <c r="E309" s="72" t="s">
        <v>384</v>
      </c>
      <c r="F309" s="70"/>
      <c r="G309" s="70"/>
      <c r="H309" s="70"/>
      <c r="I309" s="70"/>
      <c r="J309" s="70"/>
      <c r="K309" s="70"/>
      <c r="L309" s="70"/>
      <c r="M309" s="70"/>
      <c r="N309" s="72"/>
      <c r="O309" s="72"/>
    </row>
    <row r="310" s="65" customFormat="1" ht="13.5" spans="1:15">
      <c r="A310" s="66"/>
      <c r="E310" s="72" t="s">
        <v>385</v>
      </c>
      <c r="F310" s="70"/>
      <c r="G310" s="70"/>
      <c r="H310" s="70"/>
      <c r="I310" s="70"/>
      <c r="J310" s="70"/>
      <c r="K310" s="70"/>
      <c r="L310" s="70"/>
      <c r="M310" s="70"/>
      <c r="N310" s="72"/>
      <c r="O310" s="72"/>
    </row>
    <row r="311" s="65" customFormat="1" ht="13.5" spans="1:15">
      <c r="A311" s="66"/>
      <c r="E311" s="72" t="s">
        <v>386</v>
      </c>
      <c r="F311" s="70"/>
      <c r="G311" s="70"/>
      <c r="H311" s="70"/>
      <c r="I311" s="70"/>
      <c r="J311" s="70"/>
      <c r="K311" s="70"/>
      <c r="L311" s="70"/>
      <c r="M311" s="70"/>
      <c r="N311" s="72"/>
      <c r="O311" s="72"/>
    </row>
    <row r="312" s="65" customFormat="1" ht="13.5" spans="1:15">
      <c r="A312" s="66"/>
      <c r="E312" s="72" t="s">
        <v>387</v>
      </c>
      <c r="F312" s="70"/>
      <c r="G312" s="70"/>
      <c r="H312" s="70"/>
      <c r="I312" s="70"/>
      <c r="J312" s="70"/>
      <c r="K312" s="70"/>
      <c r="L312" s="70"/>
      <c r="M312" s="70"/>
      <c r="N312" s="72"/>
      <c r="O312" s="72"/>
    </row>
    <row r="313" s="65" customFormat="1" ht="13.5" spans="1:15">
      <c r="A313" s="66"/>
      <c r="E313" s="72" t="s">
        <v>388</v>
      </c>
      <c r="F313" s="70"/>
      <c r="G313" s="70"/>
      <c r="H313" s="70"/>
      <c r="I313" s="70"/>
      <c r="J313" s="70"/>
      <c r="K313" s="70"/>
      <c r="L313" s="70"/>
      <c r="M313" s="70"/>
      <c r="N313" s="72"/>
      <c r="O313" s="72"/>
    </row>
    <row r="314" s="65" customFormat="1" ht="13.5" spans="1:15">
      <c r="A314" s="66"/>
      <c r="E314" s="72" t="s">
        <v>389</v>
      </c>
      <c r="F314" s="70"/>
      <c r="G314" s="70"/>
      <c r="H314" s="70"/>
      <c r="I314" s="70"/>
      <c r="J314" s="70"/>
      <c r="K314" s="70"/>
      <c r="L314" s="70"/>
      <c r="M314" s="70"/>
      <c r="N314" s="72"/>
      <c r="O314" s="72"/>
    </row>
    <row r="315" s="65" customFormat="1" ht="13.5" spans="1:15">
      <c r="A315" s="66"/>
      <c r="E315" s="72" t="s">
        <v>390</v>
      </c>
      <c r="F315" s="70"/>
      <c r="G315" s="70"/>
      <c r="H315" s="70"/>
      <c r="I315" s="70"/>
      <c r="J315" s="70"/>
      <c r="K315" s="70"/>
      <c r="L315" s="70"/>
      <c r="M315" s="70"/>
      <c r="N315" s="72"/>
      <c r="O315" s="72"/>
    </row>
    <row r="316" s="65" customFormat="1" ht="13.5" spans="1:15">
      <c r="A316" s="66"/>
      <c r="E316" s="72" t="s">
        <v>391</v>
      </c>
      <c r="F316" s="70"/>
      <c r="G316" s="70"/>
      <c r="H316" s="70"/>
      <c r="I316" s="70"/>
      <c r="J316" s="70"/>
      <c r="K316" s="70"/>
      <c r="L316" s="70"/>
      <c r="M316" s="70"/>
      <c r="N316" s="72"/>
      <c r="O316" s="72"/>
    </row>
    <row r="317" s="65" customFormat="1" ht="13.5" spans="1:15">
      <c r="A317" s="66"/>
      <c r="E317" s="72" t="s">
        <v>392</v>
      </c>
      <c r="F317" s="70"/>
      <c r="G317" s="70"/>
      <c r="H317" s="70"/>
      <c r="I317" s="70"/>
      <c r="J317" s="70"/>
      <c r="K317" s="70"/>
      <c r="L317" s="70"/>
      <c r="M317" s="70"/>
      <c r="N317" s="72"/>
      <c r="O317" s="72"/>
    </row>
    <row r="318" s="65" customFormat="1" ht="13.5" spans="1:15">
      <c r="A318" s="66"/>
      <c r="E318" s="72" t="s">
        <v>393</v>
      </c>
      <c r="F318" s="70"/>
      <c r="G318" s="70"/>
      <c r="H318" s="70"/>
      <c r="I318" s="70"/>
      <c r="J318" s="70"/>
      <c r="K318" s="70"/>
      <c r="L318" s="70"/>
      <c r="M318" s="70"/>
      <c r="N318" s="72"/>
      <c r="O318" s="72"/>
    </row>
    <row r="319" s="65" customFormat="1" ht="13.5" spans="1:15">
      <c r="A319" s="66"/>
      <c r="E319" s="72" t="s">
        <v>394</v>
      </c>
      <c r="F319" s="70"/>
      <c r="G319" s="70"/>
      <c r="H319" s="70"/>
      <c r="I319" s="70"/>
      <c r="J319" s="70"/>
      <c r="K319" s="70"/>
      <c r="L319" s="70"/>
      <c r="M319" s="70"/>
      <c r="N319" s="72"/>
      <c r="O319" s="72"/>
    </row>
    <row r="320" s="65" customFormat="1" ht="13.5" spans="1:15">
      <c r="A320" s="66"/>
      <c r="E320" s="72" t="s">
        <v>395</v>
      </c>
      <c r="F320" s="70"/>
      <c r="G320" s="70"/>
      <c r="H320" s="70"/>
      <c r="I320" s="70"/>
      <c r="J320" s="70"/>
      <c r="K320" s="70"/>
      <c r="L320" s="70"/>
      <c r="M320" s="70"/>
      <c r="N320" s="72"/>
      <c r="O320" s="72"/>
    </row>
    <row r="321" s="65" customFormat="1" ht="13.5" spans="1:15">
      <c r="A321" s="66"/>
      <c r="E321" s="72" t="s">
        <v>396</v>
      </c>
      <c r="F321" s="70"/>
      <c r="G321" s="70"/>
      <c r="H321" s="70"/>
      <c r="I321" s="70"/>
      <c r="J321" s="70"/>
      <c r="K321" s="70"/>
      <c r="L321" s="70"/>
      <c r="M321" s="70"/>
      <c r="N321" s="72"/>
      <c r="O321" s="72"/>
    </row>
    <row r="322" s="65" customFormat="1" ht="13.5" spans="1:15">
      <c r="A322" s="66"/>
      <c r="E322" s="72" t="s">
        <v>397</v>
      </c>
      <c r="F322" s="70"/>
      <c r="G322" s="70"/>
      <c r="H322" s="70"/>
      <c r="I322" s="70"/>
      <c r="J322" s="70"/>
      <c r="K322" s="70"/>
      <c r="L322" s="70"/>
      <c r="M322" s="70"/>
      <c r="N322" s="72"/>
      <c r="O322" s="72"/>
    </row>
    <row r="323" s="65" customFormat="1" ht="13.5" spans="1:15">
      <c r="A323" s="66"/>
      <c r="E323" s="72" t="s">
        <v>398</v>
      </c>
      <c r="F323" s="70"/>
      <c r="G323" s="70"/>
      <c r="H323" s="70"/>
      <c r="I323" s="70"/>
      <c r="J323" s="70"/>
      <c r="K323" s="70"/>
      <c r="L323" s="70"/>
      <c r="M323" s="70"/>
      <c r="N323" s="72"/>
      <c r="O323" s="72"/>
    </row>
    <row r="324" s="65" customFormat="1" ht="13.5" spans="1:15">
      <c r="A324" s="66"/>
      <c r="E324" s="72" t="s">
        <v>399</v>
      </c>
      <c r="F324" s="70"/>
      <c r="G324" s="70"/>
      <c r="H324" s="70"/>
      <c r="I324" s="70"/>
      <c r="J324" s="70"/>
      <c r="K324" s="70"/>
      <c r="L324" s="70"/>
      <c r="M324" s="70"/>
      <c r="N324" s="72"/>
      <c r="O324" s="72"/>
    </row>
    <row r="325" s="65" customFormat="1" ht="13.5" spans="1:15">
      <c r="A325" s="66"/>
      <c r="E325" s="72" t="s">
        <v>400</v>
      </c>
      <c r="F325" s="70"/>
      <c r="G325" s="70"/>
      <c r="H325" s="70"/>
      <c r="I325" s="70"/>
      <c r="J325" s="70"/>
      <c r="K325" s="70"/>
      <c r="L325" s="70"/>
      <c r="M325" s="70"/>
      <c r="N325" s="72"/>
      <c r="O325" s="72"/>
    </row>
    <row r="326" s="65" customFormat="1" ht="13.5" spans="1:15">
      <c r="A326" s="66"/>
      <c r="E326" s="72" t="s">
        <v>401</v>
      </c>
      <c r="F326" s="70"/>
      <c r="G326" s="70"/>
      <c r="H326" s="70"/>
      <c r="I326" s="70"/>
      <c r="J326" s="70"/>
      <c r="K326" s="70"/>
      <c r="L326" s="70"/>
      <c r="M326" s="70"/>
      <c r="N326" s="72"/>
      <c r="O326" s="72"/>
    </row>
    <row r="327" s="65" customFormat="1" ht="13.5" spans="1:15">
      <c r="A327" s="66"/>
      <c r="E327" s="72" t="s">
        <v>402</v>
      </c>
      <c r="F327" s="70"/>
      <c r="G327" s="70"/>
      <c r="H327" s="70"/>
      <c r="I327" s="70"/>
      <c r="J327" s="70"/>
      <c r="K327" s="70"/>
      <c r="L327" s="70"/>
      <c r="M327" s="70"/>
      <c r="N327" s="72"/>
      <c r="O327" s="72"/>
    </row>
    <row r="328" s="65" customFormat="1" ht="13.5" spans="1:15">
      <c r="A328" s="66"/>
      <c r="E328" s="72" t="s">
        <v>403</v>
      </c>
      <c r="F328" s="70"/>
      <c r="G328" s="70"/>
      <c r="H328" s="70"/>
      <c r="I328" s="70"/>
      <c r="J328" s="70"/>
      <c r="K328" s="70"/>
      <c r="L328" s="70"/>
      <c r="M328" s="70"/>
      <c r="N328" s="72"/>
      <c r="O328" s="72"/>
    </row>
    <row r="329" s="65" customFormat="1" ht="13.5" spans="1:15">
      <c r="A329" s="66"/>
      <c r="E329" s="72" t="s">
        <v>404</v>
      </c>
      <c r="F329" s="70"/>
      <c r="G329" s="70"/>
      <c r="H329" s="70"/>
      <c r="I329" s="70"/>
      <c r="J329" s="70"/>
      <c r="K329" s="70"/>
      <c r="L329" s="70"/>
      <c r="M329" s="70"/>
      <c r="N329" s="72"/>
      <c r="O329" s="72"/>
    </row>
    <row r="330" s="65" customFormat="1" ht="13.5" spans="1:15">
      <c r="A330" s="66"/>
      <c r="E330" s="72" t="s">
        <v>405</v>
      </c>
      <c r="F330" s="70"/>
      <c r="G330" s="70"/>
      <c r="H330" s="70"/>
      <c r="I330" s="70"/>
      <c r="J330" s="70"/>
      <c r="K330" s="70"/>
      <c r="L330" s="70"/>
      <c r="M330" s="70"/>
      <c r="N330" s="72"/>
      <c r="O330" s="72"/>
    </row>
    <row r="331" s="65" customFormat="1" ht="13.5" spans="1:15">
      <c r="A331" s="66"/>
      <c r="E331" s="72" t="s">
        <v>406</v>
      </c>
      <c r="F331" s="70"/>
      <c r="G331" s="70"/>
      <c r="H331" s="70"/>
      <c r="I331" s="70"/>
      <c r="J331" s="70"/>
      <c r="K331" s="70"/>
      <c r="L331" s="70"/>
      <c r="M331" s="70"/>
      <c r="N331" s="72"/>
      <c r="O331" s="72"/>
    </row>
    <row r="332" s="65" customFormat="1" ht="13.5" spans="1:15">
      <c r="A332" s="66"/>
      <c r="E332" s="72" t="s">
        <v>407</v>
      </c>
      <c r="F332" s="70"/>
      <c r="G332" s="70"/>
      <c r="H332" s="70"/>
      <c r="I332" s="70"/>
      <c r="J332" s="70"/>
      <c r="K332" s="70"/>
      <c r="L332" s="70"/>
      <c r="M332" s="70"/>
      <c r="N332" s="72"/>
      <c r="O332" s="72"/>
    </row>
    <row r="333" s="65" customFormat="1" ht="13.5" spans="1:15">
      <c r="A333" s="66"/>
      <c r="E333" s="72" t="s">
        <v>408</v>
      </c>
      <c r="F333" s="70"/>
      <c r="G333" s="70"/>
      <c r="H333" s="70"/>
      <c r="I333" s="70"/>
      <c r="J333" s="70"/>
      <c r="K333" s="70"/>
      <c r="L333" s="70"/>
      <c r="M333" s="70"/>
      <c r="N333" s="72"/>
      <c r="O333" s="72"/>
    </row>
    <row r="334" s="65" customFormat="1" ht="13.5" spans="1:15">
      <c r="A334" s="66"/>
      <c r="E334" s="72" t="s">
        <v>409</v>
      </c>
      <c r="F334" s="70"/>
      <c r="G334" s="70"/>
      <c r="H334" s="70"/>
      <c r="I334" s="70"/>
      <c r="J334" s="70"/>
      <c r="K334" s="70"/>
      <c r="L334" s="70"/>
      <c r="M334" s="70"/>
      <c r="N334" s="72"/>
      <c r="O334" s="72"/>
    </row>
    <row r="335" s="65" customFormat="1" ht="13.5" spans="1:15">
      <c r="A335" s="66"/>
      <c r="E335" s="72" t="s">
        <v>410</v>
      </c>
      <c r="F335" s="70"/>
      <c r="G335" s="70"/>
      <c r="H335" s="70"/>
      <c r="I335" s="70"/>
      <c r="J335" s="70"/>
      <c r="K335" s="70"/>
      <c r="L335" s="70"/>
      <c r="M335" s="70"/>
      <c r="N335" s="72"/>
      <c r="O335" s="72"/>
    </row>
    <row r="336" s="65" customFormat="1" ht="13.5" spans="1:15">
      <c r="A336" s="66"/>
      <c r="E336" s="72" t="s">
        <v>411</v>
      </c>
      <c r="F336" s="70"/>
      <c r="G336" s="70"/>
      <c r="H336" s="70"/>
      <c r="I336" s="70"/>
      <c r="J336" s="70"/>
      <c r="K336" s="70"/>
      <c r="L336" s="70"/>
      <c r="M336" s="70"/>
      <c r="N336" s="72"/>
      <c r="O336" s="72"/>
    </row>
    <row r="337" s="65" customFormat="1" ht="13.5" spans="1:15">
      <c r="A337" s="66"/>
      <c r="E337" s="72" t="s">
        <v>412</v>
      </c>
      <c r="F337" s="70"/>
      <c r="G337" s="70"/>
      <c r="H337" s="70"/>
      <c r="I337" s="70"/>
      <c r="J337" s="70"/>
      <c r="K337" s="70"/>
      <c r="L337" s="70"/>
      <c r="M337" s="70"/>
      <c r="N337" s="72"/>
      <c r="O337" s="72"/>
    </row>
    <row r="338" s="65" customFormat="1" ht="13.5" spans="1:15">
      <c r="A338" s="66"/>
      <c r="E338" s="72" t="s">
        <v>413</v>
      </c>
      <c r="F338" s="70"/>
      <c r="G338" s="70"/>
      <c r="H338" s="70"/>
      <c r="I338" s="70"/>
      <c r="J338" s="70"/>
      <c r="K338" s="70"/>
      <c r="L338" s="70"/>
      <c r="M338" s="70"/>
      <c r="N338" s="72"/>
      <c r="O338" s="72"/>
    </row>
    <row r="339" s="65" customFormat="1" ht="13.5" spans="1:15">
      <c r="A339" s="66"/>
      <c r="E339" s="72" t="s">
        <v>414</v>
      </c>
      <c r="F339" s="70"/>
      <c r="G339" s="70"/>
      <c r="H339" s="70"/>
      <c r="I339" s="70"/>
      <c r="J339" s="70"/>
      <c r="K339" s="70"/>
      <c r="L339" s="70"/>
      <c r="M339" s="70"/>
      <c r="N339" s="72"/>
      <c r="O339" s="72"/>
    </row>
    <row r="340" s="65" customFormat="1" ht="13.5" spans="1:15">
      <c r="A340" s="66"/>
      <c r="E340" s="72" t="s">
        <v>415</v>
      </c>
      <c r="F340" s="70"/>
      <c r="G340" s="70"/>
      <c r="H340" s="70"/>
      <c r="I340" s="70"/>
      <c r="J340" s="70"/>
      <c r="K340" s="70"/>
      <c r="L340" s="70"/>
      <c r="M340" s="70"/>
      <c r="N340" s="72"/>
      <c r="O340" s="72"/>
    </row>
    <row r="341" s="65" customFormat="1" ht="13.5" spans="1:15">
      <c r="A341" s="66"/>
      <c r="E341" s="72" t="s">
        <v>416</v>
      </c>
      <c r="F341" s="70"/>
      <c r="G341" s="70"/>
      <c r="H341" s="70"/>
      <c r="I341" s="70"/>
      <c r="J341" s="70"/>
      <c r="K341" s="70"/>
      <c r="L341" s="70"/>
      <c r="M341" s="70"/>
      <c r="N341" s="72"/>
      <c r="O341" s="72"/>
    </row>
    <row r="342" s="65" customFormat="1" ht="13.5" spans="1:15">
      <c r="A342" s="66"/>
      <c r="E342" s="72" t="s">
        <v>417</v>
      </c>
      <c r="F342" s="70"/>
      <c r="G342" s="70"/>
      <c r="H342" s="70"/>
      <c r="I342" s="70"/>
      <c r="J342" s="70"/>
      <c r="K342" s="70"/>
      <c r="L342" s="70"/>
      <c r="M342" s="70"/>
      <c r="N342" s="72"/>
      <c r="O342" s="72"/>
    </row>
    <row r="343" s="65" customFormat="1" ht="13.5" spans="1:15">
      <c r="A343" s="66"/>
      <c r="E343" s="72" t="s">
        <v>418</v>
      </c>
      <c r="F343" s="70"/>
      <c r="G343" s="70"/>
      <c r="H343" s="70"/>
      <c r="I343" s="70"/>
      <c r="J343" s="70"/>
      <c r="K343" s="70"/>
      <c r="L343" s="70"/>
      <c r="M343" s="70"/>
      <c r="N343" s="72"/>
      <c r="O343" s="72"/>
    </row>
    <row r="344" s="65" customFormat="1" ht="13.5" spans="1:15">
      <c r="A344" s="66"/>
      <c r="E344" s="72" t="s">
        <v>419</v>
      </c>
      <c r="F344" s="70"/>
      <c r="G344" s="70"/>
      <c r="H344" s="70"/>
      <c r="I344" s="70"/>
      <c r="J344" s="70"/>
      <c r="K344" s="70"/>
      <c r="L344" s="70"/>
      <c r="M344" s="70"/>
      <c r="N344" s="72"/>
      <c r="O344" s="72"/>
    </row>
    <row r="345" s="65" customFormat="1" ht="13.5" spans="1:15">
      <c r="A345" s="66"/>
      <c r="E345" s="72" t="s">
        <v>420</v>
      </c>
      <c r="F345" s="70"/>
      <c r="G345" s="70"/>
      <c r="H345" s="70"/>
      <c r="I345" s="70"/>
      <c r="J345" s="70"/>
      <c r="K345" s="70"/>
      <c r="L345" s="70"/>
      <c r="M345" s="70"/>
      <c r="N345" s="72"/>
      <c r="O345" s="72"/>
    </row>
    <row r="346" s="65" customFormat="1" ht="13.5" spans="1:15">
      <c r="A346" s="66"/>
      <c r="E346" s="72" t="s">
        <v>421</v>
      </c>
      <c r="F346" s="70"/>
      <c r="G346" s="70"/>
      <c r="H346" s="70"/>
      <c r="I346" s="70"/>
      <c r="J346" s="70"/>
      <c r="K346" s="70"/>
      <c r="L346" s="70"/>
      <c r="M346" s="70"/>
      <c r="N346" s="72"/>
      <c r="O346" s="72"/>
    </row>
    <row r="347" s="65" customFormat="1" ht="13.5" spans="1:15">
      <c r="A347" s="66"/>
      <c r="E347" s="72" t="s">
        <v>422</v>
      </c>
      <c r="F347" s="70"/>
      <c r="G347" s="70"/>
      <c r="H347" s="70"/>
      <c r="I347" s="70"/>
      <c r="J347" s="70"/>
      <c r="K347" s="70"/>
      <c r="L347" s="70"/>
      <c r="M347" s="70"/>
      <c r="N347" s="72"/>
      <c r="O347" s="72"/>
    </row>
    <row r="348" s="65" customFormat="1" ht="13.5" spans="1:15">
      <c r="A348" s="66"/>
      <c r="E348" s="72" t="s">
        <v>423</v>
      </c>
      <c r="F348" s="70"/>
      <c r="G348" s="70"/>
      <c r="H348" s="70"/>
      <c r="I348" s="70"/>
      <c r="J348" s="70"/>
      <c r="K348" s="70"/>
      <c r="L348" s="70"/>
      <c r="M348" s="70"/>
      <c r="N348" s="72"/>
      <c r="O348" s="72"/>
    </row>
    <row r="349" s="65" customFormat="1" ht="13.5" spans="1:15">
      <c r="A349" s="66"/>
      <c r="E349" s="72" t="s">
        <v>424</v>
      </c>
      <c r="F349" s="70"/>
      <c r="G349" s="70"/>
      <c r="H349" s="70"/>
      <c r="I349" s="70"/>
      <c r="J349" s="70"/>
      <c r="K349" s="70"/>
      <c r="L349" s="70"/>
      <c r="M349" s="70"/>
      <c r="N349" s="72"/>
      <c r="O349" s="72"/>
    </row>
    <row r="350" s="65" customFormat="1" ht="13.5" spans="1:15">
      <c r="A350" s="66"/>
      <c r="E350" s="72" t="s">
        <v>425</v>
      </c>
      <c r="F350" s="70"/>
      <c r="G350" s="70"/>
      <c r="H350" s="70"/>
      <c r="I350" s="70"/>
      <c r="J350" s="70"/>
      <c r="K350" s="70"/>
      <c r="L350" s="70"/>
      <c r="M350" s="70"/>
      <c r="N350" s="72"/>
      <c r="O350" s="72"/>
    </row>
    <row r="351" s="65" customFormat="1" ht="13.5" spans="1:15">
      <c r="A351" s="66"/>
      <c r="E351" s="72" t="s">
        <v>426</v>
      </c>
      <c r="F351" s="70"/>
      <c r="G351" s="70"/>
      <c r="H351" s="70"/>
      <c r="I351" s="70"/>
      <c r="J351" s="70"/>
      <c r="K351" s="70"/>
      <c r="L351" s="70"/>
      <c r="M351" s="70"/>
      <c r="N351" s="72"/>
      <c r="O351" s="72"/>
    </row>
    <row r="352" s="65" customFormat="1" ht="13.5" spans="1:15">
      <c r="A352" s="66"/>
      <c r="E352" s="72" t="s">
        <v>427</v>
      </c>
      <c r="F352" s="70"/>
      <c r="G352" s="70"/>
      <c r="H352" s="70"/>
      <c r="I352" s="70"/>
      <c r="J352" s="70"/>
      <c r="K352" s="70"/>
      <c r="L352" s="70"/>
      <c r="M352" s="70"/>
      <c r="N352" s="72"/>
      <c r="O352" s="72"/>
    </row>
    <row r="353" s="65" customFormat="1" ht="13.5" spans="1:15">
      <c r="A353" s="66"/>
      <c r="E353" s="72" t="s">
        <v>428</v>
      </c>
      <c r="F353" s="70"/>
      <c r="G353" s="70"/>
      <c r="H353" s="70"/>
      <c r="I353" s="70"/>
      <c r="J353" s="70"/>
      <c r="K353" s="70"/>
      <c r="L353" s="70"/>
      <c r="M353" s="70"/>
      <c r="N353" s="72"/>
      <c r="O353" s="72"/>
    </row>
    <row r="354" s="65" customFormat="1" ht="13.5" spans="1:15">
      <c r="A354" s="66"/>
      <c r="E354" s="72" t="s">
        <v>429</v>
      </c>
      <c r="F354" s="70"/>
      <c r="G354" s="70"/>
      <c r="H354" s="70"/>
      <c r="I354" s="70"/>
      <c r="J354" s="70"/>
      <c r="K354" s="70"/>
      <c r="L354" s="70"/>
      <c r="M354" s="70"/>
      <c r="N354" s="72"/>
      <c r="O354" s="72"/>
    </row>
    <row r="355" s="65" customFormat="1" ht="13.5" spans="1:15">
      <c r="A355" s="66"/>
      <c r="E355" s="72" t="s">
        <v>430</v>
      </c>
      <c r="F355" s="70"/>
      <c r="G355" s="70"/>
      <c r="H355" s="70"/>
      <c r="I355" s="70"/>
      <c r="J355" s="70"/>
      <c r="K355" s="70"/>
      <c r="L355" s="70"/>
      <c r="M355" s="70"/>
      <c r="N355" s="72"/>
      <c r="O355" s="72"/>
    </row>
    <row r="356" s="65" customFormat="1" ht="13.5" spans="1:15">
      <c r="A356" s="66"/>
      <c r="E356" s="72" t="s">
        <v>431</v>
      </c>
      <c r="F356" s="70"/>
      <c r="G356" s="70"/>
      <c r="H356" s="70"/>
      <c r="I356" s="70"/>
      <c r="J356" s="70"/>
      <c r="K356" s="70"/>
      <c r="L356" s="70"/>
      <c r="M356" s="70"/>
      <c r="N356" s="72"/>
      <c r="O356" s="72"/>
    </row>
    <row r="357" s="65" customFormat="1" ht="13.5" spans="1:15">
      <c r="A357" s="66"/>
      <c r="E357" s="72" t="s">
        <v>432</v>
      </c>
      <c r="F357" s="70"/>
      <c r="G357" s="70"/>
      <c r="H357" s="70"/>
      <c r="I357" s="70"/>
      <c r="J357" s="70"/>
      <c r="K357" s="70"/>
      <c r="L357" s="70"/>
      <c r="M357" s="70"/>
      <c r="N357" s="72"/>
      <c r="O357" s="72"/>
    </row>
    <row r="358" s="65" customFormat="1" ht="13.5" spans="1:15">
      <c r="A358" s="66"/>
      <c r="E358" s="72" t="s">
        <v>433</v>
      </c>
      <c r="F358" s="70"/>
      <c r="G358" s="70"/>
      <c r="H358" s="70"/>
      <c r="I358" s="70"/>
      <c r="J358" s="70"/>
      <c r="K358" s="70"/>
      <c r="L358" s="70"/>
      <c r="M358" s="70"/>
      <c r="N358" s="72"/>
      <c r="O358" s="72"/>
    </row>
    <row r="359" s="65" customFormat="1" ht="13.5" spans="1:15">
      <c r="A359" s="66"/>
      <c r="E359" s="72" t="s">
        <v>434</v>
      </c>
      <c r="F359" s="70"/>
      <c r="G359" s="70"/>
      <c r="H359" s="70"/>
      <c r="I359" s="70"/>
      <c r="J359" s="70"/>
      <c r="K359" s="70"/>
      <c r="L359" s="70"/>
      <c r="M359" s="70"/>
      <c r="N359" s="72"/>
      <c r="O359" s="72"/>
    </row>
    <row r="360" s="65" customFormat="1" ht="13.5" spans="1:15">
      <c r="A360" s="66"/>
      <c r="E360" s="72" t="s">
        <v>435</v>
      </c>
      <c r="F360" s="70"/>
      <c r="G360" s="70"/>
      <c r="H360" s="70"/>
      <c r="I360" s="70"/>
      <c r="J360" s="70"/>
      <c r="K360" s="70"/>
      <c r="L360" s="70"/>
      <c r="M360" s="70"/>
      <c r="N360" s="72"/>
      <c r="O360" s="72"/>
    </row>
    <row r="361" s="65" customFormat="1" ht="13.5" spans="1:15">
      <c r="A361" s="66"/>
      <c r="E361" s="72" t="s">
        <v>436</v>
      </c>
      <c r="F361" s="70"/>
      <c r="G361" s="70"/>
      <c r="H361" s="70"/>
      <c r="I361" s="70"/>
      <c r="J361" s="70"/>
      <c r="K361" s="70"/>
      <c r="L361" s="70"/>
      <c r="M361" s="70"/>
      <c r="N361" s="72"/>
      <c r="O361" s="72"/>
    </row>
    <row r="362" s="65" customFormat="1" ht="13.5" spans="1:15">
      <c r="A362" s="66"/>
      <c r="E362" s="72" t="s">
        <v>437</v>
      </c>
      <c r="F362" s="70"/>
      <c r="G362" s="70"/>
      <c r="H362" s="70"/>
      <c r="I362" s="70"/>
      <c r="J362" s="70"/>
      <c r="K362" s="70"/>
      <c r="L362" s="70"/>
      <c r="M362" s="70"/>
      <c r="N362" s="72"/>
      <c r="O362" s="72"/>
    </row>
    <row r="363" s="65" customFormat="1" ht="13.5" spans="1:15">
      <c r="A363" s="66"/>
      <c r="E363" s="72" t="s">
        <v>438</v>
      </c>
      <c r="F363" s="70"/>
      <c r="G363" s="70"/>
      <c r="H363" s="70"/>
      <c r="I363" s="70"/>
      <c r="J363" s="70"/>
      <c r="K363" s="70"/>
      <c r="L363" s="70"/>
      <c r="M363" s="70"/>
      <c r="N363" s="72"/>
      <c r="O363" s="72"/>
    </row>
    <row r="364" s="65" customFormat="1" ht="13.5" spans="1:15">
      <c r="A364" s="66"/>
      <c r="E364" s="72" t="s">
        <v>439</v>
      </c>
      <c r="F364" s="70"/>
      <c r="G364" s="70"/>
      <c r="H364" s="70"/>
      <c r="I364" s="70"/>
      <c r="J364" s="70"/>
      <c r="K364" s="70"/>
      <c r="L364" s="70"/>
      <c r="M364" s="70"/>
      <c r="N364" s="72"/>
      <c r="O364" s="72"/>
    </row>
    <row r="365" s="65" customFormat="1" ht="13.5" spans="1:15">
      <c r="A365" s="66"/>
      <c r="E365" s="72" t="s">
        <v>440</v>
      </c>
      <c r="F365" s="70"/>
      <c r="G365" s="70"/>
      <c r="H365" s="70"/>
      <c r="I365" s="70"/>
      <c r="J365" s="70"/>
      <c r="K365" s="70"/>
      <c r="L365" s="70"/>
      <c r="M365" s="70"/>
      <c r="N365" s="72"/>
      <c r="O365" s="72"/>
    </row>
    <row r="366" s="65" customFormat="1" ht="13.5" spans="1:15">
      <c r="A366" s="66"/>
      <c r="E366" s="72" t="s">
        <v>441</v>
      </c>
      <c r="F366" s="70"/>
      <c r="G366" s="70"/>
      <c r="H366" s="70"/>
      <c r="I366" s="70"/>
      <c r="J366" s="70"/>
      <c r="K366" s="70"/>
      <c r="L366" s="70"/>
      <c r="M366" s="70"/>
      <c r="N366" s="72"/>
      <c r="O366" s="72"/>
    </row>
    <row r="367" s="65" customFormat="1" ht="13.5" spans="1:15">
      <c r="A367" s="66"/>
      <c r="E367" s="72" t="s">
        <v>442</v>
      </c>
      <c r="F367" s="70"/>
      <c r="G367" s="70"/>
      <c r="H367" s="70"/>
      <c r="I367" s="70"/>
      <c r="J367" s="70"/>
      <c r="K367" s="70"/>
      <c r="L367" s="70"/>
      <c r="M367" s="70"/>
      <c r="N367" s="72"/>
      <c r="O367" s="72"/>
    </row>
    <row r="368" s="65" customFormat="1" ht="13.5" spans="1:15">
      <c r="A368" s="66"/>
      <c r="E368" s="72" t="s">
        <v>443</v>
      </c>
      <c r="F368" s="70"/>
      <c r="G368" s="70"/>
      <c r="H368" s="70"/>
      <c r="I368" s="70"/>
      <c r="J368" s="70"/>
      <c r="K368" s="70"/>
      <c r="L368" s="70"/>
      <c r="M368" s="70"/>
      <c r="N368" s="72"/>
      <c r="O368" s="72"/>
    </row>
    <row r="369" s="65" customFormat="1" ht="13.5" spans="1:15">
      <c r="A369" s="66"/>
      <c r="E369" s="72" t="s">
        <v>444</v>
      </c>
      <c r="F369" s="70"/>
      <c r="G369" s="70"/>
      <c r="H369" s="70"/>
      <c r="I369" s="70"/>
      <c r="J369" s="70"/>
      <c r="K369" s="70"/>
      <c r="L369" s="70"/>
      <c r="M369" s="70"/>
      <c r="N369" s="72"/>
      <c r="O369" s="72"/>
    </row>
    <row r="370" s="65" customFormat="1" ht="13.5" spans="1:15">
      <c r="A370" s="66"/>
      <c r="E370" s="72" t="s">
        <v>445</v>
      </c>
      <c r="F370" s="70"/>
      <c r="G370" s="70"/>
      <c r="H370" s="70"/>
      <c r="I370" s="70"/>
      <c r="J370" s="70"/>
      <c r="K370" s="70"/>
      <c r="L370" s="70"/>
      <c r="M370" s="70"/>
      <c r="N370" s="72"/>
      <c r="O370" s="72"/>
    </row>
    <row r="371" s="65" customFormat="1" ht="13.5" spans="1:15">
      <c r="A371" s="66"/>
      <c r="E371" s="72" t="s">
        <v>446</v>
      </c>
      <c r="F371" s="70"/>
      <c r="G371" s="70"/>
      <c r="H371" s="70"/>
      <c r="I371" s="70"/>
      <c r="J371" s="70"/>
      <c r="K371" s="70"/>
      <c r="L371" s="70"/>
      <c r="M371" s="70"/>
      <c r="N371" s="72"/>
      <c r="O371" s="72"/>
    </row>
    <row r="372" s="65" customFormat="1" ht="13.5" spans="1:15">
      <c r="A372" s="66"/>
      <c r="E372" s="72" t="s">
        <v>447</v>
      </c>
      <c r="F372" s="70"/>
      <c r="G372" s="70"/>
      <c r="H372" s="70"/>
      <c r="I372" s="70"/>
      <c r="J372" s="70"/>
      <c r="K372" s="70"/>
      <c r="L372" s="70"/>
      <c r="M372" s="70"/>
      <c r="N372" s="72"/>
      <c r="O372" s="72"/>
    </row>
    <row r="373" s="65" customFormat="1" ht="13.5" spans="1:15">
      <c r="A373" s="66"/>
      <c r="E373" s="72" t="s">
        <v>448</v>
      </c>
      <c r="F373" s="70"/>
      <c r="G373" s="70"/>
      <c r="H373" s="70"/>
      <c r="I373" s="70"/>
      <c r="J373" s="70"/>
      <c r="K373" s="70"/>
      <c r="L373" s="70"/>
      <c r="M373" s="70"/>
      <c r="N373" s="72"/>
      <c r="O373" s="72"/>
    </row>
    <row r="374" s="65" customFormat="1" ht="13.5" spans="1:15">
      <c r="A374" s="66"/>
      <c r="E374" s="72" t="s">
        <v>449</v>
      </c>
      <c r="F374" s="70"/>
      <c r="G374" s="70"/>
      <c r="H374" s="70"/>
      <c r="I374" s="70"/>
      <c r="J374" s="70"/>
      <c r="K374" s="70"/>
      <c r="L374" s="70"/>
      <c r="M374" s="70"/>
      <c r="N374" s="72"/>
      <c r="O374" s="72"/>
    </row>
    <row r="375" s="65" customFormat="1" ht="13.5" spans="1:15">
      <c r="A375" s="66"/>
      <c r="E375" s="72" t="s">
        <v>450</v>
      </c>
      <c r="F375" s="70"/>
      <c r="G375" s="70"/>
      <c r="H375" s="70"/>
      <c r="I375" s="70"/>
      <c r="J375" s="70"/>
      <c r="K375" s="70"/>
      <c r="L375" s="70"/>
      <c r="M375" s="70"/>
      <c r="N375" s="72"/>
      <c r="O375" s="72"/>
    </row>
    <row r="376" s="65" customFormat="1" ht="13.5" spans="1:15">
      <c r="A376" s="66"/>
      <c r="E376" s="72" t="s">
        <v>451</v>
      </c>
      <c r="F376" s="70"/>
      <c r="G376" s="70"/>
      <c r="H376" s="70"/>
      <c r="I376" s="70"/>
      <c r="J376" s="70"/>
      <c r="K376" s="70"/>
      <c r="L376" s="70"/>
      <c r="M376" s="70"/>
      <c r="N376" s="72"/>
      <c r="O376" s="72"/>
    </row>
    <row r="377" s="65" customFormat="1" ht="13.5" spans="1:15">
      <c r="A377" s="66"/>
      <c r="E377" s="72" t="s">
        <v>452</v>
      </c>
      <c r="F377" s="70"/>
      <c r="G377" s="70"/>
      <c r="H377" s="70"/>
      <c r="I377" s="70"/>
      <c r="J377" s="70"/>
      <c r="K377" s="70"/>
      <c r="L377" s="70"/>
      <c r="M377" s="70"/>
      <c r="N377" s="72"/>
      <c r="O377" s="72"/>
    </row>
    <row r="378" s="65" customFormat="1" ht="13.5" spans="1:15">
      <c r="A378" s="66"/>
      <c r="E378" s="72" t="s">
        <v>453</v>
      </c>
      <c r="F378" s="70"/>
      <c r="G378" s="70"/>
      <c r="H378" s="70"/>
      <c r="I378" s="70"/>
      <c r="J378" s="70"/>
      <c r="K378" s="70"/>
      <c r="L378" s="70"/>
      <c r="M378" s="70"/>
      <c r="N378" s="72"/>
      <c r="O378" s="72"/>
    </row>
    <row r="379" s="65" customFormat="1" ht="13.5" spans="1:15">
      <c r="A379" s="66"/>
      <c r="E379" s="72" t="s">
        <v>454</v>
      </c>
      <c r="F379" s="70"/>
      <c r="G379" s="70"/>
      <c r="H379" s="70"/>
      <c r="I379" s="70"/>
      <c r="J379" s="70"/>
      <c r="K379" s="70"/>
      <c r="L379" s="70"/>
      <c r="M379" s="70"/>
      <c r="N379" s="72"/>
      <c r="O379" s="72"/>
    </row>
    <row r="380" s="65" customFormat="1" ht="13.5" spans="1:15">
      <c r="A380" s="66"/>
      <c r="E380" s="72" t="s">
        <v>455</v>
      </c>
      <c r="F380" s="70"/>
      <c r="G380" s="70"/>
      <c r="H380" s="70"/>
      <c r="I380" s="70"/>
      <c r="J380" s="70"/>
      <c r="K380" s="70"/>
      <c r="L380" s="70"/>
      <c r="M380" s="70"/>
      <c r="N380" s="72"/>
      <c r="O380" s="72"/>
    </row>
    <row r="381" s="65" customFormat="1" ht="13.5" spans="1:15">
      <c r="A381" s="66"/>
      <c r="E381" s="72" t="s">
        <v>456</v>
      </c>
      <c r="F381" s="70"/>
      <c r="G381" s="70"/>
      <c r="H381" s="70"/>
      <c r="I381" s="70"/>
      <c r="J381" s="70"/>
      <c r="K381" s="70"/>
      <c r="L381" s="70"/>
      <c r="M381" s="70"/>
      <c r="N381" s="72"/>
      <c r="O381" s="72"/>
    </row>
    <row r="382" s="65" customFormat="1" ht="13.5" spans="1:13">
      <c r="A382" s="66"/>
      <c r="E382" s="72" t="s">
        <v>457</v>
      </c>
      <c r="F382" s="18"/>
      <c r="G382" s="18"/>
      <c r="H382" s="18"/>
      <c r="I382" s="18"/>
      <c r="J382" s="18"/>
      <c r="K382" s="18"/>
      <c r="L382" s="18"/>
      <c r="M382" s="18"/>
    </row>
    <row r="383" s="65" customFormat="1" ht="13.5" spans="1:13">
      <c r="A383" s="66"/>
      <c r="E383" s="72" t="s">
        <v>458</v>
      </c>
      <c r="F383" s="18"/>
      <c r="G383" s="18"/>
      <c r="H383" s="18"/>
      <c r="I383" s="18"/>
      <c r="J383" s="18"/>
      <c r="K383" s="18"/>
      <c r="L383" s="18"/>
      <c r="M383" s="18"/>
    </row>
    <row r="384" s="65" customFormat="1" ht="13.5" spans="1:13">
      <c r="A384" s="66"/>
      <c r="E384" s="72" t="s">
        <v>459</v>
      </c>
      <c r="F384" s="18"/>
      <c r="G384" s="18"/>
      <c r="H384" s="18"/>
      <c r="I384" s="18"/>
      <c r="J384" s="18"/>
      <c r="K384" s="18"/>
      <c r="L384" s="18"/>
      <c r="M384" s="18"/>
    </row>
    <row r="385" s="65" customFormat="1" ht="13.5" spans="1:13">
      <c r="A385" s="66"/>
      <c r="E385" s="72" t="s">
        <v>460</v>
      </c>
      <c r="F385" s="18"/>
      <c r="G385" s="18"/>
      <c r="H385" s="18"/>
      <c r="I385" s="18"/>
      <c r="J385" s="18"/>
      <c r="K385" s="18"/>
      <c r="L385" s="18"/>
      <c r="M385" s="18"/>
    </row>
    <row r="386" s="65" customFormat="1" ht="13.5" spans="1:13">
      <c r="A386" s="66"/>
      <c r="E386" s="72" t="s">
        <v>461</v>
      </c>
      <c r="F386" s="18"/>
      <c r="G386" s="18"/>
      <c r="H386" s="18"/>
      <c r="I386" s="18"/>
      <c r="J386" s="18"/>
      <c r="K386" s="18"/>
      <c r="L386" s="18"/>
      <c r="M386" s="18"/>
    </row>
    <row r="387" s="65" customFormat="1" ht="13.5" spans="1:13">
      <c r="A387" s="66"/>
      <c r="E387" s="72" t="s">
        <v>462</v>
      </c>
      <c r="F387" s="18"/>
      <c r="G387" s="18"/>
      <c r="H387" s="18"/>
      <c r="I387" s="18"/>
      <c r="J387" s="18"/>
      <c r="K387" s="18"/>
      <c r="L387" s="18"/>
      <c r="M387" s="18"/>
    </row>
    <row r="388" s="65" customFormat="1" ht="13.5" spans="1:13">
      <c r="A388" s="66"/>
      <c r="E388" s="72" t="s">
        <v>463</v>
      </c>
      <c r="F388" s="18"/>
      <c r="G388" s="18"/>
      <c r="H388" s="18"/>
      <c r="I388" s="18"/>
      <c r="J388" s="18"/>
      <c r="K388" s="18"/>
      <c r="L388" s="18"/>
      <c r="M388" s="18"/>
    </row>
    <row r="389" s="65" customFormat="1" ht="13.5" spans="1:13">
      <c r="A389" s="66"/>
      <c r="E389" s="72" t="s">
        <v>464</v>
      </c>
      <c r="F389" s="18"/>
      <c r="G389" s="18"/>
      <c r="H389" s="18"/>
      <c r="I389" s="18"/>
      <c r="J389" s="18"/>
      <c r="K389" s="18"/>
      <c r="L389" s="18"/>
      <c r="M389" s="18"/>
    </row>
    <row r="390" s="65" customFormat="1" ht="13.5" spans="1:13">
      <c r="A390" s="66"/>
      <c r="E390" s="72" t="s">
        <v>465</v>
      </c>
      <c r="F390" s="18"/>
      <c r="G390" s="18"/>
      <c r="H390" s="18"/>
      <c r="I390" s="18"/>
      <c r="J390" s="18"/>
      <c r="K390" s="18"/>
      <c r="L390" s="18"/>
      <c r="M390" s="18"/>
    </row>
    <row r="391" s="65" customFormat="1" ht="13.5" spans="1:13">
      <c r="A391" s="66"/>
      <c r="E391" s="72" t="s">
        <v>466</v>
      </c>
      <c r="F391" s="18"/>
      <c r="G391" s="18"/>
      <c r="H391" s="18"/>
      <c r="I391" s="18"/>
      <c r="J391" s="18"/>
      <c r="K391" s="18"/>
      <c r="L391" s="18"/>
      <c r="M391" s="18"/>
    </row>
    <row r="392" s="65" customFormat="1" ht="13.5" spans="1:13">
      <c r="A392" s="66"/>
      <c r="E392" s="72" t="s">
        <v>467</v>
      </c>
      <c r="F392" s="18"/>
      <c r="G392" s="18"/>
      <c r="H392" s="18"/>
      <c r="I392" s="18"/>
      <c r="J392" s="18"/>
      <c r="K392" s="18"/>
      <c r="L392" s="18"/>
      <c r="M392" s="18"/>
    </row>
    <row r="393" s="65" customFormat="1" ht="13.5" spans="1:13">
      <c r="A393" s="66"/>
      <c r="E393" s="72" t="s">
        <v>468</v>
      </c>
      <c r="F393" s="18"/>
      <c r="G393" s="18"/>
      <c r="H393" s="18"/>
      <c r="I393" s="18"/>
      <c r="J393" s="18"/>
      <c r="K393" s="18"/>
      <c r="L393" s="18"/>
      <c r="M393" s="18"/>
    </row>
    <row r="394" s="65" customFormat="1" ht="13.5" spans="1:13">
      <c r="A394" s="66"/>
      <c r="E394" s="72" t="s">
        <v>469</v>
      </c>
      <c r="F394" s="18"/>
      <c r="G394" s="18"/>
      <c r="H394" s="18"/>
      <c r="I394" s="18"/>
      <c r="J394" s="18"/>
      <c r="K394" s="18"/>
      <c r="L394" s="18"/>
      <c r="M394" s="18"/>
    </row>
    <row r="395" s="65" customFormat="1" ht="13.5" spans="1:13">
      <c r="A395" s="66"/>
      <c r="E395" s="72" t="s">
        <v>470</v>
      </c>
      <c r="F395" s="18"/>
      <c r="G395" s="18"/>
      <c r="H395" s="18"/>
      <c r="I395" s="18"/>
      <c r="J395" s="18"/>
      <c r="K395" s="18"/>
      <c r="L395" s="18"/>
      <c r="M395" s="18"/>
    </row>
    <row r="396" s="65" customFormat="1" ht="13.5" spans="1:13">
      <c r="A396" s="66"/>
      <c r="E396" s="72" t="s">
        <v>471</v>
      </c>
      <c r="F396" s="18"/>
      <c r="G396" s="18"/>
      <c r="H396" s="18"/>
      <c r="I396" s="18"/>
      <c r="J396" s="18"/>
      <c r="K396" s="18"/>
      <c r="L396" s="18"/>
      <c r="M396" s="18"/>
    </row>
    <row r="397" s="65" customFormat="1" ht="13.5" spans="1:13">
      <c r="A397" s="66"/>
      <c r="E397" s="72" t="s">
        <v>472</v>
      </c>
      <c r="F397" s="18"/>
      <c r="G397" s="18"/>
      <c r="H397" s="18"/>
      <c r="I397" s="18"/>
      <c r="J397" s="18"/>
      <c r="K397" s="18"/>
      <c r="L397" s="18"/>
      <c r="M397" s="18"/>
    </row>
    <row r="398" s="65" customFormat="1" ht="13.5" spans="1:13">
      <c r="A398" s="66"/>
      <c r="E398" s="72" t="s">
        <v>473</v>
      </c>
      <c r="F398" s="18"/>
      <c r="G398" s="18"/>
      <c r="H398" s="18"/>
      <c r="I398" s="18"/>
      <c r="J398" s="18"/>
      <c r="K398" s="18"/>
      <c r="L398" s="18"/>
      <c r="M398" s="18"/>
    </row>
    <row r="399" s="65" customFormat="1" ht="13.5" spans="1:13">
      <c r="A399" s="66"/>
      <c r="E399" s="72" t="s">
        <v>474</v>
      </c>
      <c r="F399" s="18"/>
      <c r="G399" s="18"/>
      <c r="H399" s="18"/>
      <c r="I399" s="18"/>
      <c r="J399" s="18"/>
      <c r="K399" s="18"/>
      <c r="L399" s="18"/>
      <c r="M399" s="18"/>
    </row>
    <row r="400" s="65" customFormat="1" ht="13.5" spans="1:13">
      <c r="A400" s="66"/>
      <c r="E400" s="72" t="s">
        <v>475</v>
      </c>
      <c r="F400" s="18"/>
      <c r="G400" s="18"/>
      <c r="H400" s="18"/>
      <c r="I400" s="18"/>
      <c r="J400" s="18"/>
      <c r="K400" s="18"/>
      <c r="L400" s="18"/>
      <c r="M400" s="18"/>
    </row>
    <row r="401" s="65" customFormat="1" ht="13.5" spans="1:13">
      <c r="A401" s="66"/>
      <c r="E401" s="72" t="s">
        <v>476</v>
      </c>
      <c r="F401" s="18"/>
      <c r="G401" s="18"/>
      <c r="H401" s="18"/>
      <c r="I401" s="18"/>
      <c r="J401" s="18"/>
      <c r="K401" s="18"/>
      <c r="L401" s="18"/>
      <c r="M401" s="18"/>
    </row>
    <row r="402" s="65" customFormat="1" ht="13.5" spans="1:13">
      <c r="A402" s="66"/>
      <c r="E402" s="72" t="s">
        <v>477</v>
      </c>
      <c r="F402" s="18"/>
      <c r="G402" s="18"/>
      <c r="H402" s="18"/>
      <c r="I402" s="18"/>
      <c r="J402" s="18"/>
      <c r="K402" s="18"/>
      <c r="L402" s="18"/>
      <c r="M402" s="18"/>
    </row>
    <row r="403" s="65" customFormat="1" ht="13.5" spans="1:13">
      <c r="A403" s="66"/>
      <c r="E403" s="72" t="s">
        <v>478</v>
      </c>
      <c r="F403" s="18"/>
      <c r="G403" s="18"/>
      <c r="H403" s="18"/>
      <c r="I403" s="18"/>
      <c r="J403" s="18"/>
      <c r="K403" s="18"/>
      <c r="L403" s="18"/>
      <c r="M403" s="18"/>
    </row>
    <row r="404" s="65" customFormat="1" ht="13.5" spans="1:13">
      <c r="A404" s="66"/>
      <c r="E404" s="72" t="s">
        <v>479</v>
      </c>
      <c r="F404" s="18"/>
      <c r="G404" s="18"/>
      <c r="H404" s="18"/>
      <c r="I404" s="18"/>
      <c r="J404" s="18"/>
      <c r="K404" s="18"/>
      <c r="L404" s="18"/>
      <c r="M404" s="18"/>
    </row>
    <row r="405" s="65" customFormat="1" ht="13.5" spans="1:13">
      <c r="A405" s="66"/>
      <c r="E405" s="72" t="s">
        <v>480</v>
      </c>
      <c r="F405" s="18"/>
      <c r="G405" s="18"/>
      <c r="H405" s="18"/>
      <c r="I405" s="18"/>
      <c r="J405" s="18"/>
      <c r="K405" s="18"/>
      <c r="L405" s="18"/>
      <c r="M405" s="18"/>
    </row>
    <row r="406" s="65" customFormat="1" ht="13.5" spans="1:13">
      <c r="A406" s="66"/>
      <c r="E406" s="72" t="s">
        <v>481</v>
      </c>
      <c r="F406" s="18"/>
      <c r="G406" s="18"/>
      <c r="H406" s="18"/>
      <c r="I406" s="18"/>
      <c r="J406" s="18"/>
      <c r="K406" s="18"/>
      <c r="L406" s="18"/>
      <c r="M406" s="18"/>
    </row>
    <row r="407" s="65" customFormat="1" ht="13.5" spans="1:13">
      <c r="A407" s="66"/>
      <c r="E407" s="72" t="s">
        <v>482</v>
      </c>
      <c r="F407" s="18"/>
      <c r="G407" s="18"/>
      <c r="H407" s="18"/>
      <c r="I407" s="18"/>
      <c r="J407" s="18"/>
      <c r="K407" s="18"/>
      <c r="L407" s="18"/>
      <c r="M407" s="18"/>
    </row>
    <row r="408" s="65" customFormat="1" ht="13.5" spans="1:13">
      <c r="A408" s="66"/>
      <c r="E408" s="72" t="s">
        <v>483</v>
      </c>
      <c r="F408" s="18"/>
      <c r="G408" s="18"/>
      <c r="H408" s="18"/>
      <c r="I408" s="18"/>
      <c r="J408" s="18"/>
      <c r="K408" s="18"/>
      <c r="L408" s="18"/>
      <c r="M408" s="18"/>
    </row>
    <row r="409" s="65" customFormat="1" ht="13.5" spans="1:13">
      <c r="A409" s="66"/>
      <c r="E409" s="72" t="s">
        <v>484</v>
      </c>
      <c r="F409" s="18"/>
      <c r="G409" s="18"/>
      <c r="H409" s="18"/>
      <c r="I409" s="18"/>
      <c r="J409" s="18"/>
      <c r="K409" s="18"/>
      <c r="L409" s="18"/>
      <c r="M409" s="18"/>
    </row>
    <row r="410" s="65" customFormat="1" ht="13.5" spans="1:13">
      <c r="A410" s="66"/>
      <c r="E410" s="72" t="s">
        <v>485</v>
      </c>
      <c r="F410" s="18"/>
      <c r="G410" s="18"/>
      <c r="H410" s="18"/>
      <c r="I410" s="18"/>
      <c r="J410" s="18"/>
      <c r="K410" s="18"/>
      <c r="L410" s="18"/>
      <c r="M410" s="18"/>
    </row>
    <row r="411" s="65" customFormat="1" ht="13.5" spans="1:13">
      <c r="A411" s="66"/>
      <c r="E411" s="72" t="s">
        <v>486</v>
      </c>
      <c r="F411" s="18"/>
      <c r="G411" s="18"/>
      <c r="H411" s="18"/>
      <c r="I411" s="18"/>
      <c r="J411" s="18"/>
      <c r="K411" s="18"/>
      <c r="L411" s="18"/>
      <c r="M411" s="18"/>
    </row>
    <row r="412" s="65" customFormat="1" ht="13.5" spans="1:13">
      <c r="A412" s="66"/>
      <c r="E412" s="72" t="s">
        <v>487</v>
      </c>
      <c r="F412" s="18"/>
      <c r="G412" s="18"/>
      <c r="H412" s="18"/>
      <c r="I412" s="18"/>
      <c r="J412" s="18"/>
      <c r="K412" s="18"/>
      <c r="L412" s="18"/>
      <c r="M412" s="18"/>
    </row>
    <row r="413" s="65" customFormat="1" ht="13.5" spans="1:13">
      <c r="A413" s="66"/>
      <c r="E413" s="72" t="s">
        <v>488</v>
      </c>
      <c r="F413" s="18"/>
      <c r="G413" s="18"/>
      <c r="H413" s="18"/>
      <c r="I413" s="18"/>
      <c r="J413" s="18"/>
      <c r="K413" s="18"/>
      <c r="L413" s="18"/>
      <c r="M413" s="18"/>
    </row>
    <row r="414" s="65" customFormat="1" ht="13.5" spans="1:13">
      <c r="A414" s="66"/>
      <c r="E414" s="72" t="s">
        <v>489</v>
      </c>
      <c r="F414" s="18"/>
      <c r="G414" s="18"/>
      <c r="H414" s="18"/>
      <c r="I414" s="18"/>
      <c r="J414" s="18"/>
      <c r="K414" s="18"/>
      <c r="L414" s="18"/>
      <c r="M414" s="18"/>
    </row>
    <row r="415" s="65" customFormat="1" ht="13.5" spans="1:13">
      <c r="A415" s="66"/>
      <c r="E415" s="72" t="s">
        <v>490</v>
      </c>
      <c r="F415" s="18"/>
      <c r="G415" s="18"/>
      <c r="H415" s="18"/>
      <c r="I415" s="18"/>
      <c r="J415" s="18"/>
      <c r="K415" s="18"/>
      <c r="L415" s="18"/>
      <c r="M415" s="18"/>
    </row>
    <row r="416" s="65" customFormat="1" ht="13.5" spans="1:13">
      <c r="A416" s="66"/>
      <c r="E416" s="72" t="s">
        <v>491</v>
      </c>
      <c r="F416" s="18"/>
      <c r="G416" s="18"/>
      <c r="H416" s="18"/>
      <c r="I416" s="18"/>
      <c r="J416" s="18"/>
      <c r="K416" s="18"/>
      <c r="L416" s="18"/>
      <c r="M416" s="18"/>
    </row>
    <row r="417" s="65" customFormat="1" ht="13.5" spans="1:13">
      <c r="A417" s="66"/>
      <c r="E417" s="72" t="s">
        <v>492</v>
      </c>
      <c r="F417" s="18"/>
      <c r="G417" s="18"/>
      <c r="H417" s="18"/>
      <c r="I417" s="18"/>
      <c r="J417" s="18"/>
      <c r="K417" s="18"/>
      <c r="L417" s="18"/>
      <c r="M417" s="18"/>
    </row>
    <row r="418" s="65" customFormat="1" ht="13.5" spans="1:13">
      <c r="A418" s="66"/>
      <c r="E418" s="72" t="s">
        <v>493</v>
      </c>
      <c r="F418" s="18"/>
      <c r="G418" s="18"/>
      <c r="H418" s="18"/>
      <c r="I418" s="18"/>
      <c r="J418" s="18"/>
      <c r="K418" s="18"/>
      <c r="L418" s="18"/>
      <c r="M418" s="18"/>
    </row>
    <row r="419" s="65" customFormat="1" ht="13.5" spans="1:13">
      <c r="A419" s="66"/>
      <c r="E419" s="72" t="s">
        <v>494</v>
      </c>
      <c r="F419" s="18"/>
      <c r="G419" s="18"/>
      <c r="H419" s="18"/>
      <c r="I419" s="18"/>
      <c r="J419" s="18"/>
      <c r="K419" s="18"/>
      <c r="L419" s="18"/>
      <c r="M419" s="18"/>
    </row>
    <row r="420" s="65" customFormat="1" ht="13.5" spans="1:13">
      <c r="A420" s="66"/>
      <c r="E420" s="72" t="s">
        <v>495</v>
      </c>
      <c r="F420" s="18"/>
      <c r="G420" s="18"/>
      <c r="H420" s="18"/>
      <c r="I420" s="18"/>
      <c r="J420" s="18"/>
      <c r="K420" s="18"/>
      <c r="L420" s="18"/>
      <c r="M420" s="18"/>
    </row>
    <row r="421" s="65" customFormat="1" ht="13.5" spans="1:13">
      <c r="A421" s="66"/>
      <c r="E421" s="72" t="s">
        <v>496</v>
      </c>
      <c r="F421" s="18"/>
      <c r="G421" s="18"/>
      <c r="H421" s="18"/>
      <c r="I421" s="18"/>
      <c r="J421" s="18"/>
      <c r="K421" s="18"/>
      <c r="L421" s="18"/>
      <c r="M421" s="18"/>
    </row>
    <row r="422" s="65" customFormat="1" ht="13.5" spans="1:13">
      <c r="A422" s="66"/>
      <c r="E422" s="72" t="s">
        <v>497</v>
      </c>
      <c r="F422" s="18"/>
      <c r="G422" s="18"/>
      <c r="H422" s="18"/>
      <c r="I422" s="18"/>
      <c r="J422" s="18"/>
      <c r="K422" s="18"/>
      <c r="L422" s="18"/>
      <c r="M422" s="18"/>
    </row>
    <row r="423" s="65" customFormat="1" ht="13.5" spans="1:13">
      <c r="A423" s="66"/>
      <c r="E423" s="72" t="s">
        <v>498</v>
      </c>
      <c r="F423" s="18"/>
      <c r="G423" s="18"/>
      <c r="H423" s="18"/>
      <c r="I423" s="18"/>
      <c r="J423" s="18"/>
      <c r="K423" s="18"/>
      <c r="L423" s="18"/>
      <c r="M423" s="18"/>
    </row>
    <row r="424" s="65" customFormat="1" ht="13.5" spans="1:13">
      <c r="A424" s="66"/>
      <c r="E424" s="72" t="s">
        <v>499</v>
      </c>
      <c r="F424" s="18"/>
      <c r="G424" s="18"/>
      <c r="H424" s="18"/>
      <c r="I424" s="18"/>
      <c r="J424" s="18"/>
      <c r="K424" s="18"/>
      <c r="L424" s="18"/>
      <c r="M424" s="18"/>
    </row>
    <row r="425" s="65" customFormat="1" ht="13.5" spans="1:13">
      <c r="A425" s="66"/>
      <c r="E425" s="72" t="s">
        <v>500</v>
      </c>
      <c r="F425" s="18"/>
      <c r="G425" s="18"/>
      <c r="H425" s="18"/>
      <c r="I425" s="18"/>
      <c r="J425" s="18"/>
      <c r="K425" s="18"/>
      <c r="L425" s="18"/>
      <c r="M425" s="18"/>
    </row>
    <row r="426" s="65" customFormat="1" ht="13.5" spans="1:13">
      <c r="A426" s="66"/>
      <c r="E426" s="72" t="s">
        <v>501</v>
      </c>
      <c r="F426" s="18"/>
      <c r="G426" s="18"/>
      <c r="H426" s="18"/>
      <c r="I426" s="18"/>
      <c r="J426" s="18"/>
      <c r="K426" s="18"/>
      <c r="L426" s="18"/>
      <c r="M426" s="18"/>
    </row>
    <row r="427" s="65" customFormat="1" ht="13.5" spans="1:13">
      <c r="A427" s="66"/>
      <c r="E427" s="72" t="s">
        <v>502</v>
      </c>
      <c r="F427" s="18"/>
      <c r="G427" s="18"/>
      <c r="H427" s="18"/>
      <c r="I427" s="18"/>
      <c r="J427" s="18"/>
      <c r="K427" s="18"/>
      <c r="L427" s="18"/>
      <c r="M427" s="18"/>
    </row>
    <row r="428" s="65" customFormat="1" ht="13.5" spans="1:13">
      <c r="A428" s="66"/>
      <c r="E428" s="72" t="s">
        <v>503</v>
      </c>
      <c r="F428" s="18"/>
      <c r="G428" s="18"/>
      <c r="H428" s="18"/>
      <c r="I428" s="18"/>
      <c r="J428" s="18"/>
      <c r="K428" s="18"/>
      <c r="L428" s="18"/>
      <c r="M428" s="18"/>
    </row>
    <row r="429" s="65" customFormat="1" ht="13.5" spans="1:13">
      <c r="A429" s="66"/>
      <c r="E429" s="72" t="s">
        <v>504</v>
      </c>
      <c r="F429" s="18"/>
      <c r="G429" s="18"/>
      <c r="H429" s="18"/>
      <c r="I429" s="18"/>
      <c r="J429" s="18"/>
      <c r="K429" s="18"/>
      <c r="L429" s="18"/>
      <c r="M429" s="18"/>
    </row>
    <row r="430" s="65" customFormat="1" ht="13.5" spans="1:13">
      <c r="A430" s="66"/>
      <c r="E430" s="72" t="s">
        <v>505</v>
      </c>
      <c r="F430" s="18"/>
      <c r="G430" s="18"/>
      <c r="H430" s="18"/>
      <c r="I430" s="18"/>
      <c r="J430" s="18"/>
      <c r="K430" s="18"/>
      <c r="L430" s="18"/>
      <c r="M430" s="18"/>
    </row>
    <row r="431" s="65" customFormat="1" ht="13.5" spans="1:13">
      <c r="A431" s="66"/>
      <c r="E431" s="72" t="s">
        <v>506</v>
      </c>
      <c r="F431" s="18"/>
      <c r="G431" s="18"/>
      <c r="H431" s="18"/>
      <c r="I431" s="18"/>
      <c r="J431" s="18"/>
      <c r="K431" s="18"/>
      <c r="L431" s="18"/>
      <c r="M431" s="18"/>
    </row>
    <row r="432" s="65" customFormat="1" ht="13.5" spans="1:13">
      <c r="A432" s="66"/>
      <c r="E432" s="72" t="s">
        <v>507</v>
      </c>
      <c r="F432" s="18"/>
      <c r="G432" s="18"/>
      <c r="H432" s="18"/>
      <c r="I432" s="18"/>
      <c r="J432" s="18"/>
      <c r="K432" s="18"/>
      <c r="L432" s="18"/>
      <c r="M432" s="18"/>
    </row>
    <row r="433" s="65" customFormat="1" ht="13.5" spans="1:13">
      <c r="A433" s="66"/>
      <c r="E433" s="72" t="s">
        <v>508</v>
      </c>
      <c r="F433" s="18"/>
      <c r="G433" s="18"/>
      <c r="H433" s="18"/>
      <c r="I433" s="18"/>
      <c r="J433" s="18"/>
      <c r="K433" s="18"/>
      <c r="L433" s="18"/>
      <c r="M433" s="18"/>
    </row>
    <row r="434" s="65" customFormat="1" ht="13.5" spans="1:13">
      <c r="A434" s="66"/>
      <c r="E434" s="72" t="s">
        <v>509</v>
      </c>
      <c r="F434" s="18"/>
      <c r="G434" s="18"/>
      <c r="H434" s="18"/>
      <c r="I434" s="18"/>
      <c r="J434" s="18"/>
      <c r="K434" s="18"/>
      <c r="L434" s="18"/>
      <c r="M434" s="18"/>
    </row>
    <row r="435" s="65" customFormat="1" ht="13.5" spans="1:13">
      <c r="A435" s="66"/>
      <c r="E435" s="72" t="s">
        <v>510</v>
      </c>
      <c r="F435" s="18"/>
      <c r="G435" s="18"/>
      <c r="H435" s="18"/>
      <c r="I435" s="18"/>
      <c r="J435" s="18"/>
      <c r="K435" s="18"/>
      <c r="L435" s="18"/>
      <c r="M435" s="18"/>
    </row>
    <row r="436" s="65" customFormat="1" ht="13.5" spans="1:13">
      <c r="A436" s="66"/>
      <c r="E436" s="72" t="s">
        <v>511</v>
      </c>
      <c r="F436" s="18"/>
      <c r="G436" s="18"/>
      <c r="H436" s="18"/>
      <c r="I436" s="18"/>
      <c r="J436" s="18"/>
      <c r="K436" s="18"/>
      <c r="L436" s="18"/>
      <c r="M436" s="18"/>
    </row>
    <row r="437" s="65" customFormat="1" ht="13.5" spans="1:13">
      <c r="A437" s="66"/>
      <c r="E437" s="72" t="s">
        <v>512</v>
      </c>
      <c r="F437" s="18"/>
      <c r="G437" s="18"/>
      <c r="H437" s="18"/>
      <c r="I437" s="18"/>
      <c r="J437" s="18"/>
      <c r="K437" s="18"/>
      <c r="L437" s="18"/>
      <c r="M437" s="18"/>
    </row>
    <row r="438" s="65" customFormat="1" ht="13.5" spans="1:13">
      <c r="A438" s="66"/>
      <c r="E438" s="72" t="s">
        <v>513</v>
      </c>
      <c r="F438" s="18"/>
      <c r="G438" s="18"/>
      <c r="H438" s="18"/>
      <c r="I438" s="18"/>
      <c r="J438" s="18"/>
      <c r="K438" s="18"/>
      <c r="L438" s="18"/>
      <c r="M438" s="18"/>
    </row>
    <row r="439" s="65" customFormat="1" ht="13.5" spans="1:13">
      <c r="A439" s="66"/>
      <c r="E439" s="72" t="s">
        <v>514</v>
      </c>
      <c r="F439" s="18"/>
      <c r="G439" s="18"/>
      <c r="H439" s="18"/>
      <c r="I439" s="18"/>
      <c r="J439" s="18"/>
      <c r="K439" s="18"/>
      <c r="L439" s="18"/>
      <c r="M439" s="18"/>
    </row>
    <row r="440" s="65" customFormat="1" ht="13.5" spans="1:13">
      <c r="A440" s="66"/>
      <c r="E440" s="72" t="s">
        <v>515</v>
      </c>
      <c r="F440" s="18"/>
      <c r="G440" s="18"/>
      <c r="H440" s="18"/>
      <c r="I440" s="18"/>
      <c r="J440" s="18"/>
      <c r="K440" s="18"/>
      <c r="L440" s="18"/>
      <c r="M440" s="18"/>
    </row>
    <row r="441" s="65" customFormat="1" ht="13.5" spans="1:13">
      <c r="A441" s="66"/>
      <c r="E441" s="72" t="s">
        <v>516</v>
      </c>
      <c r="F441" s="18"/>
      <c r="G441" s="18"/>
      <c r="H441" s="18"/>
      <c r="I441" s="18"/>
      <c r="J441" s="18"/>
      <c r="K441" s="18"/>
      <c r="L441" s="18"/>
      <c r="M441" s="18"/>
    </row>
    <row r="442" s="65" customFormat="1" ht="13.5" spans="1:13">
      <c r="A442" s="66"/>
      <c r="E442" s="72" t="s">
        <v>517</v>
      </c>
      <c r="F442" s="18"/>
      <c r="G442" s="18"/>
      <c r="H442" s="18"/>
      <c r="I442" s="18"/>
      <c r="J442" s="18"/>
      <c r="K442" s="18"/>
      <c r="L442" s="18"/>
      <c r="M442" s="18"/>
    </row>
    <row r="443" s="65" customFormat="1" ht="13.5" spans="1:13">
      <c r="A443" s="66"/>
      <c r="E443" s="72" t="s">
        <v>518</v>
      </c>
      <c r="F443" s="18"/>
      <c r="G443" s="18"/>
      <c r="H443" s="18"/>
      <c r="I443" s="18"/>
      <c r="J443" s="18"/>
      <c r="K443" s="18"/>
      <c r="L443" s="18"/>
      <c r="M443" s="18"/>
    </row>
    <row r="444" s="65" customFormat="1" ht="13.5" spans="1:13">
      <c r="A444" s="66"/>
      <c r="E444" s="72" t="s">
        <v>519</v>
      </c>
      <c r="F444" s="18"/>
      <c r="G444" s="18"/>
      <c r="H444" s="18"/>
      <c r="I444" s="18"/>
      <c r="J444" s="18"/>
      <c r="K444" s="18"/>
      <c r="L444" s="18"/>
      <c r="M444" s="18"/>
    </row>
    <row r="445" s="65" customFormat="1" ht="13.5" spans="1:13">
      <c r="A445" s="66"/>
      <c r="E445" s="72" t="s">
        <v>520</v>
      </c>
      <c r="F445" s="18"/>
      <c r="G445" s="18"/>
      <c r="H445" s="18"/>
      <c r="I445" s="18"/>
      <c r="J445" s="18"/>
      <c r="K445" s="18"/>
      <c r="L445" s="18"/>
      <c r="M445" s="18"/>
    </row>
    <row r="446" s="65" customFormat="1" ht="13.5" spans="1:13">
      <c r="A446" s="66"/>
      <c r="E446" s="72" t="s">
        <v>521</v>
      </c>
      <c r="F446" s="18"/>
      <c r="G446" s="18"/>
      <c r="H446" s="18"/>
      <c r="I446" s="18"/>
      <c r="J446" s="18"/>
      <c r="K446" s="18"/>
      <c r="L446" s="18"/>
      <c r="M446" s="18"/>
    </row>
    <row r="447" s="65" customFormat="1" ht="13.5" spans="1:13">
      <c r="A447" s="66"/>
      <c r="E447" s="72" t="s">
        <v>522</v>
      </c>
      <c r="F447" s="18"/>
      <c r="G447" s="18"/>
      <c r="H447" s="18"/>
      <c r="I447" s="18"/>
      <c r="J447" s="18"/>
      <c r="K447" s="18"/>
      <c r="L447" s="18"/>
      <c r="M447" s="18"/>
    </row>
    <row r="448" s="65" customFormat="1" ht="13.5" spans="1:13">
      <c r="A448" s="66"/>
      <c r="E448" s="72" t="s">
        <v>523</v>
      </c>
      <c r="F448" s="18"/>
      <c r="G448" s="18"/>
      <c r="H448" s="18"/>
      <c r="I448" s="18"/>
      <c r="J448" s="18"/>
      <c r="K448" s="18"/>
      <c r="L448" s="18"/>
      <c r="M448" s="18"/>
    </row>
    <row r="449" s="65" customFormat="1" ht="13.5" spans="1:13">
      <c r="A449" s="66"/>
      <c r="E449" s="72" t="s">
        <v>524</v>
      </c>
      <c r="F449" s="18"/>
      <c r="G449" s="18"/>
      <c r="H449" s="18"/>
      <c r="I449" s="18"/>
      <c r="J449" s="18"/>
      <c r="K449" s="18"/>
      <c r="L449" s="18"/>
      <c r="M449" s="18"/>
    </row>
    <row r="450" s="65" customFormat="1" ht="13.5" spans="1:13">
      <c r="A450" s="66"/>
      <c r="E450" s="72" t="s">
        <v>525</v>
      </c>
      <c r="F450" s="18"/>
      <c r="G450" s="18"/>
      <c r="H450" s="18"/>
      <c r="I450" s="18"/>
      <c r="J450" s="18"/>
      <c r="K450" s="18"/>
      <c r="L450" s="18"/>
      <c r="M450" s="18"/>
    </row>
    <row r="451" s="65" customFormat="1" ht="13.5" spans="1:13">
      <c r="A451" s="66"/>
      <c r="E451" s="72" t="s">
        <v>526</v>
      </c>
      <c r="F451" s="18"/>
      <c r="G451" s="18"/>
      <c r="H451" s="18"/>
      <c r="I451" s="18"/>
      <c r="J451" s="18"/>
      <c r="K451" s="18"/>
      <c r="L451" s="18"/>
      <c r="M451" s="18"/>
    </row>
    <row r="452" s="65" customFormat="1" ht="13.5" spans="1:13">
      <c r="A452" s="66"/>
      <c r="E452" s="72" t="s">
        <v>527</v>
      </c>
      <c r="F452" s="18"/>
      <c r="G452" s="18"/>
      <c r="H452" s="18"/>
      <c r="I452" s="18"/>
      <c r="J452" s="18"/>
      <c r="K452" s="18"/>
      <c r="L452" s="18"/>
      <c r="M452" s="18"/>
    </row>
    <row r="453" s="65" customFormat="1" ht="13.5" spans="1:13">
      <c r="A453" s="66"/>
      <c r="E453" s="72" t="s">
        <v>528</v>
      </c>
      <c r="F453" s="18"/>
      <c r="G453" s="18"/>
      <c r="H453" s="18"/>
      <c r="I453" s="18"/>
      <c r="J453" s="18"/>
      <c r="K453" s="18"/>
      <c r="L453" s="18"/>
      <c r="M453" s="18"/>
    </row>
    <row r="454" s="65" customFormat="1" ht="13.5" spans="1:13">
      <c r="A454" s="66"/>
      <c r="E454" s="72" t="s">
        <v>529</v>
      </c>
      <c r="F454" s="18"/>
      <c r="G454" s="18"/>
      <c r="H454" s="18"/>
      <c r="I454" s="18"/>
      <c r="J454" s="18"/>
      <c r="K454" s="18"/>
      <c r="L454" s="18"/>
      <c r="M454" s="18"/>
    </row>
    <row r="455" s="65" customFormat="1" ht="13.5" spans="1:13">
      <c r="A455" s="66"/>
      <c r="E455" s="72" t="s">
        <v>530</v>
      </c>
      <c r="F455" s="18"/>
      <c r="G455" s="18"/>
      <c r="H455" s="18"/>
      <c r="I455" s="18"/>
      <c r="J455" s="18"/>
      <c r="K455" s="18"/>
      <c r="L455" s="18"/>
      <c r="M455" s="18"/>
    </row>
    <row r="456" s="65" customFormat="1" ht="13.5" spans="1:13">
      <c r="A456" s="66"/>
      <c r="E456" s="72" t="s">
        <v>531</v>
      </c>
      <c r="F456" s="18"/>
      <c r="G456" s="18"/>
      <c r="H456" s="18"/>
      <c r="I456" s="18"/>
      <c r="J456" s="18"/>
      <c r="K456" s="18"/>
      <c r="L456" s="18"/>
      <c r="M456" s="18"/>
    </row>
    <row r="457" s="65" customFormat="1" ht="13.5" spans="1:13">
      <c r="A457" s="66"/>
      <c r="E457" s="72" t="s">
        <v>532</v>
      </c>
      <c r="F457" s="18"/>
      <c r="G457" s="18"/>
      <c r="H457" s="18"/>
      <c r="I457" s="18"/>
      <c r="J457" s="18"/>
      <c r="K457" s="18"/>
      <c r="L457" s="18"/>
      <c r="M457" s="18"/>
    </row>
    <row r="458" s="65" customFormat="1" ht="13.5" spans="1:13">
      <c r="A458" s="66"/>
      <c r="E458" s="72" t="s">
        <v>533</v>
      </c>
      <c r="F458" s="18"/>
      <c r="G458" s="18"/>
      <c r="H458" s="18"/>
      <c r="I458" s="18"/>
      <c r="J458" s="18"/>
      <c r="K458" s="18"/>
      <c r="L458" s="18"/>
      <c r="M458" s="18"/>
    </row>
    <row r="459" s="65" customFormat="1" ht="13.5" spans="1:13">
      <c r="A459" s="66"/>
      <c r="E459" s="72" t="s">
        <v>534</v>
      </c>
      <c r="F459" s="18"/>
      <c r="G459" s="18"/>
      <c r="H459" s="18"/>
      <c r="I459" s="18"/>
      <c r="J459" s="18"/>
      <c r="K459" s="18"/>
      <c r="L459" s="18"/>
      <c r="M459" s="18"/>
    </row>
    <row r="460" s="65" customFormat="1" ht="13.5" spans="1:13">
      <c r="A460" s="66"/>
      <c r="E460" s="72" t="s">
        <v>535</v>
      </c>
      <c r="F460" s="18"/>
      <c r="G460" s="18"/>
      <c r="H460" s="18"/>
      <c r="I460" s="18"/>
      <c r="J460" s="18"/>
      <c r="K460" s="18"/>
      <c r="L460" s="18"/>
      <c r="M460" s="18"/>
    </row>
    <row r="461" s="65" customFormat="1" ht="13.5" spans="1:13">
      <c r="A461" s="66"/>
      <c r="E461" s="72" t="s">
        <v>536</v>
      </c>
      <c r="F461" s="18"/>
      <c r="G461" s="18"/>
      <c r="H461" s="18"/>
      <c r="I461" s="18"/>
      <c r="J461" s="18"/>
      <c r="K461" s="18"/>
      <c r="L461" s="18"/>
      <c r="M461" s="18"/>
    </row>
    <row r="462" s="65" customFormat="1" ht="13.5" spans="1:13">
      <c r="A462" s="66"/>
      <c r="E462" s="72" t="s">
        <v>537</v>
      </c>
      <c r="F462" s="18"/>
      <c r="G462" s="18"/>
      <c r="H462" s="18"/>
      <c r="I462" s="18"/>
      <c r="J462" s="18"/>
      <c r="K462" s="18"/>
      <c r="L462" s="18"/>
      <c r="M462" s="18"/>
    </row>
    <row r="463" s="65" customFormat="1" ht="13.5" spans="1:13">
      <c r="A463" s="66"/>
      <c r="E463" s="72" t="s">
        <v>538</v>
      </c>
      <c r="F463" s="18"/>
      <c r="G463" s="18"/>
      <c r="H463" s="18"/>
      <c r="I463" s="18"/>
      <c r="J463" s="18"/>
      <c r="K463" s="18"/>
      <c r="L463" s="18"/>
      <c r="M463" s="18"/>
    </row>
    <row r="464" s="65" customFormat="1" ht="13.5" spans="1:13">
      <c r="A464" s="66"/>
      <c r="E464" s="72" t="s">
        <v>539</v>
      </c>
      <c r="F464" s="18"/>
      <c r="G464" s="18"/>
      <c r="H464" s="18"/>
      <c r="I464" s="18"/>
      <c r="J464" s="18"/>
      <c r="K464" s="18"/>
      <c r="L464" s="18"/>
      <c r="M464" s="18"/>
    </row>
    <row r="465" s="65" customFormat="1" ht="13.5" spans="1:13">
      <c r="A465" s="66"/>
      <c r="E465" s="72" t="s">
        <v>540</v>
      </c>
      <c r="F465" s="18"/>
      <c r="G465" s="18"/>
      <c r="H465" s="18"/>
      <c r="I465" s="18"/>
      <c r="J465" s="18"/>
      <c r="K465" s="18"/>
      <c r="L465" s="18"/>
      <c r="M465" s="18"/>
    </row>
    <row r="466" s="65" customFormat="1" ht="13.5" spans="1:13">
      <c r="A466" s="66"/>
      <c r="E466" s="72" t="s">
        <v>541</v>
      </c>
      <c r="F466" s="18"/>
      <c r="G466" s="18"/>
      <c r="H466" s="18"/>
      <c r="I466" s="18"/>
      <c r="J466" s="18"/>
      <c r="K466" s="18"/>
      <c r="L466" s="18"/>
      <c r="M466" s="18"/>
    </row>
    <row r="467" s="65" customFormat="1" ht="13.5" spans="1:13">
      <c r="A467" s="66"/>
      <c r="E467" s="72" t="s">
        <v>542</v>
      </c>
      <c r="F467" s="18"/>
      <c r="G467" s="18"/>
      <c r="H467" s="18"/>
      <c r="I467" s="18"/>
      <c r="J467" s="18"/>
      <c r="K467" s="18"/>
      <c r="L467" s="18"/>
      <c r="M467" s="18"/>
    </row>
    <row r="468" s="65" customFormat="1" ht="13.5" spans="1:13">
      <c r="A468" s="66"/>
      <c r="E468" s="72" t="s">
        <v>543</v>
      </c>
      <c r="F468" s="18"/>
      <c r="G468" s="18"/>
      <c r="H468" s="18"/>
      <c r="I468" s="18"/>
      <c r="J468" s="18"/>
      <c r="K468" s="18"/>
      <c r="L468" s="18"/>
      <c r="M468" s="18"/>
    </row>
    <row r="469" s="65" customFormat="1" ht="13.5" spans="1:13">
      <c r="A469" s="66"/>
      <c r="E469" s="72" t="s">
        <v>544</v>
      </c>
      <c r="F469" s="18"/>
      <c r="G469" s="18"/>
      <c r="H469" s="18"/>
      <c r="I469" s="18"/>
      <c r="J469" s="18"/>
      <c r="K469" s="18"/>
      <c r="L469" s="18"/>
      <c r="M469" s="18"/>
    </row>
    <row r="470" s="65" customFormat="1" ht="13.5" spans="1:13">
      <c r="A470" s="66"/>
      <c r="E470" s="72" t="s">
        <v>545</v>
      </c>
      <c r="F470" s="18"/>
      <c r="G470" s="18"/>
      <c r="H470" s="18"/>
      <c r="I470" s="18"/>
      <c r="J470" s="18"/>
      <c r="K470" s="18"/>
      <c r="L470" s="18"/>
      <c r="M470" s="18"/>
    </row>
    <row r="471" s="65" customFormat="1" ht="13.5" spans="1:13">
      <c r="A471" s="66"/>
      <c r="E471" s="72" t="s">
        <v>546</v>
      </c>
      <c r="F471" s="18"/>
      <c r="G471" s="18"/>
      <c r="H471" s="18"/>
      <c r="I471" s="18"/>
      <c r="J471" s="18"/>
      <c r="K471" s="18"/>
      <c r="L471" s="18"/>
      <c r="M471" s="18"/>
    </row>
    <row r="472" s="65" customFormat="1" ht="13.5" spans="1:13">
      <c r="A472" s="66"/>
      <c r="E472" s="72" t="s">
        <v>547</v>
      </c>
      <c r="F472" s="18"/>
      <c r="G472" s="18"/>
      <c r="H472" s="18"/>
      <c r="I472" s="18"/>
      <c r="J472" s="18"/>
      <c r="K472" s="18"/>
      <c r="L472" s="18"/>
      <c r="M472" s="18"/>
    </row>
    <row r="473" s="65" customFormat="1" ht="13.5" spans="1:13">
      <c r="A473" s="66"/>
      <c r="E473" s="72" t="s">
        <v>548</v>
      </c>
      <c r="F473" s="18"/>
      <c r="G473" s="18"/>
      <c r="H473" s="18"/>
      <c r="I473" s="18"/>
      <c r="J473" s="18"/>
      <c r="K473" s="18"/>
      <c r="L473" s="18"/>
      <c r="M473" s="18"/>
    </row>
    <row r="474" s="65" customFormat="1" ht="13.5" spans="1:13">
      <c r="A474" s="66"/>
      <c r="E474" s="72" t="s">
        <v>549</v>
      </c>
      <c r="F474" s="18"/>
      <c r="G474" s="18"/>
      <c r="H474" s="18"/>
      <c r="I474" s="18"/>
      <c r="J474" s="18"/>
      <c r="K474" s="18"/>
      <c r="L474" s="18"/>
      <c r="M474" s="18"/>
    </row>
    <row r="475" s="65" customFormat="1" ht="13.5" spans="1:13">
      <c r="A475" s="66"/>
      <c r="E475" s="72" t="s">
        <v>550</v>
      </c>
      <c r="F475" s="18"/>
      <c r="G475" s="18"/>
      <c r="H475" s="18"/>
      <c r="I475" s="18"/>
      <c r="J475" s="18"/>
      <c r="K475" s="18"/>
      <c r="L475" s="18"/>
      <c r="M475" s="18"/>
    </row>
    <row r="476" s="65" customFormat="1" ht="13.5" spans="1:13">
      <c r="A476" s="66"/>
      <c r="E476" s="72" t="s">
        <v>551</v>
      </c>
      <c r="F476" s="18"/>
      <c r="G476" s="18"/>
      <c r="H476" s="18"/>
      <c r="I476" s="18"/>
      <c r="J476" s="18"/>
      <c r="K476" s="18"/>
      <c r="L476" s="18"/>
      <c r="M476" s="18"/>
    </row>
    <row r="477" s="65" customFormat="1" ht="13.5" spans="1:13">
      <c r="A477" s="66"/>
      <c r="E477" s="72" t="s">
        <v>552</v>
      </c>
      <c r="F477" s="18"/>
      <c r="G477" s="18"/>
      <c r="H477" s="18"/>
      <c r="I477" s="18"/>
      <c r="J477" s="18"/>
      <c r="K477" s="18"/>
      <c r="L477" s="18"/>
      <c r="M477" s="18"/>
    </row>
    <row r="478" s="65" customFormat="1" ht="13.5" spans="1:13">
      <c r="A478" s="66"/>
      <c r="E478" s="72" t="s">
        <v>553</v>
      </c>
      <c r="F478" s="18"/>
      <c r="G478" s="18"/>
      <c r="H478" s="18"/>
      <c r="I478" s="18"/>
      <c r="J478" s="18"/>
      <c r="K478" s="18"/>
      <c r="L478" s="18"/>
      <c r="M478" s="18"/>
    </row>
    <row r="479" s="65" customFormat="1" ht="13.5" spans="1:13">
      <c r="A479" s="66"/>
      <c r="E479" s="72" t="s">
        <v>554</v>
      </c>
      <c r="F479" s="18"/>
      <c r="G479" s="18"/>
      <c r="H479" s="18"/>
      <c r="I479" s="18"/>
      <c r="J479" s="18"/>
      <c r="K479" s="18"/>
      <c r="L479" s="18"/>
      <c r="M479" s="18"/>
    </row>
    <row r="480" s="65" customFormat="1" ht="13.5" spans="1:13">
      <c r="A480" s="66"/>
      <c r="E480" s="72" t="s">
        <v>555</v>
      </c>
      <c r="F480" s="18"/>
      <c r="G480" s="18"/>
      <c r="H480" s="18"/>
      <c r="I480" s="18"/>
      <c r="J480" s="18"/>
      <c r="K480" s="18"/>
      <c r="L480" s="18"/>
      <c r="M480" s="18"/>
    </row>
    <row r="481" s="65" customFormat="1" ht="13.5" spans="1:13">
      <c r="A481" s="66"/>
      <c r="E481" s="72" t="s">
        <v>556</v>
      </c>
      <c r="F481" s="18"/>
      <c r="G481" s="18"/>
      <c r="H481" s="18"/>
      <c r="I481" s="18"/>
      <c r="J481" s="18"/>
      <c r="K481" s="18"/>
      <c r="L481" s="18"/>
      <c r="M481" s="18"/>
    </row>
    <row r="482" s="65" customFormat="1" ht="13.5" spans="1:13">
      <c r="A482" s="66"/>
      <c r="E482" s="72" t="s">
        <v>557</v>
      </c>
      <c r="F482" s="18"/>
      <c r="G482" s="18"/>
      <c r="H482" s="18"/>
      <c r="I482" s="18"/>
      <c r="J482" s="18"/>
      <c r="K482" s="18"/>
      <c r="L482" s="18"/>
      <c r="M482" s="18"/>
    </row>
    <row r="483" s="65" customFormat="1" ht="13.5" spans="1:13">
      <c r="A483" s="66"/>
      <c r="E483" s="72" t="s">
        <v>558</v>
      </c>
      <c r="F483" s="18"/>
      <c r="G483" s="18"/>
      <c r="H483" s="18"/>
      <c r="I483" s="18"/>
      <c r="J483" s="18"/>
      <c r="K483" s="18"/>
      <c r="L483" s="18"/>
      <c r="M483" s="18"/>
    </row>
    <row r="484" s="65" customFormat="1" ht="13.5" spans="1:13">
      <c r="A484" s="66"/>
      <c r="E484" s="72" t="s">
        <v>559</v>
      </c>
      <c r="F484" s="18"/>
      <c r="G484" s="18"/>
      <c r="H484" s="18"/>
      <c r="I484" s="18"/>
      <c r="J484" s="18"/>
      <c r="K484" s="18"/>
      <c r="L484" s="18"/>
      <c r="M484" s="18"/>
    </row>
    <row r="485" s="65" customFormat="1" ht="13.5" spans="1:13">
      <c r="A485" s="66"/>
      <c r="E485" s="72" t="s">
        <v>560</v>
      </c>
      <c r="F485" s="18"/>
      <c r="G485" s="18"/>
      <c r="H485" s="18"/>
      <c r="I485" s="18"/>
      <c r="J485" s="18"/>
      <c r="K485" s="18"/>
      <c r="L485" s="18"/>
      <c r="M485" s="18"/>
    </row>
    <row r="486" s="65" customFormat="1" ht="13.5" spans="1:13">
      <c r="A486" s="66"/>
      <c r="E486" s="72" t="s">
        <v>561</v>
      </c>
      <c r="F486" s="18"/>
      <c r="G486" s="18"/>
      <c r="H486" s="18"/>
      <c r="I486" s="18"/>
      <c r="J486" s="18"/>
      <c r="K486" s="18"/>
      <c r="L486" s="18"/>
      <c r="M486" s="18"/>
    </row>
    <row r="487" s="65" customFormat="1" ht="13.5" spans="1:13">
      <c r="A487" s="66"/>
      <c r="E487" s="72" t="s">
        <v>562</v>
      </c>
      <c r="F487" s="18"/>
      <c r="G487" s="18"/>
      <c r="H487" s="18"/>
      <c r="I487" s="18"/>
      <c r="J487" s="18"/>
      <c r="K487" s="18"/>
      <c r="L487" s="18"/>
      <c r="M487" s="18"/>
    </row>
    <row r="488" s="65" customFormat="1" ht="13.5" spans="1:13">
      <c r="A488" s="66"/>
      <c r="E488" s="72" t="s">
        <v>563</v>
      </c>
      <c r="F488" s="18"/>
      <c r="G488" s="18"/>
      <c r="H488" s="18"/>
      <c r="I488" s="18"/>
      <c r="J488" s="18"/>
      <c r="K488" s="18"/>
      <c r="L488" s="18"/>
      <c r="M488" s="18"/>
    </row>
    <row r="489" s="65" customFormat="1" ht="13.5" spans="1:13">
      <c r="A489" s="66"/>
      <c r="E489" s="72" t="s">
        <v>564</v>
      </c>
      <c r="F489" s="18"/>
      <c r="G489" s="18"/>
      <c r="H489" s="18"/>
      <c r="I489" s="18"/>
      <c r="J489" s="18"/>
      <c r="K489" s="18"/>
      <c r="L489" s="18"/>
      <c r="M489" s="18"/>
    </row>
    <row r="490" s="65" customFormat="1" ht="13.5" spans="1:13">
      <c r="A490" s="66"/>
      <c r="E490" s="72" t="s">
        <v>565</v>
      </c>
      <c r="F490" s="18"/>
      <c r="G490" s="18"/>
      <c r="H490" s="18"/>
      <c r="I490" s="18"/>
      <c r="J490" s="18"/>
      <c r="K490" s="18"/>
      <c r="L490" s="18"/>
      <c r="M490" s="18"/>
    </row>
    <row r="491" s="65" customFormat="1" ht="13.5" spans="1:13">
      <c r="A491" s="66"/>
      <c r="E491" s="72" t="s">
        <v>566</v>
      </c>
      <c r="F491" s="18"/>
      <c r="G491" s="18"/>
      <c r="H491" s="18"/>
      <c r="I491" s="18"/>
      <c r="J491" s="18"/>
      <c r="K491" s="18"/>
      <c r="L491" s="18"/>
      <c r="M491" s="18"/>
    </row>
    <row r="492" s="65" customFormat="1" ht="13.5" spans="1:13">
      <c r="A492" s="66"/>
      <c r="E492" s="72" t="s">
        <v>567</v>
      </c>
      <c r="F492" s="18"/>
      <c r="G492" s="18"/>
      <c r="H492" s="18"/>
      <c r="I492" s="18"/>
      <c r="J492" s="18"/>
      <c r="K492" s="18"/>
      <c r="L492" s="18"/>
      <c r="M492" s="18"/>
    </row>
    <row r="493" s="65" customFormat="1" ht="13.5" spans="1:13">
      <c r="A493" s="66"/>
      <c r="E493" s="72" t="s">
        <v>568</v>
      </c>
      <c r="F493" s="18"/>
      <c r="G493" s="18"/>
      <c r="H493" s="18"/>
      <c r="I493" s="18"/>
      <c r="J493" s="18"/>
      <c r="K493" s="18"/>
      <c r="L493" s="18"/>
      <c r="M493" s="18"/>
    </row>
    <row r="494" s="65" customFormat="1" ht="13.5" spans="1:13">
      <c r="A494" s="66"/>
      <c r="E494" s="72" t="s">
        <v>569</v>
      </c>
      <c r="F494" s="18"/>
      <c r="G494" s="18"/>
      <c r="H494" s="18"/>
      <c r="I494" s="18"/>
      <c r="J494" s="18"/>
      <c r="K494" s="18"/>
      <c r="L494" s="18"/>
      <c r="M494" s="18"/>
    </row>
    <row r="495" s="65" customFormat="1" ht="13.5" spans="1:13">
      <c r="A495" s="66"/>
      <c r="E495" s="72" t="s">
        <v>570</v>
      </c>
      <c r="F495" s="18"/>
      <c r="G495" s="18"/>
      <c r="H495" s="18"/>
      <c r="I495" s="18"/>
      <c r="J495" s="18"/>
      <c r="K495" s="18"/>
      <c r="L495" s="18"/>
      <c r="M495" s="18"/>
    </row>
    <row r="496" s="65" customFormat="1" ht="13.5" spans="1:13">
      <c r="A496" s="66"/>
      <c r="E496" s="72" t="s">
        <v>571</v>
      </c>
      <c r="F496" s="18"/>
      <c r="G496" s="18"/>
      <c r="H496" s="18"/>
      <c r="I496" s="18"/>
      <c r="J496" s="18"/>
      <c r="K496" s="18"/>
      <c r="L496" s="18"/>
      <c r="M496" s="18"/>
    </row>
    <row r="497" s="65" customFormat="1" ht="13.5" spans="1:13">
      <c r="A497" s="66"/>
      <c r="E497" s="72" t="s">
        <v>572</v>
      </c>
      <c r="F497" s="18"/>
      <c r="G497" s="18"/>
      <c r="H497" s="18"/>
      <c r="I497" s="18"/>
      <c r="J497" s="18"/>
      <c r="K497" s="18"/>
      <c r="L497" s="18"/>
      <c r="M497" s="18"/>
    </row>
    <row r="498" s="65" customFormat="1" ht="13.5" spans="1:13">
      <c r="A498" s="66"/>
      <c r="E498" s="72" t="s">
        <v>573</v>
      </c>
      <c r="F498" s="18"/>
      <c r="G498" s="18"/>
      <c r="H498" s="18"/>
      <c r="I498" s="18"/>
      <c r="J498" s="18"/>
      <c r="K498" s="18"/>
      <c r="L498" s="18"/>
      <c r="M498" s="18"/>
    </row>
    <row r="499" s="65" customFormat="1" ht="13.5" spans="1:13">
      <c r="A499" s="66"/>
      <c r="E499" s="72" t="s">
        <v>574</v>
      </c>
      <c r="F499" s="18"/>
      <c r="G499" s="18"/>
      <c r="H499" s="18"/>
      <c r="I499" s="18"/>
      <c r="J499" s="18"/>
      <c r="K499" s="18"/>
      <c r="L499" s="18"/>
      <c r="M499" s="18"/>
    </row>
    <row r="500" s="65" customFormat="1" ht="13.5" spans="1:13">
      <c r="A500" s="66"/>
      <c r="E500" s="72" t="s">
        <v>575</v>
      </c>
      <c r="F500" s="18"/>
      <c r="G500" s="18"/>
      <c r="H500" s="18"/>
      <c r="I500" s="18"/>
      <c r="J500" s="18"/>
      <c r="K500" s="18"/>
      <c r="L500" s="18"/>
      <c r="M500" s="18"/>
    </row>
    <row r="501" s="65" customFormat="1" ht="13.5" spans="1:13">
      <c r="A501" s="66"/>
      <c r="E501" s="72" t="s">
        <v>576</v>
      </c>
      <c r="F501" s="18"/>
      <c r="G501" s="18"/>
      <c r="H501" s="18"/>
      <c r="I501" s="18"/>
      <c r="J501" s="18"/>
      <c r="K501" s="18"/>
      <c r="L501" s="18"/>
      <c r="M501" s="18"/>
    </row>
    <row r="502" s="65" customFormat="1" ht="13.5" spans="1:13">
      <c r="A502" s="66"/>
      <c r="E502" s="72" t="s">
        <v>577</v>
      </c>
      <c r="F502" s="18"/>
      <c r="G502" s="18"/>
      <c r="H502" s="18"/>
      <c r="I502" s="18"/>
      <c r="J502" s="18"/>
      <c r="K502" s="18"/>
      <c r="L502" s="18"/>
      <c r="M502" s="18"/>
    </row>
    <row r="503" s="65" customFormat="1" ht="13.5" spans="1:13">
      <c r="A503" s="66"/>
      <c r="E503" s="72" t="s">
        <v>578</v>
      </c>
      <c r="F503" s="18"/>
      <c r="G503" s="18"/>
      <c r="H503" s="18"/>
      <c r="I503" s="18"/>
      <c r="J503" s="18"/>
      <c r="K503" s="18"/>
      <c r="L503" s="18"/>
      <c r="M503" s="18"/>
    </row>
    <row r="504" s="65" customFormat="1" ht="13.5" spans="1:13">
      <c r="A504" s="66"/>
      <c r="E504" s="72" t="s">
        <v>579</v>
      </c>
      <c r="F504" s="18"/>
      <c r="G504" s="18"/>
      <c r="H504" s="18"/>
      <c r="I504" s="18"/>
      <c r="J504" s="18"/>
      <c r="K504" s="18"/>
      <c r="L504" s="18"/>
      <c r="M504" s="18"/>
    </row>
    <row r="505" s="65" customFormat="1" ht="13.5" spans="1:13">
      <c r="A505" s="66"/>
      <c r="E505" s="72" t="s">
        <v>580</v>
      </c>
      <c r="F505" s="18"/>
      <c r="G505" s="18"/>
      <c r="H505" s="18"/>
      <c r="I505" s="18"/>
      <c r="J505" s="18"/>
      <c r="K505" s="18"/>
      <c r="L505" s="18"/>
      <c r="M505" s="18"/>
    </row>
    <row r="506" s="65" customFormat="1" ht="13.5" spans="1:13">
      <c r="A506" s="66"/>
      <c r="E506" s="72" t="s">
        <v>581</v>
      </c>
      <c r="F506" s="18"/>
      <c r="G506" s="18"/>
      <c r="H506" s="18"/>
      <c r="I506" s="18"/>
      <c r="J506" s="18"/>
      <c r="K506" s="18"/>
      <c r="L506" s="18"/>
      <c r="M506" s="18"/>
    </row>
    <row r="507" s="65" customFormat="1" ht="13.5" spans="1:13">
      <c r="A507" s="66"/>
      <c r="E507" s="72" t="s">
        <v>582</v>
      </c>
      <c r="F507" s="18"/>
      <c r="G507" s="18"/>
      <c r="H507" s="18"/>
      <c r="I507" s="18"/>
      <c r="J507" s="18"/>
      <c r="K507" s="18"/>
      <c r="L507" s="18"/>
      <c r="M507" s="18"/>
    </row>
    <row r="508" s="65" customFormat="1" ht="13.5" spans="1:13">
      <c r="A508" s="66"/>
      <c r="E508" s="72" t="s">
        <v>583</v>
      </c>
      <c r="F508" s="18"/>
      <c r="G508" s="18"/>
      <c r="H508" s="18"/>
      <c r="I508" s="18"/>
      <c r="J508" s="18"/>
      <c r="K508" s="18"/>
      <c r="L508" s="18"/>
      <c r="M508" s="18"/>
    </row>
    <row r="509" s="65" customFormat="1" ht="13.5" spans="1:13">
      <c r="A509" s="66"/>
      <c r="E509" s="72" t="s">
        <v>584</v>
      </c>
      <c r="F509" s="18"/>
      <c r="G509" s="18"/>
      <c r="H509" s="18"/>
      <c r="I509" s="18"/>
      <c r="J509" s="18"/>
      <c r="K509" s="18"/>
      <c r="L509" s="18"/>
      <c r="M509" s="18"/>
    </row>
    <row r="510" s="65" customFormat="1" ht="13.5" spans="1:13">
      <c r="A510" s="66"/>
      <c r="E510" s="72" t="s">
        <v>585</v>
      </c>
      <c r="F510" s="18"/>
      <c r="G510" s="18"/>
      <c r="H510" s="18"/>
      <c r="I510" s="18"/>
      <c r="J510" s="18"/>
      <c r="K510" s="18"/>
      <c r="L510" s="18"/>
      <c r="M510" s="18"/>
    </row>
    <row r="511" s="65" customFormat="1" ht="13.5" spans="1:13">
      <c r="A511" s="66"/>
      <c r="E511" s="72" t="s">
        <v>586</v>
      </c>
      <c r="F511" s="18"/>
      <c r="G511" s="18"/>
      <c r="H511" s="18"/>
      <c r="I511" s="18"/>
      <c r="J511" s="18"/>
      <c r="K511" s="18"/>
      <c r="L511" s="18"/>
      <c r="M511" s="18"/>
    </row>
    <row r="512" s="65" customFormat="1" ht="13.5" spans="1:13">
      <c r="A512" s="66"/>
      <c r="E512" s="72" t="s">
        <v>587</v>
      </c>
      <c r="F512" s="18"/>
      <c r="G512" s="18"/>
      <c r="H512" s="18"/>
      <c r="I512" s="18"/>
      <c r="J512" s="18"/>
      <c r="K512" s="18"/>
      <c r="L512" s="18"/>
      <c r="M512" s="18"/>
    </row>
    <row r="513" s="65" customFormat="1" ht="13.5" spans="1:13">
      <c r="A513" s="66"/>
      <c r="E513" s="72" t="s">
        <v>588</v>
      </c>
      <c r="F513" s="18"/>
      <c r="G513" s="18"/>
      <c r="H513" s="18"/>
      <c r="I513" s="18"/>
      <c r="J513" s="18"/>
      <c r="K513" s="18"/>
      <c r="L513" s="18"/>
      <c r="M513" s="18"/>
    </row>
    <row r="514" s="65" customFormat="1" ht="13.5" spans="1:13">
      <c r="A514" s="66"/>
      <c r="E514" s="72" t="s">
        <v>589</v>
      </c>
      <c r="F514" s="18"/>
      <c r="G514" s="18"/>
      <c r="H514" s="18"/>
      <c r="I514" s="18"/>
      <c r="J514" s="18"/>
      <c r="K514" s="18"/>
      <c r="L514" s="18"/>
      <c r="M514" s="18"/>
    </row>
    <row r="515" s="65" customFormat="1" ht="13.5" spans="1:13">
      <c r="A515" s="66"/>
      <c r="E515" s="72" t="s">
        <v>590</v>
      </c>
      <c r="F515" s="18"/>
      <c r="G515" s="18"/>
      <c r="H515" s="18"/>
      <c r="I515" s="18"/>
      <c r="J515" s="18"/>
      <c r="K515" s="18"/>
      <c r="L515" s="18"/>
      <c r="M515" s="18"/>
    </row>
    <row r="516" s="65" customFormat="1" ht="13.5" spans="1:13">
      <c r="A516" s="66"/>
      <c r="E516" s="72" t="s">
        <v>591</v>
      </c>
      <c r="F516" s="18"/>
      <c r="G516" s="18"/>
      <c r="H516" s="18"/>
      <c r="I516" s="18"/>
      <c r="J516" s="18"/>
      <c r="K516" s="18"/>
      <c r="L516" s="18"/>
      <c r="M516" s="18"/>
    </row>
    <row r="517" s="65" customFormat="1" ht="13.5" spans="1:13">
      <c r="A517" s="66"/>
      <c r="E517" s="72" t="s">
        <v>592</v>
      </c>
      <c r="F517" s="18"/>
      <c r="G517" s="18"/>
      <c r="H517" s="18"/>
      <c r="I517" s="18"/>
      <c r="J517" s="18"/>
      <c r="K517" s="18"/>
      <c r="L517" s="18"/>
      <c r="M517" s="18"/>
    </row>
    <row r="518" s="65" customFormat="1" ht="13.5" spans="1:13">
      <c r="A518" s="66"/>
      <c r="E518" s="72" t="s">
        <v>593</v>
      </c>
      <c r="F518" s="18"/>
      <c r="G518" s="18"/>
      <c r="H518" s="18"/>
      <c r="I518" s="18"/>
      <c r="J518" s="18"/>
      <c r="K518" s="18"/>
      <c r="L518" s="18"/>
      <c r="M518" s="18"/>
    </row>
    <row r="519" s="65" customFormat="1" ht="13.5" spans="1:13">
      <c r="A519" s="66"/>
      <c r="E519" s="72" t="s">
        <v>594</v>
      </c>
      <c r="F519" s="18"/>
      <c r="G519" s="18"/>
      <c r="H519" s="18"/>
      <c r="I519" s="18"/>
      <c r="J519" s="18"/>
      <c r="K519" s="18"/>
      <c r="L519" s="18"/>
      <c r="M519" s="18"/>
    </row>
    <row r="520" s="65" customFormat="1" ht="13.5" spans="1:13">
      <c r="A520" s="66"/>
      <c r="E520" s="72" t="s">
        <v>595</v>
      </c>
      <c r="F520" s="18"/>
      <c r="G520" s="18"/>
      <c r="H520" s="18"/>
      <c r="I520" s="18"/>
      <c r="J520" s="18"/>
      <c r="K520" s="18"/>
      <c r="L520" s="18"/>
      <c r="M520" s="18"/>
    </row>
    <row r="521" s="65" customFormat="1" ht="13.5" spans="1:13">
      <c r="A521" s="66"/>
      <c r="E521" s="72" t="s">
        <v>596</v>
      </c>
      <c r="F521" s="18"/>
      <c r="G521" s="18"/>
      <c r="H521" s="18"/>
      <c r="I521" s="18"/>
      <c r="J521" s="18"/>
      <c r="K521" s="18"/>
      <c r="L521" s="18"/>
      <c r="M521" s="18"/>
    </row>
    <row r="522" s="65" customFormat="1" ht="13.5" spans="1:13">
      <c r="A522" s="66"/>
      <c r="E522" s="72" t="s">
        <v>597</v>
      </c>
      <c r="F522" s="18"/>
      <c r="G522" s="18"/>
      <c r="H522" s="18"/>
      <c r="I522" s="18"/>
      <c r="J522" s="18"/>
      <c r="K522" s="18"/>
      <c r="L522" s="18"/>
      <c r="M522" s="18"/>
    </row>
    <row r="523" s="65" customFormat="1" ht="13.5" spans="1:13">
      <c r="A523" s="66"/>
      <c r="E523" s="72" t="s">
        <v>598</v>
      </c>
      <c r="F523" s="18"/>
      <c r="G523" s="18"/>
      <c r="H523" s="18"/>
      <c r="I523" s="18"/>
      <c r="J523" s="18"/>
      <c r="K523" s="18"/>
      <c r="L523" s="18"/>
      <c r="M523" s="18"/>
    </row>
    <row r="524" s="65" customFormat="1" ht="13.5" spans="1:13">
      <c r="A524" s="66"/>
      <c r="E524" s="72" t="s">
        <v>599</v>
      </c>
      <c r="F524" s="18"/>
      <c r="G524" s="18"/>
      <c r="H524" s="18"/>
      <c r="I524" s="18"/>
      <c r="J524" s="18"/>
      <c r="K524" s="18"/>
      <c r="L524" s="18"/>
      <c r="M524" s="18"/>
    </row>
    <row r="525" s="65" customFormat="1" ht="13.5" spans="1:13">
      <c r="A525" s="66"/>
      <c r="E525" s="72" t="s">
        <v>600</v>
      </c>
      <c r="F525" s="18"/>
      <c r="G525" s="18"/>
      <c r="H525" s="18"/>
      <c r="I525" s="18"/>
      <c r="J525" s="18"/>
      <c r="K525" s="18"/>
      <c r="L525" s="18"/>
      <c r="M525" s="18"/>
    </row>
    <row r="526" s="65" customFormat="1" ht="13.5" spans="1:13">
      <c r="A526" s="66"/>
      <c r="E526" s="72" t="s">
        <v>601</v>
      </c>
      <c r="F526" s="18"/>
      <c r="G526" s="18"/>
      <c r="H526" s="18"/>
      <c r="I526" s="18"/>
      <c r="J526" s="18"/>
      <c r="K526" s="18"/>
      <c r="L526" s="18"/>
      <c r="M526" s="18"/>
    </row>
    <row r="527" s="65" customFormat="1" ht="13.5" spans="1:13">
      <c r="A527" s="66"/>
      <c r="E527" s="72" t="s">
        <v>602</v>
      </c>
      <c r="F527" s="18"/>
      <c r="G527" s="18"/>
      <c r="H527" s="18"/>
      <c r="I527" s="18"/>
      <c r="J527" s="18"/>
      <c r="K527" s="18"/>
      <c r="L527" s="18"/>
      <c r="M527" s="18"/>
    </row>
    <row r="528" s="65" customFormat="1" ht="13.5" spans="1:13">
      <c r="A528" s="66"/>
      <c r="E528" s="72" t="s">
        <v>603</v>
      </c>
      <c r="F528" s="18"/>
      <c r="G528" s="18"/>
      <c r="H528" s="18"/>
      <c r="I528" s="18"/>
      <c r="J528" s="18"/>
      <c r="K528" s="18"/>
      <c r="L528" s="18"/>
      <c r="M528" s="18"/>
    </row>
    <row r="529" s="65" customFormat="1" ht="13.5" spans="1:13">
      <c r="A529" s="66"/>
      <c r="E529" s="72" t="s">
        <v>604</v>
      </c>
      <c r="F529" s="18"/>
      <c r="G529" s="18"/>
      <c r="H529" s="18"/>
      <c r="I529" s="18"/>
      <c r="J529" s="18"/>
      <c r="K529" s="18"/>
      <c r="L529" s="18"/>
      <c r="M529" s="18"/>
    </row>
    <row r="530" s="65" customFormat="1" ht="13.5" spans="1:13">
      <c r="A530" s="66"/>
      <c r="E530" s="72" t="s">
        <v>605</v>
      </c>
      <c r="F530" s="18"/>
      <c r="G530" s="18"/>
      <c r="H530" s="18"/>
      <c r="I530" s="18"/>
      <c r="J530" s="18"/>
      <c r="K530" s="18"/>
      <c r="L530" s="18"/>
      <c r="M530" s="18"/>
    </row>
    <row r="531" s="65" customFormat="1" ht="13.5" spans="1:13">
      <c r="A531" s="66"/>
      <c r="E531" s="72" t="s">
        <v>606</v>
      </c>
      <c r="F531" s="18"/>
      <c r="G531" s="18"/>
      <c r="H531" s="18"/>
      <c r="I531" s="18"/>
      <c r="J531" s="18"/>
      <c r="K531" s="18"/>
      <c r="L531" s="18"/>
      <c r="M531" s="18"/>
    </row>
    <row r="532" s="65" customFormat="1" ht="13.5" spans="1:13">
      <c r="A532" s="66"/>
      <c r="E532" s="72" t="s">
        <v>607</v>
      </c>
      <c r="F532" s="18"/>
      <c r="G532" s="18"/>
      <c r="H532" s="18"/>
      <c r="I532" s="18"/>
      <c r="J532" s="18"/>
      <c r="K532" s="18"/>
      <c r="L532" s="18"/>
      <c r="M532" s="18"/>
    </row>
    <row r="533" s="65" customFormat="1" ht="13.5" spans="1:13">
      <c r="A533" s="66"/>
      <c r="E533" s="72" t="s">
        <v>608</v>
      </c>
      <c r="F533" s="18"/>
      <c r="G533" s="18"/>
      <c r="H533" s="18"/>
      <c r="I533" s="18"/>
      <c r="J533" s="18"/>
      <c r="K533" s="18"/>
      <c r="L533" s="18"/>
      <c r="M533" s="18"/>
    </row>
    <row r="534" s="65" customFormat="1" ht="13.5" spans="1:13">
      <c r="A534" s="66"/>
      <c r="E534" s="72" t="s">
        <v>609</v>
      </c>
      <c r="F534" s="18"/>
      <c r="G534" s="18"/>
      <c r="H534" s="18"/>
      <c r="I534" s="18"/>
      <c r="J534" s="18"/>
      <c r="K534" s="18"/>
      <c r="L534" s="18"/>
      <c r="M534" s="18"/>
    </row>
    <row r="535" s="65" customFormat="1" ht="13.5" spans="1:13">
      <c r="A535" s="66"/>
      <c r="E535" s="72" t="s">
        <v>610</v>
      </c>
      <c r="F535" s="18"/>
      <c r="G535" s="18"/>
      <c r="H535" s="18"/>
      <c r="I535" s="18"/>
      <c r="J535" s="18"/>
      <c r="K535" s="18"/>
      <c r="L535" s="18"/>
      <c r="M535" s="18"/>
    </row>
    <row r="536" s="65" customFormat="1" ht="13.5" spans="1:13">
      <c r="A536" s="66"/>
      <c r="E536" s="72" t="s">
        <v>611</v>
      </c>
      <c r="F536" s="18"/>
      <c r="G536" s="18"/>
      <c r="H536" s="18"/>
      <c r="I536" s="18"/>
      <c r="J536" s="18"/>
      <c r="K536" s="18"/>
      <c r="L536" s="18"/>
      <c r="M536" s="18"/>
    </row>
    <row r="537" s="65" customFormat="1" ht="13.5" spans="1:13">
      <c r="A537" s="66"/>
      <c r="E537" s="72" t="s">
        <v>612</v>
      </c>
      <c r="F537" s="18"/>
      <c r="G537" s="18"/>
      <c r="H537" s="18"/>
      <c r="I537" s="18"/>
      <c r="J537" s="18"/>
      <c r="K537" s="18"/>
      <c r="L537" s="18"/>
      <c r="M537" s="18"/>
    </row>
    <row r="538" s="65" customFormat="1" ht="13.5" spans="1:13">
      <c r="A538" s="66"/>
      <c r="E538" s="72" t="s">
        <v>613</v>
      </c>
      <c r="F538" s="18"/>
      <c r="G538" s="18"/>
      <c r="H538" s="18"/>
      <c r="I538" s="18"/>
      <c r="J538" s="18"/>
      <c r="K538" s="18"/>
      <c r="L538" s="18"/>
      <c r="M538" s="18"/>
    </row>
    <row r="539" s="65" customFormat="1" ht="13.5" spans="1:13">
      <c r="A539" s="66"/>
      <c r="E539" s="72" t="s">
        <v>614</v>
      </c>
      <c r="F539" s="18"/>
      <c r="G539" s="18"/>
      <c r="H539" s="18"/>
      <c r="I539" s="18"/>
      <c r="J539" s="18"/>
      <c r="K539" s="18"/>
      <c r="L539" s="18"/>
      <c r="M539" s="18"/>
    </row>
    <row r="540" s="65" customFormat="1" ht="13.5" spans="1:13">
      <c r="A540" s="66"/>
      <c r="E540" s="72" t="s">
        <v>615</v>
      </c>
      <c r="F540" s="18"/>
      <c r="G540" s="18"/>
      <c r="H540" s="18"/>
      <c r="I540" s="18"/>
      <c r="J540" s="18"/>
      <c r="K540" s="18"/>
      <c r="L540" s="18"/>
      <c r="M540" s="18"/>
    </row>
    <row r="541" s="65" customFormat="1" ht="13.5" spans="1:13">
      <c r="A541" s="66"/>
      <c r="E541" s="72" t="s">
        <v>616</v>
      </c>
      <c r="F541" s="18"/>
      <c r="G541" s="18"/>
      <c r="H541" s="18"/>
      <c r="I541" s="18"/>
      <c r="J541" s="18"/>
      <c r="K541" s="18"/>
      <c r="L541" s="18"/>
      <c r="M541" s="18"/>
    </row>
    <row r="542" s="65" customFormat="1" ht="13.5" spans="1:13">
      <c r="A542" s="66"/>
      <c r="E542" s="72" t="s">
        <v>617</v>
      </c>
      <c r="F542" s="18"/>
      <c r="G542" s="18"/>
      <c r="H542" s="18"/>
      <c r="I542" s="18"/>
      <c r="J542" s="18"/>
      <c r="K542" s="18"/>
      <c r="L542" s="18"/>
      <c r="M542" s="18"/>
    </row>
    <row r="543" s="65" customFormat="1" ht="13.5" spans="1:13">
      <c r="A543" s="66"/>
      <c r="E543" s="72" t="s">
        <v>618</v>
      </c>
      <c r="F543" s="18"/>
      <c r="G543" s="18"/>
      <c r="H543" s="18"/>
      <c r="I543" s="18"/>
      <c r="J543" s="18"/>
      <c r="K543" s="18"/>
      <c r="L543" s="18"/>
      <c r="M543" s="18"/>
    </row>
    <row r="544" s="65" customFormat="1" ht="13.5" spans="1:13">
      <c r="A544" s="66"/>
      <c r="E544" s="72" t="s">
        <v>619</v>
      </c>
      <c r="F544" s="18"/>
      <c r="G544" s="18"/>
      <c r="H544" s="18"/>
      <c r="I544" s="18"/>
      <c r="J544" s="18"/>
      <c r="K544" s="18"/>
      <c r="L544" s="18"/>
      <c r="M544" s="18"/>
    </row>
    <row r="545" s="65" customFormat="1" ht="13.5" spans="1:13">
      <c r="A545" s="66"/>
      <c r="E545" s="72" t="s">
        <v>620</v>
      </c>
      <c r="F545" s="18"/>
      <c r="G545" s="18"/>
      <c r="H545" s="18"/>
      <c r="I545" s="18"/>
      <c r="J545" s="18"/>
      <c r="K545" s="18"/>
      <c r="L545" s="18"/>
      <c r="M545" s="18"/>
    </row>
    <row r="546" s="65" customFormat="1" ht="13.5" spans="1:13">
      <c r="A546" s="66"/>
      <c r="E546" s="72" t="s">
        <v>621</v>
      </c>
      <c r="F546" s="18"/>
      <c r="G546" s="18"/>
      <c r="H546" s="18"/>
      <c r="I546" s="18"/>
      <c r="J546" s="18"/>
      <c r="K546" s="18"/>
      <c r="L546" s="18"/>
      <c r="M546" s="18"/>
    </row>
    <row r="547" s="65" customFormat="1" ht="13.5" spans="1:13">
      <c r="A547" s="66"/>
      <c r="E547" s="72" t="s">
        <v>622</v>
      </c>
      <c r="F547" s="18"/>
      <c r="G547" s="18"/>
      <c r="H547" s="18"/>
      <c r="I547" s="18"/>
      <c r="J547" s="18"/>
      <c r="K547" s="18"/>
      <c r="L547" s="18"/>
      <c r="M547" s="18"/>
    </row>
    <row r="548" s="65" customFormat="1" ht="13.5" spans="1:13">
      <c r="A548" s="66"/>
      <c r="E548" s="72" t="s">
        <v>623</v>
      </c>
      <c r="F548" s="18"/>
      <c r="G548" s="18"/>
      <c r="H548" s="18"/>
      <c r="I548" s="18"/>
      <c r="J548" s="18"/>
      <c r="K548" s="18"/>
      <c r="L548" s="18"/>
      <c r="M548" s="18"/>
    </row>
    <row r="549" s="65" customFormat="1" ht="13.5" spans="1:13">
      <c r="A549" s="66"/>
      <c r="E549" s="72" t="s">
        <v>624</v>
      </c>
      <c r="F549" s="18"/>
      <c r="G549" s="18"/>
      <c r="H549" s="18"/>
      <c r="I549" s="18"/>
      <c r="J549" s="18"/>
      <c r="K549" s="18"/>
      <c r="L549" s="18"/>
      <c r="M549" s="18"/>
    </row>
    <row r="550" s="65" customFormat="1" ht="13.5" spans="1:13">
      <c r="A550" s="66"/>
      <c r="E550" s="72" t="s">
        <v>625</v>
      </c>
      <c r="F550" s="18"/>
      <c r="G550" s="18"/>
      <c r="H550" s="18"/>
      <c r="I550" s="18"/>
      <c r="J550" s="18"/>
      <c r="K550" s="18"/>
      <c r="L550" s="18"/>
      <c r="M550" s="18"/>
    </row>
    <row r="551" s="65" customFormat="1" ht="13.5" spans="1:13">
      <c r="A551" s="66"/>
      <c r="E551" s="72" t="s">
        <v>626</v>
      </c>
      <c r="F551" s="18"/>
      <c r="G551" s="18"/>
      <c r="H551" s="18"/>
      <c r="I551" s="18"/>
      <c r="J551" s="18"/>
      <c r="K551" s="18"/>
      <c r="L551" s="18"/>
      <c r="M551" s="18"/>
    </row>
    <row r="552" s="65" customFormat="1" ht="13.5" spans="1:13">
      <c r="A552" s="66"/>
      <c r="E552" s="72" t="s">
        <v>627</v>
      </c>
      <c r="F552" s="18"/>
      <c r="G552" s="18"/>
      <c r="H552" s="18"/>
      <c r="I552" s="18"/>
      <c r="J552" s="18"/>
      <c r="K552" s="18"/>
      <c r="L552" s="18"/>
      <c r="M552" s="18"/>
    </row>
    <row r="553" s="65" customFormat="1" ht="13.5" spans="1:13">
      <c r="A553" s="66"/>
      <c r="E553" s="72" t="s">
        <v>628</v>
      </c>
      <c r="F553" s="18"/>
      <c r="G553" s="18"/>
      <c r="H553" s="18"/>
      <c r="I553" s="18"/>
      <c r="J553" s="18"/>
      <c r="K553" s="18"/>
      <c r="L553" s="18"/>
      <c r="M553" s="18"/>
    </row>
    <row r="554" s="65" customFormat="1" ht="13.5" spans="1:13">
      <c r="A554" s="66"/>
      <c r="E554" s="72" t="s">
        <v>629</v>
      </c>
      <c r="F554" s="18"/>
      <c r="G554" s="18"/>
      <c r="H554" s="18"/>
      <c r="I554" s="18"/>
      <c r="J554" s="18"/>
      <c r="K554" s="18"/>
      <c r="L554" s="18"/>
      <c r="M554" s="18"/>
    </row>
    <row r="555" s="65" customFormat="1" ht="13.5" spans="1:13">
      <c r="A555" s="66"/>
      <c r="E555" s="72" t="s">
        <v>630</v>
      </c>
      <c r="F555" s="18"/>
      <c r="G555" s="18"/>
      <c r="H555" s="18"/>
      <c r="I555" s="18"/>
      <c r="J555" s="18"/>
      <c r="K555" s="18"/>
      <c r="L555" s="18"/>
      <c r="M555" s="18"/>
    </row>
    <row r="556" s="65" customFormat="1" ht="13.5" spans="1:13">
      <c r="A556" s="66"/>
      <c r="E556" s="72" t="s">
        <v>631</v>
      </c>
      <c r="F556" s="18"/>
      <c r="G556" s="18"/>
      <c r="H556" s="18"/>
      <c r="I556" s="18"/>
      <c r="J556" s="18"/>
      <c r="K556" s="18"/>
      <c r="L556" s="18"/>
      <c r="M556" s="18"/>
    </row>
    <row r="557" s="65" customFormat="1" ht="13.5" spans="1:13">
      <c r="A557" s="66"/>
      <c r="E557" s="72" t="s">
        <v>632</v>
      </c>
      <c r="F557" s="18"/>
      <c r="G557" s="18"/>
      <c r="H557" s="18"/>
      <c r="I557" s="18"/>
      <c r="J557" s="18"/>
      <c r="K557" s="18"/>
      <c r="L557" s="18"/>
      <c r="M557" s="18"/>
    </row>
    <row r="558" s="65" customFormat="1" ht="13.5" spans="1:13">
      <c r="A558" s="66"/>
      <c r="E558" s="72" t="s">
        <v>633</v>
      </c>
      <c r="F558" s="18"/>
      <c r="G558" s="18"/>
      <c r="H558" s="18"/>
      <c r="I558" s="18"/>
      <c r="J558" s="18"/>
      <c r="K558" s="18"/>
      <c r="L558" s="18"/>
      <c r="M558" s="18"/>
    </row>
    <row r="559" s="65" customFormat="1" ht="13.5" spans="1:13">
      <c r="A559" s="66"/>
      <c r="E559" s="72" t="s">
        <v>634</v>
      </c>
      <c r="F559" s="18"/>
      <c r="G559" s="18"/>
      <c r="H559" s="18"/>
      <c r="I559" s="18"/>
      <c r="J559" s="18"/>
      <c r="K559" s="18"/>
      <c r="L559" s="18"/>
      <c r="M559" s="18"/>
    </row>
    <row r="560" s="65" customFormat="1" ht="13.5" spans="1:13">
      <c r="A560" s="66"/>
      <c r="E560" s="72" t="s">
        <v>635</v>
      </c>
      <c r="F560" s="18"/>
      <c r="G560" s="18"/>
      <c r="H560" s="18"/>
      <c r="I560" s="18"/>
      <c r="J560" s="18"/>
      <c r="K560" s="18"/>
      <c r="L560" s="18"/>
      <c r="M560" s="18"/>
    </row>
    <row r="561" s="65" customFormat="1" ht="13.5" spans="1:13">
      <c r="A561" s="66"/>
      <c r="E561" s="72" t="s">
        <v>636</v>
      </c>
      <c r="F561" s="18"/>
      <c r="G561" s="18"/>
      <c r="H561" s="18"/>
      <c r="I561" s="18"/>
      <c r="J561" s="18"/>
      <c r="K561" s="18"/>
      <c r="L561" s="18"/>
      <c r="M561" s="18"/>
    </row>
    <row r="562" s="65" customFormat="1" ht="13.5" spans="1:13">
      <c r="A562" s="66"/>
      <c r="E562" s="72" t="s">
        <v>637</v>
      </c>
      <c r="F562" s="18"/>
      <c r="G562" s="18"/>
      <c r="H562" s="18"/>
      <c r="I562" s="18"/>
      <c r="J562" s="18"/>
      <c r="K562" s="18"/>
      <c r="L562" s="18"/>
      <c r="M562" s="18"/>
    </row>
    <row r="563" s="65" customFormat="1" ht="13.5" spans="1:13">
      <c r="A563" s="66"/>
      <c r="E563" s="72" t="s">
        <v>638</v>
      </c>
      <c r="F563" s="18"/>
      <c r="G563" s="18"/>
      <c r="H563" s="18"/>
      <c r="I563" s="18"/>
      <c r="J563" s="18"/>
      <c r="K563" s="18"/>
      <c r="L563" s="18"/>
      <c r="M563" s="18"/>
    </row>
    <row r="564" s="65" customFormat="1" ht="13.5" spans="1:13">
      <c r="A564" s="66"/>
      <c r="E564" s="72" t="s">
        <v>639</v>
      </c>
      <c r="F564" s="18"/>
      <c r="G564" s="18"/>
      <c r="H564" s="18"/>
      <c r="I564" s="18"/>
      <c r="J564" s="18"/>
      <c r="K564" s="18"/>
      <c r="L564" s="18"/>
      <c r="M564" s="18"/>
    </row>
    <row r="565" s="65" customFormat="1" ht="13.5" spans="1:13">
      <c r="A565" s="66"/>
      <c r="E565" s="72" t="s">
        <v>640</v>
      </c>
      <c r="F565" s="18"/>
      <c r="G565" s="18"/>
      <c r="H565" s="18"/>
      <c r="I565" s="18"/>
      <c r="J565" s="18"/>
      <c r="K565" s="18"/>
      <c r="L565" s="18"/>
      <c r="M565" s="18"/>
    </row>
    <row r="566" s="65" customFormat="1" ht="13.5" spans="1:13">
      <c r="A566" s="66"/>
      <c r="E566" s="72" t="s">
        <v>641</v>
      </c>
      <c r="F566" s="18"/>
      <c r="G566" s="18"/>
      <c r="H566" s="18"/>
      <c r="I566" s="18"/>
      <c r="J566" s="18"/>
      <c r="K566" s="18"/>
      <c r="L566" s="18"/>
      <c r="M566" s="18"/>
    </row>
    <row r="567" s="65" customFormat="1" ht="13.5" spans="1:13">
      <c r="A567" s="66"/>
      <c r="E567" s="72" t="s">
        <v>642</v>
      </c>
      <c r="F567" s="18"/>
      <c r="G567" s="18"/>
      <c r="H567" s="18"/>
      <c r="I567" s="18"/>
      <c r="J567" s="18"/>
      <c r="K567" s="18"/>
      <c r="L567" s="18"/>
      <c r="M567" s="18"/>
    </row>
    <row r="568" s="65" customFormat="1" ht="13.5" spans="1:13">
      <c r="A568" s="66"/>
      <c r="E568" s="72" t="s">
        <v>643</v>
      </c>
      <c r="F568" s="18"/>
      <c r="G568" s="18"/>
      <c r="H568" s="18"/>
      <c r="I568" s="18"/>
      <c r="J568" s="18"/>
      <c r="K568" s="18"/>
      <c r="L568" s="18"/>
      <c r="M568" s="18"/>
    </row>
    <row r="569" s="65" customFormat="1" ht="13.5" spans="1:13">
      <c r="A569" s="66"/>
      <c r="E569" s="72" t="s">
        <v>644</v>
      </c>
      <c r="F569" s="18"/>
      <c r="G569" s="18"/>
      <c r="H569" s="18"/>
      <c r="I569" s="18"/>
      <c r="J569" s="18"/>
      <c r="K569" s="18"/>
      <c r="L569" s="18"/>
      <c r="M569" s="18"/>
    </row>
    <row r="570" s="65" customFormat="1" ht="13.5" spans="1:13">
      <c r="A570" s="66"/>
      <c r="E570" s="72" t="s">
        <v>645</v>
      </c>
      <c r="F570" s="18"/>
      <c r="G570" s="18"/>
      <c r="H570" s="18"/>
      <c r="I570" s="18"/>
      <c r="J570" s="18"/>
      <c r="K570" s="18"/>
      <c r="L570" s="18"/>
      <c r="M570" s="18"/>
    </row>
    <row r="571" s="65" customFormat="1" ht="13.5" spans="1:13">
      <c r="A571" s="66"/>
      <c r="E571" s="72" t="s">
        <v>646</v>
      </c>
      <c r="F571" s="18"/>
      <c r="G571" s="18"/>
      <c r="H571" s="18"/>
      <c r="I571" s="18"/>
      <c r="J571" s="18"/>
      <c r="K571" s="18"/>
      <c r="L571" s="18"/>
      <c r="M571" s="18"/>
    </row>
    <row r="572" s="65" customFormat="1" ht="13.5" spans="1:13">
      <c r="A572" s="66"/>
      <c r="E572" s="72" t="s">
        <v>647</v>
      </c>
      <c r="F572" s="18"/>
      <c r="G572" s="18"/>
      <c r="H572" s="18"/>
      <c r="I572" s="18"/>
      <c r="J572" s="18"/>
      <c r="K572" s="18"/>
      <c r="L572" s="18"/>
      <c r="M572" s="18"/>
    </row>
    <row r="573" s="65" customFormat="1" ht="13.5" spans="1:13">
      <c r="A573" s="66"/>
      <c r="E573" s="72" t="s">
        <v>648</v>
      </c>
      <c r="F573" s="18"/>
      <c r="G573" s="18"/>
      <c r="H573" s="18"/>
      <c r="I573" s="18"/>
      <c r="J573" s="18"/>
      <c r="K573" s="18"/>
      <c r="L573" s="18"/>
      <c r="M573" s="18"/>
    </row>
    <row r="574" s="65" customFormat="1" ht="13.5" spans="1:13">
      <c r="A574" s="66"/>
      <c r="E574" s="72" t="s">
        <v>649</v>
      </c>
      <c r="F574" s="18"/>
      <c r="G574" s="18"/>
      <c r="H574" s="18"/>
      <c r="I574" s="18"/>
      <c r="J574" s="18"/>
      <c r="K574" s="18"/>
      <c r="L574" s="18"/>
      <c r="M574" s="18"/>
    </row>
    <row r="575" s="65" customFormat="1" ht="13.5" spans="1:13">
      <c r="A575" s="66"/>
      <c r="E575" s="72" t="s">
        <v>650</v>
      </c>
      <c r="F575" s="18"/>
      <c r="G575" s="18"/>
      <c r="H575" s="18"/>
      <c r="I575" s="18"/>
      <c r="J575" s="18"/>
      <c r="K575" s="18"/>
      <c r="L575" s="18"/>
      <c r="M575" s="18"/>
    </row>
    <row r="576" s="65" customFormat="1" ht="13.5" spans="1:13">
      <c r="A576" s="66"/>
      <c r="E576" s="72" t="s">
        <v>651</v>
      </c>
      <c r="F576" s="18"/>
      <c r="G576" s="18"/>
      <c r="H576" s="18"/>
      <c r="I576" s="18"/>
      <c r="J576" s="18"/>
      <c r="K576" s="18"/>
      <c r="L576" s="18"/>
      <c r="M576" s="18"/>
    </row>
    <row r="577" s="65" customFormat="1" ht="13.5" spans="1:13">
      <c r="A577" s="66"/>
      <c r="E577" s="72" t="s">
        <v>652</v>
      </c>
      <c r="F577" s="18"/>
      <c r="G577" s="18"/>
      <c r="H577" s="18"/>
      <c r="I577" s="18"/>
      <c r="J577" s="18"/>
      <c r="K577" s="18"/>
      <c r="L577" s="18"/>
      <c r="M577" s="18"/>
    </row>
    <row r="578" s="65" customFormat="1" ht="13.5" spans="1:13">
      <c r="A578" s="66"/>
      <c r="E578" s="72" t="s">
        <v>653</v>
      </c>
      <c r="F578" s="18"/>
      <c r="G578" s="18"/>
      <c r="H578" s="18"/>
      <c r="I578" s="18"/>
      <c r="J578" s="18"/>
      <c r="K578" s="18"/>
      <c r="L578" s="18"/>
      <c r="M578" s="18"/>
    </row>
    <row r="579" s="65" customFormat="1" ht="13.5" spans="1:13">
      <c r="A579" s="66"/>
      <c r="E579" s="72" t="s">
        <v>654</v>
      </c>
      <c r="F579" s="18"/>
      <c r="G579" s="18"/>
      <c r="H579" s="18"/>
      <c r="I579" s="18"/>
      <c r="J579" s="18"/>
      <c r="K579" s="18"/>
      <c r="L579" s="18"/>
      <c r="M579" s="18"/>
    </row>
    <row r="580" s="65" customFormat="1" ht="13.5" spans="1:13">
      <c r="A580" s="66"/>
      <c r="E580" s="72" t="s">
        <v>655</v>
      </c>
      <c r="F580" s="18"/>
      <c r="G580" s="18"/>
      <c r="H580" s="18"/>
      <c r="I580" s="18"/>
      <c r="J580" s="18"/>
      <c r="K580" s="18"/>
      <c r="L580" s="18"/>
      <c r="M580" s="18"/>
    </row>
    <row r="581" s="65" customFormat="1" ht="13.5" spans="1:13">
      <c r="A581" s="66"/>
      <c r="E581" s="72" t="s">
        <v>656</v>
      </c>
      <c r="F581" s="18"/>
      <c r="G581" s="18"/>
      <c r="H581" s="18"/>
      <c r="I581" s="18"/>
      <c r="J581" s="18"/>
      <c r="K581" s="18"/>
      <c r="L581" s="18"/>
      <c r="M581" s="18"/>
    </row>
    <row r="582" s="65" customFormat="1" ht="13.5" spans="1:13">
      <c r="A582" s="66"/>
      <c r="E582" s="72" t="s">
        <v>657</v>
      </c>
      <c r="F582" s="18"/>
      <c r="G582" s="18"/>
      <c r="H582" s="18"/>
      <c r="I582" s="18"/>
      <c r="J582" s="18"/>
      <c r="K582" s="18"/>
      <c r="L582" s="18"/>
      <c r="M582" s="18"/>
    </row>
    <row r="583" s="65" customFormat="1" ht="13.5" spans="1:13">
      <c r="A583" s="66"/>
      <c r="E583" s="72" t="s">
        <v>658</v>
      </c>
      <c r="F583" s="18"/>
      <c r="G583" s="18"/>
      <c r="H583" s="18"/>
      <c r="I583" s="18"/>
      <c r="J583" s="18"/>
      <c r="K583" s="18"/>
      <c r="L583" s="18"/>
      <c r="M583" s="18"/>
    </row>
    <row r="584" s="65" customFormat="1" ht="13.5" spans="1:13">
      <c r="A584" s="66"/>
      <c r="E584" s="72" t="s">
        <v>659</v>
      </c>
      <c r="F584" s="18"/>
      <c r="G584" s="18"/>
      <c r="H584" s="18"/>
      <c r="I584" s="18"/>
      <c r="J584" s="18"/>
      <c r="K584" s="18"/>
      <c r="L584" s="18"/>
      <c r="M584" s="18"/>
    </row>
    <row r="585" s="65" customFormat="1" ht="13.5" spans="1:13">
      <c r="A585" s="66"/>
      <c r="E585" s="72" t="s">
        <v>660</v>
      </c>
      <c r="F585" s="18"/>
      <c r="G585" s="18"/>
      <c r="H585" s="18"/>
      <c r="I585" s="18"/>
      <c r="J585" s="18"/>
      <c r="K585" s="18"/>
      <c r="L585" s="18"/>
      <c r="M585" s="18"/>
    </row>
    <row r="586" s="65" customFormat="1" ht="13.5" spans="1:13">
      <c r="A586" s="66"/>
      <c r="E586" s="72" t="s">
        <v>661</v>
      </c>
      <c r="F586" s="18"/>
      <c r="G586" s="18"/>
      <c r="H586" s="18"/>
      <c r="I586" s="18"/>
      <c r="J586" s="18"/>
      <c r="K586" s="18"/>
      <c r="L586" s="18"/>
      <c r="M586" s="18"/>
    </row>
    <row r="587" s="65" customFormat="1" ht="13.5" spans="1:13">
      <c r="A587" s="66"/>
      <c r="E587" s="72" t="s">
        <v>662</v>
      </c>
      <c r="F587" s="18"/>
      <c r="G587" s="18"/>
      <c r="H587" s="18"/>
      <c r="I587" s="18"/>
      <c r="J587" s="18"/>
      <c r="K587" s="18"/>
      <c r="L587" s="18"/>
      <c r="M587" s="18"/>
    </row>
    <row r="588" s="65" customFormat="1" ht="13.5" spans="1:13">
      <c r="A588" s="66"/>
      <c r="E588" s="72" t="s">
        <v>663</v>
      </c>
      <c r="F588" s="18"/>
      <c r="G588" s="18"/>
      <c r="H588" s="18"/>
      <c r="I588" s="18"/>
      <c r="J588" s="18"/>
      <c r="K588" s="18"/>
      <c r="L588" s="18"/>
      <c r="M588" s="18"/>
    </row>
    <row r="589" s="65" customFormat="1" ht="13.5" spans="1:13">
      <c r="A589" s="66"/>
      <c r="E589" s="72" t="s">
        <v>664</v>
      </c>
      <c r="F589" s="18"/>
      <c r="G589" s="18"/>
      <c r="H589" s="18"/>
      <c r="I589" s="18"/>
      <c r="J589" s="18"/>
      <c r="K589" s="18"/>
      <c r="L589" s="18"/>
      <c r="M589" s="18"/>
    </row>
    <row r="590" s="65" customFormat="1" ht="13.5" spans="1:13">
      <c r="A590" s="66"/>
      <c r="E590" s="72" t="s">
        <v>665</v>
      </c>
      <c r="F590" s="18"/>
      <c r="G590" s="18"/>
      <c r="H590" s="18"/>
      <c r="I590" s="18"/>
      <c r="J590" s="18"/>
      <c r="K590" s="18"/>
      <c r="L590" s="18"/>
      <c r="M590" s="18"/>
    </row>
    <row r="591" s="65" customFormat="1" ht="13.5" spans="1:13">
      <c r="A591" s="66"/>
      <c r="E591" s="72" t="s">
        <v>666</v>
      </c>
      <c r="F591" s="18"/>
      <c r="G591" s="18"/>
      <c r="H591" s="18"/>
      <c r="I591" s="18"/>
      <c r="J591" s="18"/>
      <c r="K591" s="18"/>
      <c r="L591" s="18"/>
      <c r="M591" s="18"/>
    </row>
    <row r="592" s="65" customFormat="1" ht="13.5" spans="1:13">
      <c r="A592" s="66"/>
      <c r="E592" s="72" t="s">
        <v>667</v>
      </c>
      <c r="F592" s="18"/>
      <c r="G592" s="18"/>
      <c r="H592" s="18"/>
      <c r="I592" s="18"/>
      <c r="J592" s="18"/>
      <c r="K592" s="18"/>
      <c r="L592" s="18"/>
      <c r="M592" s="18"/>
    </row>
    <row r="593" s="65" customFormat="1" ht="13.5" spans="1:13">
      <c r="A593" s="66"/>
      <c r="E593" s="72" t="s">
        <v>668</v>
      </c>
      <c r="F593" s="18"/>
      <c r="G593" s="18"/>
      <c r="H593" s="18"/>
      <c r="I593" s="18"/>
      <c r="J593" s="18"/>
      <c r="K593" s="18"/>
      <c r="L593" s="18"/>
      <c r="M593" s="18"/>
    </row>
    <row r="594" s="65" customFormat="1" ht="13.5" spans="1:13">
      <c r="A594" s="66"/>
      <c r="E594" s="72" t="s">
        <v>669</v>
      </c>
      <c r="F594" s="18"/>
      <c r="G594" s="18"/>
      <c r="H594" s="18"/>
      <c r="I594" s="18"/>
      <c r="J594" s="18"/>
      <c r="K594" s="18"/>
      <c r="L594" s="18"/>
      <c r="M594" s="18"/>
    </row>
    <row r="595" s="65" customFormat="1" ht="13.5" spans="1:13">
      <c r="A595" s="66"/>
      <c r="E595" s="72" t="s">
        <v>670</v>
      </c>
      <c r="F595" s="18"/>
      <c r="G595" s="18"/>
      <c r="H595" s="18"/>
      <c r="I595" s="18"/>
      <c r="J595" s="18"/>
      <c r="K595" s="18"/>
      <c r="L595" s="18"/>
      <c r="M595" s="18"/>
    </row>
    <row r="596" s="65" customFormat="1" ht="13.5" spans="1:13">
      <c r="A596" s="66"/>
      <c r="E596" s="72" t="s">
        <v>671</v>
      </c>
      <c r="F596" s="18"/>
      <c r="G596" s="18"/>
      <c r="H596" s="18"/>
      <c r="I596" s="18"/>
      <c r="J596" s="18"/>
      <c r="K596" s="18"/>
      <c r="L596" s="18"/>
      <c r="M596" s="18"/>
    </row>
    <row r="597" s="65" customFormat="1" ht="13.5" spans="1:13">
      <c r="A597" s="66"/>
      <c r="E597" s="72" t="s">
        <v>672</v>
      </c>
      <c r="F597" s="18"/>
      <c r="G597" s="18"/>
      <c r="H597" s="18"/>
      <c r="I597" s="18"/>
      <c r="J597" s="18"/>
      <c r="K597" s="18"/>
      <c r="L597" s="18"/>
      <c r="M597" s="18"/>
    </row>
    <row r="598" s="65" customFormat="1" ht="13.5" spans="1:13">
      <c r="A598" s="66"/>
      <c r="E598" s="72" t="s">
        <v>673</v>
      </c>
      <c r="F598" s="18"/>
      <c r="G598" s="18"/>
      <c r="H598" s="18"/>
      <c r="I598" s="18"/>
      <c r="J598" s="18"/>
      <c r="K598" s="18"/>
      <c r="L598" s="18"/>
      <c r="M598" s="18"/>
    </row>
    <row r="599" s="65" customFormat="1" ht="13.5" spans="1:13">
      <c r="A599" s="66"/>
      <c r="E599" s="72" t="s">
        <v>674</v>
      </c>
      <c r="F599" s="18"/>
      <c r="G599" s="18"/>
      <c r="H599" s="18"/>
      <c r="I599" s="18"/>
      <c r="J599" s="18"/>
      <c r="K599" s="18"/>
      <c r="L599" s="18"/>
      <c r="M599" s="18"/>
    </row>
    <row r="600" s="65" customFormat="1" ht="13.5" spans="1:13">
      <c r="A600" s="66"/>
      <c r="E600" s="72" t="s">
        <v>675</v>
      </c>
      <c r="F600" s="18"/>
      <c r="G600" s="18"/>
      <c r="H600" s="18"/>
      <c r="I600" s="18"/>
      <c r="J600" s="18"/>
      <c r="K600" s="18"/>
      <c r="L600" s="18"/>
      <c r="M600" s="18"/>
    </row>
    <row r="601" s="65" customFormat="1" ht="13.5" spans="1:13">
      <c r="A601" s="66"/>
      <c r="E601" s="72" t="s">
        <v>676</v>
      </c>
      <c r="F601" s="18"/>
      <c r="G601" s="18"/>
      <c r="H601" s="18"/>
      <c r="I601" s="18"/>
      <c r="J601" s="18"/>
      <c r="K601" s="18"/>
      <c r="L601" s="18"/>
      <c r="M601" s="18"/>
    </row>
    <row r="602" s="65" customFormat="1" ht="13.5" spans="1:13">
      <c r="A602" s="66"/>
      <c r="E602" s="72" t="s">
        <v>677</v>
      </c>
      <c r="F602" s="18"/>
      <c r="G602" s="18"/>
      <c r="H602" s="18"/>
      <c r="I602" s="18"/>
      <c r="J602" s="18"/>
      <c r="K602" s="18"/>
      <c r="L602" s="18"/>
      <c r="M602" s="18"/>
    </row>
    <row r="603" s="65" customFormat="1" ht="13.5" spans="1:13">
      <c r="A603" s="66"/>
      <c r="E603" s="72" t="s">
        <v>678</v>
      </c>
      <c r="F603" s="18"/>
      <c r="G603" s="18"/>
      <c r="H603" s="18"/>
      <c r="I603" s="18"/>
      <c r="J603" s="18"/>
      <c r="K603" s="18"/>
      <c r="L603" s="18"/>
      <c r="M603" s="18"/>
    </row>
    <row r="604" s="65" customFormat="1" ht="13.5" spans="1:13">
      <c r="A604" s="66"/>
      <c r="E604" s="72" t="s">
        <v>679</v>
      </c>
      <c r="F604" s="18"/>
      <c r="G604" s="18"/>
      <c r="H604" s="18"/>
      <c r="I604" s="18"/>
      <c r="J604" s="18"/>
      <c r="K604" s="18"/>
      <c r="L604" s="18"/>
      <c r="M604" s="18"/>
    </row>
    <row r="605" s="65" customFormat="1" ht="13.5" spans="1:13">
      <c r="A605" s="66"/>
      <c r="E605" s="72" t="s">
        <v>680</v>
      </c>
      <c r="F605" s="18"/>
      <c r="G605" s="18"/>
      <c r="H605" s="18"/>
      <c r="I605" s="18"/>
      <c r="J605" s="18"/>
      <c r="K605" s="18"/>
      <c r="L605" s="18"/>
      <c r="M605" s="18"/>
    </row>
    <row r="606" s="65" customFormat="1" ht="13.5" spans="1:13">
      <c r="A606" s="66"/>
      <c r="E606" s="72" t="s">
        <v>681</v>
      </c>
      <c r="F606" s="18"/>
      <c r="G606" s="18"/>
      <c r="H606" s="18"/>
      <c r="I606" s="18"/>
      <c r="J606" s="18"/>
      <c r="K606" s="18"/>
      <c r="L606" s="18"/>
      <c r="M606" s="18"/>
    </row>
    <row r="607" s="65" customFormat="1" ht="13.5" spans="1:13">
      <c r="A607" s="66"/>
      <c r="E607" s="72" t="s">
        <v>682</v>
      </c>
      <c r="F607" s="18"/>
      <c r="G607" s="18"/>
      <c r="H607" s="18"/>
      <c r="I607" s="18"/>
      <c r="J607" s="18"/>
      <c r="K607" s="18"/>
      <c r="L607" s="18"/>
      <c r="M607" s="18"/>
    </row>
    <row r="608" s="65" customFormat="1" ht="13.5" spans="1:13">
      <c r="A608" s="66"/>
      <c r="E608" s="72" t="s">
        <v>683</v>
      </c>
      <c r="F608" s="18"/>
      <c r="G608" s="18"/>
      <c r="H608" s="18"/>
      <c r="I608" s="18"/>
      <c r="J608" s="18"/>
      <c r="K608" s="18"/>
      <c r="L608" s="18"/>
      <c r="M608" s="18"/>
    </row>
    <row r="609" s="65" customFormat="1" ht="13.5" spans="1:13">
      <c r="A609" s="66"/>
      <c r="E609" s="72" t="s">
        <v>684</v>
      </c>
      <c r="F609" s="18"/>
      <c r="G609" s="18"/>
      <c r="H609" s="18"/>
      <c r="I609" s="18"/>
      <c r="J609" s="18"/>
      <c r="K609" s="18"/>
      <c r="L609" s="18"/>
      <c r="M609" s="18"/>
    </row>
    <row r="610" s="65" customFormat="1" ht="13.5" spans="1:13">
      <c r="A610" s="66"/>
      <c r="E610" s="72" t="s">
        <v>685</v>
      </c>
      <c r="F610" s="18"/>
      <c r="G610" s="18"/>
      <c r="H610" s="18"/>
      <c r="I610" s="18"/>
      <c r="J610" s="18"/>
      <c r="K610" s="18"/>
      <c r="L610" s="18"/>
      <c r="M610" s="18"/>
    </row>
    <row r="611" s="65" customFormat="1" ht="13.5" spans="1:13">
      <c r="A611" s="66"/>
      <c r="E611" s="72" t="s">
        <v>686</v>
      </c>
      <c r="F611" s="18"/>
      <c r="G611" s="18"/>
      <c r="H611" s="18"/>
      <c r="I611" s="18"/>
      <c r="J611" s="18"/>
      <c r="K611" s="18"/>
      <c r="L611" s="18"/>
      <c r="M611" s="18"/>
    </row>
    <row r="612" s="65" customFormat="1" ht="13.5" spans="1:13">
      <c r="A612" s="66"/>
      <c r="E612" s="72" t="s">
        <v>687</v>
      </c>
      <c r="F612" s="18"/>
      <c r="G612" s="18"/>
      <c r="H612" s="18"/>
      <c r="I612" s="18"/>
      <c r="J612" s="18"/>
      <c r="K612" s="18"/>
      <c r="L612" s="18"/>
      <c r="M612" s="18"/>
    </row>
    <row r="613" s="65" customFormat="1" ht="13.5" spans="1:13">
      <c r="A613" s="66"/>
      <c r="E613" s="72" t="s">
        <v>688</v>
      </c>
      <c r="F613" s="18"/>
      <c r="G613" s="18"/>
      <c r="H613" s="18"/>
      <c r="I613" s="18"/>
      <c r="J613" s="18"/>
      <c r="K613" s="18"/>
      <c r="L613" s="18"/>
      <c r="M613" s="18"/>
    </row>
    <row r="614" s="65" customFormat="1" ht="13.5" spans="1:13">
      <c r="A614" s="66"/>
      <c r="E614" s="72" t="s">
        <v>689</v>
      </c>
      <c r="F614" s="18"/>
      <c r="G614" s="18"/>
      <c r="H614" s="18"/>
      <c r="I614" s="18"/>
      <c r="J614" s="18"/>
      <c r="K614" s="18"/>
      <c r="L614" s="18"/>
      <c r="M614" s="18"/>
    </row>
    <row r="615" s="65" customFormat="1" ht="13.5" spans="1:13">
      <c r="A615" s="66"/>
      <c r="E615" s="72" t="s">
        <v>690</v>
      </c>
      <c r="F615" s="18"/>
      <c r="G615" s="18"/>
      <c r="H615" s="18"/>
      <c r="I615" s="18"/>
      <c r="J615" s="18"/>
      <c r="K615" s="18"/>
      <c r="L615" s="18"/>
      <c r="M615" s="18"/>
    </row>
    <row r="616" s="65" customFormat="1" ht="13.5" spans="1:13">
      <c r="A616" s="66"/>
      <c r="E616" s="72" t="s">
        <v>691</v>
      </c>
      <c r="F616" s="18"/>
      <c r="G616" s="18"/>
      <c r="H616" s="18"/>
      <c r="I616" s="18"/>
      <c r="J616" s="18"/>
      <c r="K616" s="18"/>
      <c r="L616" s="18"/>
      <c r="M616" s="18"/>
    </row>
    <row r="617" s="65" customFormat="1" ht="13.5" spans="1:13">
      <c r="A617" s="66"/>
      <c r="E617" s="72" t="s">
        <v>692</v>
      </c>
      <c r="F617" s="18"/>
      <c r="G617" s="18"/>
      <c r="H617" s="18"/>
      <c r="I617" s="18"/>
      <c r="J617" s="18"/>
      <c r="K617" s="18"/>
      <c r="L617" s="18"/>
      <c r="M617" s="18"/>
    </row>
    <row r="618" s="65" customFormat="1" ht="13.5" spans="1:13">
      <c r="A618" s="66"/>
      <c r="E618" s="72" t="s">
        <v>693</v>
      </c>
      <c r="F618" s="18"/>
      <c r="G618" s="18"/>
      <c r="H618" s="18"/>
      <c r="I618" s="18"/>
      <c r="J618" s="18"/>
      <c r="K618" s="18"/>
      <c r="L618" s="18"/>
      <c r="M618" s="18"/>
    </row>
    <row r="619" s="65" customFormat="1" ht="13.5" spans="1:13">
      <c r="A619" s="66"/>
      <c r="E619" s="72" t="s">
        <v>694</v>
      </c>
      <c r="F619" s="18"/>
      <c r="G619" s="18"/>
      <c r="H619" s="18"/>
      <c r="I619" s="18"/>
      <c r="J619" s="18"/>
      <c r="K619" s="18"/>
      <c r="L619" s="18"/>
      <c r="M619" s="18"/>
    </row>
    <row r="620" s="65" customFormat="1" ht="13.5" spans="1:13">
      <c r="A620" s="66"/>
      <c r="E620" s="72" t="s">
        <v>695</v>
      </c>
      <c r="F620" s="18"/>
      <c r="G620" s="18"/>
      <c r="H620" s="18"/>
      <c r="I620" s="18"/>
      <c r="J620" s="18"/>
      <c r="K620" s="18"/>
      <c r="L620" s="18"/>
      <c r="M620" s="18"/>
    </row>
    <row r="621" s="65" customFormat="1" ht="13.5" spans="1:13">
      <c r="A621" s="66"/>
      <c r="E621" s="72" t="s">
        <v>696</v>
      </c>
      <c r="F621" s="18"/>
      <c r="G621" s="18"/>
      <c r="H621" s="18"/>
      <c r="I621" s="18"/>
      <c r="J621" s="18"/>
      <c r="K621" s="18"/>
      <c r="L621" s="18"/>
      <c r="M621" s="18"/>
    </row>
    <row r="622" s="65" customFormat="1" ht="13.5" spans="1:13">
      <c r="A622" s="66"/>
      <c r="E622" s="72" t="s">
        <v>697</v>
      </c>
      <c r="F622" s="18"/>
      <c r="G622" s="18"/>
      <c r="H622" s="18"/>
      <c r="I622" s="18"/>
      <c r="J622" s="18"/>
      <c r="K622" s="18"/>
      <c r="L622" s="18"/>
      <c r="M622" s="18"/>
    </row>
    <row r="623" s="65" customFormat="1" ht="13.5" spans="1:13">
      <c r="A623" s="66"/>
      <c r="E623" s="72" t="s">
        <v>698</v>
      </c>
      <c r="F623" s="18"/>
      <c r="G623" s="18"/>
      <c r="H623" s="18"/>
      <c r="I623" s="18"/>
      <c r="J623" s="18"/>
      <c r="K623" s="18"/>
      <c r="L623" s="18"/>
      <c r="M623" s="18"/>
    </row>
    <row r="624" s="65" customFormat="1" ht="13.5" spans="1:13">
      <c r="A624" s="66"/>
      <c r="E624" s="72" t="s">
        <v>699</v>
      </c>
      <c r="F624" s="18"/>
      <c r="G624" s="18"/>
      <c r="H624" s="18"/>
      <c r="I624" s="18"/>
      <c r="J624" s="18"/>
      <c r="K624" s="18"/>
      <c r="L624" s="18"/>
      <c r="M624" s="18"/>
    </row>
    <row r="625" s="65" customFormat="1" ht="13.5" spans="1:13">
      <c r="A625" s="66"/>
      <c r="E625" s="72" t="s">
        <v>700</v>
      </c>
      <c r="F625" s="18"/>
      <c r="G625" s="18"/>
      <c r="H625" s="18"/>
      <c r="I625" s="18"/>
      <c r="J625" s="18"/>
      <c r="K625" s="18"/>
      <c r="L625" s="18"/>
      <c r="M625" s="18"/>
    </row>
    <row r="626" s="65" customFormat="1" ht="13.5" spans="1:13">
      <c r="A626" s="66"/>
      <c r="E626" s="72" t="s">
        <v>701</v>
      </c>
      <c r="F626" s="18"/>
      <c r="G626" s="18"/>
      <c r="H626" s="18"/>
      <c r="I626" s="18"/>
      <c r="J626" s="18"/>
      <c r="K626" s="18"/>
      <c r="L626" s="18"/>
      <c r="M626" s="18"/>
    </row>
    <row r="627" s="65" customFormat="1" ht="13.5" spans="1:13">
      <c r="A627" s="66"/>
      <c r="E627" s="72" t="s">
        <v>702</v>
      </c>
      <c r="F627" s="18"/>
      <c r="G627" s="18"/>
      <c r="H627" s="18"/>
      <c r="I627" s="18"/>
      <c r="J627" s="18"/>
      <c r="K627" s="18"/>
      <c r="L627" s="18"/>
      <c r="M627" s="18"/>
    </row>
    <row r="628" s="65" customFormat="1" ht="13.5" spans="1:13">
      <c r="A628" s="66"/>
      <c r="E628" s="72" t="s">
        <v>703</v>
      </c>
      <c r="F628" s="18"/>
      <c r="G628" s="18"/>
      <c r="H628" s="18"/>
      <c r="I628" s="18"/>
      <c r="J628" s="18"/>
      <c r="K628" s="18"/>
      <c r="L628" s="18"/>
      <c r="M628" s="18"/>
    </row>
    <row r="629" s="65" customFormat="1" ht="13.5" spans="1:13">
      <c r="A629" s="66"/>
      <c r="E629" s="72" t="s">
        <v>704</v>
      </c>
      <c r="F629" s="18"/>
      <c r="G629" s="18"/>
      <c r="H629" s="18"/>
      <c r="I629" s="18"/>
      <c r="J629" s="18"/>
      <c r="K629" s="18"/>
      <c r="L629" s="18"/>
      <c r="M629" s="18"/>
    </row>
    <row r="630" s="65" customFormat="1" ht="13.5" spans="1:13">
      <c r="A630" s="66"/>
      <c r="E630" s="72" t="s">
        <v>705</v>
      </c>
      <c r="F630" s="18"/>
      <c r="G630" s="18"/>
      <c r="H630" s="18"/>
      <c r="I630" s="18"/>
      <c r="J630" s="18"/>
      <c r="K630" s="18"/>
      <c r="L630" s="18"/>
      <c r="M630" s="18"/>
    </row>
    <row r="631" s="65" customFormat="1" ht="13.5" spans="1:13">
      <c r="A631" s="66"/>
      <c r="E631" s="72" t="s">
        <v>706</v>
      </c>
      <c r="F631" s="18"/>
      <c r="G631" s="18"/>
      <c r="H631" s="18"/>
      <c r="I631" s="18"/>
      <c r="J631" s="18"/>
      <c r="K631" s="18"/>
      <c r="L631" s="18"/>
      <c r="M631" s="18"/>
    </row>
    <row r="632" s="65" customFormat="1" ht="13.5" spans="1:13">
      <c r="A632" s="66"/>
      <c r="E632" s="72" t="s">
        <v>707</v>
      </c>
      <c r="F632" s="18"/>
      <c r="G632" s="18"/>
      <c r="H632" s="18"/>
      <c r="I632" s="18"/>
      <c r="J632" s="18"/>
      <c r="K632" s="18"/>
      <c r="L632" s="18"/>
      <c r="M632" s="18"/>
    </row>
    <row r="633" s="65" customFormat="1" ht="13.5" spans="1:13">
      <c r="A633" s="66"/>
      <c r="E633" s="72" t="s">
        <v>708</v>
      </c>
      <c r="F633" s="18"/>
      <c r="G633" s="18"/>
      <c r="H633" s="18"/>
      <c r="I633" s="18"/>
      <c r="J633" s="18"/>
      <c r="K633" s="18"/>
      <c r="L633" s="18"/>
      <c r="M633" s="18"/>
    </row>
    <row r="634" s="65" customFormat="1" ht="13.5" spans="1:13">
      <c r="A634" s="66"/>
      <c r="E634" s="72" t="s">
        <v>709</v>
      </c>
      <c r="F634" s="18"/>
      <c r="G634" s="18"/>
      <c r="H634" s="18"/>
      <c r="I634" s="18"/>
      <c r="J634" s="18"/>
      <c r="K634" s="18"/>
      <c r="L634" s="18"/>
      <c r="M634" s="18"/>
    </row>
    <row r="635" s="65" customFormat="1" ht="13.5" spans="1:13">
      <c r="A635" s="66"/>
      <c r="E635" s="72" t="s">
        <v>710</v>
      </c>
      <c r="F635" s="18"/>
      <c r="G635" s="18"/>
      <c r="H635" s="18"/>
      <c r="I635" s="18"/>
      <c r="J635" s="18"/>
      <c r="K635" s="18"/>
      <c r="L635" s="18"/>
      <c r="M635" s="18"/>
    </row>
    <row r="636" s="65" customFormat="1" ht="13.5" spans="1:13">
      <c r="A636" s="66"/>
      <c r="E636" s="72" t="s">
        <v>711</v>
      </c>
      <c r="F636" s="18"/>
      <c r="G636" s="18"/>
      <c r="H636" s="18"/>
      <c r="I636" s="18"/>
      <c r="J636" s="18"/>
      <c r="K636" s="18"/>
      <c r="L636" s="18"/>
      <c r="M636" s="18"/>
    </row>
    <row r="637" s="65" customFormat="1" ht="13.5" spans="1:13">
      <c r="A637" s="66"/>
      <c r="E637" s="72" t="s">
        <v>712</v>
      </c>
      <c r="F637" s="18"/>
      <c r="G637" s="18"/>
      <c r="H637" s="18"/>
      <c r="I637" s="18"/>
      <c r="J637" s="18"/>
      <c r="K637" s="18"/>
      <c r="L637" s="18"/>
      <c r="M637" s="18"/>
    </row>
    <row r="638" s="65" customFormat="1" ht="13.5" spans="1:13">
      <c r="A638" s="66"/>
      <c r="E638" s="72" t="s">
        <v>713</v>
      </c>
      <c r="F638" s="18"/>
      <c r="G638" s="18"/>
      <c r="H638" s="18"/>
      <c r="I638" s="18"/>
      <c r="J638" s="18"/>
      <c r="K638" s="18"/>
      <c r="L638" s="18"/>
      <c r="M638" s="18"/>
    </row>
    <row r="639" s="65" customFormat="1" ht="13.5" spans="1:13">
      <c r="A639" s="66"/>
      <c r="E639" s="72" t="s">
        <v>714</v>
      </c>
      <c r="F639" s="18"/>
      <c r="G639" s="18"/>
      <c r="H639" s="18"/>
      <c r="I639" s="18"/>
      <c r="J639" s="18"/>
      <c r="K639" s="18"/>
      <c r="L639" s="18"/>
      <c r="M639" s="18"/>
    </row>
    <row r="640" s="65" customFormat="1" ht="13.5" spans="1:13">
      <c r="A640" s="66"/>
      <c r="E640" s="72" t="s">
        <v>715</v>
      </c>
      <c r="F640" s="18"/>
      <c r="G640" s="18"/>
      <c r="H640" s="18"/>
      <c r="I640" s="18"/>
      <c r="J640" s="18"/>
      <c r="K640" s="18"/>
      <c r="L640" s="18"/>
      <c r="M640" s="18"/>
    </row>
    <row r="641" s="65" customFormat="1" ht="13.5" spans="1:13">
      <c r="A641" s="66"/>
      <c r="E641" s="72" t="s">
        <v>716</v>
      </c>
      <c r="F641" s="18"/>
      <c r="G641" s="18"/>
      <c r="H641" s="18"/>
      <c r="I641" s="18"/>
      <c r="J641" s="18"/>
      <c r="K641" s="18"/>
      <c r="L641" s="18"/>
      <c r="M641" s="18"/>
    </row>
    <row r="642" s="65" customFormat="1" ht="13.5" spans="1:13">
      <c r="A642" s="66"/>
      <c r="E642" s="72" t="s">
        <v>717</v>
      </c>
      <c r="F642" s="18"/>
      <c r="G642" s="18"/>
      <c r="H642" s="18"/>
      <c r="I642" s="18"/>
      <c r="J642" s="18"/>
      <c r="K642" s="18"/>
      <c r="L642" s="18"/>
      <c r="M642" s="18"/>
    </row>
    <row r="643" s="65" customFormat="1" ht="13.5" spans="1:13">
      <c r="A643" s="66"/>
      <c r="E643" s="72" t="s">
        <v>718</v>
      </c>
      <c r="F643" s="18"/>
      <c r="G643" s="18"/>
      <c r="H643" s="18"/>
      <c r="I643" s="18"/>
      <c r="J643" s="18"/>
      <c r="K643" s="18"/>
      <c r="L643" s="18"/>
      <c r="M643" s="18"/>
    </row>
    <row r="644" s="65" customFormat="1" ht="13.5" spans="1:13">
      <c r="A644" s="66"/>
      <c r="E644" s="72" t="s">
        <v>719</v>
      </c>
      <c r="F644" s="18"/>
      <c r="G644" s="18"/>
      <c r="H644" s="18"/>
      <c r="I644" s="18"/>
      <c r="J644" s="18"/>
      <c r="K644" s="18"/>
      <c r="L644" s="18"/>
      <c r="M644" s="18"/>
    </row>
    <row r="645" s="65" customFormat="1" ht="13.5" spans="1:13">
      <c r="A645" s="66"/>
      <c r="E645" s="72" t="s">
        <v>720</v>
      </c>
      <c r="F645" s="18"/>
      <c r="G645" s="18"/>
      <c r="H645" s="18"/>
      <c r="I645" s="18"/>
      <c r="J645" s="18"/>
      <c r="K645" s="18"/>
      <c r="L645" s="18"/>
      <c r="M645" s="18"/>
    </row>
    <row r="646" s="65" customFormat="1" ht="13.5" spans="1:13">
      <c r="A646" s="66"/>
      <c r="E646" s="72" t="s">
        <v>721</v>
      </c>
      <c r="F646" s="18"/>
      <c r="G646" s="18"/>
      <c r="H646" s="18"/>
      <c r="I646" s="18"/>
      <c r="J646" s="18"/>
      <c r="K646" s="18"/>
      <c r="L646" s="18"/>
      <c r="M646" s="18"/>
    </row>
    <row r="647" s="65" customFormat="1" ht="13.5" spans="1:13">
      <c r="A647" s="66"/>
      <c r="E647" s="72" t="s">
        <v>722</v>
      </c>
      <c r="F647" s="18"/>
      <c r="G647" s="18"/>
      <c r="H647" s="18"/>
      <c r="I647" s="18"/>
      <c r="J647" s="18"/>
      <c r="K647" s="18"/>
      <c r="L647" s="18"/>
      <c r="M647" s="18"/>
    </row>
    <row r="648" s="65" customFormat="1" ht="13.5" spans="1:13">
      <c r="A648" s="66"/>
      <c r="E648" s="72" t="s">
        <v>723</v>
      </c>
      <c r="F648" s="18"/>
      <c r="G648" s="18"/>
      <c r="H648" s="18"/>
      <c r="I648" s="18"/>
      <c r="J648" s="18"/>
      <c r="K648" s="18"/>
      <c r="L648" s="18"/>
      <c r="M648" s="18"/>
    </row>
    <row r="649" s="65" customFormat="1" ht="13.5" spans="1:13">
      <c r="A649" s="66"/>
      <c r="E649" s="72" t="s">
        <v>724</v>
      </c>
      <c r="F649" s="18"/>
      <c r="G649" s="18"/>
      <c r="H649" s="18"/>
      <c r="I649" s="18"/>
      <c r="J649" s="18"/>
      <c r="K649" s="18"/>
      <c r="L649" s="18"/>
      <c r="M649" s="18"/>
    </row>
    <row r="650" s="65" customFormat="1" ht="13.5" spans="1:13">
      <c r="A650" s="66"/>
      <c r="E650" s="72" t="s">
        <v>725</v>
      </c>
      <c r="F650" s="18"/>
      <c r="G650" s="18"/>
      <c r="H650" s="18"/>
      <c r="I650" s="18"/>
      <c r="J650" s="18"/>
      <c r="K650" s="18"/>
      <c r="L650" s="18"/>
      <c r="M650" s="18"/>
    </row>
    <row r="651" s="65" customFormat="1" ht="13.5" spans="1:13">
      <c r="A651" s="66"/>
      <c r="E651" s="72" t="s">
        <v>726</v>
      </c>
      <c r="F651" s="18"/>
      <c r="G651" s="18"/>
      <c r="H651" s="18"/>
      <c r="I651" s="18"/>
      <c r="J651" s="18"/>
      <c r="K651" s="18"/>
      <c r="L651" s="18"/>
      <c r="M651" s="18"/>
    </row>
    <row r="652" s="65" customFormat="1" ht="13.5" spans="1:13">
      <c r="A652" s="66"/>
      <c r="E652" s="72" t="s">
        <v>727</v>
      </c>
      <c r="F652" s="18"/>
      <c r="G652" s="18"/>
      <c r="H652" s="18"/>
      <c r="I652" s="18"/>
      <c r="J652" s="18"/>
      <c r="K652" s="18"/>
      <c r="L652" s="18"/>
      <c r="M652" s="18"/>
    </row>
    <row r="653" s="65" customFormat="1" ht="13.5" spans="1:13">
      <c r="A653" s="66"/>
      <c r="E653" s="72" t="s">
        <v>728</v>
      </c>
      <c r="F653" s="18"/>
      <c r="G653" s="18"/>
      <c r="H653" s="18"/>
      <c r="I653" s="18"/>
      <c r="J653" s="18"/>
      <c r="K653" s="18"/>
      <c r="L653" s="18"/>
      <c r="M653" s="18"/>
    </row>
    <row r="654" s="65" customFormat="1" ht="13.5" spans="1:13">
      <c r="A654" s="66"/>
      <c r="E654" s="72" t="s">
        <v>729</v>
      </c>
      <c r="F654" s="18"/>
      <c r="G654" s="18"/>
      <c r="H654" s="18"/>
      <c r="I654" s="18"/>
      <c r="J654" s="18"/>
      <c r="K654" s="18"/>
      <c r="L654" s="18"/>
      <c r="M654" s="18"/>
    </row>
    <row r="655" s="65" customFormat="1" ht="13.5" spans="1:13">
      <c r="A655" s="66"/>
      <c r="E655" s="72" t="s">
        <v>730</v>
      </c>
      <c r="F655" s="18"/>
      <c r="G655" s="18"/>
      <c r="H655" s="18"/>
      <c r="I655" s="18"/>
      <c r="J655" s="18"/>
      <c r="K655" s="18"/>
      <c r="L655" s="18"/>
      <c r="M655" s="18"/>
    </row>
    <row r="656" s="65" customFormat="1" ht="13.5" spans="1:13">
      <c r="A656" s="66"/>
      <c r="E656" s="72" t="s">
        <v>731</v>
      </c>
      <c r="F656" s="18"/>
      <c r="G656" s="18"/>
      <c r="H656" s="18"/>
      <c r="I656" s="18"/>
      <c r="J656" s="18"/>
      <c r="K656" s="18"/>
      <c r="L656" s="18"/>
      <c r="M656" s="18"/>
    </row>
    <row r="657" s="65" customFormat="1" ht="13.5" spans="1:13">
      <c r="A657" s="66"/>
      <c r="E657" s="72" t="s">
        <v>732</v>
      </c>
      <c r="F657" s="18"/>
      <c r="G657" s="18"/>
      <c r="H657" s="18"/>
      <c r="I657" s="18"/>
      <c r="J657" s="18"/>
      <c r="K657" s="18"/>
      <c r="L657" s="18"/>
      <c r="M657" s="18"/>
    </row>
    <row r="658" s="65" customFormat="1" ht="13.5" spans="1:13">
      <c r="A658" s="66"/>
      <c r="E658" s="72" t="s">
        <v>733</v>
      </c>
      <c r="F658" s="18"/>
      <c r="G658" s="18"/>
      <c r="H658" s="18"/>
      <c r="I658" s="18"/>
      <c r="J658" s="18"/>
      <c r="K658" s="18"/>
      <c r="L658" s="18"/>
      <c r="M658" s="18"/>
    </row>
    <row r="659" s="65" customFormat="1" ht="13.5" spans="1:13">
      <c r="A659" s="66"/>
      <c r="E659" s="72" t="s">
        <v>734</v>
      </c>
      <c r="F659" s="18"/>
      <c r="G659" s="18"/>
      <c r="H659" s="18"/>
      <c r="I659" s="18"/>
      <c r="J659" s="18"/>
      <c r="K659" s="18"/>
      <c r="L659" s="18"/>
      <c r="M659" s="18"/>
    </row>
    <row r="660" s="65" customFormat="1" ht="13.5" spans="1:13">
      <c r="A660" s="66"/>
      <c r="E660" s="72" t="s">
        <v>735</v>
      </c>
      <c r="F660" s="18"/>
      <c r="G660" s="18"/>
      <c r="H660" s="18"/>
      <c r="I660" s="18"/>
      <c r="J660" s="18"/>
      <c r="K660" s="18"/>
      <c r="L660" s="18"/>
      <c r="M660" s="18"/>
    </row>
    <row r="661" s="65" customFormat="1" ht="13.5" spans="1:13">
      <c r="A661" s="66"/>
      <c r="E661" s="72" t="s">
        <v>736</v>
      </c>
      <c r="F661" s="18"/>
      <c r="G661" s="18"/>
      <c r="H661" s="18"/>
      <c r="I661" s="18"/>
      <c r="J661" s="18"/>
      <c r="K661" s="18"/>
      <c r="L661" s="18"/>
      <c r="M661" s="18"/>
    </row>
    <row r="662" s="65" customFormat="1" ht="13.5" spans="1:13">
      <c r="A662" s="66"/>
      <c r="E662" s="72" t="s">
        <v>737</v>
      </c>
      <c r="F662" s="18"/>
      <c r="G662" s="18"/>
      <c r="H662" s="18"/>
      <c r="I662" s="18"/>
      <c r="J662" s="18"/>
      <c r="K662" s="18"/>
      <c r="L662" s="18"/>
      <c r="M662" s="18"/>
    </row>
    <row r="663" s="65" customFormat="1" ht="13.5" spans="1:13">
      <c r="A663" s="66"/>
      <c r="E663" s="72" t="s">
        <v>738</v>
      </c>
      <c r="F663" s="18"/>
      <c r="G663" s="18"/>
      <c r="H663" s="18"/>
      <c r="I663" s="18"/>
      <c r="J663" s="18"/>
      <c r="K663" s="18"/>
      <c r="L663" s="18"/>
      <c r="M663" s="18"/>
    </row>
    <row r="664" s="65" customFormat="1" ht="13.5" spans="1:13">
      <c r="A664" s="66"/>
      <c r="E664" s="72" t="s">
        <v>739</v>
      </c>
      <c r="F664" s="18"/>
      <c r="G664" s="18"/>
      <c r="H664" s="18"/>
      <c r="I664" s="18"/>
      <c r="J664" s="18"/>
      <c r="K664" s="18"/>
      <c r="L664" s="18"/>
      <c r="M664" s="18"/>
    </row>
    <row r="665" s="65" customFormat="1" ht="13.5" spans="1:13">
      <c r="A665" s="66"/>
      <c r="E665" s="72" t="s">
        <v>740</v>
      </c>
      <c r="F665" s="18"/>
      <c r="G665" s="18"/>
      <c r="H665" s="18"/>
      <c r="I665" s="18"/>
      <c r="J665" s="18"/>
      <c r="K665" s="18"/>
      <c r="L665" s="18"/>
      <c r="M665" s="18"/>
    </row>
    <row r="666" s="65" customFormat="1" ht="13.5" spans="1:13">
      <c r="A666" s="66"/>
      <c r="E666" s="72" t="s">
        <v>741</v>
      </c>
      <c r="F666" s="18"/>
      <c r="G666" s="18"/>
      <c r="H666" s="18"/>
      <c r="I666" s="18"/>
      <c r="J666" s="18"/>
      <c r="K666" s="18"/>
      <c r="L666" s="18"/>
      <c r="M666" s="18"/>
    </row>
    <row r="667" s="65" customFormat="1" ht="13.5" spans="1:13">
      <c r="A667" s="66"/>
      <c r="E667" s="72" t="s">
        <v>742</v>
      </c>
      <c r="F667" s="18"/>
      <c r="G667" s="18"/>
      <c r="H667" s="18"/>
      <c r="I667" s="18"/>
      <c r="J667" s="18"/>
      <c r="K667" s="18"/>
      <c r="L667" s="18"/>
      <c r="M667" s="18"/>
    </row>
    <row r="668" s="65" customFormat="1" ht="13.5" spans="1:13">
      <c r="A668" s="66"/>
      <c r="E668" s="72" t="s">
        <v>743</v>
      </c>
      <c r="F668" s="18"/>
      <c r="G668" s="18"/>
      <c r="H668" s="18"/>
      <c r="I668" s="18"/>
      <c r="J668" s="18"/>
      <c r="K668" s="18"/>
      <c r="L668" s="18"/>
      <c r="M668" s="18"/>
    </row>
    <row r="669" s="65" customFormat="1" ht="13.5" spans="1:13">
      <c r="A669" s="66"/>
      <c r="E669" s="72" t="s">
        <v>744</v>
      </c>
      <c r="F669" s="18"/>
      <c r="G669" s="18"/>
      <c r="H669" s="18"/>
      <c r="I669" s="18"/>
      <c r="J669" s="18"/>
      <c r="K669" s="18"/>
      <c r="L669" s="18"/>
      <c r="M669" s="18"/>
    </row>
    <row r="670" s="65" customFormat="1" ht="13.5" spans="1:13">
      <c r="A670" s="66"/>
      <c r="E670" s="72" t="s">
        <v>745</v>
      </c>
      <c r="F670" s="18"/>
      <c r="G670" s="18"/>
      <c r="H670" s="18"/>
      <c r="I670" s="18"/>
      <c r="J670" s="18"/>
      <c r="K670" s="18"/>
      <c r="L670" s="18"/>
      <c r="M670" s="18"/>
    </row>
    <row r="671" s="65" customFormat="1" ht="13.5" spans="1:13">
      <c r="A671" s="66"/>
      <c r="E671" s="72" t="s">
        <v>746</v>
      </c>
      <c r="F671" s="18"/>
      <c r="G671" s="18"/>
      <c r="H671" s="18"/>
      <c r="I671" s="18"/>
      <c r="J671" s="18"/>
      <c r="K671" s="18"/>
      <c r="L671" s="18"/>
      <c r="M671" s="18"/>
    </row>
    <row r="672" s="65" customFormat="1" ht="13.5" spans="1:13">
      <c r="A672" s="66"/>
      <c r="E672" s="72" t="s">
        <v>747</v>
      </c>
      <c r="F672" s="18"/>
      <c r="G672" s="18"/>
      <c r="H672" s="18"/>
      <c r="I672" s="18"/>
      <c r="J672" s="18"/>
      <c r="K672" s="18"/>
      <c r="L672" s="18"/>
      <c r="M672" s="18"/>
    </row>
    <row r="673" s="65" customFormat="1" ht="13.5" spans="1:13">
      <c r="A673" s="66"/>
      <c r="E673" s="72" t="s">
        <v>748</v>
      </c>
      <c r="F673" s="18"/>
      <c r="G673" s="18"/>
      <c r="H673" s="18"/>
      <c r="I673" s="18"/>
      <c r="J673" s="18"/>
      <c r="K673" s="18"/>
      <c r="L673" s="18"/>
      <c r="M673" s="18"/>
    </row>
    <row r="674" s="65" customFormat="1" ht="13.5" spans="1:13">
      <c r="A674" s="66"/>
      <c r="E674" s="72" t="s">
        <v>749</v>
      </c>
      <c r="F674" s="18"/>
      <c r="G674" s="18"/>
      <c r="H674" s="18"/>
      <c r="I674" s="18"/>
      <c r="J674" s="18"/>
      <c r="K674" s="18"/>
      <c r="L674" s="18"/>
      <c r="M674" s="18"/>
    </row>
    <row r="675" s="65" customFormat="1" ht="13.5" spans="1:13">
      <c r="A675" s="66"/>
      <c r="E675" s="72" t="s">
        <v>750</v>
      </c>
      <c r="F675" s="18"/>
      <c r="G675" s="18"/>
      <c r="H675" s="18"/>
      <c r="I675" s="18"/>
      <c r="J675" s="18"/>
      <c r="K675" s="18"/>
      <c r="L675" s="18"/>
      <c r="M675" s="18"/>
    </row>
    <row r="676" s="65" customFormat="1" ht="13.5" spans="1:13">
      <c r="A676" s="66"/>
      <c r="E676" s="72" t="s">
        <v>751</v>
      </c>
      <c r="F676" s="18"/>
      <c r="G676" s="18"/>
      <c r="H676" s="18"/>
      <c r="I676" s="18"/>
      <c r="J676" s="18"/>
      <c r="K676" s="18"/>
      <c r="L676" s="18"/>
      <c r="M676" s="18"/>
    </row>
    <row r="677" s="65" customFormat="1" ht="13.5" spans="1:13">
      <c r="A677" s="66"/>
      <c r="E677" s="72" t="s">
        <v>752</v>
      </c>
      <c r="F677" s="18"/>
      <c r="G677" s="18"/>
      <c r="H677" s="18"/>
      <c r="I677" s="18"/>
      <c r="J677" s="18"/>
      <c r="K677" s="18"/>
      <c r="L677" s="18"/>
      <c r="M677" s="18"/>
    </row>
    <row r="678" s="65" customFormat="1" ht="13.5" spans="1:13">
      <c r="A678" s="66"/>
      <c r="E678" s="72" t="s">
        <v>753</v>
      </c>
      <c r="F678" s="18"/>
      <c r="G678" s="18"/>
      <c r="H678" s="18"/>
      <c r="I678" s="18"/>
      <c r="J678" s="18"/>
      <c r="K678" s="18"/>
      <c r="L678" s="18"/>
      <c r="M678" s="18"/>
    </row>
    <row r="679" s="65" customFormat="1" ht="13.5" spans="1:13">
      <c r="A679" s="66"/>
      <c r="E679" s="72" t="s">
        <v>754</v>
      </c>
      <c r="F679" s="18"/>
      <c r="G679" s="18"/>
      <c r="H679" s="18"/>
      <c r="I679" s="18"/>
      <c r="J679" s="18"/>
      <c r="K679" s="18"/>
      <c r="L679" s="18"/>
      <c r="M679" s="18"/>
    </row>
    <row r="680" s="65" customFormat="1" ht="13.5" spans="1:13">
      <c r="A680" s="66"/>
      <c r="E680" s="72" t="s">
        <v>755</v>
      </c>
      <c r="F680" s="18"/>
      <c r="G680" s="18"/>
      <c r="H680" s="18"/>
      <c r="I680" s="18"/>
      <c r="J680" s="18"/>
      <c r="K680" s="18"/>
      <c r="L680" s="18"/>
      <c r="M680" s="18"/>
    </row>
    <row r="681" s="65" customFormat="1" ht="13.5" spans="1:13">
      <c r="A681" s="66"/>
      <c r="E681" s="72" t="s">
        <v>756</v>
      </c>
      <c r="F681" s="18"/>
      <c r="G681" s="18"/>
      <c r="H681" s="18"/>
      <c r="I681" s="18"/>
      <c r="J681" s="18"/>
      <c r="K681" s="18"/>
      <c r="L681" s="18"/>
      <c r="M681" s="18"/>
    </row>
    <row r="682" s="65" customFormat="1" ht="13.5" spans="1:13">
      <c r="A682" s="66"/>
      <c r="E682" s="72" t="s">
        <v>757</v>
      </c>
      <c r="F682" s="18"/>
      <c r="G682" s="18"/>
      <c r="H682" s="18"/>
      <c r="I682" s="18"/>
      <c r="J682" s="18"/>
      <c r="K682" s="18"/>
      <c r="L682" s="18"/>
      <c r="M682" s="18"/>
    </row>
    <row r="683" s="65" customFormat="1" ht="13.5" spans="1:13">
      <c r="A683" s="66"/>
      <c r="E683" s="72" t="s">
        <v>758</v>
      </c>
      <c r="F683" s="18"/>
      <c r="G683" s="18"/>
      <c r="H683" s="18"/>
      <c r="I683" s="18"/>
      <c r="J683" s="18"/>
      <c r="K683" s="18"/>
      <c r="L683" s="18"/>
      <c r="M683" s="18"/>
    </row>
    <row r="684" s="65" customFormat="1" ht="13.5" spans="1:13">
      <c r="A684" s="66"/>
      <c r="E684" s="72" t="s">
        <v>759</v>
      </c>
      <c r="F684" s="18"/>
      <c r="G684" s="18"/>
      <c r="H684" s="18"/>
      <c r="I684" s="18"/>
      <c r="J684" s="18"/>
      <c r="K684" s="18"/>
      <c r="L684" s="18"/>
      <c r="M684" s="18"/>
    </row>
    <row r="685" s="65" customFormat="1" ht="13.5" spans="1:13">
      <c r="A685" s="66"/>
      <c r="E685" s="72" t="s">
        <v>760</v>
      </c>
      <c r="F685" s="18"/>
      <c r="G685" s="18"/>
      <c r="H685" s="18"/>
      <c r="I685" s="18"/>
      <c r="J685" s="18"/>
      <c r="K685" s="18"/>
      <c r="L685" s="18"/>
      <c r="M685" s="18"/>
    </row>
    <row r="686" s="65" customFormat="1" ht="13.5" spans="1:13">
      <c r="A686" s="66"/>
      <c r="E686" s="72" t="s">
        <v>761</v>
      </c>
      <c r="F686" s="18"/>
      <c r="G686" s="18"/>
      <c r="H686" s="18"/>
      <c r="I686" s="18"/>
      <c r="J686" s="18"/>
      <c r="K686" s="18"/>
      <c r="L686" s="18"/>
      <c r="M686" s="18"/>
    </row>
    <row r="687" s="65" customFormat="1" ht="13.5" spans="1:13">
      <c r="A687" s="66"/>
      <c r="E687" s="72" t="s">
        <v>762</v>
      </c>
      <c r="F687" s="18"/>
      <c r="G687" s="18"/>
      <c r="H687" s="18"/>
      <c r="I687" s="18"/>
      <c r="J687" s="18"/>
      <c r="K687" s="18"/>
      <c r="L687" s="18"/>
      <c r="M687" s="18"/>
    </row>
    <row r="688" s="65" customFormat="1" ht="13.5" spans="1:13">
      <c r="A688" s="66"/>
      <c r="E688" s="72" t="s">
        <v>763</v>
      </c>
      <c r="F688" s="18"/>
      <c r="G688" s="18"/>
      <c r="H688" s="18"/>
      <c r="I688" s="18"/>
      <c r="J688" s="18"/>
      <c r="K688" s="18"/>
      <c r="L688" s="18"/>
      <c r="M688" s="18"/>
    </row>
    <row r="689" s="65" customFormat="1" ht="13.5" spans="1:13">
      <c r="A689" s="66"/>
      <c r="E689" s="72" t="s">
        <v>764</v>
      </c>
      <c r="F689" s="18"/>
      <c r="G689" s="18"/>
      <c r="H689" s="18"/>
      <c r="I689" s="18"/>
      <c r="J689" s="18"/>
      <c r="K689" s="18"/>
      <c r="L689" s="18"/>
      <c r="M689" s="18"/>
    </row>
    <row r="690" s="65" customFormat="1" ht="13.5" spans="1:13">
      <c r="A690" s="66"/>
      <c r="E690" s="72" t="s">
        <v>765</v>
      </c>
      <c r="F690" s="18"/>
      <c r="G690" s="18"/>
      <c r="H690" s="18"/>
      <c r="I690" s="18"/>
      <c r="J690" s="18"/>
      <c r="K690" s="18"/>
      <c r="L690" s="18"/>
      <c r="M690" s="18"/>
    </row>
    <row r="691" s="65" customFormat="1" ht="13.5" spans="1:13">
      <c r="A691" s="66"/>
      <c r="E691" s="72" t="s">
        <v>766</v>
      </c>
      <c r="F691" s="18"/>
      <c r="G691" s="18"/>
      <c r="H691" s="18"/>
      <c r="I691" s="18"/>
      <c r="J691" s="18"/>
      <c r="K691" s="18"/>
      <c r="L691" s="18"/>
      <c r="M691" s="18"/>
    </row>
    <row r="692" s="65" customFormat="1" ht="13.5" spans="1:13">
      <c r="A692" s="66"/>
      <c r="E692" s="72" t="s">
        <v>767</v>
      </c>
      <c r="F692" s="18"/>
      <c r="G692" s="18"/>
      <c r="H692" s="18"/>
      <c r="I692" s="18"/>
      <c r="J692" s="18"/>
      <c r="K692" s="18"/>
      <c r="L692" s="18"/>
      <c r="M692" s="18"/>
    </row>
    <row r="693" s="65" customFormat="1" ht="13.5" spans="1:13">
      <c r="A693" s="66"/>
      <c r="E693" s="72" t="s">
        <v>768</v>
      </c>
      <c r="F693" s="18"/>
      <c r="G693" s="18"/>
      <c r="H693" s="18"/>
      <c r="I693" s="18"/>
      <c r="J693" s="18"/>
      <c r="K693" s="18"/>
      <c r="L693" s="18"/>
      <c r="M693" s="18"/>
    </row>
    <row r="694" s="65" customFormat="1" ht="13.5" spans="1:13">
      <c r="A694" s="66"/>
      <c r="E694" s="72" t="s">
        <v>769</v>
      </c>
      <c r="F694" s="18"/>
      <c r="G694" s="18"/>
      <c r="H694" s="18"/>
      <c r="I694" s="18"/>
      <c r="J694" s="18"/>
      <c r="K694" s="18"/>
      <c r="L694" s="18"/>
      <c r="M694" s="18"/>
    </row>
    <row r="695" s="65" customFormat="1" ht="13.5" spans="1:13">
      <c r="A695" s="66"/>
      <c r="E695" s="72" t="s">
        <v>770</v>
      </c>
      <c r="F695" s="18"/>
      <c r="G695" s="18"/>
      <c r="H695" s="18"/>
      <c r="I695" s="18"/>
      <c r="J695" s="18"/>
      <c r="K695" s="18"/>
      <c r="L695" s="18"/>
      <c r="M695" s="18"/>
    </row>
    <row r="696" s="65" customFormat="1" ht="13.5" spans="1:13">
      <c r="A696" s="66"/>
      <c r="E696" s="72" t="s">
        <v>771</v>
      </c>
      <c r="F696" s="18"/>
      <c r="G696" s="18"/>
      <c r="H696" s="18"/>
      <c r="I696" s="18"/>
      <c r="J696" s="18"/>
      <c r="K696" s="18"/>
      <c r="L696" s="18"/>
      <c r="M696" s="18"/>
    </row>
    <row r="697" s="65" customFormat="1" ht="13.5" spans="1:13">
      <c r="A697" s="66"/>
      <c r="E697" s="72" t="s">
        <v>772</v>
      </c>
      <c r="F697" s="18"/>
      <c r="G697" s="18"/>
      <c r="H697" s="18"/>
      <c r="I697" s="18"/>
      <c r="J697" s="18"/>
      <c r="K697" s="18"/>
      <c r="L697" s="18"/>
      <c r="M697" s="18"/>
    </row>
    <row r="698" s="65" customFormat="1" ht="13.5" spans="1:13">
      <c r="A698" s="66"/>
      <c r="E698" s="72" t="s">
        <v>773</v>
      </c>
      <c r="F698" s="18"/>
      <c r="G698" s="18"/>
      <c r="H698" s="18"/>
      <c r="I698" s="18"/>
      <c r="J698" s="18"/>
      <c r="K698" s="18"/>
      <c r="L698" s="18"/>
      <c r="M698" s="18"/>
    </row>
    <row r="699" s="65" customFormat="1" ht="13.5" spans="1:13">
      <c r="A699" s="66"/>
      <c r="E699" s="72" t="s">
        <v>774</v>
      </c>
      <c r="F699" s="18"/>
      <c r="G699" s="18"/>
      <c r="H699" s="18"/>
      <c r="I699" s="18"/>
      <c r="J699" s="18"/>
      <c r="K699" s="18"/>
      <c r="L699" s="18"/>
      <c r="M699" s="18"/>
    </row>
    <row r="700" s="65" customFormat="1" ht="13.5" spans="1:13">
      <c r="A700" s="66"/>
      <c r="E700" s="72" t="s">
        <v>775</v>
      </c>
      <c r="F700" s="18"/>
      <c r="G700" s="18"/>
      <c r="H700" s="18"/>
      <c r="I700" s="18"/>
      <c r="J700" s="18"/>
      <c r="K700" s="18"/>
      <c r="L700" s="18"/>
      <c r="M700" s="18"/>
    </row>
    <row r="701" s="65" customFormat="1" ht="13.5" spans="1:13">
      <c r="A701" s="66"/>
      <c r="E701" s="72" t="s">
        <v>776</v>
      </c>
      <c r="F701" s="18"/>
      <c r="G701" s="18"/>
      <c r="H701" s="18"/>
      <c r="I701" s="18"/>
      <c r="J701" s="18"/>
      <c r="K701" s="18"/>
      <c r="L701" s="18"/>
      <c r="M701" s="18"/>
    </row>
    <row r="702" s="65" customFormat="1" ht="13.5" spans="1:13">
      <c r="A702" s="66"/>
      <c r="E702" s="72" t="s">
        <v>777</v>
      </c>
      <c r="F702" s="18"/>
      <c r="G702" s="18"/>
      <c r="H702" s="18"/>
      <c r="I702" s="18"/>
      <c r="J702" s="18"/>
      <c r="K702" s="18"/>
      <c r="L702" s="18"/>
      <c r="M702" s="18"/>
    </row>
    <row r="703" s="65" customFormat="1" ht="13.5" spans="1:13">
      <c r="A703" s="66"/>
      <c r="E703" s="72" t="s">
        <v>778</v>
      </c>
      <c r="F703" s="18"/>
      <c r="G703" s="18"/>
      <c r="H703" s="18"/>
      <c r="I703" s="18"/>
      <c r="J703" s="18"/>
      <c r="K703" s="18"/>
      <c r="L703" s="18"/>
      <c r="M703" s="18"/>
    </row>
    <row r="704" s="65" customFormat="1" ht="13.5" spans="1:13">
      <c r="A704" s="66"/>
      <c r="E704" s="72" t="s">
        <v>779</v>
      </c>
      <c r="F704" s="18"/>
      <c r="G704" s="18"/>
      <c r="H704" s="18"/>
      <c r="I704" s="18"/>
      <c r="J704" s="18"/>
      <c r="K704" s="18"/>
      <c r="L704" s="18"/>
      <c r="M704" s="18"/>
    </row>
    <row r="705" s="65" customFormat="1" ht="13.5" spans="1:13">
      <c r="A705" s="66"/>
      <c r="E705" s="72" t="s">
        <v>780</v>
      </c>
      <c r="F705" s="18"/>
      <c r="G705" s="18"/>
      <c r="H705" s="18"/>
      <c r="I705" s="18"/>
      <c r="J705" s="18"/>
      <c r="K705" s="18"/>
      <c r="L705" s="18"/>
      <c r="M705" s="18"/>
    </row>
    <row r="706" s="65" customFormat="1" ht="13.5" spans="1:13">
      <c r="A706" s="66"/>
      <c r="E706" s="72" t="s">
        <v>781</v>
      </c>
      <c r="F706" s="18"/>
      <c r="G706" s="18"/>
      <c r="H706" s="18"/>
      <c r="I706" s="18"/>
      <c r="J706" s="18"/>
      <c r="K706" s="18"/>
      <c r="L706" s="18"/>
      <c r="M706" s="18"/>
    </row>
    <row r="707" s="65" customFormat="1" ht="13.5" spans="1:13">
      <c r="A707" s="66"/>
      <c r="E707" s="72" t="s">
        <v>782</v>
      </c>
      <c r="F707" s="18"/>
      <c r="G707" s="18"/>
      <c r="H707" s="18"/>
      <c r="I707" s="18"/>
      <c r="J707" s="18"/>
      <c r="K707" s="18"/>
      <c r="L707" s="18"/>
      <c r="M707" s="18"/>
    </row>
    <row r="708" s="65" customFormat="1" ht="13.5" spans="1:13">
      <c r="A708" s="66"/>
      <c r="E708" s="72" t="s">
        <v>783</v>
      </c>
      <c r="F708" s="18"/>
      <c r="G708" s="18"/>
      <c r="H708" s="18"/>
      <c r="I708" s="18"/>
      <c r="J708" s="18"/>
      <c r="K708" s="18"/>
      <c r="L708" s="18"/>
      <c r="M708" s="18"/>
    </row>
    <row r="709" s="65" customFormat="1" ht="13.5" spans="1:13">
      <c r="A709" s="66"/>
      <c r="E709" s="72" t="s">
        <v>784</v>
      </c>
      <c r="F709" s="18"/>
      <c r="G709" s="18"/>
      <c r="H709" s="18"/>
      <c r="I709" s="18"/>
      <c r="J709" s="18"/>
      <c r="K709" s="18"/>
      <c r="L709" s="18"/>
      <c r="M709" s="18"/>
    </row>
    <row r="710" s="65" customFormat="1" ht="13.5" spans="1:13">
      <c r="A710" s="66"/>
      <c r="E710" s="72" t="s">
        <v>785</v>
      </c>
      <c r="F710" s="18"/>
      <c r="G710" s="18"/>
      <c r="H710" s="18"/>
      <c r="I710" s="18"/>
      <c r="J710" s="18"/>
      <c r="K710" s="18"/>
      <c r="L710" s="18"/>
      <c r="M710" s="18"/>
    </row>
    <row r="711" s="65" customFormat="1" ht="13.5" spans="1:13">
      <c r="A711" s="66"/>
      <c r="E711" s="72" t="s">
        <v>786</v>
      </c>
      <c r="F711" s="18"/>
      <c r="G711" s="18"/>
      <c r="H711" s="18"/>
      <c r="I711" s="18"/>
      <c r="J711" s="18"/>
      <c r="K711" s="18"/>
      <c r="L711" s="18"/>
      <c r="M711" s="18"/>
    </row>
    <row r="712" s="65" customFormat="1" ht="13.5" spans="1:13">
      <c r="A712" s="66"/>
      <c r="E712" s="72" t="s">
        <v>787</v>
      </c>
      <c r="F712" s="18"/>
      <c r="G712" s="18"/>
      <c r="H712" s="18"/>
      <c r="I712" s="18"/>
      <c r="J712" s="18"/>
      <c r="K712" s="18"/>
      <c r="L712" s="18"/>
      <c r="M712" s="18"/>
    </row>
    <row r="713" s="65" customFormat="1" ht="13.5" spans="1:13">
      <c r="A713" s="66"/>
      <c r="E713" s="72" t="s">
        <v>788</v>
      </c>
      <c r="F713" s="18"/>
      <c r="G713" s="18"/>
      <c r="H713" s="18"/>
      <c r="I713" s="18"/>
      <c r="J713" s="18"/>
      <c r="K713" s="18"/>
      <c r="L713" s="18"/>
      <c r="M713" s="18"/>
    </row>
    <row r="714" s="65" customFormat="1" ht="13.5" spans="1:13">
      <c r="A714" s="66"/>
      <c r="E714" s="72" t="s">
        <v>789</v>
      </c>
      <c r="F714" s="18"/>
      <c r="G714" s="18"/>
      <c r="H714" s="18"/>
      <c r="I714" s="18"/>
      <c r="J714" s="18"/>
      <c r="K714" s="18"/>
      <c r="L714" s="18"/>
      <c r="M714" s="18"/>
    </row>
    <row r="715" s="65" customFormat="1" ht="13.5" spans="1:13">
      <c r="A715" s="66"/>
      <c r="E715" s="72" t="s">
        <v>790</v>
      </c>
      <c r="F715" s="18"/>
      <c r="G715" s="18"/>
      <c r="H715" s="18"/>
      <c r="I715" s="18"/>
      <c r="J715" s="18"/>
      <c r="K715" s="18"/>
      <c r="L715" s="18"/>
      <c r="M715" s="18"/>
    </row>
    <row r="716" s="65" customFormat="1" ht="13.5" spans="1:13">
      <c r="A716" s="66"/>
      <c r="E716" s="72" t="s">
        <v>791</v>
      </c>
      <c r="F716" s="18"/>
      <c r="G716" s="18"/>
      <c r="H716" s="18"/>
      <c r="I716" s="18"/>
      <c r="J716" s="18"/>
      <c r="K716" s="18"/>
      <c r="L716" s="18"/>
      <c r="M716" s="18"/>
    </row>
    <row r="717" s="65" customFormat="1" ht="13.5" spans="1:13">
      <c r="A717" s="66"/>
      <c r="E717" s="72" t="s">
        <v>792</v>
      </c>
      <c r="F717" s="18"/>
      <c r="G717" s="18"/>
      <c r="H717" s="18"/>
      <c r="I717" s="18"/>
      <c r="J717" s="18"/>
      <c r="K717" s="18"/>
      <c r="L717" s="18"/>
      <c r="M717" s="18"/>
    </row>
    <row r="718" s="65" customFormat="1" ht="13.5" spans="1:13">
      <c r="A718" s="66"/>
      <c r="E718" s="72" t="s">
        <v>793</v>
      </c>
      <c r="F718" s="18"/>
      <c r="G718" s="18"/>
      <c r="H718" s="18"/>
      <c r="I718" s="18"/>
      <c r="J718" s="18"/>
      <c r="K718" s="18"/>
      <c r="L718" s="18"/>
      <c r="M718" s="18"/>
    </row>
    <row r="719" s="65" customFormat="1" ht="13.5" spans="1:13">
      <c r="A719" s="66"/>
      <c r="E719" s="72" t="s">
        <v>794</v>
      </c>
      <c r="F719" s="18"/>
      <c r="G719" s="18"/>
      <c r="H719" s="18"/>
      <c r="I719" s="18"/>
      <c r="J719" s="18"/>
      <c r="K719" s="18"/>
      <c r="L719" s="18"/>
      <c r="M719" s="18"/>
    </row>
    <row r="720" s="65" customFormat="1" ht="13.5" spans="1:13">
      <c r="A720" s="66"/>
      <c r="E720" s="72" t="s">
        <v>795</v>
      </c>
      <c r="F720" s="18"/>
      <c r="G720" s="18"/>
      <c r="H720" s="18"/>
      <c r="I720" s="18"/>
      <c r="J720" s="18"/>
      <c r="K720" s="18"/>
      <c r="L720" s="18"/>
      <c r="M720" s="18"/>
    </row>
    <row r="721" s="65" customFormat="1" ht="13.5" spans="1:13">
      <c r="A721" s="66"/>
      <c r="E721" s="72" t="s">
        <v>796</v>
      </c>
      <c r="F721" s="18"/>
      <c r="G721" s="18"/>
      <c r="H721" s="18"/>
      <c r="I721" s="18"/>
      <c r="J721" s="18"/>
      <c r="K721" s="18"/>
      <c r="L721" s="18"/>
      <c r="M721" s="18"/>
    </row>
    <row r="722" s="65" customFormat="1" ht="13.5" spans="1:13">
      <c r="A722" s="66"/>
      <c r="E722" s="72" t="s">
        <v>797</v>
      </c>
      <c r="F722" s="18"/>
      <c r="G722" s="18"/>
      <c r="H722" s="18"/>
      <c r="I722" s="18"/>
      <c r="J722" s="18"/>
      <c r="K722" s="18"/>
      <c r="L722" s="18"/>
      <c r="M722" s="18"/>
    </row>
    <row r="723" s="65" customFormat="1" ht="13.5" spans="1:13">
      <c r="A723" s="66"/>
      <c r="E723" s="72" t="s">
        <v>798</v>
      </c>
      <c r="F723" s="18"/>
      <c r="G723" s="18"/>
      <c r="H723" s="18"/>
      <c r="I723" s="18"/>
      <c r="J723" s="18"/>
      <c r="K723" s="18"/>
      <c r="L723" s="18"/>
      <c r="M723" s="18"/>
    </row>
    <row r="724" s="65" customFormat="1" ht="13.5" spans="1:13">
      <c r="A724" s="66"/>
      <c r="E724" s="72" t="s">
        <v>799</v>
      </c>
      <c r="F724" s="18"/>
      <c r="G724" s="18"/>
      <c r="H724" s="18"/>
      <c r="I724" s="18"/>
      <c r="J724" s="18"/>
      <c r="K724" s="18"/>
      <c r="L724" s="18"/>
      <c r="M724" s="18"/>
    </row>
    <row r="725" s="65" customFormat="1" ht="13.5" spans="1:13">
      <c r="A725" s="66"/>
      <c r="E725" s="72" t="s">
        <v>800</v>
      </c>
      <c r="F725" s="18"/>
      <c r="G725" s="18"/>
      <c r="H725" s="18"/>
      <c r="I725" s="18"/>
      <c r="J725" s="18"/>
      <c r="K725" s="18"/>
      <c r="L725" s="18"/>
      <c r="M725" s="18"/>
    </row>
    <row r="726" s="65" customFormat="1" ht="13.5" spans="1:13">
      <c r="A726" s="66"/>
      <c r="E726" s="72" t="s">
        <v>801</v>
      </c>
      <c r="F726" s="18"/>
      <c r="G726" s="18"/>
      <c r="H726" s="18"/>
      <c r="I726" s="18"/>
      <c r="J726" s="18"/>
      <c r="K726" s="18"/>
      <c r="L726" s="18"/>
      <c r="M726" s="18"/>
    </row>
    <row r="727" s="65" customFormat="1" ht="13.5" spans="1:13">
      <c r="A727" s="66"/>
      <c r="E727" s="72" t="s">
        <v>802</v>
      </c>
      <c r="F727" s="18"/>
      <c r="G727" s="18"/>
      <c r="H727" s="18"/>
      <c r="I727" s="18"/>
      <c r="J727" s="18"/>
      <c r="K727" s="18"/>
      <c r="L727" s="18"/>
      <c r="M727" s="18"/>
    </row>
    <row r="728" s="65" customFormat="1" ht="13.5" spans="1:13">
      <c r="A728" s="66"/>
      <c r="E728" s="72" t="s">
        <v>803</v>
      </c>
      <c r="F728" s="18"/>
      <c r="G728" s="18"/>
      <c r="H728" s="18"/>
      <c r="I728" s="18"/>
      <c r="J728" s="18"/>
      <c r="K728" s="18"/>
      <c r="L728" s="18"/>
      <c r="M728" s="18"/>
    </row>
    <row r="729" s="65" customFormat="1" ht="13.5" spans="1:13">
      <c r="A729" s="66"/>
      <c r="E729" s="72" t="s">
        <v>804</v>
      </c>
      <c r="F729" s="18"/>
      <c r="G729" s="18"/>
      <c r="H729" s="18"/>
      <c r="I729" s="18"/>
      <c r="J729" s="18"/>
      <c r="K729" s="18"/>
      <c r="L729" s="18"/>
      <c r="M729" s="18"/>
    </row>
    <row r="730" s="65" customFormat="1" ht="13.5" spans="1:13">
      <c r="A730" s="66"/>
      <c r="E730" s="72" t="s">
        <v>805</v>
      </c>
      <c r="F730" s="18"/>
      <c r="G730" s="18"/>
      <c r="H730" s="18"/>
      <c r="I730" s="18"/>
      <c r="J730" s="18"/>
      <c r="K730" s="18"/>
      <c r="L730" s="18"/>
      <c r="M730" s="18"/>
    </row>
    <row r="731" s="65" customFormat="1" ht="13.5" spans="1:13">
      <c r="A731" s="66"/>
      <c r="E731" s="72" t="s">
        <v>806</v>
      </c>
      <c r="F731" s="18"/>
      <c r="G731" s="18"/>
      <c r="H731" s="18"/>
      <c r="I731" s="18"/>
      <c r="J731" s="18"/>
      <c r="K731" s="18"/>
      <c r="L731" s="18"/>
      <c r="M731" s="18"/>
    </row>
    <row r="732" s="65" customFormat="1" ht="13.5" spans="1:13">
      <c r="A732" s="66"/>
      <c r="E732" s="72" t="s">
        <v>807</v>
      </c>
      <c r="F732" s="18"/>
      <c r="G732" s="18"/>
      <c r="H732" s="18"/>
      <c r="I732" s="18"/>
      <c r="J732" s="18"/>
      <c r="K732" s="18"/>
      <c r="L732" s="18"/>
      <c r="M732" s="18"/>
    </row>
    <row r="733" s="65" customFormat="1" ht="13.5" spans="1:13">
      <c r="A733" s="66"/>
      <c r="E733" s="72" t="s">
        <v>808</v>
      </c>
      <c r="F733" s="18"/>
      <c r="G733" s="18"/>
      <c r="H733" s="18"/>
      <c r="I733" s="18"/>
      <c r="J733" s="18"/>
      <c r="K733" s="18"/>
      <c r="L733" s="18"/>
      <c r="M733" s="18"/>
    </row>
    <row r="734" s="65" customFormat="1" ht="13.5" spans="1:13">
      <c r="A734" s="66"/>
      <c r="E734" s="72" t="s">
        <v>809</v>
      </c>
      <c r="F734" s="18"/>
      <c r="G734" s="18"/>
      <c r="H734" s="18"/>
      <c r="I734" s="18"/>
      <c r="J734" s="18"/>
      <c r="K734" s="18"/>
      <c r="L734" s="18"/>
      <c r="M734" s="18"/>
    </row>
    <row r="735" s="65" customFormat="1" ht="13.5" spans="1:13">
      <c r="A735" s="66"/>
      <c r="E735" s="72" t="s">
        <v>810</v>
      </c>
      <c r="F735" s="18"/>
      <c r="G735" s="18"/>
      <c r="H735" s="18"/>
      <c r="I735" s="18"/>
      <c r="J735" s="18"/>
      <c r="K735" s="18"/>
      <c r="L735" s="18"/>
      <c r="M735" s="18"/>
    </row>
    <row r="736" s="65" customFormat="1" ht="13.5" spans="1:13">
      <c r="A736" s="66"/>
      <c r="E736" s="72" t="s">
        <v>811</v>
      </c>
      <c r="F736" s="18"/>
      <c r="G736" s="18"/>
      <c r="H736" s="18"/>
      <c r="I736" s="18"/>
      <c r="J736" s="18"/>
      <c r="K736" s="18"/>
      <c r="L736" s="18"/>
      <c r="M736" s="18"/>
    </row>
    <row r="737" s="65" customFormat="1" ht="13.5" spans="1:13">
      <c r="A737" s="66"/>
      <c r="E737" s="72" t="s">
        <v>812</v>
      </c>
      <c r="F737" s="18"/>
      <c r="G737" s="18"/>
      <c r="H737" s="18"/>
      <c r="I737" s="18"/>
      <c r="J737" s="18"/>
      <c r="K737" s="18"/>
      <c r="L737" s="18"/>
      <c r="M737" s="18"/>
    </row>
    <row r="738" s="65" customFormat="1" ht="13.5" spans="1:13">
      <c r="A738" s="66"/>
      <c r="E738" s="72" t="s">
        <v>813</v>
      </c>
      <c r="F738" s="18"/>
      <c r="G738" s="18"/>
      <c r="H738" s="18"/>
      <c r="I738" s="18"/>
      <c r="J738" s="18"/>
      <c r="K738" s="18"/>
      <c r="L738" s="18"/>
      <c r="M738" s="18"/>
    </row>
    <row r="739" s="65" customFormat="1" ht="13.5" spans="1:13">
      <c r="A739" s="66"/>
      <c r="E739" s="72" t="s">
        <v>814</v>
      </c>
      <c r="F739" s="18"/>
      <c r="G739" s="18"/>
      <c r="H739" s="18"/>
      <c r="I739" s="18"/>
      <c r="J739" s="18"/>
      <c r="K739" s="18"/>
      <c r="L739" s="18"/>
      <c r="M739" s="18"/>
    </row>
    <row r="740" s="65" customFormat="1" ht="13.5" spans="1:13">
      <c r="A740" s="66"/>
      <c r="E740" s="72" t="s">
        <v>815</v>
      </c>
      <c r="F740" s="18"/>
      <c r="G740" s="18"/>
      <c r="H740" s="18"/>
      <c r="I740" s="18"/>
      <c r="J740" s="18"/>
      <c r="K740" s="18"/>
      <c r="L740" s="18"/>
      <c r="M740" s="18"/>
    </row>
    <row r="741" s="65" customFormat="1" ht="13.5" spans="1:13">
      <c r="A741" s="66"/>
      <c r="E741" s="72" t="s">
        <v>816</v>
      </c>
      <c r="F741" s="18"/>
      <c r="G741" s="18"/>
      <c r="H741" s="18"/>
      <c r="I741" s="18"/>
      <c r="J741" s="18"/>
      <c r="K741" s="18"/>
      <c r="L741" s="18"/>
      <c r="M741" s="18"/>
    </row>
    <row r="742" s="65" customFormat="1" ht="13.5" spans="1:13">
      <c r="A742" s="66"/>
      <c r="E742" s="72" t="s">
        <v>817</v>
      </c>
      <c r="F742" s="18"/>
      <c r="G742" s="18"/>
      <c r="H742" s="18"/>
      <c r="I742" s="18"/>
      <c r="J742" s="18"/>
      <c r="K742" s="18"/>
      <c r="L742" s="18"/>
      <c r="M742" s="18"/>
    </row>
    <row r="743" s="65" customFormat="1" ht="13.5" spans="1:13">
      <c r="A743" s="66"/>
      <c r="E743" s="72" t="s">
        <v>818</v>
      </c>
      <c r="F743" s="18"/>
      <c r="G743" s="18"/>
      <c r="H743" s="18"/>
      <c r="I743" s="18"/>
      <c r="J743" s="18"/>
      <c r="K743" s="18"/>
      <c r="L743" s="18"/>
      <c r="M743" s="18"/>
    </row>
    <row r="744" s="65" customFormat="1" ht="13.5" spans="1:13">
      <c r="A744" s="66"/>
      <c r="E744" s="72" t="s">
        <v>819</v>
      </c>
      <c r="F744" s="18"/>
      <c r="G744" s="18"/>
      <c r="H744" s="18"/>
      <c r="I744" s="18"/>
      <c r="J744" s="18"/>
      <c r="K744" s="18"/>
      <c r="L744" s="18"/>
      <c r="M744" s="18"/>
    </row>
    <row r="745" s="65" customFormat="1" ht="13.5" spans="1:13">
      <c r="A745" s="66"/>
      <c r="E745" s="72" t="s">
        <v>820</v>
      </c>
      <c r="F745" s="18"/>
      <c r="G745" s="18"/>
      <c r="H745" s="18"/>
      <c r="I745" s="18"/>
      <c r="J745" s="18"/>
      <c r="K745" s="18"/>
      <c r="L745" s="18"/>
      <c r="M745" s="18"/>
    </row>
    <row r="746" s="65" customFormat="1" ht="13.5" spans="1:13">
      <c r="A746" s="66"/>
      <c r="E746" s="72" t="s">
        <v>821</v>
      </c>
      <c r="F746" s="18"/>
      <c r="G746" s="18"/>
      <c r="H746" s="18"/>
      <c r="I746" s="18"/>
      <c r="J746" s="18"/>
      <c r="K746" s="18"/>
      <c r="L746" s="18"/>
      <c r="M746" s="18"/>
    </row>
    <row r="747" s="65" customFormat="1" ht="13.5" spans="1:13">
      <c r="A747" s="66"/>
      <c r="E747" s="72" t="s">
        <v>822</v>
      </c>
      <c r="F747" s="18"/>
      <c r="G747" s="18"/>
      <c r="H747" s="18"/>
      <c r="I747" s="18"/>
      <c r="J747" s="18"/>
      <c r="K747" s="18"/>
      <c r="L747" s="18"/>
      <c r="M747" s="18"/>
    </row>
    <row r="748" s="65" customFormat="1" ht="13.5" spans="1:13">
      <c r="A748" s="66"/>
      <c r="E748" s="72" t="s">
        <v>823</v>
      </c>
      <c r="F748" s="18"/>
      <c r="G748" s="18"/>
      <c r="H748" s="18"/>
      <c r="I748" s="18"/>
      <c r="J748" s="18"/>
      <c r="K748" s="18"/>
      <c r="L748" s="18"/>
      <c r="M748" s="18"/>
    </row>
    <row r="749" s="65" customFormat="1" ht="13.5" spans="1:13">
      <c r="A749" s="66"/>
      <c r="E749" s="72" t="s">
        <v>824</v>
      </c>
      <c r="F749" s="18"/>
      <c r="G749" s="18"/>
      <c r="H749" s="18"/>
      <c r="I749" s="18"/>
      <c r="J749" s="18"/>
      <c r="K749" s="18"/>
      <c r="L749" s="18"/>
      <c r="M749" s="18"/>
    </row>
    <row r="750" s="65" customFormat="1" ht="13.5" spans="1:13">
      <c r="A750" s="66"/>
      <c r="E750" s="72" t="s">
        <v>825</v>
      </c>
      <c r="F750" s="18"/>
      <c r="G750" s="18"/>
      <c r="H750" s="18"/>
      <c r="I750" s="18"/>
      <c r="J750" s="18"/>
      <c r="K750" s="18"/>
      <c r="L750" s="18"/>
      <c r="M750" s="18"/>
    </row>
    <row r="751" s="65" customFormat="1" ht="13.5" spans="1:13">
      <c r="A751" s="66"/>
      <c r="E751" s="72" t="s">
        <v>826</v>
      </c>
      <c r="F751" s="18"/>
      <c r="G751" s="18"/>
      <c r="H751" s="18"/>
      <c r="I751" s="18"/>
      <c r="J751" s="18"/>
      <c r="K751" s="18"/>
      <c r="L751" s="18"/>
      <c r="M751" s="18"/>
    </row>
    <row r="752" s="65" customFormat="1" ht="13.5" spans="1:13">
      <c r="A752" s="66"/>
      <c r="E752" s="72" t="s">
        <v>827</v>
      </c>
      <c r="F752" s="18"/>
      <c r="G752" s="18"/>
      <c r="H752" s="18"/>
      <c r="I752" s="18"/>
      <c r="J752" s="18"/>
      <c r="K752" s="18"/>
      <c r="L752" s="18"/>
      <c r="M752" s="18"/>
    </row>
    <row r="753" s="65" customFormat="1" ht="13.5" spans="1:13">
      <c r="A753" s="66"/>
      <c r="E753" s="72" t="s">
        <v>828</v>
      </c>
      <c r="F753" s="18"/>
      <c r="G753" s="18"/>
      <c r="H753" s="18"/>
      <c r="I753" s="18"/>
      <c r="J753" s="18"/>
      <c r="K753" s="18"/>
      <c r="L753" s="18"/>
      <c r="M753" s="18"/>
    </row>
    <row r="754" s="65" customFormat="1" ht="13.5" spans="1:13">
      <c r="A754" s="66"/>
      <c r="E754" s="72" t="s">
        <v>829</v>
      </c>
      <c r="F754" s="18"/>
      <c r="G754" s="18"/>
      <c r="H754" s="18"/>
      <c r="I754" s="18"/>
      <c r="J754" s="18"/>
      <c r="K754" s="18"/>
      <c r="L754" s="18"/>
      <c r="M754" s="18"/>
    </row>
    <row r="755" s="65" customFormat="1" ht="13.5" spans="1:13">
      <c r="A755" s="66"/>
      <c r="E755" s="72" t="s">
        <v>830</v>
      </c>
      <c r="F755" s="18"/>
      <c r="G755" s="18"/>
      <c r="H755" s="18"/>
      <c r="I755" s="18"/>
      <c r="J755" s="18"/>
      <c r="K755" s="18"/>
      <c r="L755" s="18"/>
      <c r="M755" s="18"/>
    </row>
    <row r="756" s="65" customFormat="1" ht="13.5" spans="1:13">
      <c r="A756" s="66"/>
      <c r="E756" s="72" t="s">
        <v>831</v>
      </c>
      <c r="F756" s="18"/>
      <c r="G756" s="18"/>
      <c r="H756" s="18"/>
      <c r="I756" s="18"/>
      <c r="J756" s="18"/>
      <c r="K756" s="18"/>
      <c r="L756" s="18"/>
      <c r="M756" s="18"/>
    </row>
    <row r="757" s="65" customFormat="1" ht="13.5" spans="1:13">
      <c r="A757" s="66"/>
      <c r="E757" s="72" t="s">
        <v>832</v>
      </c>
      <c r="F757" s="18"/>
      <c r="G757" s="18"/>
      <c r="H757" s="18"/>
      <c r="I757" s="18"/>
      <c r="J757" s="18"/>
      <c r="K757" s="18"/>
      <c r="L757" s="18"/>
      <c r="M757" s="18"/>
    </row>
    <row r="758" s="65" customFormat="1" ht="13.5" spans="1:13">
      <c r="A758" s="66"/>
      <c r="E758" s="72" t="s">
        <v>833</v>
      </c>
      <c r="F758" s="18"/>
      <c r="G758" s="18"/>
      <c r="H758" s="18"/>
      <c r="I758" s="18"/>
      <c r="J758" s="18"/>
      <c r="K758" s="18"/>
      <c r="L758" s="18"/>
      <c r="M758" s="18"/>
    </row>
    <row r="759" s="65" customFormat="1" ht="13.5" spans="1:13">
      <c r="A759" s="66"/>
      <c r="E759" s="72" t="s">
        <v>834</v>
      </c>
      <c r="F759" s="18"/>
      <c r="G759" s="18"/>
      <c r="H759" s="18"/>
      <c r="I759" s="18"/>
      <c r="J759" s="18"/>
      <c r="K759" s="18"/>
      <c r="L759" s="18"/>
      <c r="M759" s="18"/>
    </row>
    <row r="760" s="65" customFormat="1" ht="13.5" spans="1:13">
      <c r="A760" s="66"/>
      <c r="E760" s="72" t="s">
        <v>835</v>
      </c>
      <c r="F760" s="18"/>
      <c r="G760" s="18"/>
      <c r="H760" s="18"/>
      <c r="I760" s="18"/>
      <c r="J760" s="18"/>
      <c r="K760" s="18"/>
      <c r="L760" s="18"/>
      <c r="M760" s="18"/>
    </row>
    <row r="761" s="65" customFormat="1" ht="13.5" spans="1:13">
      <c r="A761" s="66"/>
      <c r="E761" s="72" t="s">
        <v>836</v>
      </c>
      <c r="F761" s="18"/>
      <c r="G761" s="18"/>
      <c r="H761" s="18"/>
      <c r="I761" s="18"/>
      <c r="J761" s="18"/>
      <c r="K761" s="18"/>
      <c r="L761" s="18"/>
      <c r="M761" s="18"/>
    </row>
    <row r="762" s="65" customFormat="1" ht="13.5" spans="1:13">
      <c r="A762" s="66"/>
      <c r="E762" s="72" t="s">
        <v>837</v>
      </c>
      <c r="F762" s="18"/>
      <c r="G762" s="18"/>
      <c r="H762" s="18"/>
      <c r="I762" s="18"/>
      <c r="J762" s="18"/>
      <c r="K762" s="18"/>
      <c r="L762" s="18"/>
      <c r="M762" s="18"/>
    </row>
    <row r="763" s="65" customFormat="1" ht="13.5" spans="1:13">
      <c r="A763" s="66"/>
      <c r="E763" s="72" t="s">
        <v>838</v>
      </c>
      <c r="F763" s="18"/>
      <c r="G763" s="18"/>
      <c r="H763" s="18"/>
      <c r="I763" s="18"/>
      <c r="J763" s="18"/>
      <c r="K763" s="18"/>
      <c r="L763" s="18"/>
      <c r="M763" s="18"/>
    </row>
    <row r="764" s="65" customFormat="1" ht="13.5" spans="1:13">
      <c r="A764" s="66"/>
      <c r="E764" s="72" t="s">
        <v>839</v>
      </c>
      <c r="F764" s="18"/>
      <c r="G764" s="18"/>
      <c r="H764" s="18"/>
      <c r="I764" s="18"/>
      <c r="J764" s="18"/>
      <c r="K764" s="18"/>
      <c r="L764" s="18"/>
      <c r="M764" s="18"/>
    </row>
    <row r="765" s="65" customFormat="1" ht="13.5" spans="1:13">
      <c r="A765" s="66"/>
      <c r="E765" s="72" t="s">
        <v>840</v>
      </c>
      <c r="F765" s="18"/>
      <c r="G765" s="18"/>
      <c r="H765" s="18"/>
      <c r="I765" s="18"/>
      <c r="J765" s="18"/>
      <c r="K765" s="18"/>
      <c r="L765" s="18"/>
      <c r="M765" s="18"/>
    </row>
    <row r="766" s="65" customFormat="1" ht="13.5" spans="1:13">
      <c r="A766" s="66"/>
      <c r="E766" s="72" t="s">
        <v>841</v>
      </c>
      <c r="F766" s="18"/>
      <c r="G766" s="18"/>
      <c r="H766" s="18"/>
      <c r="I766" s="18"/>
      <c r="J766" s="18"/>
      <c r="K766" s="18"/>
      <c r="L766" s="18"/>
      <c r="M766" s="18"/>
    </row>
    <row r="767" s="65" customFormat="1" ht="13.5" spans="1:13">
      <c r="A767" s="66"/>
      <c r="E767" s="72" t="s">
        <v>842</v>
      </c>
      <c r="F767" s="18"/>
      <c r="G767" s="18"/>
      <c r="H767" s="18"/>
      <c r="I767" s="18"/>
      <c r="J767" s="18"/>
      <c r="K767" s="18"/>
      <c r="L767" s="18"/>
      <c r="M767" s="18"/>
    </row>
    <row r="768" s="65" customFormat="1" ht="13.5" spans="1:13">
      <c r="A768" s="66"/>
      <c r="E768" s="72" t="s">
        <v>843</v>
      </c>
      <c r="F768" s="18"/>
      <c r="G768" s="18"/>
      <c r="H768" s="18"/>
      <c r="I768" s="18"/>
      <c r="J768" s="18"/>
      <c r="K768" s="18"/>
      <c r="L768" s="18"/>
      <c r="M768" s="18"/>
    </row>
    <row r="769" s="65" customFormat="1" ht="13.5" spans="1:13">
      <c r="A769" s="66"/>
      <c r="E769" s="72" t="s">
        <v>844</v>
      </c>
      <c r="F769" s="18"/>
      <c r="G769" s="18"/>
      <c r="H769" s="18"/>
      <c r="I769" s="18"/>
      <c r="J769" s="18"/>
      <c r="K769" s="18"/>
      <c r="L769" s="18"/>
      <c r="M769" s="18"/>
    </row>
    <row r="770" s="65" customFormat="1" ht="13.5" spans="1:13">
      <c r="A770" s="66"/>
      <c r="E770" s="72" t="s">
        <v>845</v>
      </c>
      <c r="F770" s="18"/>
      <c r="G770" s="18"/>
      <c r="H770" s="18"/>
      <c r="I770" s="18"/>
      <c r="J770" s="18"/>
      <c r="K770" s="18"/>
      <c r="L770" s="18"/>
      <c r="M770" s="18"/>
    </row>
    <row r="771" s="65" customFormat="1" ht="13.5" spans="1:13">
      <c r="A771" s="66"/>
      <c r="E771" s="72" t="s">
        <v>846</v>
      </c>
      <c r="F771" s="18"/>
      <c r="G771" s="18"/>
      <c r="H771" s="18"/>
      <c r="I771" s="18"/>
      <c r="J771" s="18"/>
      <c r="K771" s="18"/>
      <c r="L771" s="18"/>
      <c r="M771" s="18"/>
    </row>
    <row r="772" s="65" customFormat="1" ht="13.5" spans="1:13">
      <c r="A772" s="66"/>
      <c r="E772" s="72" t="s">
        <v>847</v>
      </c>
      <c r="F772" s="18"/>
      <c r="G772" s="18"/>
      <c r="H772" s="18"/>
      <c r="I772" s="18"/>
      <c r="J772" s="18"/>
      <c r="K772" s="18"/>
      <c r="L772" s="18"/>
      <c r="M772" s="18"/>
    </row>
    <row r="773" s="65" customFormat="1" ht="13.5" spans="1:13">
      <c r="A773" s="66"/>
      <c r="E773" s="72" t="s">
        <v>848</v>
      </c>
      <c r="F773" s="18"/>
      <c r="G773" s="18"/>
      <c r="H773" s="18"/>
      <c r="I773" s="18"/>
      <c r="J773" s="18"/>
      <c r="K773" s="18"/>
      <c r="L773" s="18"/>
      <c r="M773" s="18"/>
    </row>
    <row r="774" s="65" customFormat="1" ht="13.5" spans="1:13">
      <c r="A774" s="66"/>
      <c r="E774" s="72" t="s">
        <v>849</v>
      </c>
      <c r="F774" s="18"/>
      <c r="G774" s="18"/>
      <c r="H774" s="18"/>
      <c r="I774" s="18"/>
      <c r="J774" s="18"/>
      <c r="K774" s="18"/>
      <c r="L774" s="18"/>
      <c r="M774" s="18"/>
    </row>
    <row r="775" s="65" customFormat="1" ht="13.5" spans="1:13">
      <c r="A775" s="66"/>
      <c r="E775" s="72" t="s">
        <v>850</v>
      </c>
      <c r="F775" s="18"/>
      <c r="G775" s="18"/>
      <c r="H775" s="18"/>
      <c r="I775" s="18"/>
      <c r="J775" s="18"/>
      <c r="K775" s="18"/>
      <c r="L775" s="18"/>
      <c r="M775" s="18"/>
    </row>
    <row r="776" s="65" customFormat="1" ht="13.5" spans="1:13">
      <c r="A776" s="66"/>
      <c r="E776" s="72" t="s">
        <v>851</v>
      </c>
      <c r="F776" s="18"/>
      <c r="G776" s="18"/>
      <c r="H776" s="18"/>
      <c r="I776" s="18"/>
      <c r="J776" s="18"/>
      <c r="K776" s="18"/>
      <c r="L776" s="18"/>
      <c r="M776" s="18"/>
    </row>
    <row r="777" s="65" customFormat="1" ht="13.5" spans="1:13">
      <c r="A777" s="66"/>
      <c r="E777" s="72" t="s">
        <v>852</v>
      </c>
      <c r="F777" s="18"/>
      <c r="G777" s="18"/>
      <c r="H777" s="18"/>
      <c r="I777" s="18"/>
      <c r="J777" s="18"/>
      <c r="K777" s="18"/>
      <c r="L777" s="18"/>
      <c r="M777" s="18"/>
    </row>
    <row r="778" s="65" customFormat="1" ht="13.5" spans="1:13">
      <c r="A778" s="66"/>
      <c r="E778" s="72" t="s">
        <v>853</v>
      </c>
      <c r="F778" s="18"/>
      <c r="G778" s="18"/>
      <c r="H778" s="18"/>
      <c r="I778" s="18"/>
      <c r="J778" s="18"/>
      <c r="K778" s="18"/>
      <c r="L778" s="18"/>
      <c r="M778" s="18"/>
    </row>
    <row r="779" s="65" customFormat="1" ht="13.5" spans="1:13">
      <c r="A779" s="66"/>
      <c r="E779" s="72" t="s">
        <v>854</v>
      </c>
      <c r="F779" s="18"/>
      <c r="G779" s="18"/>
      <c r="H779" s="18"/>
      <c r="I779" s="18"/>
      <c r="J779" s="18"/>
      <c r="K779" s="18"/>
      <c r="L779" s="18"/>
      <c r="M779" s="18"/>
    </row>
    <row r="780" s="65" customFormat="1" ht="13.5" spans="1:13">
      <c r="A780" s="66"/>
      <c r="E780" s="72" t="s">
        <v>855</v>
      </c>
      <c r="F780" s="18"/>
      <c r="G780" s="18"/>
      <c r="H780" s="18"/>
      <c r="I780" s="18"/>
      <c r="J780" s="18"/>
      <c r="K780" s="18"/>
      <c r="L780" s="18"/>
      <c r="M780" s="18"/>
    </row>
    <row r="781" s="65" customFormat="1" ht="13.5" spans="1:13">
      <c r="A781" s="66"/>
      <c r="E781" s="72" t="s">
        <v>856</v>
      </c>
      <c r="F781" s="18"/>
      <c r="G781" s="18"/>
      <c r="H781" s="18"/>
      <c r="I781" s="18"/>
      <c r="J781" s="18"/>
      <c r="K781" s="18"/>
      <c r="L781" s="18"/>
      <c r="M781" s="18"/>
    </row>
    <row r="782" s="65" customFormat="1" ht="13.5" spans="1:13">
      <c r="A782" s="66"/>
      <c r="E782" s="72" t="s">
        <v>857</v>
      </c>
      <c r="F782" s="18"/>
      <c r="G782" s="18"/>
      <c r="H782" s="18"/>
      <c r="I782" s="18"/>
      <c r="J782" s="18"/>
      <c r="K782" s="18"/>
      <c r="L782" s="18"/>
      <c r="M782" s="18"/>
    </row>
    <row r="783" s="65" customFormat="1" ht="13.5" spans="1:13">
      <c r="A783" s="66"/>
      <c r="E783" s="72" t="s">
        <v>858</v>
      </c>
      <c r="F783" s="18"/>
      <c r="G783" s="18"/>
      <c r="H783" s="18"/>
      <c r="I783" s="18"/>
      <c r="J783" s="18"/>
      <c r="K783" s="18"/>
      <c r="L783" s="18"/>
      <c r="M783" s="18"/>
    </row>
    <row r="784" s="65" customFormat="1" ht="13.5" spans="1:13">
      <c r="A784" s="66"/>
      <c r="E784" s="72" t="s">
        <v>859</v>
      </c>
      <c r="F784" s="18"/>
      <c r="G784" s="18"/>
      <c r="H784" s="18"/>
      <c r="I784" s="18"/>
      <c r="J784" s="18"/>
      <c r="K784" s="18"/>
      <c r="L784" s="18"/>
      <c r="M784" s="18"/>
    </row>
    <row r="785" s="65" customFormat="1" ht="13.5" spans="1:13">
      <c r="A785" s="66"/>
      <c r="E785" s="72" t="s">
        <v>860</v>
      </c>
      <c r="F785" s="18"/>
      <c r="G785" s="18"/>
      <c r="H785" s="18"/>
      <c r="I785" s="18"/>
      <c r="J785" s="18"/>
      <c r="K785" s="18"/>
      <c r="L785" s="18"/>
      <c r="M785" s="18"/>
    </row>
    <row r="786" s="65" customFormat="1" ht="13.5" spans="1:13">
      <c r="A786" s="66"/>
      <c r="E786" s="72" t="s">
        <v>861</v>
      </c>
      <c r="F786" s="18"/>
      <c r="G786" s="18"/>
      <c r="H786" s="18"/>
      <c r="I786" s="18"/>
      <c r="J786" s="18"/>
      <c r="K786" s="18"/>
      <c r="L786" s="18"/>
      <c r="M786" s="18"/>
    </row>
    <row r="787" s="65" customFormat="1" ht="13.5" spans="1:13">
      <c r="A787" s="66"/>
      <c r="E787" s="72" t="s">
        <v>862</v>
      </c>
      <c r="F787" s="18"/>
      <c r="G787" s="18"/>
      <c r="H787" s="18"/>
      <c r="I787" s="18"/>
      <c r="J787" s="18"/>
      <c r="K787" s="18"/>
      <c r="L787" s="18"/>
      <c r="M787" s="18"/>
    </row>
    <row r="788" s="65" customFormat="1" ht="13.5" spans="1:13">
      <c r="A788" s="66"/>
      <c r="E788" s="72" t="s">
        <v>863</v>
      </c>
      <c r="F788" s="18"/>
      <c r="G788" s="18"/>
      <c r="H788" s="18"/>
      <c r="I788" s="18"/>
      <c r="J788" s="18"/>
      <c r="K788" s="18"/>
      <c r="L788" s="18"/>
      <c r="M788" s="18"/>
    </row>
    <row r="789" s="65" customFormat="1" ht="13.5" spans="1:13">
      <c r="A789" s="66"/>
      <c r="E789" s="72" t="s">
        <v>864</v>
      </c>
      <c r="F789" s="18"/>
      <c r="G789" s="18"/>
      <c r="H789" s="18"/>
      <c r="I789" s="18"/>
      <c r="J789" s="18"/>
      <c r="K789" s="18"/>
      <c r="L789" s="18"/>
      <c r="M789" s="18"/>
    </row>
    <row r="790" s="65" customFormat="1" ht="13.5" spans="1:13">
      <c r="A790" s="66"/>
      <c r="E790" s="72" t="s">
        <v>865</v>
      </c>
      <c r="F790" s="18"/>
      <c r="G790" s="18"/>
      <c r="H790" s="18"/>
      <c r="I790" s="18"/>
      <c r="J790" s="18"/>
      <c r="K790" s="18"/>
      <c r="L790" s="18"/>
      <c r="M790" s="18"/>
    </row>
    <row r="791" s="65" customFormat="1" ht="13.5" spans="1:13">
      <c r="A791" s="66"/>
      <c r="E791" s="72" t="s">
        <v>866</v>
      </c>
      <c r="F791" s="18"/>
      <c r="G791" s="18"/>
      <c r="H791" s="18"/>
      <c r="I791" s="18"/>
      <c r="J791" s="18"/>
      <c r="K791" s="18"/>
      <c r="L791" s="18"/>
      <c r="M791" s="18"/>
    </row>
    <row r="792" s="65" customFormat="1" ht="13.5" spans="1:13">
      <c r="A792" s="66"/>
      <c r="E792" s="72" t="s">
        <v>867</v>
      </c>
      <c r="F792" s="18"/>
      <c r="G792" s="18"/>
      <c r="H792" s="18"/>
      <c r="I792" s="18"/>
      <c r="J792" s="18"/>
      <c r="K792" s="18"/>
      <c r="L792" s="18"/>
      <c r="M792" s="18"/>
    </row>
    <row r="793" s="65" customFormat="1" ht="13.5" spans="1:13">
      <c r="A793" s="66"/>
      <c r="E793" s="72" t="s">
        <v>868</v>
      </c>
      <c r="F793" s="18"/>
      <c r="G793" s="18"/>
      <c r="H793" s="18"/>
      <c r="I793" s="18"/>
      <c r="J793" s="18"/>
      <c r="K793" s="18"/>
      <c r="L793" s="18"/>
      <c r="M793" s="18"/>
    </row>
    <row r="794" s="65" customFormat="1" ht="13.5" spans="1:13">
      <c r="A794" s="66"/>
      <c r="E794" s="72" t="s">
        <v>869</v>
      </c>
      <c r="F794" s="18"/>
      <c r="G794" s="18"/>
      <c r="H794" s="18"/>
      <c r="I794" s="18"/>
      <c r="J794" s="18"/>
      <c r="K794" s="18"/>
      <c r="L794" s="18"/>
      <c r="M794" s="18"/>
    </row>
    <row r="795" s="65" customFormat="1" ht="13.5" spans="1:13">
      <c r="A795" s="66"/>
      <c r="E795" s="72" t="s">
        <v>870</v>
      </c>
      <c r="F795" s="18"/>
      <c r="G795" s="18"/>
      <c r="H795" s="18"/>
      <c r="I795" s="18"/>
      <c r="J795" s="18"/>
      <c r="K795" s="18"/>
      <c r="L795" s="18"/>
      <c r="M795" s="18"/>
    </row>
    <row r="796" s="65" customFormat="1" ht="13.5" spans="1:13">
      <c r="A796" s="66"/>
      <c r="E796" s="72" t="s">
        <v>871</v>
      </c>
      <c r="F796" s="18"/>
      <c r="G796" s="18"/>
      <c r="H796" s="18"/>
      <c r="I796" s="18"/>
      <c r="J796" s="18"/>
      <c r="K796" s="18"/>
      <c r="L796" s="18"/>
      <c r="M796" s="18"/>
    </row>
    <row r="797" s="65" customFormat="1" ht="13.5" spans="1:13">
      <c r="A797" s="66"/>
      <c r="E797" s="72" t="s">
        <v>872</v>
      </c>
      <c r="F797" s="18"/>
      <c r="G797" s="18"/>
      <c r="H797" s="18"/>
      <c r="I797" s="18"/>
      <c r="J797" s="18"/>
      <c r="K797" s="18"/>
      <c r="L797" s="18"/>
      <c r="M797" s="18"/>
    </row>
    <row r="798" s="65" customFormat="1" ht="13.5" spans="1:13">
      <c r="A798" s="66"/>
      <c r="E798" s="72" t="s">
        <v>873</v>
      </c>
      <c r="F798" s="18"/>
      <c r="G798" s="18"/>
      <c r="H798" s="18"/>
      <c r="I798" s="18"/>
      <c r="J798" s="18"/>
      <c r="K798" s="18"/>
      <c r="L798" s="18"/>
      <c r="M798" s="18"/>
    </row>
    <row r="799" s="65" customFormat="1" ht="13.5" spans="1:13">
      <c r="A799" s="66"/>
      <c r="E799" s="72" t="s">
        <v>874</v>
      </c>
      <c r="F799" s="18"/>
      <c r="G799" s="18"/>
      <c r="H799" s="18"/>
      <c r="I799" s="18"/>
      <c r="J799" s="18"/>
      <c r="K799" s="18"/>
      <c r="L799" s="18"/>
      <c r="M799" s="18"/>
    </row>
    <row r="800" s="65" customFormat="1" ht="13.5" spans="1:13">
      <c r="A800" s="66"/>
      <c r="E800" s="72" t="s">
        <v>875</v>
      </c>
      <c r="F800" s="18"/>
      <c r="G800" s="18"/>
      <c r="H800" s="18"/>
      <c r="I800" s="18"/>
      <c r="J800" s="18"/>
      <c r="K800" s="18"/>
      <c r="L800" s="18"/>
      <c r="M800" s="18"/>
    </row>
    <row r="801" s="65" customFormat="1" ht="13.5" spans="1:13">
      <c r="A801" s="66"/>
      <c r="E801" s="72" t="s">
        <v>876</v>
      </c>
      <c r="F801" s="18"/>
      <c r="G801" s="18"/>
      <c r="H801" s="18"/>
      <c r="I801" s="18"/>
      <c r="J801" s="18"/>
      <c r="K801" s="18"/>
      <c r="L801" s="18"/>
      <c r="M801" s="18"/>
    </row>
    <row r="802" s="65" customFormat="1" ht="13.5" spans="1:13">
      <c r="A802" s="66"/>
      <c r="E802" s="72" t="s">
        <v>877</v>
      </c>
      <c r="F802" s="18"/>
      <c r="G802" s="18"/>
      <c r="H802" s="18"/>
      <c r="I802" s="18"/>
      <c r="J802" s="18"/>
      <c r="K802" s="18"/>
      <c r="L802" s="18"/>
      <c r="M802" s="18"/>
    </row>
    <row r="803" s="65" customFormat="1" ht="13.5" spans="1:13">
      <c r="A803" s="66"/>
      <c r="E803" s="72" t="s">
        <v>878</v>
      </c>
      <c r="F803" s="18"/>
      <c r="G803" s="18"/>
      <c r="H803" s="18"/>
      <c r="I803" s="18"/>
      <c r="J803" s="18"/>
      <c r="K803" s="18"/>
      <c r="L803" s="18"/>
      <c r="M803" s="18"/>
    </row>
    <row r="804" s="65" customFormat="1" ht="13.5" spans="1:13">
      <c r="A804" s="66"/>
      <c r="E804" s="72" t="s">
        <v>879</v>
      </c>
      <c r="F804" s="18"/>
      <c r="G804" s="18"/>
      <c r="H804" s="18"/>
      <c r="I804" s="18"/>
      <c r="J804" s="18"/>
      <c r="K804" s="18"/>
      <c r="L804" s="18"/>
      <c r="M804" s="18"/>
    </row>
    <row r="805" s="65" customFormat="1" ht="13.5" spans="1:13">
      <c r="A805" s="66"/>
      <c r="E805" s="72" t="s">
        <v>880</v>
      </c>
      <c r="F805" s="18"/>
      <c r="G805" s="18"/>
      <c r="H805" s="18"/>
      <c r="I805" s="18"/>
      <c r="J805" s="18"/>
      <c r="K805" s="18"/>
      <c r="L805" s="18"/>
      <c r="M805" s="18"/>
    </row>
    <row r="806" s="65" customFormat="1" ht="13.5" spans="1:13">
      <c r="A806" s="66"/>
      <c r="E806" s="72" t="s">
        <v>881</v>
      </c>
      <c r="F806" s="18"/>
      <c r="G806" s="18"/>
      <c r="H806" s="18"/>
      <c r="I806" s="18"/>
      <c r="J806" s="18"/>
      <c r="K806" s="18"/>
      <c r="L806" s="18"/>
      <c r="M806" s="18"/>
    </row>
    <row r="807" s="65" customFormat="1" ht="13.5" spans="1:13">
      <c r="A807" s="66"/>
      <c r="E807" s="72" t="s">
        <v>882</v>
      </c>
      <c r="F807" s="18"/>
      <c r="G807" s="18"/>
      <c r="H807" s="18"/>
      <c r="I807" s="18"/>
      <c r="J807" s="18"/>
      <c r="K807" s="18"/>
      <c r="L807" s="18"/>
      <c r="M807" s="18"/>
    </row>
    <row r="808" s="65" customFormat="1" ht="13.5" spans="1:13">
      <c r="A808" s="66"/>
      <c r="E808" s="72" t="s">
        <v>883</v>
      </c>
      <c r="F808" s="18"/>
      <c r="G808" s="18"/>
      <c r="H808" s="18"/>
      <c r="I808" s="18"/>
      <c r="J808" s="18"/>
      <c r="K808" s="18"/>
      <c r="L808" s="18"/>
      <c r="M808" s="18"/>
    </row>
    <row r="809" s="65" customFormat="1" ht="13.5" spans="1:13">
      <c r="A809" s="66"/>
      <c r="E809" s="72" t="s">
        <v>884</v>
      </c>
      <c r="F809" s="18"/>
      <c r="G809" s="18"/>
      <c r="H809" s="18"/>
      <c r="I809" s="18"/>
      <c r="J809" s="18"/>
      <c r="K809" s="18"/>
      <c r="L809" s="18"/>
      <c r="M809" s="18"/>
    </row>
    <row r="810" s="65" customFormat="1" ht="13.5" spans="1:13">
      <c r="A810" s="66"/>
      <c r="E810" s="72" t="s">
        <v>885</v>
      </c>
      <c r="F810" s="18"/>
      <c r="G810" s="18"/>
      <c r="H810" s="18"/>
      <c r="I810" s="18"/>
      <c r="J810" s="18"/>
      <c r="K810" s="18"/>
      <c r="L810" s="18"/>
      <c r="M810" s="18"/>
    </row>
    <row r="811" s="65" customFormat="1" ht="13.5" spans="1:13">
      <c r="A811" s="66"/>
      <c r="E811" s="72" t="s">
        <v>886</v>
      </c>
      <c r="F811" s="18"/>
      <c r="G811" s="18"/>
      <c r="H811" s="18"/>
      <c r="I811" s="18"/>
      <c r="J811" s="18"/>
      <c r="K811" s="18"/>
      <c r="L811" s="18"/>
      <c r="M811" s="18"/>
    </row>
    <row r="812" s="65" customFormat="1" ht="13.5" spans="1:13">
      <c r="A812" s="66"/>
      <c r="E812" s="72" t="s">
        <v>887</v>
      </c>
      <c r="F812" s="18"/>
      <c r="G812" s="18"/>
      <c r="H812" s="18"/>
      <c r="I812" s="18"/>
      <c r="J812" s="18"/>
      <c r="K812" s="18"/>
      <c r="L812" s="18"/>
      <c r="M812" s="18"/>
    </row>
    <row r="813" s="65" customFormat="1" ht="13.5" spans="1:13">
      <c r="A813" s="66"/>
      <c r="E813" s="72" t="s">
        <v>888</v>
      </c>
      <c r="F813" s="18"/>
      <c r="G813" s="18"/>
      <c r="H813" s="18"/>
      <c r="I813" s="18"/>
      <c r="J813" s="18"/>
      <c r="K813" s="18"/>
      <c r="L813" s="18"/>
      <c r="M813" s="18"/>
    </row>
    <row r="814" s="65" customFormat="1" ht="13.5" spans="1:13">
      <c r="A814" s="66"/>
      <c r="E814" s="72" t="s">
        <v>889</v>
      </c>
      <c r="F814" s="18"/>
      <c r="G814" s="18"/>
      <c r="H814" s="18"/>
      <c r="I814" s="18"/>
      <c r="J814" s="18"/>
      <c r="K814" s="18"/>
      <c r="L814" s="18"/>
      <c r="M814" s="18"/>
    </row>
    <row r="815" s="65" customFormat="1" ht="13.5" spans="1:13">
      <c r="A815" s="66"/>
      <c r="E815" s="72" t="s">
        <v>890</v>
      </c>
      <c r="F815" s="18"/>
      <c r="G815" s="18"/>
      <c r="H815" s="18"/>
      <c r="I815" s="18"/>
      <c r="J815" s="18"/>
      <c r="K815" s="18"/>
      <c r="L815" s="18"/>
      <c r="M815" s="18"/>
    </row>
    <row r="816" s="65" customFormat="1" ht="13.5" spans="1:13">
      <c r="A816" s="66"/>
      <c r="E816" s="72" t="s">
        <v>891</v>
      </c>
      <c r="F816" s="18"/>
      <c r="G816" s="18"/>
      <c r="H816" s="18"/>
      <c r="I816" s="18"/>
      <c r="J816" s="18"/>
      <c r="K816" s="18"/>
      <c r="L816" s="18"/>
      <c r="M816" s="18"/>
    </row>
    <row r="817" s="65" customFormat="1" ht="13.5" spans="1:13">
      <c r="A817" s="66"/>
      <c r="E817" s="72" t="s">
        <v>892</v>
      </c>
      <c r="F817" s="18"/>
      <c r="G817" s="18"/>
      <c r="H817" s="18"/>
      <c r="I817" s="18"/>
      <c r="J817" s="18"/>
      <c r="K817" s="18"/>
      <c r="L817" s="18"/>
      <c r="M817" s="18"/>
    </row>
    <row r="818" s="65" customFormat="1" ht="13.5" spans="1:13">
      <c r="A818" s="66"/>
      <c r="E818" s="72" t="s">
        <v>893</v>
      </c>
      <c r="F818" s="18"/>
      <c r="G818" s="18"/>
      <c r="H818" s="18"/>
      <c r="I818" s="18"/>
      <c r="J818" s="18"/>
      <c r="K818" s="18"/>
      <c r="L818" s="18"/>
      <c r="M818" s="18"/>
    </row>
    <row r="819" s="65" customFormat="1" ht="13.5" spans="1:13">
      <c r="A819" s="66"/>
      <c r="E819" s="72" t="s">
        <v>894</v>
      </c>
      <c r="F819" s="18"/>
      <c r="G819" s="18"/>
      <c r="H819" s="18"/>
      <c r="I819" s="18"/>
      <c r="J819" s="18"/>
      <c r="K819" s="18"/>
      <c r="L819" s="18"/>
      <c r="M819" s="18"/>
    </row>
    <row r="820" s="65" customFormat="1" ht="13.5" spans="1:13">
      <c r="A820" s="66"/>
      <c r="E820" s="72" t="s">
        <v>895</v>
      </c>
      <c r="F820" s="18"/>
      <c r="G820" s="18"/>
      <c r="H820" s="18"/>
      <c r="I820" s="18"/>
      <c r="J820" s="18"/>
      <c r="K820" s="18"/>
      <c r="L820" s="18"/>
      <c r="M820" s="18"/>
    </row>
    <row r="821" s="65" customFormat="1" ht="13.5" spans="1:13">
      <c r="A821" s="66"/>
      <c r="E821" s="72" t="s">
        <v>896</v>
      </c>
      <c r="F821" s="18"/>
      <c r="G821" s="18"/>
      <c r="H821" s="18"/>
      <c r="I821" s="18"/>
      <c r="J821" s="18"/>
      <c r="K821" s="18"/>
      <c r="L821" s="18"/>
      <c r="M821" s="18"/>
    </row>
    <row r="822" s="65" customFormat="1" ht="13.5" spans="1:13">
      <c r="A822" s="66"/>
      <c r="E822" s="72" t="s">
        <v>897</v>
      </c>
      <c r="F822" s="18"/>
      <c r="G822" s="18"/>
      <c r="H822" s="18"/>
      <c r="I822" s="18"/>
      <c r="J822" s="18"/>
      <c r="K822" s="18"/>
      <c r="L822" s="18"/>
      <c r="M822" s="18"/>
    </row>
    <row r="823" s="65" customFormat="1" ht="13.5" spans="1:13">
      <c r="A823" s="66"/>
      <c r="E823" s="72" t="s">
        <v>898</v>
      </c>
      <c r="F823" s="18"/>
      <c r="G823" s="18"/>
      <c r="H823" s="18"/>
      <c r="I823" s="18"/>
      <c r="J823" s="18"/>
      <c r="K823" s="18"/>
      <c r="L823" s="18"/>
      <c r="M823" s="18"/>
    </row>
    <row r="824" s="65" customFormat="1" ht="13.5" spans="1:13">
      <c r="A824" s="66"/>
      <c r="E824" s="72" t="s">
        <v>899</v>
      </c>
      <c r="F824" s="18"/>
      <c r="G824" s="18"/>
      <c r="H824" s="18"/>
      <c r="I824" s="18"/>
      <c r="J824" s="18"/>
      <c r="K824" s="18"/>
      <c r="L824" s="18"/>
      <c r="M824" s="18"/>
    </row>
    <row r="825" s="65" customFormat="1" ht="13.5" spans="1:13">
      <c r="A825" s="66"/>
      <c r="E825" s="72" t="s">
        <v>900</v>
      </c>
      <c r="F825" s="18"/>
      <c r="G825" s="18"/>
      <c r="H825" s="18"/>
      <c r="I825" s="18"/>
      <c r="J825" s="18"/>
      <c r="K825" s="18"/>
      <c r="L825" s="18"/>
      <c r="M825" s="18"/>
    </row>
    <row r="826" s="65" customFormat="1" ht="13.5" spans="1:13">
      <c r="A826" s="66"/>
      <c r="E826" s="72" t="s">
        <v>901</v>
      </c>
      <c r="F826" s="18"/>
      <c r="G826" s="18"/>
      <c r="H826" s="18"/>
      <c r="I826" s="18"/>
      <c r="J826" s="18"/>
      <c r="K826" s="18"/>
      <c r="L826" s="18"/>
      <c r="M826" s="18"/>
    </row>
    <row r="827" s="65" customFormat="1" ht="13.5" spans="1:13">
      <c r="A827" s="66"/>
      <c r="E827" s="72" t="s">
        <v>902</v>
      </c>
      <c r="F827" s="18"/>
      <c r="G827" s="18"/>
      <c r="H827" s="18"/>
      <c r="I827" s="18"/>
      <c r="J827" s="18"/>
      <c r="K827" s="18"/>
      <c r="L827" s="18"/>
      <c r="M827" s="18"/>
    </row>
    <row r="828" s="65" customFormat="1" ht="13.5" spans="1:13">
      <c r="A828" s="66"/>
      <c r="E828" s="72" t="s">
        <v>903</v>
      </c>
      <c r="F828" s="18"/>
      <c r="G828" s="18"/>
      <c r="H828" s="18"/>
      <c r="I828" s="18"/>
      <c r="J828" s="18"/>
      <c r="K828" s="18"/>
      <c r="L828" s="18"/>
      <c r="M828" s="18"/>
    </row>
    <row r="829" s="65" customFormat="1" ht="13.5" spans="1:13">
      <c r="A829" s="66"/>
      <c r="E829" s="72" t="s">
        <v>904</v>
      </c>
      <c r="F829" s="18"/>
      <c r="G829" s="18"/>
      <c r="H829" s="18"/>
      <c r="I829" s="18"/>
      <c r="J829" s="18"/>
      <c r="K829" s="18"/>
      <c r="L829" s="18"/>
      <c r="M829" s="18"/>
    </row>
    <row r="830" s="65" customFormat="1" ht="13.5" spans="1:13">
      <c r="A830" s="66"/>
      <c r="E830" s="72" t="s">
        <v>905</v>
      </c>
      <c r="F830" s="18"/>
      <c r="G830" s="18"/>
      <c r="H830" s="18"/>
      <c r="I830" s="18"/>
      <c r="J830" s="18"/>
      <c r="K830" s="18"/>
      <c r="L830" s="18"/>
      <c r="M830" s="18"/>
    </row>
    <row r="831" s="65" customFormat="1" ht="13.5" spans="1:13">
      <c r="A831" s="66"/>
      <c r="E831" s="72" t="s">
        <v>906</v>
      </c>
      <c r="F831" s="18"/>
      <c r="G831" s="18"/>
      <c r="H831" s="18"/>
      <c r="I831" s="18"/>
      <c r="J831" s="18"/>
      <c r="K831" s="18"/>
      <c r="L831" s="18"/>
      <c r="M831" s="18"/>
    </row>
    <row r="832" s="65" customFormat="1" ht="13.5" spans="1:13">
      <c r="A832" s="66"/>
      <c r="E832" s="72" t="s">
        <v>907</v>
      </c>
      <c r="F832" s="18"/>
      <c r="G832" s="18"/>
      <c r="H832" s="18"/>
      <c r="I832" s="18"/>
      <c r="J832" s="18"/>
      <c r="K832" s="18"/>
      <c r="L832" s="18"/>
      <c r="M832" s="18"/>
    </row>
    <row r="833" s="65" customFormat="1" ht="13.5" spans="1:13">
      <c r="A833" s="66"/>
      <c r="E833" s="72" t="s">
        <v>908</v>
      </c>
      <c r="F833" s="18"/>
      <c r="G833" s="18"/>
      <c r="H833" s="18"/>
      <c r="I833" s="18"/>
      <c r="J833" s="18"/>
      <c r="K833" s="18"/>
      <c r="L833" s="18"/>
      <c r="M833" s="18"/>
    </row>
    <row r="834" s="65" customFormat="1" ht="13.5" spans="1:13">
      <c r="A834" s="66"/>
      <c r="E834" s="72" t="s">
        <v>909</v>
      </c>
      <c r="F834" s="18"/>
      <c r="G834" s="18"/>
      <c r="H834" s="18"/>
      <c r="I834" s="18"/>
      <c r="J834" s="18"/>
      <c r="K834" s="18"/>
      <c r="L834" s="18"/>
      <c r="M834" s="18"/>
    </row>
    <row r="835" s="65" customFormat="1" ht="13.5" spans="1:13">
      <c r="A835" s="66"/>
      <c r="E835" s="72" t="s">
        <v>910</v>
      </c>
      <c r="F835" s="18"/>
      <c r="G835" s="18"/>
      <c r="H835" s="18"/>
      <c r="I835" s="18"/>
      <c r="J835" s="18"/>
      <c r="K835" s="18"/>
      <c r="L835" s="18"/>
      <c r="M835" s="18"/>
    </row>
    <row r="836" s="65" customFormat="1" ht="13.5" spans="1:13">
      <c r="A836" s="66"/>
      <c r="E836" s="72" t="s">
        <v>911</v>
      </c>
      <c r="F836" s="18"/>
      <c r="G836" s="18"/>
      <c r="H836" s="18"/>
      <c r="I836" s="18"/>
      <c r="J836" s="18"/>
      <c r="K836" s="18"/>
      <c r="L836" s="18"/>
      <c r="M836" s="18"/>
    </row>
    <row r="837" s="65" customFormat="1" ht="13.5" spans="1:13">
      <c r="A837" s="66"/>
      <c r="E837" s="72" t="s">
        <v>912</v>
      </c>
      <c r="F837" s="18"/>
      <c r="G837" s="18"/>
      <c r="H837" s="18"/>
      <c r="I837" s="18"/>
      <c r="J837" s="18"/>
      <c r="K837" s="18"/>
      <c r="L837" s="18"/>
      <c r="M837" s="18"/>
    </row>
    <row r="838" s="65" customFormat="1" ht="13.5" spans="1:13">
      <c r="A838" s="66"/>
      <c r="E838" s="72" t="s">
        <v>913</v>
      </c>
      <c r="F838" s="18"/>
      <c r="G838" s="18"/>
      <c r="H838" s="18"/>
      <c r="I838" s="18"/>
      <c r="J838" s="18"/>
      <c r="K838" s="18"/>
      <c r="L838" s="18"/>
      <c r="M838" s="18"/>
    </row>
    <row r="839" s="65" customFormat="1" ht="13.5" spans="1:13">
      <c r="A839" s="66"/>
      <c r="E839" s="72" t="s">
        <v>914</v>
      </c>
      <c r="F839" s="18"/>
      <c r="G839" s="18"/>
      <c r="H839" s="18"/>
      <c r="I839" s="18"/>
      <c r="J839" s="18"/>
      <c r="K839" s="18"/>
      <c r="L839" s="18"/>
      <c r="M839" s="18"/>
    </row>
    <row r="840" s="65" customFormat="1" ht="13.5" spans="1:13">
      <c r="A840" s="66"/>
      <c r="E840" s="72" t="s">
        <v>915</v>
      </c>
      <c r="F840" s="18"/>
      <c r="G840" s="18"/>
      <c r="H840" s="18"/>
      <c r="I840" s="18"/>
      <c r="J840" s="18"/>
      <c r="K840" s="18"/>
      <c r="L840" s="18"/>
      <c r="M840" s="18"/>
    </row>
    <row r="841" s="65" customFormat="1" ht="13.5" spans="1:13">
      <c r="A841" s="66"/>
      <c r="E841" s="72" t="s">
        <v>916</v>
      </c>
      <c r="F841" s="18"/>
      <c r="G841" s="18"/>
      <c r="H841" s="18"/>
      <c r="I841" s="18"/>
      <c r="J841" s="18"/>
      <c r="K841" s="18"/>
      <c r="L841" s="18"/>
      <c r="M841" s="18"/>
    </row>
    <row r="842" s="65" customFormat="1" ht="13.5" spans="1:13">
      <c r="A842" s="66"/>
      <c r="E842" s="72" t="s">
        <v>917</v>
      </c>
      <c r="F842" s="18"/>
      <c r="G842" s="18"/>
      <c r="H842" s="18"/>
      <c r="I842" s="18"/>
      <c r="J842" s="18"/>
      <c r="K842" s="18"/>
      <c r="L842" s="18"/>
      <c r="M842" s="18"/>
    </row>
    <row r="843" s="65" customFormat="1" ht="13.5" spans="1:13">
      <c r="A843" s="66"/>
      <c r="E843" s="72" t="s">
        <v>918</v>
      </c>
      <c r="F843" s="18"/>
      <c r="G843" s="18"/>
      <c r="H843" s="18"/>
      <c r="I843" s="18"/>
      <c r="J843" s="18"/>
      <c r="K843" s="18"/>
      <c r="L843" s="18"/>
      <c r="M843" s="18"/>
    </row>
    <row r="844" s="65" customFormat="1" ht="13.5" spans="1:13">
      <c r="A844" s="66"/>
      <c r="E844" s="72" t="s">
        <v>919</v>
      </c>
      <c r="F844" s="18"/>
      <c r="G844" s="18"/>
      <c r="H844" s="18"/>
      <c r="I844" s="18"/>
      <c r="J844" s="18"/>
      <c r="K844" s="18"/>
      <c r="L844" s="18"/>
      <c r="M844" s="18"/>
    </row>
    <row r="845" s="65" customFormat="1" ht="13.5" spans="1:13">
      <c r="A845" s="66"/>
      <c r="E845" s="72" t="s">
        <v>920</v>
      </c>
      <c r="F845" s="18"/>
      <c r="G845" s="18"/>
      <c r="H845" s="18"/>
      <c r="I845" s="18"/>
      <c r="J845" s="18"/>
      <c r="K845" s="18"/>
      <c r="L845" s="18"/>
      <c r="M845" s="18"/>
    </row>
    <row r="846" s="65" customFormat="1" ht="13.5" spans="1:13">
      <c r="A846" s="66"/>
      <c r="E846" s="72" t="s">
        <v>921</v>
      </c>
      <c r="F846" s="18"/>
      <c r="G846" s="18"/>
      <c r="H846" s="18"/>
      <c r="I846" s="18"/>
      <c r="J846" s="18"/>
      <c r="K846" s="18"/>
      <c r="L846" s="18"/>
      <c r="M846" s="18"/>
    </row>
    <row r="847" s="65" customFormat="1" ht="13.5" spans="1:13">
      <c r="A847" s="66"/>
      <c r="E847" s="72" t="s">
        <v>922</v>
      </c>
      <c r="F847" s="18"/>
      <c r="G847" s="18"/>
      <c r="H847" s="18"/>
      <c r="I847" s="18"/>
      <c r="J847" s="18"/>
      <c r="K847" s="18"/>
      <c r="L847" s="18"/>
      <c r="M847" s="18"/>
    </row>
    <row r="848" s="65" customFormat="1" ht="13.5" spans="1:13">
      <c r="A848" s="66"/>
      <c r="E848" s="72" t="s">
        <v>923</v>
      </c>
      <c r="F848" s="18"/>
      <c r="G848" s="18"/>
      <c r="H848" s="18"/>
      <c r="I848" s="18"/>
      <c r="J848" s="18"/>
      <c r="K848" s="18"/>
      <c r="L848" s="18"/>
      <c r="M848" s="18"/>
    </row>
    <row r="849" s="65" customFormat="1" ht="13.5" spans="1:13">
      <c r="A849" s="66"/>
      <c r="E849" s="72" t="s">
        <v>924</v>
      </c>
      <c r="F849" s="18"/>
      <c r="G849" s="18"/>
      <c r="H849" s="18"/>
      <c r="I849" s="18"/>
      <c r="J849" s="18"/>
      <c r="K849" s="18"/>
      <c r="L849" s="18"/>
      <c r="M849" s="18"/>
    </row>
    <row r="850" s="65" customFormat="1" ht="13.5" spans="1:13">
      <c r="A850" s="66"/>
      <c r="E850" s="72" t="s">
        <v>925</v>
      </c>
      <c r="F850" s="18"/>
      <c r="G850" s="18"/>
      <c r="H850" s="18"/>
      <c r="I850" s="18"/>
      <c r="J850" s="18"/>
      <c r="K850" s="18"/>
      <c r="L850" s="18"/>
      <c r="M850" s="18"/>
    </row>
    <row r="851" s="65" customFormat="1" ht="13.5" spans="1:13">
      <c r="A851" s="66"/>
      <c r="E851" s="72" t="s">
        <v>926</v>
      </c>
      <c r="F851" s="18"/>
      <c r="G851" s="18"/>
      <c r="H851" s="18"/>
      <c r="I851" s="18"/>
      <c r="J851" s="18"/>
      <c r="K851" s="18"/>
      <c r="L851" s="18"/>
      <c r="M851" s="18"/>
    </row>
    <row r="852" s="65" customFormat="1" ht="13.5" spans="1:13">
      <c r="A852" s="66"/>
      <c r="E852" s="72" t="s">
        <v>927</v>
      </c>
      <c r="F852" s="18"/>
      <c r="G852" s="18"/>
      <c r="H852" s="18"/>
      <c r="I852" s="18"/>
      <c r="J852" s="18"/>
      <c r="K852" s="18"/>
      <c r="L852" s="18"/>
      <c r="M852" s="18"/>
    </row>
    <row r="853" s="65" customFormat="1" ht="13.5" spans="1:13">
      <c r="A853" s="66"/>
      <c r="E853" s="72" t="s">
        <v>928</v>
      </c>
      <c r="F853" s="18"/>
      <c r="G853" s="18"/>
      <c r="H853" s="18"/>
      <c r="I853" s="18"/>
      <c r="J853" s="18"/>
      <c r="K853" s="18"/>
      <c r="L853" s="18"/>
      <c r="M853" s="18"/>
    </row>
    <row r="854" s="65" customFormat="1" ht="13.5" spans="1:13">
      <c r="A854" s="66"/>
      <c r="E854" s="72" t="s">
        <v>929</v>
      </c>
      <c r="F854" s="18"/>
      <c r="G854" s="18"/>
      <c r="H854" s="18"/>
      <c r="I854" s="18"/>
      <c r="J854" s="18"/>
      <c r="K854" s="18"/>
      <c r="L854" s="18"/>
      <c r="M854" s="18"/>
    </row>
    <row r="855" s="65" customFormat="1" ht="13.5" spans="1:13">
      <c r="A855" s="66"/>
      <c r="E855" s="72" t="s">
        <v>930</v>
      </c>
      <c r="F855" s="18"/>
      <c r="G855" s="18"/>
      <c r="H855" s="18"/>
      <c r="I855" s="18"/>
      <c r="J855" s="18"/>
      <c r="K855" s="18"/>
      <c r="L855" s="18"/>
      <c r="M855" s="18"/>
    </row>
    <row r="856" s="65" customFormat="1" ht="13.5" spans="1:13">
      <c r="A856" s="66"/>
      <c r="E856" s="72" t="s">
        <v>931</v>
      </c>
      <c r="F856" s="18"/>
      <c r="G856" s="18"/>
      <c r="H856" s="18"/>
      <c r="I856" s="18"/>
      <c r="J856" s="18"/>
      <c r="K856" s="18"/>
      <c r="L856" s="18"/>
      <c r="M856" s="18"/>
    </row>
    <row r="857" s="65" customFormat="1" ht="13.5" spans="1:13">
      <c r="A857" s="66"/>
      <c r="E857" s="72" t="s">
        <v>932</v>
      </c>
      <c r="F857" s="18"/>
      <c r="G857" s="18"/>
      <c r="H857" s="18"/>
      <c r="I857" s="18"/>
      <c r="J857" s="18"/>
      <c r="K857" s="18"/>
      <c r="L857" s="18"/>
      <c r="M857" s="18"/>
    </row>
    <row r="858" s="65" customFormat="1" ht="13.5" spans="1:13">
      <c r="A858" s="66"/>
      <c r="E858" s="72" t="s">
        <v>933</v>
      </c>
      <c r="F858" s="18"/>
      <c r="G858" s="18"/>
      <c r="H858" s="18"/>
      <c r="I858" s="18"/>
      <c r="J858" s="18"/>
      <c r="K858" s="18"/>
      <c r="L858" s="18"/>
      <c r="M858" s="18"/>
    </row>
    <row r="859" s="65" customFormat="1" ht="13.5" spans="1:13">
      <c r="A859" s="66"/>
      <c r="E859" s="72" t="s">
        <v>934</v>
      </c>
      <c r="F859" s="18"/>
      <c r="G859" s="18"/>
      <c r="H859" s="18"/>
      <c r="I859" s="18"/>
      <c r="J859" s="18"/>
      <c r="K859" s="18"/>
      <c r="L859" s="18"/>
      <c r="M859" s="18"/>
    </row>
    <row r="860" s="65" customFormat="1" ht="13.5" spans="1:13">
      <c r="A860" s="66"/>
      <c r="E860" s="72" t="s">
        <v>935</v>
      </c>
      <c r="F860" s="18"/>
      <c r="G860" s="18"/>
      <c r="H860" s="18"/>
      <c r="I860" s="18"/>
      <c r="J860" s="18"/>
      <c r="K860" s="18"/>
      <c r="L860" s="18"/>
      <c r="M860" s="18"/>
    </row>
    <row r="861" s="65" customFormat="1" ht="13.5" spans="1:13">
      <c r="A861" s="66"/>
      <c r="E861" s="72" t="s">
        <v>936</v>
      </c>
      <c r="F861" s="18"/>
      <c r="G861" s="18"/>
      <c r="H861" s="18"/>
      <c r="I861" s="18"/>
      <c r="J861" s="18"/>
      <c r="K861" s="18"/>
      <c r="L861" s="18"/>
      <c r="M861" s="18"/>
    </row>
    <row r="862" s="65" customFormat="1" ht="13.5" spans="1:13">
      <c r="A862" s="66"/>
      <c r="E862" s="72" t="s">
        <v>937</v>
      </c>
      <c r="F862" s="18"/>
      <c r="G862" s="18"/>
      <c r="H862" s="18"/>
      <c r="I862" s="18"/>
      <c r="J862" s="18"/>
      <c r="K862" s="18"/>
      <c r="L862" s="18"/>
      <c r="M862" s="18"/>
    </row>
    <row r="863" s="65" customFormat="1" ht="13.5" spans="1:13">
      <c r="A863" s="66"/>
      <c r="E863" s="72" t="s">
        <v>938</v>
      </c>
      <c r="F863" s="18"/>
      <c r="G863" s="18"/>
      <c r="H863" s="18"/>
      <c r="I863" s="18"/>
      <c r="J863" s="18"/>
      <c r="K863" s="18"/>
      <c r="L863" s="18"/>
      <c r="M863" s="18"/>
    </row>
    <row r="864" s="65" customFormat="1" ht="13.5" spans="1:13">
      <c r="A864" s="66"/>
      <c r="E864" s="72" t="s">
        <v>939</v>
      </c>
      <c r="F864" s="18"/>
      <c r="G864" s="18"/>
      <c r="H864" s="18"/>
      <c r="I864" s="18"/>
      <c r="J864" s="18"/>
      <c r="K864" s="18"/>
      <c r="L864" s="18"/>
      <c r="M864" s="18"/>
    </row>
    <row r="865" s="65" customFormat="1" ht="13.5" spans="1:13">
      <c r="A865" s="66"/>
      <c r="E865" s="72" t="s">
        <v>940</v>
      </c>
      <c r="F865" s="18"/>
      <c r="G865" s="18"/>
      <c r="H865" s="18"/>
      <c r="I865" s="18"/>
      <c r="J865" s="18"/>
      <c r="K865" s="18"/>
      <c r="L865" s="18"/>
      <c r="M865" s="18"/>
    </row>
    <row r="866" s="65" customFormat="1" ht="13.5" spans="1:13">
      <c r="A866" s="66"/>
      <c r="E866" s="72" t="s">
        <v>941</v>
      </c>
      <c r="F866" s="18"/>
      <c r="G866" s="18"/>
      <c r="H866" s="18"/>
      <c r="I866" s="18"/>
      <c r="J866" s="18"/>
      <c r="K866" s="18"/>
      <c r="L866" s="18"/>
      <c r="M866" s="18"/>
    </row>
    <row r="867" s="65" customFormat="1" ht="13.5" spans="1:13">
      <c r="A867" s="66"/>
      <c r="E867" s="72" t="s">
        <v>942</v>
      </c>
      <c r="F867" s="18"/>
      <c r="G867" s="18"/>
      <c r="H867" s="18"/>
      <c r="I867" s="18"/>
      <c r="J867" s="18"/>
      <c r="K867" s="18"/>
      <c r="L867" s="18"/>
      <c r="M867" s="18"/>
    </row>
    <row r="868" s="65" customFormat="1" ht="13.5" spans="1:13">
      <c r="A868" s="66"/>
      <c r="E868" s="72" t="s">
        <v>943</v>
      </c>
      <c r="F868" s="18"/>
      <c r="G868" s="18"/>
      <c r="H868" s="18"/>
      <c r="I868" s="18"/>
      <c r="J868" s="18"/>
      <c r="K868" s="18"/>
      <c r="L868" s="18"/>
      <c r="M868" s="18"/>
    </row>
    <row r="869" s="65" customFormat="1" ht="13.5" spans="1:13">
      <c r="A869" s="66"/>
      <c r="E869" s="72" t="s">
        <v>944</v>
      </c>
      <c r="F869" s="18"/>
      <c r="G869" s="18"/>
      <c r="H869" s="18"/>
      <c r="I869" s="18"/>
      <c r="J869" s="18"/>
      <c r="K869" s="18"/>
      <c r="L869" s="18"/>
      <c r="M869" s="18"/>
    </row>
    <row r="870" s="65" customFormat="1" ht="13.5" spans="1:13">
      <c r="A870" s="66"/>
      <c r="E870" s="72" t="s">
        <v>945</v>
      </c>
      <c r="F870" s="18"/>
      <c r="G870" s="18"/>
      <c r="H870" s="18"/>
      <c r="I870" s="18"/>
      <c r="J870" s="18"/>
      <c r="K870" s="18"/>
      <c r="L870" s="18"/>
      <c r="M870" s="18"/>
    </row>
    <row r="871" s="65" customFormat="1" ht="13.5" spans="1:13">
      <c r="A871" s="66"/>
      <c r="E871" s="72" t="s">
        <v>946</v>
      </c>
      <c r="F871" s="18"/>
      <c r="G871" s="18"/>
      <c r="H871" s="18"/>
      <c r="I871" s="18"/>
      <c r="J871" s="18"/>
      <c r="K871" s="18"/>
      <c r="L871" s="18"/>
      <c r="M871" s="18"/>
    </row>
    <row r="872" s="65" customFormat="1" ht="13.5" spans="1:13">
      <c r="A872" s="66"/>
      <c r="E872" s="72" t="s">
        <v>947</v>
      </c>
      <c r="F872" s="18"/>
      <c r="G872" s="18"/>
      <c r="H872" s="18"/>
      <c r="I872" s="18"/>
      <c r="J872" s="18"/>
      <c r="K872" s="18"/>
      <c r="L872" s="18"/>
      <c r="M872" s="18"/>
    </row>
    <row r="873" s="65" customFormat="1" ht="13.5" spans="1:13">
      <c r="A873" s="66"/>
      <c r="E873" s="72" t="s">
        <v>948</v>
      </c>
      <c r="F873" s="18"/>
      <c r="G873" s="18"/>
      <c r="H873" s="18"/>
      <c r="I873" s="18"/>
      <c r="J873" s="18"/>
      <c r="K873" s="18"/>
      <c r="L873" s="18"/>
      <c r="M873" s="18"/>
    </row>
    <row r="874" s="65" customFormat="1" ht="13.5" spans="1:13">
      <c r="A874" s="66"/>
      <c r="E874" s="72" t="s">
        <v>949</v>
      </c>
      <c r="F874" s="18"/>
      <c r="G874" s="18"/>
      <c r="H874" s="18"/>
      <c r="I874" s="18"/>
      <c r="J874" s="18"/>
      <c r="K874" s="18"/>
      <c r="L874" s="18"/>
      <c r="M874" s="18"/>
    </row>
    <row r="875" s="65" customFormat="1" ht="13.5" spans="1:13">
      <c r="A875" s="66"/>
      <c r="E875" s="72" t="s">
        <v>950</v>
      </c>
      <c r="F875" s="18"/>
      <c r="G875" s="18"/>
      <c r="H875" s="18"/>
      <c r="I875" s="18"/>
      <c r="J875" s="18"/>
      <c r="K875" s="18"/>
      <c r="L875" s="18"/>
      <c r="M875" s="18"/>
    </row>
    <row r="876" s="65" customFormat="1" ht="13.5" spans="1:13">
      <c r="A876" s="66"/>
      <c r="E876" s="72" t="s">
        <v>951</v>
      </c>
      <c r="F876" s="18"/>
      <c r="G876" s="18"/>
      <c r="H876" s="18"/>
      <c r="I876" s="18"/>
      <c r="J876" s="18"/>
      <c r="K876" s="18"/>
      <c r="L876" s="18"/>
      <c r="M876" s="18"/>
    </row>
    <row r="877" s="65" customFormat="1" ht="13.5" spans="1:13">
      <c r="A877" s="66"/>
      <c r="E877" s="72" t="s">
        <v>952</v>
      </c>
      <c r="F877" s="18"/>
      <c r="G877" s="18"/>
      <c r="H877" s="18"/>
      <c r="I877" s="18"/>
      <c r="J877" s="18"/>
      <c r="K877" s="18"/>
      <c r="L877" s="18"/>
      <c r="M877" s="18"/>
    </row>
    <row r="878" s="65" customFormat="1" ht="13.5" spans="1:13">
      <c r="A878" s="66"/>
      <c r="E878" s="72" t="s">
        <v>953</v>
      </c>
      <c r="F878" s="18"/>
      <c r="G878" s="18"/>
      <c r="H878" s="18"/>
      <c r="I878" s="18"/>
      <c r="J878" s="18"/>
      <c r="K878" s="18"/>
      <c r="L878" s="18"/>
      <c r="M878" s="18"/>
    </row>
    <row r="879" s="65" customFormat="1" ht="13.5" spans="1:13">
      <c r="A879" s="66"/>
      <c r="E879" s="72" t="s">
        <v>954</v>
      </c>
      <c r="F879" s="18"/>
      <c r="G879" s="18"/>
      <c r="H879" s="18"/>
      <c r="I879" s="18"/>
      <c r="J879" s="18"/>
      <c r="K879" s="18"/>
      <c r="L879" s="18"/>
      <c r="M879" s="18"/>
    </row>
    <row r="880" s="65" customFormat="1" ht="13.5" spans="1:13">
      <c r="A880" s="66"/>
      <c r="E880" s="72" t="s">
        <v>955</v>
      </c>
      <c r="F880" s="18"/>
      <c r="G880" s="18"/>
      <c r="H880" s="18"/>
      <c r="I880" s="18"/>
      <c r="J880" s="18"/>
      <c r="K880" s="18"/>
      <c r="L880" s="18"/>
      <c r="M880" s="18"/>
    </row>
    <row r="881" s="65" customFormat="1" ht="13.5" spans="1:13">
      <c r="A881" s="66"/>
      <c r="E881" s="72" t="s">
        <v>956</v>
      </c>
      <c r="F881" s="18"/>
      <c r="G881" s="18"/>
      <c r="H881" s="18"/>
      <c r="I881" s="18"/>
      <c r="J881" s="18"/>
      <c r="K881" s="18"/>
      <c r="L881" s="18"/>
      <c r="M881" s="18"/>
    </row>
    <row r="882" s="65" customFormat="1" ht="13.5" spans="1:13">
      <c r="A882" s="66"/>
      <c r="E882" s="72" t="s">
        <v>957</v>
      </c>
      <c r="F882" s="18"/>
      <c r="G882" s="18"/>
      <c r="H882" s="18"/>
      <c r="I882" s="18"/>
      <c r="J882" s="18"/>
      <c r="K882" s="18"/>
      <c r="L882" s="18"/>
      <c r="M882" s="18"/>
    </row>
    <row r="883" s="65" customFormat="1" ht="13.5" spans="1:13">
      <c r="A883" s="66"/>
      <c r="E883" s="72" t="s">
        <v>958</v>
      </c>
      <c r="F883" s="18"/>
      <c r="G883" s="18"/>
      <c r="H883" s="18"/>
      <c r="I883" s="18"/>
      <c r="J883" s="18"/>
      <c r="K883" s="18"/>
      <c r="L883" s="18"/>
      <c r="M883" s="18"/>
    </row>
    <row r="884" s="65" customFormat="1" ht="13.5" spans="1:13">
      <c r="A884" s="66"/>
      <c r="E884" s="72" t="s">
        <v>959</v>
      </c>
      <c r="F884" s="18"/>
      <c r="G884" s="18"/>
      <c r="H884" s="18"/>
      <c r="I884" s="18"/>
      <c r="J884" s="18"/>
      <c r="K884" s="18"/>
      <c r="L884" s="18"/>
      <c r="M884" s="18"/>
    </row>
    <row r="885" s="65" customFormat="1" ht="13.5" spans="1:13">
      <c r="A885" s="66"/>
      <c r="E885" s="72" t="s">
        <v>960</v>
      </c>
      <c r="F885" s="18"/>
      <c r="G885" s="18"/>
      <c r="H885" s="18"/>
      <c r="I885" s="18"/>
      <c r="J885" s="18"/>
      <c r="K885" s="18"/>
      <c r="L885" s="18"/>
      <c r="M885" s="18"/>
    </row>
    <row r="886" s="65" customFormat="1" ht="13.5" spans="1:13">
      <c r="A886" s="66"/>
      <c r="E886" s="72" t="s">
        <v>961</v>
      </c>
      <c r="F886" s="18"/>
      <c r="G886" s="18"/>
      <c r="H886" s="18"/>
      <c r="I886" s="18"/>
      <c r="J886" s="18"/>
      <c r="K886" s="18"/>
      <c r="L886" s="18"/>
      <c r="M886" s="18"/>
    </row>
    <row r="887" s="65" customFormat="1" ht="13.5" spans="1:13">
      <c r="A887" s="66"/>
      <c r="E887" s="72" t="s">
        <v>962</v>
      </c>
      <c r="F887" s="18"/>
      <c r="G887" s="18"/>
      <c r="H887" s="18"/>
      <c r="I887" s="18"/>
      <c r="J887" s="18"/>
      <c r="K887" s="18"/>
      <c r="L887" s="18"/>
      <c r="M887" s="18"/>
    </row>
    <row r="888" s="65" customFormat="1" ht="13.5" spans="1:13">
      <c r="A888" s="66"/>
      <c r="E888" s="72" t="s">
        <v>963</v>
      </c>
      <c r="F888" s="18"/>
      <c r="G888" s="18"/>
      <c r="H888" s="18"/>
      <c r="I888" s="18"/>
      <c r="J888" s="18"/>
      <c r="K888" s="18"/>
      <c r="L888" s="18"/>
      <c r="M888" s="18"/>
    </row>
    <row r="889" s="65" customFormat="1" ht="13.5" spans="1:13">
      <c r="A889" s="66"/>
      <c r="E889" s="72" t="s">
        <v>964</v>
      </c>
      <c r="F889" s="18"/>
      <c r="G889" s="18"/>
      <c r="H889" s="18"/>
      <c r="I889" s="18"/>
      <c r="J889" s="18"/>
      <c r="K889" s="18"/>
      <c r="L889" s="18"/>
      <c r="M889" s="18"/>
    </row>
    <row r="890" s="65" customFormat="1" ht="13.5" spans="1:13">
      <c r="A890" s="66"/>
      <c r="E890" s="72" t="s">
        <v>965</v>
      </c>
      <c r="F890" s="18"/>
      <c r="G890" s="18"/>
      <c r="H890" s="18"/>
      <c r="I890" s="18"/>
      <c r="J890" s="18"/>
      <c r="K890" s="18"/>
      <c r="L890" s="18"/>
      <c r="M890" s="18"/>
    </row>
    <row r="891" s="65" customFormat="1" ht="13.5" spans="1:13">
      <c r="A891" s="66"/>
      <c r="E891" s="72" t="s">
        <v>966</v>
      </c>
      <c r="F891" s="18"/>
      <c r="G891" s="18"/>
      <c r="H891" s="18"/>
      <c r="I891" s="18"/>
      <c r="J891" s="18"/>
      <c r="K891" s="18"/>
      <c r="L891" s="18"/>
      <c r="M891" s="18"/>
    </row>
    <row r="892" s="65" customFormat="1" ht="13.5" spans="1:13">
      <c r="A892" s="66"/>
      <c r="E892" s="72" t="s">
        <v>967</v>
      </c>
      <c r="F892" s="18"/>
      <c r="G892" s="18"/>
      <c r="H892" s="18"/>
      <c r="I892" s="18"/>
      <c r="J892" s="18"/>
      <c r="K892" s="18"/>
      <c r="L892" s="18"/>
      <c r="M892" s="18"/>
    </row>
    <row r="893" s="65" customFormat="1" ht="13.5" spans="1:13">
      <c r="A893" s="66"/>
      <c r="E893" s="72" t="s">
        <v>968</v>
      </c>
      <c r="F893" s="18"/>
      <c r="G893" s="18"/>
      <c r="H893" s="18"/>
      <c r="I893" s="18"/>
      <c r="J893" s="18"/>
      <c r="K893" s="18"/>
      <c r="L893" s="18"/>
      <c r="M893" s="18"/>
    </row>
    <row r="894" s="65" customFormat="1" ht="13.5" spans="1:13">
      <c r="A894" s="66"/>
      <c r="E894" s="72" t="s">
        <v>969</v>
      </c>
      <c r="F894" s="18"/>
      <c r="G894" s="18"/>
      <c r="H894" s="18"/>
      <c r="I894" s="18"/>
      <c r="J894" s="18"/>
      <c r="K894" s="18"/>
      <c r="L894" s="18"/>
      <c r="M894" s="18"/>
    </row>
    <row r="895" s="65" customFormat="1" ht="13.5" spans="1:13">
      <c r="A895" s="66"/>
      <c r="E895" s="72" t="s">
        <v>970</v>
      </c>
      <c r="F895" s="18"/>
      <c r="G895" s="18"/>
      <c r="H895" s="18"/>
      <c r="I895" s="18"/>
      <c r="J895" s="18"/>
      <c r="K895" s="18"/>
      <c r="L895" s="18"/>
      <c r="M895" s="18"/>
    </row>
    <row r="896" s="65" customFormat="1" ht="13.5" spans="1:13">
      <c r="A896" s="66"/>
      <c r="E896" s="72" t="s">
        <v>971</v>
      </c>
      <c r="F896" s="18"/>
      <c r="G896" s="18"/>
      <c r="H896" s="18"/>
      <c r="I896" s="18"/>
      <c r="J896" s="18"/>
      <c r="K896" s="18"/>
      <c r="L896" s="18"/>
      <c r="M896" s="18"/>
    </row>
    <row r="897" s="65" customFormat="1" ht="13.5" spans="1:13">
      <c r="A897" s="66"/>
      <c r="E897" s="72" t="s">
        <v>972</v>
      </c>
      <c r="F897" s="18"/>
      <c r="G897" s="18"/>
      <c r="H897" s="18"/>
      <c r="I897" s="18"/>
      <c r="J897" s="18"/>
      <c r="K897" s="18"/>
      <c r="L897" s="18"/>
      <c r="M897" s="18"/>
    </row>
    <row r="898" s="65" customFormat="1" ht="13.5" spans="1:13">
      <c r="A898" s="66"/>
      <c r="E898" s="72" t="s">
        <v>973</v>
      </c>
      <c r="F898" s="18"/>
      <c r="G898" s="18"/>
      <c r="H898" s="18"/>
      <c r="I898" s="18"/>
      <c r="J898" s="18"/>
      <c r="K898" s="18"/>
      <c r="L898" s="18"/>
      <c r="M898" s="18"/>
    </row>
    <row r="899" s="65" customFormat="1" ht="13.5" spans="1:13">
      <c r="A899" s="66"/>
      <c r="E899" s="72" t="s">
        <v>974</v>
      </c>
      <c r="F899" s="18"/>
      <c r="G899" s="18"/>
      <c r="H899" s="18"/>
      <c r="I899" s="18"/>
      <c r="J899" s="18"/>
      <c r="K899" s="18"/>
      <c r="L899" s="18"/>
      <c r="M899" s="18"/>
    </row>
    <row r="900" s="65" customFormat="1" ht="13.5" spans="1:13">
      <c r="A900" s="66"/>
      <c r="E900" s="72" t="s">
        <v>975</v>
      </c>
      <c r="F900" s="18"/>
      <c r="G900" s="18"/>
      <c r="H900" s="18"/>
      <c r="I900" s="18"/>
      <c r="J900" s="18"/>
      <c r="K900" s="18"/>
      <c r="L900" s="18"/>
      <c r="M900" s="18"/>
    </row>
    <row r="901" s="65" customFormat="1" ht="13.5" spans="1:13">
      <c r="A901" s="66"/>
      <c r="E901" s="72" t="s">
        <v>976</v>
      </c>
      <c r="F901" s="18"/>
      <c r="G901" s="18"/>
      <c r="H901" s="18"/>
      <c r="I901" s="18"/>
      <c r="J901" s="18"/>
      <c r="K901" s="18"/>
      <c r="L901" s="18"/>
      <c r="M901" s="18"/>
    </row>
    <row r="902" s="65" customFormat="1" ht="13.5" spans="1:13">
      <c r="A902" s="66"/>
      <c r="E902" s="72" t="s">
        <v>977</v>
      </c>
      <c r="F902" s="18"/>
      <c r="G902" s="18"/>
      <c r="H902" s="18"/>
      <c r="I902" s="18"/>
      <c r="J902" s="18"/>
      <c r="K902" s="18"/>
      <c r="L902" s="18"/>
      <c r="M902" s="18"/>
    </row>
    <row r="903" s="65" customFormat="1" ht="13.5" spans="1:13">
      <c r="A903" s="66"/>
      <c r="E903" s="72" t="s">
        <v>978</v>
      </c>
      <c r="F903" s="18"/>
      <c r="G903" s="18"/>
      <c r="H903" s="18"/>
      <c r="I903" s="18"/>
      <c r="J903" s="18"/>
      <c r="K903" s="18"/>
      <c r="L903" s="18"/>
      <c r="M903" s="18"/>
    </row>
    <row r="904" s="65" customFormat="1" ht="13.5" spans="1:13">
      <c r="A904" s="66"/>
      <c r="E904" s="72" t="s">
        <v>979</v>
      </c>
      <c r="F904" s="18"/>
      <c r="G904" s="18"/>
      <c r="H904" s="18"/>
      <c r="I904" s="18"/>
      <c r="J904" s="18"/>
      <c r="K904" s="18"/>
      <c r="L904" s="18"/>
      <c r="M904" s="18"/>
    </row>
    <row r="905" s="65" customFormat="1" ht="13.5" spans="1:13">
      <c r="A905" s="66"/>
      <c r="E905" s="72" t="s">
        <v>980</v>
      </c>
      <c r="F905" s="18"/>
      <c r="G905" s="18"/>
      <c r="H905" s="18"/>
      <c r="I905" s="18"/>
      <c r="J905" s="18"/>
      <c r="K905" s="18"/>
      <c r="L905" s="18"/>
      <c r="M905" s="18"/>
    </row>
    <row r="906" s="65" customFormat="1" ht="13.5" spans="1:13">
      <c r="A906" s="66"/>
      <c r="E906" s="72" t="s">
        <v>981</v>
      </c>
      <c r="F906" s="18"/>
      <c r="G906" s="18"/>
      <c r="H906" s="18"/>
      <c r="I906" s="18"/>
      <c r="J906" s="18"/>
      <c r="K906" s="18"/>
      <c r="L906" s="18"/>
      <c r="M906" s="18"/>
    </row>
    <row r="907" s="65" customFormat="1" ht="13.5" spans="1:13">
      <c r="A907" s="66"/>
      <c r="E907" s="72" t="s">
        <v>982</v>
      </c>
      <c r="F907" s="18"/>
      <c r="G907" s="18"/>
      <c r="H907" s="18"/>
      <c r="I907" s="18"/>
      <c r="J907" s="18"/>
      <c r="K907" s="18"/>
      <c r="L907" s="18"/>
      <c r="M907" s="18"/>
    </row>
    <row r="908" s="65" customFormat="1" ht="13.5" spans="1:13">
      <c r="A908" s="66"/>
      <c r="E908" s="72" t="s">
        <v>983</v>
      </c>
      <c r="F908" s="18"/>
      <c r="G908" s="18"/>
      <c r="H908" s="18"/>
      <c r="I908" s="18"/>
      <c r="J908" s="18"/>
      <c r="K908" s="18"/>
      <c r="L908" s="18"/>
      <c r="M908" s="18"/>
    </row>
    <row r="909" s="65" customFormat="1" ht="13.5" spans="1:13">
      <c r="A909" s="66"/>
      <c r="E909" s="72" t="s">
        <v>984</v>
      </c>
      <c r="F909" s="18"/>
      <c r="G909" s="18"/>
      <c r="H909" s="18"/>
      <c r="I909" s="18"/>
      <c r="J909" s="18"/>
      <c r="K909" s="18"/>
      <c r="L909" s="18"/>
      <c r="M909" s="18"/>
    </row>
    <row r="910" s="65" customFormat="1" ht="13.5" spans="1:13">
      <c r="A910" s="66"/>
      <c r="E910" s="72" t="s">
        <v>985</v>
      </c>
      <c r="F910" s="18"/>
      <c r="G910" s="18"/>
      <c r="H910" s="18"/>
      <c r="I910" s="18"/>
      <c r="J910" s="18"/>
      <c r="K910" s="18"/>
      <c r="L910" s="18"/>
      <c r="M910" s="18"/>
    </row>
    <row r="911" s="65" customFormat="1" ht="13.5" spans="1:13">
      <c r="A911" s="66"/>
      <c r="E911" s="72" t="s">
        <v>986</v>
      </c>
      <c r="F911" s="18"/>
      <c r="G911" s="18"/>
      <c r="H911" s="18"/>
      <c r="I911" s="18"/>
      <c r="J911" s="18"/>
      <c r="K911" s="18"/>
      <c r="L911" s="18"/>
      <c r="M911" s="18"/>
    </row>
    <row r="912" s="65" customFormat="1" ht="13.5" spans="1:13">
      <c r="A912" s="66"/>
      <c r="E912" s="72" t="s">
        <v>987</v>
      </c>
      <c r="F912" s="18"/>
      <c r="G912" s="18"/>
      <c r="H912" s="18"/>
      <c r="I912" s="18"/>
      <c r="J912" s="18"/>
      <c r="K912" s="18"/>
      <c r="L912" s="18"/>
      <c r="M912" s="18"/>
    </row>
    <row r="913" s="65" customFormat="1" ht="13.5" spans="1:13">
      <c r="A913" s="66"/>
      <c r="E913" s="72" t="s">
        <v>988</v>
      </c>
      <c r="F913" s="18"/>
      <c r="G913" s="18"/>
      <c r="H913" s="18"/>
      <c r="I913" s="18"/>
      <c r="J913" s="18"/>
      <c r="K913" s="18"/>
      <c r="L913" s="18"/>
      <c r="M913" s="18"/>
    </row>
    <row r="914" s="65" customFormat="1" ht="13.5" spans="1:13">
      <c r="A914" s="66"/>
      <c r="E914" s="72" t="s">
        <v>989</v>
      </c>
      <c r="F914" s="18"/>
      <c r="G914" s="18"/>
      <c r="H914" s="18"/>
      <c r="I914" s="18"/>
      <c r="J914" s="18"/>
      <c r="K914" s="18"/>
      <c r="L914" s="18"/>
      <c r="M914" s="18"/>
    </row>
    <row r="915" s="65" customFormat="1" ht="13.5" spans="1:13">
      <c r="A915" s="66"/>
      <c r="E915" s="72" t="s">
        <v>990</v>
      </c>
      <c r="F915" s="18"/>
      <c r="G915" s="18"/>
      <c r="H915" s="18"/>
      <c r="I915" s="18"/>
      <c r="J915" s="18"/>
      <c r="K915" s="18"/>
      <c r="L915" s="18"/>
      <c r="M915" s="18"/>
    </row>
    <row r="916" s="65" customFormat="1" ht="13.5" spans="1:13">
      <c r="A916" s="66"/>
      <c r="E916" s="72" t="s">
        <v>991</v>
      </c>
      <c r="F916" s="18"/>
      <c r="G916" s="18"/>
      <c r="H916" s="18"/>
      <c r="I916" s="18"/>
      <c r="J916" s="18"/>
      <c r="K916" s="18"/>
      <c r="L916" s="18"/>
      <c r="M916" s="18"/>
    </row>
    <row r="917" s="65" customFormat="1" ht="13.5" spans="1:13">
      <c r="A917" s="66"/>
      <c r="E917" s="72" t="s">
        <v>992</v>
      </c>
      <c r="F917" s="18"/>
      <c r="G917" s="18"/>
      <c r="H917" s="18"/>
      <c r="I917" s="18"/>
      <c r="J917" s="18"/>
      <c r="K917" s="18"/>
      <c r="L917" s="18"/>
      <c r="M917" s="18"/>
    </row>
    <row r="918" s="65" customFormat="1" ht="13.5" spans="1:13">
      <c r="A918" s="66"/>
      <c r="E918" s="72" t="s">
        <v>993</v>
      </c>
      <c r="F918" s="18"/>
      <c r="G918" s="18"/>
      <c r="H918" s="18"/>
      <c r="I918" s="18"/>
      <c r="J918" s="18"/>
      <c r="K918" s="18"/>
      <c r="L918" s="18"/>
      <c r="M918" s="18"/>
    </row>
    <row r="919" s="65" customFormat="1" ht="13.5" spans="1:13">
      <c r="A919" s="66"/>
      <c r="E919" s="72" t="s">
        <v>994</v>
      </c>
      <c r="F919" s="18"/>
      <c r="G919" s="18"/>
      <c r="H919" s="18"/>
      <c r="I919" s="18"/>
      <c r="J919" s="18"/>
      <c r="K919" s="18"/>
      <c r="L919" s="18"/>
      <c r="M919" s="18"/>
    </row>
    <row r="920" s="65" customFormat="1" ht="13.5" spans="1:13">
      <c r="A920" s="66"/>
      <c r="E920" s="72" t="s">
        <v>995</v>
      </c>
      <c r="F920" s="18"/>
      <c r="G920" s="18"/>
      <c r="H920" s="18"/>
      <c r="I920" s="18"/>
      <c r="J920" s="18"/>
      <c r="K920" s="18"/>
      <c r="L920" s="18"/>
      <c r="M920" s="18"/>
    </row>
    <row r="921" s="65" customFormat="1" ht="13.5" spans="1:13">
      <c r="A921" s="66"/>
      <c r="E921" s="72" t="s">
        <v>996</v>
      </c>
      <c r="F921" s="18"/>
      <c r="G921" s="18"/>
      <c r="H921" s="18"/>
      <c r="I921" s="18"/>
      <c r="J921" s="18"/>
      <c r="K921" s="18"/>
      <c r="L921" s="18"/>
      <c r="M921" s="18"/>
    </row>
    <row r="922" s="65" customFormat="1" ht="13.5" spans="1:13">
      <c r="A922" s="66"/>
      <c r="E922" s="72" t="s">
        <v>997</v>
      </c>
      <c r="F922" s="18"/>
      <c r="G922" s="18"/>
      <c r="H922" s="18"/>
      <c r="I922" s="18"/>
      <c r="J922" s="18"/>
      <c r="K922" s="18"/>
      <c r="L922" s="18"/>
      <c r="M922" s="18"/>
    </row>
    <row r="923" s="65" customFormat="1" ht="13.5" spans="1:13">
      <c r="A923" s="66"/>
      <c r="E923" s="72" t="s">
        <v>998</v>
      </c>
      <c r="F923" s="18"/>
      <c r="G923" s="18"/>
      <c r="H923" s="18"/>
      <c r="I923" s="18"/>
      <c r="J923" s="18"/>
      <c r="K923" s="18"/>
      <c r="L923" s="18"/>
      <c r="M923" s="18"/>
    </row>
    <row r="924" s="65" customFormat="1" ht="13.5" spans="1:13">
      <c r="A924" s="66"/>
      <c r="E924" s="72" t="s">
        <v>999</v>
      </c>
      <c r="F924" s="18"/>
      <c r="G924" s="18"/>
      <c r="H924" s="18"/>
      <c r="I924" s="18"/>
      <c r="J924" s="18"/>
      <c r="K924" s="18"/>
      <c r="L924" s="18"/>
      <c r="M924" s="18"/>
    </row>
    <row r="925" s="65" customFormat="1" ht="13.5" spans="1:13">
      <c r="A925" s="66"/>
      <c r="E925" s="72" t="s">
        <v>1000</v>
      </c>
      <c r="F925" s="18"/>
      <c r="G925" s="18"/>
      <c r="H925" s="18"/>
      <c r="I925" s="18"/>
      <c r="J925" s="18"/>
      <c r="K925" s="18"/>
      <c r="L925" s="18"/>
      <c r="M925" s="18"/>
    </row>
    <row r="926" s="65" customFormat="1" ht="13.5" spans="1:13">
      <c r="A926" s="66"/>
      <c r="E926" s="72" t="s">
        <v>1001</v>
      </c>
      <c r="F926" s="18"/>
      <c r="G926" s="18"/>
      <c r="H926" s="18"/>
      <c r="I926" s="18"/>
      <c r="J926" s="18"/>
      <c r="K926" s="18"/>
      <c r="L926" s="18"/>
      <c r="M926" s="18"/>
    </row>
    <row r="927" s="65" customFormat="1" ht="13.5" spans="1:13">
      <c r="A927" s="66"/>
      <c r="E927" s="72" t="s">
        <v>1002</v>
      </c>
      <c r="F927" s="18"/>
      <c r="G927" s="18"/>
      <c r="H927" s="18"/>
      <c r="I927" s="18"/>
      <c r="J927" s="18"/>
      <c r="K927" s="18"/>
      <c r="L927" s="18"/>
      <c r="M927" s="18"/>
    </row>
    <row r="928" s="65" customFormat="1" ht="13.5" spans="1:13">
      <c r="A928" s="66"/>
      <c r="E928" s="72" t="s">
        <v>1003</v>
      </c>
      <c r="F928" s="18"/>
      <c r="G928" s="18"/>
      <c r="H928" s="18"/>
      <c r="I928" s="18"/>
      <c r="J928" s="18"/>
      <c r="K928" s="18"/>
      <c r="L928" s="18"/>
      <c r="M928" s="18"/>
    </row>
    <row r="929" s="65" customFormat="1" ht="13.5" spans="1:13">
      <c r="A929" s="66"/>
      <c r="E929" s="72" t="s">
        <v>1004</v>
      </c>
      <c r="F929" s="18"/>
      <c r="G929" s="18"/>
      <c r="H929" s="18"/>
      <c r="I929" s="18"/>
      <c r="J929" s="18"/>
      <c r="K929" s="18"/>
      <c r="L929" s="18"/>
      <c r="M929" s="18"/>
    </row>
    <row r="930" s="65" customFormat="1" ht="13.5" spans="1:13">
      <c r="A930" s="66"/>
      <c r="E930" s="72" t="s">
        <v>1005</v>
      </c>
      <c r="F930" s="18"/>
      <c r="G930" s="18"/>
      <c r="H930" s="18"/>
      <c r="I930" s="18"/>
      <c r="J930" s="18"/>
      <c r="K930" s="18"/>
      <c r="L930" s="18"/>
      <c r="M930" s="18"/>
    </row>
    <row r="931" s="65" customFormat="1" ht="13.5" spans="1:13">
      <c r="A931" s="66"/>
      <c r="E931" s="72" t="s">
        <v>1006</v>
      </c>
      <c r="F931" s="18"/>
      <c r="G931" s="18"/>
      <c r="H931" s="18"/>
      <c r="I931" s="18"/>
      <c r="J931" s="18"/>
      <c r="K931" s="18"/>
      <c r="L931" s="18"/>
      <c r="M931" s="18"/>
    </row>
    <row r="932" s="65" customFormat="1" ht="13.5" spans="1:13">
      <c r="A932" s="66"/>
      <c r="E932" s="72" t="s">
        <v>1007</v>
      </c>
      <c r="F932" s="18"/>
      <c r="G932" s="18"/>
      <c r="H932" s="18"/>
      <c r="I932" s="18"/>
      <c r="J932" s="18"/>
      <c r="K932" s="18"/>
      <c r="L932" s="18"/>
      <c r="M932" s="18"/>
    </row>
    <row r="933" s="65" customFormat="1" ht="13.5" spans="1:13">
      <c r="A933" s="66"/>
      <c r="E933" s="72" t="s">
        <v>1008</v>
      </c>
      <c r="F933" s="18"/>
      <c r="G933" s="18"/>
      <c r="H933" s="18"/>
      <c r="I933" s="18"/>
      <c r="J933" s="18"/>
      <c r="K933" s="18"/>
      <c r="L933" s="18"/>
      <c r="M933" s="18"/>
    </row>
    <row r="934" s="65" customFormat="1" ht="13.5" spans="1:13">
      <c r="A934" s="66"/>
      <c r="E934" s="72" t="s">
        <v>1009</v>
      </c>
      <c r="F934" s="18"/>
      <c r="G934" s="18"/>
      <c r="H934" s="18"/>
      <c r="I934" s="18"/>
      <c r="J934" s="18"/>
      <c r="K934" s="18"/>
      <c r="L934" s="18"/>
      <c r="M934" s="18"/>
    </row>
    <row r="935" s="65" customFormat="1" ht="13.5" spans="1:13">
      <c r="A935" s="66"/>
      <c r="E935" s="72" t="s">
        <v>1010</v>
      </c>
      <c r="F935" s="18"/>
      <c r="G935" s="18"/>
      <c r="H935" s="18"/>
      <c r="I935" s="18"/>
      <c r="J935" s="18"/>
      <c r="K935" s="18"/>
      <c r="L935" s="18"/>
      <c r="M935" s="18"/>
    </row>
    <row r="936" s="65" customFormat="1" ht="13.5" spans="1:13">
      <c r="A936" s="66"/>
      <c r="E936" s="72" t="s">
        <v>1011</v>
      </c>
      <c r="F936" s="18"/>
      <c r="G936" s="18"/>
      <c r="H936" s="18"/>
      <c r="I936" s="18"/>
      <c r="J936" s="18"/>
      <c r="K936" s="18"/>
      <c r="L936" s="18"/>
      <c r="M936" s="18"/>
    </row>
    <row r="937" s="65" customFormat="1" ht="13.5" spans="1:13">
      <c r="A937" s="66"/>
      <c r="E937" s="72" t="s">
        <v>1012</v>
      </c>
      <c r="F937" s="18"/>
      <c r="G937" s="18"/>
      <c r="H937" s="18"/>
      <c r="I937" s="18"/>
      <c r="J937" s="18"/>
      <c r="K937" s="18"/>
      <c r="L937" s="18"/>
      <c r="M937" s="18"/>
    </row>
    <row r="938" s="65" customFormat="1" ht="13.5" spans="1:13">
      <c r="A938" s="66"/>
      <c r="E938" s="72" t="s">
        <v>1013</v>
      </c>
      <c r="F938" s="18"/>
      <c r="G938" s="18"/>
      <c r="H938" s="18"/>
      <c r="I938" s="18"/>
      <c r="J938" s="18"/>
      <c r="K938" s="18"/>
      <c r="L938" s="18"/>
      <c r="M938" s="18"/>
    </row>
    <row r="939" s="65" customFormat="1" ht="13.5" spans="1:13">
      <c r="A939" s="66"/>
      <c r="E939" s="72" t="s">
        <v>1014</v>
      </c>
      <c r="F939" s="18"/>
      <c r="G939" s="18"/>
      <c r="H939" s="18"/>
      <c r="I939" s="18"/>
      <c r="J939" s="18"/>
      <c r="K939" s="18"/>
      <c r="L939" s="18"/>
      <c r="M939" s="18"/>
    </row>
    <row r="940" s="65" customFormat="1" ht="13.5" spans="1:13">
      <c r="A940" s="66"/>
      <c r="E940" s="72" t="s">
        <v>1015</v>
      </c>
      <c r="F940" s="18"/>
      <c r="G940" s="18"/>
      <c r="H940" s="18"/>
      <c r="I940" s="18"/>
      <c r="J940" s="18"/>
      <c r="K940" s="18"/>
      <c r="L940" s="18"/>
      <c r="M940" s="18"/>
    </row>
    <row r="941" s="65" customFormat="1" ht="13.5" spans="1:13">
      <c r="A941" s="66"/>
      <c r="E941" s="72" t="s">
        <v>1016</v>
      </c>
      <c r="F941" s="18"/>
      <c r="G941" s="18"/>
      <c r="H941" s="18"/>
      <c r="I941" s="18"/>
      <c r="J941" s="18"/>
      <c r="K941" s="18"/>
      <c r="L941" s="18"/>
      <c r="M941" s="18"/>
    </row>
    <row r="942" s="65" customFormat="1" ht="13.5" spans="1:13">
      <c r="A942" s="66"/>
      <c r="E942" s="72" t="s">
        <v>1017</v>
      </c>
      <c r="F942" s="18"/>
      <c r="G942" s="18"/>
      <c r="H942" s="18"/>
      <c r="I942" s="18"/>
      <c r="J942" s="18"/>
      <c r="K942" s="18"/>
      <c r="L942" s="18"/>
      <c r="M942" s="18"/>
    </row>
    <row r="943" s="65" customFormat="1" ht="13.5" spans="1:13">
      <c r="A943" s="66"/>
      <c r="E943" s="72" t="s">
        <v>1018</v>
      </c>
      <c r="F943" s="18"/>
      <c r="G943" s="18"/>
      <c r="H943" s="18"/>
      <c r="I943" s="18"/>
      <c r="J943" s="18"/>
      <c r="K943" s="18"/>
      <c r="L943" s="18"/>
      <c r="M943" s="18"/>
    </row>
    <row r="944" s="65" customFormat="1" ht="13.5" spans="1:13">
      <c r="A944" s="66"/>
      <c r="E944" s="72" t="s">
        <v>1019</v>
      </c>
      <c r="F944" s="18"/>
      <c r="G944" s="18"/>
      <c r="H944" s="18"/>
      <c r="I944" s="18"/>
      <c r="J944" s="18"/>
      <c r="K944" s="18"/>
      <c r="L944" s="18"/>
      <c r="M944" s="18"/>
    </row>
    <row r="945" s="65" customFormat="1" ht="13.5" spans="1:13">
      <c r="A945" s="66"/>
      <c r="E945" s="72" t="s">
        <v>1020</v>
      </c>
      <c r="F945" s="18"/>
      <c r="G945" s="18"/>
      <c r="H945" s="18"/>
      <c r="I945" s="18"/>
      <c r="J945" s="18"/>
      <c r="K945" s="18"/>
      <c r="L945" s="18"/>
      <c r="M945" s="18"/>
    </row>
    <row r="946" s="65" customFormat="1" ht="13.5" spans="1:13">
      <c r="A946" s="66"/>
      <c r="E946" s="72" t="s">
        <v>1021</v>
      </c>
      <c r="F946" s="18"/>
      <c r="G946" s="18"/>
      <c r="H946" s="18"/>
      <c r="I946" s="18"/>
      <c r="J946" s="18"/>
      <c r="K946" s="18"/>
      <c r="L946" s="18"/>
      <c r="M946" s="18"/>
    </row>
    <row r="947" s="65" customFormat="1" ht="13.5" spans="1:13">
      <c r="A947" s="66"/>
      <c r="E947" s="72" t="s">
        <v>1022</v>
      </c>
      <c r="F947" s="18"/>
      <c r="G947" s="18"/>
      <c r="H947" s="18"/>
      <c r="I947" s="18"/>
      <c r="J947" s="18"/>
      <c r="K947" s="18"/>
      <c r="L947" s="18"/>
      <c r="M947" s="18"/>
    </row>
    <row r="948" s="65" customFormat="1" ht="13.5" spans="1:13">
      <c r="A948" s="66"/>
      <c r="E948" s="72" t="s">
        <v>1023</v>
      </c>
      <c r="F948" s="18"/>
      <c r="G948" s="18"/>
      <c r="H948" s="18"/>
      <c r="I948" s="18"/>
      <c r="J948" s="18"/>
      <c r="K948" s="18"/>
      <c r="L948" s="18"/>
      <c r="M948" s="18"/>
    </row>
    <row r="949" s="65" customFormat="1" ht="13.5" spans="1:13">
      <c r="A949" s="66"/>
      <c r="E949" s="72" t="s">
        <v>1024</v>
      </c>
      <c r="F949" s="18"/>
      <c r="G949" s="18"/>
      <c r="H949" s="18"/>
      <c r="I949" s="18"/>
      <c r="J949" s="18"/>
      <c r="K949" s="18"/>
      <c r="L949" s="18"/>
      <c r="M949" s="18"/>
    </row>
    <row r="950" s="65" customFormat="1" ht="13.5" spans="1:13">
      <c r="A950" s="66"/>
      <c r="E950" s="72" t="s">
        <v>1025</v>
      </c>
      <c r="F950" s="18"/>
      <c r="G950" s="18"/>
      <c r="H950" s="18"/>
      <c r="I950" s="18"/>
      <c r="J950" s="18"/>
      <c r="K950" s="18"/>
      <c r="L950" s="18"/>
      <c r="M950" s="18"/>
    </row>
    <row r="951" s="65" customFormat="1" ht="13.5" spans="1:13">
      <c r="A951" s="66"/>
      <c r="E951" s="72" t="s">
        <v>1026</v>
      </c>
      <c r="F951" s="18"/>
      <c r="G951" s="18"/>
      <c r="H951" s="18"/>
      <c r="I951" s="18"/>
      <c r="J951" s="18"/>
      <c r="K951" s="18"/>
      <c r="L951" s="18"/>
      <c r="M951" s="18"/>
    </row>
    <row r="952" s="65" customFormat="1" ht="13.5" spans="1:13">
      <c r="A952" s="66"/>
      <c r="E952" s="72" t="s">
        <v>1027</v>
      </c>
      <c r="F952" s="18"/>
      <c r="G952" s="18"/>
      <c r="H952" s="18"/>
      <c r="I952" s="18"/>
      <c r="J952" s="18"/>
      <c r="K952" s="18"/>
      <c r="L952" s="18"/>
      <c r="M952" s="18"/>
    </row>
    <row r="953" s="65" customFormat="1" ht="13.5" spans="1:13">
      <c r="A953" s="66"/>
      <c r="E953" s="72" t="s">
        <v>1028</v>
      </c>
      <c r="F953" s="18"/>
      <c r="G953" s="18"/>
      <c r="H953" s="18"/>
      <c r="I953" s="18"/>
      <c r="J953" s="18"/>
      <c r="K953" s="18"/>
      <c r="L953" s="18"/>
      <c r="M953" s="18"/>
    </row>
    <row r="954" s="65" customFormat="1" ht="13.5" spans="1:13">
      <c r="A954" s="66"/>
      <c r="E954" s="72" t="s">
        <v>1029</v>
      </c>
      <c r="F954" s="18"/>
      <c r="G954" s="18"/>
      <c r="H954" s="18"/>
      <c r="I954" s="18"/>
      <c r="J954" s="18"/>
      <c r="K954" s="18"/>
      <c r="L954" s="18"/>
      <c r="M954" s="18"/>
    </row>
    <row r="955" s="65" customFormat="1" ht="13.5" spans="1:13">
      <c r="A955" s="66"/>
      <c r="E955" s="72" t="s">
        <v>1030</v>
      </c>
      <c r="F955" s="18"/>
      <c r="G955" s="18"/>
      <c r="H955" s="18"/>
      <c r="I955" s="18"/>
      <c r="J955" s="18"/>
      <c r="K955" s="18"/>
      <c r="L955" s="18"/>
      <c r="M955" s="18"/>
    </row>
    <row r="956" s="65" customFormat="1" ht="13.5" spans="1:13">
      <c r="A956" s="66"/>
      <c r="E956" s="72" t="s">
        <v>1031</v>
      </c>
      <c r="F956" s="18"/>
      <c r="G956" s="18"/>
      <c r="H956" s="18"/>
      <c r="I956" s="18"/>
      <c r="J956" s="18"/>
      <c r="K956" s="18"/>
      <c r="L956" s="18"/>
      <c r="M956" s="18"/>
    </row>
    <row r="957" s="65" customFormat="1" ht="13.5" spans="1:13">
      <c r="A957" s="66"/>
      <c r="E957" s="72" t="s">
        <v>1032</v>
      </c>
      <c r="F957" s="18"/>
      <c r="G957" s="18"/>
      <c r="H957" s="18"/>
      <c r="I957" s="18"/>
      <c r="J957" s="18"/>
      <c r="K957" s="18"/>
      <c r="L957" s="18"/>
      <c r="M957" s="18"/>
    </row>
    <row r="958" s="65" customFormat="1" ht="13.5" spans="1:13">
      <c r="A958" s="66"/>
      <c r="E958" s="72" t="s">
        <v>1033</v>
      </c>
      <c r="F958" s="18"/>
      <c r="G958" s="18"/>
      <c r="H958" s="18"/>
      <c r="I958" s="18"/>
      <c r="J958" s="18"/>
      <c r="K958" s="18"/>
      <c r="L958" s="18"/>
      <c r="M958" s="18"/>
    </row>
    <row r="959" s="65" customFormat="1" ht="13.5" spans="1:13">
      <c r="A959" s="66"/>
      <c r="E959" s="72" t="s">
        <v>1034</v>
      </c>
      <c r="F959" s="18"/>
      <c r="G959" s="18"/>
      <c r="H959" s="18"/>
      <c r="I959" s="18"/>
      <c r="J959" s="18"/>
      <c r="K959" s="18"/>
      <c r="L959" s="18"/>
      <c r="M959" s="18"/>
    </row>
    <row r="960" s="65" customFormat="1" ht="13.5" spans="1:13">
      <c r="A960" s="66"/>
      <c r="E960" s="72" t="s">
        <v>1035</v>
      </c>
      <c r="F960" s="18"/>
      <c r="G960" s="18"/>
      <c r="H960" s="18"/>
      <c r="I960" s="18"/>
      <c r="J960" s="18"/>
      <c r="K960" s="18"/>
      <c r="L960" s="18"/>
      <c r="M960" s="18"/>
    </row>
    <row r="961" s="65" customFormat="1" ht="13.5" spans="1:13">
      <c r="A961" s="66"/>
      <c r="E961" s="72" t="s">
        <v>1036</v>
      </c>
      <c r="F961" s="18"/>
      <c r="G961" s="18"/>
      <c r="H961" s="18"/>
      <c r="I961" s="18"/>
      <c r="J961" s="18"/>
      <c r="K961" s="18"/>
      <c r="L961" s="18"/>
      <c r="M961" s="18"/>
    </row>
    <row r="962" s="65" customFormat="1" ht="13.5" spans="1:13">
      <c r="A962" s="66"/>
      <c r="E962" s="72" t="s">
        <v>1037</v>
      </c>
      <c r="F962" s="18"/>
      <c r="G962" s="18"/>
      <c r="H962" s="18"/>
      <c r="I962" s="18"/>
      <c r="J962" s="18"/>
      <c r="K962" s="18"/>
      <c r="L962" s="18"/>
      <c r="M962" s="18"/>
    </row>
    <row r="963" s="65" customFormat="1" ht="13.5" spans="1:13">
      <c r="A963" s="66"/>
      <c r="E963" s="72" t="s">
        <v>1038</v>
      </c>
      <c r="F963" s="18"/>
      <c r="G963" s="18"/>
      <c r="H963" s="18"/>
      <c r="I963" s="18"/>
      <c r="J963" s="18"/>
      <c r="K963" s="18"/>
      <c r="L963" s="18"/>
      <c r="M963" s="18"/>
    </row>
    <row r="964" s="65" customFormat="1" ht="13.5" spans="1:13">
      <c r="A964" s="66"/>
      <c r="E964" s="72" t="s">
        <v>1039</v>
      </c>
      <c r="F964" s="18"/>
      <c r="G964" s="18"/>
      <c r="H964" s="18"/>
      <c r="I964" s="18"/>
      <c r="J964" s="18"/>
      <c r="K964" s="18"/>
      <c r="L964" s="18"/>
      <c r="M964" s="18"/>
    </row>
    <row r="965" s="65" customFormat="1" ht="13.5" spans="1:13">
      <c r="A965" s="66"/>
      <c r="E965" s="72" t="s">
        <v>1040</v>
      </c>
      <c r="F965" s="18"/>
      <c r="G965" s="18"/>
      <c r="H965" s="18"/>
      <c r="I965" s="18"/>
      <c r="J965" s="18"/>
      <c r="K965" s="18"/>
      <c r="L965" s="18"/>
      <c r="M965" s="18"/>
    </row>
    <row r="966" s="65" customFormat="1" ht="13.5" spans="1:13">
      <c r="A966" s="66"/>
      <c r="E966" s="72" t="s">
        <v>1041</v>
      </c>
      <c r="F966" s="18"/>
      <c r="G966" s="18"/>
      <c r="H966" s="18"/>
      <c r="I966" s="18"/>
      <c r="J966" s="18"/>
      <c r="K966" s="18"/>
      <c r="L966" s="18"/>
      <c r="M966" s="18"/>
    </row>
    <row r="967" s="65" customFormat="1" ht="13.5" spans="1:13">
      <c r="A967" s="66"/>
      <c r="E967" s="72" t="s">
        <v>1042</v>
      </c>
      <c r="F967" s="18"/>
      <c r="G967" s="18"/>
      <c r="H967" s="18"/>
      <c r="I967" s="18"/>
      <c r="J967" s="18"/>
      <c r="K967" s="18"/>
      <c r="L967" s="18"/>
      <c r="M967" s="18"/>
    </row>
    <row r="968" s="65" customFormat="1" ht="13.5" spans="1:13">
      <c r="A968" s="66"/>
      <c r="E968" s="72" t="s">
        <v>1043</v>
      </c>
      <c r="F968" s="18"/>
      <c r="G968" s="18"/>
      <c r="H968" s="18"/>
      <c r="I968" s="18"/>
      <c r="J968" s="18"/>
      <c r="K968" s="18"/>
      <c r="L968" s="18"/>
      <c r="M968" s="18"/>
    </row>
    <row r="969" s="65" customFormat="1" ht="13.5" spans="1:13">
      <c r="A969" s="66"/>
      <c r="E969" s="72" t="s">
        <v>1044</v>
      </c>
      <c r="F969" s="18"/>
      <c r="G969" s="18"/>
      <c r="H969" s="18"/>
      <c r="I969" s="18"/>
      <c r="J969" s="18"/>
      <c r="K969" s="18"/>
      <c r="L969" s="18"/>
      <c r="M969" s="18"/>
    </row>
    <row r="970" s="65" customFormat="1" ht="13.5" spans="1:13">
      <c r="A970" s="66"/>
      <c r="E970" s="72" t="s">
        <v>1045</v>
      </c>
      <c r="F970" s="18"/>
      <c r="G970" s="18"/>
      <c r="H970" s="18"/>
      <c r="I970" s="18"/>
      <c r="J970" s="18"/>
      <c r="K970" s="18"/>
      <c r="L970" s="18"/>
      <c r="M970" s="18"/>
    </row>
    <row r="971" s="65" customFormat="1" ht="13.5" spans="1:13">
      <c r="A971" s="66"/>
      <c r="E971" s="72" t="s">
        <v>1046</v>
      </c>
      <c r="F971" s="18"/>
      <c r="G971" s="18"/>
      <c r="H971" s="18"/>
      <c r="I971" s="18"/>
      <c r="J971" s="18"/>
      <c r="K971" s="18"/>
      <c r="L971" s="18"/>
      <c r="M971" s="18"/>
    </row>
    <row r="972" s="65" customFormat="1" ht="13.5" spans="1:13">
      <c r="A972" s="66"/>
      <c r="E972" s="72" t="s">
        <v>1047</v>
      </c>
      <c r="F972" s="18"/>
      <c r="G972" s="18"/>
      <c r="H972" s="18"/>
      <c r="I972" s="18"/>
      <c r="J972" s="18"/>
      <c r="K972" s="18"/>
      <c r="L972" s="18"/>
      <c r="M972" s="18"/>
    </row>
    <row r="973" s="65" customFormat="1" ht="13.5" spans="1:13">
      <c r="A973" s="66"/>
      <c r="E973" s="72" t="s">
        <v>1048</v>
      </c>
      <c r="F973" s="18"/>
      <c r="G973" s="18"/>
      <c r="H973" s="18"/>
      <c r="I973" s="18"/>
      <c r="J973" s="18"/>
      <c r="K973" s="18"/>
      <c r="L973" s="18"/>
      <c r="M973" s="18"/>
    </row>
    <row r="974" s="65" customFormat="1" ht="13.5" spans="1:13">
      <c r="A974" s="66"/>
      <c r="E974" s="72" t="s">
        <v>1049</v>
      </c>
      <c r="F974" s="18"/>
      <c r="G974" s="18"/>
      <c r="H974" s="18"/>
      <c r="I974" s="18"/>
      <c r="J974" s="18"/>
      <c r="K974" s="18"/>
      <c r="L974" s="18"/>
      <c r="M974" s="18"/>
    </row>
    <row r="975" s="65" customFormat="1" ht="13.5" spans="1:13">
      <c r="A975" s="66"/>
      <c r="E975" s="72" t="s">
        <v>1050</v>
      </c>
      <c r="F975" s="18"/>
      <c r="G975" s="18"/>
      <c r="H975" s="18"/>
      <c r="I975" s="18"/>
      <c r="J975" s="18"/>
      <c r="K975" s="18"/>
      <c r="L975" s="18"/>
      <c r="M975" s="18"/>
    </row>
    <row r="976" s="65" customFormat="1" ht="13.5" spans="1:13">
      <c r="A976" s="66"/>
      <c r="E976" s="72" t="s">
        <v>1051</v>
      </c>
      <c r="F976" s="18"/>
      <c r="G976" s="18"/>
      <c r="H976" s="18"/>
      <c r="I976" s="18"/>
      <c r="J976" s="18"/>
      <c r="K976" s="18"/>
      <c r="L976" s="18"/>
      <c r="M976" s="18"/>
    </row>
    <row r="977" s="65" customFormat="1" ht="13.5" spans="1:13">
      <c r="A977" s="66"/>
      <c r="E977" s="72" t="s">
        <v>1052</v>
      </c>
      <c r="F977" s="18"/>
      <c r="G977" s="18"/>
      <c r="H977" s="18"/>
      <c r="I977" s="18"/>
      <c r="J977" s="18"/>
      <c r="K977" s="18"/>
      <c r="L977" s="18"/>
      <c r="M977" s="18"/>
    </row>
    <row r="978" s="65" customFormat="1" ht="13.5" spans="1:13">
      <c r="A978" s="66"/>
      <c r="E978" s="72" t="s">
        <v>1053</v>
      </c>
      <c r="F978" s="18"/>
      <c r="G978" s="18"/>
      <c r="H978" s="18"/>
      <c r="I978" s="18"/>
      <c r="J978" s="18"/>
      <c r="K978" s="18"/>
      <c r="L978" s="18"/>
      <c r="M978" s="18"/>
    </row>
    <row r="979" s="65" customFormat="1" ht="13.5" spans="1:13">
      <c r="A979" s="66"/>
      <c r="E979" s="72" t="s">
        <v>1054</v>
      </c>
      <c r="F979" s="18"/>
      <c r="G979" s="18"/>
      <c r="H979" s="18"/>
      <c r="I979" s="18"/>
      <c r="J979" s="18"/>
      <c r="K979" s="18"/>
      <c r="L979" s="18"/>
      <c r="M979" s="18"/>
    </row>
    <row r="980" s="65" customFormat="1" ht="13.5" spans="1:13">
      <c r="A980" s="66"/>
      <c r="E980" s="72" t="s">
        <v>1055</v>
      </c>
      <c r="F980" s="18"/>
      <c r="G980" s="18"/>
      <c r="H980" s="18"/>
      <c r="I980" s="18"/>
      <c r="J980" s="18"/>
      <c r="K980" s="18"/>
      <c r="L980" s="18"/>
      <c r="M980" s="18"/>
    </row>
    <row r="981" s="65" customFormat="1" ht="13.5" spans="1:13">
      <c r="A981" s="66"/>
      <c r="E981" s="72" t="s">
        <v>1056</v>
      </c>
      <c r="F981" s="18"/>
      <c r="G981" s="18"/>
      <c r="H981" s="18"/>
      <c r="I981" s="18"/>
      <c r="J981" s="18"/>
      <c r="K981" s="18"/>
      <c r="L981" s="18"/>
      <c r="M981" s="18"/>
    </row>
    <row r="982" s="65" customFormat="1" ht="13.5" spans="1:13">
      <c r="A982" s="66"/>
      <c r="E982" s="72" t="s">
        <v>1057</v>
      </c>
      <c r="F982" s="18"/>
      <c r="G982" s="18"/>
      <c r="H982" s="18"/>
      <c r="I982" s="18"/>
      <c r="J982" s="18"/>
      <c r="K982" s="18"/>
      <c r="L982" s="18"/>
      <c r="M982" s="18"/>
    </row>
    <row r="983" s="65" customFormat="1" ht="13.5" spans="1:13">
      <c r="A983" s="66"/>
      <c r="E983" s="72" t="s">
        <v>1058</v>
      </c>
      <c r="F983" s="18"/>
      <c r="G983" s="18"/>
      <c r="H983" s="18"/>
      <c r="I983" s="18"/>
      <c r="J983" s="18"/>
      <c r="K983" s="18"/>
      <c r="L983" s="18"/>
      <c r="M983" s="18"/>
    </row>
    <row r="984" s="65" customFormat="1" ht="13.5" spans="1:13">
      <c r="A984" s="66"/>
      <c r="E984" s="72" t="s">
        <v>1059</v>
      </c>
      <c r="F984" s="18"/>
      <c r="G984" s="18"/>
      <c r="H984" s="18"/>
      <c r="I984" s="18"/>
      <c r="J984" s="18"/>
      <c r="K984" s="18"/>
      <c r="L984" s="18"/>
      <c r="M984" s="18"/>
    </row>
    <row r="985" s="65" customFormat="1" ht="13.5" spans="1:13">
      <c r="A985" s="66"/>
      <c r="E985" s="72" t="s">
        <v>1060</v>
      </c>
      <c r="F985" s="18"/>
      <c r="G985" s="18"/>
      <c r="H985" s="18"/>
      <c r="I985" s="18"/>
      <c r="J985" s="18"/>
      <c r="K985" s="18"/>
      <c r="L985" s="18"/>
      <c r="M985" s="18"/>
    </row>
    <row r="986" s="65" customFormat="1" ht="13.5" spans="1:13">
      <c r="A986" s="66"/>
      <c r="E986" s="72" t="s">
        <v>1061</v>
      </c>
      <c r="F986" s="18"/>
      <c r="G986" s="18"/>
      <c r="H986" s="18"/>
      <c r="I986" s="18"/>
      <c r="J986" s="18"/>
      <c r="K986" s="18"/>
      <c r="L986" s="18"/>
      <c r="M986" s="18"/>
    </row>
    <row r="987" s="65" customFormat="1" ht="13.5" spans="1:13">
      <c r="A987" s="66"/>
      <c r="E987" s="72" t="s">
        <v>1062</v>
      </c>
      <c r="F987" s="18"/>
      <c r="G987" s="18"/>
      <c r="H987" s="18"/>
      <c r="I987" s="18"/>
      <c r="J987" s="18"/>
      <c r="K987" s="18"/>
      <c r="L987" s="18"/>
      <c r="M987" s="18"/>
    </row>
    <row r="988" s="65" customFormat="1" ht="13.5" spans="1:13">
      <c r="A988" s="66"/>
      <c r="E988" s="72" t="s">
        <v>1063</v>
      </c>
      <c r="F988" s="18"/>
      <c r="G988" s="18"/>
      <c r="H988" s="18"/>
      <c r="I988" s="18"/>
      <c r="J988" s="18"/>
      <c r="K988" s="18"/>
      <c r="L988" s="18"/>
      <c r="M988" s="18"/>
    </row>
    <row r="989" s="65" customFormat="1" ht="13.5" spans="1:13">
      <c r="A989" s="66"/>
      <c r="E989" s="72" t="s">
        <v>1064</v>
      </c>
      <c r="F989" s="18"/>
      <c r="G989" s="18"/>
      <c r="H989" s="18"/>
      <c r="I989" s="18"/>
      <c r="J989" s="18"/>
      <c r="K989" s="18"/>
      <c r="L989" s="18"/>
      <c r="M989" s="18"/>
    </row>
    <row r="990" s="65" customFormat="1" ht="13.5" spans="1:13">
      <c r="A990" s="66"/>
      <c r="E990" s="72" t="s">
        <v>1065</v>
      </c>
      <c r="F990" s="18"/>
      <c r="G990" s="18"/>
      <c r="H990" s="18"/>
      <c r="I990" s="18"/>
      <c r="J990" s="18"/>
      <c r="K990" s="18"/>
      <c r="L990" s="18"/>
      <c r="M990" s="18"/>
    </row>
    <row r="991" s="65" customFormat="1" ht="13.5" spans="1:13">
      <c r="A991" s="66"/>
      <c r="E991" s="72" t="s">
        <v>1066</v>
      </c>
      <c r="F991" s="18"/>
      <c r="G991" s="18"/>
      <c r="H991" s="18"/>
      <c r="I991" s="18"/>
      <c r="J991" s="18"/>
      <c r="K991" s="18"/>
      <c r="L991" s="18"/>
      <c r="M991" s="18"/>
    </row>
    <row r="992" s="65" customFormat="1" ht="13.5" spans="1:13">
      <c r="A992" s="66"/>
      <c r="E992" s="72" t="s">
        <v>1067</v>
      </c>
      <c r="F992" s="18"/>
      <c r="G992" s="18"/>
      <c r="H992" s="18"/>
      <c r="I992" s="18"/>
      <c r="J992" s="18"/>
      <c r="K992" s="18"/>
      <c r="L992" s="18"/>
      <c r="M992" s="18"/>
    </row>
    <row r="993" s="65" customFormat="1" ht="13.5" spans="1:13">
      <c r="A993" s="66"/>
      <c r="E993" s="72" t="s">
        <v>1068</v>
      </c>
      <c r="F993" s="18"/>
      <c r="G993" s="18"/>
      <c r="H993" s="18"/>
      <c r="I993" s="18"/>
      <c r="J993" s="18"/>
      <c r="K993" s="18"/>
      <c r="L993" s="18"/>
      <c r="M993" s="18"/>
    </row>
    <row r="994" s="65" customFormat="1" ht="13.5" spans="1:13">
      <c r="A994" s="66"/>
      <c r="E994" s="72" t="s">
        <v>1069</v>
      </c>
      <c r="F994" s="18"/>
      <c r="G994" s="18"/>
      <c r="H994" s="18"/>
      <c r="I994" s="18"/>
      <c r="J994" s="18"/>
      <c r="K994" s="18"/>
      <c r="L994" s="18"/>
      <c r="M994" s="18"/>
    </row>
    <row r="995" s="65" customFormat="1" ht="13.5" spans="1:13">
      <c r="A995" s="66"/>
      <c r="E995" s="72" t="s">
        <v>1070</v>
      </c>
      <c r="F995" s="18"/>
      <c r="G995" s="18"/>
      <c r="H995" s="18"/>
      <c r="I995" s="18"/>
      <c r="J995" s="18"/>
      <c r="K995" s="18"/>
      <c r="L995" s="18"/>
      <c r="M995" s="18"/>
    </row>
    <row r="996" s="65" customFormat="1" ht="13.5" spans="1:13">
      <c r="A996" s="66"/>
      <c r="E996" s="72" t="s">
        <v>1071</v>
      </c>
      <c r="F996" s="18"/>
      <c r="G996" s="18"/>
      <c r="H996" s="18"/>
      <c r="I996" s="18"/>
      <c r="J996" s="18"/>
      <c r="K996" s="18"/>
      <c r="L996" s="18"/>
      <c r="M996" s="18"/>
    </row>
    <row r="997" s="65" customFormat="1" ht="13.5" spans="1:13">
      <c r="A997" s="66"/>
      <c r="E997" s="72" t="s">
        <v>1072</v>
      </c>
      <c r="F997" s="18"/>
      <c r="G997" s="18"/>
      <c r="H997" s="18"/>
      <c r="I997" s="18"/>
      <c r="J997" s="18"/>
      <c r="K997" s="18"/>
      <c r="L997" s="18"/>
      <c r="M997" s="18"/>
    </row>
    <row r="998" s="65" customFormat="1" ht="13.5" spans="1:13">
      <c r="A998" s="66"/>
      <c r="E998" s="72" t="s">
        <v>1073</v>
      </c>
      <c r="F998" s="18"/>
      <c r="G998" s="18"/>
      <c r="H998" s="18"/>
      <c r="I998" s="18"/>
      <c r="J998" s="18"/>
      <c r="K998" s="18"/>
      <c r="L998" s="18"/>
      <c r="M998" s="18"/>
    </row>
    <row r="999" s="65" customFormat="1" ht="13.5" spans="1:13">
      <c r="A999" s="66"/>
      <c r="E999" s="72" t="s">
        <v>1074</v>
      </c>
      <c r="F999" s="18"/>
      <c r="G999" s="18"/>
      <c r="H999" s="18"/>
      <c r="I999" s="18"/>
      <c r="J999" s="18"/>
      <c r="K999" s="18"/>
      <c r="L999" s="18"/>
      <c r="M999" s="18"/>
    </row>
    <row r="1000" s="65" customFormat="1" ht="13.5" spans="1:13">
      <c r="A1000" s="66"/>
      <c r="E1000" s="72" t="s">
        <v>1075</v>
      </c>
      <c r="F1000" s="18"/>
      <c r="G1000" s="18"/>
      <c r="H1000" s="18"/>
      <c r="I1000" s="18"/>
      <c r="J1000" s="18"/>
      <c r="K1000" s="18"/>
      <c r="L1000" s="18"/>
      <c r="M1000" s="18"/>
    </row>
    <row r="1001" s="65" customFormat="1" ht="13.5" spans="1:13">
      <c r="A1001" s="66"/>
      <c r="E1001" s="72" t="s">
        <v>1076</v>
      </c>
      <c r="F1001" s="18"/>
      <c r="G1001" s="18"/>
      <c r="H1001" s="18"/>
      <c r="I1001" s="18"/>
      <c r="J1001" s="18"/>
      <c r="K1001" s="18"/>
      <c r="L1001" s="18"/>
      <c r="M1001" s="18"/>
    </row>
    <row r="1002" s="65" customFormat="1" ht="13.5" spans="1:13">
      <c r="A1002" s="66"/>
      <c r="E1002" s="72" t="s">
        <v>1077</v>
      </c>
      <c r="F1002" s="18"/>
      <c r="G1002" s="18"/>
      <c r="H1002" s="18"/>
      <c r="I1002" s="18"/>
      <c r="J1002" s="18"/>
      <c r="K1002" s="18"/>
      <c r="L1002" s="18"/>
      <c r="M1002" s="18"/>
    </row>
    <row r="1003" s="65" customFormat="1" ht="13.5" spans="1:13">
      <c r="A1003" s="66"/>
      <c r="E1003" s="72" t="s">
        <v>1078</v>
      </c>
      <c r="F1003" s="18"/>
      <c r="G1003" s="18"/>
      <c r="H1003" s="18"/>
      <c r="I1003" s="18"/>
      <c r="J1003" s="18"/>
      <c r="K1003" s="18"/>
      <c r="L1003" s="18"/>
      <c r="M1003" s="18"/>
    </row>
    <row r="1004" s="65" customFormat="1" ht="13.5" spans="1:13">
      <c r="A1004" s="66"/>
      <c r="E1004" s="72" t="s">
        <v>1079</v>
      </c>
      <c r="F1004" s="18"/>
      <c r="G1004" s="18"/>
      <c r="H1004" s="18"/>
      <c r="I1004" s="18"/>
      <c r="J1004" s="18"/>
      <c r="K1004" s="18"/>
      <c r="L1004" s="18"/>
      <c r="M1004" s="18"/>
    </row>
    <row r="1005" s="65" customFormat="1" ht="13.5" spans="1:13">
      <c r="A1005" s="66"/>
      <c r="E1005" s="72" t="s">
        <v>1080</v>
      </c>
      <c r="F1005" s="18"/>
      <c r="G1005" s="18"/>
      <c r="H1005" s="18"/>
      <c r="I1005" s="18"/>
      <c r="J1005" s="18"/>
      <c r="K1005" s="18"/>
      <c r="L1005" s="18"/>
      <c r="M1005" s="18"/>
    </row>
    <row r="1006" s="65" customFormat="1" ht="13.5" spans="1:13">
      <c r="A1006" s="66"/>
      <c r="E1006" s="72" t="s">
        <v>1081</v>
      </c>
      <c r="F1006" s="18"/>
      <c r="G1006" s="18"/>
      <c r="H1006" s="18"/>
      <c r="I1006" s="18"/>
      <c r="J1006" s="18"/>
      <c r="K1006" s="18"/>
      <c r="L1006" s="18"/>
      <c r="M1006" s="18"/>
    </row>
    <row r="1007" s="65" customFormat="1" ht="13.5" spans="1:13">
      <c r="A1007" s="66"/>
      <c r="E1007" s="72" t="s">
        <v>1082</v>
      </c>
      <c r="F1007" s="18"/>
      <c r="G1007" s="18"/>
      <c r="H1007" s="18"/>
      <c r="I1007" s="18"/>
      <c r="J1007" s="18"/>
      <c r="K1007" s="18"/>
      <c r="L1007" s="18"/>
      <c r="M1007" s="18"/>
    </row>
    <row r="1008" s="65" customFormat="1" ht="13.5" spans="1:13">
      <c r="A1008" s="66"/>
      <c r="E1008" s="72" t="s">
        <v>1083</v>
      </c>
      <c r="F1008" s="18"/>
      <c r="G1008" s="18"/>
      <c r="H1008" s="18"/>
      <c r="I1008" s="18"/>
      <c r="J1008" s="18"/>
      <c r="K1008" s="18"/>
      <c r="L1008" s="18"/>
      <c r="M1008" s="18"/>
    </row>
    <row r="1009" s="65" customFormat="1" ht="13.5" spans="1:13">
      <c r="A1009" s="66"/>
      <c r="E1009" s="72" t="s">
        <v>1084</v>
      </c>
      <c r="F1009" s="18"/>
      <c r="G1009" s="18"/>
      <c r="H1009" s="18"/>
      <c r="I1009" s="18"/>
      <c r="J1009" s="18"/>
      <c r="K1009" s="18"/>
      <c r="L1009" s="18"/>
      <c r="M1009" s="18"/>
    </row>
    <row r="1010" s="65" customFormat="1" ht="13.5" spans="1:13">
      <c r="A1010" s="66"/>
      <c r="E1010" s="72" t="s">
        <v>1085</v>
      </c>
      <c r="F1010" s="18"/>
      <c r="G1010" s="18"/>
      <c r="H1010" s="18"/>
      <c r="I1010" s="18"/>
      <c r="J1010" s="18"/>
      <c r="K1010" s="18"/>
      <c r="L1010" s="18"/>
      <c r="M1010" s="18"/>
    </row>
    <row r="1011" s="65" customFormat="1" ht="13.5" spans="1:13">
      <c r="A1011" s="66"/>
      <c r="E1011" s="72" t="s">
        <v>1086</v>
      </c>
      <c r="F1011" s="18"/>
      <c r="G1011" s="18"/>
      <c r="H1011" s="18"/>
      <c r="I1011" s="18"/>
      <c r="J1011" s="18"/>
      <c r="K1011" s="18"/>
      <c r="L1011" s="18"/>
      <c r="M1011" s="18"/>
    </row>
    <row r="1012" s="65" customFormat="1" ht="13.5" spans="1:13">
      <c r="A1012" s="66"/>
      <c r="E1012" s="72" t="s">
        <v>1087</v>
      </c>
      <c r="F1012" s="18"/>
      <c r="G1012" s="18"/>
      <c r="H1012" s="18"/>
      <c r="I1012" s="18"/>
      <c r="J1012" s="18"/>
      <c r="K1012" s="18"/>
      <c r="L1012" s="18"/>
      <c r="M1012" s="18"/>
    </row>
    <row r="1013" s="65" customFormat="1" ht="13.5" spans="1:13">
      <c r="A1013" s="66"/>
      <c r="E1013" s="72" t="s">
        <v>1088</v>
      </c>
      <c r="F1013" s="18"/>
      <c r="G1013" s="18"/>
      <c r="H1013" s="18"/>
      <c r="I1013" s="18"/>
      <c r="J1013" s="18"/>
      <c r="K1013" s="18"/>
      <c r="L1013" s="18"/>
      <c r="M1013" s="18"/>
    </row>
    <row r="1014" s="65" customFormat="1" ht="13.5" spans="1:13">
      <c r="A1014" s="66"/>
      <c r="E1014" s="72" t="s">
        <v>1089</v>
      </c>
      <c r="F1014" s="18"/>
      <c r="G1014" s="18"/>
      <c r="H1014" s="18"/>
      <c r="I1014" s="18"/>
      <c r="J1014" s="18"/>
      <c r="K1014" s="18"/>
      <c r="L1014" s="18"/>
      <c r="M1014" s="18"/>
    </row>
    <row r="1015" s="65" customFormat="1" ht="13.5" spans="1:13">
      <c r="A1015" s="66"/>
      <c r="E1015" s="72" t="s">
        <v>1090</v>
      </c>
      <c r="F1015" s="18"/>
      <c r="G1015" s="18"/>
      <c r="H1015" s="18"/>
      <c r="I1015" s="18"/>
      <c r="J1015" s="18"/>
      <c r="K1015" s="18"/>
      <c r="L1015" s="18"/>
      <c r="M1015" s="18"/>
    </row>
    <row r="1016" s="65" customFormat="1" ht="13.5" spans="1:13">
      <c r="A1016" s="66"/>
      <c r="E1016" s="72" t="s">
        <v>1091</v>
      </c>
      <c r="F1016" s="18"/>
      <c r="G1016" s="18"/>
      <c r="H1016" s="18"/>
      <c r="I1016" s="18"/>
      <c r="J1016" s="18"/>
      <c r="K1016" s="18"/>
      <c r="L1016" s="18"/>
      <c r="M1016" s="18"/>
    </row>
    <row r="1017" s="65" customFormat="1" ht="13.5" spans="1:13">
      <c r="A1017" s="66"/>
      <c r="E1017" s="72" t="s">
        <v>1092</v>
      </c>
      <c r="F1017" s="18"/>
      <c r="G1017" s="18"/>
      <c r="H1017" s="18"/>
      <c r="I1017" s="18"/>
      <c r="J1017" s="18"/>
      <c r="K1017" s="18"/>
      <c r="L1017" s="18"/>
      <c r="M1017" s="18"/>
    </row>
    <row r="1018" s="65" customFormat="1" ht="13.5" spans="1:13">
      <c r="A1018" s="66"/>
      <c r="E1018" s="72" t="s">
        <v>1093</v>
      </c>
      <c r="F1018" s="18"/>
      <c r="G1018" s="18"/>
      <c r="H1018" s="18"/>
      <c r="I1018" s="18"/>
      <c r="J1018" s="18"/>
      <c r="K1018" s="18"/>
      <c r="L1018" s="18"/>
      <c r="M1018" s="18"/>
    </row>
    <row r="1019" s="65" customFormat="1" ht="13.5" spans="1:13">
      <c r="A1019" s="66"/>
      <c r="E1019" s="72" t="s">
        <v>1094</v>
      </c>
      <c r="F1019" s="18"/>
      <c r="G1019" s="18"/>
      <c r="H1019" s="18"/>
      <c r="I1019" s="18"/>
      <c r="J1019" s="18"/>
      <c r="K1019" s="18"/>
      <c r="L1019" s="18"/>
      <c r="M1019" s="18"/>
    </row>
    <row r="1020" s="65" customFormat="1" ht="13.5" spans="1:13">
      <c r="A1020" s="66"/>
      <c r="E1020" s="72" t="s">
        <v>1095</v>
      </c>
      <c r="F1020" s="18"/>
      <c r="G1020" s="18"/>
      <c r="H1020" s="18"/>
      <c r="I1020" s="18"/>
      <c r="J1020" s="18"/>
      <c r="K1020" s="18"/>
      <c r="L1020" s="18"/>
      <c r="M1020" s="18"/>
    </row>
    <row r="1021" s="65" customFormat="1" ht="13.5" spans="1:13">
      <c r="A1021" s="66"/>
      <c r="E1021" s="72" t="s">
        <v>1096</v>
      </c>
      <c r="F1021" s="18"/>
      <c r="G1021" s="18"/>
      <c r="H1021" s="18"/>
      <c r="I1021" s="18"/>
      <c r="J1021" s="18"/>
      <c r="K1021" s="18"/>
      <c r="L1021" s="18"/>
      <c r="M1021" s="18"/>
    </row>
    <row r="1022" s="65" customFormat="1" ht="13.5" spans="1:13">
      <c r="A1022" s="66"/>
      <c r="E1022" s="72" t="s">
        <v>1097</v>
      </c>
      <c r="F1022" s="18"/>
      <c r="G1022" s="18"/>
      <c r="H1022" s="18"/>
      <c r="I1022" s="18"/>
      <c r="J1022" s="18"/>
      <c r="K1022" s="18"/>
      <c r="L1022" s="18"/>
      <c r="M1022" s="18"/>
    </row>
    <row r="1023" s="65" customFormat="1" ht="13.5" spans="1:13">
      <c r="A1023" s="66"/>
      <c r="E1023" s="72" t="s">
        <v>1098</v>
      </c>
      <c r="F1023" s="18"/>
      <c r="G1023" s="18"/>
      <c r="H1023" s="18"/>
      <c r="I1023" s="18"/>
      <c r="J1023" s="18"/>
      <c r="K1023" s="18"/>
      <c r="L1023" s="18"/>
      <c r="M1023" s="18"/>
    </row>
    <row r="1024" s="65" customFormat="1" ht="13.5" spans="1:13">
      <c r="A1024" s="66"/>
      <c r="E1024" s="72" t="s">
        <v>1099</v>
      </c>
      <c r="F1024" s="18"/>
      <c r="G1024" s="18"/>
      <c r="H1024" s="18"/>
      <c r="I1024" s="18"/>
      <c r="J1024" s="18"/>
      <c r="K1024" s="18"/>
      <c r="L1024" s="18"/>
      <c r="M1024" s="18"/>
    </row>
    <row r="1025" s="65" customFormat="1" ht="13.5" spans="1:13">
      <c r="A1025" s="66"/>
      <c r="E1025" s="72" t="s">
        <v>1100</v>
      </c>
      <c r="F1025" s="18"/>
      <c r="G1025" s="18"/>
      <c r="H1025" s="18"/>
      <c r="I1025" s="18"/>
      <c r="J1025" s="18"/>
      <c r="K1025" s="18"/>
      <c r="L1025" s="18"/>
      <c r="M1025" s="18"/>
    </row>
    <row r="1026" s="65" customFormat="1" ht="13.5" spans="1:13">
      <c r="A1026" s="66"/>
      <c r="E1026" s="72" t="s">
        <v>1101</v>
      </c>
      <c r="F1026" s="18"/>
      <c r="G1026" s="18"/>
      <c r="H1026" s="18"/>
      <c r="I1026" s="18"/>
      <c r="J1026" s="18"/>
      <c r="K1026" s="18"/>
      <c r="L1026" s="18"/>
      <c r="M1026" s="18"/>
    </row>
    <row r="1027" s="65" customFormat="1" ht="13.5" spans="1:13">
      <c r="A1027" s="66"/>
      <c r="E1027" s="72" t="s">
        <v>1102</v>
      </c>
      <c r="F1027" s="18"/>
      <c r="G1027" s="18"/>
      <c r="H1027" s="18"/>
      <c r="I1027" s="18"/>
      <c r="J1027" s="18"/>
      <c r="K1027" s="18"/>
      <c r="L1027" s="18"/>
      <c r="M1027" s="18"/>
    </row>
    <row r="1028" s="65" customFormat="1" ht="13.5" spans="1:13">
      <c r="A1028" s="66"/>
      <c r="E1028" s="72" t="s">
        <v>1103</v>
      </c>
      <c r="F1028" s="18"/>
      <c r="G1028" s="18"/>
      <c r="H1028" s="18"/>
      <c r="I1028" s="18"/>
      <c r="J1028" s="18"/>
      <c r="K1028" s="18"/>
      <c r="L1028" s="18"/>
      <c r="M1028" s="18"/>
    </row>
    <row r="1029" s="65" customFormat="1" ht="13.5" spans="1:13">
      <c r="A1029" s="66"/>
      <c r="E1029" s="72" t="s">
        <v>1104</v>
      </c>
      <c r="F1029" s="18"/>
      <c r="G1029" s="18"/>
      <c r="H1029" s="18"/>
      <c r="I1029" s="18"/>
      <c r="J1029" s="18"/>
      <c r="K1029" s="18"/>
      <c r="L1029" s="18"/>
      <c r="M1029" s="18"/>
    </row>
    <row r="1030" s="65" customFormat="1" ht="13.5" spans="1:13">
      <c r="A1030" s="66"/>
      <c r="E1030" s="72" t="s">
        <v>1105</v>
      </c>
      <c r="F1030" s="18"/>
      <c r="G1030" s="18"/>
      <c r="H1030" s="18"/>
      <c r="I1030" s="18"/>
      <c r="J1030" s="18"/>
      <c r="K1030" s="18"/>
      <c r="L1030" s="18"/>
      <c r="M1030" s="18"/>
    </row>
    <row r="1031" s="65" customFormat="1" ht="13.5" spans="1:13">
      <c r="A1031" s="66"/>
      <c r="E1031" s="72" t="s">
        <v>1106</v>
      </c>
      <c r="F1031" s="18"/>
      <c r="G1031" s="18"/>
      <c r="H1031" s="18"/>
      <c r="I1031" s="18"/>
      <c r="J1031" s="18"/>
      <c r="K1031" s="18"/>
      <c r="L1031" s="18"/>
      <c r="M1031" s="18"/>
    </row>
    <row r="1032" s="65" customFormat="1" ht="13.5" spans="1:13">
      <c r="A1032" s="66"/>
      <c r="E1032" s="72" t="s">
        <v>1107</v>
      </c>
      <c r="F1032" s="18"/>
      <c r="G1032" s="18"/>
      <c r="H1032" s="18"/>
      <c r="I1032" s="18"/>
      <c r="J1032" s="18"/>
      <c r="K1032" s="18"/>
      <c r="L1032" s="18"/>
      <c r="M1032" s="18"/>
    </row>
    <row r="1033" s="65" customFormat="1" ht="13.5" spans="1:13">
      <c r="A1033" s="66"/>
      <c r="E1033" s="72" t="s">
        <v>1108</v>
      </c>
      <c r="F1033" s="18"/>
      <c r="G1033" s="18"/>
      <c r="H1033" s="18"/>
      <c r="I1033" s="18"/>
      <c r="J1033" s="18"/>
      <c r="K1033" s="18"/>
      <c r="L1033" s="18"/>
      <c r="M1033" s="18"/>
    </row>
    <row r="1034" s="65" customFormat="1" ht="13.5" spans="1:13">
      <c r="A1034" s="66"/>
      <c r="E1034" s="72" t="s">
        <v>1109</v>
      </c>
      <c r="F1034" s="18"/>
      <c r="G1034" s="18"/>
      <c r="H1034" s="18"/>
      <c r="I1034" s="18"/>
      <c r="J1034" s="18"/>
      <c r="K1034" s="18"/>
      <c r="L1034" s="18"/>
      <c r="M1034" s="18"/>
    </row>
    <row r="1035" s="65" customFormat="1" ht="13.5" spans="1:13">
      <c r="A1035" s="66"/>
      <c r="E1035" s="72" t="s">
        <v>1110</v>
      </c>
      <c r="F1035" s="18"/>
      <c r="G1035" s="18"/>
      <c r="H1035" s="18"/>
      <c r="I1035" s="18"/>
      <c r="J1035" s="18"/>
      <c r="K1035" s="18"/>
      <c r="L1035" s="18"/>
      <c r="M1035" s="18"/>
    </row>
    <row r="1036" s="65" customFormat="1" ht="13.5" spans="1:13">
      <c r="A1036" s="66"/>
      <c r="E1036" s="72" t="s">
        <v>1111</v>
      </c>
      <c r="F1036" s="18"/>
      <c r="G1036" s="18"/>
      <c r="H1036" s="18"/>
      <c r="I1036" s="18"/>
      <c r="J1036" s="18"/>
      <c r="K1036" s="18"/>
      <c r="L1036" s="18"/>
      <c r="M1036" s="18"/>
    </row>
    <row r="1037" s="65" customFormat="1" ht="13.5" spans="1:13">
      <c r="A1037" s="66"/>
      <c r="E1037" s="72" t="s">
        <v>1112</v>
      </c>
      <c r="F1037" s="18"/>
      <c r="G1037" s="18"/>
      <c r="H1037" s="18"/>
      <c r="I1037" s="18"/>
      <c r="J1037" s="18"/>
      <c r="K1037" s="18"/>
      <c r="L1037" s="18"/>
      <c r="M1037" s="18"/>
    </row>
    <row r="1038" s="65" customFormat="1" ht="13.5" spans="1:13">
      <c r="A1038" s="66"/>
      <c r="E1038" s="72" t="s">
        <v>1113</v>
      </c>
      <c r="F1038" s="18"/>
      <c r="G1038" s="18"/>
      <c r="H1038" s="18"/>
      <c r="I1038" s="18"/>
      <c r="J1038" s="18"/>
      <c r="K1038" s="18"/>
      <c r="L1038" s="18"/>
      <c r="M1038" s="18"/>
    </row>
    <row r="1039" s="65" customFormat="1" ht="13.5" spans="1:13">
      <c r="A1039" s="66"/>
      <c r="E1039" s="72" t="s">
        <v>1114</v>
      </c>
      <c r="F1039" s="18"/>
      <c r="G1039" s="18"/>
      <c r="H1039" s="18"/>
      <c r="I1039" s="18"/>
      <c r="J1039" s="18"/>
      <c r="K1039" s="18"/>
      <c r="L1039" s="18"/>
      <c r="M1039" s="18"/>
    </row>
    <row r="1040" s="65" customFormat="1" ht="13.5" spans="1:13">
      <c r="A1040" s="66"/>
      <c r="E1040" s="72" t="s">
        <v>1115</v>
      </c>
      <c r="F1040" s="18"/>
      <c r="G1040" s="18"/>
      <c r="H1040" s="18"/>
      <c r="I1040" s="18"/>
      <c r="J1040" s="18"/>
      <c r="K1040" s="18"/>
      <c r="L1040" s="18"/>
      <c r="M1040" s="18"/>
    </row>
    <row r="1041" s="65" customFormat="1" ht="13.5" spans="1:13">
      <c r="A1041" s="66"/>
      <c r="E1041" s="72" t="s">
        <v>1116</v>
      </c>
      <c r="F1041" s="18"/>
      <c r="G1041" s="18"/>
      <c r="H1041" s="18"/>
      <c r="I1041" s="18"/>
      <c r="J1041" s="18"/>
      <c r="K1041" s="18"/>
      <c r="L1041" s="18"/>
      <c r="M1041" s="18"/>
    </row>
    <row r="1042" s="65" customFormat="1" ht="13.5" spans="1:13">
      <c r="A1042" s="66"/>
      <c r="E1042" s="72" t="s">
        <v>1117</v>
      </c>
      <c r="F1042" s="18"/>
      <c r="G1042" s="18"/>
      <c r="H1042" s="18"/>
      <c r="I1042" s="18"/>
      <c r="J1042" s="18"/>
      <c r="K1042" s="18"/>
      <c r="L1042" s="18"/>
      <c r="M1042" s="18"/>
    </row>
    <row r="1043" s="65" customFormat="1" ht="13.5" spans="1:13">
      <c r="A1043" s="66"/>
      <c r="E1043" s="72" t="s">
        <v>1118</v>
      </c>
      <c r="F1043" s="18"/>
      <c r="G1043" s="18"/>
      <c r="H1043" s="18"/>
      <c r="I1043" s="18"/>
      <c r="J1043" s="18"/>
      <c r="K1043" s="18"/>
      <c r="L1043" s="18"/>
      <c r="M1043" s="18"/>
    </row>
    <row r="1044" s="65" customFormat="1" ht="13.5" spans="1:13">
      <c r="A1044" s="66"/>
      <c r="E1044" s="72" t="s">
        <v>1119</v>
      </c>
      <c r="F1044" s="18"/>
      <c r="G1044" s="18"/>
      <c r="H1044" s="18"/>
      <c r="I1044" s="18"/>
      <c r="J1044" s="18"/>
      <c r="K1044" s="18"/>
      <c r="L1044" s="18"/>
      <c r="M1044" s="18"/>
    </row>
    <row r="1045" s="65" customFormat="1" ht="13.5" spans="1:13">
      <c r="A1045" s="66"/>
      <c r="E1045" s="72" t="s">
        <v>1120</v>
      </c>
      <c r="F1045" s="18"/>
      <c r="G1045" s="18"/>
      <c r="H1045" s="18"/>
      <c r="I1045" s="18"/>
      <c r="J1045" s="18"/>
      <c r="K1045" s="18"/>
      <c r="L1045" s="18"/>
      <c r="M1045" s="18"/>
    </row>
    <row r="1046" s="65" customFormat="1" ht="13.5" spans="1:13">
      <c r="A1046" s="66"/>
      <c r="E1046" s="72" t="s">
        <v>1121</v>
      </c>
      <c r="F1046" s="18"/>
      <c r="G1046" s="18"/>
      <c r="H1046" s="18"/>
      <c r="I1046" s="18"/>
      <c r="J1046" s="18"/>
      <c r="K1046" s="18"/>
      <c r="L1046" s="18"/>
      <c r="M1046" s="18"/>
    </row>
    <row r="1047" s="65" customFormat="1" ht="13.5" spans="1:13">
      <c r="A1047" s="66"/>
      <c r="E1047" s="72" t="s">
        <v>1122</v>
      </c>
      <c r="F1047" s="18"/>
      <c r="G1047" s="18"/>
      <c r="H1047" s="18"/>
      <c r="I1047" s="18"/>
      <c r="J1047" s="18"/>
      <c r="K1047" s="18"/>
      <c r="L1047" s="18"/>
      <c r="M1047" s="18"/>
    </row>
    <row r="1048" s="65" customFormat="1" ht="13.5" spans="1:13">
      <c r="A1048" s="66"/>
      <c r="E1048" s="72" t="s">
        <v>1123</v>
      </c>
      <c r="F1048" s="18"/>
      <c r="G1048" s="18"/>
      <c r="H1048" s="18"/>
      <c r="I1048" s="18"/>
      <c r="J1048" s="18"/>
      <c r="K1048" s="18"/>
      <c r="L1048" s="18"/>
      <c r="M1048" s="18"/>
    </row>
    <row r="1049" s="65" customFormat="1" ht="13.5" spans="1:13">
      <c r="A1049" s="66"/>
      <c r="E1049" s="72" t="s">
        <v>1124</v>
      </c>
      <c r="F1049" s="18"/>
      <c r="G1049" s="18"/>
      <c r="H1049" s="18"/>
      <c r="I1049" s="18"/>
      <c r="J1049" s="18"/>
      <c r="K1049" s="18"/>
      <c r="L1049" s="18"/>
      <c r="M1049" s="18"/>
    </row>
    <row r="1050" s="65" customFormat="1" ht="13.5" spans="1:13">
      <c r="A1050" s="66"/>
      <c r="E1050" s="72" t="s">
        <v>1125</v>
      </c>
      <c r="F1050" s="18"/>
      <c r="G1050" s="18"/>
      <c r="H1050" s="18"/>
      <c r="I1050" s="18"/>
      <c r="J1050" s="18"/>
      <c r="K1050" s="18"/>
      <c r="L1050" s="18"/>
      <c r="M1050" s="18"/>
    </row>
    <row r="1051" s="65" customFormat="1" ht="13.5" spans="1:13">
      <c r="A1051" s="66"/>
      <c r="E1051" s="72" t="s">
        <v>1126</v>
      </c>
      <c r="F1051" s="18"/>
      <c r="G1051" s="18"/>
      <c r="H1051" s="18"/>
      <c r="I1051" s="18"/>
      <c r="J1051" s="18"/>
      <c r="K1051" s="18"/>
      <c r="L1051" s="18"/>
      <c r="M1051" s="18"/>
    </row>
    <row r="1052" s="65" customFormat="1" ht="13.5" spans="1:13">
      <c r="A1052" s="66"/>
      <c r="E1052" s="72" t="s">
        <v>1127</v>
      </c>
      <c r="F1052" s="18"/>
      <c r="G1052" s="18"/>
      <c r="H1052" s="18"/>
      <c r="I1052" s="18"/>
      <c r="J1052" s="18"/>
      <c r="K1052" s="18"/>
      <c r="L1052" s="18"/>
      <c r="M1052" s="18"/>
    </row>
    <row r="1053" s="65" customFormat="1" ht="13.5" spans="1:13">
      <c r="A1053" s="66"/>
      <c r="E1053" s="72" t="s">
        <v>1128</v>
      </c>
      <c r="F1053" s="18"/>
      <c r="G1053" s="18"/>
      <c r="H1053" s="18"/>
      <c r="I1053" s="18"/>
      <c r="J1053" s="18"/>
      <c r="K1053" s="18"/>
      <c r="L1053" s="18"/>
      <c r="M1053" s="18"/>
    </row>
    <row r="1054" s="65" customFormat="1" ht="13.5" spans="1:13">
      <c r="A1054" s="66"/>
      <c r="E1054" s="72" t="s">
        <v>1129</v>
      </c>
      <c r="F1054" s="18"/>
      <c r="G1054" s="18"/>
      <c r="H1054" s="18"/>
      <c r="I1054" s="18"/>
      <c r="J1054" s="18"/>
      <c r="K1054" s="18"/>
      <c r="L1054" s="18"/>
      <c r="M1054" s="18"/>
    </row>
    <row r="1055" s="65" customFormat="1" ht="13.5" spans="1:13">
      <c r="A1055" s="66"/>
      <c r="E1055" s="72" t="s">
        <v>1130</v>
      </c>
      <c r="F1055" s="18"/>
      <c r="G1055" s="18"/>
      <c r="H1055" s="18"/>
      <c r="I1055" s="18"/>
      <c r="J1055" s="18"/>
      <c r="K1055" s="18"/>
      <c r="L1055" s="18"/>
      <c r="M1055" s="18"/>
    </row>
    <row r="1056" s="65" customFormat="1" ht="13.5" spans="1:13">
      <c r="A1056" s="66"/>
      <c r="E1056" s="72" t="s">
        <v>1131</v>
      </c>
      <c r="F1056" s="18"/>
      <c r="G1056" s="18"/>
      <c r="H1056" s="18"/>
      <c r="I1056" s="18"/>
      <c r="J1056" s="18"/>
      <c r="K1056" s="18"/>
      <c r="L1056" s="18"/>
      <c r="M1056" s="18"/>
    </row>
    <row r="1057" s="65" customFormat="1" ht="13.5" spans="1:13">
      <c r="A1057" s="66"/>
      <c r="E1057" s="72" t="s">
        <v>1132</v>
      </c>
      <c r="F1057" s="18"/>
      <c r="G1057" s="18"/>
      <c r="H1057" s="18"/>
      <c r="I1057" s="18"/>
      <c r="J1057" s="18"/>
      <c r="K1057" s="18"/>
      <c r="L1057" s="18"/>
      <c r="M1057" s="18"/>
    </row>
    <row r="1058" s="65" customFormat="1" ht="13.5" spans="1:13">
      <c r="A1058" s="66"/>
      <c r="E1058" s="72" t="s">
        <v>1133</v>
      </c>
      <c r="F1058" s="18"/>
      <c r="G1058" s="18"/>
      <c r="H1058" s="18"/>
      <c r="I1058" s="18"/>
      <c r="J1058" s="18"/>
      <c r="K1058" s="18"/>
      <c r="L1058" s="18"/>
      <c r="M1058" s="18"/>
    </row>
    <row r="1059" s="65" customFormat="1" ht="13.5" spans="1:13">
      <c r="A1059" s="66"/>
      <c r="E1059" s="72" t="s">
        <v>1134</v>
      </c>
      <c r="F1059" s="18"/>
      <c r="G1059" s="18"/>
      <c r="H1059" s="18"/>
      <c r="I1059" s="18"/>
      <c r="J1059" s="18"/>
      <c r="K1059" s="18"/>
      <c r="L1059" s="18"/>
      <c r="M1059" s="18"/>
    </row>
    <row r="1060" s="65" customFormat="1" ht="13.5" spans="1:13">
      <c r="A1060" s="66"/>
      <c r="E1060" s="72" t="s">
        <v>1135</v>
      </c>
      <c r="F1060" s="18"/>
      <c r="G1060" s="18"/>
      <c r="H1060" s="18"/>
      <c r="I1060" s="18"/>
      <c r="J1060" s="18"/>
      <c r="K1060" s="18"/>
      <c r="L1060" s="18"/>
      <c r="M1060" s="18"/>
    </row>
    <row r="1061" s="65" customFormat="1" ht="13.5" spans="1:13">
      <c r="A1061" s="66"/>
      <c r="E1061" s="72" t="s">
        <v>1136</v>
      </c>
      <c r="F1061" s="18"/>
      <c r="G1061" s="18"/>
      <c r="H1061" s="18"/>
      <c r="I1061" s="18"/>
      <c r="J1061" s="18"/>
      <c r="K1061" s="18"/>
      <c r="L1061" s="18"/>
      <c r="M1061" s="18"/>
    </row>
    <row r="1062" s="65" customFormat="1" ht="13.5" spans="1:13">
      <c r="A1062" s="66"/>
      <c r="E1062" s="72" t="s">
        <v>1137</v>
      </c>
      <c r="F1062" s="18"/>
      <c r="G1062" s="18"/>
      <c r="H1062" s="18"/>
      <c r="I1062" s="18"/>
      <c r="J1062" s="18"/>
      <c r="K1062" s="18"/>
      <c r="L1062" s="18"/>
      <c r="M1062" s="18"/>
    </row>
    <row r="1063" s="65" customFormat="1" ht="13.5" spans="1:13">
      <c r="A1063" s="66"/>
      <c r="E1063" s="72" t="s">
        <v>1138</v>
      </c>
      <c r="F1063" s="18"/>
      <c r="G1063" s="18"/>
      <c r="H1063" s="18"/>
      <c r="I1063" s="18"/>
      <c r="J1063" s="18"/>
      <c r="K1063" s="18"/>
      <c r="L1063" s="18"/>
      <c r="M1063" s="18"/>
    </row>
    <row r="1064" s="65" customFormat="1" ht="13.5" spans="1:13">
      <c r="A1064" s="66"/>
      <c r="E1064" s="72" t="s">
        <v>1139</v>
      </c>
      <c r="F1064" s="18"/>
      <c r="G1064" s="18"/>
      <c r="H1064" s="18"/>
      <c r="I1064" s="18"/>
      <c r="J1064" s="18"/>
      <c r="K1064" s="18"/>
      <c r="L1064" s="18"/>
      <c r="M1064" s="18"/>
    </row>
    <row r="1065" s="65" customFormat="1" ht="13.5" spans="1:13">
      <c r="A1065" s="66"/>
      <c r="E1065" s="72" t="s">
        <v>1140</v>
      </c>
      <c r="F1065" s="18"/>
      <c r="G1065" s="18"/>
      <c r="H1065" s="18"/>
      <c r="I1065" s="18"/>
      <c r="J1065" s="18"/>
      <c r="K1065" s="18"/>
      <c r="L1065" s="18"/>
      <c r="M1065" s="18"/>
    </row>
    <row r="1066" s="65" customFormat="1" ht="13.5" spans="1:13">
      <c r="A1066" s="66"/>
      <c r="E1066" s="72" t="s">
        <v>1141</v>
      </c>
      <c r="F1066" s="18"/>
      <c r="G1066" s="18"/>
      <c r="H1066" s="18"/>
      <c r="I1066" s="18"/>
      <c r="J1066" s="18"/>
      <c r="K1066" s="18"/>
      <c r="L1066" s="18"/>
      <c r="M1066" s="18"/>
    </row>
    <row r="1067" s="65" customFormat="1" ht="13.5" spans="1:13">
      <c r="A1067" s="66"/>
      <c r="E1067" s="72" t="s">
        <v>1142</v>
      </c>
      <c r="F1067" s="18"/>
      <c r="G1067" s="18"/>
      <c r="H1067" s="18"/>
      <c r="I1067" s="18"/>
      <c r="J1067" s="18"/>
      <c r="K1067" s="18"/>
      <c r="L1067" s="18"/>
      <c r="M1067" s="18"/>
    </row>
    <row r="1068" s="65" customFormat="1" ht="13.5" spans="1:13">
      <c r="A1068" s="66"/>
      <c r="E1068" s="72" t="s">
        <v>1143</v>
      </c>
      <c r="F1068" s="18"/>
      <c r="G1068" s="18"/>
      <c r="H1068" s="18"/>
      <c r="I1068" s="18"/>
      <c r="J1068" s="18"/>
      <c r="K1068" s="18"/>
      <c r="L1068" s="18"/>
      <c r="M1068" s="18"/>
    </row>
    <row r="1069" s="65" customFormat="1" ht="13.5" spans="1:13">
      <c r="A1069" s="66"/>
      <c r="E1069" s="72" t="s">
        <v>1144</v>
      </c>
      <c r="F1069" s="18"/>
      <c r="G1069" s="18"/>
      <c r="H1069" s="18"/>
      <c r="I1069" s="18"/>
      <c r="J1069" s="18"/>
      <c r="K1069" s="18"/>
      <c r="L1069" s="18"/>
      <c r="M1069" s="18"/>
    </row>
    <row r="1070" s="65" customFormat="1" ht="13.5" spans="1:13">
      <c r="A1070" s="66"/>
      <c r="E1070" s="72" t="s">
        <v>1145</v>
      </c>
      <c r="F1070" s="18"/>
      <c r="G1070" s="18"/>
      <c r="H1070" s="18"/>
      <c r="I1070" s="18"/>
      <c r="J1070" s="18"/>
      <c r="K1070" s="18"/>
      <c r="L1070" s="18"/>
      <c r="M1070" s="18"/>
    </row>
    <row r="1071" s="65" customFormat="1" ht="13.5" spans="1:13">
      <c r="A1071" s="66"/>
      <c r="E1071" s="72" t="s">
        <v>1146</v>
      </c>
      <c r="F1071" s="18"/>
      <c r="G1071" s="18"/>
      <c r="H1071" s="18"/>
      <c r="I1071" s="18"/>
      <c r="J1071" s="18"/>
      <c r="K1071" s="18"/>
      <c r="L1071" s="18"/>
      <c r="M1071" s="18"/>
    </row>
    <row r="1072" s="65" customFormat="1" ht="13.5" spans="1:13">
      <c r="A1072" s="66"/>
      <c r="E1072" s="72" t="s">
        <v>1147</v>
      </c>
      <c r="F1072" s="18"/>
      <c r="G1072" s="18"/>
      <c r="H1072" s="18"/>
      <c r="I1072" s="18"/>
      <c r="J1072" s="18"/>
      <c r="K1072" s="18"/>
      <c r="L1072" s="18"/>
      <c r="M1072" s="18"/>
    </row>
    <row r="1073" s="65" customFormat="1" ht="13.5" spans="1:13">
      <c r="A1073" s="66"/>
      <c r="E1073" s="72" t="s">
        <v>1148</v>
      </c>
      <c r="F1073" s="18"/>
      <c r="G1073" s="18"/>
      <c r="H1073" s="18"/>
      <c r="I1073" s="18"/>
      <c r="J1073" s="18"/>
      <c r="K1073" s="18"/>
      <c r="L1073" s="18"/>
      <c r="M1073" s="18"/>
    </row>
    <row r="1074" s="65" customFormat="1" ht="13.5" spans="1:13">
      <c r="A1074" s="66"/>
      <c r="E1074" s="72" t="s">
        <v>1149</v>
      </c>
      <c r="F1074" s="18"/>
      <c r="G1074" s="18"/>
      <c r="H1074" s="18"/>
      <c r="I1074" s="18"/>
      <c r="J1074" s="18"/>
      <c r="K1074" s="18"/>
      <c r="L1074" s="18"/>
      <c r="M1074" s="18"/>
    </row>
    <row r="1075" s="65" customFormat="1" ht="13.5" spans="1:13">
      <c r="A1075" s="66"/>
      <c r="E1075" s="72" t="s">
        <v>1150</v>
      </c>
      <c r="F1075" s="18"/>
      <c r="G1075" s="18"/>
      <c r="H1075" s="18"/>
      <c r="I1075" s="18"/>
      <c r="J1075" s="18"/>
      <c r="K1075" s="18"/>
      <c r="L1075" s="18"/>
      <c r="M1075" s="18"/>
    </row>
    <row r="1076" s="65" customFormat="1" ht="13.5" spans="1:13">
      <c r="A1076" s="66"/>
      <c r="E1076" s="72" t="s">
        <v>1151</v>
      </c>
      <c r="F1076" s="18"/>
      <c r="G1076" s="18"/>
      <c r="H1076" s="18"/>
      <c r="I1076" s="18"/>
      <c r="J1076" s="18"/>
      <c r="K1076" s="18"/>
      <c r="L1076" s="18"/>
      <c r="M1076" s="18"/>
    </row>
    <row r="1077" s="65" customFormat="1" ht="13.5" spans="1:13">
      <c r="A1077" s="66"/>
      <c r="E1077" s="72" t="s">
        <v>1152</v>
      </c>
      <c r="F1077" s="18"/>
      <c r="G1077" s="18"/>
      <c r="H1077" s="18"/>
      <c r="I1077" s="18"/>
      <c r="J1077" s="18"/>
      <c r="K1077" s="18"/>
      <c r="L1077" s="18"/>
      <c r="M1077" s="18"/>
    </row>
    <row r="1078" s="65" customFormat="1" ht="13.5" spans="1:13">
      <c r="A1078" s="66"/>
      <c r="E1078" s="72" t="s">
        <v>1153</v>
      </c>
      <c r="F1078" s="18"/>
      <c r="G1078" s="18"/>
      <c r="H1078" s="18"/>
      <c r="I1078" s="18"/>
      <c r="J1078" s="18"/>
      <c r="K1078" s="18"/>
      <c r="L1078" s="18"/>
      <c r="M1078" s="18"/>
    </row>
    <row r="1079" s="65" customFormat="1" ht="13.5" spans="1:13">
      <c r="A1079" s="66"/>
      <c r="E1079" s="72" t="s">
        <v>1154</v>
      </c>
      <c r="F1079" s="18"/>
      <c r="G1079" s="18"/>
      <c r="H1079" s="18"/>
      <c r="I1079" s="18"/>
      <c r="J1079" s="18"/>
      <c r="K1079" s="18"/>
      <c r="L1079" s="18"/>
      <c r="M1079" s="18"/>
    </row>
    <row r="1080" s="65" customFormat="1" ht="13.5" spans="1:13">
      <c r="A1080" s="66"/>
      <c r="E1080" s="72" t="s">
        <v>1155</v>
      </c>
      <c r="F1080" s="18"/>
      <c r="G1080" s="18"/>
      <c r="H1080" s="18"/>
      <c r="I1080" s="18"/>
      <c r="J1080" s="18"/>
      <c r="K1080" s="18"/>
      <c r="L1080" s="18"/>
      <c r="M1080" s="18"/>
    </row>
    <row r="1081" s="65" customFormat="1" ht="13.5" spans="1:13">
      <c r="A1081" s="66"/>
      <c r="E1081" s="72" t="s">
        <v>1156</v>
      </c>
      <c r="F1081" s="18"/>
      <c r="G1081" s="18"/>
      <c r="H1081" s="18"/>
      <c r="I1081" s="18"/>
      <c r="J1081" s="18"/>
      <c r="K1081" s="18"/>
      <c r="L1081" s="18"/>
      <c r="M1081" s="18"/>
    </row>
    <row r="1082" s="65" customFormat="1" ht="13.5" spans="1:13">
      <c r="A1082" s="66"/>
      <c r="E1082" s="72" t="s">
        <v>1157</v>
      </c>
      <c r="F1082" s="18"/>
      <c r="G1082" s="18"/>
      <c r="H1082" s="18"/>
      <c r="I1082" s="18"/>
      <c r="J1082" s="18"/>
      <c r="K1082" s="18"/>
      <c r="L1082" s="18"/>
      <c r="M1082" s="18"/>
    </row>
    <row r="1083" s="65" customFormat="1" ht="13.5" spans="1:13">
      <c r="A1083" s="66"/>
      <c r="E1083" s="72" t="s">
        <v>1158</v>
      </c>
      <c r="F1083" s="18"/>
      <c r="G1083" s="18"/>
      <c r="H1083" s="18"/>
      <c r="I1083" s="18"/>
      <c r="J1083" s="18"/>
      <c r="K1083" s="18"/>
      <c r="L1083" s="18"/>
      <c r="M1083" s="18"/>
    </row>
    <row r="1084" s="65" customFormat="1" ht="13.5" spans="1:13">
      <c r="A1084" s="66"/>
      <c r="E1084" s="72" t="s">
        <v>1159</v>
      </c>
      <c r="F1084" s="18"/>
      <c r="G1084" s="18"/>
      <c r="H1084" s="18"/>
      <c r="I1084" s="18"/>
      <c r="J1084" s="18"/>
      <c r="K1084" s="18"/>
      <c r="L1084" s="18"/>
      <c r="M1084" s="18"/>
    </row>
    <row r="1085" s="65" customFormat="1" ht="13.5" spans="1:13">
      <c r="A1085" s="66"/>
      <c r="E1085" s="72" t="s">
        <v>1160</v>
      </c>
      <c r="F1085" s="18"/>
      <c r="G1085" s="18"/>
      <c r="H1085" s="18"/>
      <c r="I1085" s="18"/>
      <c r="J1085" s="18"/>
      <c r="K1085" s="18"/>
      <c r="L1085" s="18"/>
      <c r="M1085" s="18"/>
    </row>
    <row r="1086" s="65" customFormat="1" ht="13.5" spans="1:13">
      <c r="A1086" s="66"/>
      <c r="E1086" s="72" t="s">
        <v>1161</v>
      </c>
      <c r="F1086" s="18"/>
      <c r="G1086" s="18"/>
      <c r="H1086" s="18"/>
      <c r="I1086" s="18"/>
      <c r="J1086" s="18"/>
      <c r="K1086" s="18"/>
      <c r="L1086" s="18"/>
      <c r="M1086" s="18"/>
    </row>
    <row r="1087" s="65" customFormat="1" ht="13.5" spans="1:13">
      <c r="A1087" s="66"/>
      <c r="E1087" s="72" t="s">
        <v>1162</v>
      </c>
      <c r="F1087" s="18"/>
      <c r="G1087" s="18"/>
      <c r="H1087" s="18"/>
      <c r="I1087" s="18"/>
      <c r="J1087" s="18"/>
      <c r="K1087" s="18"/>
      <c r="L1087" s="18"/>
      <c r="M1087" s="18"/>
    </row>
    <row r="1088" s="65" customFormat="1" ht="13.5" spans="1:13">
      <c r="A1088" s="66"/>
      <c r="E1088" s="72" t="s">
        <v>1163</v>
      </c>
      <c r="F1088" s="18"/>
      <c r="G1088" s="18"/>
      <c r="H1088" s="18"/>
      <c r="I1088" s="18"/>
      <c r="J1088" s="18"/>
      <c r="K1088" s="18"/>
      <c r="L1088" s="18"/>
      <c r="M1088" s="18"/>
    </row>
    <row r="1089" s="65" customFormat="1" ht="13.5" spans="1:13">
      <c r="A1089" s="66"/>
      <c r="E1089" s="72" t="s">
        <v>1164</v>
      </c>
      <c r="F1089" s="18"/>
      <c r="G1089" s="18"/>
      <c r="H1089" s="18"/>
      <c r="I1089" s="18"/>
      <c r="J1089" s="18"/>
      <c r="K1089" s="18"/>
      <c r="L1089" s="18"/>
      <c r="M1089" s="18"/>
    </row>
    <row r="1090" s="65" customFormat="1" ht="13.5" spans="1:13">
      <c r="A1090" s="66"/>
      <c r="E1090" s="72" t="s">
        <v>1165</v>
      </c>
      <c r="F1090" s="18"/>
      <c r="G1090" s="18"/>
      <c r="H1090" s="18"/>
      <c r="I1090" s="18"/>
      <c r="J1090" s="18"/>
      <c r="K1090" s="18"/>
      <c r="L1090" s="18"/>
      <c r="M1090" s="18"/>
    </row>
    <row r="1091" s="65" customFormat="1" ht="13.5" spans="1:13">
      <c r="A1091" s="66"/>
      <c r="E1091" s="72" t="s">
        <v>1166</v>
      </c>
      <c r="F1091" s="18"/>
      <c r="G1091" s="18"/>
      <c r="H1091" s="18"/>
      <c r="I1091" s="18"/>
      <c r="J1091" s="18"/>
      <c r="K1091" s="18"/>
      <c r="L1091" s="18"/>
      <c r="M1091" s="18"/>
    </row>
    <row r="1092" s="65" customFormat="1" ht="13.5" spans="1:13">
      <c r="A1092" s="66"/>
      <c r="E1092" s="72" t="s">
        <v>1167</v>
      </c>
      <c r="F1092" s="18"/>
      <c r="G1092" s="18"/>
      <c r="H1092" s="18"/>
      <c r="I1092" s="18"/>
      <c r="J1092" s="18"/>
      <c r="K1092" s="18"/>
      <c r="L1092" s="18"/>
      <c r="M1092" s="18"/>
    </row>
    <row r="1093" s="65" customFormat="1" ht="13.5" spans="1:13">
      <c r="A1093" s="66"/>
      <c r="E1093" s="72" t="s">
        <v>1168</v>
      </c>
      <c r="F1093" s="18"/>
      <c r="G1093" s="18"/>
      <c r="H1093" s="18"/>
      <c r="I1093" s="18"/>
      <c r="J1093" s="18"/>
      <c r="K1093" s="18"/>
      <c r="L1093" s="18"/>
      <c r="M1093" s="18"/>
    </row>
    <row r="1094" s="65" customFormat="1" ht="13.5" spans="1:13">
      <c r="A1094" s="66"/>
      <c r="E1094" s="72" t="s">
        <v>1169</v>
      </c>
      <c r="F1094" s="18"/>
      <c r="G1094" s="18"/>
      <c r="H1094" s="18"/>
      <c r="I1094" s="18"/>
      <c r="J1094" s="18"/>
      <c r="K1094" s="18"/>
      <c r="L1094" s="18"/>
      <c r="M1094" s="18"/>
    </row>
    <row r="1095" s="65" customFormat="1" ht="13.5" spans="1:13">
      <c r="A1095" s="66"/>
      <c r="E1095" s="72" t="s">
        <v>1170</v>
      </c>
      <c r="F1095" s="18"/>
      <c r="G1095" s="18"/>
      <c r="H1095" s="18"/>
      <c r="I1095" s="18"/>
      <c r="J1095" s="18"/>
      <c r="K1095" s="18"/>
      <c r="L1095" s="18"/>
      <c r="M1095" s="18"/>
    </row>
    <row r="1096" s="65" customFormat="1" ht="13.5" spans="1:13">
      <c r="A1096" s="66"/>
      <c r="E1096" s="72" t="s">
        <v>1171</v>
      </c>
      <c r="F1096" s="18"/>
      <c r="G1096" s="18"/>
      <c r="H1096" s="18"/>
      <c r="I1096" s="18"/>
      <c r="J1096" s="18"/>
      <c r="K1096" s="18"/>
      <c r="L1096" s="18"/>
      <c r="M1096" s="18"/>
    </row>
    <row r="1097" s="65" customFormat="1" ht="13.5" spans="1:13">
      <c r="A1097" s="66"/>
      <c r="E1097" s="72" t="s">
        <v>1172</v>
      </c>
      <c r="F1097" s="18"/>
      <c r="G1097" s="18"/>
      <c r="H1097" s="18"/>
      <c r="I1097" s="18"/>
      <c r="J1097" s="18"/>
      <c r="K1097" s="18"/>
      <c r="L1097" s="18"/>
      <c r="M1097" s="18"/>
    </row>
    <row r="1098" s="65" customFormat="1" ht="13.5" spans="1:13">
      <c r="A1098" s="66"/>
      <c r="E1098" s="72" t="s">
        <v>1173</v>
      </c>
      <c r="F1098" s="18"/>
      <c r="G1098" s="18"/>
      <c r="H1098" s="18"/>
      <c r="I1098" s="18"/>
      <c r="J1098" s="18"/>
      <c r="K1098" s="18"/>
      <c r="L1098" s="18"/>
      <c r="M1098" s="18"/>
    </row>
    <row r="1099" s="65" customFormat="1" ht="13.5" spans="1:13">
      <c r="A1099" s="66"/>
      <c r="E1099" s="72" t="s">
        <v>1174</v>
      </c>
      <c r="F1099" s="18"/>
      <c r="G1099" s="18"/>
      <c r="H1099" s="18"/>
      <c r="I1099" s="18"/>
      <c r="J1099" s="18"/>
      <c r="K1099" s="18"/>
      <c r="L1099" s="18"/>
      <c r="M1099" s="18"/>
    </row>
    <row r="1100" s="65" customFormat="1" ht="13.5" spans="1:13">
      <c r="A1100" s="66"/>
      <c r="E1100" s="72" t="s">
        <v>1175</v>
      </c>
      <c r="F1100" s="18"/>
      <c r="G1100" s="18"/>
      <c r="H1100" s="18"/>
      <c r="I1100" s="18"/>
      <c r="J1100" s="18"/>
      <c r="K1100" s="18"/>
      <c r="L1100" s="18"/>
      <c r="M1100" s="18"/>
    </row>
    <row r="1101" s="65" customFormat="1" ht="13.5" spans="1:13">
      <c r="A1101" s="66"/>
      <c r="E1101" s="72" t="s">
        <v>1176</v>
      </c>
      <c r="F1101" s="18"/>
      <c r="G1101" s="18"/>
      <c r="H1101" s="18"/>
      <c r="I1101" s="18"/>
      <c r="J1101" s="18"/>
      <c r="K1101" s="18"/>
      <c r="L1101" s="18"/>
      <c r="M1101" s="18"/>
    </row>
    <row r="1102" s="65" customFormat="1" ht="13.5" spans="1:13">
      <c r="A1102" s="66"/>
      <c r="E1102" s="72" t="s">
        <v>1177</v>
      </c>
      <c r="F1102" s="18"/>
      <c r="G1102" s="18"/>
      <c r="H1102" s="18"/>
      <c r="I1102" s="18"/>
      <c r="J1102" s="18"/>
      <c r="K1102" s="18"/>
      <c r="L1102" s="18"/>
      <c r="M1102" s="18"/>
    </row>
    <row r="1103" s="65" customFormat="1" ht="13.5" spans="1:13">
      <c r="A1103" s="66"/>
      <c r="E1103" s="72" t="s">
        <v>1178</v>
      </c>
      <c r="F1103" s="18"/>
      <c r="G1103" s="18"/>
      <c r="H1103" s="18"/>
      <c r="I1103" s="18"/>
      <c r="J1103" s="18"/>
      <c r="K1103" s="18"/>
      <c r="L1103" s="18"/>
      <c r="M1103" s="18"/>
    </row>
    <row r="1104" s="65" customFormat="1" ht="13.5" spans="1:13">
      <c r="A1104" s="66"/>
      <c r="E1104" s="72" t="s">
        <v>1179</v>
      </c>
      <c r="F1104" s="18"/>
      <c r="G1104" s="18"/>
      <c r="H1104" s="18"/>
      <c r="I1104" s="18"/>
      <c r="J1104" s="18"/>
      <c r="K1104" s="18"/>
      <c r="L1104" s="18"/>
      <c r="M1104" s="18"/>
    </row>
    <row r="1105" s="65" customFormat="1" ht="13.5" spans="1:13">
      <c r="A1105" s="66"/>
      <c r="E1105" s="72" t="s">
        <v>1180</v>
      </c>
      <c r="F1105" s="18"/>
      <c r="G1105" s="18"/>
      <c r="H1105" s="18"/>
      <c r="I1105" s="18"/>
      <c r="J1105" s="18"/>
      <c r="K1105" s="18"/>
      <c r="L1105" s="18"/>
      <c r="M1105" s="18"/>
    </row>
    <row r="1106" s="65" customFormat="1" ht="13.5" spans="1:13">
      <c r="A1106" s="66"/>
      <c r="E1106" s="72" t="s">
        <v>1181</v>
      </c>
      <c r="F1106" s="18"/>
      <c r="G1106" s="18"/>
      <c r="H1106" s="18"/>
      <c r="I1106" s="18"/>
      <c r="J1106" s="18"/>
      <c r="K1106" s="18"/>
      <c r="L1106" s="18"/>
      <c r="M1106" s="18"/>
    </row>
    <row r="1107" s="65" customFormat="1" ht="13.5" spans="1:13">
      <c r="A1107" s="66"/>
      <c r="E1107" s="72" t="s">
        <v>1182</v>
      </c>
      <c r="F1107" s="18"/>
      <c r="G1107" s="18"/>
      <c r="H1107" s="18"/>
      <c r="I1107" s="18"/>
      <c r="J1107" s="18"/>
      <c r="K1107" s="18"/>
      <c r="L1107" s="18"/>
      <c r="M1107" s="18"/>
    </row>
    <row r="1108" s="65" customFormat="1" ht="13.5" spans="1:13">
      <c r="A1108" s="66"/>
      <c r="E1108" s="72" t="s">
        <v>1183</v>
      </c>
      <c r="F1108" s="18"/>
      <c r="G1108" s="18"/>
      <c r="H1108" s="18"/>
      <c r="I1108" s="18"/>
      <c r="J1108" s="18"/>
      <c r="K1108" s="18"/>
      <c r="L1108" s="18"/>
      <c r="M1108" s="18"/>
    </row>
    <row r="1109" s="65" customFormat="1" ht="13.5" spans="1:13">
      <c r="A1109" s="66"/>
      <c r="E1109" s="72" t="s">
        <v>1184</v>
      </c>
      <c r="F1109" s="18"/>
      <c r="G1109" s="18"/>
      <c r="H1109" s="18"/>
      <c r="I1109" s="18"/>
      <c r="J1109" s="18"/>
      <c r="K1109" s="18"/>
      <c r="L1109" s="18"/>
      <c r="M1109" s="18"/>
    </row>
    <row r="1110" s="65" customFormat="1" ht="13.5" spans="1:13">
      <c r="A1110" s="66"/>
      <c r="E1110" s="72" t="s">
        <v>1185</v>
      </c>
      <c r="F1110" s="18"/>
      <c r="G1110" s="18"/>
      <c r="H1110" s="18"/>
      <c r="I1110" s="18"/>
      <c r="J1110" s="18"/>
      <c r="K1110" s="18"/>
      <c r="L1110" s="18"/>
      <c r="M1110" s="18"/>
    </row>
    <row r="1111" s="65" customFormat="1" ht="13.5" spans="1:13">
      <c r="A1111" s="66"/>
      <c r="E1111" s="72" t="s">
        <v>1186</v>
      </c>
      <c r="F1111" s="18"/>
      <c r="G1111" s="18"/>
      <c r="H1111" s="18"/>
      <c r="I1111" s="18"/>
      <c r="J1111" s="18"/>
      <c r="K1111" s="18"/>
      <c r="L1111" s="18"/>
      <c r="M1111" s="18"/>
    </row>
    <row r="1112" s="65" customFormat="1" ht="13.5" spans="1:13">
      <c r="A1112" s="66"/>
      <c r="E1112" s="72" t="s">
        <v>1187</v>
      </c>
      <c r="F1112" s="18"/>
      <c r="G1112" s="18"/>
      <c r="H1112" s="18"/>
      <c r="I1112" s="18"/>
      <c r="J1112" s="18"/>
      <c r="K1112" s="18"/>
      <c r="L1112" s="18"/>
      <c r="M1112" s="18"/>
    </row>
    <row r="1113" s="65" customFormat="1" ht="13.5" spans="1:13">
      <c r="A1113" s="66"/>
      <c r="E1113" s="72" t="s">
        <v>1188</v>
      </c>
      <c r="F1113" s="18"/>
      <c r="G1113" s="18"/>
      <c r="H1113" s="18"/>
      <c r="I1113" s="18"/>
      <c r="J1113" s="18"/>
      <c r="K1113" s="18"/>
      <c r="L1113" s="18"/>
      <c r="M1113" s="18"/>
    </row>
    <row r="1114" s="65" customFormat="1" ht="13.5" spans="1:13">
      <c r="A1114" s="66"/>
      <c r="E1114" s="72" t="s">
        <v>1189</v>
      </c>
      <c r="F1114" s="18"/>
      <c r="G1114" s="18"/>
      <c r="H1114" s="18"/>
      <c r="I1114" s="18"/>
      <c r="J1114" s="18"/>
      <c r="K1114" s="18"/>
      <c r="L1114" s="18"/>
      <c r="M1114" s="18"/>
    </row>
    <row r="1115" s="65" customFormat="1" ht="13.5" spans="1:13">
      <c r="A1115" s="66"/>
      <c r="E1115" s="72" t="s">
        <v>1190</v>
      </c>
      <c r="F1115" s="18"/>
      <c r="G1115" s="18"/>
      <c r="H1115" s="18"/>
      <c r="I1115" s="18"/>
      <c r="J1115" s="18"/>
      <c r="K1115" s="18"/>
      <c r="L1115" s="18"/>
      <c r="M1115" s="18"/>
    </row>
    <row r="1116" s="65" customFormat="1" ht="13.5" spans="1:13">
      <c r="A1116" s="66"/>
      <c r="E1116" s="72" t="s">
        <v>1191</v>
      </c>
      <c r="F1116" s="18"/>
      <c r="G1116" s="18"/>
      <c r="H1116" s="18"/>
      <c r="I1116" s="18"/>
      <c r="J1116" s="18"/>
      <c r="K1116" s="18"/>
      <c r="L1116" s="18"/>
      <c r="M1116" s="18"/>
    </row>
    <row r="1117" s="65" customFormat="1" ht="13.5" spans="1:13">
      <c r="A1117" s="66"/>
      <c r="E1117" s="72" t="s">
        <v>1192</v>
      </c>
      <c r="F1117" s="18"/>
      <c r="G1117" s="18"/>
      <c r="H1117" s="18"/>
      <c r="I1117" s="18"/>
      <c r="J1117" s="18"/>
      <c r="K1117" s="18"/>
      <c r="L1117" s="18"/>
      <c r="M1117" s="18"/>
    </row>
    <row r="1118" s="65" customFormat="1" ht="13.5" spans="1:13">
      <c r="A1118" s="66"/>
      <c r="E1118" s="72" t="s">
        <v>1193</v>
      </c>
      <c r="F1118" s="18"/>
      <c r="G1118" s="18"/>
      <c r="H1118" s="18"/>
      <c r="I1118" s="18"/>
      <c r="J1118" s="18"/>
      <c r="K1118" s="18"/>
      <c r="L1118" s="18"/>
      <c r="M1118" s="18"/>
    </row>
    <row r="1119" s="65" customFormat="1" ht="13.5" spans="1:13">
      <c r="A1119" s="66"/>
      <c r="E1119" s="72" t="s">
        <v>1194</v>
      </c>
      <c r="F1119" s="18"/>
      <c r="G1119" s="18"/>
      <c r="H1119" s="18"/>
      <c r="I1119" s="18"/>
      <c r="J1119" s="18"/>
      <c r="K1119" s="18"/>
      <c r="L1119" s="18"/>
      <c r="M1119" s="18"/>
    </row>
    <row r="1120" s="65" customFormat="1" ht="13.5" spans="1:13">
      <c r="A1120" s="66"/>
      <c r="E1120" s="72" t="s">
        <v>1195</v>
      </c>
      <c r="F1120" s="18"/>
      <c r="G1120" s="18"/>
      <c r="H1120" s="18"/>
      <c r="I1120" s="18"/>
      <c r="J1120" s="18"/>
      <c r="K1120" s="18"/>
      <c r="L1120" s="18"/>
      <c r="M1120" s="18"/>
    </row>
    <row r="1121" s="65" customFormat="1" ht="13.5" spans="1:13">
      <c r="A1121" s="66"/>
      <c r="E1121" s="72" t="s">
        <v>1196</v>
      </c>
      <c r="F1121" s="18"/>
      <c r="G1121" s="18"/>
      <c r="H1121" s="18"/>
      <c r="I1121" s="18"/>
      <c r="J1121" s="18"/>
      <c r="K1121" s="18"/>
      <c r="L1121" s="18"/>
      <c r="M1121" s="18"/>
    </row>
    <row r="1122" s="65" customFormat="1" ht="13.5" spans="1:13">
      <c r="A1122" s="66"/>
      <c r="E1122" s="72" t="s">
        <v>1197</v>
      </c>
      <c r="F1122" s="18"/>
      <c r="G1122" s="18"/>
      <c r="H1122" s="18"/>
      <c r="I1122" s="18"/>
      <c r="J1122" s="18"/>
      <c r="K1122" s="18"/>
      <c r="L1122" s="18"/>
      <c r="M1122" s="18"/>
    </row>
    <row r="1123" s="65" customFormat="1" ht="13.5" spans="1:13">
      <c r="A1123" s="66"/>
      <c r="E1123" s="72" t="s">
        <v>1198</v>
      </c>
      <c r="F1123" s="18"/>
      <c r="G1123" s="18"/>
      <c r="H1123" s="18"/>
      <c r="I1123" s="18"/>
      <c r="J1123" s="18"/>
      <c r="K1123" s="18"/>
      <c r="L1123" s="18"/>
      <c r="M1123" s="18"/>
    </row>
    <row r="1124" s="65" customFormat="1" ht="13.5" spans="1:13">
      <c r="A1124" s="66"/>
      <c r="E1124" s="72" t="s">
        <v>1199</v>
      </c>
      <c r="F1124" s="18"/>
      <c r="G1124" s="18"/>
      <c r="H1124" s="18"/>
      <c r="I1124" s="18"/>
      <c r="J1124" s="18"/>
      <c r="K1124" s="18"/>
      <c r="L1124" s="18"/>
      <c r="M1124" s="18"/>
    </row>
    <row r="1125" s="65" customFormat="1" ht="13.5" spans="1:13">
      <c r="A1125" s="66"/>
      <c r="E1125" s="72" t="s">
        <v>1200</v>
      </c>
      <c r="F1125" s="18"/>
      <c r="G1125" s="18"/>
      <c r="H1125" s="18"/>
      <c r="I1125" s="18"/>
      <c r="J1125" s="18"/>
      <c r="K1125" s="18"/>
      <c r="L1125" s="18"/>
      <c r="M1125" s="18"/>
    </row>
    <row r="1126" s="65" customFormat="1" ht="13.5" spans="1:13">
      <c r="A1126" s="66"/>
      <c r="E1126" s="72" t="s">
        <v>1201</v>
      </c>
      <c r="F1126" s="18"/>
      <c r="G1126" s="18"/>
      <c r="H1126" s="18"/>
      <c r="I1126" s="18"/>
      <c r="J1126" s="18"/>
      <c r="K1126" s="18"/>
      <c r="L1126" s="18"/>
      <c r="M1126" s="18"/>
    </row>
    <row r="1127" s="65" customFormat="1" ht="13.5" spans="1:13">
      <c r="A1127" s="66"/>
      <c r="E1127" s="72" t="s">
        <v>1202</v>
      </c>
      <c r="F1127" s="18"/>
      <c r="G1127" s="18"/>
      <c r="H1127" s="18"/>
      <c r="I1127" s="18"/>
      <c r="J1127" s="18"/>
      <c r="K1127" s="18"/>
      <c r="L1127" s="18"/>
      <c r="M1127" s="18"/>
    </row>
    <row r="1128" s="65" customFormat="1" ht="13.5" spans="1:13">
      <c r="A1128" s="66"/>
      <c r="E1128" s="72" t="s">
        <v>1203</v>
      </c>
      <c r="F1128" s="18"/>
      <c r="G1128" s="18"/>
      <c r="H1128" s="18"/>
      <c r="I1128" s="18"/>
      <c r="J1128" s="18"/>
      <c r="K1128" s="18"/>
      <c r="L1128" s="18"/>
      <c r="M1128" s="18"/>
    </row>
    <row r="1129" s="65" customFormat="1" ht="13.5" spans="1:13">
      <c r="A1129" s="66"/>
      <c r="E1129" s="72" t="s">
        <v>1204</v>
      </c>
      <c r="F1129" s="18"/>
      <c r="G1129" s="18"/>
      <c r="H1129" s="18"/>
      <c r="I1129" s="18"/>
      <c r="J1129" s="18"/>
      <c r="K1129" s="18"/>
      <c r="L1129" s="18"/>
      <c r="M1129" s="18"/>
    </row>
    <row r="1130" s="65" customFormat="1" ht="13.5" spans="1:13">
      <c r="A1130" s="66"/>
      <c r="E1130" s="72" t="s">
        <v>1205</v>
      </c>
      <c r="F1130" s="18"/>
      <c r="G1130" s="18"/>
      <c r="H1130" s="18"/>
      <c r="I1130" s="18"/>
      <c r="J1130" s="18"/>
      <c r="K1130" s="18"/>
      <c r="L1130" s="18"/>
      <c r="M1130" s="18"/>
    </row>
    <row r="1131" s="65" customFormat="1" ht="13.5" spans="1:13">
      <c r="A1131" s="66"/>
      <c r="E1131" s="72" t="s">
        <v>1206</v>
      </c>
      <c r="F1131" s="18"/>
      <c r="G1131" s="18"/>
      <c r="H1131" s="18"/>
      <c r="I1131" s="18"/>
      <c r="J1131" s="18"/>
      <c r="K1131" s="18"/>
      <c r="L1131" s="18"/>
      <c r="M1131" s="18"/>
    </row>
    <row r="1132" s="65" customFormat="1" ht="13.5" spans="1:13">
      <c r="A1132" s="66"/>
      <c r="E1132" s="72" t="s">
        <v>1207</v>
      </c>
      <c r="F1132" s="18"/>
      <c r="G1132" s="18"/>
      <c r="H1132" s="18"/>
      <c r="I1132" s="18"/>
      <c r="J1132" s="18"/>
      <c r="K1132" s="18"/>
      <c r="L1132" s="18"/>
      <c r="M1132" s="18"/>
    </row>
    <row r="1133" s="65" customFormat="1" ht="13.5" spans="1:13">
      <c r="A1133" s="66"/>
      <c r="E1133" s="72" t="s">
        <v>1208</v>
      </c>
      <c r="F1133" s="18"/>
      <c r="G1133" s="18"/>
      <c r="H1133" s="18"/>
      <c r="I1133" s="18"/>
      <c r="J1133" s="18"/>
      <c r="K1133" s="18"/>
      <c r="L1133" s="18"/>
      <c r="M1133" s="18"/>
    </row>
    <row r="1134" s="65" customFormat="1" ht="13.5" spans="1:13">
      <c r="A1134" s="66"/>
      <c r="E1134" s="72" t="s">
        <v>1209</v>
      </c>
      <c r="F1134" s="18"/>
      <c r="G1134" s="18"/>
      <c r="H1134" s="18"/>
      <c r="I1134" s="18"/>
      <c r="J1134" s="18"/>
      <c r="K1134" s="18"/>
      <c r="L1134" s="18"/>
      <c r="M1134" s="18"/>
    </row>
    <row r="1135" s="65" customFormat="1" ht="13.5" spans="1:13">
      <c r="A1135" s="66"/>
      <c r="E1135" s="72" t="s">
        <v>1210</v>
      </c>
      <c r="F1135" s="18"/>
      <c r="G1135" s="18"/>
      <c r="H1135" s="18"/>
      <c r="I1135" s="18"/>
      <c r="J1135" s="18"/>
      <c r="K1135" s="18"/>
      <c r="L1135" s="18"/>
      <c r="M1135" s="18"/>
    </row>
    <row r="1136" s="65" customFormat="1" ht="13.5" spans="1:13">
      <c r="A1136" s="66"/>
      <c r="E1136" s="72" t="s">
        <v>1211</v>
      </c>
      <c r="F1136" s="18"/>
      <c r="G1136" s="18"/>
      <c r="H1136" s="18"/>
      <c r="I1136" s="18"/>
      <c r="J1136" s="18"/>
      <c r="K1136" s="18"/>
      <c r="L1136" s="18"/>
      <c r="M1136" s="18"/>
    </row>
    <row r="1137" s="65" customFormat="1" ht="13.5" spans="1:13">
      <c r="A1137" s="66"/>
      <c r="E1137" s="72" t="s">
        <v>1212</v>
      </c>
      <c r="F1137" s="18"/>
      <c r="G1137" s="18"/>
      <c r="H1137" s="18"/>
      <c r="I1137" s="18"/>
      <c r="J1137" s="18"/>
      <c r="K1137" s="18"/>
      <c r="L1137" s="18"/>
      <c r="M1137" s="18"/>
    </row>
    <row r="1138" s="65" customFormat="1" ht="13.5" spans="1:13">
      <c r="A1138" s="66"/>
      <c r="E1138" s="72" t="s">
        <v>1213</v>
      </c>
      <c r="F1138" s="18"/>
      <c r="G1138" s="18"/>
      <c r="H1138" s="18"/>
      <c r="I1138" s="18"/>
      <c r="J1138" s="18"/>
      <c r="K1138" s="18"/>
      <c r="L1138" s="18"/>
      <c r="M1138" s="18"/>
    </row>
    <row r="1139" s="65" customFormat="1" ht="13.5" spans="1:13">
      <c r="A1139" s="66"/>
      <c r="E1139" s="72" t="s">
        <v>1214</v>
      </c>
      <c r="F1139" s="18"/>
      <c r="G1139" s="18"/>
      <c r="H1139" s="18"/>
      <c r="I1139" s="18"/>
      <c r="J1139" s="18"/>
      <c r="K1139" s="18"/>
      <c r="L1139" s="18"/>
      <c r="M1139" s="18"/>
    </row>
    <row r="1140" s="65" customFormat="1" ht="13.5" spans="1:13">
      <c r="A1140" s="66"/>
      <c r="E1140" s="72" t="s">
        <v>1215</v>
      </c>
      <c r="F1140" s="18"/>
      <c r="G1140" s="18"/>
      <c r="H1140" s="18"/>
      <c r="I1140" s="18"/>
      <c r="J1140" s="18"/>
      <c r="K1140" s="18"/>
      <c r="L1140" s="18"/>
      <c r="M1140" s="18"/>
    </row>
    <row r="1141" s="65" customFormat="1" ht="13.5" spans="1:13">
      <c r="A1141" s="66"/>
      <c r="E1141" s="72" t="s">
        <v>1216</v>
      </c>
      <c r="F1141" s="18"/>
      <c r="G1141" s="18"/>
      <c r="H1141" s="18"/>
      <c r="I1141" s="18"/>
      <c r="J1141" s="18"/>
      <c r="K1141" s="18"/>
      <c r="L1141" s="18"/>
      <c r="M1141" s="18"/>
    </row>
    <row r="1142" s="65" customFormat="1" ht="13.5" spans="1:13">
      <c r="A1142" s="66"/>
      <c r="E1142" s="72" t="s">
        <v>1217</v>
      </c>
      <c r="F1142" s="18"/>
      <c r="G1142" s="18"/>
      <c r="H1142" s="18"/>
      <c r="I1142" s="18"/>
      <c r="J1142" s="18"/>
      <c r="K1142" s="18"/>
      <c r="L1142" s="18"/>
      <c r="M1142" s="18"/>
    </row>
    <row r="1143" s="65" customFormat="1" ht="13.5" spans="1:13">
      <c r="A1143" s="66"/>
      <c r="E1143" s="72" t="s">
        <v>1218</v>
      </c>
      <c r="F1143" s="18"/>
      <c r="G1143" s="18"/>
      <c r="H1143" s="18"/>
      <c r="I1143" s="18"/>
      <c r="J1143" s="18"/>
      <c r="K1143" s="18"/>
      <c r="L1143" s="18"/>
      <c r="M1143" s="18"/>
    </row>
    <row r="1144" s="65" customFormat="1" ht="13.5" spans="1:13">
      <c r="A1144" s="66"/>
      <c r="E1144" s="72" t="s">
        <v>1219</v>
      </c>
      <c r="F1144" s="18"/>
      <c r="G1144" s="18"/>
      <c r="H1144" s="18"/>
      <c r="I1144" s="18"/>
      <c r="J1144" s="18"/>
      <c r="K1144" s="18"/>
      <c r="L1144" s="18"/>
      <c r="M1144" s="18"/>
    </row>
    <row r="1145" s="65" customFormat="1" ht="13.5" spans="1:13">
      <c r="A1145" s="66"/>
      <c r="E1145" s="72" t="s">
        <v>1220</v>
      </c>
      <c r="F1145" s="18"/>
      <c r="G1145" s="18"/>
      <c r="H1145" s="18"/>
      <c r="I1145" s="18"/>
      <c r="J1145" s="18"/>
      <c r="K1145" s="18"/>
      <c r="L1145" s="18"/>
      <c r="M1145" s="18"/>
    </row>
    <row r="1146" s="65" customFormat="1" ht="13.5" spans="1:13">
      <c r="A1146" s="66"/>
      <c r="E1146" s="72" t="s">
        <v>1221</v>
      </c>
      <c r="F1146" s="18"/>
      <c r="G1146" s="18"/>
      <c r="H1146" s="18"/>
      <c r="I1146" s="18"/>
      <c r="J1146" s="18"/>
      <c r="K1146" s="18"/>
      <c r="L1146" s="18"/>
      <c r="M1146" s="18"/>
    </row>
    <row r="1147" s="65" customFormat="1" ht="13.5" spans="1:13">
      <c r="A1147" s="66"/>
      <c r="E1147" s="72" t="s">
        <v>1222</v>
      </c>
      <c r="F1147" s="18"/>
      <c r="G1147" s="18"/>
      <c r="H1147" s="18"/>
      <c r="I1147" s="18"/>
      <c r="J1147" s="18"/>
      <c r="K1147" s="18"/>
      <c r="L1147" s="18"/>
      <c r="M1147" s="18"/>
    </row>
    <row r="1148" s="65" customFormat="1" ht="13.5" spans="1:13">
      <c r="A1148" s="66"/>
      <c r="E1148" s="72" t="s">
        <v>1223</v>
      </c>
      <c r="F1148" s="18"/>
      <c r="G1148" s="18"/>
      <c r="H1148" s="18"/>
      <c r="I1148" s="18"/>
      <c r="J1148" s="18"/>
      <c r="K1148" s="18"/>
      <c r="L1148" s="18"/>
      <c r="M1148" s="18"/>
    </row>
    <row r="1149" s="65" customFormat="1" ht="13.5" spans="1:13">
      <c r="A1149" s="66"/>
      <c r="E1149" s="72" t="s">
        <v>1224</v>
      </c>
      <c r="F1149" s="18"/>
      <c r="G1149" s="18"/>
      <c r="H1149" s="18"/>
      <c r="I1149" s="18"/>
      <c r="J1149" s="18"/>
      <c r="K1149" s="18"/>
      <c r="L1149" s="18"/>
      <c r="M1149" s="18"/>
    </row>
    <row r="1150" s="65" customFormat="1" ht="13.5" spans="1:13">
      <c r="A1150" s="66"/>
      <c r="E1150" s="72" t="s">
        <v>1225</v>
      </c>
      <c r="F1150" s="18"/>
      <c r="G1150" s="18"/>
      <c r="H1150" s="18"/>
      <c r="I1150" s="18"/>
      <c r="J1150" s="18"/>
      <c r="K1150" s="18"/>
      <c r="L1150" s="18"/>
      <c r="M1150" s="18"/>
    </row>
    <row r="1151" s="65" customFormat="1" ht="13.5" spans="1:13">
      <c r="A1151" s="66"/>
      <c r="E1151" s="72" t="s">
        <v>1226</v>
      </c>
      <c r="F1151" s="18"/>
      <c r="G1151" s="18"/>
      <c r="H1151" s="18"/>
      <c r="I1151" s="18"/>
      <c r="J1151" s="18"/>
      <c r="K1151" s="18"/>
      <c r="L1151" s="18"/>
      <c r="M1151" s="18"/>
    </row>
    <row r="1152" s="65" customFormat="1" ht="13.5" spans="1:13">
      <c r="A1152" s="66"/>
      <c r="E1152" s="72" t="s">
        <v>1227</v>
      </c>
      <c r="F1152" s="18"/>
      <c r="G1152" s="18"/>
      <c r="H1152" s="18"/>
      <c r="I1152" s="18"/>
      <c r="J1152" s="18"/>
      <c r="K1152" s="18"/>
      <c r="L1152" s="18"/>
      <c r="M1152" s="18"/>
    </row>
    <row r="1153" s="65" customFormat="1" ht="13.5" spans="1:13">
      <c r="A1153" s="66"/>
      <c r="E1153" s="72" t="s">
        <v>1228</v>
      </c>
      <c r="F1153" s="18"/>
      <c r="G1153" s="18"/>
      <c r="H1153" s="18"/>
      <c r="I1153" s="18"/>
      <c r="J1153" s="18"/>
      <c r="K1153" s="18"/>
      <c r="L1153" s="18"/>
      <c r="M1153" s="18"/>
    </row>
    <row r="1154" s="65" customFormat="1" ht="13.5" spans="1:13">
      <c r="A1154" s="66"/>
      <c r="E1154" s="72" t="s">
        <v>1229</v>
      </c>
      <c r="F1154" s="18"/>
      <c r="G1154" s="18"/>
      <c r="H1154" s="18"/>
      <c r="I1154" s="18"/>
      <c r="J1154" s="18"/>
      <c r="K1154" s="18"/>
      <c r="L1154" s="18"/>
      <c r="M1154" s="18"/>
    </row>
    <row r="1155" s="65" customFormat="1" ht="13.5" spans="1:13">
      <c r="A1155" s="66"/>
      <c r="E1155" s="72" t="s">
        <v>1230</v>
      </c>
      <c r="F1155" s="18"/>
      <c r="G1155" s="18"/>
      <c r="H1155" s="18"/>
      <c r="I1155" s="18"/>
      <c r="J1155" s="18"/>
      <c r="K1155" s="18"/>
      <c r="L1155" s="18"/>
      <c r="M1155" s="18"/>
    </row>
    <row r="1156" s="65" customFormat="1" ht="13.5" spans="1:13">
      <c r="A1156" s="66"/>
      <c r="E1156" s="72" t="s">
        <v>1231</v>
      </c>
      <c r="F1156" s="18"/>
      <c r="G1156" s="18"/>
      <c r="H1156" s="18"/>
      <c r="I1156" s="18"/>
      <c r="J1156" s="18"/>
      <c r="K1156" s="18"/>
      <c r="L1156" s="18"/>
      <c r="M1156" s="18"/>
    </row>
    <row r="1157" s="65" customFormat="1" ht="13.5" spans="1:13">
      <c r="A1157" s="66"/>
      <c r="E1157" s="72" t="s">
        <v>1232</v>
      </c>
      <c r="F1157" s="18"/>
      <c r="G1157" s="18"/>
      <c r="H1157" s="18"/>
      <c r="I1157" s="18"/>
      <c r="J1157" s="18"/>
      <c r="K1157" s="18"/>
      <c r="L1157" s="18"/>
      <c r="M1157" s="18"/>
    </row>
    <row r="1158" s="65" customFormat="1" ht="13.5" spans="1:13">
      <c r="A1158" s="66"/>
      <c r="E1158" s="72" t="s">
        <v>1233</v>
      </c>
      <c r="F1158" s="18"/>
      <c r="G1158" s="18"/>
      <c r="H1158" s="18"/>
      <c r="I1158" s="18"/>
      <c r="J1158" s="18"/>
      <c r="K1158" s="18"/>
      <c r="L1158" s="18"/>
      <c r="M1158" s="18"/>
    </row>
    <row r="1159" s="65" customFormat="1" ht="13.5" spans="1:13">
      <c r="A1159" s="66"/>
      <c r="E1159" s="72" t="s">
        <v>1234</v>
      </c>
      <c r="F1159" s="18"/>
      <c r="G1159" s="18"/>
      <c r="H1159" s="18"/>
      <c r="I1159" s="18"/>
      <c r="J1159" s="18"/>
      <c r="K1159" s="18"/>
      <c r="L1159" s="18"/>
      <c r="M1159" s="18"/>
    </row>
    <row r="1160" s="65" customFormat="1" ht="13.5" spans="1:13">
      <c r="A1160" s="66"/>
      <c r="E1160" s="72" t="s">
        <v>1235</v>
      </c>
      <c r="F1160" s="18"/>
      <c r="G1160" s="18"/>
      <c r="H1160" s="18"/>
      <c r="I1160" s="18"/>
      <c r="J1160" s="18"/>
      <c r="K1160" s="18"/>
      <c r="L1160" s="18"/>
      <c r="M1160" s="18"/>
    </row>
    <row r="1161" s="65" customFormat="1" ht="13.5" spans="1:13">
      <c r="A1161" s="66"/>
      <c r="E1161" s="72" t="s">
        <v>1236</v>
      </c>
      <c r="F1161" s="18"/>
      <c r="G1161" s="18"/>
      <c r="H1161" s="18"/>
      <c r="I1161" s="18"/>
      <c r="J1161" s="18"/>
      <c r="K1161" s="18"/>
      <c r="L1161" s="18"/>
      <c r="M1161" s="18"/>
    </row>
    <row r="1162" s="65" customFormat="1" ht="13.5" spans="1:13">
      <c r="A1162" s="66"/>
      <c r="E1162" s="72" t="s">
        <v>1237</v>
      </c>
      <c r="F1162" s="18"/>
      <c r="G1162" s="18"/>
      <c r="H1162" s="18"/>
      <c r="I1162" s="18"/>
      <c r="J1162" s="18"/>
      <c r="K1162" s="18"/>
      <c r="L1162" s="18"/>
      <c r="M1162" s="18"/>
    </row>
    <row r="1163" s="65" customFormat="1" ht="13.5" spans="1:13">
      <c r="A1163" s="66"/>
      <c r="E1163" s="72" t="s">
        <v>1238</v>
      </c>
      <c r="F1163" s="18"/>
      <c r="G1163" s="18"/>
      <c r="H1163" s="18"/>
      <c r="I1163" s="18"/>
      <c r="J1163" s="18"/>
      <c r="K1163" s="18"/>
      <c r="L1163" s="18"/>
      <c r="M1163" s="18"/>
    </row>
    <row r="1164" s="65" customFormat="1" ht="13.5" spans="1:13">
      <c r="A1164" s="66"/>
      <c r="E1164" s="72" t="s">
        <v>1239</v>
      </c>
      <c r="F1164" s="18"/>
      <c r="G1164" s="18"/>
      <c r="H1164" s="18"/>
      <c r="I1164" s="18"/>
      <c r="J1164" s="18"/>
      <c r="K1164" s="18"/>
      <c r="L1164" s="18"/>
      <c r="M1164" s="18"/>
    </row>
    <row r="1165" s="65" customFormat="1" ht="13.5" spans="1:13">
      <c r="A1165" s="66"/>
      <c r="E1165" s="72" t="s">
        <v>1240</v>
      </c>
      <c r="F1165" s="18"/>
      <c r="G1165" s="18"/>
      <c r="H1165" s="18"/>
      <c r="I1165" s="18"/>
      <c r="J1165" s="18"/>
      <c r="K1165" s="18"/>
      <c r="L1165" s="18"/>
      <c r="M1165" s="18"/>
    </row>
    <row r="1166" s="65" customFormat="1" ht="13.5" spans="1:13">
      <c r="A1166" s="66"/>
      <c r="E1166" s="72" t="s">
        <v>1241</v>
      </c>
      <c r="F1166" s="18"/>
      <c r="G1166" s="18"/>
      <c r="H1166" s="18"/>
      <c r="I1166" s="18"/>
      <c r="J1166" s="18"/>
      <c r="K1166" s="18"/>
      <c r="L1166" s="18"/>
      <c r="M1166" s="18"/>
    </row>
    <row r="1167" s="65" customFormat="1" ht="13.5" spans="1:13">
      <c r="A1167" s="66"/>
      <c r="E1167" s="72" t="s">
        <v>1242</v>
      </c>
      <c r="F1167" s="18"/>
      <c r="G1167" s="18"/>
      <c r="H1167" s="18"/>
      <c r="I1167" s="18"/>
      <c r="J1167" s="18"/>
      <c r="K1167" s="18"/>
      <c r="L1167" s="18"/>
      <c r="M1167" s="18"/>
    </row>
    <row r="1168" s="65" customFormat="1" ht="13.5" spans="1:13">
      <c r="A1168" s="66"/>
      <c r="E1168" s="72" t="s">
        <v>1243</v>
      </c>
      <c r="F1168" s="18"/>
      <c r="G1168" s="18"/>
      <c r="H1168" s="18"/>
      <c r="I1168" s="18"/>
      <c r="J1168" s="18"/>
      <c r="K1168" s="18"/>
      <c r="L1168" s="18"/>
      <c r="M1168" s="18"/>
    </row>
    <row r="1169" s="65" customFormat="1" ht="13.5" spans="1:13">
      <c r="A1169" s="66"/>
      <c r="E1169" s="72" t="s">
        <v>1244</v>
      </c>
      <c r="F1169" s="18"/>
      <c r="G1169" s="18"/>
      <c r="H1169" s="18"/>
      <c r="I1169" s="18"/>
      <c r="J1169" s="18"/>
      <c r="K1169" s="18"/>
      <c r="L1169" s="18"/>
      <c r="M1169" s="18"/>
    </row>
    <row r="1170" s="65" customFormat="1" ht="13.5" spans="1:13">
      <c r="A1170" s="66"/>
      <c r="E1170" s="72" t="s">
        <v>1245</v>
      </c>
      <c r="F1170" s="18"/>
      <c r="G1170" s="18"/>
      <c r="H1170" s="18"/>
      <c r="I1170" s="18"/>
      <c r="J1170" s="18"/>
      <c r="K1170" s="18"/>
      <c r="L1170" s="18"/>
      <c r="M1170" s="18"/>
    </row>
    <row r="1171" s="65" customFormat="1" ht="13.5" spans="1:13">
      <c r="A1171" s="66"/>
      <c r="E1171" s="72" t="s">
        <v>1246</v>
      </c>
      <c r="F1171" s="18"/>
      <c r="G1171" s="18"/>
      <c r="H1171" s="18"/>
      <c r="I1171" s="18"/>
      <c r="J1171" s="18"/>
      <c r="K1171" s="18"/>
      <c r="L1171" s="18"/>
      <c r="M1171" s="18"/>
    </row>
    <row r="1172" s="65" customFormat="1" ht="13.5" spans="1:13">
      <c r="A1172" s="66"/>
      <c r="E1172" s="72" t="s">
        <v>1247</v>
      </c>
      <c r="F1172" s="18"/>
      <c r="G1172" s="18"/>
      <c r="H1172" s="18"/>
      <c r="I1172" s="18"/>
      <c r="J1172" s="18"/>
      <c r="K1172" s="18"/>
      <c r="L1172" s="18"/>
      <c r="M1172" s="18"/>
    </row>
    <row r="1173" s="65" customFormat="1" ht="13.5" spans="1:13">
      <c r="A1173" s="66"/>
      <c r="E1173" s="72" t="s">
        <v>1248</v>
      </c>
      <c r="F1173" s="18"/>
      <c r="G1173" s="18"/>
      <c r="H1173" s="18"/>
      <c r="I1173" s="18"/>
      <c r="J1173" s="18"/>
      <c r="K1173" s="18"/>
      <c r="L1173" s="18"/>
      <c r="M1173" s="18"/>
    </row>
    <row r="1174" s="65" customFormat="1" ht="13.5" spans="1:13">
      <c r="A1174" s="66"/>
      <c r="E1174" s="72" t="s">
        <v>1249</v>
      </c>
      <c r="F1174" s="18"/>
      <c r="G1174" s="18"/>
      <c r="H1174" s="18"/>
      <c r="I1174" s="18"/>
      <c r="J1174" s="18"/>
      <c r="K1174" s="18"/>
      <c r="L1174" s="18"/>
      <c r="M1174" s="18"/>
    </row>
    <row r="1175" s="65" customFormat="1" ht="13.5" spans="1:13">
      <c r="A1175" s="66"/>
      <c r="E1175" s="72" t="s">
        <v>1250</v>
      </c>
      <c r="F1175" s="18"/>
      <c r="G1175" s="18"/>
      <c r="H1175" s="18"/>
      <c r="I1175" s="18"/>
      <c r="J1175" s="18"/>
      <c r="K1175" s="18"/>
      <c r="L1175" s="18"/>
      <c r="M1175" s="18"/>
    </row>
    <row r="1176" s="65" customFormat="1" ht="13.5" spans="1:13">
      <c r="A1176" s="66"/>
      <c r="E1176" s="72" t="s">
        <v>1251</v>
      </c>
      <c r="F1176" s="18"/>
      <c r="G1176" s="18"/>
      <c r="H1176" s="18"/>
      <c r="I1176" s="18"/>
      <c r="J1176" s="18"/>
      <c r="K1176" s="18"/>
      <c r="L1176" s="18"/>
      <c r="M1176" s="18"/>
    </row>
    <row r="1177" s="65" customFormat="1" ht="13.5" spans="1:13">
      <c r="A1177" s="66"/>
      <c r="E1177" s="72" t="s">
        <v>1252</v>
      </c>
      <c r="F1177" s="18"/>
      <c r="G1177" s="18"/>
      <c r="H1177" s="18"/>
      <c r="I1177" s="18"/>
      <c r="J1177" s="18"/>
      <c r="K1177" s="18"/>
      <c r="L1177" s="18"/>
      <c r="M1177" s="18"/>
    </row>
    <row r="1178" s="65" customFormat="1" ht="13.5" spans="1:13">
      <c r="A1178" s="66"/>
      <c r="E1178" s="72" t="s">
        <v>1253</v>
      </c>
      <c r="F1178" s="18"/>
      <c r="G1178" s="18"/>
      <c r="H1178" s="18"/>
      <c r="I1178" s="18"/>
      <c r="J1178" s="18"/>
      <c r="K1178" s="18"/>
      <c r="L1178" s="18"/>
      <c r="M1178" s="18"/>
    </row>
    <row r="1179" s="65" customFormat="1" ht="13.5" spans="1:13">
      <c r="A1179" s="66"/>
      <c r="E1179" s="72" t="s">
        <v>1254</v>
      </c>
      <c r="F1179" s="18"/>
      <c r="G1179" s="18"/>
      <c r="H1179" s="18"/>
      <c r="I1179" s="18"/>
      <c r="J1179" s="18"/>
      <c r="K1179" s="18"/>
      <c r="L1179" s="18"/>
      <c r="M1179" s="18"/>
    </row>
    <row r="1180" s="65" customFormat="1" ht="13.5" spans="1:13">
      <c r="A1180" s="66"/>
      <c r="E1180" s="72" t="s">
        <v>1255</v>
      </c>
      <c r="F1180" s="18"/>
      <c r="G1180" s="18"/>
      <c r="H1180" s="18"/>
      <c r="I1180" s="18"/>
      <c r="J1180" s="18"/>
      <c r="K1180" s="18"/>
      <c r="L1180" s="18"/>
      <c r="M1180" s="18"/>
    </row>
    <row r="1181" s="65" customFormat="1" ht="13.5" spans="1:13">
      <c r="A1181" s="66"/>
      <c r="E1181" s="72" t="s">
        <v>1256</v>
      </c>
      <c r="F1181" s="18"/>
      <c r="G1181" s="18"/>
      <c r="H1181" s="18"/>
      <c r="I1181" s="18"/>
      <c r="J1181" s="18"/>
      <c r="K1181" s="18"/>
      <c r="L1181" s="18"/>
      <c r="M1181" s="18"/>
    </row>
    <row r="1182" s="65" customFormat="1" ht="13.5" spans="1:13">
      <c r="A1182" s="66"/>
      <c r="E1182" s="72" t="s">
        <v>1257</v>
      </c>
      <c r="F1182" s="18"/>
      <c r="G1182" s="18"/>
      <c r="H1182" s="18"/>
      <c r="I1182" s="18"/>
      <c r="J1182" s="18"/>
      <c r="K1182" s="18"/>
      <c r="L1182" s="18"/>
      <c r="M1182" s="18"/>
    </row>
    <row r="1183" s="65" customFormat="1" ht="13.5" spans="1:13">
      <c r="A1183" s="66"/>
      <c r="E1183" s="72" t="s">
        <v>1258</v>
      </c>
      <c r="F1183" s="18"/>
      <c r="G1183" s="18"/>
      <c r="H1183" s="18"/>
      <c r="I1183" s="18"/>
      <c r="J1183" s="18"/>
      <c r="K1183" s="18"/>
      <c r="L1183" s="18"/>
      <c r="M1183" s="18"/>
    </row>
    <row r="1184" s="65" customFormat="1" ht="13.5" spans="1:13">
      <c r="A1184" s="66"/>
      <c r="E1184" s="72" t="s">
        <v>1259</v>
      </c>
      <c r="F1184" s="18"/>
      <c r="G1184" s="18"/>
      <c r="H1184" s="18"/>
      <c r="I1184" s="18"/>
      <c r="J1184" s="18"/>
      <c r="K1184" s="18"/>
      <c r="L1184" s="18"/>
      <c r="M1184" s="18"/>
    </row>
    <row r="1185" s="65" customFormat="1" ht="13.5" spans="1:13">
      <c r="A1185" s="66"/>
      <c r="E1185" s="72" t="s">
        <v>1260</v>
      </c>
      <c r="F1185" s="18"/>
      <c r="G1185" s="18"/>
      <c r="H1185" s="18"/>
      <c r="I1185" s="18"/>
      <c r="J1185" s="18"/>
      <c r="K1185" s="18"/>
      <c r="L1185" s="18"/>
      <c r="M1185" s="18"/>
    </row>
    <row r="1186" s="65" customFormat="1" ht="13.5" spans="1:13">
      <c r="A1186" s="66"/>
      <c r="E1186" s="72" t="s">
        <v>1261</v>
      </c>
      <c r="F1186" s="18"/>
      <c r="G1186" s="18"/>
      <c r="H1186" s="18"/>
      <c r="I1186" s="18"/>
      <c r="J1186" s="18"/>
      <c r="K1186" s="18"/>
      <c r="L1186" s="18"/>
      <c r="M1186" s="18"/>
    </row>
    <row r="1187" s="65" customFormat="1" ht="13.5" spans="1:13">
      <c r="A1187" s="66"/>
      <c r="E1187" s="72" t="s">
        <v>1262</v>
      </c>
      <c r="F1187" s="18"/>
      <c r="G1187" s="18"/>
      <c r="H1187" s="18"/>
      <c r="I1187" s="18"/>
      <c r="J1187" s="18"/>
      <c r="K1187" s="18"/>
      <c r="L1187" s="18"/>
      <c r="M1187" s="18"/>
    </row>
    <row r="1188" s="65" customFormat="1" ht="13.5" spans="1:13">
      <c r="A1188" s="66"/>
      <c r="E1188" s="72" t="s">
        <v>1263</v>
      </c>
      <c r="F1188" s="18"/>
      <c r="G1188" s="18"/>
      <c r="H1188" s="18"/>
      <c r="I1188" s="18"/>
      <c r="J1188" s="18"/>
      <c r="K1188" s="18"/>
      <c r="L1188" s="18"/>
      <c r="M1188" s="18"/>
    </row>
    <row r="1189" s="65" customFormat="1" ht="13.5" spans="1:13">
      <c r="A1189" s="66"/>
      <c r="E1189" s="72" t="s">
        <v>1264</v>
      </c>
      <c r="F1189" s="18"/>
      <c r="G1189" s="18"/>
      <c r="H1189" s="18"/>
      <c r="I1189" s="18"/>
      <c r="J1189" s="18"/>
      <c r="K1189" s="18"/>
      <c r="L1189" s="18"/>
      <c r="M1189" s="18"/>
    </row>
    <row r="1190" s="65" customFormat="1" ht="13.5" spans="1:13">
      <c r="A1190" s="66"/>
      <c r="E1190" s="72" t="s">
        <v>1265</v>
      </c>
      <c r="F1190" s="18"/>
      <c r="G1190" s="18"/>
      <c r="H1190" s="18"/>
      <c r="I1190" s="18"/>
      <c r="J1190" s="18"/>
      <c r="K1190" s="18"/>
      <c r="L1190" s="18"/>
      <c r="M1190" s="18"/>
    </row>
    <row r="1191" s="65" customFormat="1" ht="13.5" spans="1:13">
      <c r="A1191" s="66"/>
      <c r="E1191" s="72" t="s">
        <v>1266</v>
      </c>
      <c r="F1191" s="18"/>
      <c r="G1191" s="18"/>
      <c r="H1191" s="18"/>
      <c r="I1191" s="18"/>
      <c r="J1191" s="18"/>
      <c r="K1191" s="18"/>
      <c r="L1191" s="18"/>
      <c r="M1191" s="18"/>
    </row>
    <row r="1192" s="65" customFormat="1" ht="13.5" spans="1:13">
      <c r="A1192" s="66"/>
      <c r="E1192" s="72" t="s">
        <v>1267</v>
      </c>
      <c r="F1192" s="18"/>
      <c r="G1192" s="18"/>
      <c r="H1192" s="18"/>
      <c r="I1192" s="18"/>
      <c r="J1192" s="18"/>
      <c r="K1192" s="18"/>
      <c r="L1192" s="18"/>
      <c r="M1192" s="18"/>
    </row>
    <row r="1193" s="65" customFormat="1" ht="13.5" spans="1:13">
      <c r="A1193" s="66"/>
      <c r="E1193" s="72" t="s">
        <v>1268</v>
      </c>
      <c r="F1193" s="18"/>
      <c r="G1193" s="18"/>
      <c r="H1193" s="18"/>
      <c r="I1193" s="18"/>
      <c r="J1193" s="18"/>
      <c r="K1193" s="18"/>
      <c r="L1193" s="18"/>
      <c r="M1193" s="18"/>
    </row>
    <row r="1194" s="65" customFormat="1" ht="13.5" spans="1:13">
      <c r="A1194" s="66"/>
      <c r="E1194" s="72" t="s">
        <v>1269</v>
      </c>
      <c r="F1194" s="18"/>
      <c r="G1194" s="18"/>
      <c r="H1194" s="18"/>
      <c r="I1194" s="18"/>
      <c r="J1194" s="18"/>
      <c r="K1194" s="18"/>
      <c r="L1194" s="18"/>
      <c r="M1194" s="18"/>
    </row>
    <row r="1195" s="65" customFormat="1" ht="13.5" spans="1:13">
      <c r="A1195" s="66"/>
      <c r="E1195" s="72" t="s">
        <v>1270</v>
      </c>
      <c r="F1195" s="18"/>
      <c r="G1195" s="18"/>
      <c r="H1195" s="18"/>
      <c r="I1195" s="18"/>
      <c r="J1195" s="18"/>
      <c r="K1195" s="18"/>
      <c r="L1195" s="18"/>
      <c r="M1195" s="18"/>
    </row>
    <row r="1196" s="65" customFormat="1" ht="13.5" spans="1:13">
      <c r="A1196" s="66"/>
      <c r="E1196" s="72" t="s">
        <v>1271</v>
      </c>
      <c r="F1196" s="18"/>
      <c r="G1196" s="18"/>
      <c r="H1196" s="18"/>
      <c r="I1196" s="18"/>
      <c r="J1196" s="18"/>
      <c r="K1196" s="18"/>
      <c r="L1196" s="18"/>
      <c r="M1196" s="18"/>
    </row>
    <row r="1197" s="65" customFormat="1" ht="13.5" spans="1:13">
      <c r="A1197" s="66"/>
      <c r="E1197" s="72" t="s">
        <v>1272</v>
      </c>
      <c r="F1197" s="18"/>
      <c r="G1197" s="18"/>
      <c r="H1197" s="18"/>
      <c r="I1197" s="18"/>
      <c r="J1197" s="18"/>
      <c r="K1197" s="18"/>
      <c r="L1197" s="18"/>
      <c r="M1197" s="18"/>
    </row>
    <row r="1198" s="65" customFormat="1" ht="13.5" spans="1:13">
      <c r="A1198" s="66"/>
      <c r="E1198" s="72" t="s">
        <v>1273</v>
      </c>
      <c r="F1198" s="18"/>
      <c r="G1198" s="18"/>
      <c r="H1198" s="18"/>
      <c r="I1198" s="18"/>
      <c r="J1198" s="18"/>
      <c r="K1198" s="18"/>
      <c r="L1198" s="18"/>
      <c r="M1198" s="18"/>
    </row>
    <row r="1199" s="65" customFormat="1" ht="13.5" spans="1:13">
      <c r="A1199" s="66"/>
      <c r="E1199" s="72" t="s">
        <v>1274</v>
      </c>
      <c r="F1199" s="18"/>
      <c r="G1199" s="18"/>
      <c r="H1199" s="18"/>
      <c r="I1199" s="18"/>
      <c r="J1199" s="18"/>
      <c r="K1199" s="18"/>
      <c r="L1199" s="18"/>
      <c r="M1199" s="18"/>
    </row>
    <row r="1200" s="65" customFormat="1" ht="13.5" spans="1:13">
      <c r="A1200" s="66"/>
      <c r="E1200" s="72" t="s">
        <v>1275</v>
      </c>
      <c r="F1200" s="18"/>
      <c r="G1200" s="18"/>
      <c r="H1200" s="18"/>
      <c r="I1200" s="18"/>
      <c r="J1200" s="18"/>
      <c r="K1200" s="18"/>
      <c r="L1200" s="18"/>
      <c r="M1200" s="18"/>
    </row>
    <row r="1201" s="65" customFormat="1" ht="13.5" spans="1:13">
      <c r="A1201" s="66"/>
      <c r="E1201" s="72" t="s">
        <v>1276</v>
      </c>
      <c r="F1201" s="18"/>
      <c r="G1201" s="18"/>
      <c r="H1201" s="18"/>
      <c r="I1201" s="18"/>
      <c r="J1201" s="18"/>
      <c r="K1201" s="18"/>
      <c r="L1201" s="18"/>
      <c r="M1201" s="18"/>
    </row>
    <row r="1202" s="65" customFormat="1" ht="13.5" spans="1:13">
      <c r="A1202" s="66"/>
      <c r="E1202" s="72" t="s">
        <v>1277</v>
      </c>
      <c r="F1202" s="18"/>
      <c r="G1202" s="18"/>
      <c r="H1202" s="18"/>
      <c r="I1202" s="18"/>
      <c r="J1202" s="18"/>
      <c r="K1202" s="18"/>
      <c r="L1202" s="18"/>
      <c r="M1202" s="18"/>
    </row>
    <row r="1203" s="65" customFormat="1" ht="13.5" spans="1:13">
      <c r="A1203" s="66"/>
      <c r="E1203" s="72" t="s">
        <v>1278</v>
      </c>
      <c r="F1203" s="18"/>
      <c r="G1203" s="18"/>
      <c r="H1203" s="18"/>
      <c r="I1203" s="18"/>
      <c r="J1203" s="18"/>
      <c r="K1203" s="18"/>
      <c r="L1203" s="18"/>
      <c r="M1203" s="18"/>
    </row>
    <row r="1204" s="65" customFormat="1" ht="13.5" spans="1:13">
      <c r="A1204" s="66"/>
      <c r="E1204" s="72" t="s">
        <v>1279</v>
      </c>
      <c r="F1204" s="18"/>
      <c r="G1204" s="18"/>
      <c r="H1204" s="18"/>
      <c r="I1204" s="18"/>
      <c r="J1204" s="18"/>
      <c r="K1204" s="18"/>
      <c r="L1204" s="18"/>
      <c r="M1204" s="18"/>
    </row>
    <row r="1205" s="65" customFormat="1" ht="13.5" spans="1:13">
      <c r="A1205" s="66"/>
      <c r="E1205" s="72" t="s">
        <v>1280</v>
      </c>
      <c r="F1205" s="18"/>
      <c r="G1205" s="18"/>
      <c r="H1205" s="18"/>
      <c r="I1205" s="18"/>
      <c r="J1205" s="18"/>
      <c r="K1205" s="18"/>
      <c r="L1205" s="18"/>
      <c r="M1205" s="18"/>
    </row>
    <row r="1206" s="65" customFormat="1" ht="13.5" spans="1:13">
      <c r="A1206" s="66"/>
      <c r="E1206" s="72" t="s">
        <v>1281</v>
      </c>
      <c r="F1206" s="18"/>
      <c r="G1206" s="18"/>
      <c r="H1206" s="18"/>
      <c r="I1206" s="18"/>
      <c r="J1206" s="18"/>
      <c r="K1206" s="18"/>
      <c r="L1206" s="18"/>
      <c r="M1206" s="18"/>
    </row>
    <row r="1207" s="65" customFormat="1" ht="13.5" spans="1:13">
      <c r="A1207" s="66"/>
      <c r="E1207" s="72" t="s">
        <v>1282</v>
      </c>
      <c r="F1207" s="18"/>
      <c r="G1207" s="18"/>
      <c r="H1207" s="18"/>
      <c r="I1207" s="18"/>
      <c r="J1207" s="18"/>
      <c r="K1207" s="18"/>
      <c r="L1207" s="18"/>
      <c r="M1207" s="18"/>
    </row>
    <row r="1208" s="65" customFormat="1" ht="13.5" spans="1:13">
      <c r="A1208" s="66"/>
      <c r="E1208" s="72" t="s">
        <v>1283</v>
      </c>
      <c r="F1208" s="18"/>
      <c r="G1208" s="18"/>
      <c r="H1208" s="18"/>
      <c r="I1208" s="18"/>
      <c r="J1208" s="18"/>
      <c r="K1208" s="18"/>
      <c r="L1208" s="18"/>
      <c r="M1208" s="18"/>
    </row>
    <row r="1209" s="65" customFormat="1" ht="13.5" spans="1:13">
      <c r="A1209" s="66"/>
      <c r="E1209" s="72" t="s">
        <v>1284</v>
      </c>
      <c r="F1209" s="18"/>
      <c r="G1209" s="18"/>
      <c r="H1209" s="18"/>
      <c r="I1209" s="18"/>
      <c r="J1209" s="18"/>
      <c r="K1209" s="18"/>
      <c r="L1209" s="18"/>
      <c r="M1209" s="18"/>
    </row>
    <row r="1210" s="65" customFormat="1" ht="13.5" spans="1:13">
      <c r="A1210" s="66"/>
      <c r="E1210" s="72" t="s">
        <v>1285</v>
      </c>
      <c r="F1210" s="18"/>
      <c r="G1210" s="18"/>
      <c r="H1210" s="18"/>
      <c r="I1210" s="18"/>
      <c r="J1210" s="18"/>
      <c r="K1210" s="18"/>
      <c r="L1210" s="18"/>
      <c r="M1210" s="18"/>
    </row>
    <row r="1211" s="65" customFormat="1" ht="13.5" spans="1:13">
      <c r="A1211" s="66"/>
      <c r="E1211" s="72" t="s">
        <v>1286</v>
      </c>
      <c r="F1211" s="18"/>
      <c r="G1211" s="18"/>
      <c r="H1211" s="18"/>
      <c r="I1211" s="18"/>
      <c r="J1211" s="18"/>
      <c r="K1211" s="18"/>
      <c r="L1211" s="18"/>
      <c r="M1211" s="18"/>
    </row>
    <row r="1212" s="65" customFormat="1" ht="13.5" spans="1:13">
      <c r="A1212" s="66"/>
      <c r="E1212" s="72" t="s">
        <v>1287</v>
      </c>
      <c r="F1212" s="18"/>
      <c r="G1212" s="18"/>
      <c r="H1212" s="18"/>
      <c r="I1212" s="18"/>
      <c r="J1212" s="18"/>
      <c r="K1212" s="18"/>
      <c r="L1212" s="18"/>
      <c r="M1212" s="18"/>
    </row>
    <row r="1213" s="65" customFormat="1" ht="13.5" spans="1:13">
      <c r="A1213" s="66"/>
      <c r="E1213" s="72" t="s">
        <v>1288</v>
      </c>
      <c r="F1213" s="18"/>
      <c r="G1213" s="18"/>
      <c r="H1213" s="18"/>
      <c r="I1213" s="18"/>
      <c r="J1213" s="18"/>
      <c r="K1213" s="18"/>
      <c r="L1213" s="18"/>
      <c r="M1213" s="18"/>
    </row>
    <row r="1214" s="65" customFormat="1" ht="13.5" spans="1:13">
      <c r="A1214" s="66"/>
      <c r="E1214" s="72" t="s">
        <v>1289</v>
      </c>
      <c r="F1214" s="18"/>
      <c r="G1214" s="18"/>
      <c r="H1214" s="18"/>
      <c r="I1214" s="18"/>
      <c r="J1214" s="18"/>
      <c r="K1214" s="18"/>
      <c r="L1214" s="18"/>
      <c r="M1214" s="18"/>
    </row>
    <row r="1215" s="65" customFormat="1" ht="13.5" spans="1:13">
      <c r="A1215" s="66"/>
      <c r="E1215" s="72" t="s">
        <v>1290</v>
      </c>
      <c r="F1215" s="18"/>
      <c r="G1215" s="18"/>
      <c r="H1215" s="18"/>
      <c r="I1215" s="18"/>
      <c r="J1215" s="18"/>
      <c r="K1215" s="18"/>
      <c r="L1215" s="18"/>
      <c r="M1215" s="18"/>
    </row>
    <row r="1216" s="65" customFormat="1" ht="13.5" spans="1:13">
      <c r="A1216" s="66"/>
      <c r="E1216" s="72" t="s">
        <v>1291</v>
      </c>
      <c r="F1216" s="18"/>
      <c r="G1216" s="18"/>
      <c r="H1216" s="18"/>
      <c r="I1216" s="18"/>
      <c r="J1216" s="18"/>
      <c r="K1216" s="18"/>
      <c r="L1216" s="18"/>
      <c r="M1216" s="18"/>
    </row>
    <row r="1217" s="65" customFormat="1" ht="13.5" spans="1:13">
      <c r="A1217" s="66"/>
      <c r="E1217" s="72" t="s">
        <v>1292</v>
      </c>
      <c r="F1217" s="18"/>
      <c r="G1217" s="18"/>
      <c r="H1217" s="18"/>
      <c r="I1217" s="18"/>
      <c r="J1217" s="18"/>
      <c r="K1217" s="18"/>
      <c r="L1217" s="18"/>
      <c r="M1217" s="18"/>
    </row>
    <row r="1218" s="65" customFormat="1" ht="13.5" spans="1:13">
      <c r="A1218" s="66"/>
      <c r="E1218" s="72" t="s">
        <v>1293</v>
      </c>
      <c r="F1218" s="18"/>
      <c r="G1218" s="18"/>
      <c r="H1218" s="18"/>
      <c r="I1218" s="18"/>
      <c r="J1218" s="18"/>
      <c r="K1218" s="18"/>
      <c r="L1218" s="18"/>
      <c r="M1218" s="18"/>
    </row>
    <row r="1219" s="65" customFormat="1" ht="13.5" spans="1:13">
      <c r="A1219" s="66"/>
      <c r="E1219" s="72" t="s">
        <v>1294</v>
      </c>
      <c r="F1219" s="18"/>
      <c r="G1219" s="18"/>
      <c r="H1219" s="18"/>
      <c r="I1219" s="18"/>
      <c r="J1219" s="18"/>
      <c r="K1219" s="18"/>
      <c r="L1219" s="18"/>
      <c r="M1219" s="18"/>
    </row>
    <row r="1220" s="65" customFormat="1" ht="13.5" spans="1:13">
      <c r="A1220" s="66"/>
      <c r="E1220" s="72" t="s">
        <v>1295</v>
      </c>
      <c r="F1220" s="18"/>
      <c r="G1220" s="18"/>
      <c r="H1220" s="18"/>
      <c r="I1220" s="18"/>
      <c r="J1220" s="18"/>
      <c r="K1220" s="18"/>
      <c r="L1220" s="18"/>
      <c r="M1220" s="18"/>
    </row>
    <row r="1221" s="65" customFormat="1" ht="13.5" spans="1:13">
      <c r="A1221" s="66"/>
      <c r="E1221" s="72" t="s">
        <v>1296</v>
      </c>
      <c r="F1221" s="18"/>
      <c r="G1221" s="18"/>
      <c r="H1221" s="18"/>
      <c r="I1221" s="18"/>
      <c r="J1221" s="18"/>
      <c r="K1221" s="18"/>
      <c r="L1221" s="18"/>
      <c r="M1221" s="18"/>
    </row>
    <row r="1222" s="65" customFormat="1" ht="13.5" spans="1:13">
      <c r="A1222" s="66"/>
      <c r="E1222" s="72" t="s">
        <v>1297</v>
      </c>
      <c r="F1222" s="18"/>
      <c r="G1222" s="18"/>
      <c r="H1222" s="18"/>
      <c r="I1222" s="18"/>
      <c r="J1222" s="18"/>
      <c r="K1222" s="18"/>
      <c r="L1222" s="18"/>
      <c r="M1222" s="18"/>
    </row>
    <row r="1223" s="65" customFormat="1" ht="13.5" spans="1:13">
      <c r="A1223" s="66"/>
      <c r="E1223" s="72" t="s">
        <v>1298</v>
      </c>
      <c r="F1223" s="18"/>
      <c r="G1223" s="18"/>
      <c r="H1223" s="18"/>
      <c r="I1223" s="18"/>
      <c r="J1223" s="18"/>
      <c r="K1223" s="18"/>
      <c r="L1223" s="18"/>
      <c r="M1223" s="18"/>
    </row>
    <row r="1224" s="65" customFormat="1" ht="13.5" spans="1:13">
      <c r="A1224" s="66"/>
      <c r="E1224" s="72" t="s">
        <v>1299</v>
      </c>
      <c r="F1224" s="18"/>
      <c r="G1224" s="18"/>
      <c r="H1224" s="18"/>
      <c r="I1224" s="18"/>
      <c r="J1224" s="18"/>
      <c r="K1224" s="18"/>
      <c r="L1224" s="18"/>
      <c r="M1224" s="18"/>
    </row>
    <row r="1225" s="65" customFormat="1" ht="13.5" spans="1:13">
      <c r="A1225" s="66"/>
      <c r="E1225" s="72" t="s">
        <v>1300</v>
      </c>
      <c r="F1225" s="18"/>
      <c r="G1225" s="18"/>
      <c r="H1225" s="18"/>
      <c r="I1225" s="18"/>
      <c r="J1225" s="18"/>
      <c r="K1225" s="18"/>
      <c r="L1225" s="18"/>
      <c r="M1225" s="18"/>
    </row>
    <row r="1226" s="65" customFormat="1" ht="13.5" spans="1:13">
      <c r="A1226" s="66"/>
      <c r="E1226" s="72" t="s">
        <v>1301</v>
      </c>
      <c r="F1226" s="18"/>
      <c r="G1226" s="18"/>
      <c r="H1226" s="18"/>
      <c r="I1226" s="18"/>
      <c r="J1226" s="18"/>
      <c r="K1226" s="18"/>
      <c r="L1226" s="18"/>
      <c r="M1226" s="18"/>
    </row>
    <row r="1227" s="65" customFormat="1" ht="13.5" spans="1:13">
      <c r="A1227" s="66"/>
      <c r="E1227" s="72" t="s">
        <v>1302</v>
      </c>
      <c r="F1227" s="18"/>
      <c r="G1227" s="18"/>
      <c r="H1227" s="18"/>
      <c r="I1227" s="18"/>
      <c r="J1227" s="18"/>
      <c r="K1227" s="18"/>
      <c r="L1227" s="18"/>
      <c r="M1227" s="18"/>
    </row>
    <row r="1228" s="65" customFormat="1" ht="13.5" spans="1:13">
      <c r="A1228" s="66"/>
      <c r="E1228" s="72" t="s">
        <v>1303</v>
      </c>
      <c r="F1228" s="18"/>
      <c r="G1228" s="18"/>
      <c r="H1228" s="18"/>
      <c r="I1228" s="18"/>
      <c r="J1228" s="18"/>
      <c r="K1228" s="18"/>
      <c r="L1228" s="18"/>
      <c r="M1228" s="18"/>
    </row>
    <row r="1229" s="65" customFormat="1" ht="13.5" spans="1:13">
      <c r="A1229" s="66"/>
      <c r="E1229" s="72" t="s">
        <v>1304</v>
      </c>
      <c r="F1229" s="18"/>
      <c r="G1229" s="18"/>
      <c r="H1229" s="18"/>
      <c r="I1229" s="18"/>
      <c r="J1229" s="18"/>
      <c r="K1229" s="18"/>
      <c r="L1229" s="18"/>
      <c r="M1229" s="18"/>
    </row>
    <row r="1230" s="65" customFormat="1" ht="13.5" spans="1:13">
      <c r="A1230" s="66"/>
      <c r="E1230" s="72" t="s">
        <v>1305</v>
      </c>
      <c r="F1230" s="18"/>
      <c r="G1230" s="18"/>
      <c r="H1230" s="18"/>
      <c r="I1230" s="18"/>
      <c r="J1230" s="18"/>
      <c r="K1230" s="18"/>
      <c r="L1230" s="18"/>
      <c r="M1230" s="18"/>
    </row>
    <row r="1231" s="65" customFormat="1" ht="13.5" spans="1:13">
      <c r="A1231" s="66"/>
      <c r="E1231" s="72" t="s">
        <v>1306</v>
      </c>
      <c r="F1231" s="18"/>
      <c r="G1231" s="18"/>
      <c r="H1231" s="18"/>
      <c r="I1231" s="18"/>
      <c r="J1231" s="18"/>
      <c r="K1231" s="18"/>
      <c r="L1231" s="18"/>
      <c r="M1231" s="18"/>
    </row>
    <row r="1232" s="65" customFormat="1" ht="13.5" spans="1:13">
      <c r="A1232" s="66"/>
      <c r="E1232" s="72" t="s">
        <v>1307</v>
      </c>
      <c r="F1232" s="18"/>
      <c r="G1232" s="18"/>
      <c r="H1232" s="18"/>
      <c r="I1232" s="18"/>
      <c r="J1232" s="18"/>
      <c r="K1232" s="18"/>
      <c r="L1232" s="18"/>
      <c r="M1232" s="18"/>
    </row>
    <row r="1233" s="65" customFormat="1" ht="13.5" spans="1:13">
      <c r="A1233" s="66"/>
      <c r="E1233" s="72" t="s">
        <v>1308</v>
      </c>
      <c r="F1233" s="18"/>
      <c r="G1233" s="18"/>
      <c r="H1233" s="18"/>
      <c r="I1233" s="18"/>
      <c r="J1233" s="18"/>
      <c r="K1233" s="18"/>
      <c r="L1233" s="18"/>
      <c r="M1233" s="18"/>
    </row>
    <row r="1234" s="65" customFormat="1" ht="13.5" spans="1:13">
      <c r="A1234" s="66"/>
      <c r="E1234" s="72" t="s">
        <v>1309</v>
      </c>
      <c r="F1234" s="18"/>
      <c r="G1234" s="18"/>
      <c r="H1234" s="18"/>
      <c r="I1234" s="18"/>
      <c r="J1234" s="18"/>
      <c r="K1234" s="18"/>
      <c r="L1234" s="18"/>
      <c r="M1234" s="18"/>
    </row>
    <row r="1235" s="65" customFormat="1" ht="13.5" spans="1:13">
      <c r="A1235" s="66"/>
      <c r="E1235" s="72" t="s">
        <v>1310</v>
      </c>
      <c r="F1235" s="18"/>
      <c r="G1235" s="18"/>
      <c r="H1235" s="18"/>
      <c r="I1235" s="18"/>
      <c r="J1235" s="18"/>
      <c r="K1235" s="18"/>
      <c r="L1235" s="18"/>
      <c r="M1235" s="18"/>
    </row>
    <row r="1236" s="65" customFormat="1" ht="13.5" spans="1:13">
      <c r="A1236" s="66"/>
      <c r="E1236" s="72" t="s">
        <v>1311</v>
      </c>
      <c r="F1236" s="18"/>
      <c r="G1236" s="18"/>
      <c r="H1236" s="18"/>
      <c r="I1236" s="18"/>
      <c r="J1236" s="18"/>
      <c r="K1236" s="18"/>
      <c r="L1236" s="18"/>
      <c r="M1236" s="18"/>
    </row>
    <row r="1237" s="65" customFormat="1" ht="13.5" spans="1:13">
      <c r="A1237" s="66"/>
      <c r="E1237" s="72" t="s">
        <v>1312</v>
      </c>
      <c r="F1237" s="18"/>
      <c r="G1237" s="18"/>
      <c r="H1237" s="18"/>
      <c r="I1237" s="18"/>
      <c r="J1237" s="18"/>
      <c r="K1237" s="18"/>
      <c r="L1237" s="18"/>
      <c r="M1237" s="18"/>
    </row>
    <row r="1238" s="65" customFormat="1" ht="13.5" spans="1:13">
      <c r="A1238" s="66"/>
      <c r="E1238" s="72" t="s">
        <v>1313</v>
      </c>
      <c r="F1238" s="18"/>
      <c r="G1238" s="18"/>
      <c r="H1238" s="18"/>
      <c r="I1238" s="18"/>
      <c r="J1238" s="18"/>
      <c r="K1238" s="18"/>
      <c r="L1238" s="18"/>
      <c r="M1238" s="18"/>
    </row>
    <row r="1239" s="65" customFormat="1" ht="13.5" spans="1:13">
      <c r="A1239" s="66"/>
      <c r="E1239" s="72" t="s">
        <v>1314</v>
      </c>
      <c r="F1239" s="18"/>
      <c r="G1239" s="18"/>
      <c r="H1239" s="18"/>
      <c r="I1239" s="18"/>
      <c r="J1239" s="18"/>
      <c r="K1239" s="18"/>
      <c r="L1239" s="18"/>
      <c r="M1239" s="18"/>
    </row>
    <row r="1240" s="65" customFormat="1" ht="13.5" spans="1:13">
      <c r="A1240" s="66"/>
      <c r="E1240" s="72" t="s">
        <v>1315</v>
      </c>
      <c r="F1240" s="18"/>
      <c r="G1240" s="18"/>
      <c r="H1240" s="18"/>
      <c r="I1240" s="18"/>
      <c r="J1240" s="18"/>
      <c r="K1240" s="18"/>
      <c r="L1240" s="18"/>
      <c r="M1240" s="18"/>
    </row>
    <row r="1241" s="65" customFormat="1" ht="13.5" spans="1:13">
      <c r="A1241" s="66"/>
      <c r="E1241" s="72" t="s">
        <v>1316</v>
      </c>
      <c r="F1241" s="18"/>
      <c r="G1241" s="18"/>
      <c r="H1241" s="18"/>
      <c r="I1241" s="18"/>
      <c r="J1241" s="18"/>
      <c r="K1241" s="18"/>
      <c r="L1241" s="18"/>
      <c r="M1241" s="18"/>
    </row>
    <row r="1242" s="65" customFormat="1" ht="13.5" spans="1:13">
      <c r="A1242" s="66"/>
      <c r="E1242" s="72" t="s">
        <v>1317</v>
      </c>
      <c r="F1242" s="18"/>
      <c r="G1242" s="18"/>
      <c r="H1242" s="18"/>
      <c r="I1242" s="18"/>
      <c r="J1242" s="18"/>
      <c r="K1242" s="18"/>
      <c r="L1242" s="18"/>
      <c r="M1242" s="18"/>
    </row>
    <row r="1243" s="65" customFormat="1" ht="13.5" spans="1:13">
      <c r="A1243" s="66"/>
      <c r="E1243" s="72" t="s">
        <v>1318</v>
      </c>
      <c r="F1243" s="18"/>
      <c r="G1243" s="18"/>
      <c r="H1243" s="18"/>
      <c r="I1243" s="18"/>
      <c r="J1243" s="18"/>
      <c r="K1243" s="18"/>
      <c r="L1243" s="18"/>
      <c r="M1243" s="18"/>
    </row>
    <row r="1244" s="65" customFormat="1" ht="13.5" spans="1:13">
      <c r="A1244" s="66"/>
      <c r="E1244" s="72" t="s">
        <v>1319</v>
      </c>
      <c r="F1244" s="18"/>
      <c r="G1244" s="18"/>
      <c r="H1244" s="18"/>
      <c r="I1244" s="18"/>
      <c r="J1244" s="18"/>
      <c r="K1244" s="18"/>
      <c r="L1244" s="18"/>
      <c r="M1244" s="18"/>
    </row>
    <row r="1245" s="65" customFormat="1" ht="13.5" spans="1:13">
      <c r="A1245" s="66"/>
      <c r="E1245" s="72" t="s">
        <v>1320</v>
      </c>
      <c r="F1245" s="18"/>
      <c r="G1245" s="18"/>
      <c r="H1245" s="18"/>
      <c r="I1245" s="18"/>
      <c r="J1245" s="18"/>
      <c r="K1245" s="18"/>
      <c r="L1245" s="18"/>
      <c r="M1245" s="18"/>
    </row>
    <row r="1246" s="65" customFormat="1" ht="13.5" spans="1:13">
      <c r="A1246" s="66"/>
      <c r="E1246" s="72" t="s">
        <v>1321</v>
      </c>
      <c r="F1246" s="18"/>
      <c r="G1246" s="18"/>
      <c r="H1246" s="18"/>
      <c r="I1246" s="18"/>
      <c r="J1246" s="18"/>
      <c r="K1246" s="18"/>
      <c r="L1246" s="18"/>
      <c r="M1246" s="18"/>
    </row>
    <row r="1247" s="65" customFormat="1" ht="13.5" spans="1:13">
      <c r="A1247" s="66"/>
      <c r="E1247" s="72" t="s">
        <v>1322</v>
      </c>
      <c r="F1247" s="18"/>
      <c r="G1247" s="18"/>
      <c r="H1247" s="18"/>
      <c r="I1247" s="18"/>
      <c r="J1247" s="18"/>
      <c r="K1247" s="18"/>
      <c r="L1247" s="18"/>
      <c r="M1247" s="18"/>
    </row>
    <row r="1248" s="65" customFormat="1" ht="13.5" spans="1:13">
      <c r="A1248" s="66"/>
      <c r="E1248" s="72" t="s">
        <v>1323</v>
      </c>
      <c r="F1248" s="18"/>
      <c r="G1248" s="18"/>
      <c r="H1248" s="18"/>
      <c r="I1248" s="18"/>
      <c r="J1248" s="18"/>
      <c r="K1248" s="18"/>
      <c r="L1248" s="18"/>
      <c r="M1248" s="18"/>
    </row>
    <row r="1249" s="65" customFormat="1" ht="13.5" spans="1:13">
      <c r="A1249" s="66"/>
      <c r="E1249" s="72" t="s">
        <v>1324</v>
      </c>
      <c r="F1249" s="18"/>
      <c r="G1249" s="18"/>
      <c r="H1249" s="18"/>
      <c r="I1249" s="18"/>
      <c r="J1249" s="18"/>
      <c r="K1249" s="18"/>
      <c r="L1249" s="18"/>
      <c r="M1249" s="18"/>
    </row>
    <row r="1250" s="65" customFormat="1" ht="13.5" spans="1:13">
      <c r="A1250" s="66"/>
      <c r="E1250" s="72" t="s">
        <v>1325</v>
      </c>
      <c r="F1250" s="18"/>
      <c r="G1250" s="18"/>
      <c r="H1250" s="18"/>
      <c r="I1250" s="18"/>
      <c r="J1250" s="18"/>
      <c r="K1250" s="18"/>
      <c r="L1250" s="18"/>
      <c r="M1250" s="18"/>
    </row>
    <row r="1251" s="65" customFormat="1" ht="13.5" spans="1:13">
      <c r="A1251" s="66"/>
      <c r="E1251" s="72" t="s">
        <v>1326</v>
      </c>
      <c r="F1251" s="18"/>
      <c r="G1251" s="18"/>
      <c r="H1251" s="18"/>
      <c r="I1251" s="18"/>
      <c r="J1251" s="18"/>
      <c r="K1251" s="18"/>
      <c r="L1251" s="18"/>
      <c r="M1251" s="18"/>
    </row>
    <row r="1252" s="65" customFormat="1" ht="13.5" spans="1:13">
      <c r="A1252" s="66"/>
      <c r="E1252" s="72" t="s">
        <v>1327</v>
      </c>
      <c r="F1252" s="18"/>
      <c r="G1252" s="18"/>
      <c r="H1252" s="18"/>
      <c r="I1252" s="18"/>
      <c r="J1252" s="18"/>
      <c r="K1252" s="18"/>
      <c r="L1252" s="18"/>
      <c r="M1252" s="18"/>
    </row>
    <row r="1253" s="65" customFormat="1" ht="13.5" spans="1:13">
      <c r="A1253" s="66"/>
      <c r="E1253" s="72" t="s">
        <v>1328</v>
      </c>
      <c r="F1253" s="18"/>
      <c r="G1253" s="18"/>
      <c r="H1253" s="18"/>
      <c r="I1253" s="18"/>
      <c r="J1253" s="18"/>
      <c r="K1253" s="18"/>
      <c r="L1253" s="18"/>
      <c r="M1253" s="18"/>
    </row>
    <row r="1254" s="65" customFormat="1" ht="13.5" spans="1:13">
      <c r="A1254" s="66"/>
      <c r="E1254" s="72" t="s">
        <v>1329</v>
      </c>
      <c r="F1254" s="18"/>
      <c r="G1254" s="18"/>
      <c r="H1254" s="18"/>
      <c r="I1254" s="18"/>
      <c r="J1254" s="18"/>
      <c r="K1254" s="18"/>
      <c r="L1254" s="18"/>
      <c r="M1254" s="18"/>
    </row>
    <row r="1255" s="65" customFormat="1" ht="13.5" spans="1:13">
      <c r="A1255" s="66"/>
      <c r="E1255" s="72" t="s">
        <v>1330</v>
      </c>
      <c r="F1255" s="18"/>
      <c r="G1255" s="18"/>
      <c r="H1255" s="18"/>
      <c r="I1255" s="18"/>
      <c r="J1255" s="18"/>
      <c r="K1255" s="18"/>
      <c r="L1255" s="18"/>
      <c r="M1255" s="18"/>
    </row>
    <row r="1256" s="65" customFormat="1" ht="13.5" spans="1:13">
      <c r="A1256" s="66"/>
      <c r="E1256" s="72" t="s">
        <v>1331</v>
      </c>
      <c r="F1256" s="18"/>
      <c r="G1256" s="18"/>
      <c r="H1256" s="18"/>
      <c r="I1256" s="18"/>
      <c r="J1256" s="18"/>
      <c r="K1256" s="18"/>
      <c r="L1256" s="18"/>
      <c r="M1256" s="18"/>
    </row>
    <row r="1257" s="65" customFormat="1" ht="13.5" spans="1:13">
      <c r="A1257" s="66"/>
      <c r="E1257" s="72" t="s">
        <v>1332</v>
      </c>
      <c r="F1257" s="18"/>
      <c r="G1257" s="18"/>
      <c r="H1257" s="18"/>
      <c r="I1257" s="18"/>
      <c r="J1257" s="18"/>
      <c r="K1257" s="18"/>
      <c r="L1257" s="18"/>
      <c r="M1257" s="18"/>
    </row>
    <row r="1258" s="65" customFormat="1" ht="13.5" spans="1:13">
      <c r="A1258" s="66"/>
      <c r="E1258" s="72" t="s">
        <v>1333</v>
      </c>
      <c r="F1258" s="18"/>
      <c r="G1258" s="18"/>
      <c r="H1258" s="18"/>
      <c r="I1258" s="18"/>
      <c r="J1258" s="18"/>
      <c r="K1258" s="18"/>
      <c r="L1258" s="18"/>
      <c r="M1258" s="18"/>
    </row>
    <row r="1259" s="65" customFormat="1" ht="13.5" spans="1:13">
      <c r="A1259" s="66"/>
      <c r="E1259" s="72" t="s">
        <v>1334</v>
      </c>
      <c r="F1259" s="18"/>
      <c r="G1259" s="18"/>
      <c r="H1259" s="18"/>
      <c r="I1259" s="18"/>
      <c r="J1259" s="18"/>
      <c r="K1259" s="18"/>
      <c r="L1259" s="18"/>
      <c r="M1259" s="18"/>
    </row>
    <row r="1260" s="65" customFormat="1" ht="13.5" spans="1:13">
      <c r="A1260" s="66"/>
      <c r="E1260" s="72" t="s">
        <v>1335</v>
      </c>
      <c r="F1260" s="18"/>
      <c r="G1260" s="18"/>
      <c r="H1260" s="18"/>
      <c r="I1260" s="18"/>
      <c r="J1260" s="18"/>
      <c r="K1260" s="18"/>
      <c r="L1260" s="18"/>
      <c r="M1260" s="18"/>
    </row>
    <row r="1261" s="65" customFormat="1" ht="13.5" spans="1:13">
      <c r="A1261" s="66"/>
      <c r="E1261" s="72" t="s">
        <v>1336</v>
      </c>
      <c r="F1261" s="18"/>
      <c r="G1261" s="18"/>
      <c r="H1261" s="18"/>
      <c r="I1261" s="18"/>
      <c r="J1261" s="18"/>
      <c r="K1261" s="18"/>
      <c r="L1261" s="18"/>
      <c r="M1261" s="18"/>
    </row>
    <row r="1262" s="65" customFormat="1" ht="13.5" spans="1:13">
      <c r="A1262" s="66"/>
      <c r="E1262" s="72" t="s">
        <v>1337</v>
      </c>
      <c r="F1262" s="18"/>
      <c r="G1262" s="18"/>
      <c r="H1262" s="18"/>
      <c r="I1262" s="18"/>
      <c r="J1262" s="18"/>
      <c r="K1262" s="18"/>
      <c r="L1262" s="18"/>
      <c r="M1262" s="18"/>
    </row>
    <row r="1263" s="65" customFormat="1" ht="13.5" spans="1:13">
      <c r="A1263" s="66"/>
      <c r="E1263" s="72" t="s">
        <v>1338</v>
      </c>
      <c r="F1263" s="18"/>
      <c r="G1263" s="18"/>
      <c r="H1263" s="18"/>
      <c r="I1263" s="18"/>
      <c r="J1263" s="18"/>
      <c r="K1263" s="18"/>
      <c r="L1263" s="18"/>
      <c r="M1263" s="18"/>
    </row>
    <row r="1264" s="65" customFormat="1" ht="13.5" spans="1:13">
      <c r="A1264" s="66"/>
      <c r="E1264" s="72" t="s">
        <v>1339</v>
      </c>
      <c r="F1264" s="18"/>
      <c r="G1264" s="18"/>
      <c r="H1264" s="18"/>
      <c r="I1264" s="18"/>
      <c r="J1264" s="18"/>
      <c r="K1264" s="18"/>
      <c r="L1264" s="18"/>
      <c r="M1264" s="18"/>
    </row>
    <row r="1265" s="65" customFormat="1" ht="13.5" spans="1:13">
      <c r="A1265" s="66"/>
      <c r="E1265" s="72" t="s">
        <v>1340</v>
      </c>
      <c r="F1265" s="18"/>
      <c r="G1265" s="18"/>
      <c r="H1265" s="18"/>
      <c r="I1265" s="18"/>
      <c r="J1265" s="18"/>
      <c r="K1265" s="18"/>
      <c r="L1265" s="18"/>
      <c r="M1265" s="18"/>
    </row>
    <row r="1266" s="65" customFormat="1" ht="13.5" spans="1:13">
      <c r="A1266" s="66"/>
      <c r="E1266" s="72" t="s">
        <v>1341</v>
      </c>
      <c r="F1266" s="18"/>
      <c r="G1266" s="18"/>
      <c r="H1266" s="18"/>
      <c r="I1266" s="18"/>
      <c r="J1266" s="18"/>
      <c r="K1266" s="18"/>
      <c r="L1266" s="18"/>
      <c r="M1266" s="18"/>
    </row>
    <row r="1267" s="65" customFormat="1" ht="13.5" spans="1:13">
      <c r="A1267" s="66"/>
      <c r="E1267" s="72" t="s">
        <v>1342</v>
      </c>
      <c r="F1267" s="18"/>
      <c r="G1267" s="18"/>
      <c r="H1267" s="18"/>
      <c r="I1267" s="18"/>
      <c r="J1267" s="18"/>
      <c r="K1267" s="18"/>
      <c r="L1267" s="18"/>
      <c r="M1267" s="18"/>
    </row>
    <row r="1268" s="65" customFormat="1" ht="13.5" spans="1:13">
      <c r="A1268" s="66"/>
      <c r="E1268" s="72" t="s">
        <v>1343</v>
      </c>
      <c r="F1268" s="18"/>
      <c r="G1268" s="18"/>
      <c r="H1268" s="18"/>
      <c r="I1268" s="18"/>
      <c r="J1268" s="18"/>
      <c r="K1268" s="18"/>
      <c r="L1268" s="18"/>
      <c r="M1268" s="18"/>
    </row>
    <row r="1269" s="65" customFormat="1" ht="13.5" spans="1:13">
      <c r="A1269" s="66"/>
      <c r="E1269" s="72" t="s">
        <v>1344</v>
      </c>
      <c r="F1269" s="18"/>
      <c r="G1269" s="18"/>
      <c r="H1269" s="18"/>
      <c r="I1269" s="18"/>
      <c r="J1269" s="18"/>
      <c r="K1269" s="18"/>
      <c r="L1269" s="18"/>
      <c r="M1269" s="18"/>
    </row>
    <row r="1270" s="65" customFormat="1" ht="13.5" spans="1:13">
      <c r="A1270" s="66"/>
      <c r="E1270" s="72" t="s">
        <v>1345</v>
      </c>
      <c r="F1270" s="18"/>
      <c r="G1270" s="18"/>
      <c r="H1270" s="18"/>
      <c r="I1270" s="18"/>
      <c r="J1270" s="18"/>
      <c r="K1270" s="18"/>
      <c r="L1270" s="18"/>
      <c r="M1270" s="18"/>
    </row>
    <row r="1271" s="65" customFormat="1" ht="13.5" spans="1:13">
      <c r="A1271" s="66"/>
      <c r="E1271" s="72" t="s">
        <v>1346</v>
      </c>
      <c r="F1271" s="18"/>
      <c r="G1271" s="18"/>
      <c r="H1271" s="18"/>
      <c r="I1271" s="18"/>
      <c r="J1271" s="18"/>
      <c r="K1271" s="18"/>
      <c r="L1271" s="18"/>
      <c r="M1271" s="18"/>
    </row>
    <row r="1272" s="65" customFormat="1" ht="13.5" spans="1:13">
      <c r="A1272" s="66"/>
      <c r="E1272" s="72" t="s">
        <v>1347</v>
      </c>
      <c r="F1272" s="18"/>
      <c r="G1272" s="18"/>
      <c r="H1272" s="18"/>
      <c r="I1272" s="18"/>
      <c r="J1272" s="18"/>
      <c r="K1272" s="18"/>
      <c r="L1272" s="18"/>
      <c r="M1272" s="18"/>
    </row>
    <row r="1273" s="65" customFormat="1" ht="13.5" spans="1:13">
      <c r="A1273" s="66"/>
      <c r="E1273" s="72" t="s">
        <v>1348</v>
      </c>
      <c r="F1273" s="18"/>
      <c r="G1273" s="18"/>
      <c r="H1273" s="18"/>
      <c r="I1273" s="18"/>
      <c r="J1273" s="18"/>
      <c r="K1273" s="18"/>
      <c r="L1273" s="18"/>
      <c r="M1273" s="18"/>
    </row>
    <row r="1274" s="65" customFormat="1" ht="13.5" spans="1:13">
      <c r="A1274" s="66"/>
      <c r="E1274" s="72" t="s">
        <v>1349</v>
      </c>
      <c r="F1274" s="18"/>
      <c r="G1274" s="18"/>
      <c r="H1274" s="18"/>
      <c r="I1274" s="18"/>
      <c r="J1274" s="18"/>
      <c r="K1274" s="18"/>
      <c r="L1274" s="18"/>
      <c r="M1274" s="18"/>
    </row>
    <row r="1275" s="65" customFormat="1" ht="13.5" spans="1:13">
      <c r="A1275" s="66"/>
      <c r="E1275" s="72" t="s">
        <v>1350</v>
      </c>
      <c r="F1275" s="18"/>
      <c r="G1275" s="18"/>
      <c r="H1275" s="18"/>
      <c r="I1275" s="18"/>
      <c r="J1275" s="18"/>
      <c r="K1275" s="18"/>
      <c r="L1275" s="18"/>
      <c r="M1275" s="18"/>
    </row>
    <row r="1276" s="65" customFormat="1" ht="13.5" spans="1:13">
      <c r="A1276" s="66"/>
      <c r="E1276" s="72" t="s">
        <v>1351</v>
      </c>
      <c r="F1276" s="18"/>
      <c r="G1276" s="18"/>
      <c r="H1276" s="18"/>
      <c r="I1276" s="18"/>
      <c r="J1276" s="18"/>
      <c r="K1276" s="18"/>
      <c r="L1276" s="18"/>
      <c r="M1276" s="18"/>
    </row>
    <row r="1277" s="65" customFormat="1" ht="13.5" spans="1:13">
      <c r="A1277" s="66"/>
      <c r="E1277" s="72" t="s">
        <v>1352</v>
      </c>
      <c r="F1277" s="18"/>
      <c r="G1277" s="18"/>
      <c r="H1277" s="18"/>
      <c r="I1277" s="18"/>
      <c r="J1277" s="18"/>
      <c r="K1277" s="18"/>
      <c r="L1277" s="18"/>
      <c r="M1277" s="18"/>
    </row>
    <row r="1278" s="65" customFormat="1" ht="13.5" spans="1:13">
      <c r="A1278" s="66"/>
      <c r="E1278" s="72" t="s">
        <v>1353</v>
      </c>
      <c r="F1278" s="18"/>
      <c r="G1278" s="18"/>
      <c r="H1278" s="18"/>
      <c r="I1278" s="18"/>
      <c r="J1278" s="18"/>
      <c r="K1278" s="18"/>
      <c r="L1278" s="18"/>
      <c r="M1278" s="18"/>
    </row>
    <row r="1279" s="65" customFormat="1" ht="13.5" spans="1:13">
      <c r="A1279" s="66"/>
      <c r="E1279" s="72" t="s">
        <v>1354</v>
      </c>
      <c r="F1279" s="18"/>
      <c r="G1279" s="18"/>
      <c r="H1279" s="18"/>
      <c r="I1279" s="18"/>
      <c r="J1279" s="18"/>
      <c r="K1279" s="18"/>
      <c r="L1279" s="18"/>
      <c r="M1279" s="18"/>
    </row>
    <row r="1280" s="65" customFormat="1" ht="13.5" spans="1:13">
      <c r="A1280" s="66"/>
      <c r="E1280" s="72" t="s">
        <v>1355</v>
      </c>
      <c r="F1280" s="18"/>
      <c r="G1280" s="18"/>
      <c r="H1280" s="18"/>
      <c r="I1280" s="18"/>
      <c r="J1280" s="18"/>
      <c r="K1280" s="18"/>
      <c r="L1280" s="18"/>
      <c r="M1280" s="18"/>
    </row>
    <row r="1281" s="65" customFormat="1" ht="13.5" spans="1:13">
      <c r="A1281" s="66"/>
      <c r="E1281" s="72" t="s">
        <v>1356</v>
      </c>
      <c r="F1281" s="18"/>
      <c r="G1281" s="18"/>
      <c r="H1281" s="18"/>
      <c r="I1281" s="18"/>
      <c r="J1281" s="18"/>
      <c r="K1281" s="18"/>
      <c r="L1281" s="18"/>
      <c r="M1281" s="18"/>
    </row>
    <row r="1282" s="65" customFormat="1" ht="13.5" spans="1:13">
      <c r="A1282" s="66"/>
      <c r="E1282" s="72" t="s">
        <v>1357</v>
      </c>
      <c r="F1282" s="18"/>
      <c r="G1282" s="18"/>
      <c r="H1282" s="18"/>
      <c r="I1282" s="18"/>
      <c r="J1282" s="18"/>
      <c r="K1282" s="18"/>
      <c r="L1282" s="18"/>
      <c r="M1282" s="18"/>
    </row>
    <row r="1283" s="65" customFormat="1" ht="13.5" spans="1:13">
      <c r="A1283" s="66"/>
      <c r="E1283" s="72" t="s">
        <v>1358</v>
      </c>
      <c r="F1283" s="18"/>
      <c r="G1283" s="18"/>
      <c r="H1283" s="18"/>
      <c r="I1283" s="18"/>
      <c r="J1283" s="18"/>
      <c r="K1283" s="18"/>
      <c r="L1283" s="18"/>
      <c r="M1283" s="18"/>
    </row>
    <row r="1284" s="65" customFormat="1" ht="13.5" spans="1:13">
      <c r="A1284" s="66"/>
      <c r="E1284" s="72" t="s">
        <v>1359</v>
      </c>
      <c r="F1284" s="18"/>
      <c r="G1284" s="18"/>
      <c r="H1284" s="18"/>
      <c r="I1284" s="18"/>
      <c r="J1284" s="18"/>
      <c r="K1284" s="18"/>
      <c r="L1284" s="18"/>
      <c r="M1284" s="18"/>
    </row>
    <row r="1285" s="65" customFormat="1" ht="13.5" spans="1:13">
      <c r="A1285" s="66"/>
      <c r="E1285" s="72" t="s">
        <v>1360</v>
      </c>
      <c r="F1285" s="18"/>
      <c r="G1285" s="18"/>
      <c r="H1285" s="18"/>
      <c r="I1285" s="18"/>
      <c r="J1285" s="18"/>
      <c r="K1285" s="18"/>
      <c r="L1285" s="18"/>
      <c r="M1285" s="18"/>
    </row>
    <row r="1286" s="65" customFormat="1" ht="13.5" spans="1:13">
      <c r="A1286" s="66"/>
      <c r="E1286" s="72" t="s">
        <v>1361</v>
      </c>
      <c r="F1286" s="18"/>
      <c r="G1286" s="18"/>
      <c r="H1286" s="18"/>
      <c r="I1286" s="18"/>
      <c r="J1286" s="18"/>
      <c r="K1286" s="18"/>
      <c r="L1286" s="18"/>
      <c r="M1286" s="18"/>
    </row>
    <row r="1287" s="65" customFormat="1" ht="13.5" spans="1:13">
      <c r="A1287" s="66"/>
      <c r="E1287" s="72" t="s">
        <v>1362</v>
      </c>
      <c r="F1287" s="18"/>
      <c r="G1287" s="18"/>
      <c r="H1287" s="18"/>
      <c r="I1287" s="18"/>
      <c r="J1287" s="18"/>
      <c r="K1287" s="18"/>
      <c r="L1287" s="18"/>
      <c r="M1287" s="18"/>
    </row>
    <row r="1288" s="65" customFormat="1" ht="13.5" spans="1:13">
      <c r="A1288" s="66"/>
      <c r="E1288" s="72" t="s">
        <v>1363</v>
      </c>
      <c r="F1288" s="18"/>
      <c r="G1288" s="18"/>
      <c r="H1288" s="18"/>
      <c r="I1288" s="18"/>
      <c r="J1288" s="18"/>
      <c r="K1288" s="18"/>
      <c r="L1288" s="18"/>
      <c r="M1288" s="18"/>
    </row>
    <row r="1289" s="65" customFormat="1" ht="13.5" spans="1:13">
      <c r="A1289" s="66"/>
      <c r="E1289" s="72" t="s">
        <v>1364</v>
      </c>
      <c r="F1289" s="18"/>
      <c r="G1289" s="18"/>
      <c r="H1289" s="18"/>
      <c r="I1289" s="18"/>
      <c r="J1289" s="18"/>
      <c r="K1289" s="18"/>
      <c r="L1289" s="18"/>
      <c r="M1289" s="18"/>
    </row>
    <row r="1290" s="65" customFormat="1" ht="13.5" spans="1:13">
      <c r="A1290" s="66"/>
      <c r="E1290" s="72" t="s">
        <v>1365</v>
      </c>
      <c r="F1290" s="18"/>
      <c r="G1290" s="18"/>
      <c r="H1290" s="18"/>
      <c r="I1290" s="18"/>
      <c r="J1290" s="18"/>
      <c r="K1290" s="18"/>
      <c r="L1290" s="18"/>
      <c r="M1290" s="18"/>
    </row>
    <row r="1291" s="65" customFormat="1" ht="13.5" spans="1:13">
      <c r="A1291" s="66"/>
      <c r="E1291" s="72" t="s">
        <v>1366</v>
      </c>
      <c r="F1291" s="18"/>
      <c r="G1291" s="18"/>
      <c r="H1291" s="18"/>
      <c r="I1291" s="18"/>
      <c r="J1291" s="18"/>
      <c r="K1291" s="18"/>
      <c r="L1291" s="18"/>
      <c r="M1291" s="18"/>
    </row>
    <row r="1292" s="65" customFormat="1" ht="13.5" spans="1:13">
      <c r="A1292" s="66"/>
      <c r="E1292" s="72" t="s">
        <v>1367</v>
      </c>
      <c r="F1292" s="18"/>
      <c r="G1292" s="18"/>
      <c r="H1292" s="18"/>
      <c r="I1292" s="18"/>
      <c r="J1292" s="18"/>
      <c r="K1292" s="18"/>
      <c r="L1292" s="18"/>
      <c r="M1292" s="18"/>
    </row>
    <row r="1293" s="65" customFormat="1" ht="13.5" spans="1:13">
      <c r="A1293" s="66"/>
      <c r="E1293" s="72" t="s">
        <v>1368</v>
      </c>
      <c r="F1293" s="18"/>
      <c r="G1293" s="18"/>
      <c r="H1293" s="18"/>
      <c r="I1293" s="18"/>
      <c r="J1293" s="18"/>
      <c r="K1293" s="18"/>
      <c r="L1293" s="18"/>
      <c r="M1293" s="18"/>
    </row>
    <row r="1294" s="65" customFormat="1" ht="13.5" spans="1:13">
      <c r="A1294" s="66"/>
      <c r="E1294" s="72" t="s">
        <v>1369</v>
      </c>
      <c r="F1294" s="18"/>
      <c r="G1294" s="18"/>
      <c r="H1294" s="18"/>
      <c r="I1294" s="18"/>
      <c r="J1294" s="18"/>
      <c r="K1294" s="18"/>
      <c r="L1294" s="18"/>
      <c r="M1294" s="18"/>
    </row>
    <row r="1295" s="65" customFormat="1" ht="13.5" spans="1:13">
      <c r="A1295" s="66"/>
      <c r="E1295" s="72" t="s">
        <v>1370</v>
      </c>
      <c r="F1295" s="18"/>
      <c r="G1295" s="18"/>
      <c r="H1295" s="18"/>
      <c r="I1295" s="18"/>
      <c r="J1295" s="18"/>
      <c r="K1295" s="18"/>
      <c r="L1295" s="18"/>
      <c r="M1295" s="18"/>
    </row>
    <row r="1296" s="65" customFormat="1" ht="13.5" spans="1:13">
      <c r="A1296" s="66"/>
      <c r="E1296" s="72" t="s">
        <v>1371</v>
      </c>
      <c r="F1296" s="18"/>
      <c r="G1296" s="18"/>
      <c r="H1296" s="18"/>
      <c r="I1296" s="18"/>
      <c r="J1296" s="18"/>
      <c r="K1296" s="18"/>
      <c r="L1296" s="18"/>
      <c r="M1296" s="18"/>
    </row>
    <row r="1297" s="65" customFormat="1" ht="13.5" spans="1:13">
      <c r="A1297" s="66"/>
      <c r="E1297" s="72" t="s">
        <v>1372</v>
      </c>
      <c r="F1297" s="18"/>
      <c r="G1297" s="18"/>
      <c r="H1297" s="18"/>
      <c r="I1297" s="18"/>
      <c r="J1297" s="18"/>
      <c r="K1297" s="18"/>
      <c r="L1297" s="18"/>
      <c r="M1297" s="18"/>
    </row>
    <row r="1298" s="65" customFormat="1" ht="13.5" spans="1:13">
      <c r="A1298" s="66"/>
      <c r="E1298" s="72" t="s">
        <v>1373</v>
      </c>
      <c r="F1298" s="18"/>
      <c r="G1298" s="18"/>
      <c r="H1298" s="18"/>
      <c r="I1298" s="18"/>
      <c r="J1298" s="18"/>
      <c r="K1298" s="18"/>
      <c r="L1298" s="18"/>
      <c r="M1298" s="18"/>
    </row>
    <row r="1299" s="65" customFormat="1" ht="13.5" spans="1:13">
      <c r="A1299" s="66"/>
      <c r="E1299" s="72" t="s">
        <v>1374</v>
      </c>
      <c r="F1299" s="18"/>
      <c r="G1299" s="18"/>
      <c r="H1299" s="18"/>
      <c r="I1299" s="18"/>
      <c r="J1299" s="18"/>
      <c r="K1299" s="18"/>
      <c r="L1299" s="18"/>
      <c r="M1299" s="18"/>
    </row>
    <row r="1300" s="65" customFormat="1" ht="13.5" spans="1:13">
      <c r="A1300" s="66"/>
      <c r="E1300" s="72" t="s">
        <v>1375</v>
      </c>
      <c r="F1300" s="18"/>
      <c r="G1300" s="18"/>
      <c r="H1300" s="18"/>
      <c r="I1300" s="18"/>
      <c r="J1300" s="18"/>
      <c r="K1300" s="18"/>
      <c r="L1300" s="18"/>
      <c r="M1300" s="18"/>
    </row>
    <row r="1301" s="65" customFormat="1" ht="13.5" spans="1:13">
      <c r="A1301" s="66"/>
      <c r="E1301" s="72" t="s">
        <v>1376</v>
      </c>
      <c r="F1301" s="18"/>
      <c r="G1301" s="18"/>
      <c r="H1301" s="18"/>
      <c r="I1301" s="18"/>
      <c r="J1301" s="18"/>
      <c r="K1301" s="18"/>
      <c r="L1301" s="18"/>
      <c r="M1301" s="18"/>
    </row>
    <row r="1302" s="65" customFormat="1" ht="13.5" spans="1:13">
      <c r="A1302" s="66"/>
      <c r="E1302" s="72" t="s">
        <v>1377</v>
      </c>
      <c r="F1302" s="18"/>
      <c r="G1302" s="18"/>
      <c r="H1302" s="18"/>
      <c r="I1302" s="18"/>
      <c r="J1302" s="18"/>
      <c r="K1302" s="18"/>
      <c r="L1302" s="18"/>
      <c r="M1302" s="18"/>
    </row>
    <row r="1303" s="65" customFormat="1" ht="13.5" spans="1:13">
      <c r="A1303" s="66"/>
      <c r="E1303" s="72" t="s">
        <v>1378</v>
      </c>
      <c r="F1303" s="18"/>
      <c r="G1303" s="18"/>
      <c r="H1303" s="18"/>
      <c r="I1303" s="18"/>
      <c r="J1303" s="18"/>
      <c r="K1303" s="18"/>
      <c r="L1303" s="18"/>
      <c r="M1303" s="18"/>
    </row>
    <row r="1304" s="65" customFormat="1" ht="13.5" spans="1:13">
      <c r="A1304" s="66"/>
      <c r="E1304" s="72" t="s">
        <v>1379</v>
      </c>
      <c r="F1304" s="18"/>
      <c r="G1304" s="18"/>
      <c r="H1304" s="18"/>
      <c r="I1304" s="18"/>
      <c r="J1304" s="18"/>
      <c r="K1304" s="18"/>
      <c r="L1304" s="18"/>
      <c r="M1304" s="18"/>
    </row>
    <row r="1305" s="65" customFormat="1" ht="13.5" spans="1:13">
      <c r="A1305" s="66"/>
      <c r="E1305" s="72" t="s">
        <v>1380</v>
      </c>
      <c r="F1305" s="18"/>
      <c r="G1305" s="18"/>
      <c r="H1305" s="18"/>
      <c r="I1305" s="18"/>
      <c r="J1305" s="18"/>
      <c r="K1305" s="18"/>
      <c r="L1305" s="18"/>
      <c r="M1305" s="18"/>
    </row>
    <row r="1306" s="65" customFormat="1" ht="13.5" spans="1:13">
      <c r="A1306" s="66"/>
      <c r="E1306" s="72" t="s">
        <v>1381</v>
      </c>
      <c r="F1306" s="18"/>
      <c r="G1306" s="18"/>
      <c r="H1306" s="18"/>
      <c r="I1306" s="18"/>
      <c r="J1306" s="18"/>
      <c r="K1306" s="18"/>
      <c r="L1306" s="18"/>
      <c r="M1306" s="18"/>
    </row>
    <row r="1307" s="65" customFormat="1" ht="13.5" spans="1:13">
      <c r="A1307" s="66"/>
      <c r="E1307" s="72" t="s">
        <v>1382</v>
      </c>
      <c r="F1307" s="18"/>
      <c r="G1307" s="18"/>
      <c r="H1307" s="18"/>
      <c r="I1307" s="18"/>
      <c r="J1307" s="18"/>
      <c r="K1307" s="18"/>
      <c r="L1307" s="18"/>
      <c r="M1307" s="18"/>
    </row>
    <row r="1308" s="65" customFormat="1" ht="13.5" spans="1:13">
      <c r="A1308" s="66"/>
      <c r="E1308" s="72" t="s">
        <v>1383</v>
      </c>
      <c r="F1308" s="18"/>
      <c r="G1308" s="18"/>
      <c r="H1308" s="18"/>
      <c r="I1308" s="18"/>
      <c r="J1308" s="18"/>
      <c r="K1308" s="18"/>
      <c r="L1308" s="18"/>
      <c r="M1308" s="18"/>
    </row>
    <row r="1309" s="65" customFormat="1" ht="13.5" spans="1:13">
      <c r="A1309" s="66"/>
      <c r="E1309" s="72" t="s">
        <v>1384</v>
      </c>
      <c r="F1309" s="18"/>
      <c r="G1309" s="18"/>
      <c r="H1309" s="18"/>
      <c r="I1309" s="18"/>
      <c r="J1309" s="18"/>
      <c r="K1309" s="18"/>
      <c r="L1309" s="18"/>
      <c r="M1309" s="18"/>
    </row>
    <row r="1310" s="65" customFormat="1" ht="13.5" spans="1:13">
      <c r="A1310" s="66"/>
      <c r="E1310" s="72" t="s">
        <v>1385</v>
      </c>
      <c r="F1310" s="18"/>
      <c r="G1310" s="18"/>
      <c r="H1310" s="18"/>
      <c r="I1310" s="18"/>
      <c r="J1310" s="18"/>
      <c r="K1310" s="18"/>
      <c r="L1310" s="18"/>
      <c r="M1310" s="18"/>
    </row>
    <row r="1311" s="65" customFormat="1" ht="13.5" spans="1:13">
      <c r="A1311" s="66"/>
      <c r="E1311" s="72" t="s">
        <v>1386</v>
      </c>
      <c r="F1311" s="18"/>
      <c r="G1311" s="18"/>
      <c r="H1311" s="18"/>
      <c r="I1311" s="18"/>
      <c r="J1311" s="18"/>
      <c r="K1311" s="18"/>
      <c r="L1311" s="18"/>
      <c r="M1311" s="18"/>
    </row>
    <row r="1312" s="65" customFormat="1" ht="13.5" spans="1:13">
      <c r="A1312" s="66"/>
      <c r="E1312" s="72" t="s">
        <v>1387</v>
      </c>
      <c r="F1312" s="18"/>
      <c r="G1312" s="18"/>
      <c r="H1312" s="18"/>
      <c r="I1312" s="18"/>
      <c r="J1312" s="18"/>
      <c r="K1312" s="18"/>
      <c r="L1312" s="18"/>
      <c r="M1312" s="18"/>
    </row>
    <row r="1313" s="65" customFormat="1" ht="13.5" spans="1:13">
      <c r="A1313" s="66"/>
      <c r="E1313" s="72" t="s">
        <v>1388</v>
      </c>
      <c r="F1313" s="18"/>
      <c r="G1313" s="18"/>
      <c r="H1313" s="18"/>
      <c r="I1313" s="18"/>
      <c r="J1313" s="18"/>
      <c r="K1313" s="18"/>
      <c r="L1313" s="18"/>
      <c r="M1313" s="18"/>
    </row>
    <row r="1314" s="65" customFormat="1" ht="13.5" spans="1:13">
      <c r="A1314" s="66"/>
      <c r="E1314" s="72" t="s">
        <v>1389</v>
      </c>
      <c r="F1314" s="18"/>
      <c r="G1314" s="18"/>
      <c r="H1314" s="18"/>
      <c r="I1314" s="18"/>
      <c r="J1314" s="18"/>
      <c r="K1314" s="18"/>
      <c r="L1314" s="18"/>
      <c r="M1314" s="18"/>
    </row>
    <row r="1315" s="65" customFormat="1" ht="13.5" spans="1:13">
      <c r="A1315" s="66"/>
      <c r="E1315" s="72" t="s">
        <v>1390</v>
      </c>
      <c r="F1315" s="18"/>
      <c r="G1315" s="18"/>
      <c r="H1315" s="18"/>
      <c r="I1315" s="18"/>
      <c r="J1315" s="18"/>
      <c r="K1315" s="18"/>
      <c r="L1315" s="18"/>
      <c r="M1315" s="18"/>
    </row>
    <row r="1316" s="65" customFormat="1" ht="13.5" spans="1:13">
      <c r="A1316" s="66"/>
      <c r="E1316" s="72" t="s">
        <v>1391</v>
      </c>
      <c r="F1316" s="18"/>
      <c r="G1316" s="18"/>
      <c r="H1316" s="18"/>
      <c r="I1316" s="18"/>
      <c r="J1316" s="18"/>
      <c r="K1316" s="18"/>
      <c r="L1316" s="18"/>
      <c r="M1316" s="18"/>
    </row>
    <row r="1317" s="65" customFormat="1" ht="13.5" spans="1:13">
      <c r="A1317" s="66"/>
      <c r="E1317" s="72" t="s">
        <v>1392</v>
      </c>
      <c r="F1317" s="18"/>
      <c r="G1317" s="18"/>
      <c r="H1317" s="18"/>
      <c r="I1317" s="18"/>
      <c r="J1317" s="18"/>
      <c r="K1317" s="18"/>
      <c r="L1317" s="18"/>
      <c r="M1317" s="18"/>
    </row>
    <row r="1318" s="65" customFormat="1" ht="13.5" spans="1:13">
      <c r="A1318" s="66"/>
      <c r="E1318" s="72" t="s">
        <v>1393</v>
      </c>
      <c r="F1318" s="18"/>
      <c r="G1318" s="18"/>
      <c r="H1318" s="18"/>
      <c r="I1318" s="18"/>
      <c r="J1318" s="18"/>
      <c r="K1318" s="18"/>
      <c r="L1318" s="18"/>
      <c r="M1318" s="18"/>
    </row>
    <row r="1319" s="65" customFormat="1" ht="13.5" spans="1:13">
      <c r="A1319" s="66"/>
      <c r="E1319" s="72" t="s">
        <v>1394</v>
      </c>
      <c r="F1319" s="18"/>
      <c r="G1319" s="18"/>
      <c r="H1319" s="18"/>
      <c r="I1319" s="18"/>
      <c r="J1319" s="18"/>
      <c r="K1319" s="18"/>
      <c r="L1319" s="18"/>
      <c r="M1319" s="18"/>
    </row>
    <row r="1320" s="65" customFormat="1" ht="13.5" spans="1:13">
      <c r="A1320" s="66"/>
      <c r="E1320" s="72" t="s">
        <v>1395</v>
      </c>
      <c r="F1320" s="18"/>
      <c r="G1320" s="18"/>
      <c r="H1320" s="18"/>
      <c r="I1320" s="18"/>
      <c r="J1320" s="18"/>
      <c r="K1320" s="18"/>
      <c r="L1320" s="18"/>
      <c r="M1320" s="18"/>
    </row>
    <row r="1321" s="65" customFormat="1" ht="13.5" spans="1:13">
      <c r="A1321" s="66"/>
      <c r="E1321" s="72" t="s">
        <v>1396</v>
      </c>
      <c r="F1321" s="18"/>
      <c r="G1321" s="18"/>
      <c r="H1321" s="18"/>
      <c r="I1321" s="18"/>
      <c r="J1321" s="18"/>
      <c r="K1321" s="18"/>
      <c r="L1321" s="18"/>
      <c r="M1321" s="18"/>
    </row>
    <row r="1322" s="65" customFormat="1" ht="13.5" spans="1:13">
      <c r="A1322" s="66"/>
      <c r="E1322" s="72" t="s">
        <v>1397</v>
      </c>
      <c r="F1322" s="18"/>
      <c r="G1322" s="18"/>
      <c r="H1322" s="18"/>
      <c r="I1322" s="18"/>
      <c r="J1322" s="18"/>
      <c r="K1322" s="18"/>
      <c r="L1322" s="18"/>
      <c r="M1322" s="18"/>
    </row>
    <row r="1323" s="65" customFormat="1" ht="13.5" spans="1:13">
      <c r="A1323" s="66"/>
      <c r="E1323" s="72" t="s">
        <v>1398</v>
      </c>
      <c r="F1323" s="18"/>
      <c r="G1323" s="18"/>
      <c r="H1323" s="18"/>
      <c r="I1323" s="18"/>
      <c r="J1323" s="18"/>
      <c r="K1323" s="18"/>
      <c r="L1323" s="18"/>
      <c r="M1323" s="18"/>
    </row>
    <row r="1324" s="65" customFormat="1" ht="13.5" spans="1:13">
      <c r="A1324" s="66"/>
      <c r="E1324" s="72" t="s">
        <v>1399</v>
      </c>
      <c r="F1324" s="18"/>
      <c r="G1324" s="18"/>
      <c r="H1324" s="18"/>
      <c r="I1324" s="18"/>
      <c r="J1324" s="18"/>
      <c r="K1324" s="18"/>
      <c r="L1324" s="18"/>
      <c r="M1324" s="18"/>
    </row>
    <row r="1325" s="65" customFormat="1" ht="13.5" spans="1:13">
      <c r="A1325" s="66"/>
      <c r="E1325" s="72" t="s">
        <v>1400</v>
      </c>
      <c r="F1325" s="18"/>
      <c r="G1325" s="18"/>
      <c r="H1325" s="18"/>
      <c r="I1325" s="18"/>
      <c r="J1325" s="18"/>
      <c r="K1325" s="18"/>
      <c r="L1325" s="18"/>
      <c r="M1325" s="18"/>
    </row>
    <row r="1326" s="65" customFormat="1" ht="13.5" spans="1:13">
      <c r="A1326" s="66"/>
      <c r="E1326" s="72" t="s">
        <v>1401</v>
      </c>
      <c r="F1326" s="18"/>
      <c r="G1326" s="18"/>
      <c r="H1326" s="18"/>
      <c r="I1326" s="18"/>
      <c r="J1326" s="18"/>
      <c r="K1326" s="18"/>
      <c r="L1326" s="18"/>
      <c r="M1326" s="18"/>
    </row>
    <row r="1327" s="65" customFormat="1" ht="13.5" spans="1:13">
      <c r="A1327" s="66"/>
      <c r="E1327" s="72" t="s">
        <v>1402</v>
      </c>
      <c r="F1327" s="18"/>
      <c r="G1327" s="18"/>
      <c r="H1327" s="18"/>
      <c r="I1327" s="18"/>
      <c r="J1327" s="18"/>
      <c r="K1327" s="18"/>
      <c r="L1327" s="18"/>
      <c r="M1327" s="18"/>
    </row>
    <row r="1328" s="65" customFormat="1" ht="13.5" spans="1:13">
      <c r="A1328" s="66"/>
      <c r="E1328" s="72" t="s">
        <v>1403</v>
      </c>
      <c r="F1328" s="18"/>
      <c r="G1328" s="18"/>
      <c r="H1328" s="18"/>
      <c r="I1328" s="18"/>
      <c r="J1328" s="18"/>
      <c r="K1328" s="18"/>
      <c r="L1328" s="18"/>
      <c r="M1328" s="18"/>
    </row>
    <row r="1329" s="65" customFormat="1" ht="13.5" spans="1:13">
      <c r="A1329" s="66"/>
      <c r="E1329" s="72" t="s">
        <v>1404</v>
      </c>
      <c r="F1329" s="18"/>
      <c r="G1329" s="18"/>
      <c r="H1329" s="18"/>
      <c r="I1329" s="18"/>
      <c r="J1329" s="18"/>
      <c r="K1329" s="18"/>
      <c r="L1329" s="18"/>
      <c r="M1329" s="18"/>
    </row>
    <row r="1330" s="65" customFormat="1" ht="13.5" spans="1:13">
      <c r="A1330" s="66"/>
      <c r="E1330" s="72" t="s">
        <v>1405</v>
      </c>
      <c r="F1330" s="18"/>
      <c r="G1330" s="18"/>
      <c r="H1330" s="18"/>
      <c r="I1330" s="18"/>
      <c r="J1330" s="18"/>
      <c r="K1330" s="18"/>
      <c r="L1330" s="18"/>
      <c r="M1330" s="18"/>
    </row>
    <row r="1331" s="65" customFormat="1" ht="13.5" spans="1:13">
      <c r="A1331" s="66"/>
      <c r="E1331" s="72" t="s">
        <v>1406</v>
      </c>
      <c r="F1331" s="18"/>
      <c r="G1331" s="18"/>
      <c r="H1331" s="18"/>
      <c r="I1331" s="18"/>
      <c r="J1331" s="18"/>
      <c r="K1331" s="18"/>
      <c r="L1331" s="18"/>
      <c r="M1331" s="18"/>
    </row>
    <row r="1332" s="65" customFormat="1" ht="13.5" spans="1:13">
      <c r="A1332" s="66"/>
      <c r="E1332" s="72" t="s">
        <v>1407</v>
      </c>
      <c r="F1332" s="18"/>
      <c r="G1332" s="18"/>
      <c r="H1332" s="18"/>
      <c r="I1332" s="18"/>
      <c r="J1332" s="18"/>
      <c r="K1332" s="18"/>
      <c r="L1332" s="18"/>
      <c r="M1332" s="18"/>
    </row>
    <row r="1333" s="65" customFormat="1" ht="13.5" spans="1:13">
      <c r="A1333" s="66"/>
      <c r="E1333" s="72" t="s">
        <v>1408</v>
      </c>
      <c r="F1333" s="18"/>
      <c r="G1333" s="18"/>
      <c r="H1333" s="18"/>
      <c r="I1333" s="18"/>
      <c r="J1333" s="18"/>
      <c r="K1333" s="18"/>
      <c r="L1333" s="18"/>
      <c r="M1333" s="18"/>
    </row>
    <row r="1334" s="65" customFormat="1" ht="13.5" spans="1:13">
      <c r="A1334" s="66"/>
      <c r="E1334" s="72" t="s">
        <v>1409</v>
      </c>
      <c r="F1334" s="18"/>
      <c r="G1334" s="18"/>
      <c r="H1334" s="18"/>
      <c r="I1334" s="18"/>
      <c r="J1334" s="18"/>
      <c r="K1334" s="18"/>
      <c r="L1334" s="18"/>
      <c r="M1334" s="18"/>
    </row>
    <row r="1335" s="65" customFormat="1" ht="13.5" spans="1:13">
      <c r="A1335" s="66"/>
      <c r="E1335" s="72" t="s">
        <v>1410</v>
      </c>
      <c r="F1335" s="18"/>
      <c r="G1335" s="18"/>
      <c r="H1335" s="18"/>
      <c r="I1335" s="18"/>
      <c r="J1335" s="18"/>
      <c r="K1335" s="18"/>
      <c r="L1335" s="18"/>
      <c r="M1335" s="18"/>
    </row>
    <row r="1336" s="65" customFormat="1" ht="13.5" spans="1:13">
      <c r="A1336" s="66"/>
      <c r="E1336" s="72" t="s">
        <v>1411</v>
      </c>
      <c r="F1336" s="18"/>
      <c r="G1336" s="18"/>
      <c r="H1336" s="18"/>
      <c r="I1336" s="18"/>
      <c r="J1336" s="18"/>
      <c r="K1336" s="18"/>
      <c r="L1336" s="18"/>
      <c r="M1336" s="18"/>
    </row>
    <row r="1337" s="65" customFormat="1" ht="13.5" spans="1:13">
      <c r="A1337" s="66"/>
      <c r="E1337" s="72" t="s">
        <v>1412</v>
      </c>
      <c r="F1337" s="18"/>
      <c r="G1337" s="18"/>
      <c r="H1337" s="18"/>
      <c r="I1337" s="18"/>
      <c r="J1337" s="18"/>
      <c r="K1337" s="18"/>
      <c r="L1337" s="18"/>
      <c r="M1337" s="18"/>
    </row>
    <row r="1338" s="65" customFormat="1" ht="13.5" spans="1:13">
      <c r="A1338" s="66"/>
      <c r="E1338" s="72" t="s">
        <v>1413</v>
      </c>
      <c r="F1338" s="18"/>
      <c r="G1338" s="18"/>
      <c r="H1338" s="18"/>
      <c r="I1338" s="18"/>
      <c r="J1338" s="18"/>
      <c r="K1338" s="18"/>
      <c r="L1338" s="18"/>
      <c r="M1338" s="18"/>
    </row>
    <row r="1339" s="65" customFormat="1" ht="13.5" spans="1:13">
      <c r="A1339" s="66"/>
      <c r="E1339" s="72" t="s">
        <v>1414</v>
      </c>
      <c r="F1339" s="18"/>
      <c r="G1339" s="18"/>
      <c r="H1339" s="18"/>
      <c r="I1339" s="18"/>
      <c r="J1339" s="18"/>
      <c r="K1339" s="18"/>
      <c r="L1339" s="18"/>
      <c r="M1339" s="18"/>
    </row>
    <row r="1340" s="65" customFormat="1" ht="13.5" spans="1:13">
      <c r="A1340" s="66"/>
      <c r="E1340" s="72" t="s">
        <v>1415</v>
      </c>
      <c r="F1340" s="18"/>
      <c r="G1340" s="18"/>
      <c r="H1340" s="18"/>
      <c r="I1340" s="18"/>
      <c r="J1340" s="18"/>
      <c r="K1340" s="18"/>
      <c r="L1340" s="18"/>
      <c r="M1340" s="18"/>
    </row>
    <row r="1341" s="65" customFormat="1" ht="13.5" spans="1:13">
      <c r="A1341" s="66"/>
      <c r="E1341" s="72" t="s">
        <v>1416</v>
      </c>
      <c r="F1341" s="18"/>
      <c r="G1341" s="18"/>
      <c r="H1341" s="18"/>
      <c r="I1341" s="18"/>
      <c r="J1341" s="18"/>
      <c r="K1341" s="18"/>
      <c r="L1341" s="18"/>
      <c r="M1341" s="18"/>
    </row>
    <row r="1342" s="65" customFormat="1" ht="13.5" spans="1:13">
      <c r="A1342" s="66"/>
      <c r="E1342" s="72" t="s">
        <v>1417</v>
      </c>
      <c r="F1342" s="18"/>
      <c r="G1342" s="18"/>
      <c r="H1342" s="18"/>
      <c r="I1342" s="18"/>
      <c r="J1342" s="18"/>
      <c r="K1342" s="18"/>
      <c r="L1342" s="18"/>
      <c r="M1342" s="18"/>
    </row>
    <row r="1343" s="65" customFormat="1" ht="13.5" spans="1:13">
      <c r="A1343" s="66"/>
      <c r="E1343" s="72" t="s">
        <v>1418</v>
      </c>
      <c r="F1343" s="18"/>
      <c r="G1343" s="18"/>
      <c r="H1343" s="18"/>
      <c r="I1343" s="18"/>
      <c r="J1343" s="18"/>
      <c r="K1343" s="18"/>
      <c r="L1343" s="18"/>
      <c r="M1343" s="18"/>
    </row>
    <row r="1344" s="65" customFormat="1" ht="13.5" spans="1:13">
      <c r="A1344" s="66"/>
      <c r="E1344" s="72" t="s">
        <v>1419</v>
      </c>
      <c r="F1344" s="18"/>
      <c r="G1344" s="18"/>
      <c r="H1344" s="18"/>
      <c r="I1344" s="18"/>
      <c r="J1344" s="18"/>
      <c r="K1344" s="18"/>
      <c r="L1344" s="18"/>
      <c r="M1344" s="18"/>
    </row>
    <row r="1345" s="65" customFormat="1" ht="13.5" spans="1:13">
      <c r="A1345" s="66"/>
      <c r="E1345" s="72" t="s">
        <v>1420</v>
      </c>
      <c r="F1345" s="18"/>
      <c r="G1345" s="18"/>
      <c r="H1345" s="18"/>
      <c r="I1345" s="18"/>
      <c r="J1345" s="18"/>
      <c r="K1345" s="18"/>
      <c r="L1345" s="18"/>
      <c r="M1345" s="18"/>
    </row>
    <row r="1346" s="65" customFormat="1" ht="13.5" spans="1:13">
      <c r="A1346" s="66"/>
      <c r="E1346" s="72" t="s">
        <v>1421</v>
      </c>
      <c r="F1346" s="18"/>
      <c r="G1346" s="18"/>
      <c r="H1346" s="18"/>
      <c r="I1346" s="18"/>
      <c r="J1346" s="18"/>
      <c r="K1346" s="18"/>
      <c r="L1346" s="18"/>
      <c r="M1346" s="18"/>
    </row>
    <row r="1347" s="65" customFormat="1" ht="13.5" spans="1:13">
      <c r="A1347" s="66"/>
      <c r="E1347" s="72" t="s">
        <v>1422</v>
      </c>
      <c r="F1347" s="18"/>
      <c r="G1347" s="18"/>
      <c r="H1347" s="18"/>
      <c r="I1347" s="18"/>
      <c r="J1347" s="18"/>
      <c r="K1347" s="18"/>
      <c r="L1347" s="18"/>
      <c r="M1347" s="18"/>
    </row>
    <row r="1348" s="65" customFormat="1" ht="13.5" spans="1:13">
      <c r="A1348" s="66"/>
      <c r="E1348" s="72" t="s">
        <v>1423</v>
      </c>
      <c r="F1348" s="18"/>
      <c r="G1348" s="18"/>
      <c r="H1348" s="18"/>
      <c r="I1348" s="18"/>
      <c r="J1348" s="18"/>
      <c r="K1348" s="18"/>
      <c r="L1348" s="18"/>
      <c r="M1348" s="18"/>
    </row>
    <row r="1349" s="65" customFormat="1" ht="13.5" spans="1:13">
      <c r="A1349" s="66"/>
      <c r="E1349" s="72" t="s">
        <v>1424</v>
      </c>
      <c r="F1349" s="18"/>
      <c r="G1349" s="18"/>
      <c r="H1349" s="18"/>
      <c r="I1349" s="18"/>
      <c r="J1349" s="18"/>
      <c r="K1349" s="18"/>
      <c r="L1349" s="18"/>
      <c r="M1349" s="18"/>
    </row>
    <row r="1350" s="65" customFormat="1" ht="13.5" spans="1:13">
      <c r="A1350" s="66"/>
      <c r="E1350" s="72" t="s">
        <v>1425</v>
      </c>
      <c r="F1350" s="18"/>
      <c r="G1350" s="18"/>
      <c r="H1350" s="18"/>
      <c r="I1350" s="18"/>
      <c r="J1350" s="18"/>
      <c r="K1350" s="18"/>
      <c r="L1350" s="18"/>
      <c r="M1350" s="18"/>
    </row>
    <row r="1351" s="65" customFormat="1" ht="13.5" spans="1:13">
      <c r="A1351" s="66"/>
      <c r="E1351" s="72" t="s">
        <v>1426</v>
      </c>
      <c r="F1351" s="18"/>
      <c r="G1351" s="18"/>
      <c r="H1351" s="18"/>
      <c r="I1351" s="18"/>
      <c r="J1351" s="18"/>
      <c r="K1351" s="18"/>
      <c r="L1351" s="18"/>
      <c r="M1351" s="18"/>
    </row>
    <row r="1352" s="65" customFormat="1" ht="13.5" spans="1:13">
      <c r="A1352" s="66"/>
      <c r="E1352" s="72" t="s">
        <v>1427</v>
      </c>
      <c r="F1352" s="18"/>
      <c r="G1352" s="18"/>
      <c r="H1352" s="18"/>
      <c r="I1352" s="18"/>
      <c r="J1352" s="18"/>
      <c r="K1352" s="18"/>
      <c r="L1352" s="18"/>
      <c r="M1352" s="18"/>
    </row>
    <row r="1353" s="65" customFormat="1" ht="13.5" spans="1:13">
      <c r="A1353" s="66"/>
      <c r="E1353" s="72" t="s">
        <v>1428</v>
      </c>
      <c r="F1353" s="18"/>
      <c r="G1353" s="18"/>
      <c r="H1353" s="18"/>
      <c r="I1353" s="18"/>
      <c r="J1353" s="18"/>
      <c r="K1353" s="18"/>
      <c r="L1353" s="18"/>
      <c r="M1353" s="18"/>
    </row>
    <row r="1354" s="65" customFormat="1" ht="13.5" spans="1:13">
      <c r="A1354" s="66"/>
      <c r="E1354" s="72" t="s">
        <v>1429</v>
      </c>
      <c r="F1354" s="18"/>
      <c r="G1354" s="18"/>
      <c r="H1354" s="18"/>
      <c r="I1354" s="18"/>
      <c r="J1354" s="18"/>
      <c r="K1354" s="18"/>
      <c r="L1354" s="18"/>
      <c r="M1354" s="18"/>
    </row>
    <row r="1355" s="65" customFormat="1" ht="13.5" spans="1:13">
      <c r="A1355" s="66"/>
      <c r="E1355" s="72" t="s">
        <v>1430</v>
      </c>
      <c r="F1355" s="18"/>
      <c r="G1355" s="18"/>
      <c r="H1355" s="18"/>
      <c r="I1355" s="18"/>
      <c r="J1355" s="18"/>
      <c r="K1355" s="18"/>
      <c r="L1355" s="18"/>
      <c r="M1355" s="18"/>
    </row>
    <row r="1356" s="65" customFormat="1" ht="13.5" spans="1:13">
      <c r="A1356" s="66"/>
      <c r="E1356" s="72" t="s">
        <v>1431</v>
      </c>
      <c r="F1356" s="18"/>
      <c r="G1356" s="18"/>
      <c r="H1356" s="18"/>
      <c r="I1356" s="18"/>
      <c r="J1356" s="18"/>
      <c r="K1356" s="18"/>
      <c r="L1356" s="18"/>
      <c r="M1356" s="18"/>
    </row>
    <row r="1357" s="65" customFormat="1" ht="13.5" spans="1:13">
      <c r="A1357" s="66"/>
      <c r="E1357" s="72" t="s">
        <v>1432</v>
      </c>
      <c r="F1357" s="18"/>
      <c r="G1357" s="18"/>
      <c r="H1357" s="18"/>
      <c r="I1357" s="18"/>
      <c r="J1357" s="18"/>
      <c r="K1357" s="18"/>
      <c r="L1357" s="18"/>
      <c r="M1357" s="18"/>
    </row>
    <row r="1358" s="65" customFormat="1" ht="13.5" spans="1:13">
      <c r="A1358" s="66"/>
      <c r="E1358" s="72" t="s">
        <v>1433</v>
      </c>
      <c r="F1358" s="18"/>
      <c r="G1358" s="18"/>
      <c r="H1358" s="18"/>
      <c r="I1358" s="18"/>
      <c r="J1358" s="18"/>
      <c r="K1358" s="18"/>
      <c r="L1358" s="18"/>
      <c r="M1358" s="18"/>
    </row>
    <row r="1359" s="65" customFormat="1" ht="13.5" spans="1:13">
      <c r="A1359" s="66"/>
      <c r="E1359" s="72" t="s">
        <v>1434</v>
      </c>
      <c r="F1359" s="18"/>
      <c r="G1359" s="18"/>
      <c r="H1359" s="18"/>
      <c r="I1359" s="18"/>
      <c r="J1359" s="18"/>
      <c r="K1359" s="18"/>
      <c r="L1359" s="18"/>
      <c r="M1359" s="18"/>
    </row>
    <row r="1360" s="65" customFormat="1" ht="13.5" spans="1:13">
      <c r="A1360" s="66"/>
      <c r="E1360" s="72" t="s">
        <v>1435</v>
      </c>
      <c r="F1360" s="18"/>
      <c r="G1360" s="18"/>
      <c r="H1360" s="18"/>
      <c r="I1360" s="18"/>
      <c r="J1360" s="18"/>
      <c r="K1360" s="18"/>
      <c r="L1360" s="18"/>
      <c r="M1360" s="18"/>
    </row>
    <row r="1361" s="65" customFormat="1" ht="13.5" spans="1:13">
      <c r="A1361" s="66"/>
      <c r="E1361" s="72" t="s">
        <v>1436</v>
      </c>
      <c r="F1361" s="18"/>
      <c r="G1361" s="18"/>
      <c r="H1361" s="18"/>
      <c r="I1361" s="18"/>
      <c r="J1361" s="18"/>
      <c r="K1361" s="18"/>
      <c r="L1361" s="18"/>
      <c r="M1361" s="18"/>
    </row>
    <row r="1362" s="65" customFormat="1" ht="13.5" spans="1:13">
      <c r="A1362" s="66"/>
      <c r="E1362" s="72" t="s">
        <v>1437</v>
      </c>
      <c r="F1362" s="18"/>
      <c r="G1362" s="18"/>
      <c r="H1362" s="18"/>
      <c r="I1362" s="18"/>
      <c r="J1362" s="18"/>
      <c r="K1362" s="18"/>
      <c r="L1362" s="18"/>
      <c r="M1362" s="18"/>
    </row>
    <row r="1363" s="65" customFormat="1" ht="13.5" spans="1:13">
      <c r="A1363" s="66"/>
      <c r="E1363" s="72" t="s">
        <v>1438</v>
      </c>
      <c r="F1363" s="18"/>
      <c r="G1363" s="18"/>
      <c r="H1363" s="18"/>
      <c r="I1363" s="18"/>
      <c r="J1363" s="18"/>
      <c r="K1363" s="18"/>
      <c r="L1363" s="18"/>
      <c r="M1363" s="18"/>
    </row>
    <row r="1364" s="65" customFormat="1" ht="13.5" spans="1:13">
      <c r="A1364" s="66"/>
      <c r="E1364" s="72" t="s">
        <v>1439</v>
      </c>
      <c r="F1364" s="18"/>
      <c r="G1364" s="18"/>
      <c r="H1364" s="18"/>
      <c r="I1364" s="18"/>
      <c r="J1364" s="18"/>
      <c r="K1364" s="18"/>
      <c r="L1364" s="18"/>
      <c r="M1364" s="18"/>
    </row>
    <row r="1365" s="65" customFormat="1" ht="13.5" spans="1:13">
      <c r="A1365" s="66"/>
      <c r="E1365" s="72" t="s">
        <v>1440</v>
      </c>
      <c r="F1365" s="18"/>
      <c r="G1365" s="18"/>
      <c r="H1365" s="18"/>
      <c r="I1365" s="18"/>
      <c r="J1365" s="18"/>
      <c r="K1365" s="18"/>
      <c r="L1365" s="18"/>
      <c r="M1365" s="18"/>
    </row>
    <row r="1366" s="65" customFormat="1" ht="13.5" spans="1:13">
      <c r="A1366" s="66"/>
      <c r="E1366" s="72" t="s">
        <v>1441</v>
      </c>
      <c r="F1366" s="18"/>
      <c r="G1366" s="18"/>
      <c r="H1366" s="18"/>
      <c r="I1366" s="18"/>
      <c r="J1366" s="18"/>
      <c r="K1366" s="18"/>
      <c r="L1366" s="18"/>
      <c r="M1366" s="18"/>
    </row>
    <row r="1367" s="65" customFormat="1" ht="13.5" spans="1:13">
      <c r="A1367" s="66"/>
      <c r="E1367" s="72" t="s">
        <v>1442</v>
      </c>
      <c r="F1367" s="18"/>
      <c r="G1367" s="18"/>
      <c r="H1367" s="18"/>
      <c r="I1367" s="18"/>
      <c r="J1367" s="18"/>
      <c r="K1367" s="18"/>
      <c r="L1367" s="18"/>
      <c r="M1367" s="18"/>
    </row>
    <row r="1368" s="65" customFormat="1" ht="13.5" spans="1:13">
      <c r="A1368" s="66"/>
      <c r="E1368" s="72" t="s">
        <v>1443</v>
      </c>
      <c r="F1368" s="18"/>
      <c r="G1368" s="18"/>
      <c r="H1368" s="18"/>
      <c r="I1368" s="18"/>
      <c r="J1368" s="18"/>
      <c r="K1368" s="18"/>
      <c r="L1368" s="18"/>
      <c r="M1368" s="18"/>
    </row>
    <row r="1369" s="65" customFormat="1" ht="13.5" spans="1:13">
      <c r="A1369" s="66"/>
      <c r="E1369" s="72" t="s">
        <v>1444</v>
      </c>
      <c r="F1369" s="18"/>
      <c r="G1369" s="18"/>
      <c r="H1369" s="18"/>
      <c r="I1369" s="18"/>
      <c r="J1369" s="18"/>
      <c r="K1369" s="18"/>
      <c r="L1369" s="18"/>
      <c r="M1369" s="18"/>
    </row>
    <row r="1370" s="65" customFormat="1" ht="13.5" spans="1:13">
      <c r="A1370" s="66"/>
      <c r="E1370" s="72" t="s">
        <v>1445</v>
      </c>
      <c r="F1370" s="18"/>
      <c r="G1370" s="18"/>
      <c r="H1370" s="18"/>
      <c r="I1370" s="18"/>
      <c r="J1370" s="18"/>
      <c r="K1370" s="18"/>
      <c r="L1370" s="18"/>
      <c r="M1370" s="18"/>
    </row>
    <row r="1371" s="65" customFormat="1" ht="13.5" spans="1:13">
      <c r="A1371" s="66"/>
      <c r="E1371" s="72" t="s">
        <v>1446</v>
      </c>
      <c r="F1371" s="18"/>
      <c r="G1371" s="18"/>
      <c r="H1371" s="18"/>
      <c r="I1371" s="18"/>
      <c r="J1371" s="18"/>
      <c r="K1371" s="18"/>
      <c r="L1371" s="18"/>
      <c r="M1371" s="18"/>
    </row>
    <row r="1372" s="65" customFormat="1" ht="13.5" spans="1:13">
      <c r="A1372" s="66"/>
      <c r="E1372" s="72" t="s">
        <v>1447</v>
      </c>
      <c r="F1372" s="18"/>
      <c r="G1372" s="18"/>
      <c r="H1372" s="18"/>
      <c r="I1372" s="18"/>
      <c r="J1372" s="18"/>
      <c r="K1372" s="18"/>
      <c r="L1372" s="18"/>
      <c r="M1372" s="18"/>
    </row>
    <row r="1373" s="65" customFormat="1" ht="13.5" spans="1:13">
      <c r="A1373" s="66"/>
      <c r="E1373" s="72" t="s">
        <v>1448</v>
      </c>
      <c r="F1373" s="18"/>
      <c r="G1373" s="18"/>
      <c r="H1373" s="18"/>
      <c r="I1373" s="18"/>
      <c r="J1373" s="18"/>
      <c r="K1373" s="18"/>
      <c r="L1373" s="18"/>
      <c r="M1373" s="18"/>
    </row>
    <row r="1374" s="65" customFormat="1" ht="13.5" spans="1:13">
      <c r="A1374" s="66"/>
      <c r="E1374" s="72" t="s">
        <v>1449</v>
      </c>
      <c r="F1374" s="18"/>
      <c r="G1374" s="18"/>
      <c r="H1374" s="18"/>
      <c r="I1374" s="18"/>
      <c r="J1374" s="18"/>
      <c r="K1374" s="18"/>
      <c r="L1374" s="18"/>
      <c r="M1374" s="18"/>
    </row>
    <row r="1375" s="65" customFormat="1" ht="13.5" spans="1:13">
      <c r="A1375" s="66"/>
      <c r="E1375" s="72" t="s">
        <v>1450</v>
      </c>
      <c r="F1375" s="18"/>
      <c r="G1375" s="18"/>
      <c r="H1375" s="18"/>
      <c r="I1375" s="18"/>
      <c r="J1375" s="18"/>
      <c r="K1375" s="18"/>
      <c r="L1375" s="18"/>
      <c r="M1375" s="18"/>
    </row>
    <row r="1376" s="65" customFormat="1" ht="13.5" spans="1:13">
      <c r="A1376" s="66"/>
      <c r="E1376" s="72" t="s">
        <v>1451</v>
      </c>
      <c r="F1376" s="18"/>
      <c r="G1376" s="18"/>
      <c r="H1376" s="18"/>
      <c r="I1376" s="18"/>
      <c r="J1376" s="18"/>
      <c r="K1376" s="18"/>
      <c r="L1376" s="18"/>
      <c r="M1376" s="18"/>
    </row>
    <row r="1377" s="65" customFormat="1" ht="13.5" spans="1:13">
      <c r="A1377" s="66"/>
      <c r="E1377" s="72" t="s">
        <v>1452</v>
      </c>
      <c r="F1377" s="18"/>
      <c r="G1377" s="18"/>
      <c r="H1377" s="18"/>
      <c r="I1377" s="18"/>
      <c r="J1377" s="18"/>
      <c r="K1377" s="18"/>
      <c r="L1377" s="18"/>
      <c r="M1377" s="18"/>
    </row>
    <row r="1378" s="65" customFormat="1" ht="13.5" spans="1:13">
      <c r="A1378" s="66"/>
      <c r="E1378" s="72" t="s">
        <v>1453</v>
      </c>
      <c r="F1378" s="18"/>
      <c r="G1378" s="18"/>
      <c r="H1378" s="18"/>
      <c r="I1378" s="18"/>
      <c r="J1378" s="18"/>
      <c r="K1378" s="18"/>
      <c r="L1378" s="18"/>
      <c r="M1378" s="18"/>
    </row>
    <row r="1379" s="65" customFormat="1" ht="13.5" spans="1:13">
      <c r="A1379" s="66"/>
      <c r="E1379" s="72" t="s">
        <v>1454</v>
      </c>
      <c r="F1379" s="18"/>
      <c r="G1379" s="18"/>
      <c r="H1379" s="18"/>
      <c r="I1379" s="18"/>
      <c r="J1379" s="18"/>
      <c r="K1379" s="18"/>
      <c r="L1379" s="18"/>
      <c r="M1379" s="18"/>
    </row>
    <row r="1380" s="65" customFormat="1" ht="13.5" spans="1:13">
      <c r="A1380" s="66"/>
      <c r="E1380" s="72" t="s">
        <v>1455</v>
      </c>
      <c r="F1380" s="18"/>
      <c r="G1380" s="18"/>
      <c r="H1380" s="18"/>
      <c r="I1380" s="18"/>
      <c r="J1380" s="18"/>
      <c r="K1380" s="18"/>
      <c r="L1380" s="18"/>
      <c r="M1380" s="18"/>
    </row>
    <row r="1381" s="65" customFormat="1" ht="13.5" spans="1:13">
      <c r="A1381" s="66"/>
      <c r="E1381" s="72" t="s">
        <v>1456</v>
      </c>
      <c r="F1381" s="18"/>
      <c r="G1381" s="18"/>
      <c r="H1381" s="18"/>
      <c r="I1381" s="18"/>
      <c r="J1381" s="18"/>
      <c r="K1381" s="18"/>
      <c r="L1381" s="18"/>
      <c r="M1381" s="18"/>
    </row>
    <row r="1382" s="65" customFormat="1" ht="13.5" spans="1:13">
      <c r="A1382" s="66"/>
      <c r="E1382" s="72" t="s">
        <v>1457</v>
      </c>
      <c r="F1382" s="18"/>
      <c r="G1382" s="18"/>
      <c r="H1382" s="18"/>
      <c r="I1382" s="18"/>
      <c r="J1382" s="18"/>
      <c r="K1382" s="18"/>
      <c r="L1382" s="18"/>
      <c r="M1382" s="18"/>
    </row>
    <row r="1383" s="65" customFormat="1" ht="13.5" spans="1:13">
      <c r="A1383" s="66"/>
      <c r="E1383" s="72" t="s">
        <v>1458</v>
      </c>
      <c r="F1383" s="18"/>
      <c r="G1383" s="18"/>
      <c r="H1383" s="18"/>
      <c r="I1383" s="18"/>
      <c r="J1383" s="18"/>
      <c r="K1383" s="18"/>
      <c r="L1383" s="18"/>
      <c r="M1383" s="18"/>
    </row>
    <row r="1384" s="65" customFormat="1" ht="13.5" spans="1:13">
      <c r="A1384" s="66"/>
      <c r="E1384" s="72" t="s">
        <v>1459</v>
      </c>
      <c r="F1384" s="18"/>
      <c r="G1384" s="18"/>
      <c r="H1384" s="18"/>
      <c r="I1384" s="18"/>
      <c r="J1384" s="18"/>
      <c r="K1384" s="18"/>
      <c r="L1384" s="18"/>
      <c r="M1384" s="18"/>
    </row>
    <row r="1385" s="65" customFormat="1" ht="13.5" spans="1:13">
      <c r="A1385" s="66"/>
      <c r="E1385" s="72" t="s">
        <v>1460</v>
      </c>
      <c r="F1385" s="18"/>
      <c r="G1385" s="18"/>
      <c r="H1385" s="18"/>
      <c r="I1385" s="18"/>
      <c r="J1385" s="18"/>
      <c r="K1385" s="18"/>
      <c r="L1385" s="18"/>
      <c r="M1385" s="18"/>
    </row>
    <row r="1386" s="65" customFormat="1" ht="13.5" spans="1:13">
      <c r="A1386" s="66"/>
      <c r="E1386" s="72" t="s">
        <v>1461</v>
      </c>
      <c r="F1386" s="18"/>
      <c r="G1386" s="18"/>
      <c r="H1386" s="18"/>
      <c r="I1386" s="18"/>
      <c r="J1386" s="18"/>
      <c r="K1386" s="18"/>
      <c r="L1386" s="18"/>
      <c r="M1386" s="18"/>
    </row>
    <row r="1387" s="65" customFormat="1" ht="13.5" spans="1:13">
      <c r="A1387" s="66"/>
      <c r="E1387" s="72" t="s">
        <v>1462</v>
      </c>
      <c r="F1387" s="18"/>
      <c r="G1387" s="18"/>
      <c r="H1387" s="18"/>
      <c r="I1387" s="18"/>
      <c r="J1387" s="18"/>
      <c r="K1387" s="18"/>
      <c r="L1387" s="18"/>
      <c r="M1387" s="18"/>
    </row>
    <row r="1388" s="65" customFormat="1" ht="13.5" spans="1:13">
      <c r="A1388" s="66"/>
      <c r="E1388" s="72" t="s">
        <v>1463</v>
      </c>
      <c r="F1388" s="18"/>
      <c r="G1388" s="18"/>
      <c r="H1388" s="18"/>
      <c r="I1388" s="18"/>
      <c r="J1388" s="18"/>
      <c r="K1388" s="18"/>
      <c r="L1388" s="18"/>
      <c r="M1388" s="18"/>
    </row>
    <row r="1389" s="65" customFormat="1" ht="13.5" spans="1:13">
      <c r="A1389" s="66"/>
      <c r="E1389" s="72" t="s">
        <v>1464</v>
      </c>
      <c r="F1389" s="18"/>
      <c r="G1389" s="18"/>
      <c r="H1389" s="18"/>
      <c r="I1389" s="18"/>
      <c r="J1389" s="18"/>
      <c r="K1389" s="18"/>
      <c r="L1389" s="18"/>
      <c r="M1389" s="18"/>
    </row>
    <row r="1390" s="65" customFormat="1" ht="13.5" spans="1:13">
      <c r="A1390" s="66"/>
      <c r="E1390" s="72" t="s">
        <v>1465</v>
      </c>
      <c r="F1390" s="18"/>
      <c r="G1390" s="18"/>
      <c r="H1390" s="18"/>
      <c r="I1390" s="18"/>
      <c r="J1390" s="18"/>
      <c r="K1390" s="18"/>
      <c r="L1390" s="18"/>
      <c r="M1390" s="18"/>
    </row>
    <row r="1391" s="65" customFormat="1" ht="13.5" spans="1:13">
      <c r="A1391" s="66"/>
      <c r="E1391" s="72" t="s">
        <v>1466</v>
      </c>
      <c r="F1391" s="18"/>
      <c r="G1391" s="18"/>
      <c r="H1391" s="18"/>
      <c r="I1391" s="18"/>
      <c r="J1391" s="18"/>
      <c r="K1391" s="18"/>
      <c r="L1391" s="18"/>
      <c r="M1391" s="18"/>
    </row>
    <row r="1392" s="65" customFormat="1" ht="13.5" spans="1:13">
      <c r="A1392" s="66"/>
      <c r="E1392" s="72" t="s">
        <v>1467</v>
      </c>
      <c r="F1392" s="18"/>
      <c r="G1392" s="18"/>
      <c r="H1392" s="18"/>
      <c r="I1392" s="18"/>
      <c r="J1392" s="18"/>
      <c r="K1392" s="18"/>
      <c r="L1392" s="18"/>
      <c r="M1392" s="18"/>
    </row>
    <row r="1393" s="65" customFormat="1" ht="13.5" spans="1:13">
      <c r="A1393" s="66"/>
      <c r="E1393" s="72" t="s">
        <v>1468</v>
      </c>
      <c r="F1393" s="18"/>
      <c r="G1393" s="18"/>
      <c r="H1393" s="18"/>
      <c r="I1393" s="18"/>
      <c r="J1393" s="18"/>
      <c r="K1393" s="18"/>
      <c r="L1393" s="18"/>
      <c r="M1393" s="18"/>
    </row>
    <row r="1394" s="65" customFormat="1" ht="13.5" spans="1:13">
      <c r="A1394" s="66"/>
      <c r="E1394" s="72" t="s">
        <v>1469</v>
      </c>
      <c r="F1394" s="18"/>
      <c r="G1394" s="18"/>
      <c r="H1394" s="18"/>
      <c r="I1394" s="18"/>
      <c r="J1394" s="18"/>
      <c r="K1394" s="18"/>
      <c r="L1394" s="18"/>
      <c r="M1394" s="18"/>
    </row>
    <row r="1395" s="65" customFormat="1" ht="13.5" spans="1:13">
      <c r="A1395" s="66"/>
      <c r="E1395" s="72" t="s">
        <v>1470</v>
      </c>
      <c r="F1395" s="18"/>
      <c r="G1395" s="18"/>
      <c r="H1395" s="18"/>
      <c r="I1395" s="18"/>
      <c r="J1395" s="18"/>
      <c r="K1395" s="18"/>
      <c r="L1395" s="18"/>
      <c r="M1395" s="18"/>
    </row>
    <row r="1396" s="65" customFormat="1" ht="13.5" spans="1:13">
      <c r="A1396" s="66"/>
      <c r="E1396" s="72" t="s">
        <v>1471</v>
      </c>
      <c r="F1396" s="18"/>
      <c r="G1396" s="18"/>
      <c r="H1396" s="18"/>
      <c r="I1396" s="18"/>
      <c r="J1396" s="18"/>
      <c r="K1396" s="18"/>
      <c r="L1396" s="18"/>
      <c r="M1396" s="18"/>
    </row>
    <row r="1397" s="65" customFormat="1" ht="13.5" spans="1:13">
      <c r="A1397" s="66"/>
      <c r="E1397" s="72" t="s">
        <v>1472</v>
      </c>
      <c r="F1397" s="18"/>
      <c r="G1397" s="18"/>
      <c r="H1397" s="18"/>
      <c r="I1397" s="18"/>
      <c r="J1397" s="18"/>
      <c r="K1397" s="18"/>
      <c r="L1397" s="18"/>
      <c r="M1397" s="18"/>
    </row>
    <row r="1398" s="65" customFormat="1" ht="13.5" spans="1:13">
      <c r="A1398" s="66"/>
      <c r="E1398" s="72" t="s">
        <v>1473</v>
      </c>
      <c r="F1398" s="18"/>
      <c r="G1398" s="18"/>
      <c r="H1398" s="18"/>
      <c r="I1398" s="18"/>
      <c r="J1398" s="18"/>
      <c r="K1398" s="18"/>
      <c r="L1398" s="18"/>
      <c r="M1398" s="18"/>
    </row>
    <row r="1399" s="65" customFormat="1" ht="13.5" spans="1:13">
      <c r="A1399" s="66"/>
      <c r="E1399" s="72" t="s">
        <v>1474</v>
      </c>
      <c r="F1399" s="18"/>
      <c r="G1399" s="18"/>
      <c r="H1399" s="18"/>
      <c r="I1399" s="18"/>
      <c r="J1399" s="18"/>
      <c r="K1399" s="18"/>
      <c r="L1399" s="18"/>
      <c r="M1399" s="18"/>
    </row>
    <row r="1400" s="65" customFormat="1" ht="13.5" spans="1:13">
      <c r="A1400" s="66"/>
      <c r="E1400" s="72" t="s">
        <v>1475</v>
      </c>
      <c r="F1400" s="18"/>
      <c r="G1400" s="18"/>
      <c r="H1400" s="18"/>
      <c r="I1400" s="18"/>
      <c r="J1400" s="18"/>
      <c r="K1400" s="18"/>
      <c r="L1400" s="18"/>
      <c r="M1400" s="18"/>
    </row>
    <row r="1401" s="65" customFormat="1" ht="13.5" spans="1:13">
      <c r="A1401" s="66"/>
      <c r="E1401" s="72" t="s">
        <v>1476</v>
      </c>
      <c r="F1401" s="18"/>
      <c r="G1401" s="18"/>
      <c r="H1401" s="18"/>
      <c r="I1401" s="18"/>
      <c r="J1401" s="18"/>
      <c r="K1401" s="18"/>
      <c r="L1401" s="18"/>
      <c r="M1401" s="18"/>
    </row>
    <row r="1402" s="65" customFormat="1" ht="13.5" spans="1:13">
      <c r="A1402" s="66"/>
      <c r="E1402" s="72" t="s">
        <v>1477</v>
      </c>
      <c r="F1402" s="18"/>
      <c r="G1402" s="18"/>
      <c r="H1402" s="18"/>
      <c r="I1402" s="18"/>
      <c r="J1402" s="18"/>
      <c r="K1402" s="18"/>
      <c r="L1402" s="18"/>
      <c r="M1402" s="18"/>
    </row>
    <row r="1403" s="65" customFormat="1" ht="13.5" spans="1:13">
      <c r="A1403" s="66"/>
      <c r="E1403" s="72" t="s">
        <v>1478</v>
      </c>
      <c r="F1403" s="18"/>
      <c r="G1403" s="18"/>
      <c r="H1403" s="18"/>
      <c r="I1403" s="18"/>
      <c r="J1403" s="18"/>
      <c r="K1403" s="18"/>
      <c r="L1403" s="18"/>
      <c r="M1403" s="18"/>
    </row>
    <row r="1404" s="65" customFormat="1" ht="13.5" spans="1:13">
      <c r="A1404" s="66"/>
      <c r="E1404" s="72" t="s">
        <v>1479</v>
      </c>
      <c r="F1404" s="18"/>
      <c r="G1404" s="18"/>
      <c r="H1404" s="18"/>
      <c r="I1404" s="18"/>
      <c r="J1404" s="18"/>
      <c r="K1404" s="18"/>
      <c r="L1404" s="18"/>
      <c r="M1404" s="18"/>
    </row>
    <row r="1405" s="65" customFormat="1" ht="13.5" spans="1:13">
      <c r="A1405" s="66"/>
      <c r="E1405" s="72" t="s">
        <v>1480</v>
      </c>
      <c r="F1405" s="18"/>
      <c r="G1405" s="18"/>
      <c r="H1405" s="18"/>
      <c r="I1405" s="18"/>
      <c r="J1405" s="18"/>
      <c r="K1405" s="18"/>
      <c r="L1405" s="18"/>
      <c r="M1405" s="18"/>
    </row>
    <row r="1406" s="65" customFormat="1" ht="13.5" spans="1:13">
      <c r="A1406" s="66"/>
      <c r="E1406" s="72" t="s">
        <v>1481</v>
      </c>
      <c r="F1406" s="18"/>
      <c r="G1406" s="18"/>
      <c r="H1406" s="18"/>
      <c r="I1406" s="18"/>
      <c r="J1406" s="18"/>
      <c r="K1406" s="18"/>
      <c r="L1406" s="18"/>
      <c r="M1406" s="18"/>
    </row>
    <row r="1407" s="65" customFormat="1" ht="13.5" spans="1:13">
      <c r="A1407" s="66"/>
      <c r="E1407" s="72" t="s">
        <v>1482</v>
      </c>
      <c r="F1407" s="18"/>
      <c r="G1407" s="18"/>
      <c r="H1407" s="18"/>
      <c r="I1407" s="18"/>
      <c r="J1407" s="18"/>
      <c r="K1407" s="18"/>
      <c r="L1407" s="18"/>
      <c r="M1407" s="18"/>
    </row>
    <row r="1408" s="65" customFormat="1" ht="13.5" spans="1:13">
      <c r="A1408" s="66"/>
      <c r="E1408" s="72" t="s">
        <v>1483</v>
      </c>
      <c r="F1408" s="18"/>
      <c r="G1408" s="18"/>
      <c r="H1408" s="18"/>
      <c r="I1408" s="18"/>
      <c r="J1408" s="18"/>
      <c r="K1408" s="18"/>
      <c r="L1408" s="18"/>
      <c r="M1408" s="18"/>
    </row>
    <row r="1409" s="65" customFormat="1" ht="13.5" spans="1:13">
      <c r="A1409" s="66"/>
      <c r="E1409" s="72" t="s">
        <v>1484</v>
      </c>
      <c r="F1409" s="18"/>
      <c r="G1409" s="18"/>
      <c r="H1409" s="18"/>
      <c r="I1409" s="18"/>
      <c r="J1409" s="18"/>
      <c r="K1409" s="18"/>
      <c r="L1409" s="18"/>
      <c r="M1409" s="18"/>
    </row>
    <row r="1410" s="65" customFormat="1" ht="13.5" spans="1:13">
      <c r="A1410" s="66"/>
      <c r="E1410" s="72" t="s">
        <v>1485</v>
      </c>
      <c r="F1410" s="18"/>
      <c r="G1410" s="18"/>
      <c r="H1410" s="18"/>
      <c r="I1410" s="18"/>
      <c r="J1410" s="18"/>
      <c r="K1410" s="18"/>
      <c r="L1410" s="18"/>
      <c r="M1410" s="18"/>
    </row>
    <row r="1411" s="65" customFormat="1" ht="13.5" spans="1:13">
      <c r="A1411" s="66"/>
      <c r="E1411" s="72" t="s">
        <v>1486</v>
      </c>
      <c r="F1411" s="18"/>
      <c r="G1411" s="18"/>
      <c r="H1411" s="18"/>
      <c r="I1411" s="18"/>
      <c r="J1411" s="18"/>
      <c r="K1411" s="18"/>
      <c r="L1411" s="18"/>
      <c r="M1411" s="18"/>
    </row>
    <row r="1412" s="65" customFormat="1" ht="13.5" spans="1:13">
      <c r="A1412" s="66"/>
      <c r="E1412" s="72" t="s">
        <v>1487</v>
      </c>
      <c r="F1412" s="18"/>
      <c r="G1412" s="18"/>
      <c r="H1412" s="18"/>
      <c r="I1412" s="18"/>
      <c r="J1412" s="18"/>
      <c r="K1412" s="18"/>
      <c r="L1412" s="18"/>
      <c r="M1412" s="18"/>
    </row>
    <row r="1413" s="65" customFormat="1" ht="13.5" spans="1:13">
      <c r="A1413" s="66"/>
      <c r="E1413" s="72" t="s">
        <v>1488</v>
      </c>
      <c r="F1413" s="18"/>
      <c r="G1413" s="18"/>
      <c r="H1413" s="18"/>
      <c r="I1413" s="18"/>
      <c r="J1413" s="18"/>
      <c r="K1413" s="18"/>
      <c r="L1413" s="18"/>
      <c r="M1413" s="18"/>
    </row>
    <row r="1414" s="65" customFormat="1" ht="13.5" spans="1:13">
      <c r="A1414" s="66"/>
      <c r="E1414" s="72" t="s">
        <v>1489</v>
      </c>
      <c r="F1414" s="18"/>
      <c r="G1414" s="18"/>
      <c r="H1414" s="18"/>
      <c r="I1414" s="18"/>
      <c r="J1414" s="18"/>
      <c r="K1414" s="18"/>
      <c r="L1414" s="18"/>
      <c r="M1414" s="18"/>
    </row>
    <row r="1415" s="65" customFormat="1" ht="13.5" spans="1:13">
      <c r="A1415" s="66"/>
      <c r="E1415" s="72" t="s">
        <v>1490</v>
      </c>
      <c r="F1415" s="18"/>
      <c r="G1415" s="18"/>
      <c r="H1415" s="18"/>
      <c r="I1415" s="18"/>
      <c r="J1415" s="18"/>
      <c r="K1415" s="18"/>
      <c r="L1415" s="18"/>
      <c r="M1415" s="18"/>
    </row>
    <row r="1416" s="65" customFormat="1" ht="13.5" spans="1:13">
      <c r="A1416" s="66"/>
      <c r="E1416" s="72" t="s">
        <v>1491</v>
      </c>
      <c r="F1416" s="18"/>
      <c r="G1416" s="18"/>
      <c r="H1416" s="18"/>
      <c r="I1416" s="18"/>
      <c r="J1416" s="18"/>
      <c r="K1416" s="18"/>
      <c r="L1416" s="18"/>
      <c r="M1416" s="18"/>
    </row>
    <row r="1417" s="65" customFormat="1" ht="13.5" spans="1:13">
      <c r="A1417" s="66"/>
      <c r="E1417" s="72" t="s">
        <v>1492</v>
      </c>
      <c r="F1417" s="18"/>
      <c r="G1417" s="18"/>
      <c r="H1417" s="18"/>
      <c r="I1417" s="18"/>
      <c r="J1417" s="18"/>
      <c r="K1417" s="18"/>
      <c r="L1417" s="18"/>
      <c r="M1417" s="18"/>
    </row>
    <row r="1418" s="65" customFormat="1" ht="13.5" spans="1:13">
      <c r="A1418" s="66"/>
      <c r="E1418" s="72" t="s">
        <v>1493</v>
      </c>
      <c r="F1418" s="18"/>
      <c r="G1418" s="18"/>
      <c r="H1418" s="18"/>
      <c r="I1418" s="18"/>
      <c r="J1418" s="18"/>
      <c r="K1418" s="18"/>
      <c r="L1418" s="18"/>
      <c r="M1418" s="18"/>
    </row>
    <row r="1419" s="65" customFormat="1" ht="13.5" spans="1:13">
      <c r="A1419" s="66"/>
      <c r="E1419" s="72" t="s">
        <v>1494</v>
      </c>
      <c r="F1419" s="18"/>
      <c r="G1419" s="18"/>
      <c r="H1419" s="18"/>
      <c r="I1419" s="18"/>
      <c r="J1419" s="18"/>
      <c r="K1419" s="18"/>
      <c r="L1419" s="18"/>
      <c r="M1419" s="18"/>
    </row>
    <row r="1420" s="65" customFormat="1" ht="13.5" spans="1:13">
      <c r="A1420" s="66"/>
      <c r="E1420" s="72" t="s">
        <v>1495</v>
      </c>
      <c r="F1420" s="18"/>
      <c r="G1420" s="18"/>
      <c r="H1420" s="18"/>
      <c r="I1420" s="18"/>
      <c r="J1420" s="18"/>
      <c r="K1420" s="18"/>
      <c r="L1420" s="18"/>
      <c r="M1420" s="18"/>
    </row>
    <row r="1421" s="65" customFormat="1" ht="13.5" spans="1:13">
      <c r="A1421" s="66"/>
      <c r="E1421" s="72" t="s">
        <v>1496</v>
      </c>
      <c r="F1421" s="18"/>
      <c r="G1421" s="18"/>
      <c r="H1421" s="18"/>
      <c r="I1421" s="18"/>
      <c r="J1421" s="18"/>
      <c r="K1421" s="18"/>
      <c r="L1421" s="18"/>
      <c r="M1421" s="18"/>
    </row>
    <row r="1422" s="65" customFormat="1" ht="13.5" spans="1:13">
      <c r="A1422" s="66"/>
      <c r="E1422" s="72" t="s">
        <v>1497</v>
      </c>
      <c r="F1422" s="18"/>
      <c r="G1422" s="18"/>
      <c r="H1422" s="18"/>
      <c r="I1422" s="18"/>
      <c r="J1422" s="18"/>
      <c r="K1422" s="18"/>
      <c r="L1422" s="18"/>
      <c r="M1422" s="18"/>
    </row>
    <row r="1423" s="65" customFormat="1" ht="13.5" spans="1:13">
      <c r="A1423" s="66"/>
      <c r="E1423" s="72" t="s">
        <v>1498</v>
      </c>
      <c r="F1423" s="18"/>
      <c r="G1423" s="18"/>
      <c r="H1423" s="18"/>
      <c r="I1423" s="18"/>
      <c r="J1423" s="18"/>
      <c r="K1423" s="18"/>
      <c r="L1423" s="18"/>
      <c r="M1423" s="18"/>
    </row>
    <row r="1424" s="65" customFormat="1" ht="13.5" spans="1:13">
      <c r="A1424" s="66"/>
      <c r="E1424" s="72" t="s">
        <v>1499</v>
      </c>
      <c r="F1424" s="18"/>
      <c r="G1424" s="18"/>
      <c r="H1424" s="18"/>
      <c r="I1424" s="18"/>
      <c r="J1424" s="18"/>
      <c r="K1424" s="18"/>
      <c r="L1424" s="18"/>
      <c r="M1424" s="18"/>
    </row>
    <row r="1425" s="65" customFormat="1" ht="13.5" spans="1:13">
      <c r="A1425" s="66"/>
      <c r="E1425" s="72" t="s">
        <v>1500</v>
      </c>
      <c r="F1425" s="18"/>
      <c r="G1425" s="18"/>
      <c r="H1425" s="18"/>
      <c r="I1425" s="18"/>
      <c r="J1425" s="18"/>
      <c r="K1425" s="18"/>
      <c r="L1425" s="18"/>
      <c r="M1425" s="18"/>
    </row>
    <row r="1426" s="65" customFormat="1" ht="13.5" spans="1:13">
      <c r="A1426" s="66"/>
      <c r="E1426" s="72" t="s">
        <v>1501</v>
      </c>
      <c r="F1426" s="18"/>
      <c r="G1426" s="18"/>
      <c r="H1426" s="18"/>
      <c r="I1426" s="18"/>
      <c r="J1426" s="18"/>
      <c r="K1426" s="18"/>
      <c r="L1426" s="18"/>
      <c r="M1426" s="18"/>
    </row>
    <row r="1427" s="65" customFormat="1" ht="13.5" spans="1:13">
      <c r="A1427" s="66"/>
      <c r="E1427" s="72" t="s">
        <v>1502</v>
      </c>
      <c r="F1427" s="18"/>
      <c r="G1427" s="18"/>
      <c r="H1427" s="18"/>
      <c r="I1427" s="18"/>
      <c r="J1427" s="18"/>
      <c r="K1427" s="18"/>
      <c r="L1427" s="18"/>
      <c r="M1427" s="18"/>
    </row>
    <row r="1428" s="65" customFormat="1" ht="13.5" spans="1:13">
      <c r="A1428" s="66"/>
      <c r="E1428" s="72" t="s">
        <v>1503</v>
      </c>
      <c r="F1428" s="18"/>
      <c r="G1428" s="18"/>
      <c r="H1428" s="18"/>
      <c r="I1428" s="18"/>
      <c r="J1428" s="18"/>
      <c r="K1428" s="18"/>
      <c r="L1428" s="18"/>
      <c r="M1428" s="18"/>
    </row>
    <row r="1429" s="65" customFormat="1" ht="13.5" spans="1:13">
      <c r="A1429" s="66"/>
      <c r="E1429" s="72" t="s">
        <v>1504</v>
      </c>
      <c r="F1429" s="18"/>
      <c r="G1429" s="18"/>
      <c r="H1429" s="18"/>
      <c r="I1429" s="18"/>
      <c r="J1429" s="18"/>
      <c r="K1429" s="18"/>
      <c r="L1429" s="18"/>
      <c r="M1429" s="18"/>
    </row>
    <row r="1430" s="65" customFormat="1" ht="13.5" spans="1:13">
      <c r="A1430" s="66"/>
      <c r="E1430" s="72" t="s">
        <v>1505</v>
      </c>
      <c r="F1430" s="18"/>
      <c r="G1430" s="18"/>
      <c r="H1430" s="18"/>
      <c r="I1430" s="18"/>
      <c r="J1430" s="18"/>
      <c r="K1430" s="18"/>
      <c r="L1430" s="18"/>
      <c r="M1430" s="18"/>
    </row>
    <row r="1431" s="65" customFormat="1" ht="13.5" spans="1:13">
      <c r="A1431" s="66"/>
      <c r="E1431" s="72" t="s">
        <v>1506</v>
      </c>
      <c r="F1431" s="18"/>
      <c r="G1431" s="18"/>
      <c r="H1431" s="18"/>
      <c r="I1431" s="18"/>
      <c r="J1431" s="18"/>
      <c r="K1431" s="18"/>
      <c r="L1431" s="18"/>
      <c r="M1431" s="18"/>
    </row>
    <row r="1432" s="65" customFormat="1" ht="13.5" spans="1:13">
      <c r="A1432" s="66"/>
      <c r="E1432" s="72" t="s">
        <v>1507</v>
      </c>
      <c r="F1432" s="18"/>
      <c r="G1432" s="18"/>
      <c r="H1432" s="18"/>
      <c r="I1432" s="18"/>
      <c r="J1432" s="18"/>
      <c r="K1432" s="18"/>
      <c r="L1432" s="18"/>
      <c r="M1432" s="18"/>
    </row>
    <row r="1433" s="65" customFormat="1" ht="13.5" spans="1:13">
      <c r="A1433" s="66"/>
      <c r="E1433" s="72" t="s">
        <v>1508</v>
      </c>
      <c r="F1433" s="18"/>
      <c r="G1433" s="18"/>
      <c r="H1433" s="18"/>
      <c r="I1433" s="18"/>
      <c r="J1433" s="18"/>
      <c r="K1433" s="18"/>
      <c r="L1433" s="18"/>
      <c r="M1433" s="18"/>
    </row>
    <row r="1434" s="65" customFormat="1" ht="13.5" spans="1:13">
      <c r="A1434" s="66"/>
      <c r="E1434" s="72" t="s">
        <v>1509</v>
      </c>
      <c r="F1434" s="18"/>
      <c r="G1434" s="18"/>
      <c r="H1434" s="18"/>
      <c r="I1434" s="18"/>
      <c r="J1434" s="18"/>
      <c r="K1434" s="18"/>
      <c r="L1434" s="18"/>
      <c r="M1434" s="18"/>
    </row>
    <row r="1435" s="65" customFormat="1" ht="13.5" spans="1:13">
      <c r="A1435" s="66"/>
      <c r="E1435" s="72" t="s">
        <v>1510</v>
      </c>
      <c r="F1435" s="18"/>
      <c r="G1435" s="18"/>
      <c r="H1435" s="18"/>
      <c r="I1435" s="18"/>
      <c r="J1435" s="18"/>
      <c r="K1435" s="18"/>
      <c r="L1435" s="18"/>
      <c r="M1435" s="18"/>
    </row>
    <row r="1436" s="65" customFormat="1" ht="13.5" spans="1:13">
      <c r="A1436" s="66"/>
      <c r="E1436" s="72" t="s">
        <v>1511</v>
      </c>
      <c r="F1436" s="18"/>
      <c r="G1436" s="18"/>
      <c r="H1436" s="18"/>
      <c r="I1436" s="18"/>
      <c r="J1436" s="18"/>
      <c r="K1436" s="18"/>
      <c r="L1436" s="18"/>
      <c r="M1436" s="18"/>
    </row>
    <row r="1437" s="65" customFormat="1" ht="13.5" spans="1:13">
      <c r="A1437" s="66"/>
      <c r="E1437" s="72" t="s">
        <v>1512</v>
      </c>
      <c r="F1437" s="18"/>
      <c r="G1437" s="18"/>
      <c r="H1437" s="18"/>
      <c r="I1437" s="18"/>
      <c r="J1437" s="18"/>
      <c r="K1437" s="18"/>
      <c r="L1437" s="18"/>
      <c r="M1437" s="18"/>
    </row>
    <row r="1438" s="65" customFormat="1" ht="13.5" spans="1:13">
      <c r="A1438" s="66"/>
      <c r="E1438" s="72" t="s">
        <v>1513</v>
      </c>
      <c r="F1438" s="18"/>
      <c r="G1438" s="18"/>
      <c r="H1438" s="18"/>
      <c r="I1438" s="18"/>
      <c r="J1438" s="18"/>
      <c r="K1438" s="18"/>
      <c r="L1438" s="18"/>
      <c r="M1438" s="18"/>
    </row>
    <row r="1439" s="65" customFormat="1" ht="13.5" spans="1:13">
      <c r="A1439" s="66"/>
      <c r="E1439" s="72" t="s">
        <v>1514</v>
      </c>
      <c r="F1439" s="18"/>
      <c r="G1439" s="18"/>
      <c r="H1439" s="18"/>
      <c r="I1439" s="18"/>
      <c r="J1439" s="18"/>
      <c r="K1439" s="18"/>
      <c r="L1439" s="18"/>
      <c r="M1439" s="18"/>
    </row>
    <row r="1440" s="65" customFormat="1" ht="13.5" spans="1:13">
      <c r="A1440" s="66"/>
      <c r="E1440" s="72" t="s">
        <v>1515</v>
      </c>
      <c r="F1440" s="18"/>
      <c r="G1440" s="18"/>
      <c r="H1440" s="18"/>
      <c r="I1440" s="18"/>
      <c r="J1440" s="18"/>
      <c r="K1440" s="18"/>
      <c r="L1440" s="18"/>
      <c r="M1440" s="18"/>
    </row>
    <row r="1441" s="65" customFormat="1" ht="13.5" spans="1:13">
      <c r="A1441" s="66"/>
      <c r="E1441" s="72" t="s">
        <v>1516</v>
      </c>
      <c r="F1441" s="18"/>
      <c r="G1441" s="18"/>
      <c r="H1441" s="18"/>
      <c r="I1441" s="18"/>
      <c r="J1441" s="18"/>
      <c r="K1441" s="18"/>
      <c r="L1441" s="18"/>
      <c r="M1441" s="18"/>
    </row>
    <row r="1442" s="65" customFormat="1" ht="13.5" spans="1:13">
      <c r="A1442" s="66"/>
      <c r="E1442" s="72" t="s">
        <v>1517</v>
      </c>
      <c r="F1442" s="18"/>
      <c r="G1442" s="18"/>
      <c r="H1442" s="18"/>
      <c r="I1442" s="18"/>
      <c r="J1442" s="18"/>
      <c r="K1442" s="18"/>
      <c r="L1442" s="18"/>
      <c r="M1442" s="18"/>
    </row>
    <row r="1443" s="65" customFormat="1" ht="13.5" spans="1:13">
      <c r="A1443" s="66"/>
      <c r="E1443" s="72" t="s">
        <v>1518</v>
      </c>
      <c r="F1443" s="18"/>
      <c r="G1443" s="18"/>
      <c r="H1443" s="18"/>
      <c r="I1443" s="18"/>
      <c r="J1443" s="18"/>
      <c r="K1443" s="18"/>
      <c r="L1443" s="18"/>
      <c r="M1443" s="18"/>
    </row>
    <row r="1444" s="65" customFormat="1" ht="13.5" spans="1:13">
      <c r="A1444" s="66"/>
      <c r="E1444" s="72" t="s">
        <v>1519</v>
      </c>
      <c r="F1444" s="18"/>
      <c r="G1444" s="18"/>
      <c r="H1444" s="18"/>
      <c r="I1444" s="18"/>
      <c r="J1444" s="18"/>
      <c r="K1444" s="18"/>
      <c r="L1444" s="18"/>
      <c r="M1444" s="18"/>
    </row>
    <row r="1445" s="65" customFormat="1" ht="13.5" spans="1:13">
      <c r="A1445" s="66"/>
      <c r="E1445" s="72" t="s">
        <v>1520</v>
      </c>
      <c r="F1445" s="18"/>
      <c r="G1445" s="18"/>
      <c r="H1445" s="18"/>
      <c r="I1445" s="18"/>
      <c r="J1445" s="18"/>
      <c r="K1445" s="18"/>
      <c r="L1445" s="18"/>
      <c r="M1445" s="18"/>
    </row>
    <row r="1446" s="65" customFormat="1" ht="13.5" spans="1:13">
      <c r="A1446" s="66"/>
      <c r="E1446" s="72" t="s">
        <v>1521</v>
      </c>
      <c r="F1446" s="18"/>
      <c r="G1446" s="18"/>
      <c r="H1446" s="18"/>
      <c r="I1446" s="18"/>
      <c r="J1446" s="18"/>
      <c r="K1446" s="18"/>
      <c r="L1446" s="18"/>
      <c r="M1446" s="18"/>
    </row>
    <row r="1447" s="65" customFormat="1" ht="13.5" spans="1:13">
      <c r="A1447" s="66"/>
      <c r="E1447" s="72" t="s">
        <v>1522</v>
      </c>
      <c r="F1447" s="18"/>
      <c r="G1447" s="18"/>
      <c r="H1447" s="18"/>
      <c r="I1447" s="18"/>
      <c r="J1447" s="18"/>
      <c r="K1447" s="18"/>
      <c r="L1447" s="18"/>
      <c r="M1447" s="18"/>
    </row>
    <row r="1448" s="65" customFormat="1" ht="13.5" spans="1:13">
      <c r="A1448" s="66"/>
      <c r="E1448" s="72" t="s">
        <v>1523</v>
      </c>
      <c r="F1448" s="18"/>
      <c r="G1448" s="18"/>
      <c r="H1448" s="18"/>
      <c r="I1448" s="18"/>
      <c r="J1448" s="18"/>
      <c r="K1448" s="18"/>
      <c r="L1448" s="18"/>
      <c r="M1448" s="18"/>
    </row>
    <row r="1449" s="65" customFormat="1" ht="13.5" spans="1:13">
      <c r="A1449" s="66"/>
      <c r="E1449" s="72" t="s">
        <v>1524</v>
      </c>
      <c r="F1449" s="18"/>
      <c r="G1449" s="18"/>
      <c r="H1449" s="18"/>
      <c r="I1449" s="18"/>
      <c r="J1449" s="18"/>
      <c r="K1449" s="18"/>
      <c r="L1449" s="18"/>
      <c r="M1449" s="18"/>
    </row>
    <row r="1450" s="65" customFormat="1" ht="13.5" spans="1:13">
      <c r="A1450" s="66"/>
      <c r="E1450" s="72" t="s">
        <v>1525</v>
      </c>
      <c r="F1450" s="18"/>
      <c r="G1450" s="18"/>
      <c r="H1450" s="18"/>
      <c r="I1450" s="18"/>
      <c r="J1450" s="18"/>
      <c r="K1450" s="18"/>
      <c r="L1450" s="18"/>
      <c r="M1450" s="18"/>
    </row>
    <row r="1451" s="65" customFormat="1" ht="13.5" spans="1:13">
      <c r="A1451" s="66"/>
      <c r="E1451" s="72" t="s">
        <v>1526</v>
      </c>
      <c r="F1451" s="18"/>
      <c r="G1451" s="18"/>
      <c r="H1451" s="18"/>
      <c r="I1451" s="18"/>
      <c r="J1451" s="18"/>
      <c r="K1451" s="18"/>
      <c r="L1451" s="18"/>
      <c r="M1451" s="18"/>
    </row>
    <row r="1452" s="65" customFormat="1" ht="13.5" spans="1:13">
      <c r="A1452" s="66"/>
      <c r="E1452" s="72" t="s">
        <v>1527</v>
      </c>
      <c r="F1452" s="18"/>
      <c r="G1452" s="18"/>
      <c r="H1452" s="18"/>
      <c r="I1452" s="18"/>
      <c r="J1452" s="18"/>
      <c r="K1452" s="18"/>
      <c r="L1452" s="18"/>
      <c r="M1452" s="18"/>
    </row>
    <row r="1453" s="65" customFormat="1" ht="13.5" spans="1:13">
      <c r="A1453" s="66"/>
      <c r="E1453" s="72" t="s">
        <v>1528</v>
      </c>
      <c r="F1453" s="18"/>
      <c r="G1453" s="18"/>
      <c r="H1453" s="18"/>
      <c r="I1453" s="18"/>
      <c r="J1453" s="18"/>
      <c r="K1453" s="18"/>
      <c r="L1453" s="18"/>
      <c r="M1453" s="18"/>
    </row>
    <row r="1454" s="65" customFormat="1" ht="13.5" spans="1:13">
      <c r="A1454" s="66"/>
      <c r="E1454" s="72" t="s">
        <v>1529</v>
      </c>
      <c r="F1454" s="18"/>
      <c r="G1454" s="18"/>
      <c r="H1454" s="18"/>
      <c r="I1454" s="18"/>
      <c r="J1454" s="18"/>
      <c r="K1454" s="18"/>
      <c r="L1454" s="18"/>
      <c r="M1454" s="18"/>
    </row>
    <row r="1455" s="65" customFormat="1" ht="13.5" spans="1:13">
      <c r="A1455" s="66"/>
      <c r="E1455" s="72" t="s">
        <v>1530</v>
      </c>
      <c r="F1455" s="18"/>
      <c r="G1455" s="18"/>
      <c r="H1455" s="18"/>
      <c r="I1455" s="18"/>
      <c r="J1455" s="18"/>
      <c r="K1455" s="18"/>
      <c r="L1455" s="18"/>
      <c r="M1455" s="18"/>
    </row>
    <row r="1456" s="65" customFormat="1" ht="13.5" spans="1:13">
      <c r="A1456" s="66"/>
      <c r="E1456" s="72" t="s">
        <v>1531</v>
      </c>
      <c r="F1456" s="18"/>
      <c r="G1456" s="18"/>
      <c r="H1456" s="18"/>
      <c r="I1456" s="18"/>
      <c r="J1456" s="18"/>
      <c r="K1456" s="18"/>
      <c r="L1456" s="18"/>
      <c r="M1456" s="18"/>
    </row>
    <row r="1457" s="65" customFormat="1" ht="13.5" spans="1:13">
      <c r="A1457" s="66"/>
      <c r="E1457" s="72" t="s">
        <v>1532</v>
      </c>
      <c r="F1457" s="18"/>
      <c r="G1457" s="18"/>
      <c r="H1457" s="18"/>
      <c r="I1457" s="18"/>
      <c r="J1457" s="18"/>
      <c r="K1457" s="18"/>
      <c r="L1457" s="18"/>
      <c r="M1457" s="18"/>
    </row>
    <row r="1458" s="65" customFormat="1" ht="13.5" spans="1:13">
      <c r="A1458" s="66"/>
      <c r="E1458" s="72" t="s">
        <v>1533</v>
      </c>
      <c r="F1458" s="18"/>
      <c r="G1458" s="18"/>
      <c r="H1458" s="18"/>
      <c r="I1458" s="18"/>
      <c r="J1458" s="18"/>
      <c r="K1458" s="18"/>
      <c r="L1458" s="18"/>
      <c r="M1458" s="18"/>
    </row>
    <row r="1459" s="65" customFormat="1" ht="13.5" spans="1:13">
      <c r="A1459" s="66"/>
      <c r="E1459" s="72" t="s">
        <v>1534</v>
      </c>
      <c r="F1459" s="18"/>
      <c r="G1459" s="18"/>
      <c r="H1459" s="18"/>
      <c r="I1459" s="18"/>
      <c r="J1459" s="18"/>
      <c r="K1459" s="18"/>
      <c r="L1459" s="18"/>
      <c r="M1459" s="18"/>
    </row>
    <row r="1460" s="65" customFormat="1" ht="13.5" spans="1:13">
      <c r="A1460" s="66"/>
      <c r="E1460" s="72" t="s">
        <v>1535</v>
      </c>
      <c r="F1460" s="18"/>
      <c r="G1460" s="18"/>
      <c r="H1460" s="18"/>
      <c r="I1460" s="18"/>
      <c r="J1460" s="18"/>
      <c r="K1460" s="18"/>
      <c r="L1460" s="18"/>
      <c r="M1460" s="18"/>
    </row>
    <row r="1461" s="65" customFormat="1" ht="13.5" spans="1:13">
      <c r="A1461" s="66"/>
      <c r="E1461" s="72" t="s">
        <v>1536</v>
      </c>
      <c r="F1461" s="18"/>
      <c r="G1461" s="18"/>
      <c r="H1461" s="18"/>
      <c r="I1461" s="18"/>
      <c r="J1461" s="18"/>
      <c r="K1461" s="18"/>
      <c r="L1461" s="18"/>
      <c r="M1461" s="18"/>
    </row>
    <row r="1462" s="65" customFormat="1" ht="13.5" spans="1:13">
      <c r="A1462" s="66"/>
      <c r="E1462" s="72" t="s">
        <v>1537</v>
      </c>
      <c r="F1462" s="18"/>
      <c r="G1462" s="18"/>
      <c r="H1462" s="18"/>
      <c r="I1462" s="18"/>
      <c r="J1462" s="18"/>
      <c r="K1462" s="18"/>
      <c r="L1462" s="18"/>
      <c r="M1462" s="18"/>
    </row>
    <row r="1463" s="65" customFormat="1" ht="13.5" spans="1:13">
      <c r="A1463" s="66"/>
      <c r="E1463" s="72" t="s">
        <v>1538</v>
      </c>
      <c r="F1463" s="18"/>
      <c r="G1463" s="18"/>
      <c r="H1463" s="18"/>
      <c r="I1463" s="18"/>
      <c r="J1463" s="18"/>
      <c r="K1463" s="18"/>
      <c r="L1463" s="18"/>
      <c r="M1463" s="18"/>
    </row>
    <row r="1464" s="65" customFormat="1" ht="13.5" spans="1:13">
      <c r="A1464" s="66"/>
      <c r="E1464" s="72" t="s">
        <v>1539</v>
      </c>
      <c r="F1464" s="18"/>
      <c r="G1464" s="18"/>
      <c r="H1464" s="18"/>
      <c r="I1464" s="18"/>
      <c r="J1464" s="18"/>
      <c r="K1464" s="18"/>
      <c r="L1464" s="18"/>
      <c r="M1464" s="18"/>
    </row>
    <row r="1465" s="65" customFormat="1" ht="13.5" spans="1:13">
      <c r="A1465" s="66"/>
      <c r="E1465" s="72" t="s">
        <v>1540</v>
      </c>
      <c r="F1465" s="18"/>
      <c r="G1465" s="18"/>
      <c r="H1465" s="18"/>
      <c r="I1465" s="18"/>
      <c r="J1465" s="18"/>
      <c r="K1465" s="18"/>
      <c r="L1465" s="18"/>
      <c r="M1465" s="18"/>
    </row>
    <row r="1466" s="65" customFormat="1" ht="13.5" spans="1:13">
      <c r="A1466" s="66"/>
      <c r="E1466" s="72" t="s">
        <v>1541</v>
      </c>
      <c r="F1466" s="18"/>
      <c r="G1466" s="18"/>
      <c r="H1466" s="18"/>
      <c r="I1466" s="18"/>
      <c r="J1466" s="18"/>
      <c r="K1466" s="18"/>
      <c r="L1466" s="18"/>
      <c r="M1466" s="18"/>
    </row>
    <row r="1467" s="65" customFormat="1" ht="13.5" spans="1:13">
      <c r="A1467" s="66"/>
      <c r="E1467" s="72" t="s">
        <v>1542</v>
      </c>
      <c r="F1467" s="18"/>
      <c r="G1467" s="18"/>
      <c r="H1467" s="18"/>
      <c r="I1467" s="18"/>
      <c r="J1467" s="18"/>
      <c r="K1467" s="18"/>
      <c r="L1467" s="18"/>
      <c r="M1467" s="18"/>
    </row>
    <row r="1468" s="65" customFormat="1" ht="13.5" spans="1:13">
      <c r="A1468" s="66"/>
      <c r="E1468" s="72" t="s">
        <v>1543</v>
      </c>
      <c r="F1468" s="18"/>
      <c r="G1468" s="18"/>
      <c r="H1468" s="18"/>
      <c r="I1468" s="18"/>
      <c r="J1468" s="18"/>
      <c r="K1468" s="18"/>
      <c r="L1468" s="18"/>
      <c r="M1468" s="18"/>
    </row>
    <row r="1469" s="65" customFormat="1" ht="13.5" spans="1:13">
      <c r="A1469" s="66"/>
      <c r="E1469" s="72" t="s">
        <v>1544</v>
      </c>
      <c r="F1469" s="18"/>
      <c r="G1469" s="18"/>
      <c r="H1469" s="18"/>
      <c r="I1469" s="18"/>
      <c r="J1469" s="18"/>
      <c r="K1469" s="18"/>
      <c r="L1469" s="18"/>
      <c r="M1469" s="18"/>
    </row>
    <row r="1470" s="65" customFormat="1" ht="13.5" spans="1:13">
      <c r="A1470" s="66"/>
      <c r="E1470" s="72" t="s">
        <v>1545</v>
      </c>
      <c r="F1470" s="18"/>
      <c r="G1470" s="18"/>
      <c r="H1470" s="18"/>
      <c r="I1470" s="18"/>
      <c r="J1470" s="18"/>
      <c r="K1470" s="18"/>
      <c r="L1470" s="18"/>
      <c r="M1470" s="18"/>
    </row>
    <row r="1471" s="65" customFormat="1" ht="13.5" spans="1:13">
      <c r="A1471" s="66"/>
      <c r="E1471" s="72" t="s">
        <v>1546</v>
      </c>
      <c r="F1471" s="18"/>
      <c r="G1471" s="18"/>
      <c r="H1471" s="18"/>
      <c r="I1471" s="18"/>
      <c r="J1471" s="18"/>
      <c r="K1471" s="18"/>
      <c r="L1471" s="18"/>
      <c r="M1471" s="18"/>
    </row>
    <row r="1472" s="65" customFormat="1" ht="13.5" spans="1:13">
      <c r="A1472" s="66"/>
      <c r="E1472" s="72" t="s">
        <v>1547</v>
      </c>
      <c r="F1472" s="18"/>
      <c r="G1472" s="18"/>
      <c r="H1472" s="18"/>
      <c r="I1472" s="18"/>
      <c r="J1472" s="18"/>
      <c r="K1472" s="18"/>
      <c r="L1472" s="18"/>
      <c r="M1472" s="18"/>
    </row>
    <row r="1473" s="65" customFormat="1" ht="13.5" spans="1:13">
      <c r="A1473" s="66"/>
      <c r="E1473" s="72" t="s">
        <v>1548</v>
      </c>
      <c r="F1473" s="18"/>
      <c r="G1473" s="18"/>
      <c r="H1473" s="18"/>
      <c r="I1473" s="18"/>
      <c r="J1473" s="18"/>
      <c r="K1473" s="18"/>
      <c r="L1473" s="18"/>
      <c r="M1473" s="18"/>
    </row>
    <row r="1474" s="65" customFormat="1" ht="13.5" spans="1:13">
      <c r="A1474" s="66"/>
      <c r="E1474" s="72" t="s">
        <v>1549</v>
      </c>
      <c r="F1474" s="18"/>
      <c r="G1474" s="18"/>
      <c r="H1474" s="18"/>
      <c r="I1474" s="18"/>
      <c r="J1474" s="18"/>
      <c r="K1474" s="18"/>
      <c r="L1474" s="18"/>
      <c r="M1474" s="18"/>
    </row>
    <row r="1475" s="65" customFormat="1" ht="13.5" spans="1:13">
      <c r="A1475" s="66"/>
      <c r="E1475" s="72" t="s">
        <v>1550</v>
      </c>
      <c r="F1475" s="18"/>
      <c r="G1475" s="18"/>
      <c r="H1475" s="18"/>
      <c r="I1475" s="18"/>
      <c r="J1475" s="18"/>
      <c r="K1475" s="18"/>
      <c r="L1475" s="18"/>
      <c r="M1475" s="18"/>
    </row>
    <row r="1476" s="65" customFormat="1" ht="13.5" spans="1:13">
      <c r="A1476" s="66"/>
      <c r="E1476" s="72" t="s">
        <v>1551</v>
      </c>
      <c r="F1476" s="18"/>
      <c r="G1476" s="18"/>
      <c r="H1476" s="18"/>
      <c r="I1476" s="18"/>
      <c r="J1476" s="18"/>
      <c r="K1476" s="18"/>
      <c r="L1476" s="18"/>
      <c r="M1476" s="18"/>
    </row>
    <row r="1477" s="65" customFormat="1" ht="13.5" spans="1:13">
      <c r="A1477" s="66"/>
      <c r="E1477" s="72" t="s">
        <v>1552</v>
      </c>
      <c r="F1477" s="18"/>
      <c r="G1477" s="18"/>
      <c r="H1477" s="18"/>
      <c r="I1477" s="18"/>
      <c r="J1477" s="18"/>
      <c r="K1477" s="18"/>
      <c r="L1477" s="18"/>
      <c r="M1477" s="18"/>
    </row>
    <row r="1478" s="65" customFormat="1" ht="13.5" spans="1:13">
      <c r="A1478" s="66"/>
      <c r="E1478" s="72" t="s">
        <v>1553</v>
      </c>
      <c r="F1478" s="18"/>
      <c r="G1478" s="18"/>
      <c r="H1478" s="18"/>
      <c r="I1478" s="18"/>
      <c r="J1478" s="18"/>
      <c r="K1478" s="18"/>
      <c r="L1478" s="18"/>
      <c r="M1478" s="18"/>
    </row>
    <row r="1479" s="65" customFormat="1" ht="13.5" spans="1:13">
      <c r="A1479" s="66"/>
      <c r="E1479" s="72" t="s">
        <v>1554</v>
      </c>
      <c r="F1479" s="18"/>
      <c r="G1479" s="18"/>
      <c r="H1479" s="18"/>
      <c r="I1479" s="18"/>
      <c r="J1479" s="18"/>
      <c r="K1479" s="18"/>
      <c r="L1479" s="18"/>
      <c r="M1479" s="18"/>
    </row>
    <row r="1480" s="65" customFormat="1" ht="13.5" spans="1:13">
      <c r="A1480" s="66"/>
      <c r="E1480" s="72" t="s">
        <v>1555</v>
      </c>
      <c r="F1480" s="18"/>
      <c r="G1480" s="18"/>
      <c r="H1480" s="18"/>
      <c r="I1480" s="18"/>
      <c r="J1480" s="18"/>
      <c r="K1480" s="18"/>
      <c r="L1480" s="18"/>
      <c r="M1480" s="18"/>
    </row>
    <row r="1481" s="65" customFormat="1" ht="13.5" spans="1:13">
      <c r="A1481" s="66"/>
      <c r="E1481" s="72" t="s">
        <v>1556</v>
      </c>
      <c r="F1481" s="18"/>
      <c r="G1481" s="18"/>
      <c r="H1481" s="18"/>
      <c r="I1481" s="18"/>
      <c r="J1481" s="18"/>
      <c r="K1481" s="18"/>
      <c r="L1481" s="18"/>
      <c r="M1481" s="18"/>
    </row>
    <row r="1482" s="65" customFormat="1" ht="13.5" spans="1:13">
      <c r="A1482" s="66"/>
      <c r="E1482" s="72" t="s">
        <v>1557</v>
      </c>
      <c r="F1482" s="18"/>
      <c r="G1482" s="18"/>
      <c r="H1482" s="18"/>
      <c r="I1482" s="18"/>
      <c r="J1482" s="18"/>
      <c r="K1482" s="18"/>
      <c r="L1482" s="18"/>
      <c r="M1482" s="18"/>
    </row>
    <row r="1483" s="65" customFormat="1" ht="13.5" spans="1:13">
      <c r="A1483" s="66"/>
      <c r="E1483" s="72" t="s">
        <v>1558</v>
      </c>
      <c r="F1483" s="18"/>
      <c r="G1483" s="18"/>
      <c r="H1483" s="18"/>
      <c r="I1483" s="18"/>
      <c r="J1483" s="18"/>
      <c r="K1483" s="18"/>
      <c r="L1483" s="18"/>
      <c r="M1483" s="18"/>
    </row>
    <row r="1484" s="65" customFormat="1" ht="13.5" spans="1:13">
      <c r="A1484" s="66"/>
      <c r="E1484" s="72" t="s">
        <v>1559</v>
      </c>
      <c r="F1484" s="18"/>
      <c r="G1484" s="18"/>
      <c r="H1484" s="18"/>
      <c r="I1484" s="18"/>
      <c r="J1484" s="18"/>
      <c r="K1484" s="18"/>
      <c r="L1484" s="18"/>
      <c r="M1484" s="18"/>
    </row>
    <row r="1485" s="65" customFormat="1" ht="13.5" spans="1:13">
      <c r="A1485" s="66"/>
      <c r="E1485" s="72" t="s">
        <v>1560</v>
      </c>
      <c r="F1485" s="18"/>
      <c r="G1485" s="18"/>
      <c r="H1485" s="18"/>
      <c r="I1485" s="18"/>
      <c r="J1485" s="18"/>
      <c r="K1485" s="18"/>
      <c r="L1485" s="18"/>
      <c r="M1485" s="18"/>
    </row>
    <row r="1486" s="65" customFormat="1" ht="13.5" spans="1:13">
      <c r="A1486" s="66"/>
      <c r="E1486" s="72" t="s">
        <v>1561</v>
      </c>
      <c r="F1486" s="18"/>
      <c r="G1486" s="18"/>
      <c r="H1486" s="18"/>
      <c r="I1486" s="18"/>
      <c r="J1486" s="18"/>
      <c r="K1486" s="18"/>
      <c r="L1486" s="18"/>
      <c r="M1486" s="18"/>
    </row>
    <row r="1487" s="65" customFormat="1" ht="13.5" spans="1:13">
      <c r="A1487" s="66"/>
      <c r="E1487" s="72" t="s">
        <v>1562</v>
      </c>
      <c r="F1487" s="18"/>
      <c r="G1487" s="18"/>
      <c r="H1487" s="18"/>
      <c r="I1487" s="18"/>
      <c r="J1487" s="18"/>
      <c r="K1487" s="18"/>
      <c r="L1487" s="18"/>
      <c r="M1487" s="18"/>
    </row>
    <row r="1488" s="65" customFormat="1" ht="13.5" spans="1:13">
      <c r="A1488" s="66"/>
      <c r="E1488" s="72" t="s">
        <v>1563</v>
      </c>
      <c r="F1488" s="18"/>
      <c r="G1488" s="18"/>
      <c r="H1488" s="18"/>
      <c r="I1488" s="18"/>
      <c r="J1488" s="18"/>
      <c r="K1488" s="18"/>
      <c r="L1488" s="18"/>
      <c r="M1488" s="18"/>
    </row>
    <row r="1489" s="65" customFormat="1" ht="13.5" spans="1:13">
      <c r="A1489" s="66"/>
      <c r="E1489" s="72" t="s">
        <v>1564</v>
      </c>
      <c r="F1489" s="18"/>
      <c r="G1489" s="18"/>
      <c r="H1489" s="18"/>
      <c r="I1489" s="18"/>
      <c r="J1489" s="18"/>
      <c r="K1489" s="18"/>
      <c r="L1489" s="18"/>
      <c r="M1489" s="18"/>
    </row>
    <row r="1490" s="65" customFormat="1" ht="13.5" spans="1:13">
      <c r="A1490" s="66"/>
      <c r="E1490" s="72" t="s">
        <v>1565</v>
      </c>
      <c r="F1490" s="18"/>
      <c r="G1490" s="18"/>
      <c r="H1490" s="18"/>
      <c r="I1490" s="18"/>
      <c r="J1490" s="18"/>
      <c r="K1490" s="18"/>
      <c r="L1490" s="18"/>
      <c r="M1490" s="18"/>
    </row>
    <row r="1491" s="65" customFormat="1" ht="13.5" spans="1:13">
      <c r="A1491" s="66"/>
      <c r="E1491" s="72" t="s">
        <v>1566</v>
      </c>
      <c r="F1491" s="18"/>
      <c r="G1491" s="18"/>
      <c r="H1491" s="18"/>
      <c r="I1491" s="18"/>
      <c r="J1491" s="18"/>
      <c r="K1491" s="18"/>
      <c r="L1491" s="18"/>
      <c r="M1491" s="18"/>
    </row>
    <row r="1492" s="65" customFormat="1" ht="13.5" spans="1:13">
      <c r="A1492" s="66"/>
      <c r="E1492" s="72" t="s">
        <v>1567</v>
      </c>
      <c r="F1492" s="18"/>
      <c r="G1492" s="18"/>
      <c r="H1492" s="18"/>
      <c r="I1492" s="18"/>
      <c r="J1492" s="18"/>
      <c r="K1492" s="18"/>
      <c r="L1492" s="18"/>
      <c r="M1492" s="18"/>
    </row>
    <row r="1493" s="65" customFormat="1" ht="13.5" spans="1:13">
      <c r="A1493" s="66"/>
      <c r="E1493" s="72" t="s">
        <v>1568</v>
      </c>
      <c r="F1493" s="18"/>
      <c r="G1493" s="18"/>
      <c r="H1493" s="18"/>
      <c r="I1493" s="18"/>
      <c r="J1493" s="18"/>
      <c r="K1493" s="18"/>
      <c r="L1493" s="18"/>
      <c r="M1493" s="18"/>
    </row>
    <row r="1494" s="65" customFormat="1" ht="13.5" spans="1:13">
      <c r="A1494" s="66"/>
      <c r="E1494" s="72" t="s">
        <v>1569</v>
      </c>
      <c r="F1494" s="18"/>
      <c r="G1494" s="18"/>
      <c r="H1494" s="18"/>
      <c r="I1494" s="18"/>
      <c r="J1494" s="18"/>
      <c r="K1494" s="18"/>
      <c r="L1494" s="18"/>
      <c r="M1494" s="18"/>
    </row>
    <row r="1495" s="65" customFormat="1" ht="13.5" spans="1:13">
      <c r="A1495" s="66"/>
      <c r="E1495" s="72" t="s">
        <v>1570</v>
      </c>
      <c r="F1495" s="18"/>
      <c r="G1495" s="18"/>
      <c r="H1495" s="18"/>
      <c r="I1495" s="18"/>
      <c r="J1495" s="18"/>
      <c r="K1495" s="18"/>
      <c r="L1495" s="18"/>
      <c r="M1495" s="18"/>
    </row>
    <row r="1496" s="65" customFormat="1" ht="13.5" spans="1:13">
      <c r="A1496" s="66"/>
      <c r="E1496" s="72" t="s">
        <v>1571</v>
      </c>
      <c r="F1496" s="18"/>
      <c r="G1496" s="18"/>
      <c r="H1496" s="18"/>
      <c r="I1496" s="18"/>
      <c r="J1496" s="18"/>
      <c r="K1496" s="18"/>
      <c r="L1496" s="18"/>
      <c r="M1496" s="18"/>
    </row>
    <row r="1497" s="65" customFormat="1" ht="13.5" spans="1:13">
      <c r="A1497" s="66"/>
      <c r="E1497" s="72" t="s">
        <v>1572</v>
      </c>
      <c r="F1497" s="18"/>
      <c r="G1497" s="18"/>
      <c r="H1497" s="18"/>
      <c r="I1497" s="18"/>
      <c r="J1497" s="18"/>
      <c r="K1497" s="18"/>
      <c r="L1497" s="18"/>
      <c r="M1497" s="18"/>
    </row>
    <row r="1498" s="65" customFormat="1" ht="13.5" spans="1:13">
      <c r="A1498" s="66"/>
      <c r="E1498" s="72" t="s">
        <v>1573</v>
      </c>
      <c r="F1498" s="18"/>
      <c r="G1498" s="18"/>
      <c r="H1498" s="18"/>
      <c r="I1498" s="18"/>
      <c r="J1498" s="18"/>
      <c r="K1498" s="18"/>
      <c r="L1498" s="18"/>
      <c r="M1498" s="18"/>
    </row>
    <row r="1499" s="65" customFormat="1" ht="13.5" spans="1:13">
      <c r="A1499" s="66"/>
      <c r="E1499" s="72" t="s">
        <v>1574</v>
      </c>
      <c r="F1499" s="18"/>
      <c r="G1499" s="18"/>
      <c r="H1499" s="18"/>
      <c r="I1499" s="18"/>
      <c r="J1499" s="18"/>
      <c r="K1499" s="18"/>
      <c r="L1499" s="18"/>
      <c r="M1499" s="18"/>
    </row>
    <row r="1500" s="65" customFormat="1" ht="13.5" spans="1:13">
      <c r="A1500" s="66"/>
      <c r="E1500" s="72" t="s">
        <v>1575</v>
      </c>
      <c r="F1500" s="18"/>
      <c r="G1500" s="18"/>
      <c r="H1500" s="18"/>
      <c r="I1500" s="18"/>
      <c r="J1500" s="18"/>
      <c r="K1500" s="18"/>
      <c r="L1500" s="18"/>
      <c r="M1500" s="18"/>
    </row>
    <row r="1501" s="65" customFormat="1" ht="13.5" spans="1:13">
      <c r="A1501" s="66"/>
      <c r="E1501" s="72" t="s">
        <v>1576</v>
      </c>
      <c r="F1501" s="18"/>
      <c r="G1501" s="18"/>
      <c r="H1501" s="18"/>
      <c r="I1501" s="18"/>
      <c r="J1501" s="18"/>
      <c r="K1501" s="18"/>
      <c r="L1501" s="18"/>
      <c r="M1501" s="18"/>
    </row>
    <row r="1502" s="65" customFormat="1" ht="13.5" spans="1:13">
      <c r="A1502" s="66"/>
      <c r="E1502" s="72" t="s">
        <v>1577</v>
      </c>
      <c r="F1502" s="18"/>
      <c r="G1502" s="18"/>
      <c r="H1502" s="18"/>
      <c r="I1502" s="18"/>
      <c r="J1502" s="18"/>
      <c r="K1502" s="18"/>
      <c r="L1502" s="18"/>
      <c r="M1502" s="18"/>
    </row>
    <row r="1503" s="65" customFormat="1" ht="13.5" spans="1:13">
      <c r="A1503" s="66"/>
      <c r="E1503" s="72" t="s">
        <v>1578</v>
      </c>
      <c r="F1503" s="18"/>
      <c r="G1503" s="18"/>
      <c r="H1503" s="18"/>
      <c r="I1503" s="18"/>
      <c r="J1503" s="18"/>
      <c r="K1503" s="18"/>
      <c r="L1503" s="18"/>
      <c r="M1503" s="18"/>
    </row>
    <row r="1504" s="65" customFormat="1" ht="13.5" spans="1:13">
      <c r="A1504" s="66"/>
      <c r="E1504" s="72" t="s">
        <v>1579</v>
      </c>
      <c r="F1504" s="18"/>
      <c r="G1504" s="18"/>
      <c r="H1504" s="18"/>
      <c r="I1504" s="18"/>
      <c r="J1504" s="18"/>
      <c r="K1504" s="18"/>
      <c r="L1504" s="18"/>
      <c r="M1504" s="18"/>
    </row>
    <row r="1505" s="65" customFormat="1" ht="13.5" spans="1:13">
      <c r="A1505" s="66"/>
      <c r="E1505" s="72" t="s">
        <v>1580</v>
      </c>
      <c r="F1505" s="18"/>
      <c r="G1505" s="18"/>
      <c r="H1505" s="18"/>
      <c r="I1505" s="18"/>
      <c r="J1505" s="18"/>
      <c r="K1505" s="18"/>
      <c r="L1505" s="18"/>
      <c r="M1505" s="18"/>
    </row>
    <row r="1506" s="65" customFormat="1" ht="13.5" spans="1:13">
      <c r="A1506" s="66"/>
      <c r="E1506" s="72" t="s">
        <v>1581</v>
      </c>
      <c r="F1506" s="18"/>
      <c r="G1506" s="18"/>
      <c r="H1506" s="18"/>
      <c r="I1506" s="18"/>
      <c r="J1506" s="18"/>
      <c r="K1506" s="18"/>
      <c r="L1506" s="18"/>
      <c r="M1506" s="18"/>
    </row>
    <row r="1507" s="65" customFormat="1" ht="13.5" spans="1:13">
      <c r="A1507" s="66"/>
      <c r="E1507" s="72" t="s">
        <v>1582</v>
      </c>
      <c r="F1507" s="18"/>
      <c r="G1507" s="18"/>
      <c r="H1507" s="18"/>
      <c r="I1507" s="18"/>
      <c r="J1507" s="18"/>
      <c r="K1507" s="18"/>
      <c r="L1507" s="18"/>
      <c r="M1507" s="18"/>
    </row>
    <row r="1508" s="65" customFormat="1" ht="13.5" spans="1:13">
      <c r="A1508" s="66"/>
      <c r="E1508" s="72" t="s">
        <v>1583</v>
      </c>
      <c r="F1508" s="18"/>
      <c r="G1508" s="18"/>
      <c r="H1508" s="18"/>
      <c r="I1508" s="18"/>
      <c r="J1508" s="18"/>
      <c r="K1508" s="18"/>
      <c r="L1508" s="18"/>
      <c r="M1508" s="18"/>
    </row>
    <row r="1509" s="65" customFormat="1" ht="13.5" spans="1:13">
      <c r="A1509" s="66"/>
      <c r="E1509" s="72" t="s">
        <v>1584</v>
      </c>
      <c r="F1509" s="18"/>
      <c r="G1509" s="18"/>
      <c r="H1509" s="18"/>
      <c r="I1509" s="18"/>
      <c r="J1509" s="18"/>
      <c r="K1509" s="18"/>
      <c r="L1509" s="18"/>
      <c r="M1509" s="18"/>
    </row>
    <row r="1510" s="65" customFormat="1" ht="13.5" spans="1:13">
      <c r="A1510" s="66"/>
      <c r="E1510" s="72" t="s">
        <v>1585</v>
      </c>
      <c r="F1510" s="18"/>
      <c r="G1510" s="18"/>
      <c r="H1510" s="18"/>
      <c r="I1510" s="18"/>
      <c r="J1510" s="18"/>
      <c r="K1510" s="18"/>
      <c r="L1510" s="18"/>
      <c r="M1510" s="18"/>
    </row>
    <row r="1511" s="65" customFormat="1" ht="13.5" spans="1:13">
      <c r="A1511" s="66"/>
      <c r="E1511" s="72" t="s">
        <v>1586</v>
      </c>
      <c r="F1511" s="18"/>
      <c r="G1511" s="18"/>
      <c r="H1511" s="18"/>
      <c r="I1511" s="18"/>
      <c r="J1511" s="18"/>
      <c r="K1511" s="18"/>
      <c r="L1511" s="18"/>
      <c r="M1511" s="18"/>
    </row>
    <row r="1512" s="65" customFormat="1" ht="13.5" spans="1:13">
      <c r="A1512" s="66"/>
      <c r="E1512" s="72" t="s">
        <v>1587</v>
      </c>
      <c r="F1512" s="18"/>
      <c r="G1512" s="18"/>
      <c r="H1512" s="18"/>
      <c r="I1512" s="18"/>
      <c r="J1512" s="18"/>
      <c r="K1512" s="18"/>
      <c r="L1512" s="18"/>
      <c r="M1512" s="18"/>
    </row>
    <row r="1513" s="65" customFormat="1" ht="13.5" spans="1:13">
      <c r="A1513" s="66"/>
      <c r="E1513" s="72" t="s">
        <v>1588</v>
      </c>
      <c r="F1513" s="18"/>
      <c r="G1513" s="18"/>
      <c r="H1513" s="18"/>
      <c r="I1513" s="18"/>
      <c r="J1513" s="18"/>
      <c r="K1513" s="18"/>
      <c r="L1513" s="18"/>
      <c r="M1513" s="18"/>
    </row>
    <row r="1514" s="65" customFormat="1" ht="13.5" spans="1:13">
      <c r="A1514" s="66"/>
      <c r="E1514" s="72" t="s">
        <v>1589</v>
      </c>
      <c r="F1514" s="18"/>
      <c r="G1514" s="18"/>
      <c r="H1514" s="18"/>
      <c r="I1514" s="18"/>
      <c r="J1514" s="18"/>
      <c r="K1514" s="18"/>
      <c r="L1514" s="18"/>
      <c r="M1514" s="18"/>
    </row>
    <row r="1515" s="65" customFormat="1" ht="13.5" spans="1:13">
      <c r="A1515" s="66"/>
      <c r="E1515" s="72" t="s">
        <v>1590</v>
      </c>
      <c r="F1515" s="18"/>
      <c r="G1515" s="18"/>
      <c r="H1515" s="18"/>
      <c r="I1515" s="18"/>
      <c r="J1515" s="18"/>
      <c r="K1515" s="18"/>
      <c r="L1515" s="18"/>
      <c r="M1515" s="18"/>
    </row>
    <row r="1516" s="65" customFormat="1" ht="13.5" spans="1:13">
      <c r="A1516" s="66"/>
      <c r="E1516" s="72" t="s">
        <v>1591</v>
      </c>
      <c r="F1516" s="18"/>
      <c r="G1516" s="18"/>
      <c r="H1516" s="18"/>
      <c r="I1516" s="18"/>
      <c r="J1516" s="18"/>
      <c r="K1516" s="18"/>
      <c r="L1516" s="18"/>
      <c r="M1516" s="18"/>
    </row>
    <row r="1517" s="65" customFormat="1" ht="13.5" spans="1:13">
      <c r="A1517" s="66"/>
      <c r="E1517" s="72" t="s">
        <v>1592</v>
      </c>
      <c r="F1517" s="18"/>
      <c r="G1517" s="18"/>
      <c r="H1517" s="18"/>
      <c r="I1517" s="18"/>
      <c r="J1517" s="18"/>
      <c r="K1517" s="18"/>
      <c r="L1517" s="18"/>
      <c r="M1517" s="18"/>
    </row>
    <row r="1518" s="65" customFormat="1" ht="13.5" spans="1:13">
      <c r="A1518" s="66"/>
      <c r="E1518" s="72" t="s">
        <v>1593</v>
      </c>
      <c r="F1518" s="18"/>
      <c r="G1518" s="18"/>
      <c r="H1518" s="18"/>
      <c r="I1518" s="18"/>
      <c r="J1518" s="18"/>
      <c r="K1518" s="18"/>
      <c r="L1518" s="18"/>
      <c r="M1518" s="18"/>
    </row>
    <row r="1519" s="65" customFormat="1" ht="13.5" spans="1:13">
      <c r="A1519" s="66"/>
      <c r="E1519" s="72" t="s">
        <v>1594</v>
      </c>
      <c r="F1519" s="18"/>
      <c r="G1519" s="18"/>
      <c r="H1519" s="18"/>
      <c r="I1519" s="18"/>
      <c r="J1519" s="18"/>
      <c r="K1519" s="18"/>
      <c r="L1519" s="18"/>
      <c r="M1519" s="18"/>
    </row>
    <row r="1520" s="65" customFormat="1" ht="13.5" spans="1:13">
      <c r="A1520" s="66"/>
      <c r="E1520" s="72" t="s">
        <v>1595</v>
      </c>
      <c r="F1520" s="18"/>
      <c r="G1520" s="18"/>
      <c r="H1520" s="18"/>
      <c r="I1520" s="18"/>
      <c r="J1520" s="18"/>
      <c r="K1520" s="18"/>
      <c r="L1520" s="18"/>
      <c r="M1520" s="18"/>
    </row>
    <row r="1521" s="65" customFormat="1" ht="13.5" spans="1:13">
      <c r="A1521" s="66"/>
      <c r="E1521" s="72" t="s">
        <v>1596</v>
      </c>
      <c r="F1521" s="18"/>
      <c r="G1521" s="18"/>
      <c r="H1521" s="18"/>
      <c r="I1521" s="18"/>
      <c r="J1521" s="18"/>
      <c r="K1521" s="18"/>
      <c r="L1521" s="18"/>
      <c r="M1521" s="18"/>
    </row>
    <row r="1522" s="65" customFormat="1" ht="13.5" spans="1:13">
      <c r="A1522" s="66"/>
      <c r="E1522" s="72" t="s">
        <v>1597</v>
      </c>
      <c r="F1522" s="18"/>
      <c r="G1522" s="18"/>
      <c r="H1522" s="18"/>
      <c r="I1522" s="18"/>
      <c r="J1522" s="18"/>
      <c r="K1522" s="18"/>
      <c r="L1522" s="18"/>
      <c r="M1522" s="18"/>
    </row>
    <row r="1523" s="65" customFormat="1" ht="13.5" spans="1:13">
      <c r="A1523" s="66"/>
      <c r="E1523" s="72" t="s">
        <v>1598</v>
      </c>
      <c r="F1523" s="18"/>
      <c r="G1523" s="18"/>
      <c r="H1523" s="18"/>
      <c r="I1523" s="18"/>
      <c r="J1523" s="18"/>
      <c r="K1523" s="18"/>
      <c r="L1523" s="18"/>
      <c r="M1523" s="18"/>
    </row>
    <row r="1524" s="65" customFormat="1" ht="13.5" spans="1:13">
      <c r="A1524" s="66"/>
      <c r="E1524" s="72" t="s">
        <v>1599</v>
      </c>
      <c r="F1524" s="18"/>
      <c r="G1524" s="18"/>
      <c r="H1524" s="18"/>
      <c r="I1524" s="18"/>
      <c r="J1524" s="18"/>
      <c r="K1524" s="18"/>
      <c r="L1524" s="18"/>
      <c r="M1524" s="18"/>
    </row>
    <row r="1525" s="65" customFormat="1" ht="13.5" spans="1:13">
      <c r="A1525" s="66"/>
      <c r="E1525" s="72" t="s">
        <v>1600</v>
      </c>
      <c r="F1525" s="18"/>
      <c r="G1525" s="18"/>
      <c r="H1525" s="18"/>
      <c r="I1525" s="18"/>
      <c r="J1525" s="18"/>
      <c r="K1525" s="18"/>
      <c r="L1525" s="18"/>
      <c r="M1525" s="18"/>
    </row>
    <row r="1526" s="65" customFormat="1" ht="13.5" spans="1:13">
      <c r="A1526" s="66"/>
      <c r="E1526" s="72" t="s">
        <v>1601</v>
      </c>
      <c r="F1526" s="18"/>
      <c r="G1526" s="18"/>
      <c r="H1526" s="18"/>
      <c r="I1526" s="18"/>
      <c r="J1526" s="18"/>
      <c r="K1526" s="18"/>
      <c r="L1526" s="18"/>
      <c r="M1526" s="18"/>
    </row>
    <row r="1527" s="65" customFormat="1" ht="13.5" spans="1:13">
      <c r="A1527" s="66"/>
      <c r="E1527" s="72" t="s">
        <v>1602</v>
      </c>
      <c r="F1527" s="18"/>
      <c r="G1527" s="18"/>
      <c r="H1527" s="18"/>
      <c r="I1527" s="18"/>
      <c r="J1527" s="18"/>
      <c r="K1527" s="18"/>
      <c r="L1527" s="18"/>
      <c r="M1527" s="18"/>
    </row>
    <row r="1528" s="65" customFormat="1" ht="13.5" spans="1:13">
      <c r="A1528" s="66"/>
      <c r="E1528" s="72" t="s">
        <v>1603</v>
      </c>
      <c r="F1528" s="18"/>
      <c r="G1528" s="18"/>
      <c r="H1528" s="18"/>
      <c r="I1528" s="18"/>
      <c r="J1528" s="18"/>
      <c r="K1528" s="18"/>
      <c r="L1528" s="18"/>
      <c r="M1528" s="18"/>
    </row>
    <row r="1529" s="65" customFormat="1" ht="13.5" spans="1:13">
      <c r="A1529" s="66"/>
      <c r="E1529" s="72" t="s">
        <v>1604</v>
      </c>
      <c r="F1529" s="18"/>
      <c r="G1529" s="18"/>
      <c r="H1529" s="18"/>
      <c r="I1529" s="18"/>
      <c r="J1529" s="18"/>
      <c r="K1529" s="18"/>
      <c r="L1529" s="18"/>
      <c r="M1529" s="18"/>
    </row>
    <row r="1530" s="65" customFormat="1" ht="13.5" spans="1:13">
      <c r="A1530" s="66"/>
      <c r="E1530" s="72" t="s">
        <v>1605</v>
      </c>
      <c r="F1530" s="18"/>
      <c r="G1530" s="18"/>
      <c r="H1530" s="18"/>
      <c r="I1530" s="18"/>
      <c r="J1530" s="18"/>
      <c r="K1530" s="18"/>
      <c r="L1530" s="18"/>
      <c r="M1530" s="18"/>
    </row>
    <row r="1531" s="65" customFormat="1" ht="13.5" spans="1:13">
      <c r="A1531" s="66"/>
      <c r="E1531" s="72" t="s">
        <v>1606</v>
      </c>
      <c r="F1531" s="18"/>
      <c r="G1531" s="18"/>
      <c r="H1531" s="18"/>
      <c r="I1531" s="18"/>
      <c r="J1531" s="18"/>
      <c r="K1531" s="18"/>
      <c r="L1531" s="18"/>
      <c r="M1531" s="18"/>
    </row>
    <row r="1532" s="65" customFormat="1" ht="13.5" spans="1:13">
      <c r="A1532" s="66"/>
      <c r="E1532" s="72" t="s">
        <v>1607</v>
      </c>
      <c r="F1532" s="18"/>
      <c r="G1532" s="18"/>
      <c r="H1532" s="18"/>
      <c r="I1532" s="18"/>
      <c r="J1532" s="18"/>
      <c r="K1532" s="18"/>
      <c r="L1532" s="18"/>
      <c r="M1532" s="18"/>
    </row>
    <row r="1533" s="65" customFormat="1" ht="13.5" spans="1:13">
      <c r="A1533" s="66"/>
      <c r="E1533" s="72" t="s">
        <v>1608</v>
      </c>
      <c r="F1533" s="18"/>
      <c r="G1533" s="18"/>
      <c r="H1533" s="18"/>
      <c r="I1533" s="18"/>
      <c r="J1533" s="18"/>
      <c r="K1533" s="18"/>
      <c r="L1533" s="18"/>
      <c r="M1533" s="18"/>
    </row>
    <row r="1534" s="65" customFormat="1" ht="13.5" spans="1:13">
      <c r="A1534" s="66"/>
      <c r="E1534" s="72" t="s">
        <v>1609</v>
      </c>
      <c r="F1534" s="18"/>
      <c r="G1534" s="18"/>
      <c r="H1534" s="18"/>
      <c r="I1534" s="18"/>
      <c r="J1534" s="18"/>
      <c r="K1534" s="18"/>
      <c r="L1534" s="18"/>
      <c r="M1534" s="18"/>
    </row>
    <row r="1535" s="65" customFormat="1" ht="13.5" spans="1:13">
      <c r="A1535" s="66"/>
      <c r="E1535" s="72" t="s">
        <v>1610</v>
      </c>
      <c r="F1535" s="18"/>
      <c r="G1535" s="18"/>
      <c r="H1535" s="18"/>
      <c r="I1535" s="18"/>
      <c r="J1535" s="18"/>
      <c r="K1535" s="18"/>
      <c r="L1535" s="18"/>
      <c r="M1535" s="18"/>
    </row>
    <row r="1536" s="65" customFormat="1" ht="13.5" spans="1:13">
      <c r="A1536" s="66"/>
      <c r="E1536" s="72" t="s">
        <v>1611</v>
      </c>
      <c r="F1536" s="18"/>
      <c r="G1536" s="18"/>
      <c r="H1536" s="18"/>
      <c r="I1536" s="18"/>
      <c r="J1536" s="18"/>
      <c r="K1536" s="18"/>
      <c r="L1536" s="18"/>
      <c r="M1536" s="18"/>
    </row>
    <row r="1537" s="65" customFormat="1" ht="13.5" spans="1:13">
      <c r="A1537" s="66"/>
      <c r="E1537" s="72" t="s">
        <v>1612</v>
      </c>
      <c r="F1537" s="18"/>
      <c r="G1537" s="18"/>
      <c r="H1537" s="18"/>
      <c r="I1537" s="18"/>
      <c r="J1537" s="18"/>
      <c r="K1537" s="18"/>
      <c r="L1537" s="18"/>
      <c r="M1537" s="18"/>
    </row>
    <row r="1538" s="65" customFormat="1" ht="13.5" spans="1:13">
      <c r="A1538" s="66"/>
      <c r="E1538" s="72" t="s">
        <v>1613</v>
      </c>
      <c r="F1538" s="18"/>
      <c r="G1538" s="18"/>
      <c r="H1538" s="18"/>
      <c r="I1538" s="18"/>
      <c r="J1538" s="18"/>
      <c r="K1538" s="18"/>
      <c r="L1538" s="18"/>
      <c r="M1538" s="18"/>
    </row>
    <row r="1539" s="65" customFormat="1" ht="13.5" spans="1:13">
      <c r="A1539" s="66"/>
      <c r="E1539" s="72" t="s">
        <v>1614</v>
      </c>
      <c r="F1539" s="18"/>
      <c r="G1539" s="18"/>
      <c r="H1539" s="18"/>
      <c r="I1539" s="18"/>
      <c r="J1539" s="18"/>
      <c r="K1539" s="18"/>
      <c r="L1539" s="18"/>
      <c r="M1539" s="18"/>
    </row>
    <row r="1540" s="65" customFormat="1" ht="13.5" spans="1:13">
      <c r="A1540" s="66"/>
      <c r="E1540" s="72" t="s">
        <v>1615</v>
      </c>
      <c r="F1540" s="18"/>
      <c r="G1540" s="18"/>
      <c r="H1540" s="18"/>
      <c r="I1540" s="18"/>
      <c r="J1540" s="18"/>
      <c r="K1540" s="18"/>
      <c r="L1540" s="18"/>
      <c r="M1540" s="18"/>
    </row>
    <row r="1541" s="65" customFormat="1" ht="13.5" spans="1:13">
      <c r="A1541" s="66"/>
      <c r="E1541" s="72" t="s">
        <v>1616</v>
      </c>
      <c r="F1541" s="18"/>
      <c r="G1541" s="18"/>
      <c r="H1541" s="18"/>
      <c r="I1541" s="18"/>
      <c r="J1541" s="18"/>
      <c r="K1541" s="18"/>
      <c r="L1541" s="18"/>
      <c r="M1541" s="18"/>
    </row>
    <row r="1542" s="65" customFormat="1" ht="13.5" spans="1:13">
      <c r="A1542" s="66"/>
      <c r="E1542" s="72" t="s">
        <v>1617</v>
      </c>
      <c r="F1542" s="18"/>
      <c r="G1542" s="18"/>
      <c r="H1542" s="18"/>
      <c r="I1542" s="18"/>
      <c r="J1542" s="18"/>
      <c r="K1542" s="18"/>
      <c r="L1542" s="18"/>
      <c r="M1542" s="18"/>
    </row>
    <row r="1543" s="65" customFormat="1" ht="13.5" spans="1:13">
      <c r="A1543" s="66"/>
      <c r="E1543" s="72" t="s">
        <v>1618</v>
      </c>
      <c r="F1543" s="18"/>
      <c r="G1543" s="18"/>
      <c r="H1543" s="18"/>
      <c r="I1543" s="18"/>
      <c r="J1543" s="18"/>
      <c r="K1543" s="18"/>
      <c r="L1543" s="18"/>
      <c r="M1543" s="18"/>
    </row>
    <row r="1544" s="65" customFormat="1" ht="13.5" spans="1:13">
      <c r="A1544" s="66"/>
      <c r="E1544" s="72" t="s">
        <v>1619</v>
      </c>
      <c r="F1544" s="18"/>
      <c r="G1544" s="18"/>
      <c r="H1544" s="18"/>
      <c r="I1544" s="18"/>
      <c r="J1544" s="18"/>
      <c r="K1544" s="18"/>
      <c r="L1544" s="18"/>
      <c r="M1544" s="18"/>
    </row>
    <row r="1545" s="65" customFormat="1" ht="13.5" spans="1:13">
      <c r="A1545" s="66"/>
      <c r="E1545" s="72" t="s">
        <v>1620</v>
      </c>
      <c r="F1545" s="18"/>
      <c r="G1545" s="18"/>
      <c r="H1545" s="18"/>
      <c r="I1545" s="18"/>
      <c r="J1545" s="18"/>
      <c r="K1545" s="18"/>
      <c r="L1545" s="18"/>
      <c r="M1545" s="18"/>
    </row>
    <row r="1546" s="65" customFormat="1" ht="13.5" spans="1:13">
      <c r="A1546" s="66"/>
      <c r="E1546" s="72" t="s">
        <v>1621</v>
      </c>
      <c r="F1546" s="18"/>
      <c r="G1546" s="18"/>
      <c r="H1546" s="18"/>
      <c r="I1546" s="18"/>
      <c r="J1546" s="18"/>
      <c r="K1546" s="18"/>
      <c r="L1546" s="18"/>
      <c r="M1546" s="18"/>
    </row>
    <row r="1547" s="65" customFormat="1" ht="13.5" spans="1:13">
      <c r="A1547" s="66"/>
      <c r="E1547" s="72" t="s">
        <v>1622</v>
      </c>
      <c r="F1547" s="18"/>
      <c r="G1547" s="18"/>
      <c r="H1547" s="18"/>
      <c r="I1547" s="18"/>
      <c r="J1547" s="18"/>
      <c r="K1547" s="18"/>
      <c r="L1547" s="18"/>
      <c r="M1547" s="18"/>
    </row>
    <row r="1548" s="65" customFormat="1" ht="13.5" spans="1:13">
      <c r="A1548" s="66"/>
      <c r="E1548" s="72" t="s">
        <v>1623</v>
      </c>
      <c r="F1548" s="18"/>
      <c r="G1548" s="18"/>
      <c r="H1548" s="18"/>
      <c r="I1548" s="18"/>
      <c r="J1548" s="18"/>
      <c r="K1548" s="18"/>
      <c r="L1548" s="18"/>
      <c r="M1548" s="18"/>
    </row>
    <row r="1549" s="65" customFormat="1" ht="13.5" spans="1:13">
      <c r="A1549" s="66"/>
      <c r="E1549" s="72" t="s">
        <v>1624</v>
      </c>
      <c r="F1549" s="18"/>
      <c r="G1549" s="18"/>
      <c r="H1549" s="18"/>
      <c r="I1549" s="18"/>
      <c r="J1549" s="18"/>
      <c r="K1549" s="18"/>
      <c r="L1549" s="18"/>
      <c r="M1549" s="18"/>
    </row>
    <row r="1550" s="65" customFormat="1" ht="13.5" spans="1:13">
      <c r="A1550" s="66"/>
      <c r="E1550" s="72" t="s">
        <v>1625</v>
      </c>
      <c r="F1550" s="18"/>
      <c r="G1550" s="18"/>
      <c r="H1550" s="18"/>
      <c r="I1550" s="18"/>
      <c r="J1550" s="18"/>
      <c r="K1550" s="18"/>
      <c r="L1550" s="18"/>
      <c r="M1550" s="18"/>
    </row>
    <row r="1551" s="65" customFormat="1" ht="13.5" spans="1:13">
      <c r="A1551" s="66"/>
      <c r="E1551" s="72" t="s">
        <v>1626</v>
      </c>
      <c r="F1551" s="18"/>
      <c r="G1551" s="18"/>
      <c r="H1551" s="18"/>
      <c r="I1551" s="18"/>
      <c r="J1551" s="18"/>
      <c r="K1551" s="18"/>
      <c r="L1551" s="18"/>
      <c r="M1551" s="18"/>
    </row>
    <row r="1552" s="65" customFormat="1" ht="13.5" spans="1:13">
      <c r="A1552" s="66"/>
      <c r="E1552" s="72" t="s">
        <v>1627</v>
      </c>
      <c r="F1552" s="18"/>
      <c r="G1552" s="18"/>
      <c r="H1552" s="18"/>
      <c r="I1552" s="18"/>
      <c r="J1552" s="18"/>
      <c r="K1552" s="18"/>
      <c r="L1552" s="18"/>
      <c r="M1552" s="18"/>
    </row>
    <row r="1553" s="65" customFormat="1" ht="13.5" spans="1:13">
      <c r="A1553" s="66"/>
      <c r="E1553" s="72" t="s">
        <v>1628</v>
      </c>
      <c r="F1553" s="18"/>
      <c r="G1553" s="18"/>
      <c r="H1553" s="18"/>
      <c r="I1553" s="18"/>
      <c r="J1553" s="18"/>
      <c r="K1553" s="18"/>
      <c r="L1553" s="18"/>
      <c r="M1553" s="18"/>
    </row>
    <row r="1554" s="65" customFormat="1" ht="13.5" spans="1:13">
      <c r="A1554" s="66"/>
      <c r="E1554" s="72" t="s">
        <v>1629</v>
      </c>
      <c r="F1554" s="18"/>
      <c r="G1554" s="18"/>
      <c r="H1554" s="18"/>
      <c r="I1554" s="18"/>
      <c r="J1554" s="18"/>
      <c r="K1554" s="18"/>
      <c r="L1554" s="18"/>
      <c r="M1554" s="18"/>
    </row>
    <row r="1555" s="65" customFormat="1" ht="13.5" spans="1:13">
      <c r="A1555" s="66"/>
      <c r="E1555" s="72" t="s">
        <v>1630</v>
      </c>
      <c r="F1555" s="18"/>
      <c r="G1555" s="18"/>
      <c r="H1555" s="18"/>
      <c r="I1555" s="18"/>
      <c r="J1555" s="18"/>
      <c r="K1555" s="18"/>
      <c r="L1555" s="18"/>
      <c r="M1555" s="18"/>
    </row>
    <row r="1556" s="65" customFormat="1" ht="13.5" spans="1:13">
      <c r="A1556" s="66"/>
      <c r="E1556" s="72" t="s">
        <v>1631</v>
      </c>
      <c r="F1556" s="18"/>
      <c r="G1556" s="18"/>
      <c r="H1556" s="18"/>
      <c r="I1556" s="18"/>
      <c r="J1556" s="18"/>
      <c r="K1556" s="18"/>
      <c r="L1556" s="18"/>
      <c r="M1556" s="18"/>
    </row>
    <row r="1557" s="65" customFormat="1" ht="13.5" spans="1:13">
      <c r="A1557" s="66"/>
      <c r="E1557" s="72" t="s">
        <v>1632</v>
      </c>
      <c r="F1557" s="18"/>
      <c r="G1557" s="18"/>
      <c r="H1557" s="18"/>
      <c r="I1557" s="18"/>
      <c r="J1557" s="18"/>
      <c r="K1557" s="18"/>
      <c r="L1557" s="18"/>
      <c r="M1557" s="18"/>
    </row>
    <row r="1558" s="65" customFormat="1" ht="13.5" spans="1:13">
      <c r="A1558" s="66"/>
      <c r="E1558" s="72" t="s">
        <v>1633</v>
      </c>
      <c r="F1558" s="18"/>
      <c r="G1558" s="18"/>
      <c r="H1558" s="18"/>
      <c r="I1558" s="18"/>
      <c r="J1558" s="18"/>
      <c r="K1558" s="18"/>
      <c r="L1558" s="18"/>
      <c r="M1558" s="18"/>
    </row>
    <row r="1559" s="65" customFormat="1" ht="13.5" spans="1:13">
      <c r="A1559" s="66"/>
      <c r="E1559" s="72" t="s">
        <v>1634</v>
      </c>
      <c r="F1559" s="18"/>
      <c r="G1559" s="18"/>
      <c r="H1559" s="18"/>
      <c r="I1559" s="18"/>
      <c r="J1559" s="18"/>
      <c r="K1559" s="18"/>
      <c r="L1559" s="18"/>
      <c r="M1559" s="18"/>
    </row>
    <row r="1560" s="65" customFormat="1" ht="13.5" spans="1:13">
      <c r="A1560" s="66"/>
      <c r="E1560" s="72" t="s">
        <v>1635</v>
      </c>
      <c r="F1560" s="18"/>
      <c r="G1560" s="18"/>
      <c r="H1560" s="18"/>
      <c r="I1560" s="18"/>
      <c r="J1560" s="18"/>
      <c r="K1560" s="18"/>
      <c r="L1560" s="18"/>
      <c r="M1560" s="18"/>
    </row>
    <row r="1561" s="65" customFormat="1" ht="13.5" spans="1:13">
      <c r="A1561" s="66"/>
      <c r="E1561" s="72" t="s">
        <v>1636</v>
      </c>
      <c r="F1561" s="18"/>
      <c r="G1561" s="18"/>
      <c r="H1561" s="18"/>
      <c r="I1561" s="18"/>
      <c r="J1561" s="18"/>
      <c r="K1561" s="18"/>
      <c r="L1561" s="18"/>
      <c r="M1561" s="18"/>
    </row>
    <row r="1562" s="65" customFormat="1" ht="13.5" spans="1:13">
      <c r="A1562" s="66"/>
      <c r="E1562" s="72" t="s">
        <v>1637</v>
      </c>
      <c r="F1562" s="18"/>
      <c r="G1562" s="18"/>
      <c r="H1562" s="18"/>
      <c r="I1562" s="18"/>
      <c r="J1562" s="18"/>
      <c r="K1562" s="18"/>
      <c r="L1562" s="18"/>
      <c r="M1562" s="18"/>
    </row>
    <row r="1563" s="65" customFormat="1" ht="13.5" spans="1:13">
      <c r="A1563" s="66"/>
      <c r="E1563" s="72" t="s">
        <v>1638</v>
      </c>
      <c r="F1563" s="18"/>
      <c r="G1563" s="18"/>
      <c r="H1563" s="18"/>
      <c r="I1563" s="18"/>
      <c r="J1563" s="18"/>
      <c r="K1563" s="18"/>
      <c r="L1563" s="18"/>
      <c r="M1563" s="18"/>
    </row>
    <row r="1564" s="65" customFormat="1" ht="13.5" spans="1:13">
      <c r="A1564" s="66"/>
      <c r="E1564" s="72" t="s">
        <v>1639</v>
      </c>
      <c r="F1564" s="18"/>
      <c r="G1564" s="18"/>
      <c r="H1564" s="18"/>
      <c r="I1564" s="18"/>
      <c r="J1564" s="18"/>
      <c r="K1564" s="18"/>
      <c r="L1564" s="18"/>
      <c r="M1564" s="18"/>
    </row>
    <row r="1565" s="65" customFormat="1" ht="13.5" spans="1:13">
      <c r="A1565" s="66"/>
      <c r="E1565" s="72" t="s">
        <v>1640</v>
      </c>
      <c r="F1565" s="18"/>
      <c r="G1565" s="18"/>
      <c r="H1565" s="18"/>
      <c r="I1565" s="18"/>
      <c r="J1565" s="18"/>
      <c r="K1565" s="18"/>
      <c r="L1565" s="18"/>
      <c r="M1565" s="18"/>
    </row>
    <row r="1566" s="65" customFormat="1" ht="13.5" spans="1:13">
      <c r="A1566" s="66"/>
      <c r="E1566" s="72" t="s">
        <v>1641</v>
      </c>
      <c r="F1566" s="18"/>
      <c r="G1566" s="18"/>
      <c r="H1566" s="18"/>
      <c r="I1566" s="18"/>
      <c r="J1566" s="18"/>
      <c r="K1566" s="18"/>
      <c r="L1566" s="18"/>
      <c r="M1566" s="18"/>
    </row>
    <row r="1567" s="65" customFormat="1" ht="13.5" spans="1:13">
      <c r="A1567" s="66"/>
      <c r="E1567" s="72" t="s">
        <v>1642</v>
      </c>
      <c r="F1567" s="18"/>
      <c r="G1567" s="18"/>
      <c r="H1567" s="18"/>
      <c r="I1567" s="18"/>
      <c r="J1567" s="18"/>
      <c r="K1567" s="18"/>
      <c r="L1567" s="18"/>
      <c r="M1567" s="18"/>
    </row>
    <row r="1568" s="65" customFormat="1" ht="13.5" spans="1:13">
      <c r="A1568" s="66"/>
      <c r="E1568" s="72" t="s">
        <v>1643</v>
      </c>
      <c r="F1568" s="18"/>
      <c r="G1568" s="18"/>
      <c r="H1568" s="18"/>
      <c r="I1568" s="18"/>
      <c r="J1568" s="18"/>
      <c r="K1568" s="18"/>
      <c r="L1568" s="18"/>
      <c r="M1568" s="18"/>
    </row>
    <row r="1569" s="65" customFormat="1" ht="13.5" spans="1:13">
      <c r="A1569" s="66"/>
      <c r="E1569" s="72" t="s">
        <v>1644</v>
      </c>
      <c r="F1569" s="18"/>
      <c r="G1569" s="18"/>
      <c r="H1569" s="18"/>
      <c r="I1569" s="18"/>
      <c r="J1569" s="18"/>
      <c r="K1569" s="18"/>
      <c r="L1569" s="18"/>
      <c r="M1569" s="18"/>
    </row>
    <row r="1570" s="65" customFormat="1" ht="13.5" spans="1:13">
      <c r="A1570" s="66"/>
      <c r="E1570" s="72" t="s">
        <v>1645</v>
      </c>
      <c r="F1570" s="18"/>
      <c r="G1570" s="18"/>
      <c r="H1570" s="18"/>
      <c r="I1570" s="18"/>
      <c r="J1570" s="18"/>
      <c r="K1570" s="18"/>
      <c r="L1570" s="18"/>
      <c r="M1570" s="18"/>
    </row>
    <row r="1571" s="65" customFormat="1" ht="13.5" spans="1:13">
      <c r="A1571" s="66"/>
      <c r="E1571" s="72" t="s">
        <v>1646</v>
      </c>
      <c r="F1571" s="18"/>
      <c r="G1571" s="18"/>
      <c r="H1571" s="18"/>
      <c r="I1571" s="18"/>
      <c r="J1571" s="18"/>
      <c r="K1571" s="18"/>
      <c r="L1571" s="18"/>
      <c r="M1571" s="18"/>
    </row>
    <row r="1572" s="65" customFormat="1" ht="13.5" spans="1:13">
      <c r="A1572" s="66"/>
      <c r="E1572" s="72" t="s">
        <v>1647</v>
      </c>
      <c r="F1572" s="18"/>
      <c r="G1572" s="18"/>
      <c r="H1572" s="18"/>
      <c r="I1572" s="18"/>
      <c r="J1572" s="18"/>
      <c r="K1572" s="18"/>
      <c r="L1572" s="18"/>
      <c r="M1572" s="18"/>
    </row>
    <row r="1573" s="65" customFormat="1" ht="13.5" spans="1:13">
      <c r="A1573" s="66"/>
      <c r="E1573" s="72" t="s">
        <v>1648</v>
      </c>
      <c r="F1573" s="18"/>
      <c r="G1573" s="18"/>
      <c r="H1573" s="18"/>
      <c r="I1573" s="18"/>
      <c r="J1573" s="18"/>
      <c r="K1573" s="18"/>
      <c r="L1573" s="18"/>
      <c r="M1573" s="18"/>
    </row>
    <row r="1574" s="65" customFormat="1" ht="13.5" spans="1:13">
      <c r="A1574" s="66"/>
      <c r="E1574" s="72" t="s">
        <v>1649</v>
      </c>
      <c r="F1574" s="18"/>
      <c r="G1574" s="18"/>
      <c r="H1574" s="18"/>
      <c r="I1574" s="18"/>
      <c r="J1574" s="18"/>
      <c r="K1574" s="18"/>
      <c r="L1574" s="18"/>
      <c r="M1574" s="18"/>
    </row>
    <row r="1575" s="65" customFormat="1" ht="13.5" spans="1:13">
      <c r="A1575" s="66"/>
      <c r="E1575" s="72" t="s">
        <v>1650</v>
      </c>
      <c r="F1575" s="18"/>
      <c r="G1575" s="18"/>
      <c r="H1575" s="18"/>
      <c r="I1575" s="18"/>
      <c r="J1575" s="18"/>
      <c r="K1575" s="18"/>
      <c r="L1575" s="18"/>
      <c r="M1575" s="18"/>
    </row>
    <row r="1576" s="65" customFormat="1" ht="13.5" spans="1:13">
      <c r="A1576" s="66"/>
      <c r="E1576" s="72" t="s">
        <v>1651</v>
      </c>
      <c r="F1576" s="18"/>
      <c r="G1576" s="18"/>
      <c r="H1576" s="18"/>
      <c r="I1576" s="18"/>
      <c r="J1576" s="18"/>
      <c r="K1576" s="18"/>
      <c r="L1576" s="18"/>
      <c r="M1576" s="18"/>
    </row>
    <row r="1577" s="65" customFormat="1" ht="13.5" spans="1:13">
      <c r="A1577" s="66"/>
      <c r="E1577" s="72" t="s">
        <v>1652</v>
      </c>
      <c r="F1577" s="18"/>
      <c r="G1577" s="18"/>
      <c r="H1577" s="18"/>
      <c r="I1577" s="18"/>
      <c r="J1577" s="18"/>
      <c r="K1577" s="18"/>
      <c r="L1577" s="18"/>
      <c r="M1577" s="18"/>
    </row>
    <row r="1578" s="65" customFormat="1" ht="13.5" spans="1:13">
      <c r="A1578" s="66"/>
      <c r="E1578" s="72" t="s">
        <v>1653</v>
      </c>
      <c r="F1578" s="18"/>
      <c r="G1578" s="18"/>
      <c r="H1578" s="18"/>
      <c r="I1578" s="18"/>
      <c r="J1578" s="18"/>
      <c r="K1578" s="18"/>
      <c r="L1578" s="18"/>
      <c r="M1578" s="18"/>
    </row>
    <row r="1579" s="65" customFormat="1" ht="13.5" spans="1:13">
      <c r="A1579" s="66"/>
      <c r="E1579" s="72" t="s">
        <v>1654</v>
      </c>
      <c r="F1579" s="18"/>
      <c r="G1579" s="18"/>
      <c r="H1579" s="18"/>
      <c r="I1579" s="18"/>
      <c r="J1579" s="18"/>
      <c r="K1579" s="18"/>
      <c r="L1579" s="18"/>
      <c r="M1579" s="18"/>
    </row>
    <row r="1580" s="65" customFormat="1" ht="13.5" spans="1:13">
      <c r="A1580" s="66"/>
      <c r="E1580" s="72" t="s">
        <v>1655</v>
      </c>
      <c r="F1580" s="18"/>
      <c r="G1580" s="18"/>
      <c r="H1580" s="18"/>
      <c r="I1580" s="18"/>
      <c r="J1580" s="18"/>
      <c r="K1580" s="18"/>
      <c r="L1580" s="18"/>
      <c r="M1580" s="18"/>
    </row>
    <row r="1581" s="65" customFormat="1" ht="13.5" spans="1:13">
      <c r="A1581" s="66"/>
      <c r="E1581" s="72" t="s">
        <v>1656</v>
      </c>
      <c r="F1581" s="18"/>
      <c r="G1581" s="18"/>
      <c r="H1581" s="18"/>
      <c r="I1581" s="18"/>
      <c r="J1581" s="18"/>
      <c r="K1581" s="18"/>
      <c r="L1581" s="18"/>
      <c r="M1581" s="18"/>
    </row>
    <row r="1582" s="65" customFormat="1" ht="13.5" spans="1:13">
      <c r="A1582" s="66"/>
      <c r="E1582" s="72" t="s">
        <v>1657</v>
      </c>
      <c r="F1582" s="18"/>
      <c r="G1582" s="18"/>
      <c r="H1582" s="18"/>
      <c r="I1582" s="18"/>
      <c r="J1582" s="18"/>
      <c r="K1582" s="18"/>
      <c r="L1582" s="18"/>
      <c r="M1582" s="18"/>
    </row>
    <row r="1583" s="65" customFormat="1" ht="13.5" spans="1:13">
      <c r="A1583" s="66"/>
      <c r="E1583" s="72" t="s">
        <v>1658</v>
      </c>
      <c r="F1583" s="18"/>
      <c r="G1583" s="18"/>
      <c r="H1583" s="18"/>
      <c r="I1583" s="18"/>
      <c r="J1583" s="18"/>
      <c r="K1583" s="18"/>
      <c r="L1583" s="18"/>
      <c r="M1583" s="18"/>
    </row>
    <row r="1584" s="65" customFormat="1" ht="13.5" spans="1:13">
      <c r="A1584" s="66"/>
      <c r="E1584" s="72" t="s">
        <v>1659</v>
      </c>
      <c r="F1584" s="18"/>
      <c r="G1584" s="18"/>
      <c r="H1584" s="18"/>
      <c r="I1584" s="18"/>
      <c r="J1584" s="18"/>
      <c r="K1584" s="18"/>
      <c r="L1584" s="18"/>
      <c r="M1584" s="18"/>
    </row>
    <row r="1585" s="65" customFormat="1" ht="13.5" spans="1:13">
      <c r="A1585" s="66"/>
      <c r="E1585" s="72" t="s">
        <v>1660</v>
      </c>
      <c r="F1585" s="18"/>
      <c r="G1585" s="18"/>
      <c r="H1585" s="18"/>
      <c r="I1585" s="18"/>
      <c r="J1585" s="18"/>
      <c r="K1585" s="18"/>
      <c r="L1585" s="18"/>
      <c r="M1585" s="18"/>
    </row>
    <row r="1586" s="65" customFormat="1" ht="13.5" spans="1:13">
      <c r="A1586" s="66"/>
      <c r="E1586" s="72" t="s">
        <v>1661</v>
      </c>
      <c r="F1586" s="18"/>
      <c r="G1586" s="18"/>
      <c r="H1586" s="18"/>
      <c r="I1586" s="18"/>
      <c r="J1586" s="18"/>
      <c r="K1586" s="18"/>
      <c r="L1586" s="18"/>
      <c r="M1586" s="18"/>
    </row>
    <row r="1587" s="65" customFormat="1" ht="13.5" spans="1:13">
      <c r="A1587" s="66"/>
      <c r="E1587" s="72" t="s">
        <v>1662</v>
      </c>
      <c r="F1587" s="18"/>
      <c r="G1587" s="18"/>
      <c r="H1587" s="18"/>
      <c r="I1587" s="18"/>
      <c r="J1587" s="18"/>
      <c r="K1587" s="18"/>
      <c r="L1587" s="18"/>
      <c r="M1587" s="18"/>
    </row>
    <row r="1588" s="65" customFormat="1" ht="13.5" spans="1:13">
      <c r="A1588" s="66"/>
      <c r="E1588" s="72" t="s">
        <v>1663</v>
      </c>
      <c r="F1588" s="18"/>
      <c r="G1588" s="18"/>
      <c r="H1588" s="18"/>
      <c r="I1588" s="18"/>
      <c r="J1588" s="18"/>
      <c r="K1588" s="18"/>
      <c r="L1588" s="18"/>
      <c r="M1588" s="18"/>
    </row>
    <row r="1589" s="65" customFormat="1" ht="13.5" spans="1:13">
      <c r="A1589" s="66"/>
      <c r="E1589" s="72" t="s">
        <v>1664</v>
      </c>
      <c r="F1589" s="18"/>
      <c r="G1589" s="18"/>
      <c r="H1589" s="18"/>
      <c r="I1589" s="18"/>
      <c r="J1589" s="18"/>
      <c r="K1589" s="18"/>
      <c r="L1589" s="18"/>
      <c r="M1589" s="18"/>
    </row>
    <row r="1590" s="65" customFormat="1" ht="13.5" spans="1:13">
      <c r="A1590" s="66"/>
      <c r="E1590" s="72" t="s">
        <v>1665</v>
      </c>
      <c r="F1590" s="18"/>
      <c r="G1590" s="18"/>
      <c r="H1590" s="18"/>
      <c r="I1590" s="18"/>
      <c r="J1590" s="18"/>
      <c r="K1590" s="18"/>
      <c r="L1590" s="18"/>
      <c r="M1590" s="18"/>
    </row>
    <row r="1591" s="65" customFormat="1" ht="13.5" spans="1:13">
      <c r="A1591" s="66"/>
      <c r="E1591" s="72" t="s">
        <v>1666</v>
      </c>
      <c r="F1591" s="18"/>
      <c r="G1591" s="18"/>
      <c r="H1591" s="18"/>
      <c r="I1591" s="18"/>
      <c r="J1591" s="18"/>
      <c r="K1591" s="18"/>
      <c r="L1591" s="18"/>
      <c r="M1591" s="18"/>
    </row>
    <row r="1592" s="65" customFormat="1" ht="13.5" spans="1:13">
      <c r="A1592" s="66"/>
      <c r="E1592" s="72" t="s">
        <v>1667</v>
      </c>
      <c r="F1592" s="18"/>
      <c r="G1592" s="18"/>
      <c r="H1592" s="18"/>
      <c r="I1592" s="18"/>
      <c r="J1592" s="18"/>
      <c r="K1592" s="18"/>
      <c r="L1592" s="18"/>
      <c r="M1592" s="18"/>
    </row>
    <row r="1593" s="65" customFormat="1" ht="13.5" spans="1:13">
      <c r="A1593" s="66"/>
      <c r="E1593" s="72" t="s">
        <v>1668</v>
      </c>
      <c r="F1593" s="18"/>
      <c r="G1593" s="18"/>
      <c r="H1593" s="18"/>
      <c r="I1593" s="18"/>
      <c r="J1593" s="18"/>
      <c r="K1593" s="18"/>
      <c r="L1593" s="18"/>
      <c r="M1593" s="18"/>
    </row>
    <row r="1594" s="65" customFormat="1" ht="13.5" spans="1:13">
      <c r="A1594" s="66"/>
      <c r="E1594" s="72" t="s">
        <v>1669</v>
      </c>
      <c r="F1594" s="18"/>
      <c r="G1594" s="18"/>
      <c r="H1594" s="18"/>
      <c r="I1594" s="18"/>
      <c r="J1594" s="18"/>
      <c r="K1594" s="18"/>
      <c r="L1594" s="18"/>
      <c r="M1594" s="18"/>
    </row>
    <row r="1595" s="65" customFormat="1" ht="13.5" spans="1:13">
      <c r="A1595" s="66"/>
      <c r="E1595" s="72" t="s">
        <v>1670</v>
      </c>
      <c r="F1595" s="18"/>
      <c r="G1595" s="18"/>
      <c r="H1595" s="18"/>
      <c r="I1595" s="18"/>
      <c r="J1595" s="18"/>
      <c r="K1595" s="18"/>
      <c r="L1595" s="18"/>
      <c r="M1595" s="18"/>
    </row>
    <row r="1596" s="65" customFormat="1" ht="13.5" spans="1:13">
      <c r="A1596" s="66"/>
      <c r="E1596" s="72" t="s">
        <v>1671</v>
      </c>
      <c r="F1596" s="18"/>
      <c r="G1596" s="18"/>
      <c r="H1596" s="18"/>
      <c r="I1596" s="18"/>
      <c r="J1596" s="18"/>
      <c r="K1596" s="18"/>
      <c r="L1596" s="18"/>
      <c r="M1596" s="18"/>
    </row>
    <row r="1597" s="65" customFormat="1" ht="13.5" spans="1:13">
      <c r="A1597" s="66"/>
      <c r="E1597" s="72" t="s">
        <v>1672</v>
      </c>
      <c r="F1597" s="18"/>
      <c r="G1597" s="18"/>
      <c r="H1597" s="18"/>
      <c r="I1597" s="18"/>
      <c r="J1597" s="18"/>
      <c r="K1597" s="18"/>
      <c r="L1597" s="18"/>
      <c r="M1597" s="18"/>
    </row>
    <row r="1598" s="65" customFormat="1" ht="13.5" spans="1:13">
      <c r="A1598" s="66"/>
      <c r="E1598" s="72" t="s">
        <v>1673</v>
      </c>
      <c r="F1598" s="18"/>
      <c r="G1598" s="18"/>
      <c r="H1598" s="18"/>
      <c r="I1598" s="18"/>
      <c r="J1598" s="18"/>
      <c r="K1598" s="18"/>
      <c r="L1598" s="18"/>
      <c r="M1598" s="18"/>
    </row>
    <row r="1599" s="65" customFormat="1" ht="13.5" spans="1:13">
      <c r="A1599" s="66"/>
      <c r="E1599" s="72" t="s">
        <v>1674</v>
      </c>
      <c r="F1599" s="18"/>
      <c r="G1599" s="18"/>
      <c r="H1599" s="18"/>
      <c r="I1599" s="18"/>
      <c r="J1599" s="18"/>
      <c r="K1599" s="18"/>
      <c r="L1599" s="18"/>
      <c r="M1599" s="18"/>
    </row>
    <row r="1600" s="65" customFormat="1" ht="13.5" spans="1:13">
      <c r="A1600" s="66"/>
      <c r="E1600" s="72" t="s">
        <v>1675</v>
      </c>
      <c r="F1600" s="18"/>
      <c r="G1600" s="18"/>
      <c r="H1600" s="18"/>
      <c r="I1600" s="18"/>
      <c r="J1600" s="18"/>
      <c r="K1600" s="18"/>
      <c r="L1600" s="18"/>
      <c r="M1600" s="18"/>
    </row>
    <row r="1601" s="65" customFormat="1" ht="13.5" spans="1:13">
      <c r="A1601" s="66"/>
      <c r="E1601" s="72" t="s">
        <v>1676</v>
      </c>
      <c r="F1601" s="18"/>
      <c r="G1601" s="18"/>
      <c r="H1601" s="18"/>
      <c r="I1601" s="18"/>
      <c r="J1601" s="18"/>
      <c r="K1601" s="18"/>
      <c r="L1601" s="18"/>
      <c r="M1601" s="18"/>
    </row>
    <row r="1602" s="65" customFormat="1" ht="13.5" spans="1:13">
      <c r="A1602" s="66"/>
      <c r="E1602" s="72" t="s">
        <v>1677</v>
      </c>
      <c r="F1602" s="18"/>
      <c r="G1602" s="18"/>
      <c r="H1602" s="18"/>
      <c r="I1602" s="18"/>
      <c r="J1602" s="18"/>
      <c r="K1602" s="18"/>
      <c r="L1602" s="18"/>
      <c r="M1602" s="18"/>
    </row>
    <row r="1603" s="65" customFormat="1" ht="13.5" spans="1:13">
      <c r="A1603" s="66"/>
      <c r="E1603" s="72" t="s">
        <v>1678</v>
      </c>
      <c r="F1603" s="18"/>
      <c r="G1603" s="18"/>
      <c r="H1603" s="18"/>
      <c r="I1603" s="18"/>
      <c r="J1603" s="18"/>
      <c r="K1603" s="18"/>
      <c r="L1603" s="18"/>
      <c r="M1603" s="18"/>
    </row>
    <row r="1604" s="65" customFormat="1" ht="13.5" spans="1:13">
      <c r="A1604" s="66"/>
      <c r="E1604" s="72" t="s">
        <v>1679</v>
      </c>
      <c r="F1604" s="18"/>
      <c r="G1604" s="18"/>
      <c r="H1604" s="18"/>
      <c r="I1604" s="18"/>
      <c r="J1604" s="18"/>
      <c r="K1604" s="18"/>
      <c r="L1604" s="18"/>
      <c r="M1604" s="18"/>
    </row>
    <row r="1605" s="65" customFormat="1" ht="13.5" spans="1:13">
      <c r="A1605" s="66"/>
      <c r="E1605" s="72" t="s">
        <v>1680</v>
      </c>
      <c r="F1605" s="18"/>
      <c r="G1605" s="18"/>
      <c r="H1605" s="18"/>
      <c r="I1605" s="18"/>
      <c r="J1605" s="18"/>
      <c r="K1605" s="18"/>
      <c r="L1605" s="18"/>
      <c r="M1605" s="18"/>
    </row>
    <row r="1606" s="65" customFormat="1" ht="13.5" spans="1:13">
      <c r="A1606" s="66"/>
      <c r="E1606" s="72" t="s">
        <v>1681</v>
      </c>
      <c r="F1606" s="18"/>
      <c r="G1606" s="18"/>
      <c r="H1606" s="18"/>
      <c r="I1606" s="18"/>
      <c r="J1606" s="18"/>
      <c r="K1606" s="18"/>
      <c r="L1606" s="18"/>
      <c r="M1606" s="18"/>
    </row>
    <row r="1607" s="65" customFormat="1" ht="13.5" spans="1:13">
      <c r="A1607" s="66"/>
      <c r="E1607" s="72" t="s">
        <v>1682</v>
      </c>
      <c r="F1607" s="18"/>
      <c r="G1607" s="18"/>
      <c r="H1607" s="18"/>
      <c r="I1607" s="18"/>
      <c r="J1607" s="18"/>
      <c r="K1607" s="18"/>
      <c r="L1607" s="18"/>
      <c r="M1607" s="18"/>
    </row>
    <row r="1608" s="65" customFormat="1" ht="13.5" spans="1:13">
      <c r="A1608" s="66"/>
      <c r="E1608" s="72" t="s">
        <v>1683</v>
      </c>
      <c r="F1608" s="18"/>
      <c r="G1608" s="18"/>
      <c r="H1608" s="18"/>
      <c r="I1608" s="18"/>
      <c r="J1608" s="18"/>
      <c r="K1608" s="18"/>
      <c r="L1608" s="18"/>
      <c r="M1608" s="18"/>
    </row>
    <row r="1609" s="65" customFormat="1" ht="13.5" spans="1:13">
      <c r="A1609" s="66"/>
      <c r="E1609" s="72" t="s">
        <v>1684</v>
      </c>
      <c r="F1609" s="18"/>
      <c r="G1609" s="18"/>
      <c r="H1609" s="18"/>
      <c r="I1609" s="18"/>
      <c r="J1609" s="18"/>
      <c r="K1609" s="18"/>
      <c r="L1609" s="18"/>
      <c r="M1609" s="18"/>
    </row>
    <row r="1610" s="65" customFormat="1" ht="13.5" spans="1:13">
      <c r="A1610" s="66"/>
      <c r="E1610" s="72" t="s">
        <v>1685</v>
      </c>
      <c r="F1610" s="18"/>
      <c r="G1610" s="18"/>
      <c r="H1610" s="18"/>
      <c r="I1610" s="18"/>
      <c r="J1610" s="18"/>
      <c r="K1610" s="18"/>
      <c r="L1610" s="18"/>
      <c r="M1610" s="18"/>
    </row>
    <row r="1611" s="65" customFormat="1" ht="13.5" spans="1:13">
      <c r="A1611" s="66"/>
      <c r="E1611" s="72" t="s">
        <v>1686</v>
      </c>
      <c r="F1611" s="18"/>
      <c r="G1611" s="18"/>
      <c r="H1611" s="18"/>
      <c r="I1611" s="18"/>
      <c r="J1611" s="18"/>
      <c r="K1611" s="18"/>
      <c r="L1611" s="18"/>
      <c r="M1611" s="18"/>
    </row>
    <row r="1612" s="65" customFormat="1" ht="13.5" spans="1:13">
      <c r="A1612" s="66"/>
      <c r="E1612" s="72" t="s">
        <v>1687</v>
      </c>
      <c r="F1612" s="18"/>
      <c r="G1612" s="18"/>
      <c r="H1612" s="18"/>
      <c r="I1612" s="18"/>
      <c r="J1612" s="18"/>
      <c r="K1612" s="18"/>
      <c r="L1612" s="18"/>
      <c r="M1612" s="18"/>
    </row>
    <row r="1613" s="65" customFormat="1" ht="13.5" spans="1:13">
      <c r="A1613" s="66"/>
      <c r="E1613" s="72" t="s">
        <v>1688</v>
      </c>
      <c r="F1613" s="18"/>
      <c r="G1613" s="18"/>
      <c r="H1613" s="18"/>
      <c r="I1613" s="18"/>
      <c r="J1613" s="18"/>
      <c r="K1613" s="18"/>
      <c r="L1613" s="18"/>
      <c r="M1613" s="18"/>
    </row>
    <row r="1614" s="65" customFormat="1" ht="13.5" spans="1:13">
      <c r="A1614" s="66"/>
      <c r="E1614" s="72" t="s">
        <v>1689</v>
      </c>
      <c r="F1614" s="18"/>
      <c r="G1614" s="18"/>
      <c r="H1614" s="18"/>
      <c r="I1614" s="18"/>
      <c r="J1614" s="18"/>
      <c r="K1614" s="18"/>
      <c r="L1614" s="18"/>
      <c r="M1614" s="18"/>
    </row>
    <row r="1615" s="65" customFormat="1" ht="13.5" spans="1:13">
      <c r="A1615" s="66"/>
      <c r="E1615" s="72" t="s">
        <v>1690</v>
      </c>
      <c r="F1615" s="18"/>
      <c r="G1615" s="18"/>
      <c r="H1615" s="18"/>
      <c r="I1615" s="18"/>
      <c r="J1615" s="18"/>
      <c r="K1615" s="18"/>
      <c r="L1615" s="18"/>
      <c r="M1615" s="18"/>
    </row>
    <row r="1616" s="65" customFormat="1" ht="13.5" spans="1:13">
      <c r="A1616" s="66"/>
      <c r="E1616" s="72" t="s">
        <v>1691</v>
      </c>
      <c r="F1616" s="18"/>
      <c r="G1616" s="18"/>
      <c r="H1616" s="18"/>
      <c r="I1616" s="18"/>
      <c r="J1616" s="18"/>
      <c r="K1616" s="18"/>
      <c r="L1616" s="18"/>
      <c r="M1616" s="18"/>
    </row>
    <row r="1617" s="65" customFormat="1" ht="13.5" spans="1:13">
      <c r="A1617" s="66"/>
      <c r="E1617" s="72" t="s">
        <v>1692</v>
      </c>
      <c r="F1617" s="18"/>
      <c r="G1617" s="18"/>
      <c r="H1617" s="18"/>
      <c r="I1617" s="18"/>
      <c r="J1617" s="18"/>
      <c r="K1617" s="18"/>
      <c r="L1617" s="18"/>
      <c r="M1617" s="18"/>
    </row>
    <row r="1618" s="65" customFormat="1" ht="13.5" spans="1:13">
      <c r="A1618" s="66"/>
      <c r="E1618" s="72" t="s">
        <v>1693</v>
      </c>
      <c r="F1618" s="18"/>
      <c r="G1618" s="18"/>
      <c r="H1618" s="18"/>
      <c r="I1618" s="18"/>
      <c r="J1618" s="18"/>
      <c r="K1618" s="18"/>
      <c r="L1618" s="18"/>
      <c r="M1618" s="18"/>
    </row>
    <row r="1619" s="65" customFormat="1" ht="13.5" spans="1:13">
      <c r="A1619" s="66"/>
      <c r="E1619" s="72" t="s">
        <v>1694</v>
      </c>
      <c r="F1619" s="18"/>
      <c r="G1619" s="18"/>
      <c r="H1619" s="18"/>
      <c r="I1619" s="18"/>
      <c r="J1619" s="18"/>
      <c r="K1619" s="18"/>
      <c r="L1619" s="18"/>
      <c r="M1619" s="18"/>
    </row>
    <row r="1620" s="65" customFormat="1" ht="13.5" spans="1:13">
      <c r="A1620" s="66"/>
      <c r="E1620" s="72" t="s">
        <v>1695</v>
      </c>
      <c r="F1620" s="18"/>
      <c r="G1620" s="18"/>
      <c r="H1620" s="18"/>
      <c r="I1620" s="18"/>
      <c r="J1620" s="18"/>
      <c r="K1620" s="18"/>
      <c r="L1620" s="18"/>
      <c r="M1620" s="18"/>
    </row>
    <row r="1621" s="65" customFormat="1" ht="13.5" spans="1:13">
      <c r="A1621" s="66"/>
      <c r="E1621" s="72" t="s">
        <v>1696</v>
      </c>
      <c r="F1621" s="18"/>
      <c r="G1621" s="18"/>
      <c r="H1621" s="18"/>
      <c r="I1621" s="18"/>
      <c r="J1621" s="18"/>
      <c r="K1621" s="18"/>
      <c r="L1621" s="18"/>
      <c r="M1621" s="18"/>
    </row>
    <row r="1622" s="65" customFormat="1" ht="13.5" spans="1:13">
      <c r="A1622" s="66"/>
      <c r="E1622" s="72" t="s">
        <v>1697</v>
      </c>
      <c r="F1622" s="18"/>
      <c r="G1622" s="18"/>
      <c r="H1622" s="18"/>
      <c r="I1622" s="18"/>
      <c r="J1622" s="18"/>
      <c r="K1622" s="18"/>
      <c r="L1622" s="18"/>
      <c r="M1622" s="18"/>
    </row>
    <row r="1623" s="65" customFormat="1" ht="13.5" spans="1:13">
      <c r="A1623" s="66"/>
      <c r="E1623" s="72" t="s">
        <v>1698</v>
      </c>
      <c r="F1623" s="18"/>
      <c r="G1623" s="18"/>
      <c r="H1623" s="18"/>
      <c r="I1623" s="18"/>
      <c r="J1623" s="18"/>
      <c r="K1623" s="18"/>
      <c r="L1623" s="18"/>
      <c r="M1623" s="18"/>
    </row>
    <row r="1624" s="65" customFormat="1" ht="13.5" spans="1:13">
      <c r="A1624" s="66"/>
      <c r="E1624" s="72" t="s">
        <v>1699</v>
      </c>
      <c r="F1624" s="18"/>
      <c r="G1624" s="18"/>
      <c r="H1624" s="18"/>
      <c r="I1624" s="18"/>
      <c r="J1624" s="18"/>
      <c r="K1624" s="18"/>
      <c r="L1624" s="18"/>
      <c r="M1624" s="18"/>
    </row>
    <row r="1625" s="65" customFormat="1" ht="13.5" spans="1:13">
      <c r="A1625" s="66"/>
      <c r="E1625" s="72" t="s">
        <v>1700</v>
      </c>
      <c r="F1625" s="18"/>
      <c r="G1625" s="18"/>
      <c r="H1625" s="18"/>
      <c r="I1625" s="18"/>
      <c r="J1625" s="18"/>
      <c r="K1625" s="18"/>
      <c r="L1625" s="18"/>
      <c r="M1625" s="18"/>
    </row>
    <row r="1626" s="65" customFormat="1" ht="13.5" spans="1:13">
      <c r="A1626" s="66"/>
      <c r="E1626" s="72" t="s">
        <v>1701</v>
      </c>
      <c r="F1626" s="18"/>
      <c r="G1626" s="18"/>
      <c r="H1626" s="18"/>
      <c r="I1626" s="18"/>
      <c r="J1626" s="18"/>
      <c r="K1626" s="18"/>
      <c r="L1626" s="18"/>
      <c r="M1626" s="18"/>
    </row>
    <row r="1627" s="65" customFormat="1" ht="13.5" spans="1:13">
      <c r="A1627" s="66"/>
      <c r="E1627" s="72" t="s">
        <v>1702</v>
      </c>
      <c r="F1627" s="18"/>
      <c r="G1627" s="18"/>
      <c r="H1627" s="18"/>
      <c r="I1627" s="18"/>
      <c r="J1627" s="18"/>
      <c r="K1627" s="18"/>
      <c r="L1627" s="18"/>
      <c r="M1627" s="18"/>
    </row>
    <row r="1628" s="65" customFormat="1" ht="13.5" spans="1:13">
      <c r="A1628" s="66"/>
      <c r="E1628" s="72" t="s">
        <v>1703</v>
      </c>
      <c r="F1628" s="18"/>
      <c r="G1628" s="18"/>
      <c r="H1628" s="18"/>
      <c r="I1628" s="18"/>
      <c r="J1628" s="18"/>
      <c r="K1628" s="18"/>
      <c r="L1628" s="18"/>
      <c r="M1628" s="18"/>
    </row>
    <row r="1629" s="65" customFormat="1" ht="13.5" spans="1:13">
      <c r="A1629" s="66"/>
      <c r="E1629" s="72" t="s">
        <v>1704</v>
      </c>
      <c r="F1629" s="18"/>
      <c r="G1629" s="18"/>
      <c r="H1629" s="18"/>
      <c r="I1629" s="18"/>
      <c r="J1629" s="18"/>
      <c r="K1629" s="18"/>
      <c r="L1629" s="18"/>
      <c r="M1629" s="18"/>
    </row>
    <row r="1630" s="65" customFormat="1" ht="13.5" spans="1:13">
      <c r="A1630" s="66"/>
      <c r="E1630" s="72" t="s">
        <v>1705</v>
      </c>
      <c r="F1630" s="18"/>
      <c r="G1630" s="18"/>
      <c r="H1630" s="18"/>
      <c r="I1630" s="18"/>
      <c r="J1630" s="18"/>
      <c r="K1630" s="18"/>
      <c r="L1630" s="18"/>
      <c r="M1630" s="18"/>
    </row>
    <row r="1631" s="65" customFormat="1" ht="13.5" spans="1:13">
      <c r="A1631" s="66"/>
      <c r="E1631" s="72" t="s">
        <v>1706</v>
      </c>
      <c r="F1631" s="18"/>
      <c r="G1631" s="18"/>
      <c r="H1631" s="18"/>
      <c r="I1631" s="18"/>
      <c r="J1631" s="18"/>
      <c r="K1631" s="18"/>
      <c r="L1631" s="18"/>
      <c r="M1631" s="18"/>
    </row>
    <row r="1632" s="65" customFormat="1" ht="13.5" spans="1:13">
      <c r="A1632" s="66"/>
      <c r="E1632" s="72" t="s">
        <v>1707</v>
      </c>
      <c r="F1632" s="18"/>
      <c r="G1632" s="18"/>
      <c r="H1632" s="18"/>
      <c r="I1632" s="18"/>
      <c r="J1632" s="18"/>
      <c r="K1632" s="18"/>
      <c r="L1632" s="18"/>
      <c r="M1632" s="18"/>
    </row>
    <row r="1633" s="65" customFormat="1" ht="13.5" spans="1:13">
      <c r="A1633" s="66"/>
      <c r="E1633" s="72" t="s">
        <v>1708</v>
      </c>
      <c r="F1633" s="18"/>
      <c r="G1633" s="18"/>
      <c r="H1633" s="18"/>
      <c r="I1633" s="18"/>
      <c r="J1633" s="18"/>
      <c r="K1633" s="18"/>
      <c r="L1633" s="18"/>
      <c r="M1633" s="18"/>
    </row>
    <row r="1634" s="65" customFormat="1" ht="13.5" spans="1:13">
      <c r="A1634" s="66"/>
      <c r="E1634" s="72" t="s">
        <v>1709</v>
      </c>
      <c r="F1634" s="18"/>
      <c r="G1634" s="18"/>
      <c r="H1634" s="18"/>
      <c r="I1634" s="18"/>
      <c r="J1634" s="18"/>
      <c r="K1634" s="18"/>
      <c r="L1634" s="18"/>
      <c r="M1634" s="18"/>
    </row>
    <row r="1635" s="65" customFormat="1" ht="13.5" spans="1:13">
      <c r="A1635" s="66"/>
      <c r="E1635" s="72" t="s">
        <v>1710</v>
      </c>
      <c r="F1635" s="18"/>
      <c r="G1635" s="18"/>
      <c r="H1635" s="18"/>
      <c r="I1635" s="18"/>
      <c r="J1635" s="18"/>
      <c r="K1635" s="18"/>
      <c r="L1635" s="18"/>
      <c r="M1635" s="18"/>
    </row>
    <row r="1636" s="65" customFormat="1" ht="13.5" spans="1:13">
      <c r="A1636" s="66"/>
      <c r="E1636" s="72" t="s">
        <v>1711</v>
      </c>
      <c r="F1636" s="18"/>
      <c r="G1636" s="18"/>
      <c r="H1636" s="18"/>
      <c r="I1636" s="18"/>
      <c r="J1636" s="18"/>
      <c r="K1636" s="18"/>
      <c r="L1636" s="18"/>
      <c r="M1636" s="18"/>
    </row>
    <row r="1637" s="65" customFormat="1" ht="13.5" spans="1:13">
      <c r="A1637" s="66"/>
      <c r="E1637" s="72" t="s">
        <v>1712</v>
      </c>
      <c r="F1637" s="18"/>
      <c r="G1637" s="18"/>
      <c r="H1637" s="18"/>
      <c r="I1637" s="18"/>
      <c r="J1637" s="18"/>
      <c r="K1637" s="18"/>
      <c r="L1637" s="18"/>
      <c r="M1637" s="18"/>
    </row>
    <row r="1638" s="65" customFormat="1" ht="13.5" spans="1:13">
      <c r="A1638" s="66"/>
      <c r="E1638" s="72" t="s">
        <v>1713</v>
      </c>
      <c r="F1638" s="18"/>
      <c r="G1638" s="18"/>
      <c r="H1638" s="18"/>
      <c r="I1638" s="18"/>
      <c r="J1638" s="18"/>
      <c r="K1638" s="18"/>
      <c r="L1638" s="18"/>
      <c r="M1638" s="18"/>
    </row>
    <row r="1639" s="65" customFormat="1" ht="13.5" spans="1:13">
      <c r="A1639" s="66"/>
      <c r="E1639" s="72" t="s">
        <v>1714</v>
      </c>
      <c r="F1639" s="18"/>
      <c r="G1639" s="18"/>
      <c r="H1639" s="18"/>
      <c r="I1639" s="18"/>
      <c r="J1639" s="18"/>
      <c r="K1639" s="18"/>
      <c r="L1639" s="18"/>
      <c r="M1639" s="18"/>
    </row>
    <row r="1640" s="65" customFormat="1" ht="13.5" spans="1:13">
      <c r="A1640" s="66"/>
      <c r="E1640" s="72" t="s">
        <v>1715</v>
      </c>
      <c r="F1640" s="18"/>
      <c r="G1640" s="18"/>
      <c r="H1640" s="18"/>
      <c r="I1640" s="18"/>
      <c r="J1640" s="18"/>
      <c r="K1640" s="18"/>
      <c r="L1640" s="18"/>
      <c r="M1640" s="18"/>
    </row>
    <row r="1641" s="65" customFormat="1" ht="13.5" spans="1:13">
      <c r="A1641" s="66"/>
      <c r="E1641" s="72" t="s">
        <v>1716</v>
      </c>
      <c r="F1641" s="18"/>
      <c r="G1641" s="18"/>
      <c r="H1641" s="18"/>
      <c r="I1641" s="18"/>
      <c r="J1641" s="18"/>
      <c r="K1641" s="18"/>
      <c r="L1641" s="18"/>
      <c r="M1641" s="18"/>
    </row>
    <row r="1642" s="65" customFormat="1" ht="13.5" spans="1:13">
      <c r="A1642" s="66"/>
      <c r="E1642" s="72" t="s">
        <v>1717</v>
      </c>
      <c r="F1642" s="18"/>
      <c r="G1642" s="18"/>
      <c r="H1642" s="18"/>
      <c r="I1642" s="18"/>
      <c r="J1642" s="18"/>
      <c r="K1642" s="18"/>
      <c r="L1642" s="18"/>
      <c r="M1642" s="18"/>
    </row>
    <row r="1643" s="65" customFormat="1" ht="13.5" spans="1:13">
      <c r="A1643" s="66"/>
      <c r="E1643" s="72" t="s">
        <v>1718</v>
      </c>
      <c r="F1643" s="18"/>
      <c r="G1643" s="18"/>
      <c r="H1643" s="18"/>
      <c r="I1643" s="18"/>
      <c r="J1643" s="18"/>
      <c r="K1643" s="18"/>
      <c r="L1643" s="18"/>
      <c r="M1643" s="18"/>
    </row>
    <row r="1644" s="65" customFormat="1" ht="13.5" spans="1:13">
      <c r="A1644" s="66"/>
      <c r="E1644" s="72" t="s">
        <v>1719</v>
      </c>
      <c r="F1644" s="18"/>
      <c r="G1644" s="18"/>
      <c r="H1644" s="18"/>
      <c r="I1644" s="18"/>
      <c r="J1644" s="18"/>
      <c r="K1644" s="18"/>
      <c r="L1644" s="18"/>
      <c r="M1644" s="18"/>
    </row>
    <row r="1645" s="65" customFormat="1" ht="13.5" spans="1:13">
      <c r="A1645" s="66"/>
      <c r="E1645" s="72" t="s">
        <v>1720</v>
      </c>
      <c r="F1645" s="18"/>
      <c r="G1645" s="18"/>
      <c r="H1645" s="18"/>
      <c r="I1645" s="18"/>
      <c r="J1645" s="18"/>
      <c r="K1645" s="18"/>
      <c r="L1645" s="18"/>
      <c r="M1645" s="18"/>
    </row>
    <row r="1646" s="65" customFormat="1" ht="13.5" spans="1:13">
      <c r="A1646" s="66"/>
      <c r="E1646" s="72" t="s">
        <v>1721</v>
      </c>
      <c r="F1646" s="18"/>
      <c r="G1646" s="18"/>
      <c r="H1646" s="18"/>
      <c r="I1646" s="18"/>
      <c r="J1646" s="18"/>
      <c r="K1646" s="18"/>
      <c r="L1646" s="18"/>
      <c r="M1646" s="18"/>
    </row>
    <row r="1647" s="65" customFormat="1" ht="13.5" spans="1:13">
      <c r="A1647" s="66"/>
      <c r="E1647" s="72" t="s">
        <v>1722</v>
      </c>
      <c r="F1647" s="18"/>
      <c r="G1647" s="18"/>
      <c r="H1647" s="18"/>
      <c r="I1647" s="18"/>
      <c r="J1647" s="18"/>
      <c r="K1647" s="18"/>
      <c r="L1647" s="18"/>
      <c r="M1647" s="18"/>
    </row>
    <row r="1648" s="65" customFormat="1" ht="13.5" spans="1:13">
      <c r="A1648" s="66"/>
      <c r="E1648" s="72" t="s">
        <v>1723</v>
      </c>
      <c r="F1648" s="18"/>
      <c r="G1648" s="18"/>
      <c r="H1648" s="18"/>
      <c r="I1648" s="18"/>
      <c r="J1648" s="18"/>
      <c r="K1648" s="18"/>
      <c r="L1648" s="18"/>
      <c r="M1648" s="18"/>
    </row>
    <row r="1649" s="65" customFormat="1" ht="13.5" spans="1:13">
      <c r="A1649" s="66"/>
      <c r="E1649" s="72" t="s">
        <v>1724</v>
      </c>
      <c r="F1649" s="18"/>
      <c r="G1649" s="18"/>
      <c r="H1649" s="18"/>
      <c r="I1649" s="18"/>
      <c r="J1649" s="18"/>
      <c r="K1649" s="18"/>
      <c r="L1649" s="18"/>
      <c r="M1649" s="18"/>
    </row>
    <row r="1650" s="65" customFormat="1" ht="13.5" spans="1:13">
      <c r="A1650" s="66"/>
      <c r="E1650" s="72" t="s">
        <v>1725</v>
      </c>
      <c r="F1650" s="18"/>
      <c r="G1650" s="18"/>
      <c r="H1650" s="18"/>
      <c r="I1650" s="18"/>
      <c r="J1650" s="18"/>
      <c r="K1650" s="18"/>
      <c r="L1650" s="18"/>
      <c r="M1650" s="18"/>
    </row>
    <row r="1651" s="65" customFormat="1" ht="13.5" spans="1:13">
      <c r="A1651" s="66"/>
      <c r="E1651" s="72" t="s">
        <v>1726</v>
      </c>
      <c r="F1651" s="18"/>
      <c r="G1651" s="18"/>
      <c r="H1651" s="18"/>
      <c r="I1651" s="18"/>
      <c r="J1651" s="18"/>
      <c r="K1651" s="18"/>
      <c r="L1651" s="18"/>
      <c r="M1651" s="18"/>
    </row>
    <row r="1652" s="65" customFormat="1" ht="13.5" spans="1:13">
      <c r="A1652" s="66"/>
      <c r="E1652" s="72" t="s">
        <v>1727</v>
      </c>
      <c r="F1652" s="18"/>
      <c r="G1652" s="18"/>
      <c r="H1652" s="18"/>
      <c r="I1652" s="18"/>
      <c r="J1652" s="18"/>
      <c r="K1652" s="18"/>
      <c r="L1652" s="18"/>
      <c r="M1652" s="18"/>
    </row>
    <row r="1653" s="65" customFormat="1" ht="13.5" spans="1:13">
      <c r="A1653" s="66"/>
      <c r="E1653" s="72" t="s">
        <v>1728</v>
      </c>
      <c r="F1653" s="18"/>
      <c r="G1653" s="18"/>
      <c r="H1653" s="18"/>
      <c r="I1653" s="18"/>
      <c r="J1653" s="18"/>
      <c r="K1653" s="18"/>
      <c r="L1653" s="18"/>
      <c r="M1653" s="18"/>
    </row>
    <row r="1654" s="65" customFormat="1" ht="13.5" spans="1:13">
      <c r="A1654" s="66"/>
      <c r="E1654" s="72" t="s">
        <v>1729</v>
      </c>
      <c r="F1654" s="18"/>
      <c r="G1654" s="18"/>
      <c r="H1654" s="18"/>
      <c r="I1654" s="18"/>
      <c r="J1654" s="18"/>
      <c r="K1654" s="18"/>
      <c r="L1654" s="18"/>
      <c r="M1654" s="18"/>
    </row>
    <row r="1655" s="65" customFormat="1" ht="13.5" spans="1:13">
      <c r="A1655" s="66"/>
      <c r="E1655" s="72" t="s">
        <v>1730</v>
      </c>
      <c r="F1655" s="18"/>
      <c r="G1655" s="18"/>
      <c r="H1655" s="18"/>
      <c r="I1655" s="18"/>
      <c r="J1655" s="18"/>
      <c r="K1655" s="18"/>
      <c r="L1655" s="18"/>
      <c r="M1655" s="18"/>
    </row>
    <row r="1656" s="65" customFormat="1" ht="13.5" spans="1:13">
      <c r="A1656" s="66"/>
      <c r="E1656" s="72" t="s">
        <v>1731</v>
      </c>
      <c r="F1656" s="18"/>
      <c r="G1656" s="18"/>
      <c r="H1656" s="18"/>
      <c r="I1656" s="18"/>
      <c r="J1656" s="18"/>
      <c r="K1656" s="18"/>
      <c r="L1656" s="18"/>
      <c r="M1656" s="18"/>
    </row>
    <row r="1657" s="65" customFormat="1" ht="13.5" spans="1:13">
      <c r="A1657" s="66"/>
      <c r="E1657" s="72" t="s">
        <v>1732</v>
      </c>
      <c r="F1657" s="18"/>
      <c r="G1657" s="18"/>
      <c r="H1657" s="18"/>
      <c r="I1657" s="18"/>
      <c r="J1657" s="18"/>
      <c r="K1657" s="18"/>
      <c r="L1657" s="18"/>
      <c r="M1657" s="18"/>
    </row>
    <row r="1658" s="65" customFormat="1" ht="13.5" spans="1:13">
      <c r="A1658" s="66"/>
      <c r="E1658" s="72" t="s">
        <v>1733</v>
      </c>
      <c r="F1658" s="18"/>
      <c r="G1658" s="18"/>
      <c r="H1658" s="18"/>
      <c r="I1658" s="18"/>
      <c r="J1658" s="18"/>
      <c r="K1658" s="18"/>
      <c r="L1658" s="18"/>
      <c r="M1658" s="18"/>
    </row>
    <row r="1659" s="65" customFormat="1" ht="13.5" spans="1:13">
      <c r="A1659" s="66"/>
      <c r="E1659" s="72" t="s">
        <v>1734</v>
      </c>
      <c r="F1659" s="18"/>
      <c r="G1659" s="18"/>
      <c r="H1659" s="18"/>
      <c r="I1659" s="18"/>
      <c r="J1659" s="18"/>
      <c r="K1659" s="18"/>
      <c r="L1659" s="18"/>
      <c r="M1659" s="18"/>
    </row>
    <row r="1660" s="65" customFormat="1" ht="13.5" spans="1:13">
      <c r="A1660" s="66"/>
      <c r="E1660" s="72" t="s">
        <v>1735</v>
      </c>
      <c r="F1660" s="18"/>
      <c r="G1660" s="18"/>
      <c r="H1660" s="18"/>
      <c r="I1660" s="18"/>
      <c r="J1660" s="18"/>
      <c r="K1660" s="18"/>
      <c r="L1660" s="18"/>
      <c r="M1660" s="18"/>
    </row>
    <row r="1661" s="65" customFormat="1" ht="13.5" spans="1:13">
      <c r="A1661" s="66"/>
      <c r="E1661" s="72" t="s">
        <v>1736</v>
      </c>
      <c r="F1661" s="18"/>
      <c r="G1661" s="18"/>
      <c r="H1661" s="18"/>
      <c r="I1661" s="18"/>
      <c r="J1661" s="18"/>
      <c r="K1661" s="18"/>
      <c r="L1661" s="18"/>
      <c r="M1661" s="18"/>
    </row>
    <row r="1662" s="65" customFormat="1" ht="13.5" spans="1:13">
      <c r="A1662" s="66"/>
      <c r="E1662" s="72" t="s">
        <v>1737</v>
      </c>
      <c r="F1662" s="18"/>
      <c r="G1662" s="18"/>
      <c r="H1662" s="18"/>
      <c r="I1662" s="18"/>
      <c r="J1662" s="18"/>
      <c r="K1662" s="18"/>
      <c r="L1662" s="18"/>
      <c r="M1662" s="18"/>
    </row>
    <row r="1663" s="65" customFormat="1" ht="13.5" spans="1:13">
      <c r="A1663" s="66"/>
      <c r="E1663" s="72" t="s">
        <v>1738</v>
      </c>
      <c r="F1663" s="18"/>
      <c r="G1663" s="18"/>
      <c r="H1663" s="18"/>
      <c r="I1663" s="18"/>
      <c r="J1663" s="18"/>
      <c r="K1663" s="18"/>
      <c r="L1663" s="18"/>
      <c r="M1663" s="18"/>
    </row>
    <row r="1664" s="65" customFormat="1" ht="13.5" spans="1:13">
      <c r="A1664" s="66"/>
      <c r="E1664" s="72" t="s">
        <v>1739</v>
      </c>
      <c r="F1664" s="18"/>
      <c r="G1664" s="18"/>
      <c r="H1664" s="18"/>
      <c r="I1664" s="18"/>
      <c r="J1664" s="18"/>
      <c r="K1664" s="18"/>
      <c r="L1664" s="18"/>
      <c r="M1664" s="18"/>
    </row>
    <row r="1665" s="65" customFormat="1" ht="13.5" spans="1:13">
      <c r="A1665" s="66"/>
      <c r="E1665" s="72" t="s">
        <v>1740</v>
      </c>
      <c r="F1665" s="18"/>
      <c r="G1665" s="18"/>
      <c r="H1665" s="18"/>
      <c r="I1665" s="18"/>
      <c r="J1665" s="18"/>
      <c r="K1665" s="18"/>
      <c r="L1665" s="18"/>
      <c r="M1665" s="18"/>
    </row>
    <row r="1666" s="65" customFormat="1" ht="13.5" spans="1:13">
      <c r="A1666" s="66"/>
      <c r="E1666" s="72" t="s">
        <v>1741</v>
      </c>
      <c r="F1666" s="18"/>
      <c r="G1666" s="18"/>
      <c r="H1666" s="18"/>
      <c r="I1666" s="18"/>
      <c r="J1666" s="18"/>
      <c r="K1666" s="18"/>
      <c r="L1666" s="18"/>
      <c r="M1666" s="18"/>
    </row>
    <row r="1667" s="65" customFormat="1" ht="13.5" spans="1:13">
      <c r="A1667" s="66"/>
      <c r="E1667" s="72" t="s">
        <v>1742</v>
      </c>
      <c r="F1667" s="18"/>
      <c r="G1667" s="18"/>
      <c r="H1667" s="18"/>
      <c r="I1667" s="18"/>
      <c r="J1667" s="18"/>
      <c r="K1667" s="18"/>
      <c r="L1667" s="18"/>
      <c r="M1667" s="18"/>
    </row>
    <row r="1668" s="65" customFormat="1" ht="13.5" spans="1:13">
      <c r="A1668" s="66"/>
      <c r="E1668" s="72" t="s">
        <v>1743</v>
      </c>
      <c r="F1668" s="18"/>
      <c r="G1668" s="18"/>
      <c r="H1668" s="18"/>
      <c r="I1668" s="18"/>
      <c r="J1668" s="18"/>
      <c r="K1668" s="18"/>
      <c r="L1668" s="18"/>
      <c r="M1668" s="18"/>
    </row>
    <row r="1669" s="65" customFormat="1" ht="13.5" spans="1:13">
      <c r="A1669" s="66"/>
      <c r="E1669" s="72" t="s">
        <v>1744</v>
      </c>
      <c r="F1669" s="18"/>
      <c r="G1669" s="18"/>
      <c r="H1669" s="18"/>
      <c r="I1669" s="18"/>
      <c r="J1669" s="18"/>
      <c r="K1669" s="18"/>
      <c r="L1669" s="18"/>
      <c r="M1669" s="18"/>
    </row>
    <row r="1670" s="65" customFormat="1" ht="13.5" spans="1:13">
      <c r="A1670" s="66"/>
      <c r="E1670" s="72" t="s">
        <v>1745</v>
      </c>
      <c r="F1670" s="18"/>
      <c r="G1670" s="18"/>
      <c r="H1670" s="18"/>
      <c r="I1670" s="18"/>
      <c r="J1670" s="18"/>
      <c r="K1670" s="18"/>
      <c r="L1670" s="18"/>
      <c r="M1670" s="18"/>
    </row>
    <row r="1671" s="65" customFormat="1" ht="13.5" spans="1:13">
      <c r="A1671" s="66"/>
      <c r="E1671" s="72" t="s">
        <v>1746</v>
      </c>
      <c r="F1671" s="18"/>
      <c r="G1671" s="18"/>
      <c r="H1671" s="18"/>
      <c r="I1671" s="18"/>
      <c r="J1671" s="18"/>
      <c r="K1671" s="18"/>
      <c r="L1671" s="18"/>
      <c r="M1671" s="18"/>
    </row>
    <row r="1672" s="65" customFormat="1" ht="13.5" spans="1:13">
      <c r="A1672" s="66"/>
      <c r="E1672" s="72" t="s">
        <v>1747</v>
      </c>
      <c r="F1672" s="18"/>
      <c r="G1672" s="18"/>
      <c r="H1672" s="18"/>
      <c r="I1672" s="18"/>
      <c r="J1672" s="18"/>
      <c r="K1672" s="18"/>
      <c r="L1672" s="18"/>
      <c r="M1672" s="18"/>
    </row>
    <row r="1673" s="65" customFormat="1" ht="13.5" spans="1:13">
      <c r="A1673" s="66"/>
      <c r="E1673" s="72" t="s">
        <v>1748</v>
      </c>
      <c r="F1673" s="18"/>
      <c r="G1673" s="18"/>
      <c r="H1673" s="18"/>
      <c r="I1673" s="18"/>
      <c r="J1673" s="18"/>
      <c r="K1673" s="18"/>
      <c r="L1673" s="18"/>
      <c r="M1673" s="18"/>
    </row>
    <row r="1674" s="65" customFormat="1" ht="13.5" spans="1:13">
      <c r="A1674" s="66"/>
      <c r="E1674" s="72" t="s">
        <v>1749</v>
      </c>
      <c r="F1674" s="18"/>
      <c r="G1674" s="18"/>
      <c r="H1674" s="18"/>
      <c r="I1674" s="18"/>
      <c r="J1674" s="18"/>
      <c r="K1674" s="18"/>
      <c r="L1674" s="18"/>
      <c r="M1674" s="18"/>
    </row>
    <row r="1675" s="65" customFormat="1" ht="13.5" spans="1:13">
      <c r="A1675" s="66"/>
      <c r="E1675" s="72" t="s">
        <v>1750</v>
      </c>
      <c r="F1675" s="18"/>
      <c r="G1675" s="18"/>
      <c r="H1675" s="18"/>
      <c r="I1675" s="18"/>
      <c r="J1675" s="18"/>
      <c r="K1675" s="18"/>
      <c r="L1675" s="18"/>
      <c r="M1675" s="18"/>
    </row>
    <row r="1676" s="65" customFormat="1" ht="13.5" spans="1:13">
      <c r="A1676" s="66"/>
      <c r="E1676" s="72" t="s">
        <v>1751</v>
      </c>
      <c r="F1676" s="18"/>
      <c r="G1676" s="18"/>
      <c r="H1676" s="18"/>
      <c r="I1676" s="18"/>
      <c r="J1676" s="18"/>
      <c r="K1676" s="18"/>
      <c r="L1676" s="18"/>
      <c r="M1676" s="18"/>
    </row>
    <row r="1677" s="65" customFormat="1" ht="13.5" spans="1:13">
      <c r="A1677" s="66"/>
      <c r="E1677" s="72" t="s">
        <v>1752</v>
      </c>
      <c r="F1677" s="18"/>
      <c r="G1677" s="18"/>
      <c r="H1677" s="18"/>
      <c r="I1677" s="18"/>
      <c r="J1677" s="18"/>
      <c r="K1677" s="18"/>
      <c r="L1677" s="18"/>
      <c r="M1677" s="18"/>
    </row>
    <row r="1678" s="65" customFormat="1" ht="13.5" spans="1:13">
      <c r="A1678" s="66"/>
      <c r="E1678" s="72" t="s">
        <v>1753</v>
      </c>
      <c r="F1678" s="18"/>
      <c r="G1678" s="18"/>
      <c r="H1678" s="18"/>
      <c r="I1678" s="18"/>
      <c r="J1678" s="18"/>
      <c r="K1678" s="18"/>
      <c r="L1678" s="18"/>
      <c r="M1678" s="18"/>
    </row>
    <row r="1679" s="65" customFormat="1" ht="13.5" spans="1:13">
      <c r="A1679" s="66"/>
      <c r="E1679" s="72" t="s">
        <v>1754</v>
      </c>
      <c r="F1679" s="18"/>
      <c r="G1679" s="18"/>
      <c r="H1679" s="18"/>
      <c r="I1679" s="18"/>
      <c r="J1679" s="18"/>
      <c r="K1679" s="18"/>
      <c r="L1679" s="18"/>
      <c r="M1679" s="18"/>
    </row>
    <row r="1680" s="65" customFormat="1" ht="13.5" spans="1:13">
      <c r="A1680" s="66"/>
      <c r="E1680" s="72" t="s">
        <v>1755</v>
      </c>
      <c r="F1680" s="18"/>
      <c r="G1680" s="18"/>
      <c r="H1680" s="18"/>
      <c r="I1680" s="18"/>
      <c r="J1680" s="18"/>
      <c r="K1680" s="18"/>
      <c r="L1680" s="18"/>
      <c r="M1680" s="18"/>
    </row>
    <row r="1681" s="65" customFormat="1" ht="13.5" spans="1:13">
      <c r="A1681" s="66"/>
      <c r="E1681" s="72" t="s">
        <v>1756</v>
      </c>
      <c r="F1681" s="18"/>
      <c r="G1681" s="18"/>
      <c r="H1681" s="18"/>
      <c r="I1681" s="18"/>
      <c r="J1681" s="18"/>
      <c r="K1681" s="18"/>
      <c r="L1681" s="18"/>
      <c r="M1681" s="18"/>
    </row>
    <row r="1682" s="65" customFormat="1" ht="13.5" spans="1:13">
      <c r="A1682" s="66"/>
      <c r="E1682" s="72" t="s">
        <v>1757</v>
      </c>
      <c r="F1682" s="18"/>
      <c r="G1682" s="18"/>
      <c r="H1682" s="18"/>
      <c r="I1682" s="18"/>
      <c r="J1682" s="18"/>
      <c r="K1682" s="18"/>
      <c r="L1682" s="18"/>
      <c r="M1682" s="18"/>
    </row>
    <row r="1683" s="65" customFormat="1" ht="13.5" spans="1:13">
      <c r="A1683" s="66"/>
      <c r="E1683" s="72" t="s">
        <v>1758</v>
      </c>
      <c r="F1683" s="18"/>
      <c r="G1683" s="18"/>
      <c r="H1683" s="18"/>
      <c r="I1683" s="18"/>
      <c r="J1683" s="18"/>
      <c r="K1683" s="18"/>
      <c r="L1683" s="18"/>
      <c r="M1683" s="18"/>
    </row>
    <row r="1684" s="65" customFormat="1" ht="13.5" spans="1:13">
      <c r="A1684" s="66"/>
      <c r="E1684" s="72" t="s">
        <v>1759</v>
      </c>
      <c r="F1684" s="18"/>
      <c r="G1684" s="18"/>
      <c r="H1684" s="18"/>
      <c r="I1684" s="18"/>
      <c r="J1684" s="18"/>
      <c r="K1684" s="18"/>
      <c r="L1684" s="18"/>
      <c r="M1684" s="18"/>
    </row>
    <row r="1685" s="65" customFormat="1" ht="13.5" spans="1:13">
      <c r="A1685" s="66"/>
      <c r="E1685" s="72" t="s">
        <v>1760</v>
      </c>
      <c r="F1685" s="18"/>
      <c r="G1685" s="18"/>
      <c r="H1685" s="18"/>
      <c r="I1685" s="18"/>
      <c r="J1685" s="18"/>
      <c r="K1685" s="18"/>
      <c r="L1685" s="18"/>
      <c r="M1685" s="18"/>
    </row>
    <row r="1686" s="65" customFormat="1" ht="13.5" spans="1:13">
      <c r="A1686" s="66"/>
      <c r="E1686" s="72" t="s">
        <v>1761</v>
      </c>
      <c r="F1686" s="18"/>
      <c r="G1686" s="18"/>
      <c r="H1686" s="18"/>
      <c r="I1686" s="18"/>
      <c r="J1686" s="18"/>
      <c r="K1686" s="18"/>
      <c r="L1686" s="18"/>
      <c r="M1686" s="18"/>
    </row>
    <row r="1687" s="65" customFormat="1" ht="13.5" spans="1:13">
      <c r="A1687" s="66"/>
      <c r="E1687" s="72" t="s">
        <v>1762</v>
      </c>
      <c r="F1687" s="18"/>
      <c r="G1687" s="18"/>
      <c r="H1687" s="18"/>
      <c r="I1687" s="18"/>
      <c r="J1687" s="18"/>
      <c r="K1687" s="18"/>
      <c r="L1687" s="18"/>
      <c r="M1687" s="18"/>
    </row>
    <row r="1688" s="65" customFormat="1" ht="13.5" spans="1:13">
      <c r="A1688" s="66"/>
      <c r="E1688" s="72" t="s">
        <v>1763</v>
      </c>
      <c r="F1688" s="18"/>
      <c r="G1688" s="18"/>
      <c r="H1688" s="18"/>
      <c r="I1688" s="18"/>
      <c r="J1688" s="18"/>
      <c r="K1688" s="18"/>
      <c r="L1688" s="18"/>
      <c r="M1688" s="18"/>
    </row>
    <row r="1689" s="65" customFormat="1" ht="13.5" spans="1:13">
      <c r="A1689" s="66"/>
      <c r="E1689" s="72" t="s">
        <v>1764</v>
      </c>
      <c r="F1689" s="18"/>
      <c r="G1689" s="18"/>
      <c r="H1689" s="18"/>
      <c r="I1689" s="18"/>
      <c r="J1689" s="18"/>
      <c r="K1689" s="18"/>
      <c r="L1689" s="18"/>
      <c r="M1689" s="18"/>
    </row>
    <row r="1690" s="65" customFormat="1" ht="13.5" spans="1:13">
      <c r="A1690" s="66"/>
      <c r="E1690" s="72" t="s">
        <v>1765</v>
      </c>
      <c r="F1690" s="18"/>
      <c r="G1690" s="18"/>
      <c r="H1690" s="18"/>
      <c r="I1690" s="18"/>
      <c r="J1690" s="18"/>
      <c r="K1690" s="18"/>
      <c r="L1690" s="18"/>
      <c r="M1690" s="18"/>
    </row>
    <row r="1691" s="65" customFormat="1" ht="13.5" spans="1:13">
      <c r="A1691" s="66"/>
      <c r="E1691" s="72" t="s">
        <v>1766</v>
      </c>
      <c r="F1691" s="18"/>
      <c r="G1691" s="18"/>
      <c r="H1691" s="18"/>
      <c r="I1691" s="18"/>
      <c r="J1691" s="18"/>
      <c r="K1691" s="18"/>
      <c r="L1691" s="18"/>
      <c r="M1691" s="18"/>
    </row>
    <row r="1692" s="65" customFormat="1" ht="13.5" spans="1:13">
      <c r="A1692" s="66"/>
      <c r="E1692" s="72" t="s">
        <v>1767</v>
      </c>
      <c r="F1692" s="18"/>
      <c r="G1692" s="18"/>
      <c r="H1692" s="18"/>
      <c r="I1692" s="18"/>
      <c r="J1692" s="18"/>
      <c r="K1692" s="18"/>
      <c r="L1692" s="18"/>
      <c r="M1692" s="18"/>
    </row>
    <row r="1693" s="65" customFormat="1" ht="13.5" spans="1:13">
      <c r="A1693" s="66"/>
      <c r="E1693" s="72" t="s">
        <v>1768</v>
      </c>
      <c r="F1693" s="18"/>
      <c r="G1693" s="18"/>
      <c r="H1693" s="18"/>
      <c r="I1693" s="18"/>
      <c r="J1693" s="18"/>
      <c r="K1693" s="18"/>
      <c r="L1693" s="18"/>
      <c r="M1693" s="18"/>
    </row>
    <row r="1694" s="65" customFormat="1" ht="13.5" spans="1:13">
      <c r="A1694" s="66"/>
      <c r="E1694" s="72" t="s">
        <v>1769</v>
      </c>
      <c r="F1694" s="18"/>
      <c r="G1694" s="18"/>
      <c r="H1694" s="18"/>
      <c r="I1694" s="18"/>
      <c r="J1694" s="18"/>
      <c r="K1694" s="18"/>
      <c r="L1694" s="18"/>
      <c r="M1694" s="18"/>
    </row>
    <row r="1695" s="65" customFormat="1" ht="13.5" spans="1:13">
      <c r="A1695" s="66"/>
      <c r="E1695" s="72" t="s">
        <v>1770</v>
      </c>
      <c r="F1695" s="18"/>
      <c r="G1695" s="18"/>
      <c r="H1695" s="18"/>
      <c r="I1695" s="18"/>
      <c r="J1695" s="18"/>
      <c r="K1695" s="18"/>
      <c r="L1695" s="18"/>
      <c r="M1695" s="18"/>
    </row>
    <row r="1696" s="65" customFormat="1" ht="13.5" spans="1:13">
      <c r="A1696" s="66"/>
      <c r="E1696" s="72" t="s">
        <v>1771</v>
      </c>
      <c r="F1696" s="18"/>
      <c r="G1696" s="18"/>
      <c r="H1696" s="18"/>
      <c r="I1696" s="18"/>
      <c r="J1696" s="18"/>
      <c r="K1696" s="18"/>
      <c r="L1696" s="18"/>
      <c r="M1696" s="18"/>
    </row>
    <row r="1697" s="65" customFormat="1" ht="13.5" spans="1:13">
      <c r="A1697" s="66"/>
      <c r="E1697" s="72" t="s">
        <v>1772</v>
      </c>
      <c r="F1697" s="18"/>
      <c r="G1697" s="18"/>
      <c r="H1697" s="18"/>
      <c r="I1697" s="18"/>
      <c r="J1697" s="18"/>
      <c r="K1697" s="18"/>
      <c r="L1697" s="18"/>
      <c r="M1697" s="18"/>
    </row>
    <row r="1698" s="65" customFormat="1" ht="13.5" spans="1:13">
      <c r="A1698" s="66"/>
      <c r="E1698" s="72" t="s">
        <v>1773</v>
      </c>
      <c r="F1698" s="18"/>
      <c r="G1698" s="18"/>
      <c r="H1698" s="18"/>
      <c r="I1698" s="18"/>
      <c r="J1698" s="18"/>
      <c r="K1698" s="18"/>
      <c r="L1698" s="18"/>
      <c r="M1698" s="18"/>
    </row>
    <row r="1699" s="65" customFormat="1" ht="13.5" spans="1:13">
      <c r="A1699" s="66"/>
      <c r="E1699" s="72" t="s">
        <v>1774</v>
      </c>
      <c r="F1699" s="18"/>
      <c r="G1699" s="18"/>
      <c r="H1699" s="18"/>
      <c r="I1699" s="18"/>
      <c r="J1699" s="18"/>
      <c r="K1699" s="18"/>
      <c r="L1699" s="18"/>
      <c r="M1699" s="18"/>
    </row>
    <row r="1700" s="65" customFormat="1" ht="13.5" spans="1:13">
      <c r="A1700" s="66"/>
      <c r="E1700" s="72" t="s">
        <v>1775</v>
      </c>
      <c r="F1700" s="18"/>
      <c r="G1700" s="18"/>
      <c r="H1700" s="18"/>
      <c r="I1700" s="18"/>
      <c r="J1700" s="18"/>
      <c r="K1700" s="18"/>
      <c r="L1700" s="18"/>
      <c r="M1700" s="18"/>
    </row>
    <row r="1701" s="65" customFormat="1" ht="13.5" spans="1:13">
      <c r="A1701" s="66"/>
      <c r="E1701" s="72" t="s">
        <v>1776</v>
      </c>
      <c r="F1701" s="18"/>
      <c r="G1701" s="18"/>
      <c r="H1701" s="18"/>
      <c r="I1701" s="18"/>
      <c r="J1701" s="18"/>
      <c r="K1701" s="18"/>
      <c r="L1701" s="18"/>
      <c r="M1701" s="18"/>
    </row>
    <row r="1702" s="65" customFormat="1" ht="13.5" spans="1:13">
      <c r="A1702" s="66"/>
      <c r="E1702" s="72" t="s">
        <v>1777</v>
      </c>
      <c r="F1702" s="18"/>
      <c r="G1702" s="18"/>
      <c r="H1702" s="18"/>
      <c r="I1702" s="18"/>
      <c r="J1702" s="18"/>
      <c r="K1702" s="18"/>
      <c r="L1702" s="18"/>
      <c r="M1702" s="18"/>
    </row>
    <row r="1703" s="65" customFormat="1" ht="13.5" spans="1:13">
      <c r="A1703" s="66"/>
      <c r="E1703" s="72" t="s">
        <v>1778</v>
      </c>
      <c r="F1703" s="18"/>
      <c r="G1703" s="18"/>
      <c r="H1703" s="18"/>
      <c r="I1703" s="18"/>
      <c r="J1703" s="18"/>
      <c r="K1703" s="18"/>
      <c r="L1703" s="18"/>
      <c r="M1703" s="18"/>
    </row>
    <row r="1704" s="65" customFormat="1" ht="13.5" spans="1:13">
      <c r="A1704" s="66"/>
      <c r="E1704" s="72" t="s">
        <v>1779</v>
      </c>
      <c r="F1704" s="18"/>
      <c r="G1704" s="18"/>
      <c r="H1704" s="18"/>
      <c r="I1704" s="18"/>
      <c r="J1704" s="18"/>
      <c r="K1704" s="18"/>
      <c r="L1704" s="18"/>
      <c r="M1704" s="18"/>
    </row>
    <row r="1705" s="65" customFormat="1" ht="13.5" spans="1:13">
      <c r="A1705" s="66"/>
      <c r="E1705" s="72" t="s">
        <v>1780</v>
      </c>
      <c r="F1705" s="18"/>
      <c r="G1705" s="18"/>
      <c r="H1705" s="18"/>
      <c r="I1705" s="18"/>
      <c r="J1705" s="18"/>
      <c r="K1705" s="18"/>
      <c r="L1705" s="18"/>
      <c r="M1705" s="18"/>
    </row>
    <row r="1706" s="65" customFormat="1" ht="13.5" spans="1:13">
      <c r="A1706" s="66"/>
      <c r="E1706" s="72" t="s">
        <v>1781</v>
      </c>
      <c r="F1706" s="18"/>
      <c r="G1706" s="18"/>
      <c r="H1706" s="18"/>
      <c r="I1706" s="18"/>
      <c r="J1706" s="18"/>
      <c r="K1706" s="18"/>
      <c r="L1706" s="18"/>
      <c r="M1706" s="18"/>
    </row>
    <row r="1707" s="65" customFormat="1" ht="13.5" spans="1:13">
      <c r="A1707" s="66"/>
      <c r="E1707" s="72" t="s">
        <v>1782</v>
      </c>
      <c r="F1707" s="18"/>
      <c r="G1707" s="18"/>
      <c r="H1707" s="18"/>
      <c r="I1707" s="18"/>
      <c r="J1707" s="18"/>
      <c r="K1707" s="18"/>
      <c r="L1707" s="18"/>
      <c r="M1707" s="18"/>
    </row>
    <row r="1708" s="65" customFormat="1" ht="13.5" spans="1:13">
      <c r="A1708" s="66"/>
      <c r="E1708" s="72" t="s">
        <v>1783</v>
      </c>
      <c r="F1708" s="18"/>
      <c r="G1708" s="18"/>
      <c r="H1708" s="18"/>
      <c r="I1708" s="18"/>
      <c r="J1708" s="18"/>
      <c r="K1708" s="18"/>
      <c r="L1708" s="18"/>
      <c r="M1708" s="18"/>
    </row>
    <row r="1709" s="65" customFormat="1" ht="13.5" spans="1:13">
      <c r="A1709" s="66"/>
      <c r="E1709" s="72" t="s">
        <v>1784</v>
      </c>
      <c r="F1709" s="18"/>
      <c r="G1709" s="18"/>
      <c r="H1709" s="18"/>
      <c r="I1709" s="18"/>
      <c r="J1709" s="18"/>
      <c r="K1709" s="18"/>
      <c r="L1709" s="18"/>
      <c r="M1709" s="18"/>
    </row>
    <row r="1710" s="65" customFormat="1" ht="13.5" spans="1:13">
      <c r="A1710" s="66"/>
      <c r="E1710" s="72" t="s">
        <v>1785</v>
      </c>
      <c r="F1710" s="18"/>
      <c r="G1710" s="18"/>
      <c r="H1710" s="18"/>
      <c r="I1710" s="18"/>
      <c r="J1710" s="18"/>
      <c r="K1710" s="18"/>
      <c r="L1710" s="18"/>
      <c r="M1710" s="18"/>
    </row>
    <row r="1711" s="65" customFormat="1" ht="13.5" spans="1:13">
      <c r="A1711" s="66"/>
      <c r="E1711" s="72" t="s">
        <v>1786</v>
      </c>
      <c r="F1711" s="18"/>
      <c r="G1711" s="18"/>
      <c r="H1711" s="18"/>
      <c r="I1711" s="18"/>
      <c r="J1711" s="18"/>
      <c r="K1711" s="18"/>
      <c r="L1711" s="18"/>
      <c r="M1711" s="18"/>
    </row>
    <row r="1712" s="65" customFormat="1" ht="13.5" spans="1:13">
      <c r="A1712" s="66"/>
      <c r="E1712" s="72" t="s">
        <v>1787</v>
      </c>
      <c r="F1712" s="18"/>
      <c r="G1712" s="18"/>
      <c r="H1712" s="18"/>
      <c r="I1712" s="18"/>
      <c r="J1712" s="18"/>
      <c r="K1712" s="18"/>
      <c r="L1712" s="18"/>
      <c r="M1712" s="18"/>
    </row>
    <row r="1713" s="65" customFormat="1" ht="13.5" spans="1:13">
      <c r="A1713" s="66"/>
      <c r="E1713" s="72" t="s">
        <v>1788</v>
      </c>
      <c r="F1713" s="18"/>
      <c r="G1713" s="18"/>
      <c r="H1713" s="18"/>
      <c r="I1713" s="18"/>
      <c r="J1713" s="18"/>
      <c r="K1713" s="18"/>
      <c r="L1713" s="18"/>
      <c r="M1713" s="18"/>
    </row>
    <row r="1714" s="65" customFormat="1" ht="13.5" spans="1:13">
      <c r="A1714" s="66"/>
      <c r="E1714" s="72" t="s">
        <v>1789</v>
      </c>
      <c r="F1714" s="18"/>
      <c r="G1714" s="18"/>
      <c r="H1714" s="18"/>
      <c r="I1714" s="18"/>
      <c r="J1714" s="18"/>
      <c r="K1714" s="18"/>
      <c r="L1714" s="18"/>
      <c r="M1714" s="18"/>
    </row>
    <row r="1715" s="65" customFormat="1" ht="13.5" spans="1:13">
      <c r="A1715" s="66"/>
      <c r="E1715" s="72" t="s">
        <v>1790</v>
      </c>
      <c r="F1715" s="18"/>
      <c r="G1715" s="18"/>
      <c r="H1715" s="18"/>
      <c r="I1715" s="18"/>
      <c r="J1715" s="18"/>
      <c r="K1715" s="18"/>
      <c r="L1715" s="18"/>
      <c r="M1715" s="18"/>
    </row>
    <row r="1716" s="65" customFormat="1" ht="13.5" spans="1:13">
      <c r="A1716" s="66"/>
      <c r="E1716" s="72" t="s">
        <v>1791</v>
      </c>
      <c r="F1716" s="18"/>
      <c r="G1716" s="18"/>
      <c r="H1716" s="18"/>
      <c r="I1716" s="18"/>
      <c r="J1716" s="18"/>
      <c r="K1716" s="18"/>
      <c r="L1716" s="18"/>
      <c r="M1716" s="18"/>
    </row>
    <row r="1717" s="65" customFormat="1" ht="13.5" spans="1:13">
      <c r="A1717" s="66"/>
      <c r="E1717" s="72" t="s">
        <v>1792</v>
      </c>
      <c r="F1717" s="18"/>
      <c r="G1717" s="18"/>
      <c r="H1717" s="18"/>
      <c r="I1717" s="18"/>
      <c r="J1717" s="18"/>
      <c r="K1717" s="18"/>
      <c r="L1717" s="18"/>
      <c r="M1717" s="18"/>
    </row>
    <row r="1718" s="65" customFormat="1" ht="13.5" spans="1:13">
      <c r="A1718" s="66"/>
      <c r="E1718" s="72" t="s">
        <v>1793</v>
      </c>
      <c r="F1718" s="18"/>
      <c r="G1718" s="18"/>
      <c r="H1718" s="18"/>
      <c r="I1718" s="18"/>
      <c r="J1718" s="18"/>
      <c r="K1718" s="18"/>
      <c r="L1718" s="18"/>
      <c r="M1718" s="18"/>
    </row>
    <row r="1719" s="65" customFormat="1" ht="13.5" spans="1:13">
      <c r="A1719" s="66"/>
      <c r="E1719" s="72" t="s">
        <v>1794</v>
      </c>
      <c r="F1719" s="18"/>
      <c r="G1719" s="18"/>
      <c r="H1719" s="18"/>
      <c r="I1719" s="18"/>
      <c r="J1719" s="18"/>
      <c r="K1719" s="18"/>
      <c r="L1719" s="18"/>
      <c r="M1719" s="18"/>
    </row>
    <row r="1720" s="65" customFormat="1" ht="13.5" spans="1:13">
      <c r="A1720" s="66"/>
      <c r="E1720" s="72" t="s">
        <v>1795</v>
      </c>
      <c r="F1720" s="18"/>
      <c r="G1720" s="18"/>
      <c r="H1720" s="18"/>
      <c r="I1720" s="18"/>
      <c r="J1720" s="18"/>
      <c r="K1720" s="18"/>
      <c r="L1720" s="18"/>
      <c r="M1720" s="18"/>
    </row>
    <row r="1721" s="65" customFormat="1" ht="13.5" spans="1:13">
      <c r="A1721" s="66"/>
      <c r="E1721" s="72" t="s">
        <v>1796</v>
      </c>
      <c r="F1721" s="18"/>
      <c r="G1721" s="18"/>
      <c r="H1721" s="18"/>
      <c r="I1721" s="18"/>
      <c r="J1721" s="18"/>
      <c r="K1721" s="18"/>
      <c r="L1721" s="18"/>
      <c r="M1721" s="18"/>
    </row>
    <row r="1722" s="65" customFormat="1" ht="13.5" spans="1:13">
      <c r="A1722" s="66"/>
      <c r="E1722" s="72" t="s">
        <v>1797</v>
      </c>
      <c r="F1722" s="18"/>
      <c r="G1722" s="18"/>
      <c r="H1722" s="18"/>
      <c r="I1722" s="18"/>
      <c r="J1722" s="18"/>
      <c r="K1722" s="18"/>
      <c r="L1722" s="18"/>
      <c r="M1722" s="18"/>
    </row>
    <row r="1723" s="65" customFormat="1" ht="13.5" spans="1:13">
      <c r="A1723" s="66"/>
      <c r="E1723" s="72" t="s">
        <v>1798</v>
      </c>
      <c r="F1723" s="18"/>
      <c r="G1723" s="18"/>
      <c r="H1723" s="18"/>
      <c r="I1723" s="18"/>
      <c r="J1723" s="18"/>
      <c r="K1723" s="18"/>
      <c r="L1723" s="18"/>
      <c r="M1723" s="18"/>
    </row>
    <row r="1724" s="65" customFormat="1" ht="13.5" spans="1:13">
      <c r="A1724" s="66"/>
      <c r="E1724" s="72" t="s">
        <v>1799</v>
      </c>
      <c r="F1724" s="18"/>
      <c r="G1724" s="18"/>
      <c r="H1724" s="18"/>
      <c r="I1724" s="18"/>
      <c r="J1724" s="18"/>
      <c r="K1724" s="18"/>
      <c r="L1724" s="18"/>
      <c r="M1724" s="18"/>
    </row>
    <row r="1725" s="65" customFormat="1" ht="13.5" spans="1:13">
      <c r="A1725" s="66"/>
      <c r="E1725" s="72" t="s">
        <v>1800</v>
      </c>
      <c r="F1725" s="18"/>
      <c r="G1725" s="18"/>
      <c r="H1725" s="18"/>
      <c r="I1725" s="18"/>
      <c r="J1725" s="18"/>
      <c r="K1725" s="18"/>
      <c r="L1725" s="18"/>
      <c r="M1725" s="18"/>
    </row>
    <row r="1726" s="65" customFormat="1" ht="13.5" spans="1:13">
      <c r="A1726" s="66"/>
      <c r="E1726" s="72" t="s">
        <v>1801</v>
      </c>
      <c r="F1726" s="18"/>
      <c r="G1726" s="18"/>
      <c r="H1726" s="18"/>
      <c r="I1726" s="18"/>
      <c r="J1726" s="18"/>
      <c r="K1726" s="18"/>
      <c r="L1726" s="18"/>
      <c r="M1726" s="18"/>
    </row>
    <row r="1727" s="65" customFormat="1" ht="13.5" spans="1:13">
      <c r="A1727" s="66"/>
      <c r="E1727" s="72" t="s">
        <v>1802</v>
      </c>
      <c r="F1727" s="18"/>
      <c r="G1727" s="18"/>
      <c r="H1727" s="18"/>
      <c r="I1727" s="18"/>
      <c r="J1727" s="18"/>
      <c r="K1727" s="18"/>
      <c r="L1727" s="18"/>
      <c r="M1727" s="18"/>
    </row>
    <row r="1728" s="65" customFormat="1" ht="13.5" spans="1:13">
      <c r="A1728" s="66"/>
      <c r="E1728" s="72" t="s">
        <v>1803</v>
      </c>
      <c r="F1728" s="18"/>
      <c r="G1728" s="18"/>
      <c r="H1728" s="18"/>
      <c r="I1728" s="18"/>
      <c r="J1728" s="18"/>
      <c r="K1728" s="18"/>
      <c r="L1728" s="18"/>
      <c r="M1728" s="18"/>
    </row>
    <row r="1729" s="65" customFormat="1" ht="13.5" spans="1:13">
      <c r="A1729" s="66"/>
      <c r="E1729" s="72" t="s">
        <v>1804</v>
      </c>
      <c r="F1729" s="18"/>
      <c r="G1729" s="18"/>
      <c r="H1729" s="18"/>
      <c r="I1729" s="18"/>
      <c r="J1729" s="18"/>
      <c r="K1729" s="18"/>
      <c r="L1729" s="18"/>
      <c r="M1729" s="18"/>
    </row>
    <row r="1730" s="65" customFormat="1" ht="13.5" spans="1:13">
      <c r="A1730" s="66"/>
      <c r="E1730" s="72" t="s">
        <v>1805</v>
      </c>
      <c r="F1730" s="18"/>
      <c r="G1730" s="18"/>
      <c r="H1730" s="18"/>
      <c r="I1730" s="18"/>
      <c r="J1730" s="18"/>
      <c r="K1730" s="18"/>
      <c r="L1730" s="18"/>
      <c r="M1730" s="18"/>
    </row>
    <row r="1731" s="65" customFormat="1" ht="13.5" spans="1:13">
      <c r="A1731" s="66"/>
      <c r="E1731" s="72" t="s">
        <v>1806</v>
      </c>
      <c r="F1731" s="18"/>
      <c r="G1731" s="18"/>
      <c r="H1731" s="18"/>
      <c r="I1731" s="18"/>
      <c r="J1731" s="18"/>
      <c r="K1731" s="18"/>
      <c r="L1731" s="18"/>
      <c r="M1731" s="18"/>
    </row>
    <row r="1732" s="65" customFormat="1" ht="13.5" spans="1:13">
      <c r="A1732" s="66"/>
      <c r="E1732" s="72" t="s">
        <v>1807</v>
      </c>
      <c r="F1732" s="18"/>
      <c r="G1732" s="18"/>
      <c r="H1732" s="18"/>
      <c r="I1732" s="18"/>
      <c r="J1732" s="18"/>
      <c r="K1732" s="18"/>
      <c r="L1732" s="18"/>
      <c r="M1732" s="18"/>
    </row>
    <row r="1733" s="65" customFormat="1" ht="13.5" spans="1:13">
      <c r="A1733" s="66"/>
      <c r="E1733" s="72" t="s">
        <v>1808</v>
      </c>
      <c r="F1733" s="18"/>
      <c r="G1733" s="18"/>
      <c r="H1733" s="18"/>
      <c r="I1733" s="18"/>
      <c r="J1733" s="18"/>
      <c r="K1733" s="18"/>
      <c r="L1733" s="18"/>
      <c r="M1733" s="18"/>
    </row>
    <row r="1734" s="65" customFormat="1" ht="13.5" spans="1:13">
      <c r="A1734" s="66"/>
      <c r="E1734" s="72" t="s">
        <v>1809</v>
      </c>
      <c r="F1734" s="18"/>
      <c r="G1734" s="18"/>
      <c r="H1734" s="18"/>
      <c r="I1734" s="18"/>
      <c r="J1734" s="18"/>
      <c r="K1734" s="18"/>
      <c r="L1734" s="18"/>
      <c r="M1734" s="18"/>
    </row>
    <row r="1735" s="65" customFormat="1" ht="13.5" spans="1:13">
      <c r="A1735" s="66"/>
      <c r="E1735" s="72" t="s">
        <v>1810</v>
      </c>
      <c r="F1735" s="18"/>
      <c r="G1735" s="18"/>
      <c r="H1735" s="18"/>
      <c r="I1735" s="18"/>
      <c r="J1735" s="18"/>
      <c r="K1735" s="18"/>
      <c r="L1735" s="18"/>
      <c r="M1735" s="18"/>
    </row>
    <row r="1736" s="65" customFormat="1" ht="13.5" spans="1:13">
      <c r="A1736" s="66"/>
      <c r="E1736" s="72" t="s">
        <v>1811</v>
      </c>
      <c r="F1736" s="18"/>
      <c r="G1736" s="18"/>
      <c r="H1736" s="18"/>
      <c r="I1736" s="18"/>
      <c r="J1736" s="18"/>
      <c r="K1736" s="18"/>
      <c r="L1736" s="18"/>
      <c r="M1736" s="18"/>
    </row>
    <row r="1737" s="65" customFormat="1" ht="13.5" spans="1:13">
      <c r="A1737" s="66"/>
      <c r="E1737" s="72" t="s">
        <v>1812</v>
      </c>
      <c r="F1737" s="18"/>
      <c r="G1737" s="18"/>
      <c r="H1737" s="18"/>
      <c r="I1737" s="18"/>
      <c r="J1737" s="18"/>
      <c r="K1737" s="18"/>
      <c r="L1737" s="18"/>
      <c r="M1737" s="18"/>
    </row>
    <row r="1738" s="65" customFormat="1" ht="13.5" spans="1:13">
      <c r="A1738" s="66"/>
      <c r="E1738" s="72" t="s">
        <v>1813</v>
      </c>
      <c r="F1738" s="18"/>
      <c r="G1738" s="18"/>
      <c r="H1738" s="18"/>
      <c r="I1738" s="18"/>
      <c r="J1738" s="18"/>
      <c r="K1738" s="18"/>
      <c r="L1738" s="18"/>
      <c r="M1738" s="18"/>
    </row>
    <row r="1739" s="65" customFormat="1" ht="13.5" spans="1:13">
      <c r="A1739" s="66"/>
      <c r="E1739" s="72" t="s">
        <v>1814</v>
      </c>
      <c r="F1739" s="18"/>
      <c r="G1739" s="18"/>
      <c r="H1739" s="18"/>
      <c r="I1739" s="18"/>
      <c r="J1739" s="18"/>
      <c r="K1739" s="18"/>
      <c r="L1739" s="18"/>
      <c r="M1739" s="18"/>
    </row>
    <row r="1740" s="65" customFormat="1" ht="13.5" spans="1:13">
      <c r="A1740" s="66"/>
      <c r="E1740" s="72" t="s">
        <v>1815</v>
      </c>
      <c r="F1740" s="18"/>
      <c r="G1740" s="18"/>
      <c r="H1740" s="18"/>
      <c r="I1740" s="18"/>
      <c r="J1740" s="18"/>
      <c r="K1740" s="18"/>
      <c r="L1740" s="18"/>
      <c r="M1740" s="18"/>
    </row>
    <row r="1741" s="65" customFormat="1" ht="13.5" spans="1:13">
      <c r="A1741" s="66"/>
      <c r="E1741" s="72" t="s">
        <v>1816</v>
      </c>
      <c r="F1741" s="18"/>
      <c r="G1741" s="18"/>
      <c r="H1741" s="18"/>
      <c r="I1741" s="18"/>
      <c r="J1741" s="18"/>
      <c r="K1741" s="18"/>
      <c r="L1741" s="18"/>
      <c r="M1741" s="18"/>
    </row>
    <row r="1742" s="65" customFormat="1" ht="13.5" spans="1:13">
      <c r="A1742" s="66"/>
      <c r="E1742" s="72" t="s">
        <v>1817</v>
      </c>
      <c r="F1742" s="18"/>
      <c r="G1742" s="18"/>
      <c r="H1742" s="18"/>
      <c r="I1742" s="18"/>
      <c r="J1742" s="18"/>
      <c r="K1742" s="18"/>
      <c r="L1742" s="18"/>
      <c r="M1742" s="18"/>
    </row>
    <row r="1743" s="65" customFormat="1" ht="13.5" spans="1:13">
      <c r="A1743" s="66"/>
      <c r="E1743" s="72" t="s">
        <v>1818</v>
      </c>
      <c r="F1743" s="18"/>
      <c r="G1743" s="18"/>
      <c r="H1743" s="18"/>
      <c r="I1743" s="18"/>
      <c r="J1743" s="18"/>
      <c r="K1743" s="18"/>
      <c r="L1743" s="18"/>
      <c r="M1743" s="18"/>
    </row>
    <row r="1744" s="65" customFormat="1" ht="13.5" spans="1:13">
      <c r="A1744" s="66"/>
      <c r="E1744" s="72" t="s">
        <v>1819</v>
      </c>
      <c r="F1744" s="18"/>
      <c r="G1744" s="18"/>
      <c r="H1744" s="18"/>
      <c r="I1744" s="18"/>
      <c r="J1744" s="18"/>
      <c r="K1744" s="18"/>
      <c r="L1744" s="18"/>
      <c r="M1744" s="18"/>
    </row>
    <row r="1745" s="65" customFormat="1" ht="13.5" spans="1:13">
      <c r="A1745" s="66"/>
      <c r="E1745" s="72" t="s">
        <v>1820</v>
      </c>
      <c r="F1745" s="18"/>
      <c r="G1745" s="18"/>
      <c r="H1745" s="18"/>
      <c r="I1745" s="18"/>
      <c r="J1745" s="18"/>
      <c r="K1745" s="18"/>
      <c r="L1745" s="18"/>
      <c r="M1745" s="18"/>
    </row>
    <row r="1746" s="65" customFormat="1" ht="13.5" spans="1:13">
      <c r="A1746" s="66"/>
      <c r="E1746" s="72" t="s">
        <v>1821</v>
      </c>
      <c r="F1746" s="18"/>
      <c r="G1746" s="18"/>
      <c r="H1746" s="18"/>
      <c r="I1746" s="18"/>
      <c r="J1746" s="18"/>
      <c r="K1746" s="18"/>
      <c r="L1746" s="18"/>
      <c r="M1746" s="18"/>
    </row>
    <row r="1747" s="65" customFormat="1" ht="13.5" spans="1:13">
      <c r="A1747" s="66"/>
      <c r="E1747" s="72" t="s">
        <v>1822</v>
      </c>
      <c r="F1747" s="18"/>
      <c r="G1747" s="18"/>
      <c r="H1747" s="18"/>
      <c r="I1747" s="18"/>
      <c r="J1747" s="18"/>
      <c r="K1747" s="18"/>
      <c r="L1747" s="18"/>
      <c r="M1747" s="18"/>
    </row>
    <row r="1748" s="65" customFormat="1" ht="13.5" spans="1:13">
      <c r="A1748" s="66"/>
      <c r="E1748" s="72" t="s">
        <v>1823</v>
      </c>
      <c r="F1748" s="18"/>
      <c r="G1748" s="18"/>
      <c r="H1748" s="18"/>
      <c r="I1748" s="18"/>
      <c r="J1748" s="18"/>
      <c r="K1748" s="18"/>
      <c r="L1748" s="18"/>
      <c r="M1748" s="18"/>
    </row>
    <row r="1749" s="65" customFormat="1" ht="13.5" spans="1:13">
      <c r="A1749" s="66"/>
      <c r="E1749" s="72" t="s">
        <v>1824</v>
      </c>
      <c r="F1749" s="18"/>
      <c r="G1749" s="18"/>
      <c r="H1749" s="18"/>
      <c r="I1749" s="18"/>
      <c r="J1749" s="18"/>
      <c r="K1749" s="18"/>
      <c r="L1749" s="18"/>
      <c r="M1749" s="18"/>
    </row>
    <row r="1750" s="65" customFormat="1" ht="13.5" spans="1:13">
      <c r="A1750" s="66"/>
      <c r="E1750" s="72" t="s">
        <v>1825</v>
      </c>
      <c r="F1750" s="18"/>
      <c r="G1750" s="18"/>
      <c r="H1750" s="18"/>
      <c r="I1750" s="18"/>
      <c r="J1750" s="18"/>
      <c r="K1750" s="18"/>
      <c r="L1750" s="18"/>
      <c r="M1750" s="18"/>
    </row>
    <row r="1751" s="65" customFormat="1" ht="13.5" spans="1:13">
      <c r="A1751" s="66"/>
      <c r="E1751" s="72" t="s">
        <v>1826</v>
      </c>
      <c r="F1751" s="18"/>
      <c r="G1751" s="18"/>
      <c r="H1751" s="18"/>
      <c r="I1751" s="18"/>
      <c r="J1751" s="18"/>
      <c r="K1751" s="18"/>
      <c r="L1751" s="18"/>
      <c r="M1751" s="18"/>
    </row>
    <row r="1752" s="65" customFormat="1" ht="13.5" spans="1:13">
      <c r="A1752" s="66"/>
      <c r="E1752" s="72" t="s">
        <v>1827</v>
      </c>
      <c r="F1752" s="18"/>
      <c r="G1752" s="18"/>
      <c r="H1752" s="18"/>
      <c r="I1752" s="18"/>
      <c r="J1752" s="18"/>
      <c r="K1752" s="18"/>
      <c r="L1752" s="18"/>
      <c r="M1752" s="18"/>
    </row>
    <row r="1753" s="65" customFormat="1" ht="13.5" spans="1:13">
      <c r="A1753" s="66"/>
      <c r="E1753" s="72" t="s">
        <v>1828</v>
      </c>
      <c r="F1753" s="18"/>
      <c r="G1753" s="18"/>
      <c r="H1753" s="18"/>
      <c r="I1753" s="18"/>
      <c r="J1753" s="18"/>
      <c r="K1753" s="18"/>
      <c r="L1753" s="18"/>
      <c r="M1753" s="18"/>
    </row>
    <row r="1754" s="65" customFormat="1" ht="13.5" spans="1:13">
      <c r="A1754" s="66"/>
      <c r="E1754" s="72" t="s">
        <v>1829</v>
      </c>
      <c r="F1754" s="18"/>
      <c r="G1754" s="18"/>
      <c r="H1754" s="18"/>
      <c r="I1754" s="18"/>
      <c r="J1754" s="18"/>
      <c r="K1754" s="18"/>
      <c r="L1754" s="18"/>
      <c r="M1754" s="18"/>
    </row>
    <row r="1755" s="65" customFormat="1" ht="13.5" spans="1:13">
      <c r="A1755" s="66"/>
      <c r="E1755" s="72" t="s">
        <v>1830</v>
      </c>
      <c r="F1755" s="18"/>
      <c r="G1755" s="18"/>
      <c r="H1755" s="18"/>
      <c r="I1755" s="18"/>
      <c r="J1755" s="18"/>
      <c r="K1755" s="18"/>
      <c r="L1755" s="18"/>
      <c r="M1755" s="18"/>
    </row>
    <row r="1756" s="65" customFormat="1" ht="13.5" spans="1:13">
      <c r="A1756" s="66"/>
      <c r="E1756" s="72" t="s">
        <v>1831</v>
      </c>
      <c r="F1756" s="18"/>
      <c r="G1756" s="18"/>
      <c r="H1756" s="18"/>
      <c r="I1756" s="18"/>
      <c r="J1756" s="18"/>
      <c r="K1756" s="18"/>
      <c r="L1756" s="18"/>
      <c r="M1756" s="18"/>
    </row>
    <row r="1757" s="65" customFormat="1" ht="13.5" spans="1:13">
      <c r="A1757" s="66"/>
      <c r="E1757" s="72" t="s">
        <v>1832</v>
      </c>
      <c r="F1757" s="18"/>
      <c r="G1757" s="18"/>
      <c r="H1757" s="18"/>
      <c r="I1757" s="18"/>
      <c r="J1757" s="18"/>
      <c r="K1757" s="18"/>
      <c r="L1757" s="18"/>
      <c r="M1757" s="18"/>
    </row>
    <row r="1758" s="65" customFormat="1" ht="13.5" spans="1:13">
      <c r="A1758" s="66"/>
      <c r="E1758" s="72" t="s">
        <v>1833</v>
      </c>
      <c r="F1758" s="18"/>
      <c r="G1758" s="18"/>
      <c r="H1758" s="18"/>
      <c r="I1758" s="18"/>
      <c r="J1758" s="18"/>
      <c r="K1758" s="18"/>
      <c r="L1758" s="18"/>
      <c r="M1758" s="18"/>
    </row>
    <row r="1759" s="65" customFormat="1" ht="13.5" spans="1:13">
      <c r="A1759" s="66"/>
      <c r="E1759" s="72" t="s">
        <v>1834</v>
      </c>
      <c r="F1759" s="18"/>
      <c r="G1759" s="18"/>
      <c r="H1759" s="18"/>
      <c r="I1759" s="18"/>
      <c r="J1759" s="18"/>
      <c r="K1759" s="18"/>
      <c r="L1759" s="18"/>
      <c r="M1759" s="18"/>
    </row>
    <row r="1760" s="65" customFormat="1" ht="13.5" spans="1:13">
      <c r="A1760" s="66"/>
      <c r="E1760" s="72" t="s">
        <v>1835</v>
      </c>
      <c r="F1760" s="18"/>
      <c r="G1760" s="18"/>
      <c r="H1760" s="18"/>
      <c r="I1760" s="18"/>
      <c r="J1760" s="18"/>
      <c r="K1760" s="18"/>
      <c r="L1760" s="18"/>
      <c r="M1760" s="18"/>
    </row>
    <row r="1761" s="65" customFormat="1" ht="13.5" spans="1:13">
      <c r="A1761" s="66"/>
      <c r="E1761" s="72" t="s">
        <v>1836</v>
      </c>
      <c r="F1761" s="18"/>
      <c r="G1761" s="18"/>
      <c r="H1761" s="18"/>
      <c r="I1761" s="18"/>
      <c r="J1761" s="18"/>
      <c r="K1761" s="18"/>
      <c r="L1761" s="18"/>
      <c r="M1761" s="18"/>
    </row>
    <row r="1762" s="65" customFormat="1" ht="13.5" spans="1:13">
      <c r="A1762" s="66"/>
      <c r="E1762" s="72" t="s">
        <v>1837</v>
      </c>
      <c r="F1762" s="18"/>
      <c r="G1762" s="18"/>
      <c r="H1762" s="18"/>
      <c r="I1762" s="18"/>
      <c r="J1762" s="18"/>
      <c r="K1762" s="18"/>
      <c r="L1762" s="18"/>
      <c r="M1762" s="18"/>
    </row>
    <row r="1763" s="65" customFormat="1" ht="13.5" spans="1:13">
      <c r="A1763" s="66"/>
      <c r="E1763" s="72" t="s">
        <v>1838</v>
      </c>
      <c r="F1763" s="18"/>
      <c r="G1763" s="18"/>
      <c r="H1763" s="18"/>
      <c r="I1763" s="18"/>
      <c r="J1763" s="18"/>
      <c r="K1763" s="18"/>
      <c r="L1763" s="18"/>
      <c r="M1763" s="18"/>
    </row>
    <row r="1764" s="65" customFormat="1" ht="13.5" spans="1:13">
      <c r="A1764" s="66"/>
      <c r="E1764" s="72" t="s">
        <v>1839</v>
      </c>
      <c r="F1764" s="18"/>
      <c r="G1764" s="18"/>
      <c r="H1764" s="18"/>
      <c r="I1764" s="18"/>
      <c r="J1764" s="18"/>
      <c r="K1764" s="18"/>
      <c r="L1764" s="18"/>
      <c r="M1764" s="18"/>
    </row>
    <row r="1765" s="65" customFormat="1" ht="13.5" spans="1:13">
      <c r="A1765" s="66"/>
      <c r="E1765" s="72" t="s">
        <v>1840</v>
      </c>
      <c r="F1765" s="18"/>
      <c r="G1765" s="18"/>
      <c r="H1765" s="18"/>
      <c r="I1765" s="18"/>
      <c r="J1765" s="18"/>
      <c r="K1765" s="18"/>
      <c r="L1765" s="18"/>
      <c r="M1765" s="18"/>
    </row>
    <row r="1766" s="65" customFormat="1" ht="13.5" spans="1:13">
      <c r="A1766" s="66"/>
      <c r="E1766" s="72" t="s">
        <v>1841</v>
      </c>
      <c r="F1766" s="18"/>
      <c r="G1766" s="18"/>
      <c r="H1766" s="18"/>
      <c r="I1766" s="18"/>
      <c r="J1766" s="18"/>
      <c r="K1766" s="18"/>
      <c r="L1766" s="18"/>
      <c r="M1766" s="18"/>
    </row>
    <row r="1767" s="65" customFormat="1" ht="13.5" spans="1:13">
      <c r="A1767" s="66"/>
      <c r="E1767" s="72" t="s">
        <v>1842</v>
      </c>
      <c r="F1767" s="18"/>
      <c r="G1767" s="18"/>
      <c r="H1767" s="18"/>
      <c r="I1767" s="18"/>
      <c r="J1767" s="18"/>
      <c r="K1767" s="18"/>
      <c r="L1767" s="18"/>
      <c r="M1767" s="18"/>
    </row>
    <row r="1768" s="65" customFormat="1" ht="13.5" spans="1:13">
      <c r="A1768" s="66"/>
      <c r="E1768" s="72" t="s">
        <v>1843</v>
      </c>
      <c r="F1768" s="18"/>
      <c r="G1768" s="18"/>
      <c r="H1768" s="18"/>
      <c r="I1768" s="18"/>
      <c r="J1768" s="18"/>
      <c r="K1768" s="18"/>
      <c r="L1768" s="18"/>
      <c r="M1768" s="18"/>
    </row>
    <row r="1769" s="65" customFormat="1" ht="13.5" spans="1:13">
      <c r="A1769" s="66"/>
      <c r="E1769" s="72" t="s">
        <v>1844</v>
      </c>
      <c r="F1769" s="18"/>
      <c r="G1769" s="18"/>
      <c r="H1769" s="18"/>
      <c r="I1769" s="18"/>
      <c r="J1769" s="18"/>
      <c r="K1769" s="18"/>
      <c r="L1769" s="18"/>
      <c r="M1769" s="18"/>
    </row>
    <row r="1770" s="65" customFormat="1" ht="13.5" spans="1:13">
      <c r="A1770" s="66"/>
      <c r="E1770" s="72" t="s">
        <v>1845</v>
      </c>
      <c r="F1770" s="18"/>
      <c r="G1770" s="18"/>
      <c r="H1770" s="18"/>
      <c r="I1770" s="18"/>
      <c r="J1770" s="18"/>
      <c r="K1770" s="18"/>
      <c r="L1770" s="18"/>
      <c r="M1770" s="18"/>
    </row>
    <row r="1771" s="65" customFormat="1" ht="13.5" spans="1:13">
      <c r="A1771" s="66"/>
      <c r="E1771" s="72" t="s">
        <v>1846</v>
      </c>
      <c r="F1771" s="18"/>
      <c r="G1771" s="18"/>
      <c r="H1771" s="18"/>
      <c r="I1771" s="18"/>
      <c r="J1771" s="18"/>
      <c r="K1771" s="18"/>
      <c r="L1771" s="18"/>
      <c r="M1771" s="18"/>
    </row>
    <row r="1772" s="65" customFormat="1" ht="13.5" spans="1:13">
      <c r="A1772" s="66"/>
      <c r="E1772" s="72" t="s">
        <v>1847</v>
      </c>
      <c r="F1772" s="18"/>
      <c r="G1772" s="18"/>
      <c r="H1772" s="18"/>
      <c r="I1772" s="18"/>
      <c r="J1772" s="18"/>
      <c r="K1772" s="18"/>
      <c r="L1772" s="18"/>
      <c r="M1772" s="18"/>
    </row>
    <row r="1773" s="65" customFormat="1" ht="13.5" spans="1:13">
      <c r="A1773" s="66"/>
      <c r="E1773" s="72" t="s">
        <v>1848</v>
      </c>
      <c r="F1773" s="18"/>
      <c r="G1773" s="18"/>
      <c r="H1773" s="18"/>
      <c r="I1773" s="18"/>
      <c r="J1773" s="18"/>
      <c r="K1773" s="18"/>
      <c r="L1773" s="18"/>
      <c r="M1773" s="18"/>
    </row>
    <row r="1774" s="65" customFormat="1" ht="13.5" spans="1:13">
      <c r="A1774" s="66"/>
      <c r="E1774" s="72" t="s">
        <v>1849</v>
      </c>
      <c r="F1774" s="18"/>
      <c r="G1774" s="18"/>
      <c r="H1774" s="18"/>
      <c r="I1774" s="18"/>
      <c r="J1774" s="18"/>
      <c r="K1774" s="18"/>
      <c r="L1774" s="18"/>
      <c r="M1774" s="18"/>
    </row>
    <row r="1775" s="65" customFormat="1" ht="13.5" spans="1:13">
      <c r="A1775" s="66"/>
      <c r="E1775" s="72" t="s">
        <v>1850</v>
      </c>
      <c r="F1775" s="18"/>
      <c r="G1775" s="18"/>
      <c r="H1775" s="18"/>
      <c r="I1775" s="18"/>
      <c r="J1775" s="18"/>
      <c r="K1775" s="18"/>
      <c r="L1775" s="18"/>
      <c r="M1775" s="18"/>
    </row>
    <row r="1776" s="65" customFormat="1" ht="13.5" spans="1:13">
      <c r="A1776" s="66"/>
      <c r="E1776" s="72" t="s">
        <v>1851</v>
      </c>
      <c r="F1776" s="18"/>
      <c r="G1776" s="18"/>
      <c r="H1776" s="18"/>
      <c r="I1776" s="18"/>
      <c r="J1776" s="18"/>
      <c r="K1776" s="18"/>
      <c r="L1776" s="18"/>
      <c r="M1776" s="18"/>
    </row>
    <row r="1777" s="65" customFormat="1" ht="13.5" spans="1:13">
      <c r="A1777" s="66"/>
      <c r="E1777" s="72" t="s">
        <v>1852</v>
      </c>
      <c r="F1777" s="18"/>
      <c r="G1777" s="18"/>
      <c r="H1777" s="18"/>
      <c r="I1777" s="18"/>
      <c r="J1777" s="18"/>
      <c r="K1777" s="18"/>
      <c r="L1777" s="18"/>
      <c r="M1777" s="18"/>
    </row>
    <row r="1778" s="65" customFormat="1" ht="13.5" spans="1:13">
      <c r="A1778" s="66"/>
      <c r="E1778" s="72" t="s">
        <v>1853</v>
      </c>
      <c r="F1778" s="18"/>
      <c r="G1778" s="18"/>
      <c r="H1778" s="18"/>
      <c r="I1778" s="18"/>
      <c r="J1778" s="18"/>
      <c r="K1778" s="18"/>
      <c r="L1778" s="18"/>
      <c r="M1778" s="18"/>
    </row>
    <row r="1779" s="65" customFormat="1" ht="13.5" spans="1:13">
      <c r="A1779" s="66"/>
      <c r="E1779" s="72" t="s">
        <v>1854</v>
      </c>
      <c r="F1779" s="18"/>
      <c r="G1779" s="18"/>
      <c r="H1779" s="18"/>
      <c r="I1779" s="18"/>
      <c r="J1779" s="18"/>
      <c r="K1779" s="18"/>
      <c r="L1779" s="18"/>
      <c r="M1779" s="18"/>
    </row>
    <row r="1780" s="65" customFormat="1" ht="13.5" spans="1:13">
      <c r="A1780" s="66"/>
      <c r="E1780" s="72" t="s">
        <v>1855</v>
      </c>
      <c r="F1780" s="18"/>
      <c r="G1780" s="18"/>
      <c r="H1780" s="18"/>
      <c r="I1780" s="18"/>
      <c r="J1780" s="18"/>
      <c r="K1780" s="18"/>
      <c r="L1780" s="18"/>
      <c r="M1780" s="18"/>
    </row>
    <row r="1781" s="65" customFormat="1" ht="13.5" spans="1:13">
      <c r="A1781" s="66"/>
      <c r="E1781" s="72" t="s">
        <v>1856</v>
      </c>
      <c r="F1781" s="18"/>
      <c r="G1781" s="18"/>
      <c r="H1781" s="18"/>
      <c r="I1781" s="18"/>
      <c r="J1781" s="18"/>
      <c r="K1781" s="18"/>
      <c r="L1781" s="18"/>
      <c r="M1781" s="18"/>
    </row>
    <row r="1782" s="65" customFormat="1" ht="13.5" spans="1:13">
      <c r="A1782" s="66"/>
      <c r="E1782" s="72" t="s">
        <v>1857</v>
      </c>
      <c r="F1782" s="18"/>
      <c r="G1782" s="18"/>
      <c r="H1782" s="18"/>
      <c r="I1782" s="18"/>
      <c r="J1782" s="18"/>
      <c r="K1782" s="18"/>
      <c r="L1782" s="18"/>
      <c r="M1782" s="18"/>
    </row>
    <row r="1783" s="65" customFormat="1" ht="13.5" spans="1:13">
      <c r="A1783" s="66"/>
      <c r="E1783" s="72" t="s">
        <v>1858</v>
      </c>
      <c r="F1783" s="18"/>
      <c r="G1783" s="18"/>
      <c r="H1783" s="18"/>
      <c r="I1783" s="18"/>
      <c r="J1783" s="18"/>
      <c r="K1783" s="18"/>
      <c r="L1783" s="18"/>
      <c r="M1783" s="18"/>
    </row>
    <row r="1784" s="65" customFormat="1" ht="13.5" spans="1:13">
      <c r="A1784" s="66"/>
      <c r="E1784" s="72" t="s">
        <v>1859</v>
      </c>
      <c r="F1784" s="18"/>
      <c r="G1784" s="18"/>
      <c r="H1784" s="18"/>
      <c r="I1784" s="18"/>
      <c r="J1784" s="18"/>
      <c r="K1784" s="18"/>
      <c r="L1784" s="18"/>
      <c r="M1784" s="18"/>
    </row>
    <row r="1785" s="65" customFormat="1" ht="13.5" spans="1:13">
      <c r="A1785" s="66"/>
      <c r="E1785" s="72" t="s">
        <v>1860</v>
      </c>
      <c r="F1785" s="18"/>
      <c r="G1785" s="18"/>
      <c r="H1785" s="18"/>
      <c r="I1785" s="18"/>
      <c r="J1785" s="18"/>
      <c r="K1785" s="18"/>
      <c r="L1785" s="18"/>
      <c r="M1785" s="18"/>
    </row>
    <row r="1786" s="65" customFormat="1" ht="13.5" spans="1:13">
      <c r="A1786" s="66"/>
      <c r="E1786" s="72" t="s">
        <v>1861</v>
      </c>
      <c r="F1786" s="18"/>
      <c r="G1786" s="18"/>
      <c r="H1786" s="18"/>
      <c r="I1786" s="18"/>
      <c r="J1786" s="18"/>
      <c r="K1786" s="18"/>
      <c r="L1786" s="18"/>
      <c r="M1786" s="18"/>
    </row>
    <row r="1787" s="65" customFormat="1" ht="13.5" spans="1:13">
      <c r="A1787" s="66"/>
      <c r="E1787" s="72" t="s">
        <v>1862</v>
      </c>
      <c r="F1787" s="18"/>
      <c r="G1787" s="18"/>
      <c r="H1787" s="18"/>
      <c r="I1787" s="18"/>
      <c r="J1787" s="18"/>
      <c r="K1787" s="18"/>
      <c r="L1787" s="18"/>
      <c r="M1787" s="18"/>
    </row>
    <row r="1788" s="65" customFormat="1" ht="13.5" spans="1:13">
      <c r="A1788" s="66"/>
      <c r="E1788" s="72" t="s">
        <v>1863</v>
      </c>
      <c r="F1788" s="18"/>
      <c r="G1788" s="18"/>
      <c r="H1788" s="18"/>
      <c r="I1788" s="18"/>
      <c r="J1788" s="18"/>
      <c r="K1788" s="18"/>
      <c r="L1788" s="18"/>
      <c r="M1788" s="18"/>
    </row>
    <row r="1789" s="65" customFormat="1" ht="13.5" spans="1:13">
      <c r="A1789" s="66"/>
      <c r="E1789" s="72" t="s">
        <v>1864</v>
      </c>
      <c r="F1789" s="18"/>
      <c r="G1789" s="18"/>
      <c r="H1789" s="18"/>
      <c r="I1789" s="18"/>
      <c r="J1789" s="18"/>
      <c r="K1789" s="18"/>
      <c r="L1789" s="18"/>
      <c r="M1789" s="18"/>
    </row>
    <row r="1790" s="65" customFormat="1" ht="13.5" spans="1:13">
      <c r="A1790" s="66"/>
      <c r="E1790" s="72" t="s">
        <v>1865</v>
      </c>
      <c r="F1790" s="18"/>
      <c r="G1790" s="18"/>
      <c r="H1790" s="18"/>
      <c r="I1790" s="18"/>
      <c r="J1790" s="18"/>
      <c r="K1790" s="18"/>
      <c r="L1790" s="18"/>
      <c r="M1790" s="18"/>
    </row>
    <row r="1791" s="65" customFormat="1" ht="13.5" spans="1:13">
      <c r="A1791" s="66"/>
      <c r="E1791" s="72" t="s">
        <v>1866</v>
      </c>
      <c r="F1791" s="18"/>
      <c r="G1791" s="18"/>
      <c r="H1791" s="18"/>
      <c r="I1791" s="18"/>
      <c r="J1791" s="18"/>
      <c r="K1791" s="18"/>
      <c r="L1791" s="18"/>
      <c r="M1791" s="18"/>
    </row>
    <row r="1792" s="65" customFormat="1" ht="13.5" spans="1:13">
      <c r="A1792" s="66"/>
      <c r="E1792" s="72" t="s">
        <v>1867</v>
      </c>
      <c r="F1792" s="18"/>
      <c r="G1792" s="18"/>
      <c r="H1792" s="18"/>
      <c r="I1792" s="18"/>
      <c r="J1792" s="18"/>
      <c r="K1792" s="18"/>
      <c r="L1792" s="18"/>
      <c r="M1792" s="18"/>
    </row>
    <row r="1793" s="65" customFormat="1" ht="13.5" spans="1:13">
      <c r="A1793" s="66"/>
      <c r="E1793" s="72" t="s">
        <v>1868</v>
      </c>
      <c r="F1793" s="18"/>
      <c r="G1793" s="18"/>
      <c r="H1793" s="18"/>
      <c r="I1793" s="18"/>
      <c r="J1793" s="18"/>
      <c r="K1793" s="18"/>
      <c r="L1793" s="18"/>
      <c r="M1793" s="18"/>
    </row>
    <row r="1794" s="65" customFormat="1" ht="13.5" spans="1:13">
      <c r="A1794" s="66"/>
      <c r="E1794" s="72" t="s">
        <v>1869</v>
      </c>
      <c r="F1794" s="18"/>
      <c r="G1794" s="18"/>
      <c r="H1794" s="18"/>
      <c r="I1794" s="18"/>
      <c r="J1794" s="18"/>
      <c r="K1794" s="18"/>
      <c r="L1794" s="18"/>
      <c r="M1794" s="18"/>
    </row>
    <row r="1795" s="65" customFormat="1" ht="13.5" spans="1:13">
      <c r="A1795" s="66"/>
      <c r="E1795" s="72" t="s">
        <v>1870</v>
      </c>
      <c r="F1795" s="18"/>
      <c r="G1795" s="18"/>
      <c r="H1795" s="18"/>
      <c r="I1795" s="18"/>
      <c r="J1795" s="18"/>
      <c r="K1795" s="18"/>
      <c r="L1795" s="18"/>
      <c r="M1795" s="18"/>
    </row>
    <row r="1796" s="65" customFormat="1" ht="13.5" spans="1:13">
      <c r="A1796" s="66"/>
      <c r="E1796" s="72" t="s">
        <v>1871</v>
      </c>
      <c r="F1796" s="18"/>
      <c r="G1796" s="18"/>
      <c r="H1796" s="18"/>
      <c r="I1796" s="18"/>
      <c r="J1796" s="18"/>
      <c r="K1796" s="18"/>
      <c r="L1796" s="18"/>
      <c r="M1796" s="18"/>
    </row>
    <row r="1797" s="65" customFormat="1" ht="13.5" spans="1:13">
      <c r="A1797" s="66"/>
      <c r="E1797" s="72" t="s">
        <v>1872</v>
      </c>
      <c r="F1797" s="18"/>
      <c r="G1797" s="18"/>
      <c r="H1797" s="18"/>
      <c r="I1797" s="18"/>
      <c r="J1797" s="18"/>
      <c r="K1797" s="18"/>
      <c r="L1797" s="18"/>
      <c r="M1797" s="18"/>
    </row>
    <row r="1798" s="65" customFormat="1" ht="13.5" spans="1:13">
      <c r="A1798" s="66"/>
      <c r="E1798" s="72" t="s">
        <v>1873</v>
      </c>
      <c r="F1798" s="18"/>
      <c r="G1798" s="18"/>
      <c r="H1798" s="18"/>
      <c r="I1798" s="18"/>
      <c r="J1798" s="18"/>
      <c r="K1798" s="18"/>
      <c r="L1798" s="18"/>
      <c r="M1798" s="18"/>
    </row>
    <row r="1799" s="65" customFormat="1" ht="13.5" spans="1:13">
      <c r="A1799" s="66"/>
      <c r="E1799" s="72" t="s">
        <v>1874</v>
      </c>
      <c r="F1799" s="18"/>
      <c r="G1799" s="18"/>
      <c r="H1799" s="18"/>
      <c r="I1799" s="18"/>
      <c r="J1799" s="18"/>
      <c r="K1799" s="18"/>
      <c r="L1799" s="18"/>
      <c r="M1799" s="18"/>
    </row>
    <row r="1800" s="65" customFormat="1" ht="13.5" spans="1:13">
      <c r="A1800" s="66"/>
      <c r="E1800" s="72" t="s">
        <v>1875</v>
      </c>
      <c r="F1800" s="18"/>
      <c r="G1800" s="18"/>
      <c r="H1800" s="18"/>
      <c r="I1800" s="18"/>
      <c r="J1800" s="18"/>
      <c r="K1800" s="18"/>
      <c r="L1800" s="18"/>
      <c r="M1800" s="18"/>
    </row>
    <row r="1801" s="65" customFormat="1" ht="13.5" spans="1:13">
      <c r="A1801" s="66"/>
      <c r="E1801" s="72" t="s">
        <v>1876</v>
      </c>
      <c r="F1801" s="18"/>
      <c r="G1801" s="18"/>
      <c r="H1801" s="18"/>
      <c r="I1801" s="18"/>
      <c r="J1801" s="18"/>
      <c r="K1801" s="18"/>
      <c r="L1801" s="18"/>
      <c r="M1801" s="18"/>
    </row>
    <row r="1802" s="65" customFormat="1" ht="13.5" spans="1:13">
      <c r="A1802" s="66"/>
      <c r="E1802" s="72" t="s">
        <v>1877</v>
      </c>
      <c r="F1802" s="18"/>
      <c r="G1802" s="18"/>
      <c r="H1802" s="18"/>
      <c r="I1802" s="18"/>
      <c r="J1802" s="18"/>
      <c r="K1802" s="18"/>
      <c r="L1802" s="18"/>
      <c r="M1802" s="18"/>
    </row>
    <row r="1803" s="65" customFormat="1" ht="13.5" spans="1:13">
      <c r="A1803" s="66"/>
      <c r="E1803" s="72" t="s">
        <v>1878</v>
      </c>
      <c r="F1803" s="18"/>
      <c r="G1803" s="18"/>
      <c r="H1803" s="18"/>
      <c r="I1803" s="18"/>
      <c r="J1803" s="18"/>
      <c r="K1803" s="18"/>
      <c r="L1803" s="18"/>
      <c r="M1803" s="18"/>
    </row>
    <row r="1804" s="65" customFormat="1" ht="13.5" spans="1:13">
      <c r="A1804" s="66"/>
      <c r="E1804" s="72" t="s">
        <v>1879</v>
      </c>
      <c r="F1804" s="18"/>
      <c r="G1804" s="18"/>
      <c r="H1804" s="18"/>
      <c r="I1804" s="18"/>
      <c r="J1804" s="18"/>
      <c r="K1804" s="18"/>
      <c r="L1804" s="18"/>
      <c r="M1804" s="18"/>
    </row>
    <row r="1805" s="65" customFormat="1" ht="13.5" spans="1:13">
      <c r="A1805" s="66"/>
      <c r="E1805" s="72" t="s">
        <v>1880</v>
      </c>
      <c r="F1805" s="18"/>
      <c r="G1805" s="18"/>
      <c r="H1805" s="18"/>
      <c r="I1805" s="18"/>
      <c r="J1805" s="18"/>
      <c r="K1805" s="18"/>
      <c r="L1805" s="18"/>
      <c r="M1805" s="18"/>
    </row>
    <row r="1806" s="65" customFormat="1" ht="13.5" spans="1:13">
      <c r="A1806" s="66"/>
      <c r="E1806" s="72" t="s">
        <v>1881</v>
      </c>
      <c r="F1806" s="18"/>
      <c r="G1806" s="18"/>
      <c r="H1806" s="18"/>
      <c r="I1806" s="18"/>
      <c r="J1806" s="18"/>
      <c r="K1806" s="18"/>
      <c r="L1806" s="18"/>
      <c r="M1806" s="18"/>
    </row>
    <row r="1807" s="65" customFormat="1" ht="13.5" spans="1:13">
      <c r="A1807" s="66"/>
      <c r="E1807" s="72" t="s">
        <v>1882</v>
      </c>
      <c r="F1807" s="18"/>
      <c r="G1807" s="18"/>
      <c r="H1807" s="18"/>
      <c r="I1807" s="18"/>
      <c r="J1807" s="18"/>
      <c r="K1807" s="18"/>
      <c r="L1807" s="18"/>
      <c r="M1807" s="18"/>
    </row>
    <row r="1808" s="65" customFormat="1" ht="13.5" spans="1:13">
      <c r="A1808" s="66"/>
      <c r="E1808" s="72" t="s">
        <v>1883</v>
      </c>
      <c r="F1808" s="18"/>
      <c r="G1808" s="18"/>
      <c r="H1808" s="18"/>
      <c r="I1808" s="18"/>
      <c r="J1808" s="18"/>
      <c r="K1808" s="18"/>
      <c r="L1808" s="18"/>
      <c r="M1808" s="18"/>
    </row>
    <row r="1809" s="65" customFormat="1" ht="13.5" spans="1:13">
      <c r="A1809" s="66"/>
      <c r="E1809" s="72" t="s">
        <v>1884</v>
      </c>
      <c r="F1809" s="18"/>
      <c r="G1809" s="18"/>
      <c r="H1809" s="18"/>
      <c r="I1809" s="18"/>
      <c r="J1809" s="18"/>
      <c r="K1809" s="18"/>
      <c r="L1809" s="18"/>
      <c r="M1809" s="18"/>
    </row>
    <row r="1810" s="65" customFormat="1" ht="13.5" spans="1:13">
      <c r="A1810" s="66"/>
      <c r="E1810" s="72" t="s">
        <v>1885</v>
      </c>
      <c r="F1810" s="18"/>
      <c r="G1810" s="18"/>
      <c r="H1810" s="18"/>
      <c r="I1810" s="18"/>
      <c r="J1810" s="18"/>
      <c r="K1810" s="18"/>
      <c r="L1810" s="18"/>
      <c r="M1810" s="18"/>
    </row>
    <row r="1811" s="65" customFormat="1" ht="13.5" spans="1:13">
      <c r="A1811" s="66"/>
      <c r="E1811" s="72" t="s">
        <v>1886</v>
      </c>
      <c r="F1811" s="18"/>
      <c r="G1811" s="18"/>
      <c r="H1811" s="18"/>
      <c r="I1811" s="18"/>
      <c r="J1811" s="18"/>
      <c r="K1811" s="18"/>
      <c r="L1811" s="18"/>
      <c r="M1811" s="18"/>
    </row>
    <row r="1812" s="65" customFormat="1" ht="13.5" spans="1:13">
      <c r="A1812" s="66"/>
      <c r="E1812" s="72" t="s">
        <v>1887</v>
      </c>
      <c r="F1812" s="18"/>
      <c r="G1812" s="18"/>
      <c r="H1812" s="18"/>
      <c r="I1812" s="18"/>
      <c r="J1812" s="18"/>
      <c r="K1812" s="18"/>
      <c r="L1812" s="18"/>
      <c r="M1812" s="18"/>
    </row>
    <row r="1813" s="65" customFormat="1" ht="13.5" spans="1:13">
      <c r="A1813" s="66"/>
      <c r="E1813" s="72" t="s">
        <v>1888</v>
      </c>
      <c r="F1813" s="18"/>
      <c r="G1813" s="18"/>
      <c r="H1813" s="18"/>
      <c r="I1813" s="18"/>
      <c r="J1813" s="18"/>
      <c r="K1813" s="18"/>
      <c r="L1813" s="18"/>
      <c r="M1813" s="18"/>
    </row>
    <row r="1814" s="65" customFormat="1" ht="13.5" spans="1:13">
      <c r="A1814" s="66"/>
      <c r="E1814" s="72" t="s">
        <v>1889</v>
      </c>
      <c r="F1814" s="18"/>
      <c r="G1814" s="18"/>
      <c r="H1814" s="18"/>
      <c r="I1814" s="18"/>
      <c r="J1814" s="18"/>
      <c r="K1814" s="18"/>
      <c r="L1814" s="18"/>
      <c r="M1814" s="18"/>
    </row>
    <row r="1815" s="65" customFormat="1" ht="13.5" spans="1:13">
      <c r="A1815" s="66"/>
      <c r="E1815" s="72" t="s">
        <v>1890</v>
      </c>
      <c r="F1815" s="18"/>
      <c r="G1815" s="18"/>
      <c r="H1815" s="18"/>
      <c r="I1815" s="18"/>
      <c r="J1815" s="18"/>
      <c r="K1815" s="18"/>
      <c r="L1815" s="18"/>
      <c r="M1815" s="18"/>
    </row>
    <row r="1816" s="65" customFormat="1" ht="13.5" spans="1:13">
      <c r="A1816" s="66"/>
      <c r="E1816" s="72" t="s">
        <v>1891</v>
      </c>
      <c r="F1816" s="18"/>
      <c r="G1816" s="18"/>
      <c r="H1816" s="18"/>
      <c r="I1816" s="18"/>
      <c r="J1816" s="18"/>
      <c r="K1816" s="18"/>
      <c r="L1816" s="18"/>
      <c r="M1816" s="18"/>
    </row>
    <row r="1817" s="65" customFormat="1" ht="13.5" spans="1:13">
      <c r="A1817" s="66"/>
      <c r="E1817" s="72" t="s">
        <v>1892</v>
      </c>
      <c r="F1817" s="18"/>
      <c r="G1817" s="18"/>
      <c r="H1817" s="18"/>
      <c r="I1817" s="18"/>
      <c r="J1817" s="18"/>
      <c r="K1817" s="18"/>
      <c r="L1817" s="18"/>
      <c r="M1817" s="18"/>
    </row>
    <row r="1818" s="65" customFormat="1" ht="13.5" spans="1:13">
      <c r="A1818" s="66"/>
      <c r="E1818" s="72" t="s">
        <v>1893</v>
      </c>
      <c r="F1818" s="18"/>
      <c r="G1818" s="18"/>
      <c r="H1818" s="18"/>
      <c r="I1818" s="18"/>
      <c r="J1818" s="18"/>
      <c r="K1818" s="18"/>
      <c r="L1818" s="18"/>
      <c r="M1818" s="18"/>
    </row>
    <row r="1819" s="65" customFormat="1" ht="13.5" spans="1:13">
      <c r="A1819" s="66"/>
      <c r="E1819" s="72" t="s">
        <v>1894</v>
      </c>
      <c r="F1819" s="18"/>
      <c r="G1819" s="18"/>
      <c r="H1819" s="18"/>
      <c r="I1819" s="18"/>
      <c r="J1819" s="18"/>
      <c r="K1819" s="18"/>
      <c r="L1819" s="18"/>
      <c r="M1819" s="18"/>
    </row>
    <row r="1820" s="65" customFormat="1" ht="13.5" spans="1:13">
      <c r="A1820" s="66"/>
      <c r="E1820" s="72" t="s">
        <v>1895</v>
      </c>
      <c r="F1820" s="18"/>
      <c r="G1820" s="18"/>
      <c r="H1820" s="18"/>
      <c r="I1820" s="18"/>
      <c r="J1820" s="18"/>
      <c r="K1820" s="18"/>
      <c r="L1820" s="18"/>
      <c r="M1820" s="18"/>
    </row>
    <row r="1821" s="65" customFormat="1" ht="13.5" spans="1:13">
      <c r="A1821" s="66"/>
      <c r="E1821" s="72" t="s">
        <v>1896</v>
      </c>
      <c r="F1821" s="18"/>
      <c r="G1821" s="18"/>
      <c r="H1821" s="18"/>
      <c r="I1821" s="18"/>
      <c r="J1821" s="18"/>
      <c r="K1821" s="18"/>
      <c r="L1821" s="18"/>
      <c r="M1821" s="18"/>
    </row>
    <row r="1822" s="65" customFormat="1" ht="13.5" spans="1:13">
      <c r="A1822" s="66"/>
      <c r="E1822" s="72" t="s">
        <v>1897</v>
      </c>
      <c r="F1822" s="18"/>
      <c r="G1822" s="18"/>
      <c r="H1822" s="18"/>
      <c r="I1822" s="18"/>
      <c r="J1822" s="18"/>
      <c r="K1822" s="18"/>
      <c r="L1822" s="18"/>
      <c r="M1822" s="18"/>
    </row>
    <row r="1823" s="65" customFormat="1" ht="13.5" spans="1:13">
      <c r="A1823" s="66"/>
      <c r="E1823" s="72" t="s">
        <v>1898</v>
      </c>
      <c r="F1823" s="18"/>
      <c r="G1823" s="18"/>
      <c r="H1823" s="18"/>
      <c r="I1823" s="18"/>
      <c r="J1823" s="18"/>
      <c r="K1823" s="18"/>
      <c r="L1823" s="18"/>
      <c r="M1823" s="18"/>
    </row>
    <row r="1824" s="65" customFormat="1" ht="13.5" spans="1:13">
      <c r="A1824" s="66"/>
      <c r="E1824" s="72" t="s">
        <v>1899</v>
      </c>
      <c r="F1824" s="18"/>
      <c r="G1824" s="18"/>
      <c r="H1824" s="18"/>
      <c r="I1824" s="18"/>
      <c r="J1824" s="18"/>
      <c r="K1824" s="18"/>
      <c r="L1824" s="18"/>
      <c r="M1824" s="18"/>
    </row>
    <row r="1825" s="65" customFormat="1" ht="13.5" spans="1:13">
      <c r="A1825" s="66"/>
      <c r="E1825" s="72" t="s">
        <v>1900</v>
      </c>
      <c r="F1825" s="18"/>
      <c r="G1825" s="18"/>
      <c r="H1825" s="18"/>
      <c r="I1825" s="18"/>
      <c r="J1825" s="18"/>
      <c r="K1825" s="18"/>
      <c r="L1825" s="18"/>
      <c r="M1825" s="18"/>
    </row>
    <row r="1826" s="65" customFormat="1" ht="13.5" spans="1:13">
      <c r="A1826" s="66"/>
      <c r="E1826" s="72" t="s">
        <v>1901</v>
      </c>
      <c r="F1826" s="18"/>
      <c r="G1826" s="18"/>
      <c r="H1826" s="18"/>
      <c r="I1826" s="18"/>
      <c r="J1826" s="18"/>
      <c r="K1826" s="18"/>
      <c r="L1826" s="18"/>
      <c r="M1826" s="18"/>
    </row>
    <row r="1827" s="65" customFormat="1" ht="13.5" spans="1:13">
      <c r="A1827" s="66"/>
      <c r="E1827" s="72" t="s">
        <v>1902</v>
      </c>
      <c r="F1827" s="18"/>
      <c r="G1827" s="18"/>
      <c r="H1827" s="18"/>
      <c r="I1827" s="18"/>
      <c r="J1827" s="18"/>
      <c r="K1827" s="18"/>
      <c r="L1827" s="18"/>
      <c r="M1827" s="18"/>
    </row>
    <row r="1828" s="65" customFormat="1" ht="13.5" spans="1:13">
      <c r="A1828" s="66"/>
      <c r="E1828" s="72" t="s">
        <v>1903</v>
      </c>
      <c r="F1828" s="18"/>
      <c r="G1828" s="18"/>
      <c r="H1828" s="18"/>
      <c r="I1828" s="18"/>
      <c r="J1828" s="18"/>
      <c r="K1828" s="18"/>
      <c r="L1828" s="18"/>
      <c r="M1828" s="18"/>
    </row>
    <row r="1829" s="65" customFormat="1" ht="13.5" spans="1:13">
      <c r="A1829" s="66"/>
      <c r="E1829" s="72" t="s">
        <v>1904</v>
      </c>
      <c r="F1829" s="18"/>
      <c r="G1829" s="18"/>
      <c r="H1829" s="18"/>
      <c r="I1829" s="18"/>
      <c r="J1829" s="18"/>
      <c r="K1829" s="18"/>
      <c r="L1829" s="18"/>
      <c r="M1829" s="18"/>
    </row>
    <row r="1830" s="65" customFormat="1" ht="13.5" spans="1:13">
      <c r="A1830" s="66"/>
      <c r="E1830" s="72" t="s">
        <v>1905</v>
      </c>
      <c r="F1830" s="18"/>
      <c r="G1830" s="18"/>
      <c r="H1830" s="18"/>
      <c r="I1830" s="18"/>
      <c r="J1830" s="18"/>
      <c r="K1830" s="18"/>
      <c r="L1830" s="18"/>
      <c r="M1830" s="18"/>
    </row>
    <row r="1831" s="65" customFormat="1" ht="13.5" spans="1:13">
      <c r="A1831" s="66"/>
      <c r="E1831" s="72" t="s">
        <v>1906</v>
      </c>
      <c r="F1831" s="18"/>
      <c r="G1831" s="18"/>
      <c r="H1831" s="18"/>
      <c r="I1831" s="18"/>
      <c r="J1831" s="18"/>
      <c r="K1831" s="18"/>
      <c r="L1831" s="18"/>
      <c r="M1831" s="18"/>
    </row>
    <row r="1832" s="65" customFormat="1" ht="13.5" spans="1:13">
      <c r="A1832" s="66"/>
      <c r="E1832" s="72" t="s">
        <v>1907</v>
      </c>
      <c r="F1832" s="18"/>
      <c r="G1832" s="18"/>
      <c r="H1832" s="18"/>
      <c r="I1832" s="18"/>
      <c r="J1832" s="18"/>
      <c r="K1832" s="18"/>
      <c r="L1832" s="18"/>
      <c r="M1832" s="18"/>
    </row>
    <row r="1833" s="65" customFormat="1" ht="13.5" spans="1:13">
      <c r="A1833" s="66"/>
      <c r="E1833" s="72" t="s">
        <v>1908</v>
      </c>
      <c r="F1833" s="18"/>
      <c r="G1833" s="18"/>
      <c r="H1833" s="18"/>
      <c r="I1833" s="18"/>
      <c r="J1833" s="18"/>
      <c r="K1833" s="18"/>
      <c r="L1833" s="18"/>
      <c r="M1833" s="18"/>
    </row>
    <row r="1834" s="65" customFormat="1" ht="13.5" spans="1:13">
      <c r="A1834" s="66"/>
      <c r="E1834" s="72" t="s">
        <v>1909</v>
      </c>
      <c r="F1834" s="18"/>
      <c r="G1834" s="18"/>
      <c r="H1834" s="18"/>
      <c r="I1834" s="18"/>
      <c r="J1834" s="18"/>
      <c r="K1834" s="18"/>
      <c r="L1834" s="18"/>
      <c r="M1834" s="18"/>
    </row>
    <row r="1835" s="65" customFormat="1" ht="13.5" spans="1:13">
      <c r="A1835" s="66"/>
      <c r="E1835" s="72" t="s">
        <v>1910</v>
      </c>
      <c r="F1835" s="18"/>
      <c r="G1835" s="18"/>
      <c r="H1835" s="18"/>
      <c r="I1835" s="18"/>
      <c r="J1835" s="18"/>
      <c r="K1835" s="18"/>
      <c r="L1835" s="18"/>
      <c r="M1835" s="18"/>
    </row>
    <row r="1836" s="65" customFormat="1" ht="13.5" spans="1:13">
      <c r="A1836" s="66"/>
      <c r="E1836" s="72" t="s">
        <v>1911</v>
      </c>
      <c r="F1836" s="18"/>
      <c r="G1836" s="18"/>
      <c r="H1836" s="18"/>
      <c r="I1836" s="18"/>
      <c r="J1836" s="18"/>
      <c r="K1836" s="18"/>
      <c r="L1836" s="18"/>
      <c r="M1836" s="18"/>
    </row>
    <row r="1837" s="65" customFormat="1" ht="13.5" spans="1:13">
      <c r="A1837" s="66"/>
      <c r="E1837" s="72" t="s">
        <v>1912</v>
      </c>
      <c r="F1837" s="18"/>
      <c r="G1837" s="18"/>
      <c r="H1837" s="18"/>
      <c r="I1837" s="18"/>
      <c r="J1837" s="18"/>
      <c r="K1837" s="18"/>
      <c r="L1837" s="18"/>
      <c r="M1837" s="18"/>
    </row>
    <row r="1838" s="65" customFormat="1" ht="13.5" spans="1:13">
      <c r="A1838" s="66"/>
      <c r="E1838" s="72" t="s">
        <v>1913</v>
      </c>
      <c r="F1838" s="18"/>
      <c r="G1838" s="18"/>
      <c r="H1838" s="18"/>
      <c r="I1838" s="18"/>
      <c r="J1838" s="18"/>
      <c r="K1838" s="18"/>
      <c r="L1838" s="18"/>
      <c r="M1838" s="18"/>
    </row>
    <row r="1839" s="65" customFormat="1" ht="13.5" spans="1:13">
      <c r="A1839" s="66"/>
      <c r="E1839" s="72" t="s">
        <v>1914</v>
      </c>
      <c r="F1839" s="18"/>
      <c r="G1839" s="18"/>
      <c r="H1839" s="18"/>
      <c r="I1839" s="18"/>
      <c r="J1839" s="18"/>
      <c r="K1839" s="18"/>
      <c r="L1839" s="18"/>
      <c r="M1839" s="18"/>
    </row>
    <row r="1840" s="65" customFormat="1" ht="13.5" spans="1:13">
      <c r="A1840" s="66"/>
      <c r="E1840" s="72" t="s">
        <v>1915</v>
      </c>
      <c r="F1840" s="18"/>
      <c r="G1840" s="18"/>
      <c r="H1840" s="18"/>
      <c r="I1840" s="18"/>
      <c r="J1840" s="18"/>
      <c r="K1840" s="18"/>
      <c r="L1840" s="18"/>
      <c r="M1840" s="18"/>
    </row>
    <row r="1841" s="65" customFormat="1" ht="13.5" spans="1:13">
      <c r="A1841" s="66"/>
      <c r="E1841" s="72" t="s">
        <v>1916</v>
      </c>
      <c r="F1841" s="18"/>
      <c r="G1841" s="18"/>
      <c r="H1841" s="18"/>
      <c r="I1841" s="18"/>
      <c r="J1841" s="18"/>
      <c r="K1841" s="18"/>
      <c r="L1841" s="18"/>
      <c r="M1841" s="18"/>
    </row>
    <row r="1842" s="65" customFormat="1" ht="13.5" spans="1:13">
      <c r="A1842" s="66"/>
      <c r="E1842" s="72" t="s">
        <v>1917</v>
      </c>
      <c r="F1842" s="18"/>
      <c r="G1842" s="18"/>
      <c r="H1842" s="18"/>
      <c r="I1842" s="18"/>
      <c r="J1842" s="18"/>
      <c r="K1842" s="18"/>
      <c r="L1842" s="18"/>
      <c r="M1842" s="18"/>
    </row>
    <row r="1843" s="65" customFormat="1" ht="13.5" spans="1:13">
      <c r="A1843" s="66"/>
      <c r="E1843" s="72" t="s">
        <v>1918</v>
      </c>
      <c r="F1843" s="18"/>
      <c r="G1843" s="18"/>
      <c r="H1843" s="18"/>
      <c r="I1843" s="18"/>
      <c r="J1843" s="18"/>
      <c r="K1843" s="18"/>
      <c r="L1843" s="18"/>
      <c r="M1843" s="18"/>
    </row>
    <row r="1844" s="65" customFormat="1" ht="13.5" spans="1:13">
      <c r="A1844" s="66"/>
      <c r="E1844" s="72" t="s">
        <v>1919</v>
      </c>
      <c r="F1844" s="18"/>
      <c r="G1844" s="18"/>
      <c r="H1844" s="18"/>
      <c r="I1844" s="18"/>
      <c r="J1844" s="18"/>
      <c r="K1844" s="18"/>
      <c r="L1844" s="18"/>
      <c r="M1844" s="18"/>
    </row>
    <row r="1845" s="65" customFormat="1" ht="13.5" spans="1:13">
      <c r="A1845" s="66"/>
      <c r="E1845" s="72" t="s">
        <v>1920</v>
      </c>
      <c r="F1845" s="18"/>
      <c r="G1845" s="18"/>
      <c r="H1845" s="18"/>
      <c r="I1845" s="18"/>
      <c r="J1845" s="18"/>
      <c r="K1845" s="18"/>
      <c r="L1845" s="18"/>
      <c r="M1845" s="18"/>
    </row>
    <row r="1846" s="65" customFormat="1" ht="13.5" spans="1:13">
      <c r="A1846" s="66"/>
      <c r="E1846" s="72" t="s">
        <v>1921</v>
      </c>
      <c r="F1846" s="18"/>
      <c r="G1846" s="18"/>
      <c r="H1846" s="18"/>
      <c r="I1846" s="18"/>
      <c r="J1846" s="18"/>
      <c r="K1846" s="18"/>
      <c r="L1846" s="18"/>
      <c r="M1846" s="18"/>
    </row>
    <row r="1847" s="65" customFormat="1" ht="13.5" spans="1:13">
      <c r="A1847" s="66"/>
      <c r="E1847" s="72" t="s">
        <v>1922</v>
      </c>
      <c r="F1847" s="18"/>
      <c r="G1847" s="18"/>
      <c r="H1847" s="18"/>
      <c r="I1847" s="18"/>
      <c r="J1847" s="18"/>
      <c r="K1847" s="18"/>
      <c r="L1847" s="18"/>
      <c r="M1847" s="18"/>
    </row>
    <row r="1848" s="65" customFormat="1" ht="13.5" spans="1:13">
      <c r="A1848" s="66"/>
      <c r="E1848" s="72" t="s">
        <v>1923</v>
      </c>
      <c r="F1848" s="18"/>
      <c r="G1848" s="18"/>
      <c r="H1848" s="18"/>
      <c r="I1848" s="18"/>
      <c r="J1848" s="18"/>
      <c r="K1848" s="18"/>
      <c r="L1848" s="18"/>
      <c r="M1848" s="18"/>
    </row>
    <row r="1849" s="65" customFormat="1" ht="13.5" spans="1:13">
      <c r="A1849" s="66"/>
      <c r="E1849" s="72" t="s">
        <v>1924</v>
      </c>
      <c r="F1849" s="18"/>
      <c r="G1849" s="18"/>
      <c r="H1849" s="18"/>
      <c r="I1849" s="18"/>
      <c r="J1849" s="18"/>
      <c r="K1849" s="18"/>
      <c r="L1849" s="18"/>
      <c r="M1849" s="18"/>
    </row>
    <row r="1850" s="65" customFormat="1" ht="13.5" spans="1:13">
      <c r="A1850" s="66"/>
      <c r="E1850" s="72" t="s">
        <v>1925</v>
      </c>
      <c r="F1850" s="18"/>
      <c r="G1850" s="18"/>
      <c r="H1850" s="18"/>
      <c r="I1850" s="18"/>
      <c r="J1850" s="18"/>
      <c r="K1850" s="18"/>
      <c r="L1850" s="18"/>
      <c r="M1850" s="18"/>
    </row>
    <row r="1851" s="65" customFormat="1" ht="13.5" spans="1:13">
      <c r="A1851" s="66"/>
      <c r="E1851" s="72" t="s">
        <v>1926</v>
      </c>
      <c r="F1851" s="18"/>
      <c r="G1851" s="18"/>
      <c r="H1851" s="18"/>
      <c r="I1851" s="18"/>
      <c r="J1851" s="18"/>
      <c r="K1851" s="18"/>
      <c r="L1851" s="18"/>
      <c r="M1851" s="18"/>
    </row>
    <row r="1852" s="65" customFormat="1" ht="13.5" spans="1:13">
      <c r="A1852" s="66"/>
      <c r="E1852" s="72" t="s">
        <v>1927</v>
      </c>
      <c r="F1852" s="18"/>
      <c r="G1852" s="18"/>
      <c r="H1852" s="18"/>
      <c r="I1852" s="18"/>
      <c r="J1852" s="18"/>
      <c r="K1852" s="18"/>
      <c r="L1852" s="18"/>
      <c r="M1852" s="18"/>
    </row>
    <row r="1853" s="65" customFormat="1" ht="13.5" spans="1:13">
      <c r="A1853" s="66"/>
      <c r="E1853" s="72" t="s">
        <v>1928</v>
      </c>
      <c r="F1853" s="18"/>
      <c r="G1853" s="18"/>
      <c r="H1853" s="18"/>
      <c r="I1853" s="18"/>
      <c r="J1853" s="18"/>
      <c r="K1853" s="18"/>
      <c r="L1853" s="18"/>
      <c r="M1853" s="18"/>
    </row>
    <row r="1854" s="65" customFormat="1" ht="13.5" spans="1:13">
      <c r="A1854" s="66"/>
      <c r="E1854" s="72" t="s">
        <v>1929</v>
      </c>
      <c r="F1854" s="18"/>
      <c r="G1854" s="18"/>
      <c r="H1854" s="18"/>
      <c r="I1854" s="18"/>
      <c r="J1854" s="18"/>
      <c r="K1854" s="18"/>
      <c r="L1854" s="18"/>
      <c r="M1854" s="18"/>
    </row>
    <row r="1855" s="65" customFormat="1" ht="13.5" spans="1:13">
      <c r="A1855" s="66"/>
      <c r="E1855" s="72" t="s">
        <v>1930</v>
      </c>
      <c r="F1855" s="18"/>
      <c r="G1855" s="18"/>
      <c r="H1855" s="18"/>
      <c r="I1855" s="18"/>
      <c r="J1855" s="18"/>
      <c r="K1855" s="18"/>
      <c r="L1855" s="18"/>
      <c r="M1855" s="18"/>
    </row>
    <row r="1856" s="65" customFormat="1" ht="13.5" spans="1:13">
      <c r="A1856" s="66"/>
      <c r="E1856" s="72" t="s">
        <v>1931</v>
      </c>
      <c r="F1856" s="18"/>
      <c r="G1856" s="18"/>
      <c r="H1856" s="18"/>
      <c r="I1856" s="18"/>
      <c r="J1856" s="18"/>
      <c r="K1856" s="18"/>
      <c r="L1856" s="18"/>
      <c r="M1856" s="18"/>
    </row>
    <row r="1857" s="65" customFormat="1" ht="13.5" spans="1:13">
      <c r="A1857" s="66"/>
      <c r="E1857" s="72" t="s">
        <v>1932</v>
      </c>
      <c r="F1857" s="18"/>
      <c r="G1857" s="18"/>
      <c r="H1857" s="18"/>
      <c r="I1857" s="18"/>
      <c r="J1857" s="18"/>
      <c r="K1857" s="18"/>
      <c r="L1857" s="18"/>
      <c r="M1857" s="18"/>
    </row>
    <row r="1858" s="65" customFormat="1" ht="13.5" spans="1:13">
      <c r="A1858" s="66"/>
      <c r="E1858" s="72" t="s">
        <v>1933</v>
      </c>
      <c r="F1858" s="18"/>
      <c r="G1858" s="18"/>
      <c r="H1858" s="18"/>
      <c r="I1858" s="18"/>
      <c r="J1858" s="18"/>
      <c r="K1858" s="18"/>
      <c r="L1858" s="18"/>
      <c r="M1858" s="18"/>
    </row>
    <row r="1859" s="65" customFormat="1" ht="13.5" spans="1:13">
      <c r="A1859" s="66"/>
      <c r="E1859" s="72" t="s">
        <v>1934</v>
      </c>
      <c r="F1859" s="18"/>
      <c r="G1859" s="18"/>
      <c r="H1859" s="18"/>
      <c r="I1859" s="18"/>
      <c r="J1859" s="18"/>
      <c r="K1859" s="18"/>
      <c r="L1859" s="18"/>
      <c r="M1859" s="18"/>
    </row>
    <row r="1860" s="65" customFormat="1" ht="13.5" spans="1:13">
      <c r="A1860" s="66"/>
      <c r="E1860" s="72" t="s">
        <v>1935</v>
      </c>
      <c r="F1860" s="18"/>
      <c r="G1860" s="18"/>
      <c r="H1860" s="18"/>
      <c r="I1860" s="18"/>
      <c r="J1860" s="18"/>
      <c r="K1860" s="18"/>
      <c r="L1860" s="18"/>
      <c r="M1860" s="18"/>
    </row>
    <row r="1861" s="65" customFormat="1" ht="13.5" spans="1:13">
      <c r="A1861" s="66"/>
      <c r="E1861" s="72" t="s">
        <v>1936</v>
      </c>
      <c r="F1861" s="18"/>
      <c r="G1861" s="18"/>
      <c r="H1861" s="18"/>
      <c r="I1861" s="18"/>
      <c r="J1861" s="18"/>
      <c r="K1861" s="18"/>
      <c r="L1861" s="18"/>
      <c r="M1861" s="18"/>
    </row>
    <row r="1862" s="65" customFormat="1" ht="13.5" spans="1:13">
      <c r="A1862" s="66"/>
      <c r="E1862" s="72" t="s">
        <v>1937</v>
      </c>
      <c r="F1862" s="18"/>
      <c r="G1862" s="18"/>
      <c r="H1862" s="18"/>
      <c r="I1862" s="18"/>
      <c r="J1862" s="18"/>
      <c r="K1862" s="18"/>
      <c r="L1862" s="18"/>
      <c r="M1862" s="18"/>
    </row>
    <row r="1863" s="65" customFormat="1" ht="13.5" spans="1:13">
      <c r="A1863" s="66"/>
      <c r="E1863" s="72" t="s">
        <v>1938</v>
      </c>
      <c r="F1863" s="18"/>
      <c r="G1863" s="18"/>
      <c r="H1863" s="18"/>
      <c r="I1863" s="18"/>
      <c r="J1863" s="18"/>
      <c r="K1863" s="18"/>
      <c r="L1863" s="18"/>
      <c r="M1863" s="18"/>
    </row>
    <row r="1864" s="65" customFormat="1" ht="13.5" spans="1:13">
      <c r="A1864" s="66"/>
      <c r="E1864" s="72" t="s">
        <v>1939</v>
      </c>
      <c r="F1864" s="18"/>
      <c r="G1864" s="18"/>
      <c r="H1864" s="18"/>
      <c r="I1864" s="18"/>
      <c r="J1864" s="18"/>
      <c r="K1864" s="18"/>
      <c r="L1864" s="18"/>
      <c r="M1864" s="18"/>
    </row>
    <row r="1865" s="65" customFormat="1" ht="13.5" spans="1:13">
      <c r="A1865" s="66"/>
      <c r="E1865" s="72" t="s">
        <v>1940</v>
      </c>
      <c r="F1865" s="18"/>
      <c r="G1865" s="18"/>
      <c r="H1865" s="18"/>
      <c r="I1865" s="18"/>
      <c r="J1865" s="18"/>
      <c r="K1865" s="18"/>
      <c r="L1865" s="18"/>
      <c r="M1865" s="18"/>
    </row>
    <row r="1866" s="65" customFormat="1" ht="13.5" spans="1:13">
      <c r="A1866" s="66"/>
      <c r="E1866" s="72" t="s">
        <v>1941</v>
      </c>
      <c r="F1866" s="18"/>
      <c r="G1866" s="18"/>
      <c r="H1866" s="18"/>
      <c r="I1866" s="18"/>
      <c r="J1866" s="18"/>
      <c r="K1866" s="18"/>
      <c r="L1866" s="18"/>
      <c r="M1866" s="18"/>
    </row>
    <row r="1867" s="65" customFormat="1" ht="13.5" spans="1:13">
      <c r="A1867" s="66"/>
      <c r="E1867" s="72" t="s">
        <v>1942</v>
      </c>
      <c r="F1867" s="18"/>
      <c r="G1867" s="18"/>
      <c r="H1867" s="18"/>
      <c r="I1867" s="18"/>
      <c r="J1867" s="18"/>
      <c r="K1867" s="18"/>
      <c r="L1867" s="18"/>
      <c r="M1867" s="18"/>
    </row>
    <row r="1868" s="65" customFormat="1" ht="13.5" spans="1:13">
      <c r="A1868" s="66"/>
      <c r="E1868" s="72" t="s">
        <v>1943</v>
      </c>
      <c r="F1868" s="18"/>
      <c r="G1868" s="18"/>
      <c r="H1868" s="18"/>
      <c r="I1868" s="18"/>
      <c r="J1868" s="18"/>
      <c r="K1868" s="18"/>
      <c r="L1868" s="18"/>
      <c r="M1868" s="18"/>
    </row>
    <row r="1869" s="65" customFormat="1" ht="13.5" spans="1:13">
      <c r="A1869" s="66"/>
      <c r="E1869" s="72" t="s">
        <v>1944</v>
      </c>
      <c r="F1869" s="18"/>
      <c r="G1869" s="18"/>
      <c r="H1869" s="18"/>
      <c r="I1869" s="18"/>
      <c r="J1869" s="18"/>
      <c r="K1869" s="18"/>
      <c r="L1869" s="18"/>
      <c r="M1869" s="18"/>
    </row>
    <row r="1870" s="65" customFormat="1" ht="13.5" spans="1:13">
      <c r="A1870" s="66"/>
      <c r="E1870" s="72" t="s">
        <v>1945</v>
      </c>
      <c r="F1870" s="18"/>
      <c r="G1870" s="18"/>
      <c r="H1870" s="18"/>
      <c r="I1870" s="18"/>
      <c r="J1870" s="18"/>
      <c r="K1870" s="18"/>
      <c r="L1870" s="18"/>
      <c r="M1870" s="18"/>
    </row>
    <row r="1871" s="65" customFormat="1" ht="13.5" spans="1:13">
      <c r="A1871" s="66"/>
      <c r="E1871" s="72" t="s">
        <v>1946</v>
      </c>
      <c r="F1871" s="18"/>
      <c r="G1871" s="18"/>
      <c r="H1871" s="18"/>
      <c r="I1871" s="18"/>
      <c r="J1871" s="18"/>
      <c r="K1871" s="18"/>
      <c r="L1871" s="18"/>
      <c r="M1871" s="18"/>
    </row>
    <row r="1872" s="65" customFormat="1" ht="13.5" spans="1:13">
      <c r="A1872" s="66"/>
      <c r="E1872" s="72" t="s">
        <v>1947</v>
      </c>
      <c r="F1872" s="18"/>
      <c r="G1872" s="18"/>
      <c r="H1872" s="18"/>
      <c r="I1872" s="18"/>
      <c r="J1872" s="18"/>
      <c r="K1872" s="18"/>
      <c r="L1872" s="18"/>
      <c r="M1872" s="18"/>
    </row>
    <row r="1873" s="65" customFormat="1" ht="13.5" spans="1:13">
      <c r="A1873" s="66"/>
      <c r="E1873" s="72" t="s">
        <v>1948</v>
      </c>
      <c r="F1873" s="18"/>
      <c r="G1873" s="18"/>
      <c r="H1873" s="18"/>
      <c r="I1873" s="18"/>
      <c r="J1873" s="18"/>
      <c r="K1873" s="18"/>
      <c r="L1873" s="18"/>
      <c r="M1873" s="18"/>
    </row>
    <row r="1874" s="65" customFormat="1" ht="13.5" spans="1:13">
      <c r="A1874" s="66"/>
      <c r="E1874" s="72" t="s">
        <v>1949</v>
      </c>
      <c r="F1874" s="18"/>
      <c r="G1874" s="18"/>
      <c r="H1874" s="18"/>
      <c r="I1874" s="18"/>
      <c r="J1874" s="18"/>
      <c r="K1874" s="18"/>
      <c r="L1874" s="18"/>
      <c r="M1874" s="18"/>
    </row>
    <row r="1875" s="65" customFormat="1" ht="13.5" spans="1:13">
      <c r="A1875" s="66"/>
      <c r="E1875" s="72" t="s">
        <v>1950</v>
      </c>
      <c r="F1875" s="18"/>
      <c r="G1875" s="18"/>
      <c r="H1875" s="18"/>
      <c r="I1875" s="18"/>
      <c r="J1875" s="18"/>
      <c r="K1875" s="18"/>
      <c r="L1875" s="18"/>
      <c r="M1875" s="18"/>
    </row>
    <row r="1876" s="65" customFormat="1" ht="13.5" spans="1:13">
      <c r="A1876" s="66"/>
      <c r="E1876" s="72" t="s">
        <v>1951</v>
      </c>
      <c r="F1876" s="18"/>
      <c r="G1876" s="18"/>
      <c r="H1876" s="18"/>
      <c r="I1876" s="18"/>
      <c r="J1876" s="18"/>
      <c r="K1876" s="18"/>
      <c r="L1876" s="18"/>
      <c r="M1876" s="18"/>
    </row>
    <row r="1877" s="65" customFormat="1" ht="13.5" spans="1:13">
      <c r="A1877" s="66"/>
      <c r="E1877" s="72" t="s">
        <v>1952</v>
      </c>
      <c r="F1877" s="18"/>
      <c r="G1877" s="18"/>
      <c r="H1877" s="18"/>
      <c r="I1877" s="18"/>
      <c r="J1877" s="18"/>
      <c r="K1877" s="18"/>
      <c r="L1877" s="18"/>
      <c r="M1877" s="18"/>
    </row>
    <row r="1878" s="65" customFormat="1" ht="13.5" spans="1:13">
      <c r="A1878" s="66"/>
      <c r="E1878" s="72" t="s">
        <v>1953</v>
      </c>
      <c r="F1878" s="18"/>
      <c r="G1878" s="18"/>
      <c r="H1878" s="18"/>
      <c r="I1878" s="18"/>
      <c r="J1878" s="18"/>
      <c r="K1878" s="18"/>
      <c r="L1878" s="18"/>
      <c r="M1878" s="18"/>
    </row>
    <row r="1879" s="65" customFormat="1" ht="13.5" spans="1:13">
      <c r="A1879" s="66"/>
      <c r="E1879" s="72" t="s">
        <v>1954</v>
      </c>
      <c r="F1879" s="18"/>
      <c r="G1879" s="18"/>
      <c r="H1879" s="18"/>
      <c r="I1879" s="18"/>
      <c r="J1879" s="18"/>
      <c r="K1879" s="18"/>
      <c r="L1879" s="18"/>
      <c r="M1879" s="18"/>
    </row>
    <row r="1880" s="65" customFormat="1" ht="13.5" spans="1:13">
      <c r="A1880" s="66"/>
      <c r="E1880" s="72" t="s">
        <v>1955</v>
      </c>
      <c r="F1880" s="18"/>
      <c r="G1880" s="18"/>
      <c r="H1880" s="18"/>
      <c r="I1880" s="18"/>
      <c r="J1880" s="18"/>
      <c r="K1880" s="18"/>
      <c r="L1880" s="18"/>
      <c r="M1880" s="18"/>
    </row>
    <row r="1881" s="65" customFormat="1" ht="13.5" spans="1:13">
      <c r="A1881" s="66"/>
      <c r="E1881" s="72" t="s">
        <v>1956</v>
      </c>
      <c r="F1881" s="18"/>
      <c r="G1881" s="18"/>
      <c r="H1881" s="18"/>
      <c r="I1881" s="18"/>
      <c r="J1881" s="18"/>
      <c r="K1881" s="18"/>
      <c r="L1881" s="18"/>
      <c r="M1881" s="18"/>
    </row>
    <row r="1882" s="65" customFormat="1" ht="13.5" spans="1:13">
      <c r="A1882" s="66"/>
      <c r="E1882" s="72" t="s">
        <v>1957</v>
      </c>
      <c r="F1882" s="18"/>
      <c r="G1882" s="18"/>
      <c r="H1882" s="18"/>
      <c r="I1882" s="18"/>
      <c r="J1882" s="18"/>
      <c r="K1882" s="18"/>
      <c r="L1882" s="18"/>
      <c r="M1882" s="18"/>
    </row>
    <row r="1883" s="65" customFormat="1" ht="13.5" spans="1:13">
      <c r="A1883" s="66"/>
      <c r="E1883" s="72" t="s">
        <v>1958</v>
      </c>
      <c r="F1883" s="18"/>
      <c r="G1883" s="18"/>
      <c r="H1883" s="18"/>
      <c r="I1883" s="18"/>
      <c r="J1883" s="18"/>
      <c r="K1883" s="18"/>
      <c r="L1883" s="18"/>
      <c r="M1883" s="18"/>
    </row>
    <row r="1884" s="65" customFormat="1" ht="13.5" spans="1:13">
      <c r="A1884" s="66"/>
      <c r="E1884" s="72" t="s">
        <v>1959</v>
      </c>
      <c r="F1884" s="18"/>
      <c r="G1884" s="18"/>
      <c r="H1884" s="18"/>
      <c r="I1884" s="18"/>
      <c r="J1884" s="18"/>
      <c r="K1884" s="18"/>
      <c r="L1884" s="18"/>
      <c r="M1884" s="18"/>
    </row>
    <row r="1885" s="65" customFormat="1" ht="13.5" spans="1:13">
      <c r="A1885" s="66"/>
      <c r="E1885" s="72" t="s">
        <v>1960</v>
      </c>
      <c r="F1885" s="18"/>
      <c r="G1885" s="18"/>
      <c r="H1885" s="18"/>
      <c r="I1885" s="18"/>
      <c r="J1885" s="18"/>
      <c r="K1885" s="18"/>
      <c r="L1885" s="18"/>
      <c r="M1885" s="18"/>
    </row>
    <row r="1886" s="65" customFormat="1" ht="13.5" spans="1:13">
      <c r="A1886" s="66"/>
      <c r="E1886" s="72" t="s">
        <v>1961</v>
      </c>
      <c r="F1886" s="18"/>
      <c r="G1886" s="18"/>
      <c r="H1886" s="18"/>
      <c r="I1886" s="18"/>
      <c r="J1886" s="18"/>
      <c r="K1886" s="18"/>
      <c r="L1886" s="18"/>
      <c r="M1886" s="18"/>
    </row>
    <row r="1887" s="65" customFormat="1" ht="13.5" spans="1:13">
      <c r="A1887" s="66"/>
      <c r="E1887" s="72" t="s">
        <v>1962</v>
      </c>
      <c r="F1887" s="18"/>
      <c r="G1887" s="18"/>
      <c r="H1887" s="18"/>
      <c r="I1887" s="18"/>
      <c r="J1887" s="18"/>
      <c r="K1887" s="18"/>
      <c r="L1887" s="18"/>
      <c r="M1887" s="18"/>
    </row>
    <row r="1888" s="65" customFormat="1" ht="13.5" spans="1:13">
      <c r="A1888" s="66"/>
      <c r="E1888" s="72" t="s">
        <v>1963</v>
      </c>
      <c r="F1888" s="18"/>
      <c r="G1888" s="18"/>
      <c r="H1888" s="18"/>
      <c r="I1888" s="18"/>
      <c r="J1888" s="18"/>
      <c r="K1888" s="18"/>
      <c r="L1888" s="18"/>
      <c r="M1888" s="18"/>
    </row>
    <row r="1889" s="65" customFormat="1" ht="13.5" spans="1:13">
      <c r="A1889" s="66"/>
      <c r="E1889" s="72" t="s">
        <v>1964</v>
      </c>
      <c r="F1889" s="18"/>
      <c r="G1889" s="18"/>
      <c r="H1889" s="18"/>
      <c r="I1889" s="18"/>
      <c r="J1889" s="18"/>
      <c r="K1889" s="18"/>
      <c r="L1889" s="18"/>
      <c r="M1889" s="18"/>
    </row>
    <row r="1890" s="65" customFormat="1" ht="13.5" spans="1:13">
      <c r="A1890" s="66"/>
      <c r="E1890" s="72" t="s">
        <v>1965</v>
      </c>
      <c r="F1890" s="18"/>
      <c r="G1890" s="18"/>
      <c r="H1890" s="18"/>
      <c r="I1890" s="18"/>
      <c r="J1890" s="18"/>
      <c r="K1890" s="18"/>
      <c r="L1890" s="18"/>
      <c r="M1890" s="18"/>
    </row>
    <row r="1891" s="65" customFormat="1" ht="13.5" spans="1:13">
      <c r="A1891" s="66"/>
      <c r="E1891" s="72" t="s">
        <v>1966</v>
      </c>
      <c r="F1891" s="18"/>
      <c r="G1891" s="18"/>
      <c r="H1891" s="18"/>
      <c r="I1891" s="18"/>
      <c r="J1891" s="18"/>
      <c r="K1891" s="18"/>
      <c r="L1891" s="18"/>
      <c r="M1891" s="18"/>
    </row>
    <row r="1892" s="65" customFormat="1" ht="13.5" spans="1:13">
      <c r="A1892" s="66"/>
      <c r="E1892" s="72" t="s">
        <v>1967</v>
      </c>
      <c r="F1892" s="18"/>
      <c r="G1892" s="18"/>
      <c r="H1892" s="18"/>
      <c r="I1892" s="18"/>
      <c r="J1892" s="18"/>
      <c r="K1892" s="18"/>
      <c r="L1892" s="18"/>
      <c r="M1892" s="18"/>
    </row>
    <row r="1893" s="65" customFormat="1" ht="13.5" spans="1:13">
      <c r="A1893" s="66"/>
      <c r="E1893" s="72" t="s">
        <v>1968</v>
      </c>
      <c r="F1893" s="18"/>
      <c r="G1893" s="18"/>
      <c r="H1893" s="18"/>
      <c r="I1893" s="18"/>
      <c r="J1893" s="18"/>
      <c r="K1893" s="18"/>
      <c r="L1893" s="18"/>
      <c r="M1893" s="18"/>
    </row>
    <row r="1894" s="65" customFormat="1" ht="13.5" spans="1:13">
      <c r="A1894" s="66"/>
      <c r="E1894" s="72" t="s">
        <v>1969</v>
      </c>
      <c r="F1894" s="18"/>
      <c r="G1894" s="18"/>
      <c r="H1894" s="18"/>
      <c r="I1894" s="18"/>
      <c r="J1894" s="18"/>
      <c r="K1894" s="18"/>
      <c r="L1894" s="18"/>
      <c r="M1894" s="18"/>
    </row>
    <row r="1895" s="65" customFormat="1" ht="13.5" spans="1:13">
      <c r="A1895" s="66"/>
      <c r="E1895" s="72" t="s">
        <v>1970</v>
      </c>
      <c r="F1895" s="18"/>
      <c r="G1895" s="18"/>
      <c r="H1895" s="18"/>
      <c r="I1895" s="18"/>
      <c r="J1895" s="18"/>
      <c r="K1895" s="18"/>
      <c r="L1895" s="18"/>
      <c r="M1895" s="18"/>
    </row>
    <row r="1896" s="65" customFormat="1" ht="13.5" spans="1:13">
      <c r="A1896" s="66"/>
      <c r="E1896" s="72" t="s">
        <v>1971</v>
      </c>
      <c r="F1896" s="18"/>
      <c r="G1896" s="18"/>
      <c r="H1896" s="18"/>
      <c r="I1896" s="18"/>
      <c r="J1896" s="18"/>
      <c r="K1896" s="18"/>
      <c r="L1896" s="18"/>
      <c r="M1896" s="18"/>
    </row>
    <row r="1897" s="65" customFormat="1" ht="13.5" spans="1:13">
      <c r="A1897" s="66"/>
      <c r="E1897" s="72" t="s">
        <v>1972</v>
      </c>
      <c r="F1897" s="18"/>
      <c r="G1897" s="18"/>
      <c r="H1897" s="18"/>
      <c r="I1897" s="18"/>
      <c r="J1897" s="18"/>
      <c r="K1897" s="18"/>
      <c r="L1897" s="18"/>
      <c r="M1897" s="18"/>
    </row>
    <row r="1898" s="65" customFormat="1" ht="13.5" spans="1:13">
      <c r="A1898" s="66"/>
      <c r="E1898" s="72" t="s">
        <v>1973</v>
      </c>
      <c r="F1898" s="18"/>
      <c r="G1898" s="18"/>
      <c r="H1898" s="18"/>
      <c r="I1898" s="18"/>
      <c r="J1898" s="18"/>
      <c r="K1898" s="18"/>
      <c r="L1898" s="18"/>
      <c r="M1898" s="18"/>
    </row>
    <row r="1899" s="65" customFormat="1" ht="13.5" spans="1:13">
      <c r="A1899" s="66"/>
      <c r="E1899" s="72" t="s">
        <v>1974</v>
      </c>
      <c r="F1899" s="18"/>
      <c r="G1899" s="18"/>
      <c r="H1899" s="18"/>
      <c r="I1899" s="18"/>
      <c r="J1899" s="18"/>
      <c r="K1899" s="18"/>
      <c r="L1899" s="18"/>
      <c r="M1899" s="18"/>
    </row>
    <row r="1900" s="65" customFormat="1" ht="13.5" spans="1:13">
      <c r="A1900" s="66"/>
      <c r="E1900" s="72" t="s">
        <v>1975</v>
      </c>
      <c r="F1900" s="18"/>
      <c r="G1900" s="18"/>
      <c r="H1900" s="18"/>
      <c r="I1900" s="18"/>
      <c r="J1900" s="18"/>
      <c r="K1900" s="18"/>
      <c r="L1900" s="18"/>
      <c r="M1900" s="18"/>
    </row>
    <row r="1901" s="65" customFormat="1" ht="13.5" spans="1:13">
      <c r="A1901" s="66"/>
      <c r="E1901" s="72" t="s">
        <v>1976</v>
      </c>
      <c r="F1901" s="18"/>
      <c r="G1901" s="18"/>
      <c r="H1901" s="18"/>
      <c r="I1901" s="18"/>
      <c r="J1901" s="18"/>
      <c r="K1901" s="18"/>
      <c r="L1901" s="18"/>
      <c r="M1901" s="18"/>
    </row>
    <row r="1902" s="65" customFormat="1" ht="13.5" spans="1:13">
      <c r="A1902" s="66"/>
      <c r="E1902" s="72" t="s">
        <v>1977</v>
      </c>
      <c r="F1902" s="18"/>
      <c r="G1902" s="18"/>
      <c r="H1902" s="18"/>
      <c r="I1902" s="18"/>
      <c r="J1902" s="18"/>
      <c r="K1902" s="18"/>
      <c r="L1902" s="18"/>
      <c r="M1902" s="18"/>
    </row>
    <row r="1903" s="65" customFormat="1" ht="13.5" spans="1:13">
      <c r="A1903" s="66"/>
      <c r="E1903" s="72" t="s">
        <v>1978</v>
      </c>
      <c r="F1903" s="18"/>
      <c r="G1903" s="18"/>
      <c r="H1903" s="18"/>
      <c r="I1903" s="18"/>
      <c r="J1903" s="18"/>
      <c r="K1903" s="18"/>
      <c r="L1903" s="18"/>
      <c r="M1903" s="18"/>
    </row>
    <row r="1904" s="65" customFormat="1" ht="13.5" spans="1:13">
      <c r="A1904" s="66"/>
      <c r="E1904" s="72" t="s">
        <v>1979</v>
      </c>
      <c r="F1904" s="18"/>
      <c r="G1904" s="18"/>
      <c r="H1904" s="18"/>
      <c r="I1904" s="18"/>
      <c r="J1904" s="18"/>
      <c r="K1904" s="18"/>
      <c r="L1904" s="18"/>
      <c r="M1904" s="18"/>
    </row>
    <row r="1905" s="65" customFormat="1" ht="13.5" spans="1:13">
      <c r="A1905" s="66"/>
      <c r="E1905" s="72" t="s">
        <v>1980</v>
      </c>
      <c r="F1905" s="18"/>
      <c r="G1905" s="18"/>
      <c r="H1905" s="18"/>
      <c r="I1905" s="18"/>
      <c r="J1905" s="18"/>
      <c r="K1905" s="18"/>
      <c r="L1905" s="18"/>
      <c r="M1905" s="18"/>
    </row>
    <row r="1906" s="65" customFormat="1" ht="13.5" spans="1:13">
      <c r="A1906" s="66"/>
      <c r="E1906" s="72" t="s">
        <v>1981</v>
      </c>
      <c r="F1906" s="18"/>
      <c r="G1906" s="18"/>
      <c r="H1906" s="18"/>
      <c r="I1906" s="18"/>
      <c r="J1906" s="18"/>
      <c r="K1906" s="18"/>
      <c r="L1906" s="18"/>
      <c r="M1906" s="18"/>
    </row>
    <row r="1907" s="65" customFormat="1" ht="13.5" spans="1:13">
      <c r="A1907" s="66"/>
      <c r="E1907" s="72" t="s">
        <v>1982</v>
      </c>
      <c r="F1907" s="18"/>
      <c r="G1907" s="18"/>
      <c r="H1907" s="18"/>
      <c r="I1907" s="18"/>
      <c r="J1907" s="18"/>
      <c r="K1907" s="18"/>
      <c r="L1907" s="18"/>
      <c r="M1907" s="18"/>
    </row>
    <row r="1908" s="65" customFormat="1" ht="13.5" spans="1:13">
      <c r="A1908" s="66"/>
      <c r="E1908" s="72" t="s">
        <v>1983</v>
      </c>
      <c r="F1908" s="18"/>
      <c r="G1908" s="18"/>
      <c r="H1908" s="18"/>
      <c r="I1908" s="18"/>
      <c r="J1908" s="18"/>
      <c r="K1908" s="18"/>
      <c r="L1908" s="18"/>
      <c r="M1908" s="18"/>
    </row>
    <row r="1909" s="65" customFormat="1" ht="13.5" spans="1:13">
      <c r="A1909" s="66"/>
      <c r="E1909" s="72" t="s">
        <v>1984</v>
      </c>
      <c r="F1909" s="18"/>
      <c r="G1909" s="18"/>
      <c r="H1909" s="18"/>
      <c r="I1909" s="18"/>
      <c r="J1909" s="18"/>
      <c r="K1909" s="18"/>
      <c r="L1909" s="18"/>
      <c r="M1909" s="18"/>
    </row>
    <row r="1910" s="65" customFormat="1" ht="13.5" spans="1:13">
      <c r="A1910" s="66"/>
      <c r="E1910" s="72" t="s">
        <v>1985</v>
      </c>
      <c r="F1910" s="18"/>
      <c r="G1910" s="18"/>
      <c r="H1910" s="18"/>
      <c r="I1910" s="18"/>
      <c r="J1910" s="18"/>
      <c r="K1910" s="18"/>
      <c r="L1910" s="18"/>
      <c r="M1910" s="18"/>
    </row>
    <row r="1911" s="65" customFormat="1" ht="13.5" spans="1:13">
      <c r="A1911" s="66"/>
      <c r="E1911" s="72" t="s">
        <v>1986</v>
      </c>
      <c r="F1911" s="18"/>
      <c r="G1911" s="18"/>
      <c r="H1911" s="18"/>
      <c r="I1911" s="18"/>
      <c r="J1911" s="18"/>
      <c r="K1911" s="18"/>
      <c r="L1911" s="18"/>
      <c r="M1911" s="18"/>
    </row>
    <row r="1912" s="65" customFormat="1" ht="13.5" spans="1:13">
      <c r="A1912" s="66"/>
      <c r="E1912" s="72" t="s">
        <v>1987</v>
      </c>
      <c r="F1912" s="18"/>
      <c r="G1912" s="18"/>
      <c r="H1912" s="18"/>
      <c r="I1912" s="18"/>
      <c r="J1912" s="18"/>
      <c r="K1912" s="18"/>
      <c r="L1912" s="18"/>
      <c r="M1912" s="18"/>
    </row>
    <row r="1913" s="65" customFormat="1" ht="13.5" spans="1:13">
      <c r="A1913" s="66"/>
      <c r="E1913" s="72" t="s">
        <v>1988</v>
      </c>
      <c r="F1913" s="18"/>
      <c r="G1913" s="18"/>
      <c r="H1913" s="18"/>
      <c r="I1913" s="18"/>
      <c r="J1913" s="18"/>
      <c r="K1913" s="18"/>
      <c r="L1913" s="18"/>
      <c r="M1913" s="18"/>
    </row>
    <row r="1914" s="65" customFormat="1" ht="13.5" spans="1:13">
      <c r="A1914" s="66"/>
      <c r="E1914" s="72" t="s">
        <v>1989</v>
      </c>
      <c r="F1914" s="18"/>
      <c r="G1914" s="18"/>
      <c r="H1914" s="18"/>
      <c r="I1914" s="18"/>
      <c r="J1914" s="18"/>
      <c r="K1914" s="18"/>
      <c r="L1914" s="18"/>
      <c r="M1914" s="18"/>
    </row>
    <row r="1915" s="65" customFormat="1" ht="13.5" spans="1:13">
      <c r="A1915" s="66"/>
      <c r="E1915" s="72" t="s">
        <v>1990</v>
      </c>
      <c r="F1915" s="18"/>
      <c r="G1915" s="18"/>
      <c r="H1915" s="18"/>
      <c r="I1915" s="18"/>
      <c r="J1915" s="18"/>
      <c r="K1915" s="18"/>
      <c r="L1915" s="18"/>
      <c r="M1915" s="18"/>
    </row>
    <row r="1916" s="65" customFormat="1" ht="13.5" spans="1:13">
      <c r="A1916" s="66"/>
      <c r="E1916" s="72" t="s">
        <v>1991</v>
      </c>
      <c r="F1916" s="18"/>
      <c r="G1916" s="18"/>
      <c r="H1916" s="18"/>
      <c r="I1916" s="18"/>
      <c r="J1916" s="18"/>
      <c r="K1916" s="18"/>
      <c r="L1916" s="18"/>
      <c r="M1916" s="18"/>
    </row>
    <row r="1917" s="65" customFormat="1" ht="13.5" spans="1:13">
      <c r="A1917" s="66"/>
      <c r="E1917" s="72" t="s">
        <v>1992</v>
      </c>
      <c r="F1917" s="18"/>
      <c r="G1917" s="18"/>
      <c r="H1917" s="18"/>
      <c r="I1917" s="18"/>
      <c r="J1917" s="18"/>
      <c r="K1917" s="18"/>
      <c r="L1917" s="18"/>
      <c r="M1917" s="18"/>
    </row>
    <row r="1918" s="65" customFormat="1" ht="13.5" spans="1:13">
      <c r="A1918" s="66"/>
      <c r="E1918" s="72" t="s">
        <v>1993</v>
      </c>
      <c r="F1918" s="18"/>
      <c r="G1918" s="18"/>
      <c r="H1918" s="18"/>
      <c r="I1918" s="18"/>
      <c r="J1918" s="18"/>
      <c r="K1918" s="18"/>
      <c r="L1918" s="18"/>
      <c r="M1918" s="18"/>
    </row>
    <row r="1919" s="65" customFormat="1" ht="13.5" spans="1:13">
      <c r="A1919" s="66"/>
      <c r="E1919" s="72" t="s">
        <v>1994</v>
      </c>
      <c r="F1919" s="18"/>
      <c r="G1919" s="18"/>
      <c r="H1919" s="18"/>
      <c r="I1919" s="18"/>
      <c r="J1919" s="18"/>
      <c r="K1919" s="18"/>
      <c r="L1919" s="18"/>
      <c r="M1919" s="18"/>
    </row>
    <row r="1920" s="65" customFormat="1" ht="13.5" spans="1:13">
      <c r="A1920" s="66"/>
      <c r="E1920" s="72" t="s">
        <v>1995</v>
      </c>
      <c r="F1920" s="18"/>
      <c r="G1920" s="18"/>
      <c r="H1920" s="18"/>
      <c r="I1920" s="18"/>
      <c r="J1920" s="18"/>
      <c r="K1920" s="18"/>
      <c r="L1920" s="18"/>
      <c r="M1920" s="18"/>
    </row>
    <row r="1921" s="65" customFormat="1" ht="13.5" spans="1:13">
      <c r="A1921" s="66"/>
      <c r="E1921" s="72" t="s">
        <v>1996</v>
      </c>
      <c r="F1921" s="18"/>
      <c r="G1921" s="18"/>
      <c r="H1921" s="18"/>
      <c r="I1921" s="18"/>
      <c r="J1921" s="18"/>
      <c r="K1921" s="18"/>
      <c r="L1921" s="18"/>
      <c r="M1921" s="18"/>
    </row>
    <row r="1922" s="65" customFormat="1" ht="13.5" spans="1:13">
      <c r="A1922" s="66"/>
      <c r="E1922" s="72" t="s">
        <v>1997</v>
      </c>
      <c r="F1922" s="18"/>
      <c r="G1922" s="18"/>
      <c r="H1922" s="18"/>
      <c r="I1922" s="18"/>
      <c r="J1922" s="18"/>
      <c r="K1922" s="18"/>
      <c r="L1922" s="18"/>
      <c r="M1922" s="18"/>
    </row>
    <row r="1923" s="65" customFormat="1" ht="13.5" spans="1:13">
      <c r="A1923" s="66"/>
      <c r="E1923" s="72" t="s">
        <v>1998</v>
      </c>
      <c r="F1923" s="18"/>
      <c r="G1923" s="18"/>
      <c r="H1923" s="18"/>
      <c r="I1923" s="18"/>
      <c r="J1923" s="18"/>
      <c r="K1923" s="18"/>
      <c r="L1923" s="18"/>
      <c r="M1923" s="18"/>
    </row>
    <row r="1924" s="65" customFormat="1" ht="13.5" spans="1:13">
      <c r="A1924" s="66"/>
      <c r="E1924" s="72" t="s">
        <v>1999</v>
      </c>
      <c r="F1924" s="18"/>
      <c r="G1924" s="18"/>
      <c r="H1924" s="18"/>
      <c r="I1924" s="18"/>
      <c r="J1924" s="18"/>
      <c r="K1924" s="18"/>
      <c r="L1924" s="18"/>
      <c r="M1924" s="18"/>
    </row>
    <row r="1925" s="65" customFormat="1" ht="13.5" spans="1:13">
      <c r="A1925" s="66"/>
      <c r="E1925" s="72" t="s">
        <v>2000</v>
      </c>
      <c r="F1925" s="18"/>
      <c r="G1925" s="18"/>
      <c r="H1925" s="18"/>
      <c r="I1925" s="18"/>
      <c r="J1925" s="18"/>
      <c r="K1925" s="18"/>
      <c r="L1925" s="18"/>
      <c r="M1925" s="18"/>
    </row>
    <row r="1926" s="65" customFormat="1" ht="13.5" spans="1:13">
      <c r="A1926" s="66"/>
      <c r="E1926" s="72" t="s">
        <v>2001</v>
      </c>
      <c r="F1926" s="18"/>
      <c r="G1926" s="18"/>
      <c r="H1926" s="18"/>
      <c r="I1926" s="18"/>
      <c r="J1926" s="18"/>
      <c r="K1926" s="18"/>
      <c r="L1926" s="18"/>
      <c r="M1926" s="18"/>
    </row>
    <row r="1927" s="65" customFormat="1" ht="13.5" spans="1:13">
      <c r="A1927" s="66"/>
      <c r="E1927" s="72" t="s">
        <v>2002</v>
      </c>
      <c r="F1927" s="18"/>
      <c r="G1927" s="18"/>
      <c r="H1927" s="18"/>
      <c r="I1927" s="18"/>
      <c r="J1927" s="18"/>
      <c r="K1927" s="18"/>
      <c r="L1927" s="18"/>
      <c r="M1927" s="18"/>
    </row>
    <row r="1928" s="65" customFormat="1" ht="13.5" spans="1:13">
      <c r="A1928" s="66"/>
      <c r="E1928" s="72" t="s">
        <v>2003</v>
      </c>
      <c r="F1928" s="18"/>
      <c r="G1928" s="18"/>
      <c r="H1928" s="18"/>
      <c r="I1928" s="18"/>
      <c r="J1928" s="18"/>
      <c r="K1928" s="18"/>
      <c r="L1928" s="18"/>
      <c r="M1928" s="18"/>
    </row>
    <row r="1929" s="65" customFormat="1" ht="13.5" spans="1:13">
      <c r="A1929" s="66"/>
      <c r="E1929" s="72" t="s">
        <v>2004</v>
      </c>
      <c r="F1929" s="18"/>
      <c r="G1929" s="18"/>
      <c r="H1929" s="18"/>
      <c r="I1929" s="18"/>
      <c r="J1929" s="18"/>
      <c r="K1929" s="18"/>
      <c r="L1929" s="18"/>
      <c r="M1929" s="18"/>
    </row>
    <row r="1930" s="65" customFormat="1" ht="13.5" spans="1:13">
      <c r="A1930" s="66"/>
      <c r="E1930" s="72" t="s">
        <v>2005</v>
      </c>
      <c r="F1930" s="18"/>
      <c r="G1930" s="18"/>
      <c r="H1930" s="18"/>
      <c r="I1930" s="18"/>
      <c r="J1930" s="18"/>
      <c r="K1930" s="18"/>
      <c r="L1930" s="18"/>
      <c r="M1930" s="18"/>
    </row>
    <row r="1931" s="65" customFormat="1" ht="13.5" spans="1:13">
      <c r="A1931" s="66"/>
      <c r="E1931" s="72" t="s">
        <v>2006</v>
      </c>
      <c r="F1931" s="18"/>
      <c r="G1931" s="18"/>
      <c r="H1931" s="18"/>
      <c r="I1931" s="18"/>
      <c r="J1931" s="18"/>
      <c r="K1931" s="18"/>
      <c r="L1931" s="18"/>
      <c r="M1931" s="18"/>
    </row>
    <row r="1932" s="65" customFormat="1" ht="13.5" spans="1:13">
      <c r="A1932" s="66"/>
      <c r="E1932" s="72" t="s">
        <v>2007</v>
      </c>
      <c r="F1932" s="18"/>
      <c r="G1932" s="18"/>
      <c r="H1932" s="18"/>
      <c r="I1932" s="18"/>
      <c r="J1932" s="18"/>
      <c r="K1932" s="18"/>
      <c r="L1932" s="18"/>
      <c r="M1932" s="18"/>
    </row>
    <row r="1933" s="65" customFormat="1" ht="13.5" spans="1:13">
      <c r="A1933" s="66"/>
      <c r="E1933" s="72" t="s">
        <v>2008</v>
      </c>
      <c r="F1933" s="18"/>
      <c r="G1933" s="18"/>
      <c r="H1933" s="18"/>
      <c r="I1933" s="18"/>
      <c r="J1933" s="18"/>
      <c r="K1933" s="18"/>
      <c r="L1933" s="18"/>
      <c r="M1933" s="18"/>
    </row>
    <row r="1934" s="65" customFormat="1" ht="13.5" spans="1:13">
      <c r="A1934" s="66"/>
      <c r="E1934" s="72" t="s">
        <v>2009</v>
      </c>
      <c r="F1934" s="18"/>
      <c r="G1934" s="18"/>
      <c r="H1934" s="18"/>
      <c r="I1934" s="18"/>
      <c r="J1934" s="18"/>
      <c r="K1934" s="18"/>
      <c r="L1934" s="18"/>
      <c r="M1934" s="18"/>
    </row>
    <row r="1935" s="65" customFormat="1" ht="13.5" spans="1:13">
      <c r="A1935" s="66"/>
      <c r="E1935" s="72" t="s">
        <v>2010</v>
      </c>
      <c r="F1935" s="18"/>
      <c r="G1935" s="18"/>
      <c r="H1935" s="18"/>
      <c r="I1935" s="18"/>
      <c r="J1935" s="18"/>
      <c r="K1935" s="18"/>
      <c r="L1935" s="18"/>
      <c r="M1935" s="18"/>
    </row>
    <row r="1936" s="65" customFormat="1" ht="13.5" spans="1:13">
      <c r="A1936" s="66"/>
      <c r="E1936" s="72" t="s">
        <v>2011</v>
      </c>
      <c r="F1936" s="18"/>
      <c r="G1936" s="18"/>
      <c r="H1936" s="18"/>
      <c r="I1936" s="18"/>
      <c r="J1936" s="18"/>
      <c r="K1936" s="18"/>
      <c r="L1936" s="18"/>
      <c r="M1936" s="18"/>
    </row>
    <row r="1937" s="65" customFormat="1" ht="13.5" spans="1:13">
      <c r="A1937" s="66"/>
      <c r="E1937" s="72" t="s">
        <v>2012</v>
      </c>
      <c r="F1937" s="18"/>
      <c r="G1937" s="18"/>
      <c r="H1937" s="18"/>
      <c r="I1937" s="18"/>
      <c r="J1937" s="18"/>
      <c r="K1937" s="18"/>
      <c r="L1937" s="18"/>
      <c r="M1937" s="18"/>
    </row>
    <row r="1938" s="65" customFormat="1" ht="13.5" spans="1:13">
      <c r="A1938" s="66"/>
      <c r="E1938" s="72" t="s">
        <v>2013</v>
      </c>
      <c r="F1938" s="18"/>
      <c r="G1938" s="18"/>
      <c r="H1938" s="18"/>
      <c r="I1938" s="18"/>
      <c r="J1938" s="18"/>
      <c r="K1938" s="18"/>
      <c r="L1938" s="18"/>
      <c r="M1938" s="18"/>
    </row>
    <row r="1939" s="65" customFormat="1" ht="13.5" spans="1:13">
      <c r="A1939" s="66"/>
      <c r="E1939" s="72" t="s">
        <v>2014</v>
      </c>
      <c r="F1939" s="18"/>
      <c r="G1939" s="18"/>
      <c r="H1939" s="18"/>
      <c r="I1939" s="18"/>
      <c r="J1939" s="18"/>
      <c r="K1939" s="18"/>
      <c r="L1939" s="18"/>
      <c r="M1939" s="18"/>
    </row>
    <row r="1940" s="65" customFormat="1" ht="13.5" spans="1:13">
      <c r="A1940" s="66"/>
      <c r="E1940" s="72" t="s">
        <v>2015</v>
      </c>
      <c r="F1940" s="18"/>
      <c r="G1940" s="18"/>
      <c r="H1940" s="18"/>
      <c r="I1940" s="18"/>
      <c r="J1940" s="18"/>
      <c r="K1940" s="18"/>
      <c r="L1940" s="18"/>
      <c r="M1940" s="18"/>
    </row>
    <row r="1941" s="65" customFormat="1" ht="13.5" spans="1:13">
      <c r="A1941" s="66"/>
      <c r="E1941" s="72" t="s">
        <v>2016</v>
      </c>
      <c r="F1941" s="18"/>
      <c r="G1941" s="18"/>
      <c r="H1941" s="18"/>
      <c r="I1941" s="18"/>
      <c r="J1941" s="18"/>
      <c r="K1941" s="18"/>
      <c r="L1941" s="18"/>
      <c r="M1941" s="18"/>
    </row>
    <row r="1942" s="65" customFormat="1" ht="13.5" spans="1:13">
      <c r="A1942" s="66"/>
      <c r="E1942" s="72" t="s">
        <v>2017</v>
      </c>
      <c r="F1942" s="18"/>
      <c r="G1942" s="18"/>
      <c r="H1942" s="18"/>
      <c r="I1942" s="18"/>
      <c r="J1942" s="18"/>
      <c r="K1942" s="18"/>
      <c r="L1942" s="18"/>
      <c r="M1942" s="18"/>
    </row>
    <row r="1943" s="65" customFormat="1" ht="13.5" spans="1:13">
      <c r="A1943" s="66"/>
      <c r="E1943" s="72" t="s">
        <v>2018</v>
      </c>
      <c r="F1943" s="18"/>
      <c r="G1943" s="18"/>
      <c r="H1943" s="18"/>
      <c r="I1943" s="18"/>
      <c r="J1943" s="18"/>
      <c r="K1943" s="18"/>
      <c r="L1943" s="18"/>
      <c r="M1943" s="18"/>
    </row>
    <row r="1944" s="65" customFormat="1" ht="13.5" spans="1:13">
      <c r="A1944" s="66"/>
      <c r="E1944" s="72" t="s">
        <v>2019</v>
      </c>
      <c r="F1944" s="18"/>
      <c r="G1944" s="18"/>
      <c r="H1944" s="18"/>
      <c r="I1944" s="18"/>
      <c r="J1944" s="18"/>
      <c r="K1944" s="18"/>
      <c r="L1944" s="18"/>
      <c r="M1944" s="18"/>
    </row>
    <row r="1945" s="65" customFormat="1" ht="13.5" spans="1:13">
      <c r="A1945" s="66"/>
      <c r="E1945" s="72" t="s">
        <v>2020</v>
      </c>
      <c r="F1945" s="18"/>
      <c r="G1945" s="18"/>
      <c r="H1945" s="18"/>
      <c r="I1945" s="18"/>
      <c r="J1945" s="18"/>
      <c r="K1945" s="18"/>
      <c r="L1945" s="18"/>
      <c r="M1945" s="18"/>
    </row>
    <row r="1946" s="65" customFormat="1" ht="13.5" spans="1:13">
      <c r="A1946" s="66"/>
      <c r="E1946" s="72" t="s">
        <v>2021</v>
      </c>
      <c r="F1946" s="18"/>
      <c r="G1946" s="18"/>
      <c r="H1946" s="18"/>
      <c r="I1946" s="18"/>
      <c r="J1946" s="18"/>
      <c r="K1946" s="18"/>
      <c r="L1946" s="18"/>
      <c r="M1946" s="18"/>
    </row>
    <row r="1947" s="65" customFormat="1" ht="13.5" spans="1:13">
      <c r="A1947" s="66"/>
      <c r="E1947" s="72" t="s">
        <v>2022</v>
      </c>
      <c r="F1947" s="18"/>
      <c r="G1947" s="18"/>
      <c r="H1947" s="18"/>
      <c r="I1947" s="18"/>
      <c r="J1947" s="18"/>
      <c r="K1947" s="18"/>
      <c r="L1947" s="18"/>
      <c r="M1947" s="18"/>
    </row>
    <row r="1948" s="65" customFormat="1" ht="13.5" spans="1:13">
      <c r="A1948" s="66"/>
      <c r="E1948" s="72" t="s">
        <v>2023</v>
      </c>
      <c r="F1948" s="18"/>
      <c r="G1948" s="18"/>
      <c r="H1948" s="18"/>
      <c r="I1948" s="18"/>
      <c r="J1948" s="18"/>
      <c r="K1948" s="18"/>
      <c r="L1948" s="18"/>
      <c r="M1948" s="18"/>
    </row>
    <row r="1949" s="65" customFormat="1" ht="13.5" spans="1:13">
      <c r="A1949" s="66"/>
      <c r="E1949" s="72" t="s">
        <v>2024</v>
      </c>
      <c r="F1949" s="18"/>
      <c r="G1949" s="18"/>
      <c r="H1949" s="18"/>
      <c r="I1949" s="18"/>
      <c r="J1949" s="18"/>
      <c r="K1949" s="18"/>
      <c r="L1949" s="18"/>
      <c r="M1949" s="18"/>
    </row>
    <row r="1950" s="65" customFormat="1" ht="13.5" spans="1:13">
      <c r="A1950" s="66"/>
      <c r="E1950" s="72" t="s">
        <v>2025</v>
      </c>
      <c r="F1950" s="18"/>
      <c r="G1950" s="18"/>
      <c r="H1950" s="18"/>
      <c r="I1950" s="18"/>
      <c r="J1950" s="18"/>
      <c r="K1950" s="18"/>
      <c r="L1950" s="18"/>
      <c r="M1950" s="18"/>
    </row>
    <row r="1951" s="65" customFormat="1" ht="13.5" spans="1:13">
      <c r="A1951" s="66"/>
      <c r="E1951" s="72" t="s">
        <v>2026</v>
      </c>
      <c r="F1951" s="18"/>
      <c r="G1951" s="18"/>
      <c r="H1951" s="18"/>
      <c r="I1951" s="18"/>
      <c r="J1951" s="18"/>
      <c r="K1951" s="18"/>
      <c r="L1951" s="18"/>
      <c r="M1951" s="18"/>
    </row>
    <row r="1952" s="65" customFormat="1" ht="13.5" spans="1:13">
      <c r="A1952" s="66"/>
      <c r="E1952" s="72" t="s">
        <v>2027</v>
      </c>
      <c r="F1952" s="18"/>
      <c r="G1952" s="18"/>
      <c r="H1952" s="18"/>
      <c r="I1952" s="18"/>
      <c r="J1952" s="18"/>
      <c r="K1952" s="18"/>
      <c r="L1952" s="18"/>
      <c r="M1952" s="18"/>
    </row>
    <row r="1953" s="65" customFormat="1" ht="13.5" spans="1:13">
      <c r="A1953" s="66"/>
      <c r="E1953" s="72" t="s">
        <v>2028</v>
      </c>
      <c r="F1953" s="18"/>
      <c r="G1953" s="18"/>
      <c r="H1953" s="18"/>
      <c r="I1953" s="18"/>
      <c r="J1953" s="18"/>
      <c r="K1953" s="18"/>
      <c r="L1953" s="18"/>
      <c r="M1953" s="18"/>
    </row>
    <row r="1954" s="65" customFormat="1" ht="13.5" spans="1:13">
      <c r="A1954" s="66"/>
      <c r="E1954" s="72" t="s">
        <v>2029</v>
      </c>
      <c r="F1954" s="18"/>
      <c r="G1954" s="18"/>
      <c r="H1954" s="18"/>
      <c r="I1954" s="18"/>
      <c r="J1954" s="18"/>
      <c r="K1954" s="18"/>
      <c r="L1954" s="18"/>
      <c r="M1954" s="18"/>
    </row>
    <row r="1955" s="65" customFormat="1" ht="13.5" spans="1:13">
      <c r="A1955" s="66"/>
      <c r="E1955" s="72" t="s">
        <v>2030</v>
      </c>
      <c r="F1955" s="18"/>
      <c r="G1955" s="18"/>
      <c r="H1955" s="18"/>
      <c r="I1955" s="18"/>
      <c r="J1955" s="18"/>
      <c r="K1955" s="18"/>
      <c r="L1955" s="18"/>
      <c r="M1955" s="18"/>
    </row>
    <row r="1956" s="65" customFormat="1" ht="13.5" spans="1:13">
      <c r="A1956" s="66"/>
      <c r="E1956" s="72" t="s">
        <v>2031</v>
      </c>
      <c r="F1956" s="18"/>
      <c r="G1956" s="18"/>
      <c r="H1956" s="18"/>
      <c r="I1956" s="18"/>
      <c r="J1956" s="18"/>
      <c r="K1956" s="18"/>
      <c r="L1956" s="18"/>
      <c r="M1956" s="18"/>
    </row>
    <row r="1957" s="65" customFormat="1" ht="13.5" spans="1:13">
      <c r="A1957" s="66"/>
      <c r="E1957" s="72" t="s">
        <v>2032</v>
      </c>
      <c r="F1957" s="18"/>
      <c r="G1957" s="18"/>
      <c r="H1957" s="18"/>
      <c r="I1957" s="18"/>
      <c r="J1957" s="18"/>
      <c r="K1957" s="18"/>
      <c r="L1957" s="18"/>
      <c r="M1957" s="18"/>
    </row>
    <row r="1958" s="65" customFormat="1" ht="13.5" spans="1:13">
      <c r="A1958" s="66"/>
      <c r="E1958" s="72" t="s">
        <v>2033</v>
      </c>
      <c r="F1958" s="18"/>
      <c r="G1958" s="18"/>
      <c r="H1958" s="18"/>
      <c r="I1958" s="18"/>
      <c r="J1958" s="18"/>
      <c r="K1958" s="18"/>
      <c r="L1958" s="18"/>
      <c r="M1958" s="18"/>
    </row>
    <row r="1959" s="65" customFormat="1" ht="13.5" spans="1:13">
      <c r="A1959" s="66"/>
      <c r="E1959" s="72" t="s">
        <v>2034</v>
      </c>
      <c r="F1959" s="18"/>
      <c r="G1959" s="18"/>
      <c r="H1959" s="18"/>
      <c r="I1959" s="18"/>
      <c r="J1959" s="18"/>
      <c r="K1959" s="18"/>
      <c r="L1959" s="18"/>
      <c r="M1959" s="18"/>
    </row>
    <row r="1960" s="65" customFormat="1" ht="13.5" spans="1:13">
      <c r="A1960" s="66"/>
      <c r="E1960" s="72" t="s">
        <v>2035</v>
      </c>
      <c r="F1960" s="18"/>
      <c r="G1960" s="18"/>
      <c r="H1960" s="18"/>
      <c r="I1960" s="18"/>
      <c r="J1960" s="18"/>
      <c r="K1960" s="18"/>
      <c r="L1960" s="18"/>
      <c r="M1960" s="18"/>
    </row>
    <row r="1961" s="65" customFormat="1" ht="13.5" spans="1:13">
      <c r="A1961" s="66"/>
      <c r="E1961" s="72" t="s">
        <v>2036</v>
      </c>
      <c r="F1961" s="18"/>
      <c r="G1961" s="18"/>
      <c r="H1961" s="18"/>
      <c r="I1961" s="18"/>
      <c r="J1961" s="18"/>
      <c r="K1961" s="18"/>
      <c r="L1961" s="18"/>
      <c r="M1961" s="18"/>
    </row>
    <row r="1962" s="65" customFormat="1" ht="13.5" spans="1:13">
      <c r="A1962" s="66"/>
      <c r="E1962" s="72" t="s">
        <v>2037</v>
      </c>
      <c r="F1962" s="18"/>
      <c r="G1962" s="18"/>
      <c r="H1962" s="18"/>
      <c r="I1962" s="18"/>
      <c r="J1962" s="18"/>
      <c r="K1962" s="18"/>
      <c r="L1962" s="18"/>
      <c r="M1962" s="18"/>
    </row>
    <row r="1963" s="65" customFormat="1" ht="13.5" spans="1:13">
      <c r="A1963" s="66"/>
      <c r="E1963" s="72" t="s">
        <v>2038</v>
      </c>
      <c r="F1963" s="18"/>
      <c r="G1963" s="18"/>
      <c r="H1963" s="18"/>
      <c r="I1963" s="18"/>
      <c r="J1963" s="18"/>
      <c r="K1963" s="18"/>
      <c r="L1963" s="18"/>
      <c r="M1963" s="18"/>
    </row>
    <row r="1964" s="65" customFormat="1" ht="13.5" spans="1:13">
      <c r="A1964" s="66"/>
      <c r="E1964" s="72" t="s">
        <v>2039</v>
      </c>
      <c r="F1964" s="18"/>
      <c r="G1964" s="18"/>
      <c r="H1964" s="18"/>
      <c r="I1964" s="18"/>
      <c r="J1964" s="18"/>
      <c r="K1964" s="18"/>
      <c r="L1964" s="18"/>
      <c r="M1964" s="18"/>
    </row>
    <row r="1965" s="65" customFormat="1" ht="13.5" spans="1:13">
      <c r="A1965" s="66"/>
      <c r="E1965" s="72" t="s">
        <v>2040</v>
      </c>
      <c r="F1965" s="18"/>
      <c r="G1965" s="18"/>
      <c r="H1965" s="18"/>
      <c r="I1965" s="18"/>
      <c r="J1965" s="18"/>
      <c r="K1965" s="18"/>
      <c r="L1965" s="18"/>
      <c r="M1965" s="18"/>
    </row>
    <row r="1966" s="65" customFormat="1" ht="13.5" spans="1:13">
      <c r="A1966" s="66"/>
      <c r="E1966" s="72" t="s">
        <v>2041</v>
      </c>
      <c r="F1966" s="18"/>
      <c r="G1966" s="18"/>
      <c r="H1966" s="18"/>
      <c r="I1966" s="18"/>
      <c r="J1966" s="18"/>
      <c r="K1966" s="18"/>
      <c r="L1966" s="18"/>
      <c r="M1966" s="18"/>
    </row>
    <row r="1967" s="65" customFormat="1" ht="13.5" spans="1:13">
      <c r="A1967" s="66"/>
      <c r="E1967" s="72" t="s">
        <v>2042</v>
      </c>
      <c r="F1967" s="18"/>
      <c r="G1967" s="18"/>
      <c r="H1967" s="18"/>
      <c r="I1967" s="18"/>
      <c r="J1967" s="18"/>
      <c r="K1967" s="18"/>
      <c r="L1967" s="18"/>
      <c r="M1967" s="18"/>
    </row>
    <row r="1968" s="65" customFormat="1" ht="13.5" spans="1:13">
      <c r="A1968" s="66"/>
      <c r="E1968" s="72" t="s">
        <v>2043</v>
      </c>
      <c r="F1968" s="18"/>
      <c r="G1968" s="18"/>
      <c r="H1968" s="18"/>
      <c r="I1968" s="18"/>
      <c r="J1968" s="18"/>
      <c r="K1968" s="18"/>
      <c r="L1968" s="18"/>
      <c r="M1968" s="18"/>
    </row>
    <row r="1969" s="65" customFormat="1" ht="13.5" spans="1:13">
      <c r="A1969" s="66"/>
      <c r="E1969" s="72" t="s">
        <v>2044</v>
      </c>
      <c r="F1969" s="18"/>
      <c r="G1969" s="18"/>
      <c r="H1969" s="18"/>
      <c r="I1969" s="18"/>
      <c r="J1969" s="18"/>
      <c r="K1969" s="18"/>
      <c r="L1969" s="18"/>
      <c r="M1969" s="18"/>
    </row>
    <row r="1970" s="65" customFormat="1" ht="13.5" spans="1:13">
      <c r="A1970" s="66"/>
      <c r="E1970" s="72" t="s">
        <v>2045</v>
      </c>
      <c r="F1970" s="18"/>
      <c r="G1970" s="18"/>
      <c r="H1970" s="18"/>
      <c r="I1970" s="18"/>
      <c r="J1970" s="18"/>
      <c r="K1970" s="18"/>
      <c r="L1970" s="18"/>
      <c r="M1970" s="18"/>
    </row>
    <row r="1971" s="65" customFormat="1" ht="13.5" spans="1:13">
      <c r="A1971" s="66"/>
      <c r="E1971" s="72" t="s">
        <v>2046</v>
      </c>
      <c r="F1971" s="18"/>
      <c r="G1971" s="18"/>
      <c r="H1971" s="18"/>
      <c r="I1971" s="18"/>
      <c r="J1971" s="18"/>
      <c r="K1971" s="18"/>
      <c r="L1971" s="18"/>
      <c r="M1971" s="18"/>
    </row>
    <row r="1972" s="65" customFormat="1" ht="13.5" spans="1:13">
      <c r="A1972" s="66"/>
      <c r="E1972" s="72" t="s">
        <v>2047</v>
      </c>
      <c r="F1972" s="18"/>
      <c r="G1972" s="18"/>
      <c r="H1972" s="18"/>
      <c r="I1972" s="18"/>
      <c r="J1972" s="18"/>
      <c r="K1972" s="18"/>
      <c r="L1972" s="18"/>
      <c r="M1972" s="18"/>
    </row>
    <row r="1973" s="65" customFormat="1" ht="13.5" spans="1:13">
      <c r="A1973" s="66"/>
      <c r="E1973" s="72" t="s">
        <v>2048</v>
      </c>
      <c r="F1973" s="18"/>
      <c r="G1973" s="18"/>
      <c r="H1973" s="18"/>
      <c r="I1973" s="18"/>
      <c r="J1973" s="18"/>
      <c r="K1973" s="18"/>
      <c r="L1973" s="18"/>
      <c r="M1973" s="18"/>
    </row>
    <row r="1974" s="65" customFormat="1" ht="13.5" spans="1:13">
      <c r="A1974" s="66"/>
      <c r="E1974" s="72" t="s">
        <v>2049</v>
      </c>
      <c r="F1974" s="18"/>
      <c r="G1974" s="18"/>
      <c r="H1974" s="18"/>
      <c r="I1974" s="18"/>
      <c r="J1974" s="18"/>
      <c r="K1974" s="18"/>
      <c r="L1974" s="18"/>
      <c r="M1974" s="18"/>
    </row>
    <row r="1975" s="65" customFormat="1" ht="13.5" spans="1:13">
      <c r="A1975" s="66"/>
      <c r="E1975" s="72" t="s">
        <v>2050</v>
      </c>
      <c r="F1975" s="18"/>
      <c r="G1975" s="18"/>
      <c r="H1975" s="18"/>
      <c r="I1975" s="18"/>
      <c r="J1975" s="18"/>
      <c r="K1975" s="18"/>
      <c r="L1975" s="18"/>
      <c r="M1975" s="18"/>
    </row>
    <row r="1976" s="65" customFormat="1" ht="13.5" spans="1:13">
      <c r="A1976" s="66"/>
      <c r="E1976" s="72" t="s">
        <v>2051</v>
      </c>
      <c r="F1976" s="18"/>
      <c r="G1976" s="18"/>
      <c r="H1976" s="18"/>
      <c r="I1976" s="18"/>
      <c r="J1976" s="18"/>
      <c r="K1976" s="18"/>
      <c r="L1976" s="18"/>
      <c r="M1976" s="18"/>
    </row>
    <row r="1977" s="65" customFormat="1" ht="13.5" spans="1:13">
      <c r="A1977" s="66"/>
      <c r="E1977" s="72" t="s">
        <v>2052</v>
      </c>
      <c r="F1977" s="18"/>
      <c r="G1977" s="18"/>
      <c r="H1977" s="18"/>
      <c r="I1977" s="18"/>
      <c r="J1977" s="18"/>
      <c r="K1977" s="18"/>
      <c r="L1977" s="18"/>
      <c r="M1977" s="18"/>
    </row>
    <row r="1978" s="65" customFormat="1" ht="13.5" spans="1:13">
      <c r="A1978" s="66"/>
      <c r="E1978" s="72" t="s">
        <v>2053</v>
      </c>
      <c r="F1978" s="18"/>
      <c r="G1978" s="18"/>
      <c r="H1978" s="18"/>
      <c r="I1978" s="18"/>
      <c r="J1978" s="18"/>
      <c r="K1978" s="18"/>
      <c r="L1978" s="18"/>
      <c r="M1978" s="18"/>
    </row>
    <row r="1979" s="65" customFormat="1" ht="13.5" spans="1:13">
      <c r="A1979" s="66"/>
      <c r="E1979" s="72" t="s">
        <v>2054</v>
      </c>
      <c r="F1979" s="18"/>
      <c r="G1979" s="18"/>
      <c r="H1979" s="18"/>
      <c r="I1979" s="18"/>
      <c r="J1979" s="18"/>
      <c r="K1979" s="18"/>
      <c r="L1979" s="18"/>
      <c r="M1979" s="18"/>
    </row>
    <row r="1980" s="65" customFormat="1" ht="13.5" spans="1:13">
      <c r="A1980" s="66"/>
      <c r="E1980" s="72" t="s">
        <v>2055</v>
      </c>
      <c r="F1980" s="18"/>
      <c r="G1980" s="18"/>
      <c r="H1980" s="18"/>
      <c r="I1980" s="18"/>
      <c r="J1980" s="18"/>
      <c r="K1980" s="18"/>
      <c r="L1980" s="18"/>
      <c r="M1980" s="18"/>
    </row>
    <row r="1981" s="65" customFormat="1" ht="13.5" spans="1:13">
      <c r="A1981" s="66"/>
      <c r="E1981" s="72" t="s">
        <v>2056</v>
      </c>
      <c r="F1981" s="18"/>
      <c r="G1981" s="18"/>
      <c r="H1981" s="18"/>
      <c r="I1981" s="18"/>
      <c r="J1981" s="18"/>
      <c r="K1981" s="18"/>
      <c r="L1981" s="18"/>
      <c r="M1981" s="18"/>
    </row>
    <row r="1982" s="65" customFormat="1" ht="13.5" spans="1:13">
      <c r="A1982" s="66"/>
      <c r="E1982" s="72" t="s">
        <v>2057</v>
      </c>
      <c r="F1982" s="18"/>
      <c r="G1982" s="18"/>
      <c r="H1982" s="18"/>
      <c r="I1982" s="18"/>
      <c r="J1982" s="18"/>
      <c r="K1982" s="18"/>
      <c r="L1982" s="18"/>
      <c r="M1982" s="18"/>
    </row>
    <row r="1983" s="65" customFormat="1" ht="13.5" spans="1:13">
      <c r="A1983" s="66"/>
      <c r="E1983" s="72" t="s">
        <v>2058</v>
      </c>
      <c r="F1983" s="18"/>
      <c r="G1983" s="18"/>
      <c r="H1983" s="18"/>
      <c r="I1983" s="18"/>
      <c r="J1983" s="18"/>
      <c r="K1983" s="18"/>
      <c r="L1983" s="18"/>
      <c r="M1983" s="18"/>
    </row>
    <row r="1984" s="65" customFormat="1" ht="13.5" spans="1:13">
      <c r="A1984" s="66"/>
      <c r="E1984" s="72" t="s">
        <v>2059</v>
      </c>
      <c r="F1984" s="18"/>
      <c r="G1984" s="18"/>
      <c r="H1984" s="18"/>
      <c r="I1984" s="18"/>
      <c r="J1984" s="18"/>
      <c r="K1984" s="18"/>
      <c r="L1984" s="18"/>
      <c r="M1984" s="18"/>
    </row>
    <row r="1985" s="65" customFormat="1" ht="13.5" spans="1:13">
      <c r="A1985" s="66"/>
      <c r="E1985" s="72" t="s">
        <v>2060</v>
      </c>
      <c r="F1985" s="18"/>
      <c r="G1985" s="18"/>
      <c r="H1985" s="18"/>
      <c r="I1985" s="18"/>
      <c r="J1985" s="18"/>
      <c r="K1985" s="18"/>
      <c r="L1985" s="18"/>
      <c r="M1985" s="18"/>
    </row>
    <row r="1986" s="65" customFormat="1" ht="13.5" spans="1:13">
      <c r="A1986" s="66"/>
      <c r="E1986" s="72" t="s">
        <v>2061</v>
      </c>
      <c r="F1986" s="18"/>
      <c r="G1986" s="18"/>
      <c r="H1986" s="18"/>
      <c r="I1986" s="18"/>
      <c r="J1986" s="18"/>
      <c r="K1986" s="18"/>
      <c r="L1986" s="18"/>
      <c r="M1986" s="18"/>
    </row>
    <row r="1987" s="65" customFormat="1" ht="13.5" spans="1:13">
      <c r="A1987" s="66"/>
      <c r="E1987" s="72" t="s">
        <v>2062</v>
      </c>
      <c r="F1987" s="18"/>
      <c r="G1987" s="18"/>
      <c r="H1987" s="18"/>
      <c r="I1987" s="18"/>
      <c r="J1987" s="18"/>
      <c r="K1987" s="18"/>
      <c r="L1987" s="18"/>
      <c r="M1987" s="18"/>
    </row>
    <row r="1988" s="65" customFormat="1" ht="13.5" spans="1:13">
      <c r="A1988" s="66"/>
      <c r="E1988" s="72" t="s">
        <v>2063</v>
      </c>
      <c r="F1988" s="18"/>
      <c r="G1988" s="18"/>
      <c r="H1988" s="18"/>
      <c r="I1988" s="18"/>
      <c r="J1988" s="18"/>
      <c r="K1988" s="18"/>
      <c r="L1988" s="18"/>
      <c r="M1988" s="18"/>
    </row>
    <row r="1989" s="65" customFormat="1" ht="13.5" spans="1:13">
      <c r="A1989" s="66"/>
      <c r="E1989" s="72" t="s">
        <v>2064</v>
      </c>
      <c r="F1989" s="18"/>
      <c r="G1989" s="18"/>
      <c r="H1989" s="18"/>
      <c r="I1989" s="18"/>
      <c r="J1989" s="18"/>
      <c r="K1989" s="18"/>
      <c r="L1989" s="18"/>
      <c r="M1989" s="18"/>
    </row>
    <row r="1990" s="65" customFormat="1" ht="13.5" spans="1:13">
      <c r="A1990" s="66"/>
      <c r="E1990" s="72" t="s">
        <v>2065</v>
      </c>
      <c r="F1990" s="18"/>
      <c r="G1990" s="18"/>
      <c r="H1990" s="18"/>
      <c r="I1990" s="18"/>
      <c r="J1990" s="18"/>
      <c r="K1990" s="18"/>
      <c r="L1990" s="18"/>
      <c r="M1990" s="18"/>
    </row>
    <row r="1991" s="65" customFormat="1" ht="13.5" spans="1:13">
      <c r="A1991" s="66"/>
      <c r="E1991" s="72" t="s">
        <v>2066</v>
      </c>
      <c r="F1991" s="18"/>
      <c r="G1991" s="18"/>
      <c r="H1991" s="18"/>
      <c r="I1991" s="18"/>
      <c r="J1991" s="18"/>
      <c r="K1991" s="18"/>
      <c r="L1991" s="18"/>
      <c r="M1991" s="18"/>
    </row>
    <row r="1992" s="65" customFormat="1" ht="13.5" spans="1:13">
      <c r="A1992" s="66"/>
      <c r="E1992" s="72" t="s">
        <v>2067</v>
      </c>
      <c r="F1992" s="18"/>
      <c r="G1992" s="18"/>
      <c r="H1992" s="18"/>
      <c r="I1992" s="18"/>
      <c r="J1992" s="18"/>
      <c r="K1992" s="18"/>
      <c r="L1992" s="18"/>
      <c r="M1992" s="18"/>
    </row>
    <row r="1993" s="65" customFormat="1" ht="13.5" spans="1:13">
      <c r="A1993" s="66"/>
      <c r="E1993" s="72" t="s">
        <v>2068</v>
      </c>
      <c r="F1993" s="18"/>
      <c r="G1993" s="18"/>
      <c r="H1993" s="18"/>
      <c r="I1993" s="18"/>
      <c r="J1993" s="18"/>
      <c r="K1993" s="18"/>
      <c r="L1993" s="18"/>
      <c r="M1993" s="18"/>
    </row>
    <row r="1994" s="65" customFormat="1" ht="13.5" spans="1:13">
      <c r="A1994" s="66"/>
      <c r="E1994" s="72" t="s">
        <v>2069</v>
      </c>
      <c r="F1994" s="18"/>
      <c r="G1994" s="18"/>
      <c r="H1994" s="18"/>
      <c r="I1994" s="18"/>
      <c r="J1994" s="18"/>
      <c r="K1994" s="18"/>
      <c r="L1994" s="18"/>
      <c r="M1994" s="18"/>
    </row>
    <row r="1995" s="65" customFormat="1" ht="13.5" spans="1:13">
      <c r="A1995" s="66"/>
      <c r="E1995" s="72" t="s">
        <v>2070</v>
      </c>
      <c r="F1995" s="18"/>
      <c r="G1995" s="18"/>
      <c r="H1995" s="18"/>
      <c r="I1995" s="18"/>
      <c r="J1995" s="18"/>
      <c r="K1995" s="18"/>
      <c r="L1995" s="18"/>
      <c r="M1995" s="18"/>
    </row>
    <row r="1996" s="65" customFormat="1" ht="13.5" spans="1:13">
      <c r="A1996" s="66"/>
      <c r="E1996" s="72" t="s">
        <v>2071</v>
      </c>
      <c r="F1996" s="18"/>
      <c r="G1996" s="18"/>
      <c r="H1996" s="18"/>
      <c r="I1996" s="18"/>
      <c r="J1996" s="18"/>
      <c r="K1996" s="18"/>
      <c r="L1996" s="18"/>
      <c r="M1996" s="18"/>
    </row>
    <row r="1997" s="65" customFormat="1" ht="13.5" spans="1:13">
      <c r="A1997" s="66"/>
      <c r="E1997" s="72" t="s">
        <v>2072</v>
      </c>
      <c r="F1997" s="18"/>
      <c r="G1997" s="18"/>
      <c r="H1997" s="18"/>
      <c r="I1997" s="18"/>
      <c r="J1997" s="18"/>
      <c r="K1997" s="18"/>
      <c r="L1997" s="18"/>
      <c r="M1997" s="18"/>
    </row>
    <row r="1998" s="65" customFormat="1" ht="13.5" spans="1:13">
      <c r="A1998" s="66"/>
      <c r="E1998" s="72" t="s">
        <v>2073</v>
      </c>
      <c r="F1998" s="18"/>
      <c r="G1998" s="18"/>
      <c r="H1998" s="18"/>
      <c r="I1998" s="18"/>
      <c r="J1998" s="18"/>
      <c r="K1998" s="18"/>
      <c r="L1998" s="18"/>
      <c r="M1998" s="18"/>
    </row>
    <row r="1999" s="65" customFormat="1" ht="13.5" spans="1:13">
      <c r="A1999" s="66"/>
      <c r="E1999" s="72" t="s">
        <v>2074</v>
      </c>
      <c r="F1999" s="18"/>
      <c r="G1999" s="18"/>
      <c r="H1999" s="18"/>
      <c r="I1999" s="18"/>
      <c r="J1999" s="18"/>
      <c r="K1999" s="18"/>
      <c r="L1999" s="18"/>
      <c r="M1999" s="18"/>
    </row>
    <row r="2000" s="65" customFormat="1" ht="13.5" spans="1:13">
      <c r="A2000" s="66"/>
      <c r="E2000" s="72" t="s">
        <v>2075</v>
      </c>
      <c r="F2000" s="18"/>
      <c r="G2000" s="18"/>
      <c r="H2000" s="18"/>
      <c r="I2000" s="18"/>
      <c r="J2000" s="18"/>
      <c r="K2000" s="18"/>
      <c r="L2000" s="18"/>
      <c r="M2000" s="18"/>
    </row>
    <row r="2001" s="65" customFormat="1" ht="13.5" spans="1:13">
      <c r="A2001" s="66"/>
      <c r="E2001" s="72" t="s">
        <v>2076</v>
      </c>
      <c r="F2001" s="18"/>
      <c r="G2001" s="18"/>
      <c r="H2001" s="18"/>
      <c r="I2001" s="18"/>
      <c r="J2001" s="18"/>
      <c r="K2001" s="18"/>
      <c r="L2001" s="18"/>
      <c r="M2001" s="18"/>
    </row>
    <row r="2002" s="65" customFormat="1" ht="13.5" spans="1:13">
      <c r="A2002" s="66"/>
      <c r="E2002" s="72" t="s">
        <v>2077</v>
      </c>
      <c r="F2002" s="18"/>
      <c r="G2002" s="18"/>
      <c r="H2002" s="18"/>
      <c r="I2002" s="18"/>
      <c r="J2002" s="18"/>
      <c r="K2002" s="18"/>
      <c r="L2002" s="18"/>
      <c r="M2002" s="18"/>
    </row>
    <row r="2003" s="65" customFormat="1" ht="13.5" spans="1:13">
      <c r="A2003" s="66"/>
      <c r="E2003" s="72" t="s">
        <v>2078</v>
      </c>
      <c r="F2003" s="18"/>
      <c r="G2003" s="18"/>
      <c r="H2003" s="18"/>
      <c r="I2003" s="18"/>
      <c r="J2003" s="18"/>
      <c r="K2003" s="18"/>
      <c r="L2003" s="18"/>
      <c r="M2003" s="18"/>
    </row>
    <row r="2004" s="65" customFormat="1" ht="13.5" spans="1:13">
      <c r="A2004" s="66"/>
      <c r="E2004" s="72" t="s">
        <v>2079</v>
      </c>
      <c r="F2004" s="18"/>
      <c r="G2004" s="18"/>
      <c r="H2004" s="18"/>
      <c r="I2004" s="18"/>
      <c r="J2004" s="18"/>
      <c r="K2004" s="18"/>
      <c r="L2004" s="18"/>
      <c r="M2004" s="18"/>
    </row>
    <row r="2005" s="65" customFormat="1" ht="13.5" spans="1:13">
      <c r="A2005" s="66"/>
      <c r="E2005" s="72" t="s">
        <v>2080</v>
      </c>
      <c r="F2005" s="18"/>
      <c r="G2005" s="18"/>
      <c r="H2005" s="18"/>
      <c r="I2005" s="18"/>
      <c r="J2005" s="18"/>
      <c r="K2005" s="18"/>
      <c r="L2005" s="18"/>
      <c r="M2005" s="18"/>
    </row>
    <row r="2006" s="65" customFormat="1" ht="13.5" spans="1:13">
      <c r="A2006" s="66"/>
      <c r="E2006" s="72" t="s">
        <v>2081</v>
      </c>
      <c r="F2006" s="18"/>
      <c r="G2006" s="18"/>
      <c r="H2006" s="18"/>
      <c r="I2006" s="18"/>
      <c r="J2006" s="18"/>
      <c r="K2006" s="18"/>
      <c r="L2006" s="18"/>
      <c r="M2006" s="18"/>
    </row>
    <row r="2007" s="65" customFormat="1" ht="13.5" spans="1:13">
      <c r="A2007" s="66"/>
      <c r="E2007" s="72" t="s">
        <v>2082</v>
      </c>
      <c r="F2007" s="18"/>
      <c r="G2007" s="18"/>
      <c r="H2007" s="18"/>
      <c r="I2007" s="18"/>
      <c r="J2007" s="18"/>
      <c r="K2007" s="18"/>
      <c r="L2007" s="18"/>
      <c r="M2007" s="18"/>
    </row>
    <row r="2008" s="65" customFormat="1" ht="13.5" spans="1:13">
      <c r="A2008" s="66"/>
      <c r="E2008" s="72" t="s">
        <v>2083</v>
      </c>
      <c r="F2008" s="18"/>
      <c r="G2008" s="18"/>
      <c r="H2008" s="18"/>
      <c r="I2008" s="18"/>
      <c r="J2008" s="18"/>
      <c r="K2008" s="18"/>
      <c r="L2008" s="18"/>
      <c r="M2008" s="18"/>
    </row>
    <row r="2009" s="65" customFormat="1" ht="13.5" spans="1:13">
      <c r="A2009" s="66"/>
      <c r="E2009" s="72" t="s">
        <v>2084</v>
      </c>
      <c r="F2009" s="18"/>
      <c r="G2009" s="18"/>
      <c r="H2009" s="18"/>
      <c r="I2009" s="18"/>
      <c r="J2009" s="18"/>
      <c r="K2009" s="18"/>
      <c r="L2009" s="18"/>
      <c r="M2009" s="18"/>
    </row>
    <row r="2010" s="65" customFormat="1" ht="13.5" spans="1:13">
      <c r="A2010" s="66"/>
      <c r="E2010" s="72" t="s">
        <v>2085</v>
      </c>
      <c r="F2010" s="18"/>
      <c r="G2010" s="18"/>
      <c r="H2010" s="18"/>
      <c r="I2010" s="18"/>
      <c r="J2010" s="18"/>
      <c r="K2010" s="18"/>
      <c r="L2010" s="18"/>
      <c r="M2010" s="18"/>
    </row>
    <row r="2011" s="65" customFormat="1" ht="13.5" spans="1:13">
      <c r="A2011" s="66"/>
      <c r="E2011" s="72" t="s">
        <v>2086</v>
      </c>
      <c r="F2011" s="18"/>
      <c r="G2011" s="18"/>
      <c r="H2011" s="18"/>
      <c r="I2011" s="18"/>
      <c r="J2011" s="18"/>
      <c r="K2011" s="18"/>
      <c r="L2011" s="18"/>
      <c r="M2011" s="18"/>
    </row>
    <row r="2012" s="65" customFormat="1" ht="13.5" spans="1:13">
      <c r="A2012" s="66"/>
      <c r="E2012" s="72" t="s">
        <v>2087</v>
      </c>
      <c r="F2012" s="18"/>
      <c r="G2012" s="18"/>
      <c r="H2012" s="18"/>
      <c r="I2012" s="18"/>
      <c r="J2012" s="18"/>
      <c r="K2012" s="18"/>
      <c r="L2012" s="18"/>
      <c r="M2012" s="18"/>
    </row>
    <row r="2013" s="65" customFormat="1" ht="13.5" spans="1:13">
      <c r="A2013" s="66"/>
      <c r="E2013" s="72" t="s">
        <v>2088</v>
      </c>
      <c r="F2013" s="18"/>
      <c r="G2013" s="18"/>
      <c r="H2013" s="18"/>
      <c r="I2013" s="18"/>
      <c r="J2013" s="18"/>
      <c r="K2013" s="18"/>
      <c r="L2013" s="18"/>
      <c r="M2013" s="18"/>
    </row>
    <row r="2014" s="65" customFormat="1" ht="13.5" spans="1:13">
      <c r="A2014" s="66"/>
      <c r="E2014" s="72" t="s">
        <v>2089</v>
      </c>
      <c r="F2014" s="18"/>
      <c r="G2014" s="18"/>
      <c r="H2014" s="18"/>
      <c r="I2014" s="18"/>
      <c r="J2014" s="18"/>
      <c r="K2014" s="18"/>
      <c r="L2014" s="18"/>
      <c r="M2014" s="18"/>
    </row>
    <row r="2015" s="65" customFormat="1" ht="13.5" spans="1:13">
      <c r="A2015" s="66"/>
      <c r="E2015" s="72" t="s">
        <v>2090</v>
      </c>
      <c r="F2015" s="18"/>
      <c r="G2015" s="18"/>
      <c r="H2015" s="18"/>
      <c r="I2015" s="18"/>
      <c r="J2015" s="18"/>
      <c r="K2015" s="18"/>
      <c r="L2015" s="18"/>
      <c r="M2015" s="18"/>
    </row>
    <row r="2016" s="65" customFormat="1" ht="13.5" spans="1:13">
      <c r="A2016" s="66"/>
      <c r="E2016" s="72" t="s">
        <v>2091</v>
      </c>
      <c r="F2016" s="18"/>
      <c r="G2016" s="18"/>
      <c r="H2016" s="18"/>
      <c r="I2016" s="18"/>
      <c r="J2016" s="18"/>
      <c r="K2016" s="18"/>
      <c r="L2016" s="18"/>
      <c r="M2016" s="18"/>
    </row>
    <row r="2017" s="65" customFormat="1" ht="13.5" spans="1:13">
      <c r="A2017" s="66"/>
      <c r="E2017" s="72" t="s">
        <v>2092</v>
      </c>
      <c r="F2017" s="18"/>
      <c r="G2017" s="18"/>
      <c r="H2017" s="18"/>
      <c r="I2017" s="18"/>
      <c r="J2017" s="18"/>
      <c r="K2017" s="18"/>
      <c r="L2017" s="18"/>
      <c r="M2017" s="18"/>
    </row>
    <row r="2018" s="65" customFormat="1" ht="13.5" spans="1:13">
      <c r="A2018" s="66"/>
      <c r="E2018" s="72" t="s">
        <v>2093</v>
      </c>
      <c r="F2018" s="18"/>
      <c r="G2018" s="18"/>
      <c r="H2018" s="18"/>
      <c r="I2018" s="18"/>
      <c r="J2018" s="18"/>
      <c r="K2018" s="18"/>
      <c r="L2018" s="18"/>
      <c r="M2018" s="18"/>
    </row>
    <row r="2019" s="65" customFormat="1" ht="13.5" spans="1:13">
      <c r="A2019" s="66"/>
      <c r="E2019" s="72" t="s">
        <v>2094</v>
      </c>
      <c r="F2019" s="18"/>
      <c r="G2019" s="18"/>
      <c r="H2019" s="18"/>
      <c r="I2019" s="18"/>
      <c r="J2019" s="18"/>
      <c r="K2019" s="18"/>
      <c r="L2019" s="18"/>
      <c r="M2019" s="18"/>
    </row>
    <row r="2020" s="65" customFormat="1" ht="13.5" spans="1:13">
      <c r="A2020" s="66"/>
      <c r="E2020" s="72" t="s">
        <v>2095</v>
      </c>
      <c r="F2020" s="18"/>
      <c r="G2020" s="18"/>
      <c r="H2020" s="18"/>
      <c r="I2020" s="18"/>
      <c r="J2020" s="18"/>
      <c r="K2020" s="18"/>
      <c r="L2020" s="18"/>
      <c r="M2020" s="18"/>
    </row>
    <row r="2021" s="65" customFormat="1" ht="13.5" spans="1:13">
      <c r="A2021" s="66"/>
      <c r="E2021" s="72" t="s">
        <v>2096</v>
      </c>
      <c r="F2021" s="18"/>
      <c r="G2021" s="18"/>
      <c r="H2021" s="18"/>
      <c r="I2021" s="18"/>
      <c r="J2021" s="18"/>
      <c r="K2021" s="18"/>
      <c r="L2021" s="18"/>
      <c r="M2021" s="18"/>
    </row>
    <row r="2022" s="65" customFormat="1" ht="13.5" spans="1:13">
      <c r="A2022" s="66"/>
      <c r="E2022" s="72" t="s">
        <v>2097</v>
      </c>
      <c r="F2022" s="18"/>
      <c r="G2022" s="18"/>
      <c r="H2022" s="18"/>
      <c r="I2022" s="18"/>
      <c r="J2022" s="18"/>
      <c r="K2022" s="18"/>
      <c r="L2022" s="18"/>
      <c r="M2022" s="18"/>
    </row>
    <row r="2023" s="65" customFormat="1" ht="13.5" spans="1:13">
      <c r="A2023" s="66"/>
      <c r="E2023" s="72" t="s">
        <v>2098</v>
      </c>
      <c r="F2023" s="18"/>
      <c r="G2023" s="18"/>
      <c r="H2023" s="18"/>
      <c r="I2023" s="18"/>
      <c r="J2023" s="18"/>
      <c r="K2023" s="18"/>
      <c r="L2023" s="18"/>
      <c r="M2023" s="18"/>
    </row>
    <row r="2024" s="65" customFormat="1" ht="13.5" spans="1:13">
      <c r="A2024" s="66"/>
      <c r="E2024" s="72" t="s">
        <v>2099</v>
      </c>
      <c r="F2024" s="18"/>
      <c r="G2024" s="18"/>
      <c r="H2024" s="18"/>
      <c r="I2024" s="18"/>
      <c r="J2024" s="18"/>
      <c r="K2024" s="18"/>
      <c r="L2024" s="18"/>
      <c r="M2024" s="18"/>
    </row>
    <row r="2025" s="65" customFormat="1" ht="13.5" spans="1:13">
      <c r="A2025" s="66"/>
      <c r="E2025" s="72" t="s">
        <v>2100</v>
      </c>
      <c r="F2025" s="18"/>
      <c r="G2025" s="18"/>
      <c r="H2025" s="18"/>
      <c r="I2025" s="18"/>
      <c r="J2025" s="18"/>
      <c r="K2025" s="18"/>
      <c r="L2025" s="18"/>
      <c r="M2025" s="18"/>
    </row>
    <row r="2026" s="65" customFormat="1" ht="13.5" spans="1:13">
      <c r="A2026" s="66"/>
      <c r="E2026" s="72" t="s">
        <v>2101</v>
      </c>
      <c r="F2026" s="18"/>
      <c r="G2026" s="18"/>
      <c r="H2026" s="18"/>
      <c r="I2026" s="18"/>
      <c r="J2026" s="18"/>
      <c r="K2026" s="18"/>
      <c r="L2026" s="18"/>
      <c r="M2026" s="18"/>
    </row>
    <row r="2027" s="65" customFormat="1" ht="13.5" spans="1:13">
      <c r="A2027" s="66"/>
      <c r="E2027" s="72" t="s">
        <v>2102</v>
      </c>
      <c r="F2027" s="18"/>
      <c r="G2027" s="18"/>
      <c r="H2027" s="18"/>
      <c r="I2027" s="18"/>
      <c r="J2027" s="18"/>
      <c r="K2027" s="18"/>
      <c r="L2027" s="18"/>
      <c r="M2027" s="18"/>
    </row>
    <row r="2028" s="65" customFormat="1" ht="13.5" spans="1:13">
      <c r="A2028" s="66"/>
      <c r="E2028" s="72" t="s">
        <v>2103</v>
      </c>
      <c r="F2028" s="18"/>
      <c r="G2028" s="18"/>
      <c r="H2028" s="18"/>
      <c r="I2028" s="18"/>
      <c r="J2028" s="18"/>
      <c r="K2028" s="18"/>
      <c r="L2028" s="18"/>
      <c r="M2028" s="18"/>
    </row>
    <row r="2029" s="65" customFormat="1" ht="13.5" spans="1:13">
      <c r="A2029" s="66"/>
      <c r="E2029" s="72" t="s">
        <v>2104</v>
      </c>
      <c r="F2029" s="18"/>
      <c r="G2029" s="18"/>
      <c r="H2029" s="18"/>
      <c r="I2029" s="18"/>
      <c r="J2029" s="18"/>
      <c r="K2029" s="18"/>
      <c r="L2029" s="18"/>
      <c r="M2029" s="18"/>
    </row>
    <row r="2030" s="65" customFormat="1" ht="13.5" spans="1:13">
      <c r="A2030" s="66"/>
      <c r="E2030" s="72" t="s">
        <v>2105</v>
      </c>
      <c r="F2030" s="18"/>
      <c r="G2030" s="18"/>
      <c r="H2030" s="18"/>
      <c r="I2030" s="18"/>
      <c r="J2030" s="18"/>
      <c r="K2030" s="18"/>
      <c r="L2030" s="18"/>
      <c r="M2030" s="18"/>
    </row>
    <row r="2031" s="65" customFormat="1" ht="13.5" spans="1:13">
      <c r="A2031" s="66"/>
      <c r="E2031" s="72" t="s">
        <v>2106</v>
      </c>
      <c r="F2031" s="18"/>
      <c r="G2031" s="18"/>
      <c r="H2031" s="18"/>
      <c r="I2031" s="18"/>
      <c r="J2031" s="18"/>
      <c r="K2031" s="18"/>
      <c r="L2031" s="18"/>
      <c r="M2031" s="18"/>
    </row>
    <row r="2032" s="65" customFormat="1" ht="13.5" spans="1:13">
      <c r="A2032" s="66"/>
      <c r="E2032" s="72" t="s">
        <v>2107</v>
      </c>
      <c r="F2032" s="18"/>
      <c r="G2032" s="18"/>
      <c r="H2032" s="18"/>
      <c r="I2032" s="18"/>
      <c r="J2032" s="18"/>
      <c r="K2032" s="18"/>
      <c r="L2032" s="18"/>
      <c r="M2032" s="18"/>
    </row>
    <row r="2033" s="65" customFormat="1" ht="13.5" spans="1:13">
      <c r="A2033" s="66"/>
      <c r="E2033" s="72" t="s">
        <v>2108</v>
      </c>
      <c r="F2033" s="18"/>
      <c r="G2033" s="18"/>
      <c r="H2033" s="18"/>
      <c r="I2033" s="18"/>
      <c r="J2033" s="18"/>
      <c r="K2033" s="18"/>
      <c r="L2033" s="18"/>
      <c r="M2033" s="18"/>
    </row>
    <row r="2034" s="65" customFormat="1" ht="13.5" spans="1:13">
      <c r="A2034" s="66"/>
      <c r="E2034" s="72" t="s">
        <v>2109</v>
      </c>
      <c r="F2034" s="18"/>
      <c r="G2034" s="18"/>
      <c r="H2034" s="18"/>
      <c r="I2034" s="18"/>
      <c r="J2034" s="18"/>
      <c r="K2034" s="18"/>
      <c r="L2034" s="18"/>
      <c r="M2034" s="18"/>
    </row>
    <row r="2035" s="65" customFormat="1" ht="13.5" spans="1:13">
      <c r="A2035" s="66"/>
      <c r="E2035" s="72" t="s">
        <v>2110</v>
      </c>
      <c r="F2035" s="18"/>
      <c r="G2035" s="18"/>
      <c r="H2035" s="18"/>
      <c r="I2035" s="18"/>
      <c r="J2035" s="18"/>
      <c r="K2035" s="18"/>
      <c r="L2035" s="18"/>
      <c r="M2035" s="18"/>
    </row>
    <row r="2036" s="65" customFormat="1" ht="13.5" spans="1:13">
      <c r="A2036" s="66"/>
      <c r="E2036" s="72" t="s">
        <v>2111</v>
      </c>
      <c r="F2036" s="18"/>
      <c r="G2036" s="18"/>
      <c r="H2036" s="18"/>
      <c r="I2036" s="18"/>
      <c r="J2036" s="18"/>
      <c r="K2036" s="18"/>
      <c r="L2036" s="18"/>
      <c r="M2036" s="18"/>
    </row>
    <row r="2037" s="65" customFormat="1" ht="13.5" spans="1:13">
      <c r="A2037" s="66"/>
      <c r="E2037" s="72" t="s">
        <v>2112</v>
      </c>
      <c r="F2037" s="18"/>
      <c r="G2037" s="18"/>
      <c r="H2037" s="18"/>
      <c r="I2037" s="18"/>
      <c r="J2037" s="18"/>
      <c r="K2037" s="18"/>
      <c r="L2037" s="18"/>
      <c r="M2037" s="18"/>
    </row>
    <row r="2038" s="65" customFormat="1" ht="13.5" spans="1:13">
      <c r="A2038" s="66"/>
      <c r="E2038" s="72" t="s">
        <v>2113</v>
      </c>
      <c r="F2038" s="18"/>
      <c r="G2038" s="18"/>
      <c r="H2038" s="18"/>
      <c r="I2038" s="18"/>
      <c r="J2038" s="18"/>
      <c r="K2038" s="18"/>
      <c r="L2038" s="18"/>
      <c r="M2038" s="18"/>
    </row>
    <row r="2039" s="65" customFormat="1" ht="13.5" spans="1:13">
      <c r="A2039" s="66"/>
      <c r="E2039" s="72" t="s">
        <v>2114</v>
      </c>
      <c r="F2039" s="18"/>
      <c r="G2039" s="18"/>
      <c r="H2039" s="18"/>
      <c r="I2039" s="18"/>
      <c r="J2039" s="18"/>
      <c r="K2039" s="18"/>
      <c r="L2039" s="18"/>
      <c r="M2039" s="18"/>
    </row>
    <row r="2040" s="65" customFormat="1" ht="13.5" spans="1:13">
      <c r="A2040" s="66"/>
      <c r="E2040" s="72" t="s">
        <v>2115</v>
      </c>
      <c r="F2040" s="18"/>
      <c r="G2040" s="18"/>
      <c r="H2040" s="18"/>
      <c r="I2040" s="18"/>
      <c r="J2040" s="18"/>
      <c r="K2040" s="18"/>
      <c r="L2040" s="18"/>
      <c r="M2040" s="18"/>
    </row>
    <row r="2041" s="65" customFormat="1" ht="13.5" spans="1:13">
      <c r="A2041" s="66"/>
      <c r="E2041" s="72" t="s">
        <v>2116</v>
      </c>
      <c r="F2041" s="18"/>
      <c r="G2041" s="18"/>
      <c r="H2041" s="18"/>
      <c r="I2041" s="18"/>
      <c r="J2041" s="18"/>
      <c r="K2041" s="18"/>
      <c r="L2041" s="18"/>
      <c r="M2041" s="18"/>
    </row>
    <row r="2042" s="65" customFormat="1" ht="13.5" spans="1:13">
      <c r="A2042" s="66"/>
      <c r="E2042" s="72" t="s">
        <v>2117</v>
      </c>
      <c r="F2042" s="18"/>
      <c r="G2042" s="18"/>
      <c r="H2042" s="18"/>
      <c r="I2042" s="18"/>
      <c r="J2042" s="18"/>
      <c r="K2042" s="18"/>
      <c r="L2042" s="18"/>
      <c r="M2042" s="18"/>
    </row>
    <row r="2043" s="65" customFormat="1" ht="13.5" spans="1:13">
      <c r="A2043" s="66"/>
      <c r="E2043" s="72" t="s">
        <v>2118</v>
      </c>
      <c r="F2043" s="18"/>
      <c r="G2043" s="18"/>
      <c r="H2043" s="18"/>
      <c r="I2043" s="18"/>
      <c r="J2043" s="18"/>
      <c r="K2043" s="18"/>
      <c r="L2043" s="18"/>
      <c r="M2043" s="18"/>
    </row>
    <row r="2044" s="65" customFormat="1" ht="13.5" spans="1:13">
      <c r="A2044" s="66"/>
      <c r="E2044" s="72" t="s">
        <v>2119</v>
      </c>
      <c r="F2044" s="18"/>
      <c r="G2044" s="18"/>
      <c r="H2044" s="18"/>
      <c r="I2044" s="18"/>
      <c r="J2044" s="18"/>
      <c r="K2044" s="18"/>
      <c r="L2044" s="18"/>
      <c r="M2044" s="18"/>
    </row>
    <row r="2045" s="65" customFormat="1" ht="13.5" spans="1:13">
      <c r="A2045" s="66"/>
      <c r="E2045" s="72" t="s">
        <v>2120</v>
      </c>
      <c r="F2045" s="18"/>
      <c r="G2045" s="18"/>
      <c r="H2045" s="18"/>
      <c r="I2045" s="18"/>
      <c r="J2045" s="18"/>
      <c r="K2045" s="18"/>
      <c r="L2045" s="18"/>
      <c r="M2045" s="18"/>
    </row>
    <row r="2046" s="65" customFormat="1" ht="13.5" spans="1:13">
      <c r="A2046" s="66"/>
      <c r="E2046" s="72" t="s">
        <v>2121</v>
      </c>
      <c r="F2046" s="18"/>
      <c r="G2046" s="18"/>
      <c r="H2046" s="18"/>
      <c r="I2046" s="18"/>
      <c r="J2046" s="18"/>
      <c r="K2046" s="18"/>
      <c r="L2046" s="18"/>
      <c r="M2046" s="18"/>
    </row>
    <row r="2047" s="65" customFormat="1" ht="13.5" spans="1:13">
      <c r="A2047" s="66"/>
      <c r="E2047" s="72" t="s">
        <v>2122</v>
      </c>
      <c r="F2047" s="18"/>
      <c r="G2047" s="18"/>
      <c r="H2047" s="18"/>
      <c r="I2047" s="18"/>
      <c r="J2047" s="18"/>
      <c r="K2047" s="18"/>
      <c r="L2047" s="18"/>
      <c r="M2047" s="18"/>
    </row>
    <row r="2048" s="65" customFormat="1" ht="13.5" spans="1:13">
      <c r="A2048" s="66"/>
      <c r="E2048" s="72" t="s">
        <v>2123</v>
      </c>
      <c r="F2048" s="18"/>
      <c r="G2048" s="18"/>
      <c r="H2048" s="18"/>
      <c r="I2048" s="18"/>
      <c r="J2048" s="18"/>
      <c r="K2048" s="18"/>
      <c r="L2048" s="18"/>
      <c r="M2048" s="18"/>
    </row>
    <row r="2049" s="65" customFormat="1" ht="13.5" spans="1:13">
      <c r="A2049" s="66"/>
      <c r="E2049" s="72" t="s">
        <v>2124</v>
      </c>
      <c r="F2049" s="18"/>
      <c r="G2049" s="18"/>
      <c r="H2049" s="18"/>
      <c r="I2049" s="18"/>
      <c r="J2049" s="18"/>
      <c r="K2049" s="18"/>
      <c r="L2049" s="18"/>
      <c r="M2049" s="18"/>
    </row>
    <row r="2050" s="65" customFormat="1" ht="13.5" spans="1:13">
      <c r="A2050" s="66"/>
      <c r="E2050" s="72" t="s">
        <v>2125</v>
      </c>
      <c r="F2050" s="18"/>
      <c r="G2050" s="18"/>
      <c r="H2050" s="18"/>
      <c r="I2050" s="18"/>
      <c r="J2050" s="18"/>
      <c r="K2050" s="18"/>
      <c r="L2050" s="18"/>
      <c r="M2050" s="18"/>
    </row>
    <row r="2051" s="65" customFormat="1" ht="13.5" spans="1:13">
      <c r="A2051" s="66"/>
      <c r="E2051" s="72" t="s">
        <v>2126</v>
      </c>
      <c r="F2051" s="18"/>
      <c r="G2051" s="18"/>
      <c r="H2051" s="18"/>
      <c r="I2051" s="18"/>
      <c r="J2051" s="18"/>
      <c r="K2051" s="18"/>
      <c r="L2051" s="18"/>
      <c r="M2051" s="18"/>
    </row>
    <row r="2052" s="65" customFormat="1" ht="13.5" spans="1:13">
      <c r="A2052" s="66"/>
      <c r="E2052" s="72" t="s">
        <v>2127</v>
      </c>
      <c r="F2052" s="18"/>
      <c r="G2052" s="18"/>
      <c r="H2052" s="18"/>
      <c r="I2052" s="18"/>
      <c r="J2052" s="18"/>
      <c r="K2052" s="18"/>
      <c r="L2052" s="18"/>
      <c r="M2052" s="18"/>
    </row>
    <row r="2053" s="65" customFormat="1" ht="13.5" spans="1:13">
      <c r="A2053" s="66"/>
      <c r="E2053" s="72" t="s">
        <v>2128</v>
      </c>
      <c r="F2053" s="18"/>
      <c r="G2053" s="18"/>
      <c r="H2053" s="18"/>
      <c r="I2053" s="18"/>
      <c r="J2053" s="18"/>
      <c r="K2053" s="18"/>
      <c r="L2053" s="18"/>
      <c r="M2053" s="18"/>
    </row>
    <row r="2054" s="65" customFormat="1" ht="13.5" spans="1:13">
      <c r="A2054" s="66"/>
      <c r="E2054" s="72" t="s">
        <v>2129</v>
      </c>
      <c r="F2054" s="18"/>
      <c r="G2054" s="18"/>
      <c r="H2054" s="18"/>
      <c r="I2054" s="18"/>
      <c r="J2054" s="18"/>
      <c r="K2054" s="18"/>
      <c r="L2054" s="18"/>
      <c r="M2054" s="18"/>
    </row>
    <row r="2055" s="65" customFormat="1" ht="13.5" spans="1:13">
      <c r="A2055" s="66"/>
      <c r="E2055" s="72" t="s">
        <v>2130</v>
      </c>
      <c r="F2055" s="18"/>
      <c r="G2055" s="18"/>
      <c r="H2055" s="18"/>
      <c r="I2055" s="18"/>
      <c r="J2055" s="18"/>
      <c r="K2055" s="18"/>
      <c r="L2055" s="18"/>
      <c r="M2055" s="18"/>
    </row>
    <row r="2056" s="65" customFormat="1" ht="13.5" spans="1:13">
      <c r="A2056" s="66"/>
      <c r="E2056" s="72" t="s">
        <v>2131</v>
      </c>
      <c r="F2056" s="18"/>
      <c r="G2056" s="18"/>
      <c r="H2056" s="18"/>
      <c r="I2056" s="18"/>
      <c r="J2056" s="18"/>
      <c r="K2056" s="18"/>
      <c r="L2056" s="18"/>
      <c r="M2056" s="18"/>
    </row>
    <row r="2057" s="65" customFormat="1" ht="13.5" spans="1:13">
      <c r="A2057" s="66"/>
      <c r="E2057" s="72" t="s">
        <v>2132</v>
      </c>
      <c r="F2057" s="18"/>
      <c r="G2057" s="18"/>
      <c r="H2057" s="18"/>
      <c r="I2057" s="18"/>
      <c r="J2057" s="18"/>
      <c r="K2057" s="18"/>
      <c r="L2057" s="18"/>
      <c r="M2057" s="18"/>
    </row>
    <row r="2058" s="65" customFormat="1" ht="13.5" spans="1:13">
      <c r="A2058" s="66"/>
      <c r="E2058" s="72" t="s">
        <v>2133</v>
      </c>
      <c r="F2058" s="18"/>
      <c r="G2058" s="18"/>
      <c r="H2058" s="18"/>
      <c r="I2058" s="18"/>
      <c r="J2058" s="18"/>
      <c r="K2058" s="18"/>
      <c r="L2058" s="18"/>
      <c r="M2058" s="18"/>
    </row>
    <row r="2059" s="65" customFormat="1" ht="13.5" spans="1:13">
      <c r="A2059" s="66"/>
      <c r="E2059" s="72" t="s">
        <v>2134</v>
      </c>
      <c r="F2059" s="18"/>
      <c r="G2059" s="18"/>
      <c r="H2059" s="18"/>
      <c r="I2059" s="18"/>
      <c r="J2059" s="18"/>
      <c r="K2059" s="18"/>
      <c r="L2059" s="18"/>
      <c r="M2059" s="18"/>
    </row>
    <row r="2060" s="65" customFormat="1" ht="13.5" spans="1:13">
      <c r="A2060" s="66"/>
      <c r="E2060" s="72" t="s">
        <v>2135</v>
      </c>
      <c r="F2060" s="18"/>
      <c r="G2060" s="18"/>
      <c r="H2060" s="18"/>
      <c r="I2060" s="18"/>
      <c r="J2060" s="18"/>
      <c r="K2060" s="18"/>
      <c r="L2060" s="18"/>
      <c r="M2060" s="18"/>
    </row>
    <row r="2061" s="65" customFormat="1" ht="13.5" spans="1:13">
      <c r="A2061" s="66"/>
      <c r="E2061" s="72" t="s">
        <v>2136</v>
      </c>
      <c r="F2061" s="18"/>
      <c r="G2061" s="18"/>
      <c r="H2061" s="18"/>
      <c r="I2061" s="18"/>
      <c r="J2061" s="18"/>
      <c r="K2061" s="18"/>
      <c r="L2061" s="18"/>
      <c r="M2061" s="18"/>
    </row>
    <row r="2062" s="65" customFormat="1" ht="13.5" spans="1:13">
      <c r="A2062" s="66"/>
      <c r="E2062" s="72" t="s">
        <v>2137</v>
      </c>
      <c r="F2062" s="18"/>
      <c r="G2062" s="18"/>
      <c r="H2062" s="18"/>
      <c r="I2062" s="18"/>
      <c r="J2062" s="18"/>
      <c r="K2062" s="18"/>
      <c r="L2062" s="18"/>
      <c r="M2062" s="18"/>
    </row>
    <row r="2063" s="65" customFormat="1" ht="13.5" spans="1:13">
      <c r="A2063" s="66"/>
      <c r="E2063" s="72" t="s">
        <v>2138</v>
      </c>
      <c r="F2063" s="18"/>
      <c r="G2063" s="18"/>
      <c r="H2063" s="18"/>
      <c r="I2063" s="18"/>
      <c r="J2063" s="18"/>
      <c r="K2063" s="18"/>
      <c r="L2063" s="18"/>
      <c r="M2063" s="18"/>
    </row>
    <row r="2064" s="65" customFormat="1" ht="13.5" spans="1:13">
      <c r="A2064" s="66"/>
      <c r="E2064" s="72" t="s">
        <v>2139</v>
      </c>
      <c r="F2064" s="18"/>
      <c r="G2064" s="18"/>
      <c r="H2064" s="18"/>
      <c r="I2064" s="18"/>
      <c r="J2064" s="18"/>
      <c r="K2064" s="18"/>
      <c r="L2064" s="18"/>
      <c r="M2064" s="18"/>
    </row>
    <row r="2065" s="65" customFormat="1" ht="13.5" spans="1:13">
      <c r="A2065" s="66"/>
      <c r="E2065" s="72" t="s">
        <v>2140</v>
      </c>
      <c r="F2065" s="18"/>
      <c r="G2065" s="18"/>
      <c r="H2065" s="18"/>
      <c r="I2065" s="18"/>
      <c r="J2065" s="18"/>
      <c r="K2065" s="18"/>
      <c r="L2065" s="18"/>
      <c r="M2065" s="18"/>
    </row>
    <row r="2066" s="65" customFormat="1" ht="13.5" spans="1:13">
      <c r="A2066" s="66"/>
      <c r="E2066" s="72" t="s">
        <v>2141</v>
      </c>
      <c r="F2066" s="18"/>
      <c r="G2066" s="18"/>
      <c r="H2066" s="18"/>
      <c r="I2066" s="18"/>
      <c r="J2066" s="18"/>
      <c r="K2066" s="18"/>
      <c r="L2066" s="18"/>
      <c r="M2066" s="18"/>
    </row>
    <row r="2067" s="65" customFormat="1" ht="13.5" spans="1:13">
      <c r="A2067" s="66"/>
      <c r="E2067" s="72" t="s">
        <v>2142</v>
      </c>
      <c r="F2067" s="18"/>
      <c r="G2067" s="18"/>
      <c r="H2067" s="18"/>
      <c r="I2067" s="18"/>
      <c r="J2067" s="18"/>
      <c r="K2067" s="18"/>
      <c r="L2067" s="18"/>
      <c r="M2067" s="18"/>
    </row>
    <row r="2068" s="65" customFormat="1" ht="13.5" spans="1:13">
      <c r="A2068" s="66"/>
      <c r="E2068" s="72" t="s">
        <v>2143</v>
      </c>
      <c r="F2068" s="18"/>
      <c r="G2068" s="18"/>
      <c r="H2068" s="18"/>
      <c r="I2068" s="18"/>
      <c r="J2068" s="18"/>
      <c r="K2068" s="18"/>
      <c r="L2068" s="18"/>
      <c r="M2068" s="18"/>
    </row>
    <row r="2069" s="65" customFormat="1" ht="13.5" spans="1:13">
      <c r="A2069" s="66"/>
      <c r="E2069" s="72" t="s">
        <v>2144</v>
      </c>
      <c r="F2069" s="18"/>
      <c r="G2069" s="18"/>
      <c r="H2069" s="18"/>
      <c r="I2069" s="18"/>
      <c r="J2069" s="18"/>
      <c r="K2069" s="18"/>
      <c r="L2069" s="18"/>
      <c r="M2069" s="18"/>
    </row>
    <row r="2070" s="65" customFormat="1" ht="13.5" spans="1:13">
      <c r="A2070" s="66"/>
      <c r="E2070" s="72" t="s">
        <v>2145</v>
      </c>
      <c r="F2070" s="18"/>
      <c r="G2070" s="18"/>
      <c r="H2070" s="18"/>
      <c r="I2070" s="18"/>
      <c r="J2070" s="18"/>
      <c r="K2070" s="18"/>
      <c r="L2070" s="18"/>
      <c r="M2070" s="18"/>
    </row>
    <row r="2071" s="65" customFormat="1" ht="13.5" spans="1:13">
      <c r="A2071" s="66"/>
      <c r="E2071" s="72" t="s">
        <v>2146</v>
      </c>
      <c r="F2071" s="18"/>
      <c r="G2071" s="18"/>
      <c r="H2071" s="18"/>
      <c r="I2071" s="18"/>
      <c r="J2071" s="18"/>
      <c r="K2071" s="18"/>
      <c r="L2071" s="18"/>
      <c r="M2071" s="18"/>
    </row>
    <row r="2072" s="65" customFormat="1" ht="13.5" spans="1:13">
      <c r="A2072" s="66"/>
      <c r="E2072" s="72" t="s">
        <v>2147</v>
      </c>
      <c r="F2072" s="18"/>
      <c r="G2072" s="18"/>
      <c r="H2072" s="18"/>
      <c r="I2072" s="18"/>
      <c r="J2072" s="18"/>
      <c r="K2072" s="18"/>
      <c r="L2072" s="18"/>
      <c r="M2072" s="18"/>
    </row>
    <row r="2073" s="65" customFormat="1" ht="13.5" spans="1:13">
      <c r="A2073" s="66"/>
      <c r="E2073" s="72" t="s">
        <v>2148</v>
      </c>
      <c r="F2073" s="18"/>
      <c r="G2073" s="18"/>
      <c r="H2073" s="18"/>
      <c r="I2073" s="18"/>
      <c r="J2073" s="18"/>
      <c r="K2073" s="18"/>
      <c r="L2073" s="18"/>
      <c r="M2073" s="18"/>
    </row>
    <row r="2074" s="65" customFormat="1" ht="13.5" spans="1:13">
      <c r="A2074" s="66"/>
      <c r="E2074" s="72" t="s">
        <v>2149</v>
      </c>
      <c r="F2074" s="18"/>
      <c r="G2074" s="18"/>
      <c r="H2074" s="18"/>
      <c r="I2074" s="18"/>
      <c r="J2074" s="18"/>
      <c r="K2074" s="18"/>
      <c r="L2074" s="18"/>
      <c r="M2074" s="18"/>
    </row>
    <row r="2075" s="65" customFormat="1" ht="13.5" spans="1:13">
      <c r="A2075" s="66"/>
      <c r="E2075" s="72" t="s">
        <v>2150</v>
      </c>
      <c r="F2075" s="18"/>
      <c r="G2075" s="18"/>
      <c r="H2075" s="18"/>
      <c r="I2075" s="18"/>
      <c r="J2075" s="18"/>
      <c r="K2075" s="18"/>
      <c r="L2075" s="18"/>
      <c r="M2075" s="18"/>
    </row>
    <row r="2076" s="65" customFormat="1" ht="13.5" spans="1:13">
      <c r="A2076" s="66"/>
      <c r="E2076" s="72" t="s">
        <v>2151</v>
      </c>
      <c r="F2076" s="18"/>
      <c r="G2076" s="18"/>
      <c r="H2076" s="18"/>
      <c r="I2076" s="18"/>
      <c r="J2076" s="18"/>
      <c r="K2076" s="18"/>
      <c r="L2076" s="18"/>
      <c r="M2076" s="18"/>
    </row>
    <row r="2077" s="65" customFormat="1" ht="13.5" spans="1:13">
      <c r="A2077" s="66"/>
      <c r="E2077" s="72" t="s">
        <v>2152</v>
      </c>
      <c r="F2077" s="18"/>
      <c r="G2077" s="18"/>
      <c r="H2077" s="18"/>
      <c r="I2077" s="18"/>
      <c r="J2077" s="18"/>
      <c r="K2077" s="18"/>
      <c r="L2077" s="18"/>
      <c r="M2077" s="18"/>
    </row>
    <row r="2078" s="65" customFormat="1" ht="13.5" spans="1:13">
      <c r="A2078" s="66"/>
      <c r="E2078" s="72" t="s">
        <v>2153</v>
      </c>
      <c r="F2078" s="18"/>
      <c r="G2078" s="18"/>
      <c r="H2078" s="18"/>
      <c r="I2078" s="18"/>
      <c r="J2078" s="18"/>
      <c r="K2078" s="18"/>
      <c r="L2078" s="18"/>
      <c r="M2078" s="18"/>
    </row>
    <row r="2079" s="65" customFormat="1" ht="13.5" spans="1:13">
      <c r="A2079" s="66"/>
      <c r="E2079" s="72" t="s">
        <v>2154</v>
      </c>
      <c r="F2079" s="18"/>
      <c r="G2079" s="18"/>
      <c r="H2079" s="18"/>
      <c r="I2079" s="18"/>
      <c r="J2079" s="18"/>
      <c r="K2079" s="18"/>
      <c r="L2079" s="18"/>
      <c r="M2079" s="18"/>
    </row>
    <row r="2080" s="65" customFormat="1" ht="13.5" spans="1:13">
      <c r="A2080" s="66"/>
      <c r="E2080" s="72" t="s">
        <v>2155</v>
      </c>
      <c r="F2080" s="18"/>
      <c r="G2080" s="18"/>
      <c r="H2080" s="18"/>
      <c r="I2080" s="18"/>
      <c r="J2080" s="18"/>
      <c r="K2080" s="18"/>
      <c r="L2080" s="18"/>
      <c r="M2080" s="18"/>
    </row>
    <row r="2081" s="65" customFormat="1" ht="13.5" spans="1:13">
      <c r="A2081" s="66"/>
      <c r="E2081" s="72" t="s">
        <v>2156</v>
      </c>
      <c r="F2081" s="18"/>
      <c r="G2081" s="18"/>
      <c r="H2081" s="18"/>
      <c r="I2081" s="18"/>
      <c r="J2081" s="18"/>
      <c r="K2081" s="18"/>
      <c r="L2081" s="18"/>
      <c r="M2081" s="18"/>
    </row>
    <row r="2082" s="65" customFormat="1" ht="13.5" spans="1:13">
      <c r="A2082" s="66"/>
      <c r="E2082" s="72" t="s">
        <v>2157</v>
      </c>
      <c r="F2082" s="18"/>
      <c r="G2082" s="18"/>
      <c r="H2082" s="18"/>
      <c r="I2082" s="18"/>
      <c r="J2082" s="18"/>
      <c r="K2082" s="18"/>
      <c r="L2082" s="18"/>
      <c r="M2082" s="18"/>
    </row>
    <row r="2083" s="65" customFormat="1" ht="13.5" spans="1:13">
      <c r="A2083" s="66"/>
      <c r="E2083" s="72" t="s">
        <v>2158</v>
      </c>
      <c r="F2083" s="18"/>
      <c r="G2083" s="18"/>
      <c r="H2083" s="18"/>
      <c r="I2083" s="18"/>
      <c r="J2083" s="18"/>
      <c r="K2083" s="18"/>
      <c r="L2083" s="18"/>
      <c r="M2083" s="18"/>
    </row>
    <row r="2084" s="65" customFormat="1" ht="13.5" spans="1:13">
      <c r="A2084" s="66"/>
      <c r="E2084" s="72" t="s">
        <v>2159</v>
      </c>
      <c r="F2084" s="18"/>
      <c r="G2084" s="18"/>
      <c r="H2084" s="18"/>
      <c r="I2084" s="18"/>
      <c r="J2084" s="18"/>
      <c r="K2084" s="18"/>
      <c r="L2084" s="18"/>
      <c r="M2084" s="18"/>
    </row>
    <row r="2085" s="65" customFormat="1" ht="13.5" spans="1:13">
      <c r="A2085" s="66"/>
      <c r="E2085" s="72" t="s">
        <v>2160</v>
      </c>
      <c r="F2085" s="18"/>
      <c r="G2085" s="18"/>
      <c r="H2085" s="18"/>
      <c r="I2085" s="18"/>
      <c r="J2085" s="18"/>
      <c r="K2085" s="18"/>
      <c r="L2085" s="18"/>
      <c r="M2085" s="18"/>
    </row>
    <row r="2086" s="65" customFormat="1" ht="13.5" spans="1:13">
      <c r="A2086" s="66"/>
      <c r="E2086" s="72" t="s">
        <v>2161</v>
      </c>
      <c r="F2086" s="18"/>
      <c r="G2086" s="18"/>
      <c r="H2086" s="18"/>
      <c r="I2086" s="18"/>
      <c r="J2086" s="18"/>
      <c r="K2086" s="18"/>
      <c r="L2086" s="18"/>
      <c r="M2086" s="18"/>
    </row>
    <row r="2087" s="65" customFormat="1" ht="13.5" spans="1:13">
      <c r="A2087" s="66"/>
      <c r="E2087" s="72" t="s">
        <v>2162</v>
      </c>
      <c r="F2087" s="18"/>
      <c r="G2087" s="18"/>
      <c r="H2087" s="18"/>
      <c r="I2087" s="18"/>
      <c r="J2087" s="18"/>
      <c r="K2087" s="18"/>
      <c r="L2087" s="18"/>
      <c r="M2087" s="18"/>
    </row>
    <row r="2088" s="65" customFormat="1" ht="13.5" spans="1:13">
      <c r="A2088" s="66"/>
      <c r="E2088" s="72" t="s">
        <v>2163</v>
      </c>
      <c r="F2088" s="18"/>
      <c r="G2088" s="18"/>
      <c r="H2088" s="18"/>
      <c r="I2088" s="18"/>
      <c r="J2088" s="18"/>
      <c r="K2088" s="18"/>
      <c r="L2088" s="18"/>
      <c r="M2088" s="18"/>
    </row>
    <row r="2089" s="65" customFormat="1" ht="13.5" spans="1:13">
      <c r="A2089" s="66"/>
      <c r="E2089" s="72" t="s">
        <v>2164</v>
      </c>
      <c r="F2089" s="18"/>
      <c r="G2089" s="18"/>
      <c r="H2089" s="18"/>
      <c r="I2089" s="18"/>
      <c r="J2089" s="18"/>
      <c r="K2089" s="18"/>
      <c r="L2089" s="18"/>
      <c r="M2089" s="18"/>
    </row>
    <row r="2090" s="65" customFormat="1" ht="13.5" spans="1:13">
      <c r="A2090" s="66"/>
      <c r="E2090" s="72" t="s">
        <v>2165</v>
      </c>
      <c r="F2090" s="18"/>
      <c r="G2090" s="18"/>
      <c r="H2090" s="18"/>
      <c r="I2090" s="18"/>
      <c r="J2090" s="18"/>
      <c r="K2090" s="18"/>
      <c r="L2090" s="18"/>
      <c r="M2090" s="18"/>
    </row>
    <row r="2091" s="65" customFormat="1" ht="13.5" spans="1:13">
      <c r="A2091" s="66"/>
      <c r="E2091" s="72" t="s">
        <v>2166</v>
      </c>
      <c r="F2091" s="18"/>
      <c r="G2091" s="18"/>
      <c r="H2091" s="18"/>
      <c r="I2091" s="18"/>
      <c r="J2091" s="18"/>
      <c r="K2091" s="18"/>
      <c r="L2091" s="18"/>
      <c r="M2091" s="18"/>
    </row>
    <row r="2092" s="65" customFormat="1" ht="13.5" spans="1:13">
      <c r="A2092" s="66"/>
      <c r="E2092" s="72" t="s">
        <v>2167</v>
      </c>
      <c r="F2092" s="18"/>
      <c r="G2092" s="18"/>
      <c r="H2092" s="18"/>
      <c r="I2092" s="18"/>
      <c r="J2092" s="18"/>
      <c r="K2092" s="18"/>
      <c r="L2092" s="18"/>
      <c r="M2092" s="18"/>
    </row>
    <row r="2093" s="65" customFormat="1" ht="13.5" spans="1:13">
      <c r="A2093" s="66"/>
      <c r="E2093" s="72" t="s">
        <v>2168</v>
      </c>
      <c r="F2093" s="18"/>
      <c r="G2093" s="18"/>
      <c r="H2093" s="18"/>
      <c r="I2093" s="18"/>
      <c r="J2093" s="18"/>
      <c r="K2093" s="18"/>
      <c r="L2093" s="18"/>
      <c r="M2093" s="18"/>
    </row>
    <row r="2094" s="65" customFormat="1" ht="13.5" spans="1:13">
      <c r="A2094" s="66"/>
      <c r="E2094" s="72" t="s">
        <v>2169</v>
      </c>
      <c r="F2094" s="18"/>
      <c r="G2094" s="18"/>
      <c r="H2094" s="18"/>
      <c r="I2094" s="18"/>
      <c r="J2094" s="18"/>
      <c r="K2094" s="18"/>
      <c r="L2094" s="18"/>
      <c r="M2094" s="18"/>
    </row>
    <row r="2095" s="65" customFormat="1" ht="13.5" spans="1:13">
      <c r="A2095" s="66"/>
      <c r="E2095" s="72" t="s">
        <v>2170</v>
      </c>
      <c r="F2095" s="18"/>
      <c r="G2095" s="18"/>
      <c r="H2095" s="18"/>
      <c r="I2095" s="18"/>
      <c r="J2095" s="18"/>
      <c r="K2095" s="18"/>
      <c r="L2095" s="18"/>
      <c r="M2095" s="18"/>
    </row>
    <row r="2096" s="65" customFormat="1" ht="13.5" spans="1:13">
      <c r="A2096" s="66"/>
      <c r="E2096" s="72" t="s">
        <v>2171</v>
      </c>
      <c r="F2096" s="18"/>
      <c r="G2096" s="18"/>
      <c r="H2096" s="18"/>
      <c r="I2096" s="18"/>
      <c r="J2096" s="18"/>
      <c r="K2096" s="18"/>
      <c r="L2096" s="18"/>
      <c r="M2096" s="18"/>
    </row>
    <row r="2097" s="65" customFormat="1" ht="13.5" spans="1:13">
      <c r="A2097" s="66"/>
      <c r="E2097" s="72" t="s">
        <v>2172</v>
      </c>
      <c r="F2097" s="18"/>
      <c r="G2097" s="18"/>
      <c r="H2097" s="18"/>
      <c r="I2097" s="18"/>
      <c r="J2097" s="18"/>
      <c r="K2097" s="18"/>
      <c r="L2097" s="18"/>
      <c r="M2097" s="18"/>
    </row>
    <row r="2098" s="65" customFormat="1" ht="13.5" spans="1:13">
      <c r="A2098" s="66"/>
      <c r="E2098" s="72" t="s">
        <v>2173</v>
      </c>
      <c r="F2098" s="18"/>
      <c r="G2098" s="18"/>
      <c r="H2098" s="18"/>
      <c r="I2098" s="18"/>
      <c r="J2098" s="18"/>
      <c r="K2098" s="18"/>
      <c r="L2098" s="18"/>
      <c r="M2098" s="18"/>
    </row>
    <row r="2099" s="65" customFormat="1" ht="13.5" spans="1:13">
      <c r="A2099" s="66"/>
      <c r="E2099" s="72" t="s">
        <v>2174</v>
      </c>
      <c r="F2099" s="18"/>
      <c r="G2099" s="18"/>
      <c r="H2099" s="18"/>
      <c r="I2099" s="18"/>
      <c r="J2099" s="18"/>
      <c r="K2099" s="18"/>
      <c r="L2099" s="18"/>
      <c r="M2099" s="18"/>
    </row>
    <row r="2100" s="65" customFormat="1" ht="13.5" spans="1:13">
      <c r="A2100" s="66"/>
      <c r="E2100" s="72" t="s">
        <v>2175</v>
      </c>
      <c r="F2100" s="18"/>
      <c r="G2100" s="18"/>
      <c r="H2100" s="18"/>
      <c r="I2100" s="18"/>
      <c r="J2100" s="18"/>
      <c r="K2100" s="18"/>
      <c r="L2100" s="18"/>
      <c r="M2100" s="18"/>
    </row>
    <row r="2101" s="65" customFormat="1" ht="13.5" spans="1:13">
      <c r="A2101" s="66"/>
      <c r="E2101" s="72" t="s">
        <v>2176</v>
      </c>
      <c r="F2101" s="18"/>
      <c r="G2101" s="18"/>
      <c r="H2101" s="18"/>
      <c r="I2101" s="18"/>
      <c r="J2101" s="18"/>
      <c r="K2101" s="18"/>
      <c r="L2101" s="18"/>
      <c r="M2101" s="18"/>
    </row>
    <row r="2102" s="65" customFormat="1" ht="13.5" spans="1:13">
      <c r="A2102" s="66"/>
      <c r="E2102" s="72" t="s">
        <v>2177</v>
      </c>
      <c r="F2102" s="18"/>
      <c r="G2102" s="18"/>
      <c r="H2102" s="18"/>
      <c r="I2102" s="18"/>
      <c r="J2102" s="18"/>
      <c r="K2102" s="18"/>
      <c r="L2102" s="18"/>
      <c r="M2102" s="18"/>
    </row>
    <row r="2103" s="65" customFormat="1" ht="13.5" spans="1:13">
      <c r="A2103" s="66"/>
      <c r="E2103" s="72" t="s">
        <v>2178</v>
      </c>
      <c r="F2103" s="18"/>
      <c r="G2103" s="18"/>
      <c r="H2103" s="18"/>
      <c r="I2103" s="18"/>
      <c r="J2103" s="18"/>
      <c r="K2103" s="18"/>
      <c r="L2103" s="18"/>
      <c r="M2103" s="18"/>
    </row>
    <row r="2104" s="65" customFormat="1" ht="13.5" spans="1:13">
      <c r="A2104" s="66"/>
      <c r="E2104" s="72" t="s">
        <v>2179</v>
      </c>
      <c r="F2104" s="18"/>
      <c r="G2104" s="18"/>
      <c r="H2104" s="18"/>
      <c r="I2104" s="18"/>
      <c r="J2104" s="18"/>
      <c r="K2104" s="18"/>
      <c r="L2104" s="18"/>
      <c r="M2104" s="18"/>
    </row>
    <row r="2105" s="65" customFormat="1" ht="13.5" spans="1:13">
      <c r="A2105" s="66"/>
      <c r="E2105" s="72" t="s">
        <v>2180</v>
      </c>
      <c r="F2105" s="18"/>
      <c r="G2105" s="18"/>
      <c r="H2105" s="18"/>
      <c r="I2105" s="18"/>
      <c r="J2105" s="18"/>
      <c r="K2105" s="18"/>
      <c r="L2105" s="18"/>
      <c r="M2105" s="18"/>
    </row>
    <row r="2106" s="65" customFormat="1" ht="13.5" spans="1:13">
      <c r="A2106" s="66"/>
      <c r="E2106" s="72" t="s">
        <v>2181</v>
      </c>
      <c r="F2106" s="18"/>
      <c r="G2106" s="18"/>
      <c r="H2106" s="18"/>
      <c r="I2106" s="18"/>
      <c r="J2106" s="18"/>
      <c r="K2106" s="18"/>
      <c r="L2106" s="18"/>
      <c r="M2106" s="18"/>
    </row>
    <row r="2107" s="65" customFormat="1" ht="13.5" spans="1:13">
      <c r="A2107" s="66"/>
      <c r="E2107" s="72" t="s">
        <v>2182</v>
      </c>
      <c r="F2107" s="18"/>
      <c r="G2107" s="18"/>
      <c r="H2107" s="18"/>
      <c r="I2107" s="18"/>
      <c r="J2107" s="18"/>
      <c r="K2107" s="18"/>
      <c r="L2107" s="18"/>
      <c r="M2107" s="18"/>
    </row>
    <row r="2108" s="65" customFormat="1" ht="13.5" spans="1:13">
      <c r="A2108" s="66"/>
      <c r="E2108" s="72" t="s">
        <v>2183</v>
      </c>
      <c r="F2108" s="18"/>
      <c r="G2108" s="18"/>
      <c r="H2108" s="18"/>
      <c r="I2108" s="18"/>
      <c r="J2108" s="18"/>
      <c r="K2108" s="18"/>
      <c r="L2108" s="18"/>
      <c r="M2108" s="18"/>
    </row>
    <row r="2109" s="65" customFormat="1" ht="13.5" spans="1:13">
      <c r="A2109" s="66"/>
      <c r="E2109" s="72" t="s">
        <v>2184</v>
      </c>
      <c r="F2109" s="18"/>
      <c r="G2109" s="18"/>
      <c r="H2109" s="18"/>
      <c r="I2109" s="18"/>
      <c r="J2109" s="18"/>
      <c r="K2109" s="18"/>
      <c r="L2109" s="18"/>
      <c r="M2109" s="18"/>
    </row>
    <row r="2110" s="65" customFormat="1" ht="13.5" spans="1:13">
      <c r="A2110" s="66"/>
      <c r="E2110" s="72" t="s">
        <v>2185</v>
      </c>
      <c r="F2110" s="18"/>
      <c r="G2110" s="18"/>
      <c r="H2110" s="18"/>
      <c r="I2110" s="18"/>
      <c r="J2110" s="18"/>
      <c r="K2110" s="18"/>
      <c r="L2110" s="18"/>
      <c r="M2110" s="18"/>
    </row>
    <row r="2111" s="65" customFormat="1" ht="13.5" spans="1:13">
      <c r="A2111" s="66"/>
      <c r="E2111" s="72" t="s">
        <v>2186</v>
      </c>
      <c r="F2111" s="18"/>
      <c r="G2111" s="18"/>
      <c r="H2111" s="18"/>
      <c r="I2111" s="18"/>
      <c r="J2111" s="18"/>
      <c r="K2111" s="18"/>
      <c r="L2111" s="18"/>
      <c r="M2111" s="18"/>
    </row>
    <row r="2112" s="65" customFormat="1" ht="13.5" spans="1:13">
      <c r="A2112" s="66"/>
      <c r="E2112" s="72" t="s">
        <v>2187</v>
      </c>
      <c r="F2112" s="18"/>
      <c r="G2112" s="18"/>
      <c r="H2112" s="18"/>
      <c r="I2112" s="18"/>
      <c r="J2112" s="18"/>
      <c r="K2112" s="18"/>
      <c r="L2112" s="18"/>
      <c r="M2112" s="18"/>
    </row>
    <row r="2113" s="65" customFormat="1" ht="13.5" spans="1:13">
      <c r="A2113" s="66"/>
      <c r="E2113" s="72" t="s">
        <v>2188</v>
      </c>
      <c r="F2113" s="18"/>
      <c r="G2113" s="18"/>
      <c r="H2113" s="18"/>
      <c r="I2113" s="18"/>
      <c r="J2113" s="18"/>
      <c r="K2113" s="18"/>
      <c r="L2113" s="18"/>
      <c r="M2113" s="18"/>
    </row>
    <row r="2114" s="65" customFormat="1" ht="13.5" spans="1:13">
      <c r="A2114" s="66"/>
      <c r="E2114" s="72" t="s">
        <v>2189</v>
      </c>
      <c r="F2114" s="18"/>
      <c r="G2114" s="18"/>
      <c r="H2114" s="18"/>
      <c r="I2114" s="18"/>
      <c r="J2114" s="18"/>
      <c r="K2114" s="18"/>
      <c r="L2114" s="18"/>
      <c r="M2114" s="18"/>
    </row>
    <row r="2115" s="65" customFormat="1" ht="13.5" spans="1:13">
      <c r="A2115" s="66"/>
      <c r="E2115" s="72" t="s">
        <v>2190</v>
      </c>
      <c r="F2115" s="18"/>
      <c r="G2115" s="18"/>
      <c r="H2115" s="18"/>
      <c r="I2115" s="18"/>
      <c r="J2115" s="18"/>
      <c r="K2115" s="18"/>
      <c r="L2115" s="18"/>
      <c r="M2115" s="18"/>
    </row>
    <row r="2116" s="65" customFormat="1" ht="13.5" spans="1:13">
      <c r="A2116" s="66"/>
      <c r="E2116" s="72" t="s">
        <v>2191</v>
      </c>
      <c r="F2116" s="18"/>
      <c r="G2116" s="18"/>
      <c r="H2116" s="18"/>
      <c r="I2116" s="18"/>
      <c r="J2116" s="18"/>
      <c r="K2116" s="18"/>
      <c r="L2116" s="18"/>
      <c r="M2116" s="18"/>
    </row>
    <row r="2117" s="65" customFormat="1" ht="13.5" spans="1:13">
      <c r="A2117" s="66"/>
      <c r="E2117" s="72" t="s">
        <v>2192</v>
      </c>
      <c r="F2117" s="18"/>
      <c r="G2117" s="18"/>
      <c r="H2117" s="18"/>
      <c r="I2117" s="18"/>
      <c r="J2117" s="18"/>
      <c r="K2117" s="18"/>
      <c r="L2117" s="18"/>
      <c r="M2117" s="18"/>
    </row>
    <row r="2118" s="65" customFormat="1" ht="13.5" spans="1:13">
      <c r="A2118" s="66"/>
      <c r="E2118" s="72" t="s">
        <v>2193</v>
      </c>
      <c r="F2118" s="18"/>
      <c r="G2118" s="18"/>
      <c r="H2118" s="18"/>
      <c r="I2118" s="18"/>
      <c r="J2118" s="18"/>
      <c r="K2118" s="18"/>
      <c r="L2118" s="18"/>
      <c r="M2118" s="18"/>
    </row>
    <row r="2119" s="65" customFormat="1" ht="13.5" spans="1:13">
      <c r="A2119" s="66"/>
      <c r="E2119" s="72" t="s">
        <v>2194</v>
      </c>
      <c r="F2119" s="18"/>
      <c r="G2119" s="18"/>
      <c r="H2119" s="18"/>
      <c r="I2119" s="18"/>
      <c r="J2119" s="18"/>
      <c r="K2119" s="18"/>
      <c r="L2119" s="18"/>
      <c r="M2119" s="18"/>
    </row>
    <row r="2120" s="65" customFormat="1" ht="13.5" spans="1:13">
      <c r="A2120" s="66"/>
      <c r="E2120" s="72" t="s">
        <v>2195</v>
      </c>
      <c r="F2120" s="18"/>
      <c r="G2120" s="18"/>
      <c r="H2120" s="18"/>
      <c r="I2120" s="18"/>
      <c r="J2120" s="18"/>
      <c r="K2120" s="18"/>
      <c r="L2120" s="18"/>
      <c r="M2120" s="18"/>
    </row>
    <row r="2121" s="65" customFormat="1" ht="13.5" spans="1:13">
      <c r="A2121" s="66"/>
      <c r="E2121" s="72" t="s">
        <v>2196</v>
      </c>
      <c r="F2121" s="18"/>
      <c r="G2121" s="18"/>
      <c r="H2121" s="18"/>
      <c r="I2121" s="18"/>
      <c r="J2121" s="18"/>
      <c r="K2121" s="18"/>
      <c r="L2121" s="18"/>
      <c r="M2121" s="18"/>
    </row>
    <row r="2122" s="65" customFormat="1" ht="13.5" spans="1:13">
      <c r="A2122" s="66"/>
      <c r="E2122" s="72" t="s">
        <v>2197</v>
      </c>
      <c r="F2122" s="18"/>
      <c r="G2122" s="18"/>
      <c r="H2122" s="18"/>
      <c r="I2122" s="18"/>
      <c r="J2122" s="18"/>
      <c r="K2122" s="18"/>
      <c r="L2122" s="18"/>
      <c r="M2122" s="18"/>
    </row>
    <row r="2123" s="65" customFormat="1" ht="13.5" spans="1:13">
      <c r="A2123" s="66"/>
      <c r="E2123" s="72" t="s">
        <v>2198</v>
      </c>
      <c r="F2123" s="18"/>
      <c r="G2123" s="18"/>
      <c r="H2123" s="18"/>
      <c r="I2123" s="18"/>
      <c r="J2123" s="18"/>
      <c r="K2123" s="18"/>
      <c r="L2123" s="18"/>
      <c r="M2123" s="18"/>
    </row>
    <row r="2124" s="65" customFormat="1" ht="13.5" spans="1:13">
      <c r="A2124" s="66"/>
      <c r="E2124" s="72" t="s">
        <v>2199</v>
      </c>
      <c r="F2124" s="18"/>
      <c r="G2124" s="18"/>
      <c r="H2124" s="18"/>
      <c r="I2124" s="18"/>
      <c r="J2124" s="18"/>
      <c r="K2124" s="18"/>
      <c r="L2124" s="18"/>
      <c r="M2124" s="18"/>
    </row>
    <row r="2125" s="65" customFormat="1" ht="13.5" spans="1:13">
      <c r="A2125" s="66"/>
      <c r="E2125" s="72" t="s">
        <v>2200</v>
      </c>
      <c r="F2125" s="18"/>
      <c r="G2125" s="18"/>
      <c r="H2125" s="18"/>
      <c r="I2125" s="18"/>
      <c r="J2125" s="18"/>
      <c r="K2125" s="18"/>
      <c r="L2125" s="18"/>
      <c r="M2125" s="18"/>
    </row>
    <row r="2126" s="65" customFormat="1" ht="13.5" spans="1:13">
      <c r="A2126" s="66"/>
      <c r="E2126" s="72" t="s">
        <v>2201</v>
      </c>
      <c r="F2126" s="18"/>
      <c r="G2126" s="18"/>
      <c r="H2126" s="18"/>
      <c r="I2126" s="18"/>
      <c r="J2126" s="18"/>
      <c r="K2126" s="18"/>
      <c r="L2126" s="18"/>
      <c r="M2126" s="18"/>
    </row>
    <row r="2127" s="65" customFormat="1" ht="13.5" spans="1:13">
      <c r="A2127" s="66"/>
      <c r="E2127" s="72" t="s">
        <v>2202</v>
      </c>
      <c r="F2127" s="18"/>
      <c r="G2127" s="18"/>
      <c r="H2127" s="18"/>
      <c r="I2127" s="18"/>
      <c r="J2127" s="18"/>
      <c r="K2127" s="18"/>
      <c r="L2127" s="18"/>
      <c r="M2127" s="18"/>
    </row>
    <row r="2128" s="65" customFormat="1" ht="13.5" spans="1:13">
      <c r="A2128" s="66"/>
      <c r="E2128" s="72" t="s">
        <v>2203</v>
      </c>
      <c r="F2128" s="18"/>
      <c r="G2128" s="18"/>
      <c r="H2128" s="18"/>
      <c r="I2128" s="18"/>
      <c r="J2128" s="18"/>
      <c r="K2128" s="18"/>
      <c r="L2128" s="18"/>
      <c r="M2128" s="18"/>
    </row>
    <row r="2129" s="65" customFormat="1" ht="13.5" spans="1:13">
      <c r="A2129" s="66"/>
      <c r="E2129" s="72" t="s">
        <v>2204</v>
      </c>
      <c r="F2129" s="18"/>
      <c r="G2129" s="18"/>
      <c r="H2129" s="18"/>
      <c r="I2129" s="18"/>
      <c r="J2129" s="18"/>
      <c r="K2129" s="18"/>
      <c r="L2129" s="18"/>
      <c r="M2129" s="18"/>
    </row>
    <row r="2130" s="65" customFormat="1" ht="13.5" spans="1:13">
      <c r="A2130" s="66"/>
      <c r="E2130" s="72" t="s">
        <v>2205</v>
      </c>
      <c r="F2130" s="18"/>
      <c r="G2130" s="18"/>
      <c r="H2130" s="18"/>
      <c r="I2130" s="18"/>
      <c r="J2130" s="18"/>
      <c r="K2130" s="18"/>
      <c r="L2130" s="18"/>
      <c r="M2130" s="18"/>
    </row>
    <row r="2131" s="65" customFormat="1" ht="13.5" spans="1:13">
      <c r="A2131" s="66"/>
      <c r="E2131" s="72" t="s">
        <v>2206</v>
      </c>
      <c r="F2131" s="18"/>
      <c r="G2131" s="18"/>
      <c r="H2131" s="18"/>
      <c r="I2131" s="18"/>
      <c r="J2131" s="18"/>
      <c r="K2131" s="18"/>
      <c r="L2131" s="18"/>
      <c r="M2131" s="18"/>
    </row>
    <row r="2132" s="65" customFormat="1" ht="13.5" spans="1:13">
      <c r="A2132" s="66"/>
      <c r="E2132" s="72" t="s">
        <v>2207</v>
      </c>
      <c r="F2132" s="18"/>
      <c r="G2132" s="18"/>
      <c r="H2132" s="18"/>
      <c r="I2132" s="18"/>
      <c r="J2132" s="18"/>
      <c r="K2132" s="18"/>
      <c r="L2132" s="18"/>
      <c r="M2132" s="18"/>
    </row>
    <row r="2133" s="65" customFormat="1" ht="13.5" spans="1:13">
      <c r="A2133" s="66"/>
      <c r="E2133" s="72" t="s">
        <v>2208</v>
      </c>
      <c r="F2133" s="18"/>
      <c r="G2133" s="18"/>
      <c r="H2133" s="18"/>
      <c r="I2133" s="18"/>
      <c r="J2133" s="18"/>
      <c r="K2133" s="18"/>
      <c r="L2133" s="18"/>
      <c r="M2133" s="18"/>
    </row>
    <row r="2134" s="65" customFormat="1" ht="13.5" spans="1:13">
      <c r="A2134" s="66"/>
      <c r="E2134" s="72" t="s">
        <v>2209</v>
      </c>
      <c r="F2134" s="18"/>
      <c r="G2134" s="18"/>
      <c r="H2134" s="18"/>
      <c r="I2134" s="18"/>
      <c r="J2134" s="18"/>
      <c r="K2134" s="18"/>
      <c r="L2134" s="18"/>
      <c r="M2134" s="18"/>
    </row>
    <row r="2135" s="65" customFormat="1" ht="13.5" spans="1:13">
      <c r="A2135" s="66"/>
      <c r="E2135" s="72" t="s">
        <v>2210</v>
      </c>
      <c r="F2135" s="18"/>
      <c r="G2135" s="18"/>
      <c r="H2135" s="18"/>
      <c r="I2135" s="18"/>
      <c r="J2135" s="18"/>
      <c r="K2135" s="18"/>
      <c r="L2135" s="18"/>
      <c r="M2135" s="18"/>
    </row>
    <row r="2136" s="65" customFormat="1" ht="13.5" spans="1:13">
      <c r="A2136" s="66"/>
      <c r="E2136" s="72" t="s">
        <v>2211</v>
      </c>
      <c r="F2136" s="18"/>
      <c r="G2136" s="18"/>
      <c r="H2136" s="18"/>
      <c r="I2136" s="18"/>
      <c r="J2136" s="18"/>
      <c r="K2136" s="18"/>
      <c r="L2136" s="18"/>
      <c r="M2136" s="18"/>
    </row>
    <row r="2137" s="65" customFormat="1" ht="13.5" spans="1:13">
      <c r="A2137" s="66"/>
      <c r="E2137" s="72" t="s">
        <v>2212</v>
      </c>
      <c r="F2137" s="18"/>
      <c r="G2137" s="18"/>
      <c r="H2137" s="18"/>
      <c r="I2137" s="18"/>
      <c r="J2137" s="18"/>
      <c r="K2137" s="18"/>
      <c r="L2137" s="18"/>
      <c r="M2137" s="18"/>
    </row>
    <row r="2138" s="65" customFormat="1" ht="13.5" spans="1:13">
      <c r="A2138" s="66"/>
      <c r="E2138" s="72" t="s">
        <v>2213</v>
      </c>
      <c r="F2138" s="18"/>
      <c r="G2138" s="18"/>
      <c r="H2138" s="18"/>
      <c r="I2138" s="18"/>
      <c r="J2138" s="18"/>
      <c r="K2138" s="18"/>
      <c r="L2138" s="18"/>
      <c r="M2138" s="18"/>
    </row>
    <row r="2139" s="65" customFormat="1" ht="13.5" spans="1:13">
      <c r="A2139" s="66"/>
      <c r="E2139" s="72" t="s">
        <v>2214</v>
      </c>
      <c r="F2139" s="18"/>
      <c r="G2139" s="18"/>
      <c r="H2139" s="18"/>
      <c r="I2139" s="18"/>
      <c r="J2139" s="18"/>
      <c r="K2139" s="18"/>
      <c r="L2139" s="18"/>
      <c r="M2139" s="18"/>
    </row>
    <row r="2140" s="65" customFormat="1" ht="13.5" spans="1:13">
      <c r="A2140" s="66"/>
      <c r="E2140" s="72" t="s">
        <v>2215</v>
      </c>
      <c r="F2140" s="18"/>
      <c r="G2140" s="18"/>
      <c r="H2140" s="18"/>
      <c r="I2140" s="18"/>
      <c r="J2140" s="18"/>
      <c r="K2140" s="18"/>
      <c r="L2140" s="18"/>
      <c r="M2140" s="18"/>
    </row>
    <row r="2141" s="65" customFormat="1" ht="13.5" spans="1:13">
      <c r="A2141" s="66"/>
      <c r="E2141" s="72" t="s">
        <v>2216</v>
      </c>
      <c r="F2141" s="18"/>
      <c r="G2141" s="18"/>
      <c r="H2141" s="18"/>
      <c r="I2141" s="18"/>
      <c r="J2141" s="18"/>
      <c r="K2141" s="18"/>
      <c r="L2141" s="18"/>
      <c r="M2141" s="18"/>
    </row>
    <row r="2142" s="65" customFormat="1" ht="13.5" spans="1:13">
      <c r="A2142" s="66"/>
      <c r="E2142" s="72" t="s">
        <v>2217</v>
      </c>
      <c r="F2142" s="18"/>
      <c r="G2142" s="18"/>
      <c r="H2142" s="18"/>
      <c r="I2142" s="18"/>
      <c r="J2142" s="18"/>
      <c r="K2142" s="18"/>
      <c r="L2142" s="18"/>
      <c r="M2142" s="18"/>
    </row>
    <row r="2143" s="65" customFormat="1" ht="13.5" spans="1:13">
      <c r="A2143" s="66"/>
      <c r="E2143" s="72" t="s">
        <v>2218</v>
      </c>
      <c r="F2143" s="18"/>
      <c r="G2143" s="18"/>
      <c r="H2143" s="18"/>
      <c r="I2143" s="18"/>
      <c r="J2143" s="18"/>
      <c r="K2143" s="18"/>
      <c r="L2143" s="18"/>
      <c r="M2143" s="18"/>
    </row>
    <row r="2144" s="65" customFormat="1" ht="13.5" spans="1:13">
      <c r="A2144" s="66"/>
      <c r="E2144" s="72" t="s">
        <v>2219</v>
      </c>
      <c r="F2144" s="18"/>
      <c r="G2144" s="18"/>
      <c r="H2144" s="18"/>
      <c r="I2144" s="18"/>
      <c r="J2144" s="18"/>
      <c r="K2144" s="18"/>
      <c r="L2144" s="18"/>
      <c r="M2144" s="18"/>
    </row>
    <row r="2145" s="65" customFormat="1" ht="13.5" spans="1:13">
      <c r="A2145" s="66"/>
      <c r="E2145" s="72" t="s">
        <v>2220</v>
      </c>
      <c r="F2145" s="18"/>
      <c r="G2145" s="18"/>
      <c r="H2145" s="18"/>
      <c r="I2145" s="18"/>
      <c r="J2145" s="18"/>
      <c r="K2145" s="18"/>
      <c r="L2145" s="18"/>
      <c r="M2145" s="18"/>
    </row>
    <row r="2146" s="65" customFormat="1" ht="13.5" spans="1:13">
      <c r="A2146" s="66"/>
      <c r="E2146" s="72" t="s">
        <v>2221</v>
      </c>
      <c r="F2146" s="18"/>
      <c r="G2146" s="18"/>
      <c r="H2146" s="18"/>
      <c r="I2146" s="18"/>
      <c r="J2146" s="18"/>
      <c r="K2146" s="18"/>
      <c r="L2146" s="18"/>
      <c r="M2146" s="18"/>
    </row>
    <row r="2147" s="65" customFormat="1" ht="13.5" spans="1:13">
      <c r="A2147" s="66"/>
      <c r="E2147" s="72" t="s">
        <v>2222</v>
      </c>
      <c r="F2147" s="18"/>
      <c r="G2147" s="18"/>
      <c r="H2147" s="18"/>
      <c r="I2147" s="18"/>
      <c r="J2147" s="18"/>
      <c r="K2147" s="18"/>
      <c r="L2147" s="18"/>
      <c r="M2147" s="18"/>
    </row>
    <row r="2148" s="65" customFormat="1" ht="13.5" spans="1:13">
      <c r="A2148" s="66"/>
      <c r="E2148" s="72" t="s">
        <v>2223</v>
      </c>
      <c r="F2148" s="18"/>
      <c r="G2148" s="18"/>
      <c r="H2148" s="18"/>
      <c r="I2148" s="18"/>
      <c r="J2148" s="18"/>
      <c r="K2148" s="18"/>
      <c r="L2148" s="18"/>
      <c r="M2148" s="18"/>
    </row>
    <row r="2149" s="65" customFormat="1" ht="13.5" spans="1:13">
      <c r="A2149" s="66"/>
      <c r="E2149" s="72" t="s">
        <v>2224</v>
      </c>
      <c r="F2149" s="18"/>
      <c r="G2149" s="18"/>
      <c r="H2149" s="18"/>
      <c r="I2149" s="18"/>
      <c r="J2149" s="18"/>
      <c r="K2149" s="18"/>
      <c r="L2149" s="18"/>
      <c r="M2149" s="18"/>
    </row>
    <row r="2150" s="65" customFormat="1" ht="13.5" spans="1:13">
      <c r="A2150" s="66"/>
      <c r="E2150" s="72" t="s">
        <v>2225</v>
      </c>
      <c r="F2150" s="18"/>
      <c r="G2150" s="18"/>
      <c r="H2150" s="18"/>
      <c r="I2150" s="18"/>
      <c r="J2150" s="18"/>
      <c r="K2150" s="18"/>
      <c r="L2150" s="18"/>
      <c r="M2150" s="18"/>
    </row>
    <row r="2151" s="65" customFormat="1" ht="13.5" spans="1:13">
      <c r="A2151" s="66"/>
      <c r="E2151" s="72" t="s">
        <v>2226</v>
      </c>
      <c r="F2151" s="18"/>
      <c r="G2151" s="18"/>
      <c r="H2151" s="18"/>
      <c r="I2151" s="18"/>
      <c r="J2151" s="18"/>
      <c r="K2151" s="18"/>
      <c r="L2151" s="18"/>
      <c r="M2151" s="18"/>
    </row>
    <row r="2152" s="65" customFormat="1" ht="13.5" spans="1:13">
      <c r="A2152" s="66"/>
      <c r="E2152" s="72" t="s">
        <v>2227</v>
      </c>
      <c r="F2152" s="18"/>
      <c r="G2152" s="18"/>
      <c r="H2152" s="18"/>
      <c r="I2152" s="18"/>
      <c r="J2152" s="18"/>
      <c r="K2152" s="18"/>
      <c r="L2152" s="18"/>
      <c r="M2152" s="18"/>
    </row>
    <row r="2153" s="65" customFormat="1" ht="13.5" spans="1:13">
      <c r="A2153" s="66"/>
      <c r="E2153" s="72" t="s">
        <v>2228</v>
      </c>
      <c r="F2153" s="18"/>
      <c r="G2153" s="18"/>
      <c r="H2153" s="18"/>
      <c r="I2153" s="18"/>
      <c r="J2153" s="18"/>
      <c r="K2153" s="18"/>
      <c r="L2153" s="18"/>
      <c r="M2153" s="18"/>
    </row>
    <row r="2154" s="65" customFormat="1" ht="13.5" spans="1:13">
      <c r="A2154" s="66"/>
      <c r="E2154" s="72" t="s">
        <v>2229</v>
      </c>
      <c r="F2154" s="18"/>
      <c r="G2154" s="18"/>
      <c r="H2154" s="18"/>
      <c r="I2154" s="18"/>
      <c r="J2154" s="18"/>
      <c r="K2154" s="18"/>
      <c r="L2154" s="18"/>
      <c r="M2154" s="18"/>
    </row>
    <row r="2155" s="65" customFormat="1" ht="13.5" spans="1:13">
      <c r="A2155" s="66"/>
      <c r="E2155" s="72" t="s">
        <v>2230</v>
      </c>
      <c r="F2155" s="18"/>
      <c r="G2155" s="18"/>
      <c r="H2155" s="18"/>
      <c r="I2155" s="18"/>
      <c r="J2155" s="18"/>
      <c r="K2155" s="18"/>
      <c r="L2155" s="18"/>
      <c r="M2155" s="18"/>
    </row>
    <row r="2156" s="65" customFormat="1" ht="13.5" spans="1:13">
      <c r="A2156" s="66"/>
      <c r="E2156" s="72" t="s">
        <v>2231</v>
      </c>
      <c r="F2156" s="18"/>
      <c r="G2156" s="18"/>
      <c r="H2156" s="18"/>
      <c r="I2156" s="18"/>
      <c r="J2156" s="18"/>
      <c r="K2156" s="18"/>
      <c r="L2156" s="18"/>
      <c r="M2156" s="18"/>
    </row>
    <row r="2157" s="65" customFormat="1" ht="13.5" spans="1:13">
      <c r="A2157" s="66"/>
      <c r="E2157" s="72" t="s">
        <v>2232</v>
      </c>
      <c r="F2157" s="18"/>
      <c r="G2157" s="18"/>
      <c r="H2157" s="18"/>
      <c r="I2157" s="18"/>
      <c r="J2157" s="18"/>
      <c r="K2157" s="18"/>
      <c r="L2157" s="18"/>
      <c r="M2157" s="18"/>
    </row>
    <row r="2158" s="65" customFormat="1" ht="13.5" spans="1:13">
      <c r="A2158" s="66"/>
      <c r="E2158" s="72" t="s">
        <v>2233</v>
      </c>
      <c r="F2158" s="18"/>
      <c r="G2158" s="18"/>
      <c r="H2158" s="18"/>
      <c r="I2158" s="18"/>
      <c r="J2158" s="18"/>
      <c r="K2158" s="18"/>
      <c r="L2158" s="18"/>
      <c r="M2158" s="18"/>
    </row>
    <row r="2159" s="65" customFormat="1" ht="13.5" spans="1:13">
      <c r="A2159" s="66"/>
      <c r="E2159" s="72" t="s">
        <v>2234</v>
      </c>
      <c r="F2159" s="18"/>
      <c r="G2159" s="18"/>
      <c r="H2159" s="18"/>
      <c r="I2159" s="18"/>
      <c r="J2159" s="18"/>
      <c r="K2159" s="18"/>
      <c r="L2159" s="18"/>
      <c r="M2159" s="18"/>
    </row>
    <row r="2160" s="65" customFormat="1" ht="13.5" spans="1:13">
      <c r="A2160" s="66"/>
      <c r="E2160" s="72" t="s">
        <v>2235</v>
      </c>
      <c r="F2160" s="18"/>
      <c r="G2160" s="18"/>
      <c r="H2160" s="18"/>
      <c r="I2160" s="18"/>
      <c r="J2160" s="18"/>
      <c r="K2160" s="18"/>
      <c r="L2160" s="18"/>
      <c r="M2160" s="18"/>
    </row>
    <row r="2161" s="65" customFormat="1" ht="13.5" spans="1:13">
      <c r="A2161" s="66"/>
      <c r="E2161" s="72" t="s">
        <v>2236</v>
      </c>
      <c r="F2161" s="18"/>
      <c r="G2161" s="18"/>
      <c r="H2161" s="18"/>
      <c r="I2161" s="18"/>
      <c r="J2161" s="18"/>
      <c r="K2161" s="18"/>
      <c r="L2161" s="18"/>
      <c r="M2161" s="18"/>
    </row>
    <row r="2162" s="65" customFormat="1" ht="13.5" spans="1:13">
      <c r="A2162" s="66"/>
      <c r="E2162" s="72" t="s">
        <v>2237</v>
      </c>
      <c r="F2162" s="18"/>
      <c r="G2162" s="18"/>
      <c r="H2162" s="18"/>
      <c r="I2162" s="18"/>
      <c r="J2162" s="18"/>
      <c r="K2162" s="18"/>
      <c r="L2162" s="18"/>
      <c r="M2162" s="18"/>
    </row>
    <row r="2163" s="65" customFormat="1" ht="13.5" spans="1:13">
      <c r="A2163" s="66"/>
      <c r="E2163" s="72" t="s">
        <v>2238</v>
      </c>
      <c r="F2163" s="18"/>
      <c r="G2163" s="18"/>
      <c r="H2163" s="18"/>
      <c r="I2163" s="18"/>
      <c r="J2163" s="18"/>
      <c r="K2163" s="18"/>
      <c r="L2163" s="18"/>
      <c r="M2163" s="18"/>
    </row>
    <row r="2164" s="65" customFormat="1" ht="13.5" spans="1:13">
      <c r="A2164" s="66"/>
      <c r="E2164" s="72" t="s">
        <v>2239</v>
      </c>
      <c r="F2164" s="18"/>
      <c r="G2164" s="18"/>
      <c r="H2164" s="18"/>
      <c r="I2164" s="18"/>
      <c r="J2164" s="18"/>
      <c r="K2164" s="18"/>
      <c r="L2164" s="18"/>
      <c r="M2164" s="18"/>
    </row>
    <row r="2165" s="65" customFormat="1" ht="13.5" spans="1:13">
      <c r="A2165" s="66"/>
      <c r="E2165" s="72" t="s">
        <v>2240</v>
      </c>
      <c r="F2165" s="18"/>
      <c r="G2165" s="18"/>
      <c r="H2165" s="18"/>
      <c r="I2165" s="18"/>
      <c r="J2165" s="18"/>
      <c r="K2165" s="18"/>
      <c r="L2165" s="18"/>
      <c r="M2165" s="18"/>
    </row>
    <row r="2166" s="65" customFormat="1" ht="13.5" spans="1:13">
      <c r="A2166" s="66"/>
      <c r="E2166" s="72" t="s">
        <v>2241</v>
      </c>
      <c r="F2166" s="18"/>
      <c r="G2166" s="18"/>
      <c r="H2166" s="18"/>
      <c r="I2166" s="18"/>
      <c r="J2166" s="18"/>
      <c r="K2166" s="18"/>
      <c r="L2166" s="18"/>
      <c r="M2166" s="18"/>
    </row>
    <row r="2167" s="65" customFormat="1" ht="13.5" spans="1:13">
      <c r="A2167" s="66"/>
      <c r="E2167" s="72" t="s">
        <v>2242</v>
      </c>
      <c r="F2167" s="18"/>
      <c r="G2167" s="18"/>
      <c r="H2167" s="18"/>
      <c r="I2167" s="18"/>
      <c r="J2167" s="18"/>
      <c r="K2167" s="18"/>
      <c r="L2167" s="18"/>
      <c r="M2167" s="18"/>
    </row>
    <row r="2168" s="65" customFormat="1" ht="13.5" spans="1:13">
      <c r="A2168" s="66"/>
      <c r="E2168" s="72" t="s">
        <v>2243</v>
      </c>
      <c r="F2168" s="18"/>
      <c r="G2168" s="18"/>
      <c r="H2168" s="18"/>
      <c r="I2168" s="18"/>
      <c r="J2168" s="18"/>
      <c r="K2168" s="18"/>
      <c r="L2168" s="18"/>
      <c r="M2168" s="18"/>
    </row>
    <row r="2169" s="65" customFormat="1" ht="13.5" spans="1:13">
      <c r="A2169" s="66"/>
      <c r="E2169" s="72" t="s">
        <v>2244</v>
      </c>
      <c r="F2169" s="18"/>
      <c r="G2169" s="18"/>
      <c r="H2169" s="18"/>
      <c r="I2169" s="18"/>
      <c r="J2169" s="18"/>
      <c r="K2169" s="18"/>
      <c r="L2169" s="18"/>
      <c r="M2169" s="18"/>
    </row>
    <row r="2170" s="65" customFormat="1" ht="13.5" spans="1:13">
      <c r="A2170" s="66"/>
      <c r="E2170" s="72" t="s">
        <v>2245</v>
      </c>
      <c r="F2170" s="18"/>
      <c r="G2170" s="18"/>
      <c r="H2170" s="18"/>
      <c r="I2170" s="18"/>
      <c r="J2170" s="18"/>
      <c r="K2170" s="18"/>
      <c r="L2170" s="18"/>
      <c r="M2170" s="18"/>
    </row>
    <row r="2171" s="65" customFormat="1" ht="13.5" spans="1:13">
      <c r="A2171" s="66"/>
      <c r="E2171" s="72" t="s">
        <v>2246</v>
      </c>
      <c r="F2171" s="18"/>
      <c r="G2171" s="18"/>
      <c r="H2171" s="18"/>
      <c r="I2171" s="18"/>
      <c r="J2171" s="18"/>
      <c r="K2171" s="18"/>
      <c r="L2171" s="18"/>
      <c r="M2171" s="18"/>
    </row>
    <row r="2172" s="65" customFormat="1" ht="13.5" spans="1:13">
      <c r="A2172" s="66"/>
      <c r="E2172" s="72" t="s">
        <v>2247</v>
      </c>
      <c r="F2172" s="18"/>
      <c r="G2172" s="18"/>
      <c r="H2172" s="18"/>
      <c r="I2172" s="18"/>
      <c r="J2172" s="18"/>
      <c r="K2172" s="18"/>
      <c r="L2172" s="18"/>
      <c r="M2172" s="18"/>
    </row>
    <row r="2173" s="65" customFormat="1" ht="13.5" spans="1:13">
      <c r="A2173" s="66"/>
      <c r="E2173" s="72" t="s">
        <v>2248</v>
      </c>
      <c r="F2173" s="18"/>
      <c r="G2173" s="18"/>
      <c r="H2173" s="18"/>
      <c r="I2173" s="18"/>
      <c r="J2173" s="18"/>
      <c r="K2173" s="18"/>
      <c r="L2173" s="18"/>
      <c r="M2173" s="18"/>
    </row>
    <row r="2174" s="65" customFormat="1" ht="13.5" spans="1:13">
      <c r="A2174" s="66"/>
      <c r="E2174" s="72" t="s">
        <v>2249</v>
      </c>
      <c r="F2174" s="18"/>
      <c r="G2174" s="18"/>
      <c r="H2174" s="18"/>
      <c r="I2174" s="18"/>
      <c r="J2174" s="18"/>
      <c r="K2174" s="18"/>
      <c r="L2174" s="18"/>
      <c r="M2174" s="18"/>
    </row>
    <row r="2175" s="65" customFormat="1" ht="13.5" spans="1:13">
      <c r="A2175" s="66"/>
      <c r="E2175" s="72" t="s">
        <v>2250</v>
      </c>
      <c r="F2175" s="18"/>
      <c r="G2175" s="18"/>
      <c r="H2175" s="18"/>
      <c r="I2175" s="18"/>
      <c r="J2175" s="18"/>
      <c r="K2175" s="18"/>
      <c r="L2175" s="18"/>
      <c r="M2175" s="18"/>
    </row>
    <row r="2176" s="65" customFormat="1" ht="13.5" spans="1:13">
      <c r="A2176" s="66"/>
      <c r="E2176" s="72" t="s">
        <v>2251</v>
      </c>
      <c r="F2176" s="18"/>
      <c r="G2176" s="18"/>
      <c r="H2176" s="18"/>
      <c r="I2176" s="18"/>
      <c r="J2176" s="18"/>
      <c r="K2176" s="18"/>
      <c r="L2176" s="18"/>
      <c r="M2176" s="18"/>
    </row>
    <row r="2177" s="65" customFormat="1" ht="13.5" spans="1:13">
      <c r="A2177" s="66"/>
      <c r="E2177" s="72" t="s">
        <v>2252</v>
      </c>
      <c r="F2177" s="18"/>
      <c r="G2177" s="18"/>
      <c r="H2177" s="18"/>
      <c r="I2177" s="18"/>
      <c r="J2177" s="18"/>
      <c r="K2177" s="18"/>
      <c r="L2177" s="18"/>
      <c r="M2177" s="18"/>
    </row>
    <row r="2178" s="65" customFormat="1" ht="13.5" spans="1:13">
      <c r="A2178" s="66"/>
      <c r="E2178" s="72" t="s">
        <v>2253</v>
      </c>
      <c r="F2178" s="18"/>
      <c r="G2178" s="18"/>
      <c r="H2178" s="18"/>
      <c r="I2178" s="18"/>
      <c r="J2178" s="18"/>
      <c r="K2178" s="18"/>
      <c r="L2178" s="18"/>
      <c r="M2178" s="18"/>
    </row>
    <row r="2179" s="65" customFormat="1" ht="13.5" spans="1:13">
      <c r="A2179" s="66"/>
      <c r="E2179" s="72" t="s">
        <v>2254</v>
      </c>
      <c r="F2179" s="18"/>
      <c r="G2179" s="18"/>
      <c r="H2179" s="18"/>
      <c r="I2179" s="18"/>
      <c r="J2179" s="18"/>
      <c r="K2179" s="18"/>
      <c r="L2179" s="18"/>
      <c r="M2179" s="18"/>
    </row>
    <row r="2180" s="65" customFormat="1" ht="13.5" spans="1:13">
      <c r="A2180" s="66"/>
      <c r="E2180" s="72" t="s">
        <v>2255</v>
      </c>
      <c r="F2180" s="18"/>
      <c r="G2180" s="18"/>
      <c r="H2180" s="18"/>
      <c r="I2180" s="18"/>
      <c r="J2180" s="18"/>
      <c r="K2180" s="18"/>
      <c r="L2180" s="18"/>
      <c r="M2180" s="18"/>
    </row>
    <row r="2181" s="65" customFormat="1" ht="13.5" spans="1:13">
      <c r="A2181" s="66"/>
      <c r="E2181" s="72" t="s">
        <v>2256</v>
      </c>
      <c r="F2181" s="18"/>
      <c r="G2181" s="18"/>
      <c r="H2181" s="18"/>
      <c r="I2181" s="18"/>
      <c r="J2181" s="18"/>
      <c r="K2181" s="18"/>
      <c r="L2181" s="18"/>
      <c r="M2181" s="18"/>
    </row>
    <row r="2182" s="65" customFormat="1" ht="13.5" spans="1:13">
      <c r="A2182" s="66"/>
      <c r="E2182" s="72" t="s">
        <v>2257</v>
      </c>
      <c r="F2182" s="18"/>
      <c r="G2182" s="18"/>
      <c r="H2182" s="18"/>
      <c r="I2182" s="18"/>
      <c r="J2182" s="18"/>
      <c r="K2182" s="18"/>
      <c r="L2182" s="18"/>
      <c r="M2182" s="18"/>
    </row>
    <row r="2183" s="65" customFormat="1" ht="13.5" spans="1:13">
      <c r="A2183" s="66"/>
      <c r="E2183" s="72" t="s">
        <v>2258</v>
      </c>
      <c r="F2183" s="18"/>
      <c r="G2183" s="18"/>
      <c r="H2183" s="18"/>
      <c r="I2183" s="18"/>
      <c r="J2183" s="18"/>
      <c r="K2183" s="18"/>
      <c r="L2183" s="18"/>
      <c r="M2183" s="18"/>
    </row>
    <row r="2184" s="65" customFormat="1" ht="13.5" spans="1:13">
      <c r="A2184" s="66"/>
      <c r="E2184" s="72" t="s">
        <v>2259</v>
      </c>
      <c r="F2184" s="18"/>
      <c r="G2184" s="18"/>
      <c r="H2184" s="18"/>
      <c r="I2184" s="18"/>
      <c r="J2184" s="18"/>
      <c r="K2184" s="18"/>
      <c r="L2184" s="18"/>
      <c r="M2184" s="18"/>
    </row>
    <row r="2185" s="65" customFormat="1" ht="13.5" spans="1:13">
      <c r="A2185" s="66"/>
      <c r="E2185" s="72" t="s">
        <v>2260</v>
      </c>
      <c r="F2185" s="18"/>
      <c r="G2185" s="18"/>
      <c r="H2185" s="18"/>
      <c r="I2185" s="18"/>
      <c r="J2185" s="18"/>
      <c r="K2185" s="18"/>
      <c r="L2185" s="18"/>
      <c r="M2185" s="18"/>
    </row>
    <row r="2186" s="65" customFormat="1" ht="13.5" spans="1:13">
      <c r="A2186" s="66"/>
      <c r="E2186" s="72" t="s">
        <v>2261</v>
      </c>
      <c r="F2186" s="18"/>
      <c r="G2186" s="18"/>
      <c r="H2186" s="18"/>
      <c r="I2186" s="18"/>
      <c r="J2186" s="18"/>
      <c r="K2186" s="18"/>
      <c r="L2186" s="18"/>
      <c r="M2186" s="18"/>
    </row>
    <row r="2187" s="65" customFormat="1" ht="13.5" spans="1:13">
      <c r="A2187" s="66"/>
      <c r="E2187" s="72" t="s">
        <v>2262</v>
      </c>
      <c r="F2187" s="18"/>
      <c r="G2187" s="18"/>
      <c r="H2187" s="18"/>
      <c r="I2187" s="18"/>
      <c r="J2187" s="18"/>
      <c r="K2187" s="18"/>
      <c r="L2187" s="18"/>
      <c r="M2187" s="18"/>
    </row>
    <row r="2188" s="65" customFormat="1" ht="13.5" spans="1:13">
      <c r="A2188" s="66"/>
      <c r="E2188" s="72" t="s">
        <v>2263</v>
      </c>
      <c r="F2188" s="18"/>
      <c r="G2188" s="18"/>
      <c r="H2188" s="18"/>
      <c r="I2188" s="18"/>
      <c r="J2188" s="18"/>
      <c r="K2188" s="18"/>
      <c r="L2188" s="18"/>
      <c r="M2188" s="18"/>
    </row>
    <row r="2189" s="65" customFormat="1" ht="13.5" spans="1:13">
      <c r="A2189" s="66"/>
      <c r="E2189" s="72" t="s">
        <v>2264</v>
      </c>
      <c r="F2189" s="18"/>
      <c r="G2189" s="18"/>
      <c r="H2189" s="18"/>
      <c r="I2189" s="18"/>
      <c r="J2189" s="18"/>
      <c r="K2189" s="18"/>
      <c r="L2189" s="18"/>
      <c r="M2189" s="18"/>
    </row>
    <row r="2190" s="65" customFormat="1" ht="13.5" spans="1:13">
      <c r="A2190" s="66"/>
      <c r="E2190" s="72" t="s">
        <v>2265</v>
      </c>
      <c r="F2190" s="18"/>
      <c r="G2190" s="18"/>
      <c r="H2190" s="18"/>
      <c r="I2190" s="18"/>
      <c r="J2190" s="18"/>
      <c r="K2190" s="18"/>
      <c r="L2190" s="18"/>
      <c r="M2190" s="18"/>
    </row>
    <row r="2191" s="65" customFormat="1" ht="13.5" spans="1:13">
      <c r="A2191" s="66"/>
      <c r="E2191" s="72" t="s">
        <v>2266</v>
      </c>
      <c r="F2191" s="18"/>
      <c r="G2191" s="18"/>
      <c r="H2191" s="18"/>
      <c r="I2191" s="18"/>
      <c r="J2191" s="18"/>
      <c r="K2191" s="18"/>
      <c r="L2191" s="18"/>
      <c r="M2191" s="18"/>
    </row>
    <row r="2192" s="65" customFormat="1" ht="13.5" spans="1:13">
      <c r="A2192" s="66"/>
      <c r="E2192" s="72" t="s">
        <v>2267</v>
      </c>
      <c r="F2192" s="18"/>
      <c r="G2192" s="18"/>
      <c r="H2192" s="18"/>
      <c r="I2192" s="18"/>
      <c r="J2192" s="18"/>
      <c r="K2192" s="18"/>
      <c r="L2192" s="18"/>
      <c r="M2192" s="18"/>
    </row>
    <row r="2193" s="65" customFormat="1" ht="13.5" spans="1:13">
      <c r="A2193" s="66"/>
      <c r="E2193" s="72" t="s">
        <v>2268</v>
      </c>
      <c r="F2193" s="18"/>
      <c r="G2193" s="18"/>
      <c r="H2193" s="18"/>
      <c r="I2193" s="18"/>
      <c r="J2193" s="18"/>
      <c r="K2193" s="18"/>
      <c r="L2193" s="18"/>
      <c r="M2193" s="18"/>
    </row>
    <row r="2194" s="65" customFormat="1" ht="13.5" spans="1:13">
      <c r="A2194" s="66"/>
      <c r="E2194" s="72" t="s">
        <v>2269</v>
      </c>
      <c r="F2194" s="18"/>
      <c r="G2194" s="18"/>
      <c r="H2194" s="18"/>
      <c r="I2194" s="18"/>
      <c r="J2194" s="18"/>
      <c r="K2194" s="18"/>
      <c r="L2194" s="18"/>
      <c r="M2194" s="18"/>
    </row>
    <row r="2195" s="65" customFormat="1" ht="13.5" spans="1:13">
      <c r="A2195" s="66"/>
      <c r="E2195" s="72" t="s">
        <v>2270</v>
      </c>
      <c r="F2195" s="18"/>
      <c r="G2195" s="18"/>
      <c r="H2195" s="18"/>
      <c r="I2195" s="18"/>
      <c r="J2195" s="18"/>
      <c r="K2195" s="18"/>
      <c r="L2195" s="18"/>
      <c r="M2195" s="18"/>
    </row>
    <row r="2196" s="65" customFormat="1" ht="13.5" spans="1:13">
      <c r="A2196" s="66"/>
      <c r="E2196" s="72" t="s">
        <v>2271</v>
      </c>
      <c r="F2196" s="18"/>
      <c r="G2196" s="18"/>
      <c r="H2196" s="18"/>
      <c r="I2196" s="18"/>
      <c r="J2196" s="18"/>
      <c r="K2196" s="18"/>
      <c r="L2196" s="18"/>
      <c r="M2196" s="18"/>
    </row>
    <row r="2197" s="65" customFormat="1" ht="13.5" spans="1:13">
      <c r="A2197" s="66"/>
      <c r="E2197" s="72" t="s">
        <v>2272</v>
      </c>
      <c r="F2197" s="18"/>
      <c r="G2197" s="18"/>
      <c r="H2197" s="18"/>
      <c r="I2197" s="18"/>
      <c r="J2197" s="18"/>
      <c r="K2197" s="18"/>
      <c r="L2197" s="18"/>
      <c r="M2197" s="18"/>
    </row>
    <row r="2198" s="65" customFormat="1" ht="13.5" spans="1:13">
      <c r="A2198" s="66"/>
      <c r="E2198" s="72" t="s">
        <v>2273</v>
      </c>
      <c r="F2198" s="18"/>
      <c r="G2198" s="18"/>
      <c r="H2198" s="18"/>
      <c r="I2198" s="18"/>
      <c r="J2198" s="18"/>
      <c r="K2198" s="18"/>
      <c r="L2198" s="18"/>
      <c r="M2198" s="18"/>
    </row>
    <row r="2199" s="65" customFormat="1" ht="13.5" spans="1:13">
      <c r="A2199" s="66"/>
      <c r="E2199" s="72" t="s">
        <v>2274</v>
      </c>
      <c r="F2199" s="18"/>
      <c r="G2199" s="18"/>
      <c r="H2199" s="18"/>
      <c r="I2199" s="18"/>
      <c r="J2199" s="18"/>
      <c r="K2199" s="18"/>
      <c r="L2199" s="18"/>
      <c r="M2199" s="18"/>
    </row>
    <row r="2200" s="65" customFormat="1" ht="13.5" spans="1:13">
      <c r="A2200" s="66"/>
      <c r="E2200" s="72" t="s">
        <v>2275</v>
      </c>
      <c r="F2200" s="18"/>
      <c r="G2200" s="18"/>
      <c r="H2200" s="18"/>
      <c r="I2200" s="18"/>
      <c r="J2200" s="18"/>
      <c r="K2200" s="18"/>
      <c r="L2200" s="18"/>
      <c r="M2200" s="18"/>
    </row>
    <row r="2201" s="65" customFormat="1" ht="13.5" spans="1:13">
      <c r="A2201" s="66"/>
      <c r="E2201" s="72" t="s">
        <v>2276</v>
      </c>
      <c r="F2201" s="18"/>
      <c r="G2201" s="18"/>
      <c r="H2201" s="18"/>
      <c r="I2201" s="18"/>
      <c r="J2201" s="18"/>
      <c r="K2201" s="18"/>
      <c r="L2201" s="18"/>
      <c r="M2201" s="18"/>
    </row>
    <row r="2202" s="65" customFormat="1" ht="13.5" spans="1:13">
      <c r="A2202" s="66"/>
      <c r="E2202" s="72" t="s">
        <v>2277</v>
      </c>
      <c r="F2202" s="18"/>
      <c r="G2202" s="18"/>
      <c r="H2202" s="18"/>
      <c r="I2202" s="18"/>
      <c r="J2202" s="18"/>
      <c r="K2202" s="18"/>
      <c r="L2202" s="18"/>
      <c r="M2202" s="18"/>
    </row>
    <row r="2203" s="65" customFormat="1" ht="13.5" spans="1:13">
      <c r="A2203" s="66"/>
      <c r="E2203" s="72" t="s">
        <v>2278</v>
      </c>
      <c r="F2203" s="18"/>
      <c r="G2203" s="18"/>
      <c r="H2203" s="18"/>
      <c r="I2203" s="18"/>
      <c r="J2203" s="18"/>
      <c r="K2203" s="18"/>
      <c r="L2203" s="18"/>
      <c r="M2203" s="18"/>
    </row>
    <row r="2204" s="65" customFormat="1" ht="13.5" spans="1:13">
      <c r="A2204" s="66"/>
      <c r="E2204" s="72" t="s">
        <v>2279</v>
      </c>
      <c r="F2204" s="18"/>
      <c r="G2204" s="18"/>
      <c r="H2204" s="18"/>
      <c r="I2204" s="18"/>
      <c r="J2204" s="18"/>
      <c r="K2204" s="18"/>
      <c r="L2204" s="18"/>
      <c r="M2204" s="18"/>
    </row>
    <row r="2205" s="65" customFormat="1" ht="13.5" spans="1:13">
      <c r="A2205" s="66"/>
      <c r="E2205" s="72" t="s">
        <v>2280</v>
      </c>
      <c r="F2205" s="18"/>
      <c r="G2205" s="18"/>
      <c r="H2205" s="18"/>
      <c r="I2205" s="18"/>
      <c r="J2205" s="18"/>
      <c r="K2205" s="18"/>
      <c r="L2205" s="18"/>
      <c r="M2205" s="18"/>
    </row>
    <row r="2206" s="65" customFormat="1" ht="13.5" spans="1:13">
      <c r="A2206" s="66"/>
      <c r="E2206" s="72" t="s">
        <v>2281</v>
      </c>
      <c r="F2206" s="18"/>
      <c r="G2206" s="18"/>
      <c r="H2206" s="18"/>
      <c r="I2206" s="18"/>
      <c r="J2206" s="18"/>
      <c r="K2206" s="18"/>
      <c r="L2206" s="18"/>
      <c r="M2206" s="18"/>
    </row>
    <row r="2207" s="65" customFormat="1" ht="13.5" spans="1:13">
      <c r="A2207" s="66"/>
      <c r="E2207" s="72" t="s">
        <v>2282</v>
      </c>
      <c r="F2207" s="18"/>
      <c r="G2207" s="18"/>
      <c r="H2207" s="18"/>
      <c r="I2207" s="18"/>
      <c r="J2207" s="18"/>
      <c r="K2207" s="18"/>
      <c r="L2207" s="18"/>
      <c r="M2207" s="18"/>
    </row>
    <row r="2208" s="65" customFormat="1" ht="13.5" spans="1:13">
      <c r="A2208" s="66"/>
      <c r="E2208" s="72" t="s">
        <v>2283</v>
      </c>
      <c r="F2208" s="18"/>
      <c r="G2208" s="18"/>
      <c r="H2208" s="18"/>
      <c r="I2208" s="18"/>
      <c r="J2208" s="18"/>
      <c r="K2208" s="18"/>
      <c r="L2208" s="18"/>
      <c r="M2208" s="18"/>
    </row>
    <row r="2209" s="65" customFormat="1" ht="13.5" spans="1:13">
      <c r="A2209" s="66"/>
      <c r="E2209" s="72" t="s">
        <v>2284</v>
      </c>
      <c r="F2209" s="18"/>
      <c r="G2209" s="18"/>
      <c r="H2209" s="18"/>
      <c r="I2209" s="18"/>
      <c r="J2209" s="18"/>
      <c r="K2209" s="18"/>
      <c r="L2209" s="18"/>
      <c r="M2209" s="18"/>
    </row>
    <row r="2210" s="65" customFormat="1" ht="13.5" spans="1:13">
      <c r="A2210" s="66"/>
      <c r="E2210" s="72" t="s">
        <v>2285</v>
      </c>
      <c r="F2210" s="18"/>
      <c r="G2210" s="18"/>
      <c r="H2210" s="18"/>
      <c r="I2210" s="18"/>
      <c r="J2210" s="18"/>
      <c r="K2210" s="18"/>
      <c r="L2210" s="18"/>
      <c r="M2210" s="18"/>
    </row>
    <row r="2211" s="65" customFormat="1" ht="13.5" spans="1:13">
      <c r="A2211" s="66"/>
      <c r="E2211" s="72" t="s">
        <v>2286</v>
      </c>
      <c r="F2211" s="18"/>
      <c r="G2211" s="18"/>
      <c r="H2211" s="18"/>
      <c r="I2211" s="18"/>
      <c r="J2211" s="18"/>
      <c r="K2211" s="18"/>
      <c r="L2211" s="18"/>
      <c r="M2211" s="18"/>
    </row>
    <row r="2212" s="65" customFormat="1" ht="13.5" spans="1:13">
      <c r="A2212" s="66"/>
      <c r="E2212" s="72" t="s">
        <v>2287</v>
      </c>
      <c r="F2212" s="18"/>
      <c r="G2212" s="18"/>
      <c r="H2212" s="18"/>
      <c r="I2212" s="18"/>
      <c r="J2212" s="18"/>
      <c r="K2212" s="18"/>
      <c r="L2212" s="18"/>
      <c r="M2212" s="18"/>
    </row>
    <row r="2213" s="65" customFormat="1" ht="13.5" spans="1:13">
      <c r="A2213" s="66"/>
      <c r="E2213" s="72" t="s">
        <v>2288</v>
      </c>
      <c r="F2213" s="18"/>
      <c r="G2213" s="18"/>
      <c r="H2213" s="18"/>
      <c r="I2213" s="18"/>
      <c r="J2213" s="18"/>
      <c r="K2213" s="18"/>
      <c r="L2213" s="18"/>
      <c r="M2213" s="18"/>
    </row>
    <row r="2214" s="65" customFormat="1" ht="13.5" spans="1:13">
      <c r="A2214" s="66"/>
      <c r="E2214" s="72" t="s">
        <v>2289</v>
      </c>
      <c r="F2214" s="18"/>
      <c r="G2214" s="18"/>
      <c r="H2214" s="18"/>
      <c r="I2214" s="18"/>
      <c r="J2214" s="18"/>
      <c r="K2214" s="18"/>
      <c r="L2214" s="18"/>
      <c r="M2214" s="18"/>
    </row>
    <row r="2215" s="65" customFormat="1" ht="13.5" spans="1:13">
      <c r="A2215" s="66"/>
      <c r="E2215" s="72" t="s">
        <v>2290</v>
      </c>
      <c r="F2215" s="18"/>
      <c r="G2215" s="18"/>
      <c r="H2215" s="18"/>
      <c r="I2215" s="18"/>
      <c r="J2215" s="18"/>
      <c r="K2215" s="18"/>
      <c r="L2215" s="18"/>
      <c r="M2215" s="18"/>
    </row>
    <row r="2216" s="65" customFormat="1" ht="13.5" spans="1:13">
      <c r="A2216" s="66"/>
      <c r="E2216" s="72" t="s">
        <v>2291</v>
      </c>
      <c r="F2216" s="18"/>
      <c r="G2216" s="18"/>
      <c r="H2216" s="18"/>
      <c r="I2216" s="18"/>
      <c r="J2216" s="18"/>
      <c r="K2216" s="18"/>
      <c r="L2216" s="18"/>
      <c r="M2216" s="18"/>
    </row>
    <row r="2217" s="65" customFormat="1" ht="13.5" spans="1:13">
      <c r="A2217" s="66"/>
      <c r="E2217" s="72" t="s">
        <v>2292</v>
      </c>
      <c r="F2217" s="18"/>
      <c r="G2217" s="18"/>
      <c r="H2217" s="18"/>
      <c r="I2217" s="18"/>
      <c r="J2217" s="18"/>
      <c r="K2217" s="18"/>
      <c r="L2217" s="18"/>
      <c r="M2217" s="18"/>
    </row>
    <row r="2218" s="65" customFormat="1" ht="13.5" spans="1:13">
      <c r="A2218" s="66"/>
      <c r="E2218" s="72" t="s">
        <v>2293</v>
      </c>
      <c r="F2218" s="18"/>
      <c r="G2218" s="18"/>
      <c r="H2218" s="18"/>
      <c r="I2218" s="18"/>
      <c r="J2218" s="18"/>
      <c r="K2218" s="18"/>
      <c r="L2218" s="18"/>
      <c r="M2218" s="18"/>
    </row>
    <row r="2219" s="65" customFormat="1" ht="13.5" spans="1:13">
      <c r="A2219" s="66"/>
      <c r="E2219" s="72" t="s">
        <v>2294</v>
      </c>
      <c r="F2219" s="18"/>
      <c r="G2219" s="18"/>
      <c r="H2219" s="18"/>
      <c r="I2219" s="18"/>
      <c r="J2219" s="18"/>
      <c r="K2219" s="18"/>
      <c r="L2219" s="18"/>
      <c r="M2219" s="18"/>
    </row>
    <row r="2220" s="65" customFormat="1" ht="13.5" spans="1:13">
      <c r="A2220" s="66"/>
      <c r="E2220" s="72" t="s">
        <v>2295</v>
      </c>
      <c r="F2220" s="18"/>
      <c r="G2220" s="18"/>
      <c r="H2220" s="18"/>
      <c r="I2220" s="18"/>
      <c r="J2220" s="18"/>
      <c r="K2220" s="18"/>
      <c r="L2220" s="18"/>
      <c r="M2220" s="18"/>
    </row>
    <row r="2221" s="65" customFormat="1" ht="13.5" spans="1:13">
      <c r="A2221" s="66"/>
      <c r="E2221" s="72" t="s">
        <v>2296</v>
      </c>
      <c r="F2221" s="18"/>
      <c r="G2221" s="18"/>
      <c r="H2221" s="18"/>
      <c r="I2221" s="18"/>
      <c r="J2221" s="18"/>
      <c r="K2221" s="18"/>
      <c r="L2221" s="18"/>
      <c r="M2221" s="18"/>
    </row>
    <row r="2222" s="65" customFormat="1" ht="13.5" spans="1:13">
      <c r="A2222" s="66"/>
      <c r="E2222" s="72" t="s">
        <v>2297</v>
      </c>
      <c r="F2222" s="18"/>
      <c r="G2222" s="18"/>
      <c r="H2222" s="18"/>
      <c r="I2222" s="18"/>
      <c r="J2222" s="18"/>
      <c r="K2222" s="18"/>
      <c r="L2222" s="18"/>
      <c r="M2222" s="18"/>
    </row>
    <row r="2223" s="65" customFormat="1" ht="13.5" spans="1:13">
      <c r="A2223" s="66"/>
      <c r="E2223" s="72" t="s">
        <v>2298</v>
      </c>
      <c r="F2223" s="18"/>
      <c r="G2223" s="18"/>
      <c r="H2223" s="18"/>
      <c r="I2223" s="18"/>
      <c r="J2223" s="18"/>
      <c r="K2223" s="18"/>
      <c r="L2223" s="18"/>
      <c r="M2223" s="18"/>
    </row>
    <row r="2224" s="65" customFormat="1" ht="13.5" spans="1:13">
      <c r="A2224" s="66"/>
      <c r="E2224" s="72" t="s">
        <v>2299</v>
      </c>
      <c r="F2224" s="18"/>
      <c r="G2224" s="18"/>
      <c r="H2224" s="18"/>
      <c r="I2224" s="18"/>
      <c r="J2224" s="18"/>
      <c r="K2224" s="18"/>
      <c r="L2224" s="18"/>
      <c r="M2224" s="18"/>
    </row>
    <row r="2225" s="65" customFormat="1" ht="13.5" spans="1:13">
      <c r="A2225" s="66"/>
      <c r="E2225" s="72" t="s">
        <v>2300</v>
      </c>
      <c r="F2225" s="18"/>
      <c r="G2225" s="18"/>
      <c r="H2225" s="18"/>
      <c r="I2225" s="18"/>
      <c r="J2225" s="18"/>
      <c r="K2225" s="18"/>
      <c r="L2225" s="18"/>
      <c r="M2225" s="18"/>
    </row>
    <row r="2226" s="65" customFormat="1" ht="13.5" spans="1:13">
      <c r="A2226" s="66"/>
      <c r="E2226" s="72" t="s">
        <v>2301</v>
      </c>
      <c r="F2226" s="18"/>
      <c r="G2226" s="18"/>
      <c r="H2226" s="18"/>
      <c r="I2226" s="18"/>
      <c r="J2226" s="18"/>
      <c r="K2226" s="18"/>
      <c r="L2226" s="18"/>
      <c r="M2226" s="18"/>
    </row>
    <row r="2227" s="65" customFormat="1" ht="13.5" spans="1:13">
      <c r="A2227" s="66"/>
      <c r="E2227" s="72" t="s">
        <v>2302</v>
      </c>
      <c r="F2227" s="18"/>
      <c r="G2227" s="18"/>
      <c r="H2227" s="18"/>
      <c r="I2227" s="18"/>
      <c r="J2227" s="18"/>
      <c r="K2227" s="18"/>
      <c r="L2227" s="18"/>
      <c r="M2227" s="18"/>
    </row>
    <row r="2228" s="65" customFormat="1" ht="13.5" spans="1:13">
      <c r="A2228" s="66"/>
      <c r="E2228" s="72" t="s">
        <v>2303</v>
      </c>
      <c r="F2228" s="18"/>
      <c r="G2228" s="18"/>
      <c r="H2228" s="18"/>
      <c r="I2228" s="18"/>
      <c r="J2228" s="18"/>
      <c r="K2228" s="18"/>
      <c r="L2228" s="18"/>
      <c r="M2228" s="18"/>
    </row>
    <row r="2229" s="65" customFormat="1" ht="13.5" spans="1:13">
      <c r="A2229" s="66"/>
      <c r="E2229" s="72" t="s">
        <v>2304</v>
      </c>
      <c r="F2229" s="18"/>
      <c r="G2229" s="18"/>
      <c r="H2229" s="18"/>
      <c r="I2229" s="18"/>
      <c r="J2229" s="18"/>
      <c r="K2229" s="18"/>
      <c r="L2229" s="18"/>
      <c r="M2229" s="18"/>
    </row>
    <row r="2230" s="65" customFormat="1" ht="13.5" spans="1:13">
      <c r="A2230" s="66"/>
      <c r="E2230" s="72" t="s">
        <v>2305</v>
      </c>
      <c r="F2230" s="18"/>
      <c r="G2230" s="18"/>
      <c r="H2230" s="18"/>
      <c r="I2230" s="18"/>
      <c r="J2230" s="18"/>
      <c r="K2230" s="18"/>
      <c r="L2230" s="18"/>
      <c r="M2230" s="18"/>
    </row>
    <row r="2231" s="65" customFormat="1" ht="13.5" spans="1:13">
      <c r="A2231" s="66"/>
      <c r="E2231" s="72" t="s">
        <v>2306</v>
      </c>
      <c r="F2231" s="18"/>
      <c r="G2231" s="18"/>
      <c r="H2231" s="18"/>
      <c r="I2231" s="18"/>
      <c r="J2231" s="18"/>
      <c r="K2231" s="18"/>
      <c r="L2231" s="18"/>
      <c r="M2231" s="18"/>
    </row>
    <row r="2232" s="65" customFormat="1" ht="13.5" spans="1:13">
      <c r="A2232" s="66"/>
      <c r="E2232" s="72" t="s">
        <v>2307</v>
      </c>
      <c r="F2232" s="18"/>
      <c r="G2232" s="18"/>
      <c r="H2232" s="18"/>
      <c r="I2232" s="18"/>
      <c r="J2232" s="18"/>
      <c r="K2232" s="18"/>
      <c r="L2232" s="18"/>
      <c r="M2232" s="18"/>
    </row>
    <row r="2233" s="65" customFormat="1" ht="13.5" spans="1:13">
      <c r="A2233" s="66"/>
      <c r="E2233" s="72" t="s">
        <v>2308</v>
      </c>
      <c r="F2233" s="18"/>
      <c r="G2233" s="18"/>
      <c r="H2233" s="18"/>
      <c r="I2233" s="18"/>
      <c r="J2233" s="18"/>
      <c r="K2233" s="18"/>
      <c r="L2233" s="18"/>
      <c r="M2233" s="18"/>
    </row>
    <row r="2234" s="65" customFormat="1" ht="13.5" spans="1:13">
      <c r="A2234" s="66"/>
      <c r="E2234" s="72" t="s">
        <v>2309</v>
      </c>
      <c r="F2234" s="18"/>
      <c r="G2234" s="18"/>
      <c r="H2234" s="18"/>
      <c r="I2234" s="18"/>
      <c r="J2234" s="18"/>
      <c r="K2234" s="18"/>
      <c r="L2234" s="18"/>
      <c r="M2234" s="18"/>
    </row>
    <row r="2235" s="65" customFormat="1" ht="13.5" spans="1:13">
      <c r="A2235" s="66"/>
      <c r="E2235" s="72" t="s">
        <v>2310</v>
      </c>
      <c r="F2235" s="18"/>
      <c r="G2235" s="18"/>
      <c r="H2235" s="18"/>
      <c r="I2235" s="18"/>
      <c r="J2235" s="18"/>
      <c r="K2235" s="18"/>
      <c r="L2235" s="18"/>
      <c r="M2235" s="18"/>
    </row>
    <row r="2236" s="65" customFormat="1" ht="13.5" spans="1:13">
      <c r="A2236" s="66"/>
      <c r="E2236" s="72" t="s">
        <v>2311</v>
      </c>
      <c r="F2236" s="18"/>
      <c r="G2236" s="18"/>
      <c r="H2236" s="18"/>
      <c r="I2236" s="18"/>
      <c r="J2236" s="18"/>
      <c r="K2236" s="18"/>
      <c r="L2236" s="18"/>
      <c r="M2236" s="18"/>
    </row>
    <row r="2237" s="65" customFormat="1" ht="13.5" spans="1:13">
      <c r="A2237" s="66"/>
      <c r="E2237" s="72" t="s">
        <v>2312</v>
      </c>
      <c r="F2237" s="18"/>
      <c r="G2237" s="18"/>
      <c r="H2237" s="18"/>
      <c r="I2237" s="18"/>
      <c r="J2237" s="18"/>
      <c r="K2237" s="18"/>
      <c r="L2237" s="18"/>
      <c r="M2237" s="18"/>
    </row>
    <row r="2238" s="65" customFormat="1" ht="13.5" spans="1:13">
      <c r="A2238" s="66"/>
      <c r="E2238" s="72" t="s">
        <v>2313</v>
      </c>
      <c r="F2238" s="18"/>
      <c r="G2238" s="18"/>
      <c r="H2238" s="18"/>
      <c r="I2238" s="18"/>
      <c r="J2238" s="18"/>
      <c r="K2238" s="18"/>
      <c r="L2238" s="18"/>
      <c r="M2238" s="18"/>
    </row>
    <row r="2239" s="65" customFormat="1" ht="13.5" spans="1:13">
      <c r="A2239" s="66"/>
      <c r="E2239" s="72" t="s">
        <v>2314</v>
      </c>
      <c r="F2239" s="18"/>
      <c r="G2239" s="18"/>
      <c r="H2239" s="18"/>
      <c r="I2239" s="18"/>
      <c r="J2239" s="18"/>
      <c r="K2239" s="18"/>
      <c r="L2239" s="18"/>
      <c r="M2239" s="18"/>
    </row>
    <row r="2240" s="65" customFormat="1" ht="13.5" spans="1:13">
      <c r="A2240" s="66"/>
      <c r="E2240" s="72" t="s">
        <v>2315</v>
      </c>
      <c r="F2240" s="18"/>
      <c r="G2240" s="18"/>
      <c r="H2240" s="18"/>
      <c r="I2240" s="18"/>
      <c r="J2240" s="18"/>
      <c r="K2240" s="18"/>
      <c r="L2240" s="18"/>
      <c r="M2240" s="18"/>
    </row>
    <row r="2241" s="65" customFormat="1" ht="13.5" spans="1:13">
      <c r="A2241" s="66"/>
      <c r="E2241" s="72" t="s">
        <v>2316</v>
      </c>
      <c r="F2241" s="18"/>
      <c r="G2241" s="18"/>
      <c r="H2241" s="18"/>
      <c r="I2241" s="18"/>
      <c r="J2241" s="18"/>
      <c r="K2241" s="18"/>
      <c r="L2241" s="18"/>
      <c r="M2241" s="18"/>
    </row>
    <row r="2242" s="65" customFormat="1" ht="13.5" spans="1:13">
      <c r="A2242" s="66"/>
      <c r="E2242" s="72" t="s">
        <v>2317</v>
      </c>
      <c r="F2242" s="18"/>
      <c r="G2242" s="18"/>
      <c r="H2242" s="18"/>
      <c r="I2242" s="18"/>
      <c r="J2242" s="18"/>
      <c r="K2242" s="18"/>
      <c r="L2242" s="18"/>
      <c r="M2242" s="18"/>
    </row>
    <row r="2243" s="65" customFormat="1" ht="13.5" spans="1:13">
      <c r="A2243" s="66"/>
      <c r="E2243" s="72" t="s">
        <v>2318</v>
      </c>
      <c r="F2243" s="18"/>
      <c r="G2243" s="18"/>
      <c r="H2243" s="18"/>
      <c r="I2243" s="18"/>
      <c r="J2243" s="18"/>
      <c r="K2243" s="18"/>
      <c r="L2243" s="18"/>
      <c r="M2243" s="18"/>
    </row>
    <row r="2244" s="65" customFormat="1" ht="13.5" spans="1:13">
      <c r="A2244" s="66"/>
      <c r="E2244" s="72" t="s">
        <v>2319</v>
      </c>
      <c r="F2244" s="18"/>
      <c r="G2244" s="18"/>
      <c r="H2244" s="18"/>
      <c r="I2244" s="18"/>
      <c r="J2244" s="18"/>
      <c r="K2244" s="18"/>
      <c r="L2244" s="18"/>
      <c r="M2244" s="18"/>
    </row>
    <row r="2245" s="65" customFormat="1" ht="13.5" spans="1:13">
      <c r="A2245" s="66"/>
      <c r="E2245" s="72" t="s">
        <v>2320</v>
      </c>
      <c r="F2245" s="18"/>
      <c r="G2245" s="18"/>
      <c r="H2245" s="18"/>
      <c r="I2245" s="18"/>
      <c r="J2245" s="18"/>
      <c r="K2245" s="18"/>
      <c r="L2245" s="18"/>
      <c r="M2245" s="18"/>
    </row>
    <row r="2246" s="65" customFormat="1" ht="13.5" spans="1:13">
      <c r="A2246" s="66"/>
      <c r="E2246" s="72" t="s">
        <v>2321</v>
      </c>
      <c r="F2246" s="18"/>
      <c r="G2246" s="18"/>
      <c r="H2246" s="18"/>
      <c r="I2246" s="18"/>
      <c r="J2246" s="18"/>
      <c r="K2246" s="18"/>
      <c r="L2246" s="18"/>
      <c r="M2246" s="18"/>
    </row>
    <row r="2247" s="65" customFormat="1" ht="13.5" spans="1:13">
      <c r="A2247" s="66"/>
      <c r="E2247" s="72" t="s">
        <v>2322</v>
      </c>
      <c r="F2247" s="18"/>
      <c r="G2247" s="18"/>
      <c r="H2247" s="18"/>
      <c r="I2247" s="18"/>
      <c r="J2247" s="18"/>
      <c r="K2247" s="18"/>
      <c r="L2247" s="18"/>
      <c r="M2247" s="18"/>
    </row>
    <row r="2248" s="65" customFormat="1" ht="13.5" spans="1:13">
      <c r="A2248" s="66"/>
      <c r="E2248" s="72" t="s">
        <v>2323</v>
      </c>
      <c r="F2248" s="18"/>
      <c r="G2248" s="18"/>
      <c r="H2248" s="18"/>
      <c r="I2248" s="18"/>
      <c r="J2248" s="18"/>
      <c r="K2248" s="18"/>
      <c r="L2248" s="18"/>
      <c r="M2248" s="18"/>
    </row>
    <row r="2249" s="65" customFormat="1" ht="13.5" spans="1:13">
      <c r="A2249" s="66"/>
      <c r="E2249" s="72" t="s">
        <v>2324</v>
      </c>
      <c r="F2249" s="18"/>
      <c r="G2249" s="18"/>
      <c r="H2249" s="18"/>
      <c r="I2249" s="18"/>
      <c r="J2249" s="18"/>
      <c r="K2249" s="18"/>
      <c r="L2249" s="18"/>
      <c r="M2249" s="18"/>
    </row>
    <row r="2250" s="65" customFormat="1" ht="13.5" spans="1:13">
      <c r="A2250" s="66"/>
      <c r="E2250" s="72" t="s">
        <v>2325</v>
      </c>
      <c r="F2250" s="18"/>
      <c r="G2250" s="18"/>
      <c r="H2250" s="18"/>
      <c r="I2250" s="18"/>
      <c r="J2250" s="18"/>
      <c r="K2250" s="18"/>
      <c r="L2250" s="18"/>
      <c r="M2250" s="18"/>
    </row>
    <row r="2251" s="65" customFormat="1" ht="13.5" spans="1:13">
      <c r="A2251" s="66"/>
      <c r="E2251" s="72" t="s">
        <v>2326</v>
      </c>
      <c r="F2251" s="18"/>
      <c r="G2251" s="18"/>
      <c r="H2251" s="18"/>
      <c r="I2251" s="18"/>
      <c r="J2251" s="18"/>
      <c r="K2251" s="18"/>
      <c r="L2251" s="18"/>
      <c r="M2251" s="18"/>
    </row>
    <row r="2252" s="65" customFormat="1" ht="13.5" spans="1:13">
      <c r="A2252" s="66"/>
      <c r="E2252" s="72" t="s">
        <v>2327</v>
      </c>
      <c r="F2252" s="18"/>
      <c r="G2252" s="18"/>
      <c r="H2252" s="18"/>
      <c r="I2252" s="18"/>
      <c r="J2252" s="18"/>
      <c r="K2252" s="18"/>
      <c r="L2252" s="18"/>
      <c r="M2252" s="18"/>
    </row>
    <row r="2253" s="65" customFormat="1" ht="13.5" spans="1:13">
      <c r="A2253" s="66"/>
      <c r="E2253" s="72" t="s">
        <v>2328</v>
      </c>
      <c r="F2253" s="18"/>
      <c r="G2253" s="18"/>
      <c r="H2253" s="18"/>
      <c r="I2253" s="18"/>
      <c r="J2253" s="18"/>
      <c r="K2253" s="18"/>
      <c r="L2253" s="18"/>
      <c r="M2253" s="18"/>
    </row>
    <row r="2254" s="65" customFormat="1" ht="13.5" spans="1:13">
      <c r="A2254" s="66"/>
      <c r="E2254" s="72" t="s">
        <v>2329</v>
      </c>
      <c r="F2254" s="18"/>
      <c r="G2254" s="18"/>
      <c r="H2254" s="18"/>
      <c r="I2254" s="18"/>
      <c r="J2254" s="18"/>
      <c r="K2254" s="18"/>
      <c r="L2254" s="18"/>
      <c r="M2254" s="18"/>
    </row>
    <row r="2255" s="65" customFormat="1" ht="13.5" spans="1:13">
      <c r="A2255" s="66"/>
      <c r="E2255" s="72" t="s">
        <v>2330</v>
      </c>
      <c r="F2255" s="18"/>
      <c r="G2255" s="18"/>
      <c r="H2255" s="18"/>
      <c r="I2255" s="18"/>
      <c r="J2255" s="18"/>
      <c r="K2255" s="18"/>
      <c r="L2255" s="18"/>
      <c r="M2255" s="18"/>
    </row>
    <row r="2256" s="65" customFormat="1" ht="13.5" spans="1:13">
      <c r="A2256" s="66"/>
      <c r="E2256" s="72" t="s">
        <v>2331</v>
      </c>
      <c r="F2256" s="18"/>
      <c r="G2256" s="18"/>
      <c r="H2256" s="18"/>
      <c r="I2256" s="18"/>
      <c r="J2256" s="18"/>
      <c r="K2256" s="18"/>
      <c r="L2256" s="18"/>
      <c r="M2256" s="18"/>
    </row>
    <row r="2257" s="65" customFormat="1" ht="13.5" spans="1:13">
      <c r="A2257" s="66"/>
      <c r="E2257" s="72" t="s">
        <v>2332</v>
      </c>
      <c r="F2257" s="18"/>
      <c r="G2257" s="18"/>
      <c r="H2257" s="18"/>
      <c r="I2257" s="18"/>
      <c r="J2257" s="18"/>
      <c r="K2257" s="18"/>
      <c r="L2257" s="18"/>
      <c r="M2257" s="18"/>
    </row>
    <row r="2258" s="65" customFormat="1" ht="13.5" spans="1:13">
      <c r="A2258" s="66"/>
      <c r="E2258" s="72" t="s">
        <v>2333</v>
      </c>
      <c r="F2258" s="18"/>
      <c r="G2258" s="18"/>
      <c r="H2258" s="18"/>
      <c r="I2258" s="18"/>
      <c r="J2258" s="18"/>
      <c r="K2258" s="18"/>
      <c r="L2258" s="18"/>
      <c r="M2258" s="18"/>
    </row>
    <row r="2259" s="65" customFormat="1" ht="13.5" spans="1:13">
      <c r="A2259" s="66"/>
      <c r="E2259" s="72" t="s">
        <v>2334</v>
      </c>
      <c r="F2259" s="18"/>
      <c r="G2259" s="18"/>
      <c r="H2259" s="18"/>
      <c r="I2259" s="18"/>
      <c r="J2259" s="18"/>
      <c r="K2259" s="18"/>
      <c r="L2259" s="18"/>
      <c r="M2259" s="18"/>
    </row>
    <row r="2260" s="65" customFormat="1" ht="13.5" spans="1:13">
      <c r="A2260" s="66"/>
      <c r="E2260" s="72" t="s">
        <v>2335</v>
      </c>
      <c r="F2260" s="18"/>
      <c r="G2260" s="18"/>
      <c r="H2260" s="18"/>
      <c r="I2260" s="18"/>
      <c r="J2260" s="18"/>
      <c r="K2260" s="18"/>
      <c r="L2260" s="18"/>
      <c r="M2260" s="18"/>
    </row>
    <row r="2261" s="65" customFormat="1" ht="13.5" spans="1:13">
      <c r="A2261" s="66"/>
      <c r="E2261" s="72" t="s">
        <v>2336</v>
      </c>
      <c r="F2261" s="18"/>
      <c r="G2261" s="18"/>
      <c r="H2261" s="18"/>
      <c r="I2261" s="18"/>
      <c r="J2261" s="18"/>
      <c r="K2261" s="18"/>
      <c r="L2261" s="18"/>
      <c r="M2261" s="18"/>
    </row>
    <row r="2262" s="65" customFormat="1" ht="13.5" spans="1:13">
      <c r="A2262" s="66"/>
      <c r="E2262" s="72" t="s">
        <v>2337</v>
      </c>
      <c r="F2262" s="18"/>
      <c r="G2262" s="18"/>
      <c r="H2262" s="18"/>
      <c r="I2262" s="18"/>
      <c r="J2262" s="18"/>
      <c r="K2262" s="18"/>
      <c r="L2262" s="18"/>
      <c r="M2262" s="18"/>
    </row>
    <row r="2263" s="65" customFormat="1" ht="13.5" spans="1:13">
      <c r="A2263" s="66"/>
      <c r="E2263" s="72" t="s">
        <v>2338</v>
      </c>
      <c r="F2263" s="18"/>
      <c r="G2263" s="18"/>
      <c r="H2263" s="18"/>
      <c r="I2263" s="18"/>
      <c r="J2263" s="18"/>
      <c r="K2263" s="18"/>
      <c r="L2263" s="18"/>
      <c r="M2263" s="18"/>
    </row>
    <row r="2264" s="65" customFormat="1" ht="13.5" spans="1:13">
      <c r="A2264" s="66"/>
      <c r="E2264" s="72" t="s">
        <v>2339</v>
      </c>
      <c r="F2264" s="18"/>
      <c r="G2264" s="18"/>
      <c r="H2264" s="18"/>
      <c r="I2264" s="18"/>
      <c r="J2264" s="18"/>
      <c r="K2264" s="18"/>
      <c r="L2264" s="18"/>
      <c r="M2264" s="18"/>
    </row>
    <row r="2265" s="65" customFormat="1" ht="13.5" spans="1:13">
      <c r="A2265" s="66"/>
      <c r="E2265" s="72" t="s">
        <v>2340</v>
      </c>
      <c r="F2265" s="18"/>
      <c r="G2265" s="18"/>
      <c r="H2265" s="18"/>
      <c r="I2265" s="18"/>
      <c r="J2265" s="18"/>
      <c r="K2265" s="18"/>
      <c r="L2265" s="18"/>
      <c r="M2265" s="18"/>
    </row>
    <row r="2266" s="65" customFormat="1" ht="13.5" spans="1:13">
      <c r="A2266" s="66"/>
      <c r="E2266" s="72" t="s">
        <v>2341</v>
      </c>
      <c r="F2266" s="18"/>
      <c r="G2266" s="18"/>
      <c r="H2266" s="18"/>
      <c r="I2266" s="18"/>
      <c r="J2266" s="18"/>
      <c r="K2266" s="18"/>
      <c r="L2266" s="18"/>
      <c r="M2266" s="18"/>
    </row>
    <row r="2267" s="65" customFormat="1" ht="13.5" spans="1:13">
      <c r="A2267" s="66"/>
      <c r="E2267" s="72" t="s">
        <v>2342</v>
      </c>
      <c r="F2267" s="18"/>
      <c r="G2267" s="18"/>
      <c r="H2267" s="18"/>
      <c r="I2267" s="18"/>
      <c r="J2267" s="18"/>
      <c r="K2267" s="18"/>
      <c r="L2267" s="18"/>
      <c r="M2267" s="18"/>
    </row>
    <row r="2268" s="65" customFormat="1" ht="13.5" spans="1:13">
      <c r="A2268" s="66"/>
      <c r="E2268" s="72" t="s">
        <v>2343</v>
      </c>
      <c r="F2268" s="18"/>
      <c r="G2268" s="18"/>
      <c r="H2268" s="18"/>
      <c r="I2268" s="18"/>
      <c r="J2268" s="18"/>
      <c r="K2268" s="18"/>
      <c r="L2268" s="18"/>
      <c r="M2268" s="18"/>
    </row>
    <row r="2269" s="65" customFormat="1" ht="13.5" spans="1:13">
      <c r="A2269" s="66"/>
      <c r="E2269" s="72" t="s">
        <v>2344</v>
      </c>
      <c r="F2269" s="18"/>
      <c r="G2269" s="18"/>
      <c r="H2269" s="18"/>
      <c r="I2269" s="18"/>
      <c r="J2269" s="18"/>
      <c r="K2269" s="18"/>
      <c r="L2269" s="18"/>
      <c r="M2269" s="18"/>
    </row>
    <row r="2270" s="65" customFormat="1" ht="13.5" spans="1:13">
      <c r="A2270" s="66"/>
      <c r="E2270" s="72" t="s">
        <v>2345</v>
      </c>
      <c r="F2270" s="18"/>
      <c r="G2270" s="18"/>
      <c r="H2270" s="18"/>
      <c r="I2270" s="18"/>
      <c r="J2270" s="18"/>
      <c r="K2270" s="18"/>
      <c r="L2270" s="18"/>
      <c r="M2270" s="18"/>
    </row>
    <row r="2271" s="65" customFormat="1" ht="13.5" spans="1:13">
      <c r="A2271" s="66"/>
      <c r="E2271" s="72" t="s">
        <v>2346</v>
      </c>
      <c r="F2271" s="18"/>
      <c r="G2271" s="18"/>
      <c r="H2271" s="18"/>
      <c r="I2271" s="18"/>
      <c r="J2271" s="18"/>
      <c r="K2271" s="18"/>
      <c r="L2271" s="18"/>
      <c r="M2271" s="18"/>
    </row>
    <row r="2272" s="65" customFormat="1" ht="13.5" spans="1:13">
      <c r="A2272" s="66"/>
      <c r="E2272" s="72" t="s">
        <v>2347</v>
      </c>
      <c r="F2272" s="18"/>
      <c r="G2272" s="18"/>
      <c r="H2272" s="18"/>
      <c r="I2272" s="18"/>
      <c r="J2272" s="18"/>
      <c r="K2272" s="18"/>
      <c r="L2272" s="18"/>
      <c r="M2272" s="18"/>
    </row>
    <row r="2273" s="65" customFormat="1" ht="13.5" spans="1:13">
      <c r="A2273" s="66"/>
      <c r="E2273" s="72" t="s">
        <v>2348</v>
      </c>
      <c r="F2273" s="18"/>
      <c r="G2273" s="18"/>
      <c r="H2273" s="18"/>
      <c r="I2273" s="18"/>
      <c r="J2273" s="18"/>
      <c r="K2273" s="18"/>
      <c r="L2273" s="18"/>
      <c r="M2273" s="18"/>
    </row>
    <row r="2274" s="65" customFormat="1" ht="13.5" spans="1:13">
      <c r="A2274" s="66"/>
      <c r="E2274" s="72" t="s">
        <v>2349</v>
      </c>
      <c r="F2274" s="18"/>
      <c r="G2274" s="18"/>
      <c r="H2274" s="18"/>
      <c r="I2274" s="18"/>
      <c r="J2274" s="18"/>
      <c r="K2274" s="18"/>
      <c r="L2274" s="18"/>
      <c r="M2274" s="18"/>
    </row>
    <row r="2275" s="65" customFormat="1" ht="13.5" spans="1:13">
      <c r="A2275" s="66"/>
      <c r="E2275" s="72" t="s">
        <v>2350</v>
      </c>
      <c r="F2275" s="18"/>
      <c r="G2275" s="18"/>
      <c r="H2275" s="18"/>
      <c r="I2275" s="18"/>
      <c r="J2275" s="18"/>
      <c r="K2275" s="18"/>
      <c r="L2275" s="18"/>
      <c r="M2275" s="18"/>
    </row>
    <row r="2276" s="65" customFormat="1" ht="13.5" spans="1:13">
      <c r="A2276" s="66"/>
      <c r="E2276" s="72" t="s">
        <v>2351</v>
      </c>
      <c r="F2276" s="18"/>
      <c r="G2276" s="18"/>
      <c r="H2276" s="18"/>
      <c r="I2276" s="18"/>
      <c r="J2276" s="18"/>
      <c r="K2276" s="18"/>
      <c r="L2276" s="18"/>
      <c r="M2276" s="18"/>
    </row>
    <row r="2277" s="65" customFormat="1" ht="13.5" spans="1:13">
      <c r="A2277" s="66"/>
      <c r="E2277" s="72" t="s">
        <v>2352</v>
      </c>
      <c r="F2277" s="18"/>
      <c r="G2277" s="18"/>
      <c r="H2277" s="18"/>
      <c r="I2277" s="18"/>
      <c r="J2277" s="18"/>
      <c r="K2277" s="18"/>
      <c r="L2277" s="18"/>
      <c r="M2277" s="18"/>
    </row>
    <row r="2278" s="65" customFormat="1" ht="13.5" spans="1:13">
      <c r="A2278" s="66"/>
      <c r="E2278" s="72" t="s">
        <v>2353</v>
      </c>
      <c r="F2278" s="18"/>
      <c r="G2278" s="18"/>
      <c r="H2278" s="18"/>
      <c r="I2278" s="18"/>
      <c r="J2278" s="18"/>
      <c r="K2278" s="18"/>
      <c r="L2278" s="18"/>
      <c r="M2278" s="18"/>
    </row>
    <row r="2279" s="65" customFormat="1" ht="13.5" spans="1:13">
      <c r="A2279" s="66"/>
      <c r="E2279" s="72" t="s">
        <v>2354</v>
      </c>
      <c r="F2279" s="18"/>
      <c r="G2279" s="18"/>
      <c r="H2279" s="18"/>
      <c r="I2279" s="18"/>
      <c r="J2279" s="18"/>
      <c r="K2279" s="18"/>
      <c r="L2279" s="18"/>
      <c r="M2279" s="18"/>
    </row>
    <row r="2280" s="65" customFormat="1" ht="13.5" spans="1:13">
      <c r="A2280" s="66"/>
      <c r="E2280" s="72" t="s">
        <v>2355</v>
      </c>
      <c r="F2280" s="18"/>
      <c r="G2280" s="18"/>
      <c r="H2280" s="18"/>
      <c r="I2280" s="18"/>
      <c r="J2280" s="18"/>
      <c r="K2280" s="18"/>
      <c r="L2280" s="18"/>
      <c r="M2280" s="18"/>
    </row>
    <row r="2281" s="65" customFormat="1" ht="13.5" spans="1:13">
      <c r="A2281" s="66"/>
      <c r="E2281" s="72" t="s">
        <v>2356</v>
      </c>
      <c r="F2281" s="18"/>
      <c r="G2281" s="18"/>
      <c r="H2281" s="18"/>
      <c r="I2281" s="18"/>
      <c r="J2281" s="18"/>
      <c r="K2281" s="18"/>
      <c r="L2281" s="18"/>
      <c r="M2281" s="18"/>
    </row>
    <row r="2282" s="65" customFormat="1" ht="13.5" spans="1:13">
      <c r="A2282" s="66"/>
      <c r="E2282" s="72" t="s">
        <v>2357</v>
      </c>
      <c r="F2282" s="18"/>
      <c r="G2282" s="18"/>
      <c r="H2282" s="18"/>
      <c r="I2282" s="18"/>
      <c r="J2282" s="18"/>
      <c r="K2282" s="18"/>
      <c r="L2282" s="18"/>
      <c r="M2282" s="18"/>
    </row>
    <row r="2283" s="65" customFormat="1" ht="13.5" spans="1:13">
      <c r="A2283" s="66"/>
      <c r="E2283" s="72" t="s">
        <v>2358</v>
      </c>
      <c r="F2283" s="18"/>
      <c r="G2283" s="18"/>
      <c r="H2283" s="18"/>
      <c r="I2283" s="18"/>
      <c r="J2283" s="18"/>
      <c r="K2283" s="18"/>
      <c r="L2283" s="18"/>
      <c r="M2283" s="18"/>
    </row>
    <row r="2284" s="65" customFormat="1" ht="13.5" spans="1:13">
      <c r="A2284" s="66"/>
      <c r="E2284" s="72" t="s">
        <v>2359</v>
      </c>
      <c r="F2284" s="18"/>
      <c r="G2284" s="18"/>
      <c r="H2284" s="18"/>
      <c r="I2284" s="18"/>
      <c r="J2284" s="18"/>
      <c r="K2284" s="18"/>
      <c r="L2284" s="18"/>
      <c r="M2284" s="18"/>
    </row>
    <row r="2285" s="65" customFormat="1" ht="13.5" spans="1:13">
      <c r="A2285" s="66"/>
      <c r="E2285" s="72" t="s">
        <v>2360</v>
      </c>
      <c r="F2285" s="18"/>
      <c r="G2285" s="18"/>
      <c r="H2285" s="18"/>
      <c r="I2285" s="18"/>
      <c r="J2285" s="18"/>
      <c r="K2285" s="18"/>
      <c r="L2285" s="18"/>
      <c r="M2285" s="18"/>
    </row>
    <row r="2286" s="65" customFormat="1" ht="13.5" spans="1:13">
      <c r="A2286" s="66"/>
      <c r="E2286" s="72" t="s">
        <v>2361</v>
      </c>
      <c r="F2286" s="18"/>
      <c r="G2286" s="18"/>
      <c r="H2286" s="18"/>
      <c r="I2286" s="18"/>
      <c r="J2286" s="18"/>
      <c r="K2286" s="18"/>
      <c r="L2286" s="18"/>
      <c r="M2286" s="18"/>
    </row>
    <row r="2287" s="65" customFormat="1" ht="13.5" spans="1:13">
      <c r="A2287" s="66"/>
      <c r="E2287" s="72" t="s">
        <v>2362</v>
      </c>
      <c r="F2287" s="18"/>
      <c r="G2287" s="18"/>
      <c r="H2287" s="18"/>
      <c r="I2287" s="18"/>
      <c r="J2287" s="18"/>
      <c r="K2287" s="18"/>
      <c r="L2287" s="18"/>
      <c r="M2287" s="18"/>
    </row>
    <row r="2288" s="65" customFormat="1" ht="13.5" spans="1:13">
      <c r="A2288" s="66"/>
      <c r="E2288" s="72" t="s">
        <v>2363</v>
      </c>
      <c r="F2288" s="18"/>
      <c r="G2288" s="18"/>
      <c r="H2288" s="18"/>
      <c r="I2288" s="18"/>
      <c r="J2288" s="18"/>
      <c r="K2288" s="18"/>
      <c r="L2288" s="18"/>
      <c r="M2288" s="18"/>
    </row>
    <row r="2289" s="65" customFormat="1" ht="13.5" spans="1:13">
      <c r="A2289" s="66"/>
      <c r="E2289" s="72" t="s">
        <v>2364</v>
      </c>
      <c r="F2289" s="18"/>
      <c r="G2289" s="18"/>
      <c r="H2289" s="18"/>
      <c r="I2289" s="18"/>
      <c r="J2289" s="18"/>
      <c r="K2289" s="18"/>
      <c r="L2289" s="18"/>
      <c r="M2289" s="18"/>
    </row>
    <row r="2290" s="65" customFormat="1" ht="13.5" spans="1:13">
      <c r="A2290" s="66"/>
      <c r="E2290" s="72" t="s">
        <v>2365</v>
      </c>
      <c r="F2290" s="18"/>
      <c r="G2290" s="18"/>
      <c r="H2290" s="18"/>
      <c r="I2290" s="18"/>
      <c r="J2290" s="18"/>
      <c r="K2290" s="18"/>
      <c r="L2290" s="18"/>
      <c r="M2290" s="18"/>
    </row>
    <row r="2291" s="65" customFormat="1" ht="13.5" spans="1:13">
      <c r="A2291" s="66"/>
      <c r="E2291" s="72" t="s">
        <v>2366</v>
      </c>
      <c r="F2291" s="18"/>
      <c r="G2291" s="18"/>
      <c r="H2291" s="18"/>
      <c r="I2291" s="18"/>
      <c r="J2291" s="18"/>
      <c r="K2291" s="18"/>
      <c r="L2291" s="18"/>
      <c r="M2291" s="18"/>
    </row>
    <row r="2292" s="65" customFormat="1" ht="13.5" spans="1:13">
      <c r="A2292" s="66"/>
      <c r="E2292" s="72" t="s">
        <v>2367</v>
      </c>
      <c r="F2292" s="18"/>
      <c r="G2292" s="18"/>
      <c r="H2292" s="18"/>
      <c r="I2292" s="18"/>
      <c r="J2292" s="18"/>
      <c r="K2292" s="18"/>
      <c r="L2292" s="18"/>
      <c r="M2292" s="18"/>
    </row>
    <row r="2293" s="65" customFormat="1" ht="13.5" spans="1:13">
      <c r="A2293" s="66"/>
      <c r="E2293" s="72" t="s">
        <v>2368</v>
      </c>
      <c r="F2293" s="18"/>
      <c r="G2293" s="18"/>
      <c r="H2293" s="18"/>
      <c r="I2293" s="18"/>
      <c r="J2293" s="18"/>
      <c r="K2293" s="18"/>
      <c r="L2293" s="18"/>
      <c r="M2293" s="18"/>
    </row>
    <row r="2294" s="65" customFormat="1" ht="13.5" spans="1:13">
      <c r="A2294" s="66"/>
      <c r="E2294" s="72" t="s">
        <v>2369</v>
      </c>
      <c r="F2294" s="18"/>
      <c r="G2294" s="18"/>
      <c r="H2294" s="18"/>
      <c r="I2294" s="18"/>
      <c r="J2294" s="18"/>
      <c r="K2294" s="18"/>
      <c r="L2294" s="18"/>
      <c r="M2294" s="18"/>
    </row>
    <row r="2295" s="65" customFormat="1" ht="13.5" spans="1:13">
      <c r="A2295" s="66"/>
      <c r="E2295" s="72" t="s">
        <v>2370</v>
      </c>
      <c r="F2295" s="18"/>
      <c r="G2295" s="18"/>
      <c r="H2295" s="18"/>
      <c r="I2295" s="18"/>
      <c r="J2295" s="18"/>
      <c r="K2295" s="18"/>
      <c r="L2295" s="18"/>
      <c r="M2295" s="18"/>
    </row>
    <row r="2296" s="65" customFormat="1" ht="13.5" spans="1:13">
      <c r="A2296" s="66"/>
      <c r="E2296" s="72" t="s">
        <v>2371</v>
      </c>
      <c r="F2296" s="18"/>
      <c r="G2296" s="18"/>
      <c r="H2296" s="18"/>
      <c r="I2296" s="18"/>
      <c r="J2296" s="18"/>
      <c r="K2296" s="18"/>
      <c r="L2296" s="18"/>
      <c r="M2296" s="18"/>
    </row>
    <row r="2297" s="65" customFormat="1" ht="13.5" spans="1:13">
      <c r="A2297" s="66"/>
      <c r="E2297" s="72" t="s">
        <v>2372</v>
      </c>
      <c r="F2297" s="18"/>
      <c r="G2297" s="18"/>
      <c r="H2297" s="18"/>
      <c r="I2297" s="18"/>
      <c r="J2297" s="18"/>
      <c r="K2297" s="18"/>
      <c r="L2297" s="18"/>
      <c r="M2297" s="18"/>
    </row>
    <row r="2298" s="65" customFormat="1" ht="13.5" spans="1:13">
      <c r="A2298" s="66"/>
      <c r="E2298" s="72" t="s">
        <v>2373</v>
      </c>
      <c r="F2298" s="18"/>
      <c r="G2298" s="18"/>
      <c r="H2298" s="18"/>
      <c r="I2298" s="18"/>
      <c r="J2298" s="18"/>
      <c r="K2298" s="18"/>
      <c r="L2298" s="18"/>
      <c r="M2298" s="18"/>
    </row>
    <row r="2299" s="65" customFormat="1" ht="13.5" spans="1:13">
      <c r="A2299" s="66"/>
      <c r="E2299" s="72" t="s">
        <v>2374</v>
      </c>
      <c r="F2299" s="18"/>
      <c r="G2299" s="18"/>
      <c r="H2299" s="18"/>
      <c r="I2299" s="18"/>
      <c r="J2299" s="18"/>
      <c r="K2299" s="18"/>
      <c r="L2299" s="18"/>
      <c r="M2299" s="18"/>
    </row>
    <row r="2300" s="65" customFormat="1" ht="13.5" spans="1:13">
      <c r="A2300" s="66"/>
      <c r="E2300" s="72" t="s">
        <v>2375</v>
      </c>
      <c r="F2300" s="18"/>
      <c r="G2300" s="18"/>
      <c r="H2300" s="18"/>
      <c r="I2300" s="18"/>
      <c r="J2300" s="18"/>
      <c r="K2300" s="18"/>
      <c r="L2300" s="18"/>
      <c r="M2300" s="18"/>
    </row>
    <row r="2301" s="65" customFormat="1" ht="13.5" spans="1:13">
      <c r="A2301" s="66"/>
      <c r="E2301" s="72" t="s">
        <v>2376</v>
      </c>
      <c r="F2301" s="18"/>
      <c r="G2301" s="18"/>
      <c r="H2301" s="18"/>
      <c r="I2301" s="18"/>
      <c r="J2301" s="18"/>
      <c r="K2301" s="18"/>
      <c r="L2301" s="18"/>
      <c r="M2301" s="18"/>
    </row>
    <row r="2302" s="65" customFormat="1" ht="13.5" spans="1:13">
      <c r="A2302" s="66"/>
      <c r="E2302" s="72" t="s">
        <v>2377</v>
      </c>
      <c r="F2302" s="18"/>
      <c r="G2302" s="18"/>
      <c r="H2302" s="18"/>
      <c r="I2302" s="18"/>
      <c r="J2302" s="18"/>
      <c r="K2302" s="18"/>
      <c r="L2302" s="18"/>
      <c r="M2302" s="18"/>
    </row>
    <row r="2303" s="65" customFormat="1" ht="13.5" spans="1:13">
      <c r="A2303" s="66"/>
      <c r="E2303" s="72" t="s">
        <v>2378</v>
      </c>
      <c r="F2303" s="18"/>
      <c r="G2303" s="18"/>
      <c r="H2303" s="18"/>
      <c r="I2303" s="18"/>
      <c r="J2303" s="18"/>
      <c r="K2303" s="18"/>
      <c r="L2303" s="18"/>
      <c r="M2303" s="18"/>
    </row>
    <row r="2304" s="65" customFormat="1" ht="13.5" spans="1:13">
      <c r="A2304" s="66"/>
      <c r="E2304" s="72" t="s">
        <v>2379</v>
      </c>
      <c r="F2304" s="18"/>
      <c r="G2304" s="18"/>
      <c r="H2304" s="18"/>
      <c r="I2304" s="18"/>
      <c r="J2304" s="18"/>
      <c r="K2304" s="18"/>
      <c r="L2304" s="18"/>
      <c r="M2304" s="18"/>
    </row>
    <row r="2305" s="65" customFormat="1" ht="13.5" spans="1:13">
      <c r="A2305" s="66"/>
      <c r="E2305" s="72" t="s">
        <v>2380</v>
      </c>
      <c r="F2305" s="18"/>
      <c r="G2305" s="18"/>
      <c r="H2305" s="18"/>
      <c r="I2305" s="18"/>
      <c r="J2305" s="18"/>
      <c r="K2305" s="18"/>
      <c r="L2305" s="18"/>
      <c r="M2305" s="18"/>
    </row>
    <row r="2306" s="65" customFormat="1" ht="13.5" spans="1:13">
      <c r="A2306" s="66"/>
      <c r="E2306" s="72" t="s">
        <v>2381</v>
      </c>
      <c r="F2306" s="18"/>
      <c r="G2306" s="18"/>
      <c r="H2306" s="18"/>
      <c r="I2306" s="18"/>
      <c r="J2306" s="18"/>
      <c r="K2306" s="18"/>
      <c r="L2306" s="18"/>
      <c r="M2306" s="18"/>
    </row>
    <row r="2307" s="65" customFormat="1" ht="13.5" spans="1:13">
      <c r="A2307" s="66"/>
      <c r="E2307" s="72" t="s">
        <v>2382</v>
      </c>
      <c r="F2307" s="18"/>
      <c r="G2307" s="18"/>
      <c r="H2307" s="18"/>
      <c r="I2307" s="18"/>
      <c r="J2307" s="18"/>
      <c r="K2307" s="18"/>
      <c r="L2307" s="18"/>
      <c r="M2307" s="18"/>
    </row>
    <row r="2308" s="65" customFormat="1" ht="13.5" spans="1:13">
      <c r="A2308" s="66"/>
      <c r="E2308" s="72" t="s">
        <v>2383</v>
      </c>
      <c r="F2308" s="18"/>
      <c r="G2308" s="18"/>
      <c r="H2308" s="18"/>
      <c r="I2308" s="18"/>
      <c r="J2308" s="18"/>
      <c r="K2308" s="18"/>
      <c r="L2308" s="18"/>
      <c r="M2308" s="18"/>
    </row>
    <row r="2309" s="65" customFormat="1" ht="13.5" spans="1:13">
      <c r="A2309" s="66"/>
      <c r="E2309" s="72" t="s">
        <v>2384</v>
      </c>
      <c r="F2309" s="18"/>
      <c r="G2309" s="18"/>
      <c r="H2309" s="18"/>
      <c r="I2309" s="18"/>
      <c r="J2309" s="18"/>
      <c r="K2309" s="18"/>
      <c r="L2309" s="18"/>
      <c r="M2309" s="18"/>
    </row>
    <row r="2310" s="65" customFormat="1" ht="13.5" spans="1:13">
      <c r="A2310" s="66"/>
      <c r="E2310" s="72" t="s">
        <v>2385</v>
      </c>
      <c r="F2310" s="18"/>
      <c r="G2310" s="18"/>
      <c r="H2310" s="18"/>
      <c r="I2310" s="18"/>
      <c r="J2310" s="18"/>
      <c r="K2310" s="18"/>
      <c r="L2310" s="18"/>
      <c r="M2310" s="18"/>
    </row>
    <row r="2311" s="65" customFormat="1" ht="13.5" spans="1:13">
      <c r="A2311" s="66"/>
      <c r="E2311" s="72" t="s">
        <v>2386</v>
      </c>
      <c r="F2311" s="18"/>
      <c r="G2311" s="18"/>
      <c r="H2311" s="18"/>
      <c r="I2311" s="18"/>
      <c r="J2311" s="18"/>
      <c r="K2311" s="18"/>
      <c r="L2311" s="18"/>
      <c r="M2311" s="18"/>
    </row>
    <row r="2312" s="65" customFormat="1" ht="13.5" spans="1:13">
      <c r="A2312" s="66"/>
      <c r="E2312" s="72" t="s">
        <v>2387</v>
      </c>
      <c r="F2312" s="18"/>
      <c r="G2312" s="18"/>
      <c r="H2312" s="18"/>
      <c r="I2312" s="18"/>
      <c r="J2312" s="18"/>
      <c r="K2312" s="18"/>
      <c r="L2312" s="18"/>
      <c r="M2312" s="18"/>
    </row>
    <row r="2313" s="65" customFormat="1" ht="13.5" spans="1:13">
      <c r="A2313" s="66"/>
      <c r="E2313" s="72" t="s">
        <v>2388</v>
      </c>
      <c r="F2313" s="18"/>
      <c r="G2313" s="18"/>
      <c r="H2313" s="18"/>
      <c r="I2313" s="18"/>
      <c r="J2313" s="18"/>
      <c r="K2313" s="18"/>
      <c r="L2313" s="18"/>
      <c r="M2313" s="18"/>
    </row>
    <row r="2314" s="65" customFormat="1" ht="13.5" spans="1:13">
      <c r="A2314" s="66"/>
      <c r="E2314" s="72" t="s">
        <v>2389</v>
      </c>
      <c r="F2314" s="18"/>
      <c r="G2314" s="18"/>
      <c r="H2314" s="18"/>
      <c r="I2314" s="18"/>
      <c r="J2314" s="18"/>
      <c r="K2314" s="18"/>
      <c r="L2314" s="18"/>
      <c r="M2314" s="18"/>
    </row>
    <row r="2315" s="65" customFormat="1" ht="13.5" spans="1:13">
      <c r="A2315" s="66"/>
      <c r="E2315" s="72" t="s">
        <v>2390</v>
      </c>
      <c r="F2315" s="18"/>
      <c r="G2315" s="18"/>
      <c r="H2315" s="18"/>
      <c r="I2315" s="18"/>
      <c r="J2315" s="18"/>
      <c r="K2315" s="18"/>
      <c r="L2315" s="18"/>
      <c r="M2315" s="18"/>
    </row>
    <row r="2316" s="65" customFormat="1" ht="13.5" spans="1:13">
      <c r="A2316" s="66"/>
      <c r="E2316" s="72" t="s">
        <v>2391</v>
      </c>
      <c r="F2316" s="18"/>
      <c r="G2316" s="18"/>
      <c r="H2316" s="18"/>
      <c r="I2316" s="18"/>
      <c r="J2316" s="18"/>
      <c r="K2316" s="18"/>
      <c r="L2316" s="18"/>
      <c r="M2316" s="18"/>
    </row>
    <row r="2317" s="65" customFormat="1" ht="13.5" spans="1:13">
      <c r="A2317" s="66"/>
      <c r="E2317" s="72" t="s">
        <v>2392</v>
      </c>
      <c r="F2317" s="18"/>
      <c r="G2317" s="18"/>
      <c r="H2317" s="18"/>
      <c r="I2317" s="18"/>
      <c r="J2317" s="18"/>
      <c r="K2317" s="18"/>
      <c r="L2317" s="18"/>
      <c r="M2317" s="18"/>
    </row>
    <row r="2318" s="65" customFormat="1" ht="13.5" spans="1:13">
      <c r="A2318" s="66"/>
      <c r="E2318" s="72" t="s">
        <v>2393</v>
      </c>
      <c r="F2318" s="18"/>
      <c r="G2318" s="18"/>
      <c r="H2318" s="18"/>
      <c r="I2318" s="18"/>
      <c r="J2318" s="18"/>
      <c r="K2318" s="18"/>
      <c r="L2318" s="18"/>
      <c r="M2318" s="18"/>
    </row>
    <row r="2319" s="65" customFormat="1" ht="13.5" spans="1:13">
      <c r="A2319" s="66"/>
      <c r="E2319" s="72" t="s">
        <v>2394</v>
      </c>
      <c r="F2319" s="18"/>
      <c r="G2319" s="18"/>
      <c r="H2319" s="18"/>
      <c r="I2319" s="18"/>
      <c r="J2319" s="18"/>
      <c r="K2319" s="18"/>
      <c r="L2319" s="18"/>
      <c r="M2319" s="18"/>
    </row>
    <row r="2320" s="65" customFormat="1" ht="13.5" spans="1:13">
      <c r="A2320" s="66"/>
      <c r="E2320" s="72" t="s">
        <v>2395</v>
      </c>
      <c r="F2320" s="18"/>
      <c r="G2320" s="18"/>
      <c r="H2320" s="18"/>
      <c r="I2320" s="18"/>
      <c r="J2320" s="18"/>
      <c r="K2320" s="18"/>
      <c r="L2320" s="18"/>
      <c r="M2320" s="18"/>
    </row>
    <row r="2321" s="65" customFormat="1" ht="13.5" spans="1:13">
      <c r="A2321" s="66"/>
      <c r="E2321" s="72" t="s">
        <v>2396</v>
      </c>
      <c r="F2321" s="18"/>
      <c r="G2321" s="18"/>
      <c r="H2321" s="18"/>
      <c r="I2321" s="18"/>
      <c r="J2321" s="18"/>
      <c r="K2321" s="18"/>
      <c r="L2321" s="18"/>
      <c r="M2321" s="18"/>
    </row>
    <row r="2322" s="65" customFormat="1" ht="13.5" spans="1:13">
      <c r="A2322" s="66"/>
      <c r="E2322" s="72" t="s">
        <v>2397</v>
      </c>
      <c r="F2322" s="18"/>
      <c r="G2322" s="18"/>
      <c r="H2322" s="18"/>
      <c r="I2322" s="18"/>
      <c r="J2322" s="18"/>
      <c r="K2322" s="18"/>
      <c r="L2322" s="18"/>
      <c r="M2322" s="18"/>
    </row>
    <row r="2323" s="65" customFormat="1" ht="13.5" spans="1:13">
      <c r="A2323" s="66"/>
      <c r="E2323" s="72" t="s">
        <v>2398</v>
      </c>
      <c r="F2323" s="18"/>
      <c r="G2323" s="18"/>
      <c r="H2323" s="18"/>
      <c r="I2323" s="18"/>
      <c r="J2323" s="18"/>
      <c r="K2323" s="18"/>
      <c r="L2323" s="18"/>
      <c r="M2323" s="18"/>
    </row>
    <row r="2324" s="65" customFormat="1" ht="13.5" spans="1:13">
      <c r="A2324" s="66"/>
      <c r="E2324" s="72" t="s">
        <v>2399</v>
      </c>
      <c r="F2324" s="18"/>
      <c r="G2324" s="18"/>
      <c r="H2324" s="18"/>
      <c r="I2324" s="18"/>
      <c r="J2324" s="18"/>
      <c r="K2324" s="18"/>
      <c r="L2324" s="18"/>
      <c r="M2324" s="18"/>
    </row>
    <row r="2325" s="65" customFormat="1" ht="13.5" spans="1:13">
      <c r="A2325" s="66"/>
      <c r="E2325" s="72" t="s">
        <v>2400</v>
      </c>
      <c r="F2325" s="18"/>
      <c r="G2325" s="18"/>
      <c r="H2325" s="18"/>
      <c r="I2325" s="18"/>
      <c r="J2325" s="18"/>
      <c r="K2325" s="18"/>
      <c r="L2325" s="18"/>
      <c r="M2325" s="18"/>
    </row>
    <row r="2326" s="65" customFormat="1" ht="13.5" spans="1:13">
      <c r="A2326" s="66"/>
      <c r="E2326" s="72" t="s">
        <v>2401</v>
      </c>
      <c r="F2326" s="18"/>
      <c r="G2326" s="18"/>
      <c r="H2326" s="18"/>
      <c r="I2326" s="18"/>
      <c r="J2326" s="18"/>
      <c r="K2326" s="18"/>
      <c r="L2326" s="18"/>
      <c r="M2326" s="18"/>
    </row>
    <row r="2327" s="65" customFormat="1" ht="13.5" spans="1:13">
      <c r="A2327" s="66"/>
      <c r="E2327" s="72" t="s">
        <v>2402</v>
      </c>
      <c r="F2327" s="18"/>
      <c r="G2327" s="18"/>
      <c r="H2327" s="18"/>
      <c r="I2327" s="18"/>
      <c r="J2327" s="18"/>
      <c r="K2327" s="18"/>
      <c r="L2327" s="18"/>
      <c r="M2327" s="18"/>
    </row>
    <row r="2328" s="65" customFormat="1" ht="13.5" spans="1:13">
      <c r="A2328" s="66"/>
      <c r="E2328" s="72" t="s">
        <v>2403</v>
      </c>
      <c r="F2328" s="18"/>
      <c r="G2328" s="18"/>
      <c r="H2328" s="18"/>
      <c r="I2328" s="18"/>
      <c r="J2328" s="18"/>
      <c r="K2328" s="18"/>
      <c r="L2328" s="18"/>
      <c r="M2328" s="18"/>
    </row>
    <row r="2329" s="65" customFormat="1" ht="13.5" spans="1:13">
      <c r="A2329" s="66"/>
      <c r="E2329" s="72" t="s">
        <v>2404</v>
      </c>
      <c r="F2329" s="18"/>
      <c r="G2329" s="18"/>
      <c r="H2329" s="18"/>
      <c r="I2329" s="18"/>
      <c r="J2329" s="18"/>
      <c r="K2329" s="18"/>
      <c r="L2329" s="18"/>
      <c r="M2329" s="18"/>
    </row>
    <row r="2330" s="65" customFormat="1" ht="13.5" spans="1:13">
      <c r="A2330" s="66"/>
      <c r="E2330" s="72" t="s">
        <v>2405</v>
      </c>
      <c r="F2330" s="18"/>
      <c r="G2330" s="18"/>
      <c r="H2330" s="18"/>
      <c r="I2330" s="18"/>
      <c r="J2330" s="18"/>
      <c r="K2330" s="18"/>
      <c r="L2330" s="18"/>
      <c r="M2330" s="18"/>
    </row>
    <row r="2331" s="65" customFormat="1" ht="13.5" spans="1:13">
      <c r="A2331" s="66"/>
      <c r="E2331" s="72" t="s">
        <v>2406</v>
      </c>
      <c r="F2331" s="18"/>
      <c r="G2331" s="18"/>
      <c r="H2331" s="18"/>
      <c r="I2331" s="18"/>
      <c r="J2331" s="18"/>
      <c r="K2331" s="18"/>
      <c r="L2331" s="18"/>
      <c r="M2331" s="18"/>
    </row>
    <row r="2332" s="65" customFormat="1" ht="13.5" spans="1:13">
      <c r="A2332" s="66"/>
      <c r="E2332" s="72" t="s">
        <v>2407</v>
      </c>
      <c r="F2332" s="18"/>
      <c r="G2332" s="18"/>
      <c r="H2332" s="18"/>
      <c r="I2332" s="18"/>
      <c r="J2332" s="18"/>
      <c r="K2332" s="18"/>
      <c r="L2332" s="18"/>
      <c r="M2332" s="18"/>
    </row>
    <row r="2333" s="65" customFormat="1" ht="13.5" spans="1:13">
      <c r="A2333" s="66"/>
      <c r="E2333" s="72" t="s">
        <v>2408</v>
      </c>
      <c r="F2333" s="18"/>
      <c r="G2333" s="18"/>
      <c r="H2333" s="18"/>
      <c r="I2333" s="18"/>
      <c r="J2333" s="18"/>
      <c r="K2333" s="18"/>
      <c r="L2333" s="18"/>
      <c r="M2333" s="18"/>
    </row>
    <row r="2334" s="65" customFormat="1" ht="13.5" spans="1:13">
      <c r="A2334" s="66"/>
      <c r="E2334" s="72" t="s">
        <v>2409</v>
      </c>
      <c r="F2334" s="18"/>
      <c r="G2334" s="18"/>
      <c r="H2334" s="18"/>
      <c r="I2334" s="18"/>
      <c r="J2334" s="18"/>
      <c r="K2334" s="18"/>
      <c r="L2334" s="18"/>
      <c r="M2334" s="18"/>
    </row>
    <row r="2335" s="65" customFormat="1" ht="13.5" spans="1:13">
      <c r="A2335" s="66"/>
      <c r="E2335" s="72" t="s">
        <v>2410</v>
      </c>
      <c r="F2335" s="18"/>
      <c r="G2335" s="18"/>
      <c r="H2335" s="18"/>
      <c r="I2335" s="18"/>
      <c r="J2335" s="18"/>
      <c r="K2335" s="18"/>
      <c r="L2335" s="18"/>
      <c r="M2335" s="18"/>
    </row>
    <row r="2336" s="65" customFormat="1" ht="13.5" spans="1:13">
      <c r="A2336" s="66"/>
      <c r="E2336" s="72" t="s">
        <v>2411</v>
      </c>
      <c r="F2336" s="18"/>
      <c r="G2336" s="18"/>
      <c r="H2336" s="18"/>
      <c r="I2336" s="18"/>
      <c r="J2336" s="18"/>
      <c r="K2336" s="18"/>
      <c r="L2336" s="18"/>
      <c r="M2336" s="18"/>
    </row>
    <row r="2337" s="65" customFormat="1" ht="13.5" spans="1:13">
      <c r="A2337" s="66"/>
      <c r="E2337" s="72" t="s">
        <v>2412</v>
      </c>
      <c r="F2337" s="18"/>
      <c r="G2337" s="18"/>
      <c r="H2337" s="18"/>
      <c r="I2337" s="18"/>
      <c r="J2337" s="18"/>
      <c r="K2337" s="18"/>
      <c r="L2337" s="18"/>
      <c r="M2337" s="18"/>
    </row>
    <row r="2338" s="65" customFormat="1" ht="13.5" spans="1:13">
      <c r="A2338" s="66"/>
      <c r="E2338" s="72" t="s">
        <v>2413</v>
      </c>
      <c r="F2338" s="18"/>
      <c r="G2338" s="18"/>
      <c r="H2338" s="18"/>
      <c r="I2338" s="18"/>
      <c r="J2338" s="18"/>
      <c r="K2338" s="18"/>
      <c r="L2338" s="18"/>
      <c r="M2338" s="18"/>
    </row>
    <row r="2339" s="65" customFormat="1" ht="13.5" spans="1:13">
      <c r="A2339" s="66"/>
      <c r="E2339" s="72" t="s">
        <v>2414</v>
      </c>
      <c r="F2339" s="18"/>
      <c r="G2339" s="18"/>
      <c r="H2339" s="18"/>
      <c r="I2339" s="18"/>
      <c r="J2339" s="18"/>
      <c r="K2339" s="18"/>
      <c r="L2339" s="18"/>
      <c r="M2339" s="18"/>
    </row>
    <row r="2340" s="65" customFormat="1" ht="13.5" spans="1:13">
      <c r="A2340" s="66"/>
      <c r="E2340" s="72" t="s">
        <v>2415</v>
      </c>
      <c r="F2340" s="18"/>
      <c r="G2340" s="18"/>
      <c r="H2340" s="18"/>
      <c r="I2340" s="18"/>
      <c r="J2340" s="18"/>
      <c r="K2340" s="18"/>
      <c r="L2340" s="18"/>
      <c r="M2340" s="18"/>
    </row>
    <row r="2341" s="65" customFormat="1" ht="13.5" spans="1:13">
      <c r="A2341" s="66"/>
      <c r="E2341" s="72" t="s">
        <v>2416</v>
      </c>
      <c r="F2341" s="18"/>
      <c r="G2341" s="18"/>
      <c r="H2341" s="18"/>
      <c r="I2341" s="18"/>
      <c r="J2341" s="18"/>
      <c r="K2341" s="18"/>
      <c r="L2341" s="18"/>
      <c r="M2341" s="18"/>
    </row>
    <row r="2342" s="65" customFormat="1" ht="13.5" spans="1:13">
      <c r="A2342" s="66"/>
      <c r="E2342" s="72" t="s">
        <v>2417</v>
      </c>
      <c r="F2342" s="18"/>
      <c r="G2342" s="18"/>
      <c r="H2342" s="18"/>
      <c r="I2342" s="18"/>
      <c r="J2342" s="18"/>
      <c r="K2342" s="18"/>
      <c r="L2342" s="18"/>
      <c r="M2342" s="18"/>
    </row>
    <row r="2343" s="65" customFormat="1" ht="13.5" spans="1:13">
      <c r="A2343" s="66"/>
      <c r="E2343" s="72" t="s">
        <v>2418</v>
      </c>
      <c r="F2343" s="18"/>
      <c r="G2343" s="18"/>
      <c r="H2343" s="18"/>
      <c r="I2343" s="18"/>
      <c r="J2343" s="18"/>
      <c r="K2343" s="18"/>
      <c r="L2343" s="18"/>
      <c r="M2343" s="18"/>
    </row>
    <row r="2344" s="65" customFormat="1" ht="13.5" spans="1:13">
      <c r="A2344" s="66"/>
      <c r="E2344" s="72" t="s">
        <v>2419</v>
      </c>
      <c r="F2344" s="18"/>
      <c r="G2344" s="18"/>
      <c r="H2344" s="18"/>
      <c r="I2344" s="18"/>
      <c r="J2344" s="18"/>
      <c r="K2344" s="18"/>
      <c r="L2344" s="18"/>
      <c r="M2344" s="18"/>
    </row>
    <row r="2345" s="65" customFormat="1" ht="13.5" spans="1:13">
      <c r="A2345" s="66"/>
      <c r="E2345" s="72" t="s">
        <v>2420</v>
      </c>
      <c r="F2345" s="18"/>
      <c r="G2345" s="18"/>
      <c r="H2345" s="18"/>
      <c r="I2345" s="18"/>
      <c r="J2345" s="18"/>
      <c r="K2345" s="18"/>
      <c r="L2345" s="18"/>
      <c r="M2345" s="18"/>
    </row>
    <row r="2346" s="65" customFormat="1" ht="13.5" spans="1:13">
      <c r="A2346" s="66"/>
      <c r="E2346" s="72" t="s">
        <v>2421</v>
      </c>
      <c r="F2346" s="18"/>
      <c r="G2346" s="18"/>
      <c r="H2346" s="18"/>
      <c r="I2346" s="18"/>
      <c r="J2346" s="18"/>
      <c r="K2346" s="18"/>
      <c r="L2346" s="18"/>
      <c r="M2346" s="18"/>
    </row>
    <row r="2347" s="65" customFormat="1" ht="13.5" spans="1:13">
      <c r="A2347" s="66"/>
      <c r="E2347" s="72" t="s">
        <v>2422</v>
      </c>
      <c r="F2347" s="18"/>
      <c r="G2347" s="18"/>
      <c r="H2347" s="18"/>
      <c r="I2347" s="18"/>
      <c r="J2347" s="18"/>
      <c r="K2347" s="18"/>
      <c r="L2347" s="18"/>
      <c r="M2347" s="18"/>
    </row>
    <row r="2348" s="65" customFormat="1" ht="13.5" spans="1:13">
      <c r="A2348" s="66"/>
      <c r="E2348" s="72" t="s">
        <v>2423</v>
      </c>
      <c r="F2348" s="18"/>
      <c r="G2348" s="18"/>
      <c r="H2348" s="18"/>
      <c r="I2348" s="18"/>
      <c r="J2348" s="18"/>
      <c r="K2348" s="18"/>
      <c r="L2348" s="18"/>
      <c r="M2348" s="18"/>
    </row>
    <row r="2349" s="65" customFormat="1" ht="13.5" spans="1:13">
      <c r="A2349" s="66"/>
      <c r="E2349" s="72" t="s">
        <v>2424</v>
      </c>
      <c r="F2349" s="18"/>
      <c r="G2349" s="18"/>
      <c r="H2349" s="18"/>
      <c r="I2349" s="18"/>
      <c r="J2349" s="18"/>
      <c r="K2349" s="18"/>
      <c r="L2349" s="18"/>
      <c r="M2349" s="18"/>
    </row>
    <row r="2350" s="65" customFormat="1" ht="13.5" spans="1:13">
      <c r="A2350" s="66"/>
      <c r="E2350" s="72" t="s">
        <v>2425</v>
      </c>
      <c r="F2350" s="18"/>
      <c r="G2350" s="18"/>
      <c r="H2350" s="18"/>
      <c r="I2350" s="18"/>
      <c r="J2350" s="18"/>
      <c r="K2350" s="18"/>
      <c r="L2350" s="18"/>
      <c r="M2350" s="18"/>
    </row>
    <row r="2351" s="65" customFormat="1" ht="13.5" spans="1:13">
      <c r="A2351" s="66"/>
      <c r="E2351" s="72" t="s">
        <v>2426</v>
      </c>
      <c r="F2351" s="18"/>
      <c r="G2351" s="18"/>
      <c r="H2351" s="18"/>
      <c r="I2351" s="18"/>
      <c r="J2351" s="18"/>
      <c r="K2351" s="18"/>
      <c r="L2351" s="18"/>
      <c r="M2351" s="18"/>
    </row>
    <row r="2352" s="65" customFormat="1" ht="13.5" spans="1:13">
      <c r="A2352" s="66"/>
      <c r="E2352" s="72" t="s">
        <v>2427</v>
      </c>
      <c r="F2352" s="18"/>
      <c r="G2352" s="18"/>
      <c r="H2352" s="18"/>
      <c r="I2352" s="18"/>
      <c r="J2352" s="18"/>
      <c r="K2352" s="18"/>
      <c r="L2352" s="18"/>
      <c r="M2352" s="18"/>
    </row>
    <row r="2353" s="65" customFormat="1" ht="13.5" spans="1:13">
      <c r="A2353" s="66"/>
      <c r="E2353" s="72" t="s">
        <v>2428</v>
      </c>
      <c r="F2353" s="18"/>
      <c r="G2353" s="18"/>
      <c r="H2353" s="18"/>
      <c r="I2353" s="18"/>
      <c r="J2353" s="18"/>
      <c r="K2353" s="18"/>
      <c r="L2353" s="18"/>
      <c r="M2353" s="18"/>
    </row>
    <row r="2354" s="65" customFormat="1" ht="13.5" spans="1:13">
      <c r="A2354" s="66"/>
      <c r="E2354" s="72" t="s">
        <v>2429</v>
      </c>
      <c r="F2354" s="18"/>
      <c r="G2354" s="18"/>
      <c r="H2354" s="18"/>
      <c r="I2354" s="18"/>
      <c r="J2354" s="18"/>
      <c r="K2354" s="18"/>
      <c r="L2354" s="18"/>
      <c r="M2354" s="18"/>
    </row>
    <row r="2355" s="65" customFormat="1" ht="13.5" spans="1:13">
      <c r="A2355" s="66"/>
      <c r="E2355" s="72" t="s">
        <v>2430</v>
      </c>
      <c r="F2355" s="18"/>
      <c r="G2355" s="18"/>
      <c r="H2355" s="18"/>
      <c r="I2355" s="18"/>
      <c r="J2355" s="18"/>
      <c r="K2355" s="18"/>
      <c r="L2355" s="18"/>
      <c r="M2355" s="18"/>
    </row>
    <row r="2356" s="65" customFormat="1" ht="13.5" spans="1:13">
      <c r="A2356" s="66"/>
      <c r="E2356" s="72" t="s">
        <v>2431</v>
      </c>
      <c r="F2356" s="18"/>
      <c r="G2356" s="18"/>
      <c r="H2356" s="18"/>
      <c r="I2356" s="18"/>
      <c r="J2356" s="18"/>
      <c r="K2356" s="18"/>
      <c r="L2356" s="18"/>
      <c r="M2356" s="18"/>
    </row>
    <row r="2357" s="65" customFormat="1" ht="13.5" spans="1:13">
      <c r="A2357" s="66"/>
      <c r="E2357" s="72" t="s">
        <v>2432</v>
      </c>
      <c r="F2357" s="18"/>
      <c r="G2357" s="18"/>
      <c r="H2357" s="18"/>
      <c r="I2357" s="18"/>
      <c r="J2357" s="18"/>
      <c r="K2357" s="18"/>
      <c r="L2357" s="18"/>
      <c r="M2357" s="18"/>
    </row>
    <row r="2358" s="65" customFormat="1" ht="13.5" spans="1:13">
      <c r="A2358" s="66"/>
      <c r="E2358" s="72" t="s">
        <v>2433</v>
      </c>
      <c r="F2358" s="18"/>
      <c r="G2358" s="18"/>
      <c r="H2358" s="18"/>
      <c r="I2358" s="18"/>
      <c r="J2358" s="18"/>
      <c r="K2358" s="18"/>
      <c r="L2358" s="18"/>
      <c r="M2358" s="18"/>
    </row>
    <row r="2359" s="65" customFormat="1" ht="13.5" spans="1:13">
      <c r="A2359" s="66"/>
      <c r="E2359" s="72" t="s">
        <v>2434</v>
      </c>
      <c r="F2359" s="18"/>
      <c r="G2359" s="18"/>
      <c r="H2359" s="18"/>
      <c r="I2359" s="18"/>
      <c r="J2359" s="18"/>
      <c r="K2359" s="18"/>
      <c r="L2359" s="18"/>
      <c r="M2359" s="18"/>
    </row>
    <row r="2360" s="65" customFormat="1" ht="13.5" spans="1:13">
      <c r="A2360" s="66"/>
      <c r="E2360" s="72" t="s">
        <v>2435</v>
      </c>
      <c r="F2360" s="18"/>
      <c r="G2360" s="18"/>
      <c r="H2360" s="18"/>
      <c r="I2360" s="18"/>
      <c r="J2360" s="18"/>
      <c r="K2360" s="18"/>
      <c r="L2360" s="18"/>
      <c r="M2360" s="18"/>
    </row>
    <row r="2361" s="65" customFormat="1" ht="13.5" spans="1:13">
      <c r="A2361" s="66"/>
      <c r="E2361" s="72" t="s">
        <v>2436</v>
      </c>
      <c r="F2361" s="18"/>
      <c r="G2361" s="18"/>
      <c r="H2361" s="18"/>
      <c r="I2361" s="18"/>
      <c r="J2361" s="18"/>
      <c r="K2361" s="18"/>
      <c r="L2361" s="18"/>
      <c r="M2361" s="18"/>
    </row>
    <row r="2362" s="65" customFormat="1" ht="13.5" spans="1:13">
      <c r="A2362" s="66"/>
      <c r="E2362" s="72" t="s">
        <v>2437</v>
      </c>
      <c r="F2362" s="18"/>
      <c r="G2362" s="18"/>
      <c r="H2362" s="18"/>
      <c r="I2362" s="18"/>
      <c r="J2362" s="18"/>
      <c r="K2362" s="18"/>
      <c r="L2362" s="18"/>
      <c r="M2362" s="18"/>
    </row>
    <row r="2363" s="65" customFormat="1" ht="13.5" spans="1:13">
      <c r="A2363" s="66"/>
      <c r="E2363" s="72" t="s">
        <v>2438</v>
      </c>
      <c r="F2363" s="18"/>
      <c r="G2363" s="18"/>
      <c r="H2363" s="18"/>
      <c r="I2363" s="18"/>
      <c r="J2363" s="18"/>
      <c r="K2363" s="18"/>
      <c r="L2363" s="18"/>
      <c r="M2363" s="18"/>
    </row>
    <row r="2364" s="65" customFormat="1" ht="13.5" spans="1:13">
      <c r="A2364" s="66"/>
      <c r="E2364" s="72" t="s">
        <v>2439</v>
      </c>
      <c r="F2364" s="18"/>
      <c r="G2364" s="18"/>
      <c r="H2364" s="18"/>
      <c r="I2364" s="18"/>
      <c r="J2364" s="18"/>
      <c r="K2364" s="18"/>
      <c r="L2364" s="18"/>
      <c r="M2364" s="18"/>
    </row>
    <row r="2365" s="65" customFormat="1" ht="13.5" spans="1:13">
      <c r="A2365" s="66"/>
      <c r="E2365" s="72" t="s">
        <v>2440</v>
      </c>
      <c r="F2365" s="18"/>
      <c r="G2365" s="18"/>
      <c r="H2365" s="18"/>
      <c r="I2365" s="18"/>
      <c r="J2365" s="18"/>
      <c r="K2365" s="18"/>
      <c r="L2365" s="18"/>
      <c r="M2365" s="18"/>
    </row>
    <row r="2366" s="65" customFormat="1" ht="13.5" spans="1:13">
      <c r="A2366" s="66"/>
      <c r="E2366" s="72" t="s">
        <v>2441</v>
      </c>
      <c r="F2366" s="18"/>
      <c r="G2366" s="18"/>
      <c r="H2366" s="18"/>
      <c r="I2366" s="18"/>
      <c r="J2366" s="18"/>
      <c r="K2366" s="18"/>
      <c r="L2366" s="18"/>
      <c r="M2366" s="18"/>
    </row>
    <row r="2367" s="65" customFormat="1" ht="13.5" spans="1:13">
      <c r="A2367" s="66"/>
      <c r="E2367" s="72" t="s">
        <v>2442</v>
      </c>
      <c r="F2367" s="18"/>
      <c r="G2367" s="18"/>
      <c r="H2367" s="18"/>
      <c r="I2367" s="18"/>
      <c r="J2367" s="18"/>
      <c r="K2367" s="18"/>
      <c r="L2367" s="18"/>
      <c r="M2367" s="18"/>
    </row>
    <row r="2368" s="65" customFormat="1" ht="13.5" spans="1:13">
      <c r="A2368" s="66"/>
      <c r="E2368" s="72" t="s">
        <v>2443</v>
      </c>
      <c r="F2368" s="18"/>
      <c r="G2368" s="18"/>
      <c r="H2368" s="18"/>
      <c r="I2368" s="18"/>
      <c r="J2368" s="18"/>
      <c r="K2368" s="18"/>
      <c r="L2368" s="18"/>
      <c r="M2368" s="18"/>
    </row>
    <row r="2369" s="65" customFormat="1" ht="13.5" spans="1:13">
      <c r="A2369" s="66"/>
      <c r="E2369" s="72" t="s">
        <v>2444</v>
      </c>
      <c r="F2369" s="18"/>
      <c r="G2369" s="18"/>
      <c r="H2369" s="18"/>
      <c r="I2369" s="18"/>
      <c r="J2369" s="18"/>
      <c r="K2369" s="18"/>
      <c r="L2369" s="18"/>
      <c r="M2369" s="18"/>
    </row>
    <row r="2370" s="65" customFormat="1" ht="13.5" spans="1:13">
      <c r="A2370" s="66"/>
      <c r="E2370" s="72" t="s">
        <v>2445</v>
      </c>
      <c r="F2370" s="18"/>
      <c r="G2370" s="18"/>
      <c r="H2370" s="18"/>
      <c r="I2370" s="18"/>
      <c r="J2370" s="18"/>
      <c r="K2370" s="18"/>
      <c r="L2370" s="18"/>
      <c r="M2370" s="18"/>
    </row>
    <row r="2371" s="65" customFormat="1" ht="13.5" spans="1:13">
      <c r="A2371" s="66"/>
      <c r="E2371" s="72" t="s">
        <v>2446</v>
      </c>
      <c r="F2371" s="18"/>
      <c r="G2371" s="18"/>
      <c r="H2371" s="18"/>
      <c r="I2371" s="18"/>
      <c r="J2371" s="18"/>
      <c r="K2371" s="18"/>
      <c r="L2371" s="18"/>
      <c r="M2371" s="18"/>
    </row>
    <row r="2372" s="65" customFormat="1" ht="13.5" spans="1:13">
      <c r="A2372" s="66"/>
      <c r="E2372" s="72" t="s">
        <v>2447</v>
      </c>
      <c r="F2372" s="18"/>
      <c r="G2372" s="18"/>
      <c r="H2372" s="18"/>
      <c r="I2372" s="18"/>
      <c r="J2372" s="18"/>
      <c r="K2372" s="18"/>
      <c r="L2372" s="18"/>
      <c r="M2372" s="18"/>
    </row>
    <row r="2373" s="65" customFormat="1" ht="13.5" spans="1:13">
      <c r="A2373" s="66"/>
      <c r="E2373" s="72" t="s">
        <v>2448</v>
      </c>
      <c r="F2373" s="18"/>
      <c r="G2373" s="18"/>
      <c r="H2373" s="18"/>
      <c r="I2373" s="18"/>
      <c r="J2373" s="18"/>
      <c r="K2373" s="18"/>
      <c r="L2373" s="18"/>
      <c r="M2373" s="18"/>
    </row>
    <row r="2374" s="65" customFormat="1" ht="13.5" spans="1:13">
      <c r="A2374" s="66"/>
      <c r="E2374" s="72" t="s">
        <v>2449</v>
      </c>
      <c r="F2374" s="18"/>
      <c r="G2374" s="18"/>
      <c r="H2374" s="18"/>
      <c r="I2374" s="18"/>
      <c r="J2374" s="18"/>
      <c r="K2374" s="18"/>
      <c r="L2374" s="18"/>
      <c r="M2374" s="18"/>
    </row>
    <row r="2375" s="65" customFormat="1" ht="13.5" spans="1:13">
      <c r="A2375" s="66"/>
      <c r="E2375" s="72" t="s">
        <v>2450</v>
      </c>
      <c r="F2375" s="18"/>
      <c r="G2375" s="18"/>
      <c r="H2375" s="18"/>
      <c r="I2375" s="18"/>
      <c r="J2375" s="18"/>
      <c r="K2375" s="18"/>
      <c r="L2375" s="18"/>
      <c r="M2375" s="18"/>
    </row>
    <row r="2376" s="65" customFormat="1" ht="13.5" spans="1:13">
      <c r="A2376" s="66"/>
      <c r="E2376" s="72" t="s">
        <v>2451</v>
      </c>
      <c r="F2376" s="18"/>
      <c r="G2376" s="18"/>
      <c r="H2376" s="18"/>
      <c r="I2376" s="18"/>
      <c r="J2376" s="18"/>
      <c r="K2376" s="18"/>
      <c r="L2376" s="18"/>
      <c r="M2376" s="18"/>
    </row>
    <row r="2377" s="65" customFormat="1" ht="13.5" spans="1:13">
      <c r="A2377" s="66"/>
      <c r="E2377" s="72" t="s">
        <v>2452</v>
      </c>
      <c r="F2377" s="18"/>
      <c r="G2377" s="18"/>
      <c r="H2377" s="18"/>
      <c r="I2377" s="18"/>
      <c r="J2377" s="18"/>
      <c r="K2377" s="18"/>
      <c r="L2377" s="18"/>
      <c r="M2377" s="18"/>
    </row>
    <row r="2378" s="65" customFormat="1" ht="13.5" spans="1:13">
      <c r="A2378" s="66"/>
      <c r="E2378" s="72" t="s">
        <v>2453</v>
      </c>
      <c r="F2378" s="18"/>
      <c r="G2378" s="18"/>
      <c r="H2378" s="18"/>
      <c r="I2378" s="18"/>
      <c r="J2378" s="18"/>
      <c r="K2378" s="18"/>
      <c r="L2378" s="18"/>
      <c r="M2378" s="18"/>
    </row>
    <row r="2379" s="65" customFormat="1" ht="13.5" spans="1:13">
      <c r="A2379" s="66"/>
      <c r="E2379" s="72" t="s">
        <v>2454</v>
      </c>
      <c r="F2379" s="18"/>
      <c r="G2379" s="18"/>
      <c r="H2379" s="18"/>
      <c r="I2379" s="18"/>
      <c r="J2379" s="18"/>
      <c r="K2379" s="18"/>
      <c r="L2379" s="18"/>
      <c r="M2379" s="18"/>
    </row>
    <row r="2380" s="65" customFormat="1" ht="13.5" spans="1:13">
      <c r="A2380" s="66"/>
      <c r="E2380" s="72" t="s">
        <v>2455</v>
      </c>
      <c r="F2380" s="18"/>
      <c r="G2380" s="18"/>
      <c r="H2380" s="18"/>
      <c r="I2380" s="18"/>
      <c r="J2380" s="18"/>
      <c r="K2380" s="18"/>
      <c r="L2380" s="18"/>
      <c r="M2380" s="18"/>
    </row>
    <row r="2381" s="65" customFormat="1" ht="13.5" spans="1:13">
      <c r="A2381" s="66"/>
      <c r="E2381" s="72" t="s">
        <v>2456</v>
      </c>
      <c r="F2381" s="18"/>
      <c r="G2381" s="18"/>
      <c r="H2381" s="18"/>
      <c r="I2381" s="18"/>
      <c r="J2381" s="18"/>
      <c r="K2381" s="18"/>
      <c r="L2381" s="18"/>
      <c r="M2381" s="18"/>
    </row>
    <row r="2382" s="65" customFormat="1" ht="13.5" spans="1:13">
      <c r="A2382" s="66"/>
      <c r="E2382" s="72" t="s">
        <v>2457</v>
      </c>
      <c r="F2382" s="18"/>
      <c r="G2382" s="18"/>
      <c r="H2382" s="18"/>
      <c r="I2382" s="18"/>
      <c r="J2382" s="18"/>
      <c r="K2382" s="18"/>
      <c r="L2382" s="18"/>
      <c r="M2382" s="18"/>
    </row>
    <row r="2383" s="65" customFormat="1" ht="13.5" spans="1:13">
      <c r="A2383" s="66"/>
      <c r="E2383" s="72" t="s">
        <v>2458</v>
      </c>
      <c r="F2383" s="18"/>
      <c r="G2383" s="18"/>
      <c r="H2383" s="18"/>
      <c r="I2383" s="18"/>
      <c r="J2383" s="18"/>
      <c r="K2383" s="18"/>
      <c r="L2383" s="18"/>
      <c r="M2383" s="18"/>
    </row>
    <row r="2384" s="65" customFormat="1" ht="13.5" spans="1:13">
      <c r="A2384" s="66"/>
      <c r="E2384" s="72" t="s">
        <v>2459</v>
      </c>
      <c r="F2384" s="18"/>
      <c r="G2384" s="18"/>
      <c r="H2384" s="18"/>
      <c r="I2384" s="18"/>
      <c r="J2384" s="18"/>
      <c r="K2384" s="18"/>
      <c r="L2384" s="18"/>
      <c r="M2384" s="18"/>
    </row>
    <row r="2385" s="65" customFormat="1" ht="13.5" spans="1:13">
      <c r="A2385" s="66"/>
      <c r="E2385" s="72" t="s">
        <v>2460</v>
      </c>
      <c r="F2385" s="18"/>
      <c r="G2385" s="18"/>
      <c r="H2385" s="18"/>
      <c r="I2385" s="18"/>
      <c r="J2385" s="18"/>
      <c r="K2385" s="18"/>
      <c r="L2385" s="18"/>
      <c r="M2385" s="18"/>
    </row>
    <row r="2386" s="65" customFormat="1" ht="13.5" spans="1:13">
      <c r="A2386" s="66"/>
      <c r="E2386" s="72" t="s">
        <v>2461</v>
      </c>
      <c r="F2386" s="18"/>
      <c r="G2386" s="18"/>
      <c r="H2386" s="18"/>
      <c r="I2386" s="18"/>
      <c r="J2386" s="18"/>
      <c r="K2386" s="18"/>
      <c r="L2386" s="18"/>
      <c r="M2386" s="18"/>
    </row>
    <row r="2387" s="65" customFormat="1" ht="13.5" spans="1:13">
      <c r="A2387" s="66"/>
      <c r="E2387" s="72" t="s">
        <v>2462</v>
      </c>
      <c r="F2387" s="18"/>
      <c r="G2387" s="18"/>
      <c r="H2387" s="18"/>
      <c r="I2387" s="18"/>
      <c r="J2387" s="18"/>
      <c r="K2387" s="18"/>
      <c r="L2387" s="18"/>
      <c r="M2387" s="18"/>
    </row>
    <row r="2388" s="65" customFormat="1" ht="13.5" spans="1:13">
      <c r="A2388" s="66"/>
      <c r="E2388" s="72" t="s">
        <v>2463</v>
      </c>
      <c r="F2388" s="18"/>
      <c r="G2388" s="18"/>
      <c r="H2388" s="18"/>
      <c r="I2388" s="18"/>
      <c r="J2388" s="18"/>
      <c r="K2388" s="18"/>
      <c r="L2388" s="18"/>
      <c r="M2388" s="18"/>
    </row>
    <row r="2389" s="65" customFormat="1" ht="13.5" spans="1:13">
      <c r="A2389" s="66"/>
      <c r="E2389" s="72" t="s">
        <v>2464</v>
      </c>
      <c r="F2389" s="18"/>
      <c r="G2389" s="18"/>
      <c r="H2389" s="18"/>
      <c r="I2389" s="18"/>
      <c r="J2389" s="18"/>
      <c r="K2389" s="18"/>
      <c r="L2389" s="18"/>
      <c r="M2389" s="18"/>
    </row>
    <row r="2390" s="65" customFormat="1" ht="13.5" spans="1:13">
      <c r="A2390" s="66"/>
      <c r="E2390" s="72" t="s">
        <v>2465</v>
      </c>
      <c r="F2390" s="18"/>
      <c r="G2390" s="18"/>
      <c r="H2390" s="18"/>
      <c r="I2390" s="18"/>
      <c r="J2390" s="18"/>
      <c r="K2390" s="18"/>
      <c r="L2390" s="18"/>
      <c r="M2390" s="18"/>
    </row>
    <row r="2391" s="65" customFormat="1" ht="13.5" spans="1:13">
      <c r="A2391" s="66"/>
      <c r="E2391" s="72" t="s">
        <v>2466</v>
      </c>
      <c r="F2391" s="18"/>
      <c r="G2391" s="18"/>
      <c r="H2391" s="18"/>
      <c r="I2391" s="18"/>
      <c r="J2391" s="18"/>
      <c r="K2391" s="18"/>
      <c r="L2391" s="18"/>
      <c r="M2391" s="18"/>
    </row>
    <row r="2392" s="65" customFormat="1" ht="13.5" spans="1:13">
      <c r="A2392" s="66"/>
      <c r="E2392" s="72" t="s">
        <v>2467</v>
      </c>
      <c r="F2392" s="18"/>
      <c r="G2392" s="18"/>
      <c r="H2392" s="18"/>
      <c r="I2392" s="18"/>
      <c r="J2392" s="18"/>
      <c r="K2392" s="18"/>
      <c r="L2392" s="18"/>
      <c r="M2392" s="18"/>
    </row>
    <row r="2393" s="65" customFormat="1" ht="13.5" spans="1:13">
      <c r="A2393" s="66"/>
      <c r="E2393" s="72" t="s">
        <v>2468</v>
      </c>
      <c r="F2393" s="18"/>
      <c r="G2393" s="18"/>
      <c r="H2393" s="18"/>
      <c r="I2393" s="18"/>
      <c r="J2393" s="18"/>
      <c r="K2393" s="18"/>
      <c r="L2393" s="18"/>
      <c r="M2393" s="18"/>
    </row>
    <row r="2394" s="65" customFormat="1" ht="13.5" spans="1:13">
      <c r="A2394" s="66"/>
      <c r="E2394" s="72" t="s">
        <v>2469</v>
      </c>
      <c r="F2394" s="18"/>
      <c r="G2394" s="18"/>
      <c r="H2394" s="18"/>
      <c r="I2394" s="18"/>
      <c r="J2394" s="18"/>
      <c r="K2394" s="18"/>
      <c r="L2394" s="18"/>
      <c r="M2394" s="18"/>
    </row>
    <row r="2395" s="65" customFormat="1" ht="13.5" spans="1:13">
      <c r="A2395" s="66"/>
      <c r="E2395" s="72" t="s">
        <v>2470</v>
      </c>
      <c r="F2395" s="18"/>
      <c r="G2395" s="18"/>
      <c r="H2395" s="18"/>
      <c r="I2395" s="18"/>
      <c r="J2395" s="18"/>
      <c r="K2395" s="18"/>
      <c r="L2395" s="18"/>
      <c r="M2395" s="18"/>
    </row>
    <row r="2396" s="65" customFormat="1" ht="13.5" spans="1:13">
      <c r="A2396" s="66"/>
      <c r="E2396" s="72" t="s">
        <v>2471</v>
      </c>
      <c r="F2396" s="18"/>
      <c r="G2396" s="18"/>
      <c r="H2396" s="18"/>
      <c r="I2396" s="18"/>
      <c r="J2396" s="18"/>
      <c r="K2396" s="18"/>
      <c r="L2396" s="18"/>
      <c r="M2396" s="18"/>
    </row>
    <row r="2397" s="65" customFormat="1" ht="13.5" spans="1:13">
      <c r="A2397" s="66"/>
      <c r="E2397" s="72" t="s">
        <v>2472</v>
      </c>
      <c r="F2397" s="18"/>
      <c r="G2397" s="18"/>
      <c r="H2397" s="18"/>
      <c r="I2397" s="18"/>
      <c r="J2397" s="18"/>
      <c r="K2397" s="18"/>
      <c r="L2397" s="18"/>
      <c r="M2397" s="18"/>
    </row>
    <row r="2398" s="65" customFormat="1" ht="13.5" spans="1:13">
      <c r="A2398" s="66"/>
      <c r="E2398" s="72" t="s">
        <v>2473</v>
      </c>
      <c r="F2398" s="18"/>
      <c r="G2398" s="18"/>
      <c r="H2398" s="18"/>
      <c r="I2398" s="18"/>
      <c r="J2398" s="18"/>
      <c r="K2398" s="18"/>
      <c r="L2398" s="18"/>
      <c r="M2398" s="18"/>
    </row>
    <row r="2399" s="65" customFormat="1" ht="13.5" spans="1:13">
      <c r="A2399" s="66"/>
      <c r="E2399" s="72" t="s">
        <v>2474</v>
      </c>
      <c r="F2399" s="18"/>
      <c r="G2399" s="18"/>
      <c r="H2399" s="18"/>
      <c r="I2399" s="18"/>
      <c r="J2399" s="18"/>
      <c r="K2399" s="18"/>
      <c r="L2399" s="18"/>
      <c r="M2399" s="18"/>
    </row>
    <row r="2400" s="65" customFormat="1" ht="13.5" spans="1:13">
      <c r="A2400" s="66"/>
      <c r="E2400" s="72" t="s">
        <v>2475</v>
      </c>
      <c r="F2400" s="18"/>
      <c r="G2400" s="18"/>
      <c r="H2400" s="18"/>
      <c r="I2400" s="18"/>
      <c r="J2400" s="18"/>
      <c r="K2400" s="18"/>
      <c r="L2400" s="18"/>
      <c r="M2400" s="18"/>
    </row>
    <row r="2401" s="65" customFormat="1" ht="13.5" spans="1:13">
      <c r="A2401" s="66"/>
      <c r="E2401" s="72" t="s">
        <v>2476</v>
      </c>
      <c r="F2401" s="18"/>
      <c r="G2401" s="18"/>
      <c r="H2401" s="18"/>
      <c r="I2401" s="18"/>
      <c r="J2401" s="18"/>
      <c r="K2401" s="18"/>
      <c r="L2401" s="18"/>
      <c r="M2401" s="18"/>
    </row>
    <row r="2402" s="65" customFormat="1" ht="13.5" spans="1:13">
      <c r="A2402" s="66"/>
      <c r="E2402" s="72" t="s">
        <v>2477</v>
      </c>
      <c r="F2402" s="18"/>
      <c r="G2402" s="18"/>
      <c r="H2402" s="18"/>
      <c r="I2402" s="18"/>
      <c r="J2402" s="18"/>
      <c r="K2402" s="18"/>
      <c r="L2402" s="18"/>
      <c r="M2402" s="18"/>
    </row>
    <row r="2403" s="65" customFormat="1" ht="13.5" spans="1:13">
      <c r="A2403" s="66"/>
      <c r="E2403" s="72" t="s">
        <v>2478</v>
      </c>
      <c r="F2403" s="18"/>
      <c r="G2403" s="18"/>
      <c r="H2403" s="18"/>
      <c r="I2403" s="18"/>
      <c r="J2403" s="18"/>
      <c r="K2403" s="18"/>
      <c r="L2403" s="18"/>
      <c r="M2403" s="18"/>
    </row>
    <row r="2404" s="65" customFormat="1" ht="13.5" spans="1:13">
      <c r="A2404" s="66"/>
      <c r="E2404" s="72" t="s">
        <v>2479</v>
      </c>
      <c r="F2404" s="18"/>
      <c r="G2404" s="18"/>
      <c r="H2404" s="18"/>
      <c r="I2404" s="18"/>
      <c r="J2404" s="18"/>
      <c r="K2404" s="18"/>
      <c r="L2404" s="18"/>
      <c r="M2404" s="18"/>
    </row>
    <row r="2405" s="65" customFormat="1" ht="13.5" spans="1:13">
      <c r="A2405" s="66"/>
      <c r="E2405" s="72" t="s">
        <v>2480</v>
      </c>
      <c r="F2405" s="18"/>
      <c r="G2405" s="18"/>
      <c r="H2405" s="18"/>
      <c r="I2405" s="18"/>
      <c r="J2405" s="18"/>
      <c r="K2405" s="18"/>
      <c r="L2405" s="18"/>
      <c r="M2405" s="18"/>
    </row>
    <row r="2406" s="65" customFormat="1" ht="13.5" spans="1:13">
      <c r="A2406" s="66"/>
      <c r="E2406" s="72" t="s">
        <v>2481</v>
      </c>
      <c r="F2406" s="18"/>
      <c r="G2406" s="18"/>
      <c r="H2406" s="18"/>
      <c r="I2406" s="18"/>
      <c r="J2406" s="18"/>
      <c r="K2406" s="18"/>
      <c r="L2406" s="18"/>
      <c r="M2406" s="18"/>
    </row>
    <row r="2407" s="65" customFormat="1" ht="13.5" spans="1:13">
      <c r="A2407" s="66"/>
      <c r="E2407" s="72" t="s">
        <v>2482</v>
      </c>
      <c r="F2407" s="18"/>
      <c r="G2407" s="18"/>
      <c r="H2407" s="18"/>
      <c r="I2407" s="18"/>
      <c r="J2407" s="18"/>
      <c r="K2407" s="18"/>
      <c r="L2407" s="18"/>
      <c r="M2407" s="18"/>
    </row>
    <row r="2408" s="65" customFormat="1" ht="13.5" spans="1:13">
      <c r="A2408" s="66"/>
      <c r="E2408" s="72" t="s">
        <v>2483</v>
      </c>
      <c r="F2408" s="18"/>
      <c r="G2408" s="18"/>
      <c r="H2408" s="18"/>
      <c r="I2408" s="18"/>
      <c r="J2408" s="18"/>
      <c r="K2408" s="18"/>
      <c r="L2408" s="18"/>
      <c r="M2408" s="18"/>
    </row>
    <row r="2409" s="65" customFormat="1" ht="13.5" spans="1:13">
      <c r="A2409" s="66"/>
      <c r="E2409" s="72" t="s">
        <v>2484</v>
      </c>
      <c r="F2409" s="18"/>
      <c r="G2409" s="18"/>
      <c r="H2409" s="18"/>
      <c r="I2409" s="18"/>
      <c r="J2409" s="18"/>
      <c r="K2409" s="18"/>
      <c r="L2409" s="18"/>
      <c r="M2409" s="18"/>
    </row>
    <row r="2410" s="65" customFormat="1" ht="13.5" spans="1:13">
      <c r="A2410" s="66"/>
      <c r="E2410" s="72" t="s">
        <v>2485</v>
      </c>
      <c r="F2410" s="18"/>
      <c r="G2410" s="18"/>
      <c r="H2410" s="18"/>
      <c r="I2410" s="18"/>
      <c r="J2410" s="18"/>
      <c r="K2410" s="18"/>
      <c r="L2410" s="18"/>
      <c r="M2410" s="18"/>
    </row>
    <row r="2411" s="65" customFormat="1" ht="13.5" spans="1:13">
      <c r="A2411" s="66"/>
      <c r="E2411" s="72" t="s">
        <v>2486</v>
      </c>
      <c r="F2411" s="18"/>
      <c r="G2411" s="18"/>
      <c r="H2411" s="18"/>
      <c r="I2411" s="18"/>
      <c r="J2411" s="18"/>
      <c r="K2411" s="18"/>
      <c r="L2411" s="18"/>
      <c r="M2411" s="18"/>
    </row>
    <row r="2412" s="65" customFormat="1" ht="13.5" spans="1:13">
      <c r="A2412" s="66"/>
      <c r="E2412" s="72" t="s">
        <v>2487</v>
      </c>
      <c r="F2412" s="18"/>
      <c r="G2412" s="18"/>
      <c r="H2412" s="18"/>
      <c r="I2412" s="18"/>
      <c r="J2412" s="18"/>
      <c r="K2412" s="18"/>
      <c r="L2412" s="18"/>
      <c r="M2412" s="18"/>
    </row>
    <row r="2413" s="65" customFormat="1" ht="13.5" spans="1:13">
      <c r="A2413" s="66"/>
      <c r="E2413" s="72" t="s">
        <v>2488</v>
      </c>
      <c r="F2413" s="18"/>
      <c r="G2413" s="18"/>
      <c r="H2413" s="18"/>
      <c r="I2413" s="18"/>
      <c r="J2413" s="18"/>
      <c r="K2413" s="18"/>
      <c r="L2413" s="18"/>
      <c r="M2413" s="18"/>
    </row>
    <row r="2414" s="65" customFormat="1" ht="13.5" spans="1:13">
      <c r="A2414" s="66"/>
      <c r="E2414" s="72" t="s">
        <v>2489</v>
      </c>
      <c r="F2414" s="18"/>
      <c r="G2414" s="18"/>
      <c r="H2414" s="18"/>
      <c r="I2414" s="18"/>
      <c r="J2414" s="18"/>
      <c r="K2414" s="18"/>
      <c r="L2414" s="18"/>
      <c r="M2414" s="18"/>
    </row>
    <row r="2415" s="65" customFormat="1" ht="13.5" spans="1:13">
      <c r="A2415" s="66"/>
      <c r="E2415" s="72" t="s">
        <v>2490</v>
      </c>
      <c r="F2415" s="18"/>
      <c r="G2415" s="18"/>
      <c r="H2415" s="18"/>
      <c r="I2415" s="18"/>
      <c r="J2415" s="18"/>
      <c r="K2415" s="18"/>
      <c r="L2415" s="18"/>
      <c r="M2415" s="18"/>
    </row>
    <row r="2416" s="65" customFormat="1" ht="13.5" spans="1:13">
      <c r="A2416" s="66"/>
      <c r="E2416" s="72" t="s">
        <v>2491</v>
      </c>
      <c r="F2416" s="18"/>
      <c r="G2416" s="18"/>
      <c r="H2416" s="18"/>
      <c r="I2416" s="18"/>
      <c r="J2416" s="18"/>
      <c r="K2416" s="18"/>
      <c r="L2416" s="18"/>
      <c r="M2416" s="18"/>
    </row>
    <row r="2417" s="65" customFormat="1" ht="13.5" spans="1:13">
      <c r="A2417" s="66"/>
      <c r="E2417" s="72" t="s">
        <v>2492</v>
      </c>
      <c r="F2417" s="18"/>
      <c r="G2417" s="18"/>
      <c r="H2417" s="18"/>
      <c r="I2417" s="18"/>
      <c r="J2417" s="18"/>
      <c r="K2417" s="18"/>
      <c r="L2417" s="18"/>
      <c r="M2417" s="18"/>
    </row>
    <row r="2418" s="65" customFormat="1" ht="13.5" spans="1:13">
      <c r="A2418" s="66"/>
      <c r="E2418" s="72" t="s">
        <v>2493</v>
      </c>
      <c r="F2418" s="18"/>
      <c r="G2418" s="18"/>
      <c r="H2418" s="18"/>
      <c r="I2418" s="18"/>
      <c r="J2418" s="18"/>
      <c r="K2418" s="18"/>
      <c r="L2418" s="18"/>
      <c r="M2418" s="18"/>
    </row>
    <row r="2419" s="65" customFormat="1" ht="13.5" spans="1:13">
      <c r="A2419" s="66"/>
      <c r="E2419" s="72" t="s">
        <v>2494</v>
      </c>
      <c r="F2419" s="18"/>
      <c r="G2419" s="18"/>
      <c r="H2419" s="18"/>
      <c r="I2419" s="18"/>
      <c r="J2419" s="18"/>
      <c r="K2419" s="18"/>
      <c r="L2419" s="18"/>
      <c r="M2419" s="18"/>
    </row>
    <row r="2420" s="65" customFormat="1" ht="13.5" spans="1:13">
      <c r="A2420" s="66"/>
      <c r="E2420" s="72" t="s">
        <v>2495</v>
      </c>
      <c r="F2420" s="18"/>
      <c r="G2420" s="18"/>
      <c r="H2420" s="18"/>
      <c r="I2420" s="18"/>
      <c r="J2420" s="18"/>
      <c r="K2420" s="18"/>
      <c r="L2420" s="18"/>
      <c r="M2420" s="18"/>
    </row>
    <row r="2421" s="65" customFormat="1" ht="13.5" spans="1:13">
      <c r="A2421" s="66"/>
      <c r="E2421" s="72" t="s">
        <v>2496</v>
      </c>
      <c r="F2421" s="18"/>
      <c r="G2421" s="18"/>
      <c r="H2421" s="18"/>
      <c r="I2421" s="18"/>
      <c r="J2421" s="18"/>
      <c r="K2421" s="18"/>
      <c r="L2421" s="18"/>
      <c r="M2421" s="18"/>
    </row>
    <row r="2422" s="65" customFormat="1" ht="13.5" spans="1:13">
      <c r="A2422" s="66"/>
      <c r="E2422" s="72" t="s">
        <v>2497</v>
      </c>
      <c r="F2422" s="18"/>
      <c r="G2422" s="18"/>
      <c r="H2422" s="18"/>
      <c r="I2422" s="18"/>
      <c r="J2422" s="18"/>
      <c r="K2422" s="18"/>
      <c r="L2422" s="18"/>
      <c r="M2422" s="18"/>
    </row>
    <row r="2423" s="65" customFormat="1" ht="13.5" spans="1:13">
      <c r="A2423" s="66"/>
      <c r="E2423" s="72" t="s">
        <v>2498</v>
      </c>
      <c r="F2423" s="18"/>
      <c r="G2423" s="18"/>
      <c r="H2423" s="18"/>
      <c r="I2423" s="18"/>
      <c r="J2423" s="18"/>
      <c r="K2423" s="18"/>
      <c r="L2423" s="18"/>
      <c r="M2423" s="18"/>
    </row>
    <row r="2424" s="65" customFormat="1" ht="13.5" spans="1:13">
      <c r="A2424" s="66"/>
      <c r="E2424" s="72" t="s">
        <v>2499</v>
      </c>
      <c r="F2424" s="18"/>
      <c r="G2424" s="18"/>
      <c r="H2424" s="18"/>
      <c r="I2424" s="18"/>
      <c r="J2424" s="18"/>
      <c r="K2424" s="18"/>
      <c r="L2424" s="18"/>
      <c r="M2424" s="18"/>
    </row>
    <row r="2425" s="65" customFormat="1" ht="13.5" spans="1:13">
      <c r="A2425" s="66"/>
      <c r="E2425" s="72" t="s">
        <v>2500</v>
      </c>
      <c r="F2425" s="18"/>
      <c r="G2425" s="18"/>
      <c r="H2425" s="18"/>
      <c r="I2425" s="18"/>
      <c r="J2425" s="18"/>
      <c r="K2425" s="18"/>
      <c r="L2425" s="18"/>
      <c r="M2425" s="18"/>
    </row>
    <row r="2426" s="65" customFormat="1" ht="13.5" spans="1:13">
      <c r="A2426" s="66"/>
      <c r="E2426" s="72" t="s">
        <v>2501</v>
      </c>
      <c r="F2426" s="18"/>
      <c r="G2426" s="18"/>
      <c r="H2426" s="18"/>
      <c r="I2426" s="18"/>
      <c r="J2426" s="18"/>
      <c r="K2426" s="18"/>
      <c r="L2426" s="18"/>
      <c r="M2426" s="18"/>
    </row>
    <row r="2427" s="65" customFormat="1" ht="13.5" spans="1:13">
      <c r="A2427" s="66"/>
      <c r="E2427" s="72" t="s">
        <v>2502</v>
      </c>
      <c r="F2427" s="18"/>
      <c r="G2427" s="18"/>
      <c r="H2427" s="18"/>
      <c r="I2427" s="18"/>
      <c r="J2427" s="18"/>
      <c r="K2427" s="18"/>
      <c r="L2427" s="18"/>
      <c r="M2427" s="18"/>
    </row>
    <row r="2428" s="65" customFormat="1" ht="13.5" spans="1:13">
      <c r="A2428" s="66"/>
      <c r="E2428" s="72" t="s">
        <v>2503</v>
      </c>
      <c r="F2428" s="18"/>
      <c r="G2428" s="18"/>
      <c r="H2428" s="18"/>
      <c r="I2428" s="18"/>
      <c r="J2428" s="18"/>
      <c r="K2428" s="18"/>
      <c r="L2428" s="18"/>
      <c r="M2428" s="18"/>
    </row>
    <row r="2429" s="65" customFormat="1" ht="13.5" spans="1:13">
      <c r="A2429" s="66"/>
      <c r="E2429" s="72" t="s">
        <v>2504</v>
      </c>
      <c r="F2429" s="18"/>
      <c r="G2429" s="18"/>
      <c r="H2429" s="18"/>
      <c r="I2429" s="18"/>
      <c r="J2429" s="18"/>
      <c r="K2429" s="18"/>
      <c r="L2429" s="18"/>
      <c r="M2429" s="18"/>
    </row>
    <row r="2430" s="65" customFormat="1" ht="13.5" spans="1:13">
      <c r="A2430" s="66"/>
      <c r="E2430" s="72" t="s">
        <v>2505</v>
      </c>
      <c r="F2430" s="18"/>
      <c r="G2430" s="18"/>
      <c r="H2430" s="18"/>
      <c r="I2430" s="18"/>
      <c r="J2430" s="18"/>
      <c r="K2430" s="18"/>
      <c r="L2430" s="18"/>
      <c r="M2430" s="18"/>
    </row>
    <row r="2431" s="65" customFormat="1" ht="13.5" spans="1:13">
      <c r="A2431" s="66"/>
      <c r="E2431" s="72" t="s">
        <v>2506</v>
      </c>
      <c r="F2431" s="18"/>
      <c r="G2431" s="18"/>
      <c r="H2431" s="18"/>
      <c r="I2431" s="18"/>
      <c r="J2431" s="18"/>
      <c r="K2431" s="18"/>
      <c r="L2431" s="18"/>
      <c r="M2431" s="18"/>
    </row>
    <row r="2432" s="65" customFormat="1" ht="13.5" spans="1:13">
      <c r="A2432" s="66"/>
      <c r="E2432" s="72" t="s">
        <v>2507</v>
      </c>
      <c r="F2432" s="18"/>
      <c r="G2432" s="18"/>
      <c r="H2432" s="18"/>
      <c r="I2432" s="18"/>
      <c r="J2432" s="18"/>
      <c r="K2432" s="18"/>
      <c r="L2432" s="18"/>
      <c r="M2432" s="18"/>
    </row>
    <row r="2433" s="65" customFormat="1" ht="13.5" spans="1:13">
      <c r="A2433" s="66"/>
      <c r="E2433" s="72" t="s">
        <v>2508</v>
      </c>
      <c r="F2433" s="18"/>
      <c r="G2433" s="18"/>
      <c r="H2433" s="18"/>
      <c r="I2433" s="18"/>
      <c r="J2433" s="18"/>
      <c r="K2433" s="18"/>
      <c r="L2433" s="18"/>
      <c r="M2433" s="18"/>
    </row>
    <row r="2434" s="65" customFormat="1" ht="13.5" spans="1:13">
      <c r="A2434" s="66"/>
      <c r="E2434" s="72" t="s">
        <v>2509</v>
      </c>
      <c r="F2434" s="18"/>
      <c r="G2434" s="18"/>
      <c r="H2434" s="18"/>
      <c r="I2434" s="18"/>
      <c r="J2434" s="18"/>
      <c r="K2434" s="18"/>
      <c r="L2434" s="18"/>
      <c r="M2434" s="18"/>
    </row>
    <row r="2435" s="65" customFormat="1" ht="13.5" spans="1:13">
      <c r="A2435" s="66"/>
      <c r="E2435" s="72" t="s">
        <v>2510</v>
      </c>
      <c r="F2435" s="18"/>
      <c r="G2435" s="18"/>
      <c r="H2435" s="18"/>
      <c r="I2435" s="18"/>
      <c r="J2435" s="18"/>
      <c r="K2435" s="18"/>
      <c r="L2435" s="18"/>
      <c r="M2435" s="18"/>
    </row>
    <row r="2436" s="65" customFormat="1" ht="13.5" spans="1:13">
      <c r="A2436" s="66"/>
      <c r="E2436" s="72" t="s">
        <v>2511</v>
      </c>
      <c r="F2436" s="18"/>
      <c r="G2436" s="18"/>
      <c r="H2436" s="18"/>
      <c r="I2436" s="18"/>
      <c r="J2436" s="18"/>
      <c r="K2436" s="18"/>
      <c r="L2436" s="18"/>
      <c r="M2436" s="18"/>
    </row>
    <row r="2437" s="65" customFormat="1" ht="13.5" spans="1:13">
      <c r="A2437" s="66"/>
      <c r="E2437" s="72" t="s">
        <v>2512</v>
      </c>
      <c r="F2437" s="18"/>
      <c r="G2437" s="18"/>
      <c r="H2437" s="18"/>
      <c r="I2437" s="18"/>
      <c r="J2437" s="18"/>
      <c r="K2437" s="18"/>
      <c r="L2437" s="18"/>
      <c r="M2437" s="18"/>
    </row>
    <row r="2438" s="65" customFormat="1" ht="13.5" spans="1:13">
      <c r="A2438" s="66"/>
      <c r="E2438" s="72" t="s">
        <v>2513</v>
      </c>
      <c r="F2438" s="18"/>
      <c r="G2438" s="18"/>
      <c r="H2438" s="18"/>
      <c r="I2438" s="18"/>
      <c r="J2438" s="18"/>
      <c r="K2438" s="18"/>
      <c r="L2438" s="18"/>
      <c r="M2438" s="18"/>
    </row>
    <row r="2439" s="65" customFormat="1" ht="13.5" spans="1:13">
      <c r="A2439" s="66"/>
      <c r="E2439" s="72" t="s">
        <v>2514</v>
      </c>
      <c r="F2439" s="18"/>
      <c r="G2439" s="18"/>
      <c r="H2439" s="18"/>
      <c r="I2439" s="18"/>
      <c r="J2439" s="18"/>
      <c r="K2439" s="18"/>
      <c r="L2439" s="18"/>
      <c r="M2439" s="18"/>
    </row>
    <row r="2440" s="65" customFormat="1" ht="13.5" spans="1:13">
      <c r="A2440" s="66"/>
      <c r="E2440" s="72" t="s">
        <v>2515</v>
      </c>
      <c r="F2440" s="18"/>
      <c r="G2440" s="18"/>
      <c r="H2440" s="18"/>
      <c r="I2440" s="18"/>
      <c r="J2440" s="18"/>
      <c r="K2440" s="18"/>
      <c r="L2440" s="18"/>
      <c r="M2440" s="18"/>
    </row>
    <row r="2441" s="65" customFormat="1" ht="13.5" spans="1:13">
      <c r="A2441" s="66"/>
      <c r="E2441" s="72" t="s">
        <v>2516</v>
      </c>
      <c r="F2441" s="18"/>
      <c r="G2441" s="18"/>
      <c r="H2441" s="18"/>
      <c r="I2441" s="18"/>
      <c r="J2441" s="18"/>
      <c r="K2441" s="18"/>
      <c r="L2441" s="18"/>
      <c r="M2441" s="18"/>
    </row>
    <row r="2442" s="65" customFormat="1" ht="13.5" spans="1:13">
      <c r="A2442" s="66"/>
      <c r="E2442" s="72" t="s">
        <v>2517</v>
      </c>
      <c r="F2442" s="18"/>
      <c r="G2442" s="18"/>
      <c r="H2442" s="18"/>
      <c r="I2442" s="18"/>
      <c r="J2442" s="18"/>
      <c r="K2442" s="18"/>
      <c r="L2442" s="18"/>
      <c r="M2442" s="18"/>
    </row>
    <row r="2443" s="65" customFormat="1" ht="13.5" spans="1:13">
      <c r="A2443" s="66"/>
      <c r="E2443" s="72" t="s">
        <v>2518</v>
      </c>
      <c r="F2443" s="18"/>
      <c r="G2443" s="18"/>
      <c r="H2443" s="18"/>
      <c r="I2443" s="18"/>
      <c r="J2443" s="18"/>
      <c r="K2443" s="18"/>
      <c r="L2443" s="18"/>
      <c r="M2443" s="18"/>
    </row>
    <row r="2444" s="65" customFormat="1" ht="13.5" spans="1:13">
      <c r="A2444" s="66"/>
      <c r="E2444" s="72" t="s">
        <v>2519</v>
      </c>
      <c r="F2444" s="18"/>
      <c r="G2444" s="18"/>
      <c r="H2444" s="18"/>
      <c r="I2444" s="18"/>
      <c r="J2444" s="18"/>
      <c r="K2444" s="18"/>
      <c r="L2444" s="18"/>
      <c r="M2444" s="18"/>
    </row>
    <row r="2445" s="65" customFormat="1" ht="13.5" spans="1:13">
      <c r="A2445" s="66"/>
      <c r="E2445" s="72" t="s">
        <v>2520</v>
      </c>
      <c r="F2445" s="18"/>
      <c r="G2445" s="18"/>
      <c r="H2445" s="18"/>
      <c r="I2445" s="18"/>
      <c r="J2445" s="18"/>
      <c r="K2445" s="18"/>
      <c r="L2445" s="18"/>
      <c r="M2445" s="18"/>
    </row>
    <row r="2446" s="65" customFormat="1" ht="13.5" spans="1:13">
      <c r="A2446" s="66"/>
      <c r="E2446" s="72" t="s">
        <v>2521</v>
      </c>
      <c r="F2446" s="18"/>
      <c r="G2446" s="18"/>
      <c r="H2446" s="18"/>
      <c r="I2446" s="18"/>
      <c r="J2446" s="18"/>
      <c r="K2446" s="18"/>
      <c r="L2446" s="18"/>
      <c r="M2446" s="18"/>
    </row>
    <row r="2447" s="65" customFormat="1" ht="13.5" spans="1:13">
      <c r="A2447" s="66"/>
      <c r="E2447" s="72" t="s">
        <v>2522</v>
      </c>
      <c r="F2447" s="18"/>
      <c r="G2447" s="18"/>
      <c r="H2447" s="18"/>
      <c r="I2447" s="18"/>
      <c r="J2447" s="18"/>
      <c r="K2447" s="18"/>
      <c r="L2447" s="18"/>
      <c r="M2447" s="18"/>
    </row>
    <row r="2448" s="65" customFormat="1" ht="13.5" spans="1:13">
      <c r="A2448" s="66"/>
      <c r="E2448" s="72" t="s">
        <v>2523</v>
      </c>
      <c r="F2448" s="18"/>
      <c r="G2448" s="18"/>
      <c r="H2448" s="18"/>
      <c r="I2448" s="18"/>
      <c r="J2448" s="18"/>
      <c r="K2448" s="18"/>
      <c r="L2448" s="18"/>
      <c r="M2448" s="18"/>
    </row>
    <row r="2449" s="65" customFormat="1" ht="13.5" spans="1:13">
      <c r="A2449" s="66"/>
      <c r="E2449" s="72" t="s">
        <v>2524</v>
      </c>
      <c r="F2449" s="18"/>
      <c r="G2449" s="18"/>
      <c r="H2449" s="18"/>
      <c r="I2449" s="18"/>
      <c r="J2449" s="18"/>
      <c r="K2449" s="18"/>
      <c r="L2449" s="18"/>
      <c r="M2449" s="18"/>
    </row>
    <row r="2450" s="65" customFormat="1" ht="13.5" spans="1:13">
      <c r="A2450" s="66"/>
      <c r="E2450" s="72" t="s">
        <v>2525</v>
      </c>
      <c r="F2450" s="18"/>
      <c r="G2450" s="18"/>
      <c r="H2450" s="18"/>
      <c r="I2450" s="18"/>
      <c r="J2450" s="18"/>
      <c r="K2450" s="18"/>
      <c r="L2450" s="18"/>
      <c r="M2450" s="18"/>
    </row>
    <row r="2451" s="65" customFormat="1" ht="13.5" spans="1:13">
      <c r="A2451" s="66"/>
      <c r="E2451" s="72" t="s">
        <v>2526</v>
      </c>
      <c r="F2451" s="18"/>
      <c r="G2451" s="18"/>
      <c r="H2451" s="18"/>
      <c r="I2451" s="18"/>
      <c r="J2451" s="18"/>
      <c r="K2451" s="18"/>
      <c r="L2451" s="18"/>
      <c r="M2451" s="18"/>
    </row>
    <row r="2452" s="65" customFormat="1" ht="13.5" spans="1:13">
      <c r="A2452" s="66"/>
      <c r="E2452" s="72" t="s">
        <v>2527</v>
      </c>
      <c r="F2452" s="18"/>
      <c r="G2452" s="18"/>
      <c r="H2452" s="18"/>
      <c r="I2452" s="18"/>
      <c r="J2452" s="18"/>
      <c r="K2452" s="18"/>
      <c r="L2452" s="18"/>
      <c r="M2452" s="18"/>
    </row>
    <row r="2453" s="65" customFormat="1" ht="13.5" spans="1:13">
      <c r="A2453" s="66"/>
      <c r="E2453" s="72" t="s">
        <v>2528</v>
      </c>
      <c r="F2453" s="18"/>
      <c r="G2453" s="18"/>
      <c r="H2453" s="18"/>
      <c r="I2453" s="18"/>
      <c r="J2453" s="18"/>
      <c r="K2453" s="18"/>
      <c r="L2453" s="18"/>
      <c r="M2453" s="18"/>
    </row>
    <row r="2454" s="65" customFormat="1" ht="13.5" spans="1:13">
      <c r="A2454" s="66"/>
      <c r="E2454" s="72" t="s">
        <v>2529</v>
      </c>
      <c r="F2454" s="18"/>
      <c r="G2454" s="18"/>
      <c r="H2454" s="18"/>
      <c r="I2454" s="18"/>
      <c r="J2454" s="18"/>
      <c r="K2454" s="18"/>
      <c r="L2454" s="18"/>
      <c r="M2454" s="18"/>
    </row>
    <row r="2455" s="65" customFormat="1" ht="13.5" spans="1:13">
      <c r="A2455" s="66"/>
      <c r="E2455" s="72" t="s">
        <v>2530</v>
      </c>
      <c r="F2455" s="18"/>
      <c r="G2455" s="18"/>
      <c r="H2455" s="18"/>
      <c r="I2455" s="18"/>
      <c r="J2455" s="18"/>
      <c r="K2455" s="18"/>
      <c r="L2455" s="18"/>
      <c r="M2455" s="18"/>
    </row>
    <row r="2456" s="65" customFormat="1" ht="13.5" spans="1:13">
      <c r="A2456" s="66"/>
      <c r="E2456" s="72" t="s">
        <v>2531</v>
      </c>
      <c r="F2456" s="18"/>
      <c r="G2456" s="18"/>
      <c r="H2456" s="18"/>
      <c r="I2456" s="18"/>
      <c r="J2456" s="18"/>
      <c r="K2456" s="18"/>
      <c r="L2456" s="18"/>
      <c r="M2456" s="18"/>
    </row>
    <row r="2457" s="65" customFormat="1" ht="13.5" spans="1:13">
      <c r="A2457" s="66"/>
      <c r="E2457" s="72" t="s">
        <v>2532</v>
      </c>
      <c r="F2457" s="18"/>
      <c r="G2457" s="18"/>
      <c r="H2457" s="18"/>
      <c r="I2457" s="18"/>
      <c r="J2457" s="18"/>
      <c r="K2457" s="18"/>
      <c r="L2457" s="18"/>
      <c r="M2457" s="18"/>
    </row>
    <row r="2458" s="65" customFormat="1" ht="13.5" spans="1:13">
      <c r="A2458" s="66"/>
      <c r="E2458" s="72" t="s">
        <v>2533</v>
      </c>
      <c r="F2458" s="18"/>
      <c r="G2458" s="18"/>
      <c r="H2458" s="18"/>
      <c r="I2458" s="18"/>
      <c r="J2458" s="18"/>
      <c r="K2458" s="18"/>
      <c r="L2458" s="18"/>
      <c r="M2458" s="18"/>
    </row>
    <row r="2459" s="65" customFormat="1" ht="13.5" spans="1:13">
      <c r="A2459" s="66"/>
      <c r="E2459" s="72" t="s">
        <v>2534</v>
      </c>
      <c r="F2459" s="18"/>
      <c r="G2459" s="18"/>
      <c r="H2459" s="18"/>
      <c r="I2459" s="18"/>
      <c r="J2459" s="18"/>
      <c r="K2459" s="18"/>
      <c r="L2459" s="18"/>
      <c r="M2459" s="18"/>
    </row>
    <row r="2460" s="65" customFormat="1" ht="13.5" spans="1:13">
      <c r="A2460" s="66"/>
      <c r="E2460" s="72" t="s">
        <v>2535</v>
      </c>
      <c r="F2460" s="18"/>
      <c r="G2460" s="18"/>
      <c r="H2460" s="18"/>
      <c r="I2460" s="18"/>
      <c r="J2460" s="18"/>
      <c r="K2460" s="18"/>
      <c r="L2460" s="18"/>
      <c r="M2460" s="18"/>
    </row>
    <row r="2461" s="65" customFormat="1" ht="13.5" spans="1:13">
      <c r="A2461" s="66"/>
      <c r="E2461" s="72" t="s">
        <v>2536</v>
      </c>
      <c r="F2461" s="18"/>
      <c r="G2461" s="18"/>
      <c r="H2461" s="18"/>
      <c r="I2461" s="18"/>
      <c r="J2461" s="18"/>
      <c r="K2461" s="18"/>
      <c r="L2461" s="18"/>
      <c r="M2461" s="18"/>
    </row>
    <row r="2462" s="65" customFormat="1" ht="13.5" spans="1:13">
      <c r="A2462" s="66"/>
      <c r="E2462" s="72" t="s">
        <v>2537</v>
      </c>
      <c r="F2462" s="18"/>
      <c r="G2462" s="18"/>
      <c r="H2462" s="18"/>
      <c r="I2462" s="18"/>
      <c r="J2462" s="18"/>
      <c r="K2462" s="18"/>
      <c r="L2462" s="18"/>
      <c r="M2462" s="18"/>
    </row>
    <row r="2463" s="65" customFormat="1" ht="13.5" spans="1:13">
      <c r="A2463" s="66"/>
      <c r="E2463" s="72" t="s">
        <v>2538</v>
      </c>
      <c r="F2463" s="18"/>
      <c r="G2463" s="18"/>
      <c r="H2463" s="18"/>
      <c r="I2463" s="18"/>
      <c r="J2463" s="18"/>
      <c r="K2463" s="18"/>
      <c r="L2463" s="18"/>
      <c r="M2463" s="18"/>
    </row>
    <row r="2464" s="65" customFormat="1" ht="13.5" spans="1:13">
      <c r="A2464" s="66"/>
      <c r="E2464" s="72" t="s">
        <v>2539</v>
      </c>
      <c r="F2464" s="18"/>
      <c r="G2464" s="18"/>
      <c r="H2464" s="18"/>
      <c r="I2464" s="18"/>
      <c r="J2464" s="18"/>
      <c r="K2464" s="18"/>
      <c r="L2464" s="18"/>
      <c r="M2464" s="18"/>
    </row>
    <row r="2465" s="65" customFormat="1" ht="13.5" spans="1:13">
      <c r="A2465" s="66"/>
      <c r="E2465" s="72" t="s">
        <v>2540</v>
      </c>
      <c r="F2465" s="18"/>
      <c r="G2465" s="18"/>
      <c r="H2465" s="18"/>
      <c r="I2465" s="18"/>
      <c r="J2465" s="18"/>
      <c r="K2465" s="18"/>
      <c r="L2465" s="18"/>
      <c r="M2465" s="18"/>
    </row>
    <row r="2466" s="65" customFormat="1" ht="13.5" spans="1:13">
      <c r="A2466" s="66"/>
      <c r="E2466" s="72" t="s">
        <v>2541</v>
      </c>
      <c r="F2466" s="18"/>
      <c r="G2466" s="18"/>
      <c r="H2466" s="18"/>
      <c r="I2466" s="18"/>
      <c r="J2466" s="18"/>
      <c r="K2466" s="18"/>
      <c r="L2466" s="18"/>
      <c r="M2466" s="18"/>
    </row>
    <row r="2467" s="65" customFormat="1" ht="13.5" spans="1:13">
      <c r="A2467" s="66"/>
      <c r="E2467" s="72" t="s">
        <v>2542</v>
      </c>
      <c r="F2467" s="18"/>
      <c r="G2467" s="18"/>
      <c r="H2467" s="18"/>
      <c r="I2467" s="18"/>
      <c r="J2467" s="18"/>
      <c r="K2467" s="18"/>
      <c r="L2467" s="18"/>
      <c r="M2467" s="18"/>
    </row>
    <row r="2468" s="65" customFormat="1" ht="13.5" spans="1:13">
      <c r="A2468" s="66"/>
      <c r="E2468" s="72" t="s">
        <v>2543</v>
      </c>
      <c r="F2468" s="18"/>
      <c r="G2468" s="18"/>
      <c r="H2468" s="18"/>
      <c r="I2468" s="18"/>
      <c r="J2468" s="18"/>
      <c r="K2468" s="18"/>
      <c r="L2468" s="18"/>
      <c r="M2468" s="18"/>
    </row>
    <row r="2469" s="65" customFormat="1" ht="13.5" spans="1:13">
      <c r="A2469" s="66"/>
      <c r="E2469" s="72" t="s">
        <v>2544</v>
      </c>
      <c r="F2469" s="18"/>
      <c r="G2469" s="18"/>
      <c r="H2469" s="18"/>
      <c r="I2469" s="18"/>
      <c r="J2469" s="18"/>
      <c r="K2469" s="18"/>
      <c r="L2469" s="18"/>
      <c r="M2469" s="18"/>
    </row>
    <row r="2470" s="65" customFormat="1" ht="13.5" spans="1:13">
      <c r="A2470" s="66"/>
      <c r="E2470" s="72" t="s">
        <v>2545</v>
      </c>
      <c r="F2470" s="18"/>
      <c r="G2470" s="18"/>
      <c r="H2470" s="18"/>
      <c r="I2470" s="18"/>
      <c r="J2470" s="18"/>
      <c r="K2470" s="18"/>
      <c r="L2470" s="18"/>
      <c r="M2470" s="18"/>
    </row>
    <row r="2471" s="65" customFormat="1" ht="13.5" spans="1:13">
      <c r="A2471" s="66"/>
      <c r="E2471" s="72" t="s">
        <v>2546</v>
      </c>
      <c r="F2471" s="18"/>
      <c r="G2471" s="18"/>
      <c r="H2471" s="18"/>
      <c r="I2471" s="18"/>
      <c r="J2471" s="18"/>
      <c r="K2471" s="18"/>
      <c r="L2471" s="18"/>
      <c r="M2471" s="18"/>
    </row>
    <row r="2472" s="65" customFormat="1" ht="13.5" spans="1:13">
      <c r="A2472" s="66"/>
      <c r="E2472" s="72" t="s">
        <v>2547</v>
      </c>
      <c r="F2472" s="18"/>
      <c r="G2472" s="18"/>
      <c r="H2472" s="18"/>
      <c r="I2472" s="18"/>
      <c r="J2472" s="18"/>
      <c r="K2472" s="18"/>
      <c r="L2472" s="18"/>
      <c r="M2472" s="18"/>
    </row>
    <row r="2473" s="65" customFormat="1" ht="13.5" spans="1:13">
      <c r="A2473" s="66"/>
      <c r="E2473" s="72" t="s">
        <v>2548</v>
      </c>
      <c r="F2473" s="18"/>
      <c r="G2473" s="18"/>
      <c r="H2473" s="18"/>
      <c r="I2473" s="18"/>
      <c r="J2473" s="18"/>
      <c r="K2473" s="18"/>
      <c r="L2473" s="18"/>
      <c r="M2473" s="18"/>
    </row>
    <row r="2474" s="65" customFormat="1" ht="13.5" spans="1:13">
      <c r="A2474" s="66"/>
      <c r="E2474" s="72" t="s">
        <v>2549</v>
      </c>
      <c r="F2474" s="18"/>
      <c r="G2474" s="18"/>
      <c r="H2474" s="18"/>
      <c r="I2474" s="18"/>
      <c r="J2474" s="18"/>
      <c r="K2474" s="18"/>
      <c r="L2474" s="18"/>
      <c r="M2474" s="18"/>
    </row>
    <row r="2475" s="65" customFormat="1" ht="13.5" spans="1:13">
      <c r="A2475" s="66"/>
      <c r="E2475" s="72" t="s">
        <v>2550</v>
      </c>
      <c r="F2475" s="18"/>
      <c r="G2475" s="18"/>
      <c r="H2475" s="18"/>
      <c r="I2475" s="18"/>
      <c r="J2475" s="18"/>
      <c r="K2475" s="18"/>
      <c r="L2475" s="18"/>
      <c r="M2475" s="18"/>
    </row>
    <row r="2476" s="65" customFormat="1" ht="13.5" spans="1:13">
      <c r="A2476" s="66"/>
      <c r="E2476" s="72" t="s">
        <v>2551</v>
      </c>
      <c r="F2476" s="18"/>
      <c r="G2476" s="18"/>
      <c r="H2476" s="18"/>
      <c r="I2476" s="18"/>
      <c r="J2476" s="18"/>
      <c r="K2476" s="18"/>
      <c r="L2476" s="18"/>
      <c r="M2476" s="18"/>
    </row>
    <row r="2477" s="65" customFormat="1" ht="13.5" spans="1:13">
      <c r="A2477" s="66"/>
      <c r="E2477" s="72" t="s">
        <v>2552</v>
      </c>
      <c r="F2477" s="18"/>
      <c r="G2477" s="18"/>
      <c r="H2477" s="18"/>
      <c r="I2477" s="18"/>
      <c r="J2477" s="18"/>
      <c r="K2477" s="18"/>
      <c r="L2477" s="18"/>
      <c r="M2477" s="18"/>
    </row>
    <row r="2478" s="65" customFormat="1" ht="13.5" spans="1:13">
      <c r="A2478" s="66"/>
      <c r="E2478" s="72" t="s">
        <v>2553</v>
      </c>
      <c r="F2478" s="18"/>
      <c r="G2478" s="18"/>
      <c r="H2478" s="18"/>
      <c r="I2478" s="18"/>
      <c r="J2478" s="18"/>
      <c r="K2478" s="18"/>
      <c r="L2478" s="18"/>
      <c r="M2478" s="18"/>
    </row>
    <row r="2479" s="65" customFormat="1" ht="13.5" spans="1:13">
      <c r="A2479" s="66"/>
      <c r="E2479" s="72" t="s">
        <v>2554</v>
      </c>
      <c r="F2479" s="18"/>
      <c r="G2479" s="18"/>
      <c r="H2479" s="18"/>
      <c r="I2479" s="18"/>
      <c r="J2479" s="18"/>
      <c r="K2479" s="18"/>
      <c r="L2479" s="18"/>
      <c r="M2479" s="18"/>
    </row>
    <row r="2480" s="65" customFormat="1" ht="13.5" spans="1:13">
      <c r="A2480" s="66"/>
      <c r="E2480" s="72" t="s">
        <v>2555</v>
      </c>
      <c r="F2480" s="18"/>
      <c r="G2480" s="18"/>
      <c r="H2480" s="18"/>
      <c r="I2480" s="18"/>
      <c r="J2480" s="18"/>
      <c r="K2480" s="18"/>
      <c r="L2480" s="18"/>
      <c r="M2480" s="18"/>
    </row>
    <row r="2481" s="65" customFormat="1" ht="13.5" spans="1:13">
      <c r="A2481" s="66"/>
      <c r="E2481" s="72" t="s">
        <v>2556</v>
      </c>
      <c r="F2481" s="18"/>
      <c r="G2481" s="18"/>
      <c r="H2481" s="18"/>
      <c r="I2481" s="18"/>
      <c r="J2481" s="18"/>
      <c r="K2481" s="18"/>
      <c r="L2481" s="18"/>
      <c r="M2481" s="18"/>
    </row>
    <row r="2482" s="65" customFormat="1" ht="13.5" spans="1:13">
      <c r="A2482" s="66"/>
      <c r="E2482" s="72" t="s">
        <v>2557</v>
      </c>
      <c r="F2482" s="18"/>
      <c r="G2482" s="18"/>
      <c r="H2482" s="18"/>
      <c r="I2482" s="18"/>
      <c r="J2482" s="18"/>
      <c r="K2482" s="18"/>
      <c r="L2482" s="18"/>
      <c r="M2482" s="18"/>
    </row>
    <row r="2483" s="65" customFormat="1" ht="13.5" spans="1:13">
      <c r="A2483" s="66"/>
      <c r="E2483" s="72" t="s">
        <v>2558</v>
      </c>
      <c r="F2483" s="18"/>
      <c r="G2483" s="18"/>
      <c r="H2483" s="18"/>
      <c r="I2483" s="18"/>
      <c r="J2483" s="18"/>
      <c r="K2483" s="18"/>
      <c r="L2483" s="18"/>
      <c r="M2483" s="18"/>
    </row>
    <row r="2484" s="65" customFormat="1" ht="13.5" spans="1:13">
      <c r="A2484" s="66"/>
      <c r="E2484" s="72" t="s">
        <v>2559</v>
      </c>
      <c r="F2484" s="18"/>
      <c r="G2484" s="18"/>
      <c r="H2484" s="18"/>
      <c r="I2484" s="18"/>
      <c r="J2484" s="18"/>
      <c r="K2484" s="18"/>
      <c r="L2484" s="18"/>
      <c r="M2484" s="18"/>
    </row>
    <row r="2485" s="65" customFormat="1" ht="13.5" spans="1:13">
      <c r="A2485" s="66"/>
      <c r="E2485" s="72" t="s">
        <v>2560</v>
      </c>
      <c r="F2485" s="18"/>
      <c r="G2485" s="18"/>
      <c r="H2485" s="18"/>
      <c r="I2485" s="18"/>
      <c r="J2485" s="18"/>
      <c r="K2485" s="18"/>
      <c r="L2485" s="18"/>
      <c r="M2485" s="18"/>
    </row>
    <row r="2486" s="65" customFormat="1" ht="13.5" spans="1:13">
      <c r="A2486" s="66"/>
      <c r="E2486" s="72" t="s">
        <v>2561</v>
      </c>
      <c r="F2486" s="18"/>
      <c r="G2486" s="18"/>
      <c r="H2486" s="18"/>
      <c r="I2486" s="18"/>
      <c r="J2486" s="18"/>
      <c r="K2486" s="18"/>
      <c r="L2486" s="18"/>
      <c r="M2486" s="18"/>
    </row>
    <row r="2487" s="65" customFormat="1" ht="13.5" spans="1:13">
      <c r="A2487" s="66"/>
      <c r="E2487" s="72" t="s">
        <v>2562</v>
      </c>
      <c r="F2487" s="18"/>
      <c r="G2487" s="18"/>
      <c r="H2487" s="18"/>
      <c r="I2487" s="18"/>
      <c r="J2487" s="18"/>
      <c r="K2487" s="18"/>
      <c r="L2487" s="18"/>
      <c r="M2487" s="18"/>
    </row>
    <row r="2488" s="65" customFormat="1" ht="13.5" spans="1:13">
      <c r="A2488" s="66"/>
      <c r="E2488" s="72" t="s">
        <v>2563</v>
      </c>
      <c r="F2488" s="18"/>
      <c r="G2488" s="18"/>
      <c r="H2488" s="18"/>
      <c r="I2488" s="18"/>
      <c r="J2488" s="18"/>
      <c r="K2488" s="18"/>
      <c r="L2488" s="18"/>
      <c r="M2488" s="18"/>
    </row>
    <row r="2489" s="65" customFormat="1" ht="13.5" spans="1:13">
      <c r="A2489" s="66"/>
      <c r="E2489" s="72" t="s">
        <v>2564</v>
      </c>
      <c r="F2489" s="18"/>
      <c r="G2489" s="18"/>
      <c r="H2489" s="18"/>
      <c r="I2489" s="18"/>
      <c r="J2489" s="18"/>
      <c r="K2489" s="18"/>
      <c r="L2489" s="18"/>
      <c r="M2489" s="18"/>
    </row>
    <row r="2490" s="65" customFormat="1" ht="13.5" spans="1:13">
      <c r="A2490" s="66"/>
      <c r="E2490" s="72" t="s">
        <v>2565</v>
      </c>
      <c r="F2490" s="18"/>
      <c r="G2490" s="18"/>
      <c r="H2490" s="18"/>
      <c r="I2490" s="18"/>
      <c r="J2490" s="18"/>
      <c r="K2490" s="18"/>
      <c r="L2490" s="18"/>
      <c r="M2490" s="18"/>
    </row>
    <row r="2491" s="65" customFormat="1" ht="13.5" spans="1:13">
      <c r="A2491" s="66"/>
      <c r="E2491" s="72" t="s">
        <v>2566</v>
      </c>
      <c r="F2491" s="18"/>
      <c r="G2491" s="18"/>
      <c r="H2491" s="18"/>
      <c r="I2491" s="18"/>
      <c r="J2491" s="18"/>
      <c r="K2491" s="18"/>
      <c r="L2491" s="18"/>
      <c r="M2491" s="18"/>
    </row>
    <row r="2492" s="65" customFormat="1" ht="13.5" spans="1:13">
      <c r="A2492" s="66"/>
      <c r="E2492" s="72" t="s">
        <v>2567</v>
      </c>
      <c r="F2492" s="18"/>
      <c r="G2492" s="18"/>
      <c r="H2492" s="18"/>
      <c r="I2492" s="18"/>
      <c r="J2492" s="18"/>
      <c r="K2492" s="18"/>
      <c r="L2492" s="18"/>
      <c r="M2492" s="18"/>
    </row>
    <row r="2493" s="65" customFormat="1" ht="13.5" spans="1:13">
      <c r="A2493" s="66"/>
      <c r="E2493" s="72" t="s">
        <v>2568</v>
      </c>
      <c r="F2493" s="18"/>
      <c r="G2493" s="18"/>
      <c r="H2493" s="18"/>
      <c r="I2493" s="18"/>
      <c r="J2493" s="18"/>
      <c r="K2493" s="18"/>
      <c r="L2493" s="18"/>
      <c r="M2493" s="18"/>
    </row>
    <row r="2494" s="65" customFormat="1" ht="13.5" spans="1:13">
      <c r="A2494" s="66"/>
      <c r="E2494" s="72" t="s">
        <v>2569</v>
      </c>
      <c r="F2494" s="18"/>
      <c r="G2494" s="18"/>
      <c r="H2494" s="18"/>
      <c r="I2494" s="18"/>
      <c r="J2494" s="18"/>
      <c r="K2494" s="18"/>
      <c r="L2494" s="18"/>
      <c r="M2494" s="18"/>
    </row>
    <row r="2495" s="65" customFormat="1" ht="13.5" spans="1:13">
      <c r="A2495" s="66"/>
      <c r="E2495" s="72" t="s">
        <v>2570</v>
      </c>
      <c r="F2495" s="18"/>
      <c r="G2495" s="18"/>
      <c r="H2495" s="18"/>
      <c r="I2495" s="18"/>
      <c r="J2495" s="18"/>
      <c r="K2495" s="18"/>
      <c r="L2495" s="18"/>
      <c r="M2495" s="18"/>
    </row>
    <row r="2496" s="65" customFormat="1" ht="13.5" spans="1:13">
      <c r="A2496" s="66"/>
      <c r="E2496" s="72" t="s">
        <v>2571</v>
      </c>
      <c r="F2496" s="18"/>
      <c r="G2496" s="18"/>
      <c r="H2496" s="18"/>
      <c r="I2496" s="18"/>
      <c r="J2496" s="18"/>
      <c r="K2496" s="18"/>
      <c r="L2496" s="18"/>
      <c r="M2496" s="18"/>
    </row>
    <row r="2497" s="65" customFormat="1" ht="13.5" spans="1:13">
      <c r="A2497" s="66"/>
      <c r="E2497" s="72" t="s">
        <v>2572</v>
      </c>
      <c r="F2497" s="18"/>
      <c r="G2497" s="18"/>
      <c r="H2497" s="18"/>
      <c r="I2497" s="18"/>
      <c r="J2497" s="18"/>
      <c r="K2497" s="18"/>
      <c r="L2497" s="18"/>
      <c r="M2497" s="18"/>
    </row>
    <row r="2498" s="65" customFormat="1" ht="13.5" spans="1:13">
      <c r="A2498" s="66"/>
      <c r="E2498" s="72" t="s">
        <v>2573</v>
      </c>
      <c r="F2498" s="18"/>
      <c r="G2498" s="18"/>
      <c r="H2498" s="18"/>
      <c r="I2498" s="18"/>
      <c r="J2498" s="18"/>
      <c r="K2498" s="18"/>
      <c r="L2498" s="18"/>
      <c r="M2498" s="18"/>
    </row>
    <row r="2499" s="65" customFormat="1" ht="13.5" spans="1:13">
      <c r="A2499" s="66"/>
      <c r="E2499" s="72" t="s">
        <v>2574</v>
      </c>
      <c r="F2499" s="18"/>
      <c r="G2499" s="18"/>
      <c r="H2499" s="18"/>
      <c r="I2499" s="18"/>
      <c r="J2499" s="18"/>
      <c r="K2499" s="18"/>
      <c r="L2499" s="18"/>
      <c r="M2499" s="18"/>
    </row>
    <row r="2500" s="65" customFormat="1" ht="13.5" spans="1:13">
      <c r="A2500" s="66"/>
      <c r="E2500" s="72" t="s">
        <v>2575</v>
      </c>
      <c r="F2500" s="18"/>
      <c r="G2500" s="18"/>
      <c r="H2500" s="18"/>
      <c r="I2500" s="18"/>
      <c r="J2500" s="18"/>
      <c r="K2500" s="18"/>
      <c r="L2500" s="18"/>
      <c r="M2500" s="18"/>
    </row>
    <row r="2501" s="65" customFormat="1" ht="13.5" spans="1:13">
      <c r="A2501" s="66"/>
      <c r="E2501" s="72" t="s">
        <v>2576</v>
      </c>
      <c r="F2501" s="18"/>
      <c r="G2501" s="18"/>
      <c r="H2501" s="18"/>
      <c r="I2501" s="18"/>
      <c r="J2501" s="18"/>
      <c r="K2501" s="18"/>
      <c r="L2501" s="18"/>
      <c r="M2501" s="18"/>
    </row>
    <row r="2502" s="65" customFormat="1" ht="13.5" spans="1:13">
      <c r="A2502" s="66"/>
      <c r="E2502" s="72" t="s">
        <v>2577</v>
      </c>
      <c r="F2502" s="18"/>
      <c r="G2502" s="18"/>
      <c r="H2502" s="18"/>
      <c r="I2502" s="18"/>
      <c r="J2502" s="18"/>
      <c r="K2502" s="18"/>
      <c r="L2502" s="18"/>
      <c r="M2502" s="18"/>
    </row>
    <row r="2503" s="65" customFormat="1" ht="13.5" spans="1:13">
      <c r="A2503" s="66"/>
      <c r="E2503" s="72" t="s">
        <v>2578</v>
      </c>
      <c r="F2503" s="18"/>
      <c r="G2503" s="18"/>
      <c r="H2503" s="18"/>
      <c r="I2503" s="18"/>
      <c r="J2503" s="18"/>
      <c r="K2503" s="18"/>
      <c r="L2503" s="18"/>
      <c r="M2503" s="18"/>
    </row>
    <row r="2504" s="65" customFormat="1" ht="13.5" spans="1:13">
      <c r="A2504" s="66"/>
      <c r="E2504" s="72" t="s">
        <v>2579</v>
      </c>
      <c r="F2504" s="18"/>
      <c r="G2504" s="18"/>
      <c r="H2504" s="18"/>
      <c r="I2504" s="18"/>
      <c r="J2504" s="18"/>
      <c r="K2504" s="18"/>
      <c r="L2504" s="18"/>
      <c r="M2504" s="18"/>
    </row>
    <row r="2505" s="65" customFormat="1" ht="13.5" spans="1:13">
      <c r="A2505" s="66"/>
      <c r="E2505" s="72" t="s">
        <v>2580</v>
      </c>
      <c r="F2505" s="18"/>
      <c r="G2505" s="18"/>
      <c r="H2505" s="18"/>
      <c r="I2505" s="18"/>
      <c r="J2505" s="18"/>
      <c r="K2505" s="18"/>
      <c r="L2505" s="18"/>
      <c r="M2505" s="18"/>
    </row>
    <row r="2506" s="65" customFormat="1" ht="13.5" spans="1:13">
      <c r="A2506" s="66"/>
      <c r="E2506" s="72" t="s">
        <v>2581</v>
      </c>
      <c r="F2506" s="18"/>
      <c r="G2506" s="18"/>
      <c r="H2506" s="18"/>
      <c r="I2506" s="18"/>
      <c r="J2506" s="18"/>
      <c r="K2506" s="18"/>
      <c r="L2506" s="18"/>
      <c r="M2506" s="18"/>
    </row>
    <row r="2507" s="65" customFormat="1" ht="13.5" spans="1:13">
      <c r="A2507" s="66"/>
      <c r="E2507" s="72" t="s">
        <v>2582</v>
      </c>
      <c r="F2507" s="18"/>
      <c r="G2507" s="18"/>
      <c r="H2507" s="18"/>
      <c r="I2507" s="18"/>
      <c r="J2507" s="18"/>
      <c r="K2507" s="18"/>
      <c r="L2507" s="18"/>
      <c r="M2507" s="18"/>
    </row>
    <row r="2508" s="65" customFormat="1" ht="13.5" spans="1:13">
      <c r="A2508" s="66"/>
      <c r="E2508" s="72" t="s">
        <v>2583</v>
      </c>
      <c r="F2508" s="18"/>
      <c r="G2508" s="18"/>
      <c r="H2508" s="18"/>
      <c r="I2508" s="18"/>
      <c r="J2508" s="18"/>
      <c r="K2508" s="18"/>
      <c r="L2508" s="18"/>
      <c r="M2508" s="18"/>
    </row>
    <row r="2509" s="65" customFormat="1" ht="13.5" spans="1:13">
      <c r="A2509" s="66"/>
      <c r="E2509" s="72" t="s">
        <v>2584</v>
      </c>
      <c r="F2509" s="18"/>
      <c r="G2509" s="18"/>
      <c r="H2509" s="18"/>
      <c r="I2509" s="18"/>
      <c r="J2509" s="18"/>
      <c r="K2509" s="18"/>
      <c r="L2509" s="18"/>
      <c r="M2509" s="18"/>
    </row>
    <row r="2510" s="65" customFormat="1" ht="13.5" spans="1:13">
      <c r="A2510" s="66"/>
      <c r="E2510" s="72" t="s">
        <v>2585</v>
      </c>
      <c r="F2510" s="18"/>
      <c r="G2510" s="18"/>
      <c r="H2510" s="18"/>
      <c r="I2510" s="18"/>
      <c r="J2510" s="18"/>
      <c r="K2510" s="18"/>
      <c r="L2510" s="18"/>
      <c r="M2510" s="18"/>
    </row>
    <row r="2511" s="65" customFormat="1" ht="13.5" spans="1:13">
      <c r="A2511" s="66"/>
      <c r="E2511" s="72" t="s">
        <v>2586</v>
      </c>
      <c r="F2511" s="18"/>
      <c r="G2511" s="18"/>
      <c r="H2511" s="18"/>
      <c r="I2511" s="18"/>
      <c r="J2511" s="18"/>
      <c r="K2511" s="18"/>
      <c r="L2511" s="18"/>
      <c r="M2511" s="18"/>
    </row>
    <row r="2512" s="65" customFormat="1" ht="13.5" spans="1:13">
      <c r="A2512" s="66"/>
      <c r="E2512" s="72" t="s">
        <v>2587</v>
      </c>
      <c r="F2512" s="18"/>
      <c r="G2512" s="18"/>
      <c r="H2512" s="18"/>
      <c r="I2512" s="18"/>
      <c r="J2512" s="18"/>
      <c r="K2512" s="18"/>
      <c r="L2512" s="18"/>
      <c r="M2512" s="18"/>
    </row>
    <row r="2513" s="65" customFormat="1" ht="13.5" spans="1:13">
      <c r="A2513" s="66"/>
      <c r="E2513" s="72" t="s">
        <v>2588</v>
      </c>
      <c r="F2513" s="18"/>
      <c r="G2513" s="18"/>
      <c r="H2513" s="18"/>
      <c r="I2513" s="18"/>
      <c r="J2513" s="18"/>
      <c r="K2513" s="18"/>
      <c r="L2513" s="18"/>
      <c r="M2513" s="18"/>
    </row>
    <row r="2514" s="65" customFormat="1" ht="13.5" spans="1:13">
      <c r="A2514" s="66"/>
      <c r="E2514" s="72" t="s">
        <v>2589</v>
      </c>
      <c r="F2514" s="18"/>
      <c r="G2514" s="18"/>
      <c r="H2514" s="18"/>
      <c r="I2514" s="18"/>
      <c r="J2514" s="18"/>
      <c r="K2514" s="18"/>
      <c r="L2514" s="18"/>
      <c r="M2514" s="18"/>
    </row>
    <row r="2515" s="65" customFormat="1" ht="13.5" spans="1:13">
      <c r="A2515" s="66"/>
      <c r="E2515" s="72" t="s">
        <v>2590</v>
      </c>
      <c r="F2515" s="18"/>
      <c r="G2515" s="18"/>
      <c r="H2515" s="18"/>
      <c r="I2515" s="18"/>
      <c r="J2515" s="18"/>
      <c r="K2515" s="18"/>
      <c r="L2515" s="18"/>
      <c r="M2515" s="18"/>
    </row>
    <row r="2516" s="65" customFormat="1" ht="13.5" spans="1:13">
      <c r="A2516" s="66"/>
      <c r="E2516" s="72" t="s">
        <v>2591</v>
      </c>
      <c r="F2516" s="18"/>
      <c r="G2516" s="18"/>
      <c r="H2516" s="18"/>
      <c r="I2516" s="18"/>
      <c r="J2516" s="18"/>
      <c r="K2516" s="18"/>
      <c r="L2516" s="18"/>
      <c r="M2516" s="18"/>
    </row>
    <row r="2517" s="65" customFormat="1" ht="13.5" spans="1:13">
      <c r="A2517" s="66"/>
      <c r="E2517" s="72" t="s">
        <v>2592</v>
      </c>
      <c r="F2517" s="18"/>
      <c r="G2517" s="18"/>
      <c r="H2517" s="18"/>
      <c r="I2517" s="18"/>
      <c r="J2517" s="18"/>
      <c r="K2517" s="18"/>
      <c r="L2517" s="18"/>
      <c r="M2517" s="18"/>
    </row>
    <row r="2518" s="65" customFormat="1" ht="13.5" spans="1:13">
      <c r="A2518" s="66"/>
      <c r="E2518" s="72" t="s">
        <v>2593</v>
      </c>
      <c r="F2518" s="18"/>
      <c r="G2518" s="18"/>
      <c r="H2518" s="18"/>
      <c r="I2518" s="18"/>
      <c r="J2518" s="18"/>
      <c r="K2518" s="18"/>
      <c r="L2518" s="18"/>
      <c r="M2518" s="18"/>
    </row>
    <row r="2519" s="65" customFormat="1" ht="13.5" spans="1:13">
      <c r="A2519" s="66"/>
      <c r="E2519" s="72" t="s">
        <v>2594</v>
      </c>
      <c r="F2519" s="18"/>
      <c r="G2519" s="18"/>
      <c r="H2519" s="18"/>
      <c r="I2519" s="18"/>
      <c r="J2519" s="18"/>
      <c r="K2519" s="18"/>
      <c r="L2519" s="18"/>
      <c r="M2519" s="18"/>
    </row>
    <row r="2520" s="65" customFormat="1" ht="13.5" spans="1:13">
      <c r="A2520" s="66"/>
      <c r="E2520" s="72" t="s">
        <v>2595</v>
      </c>
      <c r="F2520" s="18"/>
      <c r="G2520" s="18"/>
      <c r="H2520" s="18"/>
      <c r="I2520" s="18"/>
      <c r="J2520" s="18"/>
      <c r="K2520" s="18"/>
      <c r="L2520" s="18"/>
      <c r="M2520" s="18"/>
    </row>
    <row r="2521" s="65" customFormat="1" ht="13.5" spans="1:13">
      <c r="A2521" s="66"/>
      <c r="E2521" s="72" t="s">
        <v>2596</v>
      </c>
      <c r="F2521" s="18"/>
      <c r="G2521" s="18"/>
      <c r="H2521" s="18"/>
      <c r="I2521" s="18"/>
      <c r="J2521" s="18"/>
      <c r="K2521" s="18"/>
      <c r="L2521" s="18"/>
      <c r="M2521" s="18"/>
    </row>
    <row r="2522" s="65" customFormat="1" ht="13.5" spans="1:13">
      <c r="A2522" s="66"/>
      <c r="E2522" s="72" t="s">
        <v>2597</v>
      </c>
      <c r="F2522" s="18"/>
      <c r="G2522" s="18"/>
      <c r="H2522" s="18"/>
      <c r="I2522" s="18"/>
      <c r="J2522" s="18"/>
      <c r="K2522" s="18"/>
      <c r="L2522" s="18"/>
      <c r="M2522" s="18"/>
    </row>
    <row r="2523" s="65" customFormat="1" ht="13.5" spans="1:13">
      <c r="A2523" s="66"/>
      <c r="E2523" s="72" t="s">
        <v>2598</v>
      </c>
      <c r="F2523" s="18"/>
      <c r="G2523" s="18"/>
      <c r="H2523" s="18"/>
      <c r="I2523" s="18"/>
      <c r="J2523" s="18"/>
      <c r="K2523" s="18"/>
      <c r="L2523" s="18"/>
      <c r="M2523" s="18"/>
    </row>
    <row r="2524" s="65" customFormat="1" ht="13.5" spans="1:13">
      <c r="A2524" s="66"/>
      <c r="E2524" s="72" t="s">
        <v>2599</v>
      </c>
      <c r="F2524" s="18"/>
      <c r="G2524" s="18"/>
      <c r="H2524" s="18"/>
      <c r="I2524" s="18"/>
      <c r="J2524" s="18"/>
      <c r="K2524" s="18"/>
      <c r="L2524" s="18"/>
      <c r="M2524" s="18"/>
    </row>
    <row r="2525" s="65" customFormat="1" ht="13.5" spans="1:13">
      <c r="A2525" s="66"/>
      <c r="E2525" s="72" t="s">
        <v>2600</v>
      </c>
      <c r="F2525" s="18"/>
      <c r="G2525" s="18"/>
      <c r="H2525" s="18"/>
      <c r="I2525" s="18"/>
      <c r="J2525" s="18"/>
      <c r="K2525" s="18"/>
      <c r="L2525" s="18"/>
      <c r="M2525" s="18"/>
    </row>
    <row r="2526" s="65" customFormat="1" ht="13.5" spans="1:13">
      <c r="A2526" s="66"/>
      <c r="E2526" s="72" t="s">
        <v>2601</v>
      </c>
      <c r="F2526" s="18"/>
      <c r="G2526" s="18"/>
      <c r="H2526" s="18"/>
      <c r="I2526" s="18"/>
      <c r="J2526" s="18"/>
      <c r="K2526" s="18"/>
      <c r="L2526" s="18"/>
      <c r="M2526" s="18"/>
    </row>
    <row r="2527" s="65" customFormat="1" ht="13.5" spans="1:13">
      <c r="A2527" s="66"/>
      <c r="E2527" s="72" t="s">
        <v>2602</v>
      </c>
      <c r="F2527" s="18"/>
      <c r="G2527" s="18"/>
      <c r="H2527" s="18"/>
      <c r="I2527" s="18"/>
      <c r="J2527" s="18"/>
      <c r="K2527" s="18"/>
      <c r="L2527" s="18"/>
      <c r="M2527" s="18"/>
    </row>
    <row r="2528" s="65" customFormat="1" ht="13.5" spans="1:13">
      <c r="A2528" s="66"/>
      <c r="E2528" s="72" t="s">
        <v>2603</v>
      </c>
      <c r="F2528" s="18"/>
      <c r="G2528" s="18"/>
      <c r="H2528" s="18"/>
      <c r="I2528" s="18"/>
      <c r="J2528" s="18"/>
      <c r="K2528" s="18"/>
      <c r="L2528" s="18"/>
      <c r="M2528" s="18"/>
    </row>
    <row r="2529" s="65" customFormat="1" ht="13.5" spans="1:13">
      <c r="A2529" s="66"/>
      <c r="E2529" s="72" t="s">
        <v>2604</v>
      </c>
      <c r="F2529" s="18"/>
      <c r="G2529" s="18"/>
      <c r="H2529" s="18"/>
      <c r="I2529" s="18"/>
      <c r="J2529" s="18"/>
      <c r="K2529" s="18"/>
      <c r="L2529" s="18"/>
      <c r="M2529" s="18"/>
    </row>
    <row r="2530" s="65" customFormat="1" ht="13.5" spans="1:13">
      <c r="A2530" s="66"/>
      <c r="E2530" s="72" t="s">
        <v>2605</v>
      </c>
      <c r="F2530" s="18"/>
      <c r="G2530" s="18"/>
      <c r="H2530" s="18"/>
      <c r="I2530" s="18"/>
      <c r="J2530" s="18"/>
      <c r="K2530" s="18"/>
      <c r="L2530" s="18"/>
      <c r="M2530" s="18"/>
    </row>
    <row r="2531" s="65" customFormat="1" ht="13.5" spans="1:13">
      <c r="A2531" s="66"/>
      <c r="E2531" s="72" t="s">
        <v>2606</v>
      </c>
      <c r="F2531" s="18"/>
      <c r="G2531" s="18"/>
      <c r="H2531" s="18"/>
      <c r="I2531" s="18"/>
      <c r="J2531" s="18"/>
      <c r="K2531" s="18"/>
      <c r="L2531" s="18"/>
      <c r="M2531" s="18"/>
    </row>
    <row r="2532" s="65" customFormat="1" ht="13.5" spans="1:13">
      <c r="A2532" s="66"/>
      <c r="E2532" s="72" t="s">
        <v>2607</v>
      </c>
      <c r="F2532" s="18"/>
      <c r="G2532" s="18"/>
      <c r="H2532" s="18"/>
      <c r="I2532" s="18"/>
      <c r="J2532" s="18"/>
      <c r="K2532" s="18"/>
      <c r="L2532" s="18"/>
      <c r="M2532" s="18"/>
    </row>
    <row r="2533" s="65" customFormat="1" ht="13.5" spans="1:13">
      <c r="A2533" s="66"/>
      <c r="E2533" s="72" t="s">
        <v>2608</v>
      </c>
      <c r="F2533" s="18"/>
      <c r="G2533" s="18"/>
      <c r="H2533" s="18"/>
      <c r="I2533" s="18"/>
      <c r="J2533" s="18"/>
      <c r="K2533" s="18"/>
      <c r="L2533" s="18"/>
      <c r="M2533" s="18"/>
    </row>
    <row r="2534" s="65" customFormat="1" ht="13.5" spans="1:13">
      <c r="A2534" s="66"/>
      <c r="E2534" s="72" t="s">
        <v>2609</v>
      </c>
      <c r="F2534" s="18"/>
      <c r="G2534" s="18"/>
      <c r="H2534" s="18"/>
      <c r="I2534" s="18"/>
      <c r="J2534" s="18"/>
      <c r="K2534" s="18"/>
      <c r="L2534" s="18"/>
      <c r="M2534" s="18"/>
    </row>
    <row r="2535" s="65" customFormat="1" ht="13.5" spans="1:13">
      <c r="A2535" s="66"/>
      <c r="E2535" s="72" t="s">
        <v>2610</v>
      </c>
      <c r="F2535" s="18"/>
      <c r="G2535" s="18"/>
      <c r="H2535" s="18"/>
      <c r="I2535" s="18"/>
      <c r="J2535" s="18"/>
      <c r="K2535" s="18"/>
      <c r="L2535" s="18"/>
      <c r="M2535" s="18"/>
    </row>
    <row r="2536" s="65" customFormat="1" ht="13.5" spans="1:13">
      <c r="A2536" s="66"/>
      <c r="E2536" s="72" t="s">
        <v>2611</v>
      </c>
      <c r="F2536" s="18"/>
      <c r="G2536" s="18"/>
      <c r="H2536" s="18"/>
      <c r="I2536" s="18"/>
      <c r="J2536" s="18"/>
      <c r="K2536" s="18"/>
      <c r="L2536" s="18"/>
      <c r="M2536" s="18"/>
    </row>
    <row r="2537" s="65" customFormat="1" ht="13.5" spans="1:13">
      <c r="A2537" s="66"/>
      <c r="E2537" s="72" t="s">
        <v>2612</v>
      </c>
      <c r="F2537" s="18"/>
      <c r="G2537" s="18"/>
      <c r="H2537" s="18"/>
      <c r="I2537" s="18"/>
      <c r="J2537" s="18"/>
      <c r="K2537" s="18"/>
      <c r="L2537" s="18"/>
      <c r="M2537" s="18"/>
    </row>
    <row r="2538" s="65" customFormat="1" ht="13.5" spans="1:13">
      <c r="A2538" s="66"/>
      <c r="E2538" s="72" t="s">
        <v>2613</v>
      </c>
      <c r="F2538" s="18"/>
      <c r="G2538" s="18"/>
      <c r="H2538" s="18"/>
      <c r="I2538" s="18"/>
      <c r="J2538" s="18"/>
      <c r="K2538" s="18"/>
      <c r="L2538" s="18"/>
      <c r="M2538" s="18"/>
    </row>
    <row r="2539" s="65" customFormat="1" ht="13.5" spans="1:13">
      <c r="A2539" s="66"/>
      <c r="E2539" s="72" t="s">
        <v>2614</v>
      </c>
      <c r="F2539" s="18"/>
      <c r="G2539" s="18"/>
      <c r="H2539" s="18"/>
      <c r="I2539" s="18"/>
      <c r="J2539" s="18"/>
      <c r="K2539" s="18"/>
      <c r="L2539" s="18"/>
      <c r="M2539" s="18"/>
    </row>
    <row r="2540" s="65" customFormat="1" ht="13.5" spans="1:13">
      <c r="A2540" s="66"/>
      <c r="E2540" s="72" t="s">
        <v>2615</v>
      </c>
      <c r="F2540" s="18"/>
      <c r="G2540" s="18"/>
      <c r="H2540" s="18"/>
      <c r="I2540" s="18"/>
      <c r="J2540" s="18"/>
      <c r="K2540" s="18"/>
      <c r="L2540" s="18"/>
      <c r="M2540" s="18"/>
    </row>
    <row r="2541" s="65" customFormat="1" ht="13.5" spans="1:13">
      <c r="A2541" s="66"/>
      <c r="E2541" s="72" t="s">
        <v>2616</v>
      </c>
      <c r="F2541" s="18"/>
      <c r="G2541" s="18"/>
      <c r="H2541" s="18"/>
      <c r="I2541" s="18"/>
      <c r="J2541" s="18"/>
      <c r="K2541" s="18"/>
      <c r="L2541" s="18"/>
      <c r="M2541" s="18"/>
    </row>
    <row r="2542" s="65" customFormat="1" ht="13.5" spans="1:13">
      <c r="A2542" s="66"/>
      <c r="E2542" s="72" t="s">
        <v>2617</v>
      </c>
      <c r="F2542" s="18"/>
      <c r="G2542" s="18"/>
      <c r="H2542" s="18"/>
      <c r="I2542" s="18"/>
      <c r="J2542" s="18"/>
      <c r="K2542" s="18"/>
      <c r="L2542" s="18"/>
      <c r="M2542" s="18"/>
    </row>
    <row r="2543" s="65" customFormat="1" ht="13.5" spans="1:13">
      <c r="A2543" s="66"/>
      <c r="E2543" s="72" t="s">
        <v>2618</v>
      </c>
      <c r="F2543" s="18"/>
      <c r="G2543" s="18"/>
      <c r="H2543" s="18"/>
      <c r="I2543" s="18"/>
      <c r="J2543" s="18"/>
      <c r="K2543" s="18"/>
      <c r="L2543" s="18"/>
      <c r="M2543" s="18"/>
    </row>
    <row r="2544" s="65" customFormat="1" ht="13.5" spans="1:13">
      <c r="A2544" s="66"/>
      <c r="E2544" s="72" t="s">
        <v>2619</v>
      </c>
      <c r="F2544" s="18"/>
      <c r="G2544" s="18"/>
      <c r="H2544" s="18"/>
      <c r="I2544" s="18"/>
      <c r="J2544" s="18"/>
      <c r="K2544" s="18"/>
      <c r="L2544" s="18"/>
      <c r="M2544" s="18"/>
    </row>
    <row r="2545" s="65" customFormat="1" ht="13.5" spans="1:13">
      <c r="A2545" s="66"/>
      <c r="E2545" s="72" t="s">
        <v>2620</v>
      </c>
      <c r="F2545" s="18"/>
      <c r="G2545" s="18"/>
      <c r="H2545" s="18"/>
      <c r="I2545" s="18"/>
      <c r="J2545" s="18"/>
      <c r="K2545" s="18"/>
      <c r="L2545" s="18"/>
      <c r="M2545" s="18"/>
    </row>
    <row r="2546" s="65" customFormat="1" ht="13.5" spans="1:13">
      <c r="A2546" s="66"/>
      <c r="E2546" s="72" t="s">
        <v>2621</v>
      </c>
      <c r="F2546" s="18"/>
      <c r="G2546" s="18"/>
      <c r="H2546" s="18"/>
      <c r="I2546" s="18"/>
      <c r="J2546" s="18"/>
      <c r="K2546" s="18"/>
      <c r="L2546" s="18"/>
      <c r="M2546" s="18"/>
    </row>
    <row r="2547" s="65" customFormat="1" ht="13.5" spans="1:13">
      <c r="A2547" s="66"/>
      <c r="E2547" s="72" t="s">
        <v>2622</v>
      </c>
      <c r="F2547" s="18"/>
      <c r="G2547" s="18"/>
      <c r="H2547" s="18"/>
      <c r="I2547" s="18"/>
      <c r="J2547" s="18"/>
      <c r="K2547" s="18"/>
      <c r="L2547" s="18"/>
      <c r="M2547" s="18"/>
    </row>
    <row r="2548" s="65" customFormat="1" ht="13.5" spans="1:13">
      <c r="A2548" s="66"/>
      <c r="E2548" s="72" t="s">
        <v>2623</v>
      </c>
      <c r="F2548" s="18"/>
      <c r="G2548" s="18"/>
      <c r="H2548" s="18"/>
      <c r="I2548" s="18"/>
      <c r="J2548" s="18"/>
      <c r="K2548" s="18"/>
      <c r="L2548" s="18"/>
      <c r="M2548" s="18"/>
    </row>
    <row r="2549" s="65" customFormat="1" ht="13.5" spans="1:13">
      <c r="A2549" s="66"/>
      <c r="E2549" s="72" t="s">
        <v>2624</v>
      </c>
      <c r="F2549" s="18"/>
      <c r="G2549" s="18"/>
      <c r="H2549" s="18"/>
      <c r="I2549" s="18"/>
      <c r="J2549" s="18"/>
      <c r="K2549" s="18"/>
      <c r="L2549" s="18"/>
      <c r="M2549" s="18"/>
    </row>
    <row r="2550" s="65" customFormat="1" ht="13.5" spans="1:13">
      <c r="A2550" s="66"/>
      <c r="E2550" s="72" t="s">
        <v>2625</v>
      </c>
      <c r="F2550" s="18"/>
      <c r="G2550" s="18"/>
      <c r="H2550" s="18"/>
      <c r="I2550" s="18"/>
      <c r="J2550" s="18"/>
      <c r="K2550" s="18"/>
      <c r="L2550" s="18"/>
      <c r="M2550" s="18"/>
    </row>
    <row r="2551" s="65" customFormat="1" ht="13.5" spans="1:13">
      <c r="A2551" s="66"/>
      <c r="E2551" s="72" t="s">
        <v>2626</v>
      </c>
      <c r="F2551" s="18"/>
      <c r="G2551" s="18"/>
      <c r="H2551" s="18"/>
      <c r="I2551" s="18"/>
      <c r="J2551" s="18"/>
      <c r="K2551" s="18"/>
      <c r="L2551" s="18"/>
      <c r="M2551" s="18"/>
    </row>
    <row r="2552" s="65" customFormat="1" ht="13.5" spans="1:13">
      <c r="A2552" s="66"/>
      <c r="E2552" s="72" t="s">
        <v>2627</v>
      </c>
      <c r="F2552" s="18"/>
      <c r="G2552" s="18"/>
      <c r="H2552" s="18"/>
      <c r="I2552" s="18"/>
      <c r="J2552" s="18"/>
      <c r="K2552" s="18"/>
      <c r="L2552" s="18"/>
      <c r="M2552" s="18"/>
    </row>
    <row r="2553" s="65" customFormat="1" ht="13.5" spans="1:13">
      <c r="A2553" s="66"/>
      <c r="E2553" s="72" t="s">
        <v>2628</v>
      </c>
      <c r="F2553" s="18"/>
      <c r="G2553" s="18"/>
      <c r="H2553" s="18"/>
      <c r="I2553" s="18"/>
      <c r="J2553" s="18"/>
      <c r="K2553" s="18"/>
      <c r="L2553" s="18"/>
      <c r="M2553" s="18"/>
    </row>
    <row r="2554" s="65" customFormat="1" ht="13.5" spans="1:13">
      <c r="A2554" s="66"/>
      <c r="E2554" s="72" t="s">
        <v>2629</v>
      </c>
      <c r="F2554" s="18"/>
      <c r="G2554" s="18"/>
      <c r="H2554" s="18"/>
      <c r="I2554" s="18"/>
      <c r="J2554" s="18"/>
      <c r="K2554" s="18"/>
      <c r="L2554" s="18"/>
      <c r="M2554" s="18"/>
    </row>
    <row r="2555" s="65" customFormat="1" ht="13.5" spans="1:13">
      <c r="A2555" s="66"/>
      <c r="E2555" s="72" t="s">
        <v>2630</v>
      </c>
      <c r="F2555" s="18"/>
      <c r="G2555" s="18"/>
      <c r="H2555" s="18"/>
      <c r="I2555" s="18"/>
      <c r="J2555" s="18"/>
      <c r="K2555" s="18"/>
      <c r="L2555" s="18"/>
      <c r="M2555" s="18"/>
    </row>
    <row r="2556" s="65" customFormat="1" ht="13.5" spans="1:13">
      <c r="A2556" s="66"/>
      <c r="E2556" s="72" t="s">
        <v>2631</v>
      </c>
      <c r="F2556" s="18"/>
      <c r="G2556" s="18"/>
      <c r="H2556" s="18"/>
      <c r="I2556" s="18"/>
      <c r="J2556" s="18"/>
      <c r="K2556" s="18"/>
      <c r="L2556" s="18"/>
      <c r="M2556" s="18"/>
    </row>
    <row r="2557" s="65" customFormat="1" ht="13.5" spans="1:13">
      <c r="A2557" s="66"/>
      <c r="E2557" s="72" t="s">
        <v>2632</v>
      </c>
      <c r="F2557" s="18"/>
      <c r="G2557" s="18"/>
      <c r="H2557" s="18"/>
      <c r="I2557" s="18"/>
      <c r="J2557" s="18"/>
      <c r="K2557" s="18"/>
      <c r="L2557" s="18"/>
      <c r="M2557" s="18"/>
    </row>
    <row r="2558" s="65" customFormat="1" ht="13.5" spans="1:13">
      <c r="A2558" s="66"/>
      <c r="E2558" s="72" t="s">
        <v>2633</v>
      </c>
      <c r="F2558" s="18"/>
      <c r="G2558" s="18"/>
      <c r="H2558" s="18"/>
      <c r="I2558" s="18"/>
      <c r="J2558" s="18"/>
      <c r="K2558" s="18"/>
      <c r="L2558" s="18"/>
      <c r="M2558" s="18"/>
    </row>
    <row r="2559" s="65" customFormat="1" ht="13.5" spans="1:13">
      <c r="A2559" s="66"/>
      <c r="E2559" s="72" t="s">
        <v>2634</v>
      </c>
      <c r="F2559" s="18"/>
      <c r="G2559" s="18"/>
      <c r="H2559" s="18"/>
      <c r="I2559" s="18"/>
      <c r="J2559" s="18"/>
      <c r="K2559" s="18"/>
      <c r="L2559" s="18"/>
      <c r="M2559" s="18"/>
    </row>
    <row r="2560" s="65" customFormat="1" ht="13.5" spans="1:13">
      <c r="A2560" s="66"/>
      <c r="E2560" s="72" t="s">
        <v>2635</v>
      </c>
      <c r="F2560" s="18"/>
      <c r="G2560" s="18"/>
      <c r="H2560" s="18"/>
      <c r="I2560" s="18"/>
      <c r="J2560" s="18"/>
      <c r="K2560" s="18"/>
      <c r="L2560" s="18"/>
      <c r="M2560" s="18"/>
    </row>
    <row r="2561" s="65" customFormat="1" ht="13.5" spans="1:13">
      <c r="A2561" s="66"/>
      <c r="E2561" s="72" t="s">
        <v>2636</v>
      </c>
      <c r="F2561" s="18"/>
      <c r="G2561" s="18"/>
      <c r="H2561" s="18"/>
      <c r="I2561" s="18"/>
      <c r="J2561" s="18"/>
      <c r="K2561" s="18"/>
      <c r="L2561" s="18"/>
      <c r="M2561" s="18"/>
    </row>
    <row r="2562" s="65" customFormat="1" ht="13.5" spans="1:13">
      <c r="A2562" s="66"/>
      <c r="E2562" s="72" t="s">
        <v>2637</v>
      </c>
      <c r="F2562" s="18"/>
      <c r="G2562" s="18"/>
      <c r="H2562" s="18"/>
      <c r="I2562" s="18"/>
      <c r="J2562" s="18"/>
      <c r="K2562" s="18"/>
      <c r="L2562" s="18"/>
      <c r="M2562" s="18"/>
    </row>
    <row r="2563" s="65" customFormat="1" ht="13.5" spans="1:13">
      <c r="A2563" s="66"/>
      <c r="E2563" s="72" t="s">
        <v>2638</v>
      </c>
      <c r="F2563" s="18"/>
      <c r="G2563" s="18"/>
      <c r="H2563" s="18"/>
      <c r="I2563" s="18"/>
      <c r="J2563" s="18"/>
      <c r="K2563" s="18"/>
      <c r="L2563" s="18"/>
      <c r="M2563" s="18"/>
    </row>
    <row r="2564" s="65" customFormat="1" ht="13.5" spans="1:13">
      <c r="A2564" s="66"/>
      <c r="E2564" s="72" t="s">
        <v>2639</v>
      </c>
      <c r="F2564" s="18"/>
      <c r="G2564" s="18"/>
      <c r="H2564" s="18"/>
      <c r="I2564" s="18"/>
      <c r="J2564" s="18"/>
      <c r="K2564" s="18"/>
      <c r="L2564" s="18"/>
      <c r="M2564" s="18"/>
    </row>
    <row r="2565" s="65" customFormat="1" ht="13.5" spans="1:13">
      <c r="A2565" s="66"/>
      <c r="E2565" s="72" t="s">
        <v>2640</v>
      </c>
      <c r="F2565" s="18"/>
      <c r="G2565" s="18"/>
      <c r="H2565" s="18"/>
      <c r="I2565" s="18"/>
      <c r="J2565" s="18"/>
      <c r="K2565" s="18"/>
      <c r="L2565" s="18"/>
      <c r="M2565" s="18"/>
    </row>
    <row r="2566" s="65" customFormat="1" ht="13.5" spans="1:13">
      <c r="A2566" s="66"/>
      <c r="E2566" s="72" t="s">
        <v>2641</v>
      </c>
      <c r="F2566" s="18"/>
      <c r="G2566" s="18"/>
      <c r="H2566" s="18"/>
      <c r="I2566" s="18"/>
      <c r="J2566" s="18"/>
      <c r="K2566" s="18"/>
      <c r="L2566" s="18"/>
      <c r="M2566" s="18"/>
    </row>
    <row r="2567" s="65" customFormat="1" ht="13.5" spans="1:13">
      <c r="A2567" s="66"/>
      <c r="E2567" s="72" t="s">
        <v>2642</v>
      </c>
      <c r="F2567" s="18"/>
      <c r="G2567" s="18"/>
      <c r="H2567" s="18"/>
      <c r="I2567" s="18"/>
      <c r="J2567" s="18"/>
      <c r="K2567" s="18"/>
      <c r="L2567" s="18"/>
      <c r="M2567" s="18"/>
    </row>
    <row r="2568" s="65" customFormat="1" ht="13.5" spans="1:13">
      <c r="A2568" s="66"/>
      <c r="E2568" s="72" t="s">
        <v>2643</v>
      </c>
      <c r="F2568" s="18"/>
      <c r="G2568" s="18"/>
      <c r="H2568" s="18"/>
      <c r="I2568" s="18"/>
      <c r="J2568" s="18"/>
      <c r="K2568" s="18"/>
      <c r="L2568" s="18"/>
      <c r="M2568" s="18"/>
    </row>
    <row r="2569" s="65" customFormat="1" ht="13.5" spans="1:13">
      <c r="A2569" s="66"/>
      <c r="E2569" s="72" t="s">
        <v>2644</v>
      </c>
      <c r="F2569" s="18"/>
      <c r="G2569" s="18"/>
      <c r="H2569" s="18"/>
      <c r="I2569" s="18"/>
      <c r="J2569" s="18"/>
      <c r="K2569" s="18"/>
      <c r="L2569" s="18"/>
      <c r="M2569" s="18"/>
    </row>
    <row r="2570" s="65" customFormat="1" ht="13.5" spans="1:13">
      <c r="A2570" s="66"/>
      <c r="E2570" s="72" t="s">
        <v>2645</v>
      </c>
      <c r="F2570" s="18"/>
      <c r="G2570" s="18"/>
      <c r="H2570" s="18"/>
      <c r="I2570" s="18"/>
      <c r="J2570" s="18"/>
      <c r="K2570" s="18"/>
      <c r="L2570" s="18"/>
      <c r="M2570" s="18"/>
    </row>
    <row r="2571" s="65" customFormat="1" ht="13.5" spans="1:13">
      <c r="A2571" s="66"/>
      <c r="E2571" s="72" t="s">
        <v>2646</v>
      </c>
      <c r="F2571" s="18"/>
      <c r="G2571" s="18"/>
      <c r="H2571" s="18"/>
      <c r="I2571" s="18"/>
      <c r="J2571" s="18"/>
      <c r="K2571" s="18"/>
      <c r="L2571" s="18"/>
      <c r="M2571" s="18"/>
    </row>
    <row r="2572" s="65" customFormat="1" ht="13.5" spans="1:13">
      <c r="A2572" s="66"/>
      <c r="E2572" s="72" t="s">
        <v>2647</v>
      </c>
      <c r="F2572" s="18"/>
      <c r="G2572" s="18"/>
      <c r="H2572" s="18"/>
      <c r="I2572" s="18"/>
      <c r="J2572" s="18"/>
      <c r="K2572" s="18"/>
      <c r="L2572" s="18"/>
      <c r="M2572" s="18"/>
    </row>
    <row r="2573" s="65" customFormat="1" ht="13.5" spans="1:13">
      <c r="A2573" s="66"/>
      <c r="E2573" s="72" t="s">
        <v>2648</v>
      </c>
      <c r="F2573" s="18"/>
      <c r="G2573" s="18"/>
      <c r="H2573" s="18"/>
      <c r="I2573" s="18"/>
      <c r="J2573" s="18"/>
      <c r="K2573" s="18"/>
      <c r="L2573" s="18"/>
      <c r="M2573" s="18"/>
    </row>
    <row r="2574" s="65" customFormat="1" ht="13.5" spans="1:13">
      <c r="A2574" s="66"/>
      <c r="E2574" s="72" t="s">
        <v>2649</v>
      </c>
      <c r="F2574" s="18"/>
      <c r="G2574" s="18"/>
      <c r="H2574" s="18"/>
      <c r="I2574" s="18"/>
      <c r="J2574" s="18"/>
      <c r="K2574" s="18"/>
      <c r="L2574" s="18"/>
      <c r="M2574" s="18"/>
    </row>
    <row r="2575" s="65" customFormat="1" ht="13.5" spans="1:13">
      <c r="A2575" s="66"/>
      <c r="E2575" s="72" t="s">
        <v>2650</v>
      </c>
      <c r="F2575" s="18"/>
      <c r="G2575" s="18"/>
      <c r="H2575" s="18"/>
      <c r="I2575" s="18"/>
      <c r="J2575" s="18"/>
      <c r="K2575" s="18"/>
      <c r="L2575" s="18"/>
      <c r="M2575" s="18"/>
    </row>
    <row r="2576" s="65" customFormat="1" ht="13.5" spans="1:13">
      <c r="A2576" s="66"/>
      <c r="E2576" s="72" t="s">
        <v>2651</v>
      </c>
      <c r="F2576" s="18"/>
      <c r="G2576" s="18"/>
      <c r="H2576" s="18"/>
      <c r="I2576" s="18"/>
      <c r="J2576" s="18"/>
      <c r="K2576" s="18"/>
      <c r="L2576" s="18"/>
      <c r="M2576" s="18"/>
    </row>
    <row r="2577" s="65" customFormat="1" ht="13.5" spans="1:13">
      <c r="A2577" s="66"/>
      <c r="E2577" s="72" t="s">
        <v>2652</v>
      </c>
      <c r="F2577" s="18"/>
      <c r="G2577" s="18"/>
      <c r="H2577" s="18"/>
      <c r="I2577" s="18"/>
      <c r="J2577" s="18"/>
      <c r="K2577" s="18"/>
      <c r="L2577" s="18"/>
      <c r="M2577" s="18"/>
    </row>
    <row r="2578" s="65" customFormat="1" ht="13.5" spans="1:13">
      <c r="A2578" s="66"/>
      <c r="E2578" s="72" t="s">
        <v>2653</v>
      </c>
      <c r="F2578" s="18"/>
      <c r="G2578" s="18"/>
      <c r="H2578" s="18"/>
      <c r="I2578" s="18"/>
      <c r="J2578" s="18"/>
      <c r="K2578" s="18"/>
      <c r="L2578" s="18"/>
      <c r="M2578" s="18"/>
    </row>
    <row r="2579" s="65" customFormat="1" ht="13.5" spans="1:13">
      <c r="A2579" s="66"/>
      <c r="E2579" s="72" t="s">
        <v>2654</v>
      </c>
      <c r="F2579" s="18"/>
      <c r="G2579" s="18"/>
      <c r="H2579" s="18"/>
      <c r="I2579" s="18"/>
      <c r="J2579" s="18"/>
      <c r="K2579" s="18"/>
      <c r="L2579" s="18"/>
      <c r="M2579" s="18"/>
    </row>
    <row r="2580" s="65" customFormat="1" ht="13.5" spans="1:13">
      <c r="A2580" s="66"/>
      <c r="E2580" s="72" t="s">
        <v>2655</v>
      </c>
      <c r="F2580" s="18"/>
      <c r="G2580" s="18"/>
      <c r="H2580" s="18"/>
      <c r="I2580" s="18"/>
      <c r="J2580" s="18"/>
      <c r="K2580" s="18"/>
      <c r="L2580" s="18"/>
      <c r="M2580" s="18"/>
    </row>
    <row r="2581" s="65" customFormat="1" ht="13.5" spans="1:13">
      <c r="A2581" s="66"/>
      <c r="E2581" s="72" t="s">
        <v>2656</v>
      </c>
      <c r="F2581" s="18"/>
      <c r="G2581" s="18"/>
      <c r="H2581" s="18"/>
      <c r="I2581" s="18"/>
      <c r="J2581" s="18"/>
      <c r="K2581" s="18"/>
      <c r="L2581" s="18"/>
      <c r="M2581" s="18"/>
    </row>
    <row r="2582" s="65" customFormat="1" ht="13.5" spans="1:13">
      <c r="A2582" s="66"/>
      <c r="E2582" s="72" t="s">
        <v>2657</v>
      </c>
      <c r="F2582" s="18"/>
      <c r="G2582" s="18"/>
      <c r="H2582" s="18"/>
      <c r="I2582" s="18"/>
      <c r="J2582" s="18"/>
      <c r="K2582" s="18"/>
      <c r="L2582" s="18"/>
      <c r="M2582" s="18"/>
    </row>
    <row r="2583" s="65" customFormat="1" ht="13.5" spans="1:13">
      <c r="A2583" s="66"/>
      <c r="E2583" s="72" t="s">
        <v>2658</v>
      </c>
      <c r="F2583" s="18"/>
      <c r="G2583" s="18"/>
      <c r="H2583" s="18"/>
      <c r="I2583" s="18"/>
      <c r="J2583" s="18"/>
      <c r="K2583" s="18"/>
      <c r="L2583" s="18"/>
      <c r="M2583" s="18"/>
    </row>
    <row r="2584" s="65" customFormat="1" ht="13.5" spans="1:13">
      <c r="A2584" s="66"/>
      <c r="E2584" s="72" t="s">
        <v>2659</v>
      </c>
      <c r="F2584" s="18"/>
      <c r="G2584" s="18"/>
      <c r="H2584" s="18"/>
      <c r="I2584" s="18"/>
      <c r="J2584" s="18"/>
      <c r="K2584" s="18"/>
      <c r="L2584" s="18"/>
      <c r="M2584" s="18"/>
    </row>
    <row r="2585" s="65" customFormat="1" ht="13.5" spans="1:13">
      <c r="A2585" s="66"/>
      <c r="E2585" s="72" t="s">
        <v>2660</v>
      </c>
      <c r="F2585" s="18"/>
      <c r="G2585" s="18"/>
      <c r="H2585" s="18"/>
      <c r="I2585" s="18"/>
      <c r="J2585" s="18"/>
      <c r="K2585" s="18"/>
      <c r="L2585" s="18"/>
      <c r="M2585" s="18"/>
    </row>
    <row r="2586" s="65" customFormat="1" ht="13.5" spans="1:13">
      <c r="A2586" s="66"/>
      <c r="E2586" s="72" t="s">
        <v>2661</v>
      </c>
      <c r="F2586" s="18"/>
      <c r="G2586" s="18"/>
      <c r="H2586" s="18"/>
      <c r="I2586" s="18"/>
      <c r="J2586" s="18"/>
      <c r="K2586" s="18"/>
      <c r="L2586" s="18"/>
      <c r="M2586" s="18"/>
    </row>
    <row r="2587" s="65" customFormat="1" ht="13.5" spans="1:13">
      <c r="A2587" s="66"/>
      <c r="E2587" s="72" t="s">
        <v>2662</v>
      </c>
      <c r="F2587" s="18"/>
      <c r="G2587" s="18"/>
      <c r="H2587" s="18"/>
      <c r="I2587" s="18"/>
      <c r="J2587" s="18"/>
      <c r="K2587" s="18"/>
      <c r="L2587" s="18"/>
      <c r="M2587" s="18"/>
    </row>
    <row r="2588" s="65" customFormat="1" ht="13.5" spans="1:13">
      <c r="A2588" s="66"/>
      <c r="E2588" s="72" t="s">
        <v>2663</v>
      </c>
      <c r="F2588" s="18"/>
      <c r="G2588" s="18"/>
      <c r="H2588" s="18"/>
      <c r="I2588" s="18"/>
      <c r="J2588" s="18"/>
      <c r="K2588" s="18"/>
      <c r="L2588" s="18"/>
      <c r="M2588" s="18"/>
    </row>
    <row r="2589" s="65" customFormat="1" ht="13.5" spans="1:13">
      <c r="A2589" s="66"/>
      <c r="E2589" s="72" t="s">
        <v>2664</v>
      </c>
      <c r="F2589" s="18"/>
      <c r="G2589" s="18"/>
      <c r="H2589" s="18"/>
      <c r="I2589" s="18"/>
      <c r="J2589" s="18"/>
      <c r="K2589" s="18"/>
      <c r="L2589" s="18"/>
      <c r="M2589" s="18"/>
    </row>
    <row r="2590" s="65" customFormat="1" ht="13.5" spans="1:13">
      <c r="A2590" s="66"/>
      <c r="E2590" s="72" t="s">
        <v>2665</v>
      </c>
      <c r="F2590" s="18"/>
      <c r="G2590" s="18"/>
      <c r="H2590" s="18"/>
      <c r="I2590" s="18"/>
      <c r="J2590" s="18"/>
      <c r="K2590" s="18"/>
      <c r="L2590" s="18"/>
      <c r="M2590" s="18"/>
    </row>
    <row r="2591" s="65" customFormat="1" ht="13.5" spans="1:13">
      <c r="A2591" s="66"/>
      <c r="E2591" s="72" t="s">
        <v>2666</v>
      </c>
      <c r="F2591" s="18"/>
      <c r="G2591" s="18"/>
      <c r="H2591" s="18"/>
      <c r="I2591" s="18"/>
      <c r="J2591" s="18"/>
      <c r="K2591" s="18"/>
      <c r="L2591" s="18"/>
      <c r="M2591" s="18"/>
    </row>
    <row r="2592" s="65" customFormat="1" ht="13.5" spans="1:13">
      <c r="A2592" s="66"/>
      <c r="E2592" s="72" t="s">
        <v>2667</v>
      </c>
      <c r="F2592" s="18"/>
      <c r="G2592" s="18"/>
      <c r="H2592" s="18"/>
      <c r="I2592" s="18"/>
      <c r="J2592" s="18"/>
      <c r="K2592" s="18"/>
      <c r="L2592" s="18"/>
      <c r="M2592" s="18"/>
    </row>
    <row r="2593" s="65" customFormat="1" ht="13.5" spans="1:13">
      <c r="A2593" s="66"/>
      <c r="E2593" s="72" t="s">
        <v>2668</v>
      </c>
      <c r="F2593" s="18"/>
      <c r="G2593" s="18"/>
      <c r="H2593" s="18"/>
      <c r="I2593" s="18"/>
      <c r="J2593" s="18"/>
      <c r="K2593" s="18"/>
      <c r="L2593" s="18"/>
      <c r="M2593" s="18"/>
    </row>
    <row r="2594" s="65" customFormat="1" ht="13.5" spans="1:13">
      <c r="A2594" s="66"/>
      <c r="E2594" s="72" t="s">
        <v>2669</v>
      </c>
      <c r="F2594" s="18"/>
      <c r="G2594" s="18"/>
      <c r="H2594" s="18"/>
      <c r="I2594" s="18"/>
      <c r="J2594" s="18"/>
      <c r="K2594" s="18"/>
      <c r="L2594" s="18"/>
      <c r="M2594" s="18"/>
    </row>
    <row r="2595" s="65" customFormat="1" ht="13.5" spans="1:13">
      <c r="A2595" s="66"/>
      <c r="E2595" s="72" t="s">
        <v>2670</v>
      </c>
      <c r="F2595" s="18"/>
      <c r="G2595" s="18"/>
      <c r="H2595" s="18"/>
      <c r="I2595" s="18"/>
      <c r="J2595" s="18"/>
      <c r="K2595" s="18"/>
      <c r="L2595" s="18"/>
      <c r="M2595" s="18"/>
    </row>
    <row r="2596" s="65" customFormat="1" ht="13.5" spans="1:13">
      <c r="A2596" s="66"/>
      <c r="E2596" s="72" t="s">
        <v>2671</v>
      </c>
      <c r="F2596" s="18"/>
      <c r="G2596" s="18"/>
      <c r="H2596" s="18"/>
      <c r="I2596" s="18"/>
      <c r="J2596" s="18"/>
      <c r="K2596" s="18"/>
      <c r="L2596" s="18"/>
      <c r="M2596" s="18"/>
    </row>
    <row r="2597" s="65" customFormat="1" ht="13.5" spans="1:13">
      <c r="A2597" s="66"/>
      <c r="E2597" s="72" t="s">
        <v>2672</v>
      </c>
      <c r="F2597" s="18"/>
      <c r="G2597" s="18"/>
      <c r="H2597" s="18"/>
      <c r="I2597" s="18"/>
      <c r="J2597" s="18"/>
      <c r="K2597" s="18"/>
      <c r="L2597" s="18"/>
      <c r="M2597" s="18"/>
    </row>
    <row r="2598" s="65" customFormat="1" ht="13.5" spans="1:13">
      <c r="A2598" s="66"/>
      <c r="E2598" s="72" t="s">
        <v>2673</v>
      </c>
      <c r="F2598" s="18"/>
      <c r="G2598" s="18"/>
      <c r="H2598" s="18"/>
      <c r="I2598" s="18"/>
      <c r="J2598" s="18"/>
      <c r="K2598" s="18"/>
      <c r="L2598" s="18"/>
      <c r="M2598" s="18"/>
    </row>
    <row r="2599" s="65" customFormat="1" ht="13.5" spans="1:13">
      <c r="A2599" s="66"/>
      <c r="E2599" s="72" t="s">
        <v>2674</v>
      </c>
      <c r="F2599" s="18"/>
      <c r="G2599" s="18"/>
      <c r="H2599" s="18"/>
      <c r="I2599" s="18"/>
      <c r="J2599" s="18"/>
      <c r="K2599" s="18"/>
      <c r="L2599" s="18"/>
      <c r="M2599" s="18"/>
    </row>
    <row r="2600" s="65" customFormat="1" ht="13.5" spans="1:13">
      <c r="A2600" s="66"/>
      <c r="E2600" s="72" t="s">
        <v>2675</v>
      </c>
      <c r="F2600" s="18"/>
      <c r="G2600" s="18"/>
      <c r="H2600" s="18"/>
      <c r="I2600" s="18"/>
      <c r="J2600" s="18"/>
      <c r="K2600" s="18"/>
      <c r="L2600" s="18"/>
      <c r="M2600" s="18"/>
    </row>
    <row r="2601" s="65" customFormat="1" ht="13.5" spans="1:13">
      <c r="A2601" s="66"/>
      <c r="E2601" s="72" t="s">
        <v>2676</v>
      </c>
      <c r="F2601" s="18"/>
      <c r="G2601" s="18"/>
      <c r="H2601" s="18"/>
      <c r="I2601" s="18"/>
      <c r="J2601" s="18"/>
      <c r="K2601" s="18"/>
      <c r="L2601" s="18"/>
      <c r="M2601" s="18"/>
    </row>
    <row r="2602" s="65" customFormat="1" ht="13.5" spans="1:13">
      <c r="A2602" s="66"/>
      <c r="E2602" s="72" t="s">
        <v>2677</v>
      </c>
      <c r="F2602" s="18"/>
      <c r="G2602" s="18"/>
      <c r="H2602" s="18"/>
      <c r="I2602" s="18"/>
      <c r="J2602" s="18"/>
      <c r="K2602" s="18"/>
      <c r="L2602" s="18"/>
      <c r="M2602" s="18"/>
    </row>
    <row r="2603" s="65" customFormat="1" ht="13.5" spans="1:13">
      <c r="A2603" s="66"/>
      <c r="E2603" s="72" t="s">
        <v>2678</v>
      </c>
      <c r="F2603" s="18"/>
      <c r="G2603" s="18"/>
      <c r="H2603" s="18"/>
      <c r="I2603" s="18"/>
      <c r="J2603" s="18"/>
      <c r="K2603" s="18"/>
      <c r="L2603" s="18"/>
      <c r="M2603" s="18"/>
    </row>
    <row r="2604" s="65" customFormat="1" ht="13.5" spans="1:13">
      <c r="A2604" s="66"/>
      <c r="E2604" s="72" t="s">
        <v>2679</v>
      </c>
      <c r="F2604" s="18"/>
      <c r="G2604" s="18"/>
      <c r="H2604" s="18"/>
      <c r="I2604" s="18"/>
      <c r="J2604" s="18"/>
      <c r="K2604" s="18"/>
      <c r="L2604" s="18"/>
      <c r="M2604" s="18"/>
    </row>
    <row r="2605" s="65" customFormat="1" ht="13.5" spans="1:13">
      <c r="A2605" s="66"/>
      <c r="E2605" s="72" t="s">
        <v>2680</v>
      </c>
      <c r="F2605" s="18"/>
      <c r="G2605" s="18"/>
      <c r="H2605" s="18"/>
      <c r="I2605" s="18"/>
      <c r="J2605" s="18"/>
      <c r="K2605" s="18"/>
      <c r="L2605" s="18"/>
      <c r="M2605" s="18"/>
    </row>
    <row r="2606" s="65" customFormat="1" ht="13.5" spans="1:13">
      <c r="A2606" s="66"/>
      <c r="E2606" s="72" t="s">
        <v>2681</v>
      </c>
      <c r="F2606" s="18"/>
      <c r="G2606" s="18"/>
      <c r="H2606" s="18"/>
      <c r="I2606" s="18"/>
      <c r="J2606" s="18"/>
      <c r="K2606" s="18"/>
      <c r="L2606" s="18"/>
      <c r="M2606" s="18"/>
    </row>
    <row r="2607" s="65" customFormat="1" ht="13.5" spans="1:13">
      <c r="A2607" s="66"/>
      <c r="E2607" s="72" t="s">
        <v>2682</v>
      </c>
      <c r="F2607" s="18"/>
      <c r="G2607" s="18"/>
      <c r="H2607" s="18"/>
      <c r="I2607" s="18"/>
      <c r="J2607" s="18"/>
      <c r="K2607" s="18"/>
      <c r="L2607" s="18"/>
      <c r="M2607" s="18"/>
    </row>
    <row r="2608" s="65" customFormat="1" ht="13.5" spans="1:13">
      <c r="A2608" s="66"/>
      <c r="E2608" s="72" t="s">
        <v>2683</v>
      </c>
      <c r="F2608" s="18"/>
      <c r="G2608" s="18"/>
      <c r="H2608" s="18"/>
      <c r="I2608" s="18"/>
      <c r="J2608" s="18"/>
      <c r="K2608" s="18"/>
      <c r="L2608" s="18"/>
      <c r="M2608" s="18"/>
    </row>
    <row r="2609" s="65" customFormat="1" ht="13.5" spans="1:13">
      <c r="A2609" s="66"/>
      <c r="E2609" s="72" t="s">
        <v>2684</v>
      </c>
      <c r="F2609" s="18"/>
      <c r="G2609" s="18"/>
      <c r="H2609" s="18"/>
      <c r="I2609" s="18"/>
      <c r="J2609" s="18"/>
      <c r="K2609" s="18"/>
      <c r="L2609" s="18"/>
      <c r="M2609" s="18"/>
    </row>
    <row r="2610" s="65" customFormat="1" ht="13.5" spans="1:13">
      <c r="A2610" s="66"/>
      <c r="E2610" s="72" t="s">
        <v>2685</v>
      </c>
      <c r="F2610" s="18"/>
      <c r="G2610" s="18"/>
      <c r="H2610" s="18"/>
      <c r="I2610" s="18"/>
      <c r="J2610" s="18"/>
      <c r="K2610" s="18"/>
      <c r="L2610" s="18"/>
      <c r="M2610" s="18"/>
    </row>
    <row r="2611" s="65" customFormat="1" ht="13.5" spans="1:13">
      <c r="A2611" s="66"/>
      <c r="E2611" s="72" t="s">
        <v>2686</v>
      </c>
      <c r="F2611" s="18"/>
      <c r="G2611" s="18"/>
      <c r="H2611" s="18"/>
      <c r="I2611" s="18"/>
      <c r="J2611" s="18"/>
      <c r="K2611" s="18"/>
      <c r="L2611" s="18"/>
      <c r="M2611" s="18"/>
    </row>
    <row r="2612" s="65" customFormat="1" ht="13.5" spans="1:13">
      <c r="A2612" s="66"/>
      <c r="E2612" s="72" t="s">
        <v>2687</v>
      </c>
      <c r="F2612" s="18"/>
      <c r="G2612" s="18"/>
      <c r="H2612" s="18"/>
      <c r="I2612" s="18"/>
      <c r="J2612" s="18"/>
      <c r="K2612" s="18"/>
      <c r="L2612" s="18"/>
      <c r="M2612" s="18"/>
    </row>
    <row r="2613" s="65" customFormat="1" ht="13.5" spans="1:13">
      <c r="A2613" s="66"/>
      <c r="E2613" s="72" t="s">
        <v>2688</v>
      </c>
      <c r="F2613" s="18"/>
      <c r="G2613" s="18"/>
      <c r="H2613" s="18"/>
      <c r="I2613" s="18"/>
      <c r="J2613" s="18"/>
      <c r="K2613" s="18"/>
      <c r="L2613" s="18"/>
      <c r="M2613" s="18"/>
    </row>
    <row r="2614" s="65" customFormat="1" ht="13.5" spans="1:13">
      <c r="A2614" s="66"/>
      <c r="E2614" s="72" t="s">
        <v>2689</v>
      </c>
      <c r="F2614" s="18"/>
      <c r="G2614" s="18"/>
      <c r="H2614" s="18"/>
      <c r="I2614" s="18"/>
      <c r="J2614" s="18"/>
      <c r="K2614" s="18"/>
      <c r="L2614" s="18"/>
      <c r="M2614" s="18"/>
    </row>
    <row r="2615" s="65" customFormat="1" ht="13.5" spans="1:13">
      <c r="A2615" s="66"/>
      <c r="E2615" s="72" t="s">
        <v>2690</v>
      </c>
      <c r="F2615" s="18"/>
      <c r="G2615" s="18"/>
      <c r="H2615" s="18"/>
      <c r="I2615" s="18"/>
      <c r="J2615" s="18"/>
      <c r="K2615" s="18"/>
      <c r="L2615" s="18"/>
      <c r="M2615" s="18"/>
    </row>
    <row r="2616" s="65" customFormat="1" ht="13.5" spans="1:13">
      <c r="A2616" s="66"/>
      <c r="E2616" s="72" t="s">
        <v>2691</v>
      </c>
      <c r="F2616" s="18"/>
      <c r="G2616" s="18"/>
      <c r="H2616" s="18"/>
      <c r="I2616" s="18"/>
      <c r="J2616" s="18"/>
      <c r="K2616" s="18"/>
      <c r="L2616" s="18"/>
      <c r="M2616" s="18"/>
    </row>
    <row r="2617" s="65" customFormat="1" ht="13.5" spans="1:13">
      <c r="A2617" s="66"/>
      <c r="E2617" s="72" t="s">
        <v>2692</v>
      </c>
      <c r="F2617" s="18"/>
      <c r="G2617" s="18"/>
      <c r="H2617" s="18"/>
      <c r="I2617" s="18"/>
      <c r="J2617" s="18"/>
      <c r="K2617" s="18"/>
      <c r="L2617" s="18"/>
      <c r="M2617" s="18"/>
    </row>
    <row r="2618" s="65" customFormat="1" ht="13.5" spans="1:13">
      <c r="A2618" s="66"/>
      <c r="E2618" s="72" t="s">
        <v>2693</v>
      </c>
      <c r="F2618" s="18"/>
      <c r="G2618" s="18"/>
      <c r="H2618" s="18"/>
      <c r="I2618" s="18"/>
      <c r="J2618" s="18"/>
      <c r="K2618" s="18"/>
      <c r="L2618" s="18"/>
      <c r="M2618" s="18"/>
    </row>
    <row r="2619" s="65" customFormat="1" ht="13.5" spans="1:13">
      <c r="A2619" s="66"/>
      <c r="E2619" s="72" t="s">
        <v>2694</v>
      </c>
      <c r="F2619" s="18"/>
      <c r="G2619" s="18"/>
      <c r="H2619" s="18"/>
      <c r="I2619" s="18"/>
      <c r="J2619" s="18"/>
      <c r="K2619" s="18"/>
      <c r="L2619" s="18"/>
      <c r="M2619" s="18"/>
    </row>
    <row r="2620" s="65" customFormat="1" ht="13.5" spans="1:13">
      <c r="A2620" s="66"/>
      <c r="E2620" s="72" t="s">
        <v>2695</v>
      </c>
      <c r="F2620" s="18"/>
      <c r="G2620" s="18"/>
      <c r="H2620" s="18"/>
      <c r="I2620" s="18"/>
      <c r="J2620" s="18"/>
      <c r="K2620" s="18"/>
      <c r="L2620" s="18"/>
      <c r="M2620" s="18"/>
    </row>
    <row r="2621" s="65" customFormat="1" ht="13.5" spans="1:13">
      <c r="A2621" s="66"/>
      <c r="E2621" s="72" t="s">
        <v>2696</v>
      </c>
      <c r="F2621" s="18"/>
      <c r="G2621" s="18"/>
      <c r="H2621" s="18"/>
      <c r="I2621" s="18"/>
      <c r="J2621" s="18"/>
      <c r="K2621" s="18"/>
      <c r="L2621" s="18"/>
      <c r="M2621" s="18"/>
    </row>
    <row r="2622" s="65" customFormat="1" ht="13.5" spans="1:13">
      <c r="A2622" s="66"/>
      <c r="E2622" s="72" t="s">
        <v>2697</v>
      </c>
      <c r="F2622" s="18"/>
      <c r="G2622" s="18"/>
      <c r="H2622" s="18"/>
      <c r="I2622" s="18"/>
      <c r="J2622" s="18"/>
      <c r="K2622" s="18"/>
      <c r="L2622" s="18"/>
      <c r="M2622" s="18"/>
    </row>
    <row r="2623" s="65" customFormat="1" ht="13.5" spans="1:13">
      <c r="A2623" s="66"/>
      <c r="E2623" s="72" t="s">
        <v>2698</v>
      </c>
      <c r="F2623" s="18"/>
      <c r="G2623" s="18"/>
      <c r="H2623" s="18"/>
      <c r="I2623" s="18"/>
      <c r="J2623" s="18"/>
      <c r="K2623" s="18"/>
      <c r="L2623" s="18"/>
      <c r="M2623" s="18"/>
    </row>
    <row r="2624" s="65" customFormat="1" ht="13.5" spans="1:13">
      <c r="A2624" s="66"/>
      <c r="E2624" s="72" t="s">
        <v>2699</v>
      </c>
      <c r="F2624" s="18"/>
      <c r="G2624" s="18"/>
      <c r="H2624" s="18"/>
      <c r="I2624" s="18"/>
      <c r="J2624" s="18"/>
      <c r="K2624" s="18"/>
      <c r="L2624" s="18"/>
      <c r="M2624" s="18"/>
    </row>
    <row r="2625" s="65" customFormat="1" ht="13.5" spans="1:13">
      <c r="A2625" s="66"/>
      <c r="E2625" s="72" t="s">
        <v>2700</v>
      </c>
      <c r="F2625" s="18"/>
      <c r="G2625" s="18"/>
      <c r="H2625" s="18"/>
      <c r="I2625" s="18"/>
      <c r="J2625" s="18"/>
      <c r="K2625" s="18"/>
      <c r="L2625" s="18"/>
      <c r="M2625" s="18"/>
    </row>
    <row r="2626" s="65" customFormat="1" ht="13.5" spans="1:13">
      <c r="A2626" s="66"/>
      <c r="E2626" s="72" t="s">
        <v>2701</v>
      </c>
      <c r="F2626" s="18"/>
      <c r="G2626" s="18"/>
      <c r="H2626" s="18"/>
      <c r="I2626" s="18"/>
      <c r="J2626" s="18"/>
      <c r="K2626" s="18"/>
      <c r="L2626" s="18"/>
      <c r="M2626" s="18"/>
    </row>
    <row r="2627" s="65" customFormat="1" ht="13.5" spans="1:13">
      <c r="A2627" s="66"/>
      <c r="E2627" s="72" t="s">
        <v>2702</v>
      </c>
      <c r="F2627" s="18"/>
      <c r="G2627" s="18"/>
      <c r="H2627" s="18"/>
      <c r="I2627" s="18"/>
      <c r="J2627" s="18"/>
      <c r="K2627" s="18"/>
      <c r="L2627" s="18"/>
      <c r="M2627" s="18"/>
    </row>
    <row r="2628" s="65" customFormat="1" ht="13.5" spans="1:13">
      <c r="A2628" s="66"/>
      <c r="E2628" s="72" t="s">
        <v>2703</v>
      </c>
      <c r="F2628" s="18"/>
      <c r="G2628" s="18"/>
      <c r="H2628" s="18"/>
      <c r="I2628" s="18"/>
      <c r="J2628" s="18"/>
      <c r="K2628" s="18"/>
      <c r="L2628" s="18"/>
      <c r="M2628" s="18"/>
    </row>
    <row r="2629" s="65" customFormat="1" ht="13.5" spans="1:13">
      <c r="A2629" s="66"/>
      <c r="E2629" s="72" t="s">
        <v>2704</v>
      </c>
      <c r="F2629" s="18"/>
      <c r="G2629" s="18"/>
      <c r="H2629" s="18"/>
      <c r="I2629" s="18"/>
      <c r="J2629" s="18"/>
      <c r="K2629" s="18"/>
      <c r="L2629" s="18"/>
      <c r="M2629" s="18"/>
    </row>
    <row r="2630" s="65" customFormat="1" ht="13.5" spans="1:13">
      <c r="A2630" s="66"/>
      <c r="E2630" s="72" t="s">
        <v>2705</v>
      </c>
      <c r="F2630" s="18"/>
      <c r="G2630" s="18"/>
      <c r="H2630" s="18"/>
      <c r="I2630" s="18"/>
      <c r="J2630" s="18"/>
      <c r="K2630" s="18"/>
      <c r="L2630" s="18"/>
      <c r="M2630" s="18"/>
    </row>
    <row r="2631" s="65" customFormat="1" ht="13.5" spans="1:13">
      <c r="A2631" s="66"/>
      <c r="E2631" s="72" t="s">
        <v>2706</v>
      </c>
      <c r="F2631" s="18"/>
      <c r="G2631" s="18"/>
      <c r="H2631" s="18"/>
      <c r="I2631" s="18"/>
      <c r="J2631" s="18"/>
      <c r="K2631" s="18"/>
      <c r="L2631" s="18"/>
      <c r="M2631" s="18"/>
    </row>
    <row r="2632" s="65" customFormat="1" ht="13.5" spans="1:13">
      <c r="A2632" s="66"/>
      <c r="E2632" s="72" t="s">
        <v>2707</v>
      </c>
      <c r="F2632" s="18"/>
      <c r="G2632" s="18"/>
      <c r="H2632" s="18"/>
      <c r="I2632" s="18"/>
      <c r="J2632" s="18"/>
      <c r="K2632" s="18"/>
      <c r="L2632" s="18"/>
      <c r="M2632" s="18"/>
    </row>
    <row r="2633" s="65" customFormat="1" ht="13.5" spans="1:13">
      <c r="A2633" s="66"/>
      <c r="E2633" s="72" t="s">
        <v>2708</v>
      </c>
      <c r="F2633" s="18"/>
      <c r="G2633" s="18"/>
      <c r="H2633" s="18"/>
      <c r="I2633" s="18"/>
      <c r="J2633" s="18"/>
      <c r="K2633" s="18"/>
      <c r="L2633" s="18"/>
      <c r="M2633" s="18"/>
    </row>
    <row r="2634" s="65" customFormat="1" ht="13.5" spans="1:13">
      <c r="A2634" s="66"/>
      <c r="E2634" s="72" t="s">
        <v>2709</v>
      </c>
      <c r="F2634" s="18"/>
      <c r="G2634" s="18"/>
      <c r="H2634" s="18"/>
      <c r="I2634" s="18"/>
      <c r="J2634" s="18"/>
      <c r="K2634" s="18"/>
      <c r="L2634" s="18"/>
      <c r="M2634" s="18"/>
    </row>
    <row r="2635" s="65" customFormat="1" ht="13.5" spans="1:13">
      <c r="A2635" s="66"/>
      <c r="E2635" s="72" t="s">
        <v>2710</v>
      </c>
      <c r="F2635" s="18"/>
      <c r="G2635" s="18"/>
      <c r="H2635" s="18"/>
      <c r="I2635" s="18"/>
      <c r="J2635" s="18"/>
      <c r="K2635" s="18"/>
      <c r="L2635" s="18"/>
      <c r="M2635" s="18"/>
    </row>
    <row r="2636" s="65" customFormat="1" ht="13.5" spans="1:13">
      <c r="A2636" s="66"/>
      <c r="E2636" s="72" t="s">
        <v>2711</v>
      </c>
      <c r="F2636" s="18"/>
      <c r="G2636" s="18"/>
      <c r="H2636" s="18"/>
      <c r="I2636" s="18"/>
      <c r="J2636" s="18"/>
      <c r="K2636" s="18"/>
      <c r="L2636" s="18"/>
      <c r="M2636" s="18"/>
    </row>
    <row r="2637" s="65" customFormat="1" ht="13.5" spans="1:13">
      <c r="A2637" s="66"/>
      <c r="E2637" s="72" t="s">
        <v>2712</v>
      </c>
      <c r="F2637" s="18"/>
      <c r="G2637" s="18"/>
      <c r="H2637" s="18"/>
      <c r="I2637" s="18"/>
      <c r="J2637" s="18"/>
      <c r="K2637" s="18"/>
      <c r="L2637" s="18"/>
      <c r="M2637" s="18"/>
    </row>
    <row r="2638" s="65" customFormat="1" ht="13.5" spans="1:13">
      <c r="A2638" s="66"/>
      <c r="E2638" s="72" t="s">
        <v>2713</v>
      </c>
      <c r="F2638" s="18"/>
      <c r="G2638" s="18"/>
      <c r="H2638" s="18"/>
      <c r="I2638" s="18"/>
      <c r="J2638" s="18"/>
      <c r="K2638" s="18"/>
      <c r="L2638" s="18"/>
      <c r="M2638" s="18"/>
    </row>
    <row r="2639" s="65" customFormat="1" ht="13.5" spans="1:13">
      <c r="A2639" s="66"/>
      <c r="E2639" s="72" t="s">
        <v>2714</v>
      </c>
      <c r="F2639" s="18"/>
      <c r="G2639" s="18"/>
      <c r="H2639" s="18"/>
      <c r="I2639" s="18"/>
      <c r="J2639" s="18"/>
      <c r="K2639" s="18"/>
      <c r="L2639" s="18"/>
      <c r="M2639" s="18"/>
    </row>
    <row r="2640" s="65" customFormat="1" ht="13.5" spans="1:13">
      <c r="A2640" s="66"/>
      <c r="E2640" s="72" t="s">
        <v>2715</v>
      </c>
      <c r="F2640" s="18"/>
      <c r="G2640" s="18"/>
      <c r="H2640" s="18"/>
      <c r="I2640" s="18"/>
      <c r="J2640" s="18"/>
      <c r="K2640" s="18"/>
      <c r="L2640" s="18"/>
      <c r="M2640" s="18"/>
    </row>
    <row r="2641" s="65" customFormat="1" ht="13.5" spans="1:13">
      <c r="A2641" s="66"/>
      <c r="E2641" s="72" t="s">
        <v>2716</v>
      </c>
      <c r="F2641" s="18"/>
      <c r="G2641" s="18"/>
      <c r="H2641" s="18"/>
      <c r="I2641" s="18"/>
      <c r="J2641" s="18"/>
      <c r="K2641" s="18"/>
      <c r="L2641" s="18"/>
      <c r="M2641" s="18"/>
    </row>
    <row r="2642" s="65" customFormat="1" ht="13.5" spans="1:13">
      <c r="A2642" s="66"/>
      <c r="E2642" s="72" t="s">
        <v>2717</v>
      </c>
      <c r="F2642" s="18"/>
      <c r="G2642" s="18"/>
      <c r="H2642" s="18"/>
      <c r="I2642" s="18"/>
      <c r="J2642" s="18"/>
      <c r="K2642" s="18"/>
      <c r="L2642" s="18"/>
      <c r="M2642" s="18"/>
    </row>
    <row r="2643" s="65" customFormat="1" ht="13.5" spans="1:13">
      <c r="A2643" s="66"/>
      <c r="E2643" s="72" t="s">
        <v>2718</v>
      </c>
      <c r="F2643" s="18"/>
      <c r="G2643" s="18"/>
      <c r="H2643" s="18"/>
      <c r="I2643" s="18"/>
      <c r="J2643" s="18"/>
      <c r="K2643" s="18"/>
      <c r="L2643" s="18"/>
      <c r="M2643" s="18"/>
    </row>
    <row r="2644" s="65" customFormat="1" ht="13.5" spans="1:13">
      <c r="A2644" s="66"/>
      <c r="E2644" s="72" t="s">
        <v>2719</v>
      </c>
      <c r="F2644" s="18"/>
      <c r="G2644" s="18"/>
      <c r="H2644" s="18"/>
      <c r="I2644" s="18"/>
      <c r="J2644" s="18"/>
      <c r="K2644" s="18"/>
      <c r="L2644" s="18"/>
      <c r="M2644" s="18"/>
    </row>
    <row r="2645" s="65" customFormat="1" ht="13.5" spans="1:13">
      <c r="A2645" s="66"/>
      <c r="E2645" s="72" t="s">
        <v>2720</v>
      </c>
      <c r="F2645" s="18"/>
      <c r="G2645" s="18"/>
      <c r="H2645" s="18"/>
      <c r="I2645" s="18"/>
      <c r="J2645" s="18"/>
      <c r="K2645" s="18"/>
      <c r="L2645" s="18"/>
      <c r="M2645" s="18"/>
    </row>
    <row r="2646" s="65" customFormat="1" ht="13.5" spans="1:13">
      <c r="A2646" s="66"/>
      <c r="E2646" s="72" t="s">
        <v>2721</v>
      </c>
      <c r="F2646" s="18"/>
      <c r="G2646" s="18"/>
      <c r="H2646" s="18"/>
      <c r="I2646" s="18"/>
      <c r="J2646" s="18"/>
      <c r="K2646" s="18"/>
      <c r="L2646" s="18"/>
      <c r="M2646" s="18"/>
    </row>
    <row r="2647" s="65" customFormat="1" ht="13.5" spans="1:13">
      <c r="A2647" s="66"/>
      <c r="E2647" s="72" t="s">
        <v>2722</v>
      </c>
      <c r="F2647" s="18"/>
      <c r="G2647" s="18"/>
      <c r="H2647" s="18"/>
      <c r="I2647" s="18"/>
      <c r="J2647" s="18"/>
      <c r="K2647" s="18"/>
      <c r="L2647" s="18"/>
      <c r="M2647" s="18"/>
    </row>
    <row r="2648" s="65" customFormat="1" ht="13.5" spans="1:13">
      <c r="A2648" s="66"/>
      <c r="E2648" s="72" t="s">
        <v>2723</v>
      </c>
      <c r="F2648" s="18"/>
      <c r="G2648" s="18"/>
      <c r="H2648" s="18"/>
      <c r="I2648" s="18"/>
      <c r="J2648" s="18"/>
      <c r="K2648" s="18"/>
      <c r="L2648" s="18"/>
      <c r="M2648" s="18"/>
    </row>
    <row r="2649" s="65" customFormat="1" ht="13.5" spans="1:13">
      <c r="A2649" s="66"/>
      <c r="E2649" s="72" t="s">
        <v>2724</v>
      </c>
      <c r="F2649" s="18"/>
      <c r="G2649" s="18"/>
      <c r="H2649" s="18"/>
      <c r="I2649" s="18"/>
      <c r="J2649" s="18"/>
      <c r="K2649" s="18"/>
      <c r="L2649" s="18"/>
      <c r="M2649" s="18"/>
    </row>
    <row r="2650" s="65" customFormat="1" ht="13.5" spans="1:13">
      <c r="A2650" s="66"/>
      <c r="E2650" s="72" t="s">
        <v>2725</v>
      </c>
      <c r="F2650" s="18"/>
      <c r="G2650" s="18"/>
      <c r="H2650" s="18"/>
      <c r="I2650" s="18"/>
      <c r="J2650" s="18"/>
      <c r="K2650" s="18"/>
      <c r="L2650" s="18"/>
      <c r="M2650" s="18"/>
    </row>
    <row r="2651" s="65" customFormat="1" ht="13.5" spans="1:13">
      <c r="A2651" s="66"/>
      <c r="E2651" s="72" t="s">
        <v>2726</v>
      </c>
      <c r="F2651" s="18"/>
      <c r="G2651" s="18"/>
      <c r="H2651" s="18"/>
      <c r="I2651" s="18"/>
      <c r="J2651" s="18"/>
      <c r="K2651" s="18"/>
      <c r="L2651" s="18"/>
      <c r="M2651" s="18"/>
    </row>
    <row r="2652" s="65" customFormat="1" ht="13.5" spans="1:13">
      <c r="A2652" s="66"/>
      <c r="E2652" s="72" t="s">
        <v>2727</v>
      </c>
      <c r="F2652" s="18"/>
      <c r="G2652" s="18"/>
      <c r="H2652" s="18"/>
      <c r="I2652" s="18"/>
      <c r="J2652" s="18"/>
      <c r="K2652" s="18"/>
      <c r="L2652" s="18"/>
      <c r="M2652" s="18"/>
    </row>
    <row r="2653" s="65" customFormat="1" ht="13.5" spans="1:13">
      <c r="A2653" s="66"/>
      <c r="E2653" s="72" t="s">
        <v>2728</v>
      </c>
      <c r="F2653" s="18"/>
      <c r="G2653" s="18"/>
      <c r="H2653" s="18"/>
      <c r="I2653" s="18"/>
      <c r="J2653" s="18"/>
      <c r="K2653" s="18"/>
      <c r="L2653" s="18"/>
      <c r="M2653" s="18"/>
    </row>
    <row r="2654" s="65" customFormat="1" ht="13.5" spans="1:13">
      <c r="A2654" s="66"/>
      <c r="E2654" s="72" t="s">
        <v>2729</v>
      </c>
      <c r="F2654" s="18"/>
      <c r="G2654" s="18"/>
      <c r="H2654" s="18"/>
      <c r="I2654" s="18"/>
      <c r="J2654" s="18"/>
      <c r="K2654" s="18"/>
      <c r="L2654" s="18"/>
      <c r="M2654" s="18"/>
    </row>
    <row r="2655" s="65" customFormat="1" ht="13.5" spans="1:13">
      <c r="A2655" s="66"/>
      <c r="E2655" s="72" t="s">
        <v>2730</v>
      </c>
      <c r="F2655" s="18"/>
      <c r="G2655" s="18"/>
      <c r="H2655" s="18"/>
      <c r="I2655" s="18"/>
      <c r="J2655" s="18"/>
      <c r="K2655" s="18"/>
      <c r="L2655" s="18"/>
      <c r="M2655" s="18"/>
    </row>
    <row r="2656" s="65" customFormat="1" ht="13.5" spans="1:13">
      <c r="A2656" s="66"/>
      <c r="E2656" s="72" t="s">
        <v>2731</v>
      </c>
      <c r="F2656" s="18"/>
      <c r="G2656" s="18"/>
      <c r="H2656" s="18"/>
      <c r="I2656" s="18"/>
      <c r="J2656" s="18"/>
      <c r="K2656" s="18"/>
      <c r="L2656" s="18"/>
      <c r="M2656" s="18"/>
    </row>
    <row r="2657" s="65" customFormat="1" ht="13.5" spans="1:13">
      <c r="A2657" s="66"/>
      <c r="E2657" s="72" t="s">
        <v>2732</v>
      </c>
      <c r="F2657" s="18"/>
      <c r="G2657" s="18"/>
      <c r="H2657" s="18"/>
      <c r="I2657" s="18"/>
      <c r="J2657" s="18"/>
      <c r="K2657" s="18"/>
      <c r="L2657" s="18"/>
      <c r="M2657" s="18"/>
    </row>
    <row r="2658" s="65" customFormat="1" ht="13.5" spans="1:13">
      <c r="A2658" s="66"/>
      <c r="E2658" s="72" t="s">
        <v>2733</v>
      </c>
      <c r="F2658" s="18"/>
      <c r="G2658" s="18"/>
      <c r="H2658" s="18"/>
      <c r="I2658" s="18"/>
      <c r="J2658" s="18"/>
      <c r="K2658" s="18"/>
      <c r="L2658" s="18"/>
      <c r="M2658" s="18"/>
    </row>
    <row r="2659" s="65" customFormat="1" ht="13.5" spans="1:13">
      <c r="A2659" s="66"/>
      <c r="E2659" s="72" t="s">
        <v>2734</v>
      </c>
      <c r="F2659" s="18"/>
      <c r="G2659" s="18"/>
      <c r="H2659" s="18"/>
      <c r="I2659" s="18"/>
      <c r="J2659" s="18"/>
      <c r="K2659" s="18"/>
      <c r="L2659" s="18"/>
      <c r="M2659" s="18"/>
    </row>
    <row r="2660" s="65" customFormat="1" ht="13.5" spans="1:13">
      <c r="A2660" s="66"/>
      <c r="E2660" s="72" t="s">
        <v>2735</v>
      </c>
      <c r="F2660" s="18"/>
      <c r="G2660" s="18"/>
      <c r="H2660" s="18"/>
      <c r="I2660" s="18"/>
      <c r="J2660" s="18"/>
      <c r="K2660" s="18"/>
      <c r="L2660" s="18"/>
      <c r="M2660" s="18"/>
    </row>
    <row r="2661" s="65" customFormat="1" ht="13.5" spans="1:13">
      <c r="A2661" s="66"/>
      <c r="E2661" s="72" t="s">
        <v>2736</v>
      </c>
      <c r="F2661" s="18"/>
      <c r="G2661" s="18"/>
      <c r="H2661" s="18"/>
      <c r="I2661" s="18"/>
      <c r="J2661" s="18"/>
      <c r="K2661" s="18"/>
      <c r="L2661" s="18"/>
      <c r="M2661" s="18"/>
    </row>
    <row r="2662" s="65" customFormat="1" ht="13.5" spans="1:13">
      <c r="A2662" s="66"/>
      <c r="E2662" s="72" t="s">
        <v>2737</v>
      </c>
      <c r="F2662" s="18"/>
      <c r="G2662" s="18"/>
      <c r="H2662" s="18"/>
      <c r="I2662" s="18"/>
      <c r="J2662" s="18"/>
      <c r="K2662" s="18"/>
      <c r="L2662" s="18"/>
      <c r="M2662" s="18"/>
    </row>
    <row r="2663" s="65" customFormat="1" ht="13.5" spans="1:13">
      <c r="A2663" s="66"/>
      <c r="E2663" s="72" t="s">
        <v>2738</v>
      </c>
      <c r="F2663" s="18"/>
      <c r="G2663" s="18"/>
      <c r="H2663" s="18"/>
      <c r="I2663" s="18"/>
      <c r="J2663" s="18"/>
      <c r="K2663" s="18"/>
      <c r="L2663" s="18"/>
      <c r="M2663" s="18"/>
    </row>
    <row r="2664" s="65" customFormat="1" ht="13.5" spans="1:13">
      <c r="A2664" s="66"/>
      <c r="E2664" s="72" t="s">
        <v>2739</v>
      </c>
      <c r="F2664" s="18"/>
      <c r="G2664" s="18"/>
      <c r="H2664" s="18"/>
      <c r="I2664" s="18"/>
      <c r="J2664" s="18"/>
      <c r="K2664" s="18"/>
      <c r="L2664" s="18"/>
      <c r="M2664" s="18"/>
    </row>
    <row r="2665" s="65" customFormat="1" ht="13.5" spans="1:13">
      <c r="A2665" s="66"/>
      <c r="E2665" s="72" t="s">
        <v>2740</v>
      </c>
      <c r="F2665" s="18"/>
      <c r="G2665" s="18"/>
      <c r="H2665" s="18"/>
      <c r="I2665" s="18"/>
      <c r="J2665" s="18"/>
      <c r="K2665" s="18"/>
      <c r="L2665" s="18"/>
      <c r="M2665" s="18"/>
    </row>
    <row r="2666" s="65" customFormat="1" ht="13.5" spans="1:13">
      <c r="A2666" s="66"/>
      <c r="E2666" s="72" t="s">
        <v>2741</v>
      </c>
      <c r="F2666" s="18"/>
      <c r="G2666" s="18"/>
      <c r="H2666" s="18"/>
      <c r="I2666" s="18"/>
      <c r="J2666" s="18"/>
      <c r="K2666" s="18"/>
      <c r="L2666" s="18"/>
      <c r="M2666" s="18"/>
    </row>
    <row r="2667" s="65" customFormat="1" ht="13.5" spans="1:13">
      <c r="A2667" s="66"/>
      <c r="E2667" s="72" t="s">
        <v>2742</v>
      </c>
      <c r="F2667" s="18"/>
      <c r="G2667" s="18"/>
      <c r="H2667" s="18"/>
      <c r="I2667" s="18"/>
      <c r="J2667" s="18"/>
      <c r="K2667" s="18"/>
      <c r="L2667" s="18"/>
      <c r="M2667" s="18"/>
    </row>
    <row r="2668" s="65" customFormat="1" ht="13.5" spans="1:13">
      <c r="A2668" s="66"/>
      <c r="E2668" s="72" t="s">
        <v>2743</v>
      </c>
      <c r="F2668" s="18"/>
      <c r="G2668" s="18"/>
      <c r="H2668" s="18"/>
      <c r="I2668" s="18"/>
      <c r="J2668" s="18"/>
      <c r="K2668" s="18"/>
      <c r="L2668" s="18"/>
      <c r="M2668" s="18"/>
    </row>
    <row r="2669" s="65" customFormat="1" ht="13.5" spans="1:13">
      <c r="A2669" s="66"/>
      <c r="E2669" s="72" t="s">
        <v>2744</v>
      </c>
      <c r="F2669" s="18"/>
      <c r="G2669" s="18"/>
      <c r="H2669" s="18"/>
      <c r="I2669" s="18"/>
      <c r="J2669" s="18"/>
      <c r="K2669" s="18"/>
      <c r="L2669" s="18"/>
      <c r="M2669" s="18"/>
    </row>
    <row r="2670" s="65" customFormat="1" ht="13.5" spans="1:13">
      <c r="A2670" s="66"/>
      <c r="E2670" s="72" t="s">
        <v>2745</v>
      </c>
      <c r="F2670" s="18"/>
      <c r="G2670" s="18"/>
      <c r="H2670" s="18"/>
      <c r="I2670" s="18"/>
      <c r="J2670" s="18"/>
      <c r="K2670" s="18"/>
      <c r="L2670" s="18"/>
      <c r="M2670" s="18"/>
    </row>
    <row r="2671" s="65" customFormat="1" ht="13.5" spans="1:13">
      <c r="A2671" s="66"/>
      <c r="E2671" s="72" t="s">
        <v>2746</v>
      </c>
      <c r="F2671" s="18"/>
      <c r="G2671" s="18"/>
      <c r="H2671" s="18"/>
      <c r="I2671" s="18"/>
      <c r="J2671" s="18"/>
      <c r="K2671" s="18"/>
      <c r="L2671" s="18"/>
      <c r="M2671" s="18"/>
    </row>
    <row r="2672" s="65" customFormat="1" ht="13.5" spans="1:13">
      <c r="A2672" s="66"/>
      <c r="E2672" s="72" t="s">
        <v>2747</v>
      </c>
      <c r="F2672" s="18"/>
      <c r="G2672" s="18"/>
      <c r="H2672" s="18"/>
      <c r="I2672" s="18"/>
      <c r="J2672" s="18"/>
      <c r="K2672" s="18"/>
      <c r="L2672" s="18"/>
      <c r="M2672" s="18"/>
    </row>
    <row r="2673" s="65" customFormat="1" ht="13.5" spans="1:13">
      <c r="A2673" s="66"/>
      <c r="E2673" s="72" t="s">
        <v>2748</v>
      </c>
      <c r="F2673" s="18"/>
      <c r="G2673" s="18"/>
      <c r="H2673" s="18"/>
      <c r="I2673" s="18"/>
      <c r="J2673" s="18"/>
      <c r="K2673" s="18"/>
      <c r="L2673" s="18"/>
      <c r="M2673" s="18"/>
    </row>
    <row r="2674" s="65" customFormat="1" ht="13.5" spans="1:13">
      <c r="A2674" s="66"/>
      <c r="E2674" s="72" t="s">
        <v>2749</v>
      </c>
      <c r="F2674" s="18"/>
      <c r="G2674" s="18"/>
      <c r="H2674" s="18"/>
      <c r="I2674" s="18"/>
      <c r="J2674" s="18"/>
      <c r="K2674" s="18"/>
      <c r="L2674" s="18"/>
      <c r="M2674" s="18"/>
    </row>
    <row r="2675" s="65" customFormat="1" ht="13.5" spans="1:13">
      <c r="A2675" s="66"/>
      <c r="E2675" s="72" t="s">
        <v>2750</v>
      </c>
      <c r="F2675" s="18"/>
      <c r="G2675" s="18"/>
      <c r="H2675" s="18"/>
      <c r="I2675" s="18"/>
      <c r="J2675" s="18"/>
      <c r="K2675" s="18"/>
      <c r="L2675" s="18"/>
      <c r="M2675" s="18"/>
    </row>
    <row r="2676" s="65" customFormat="1" ht="13.5" spans="1:13">
      <c r="A2676" s="66"/>
      <c r="E2676" s="72" t="s">
        <v>2751</v>
      </c>
      <c r="F2676" s="18"/>
      <c r="G2676" s="18"/>
      <c r="H2676" s="18"/>
      <c r="I2676" s="18"/>
      <c r="J2676" s="18"/>
      <c r="K2676" s="18"/>
      <c r="L2676" s="18"/>
      <c r="M2676" s="18"/>
    </row>
    <row r="2677" s="65" customFormat="1" ht="13.5" spans="1:13">
      <c r="A2677" s="66"/>
      <c r="E2677" s="72" t="s">
        <v>2752</v>
      </c>
      <c r="F2677" s="18"/>
      <c r="G2677" s="18"/>
      <c r="H2677" s="18"/>
      <c r="I2677" s="18"/>
      <c r="J2677" s="18"/>
      <c r="K2677" s="18"/>
      <c r="L2677" s="18"/>
      <c r="M2677" s="18"/>
    </row>
    <row r="2678" s="65" customFormat="1" ht="13.5" spans="1:13">
      <c r="A2678" s="66"/>
      <c r="E2678" s="72" t="s">
        <v>2753</v>
      </c>
      <c r="F2678" s="18"/>
      <c r="G2678" s="18"/>
      <c r="H2678" s="18"/>
      <c r="I2678" s="18"/>
      <c r="J2678" s="18"/>
      <c r="K2678" s="18"/>
      <c r="L2678" s="18"/>
      <c r="M2678" s="18"/>
    </row>
    <row r="2679" s="65" customFormat="1" ht="13.5" spans="1:13">
      <c r="A2679" s="66"/>
      <c r="E2679" s="72" t="s">
        <v>2754</v>
      </c>
      <c r="F2679" s="18"/>
      <c r="G2679" s="18"/>
      <c r="H2679" s="18"/>
      <c r="I2679" s="18"/>
      <c r="J2679" s="18"/>
      <c r="K2679" s="18"/>
      <c r="L2679" s="18"/>
      <c r="M2679" s="18"/>
    </row>
    <row r="2680" s="65" customFormat="1" ht="13.5" spans="1:13">
      <c r="A2680" s="66"/>
      <c r="E2680" s="72" t="s">
        <v>2755</v>
      </c>
      <c r="F2680" s="18"/>
      <c r="G2680" s="18"/>
      <c r="H2680" s="18"/>
      <c r="I2680" s="18"/>
      <c r="J2680" s="18"/>
      <c r="K2680" s="18"/>
      <c r="L2680" s="18"/>
      <c r="M2680" s="18"/>
    </row>
    <row r="2681" s="65" customFormat="1" ht="13.5" spans="1:13">
      <c r="A2681" s="66"/>
      <c r="E2681" s="72" t="s">
        <v>2756</v>
      </c>
      <c r="F2681" s="18"/>
      <c r="G2681" s="18"/>
      <c r="H2681" s="18"/>
      <c r="I2681" s="18"/>
      <c r="J2681" s="18"/>
      <c r="K2681" s="18"/>
      <c r="L2681" s="18"/>
      <c r="M2681" s="18"/>
    </row>
    <row r="2682" s="65" customFormat="1" ht="13.5" spans="1:13">
      <c r="A2682" s="66"/>
      <c r="E2682" s="72" t="s">
        <v>2757</v>
      </c>
      <c r="F2682" s="18"/>
      <c r="G2682" s="18"/>
      <c r="H2682" s="18"/>
      <c r="I2682" s="18"/>
      <c r="J2682" s="18"/>
      <c r="K2682" s="18"/>
      <c r="L2682" s="18"/>
      <c r="M2682" s="18"/>
    </row>
    <row r="2683" s="65" customFormat="1" ht="13.5" spans="1:13">
      <c r="A2683" s="66"/>
      <c r="E2683" s="72" t="s">
        <v>2758</v>
      </c>
      <c r="F2683" s="18"/>
      <c r="G2683" s="18"/>
      <c r="H2683" s="18"/>
      <c r="I2683" s="18"/>
      <c r="J2683" s="18"/>
      <c r="K2683" s="18"/>
      <c r="L2683" s="18"/>
      <c r="M2683" s="18"/>
    </row>
    <row r="2684" s="65" customFormat="1" ht="13.5" spans="1:13">
      <c r="A2684" s="66"/>
      <c r="E2684" s="72" t="s">
        <v>2759</v>
      </c>
      <c r="F2684" s="18"/>
      <c r="G2684" s="18"/>
      <c r="H2684" s="18"/>
      <c r="I2684" s="18"/>
      <c r="J2684" s="18"/>
      <c r="K2684" s="18"/>
      <c r="L2684" s="18"/>
      <c r="M2684" s="18"/>
    </row>
    <row r="2685" s="65" customFormat="1" ht="13.5" spans="1:13">
      <c r="A2685" s="66"/>
      <c r="E2685" s="72" t="s">
        <v>2760</v>
      </c>
      <c r="F2685" s="18"/>
      <c r="G2685" s="18"/>
      <c r="H2685" s="18"/>
      <c r="I2685" s="18"/>
      <c r="J2685" s="18"/>
      <c r="K2685" s="18"/>
      <c r="L2685" s="18"/>
      <c r="M2685" s="18"/>
    </row>
    <row r="2686" s="65" customFormat="1" ht="13.5" spans="1:13">
      <c r="A2686" s="66"/>
      <c r="E2686" s="72" t="s">
        <v>2761</v>
      </c>
      <c r="F2686" s="18"/>
      <c r="G2686" s="18"/>
      <c r="H2686" s="18"/>
      <c r="I2686" s="18"/>
      <c r="J2686" s="18"/>
      <c r="K2686" s="18"/>
      <c r="L2686" s="18"/>
      <c r="M2686" s="18"/>
    </row>
    <row r="2687" s="65" customFormat="1" ht="13.5" spans="1:13">
      <c r="A2687" s="66"/>
      <c r="E2687" s="72" t="s">
        <v>2762</v>
      </c>
      <c r="F2687" s="18"/>
      <c r="G2687" s="18"/>
      <c r="H2687" s="18"/>
      <c r="I2687" s="18"/>
      <c r="J2687" s="18"/>
      <c r="K2687" s="18"/>
      <c r="L2687" s="18"/>
      <c r="M2687" s="18"/>
    </row>
    <row r="2688" s="65" customFormat="1" ht="13.5" spans="1:13">
      <c r="A2688" s="66"/>
      <c r="E2688" s="72" t="s">
        <v>2763</v>
      </c>
      <c r="F2688" s="18"/>
      <c r="G2688" s="18"/>
      <c r="H2688" s="18"/>
      <c r="I2688" s="18"/>
      <c r="J2688" s="18"/>
      <c r="K2688" s="18"/>
      <c r="L2688" s="18"/>
      <c r="M2688" s="18"/>
    </row>
    <row r="2689" s="65" customFormat="1" ht="13.5" spans="1:13">
      <c r="A2689" s="66"/>
      <c r="E2689" s="72" t="s">
        <v>2764</v>
      </c>
      <c r="F2689" s="18"/>
      <c r="G2689" s="18"/>
      <c r="H2689" s="18"/>
      <c r="I2689" s="18"/>
      <c r="J2689" s="18"/>
      <c r="K2689" s="18"/>
      <c r="L2689" s="18"/>
      <c r="M2689" s="18"/>
    </row>
    <row r="2690" s="65" customFormat="1" ht="13.5" spans="1:13">
      <c r="A2690" s="66"/>
      <c r="E2690" s="72" t="s">
        <v>2765</v>
      </c>
      <c r="F2690" s="18"/>
      <c r="G2690" s="18"/>
      <c r="H2690" s="18"/>
      <c r="I2690" s="18"/>
      <c r="J2690" s="18"/>
      <c r="K2690" s="18"/>
      <c r="L2690" s="18"/>
      <c r="M2690" s="18"/>
    </row>
    <row r="2691" s="65" customFormat="1" ht="13.5" spans="1:13">
      <c r="A2691" s="66"/>
      <c r="E2691" s="72" t="s">
        <v>2766</v>
      </c>
      <c r="F2691" s="18"/>
      <c r="G2691" s="18"/>
      <c r="H2691" s="18"/>
      <c r="I2691" s="18"/>
      <c r="J2691" s="18"/>
      <c r="K2691" s="18"/>
      <c r="L2691" s="18"/>
      <c r="M2691" s="18"/>
    </row>
    <row r="2692" s="65" customFormat="1" ht="13.5" spans="1:13">
      <c r="A2692" s="66"/>
      <c r="E2692" s="72" t="s">
        <v>2767</v>
      </c>
      <c r="F2692" s="18"/>
      <c r="G2692" s="18"/>
      <c r="H2692" s="18"/>
      <c r="I2692" s="18"/>
      <c r="J2692" s="18"/>
      <c r="K2692" s="18"/>
      <c r="L2692" s="18"/>
      <c r="M2692" s="18"/>
    </row>
    <row r="2693" s="65" customFormat="1" ht="13.5" spans="1:13">
      <c r="A2693" s="66"/>
      <c r="E2693" s="72" t="s">
        <v>2768</v>
      </c>
      <c r="F2693" s="18"/>
      <c r="G2693" s="18"/>
      <c r="H2693" s="18"/>
      <c r="I2693" s="18"/>
      <c r="J2693" s="18"/>
      <c r="K2693" s="18"/>
      <c r="L2693" s="18"/>
      <c r="M2693" s="18"/>
    </row>
    <row r="2694" s="65" customFormat="1" ht="13.5" spans="1:13">
      <c r="A2694" s="66"/>
      <c r="E2694" s="72" t="s">
        <v>2769</v>
      </c>
      <c r="F2694" s="18"/>
      <c r="G2694" s="18"/>
      <c r="H2694" s="18"/>
      <c r="I2694" s="18"/>
      <c r="J2694" s="18"/>
      <c r="K2694" s="18"/>
      <c r="L2694" s="18"/>
      <c r="M2694" s="18"/>
    </row>
    <row r="2695" s="65" customFormat="1" ht="13.5" spans="1:13">
      <c r="A2695" s="66"/>
      <c r="E2695" s="72" t="s">
        <v>2770</v>
      </c>
      <c r="F2695" s="18"/>
      <c r="G2695" s="18"/>
      <c r="H2695" s="18"/>
      <c r="I2695" s="18"/>
      <c r="J2695" s="18"/>
      <c r="K2695" s="18"/>
      <c r="L2695" s="18"/>
      <c r="M2695" s="18"/>
    </row>
    <row r="2696" s="65" customFormat="1" ht="13.5" spans="1:13">
      <c r="A2696" s="66"/>
      <c r="E2696" s="72" t="s">
        <v>2771</v>
      </c>
      <c r="F2696" s="18"/>
      <c r="G2696" s="18"/>
      <c r="H2696" s="18"/>
      <c r="I2696" s="18"/>
      <c r="J2696" s="18"/>
      <c r="K2696" s="18"/>
      <c r="L2696" s="18"/>
      <c r="M2696" s="18"/>
    </row>
    <row r="2697" s="65" customFormat="1" ht="13.5" spans="1:13">
      <c r="A2697" s="66"/>
      <c r="E2697" s="72" t="s">
        <v>2772</v>
      </c>
      <c r="F2697" s="18"/>
      <c r="G2697" s="18"/>
      <c r="H2697" s="18"/>
      <c r="I2697" s="18"/>
      <c r="J2697" s="18"/>
      <c r="K2697" s="18"/>
      <c r="L2697" s="18"/>
      <c r="M2697" s="18"/>
    </row>
    <row r="2698" s="65" customFormat="1" ht="13.5" spans="1:13">
      <c r="A2698" s="66"/>
      <c r="E2698" s="72" t="s">
        <v>2773</v>
      </c>
      <c r="F2698" s="18"/>
      <c r="G2698" s="18"/>
      <c r="H2698" s="18"/>
      <c r="I2698" s="18"/>
      <c r="J2698" s="18"/>
      <c r="K2698" s="18"/>
      <c r="L2698" s="18"/>
      <c r="M2698" s="18"/>
    </row>
    <row r="2699" s="65" customFormat="1" ht="13.5" spans="1:13">
      <c r="A2699" s="66"/>
      <c r="E2699" s="72" t="s">
        <v>2774</v>
      </c>
      <c r="F2699" s="18"/>
      <c r="G2699" s="18"/>
      <c r="H2699" s="18"/>
      <c r="I2699" s="18"/>
      <c r="J2699" s="18"/>
      <c r="K2699" s="18"/>
      <c r="L2699" s="18"/>
      <c r="M2699" s="18"/>
    </row>
    <row r="2700" s="65" customFormat="1" ht="13.5" spans="1:13">
      <c r="A2700" s="66"/>
      <c r="E2700" s="72" t="s">
        <v>2775</v>
      </c>
      <c r="F2700" s="18"/>
      <c r="G2700" s="18"/>
      <c r="H2700" s="18"/>
      <c r="I2700" s="18"/>
      <c r="J2700" s="18"/>
      <c r="K2700" s="18"/>
      <c r="L2700" s="18"/>
      <c r="M2700" s="18"/>
    </row>
    <row r="2701" s="65" customFormat="1" ht="13.5" spans="1:13">
      <c r="A2701" s="66"/>
      <c r="E2701" s="72" t="s">
        <v>2776</v>
      </c>
      <c r="F2701" s="18"/>
      <c r="G2701" s="18"/>
      <c r="H2701" s="18"/>
      <c r="I2701" s="18"/>
      <c r="J2701" s="18"/>
      <c r="K2701" s="18"/>
      <c r="L2701" s="18"/>
      <c r="M2701" s="18"/>
    </row>
    <row r="2702" s="65" customFormat="1" ht="13.5" spans="1:13">
      <c r="A2702" s="66"/>
      <c r="E2702" s="72" t="s">
        <v>2777</v>
      </c>
      <c r="F2702" s="18"/>
      <c r="G2702" s="18"/>
      <c r="H2702" s="18"/>
      <c r="I2702" s="18"/>
      <c r="J2702" s="18"/>
      <c r="K2702" s="18"/>
      <c r="L2702" s="18"/>
      <c r="M2702" s="18"/>
    </row>
    <row r="2703" s="65" customFormat="1" ht="13.5" spans="1:13">
      <c r="A2703" s="66"/>
      <c r="E2703" s="72" t="s">
        <v>2778</v>
      </c>
      <c r="F2703" s="18"/>
      <c r="G2703" s="18"/>
      <c r="H2703" s="18"/>
      <c r="I2703" s="18"/>
      <c r="J2703" s="18"/>
      <c r="K2703" s="18"/>
      <c r="L2703" s="18"/>
      <c r="M2703" s="18"/>
    </row>
    <row r="2704" s="65" customFormat="1" ht="13.5" spans="1:13">
      <c r="A2704" s="66"/>
      <c r="E2704" s="72" t="s">
        <v>2779</v>
      </c>
      <c r="F2704" s="18"/>
      <c r="G2704" s="18"/>
      <c r="H2704" s="18"/>
      <c r="I2704" s="18"/>
      <c r="J2704" s="18"/>
      <c r="K2704" s="18"/>
      <c r="L2704" s="18"/>
      <c r="M2704" s="18"/>
    </row>
    <row r="2705" s="65" customFormat="1" ht="13.5" spans="1:13">
      <c r="A2705" s="66"/>
      <c r="E2705" s="72" t="s">
        <v>2780</v>
      </c>
      <c r="F2705" s="18"/>
      <c r="G2705" s="18"/>
      <c r="H2705" s="18"/>
      <c r="I2705" s="18"/>
      <c r="J2705" s="18"/>
      <c r="K2705" s="18"/>
      <c r="L2705" s="18"/>
      <c r="M2705" s="18"/>
    </row>
    <row r="2706" s="65" customFormat="1" ht="13.5" spans="1:13">
      <c r="A2706" s="66"/>
      <c r="E2706" s="72" t="s">
        <v>2781</v>
      </c>
      <c r="F2706" s="18"/>
      <c r="G2706" s="18"/>
      <c r="H2706" s="18"/>
      <c r="I2706" s="18"/>
      <c r="J2706" s="18"/>
      <c r="K2706" s="18"/>
      <c r="L2706" s="18"/>
      <c r="M2706" s="18"/>
    </row>
    <row r="2707" s="65" customFormat="1" ht="13.5" spans="1:13">
      <c r="A2707" s="66"/>
      <c r="E2707" s="72" t="s">
        <v>2782</v>
      </c>
      <c r="F2707" s="18"/>
      <c r="G2707" s="18"/>
      <c r="H2707" s="18"/>
      <c r="I2707" s="18"/>
      <c r="J2707" s="18"/>
      <c r="K2707" s="18"/>
      <c r="L2707" s="18"/>
      <c r="M2707" s="18"/>
    </row>
    <row r="2708" s="65" customFormat="1" ht="13.5" spans="1:13">
      <c r="A2708" s="66"/>
      <c r="E2708" s="72" t="s">
        <v>2783</v>
      </c>
      <c r="F2708" s="18"/>
      <c r="G2708" s="18"/>
      <c r="H2708" s="18"/>
      <c r="I2708" s="18"/>
      <c r="J2708" s="18"/>
      <c r="K2708" s="18"/>
      <c r="L2708" s="18"/>
      <c r="M2708" s="18"/>
    </row>
    <row r="2709" s="65" customFormat="1" ht="13.5" spans="1:13">
      <c r="A2709" s="66"/>
      <c r="E2709" s="72" t="s">
        <v>2784</v>
      </c>
      <c r="F2709" s="18"/>
      <c r="G2709" s="18"/>
      <c r="H2709" s="18"/>
      <c r="I2709" s="18"/>
      <c r="J2709" s="18"/>
      <c r="K2709" s="18"/>
      <c r="L2709" s="18"/>
      <c r="M2709" s="18"/>
    </row>
    <row r="2710" s="65" customFormat="1" ht="13.5" spans="1:13">
      <c r="A2710" s="66"/>
      <c r="E2710" s="72" t="s">
        <v>2785</v>
      </c>
      <c r="F2710" s="18"/>
      <c r="G2710" s="18"/>
      <c r="H2710" s="18"/>
      <c r="I2710" s="18"/>
      <c r="J2710" s="18"/>
      <c r="K2710" s="18"/>
      <c r="L2710" s="18"/>
      <c r="M2710" s="18"/>
    </row>
    <row r="2711" s="65" customFormat="1" ht="13.5" spans="1:13">
      <c r="A2711" s="66"/>
      <c r="E2711" s="72" t="s">
        <v>2786</v>
      </c>
      <c r="F2711" s="18"/>
      <c r="G2711" s="18"/>
      <c r="H2711" s="18"/>
      <c r="I2711" s="18"/>
      <c r="J2711" s="18"/>
      <c r="K2711" s="18"/>
      <c r="L2711" s="18"/>
      <c r="M2711" s="18"/>
    </row>
    <row r="2712" s="65" customFormat="1" ht="13.5" spans="1:13">
      <c r="A2712" s="66"/>
      <c r="E2712" s="72" t="s">
        <v>2787</v>
      </c>
      <c r="F2712" s="18"/>
      <c r="G2712" s="18"/>
      <c r="H2712" s="18"/>
      <c r="I2712" s="18"/>
      <c r="J2712" s="18"/>
      <c r="K2712" s="18"/>
      <c r="L2712" s="18"/>
      <c r="M2712" s="18"/>
    </row>
    <row r="2713" s="65" customFormat="1" ht="13.5" spans="1:13">
      <c r="A2713" s="66"/>
      <c r="E2713" s="72" t="s">
        <v>2788</v>
      </c>
      <c r="F2713" s="18"/>
      <c r="G2713" s="18"/>
      <c r="H2713" s="18"/>
      <c r="I2713" s="18"/>
      <c r="J2713" s="18"/>
      <c r="K2713" s="18"/>
      <c r="L2713" s="18"/>
      <c r="M2713" s="18"/>
    </row>
    <row r="2714" s="65" customFormat="1" ht="13.5" spans="1:13">
      <c r="A2714" s="66"/>
      <c r="E2714" s="72" t="s">
        <v>2789</v>
      </c>
      <c r="F2714" s="18"/>
      <c r="G2714" s="18"/>
      <c r="H2714" s="18"/>
      <c r="I2714" s="18"/>
      <c r="J2714" s="18"/>
      <c r="K2714" s="18"/>
      <c r="L2714" s="18"/>
      <c r="M2714" s="18"/>
    </row>
    <row r="2715" s="65" customFormat="1" ht="13.5" spans="1:13">
      <c r="A2715" s="66"/>
      <c r="E2715" s="72" t="s">
        <v>2790</v>
      </c>
      <c r="F2715" s="18"/>
      <c r="G2715" s="18"/>
      <c r="H2715" s="18"/>
      <c r="I2715" s="18"/>
      <c r="J2715" s="18"/>
      <c r="K2715" s="18"/>
      <c r="L2715" s="18"/>
      <c r="M2715" s="18"/>
    </row>
    <row r="2716" s="65" customFormat="1" ht="13.5" spans="1:13">
      <c r="A2716" s="66"/>
      <c r="E2716" s="72" t="s">
        <v>2791</v>
      </c>
      <c r="F2716" s="18"/>
      <c r="G2716" s="18"/>
      <c r="H2716" s="18"/>
      <c r="I2716" s="18"/>
      <c r="J2716" s="18"/>
      <c r="K2716" s="18"/>
      <c r="L2716" s="18"/>
      <c r="M2716" s="18"/>
    </row>
    <row r="2717" s="65" customFormat="1" ht="13.5" spans="1:13">
      <c r="A2717" s="66"/>
      <c r="E2717" s="72" t="s">
        <v>2792</v>
      </c>
      <c r="F2717" s="18"/>
      <c r="G2717" s="18"/>
      <c r="H2717" s="18"/>
      <c r="I2717" s="18"/>
      <c r="J2717" s="18"/>
      <c r="K2717" s="18"/>
      <c r="L2717" s="18"/>
      <c r="M2717" s="18"/>
    </row>
    <row r="2718" s="65" customFormat="1" ht="13.5" spans="1:13">
      <c r="A2718" s="66"/>
      <c r="E2718" s="72" t="s">
        <v>2793</v>
      </c>
      <c r="F2718" s="18"/>
      <c r="G2718" s="18"/>
      <c r="H2718" s="18"/>
      <c r="I2718" s="18"/>
      <c r="J2718" s="18"/>
      <c r="K2718" s="18"/>
      <c r="L2718" s="18"/>
      <c r="M2718" s="18"/>
    </row>
    <row r="2719" s="65" customFormat="1" ht="13.5" spans="1:13">
      <c r="A2719" s="66"/>
      <c r="E2719" s="72" t="s">
        <v>2794</v>
      </c>
      <c r="F2719" s="18"/>
      <c r="G2719" s="18"/>
      <c r="H2719" s="18"/>
      <c r="I2719" s="18"/>
      <c r="J2719" s="18"/>
      <c r="K2719" s="18"/>
      <c r="L2719" s="18"/>
      <c r="M2719" s="18"/>
    </row>
    <row r="2720" s="65" customFormat="1" ht="13.5" spans="1:13">
      <c r="A2720" s="66"/>
      <c r="E2720" s="72" t="s">
        <v>2795</v>
      </c>
      <c r="F2720" s="18"/>
      <c r="G2720" s="18"/>
      <c r="H2720" s="18"/>
      <c r="I2720" s="18"/>
      <c r="J2720" s="18"/>
      <c r="K2720" s="18"/>
      <c r="L2720" s="18"/>
      <c r="M2720" s="18"/>
    </row>
    <row r="2721" s="65" customFormat="1" ht="13.5" spans="1:13">
      <c r="A2721" s="66"/>
      <c r="E2721" s="72" t="s">
        <v>2796</v>
      </c>
      <c r="F2721" s="18"/>
      <c r="G2721" s="18"/>
      <c r="H2721" s="18"/>
      <c r="I2721" s="18"/>
      <c r="J2721" s="18"/>
      <c r="K2721" s="18"/>
      <c r="L2721" s="18"/>
      <c r="M2721" s="18"/>
    </row>
    <row r="2722" s="65" customFormat="1" ht="13.5" spans="1:13">
      <c r="A2722" s="66"/>
      <c r="E2722" s="72" t="s">
        <v>2797</v>
      </c>
      <c r="F2722" s="18"/>
      <c r="G2722" s="18"/>
      <c r="H2722" s="18"/>
      <c r="I2722" s="18"/>
      <c r="J2722" s="18"/>
      <c r="K2722" s="18"/>
      <c r="L2722" s="18"/>
      <c r="M2722" s="18"/>
    </row>
    <row r="2723" s="65" customFormat="1" ht="13.5" spans="1:13">
      <c r="A2723" s="66"/>
      <c r="E2723" s="72" t="s">
        <v>2798</v>
      </c>
      <c r="F2723" s="18"/>
      <c r="G2723" s="18"/>
      <c r="H2723" s="18"/>
      <c r="I2723" s="18"/>
      <c r="J2723" s="18"/>
      <c r="K2723" s="18"/>
      <c r="L2723" s="18"/>
      <c r="M2723" s="18"/>
    </row>
    <row r="2724" s="65" customFormat="1" ht="13.5" spans="1:13">
      <c r="A2724" s="66"/>
      <c r="E2724" s="72" t="s">
        <v>2799</v>
      </c>
      <c r="F2724" s="18"/>
      <c r="G2724" s="18"/>
      <c r="H2724" s="18"/>
      <c r="I2724" s="18"/>
      <c r="J2724" s="18"/>
      <c r="K2724" s="18"/>
      <c r="L2724" s="18"/>
      <c r="M2724" s="18"/>
    </row>
    <row r="2725" s="65" customFormat="1" ht="13.5" spans="1:13">
      <c r="A2725" s="66"/>
      <c r="E2725" s="72" t="s">
        <v>2800</v>
      </c>
      <c r="F2725" s="18"/>
      <c r="G2725" s="18"/>
      <c r="H2725" s="18"/>
      <c r="I2725" s="18"/>
      <c r="J2725" s="18"/>
      <c r="K2725" s="18"/>
      <c r="L2725" s="18"/>
      <c r="M2725" s="18"/>
    </row>
    <row r="2726" s="65" customFormat="1" ht="13.5" spans="1:13">
      <c r="A2726" s="66"/>
      <c r="E2726" s="72" t="s">
        <v>2801</v>
      </c>
      <c r="F2726" s="18"/>
      <c r="G2726" s="18"/>
      <c r="H2726" s="18"/>
      <c r="I2726" s="18"/>
      <c r="J2726" s="18"/>
      <c r="K2726" s="18"/>
      <c r="L2726" s="18"/>
      <c r="M2726" s="18"/>
    </row>
    <row r="2727" s="65" customFormat="1" ht="13.5" spans="1:13">
      <c r="A2727" s="66"/>
      <c r="E2727" s="72" t="s">
        <v>2802</v>
      </c>
      <c r="F2727" s="18"/>
      <c r="G2727" s="18"/>
      <c r="H2727" s="18"/>
      <c r="I2727" s="18"/>
      <c r="J2727" s="18"/>
      <c r="K2727" s="18"/>
      <c r="L2727" s="18"/>
      <c r="M2727" s="18"/>
    </row>
    <row r="2728" s="65" customFormat="1" ht="13.5" spans="1:13">
      <c r="A2728" s="66"/>
      <c r="E2728" s="72" t="s">
        <v>2803</v>
      </c>
      <c r="F2728" s="18"/>
      <c r="G2728" s="18"/>
      <c r="H2728" s="18"/>
      <c r="I2728" s="18"/>
      <c r="J2728" s="18"/>
      <c r="K2728" s="18"/>
      <c r="L2728" s="18"/>
      <c r="M2728" s="18"/>
    </row>
    <row r="2729" s="65" customFormat="1" ht="13.5" spans="1:13">
      <c r="A2729" s="66"/>
      <c r="E2729" s="72" t="s">
        <v>2804</v>
      </c>
      <c r="F2729" s="18"/>
      <c r="G2729" s="18"/>
      <c r="H2729" s="18"/>
      <c r="I2729" s="18"/>
      <c r="J2729" s="18"/>
      <c r="K2729" s="18"/>
      <c r="L2729" s="18"/>
      <c r="M2729" s="18"/>
    </row>
    <row r="2730" s="65" customFormat="1" ht="13.5" spans="1:13">
      <c r="A2730" s="66"/>
      <c r="E2730" s="72" t="s">
        <v>2805</v>
      </c>
      <c r="F2730" s="18"/>
      <c r="G2730" s="18"/>
      <c r="H2730" s="18"/>
      <c r="I2730" s="18"/>
      <c r="J2730" s="18"/>
      <c r="K2730" s="18"/>
      <c r="L2730" s="18"/>
      <c r="M2730" s="18"/>
    </row>
    <row r="2731" s="65" customFormat="1" ht="13.5" spans="1:13">
      <c r="A2731" s="66"/>
      <c r="E2731" s="72" t="s">
        <v>2806</v>
      </c>
      <c r="F2731" s="18"/>
      <c r="G2731" s="18"/>
      <c r="H2731" s="18"/>
      <c r="I2731" s="18"/>
      <c r="J2731" s="18"/>
      <c r="K2731" s="18"/>
      <c r="L2731" s="18"/>
      <c r="M2731" s="18"/>
    </row>
    <row r="2732" s="65" customFormat="1" ht="13.5" spans="1:13">
      <c r="A2732" s="66"/>
      <c r="E2732" s="72" t="s">
        <v>2807</v>
      </c>
      <c r="F2732" s="18"/>
      <c r="G2732" s="18"/>
      <c r="H2732" s="18"/>
      <c r="I2732" s="18"/>
      <c r="J2732" s="18"/>
      <c r="K2732" s="18"/>
      <c r="L2732" s="18"/>
      <c r="M2732" s="18"/>
    </row>
    <row r="2733" s="65" customFormat="1" ht="13.5" spans="1:13">
      <c r="A2733" s="66"/>
      <c r="E2733" s="72" t="s">
        <v>2808</v>
      </c>
      <c r="F2733" s="18"/>
      <c r="G2733" s="18"/>
      <c r="H2733" s="18"/>
      <c r="I2733" s="18"/>
      <c r="J2733" s="18"/>
      <c r="K2733" s="18"/>
      <c r="L2733" s="18"/>
      <c r="M2733" s="18"/>
    </row>
    <row r="2734" s="65" customFormat="1" ht="13.5" spans="1:13">
      <c r="A2734" s="66"/>
      <c r="E2734" s="72" t="s">
        <v>2809</v>
      </c>
      <c r="F2734" s="18"/>
      <c r="G2734" s="18"/>
      <c r="H2734" s="18"/>
      <c r="I2734" s="18"/>
      <c r="J2734" s="18"/>
      <c r="K2734" s="18"/>
      <c r="L2734" s="18"/>
      <c r="M2734" s="18"/>
    </row>
    <row r="2735" s="65" customFormat="1" ht="13.5" spans="1:13">
      <c r="A2735" s="66"/>
      <c r="E2735" s="72" t="s">
        <v>2810</v>
      </c>
      <c r="F2735" s="18"/>
      <c r="G2735" s="18"/>
      <c r="H2735" s="18"/>
      <c r="I2735" s="18"/>
      <c r="J2735" s="18"/>
      <c r="K2735" s="18"/>
      <c r="L2735" s="18"/>
      <c r="M2735" s="18"/>
    </row>
    <row r="2736" s="65" customFormat="1" ht="13.5" spans="1:13">
      <c r="A2736" s="66"/>
      <c r="E2736" s="72" t="s">
        <v>2811</v>
      </c>
      <c r="F2736" s="18"/>
      <c r="G2736" s="18"/>
      <c r="H2736" s="18"/>
      <c r="I2736" s="18"/>
      <c r="J2736" s="18"/>
      <c r="K2736" s="18"/>
      <c r="L2736" s="18"/>
      <c r="M2736" s="18"/>
    </row>
    <row r="2737" s="65" customFormat="1" ht="13.5" spans="1:13">
      <c r="A2737" s="66"/>
      <c r="E2737" s="72" t="s">
        <v>2812</v>
      </c>
      <c r="F2737" s="18"/>
      <c r="G2737" s="18"/>
      <c r="H2737" s="18"/>
      <c r="I2737" s="18"/>
      <c r="J2737" s="18"/>
      <c r="K2737" s="18"/>
      <c r="L2737" s="18"/>
      <c r="M2737" s="18"/>
    </row>
    <row r="2738" s="65" customFormat="1" ht="13.5" spans="1:13">
      <c r="A2738" s="66"/>
      <c r="E2738" s="72" t="s">
        <v>2813</v>
      </c>
      <c r="F2738" s="18"/>
      <c r="G2738" s="18"/>
      <c r="H2738" s="18"/>
      <c r="I2738" s="18"/>
      <c r="J2738" s="18"/>
      <c r="K2738" s="18"/>
      <c r="L2738" s="18"/>
      <c r="M2738" s="18"/>
    </row>
    <row r="2739" s="65" customFormat="1" ht="13.5" spans="1:13">
      <c r="A2739" s="66"/>
      <c r="E2739" s="72" t="s">
        <v>2814</v>
      </c>
      <c r="F2739" s="18"/>
      <c r="G2739" s="18"/>
      <c r="H2739" s="18"/>
      <c r="I2739" s="18"/>
      <c r="J2739" s="18"/>
      <c r="K2739" s="18"/>
      <c r="L2739" s="18"/>
      <c r="M2739" s="18"/>
    </row>
    <row r="2740" s="65" customFormat="1" ht="13.5" spans="1:13">
      <c r="A2740" s="66"/>
      <c r="E2740" s="72" t="s">
        <v>2815</v>
      </c>
      <c r="F2740" s="18"/>
      <c r="G2740" s="18"/>
      <c r="H2740" s="18"/>
      <c r="I2740" s="18"/>
      <c r="J2740" s="18"/>
      <c r="K2740" s="18"/>
      <c r="L2740" s="18"/>
      <c r="M2740" s="18"/>
    </row>
    <row r="2741" s="65" customFormat="1" ht="13.5" spans="1:13">
      <c r="A2741" s="66"/>
      <c r="E2741" s="72" t="s">
        <v>2816</v>
      </c>
      <c r="F2741" s="18"/>
      <c r="G2741" s="18"/>
      <c r="H2741" s="18"/>
      <c r="I2741" s="18"/>
      <c r="J2741" s="18"/>
      <c r="K2741" s="18"/>
      <c r="L2741" s="18"/>
      <c r="M2741" s="18"/>
    </row>
    <row r="2742" s="65" customFormat="1" ht="13.5" spans="1:13">
      <c r="A2742" s="66"/>
      <c r="E2742" s="72" t="s">
        <v>2817</v>
      </c>
      <c r="F2742" s="18"/>
      <c r="G2742" s="18"/>
      <c r="H2742" s="18"/>
      <c r="I2742" s="18"/>
      <c r="J2742" s="18"/>
      <c r="K2742" s="18"/>
      <c r="L2742" s="18"/>
      <c r="M2742" s="18"/>
    </row>
    <row r="2743" s="65" customFormat="1" ht="13.5" spans="1:13">
      <c r="A2743" s="66"/>
      <c r="E2743" s="72" t="s">
        <v>2818</v>
      </c>
      <c r="F2743" s="18"/>
      <c r="G2743" s="18"/>
      <c r="H2743" s="18"/>
      <c r="I2743" s="18"/>
      <c r="J2743" s="18"/>
      <c r="K2743" s="18"/>
      <c r="L2743" s="18"/>
      <c r="M2743" s="18"/>
    </row>
    <row r="2744" s="65" customFormat="1" ht="13.5" spans="1:13">
      <c r="A2744" s="66"/>
      <c r="E2744" s="72" t="s">
        <v>2819</v>
      </c>
      <c r="F2744" s="18"/>
      <c r="G2744" s="18"/>
      <c r="H2744" s="18"/>
      <c r="I2744" s="18"/>
      <c r="J2744" s="18"/>
      <c r="K2744" s="18"/>
      <c r="L2744" s="18"/>
      <c r="M2744" s="18"/>
    </row>
    <row r="2745" s="65" customFormat="1" ht="13.5" spans="1:13">
      <c r="A2745" s="66"/>
      <c r="E2745" s="72" t="s">
        <v>2820</v>
      </c>
      <c r="F2745" s="18"/>
      <c r="G2745" s="18"/>
      <c r="H2745" s="18"/>
      <c r="I2745" s="18"/>
      <c r="J2745" s="18"/>
      <c r="K2745" s="18"/>
      <c r="L2745" s="18"/>
      <c r="M2745" s="18"/>
    </row>
    <row r="2746" s="65" customFormat="1" ht="13.5" spans="1:13">
      <c r="A2746" s="66"/>
      <c r="E2746" s="72" t="s">
        <v>2821</v>
      </c>
      <c r="F2746" s="18"/>
      <c r="G2746" s="18"/>
      <c r="H2746" s="18"/>
      <c r="I2746" s="18"/>
      <c r="J2746" s="18"/>
      <c r="K2746" s="18"/>
      <c r="L2746" s="18"/>
      <c r="M2746" s="18"/>
    </row>
    <row r="2747" s="65" customFormat="1" ht="13.5" spans="1:13">
      <c r="A2747" s="66"/>
      <c r="E2747" s="72" t="s">
        <v>2822</v>
      </c>
      <c r="F2747" s="18"/>
      <c r="G2747" s="18"/>
      <c r="H2747" s="18"/>
      <c r="I2747" s="18"/>
      <c r="J2747" s="18"/>
      <c r="K2747" s="18"/>
      <c r="L2747" s="18"/>
      <c r="M2747" s="18"/>
    </row>
    <row r="2748" s="65" customFormat="1" ht="13.5" spans="1:13">
      <c r="A2748" s="66"/>
      <c r="E2748" s="72" t="s">
        <v>2823</v>
      </c>
      <c r="F2748" s="18"/>
      <c r="G2748" s="18"/>
      <c r="H2748" s="18"/>
      <c r="I2748" s="18"/>
      <c r="J2748" s="18"/>
      <c r="K2748" s="18"/>
      <c r="L2748" s="18"/>
      <c r="M2748" s="18"/>
    </row>
    <row r="2749" s="65" customFormat="1" ht="13.5" spans="1:13">
      <c r="A2749" s="66"/>
      <c r="E2749" s="72" t="s">
        <v>2824</v>
      </c>
      <c r="F2749" s="18"/>
      <c r="G2749" s="18"/>
      <c r="H2749" s="18"/>
      <c r="I2749" s="18"/>
      <c r="J2749" s="18"/>
      <c r="K2749" s="18"/>
      <c r="L2749" s="18"/>
      <c r="M2749" s="18"/>
    </row>
    <row r="2750" s="65" customFormat="1" ht="13.5" spans="1:13">
      <c r="A2750" s="66"/>
      <c r="E2750" s="72" t="s">
        <v>2825</v>
      </c>
      <c r="F2750" s="18"/>
      <c r="G2750" s="18"/>
      <c r="H2750" s="18"/>
      <c r="I2750" s="18"/>
      <c r="J2750" s="18"/>
      <c r="K2750" s="18"/>
      <c r="L2750" s="18"/>
      <c r="M2750" s="18"/>
    </row>
    <row r="2751" s="65" customFormat="1" ht="13.5" spans="1:13">
      <c r="A2751" s="66"/>
      <c r="E2751" s="72" t="s">
        <v>2826</v>
      </c>
      <c r="F2751" s="18"/>
      <c r="G2751" s="18"/>
      <c r="H2751" s="18"/>
      <c r="I2751" s="18"/>
      <c r="J2751" s="18"/>
      <c r="K2751" s="18"/>
      <c r="L2751" s="18"/>
      <c r="M2751" s="18"/>
    </row>
    <row r="2752" s="65" customFormat="1" ht="13.5" spans="1:13">
      <c r="A2752" s="66"/>
      <c r="E2752" s="72" t="s">
        <v>2827</v>
      </c>
      <c r="F2752" s="18"/>
      <c r="G2752" s="18"/>
      <c r="H2752" s="18"/>
      <c r="I2752" s="18"/>
      <c r="J2752" s="18"/>
      <c r="K2752" s="18"/>
      <c r="L2752" s="18"/>
      <c r="M2752" s="18"/>
    </row>
    <row r="2753" s="65" customFormat="1" ht="13.5" spans="1:13">
      <c r="A2753" s="66"/>
      <c r="E2753" s="72" t="s">
        <v>2828</v>
      </c>
      <c r="F2753" s="18"/>
      <c r="G2753" s="18"/>
      <c r="H2753" s="18"/>
      <c r="I2753" s="18"/>
      <c r="J2753" s="18"/>
      <c r="K2753" s="18"/>
      <c r="L2753" s="18"/>
      <c r="M2753" s="18"/>
    </row>
    <row r="2754" s="65" customFormat="1" ht="13.5" spans="1:13">
      <c r="A2754" s="66"/>
      <c r="E2754" s="72" t="s">
        <v>2829</v>
      </c>
      <c r="F2754" s="18"/>
      <c r="G2754" s="18"/>
      <c r="H2754" s="18"/>
      <c r="I2754" s="18"/>
      <c r="J2754" s="18"/>
      <c r="K2754" s="18"/>
      <c r="L2754" s="18"/>
      <c r="M2754" s="18"/>
    </row>
    <row r="2755" s="65" customFormat="1" ht="13.5" spans="1:13">
      <c r="A2755" s="66"/>
      <c r="E2755" s="72" t="s">
        <v>2830</v>
      </c>
      <c r="F2755" s="18"/>
      <c r="G2755" s="18"/>
      <c r="H2755" s="18"/>
      <c r="I2755" s="18"/>
      <c r="J2755" s="18"/>
      <c r="K2755" s="18"/>
      <c r="L2755" s="18"/>
      <c r="M2755" s="18"/>
    </row>
    <row r="2756" s="65" customFormat="1" ht="13.5" spans="1:13">
      <c r="A2756" s="66"/>
      <c r="E2756" s="72" t="s">
        <v>2831</v>
      </c>
      <c r="F2756" s="18"/>
      <c r="G2756" s="18"/>
      <c r="H2756" s="18"/>
      <c r="I2756" s="18"/>
      <c r="J2756" s="18"/>
      <c r="K2756" s="18"/>
      <c r="L2756" s="18"/>
      <c r="M2756" s="18"/>
    </row>
    <row r="2757" s="65" customFormat="1" ht="13.5" spans="1:13">
      <c r="A2757" s="66"/>
      <c r="E2757" s="72" t="s">
        <v>2832</v>
      </c>
      <c r="F2757" s="18"/>
      <c r="G2757" s="18"/>
      <c r="H2757" s="18"/>
      <c r="I2757" s="18"/>
      <c r="J2757" s="18"/>
      <c r="K2757" s="18"/>
      <c r="L2757" s="18"/>
      <c r="M2757" s="18"/>
    </row>
    <row r="2758" s="65" customFormat="1" ht="13.5" spans="1:13">
      <c r="A2758" s="66"/>
      <c r="E2758" s="72" t="s">
        <v>2833</v>
      </c>
      <c r="F2758" s="18"/>
      <c r="G2758" s="18"/>
      <c r="H2758" s="18"/>
      <c r="I2758" s="18"/>
      <c r="J2758" s="18"/>
      <c r="K2758" s="18"/>
      <c r="L2758" s="18"/>
      <c r="M2758" s="18"/>
    </row>
    <row r="2759" s="65" customFormat="1" ht="13.5" spans="1:13">
      <c r="A2759" s="66"/>
      <c r="E2759" s="72" t="s">
        <v>2834</v>
      </c>
      <c r="F2759" s="18"/>
      <c r="G2759" s="18"/>
      <c r="H2759" s="18"/>
      <c r="I2759" s="18"/>
      <c r="J2759" s="18"/>
      <c r="K2759" s="18"/>
      <c r="L2759" s="18"/>
      <c r="M2759" s="18"/>
    </row>
    <row r="2760" s="65" customFormat="1" ht="13.5" spans="1:13">
      <c r="A2760" s="66"/>
      <c r="E2760" s="72" t="s">
        <v>2835</v>
      </c>
      <c r="F2760" s="18"/>
      <c r="G2760" s="18"/>
      <c r="H2760" s="18"/>
      <c r="I2760" s="18"/>
      <c r="J2760" s="18"/>
      <c r="K2760" s="18"/>
      <c r="L2760" s="18"/>
      <c r="M2760" s="18"/>
    </row>
    <row r="2761" s="65" customFormat="1" ht="13.5" spans="1:13">
      <c r="A2761" s="66"/>
      <c r="E2761" s="72" t="s">
        <v>2836</v>
      </c>
      <c r="F2761" s="18"/>
      <c r="G2761" s="18"/>
      <c r="H2761" s="18"/>
      <c r="I2761" s="18"/>
      <c r="J2761" s="18"/>
      <c r="K2761" s="18"/>
      <c r="L2761" s="18"/>
      <c r="M2761" s="18"/>
    </row>
    <row r="2762" s="65" customFormat="1" ht="13.5" spans="1:13">
      <c r="A2762" s="66"/>
      <c r="E2762" s="72" t="s">
        <v>2837</v>
      </c>
      <c r="F2762" s="18"/>
      <c r="G2762" s="18"/>
      <c r="H2762" s="18"/>
      <c r="I2762" s="18"/>
      <c r="J2762" s="18"/>
      <c r="K2762" s="18"/>
      <c r="L2762" s="18"/>
      <c r="M2762" s="18"/>
    </row>
    <row r="2763" s="65" customFormat="1" ht="13.5" spans="1:13">
      <c r="A2763" s="66"/>
      <c r="E2763" s="72" t="s">
        <v>2838</v>
      </c>
      <c r="F2763" s="18"/>
      <c r="G2763" s="18"/>
      <c r="H2763" s="18"/>
      <c r="I2763" s="18"/>
      <c r="J2763" s="18"/>
      <c r="K2763" s="18"/>
      <c r="L2763" s="18"/>
      <c r="M2763" s="18"/>
    </row>
    <row r="2764" s="65" customFormat="1" ht="13.5" spans="1:13">
      <c r="A2764" s="66"/>
      <c r="E2764" s="72" t="s">
        <v>2839</v>
      </c>
      <c r="F2764" s="18"/>
      <c r="G2764" s="18"/>
      <c r="H2764" s="18"/>
      <c r="I2764" s="18"/>
      <c r="J2764" s="18"/>
      <c r="K2764" s="18"/>
      <c r="L2764" s="18"/>
      <c r="M2764" s="18"/>
    </row>
    <row r="2765" s="65" customFormat="1" ht="13.5" spans="1:13">
      <c r="A2765" s="66"/>
      <c r="E2765" s="72" t="s">
        <v>2840</v>
      </c>
      <c r="F2765" s="18"/>
      <c r="G2765" s="18"/>
      <c r="H2765" s="18"/>
      <c r="I2765" s="18"/>
      <c r="J2765" s="18"/>
      <c r="K2765" s="18"/>
      <c r="L2765" s="18"/>
      <c r="M2765" s="18"/>
    </row>
    <row r="2766" s="65" customFormat="1" ht="13.5" spans="1:13">
      <c r="A2766" s="66"/>
      <c r="E2766" s="72" t="s">
        <v>2841</v>
      </c>
      <c r="F2766" s="18"/>
      <c r="G2766" s="18"/>
      <c r="H2766" s="18"/>
      <c r="I2766" s="18"/>
      <c r="J2766" s="18"/>
      <c r="K2766" s="18"/>
      <c r="L2766" s="18"/>
      <c r="M2766" s="18"/>
    </row>
    <row r="2767" s="65" customFormat="1" ht="13.5" spans="1:13">
      <c r="A2767" s="66"/>
      <c r="E2767" s="72" t="s">
        <v>2842</v>
      </c>
      <c r="F2767" s="18"/>
      <c r="G2767" s="18"/>
      <c r="H2767" s="18"/>
      <c r="I2767" s="18"/>
      <c r="J2767" s="18"/>
      <c r="K2767" s="18"/>
      <c r="L2767" s="18"/>
      <c r="M2767" s="18"/>
    </row>
    <row r="2768" s="65" customFormat="1" ht="13.5" spans="1:13">
      <c r="A2768" s="66"/>
      <c r="E2768" s="72" t="s">
        <v>2843</v>
      </c>
      <c r="F2768" s="18"/>
      <c r="G2768" s="18"/>
      <c r="H2768" s="18"/>
      <c r="I2768" s="18"/>
      <c r="J2768" s="18"/>
      <c r="K2768" s="18"/>
      <c r="L2768" s="18"/>
      <c r="M2768" s="18"/>
    </row>
    <row r="2769" s="65" customFormat="1" ht="13.5" spans="1:13">
      <c r="A2769" s="66"/>
      <c r="E2769" s="72" t="s">
        <v>2844</v>
      </c>
      <c r="F2769" s="18"/>
      <c r="G2769" s="18"/>
      <c r="H2769" s="18"/>
      <c r="I2769" s="18"/>
      <c r="J2769" s="18"/>
      <c r="K2769" s="18"/>
      <c r="L2769" s="18"/>
      <c r="M2769" s="18"/>
    </row>
    <row r="2770" s="65" customFormat="1" ht="13.5" spans="1:13">
      <c r="A2770" s="66"/>
      <c r="E2770" s="72" t="s">
        <v>2845</v>
      </c>
      <c r="F2770" s="18"/>
      <c r="G2770" s="18"/>
      <c r="H2770" s="18"/>
      <c r="I2770" s="18"/>
      <c r="J2770" s="18"/>
      <c r="K2770" s="18"/>
      <c r="L2770" s="18"/>
      <c r="M2770" s="18"/>
    </row>
    <row r="2771" s="65" customFormat="1" ht="13.5" spans="1:13">
      <c r="A2771" s="66"/>
      <c r="E2771" s="72" t="s">
        <v>2846</v>
      </c>
      <c r="F2771" s="18"/>
      <c r="G2771" s="18"/>
      <c r="H2771" s="18"/>
      <c r="I2771" s="18"/>
      <c r="J2771" s="18"/>
      <c r="K2771" s="18"/>
      <c r="L2771" s="18"/>
      <c r="M2771" s="18"/>
    </row>
    <row r="2772" s="65" customFormat="1" ht="13.5" spans="1:13">
      <c r="A2772" s="66"/>
      <c r="E2772" s="72" t="s">
        <v>2847</v>
      </c>
      <c r="F2772" s="18"/>
      <c r="G2772" s="18"/>
      <c r="H2772" s="18"/>
      <c r="I2772" s="18"/>
      <c r="J2772" s="18"/>
      <c r="K2772" s="18"/>
      <c r="L2772" s="18"/>
      <c r="M2772" s="18"/>
    </row>
    <row r="2773" s="65" customFormat="1" ht="13.5" spans="1:13">
      <c r="A2773" s="66"/>
      <c r="E2773" s="72" t="s">
        <v>2848</v>
      </c>
      <c r="F2773" s="18"/>
      <c r="G2773" s="18"/>
      <c r="H2773" s="18"/>
      <c r="I2773" s="18"/>
      <c r="J2773" s="18"/>
      <c r="K2773" s="18"/>
      <c r="L2773" s="18"/>
      <c r="M2773" s="18"/>
    </row>
    <row r="2774" s="65" customFormat="1" ht="13.5" spans="1:13">
      <c r="A2774" s="66"/>
      <c r="E2774" s="72" t="s">
        <v>2849</v>
      </c>
      <c r="F2774" s="18"/>
      <c r="G2774" s="18"/>
      <c r="H2774" s="18"/>
      <c r="I2774" s="18"/>
      <c r="J2774" s="18"/>
      <c r="K2774" s="18"/>
      <c r="L2774" s="18"/>
      <c r="M2774" s="18"/>
    </row>
    <row r="2775" s="65" customFormat="1" ht="13.5" spans="1:13">
      <c r="A2775" s="66"/>
      <c r="E2775" s="72" t="s">
        <v>2850</v>
      </c>
      <c r="F2775" s="18"/>
      <c r="G2775" s="18"/>
      <c r="H2775" s="18"/>
      <c r="I2775" s="18"/>
      <c r="J2775" s="18"/>
      <c r="K2775" s="18"/>
      <c r="L2775" s="18"/>
      <c r="M2775" s="18"/>
    </row>
    <row r="2776" s="65" customFormat="1" ht="13.5" spans="1:13">
      <c r="A2776" s="66"/>
      <c r="E2776" s="72" t="s">
        <v>2851</v>
      </c>
      <c r="F2776" s="18"/>
      <c r="G2776" s="18"/>
      <c r="H2776" s="18"/>
      <c r="I2776" s="18"/>
      <c r="J2776" s="18"/>
      <c r="K2776" s="18"/>
      <c r="L2776" s="18"/>
      <c r="M2776" s="18"/>
    </row>
    <row r="2777" s="65" customFormat="1" ht="13.5" spans="1:13">
      <c r="A2777" s="66"/>
      <c r="E2777" s="72" t="s">
        <v>2852</v>
      </c>
      <c r="F2777" s="18"/>
      <c r="G2777" s="18"/>
      <c r="H2777" s="18"/>
      <c r="I2777" s="18"/>
      <c r="J2777" s="18"/>
      <c r="K2777" s="18"/>
      <c r="L2777" s="18"/>
      <c r="M2777" s="18"/>
    </row>
    <row r="2778" s="65" customFormat="1" ht="13.5" spans="1:13">
      <c r="A2778" s="66"/>
      <c r="E2778" s="72" t="s">
        <v>2853</v>
      </c>
      <c r="F2778" s="18"/>
      <c r="G2778" s="18"/>
      <c r="H2778" s="18"/>
      <c r="I2778" s="18"/>
      <c r="J2778" s="18"/>
      <c r="K2778" s="18"/>
      <c r="L2778" s="18"/>
      <c r="M2778" s="18"/>
    </row>
    <row r="2779" s="65" customFormat="1" ht="13.5" spans="1:13">
      <c r="A2779" s="66"/>
      <c r="E2779" s="72" t="s">
        <v>2854</v>
      </c>
      <c r="F2779" s="18"/>
      <c r="G2779" s="18"/>
      <c r="H2779" s="18"/>
      <c r="I2779" s="18"/>
      <c r="J2779" s="18"/>
      <c r="K2779" s="18"/>
      <c r="L2779" s="18"/>
      <c r="M2779" s="18"/>
    </row>
    <row r="2780" s="65" customFormat="1" ht="13.5" spans="1:13">
      <c r="A2780" s="66"/>
      <c r="E2780" s="72" t="s">
        <v>2855</v>
      </c>
      <c r="F2780" s="18"/>
      <c r="G2780" s="18"/>
      <c r="H2780" s="18"/>
      <c r="I2780" s="18"/>
      <c r="J2780" s="18"/>
      <c r="K2780" s="18"/>
      <c r="L2780" s="18"/>
      <c r="M2780" s="18"/>
    </row>
    <row r="2781" s="65" customFormat="1" ht="13.5" spans="1:13">
      <c r="A2781" s="66"/>
      <c r="E2781" s="72" t="s">
        <v>2856</v>
      </c>
      <c r="F2781" s="18"/>
      <c r="G2781" s="18"/>
      <c r="H2781" s="18"/>
      <c r="I2781" s="18"/>
      <c r="J2781" s="18"/>
      <c r="K2781" s="18"/>
      <c r="L2781" s="18"/>
      <c r="M2781" s="18"/>
    </row>
    <row r="2782" s="65" customFormat="1" ht="13.5" spans="1:13">
      <c r="A2782" s="66"/>
      <c r="E2782" s="72" t="s">
        <v>2857</v>
      </c>
      <c r="F2782" s="18"/>
      <c r="G2782" s="18"/>
      <c r="H2782" s="18"/>
      <c r="I2782" s="18"/>
      <c r="J2782" s="18"/>
      <c r="K2782" s="18"/>
      <c r="L2782" s="18"/>
      <c r="M2782" s="18"/>
    </row>
    <row r="2783" s="65" customFormat="1" ht="13.5" spans="1:13">
      <c r="A2783" s="66"/>
      <c r="E2783" s="72" t="s">
        <v>2858</v>
      </c>
      <c r="F2783" s="18"/>
      <c r="G2783" s="18"/>
      <c r="H2783" s="18"/>
      <c r="I2783" s="18"/>
      <c r="J2783" s="18"/>
      <c r="K2783" s="18"/>
      <c r="L2783" s="18"/>
      <c r="M2783" s="18"/>
    </row>
    <row r="2784" s="65" customFormat="1" ht="13.5" spans="1:13">
      <c r="A2784" s="66"/>
      <c r="E2784" s="72" t="s">
        <v>2859</v>
      </c>
      <c r="F2784" s="18"/>
      <c r="G2784" s="18"/>
      <c r="H2784" s="18"/>
      <c r="I2784" s="18"/>
      <c r="J2784" s="18"/>
      <c r="K2784" s="18"/>
      <c r="L2784" s="18"/>
      <c r="M2784" s="18"/>
    </row>
    <row r="2785" s="65" customFormat="1" ht="13.5" spans="1:13">
      <c r="A2785" s="66"/>
      <c r="E2785" s="72" t="s">
        <v>2860</v>
      </c>
      <c r="F2785" s="18"/>
      <c r="G2785" s="18"/>
      <c r="H2785" s="18"/>
      <c r="I2785" s="18"/>
      <c r="J2785" s="18"/>
      <c r="K2785" s="18"/>
      <c r="L2785" s="18"/>
      <c r="M2785" s="18"/>
    </row>
    <row r="2786" s="65" customFormat="1" ht="13.5" spans="1:13">
      <c r="A2786" s="66"/>
      <c r="E2786" s="72" t="s">
        <v>2861</v>
      </c>
      <c r="F2786" s="18"/>
      <c r="G2786" s="18"/>
      <c r="H2786" s="18"/>
      <c r="I2786" s="18"/>
      <c r="J2786" s="18"/>
      <c r="K2786" s="18"/>
      <c r="L2786" s="18"/>
      <c r="M2786" s="18"/>
    </row>
    <row r="2787" s="65" customFormat="1" ht="13.5" spans="1:13">
      <c r="A2787" s="66"/>
      <c r="E2787" s="72" t="s">
        <v>2862</v>
      </c>
      <c r="F2787" s="18"/>
      <c r="G2787" s="18"/>
      <c r="H2787" s="18"/>
      <c r="I2787" s="18"/>
      <c r="J2787" s="18"/>
      <c r="K2787" s="18"/>
      <c r="L2787" s="18"/>
      <c r="M2787" s="18"/>
    </row>
    <row r="2788" s="65" customFormat="1" ht="13.5" spans="1:13">
      <c r="A2788" s="66"/>
      <c r="E2788" s="72" t="s">
        <v>2863</v>
      </c>
      <c r="F2788" s="18"/>
      <c r="G2788" s="18"/>
      <c r="H2788" s="18"/>
      <c r="I2788" s="18"/>
      <c r="J2788" s="18"/>
      <c r="K2788" s="18"/>
      <c r="L2788" s="18"/>
      <c r="M2788" s="18"/>
    </row>
    <row r="2789" s="65" customFormat="1" ht="13.5" spans="1:13">
      <c r="A2789" s="66"/>
      <c r="E2789" s="72" t="s">
        <v>2864</v>
      </c>
      <c r="F2789" s="18"/>
      <c r="G2789" s="18"/>
      <c r="H2789" s="18"/>
      <c r="I2789" s="18"/>
      <c r="J2789" s="18"/>
      <c r="K2789" s="18"/>
      <c r="L2789" s="18"/>
      <c r="M2789" s="18"/>
    </row>
    <row r="2790" s="65" customFormat="1" ht="13.5" spans="1:13">
      <c r="A2790" s="66"/>
      <c r="E2790" s="72" t="s">
        <v>2865</v>
      </c>
      <c r="F2790" s="18"/>
      <c r="G2790" s="18"/>
      <c r="H2790" s="18"/>
      <c r="I2790" s="18"/>
      <c r="J2790" s="18"/>
      <c r="K2790" s="18"/>
      <c r="L2790" s="18"/>
      <c r="M2790" s="18"/>
    </row>
    <row r="2791" s="65" customFormat="1" ht="13.5" spans="1:13">
      <c r="A2791" s="66"/>
      <c r="E2791" s="72" t="s">
        <v>2866</v>
      </c>
      <c r="F2791" s="18"/>
      <c r="G2791" s="18"/>
      <c r="H2791" s="18"/>
      <c r="I2791" s="18"/>
      <c r="J2791" s="18"/>
      <c r="K2791" s="18"/>
      <c r="L2791" s="18"/>
      <c r="M2791" s="18"/>
    </row>
    <row r="2792" s="65" customFormat="1" ht="13.5" spans="1:13">
      <c r="A2792" s="66"/>
      <c r="E2792" s="72" t="s">
        <v>2867</v>
      </c>
      <c r="F2792" s="18"/>
      <c r="G2792" s="18"/>
      <c r="H2792" s="18"/>
      <c r="I2792" s="18"/>
      <c r="J2792" s="18"/>
      <c r="K2792" s="18"/>
      <c r="L2792" s="18"/>
      <c r="M2792" s="18"/>
    </row>
    <row r="2793" s="65" customFormat="1" ht="13.5" spans="1:13">
      <c r="A2793" s="66"/>
      <c r="E2793" s="72" t="s">
        <v>2868</v>
      </c>
      <c r="F2793" s="18"/>
      <c r="G2793" s="18"/>
      <c r="H2793" s="18"/>
      <c r="I2793" s="18"/>
      <c r="J2793" s="18"/>
      <c r="K2793" s="18"/>
      <c r="L2793" s="18"/>
      <c r="M2793" s="18"/>
    </row>
    <row r="2794" s="65" customFormat="1" ht="13.5" spans="1:13">
      <c r="A2794" s="66"/>
      <c r="E2794" s="72" t="s">
        <v>2869</v>
      </c>
      <c r="F2794" s="18"/>
      <c r="G2794" s="18"/>
      <c r="H2794" s="18"/>
      <c r="I2794" s="18"/>
      <c r="J2794" s="18"/>
      <c r="K2794" s="18"/>
      <c r="L2794" s="18"/>
      <c r="M2794" s="18"/>
    </row>
    <row r="2795" s="65" customFormat="1" ht="13.5" spans="1:13">
      <c r="A2795" s="66"/>
      <c r="E2795" s="72" t="s">
        <v>2870</v>
      </c>
      <c r="F2795" s="18"/>
      <c r="G2795" s="18"/>
      <c r="H2795" s="18"/>
      <c r="I2795" s="18"/>
      <c r="J2795" s="18"/>
      <c r="K2795" s="18"/>
      <c r="L2795" s="18"/>
      <c r="M2795" s="18"/>
    </row>
    <row r="2796" s="65" customFormat="1" ht="13.5" spans="1:13">
      <c r="A2796" s="66"/>
      <c r="E2796" s="72" t="s">
        <v>2871</v>
      </c>
      <c r="F2796" s="18"/>
      <c r="G2796" s="18"/>
      <c r="H2796" s="18"/>
      <c r="I2796" s="18"/>
      <c r="J2796" s="18"/>
      <c r="K2796" s="18"/>
      <c r="L2796" s="18"/>
      <c r="M2796" s="18"/>
    </row>
    <row r="2797" s="65" customFormat="1" ht="13.5" spans="1:13">
      <c r="A2797" s="66"/>
      <c r="E2797" s="72" t="s">
        <v>2872</v>
      </c>
      <c r="F2797" s="18"/>
      <c r="G2797" s="18"/>
      <c r="H2797" s="18"/>
      <c r="I2797" s="18"/>
      <c r="J2797" s="18"/>
      <c r="K2797" s="18"/>
      <c r="L2797" s="18"/>
      <c r="M2797" s="18"/>
    </row>
    <row r="2798" s="65" customFormat="1" ht="13.5" spans="1:13">
      <c r="A2798" s="66"/>
      <c r="E2798" s="72" t="s">
        <v>2873</v>
      </c>
      <c r="F2798" s="18"/>
      <c r="G2798" s="18"/>
      <c r="H2798" s="18"/>
      <c r="I2798" s="18"/>
      <c r="J2798" s="18"/>
      <c r="K2798" s="18"/>
      <c r="L2798" s="18"/>
      <c r="M2798" s="18"/>
    </row>
    <row r="2799" s="65" customFormat="1" ht="13.5" spans="1:13">
      <c r="A2799" s="66"/>
      <c r="E2799" s="72" t="s">
        <v>2874</v>
      </c>
      <c r="F2799" s="18"/>
      <c r="G2799" s="18"/>
      <c r="H2799" s="18"/>
      <c r="I2799" s="18"/>
      <c r="J2799" s="18"/>
      <c r="K2799" s="18"/>
      <c r="L2799" s="18"/>
      <c r="M2799" s="18"/>
    </row>
    <row r="2800" s="65" customFormat="1" ht="13.5" spans="1:13">
      <c r="A2800" s="66"/>
      <c r="E2800" s="72" t="s">
        <v>2875</v>
      </c>
      <c r="F2800" s="18"/>
      <c r="G2800" s="18"/>
      <c r="H2800" s="18"/>
      <c r="I2800" s="18"/>
      <c r="J2800" s="18"/>
      <c r="K2800" s="18"/>
      <c r="L2800" s="18"/>
      <c r="M2800" s="18"/>
    </row>
    <row r="2801" s="65" customFormat="1" ht="13.5" spans="1:13">
      <c r="A2801" s="66"/>
      <c r="E2801" s="72" t="s">
        <v>2876</v>
      </c>
      <c r="F2801" s="18"/>
      <c r="G2801" s="18"/>
      <c r="H2801" s="18"/>
      <c r="I2801" s="18"/>
      <c r="J2801" s="18"/>
      <c r="K2801" s="18"/>
      <c r="L2801" s="18"/>
      <c r="M2801" s="18"/>
    </row>
    <row r="2802" s="65" customFormat="1" ht="13.5" spans="1:13">
      <c r="A2802" s="66"/>
      <c r="E2802" s="72" t="s">
        <v>2877</v>
      </c>
      <c r="F2802" s="18"/>
      <c r="G2802" s="18"/>
      <c r="H2802" s="18"/>
      <c r="I2802" s="18"/>
      <c r="J2802" s="18"/>
      <c r="K2802" s="18"/>
      <c r="L2802" s="18"/>
      <c r="M2802" s="18"/>
    </row>
    <row r="2803" s="65" customFormat="1" ht="13.5" spans="1:13">
      <c r="A2803" s="66"/>
      <c r="E2803" s="72" t="s">
        <v>2878</v>
      </c>
      <c r="F2803" s="18"/>
      <c r="G2803" s="18"/>
      <c r="H2803" s="18"/>
      <c r="I2803" s="18"/>
      <c r="J2803" s="18"/>
      <c r="K2803" s="18"/>
      <c r="L2803" s="18"/>
      <c r="M2803" s="18"/>
    </row>
    <row r="2804" s="65" customFormat="1" ht="13.5" spans="1:13">
      <c r="A2804" s="66"/>
      <c r="E2804" s="72" t="s">
        <v>2879</v>
      </c>
      <c r="F2804" s="18"/>
      <c r="G2804" s="18"/>
      <c r="H2804" s="18"/>
      <c r="I2804" s="18"/>
      <c r="J2804" s="18"/>
      <c r="K2804" s="18"/>
      <c r="L2804" s="18"/>
      <c r="M2804" s="18"/>
    </row>
    <row r="2805" s="65" customFormat="1" ht="13.5" spans="1:13">
      <c r="A2805" s="66"/>
      <c r="E2805" s="72" t="s">
        <v>2880</v>
      </c>
      <c r="F2805" s="18"/>
      <c r="G2805" s="18"/>
      <c r="H2805" s="18"/>
      <c r="I2805" s="18"/>
      <c r="J2805" s="18"/>
      <c r="K2805" s="18"/>
      <c r="L2805" s="18"/>
      <c r="M2805" s="18"/>
    </row>
    <row r="2806" s="65" customFormat="1" ht="13.5" spans="1:13">
      <c r="A2806" s="66"/>
      <c r="E2806" s="72" t="s">
        <v>2881</v>
      </c>
      <c r="F2806" s="18"/>
      <c r="G2806" s="18"/>
      <c r="H2806" s="18"/>
      <c r="I2806" s="18"/>
      <c r="J2806" s="18"/>
      <c r="K2806" s="18"/>
      <c r="L2806" s="18"/>
      <c r="M2806" s="18"/>
    </row>
    <row r="2807" s="65" customFormat="1" ht="13.5" spans="1:13">
      <c r="A2807" s="66"/>
      <c r="E2807" s="72" t="s">
        <v>2882</v>
      </c>
      <c r="F2807" s="18"/>
      <c r="G2807" s="18"/>
      <c r="H2807" s="18"/>
      <c r="I2807" s="18"/>
      <c r="J2807" s="18"/>
      <c r="K2807" s="18"/>
      <c r="L2807" s="18"/>
      <c r="M2807" s="18"/>
    </row>
    <row r="2808" s="65" customFormat="1" ht="13.5" spans="1:13">
      <c r="A2808" s="66"/>
      <c r="E2808" s="72" t="s">
        <v>2883</v>
      </c>
      <c r="F2808" s="18"/>
      <c r="G2808" s="18"/>
      <c r="H2808" s="18"/>
      <c r="I2808" s="18"/>
      <c r="J2808" s="18"/>
      <c r="K2808" s="18"/>
      <c r="L2808" s="18"/>
      <c r="M2808" s="18"/>
    </row>
    <row r="2809" s="65" customFormat="1" ht="13.5" spans="1:13">
      <c r="A2809" s="66"/>
      <c r="E2809" s="72" t="s">
        <v>2884</v>
      </c>
      <c r="F2809" s="18"/>
      <c r="G2809" s="18"/>
      <c r="H2809" s="18"/>
      <c r="I2809" s="18"/>
      <c r="J2809" s="18"/>
      <c r="K2809" s="18"/>
      <c r="L2809" s="18"/>
      <c r="M2809" s="18"/>
    </row>
    <row r="2810" s="65" customFormat="1" ht="13.5" spans="1:13">
      <c r="A2810" s="66"/>
      <c r="E2810" s="72" t="s">
        <v>2885</v>
      </c>
      <c r="F2810" s="18"/>
      <c r="G2810" s="18"/>
      <c r="H2810" s="18"/>
      <c r="I2810" s="18"/>
      <c r="J2810" s="18"/>
      <c r="K2810" s="18"/>
      <c r="L2810" s="18"/>
      <c r="M2810" s="18"/>
    </row>
    <row r="2811" s="65" customFormat="1" ht="13.5" spans="1:13">
      <c r="A2811" s="66"/>
      <c r="E2811" s="72" t="s">
        <v>2886</v>
      </c>
      <c r="F2811" s="18"/>
      <c r="G2811" s="18"/>
      <c r="H2811" s="18"/>
      <c r="I2811" s="18"/>
      <c r="J2811" s="18"/>
      <c r="K2811" s="18"/>
      <c r="L2811" s="18"/>
      <c r="M2811" s="18"/>
    </row>
    <row r="2812" s="65" customFormat="1" ht="13.5" spans="1:13">
      <c r="A2812" s="66"/>
      <c r="E2812" s="72" t="s">
        <v>2887</v>
      </c>
      <c r="F2812" s="18"/>
      <c r="G2812" s="18"/>
      <c r="H2812" s="18"/>
      <c r="I2812" s="18"/>
      <c r="J2812" s="18"/>
      <c r="K2812" s="18"/>
      <c r="L2812" s="18"/>
      <c r="M2812" s="18"/>
    </row>
    <row r="2813" s="65" customFormat="1" ht="13.5" spans="1:13">
      <c r="A2813" s="66"/>
      <c r="E2813" s="72" t="s">
        <v>2888</v>
      </c>
      <c r="F2813" s="18"/>
      <c r="G2813" s="18"/>
      <c r="H2813" s="18"/>
      <c r="I2813" s="18"/>
      <c r="J2813" s="18"/>
      <c r="K2813" s="18"/>
      <c r="L2813" s="18"/>
      <c r="M2813" s="18"/>
    </row>
    <row r="2814" s="65" customFormat="1" ht="13.5" spans="1:13">
      <c r="A2814" s="66"/>
      <c r="E2814" s="72" t="s">
        <v>2889</v>
      </c>
      <c r="F2814" s="18"/>
      <c r="G2814" s="18"/>
      <c r="H2814" s="18"/>
      <c r="I2814" s="18"/>
      <c r="J2814" s="18"/>
      <c r="K2814" s="18"/>
      <c r="L2814" s="18"/>
      <c r="M2814" s="18"/>
    </row>
    <row r="2815" s="65" customFormat="1" ht="13.5" spans="1:13">
      <c r="A2815" s="66"/>
      <c r="E2815" s="72" t="s">
        <v>2890</v>
      </c>
      <c r="F2815" s="18"/>
      <c r="G2815" s="18"/>
      <c r="H2815" s="18"/>
      <c r="I2815" s="18"/>
      <c r="J2815" s="18"/>
      <c r="K2815" s="18"/>
      <c r="L2815" s="18"/>
      <c r="M2815" s="18"/>
    </row>
    <row r="2816" s="65" customFormat="1" ht="13.5" spans="1:13">
      <c r="A2816" s="66"/>
      <c r="E2816" s="72" t="s">
        <v>2891</v>
      </c>
      <c r="F2816" s="18"/>
      <c r="G2816" s="18"/>
      <c r="H2816" s="18"/>
      <c r="I2816" s="18"/>
      <c r="J2816" s="18"/>
      <c r="K2816" s="18"/>
      <c r="L2816" s="18"/>
      <c r="M2816" s="18"/>
    </row>
    <row r="2817" s="65" customFormat="1" ht="13.5" spans="1:13">
      <c r="A2817" s="66"/>
      <c r="E2817" s="72" t="s">
        <v>2892</v>
      </c>
      <c r="F2817" s="18"/>
      <c r="G2817" s="18"/>
      <c r="H2817" s="18"/>
      <c r="I2817" s="18"/>
      <c r="J2817" s="18"/>
      <c r="K2817" s="18"/>
      <c r="L2817" s="18"/>
      <c r="M2817" s="18"/>
    </row>
    <row r="2818" s="65" customFormat="1" ht="13.5" spans="1:13">
      <c r="A2818" s="66"/>
      <c r="E2818" s="72" t="s">
        <v>2893</v>
      </c>
      <c r="F2818" s="18"/>
      <c r="G2818" s="18"/>
      <c r="H2818" s="18"/>
      <c r="I2818" s="18"/>
      <c r="J2818" s="18"/>
      <c r="K2818" s="18"/>
      <c r="L2818" s="18"/>
      <c r="M2818" s="18"/>
    </row>
    <row r="2819" s="65" customFormat="1" ht="13.5" spans="1:13">
      <c r="A2819" s="66"/>
      <c r="E2819" s="72" t="s">
        <v>2894</v>
      </c>
      <c r="F2819" s="18"/>
      <c r="G2819" s="18"/>
      <c r="H2819" s="18"/>
      <c r="I2819" s="18"/>
      <c r="J2819" s="18"/>
      <c r="K2819" s="18"/>
      <c r="L2819" s="18"/>
      <c r="M2819" s="18"/>
    </row>
    <row r="2820" s="65" customFormat="1" ht="13.5" spans="1:13">
      <c r="A2820" s="66"/>
      <c r="E2820" s="72" t="s">
        <v>2895</v>
      </c>
      <c r="F2820" s="18"/>
      <c r="G2820" s="18"/>
      <c r="H2820" s="18"/>
      <c r="I2820" s="18"/>
      <c r="J2820" s="18"/>
      <c r="K2820" s="18"/>
      <c r="L2820" s="18"/>
      <c r="M2820" s="18"/>
    </row>
    <row r="2821" s="65" customFormat="1" ht="13.5" spans="1:13">
      <c r="A2821" s="66"/>
      <c r="E2821" s="72" t="s">
        <v>2896</v>
      </c>
      <c r="F2821" s="18"/>
      <c r="G2821" s="18"/>
      <c r="H2821" s="18"/>
      <c r="I2821" s="18"/>
      <c r="J2821" s="18"/>
      <c r="K2821" s="18"/>
      <c r="L2821" s="18"/>
      <c r="M2821" s="18"/>
    </row>
    <row r="2822" s="65" customFormat="1" ht="13.5" spans="1:13">
      <c r="A2822" s="66"/>
      <c r="E2822" s="72" t="s">
        <v>2897</v>
      </c>
      <c r="F2822" s="18"/>
      <c r="G2822" s="18"/>
      <c r="H2822" s="18"/>
      <c r="I2822" s="18"/>
      <c r="J2822" s="18"/>
      <c r="K2822" s="18"/>
      <c r="L2822" s="18"/>
      <c r="M2822" s="18"/>
    </row>
    <row r="2823" s="65" customFormat="1" ht="13.5" spans="1:13">
      <c r="A2823" s="66"/>
      <c r="E2823" s="72" t="s">
        <v>2898</v>
      </c>
      <c r="F2823" s="18"/>
      <c r="G2823" s="18"/>
      <c r="H2823" s="18"/>
      <c r="I2823" s="18"/>
      <c r="J2823" s="18"/>
      <c r="K2823" s="18"/>
      <c r="L2823" s="18"/>
      <c r="M2823" s="18"/>
    </row>
    <row r="2824" s="65" customFormat="1" ht="13.5" spans="1:13">
      <c r="A2824" s="66"/>
      <c r="E2824" s="72" t="s">
        <v>2899</v>
      </c>
      <c r="F2824" s="18"/>
      <c r="G2824" s="18"/>
      <c r="H2824" s="18"/>
      <c r="I2824" s="18"/>
      <c r="J2824" s="18"/>
      <c r="K2824" s="18"/>
      <c r="L2824" s="18"/>
      <c r="M2824" s="18"/>
    </row>
    <row r="2825" s="65" customFormat="1" ht="13.5" spans="1:13">
      <c r="A2825" s="66"/>
      <c r="E2825" s="72" t="s">
        <v>2900</v>
      </c>
      <c r="F2825" s="18"/>
      <c r="G2825" s="18"/>
      <c r="H2825" s="18"/>
      <c r="I2825" s="18"/>
      <c r="J2825" s="18"/>
      <c r="K2825" s="18"/>
      <c r="L2825" s="18"/>
      <c r="M2825" s="18"/>
    </row>
    <row r="2826" s="65" customFormat="1" ht="13.5" spans="1:13">
      <c r="A2826" s="66"/>
      <c r="E2826" s="72" t="s">
        <v>2901</v>
      </c>
      <c r="F2826" s="18"/>
      <c r="G2826" s="18"/>
      <c r="H2826" s="18"/>
      <c r="I2826" s="18"/>
      <c r="J2826" s="18"/>
      <c r="K2826" s="18"/>
      <c r="L2826" s="18"/>
      <c r="M2826" s="18"/>
    </row>
    <row r="2827" s="65" customFormat="1" ht="13.5" spans="1:13">
      <c r="A2827" s="66"/>
      <c r="E2827" s="72" t="s">
        <v>2902</v>
      </c>
      <c r="F2827" s="18"/>
      <c r="G2827" s="18"/>
      <c r="H2827" s="18"/>
      <c r="I2827" s="18"/>
      <c r="J2827" s="18"/>
      <c r="K2827" s="18"/>
      <c r="L2827" s="18"/>
      <c r="M2827" s="18"/>
    </row>
    <row r="2828" s="65" customFormat="1" ht="13.5" spans="1:13">
      <c r="A2828" s="66"/>
      <c r="E2828" s="72" t="s">
        <v>2903</v>
      </c>
      <c r="F2828" s="18"/>
      <c r="G2828" s="18"/>
      <c r="H2828" s="18"/>
      <c r="I2828" s="18"/>
      <c r="J2828" s="18"/>
      <c r="K2828" s="18"/>
      <c r="L2828" s="18"/>
      <c r="M2828" s="18"/>
    </row>
    <row r="2829" s="65" customFormat="1" ht="13.5" spans="1:13">
      <c r="A2829" s="66"/>
      <c r="E2829" s="72" t="s">
        <v>2904</v>
      </c>
      <c r="F2829" s="18"/>
      <c r="G2829" s="18"/>
      <c r="H2829" s="18"/>
      <c r="I2829" s="18"/>
      <c r="J2829" s="18"/>
      <c r="K2829" s="18"/>
      <c r="L2829" s="18"/>
      <c r="M2829" s="18"/>
    </row>
    <row r="2830" s="65" customFormat="1" ht="13.5" spans="1:13">
      <c r="A2830" s="66"/>
      <c r="E2830" s="72" t="s">
        <v>2905</v>
      </c>
      <c r="F2830" s="18"/>
      <c r="G2830" s="18"/>
      <c r="H2830" s="18"/>
      <c r="I2830" s="18"/>
      <c r="J2830" s="18"/>
      <c r="K2830" s="18"/>
      <c r="L2830" s="18"/>
      <c r="M2830" s="18"/>
    </row>
    <row r="2831" s="65" customFormat="1" ht="13.5" spans="1:13">
      <c r="A2831" s="66"/>
      <c r="E2831" s="72" t="s">
        <v>2906</v>
      </c>
      <c r="F2831" s="18"/>
      <c r="G2831" s="18"/>
      <c r="H2831" s="18"/>
      <c r="I2831" s="18"/>
      <c r="J2831" s="18"/>
      <c r="K2831" s="18"/>
      <c r="L2831" s="18"/>
      <c r="M2831" s="18"/>
    </row>
    <row r="2832" s="65" customFormat="1" ht="13.5" spans="1:13">
      <c r="A2832" s="66"/>
      <c r="E2832" s="72" t="s">
        <v>2907</v>
      </c>
      <c r="F2832" s="18"/>
      <c r="G2832" s="18"/>
      <c r="H2832" s="18"/>
      <c r="I2832" s="18"/>
      <c r="J2832" s="18"/>
      <c r="K2832" s="18"/>
      <c r="L2832" s="18"/>
      <c r="M2832" s="18"/>
    </row>
    <row r="2833" s="65" customFormat="1" ht="13.5" spans="1:13">
      <c r="A2833" s="66"/>
      <c r="E2833" s="72" t="s">
        <v>2908</v>
      </c>
      <c r="F2833" s="18"/>
      <c r="G2833" s="18"/>
      <c r="H2833" s="18"/>
      <c r="I2833" s="18"/>
      <c r="J2833" s="18"/>
      <c r="K2833" s="18"/>
      <c r="L2833" s="18"/>
      <c r="M2833" s="18"/>
    </row>
    <row r="2834" s="65" customFormat="1" ht="13.5" spans="1:13">
      <c r="A2834" s="66"/>
      <c r="E2834" s="72" t="s">
        <v>2909</v>
      </c>
      <c r="F2834" s="18"/>
      <c r="G2834" s="18"/>
      <c r="H2834" s="18"/>
      <c r="I2834" s="18"/>
      <c r="J2834" s="18"/>
      <c r="K2834" s="18"/>
      <c r="L2834" s="18"/>
      <c r="M2834" s="18"/>
    </row>
    <row r="2835" s="65" customFormat="1" ht="13.5" spans="1:13">
      <c r="A2835" s="66"/>
      <c r="E2835" s="72" t="s">
        <v>2910</v>
      </c>
      <c r="F2835" s="18"/>
      <c r="G2835" s="18"/>
      <c r="H2835" s="18"/>
      <c r="I2835" s="18"/>
      <c r="J2835" s="18"/>
      <c r="K2835" s="18"/>
      <c r="L2835" s="18"/>
      <c r="M2835" s="18"/>
    </row>
    <row r="2836" s="65" customFormat="1" ht="13.5" spans="1:13">
      <c r="A2836" s="66"/>
      <c r="E2836" s="72" t="s">
        <v>2911</v>
      </c>
      <c r="F2836" s="18"/>
      <c r="G2836" s="18"/>
      <c r="H2836" s="18"/>
      <c r="I2836" s="18"/>
      <c r="J2836" s="18"/>
      <c r="K2836" s="18"/>
      <c r="L2836" s="18"/>
      <c r="M2836" s="18"/>
    </row>
    <row r="2837" s="65" customFormat="1" ht="13.5" spans="1:13">
      <c r="A2837" s="66"/>
      <c r="E2837" s="72" t="s">
        <v>2912</v>
      </c>
      <c r="F2837" s="18"/>
      <c r="G2837" s="18"/>
      <c r="H2837" s="18"/>
      <c r="I2837" s="18"/>
      <c r="J2837" s="18"/>
      <c r="K2837" s="18"/>
      <c r="L2837" s="18"/>
      <c r="M2837" s="18"/>
    </row>
    <row r="2838" s="65" customFormat="1" ht="13.5" spans="1:13">
      <c r="A2838" s="66"/>
      <c r="E2838" s="72" t="s">
        <v>2913</v>
      </c>
      <c r="F2838" s="18"/>
      <c r="G2838" s="18"/>
      <c r="H2838" s="18"/>
      <c r="I2838" s="18"/>
      <c r="J2838" s="18"/>
      <c r="K2838" s="18"/>
      <c r="L2838" s="18"/>
      <c r="M2838" s="18"/>
    </row>
    <row r="2839" s="65" customFormat="1" ht="13.5" spans="1:13">
      <c r="A2839" s="66"/>
      <c r="E2839" s="72" t="s">
        <v>2914</v>
      </c>
      <c r="F2839" s="18"/>
      <c r="G2839" s="18"/>
      <c r="H2839" s="18"/>
      <c r="I2839" s="18"/>
      <c r="J2839" s="18"/>
      <c r="K2839" s="18"/>
      <c r="L2839" s="18"/>
      <c r="M2839" s="18"/>
    </row>
    <row r="2840" s="65" customFormat="1" ht="13.5" spans="1:13">
      <c r="A2840" s="66"/>
      <c r="E2840" s="72" t="s">
        <v>2915</v>
      </c>
      <c r="F2840" s="18"/>
      <c r="G2840" s="18"/>
      <c r="H2840" s="18"/>
      <c r="I2840" s="18"/>
      <c r="J2840" s="18"/>
      <c r="K2840" s="18"/>
      <c r="L2840" s="18"/>
      <c r="M2840" s="18"/>
    </row>
    <row r="2841" s="65" customFormat="1" ht="13.5" spans="1:13">
      <c r="A2841" s="66"/>
      <c r="E2841" s="72" t="s">
        <v>2916</v>
      </c>
      <c r="F2841" s="18"/>
      <c r="G2841" s="18"/>
      <c r="H2841" s="18"/>
      <c r="I2841" s="18"/>
      <c r="J2841" s="18"/>
      <c r="K2841" s="18"/>
      <c r="L2841" s="18"/>
      <c r="M2841" s="18"/>
    </row>
    <row r="2842" s="65" customFormat="1" ht="13.5" spans="1:13">
      <c r="A2842" s="66"/>
      <c r="E2842" s="72" t="s">
        <v>2917</v>
      </c>
      <c r="F2842" s="18"/>
      <c r="G2842" s="18"/>
      <c r="H2842" s="18"/>
      <c r="I2842" s="18"/>
      <c r="J2842" s="18"/>
      <c r="K2842" s="18"/>
      <c r="L2842" s="18"/>
      <c r="M2842" s="18"/>
    </row>
    <row r="2843" s="65" customFormat="1" ht="13.5" spans="1:13">
      <c r="A2843" s="66"/>
      <c r="E2843" s="72" t="s">
        <v>2918</v>
      </c>
      <c r="F2843" s="18"/>
      <c r="G2843" s="18"/>
      <c r="H2843" s="18"/>
      <c r="I2843" s="18"/>
      <c r="J2843" s="18"/>
      <c r="K2843" s="18"/>
      <c r="L2843" s="18"/>
      <c r="M2843" s="18"/>
    </row>
    <row r="2844" s="65" customFormat="1" ht="13.5" spans="1:13">
      <c r="A2844" s="66"/>
      <c r="E2844" s="72" t="s">
        <v>2919</v>
      </c>
      <c r="F2844" s="18"/>
      <c r="G2844" s="18"/>
      <c r="H2844" s="18"/>
      <c r="I2844" s="18"/>
      <c r="J2844" s="18"/>
      <c r="K2844" s="18"/>
      <c r="L2844" s="18"/>
      <c r="M2844" s="18"/>
    </row>
    <row r="2845" s="65" customFormat="1" ht="13.5" spans="1:13">
      <c r="A2845" s="66"/>
      <c r="E2845" s="72" t="s">
        <v>2920</v>
      </c>
      <c r="F2845" s="18"/>
      <c r="G2845" s="18"/>
      <c r="H2845" s="18"/>
      <c r="I2845" s="18"/>
      <c r="J2845" s="18"/>
      <c r="K2845" s="18"/>
      <c r="L2845" s="18"/>
      <c r="M2845" s="18"/>
    </row>
    <row r="2846" s="65" customFormat="1" ht="13.5" spans="1:13">
      <c r="A2846" s="66"/>
      <c r="E2846" s="72" t="s">
        <v>2921</v>
      </c>
      <c r="F2846" s="18"/>
      <c r="G2846" s="18"/>
      <c r="H2846" s="18"/>
      <c r="I2846" s="18"/>
      <c r="J2846" s="18"/>
      <c r="K2846" s="18"/>
      <c r="L2846" s="18"/>
      <c r="M2846" s="18"/>
    </row>
    <row r="2847" s="65" customFormat="1" ht="13.5" spans="1:13">
      <c r="A2847" s="66"/>
      <c r="E2847" s="72" t="s">
        <v>2922</v>
      </c>
      <c r="F2847" s="18"/>
      <c r="G2847" s="18"/>
      <c r="H2847" s="18"/>
      <c r="I2847" s="18"/>
      <c r="J2847" s="18"/>
      <c r="K2847" s="18"/>
      <c r="L2847" s="18"/>
      <c r="M2847" s="18"/>
    </row>
    <row r="2848" s="65" customFormat="1" ht="13.5" spans="1:13">
      <c r="A2848" s="66"/>
      <c r="E2848" s="72" t="s">
        <v>2923</v>
      </c>
      <c r="F2848" s="18"/>
      <c r="G2848" s="18"/>
      <c r="H2848" s="18"/>
      <c r="I2848" s="18"/>
      <c r="J2848" s="18"/>
      <c r="K2848" s="18"/>
      <c r="L2848" s="18"/>
      <c r="M2848" s="18"/>
    </row>
    <row r="2849" s="65" customFormat="1" ht="13.5" spans="1:13">
      <c r="A2849" s="66"/>
      <c r="E2849" s="72" t="s">
        <v>2924</v>
      </c>
      <c r="F2849" s="18"/>
      <c r="G2849" s="18"/>
      <c r="H2849" s="18"/>
      <c r="I2849" s="18"/>
      <c r="J2849" s="18"/>
      <c r="K2849" s="18"/>
      <c r="L2849" s="18"/>
      <c r="M2849" s="18"/>
    </row>
    <row r="2850" s="65" customFormat="1" ht="13.5" spans="1:13">
      <c r="A2850" s="66"/>
      <c r="E2850" s="72" t="s">
        <v>2925</v>
      </c>
      <c r="F2850" s="18"/>
      <c r="G2850" s="18"/>
      <c r="H2850" s="18"/>
      <c r="I2850" s="18"/>
      <c r="J2850" s="18"/>
      <c r="K2850" s="18"/>
      <c r="L2850" s="18"/>
      <c r="M2850" s="18"/>
    </row>
    <row r="2851" s="65" customFormat="1" ht="13.5" spans="1:13">
      <c r="A2851" s="66"/>
      <c r="E2851" s="72" t="s">
        <v>2926</v>
      </c>
      <c r="F2851" s="18"/>
      <c r="G2851" s="18"/>
      <c r="H2851" s="18"/>
      <c r="I2851" s="18"/>
      <c r="J2851" s="18"/>
      <c r="K2851" s="18"/>
      <c r="L2851" s="18"/>
      <c r="M2851" s="18"/>
    </row>
    <row r="2852" s="65" customFormat="1" ht="13.5" spans="1:13">
      <c r="A2852" s="66"/>
      <c r="E2852" s="72" t="s">
        <v>2927</v>
      </c>
      <c r="F2852" s="18"/>
      <c r="G2852" s="18"/>
      <c r="H2852" s="18"/>
      <c r="I2852" s="18"/>
      <c r="J2852" s="18"/>
      <c r="K2852" s="18"/>
      <c r="L2852" s="18"/>
      <c r="M2852" s="18"/>
    </row>
    <row r="2853" s="65" customFormat="1" ht="13.5" spans="1:13">
      <c r="A2853" s="66"/>
      <c r="E2853" s="72" t="s">
        <v>2928</v>
      </c>
      <c r="F2853" s="18"/>
      <c r="G2853" s="18"/>
      <c r="H2853" s="18"/>
      <c r="I2853" s="18"/>
      <c r="J2853" s="18"/>
      <c r="K2853" s="18"/>
      <c r="L2853" s="18"/>
      <c r="M2853" s="18"/>
    </row>
    <row r="2854" s="65" customFormat="1" ht="13.5" spans="1:13">
      <c r="A2854" s="66"/>
      <c r="E2854" s="72" t="s">
        <v>2929</v>
      </c>
      <c r="F2854" s="18"/>
      <c r="G2854" s="18"/>
      <c r="H2854" s="18"/>
      <c r="I2854" s="18"/>
      <c r="J2854" s="18"/>
      <c r="K2854" s="18"/>
      <c r="L2854" s="18"/>
      <c r="M2854" s="18"/>
    </row>
    <row r="2855" s="65" customFormat="1" ht="13.5" spans="1:13">
      <c r="A2855" s="66"/>
      <c r="E2855" s="72" t="s">
        <v>2930</v>
      </c>
      <c r="F2855" s="18"/>
      <c r="G2855" s="18"/>
      <c r="H2855" s="18"/>
      <c r="I2855" s="18"/>
      <c r="J2855" s="18"/>
      <c r="K2855" s="18"/>
      <c r="L2855" s="18"/>
      <c r="M2855" s="18"/>
    </row>
    <row r="2856" s="65" customFormat="1" ht="13.5" spans="1:13">
      <c r="A2856" s="66"/>
      <c r="E2856" s="72" t="s">
        <v>2931</v>
      </c>
      <c r="F2856" s="18"/>
      <c r="G2856" s="18"/>
      <c r="H2856" s="18"/>
      <c r="I2856" s="18"/>
      <c r="J2856" s="18"/>
      <c r="K2856" s="18"/>
      <c r="L2856" s="18"/>
      <c r="M2856" s="18"/>
    </row>
    <row r="2857" s="65" customFormat="1" ht="13.5" spans="1:13">
      <c r="A2857" s="66"/>
      <c r="E2857" s="72" t="s">
        <v>2932</v>
      </c>
      <c r="F2857" s="18"/>
      <c r="G2857" s="18"/>
      <c r="H2857" s="18"/>
      <c r="I2857" s="18"/>
      <c r="J2857" s="18"/>
      <c r="K2857" s="18"/>
      <c r="L2857" s="18"/>
      <c r="M2857" s="18"/>
    </row>
    <row r="2858" s="65" customFormat="1" ht="13.5" spans="1:13">
      <c r="A2858" s="66"/>
      <c r="E2858" s="72" t="s">
        <v>2933</v>
      </c>
      <c r="F2858" s="18"/>
      <c r="G2858" s="18"/>
      <c r="H2858" s="18"/>
      <c r="I2858" s="18"/>
      <c r="J2858" s="18"/>
      <c r="K2858" s="18"/>
      <c r="L2858" s="18"/>
      <c r="M2858" s="18"/>
    </row>
    <row r="2859" s="65" customFormat="1" ht="13.5" spans="1:13">
      <c r="A2859" s="66"/>
      <c r="E2859" s="72" t="s">
        <v>2934</v>
      </c>
      <c r="F2859" s="18"/>
      <c r="G2859" s="18"/>
      <c r="H2859" s="18"/>
      <c r="I2859" s="18"/>
      <c r="J2859" s="18"/>
      <c r="K2859" s="18"/>
      <c r="L2859" s="18"/>
      <c r="M2859" s="18"/>
    </row>
    <row r="2860" s="65" customFormat="1" ht="13.5" spans="1:13">
      <c r="A2860" s="66"/>
      <c r="E2860" s="72" t="s">
        <v>2935</v>
      </c>
      <c r="F2860" s="18"/>
      <c r="G2860" s="18"/>
      <c r="H2860" s="18"/>
      <c r="I2860" s="18"/>
      <c r="J2860" s="18"/>
      <c r="K2860" s="18"/>
      <c r="L2860" s="18"/>
      <c r="M2860" s="18"/>
    </row>
    <row r="2861" s="65" customFormat="1" ht="13.5" spans="1:13">
      <c r="A2861" s="66"/>
      <c r="E2861" s="72" t="s">
        <v>2936</v>
      </c>
      <c r="F2861" s="18"/>
      <c r="G2861" s="18"/>
      <c r="H2861" s="18"/>
      <c r="I2861" s="18"/>
      <c r="J2861" s="18"/>
      <c r="K2861" s="18"/>
      <c r="L2861" s="18"/>
      <c r="M2861" s="18"/>
    </row>
    <row r="2862" s="65" customFormat="1" ht="13.5" spans="1:13">
      <c r="A2862" s="66"/>
      <c r="E2862" s="72" t="s">
        <v>2937</v>
      </c>
      <c r="F2862" s="18"/>
      <c r="G2862" s="18"/>
      <c r="H2862" s="18"/>
      <c r="I2862" s="18"/>
      <c r="J2862" s="18"/>
      <c r="K2862" s="18"/>
      <c r="L2862" s="18"/>
      <c r="M2862" s="18"/>
    </row>
    <row r="2863" s="65" customFormat="1" ht="13.5" spans="1:13">
      <c r="A2863" s="66"/>
      <c r="E2863" s="72" t="s">
        <v>2938</v>
      </c>
      <c r="F2863" s="18"/>
      <c r="G2863" s="18"/>
      <c r="H2863" s="18"/>
      <c r="I2863" s="18"/>
      <c r="J2863" s="18"/>
      <c r="K2863" s="18"/>
      <c r="L2863" s="18"/>
      <c r="M2863" s="18"/>
    </row>
    <row r="2864" s="65" customFormat="1" ht="13.5" spans="1:13">
      <c r="A2864" s="66"/>
      <c r="E2864" s="72" t="s">
        <v>2939</v>
      </c>
      <c r="F2864" s="18"/>
      <c r="G2864" s="18"/>
      <c r="H2864" s="18"/>
      <c r="I2864" s="18"/>
      <c r="J2864" s="18"/>
      <c r="K2864" s="18"/>
      <c r="L2864" s="18"/>
      <c r="M2864" s="18"/>
    </row>
    <row r="2865" s="65" customFormat="1" ht="13.5" spans="1:13">
      <c r="A2865" s="66"/>
      <c r="E2865" s="72" t="s">
        <v>2940</v>
      </c>
      <c r="F2865" s="18"/>
      <c r="G2865" s="18"/>
      <c r="H2865" s="18"/>
      <c r="I2865" s="18"/>
      <c r="J2865" s="18"/>
      <c r="K2865" s="18"/>
      <c r="L2865" s="18"/>
      <c r="M2865" s="18"/>
    </row>
    <row r="2866" s="65" customFormat="1" ht="13.5" spans="1:13">
      <c r="A2866" s="66"/>
      <c r="E2866" s="72" t="s">
        <v>2941</v>
      </c>
      <c r="F2866" s="18"/>
      <c r="G2866" s="18"/>
      <c r="H2866" s="18"/>
      <c r="I2866" s="18"/>
      <c r="J2866" s="18"/>
      <c r="K2866" s="18"/>
      <c r="L2866" s="18"/>
      <c r="M2866" s="18"/>
    </row>
    <row r="2867" s="65" customFormat="1" ht="13.5" spans="1:13">
      <c r="A2867" s="66"/>
      <c r="E2867" s="72" t="s">
        <v>2942</v>
      </c>
      <c r="F2867" s="18"/>
      <c r="G2867" s="18"/>
      <c r="H2867" s="18"/>
      <c r="I2867" s="18"/>
      <c r="J2867" s="18"/>
      <c r="K2867" s="18"/>
      <c r="L2867" s="18"/>
      <c r="M2867" s="18"/>
    </row>
    <row r="2868" s="65" customFormat="1" ht="13.5" spans="1:13">
      <c r="A2868" s="66"/>
      <c r="E2868" s="72" t="s">
        <v>2943</v>
      </c>
      <c r="F2868" s="18"/>
      <c r="G2868" s="18"/>
      <c r="H2868" s="18"/>
      <c r="I2868" s="18"/>
      <c r="J2868" s="18"/>
      <c r="K2868" s="18"/>
      <c r="L2868" s="18"/>
      <c r="M2868" s="18"/>
    </row>
    <row r="2869" s="65" customFormat="1" ht="13.5" spans="1:13">
      <c r="A2869" s="66"/>
      <c r="E2869" s="72" t="s">
        <v>2944</v>
      </c>
      <c r="F2869" s="18"/>
      <c r="G2869" s="18"/>
      <c r="H2869" s="18"/>
      <c r="I2869" s="18"/>
      <c r="J2869" s="18"/>
      <c r="K2869" s="18"/>
      <c r="L2869" s="18"/>
      <c r="M2869" s="18"/>
    </row>
    <row r="2870" s="65" customFormat="1" ht="13.5" spans="1:13">
      <c r="A2870" s="66"/>
      <c r="E2870" s="72" t="s">
        <v>2945</v>
      </c>
      <c r="F2870" s="18"/>
      <c r="G2870" s="18"/>
      <c r="H2870" s="18"/>
      <c r="I2870" s="18"/>
      <c r="J2870" s="18"/>
      <c r="K2870" s="18"/>
      <c r="L2870" s="18"/>
      <c r="M2870" s="18"/>
    </row>
    <row r="2871" s="65" customFormat="1" ht="13.5" spans="1:13">
      <c r="A2871" s="66"/>
      <c r="E2871" s="72" t="s">
        <v>2946</v>
      </c>
      <c r="F2871" s="18"/>
      <c r="G2871" s="18"/>
      <c r="H2871" s="18"/>
      <c r="I2871" s="18"/>
      <c r="J2871" s="18"/>
      <c r="K2871" s="18"/>
      <c r="L2871" s="18"/>
      <c r="M2871" s="18"/>
    </row>
    <row r="2872" s="65" customFormat="1" ht="13.5" spans="1:13">
      <c r="A2872" s="66"/>
      <c r="E2872" s="72" t="s">
        <v>2947</v>
      </c>
      <c r="F2872" s="18"/>
      <c r="G2872" s="18"/>
      <c r="H2872" s="18"/>
      <c r="I2872" s="18"/>
      <c r="J2872" s="18"/>
      <c r="K2872" s="18"/>
      <c r="L2872" s="18"/>
      <c r="M2872" s="18"/>
    </row>
    <row r="2873" s="65" customFormat="1" ht="13.5" spans="1:13">
      <c r="A2873" s="66"/>
      <c r="E2873" s="72" t="s">
        <v>2948</v>
      </c>
      <c r="F2873" s="18"/>
      <c r="G2873" s="18"/>
      <c r="H2873" s="18"/>
      <c r="I2873" s="18"/>
      <c r="J2873" s="18"/>
      <c r="K2873" s="18"/>
      <c r="L2873" s="18"/>
      <c r="M2873" s="18"/>
    </row>
    <row r="2874" s="65" customFormat="1" ht="13.5" spans="1:13">
      <c r="A2874" s="66"/>
      <c r="E2874" s="72" t="s">
        <v>2949</v>
      </c>
      <c r="F2874" s="18"/>
      <c r="G2874" s="18"/>
      <c r="H2874" s="18"/>
      <c r="I2874" s="18"/>
      <c r="J2874" s="18"/>
      <c r="K2874" s="18"/>
      <c r="L2874" s="18"/>
      <c r="M2874" s="18"/>
    </row>
    <row r="2875" s="65" customFormat="1" ht="13.5" spans="1:13">
      <c r="A2875" s="66"/>
      <c r="E2875" s="72" t="s">
        <v>2950</v>
      </c>
      <c r="F2875" s="18"/>
      <c r="G2875" s="18"/>
      <c r="H2875" s="18"/>
      <c r="I2875" s="18"/>
      <c r="J2875" s="18"/>
      <c r="K2875" s="18"/>
      <c r="L2875" s="18"/>
      <c r="M2875" s="18"/>
    </row>
    <row r="2876" s="65" customFormat="1" ht="13.5" spans="1:13">
      <c r="A2876" s="66"/>
      <c r="E2876" s="72" t="s">
        <v>2951</v>
      </c>
      <c r="F2876" s="18"/>
      <c r="G2876" s="18"/>
      <c r="H2876" s="18"/>
      <c r="I2876" s="18"/>
      <c r="J2876" s="18"/>
      <c r="K2876" s="18"/>
      <c r="L2876" s="18"/>
      <c r="M2876" s="18"/>
    </row>
    <row r="2877" s="65" customFormat="1" ht="13.5" spans="1:13">
      <c r="A2877" s="66"/>
      <c r="E2877" s="72" t="s">
        <v>2952</v>
      </c>
      <c r="F2877" s="18"/>
      <c r="G2877" s="18"/>
      <c r="H2877" s="18"/>
      <c r="I2877" s="18"/>
      <c r="J2877" s="18"/>
      <c r="K2877" s="18"/>
      <c r="L2877" s="18"/>
      <c r="M2877" s="18"/>
    </row>
    <row r="2878" s="65" customFormat="1" ht="13.5" spans="1:13">
      <c r="A2878" s="66"/>
      <c r="E2878" s="72" t="s">
        <v>2953</v>
      </c>
      <c r="F2878" s="18"/>
      <c r="G2878" s="18"/>
      <c r="H2878" s="18"/>
      <c r="I2878" s="18"/>
      <c r="J2878" s="18"/>
      <c r="K2878" s="18"/>
      <c r="L2878" s="18"/>
      <c r="M2878" s="18"/>
    </row>
    <row r="2879" s="65" customFormat="1" ht="13.5" spans="1:13">
      <c r="A2879" s="66"/>
      <c r="E2879" s="72" t="s">
        <v>2954</v>
      </c>
      <c r="F2879" s="18"/>
      <c r="G2879" s="18"/>
      <c r="H2879" s="18"/>
      <c r="I2879" s="18"/>
      <c r="J2879" s="18"/>
      <c r="K2879" s="18"/>
      <c r="L2879" s="18"/>
      <c r="M2879" s="18"/>
    </row>
    <row r="2880" s="65" customFormat="1" ht="13.5" spans="1:13">
      <c r="A2880" s="66"/>
      <c r="E2880" s="72" t="s">
        <v>2955</v>
      </c>
      <c r="F2880" s="18"/>
      <c r="G2880" s="18"/>
      <c r="H2880" s="18"/>
      <c r="I2880" s="18"/>
      <c r="J2880" s="18"/>
      <c r="K2880" s="18"/>
      <c r="L2880" s="18"/>
      <c r="M2880" s="18"/>
    </row>
    <row r="2881" s="65" customFormat="1" ht="13.5" spans="1:13">
      <c r="A2881" s="66"/>
      <c r="E2881" s="72" t="s">
        <v>2956</v>
      </c>
      <c r="F2881" s="18"/>
      <c r="G2881" s="18"/>
      <c r="H2881" s="18"/>
      <c r="I2881" s="18"/>
      <c r="J2881" s="18"/>
      <c r="K2881" s="18"/>
      <c r="L2881" s="18"/>
      <c r="M2881" s="18"/>
    </row>
    <row r="2882" s="65" customFormat="1" ht="13.5" spans="1:13">
      <c r="A2882" s="66"/>
      <c r="E2882" s="72" t="s">
        <v>2957</v>
      </c>
      <c r="F2882" s="18"/>
      <c r="G2882" s="18"/>
      <c r="H2882" s="18"/>
      <c r="I2882" s="18"/>
      <c r="J2882" s="18"/>
      <c r="K2882" s="18"/>
      <c r="L2882" s="18"/>
      <c r="M2882" s="18"/>
    </row>
    <row r="2883" s="65" customFormat="1" ht="13.5" spans="1:13">
      <c r="A2883" s="66"/>
      <c r="E2883" s="72" t="s">
        <v>2958</v>
      </c>
      <c r="F2883" s="18"/>
      <c r="G2883" s="18"/>
      <c r="H2883" s="18"/>
      <c r="I2883" s="18"/>
      <c r="J2883" s="18"/>
      <c r="K2883" s="18"/>
      <c r="L2883" s="18"/>
      <c r="M2883" s="18"/>
    </row>
    <row r="2884" s="65" customFormat="1" ht="13.5" spans="1:13">
      <c r="A2884" s="66"/>
      <c r="E2884" s="72" t="s">
        <v>2959</v>
      </c>
      <c r="F2884" s="18"/>
      <c r="G2884" s="18"/>
      <c r="H2884" s="18"/>
      <c r="I2884" s="18"/>
      <c r="J2884" s="18"/>
      <c r="K2884" s="18"/>
      <c r="L2884" s="18"/>
      <c r="M2884" s="18"/>
    </row>
    <row r="2885" s="65" customFormat="1" ht="13.5" spans="1:13">
      <c r="A2885" s="66"/>
      <c r="E2885" s="72" t="s">
        <v>2960</v>
      </c>
      <c r="F2885" s="18"/>
      <c r="G2885" s="18"/>
      <c r="H2885" s="18"/>
      <c r="I2885" s="18"/>
      <c r="J2885" s="18"/>
      <c r="K2885" s="18"/>
      <c r="L2885" s="18"/>
      <c r="M2885" s="18"/>
    </row>
    <row r="2886" s="65" customFormat="1" ht="13.5" spans="1:13">
      <c r="A2886" s="66"/>
      <c r="E2886" s="72" t="s">
        <v>2961</v>
      </c>
      <c r="F2886" s="18"/>
      <c r="G2886" s="18"/>
      <c r="H2886" s="18"/>
      <c r="I2886" s="18"/>
      <c r="J2886" s="18"/>
      <c r="K2886" s="18"/>
      <c r="L2886" s="18"/>
      <c r="M2886" s="18"/>
    </row>
    <row r="2887" s="65" customFormat="1" ht="13.5" spans="1:13">
      <c r="A2887" s="66"/>
      <c r="E2887" s="72" t="s">
        <v>2962</v>
      </c>
      <c r="F2887" s="18"/>
      <c r="G2887" s="18"/>
      <c r="H2887" s="18"/>
      <c r="I2887" s="18"/>
      <c r="J2887" s="18"/>
      <c r="K2887" s="18"/>
      <c r="L2887" s="18"/>
      <c r="M2887" s="18"/>
    </row>
    <row r="2888" s="65" customFormat="1" ht="13.5" spans="1:13">
      <c r="A2888" s="66"/>
      <c r="E2888" s="72" t="s">
        <v>2963</v>
      </c>
      <c r="F2888" s="18"/>
      <c r="G2888" s="18"/>
      <c r="H2888" s="18"/>
      <c r="I2888" s="18"/>
      <c r="J2888" s="18"/>
      <c r="K2888" s="18"/>
      <c r="L2888" s="18"/>
      <c r="M2888" s="18"/>
    </row>
    <row r="2889" s="65" customFormat="1" ht="13.5" spans="1:13">
      <c r="A2889" s="66"/>
      <c r="E2889" s="72" t="s">
        <v>2964</v>
      </c>
      <c r="F2889" s="18"/>
      <c r="G2889" s="18"/>
      <c r="H2889" s="18"/>
      <c r="I2889" s="18"/>
      <c r="J2889" s="18"/>
      <c r="K2889" s="18"/>
      <c r="L2889" s="18"/>
      <c r="M2889" s="18"/>
    </row>
    <row r="2890" s="65" customFormat="1" ht="13.5" spans="1:13">
      <c r="A2890" s="66"/>
      <c r="E2890" s="72" t="s">
        <v>2965</v>
      </c>
      <c r="F2890" s="18"/>
      <c r="G2890" s="18"/>
      <c r="H2890" s="18"/>
      <c r="I2890" s="18"/>
      <c r="J2890" s="18"/>
      <c r="K2890" s="18"/>
      <c r="L2890" s="18"/>
      <c r="M2890" s="18"/>
    </row>
    <row r="2891" s="65" customFormat="1" ht="13.5" spans="1:13">
      <c r="A2891" s="66"/>
      <c r="E2891" s="72" t="s">
        <v>2966</v>
      </c>
      <c r="F2891" s="18"/>
      <c r="G2891" s="18"/>
      <c r="H2891" s="18"/>
      <c r="I2891" s="18"/>
      <c r="J2891" s="18"/>
      <c r="K2891" s="18"/>
      <c r="L2891" s="18"/>
      <c r="M2891" s="18"/>
    </row>
    <row r="2892" s="65" customFormat="1" ht="13.5" spans="1:13">
      <c r="A2892" s="66"/>
      <c r="E2892" s="72" t="s">
        <v>2967</v>
      </c>
      <c r="F2892" s="18"/>
      <c r="G2892" s="18"/>
      <c r="H2892" s="18"/>
      <c r="I2892" s="18"/>
      <c r="J2892" s="18"/>
      <c r="K2892" s="18"/>
      <c r="L2892" s="18"/>
      <c r="M2892" s="18"/>
    </row>
    <row r="2893" s="65" customFormat="1" ht="13.5" spans="1:13">
      <c r="A2893" s="66"/>
      <c r="E2893" s="72" t="s">
        <v>2968</v>
      </c>
      <c r="F2893" s="18"/>
      <c r="G2893" s="18"/>
      <c r="H2893" s="18"/>
      <c r="I2893" s="18"/>
      <c r="J2893" s="18"/>
      <c r="K2893" s="18"/>
      <c r="L2893" s="18"/>
      <c r="M2893" s="18"/>
    </row>
    <row r="2894" s="65" customFormat="1" ht="13.5" spans="1:13">
      <c r="A2894" s="66"/>
      <c r="E2894" s="72" t="s">
        <v>2969</v>
      </c>
      <c r="F2894" s="18"/>
      <c r="G2894" s="18"/>
      <c r="H2894" s="18"/>
      <c r="I2894" s="18"/>
      <c r="J2894" s="18"/>
      <c r="K2894" s="18"/>
      <c r="L2894" s="18"/>
      <c r="M2894" s="18"/>
    </row>
    <row r="2895" s="65" customFormat="1" ht="13.5" spans="1:13">
      <c r="A2895" s="66"/>
      <c r="E2895" s="72" t="s">
        <v>2970</v>
      </c>
      <c r="F2895" s="18"/>
      <c r="G2895" s="18"/>
      <c r="H2895" s="18"/>
      <c r="I2895" s="18"/>
      <c r="J2895" s="18"/>
      <c r="K2895" s="18"/>
      <c r="L2895" s="18"/>
      <c r="M2895" s="18"/>
    </row>
    <row r="2896" s="65" customFormat="1" ht="13.5" spans="1:13">
      <c r="A2896" s="66"/>
      <c r="E2896" s="72" t="s">
        <v>2971</v>
      </c>
      <c r="F2896" s="18"/>
      <c r="G2896" s="18"/>
      <c r="H2896" s="18"/>
      <c r="I2896" s="18"/>
      <c r="J2896" s="18"/>
      <c r="K2896" s="18"/>
      <c r="L2896" s="18"/>
      <c r="M2896" s="18"/>
    </row>
    <row r="2897" s="65" customFormat="1" ht="13.5" spans="1:13">
      <c r="A2897" s="66"/>
      <c r="E2897" s="72" t="s">
        <v>2972</v>
      </c>
      <c r="F2897" s="18"/>
      <c r="G2897" s="18"/>
      <c r="H2897" s="18"/>
      <c r="I2897" s="18"/>
      <c r="J2897" s="18"/>
      <c r="K2897" s="18"/>
      <c r="L2897" s="18"/>
      <c r="M2897" s="18"/>
    </row>
    <row r="2898" s="65" customFormat="1" ht="13.5" spans="1:13">
      <c r="A2898" s="66"/>
      <c r="E2898" s="72" t="s">
        <v>2973</v>
      </c>
      <c r="F2898" s="18"/>
      <c r="G2898" s="18"/>
      <c r="H2898" s="18"/>
      <c r="I2898" s="18"/>
      <c r="J2898" s="18"/>
      <c r="K2898" s="18"/>
      <c r="L2898" s="18"/>
      <c r="M2898" s="18"/>
    </row>
    <row r="2899" s="65" customFormat="1" ht="13.5" spans="1:13">
      <c r="A2899" s="66"/>
      <c r="E2899" s="72" t="s">
        <v>2974</v>
      </c>
      <c r="F2899" s="18"/>
      <c r="G2899" s="18"/>
      <c r="H2899" s="18"/>
      <c r="I2899" s="18"/>
      <c r="J2899" s="18"/>
      <c r="K2899" s="18"/>
      <c r="L2899" s="18"/>
      <c r="M2899" s="18"/>
    </row>
    <row r="2900" s="65" customFormat="1" ht="13.5" spans="1:13">
      <c r="A2900" s="66"/>
      <c r="E2900" s="72" t="s">
        <v>2975</v>
      </c>
      <c r="F2900" s="18"/>
      <c r="G2900" s="18"/>
      <c r="H2900" s="18"/>
      <c r="I2900" s="18"/>
      <c r="J2900" s="18"/>
      <c r="K2900" s="18"/>
      <c r="L2900" s="18"/>
      <c r="M2900" s="18"/>
    </row>
    <row r="2901" s="65" customFormat="1" ht="13.5" spans="1:13">
      <c r="A2901" s="66"/>
      <c r="E2901" s="72" t="s">
        <v>2976</v>
      </c>
      <c r="F2901" s="18"/>
      <c r="G2901" s="18"/>
      <c r="H2901" s="18"/>
      <c r="I2901" s="18"/>
      <c r="J2901" s="18"/>
      <c r="K2901" s="18"/>
      <c r="L2901" s="18"/>
      <c r="M2901" s="18"/>
    </row>
    <row r="2902" s="65" customFormat="1" ht="13.5" spans="1:13">
      <c r="A2902" s="66"/>
      <c r="E2902" s="72" t="s">
        <v>2977</v>
      </c>
      <c r="F2902" s="18"/>
      <c r="G2902" s="18"/>
      <c r="H2902" s="18"/>
      <c r="I2902" s="18"/>
      <c r="J2902" s="18"/>
      <c r="K2902" s="18"/>
      <c r="L2902" s="18"/>
      <c r="M2902" s="18"/>
    </row>
    <row r="2903" s="65" customFormat="1" ht="13.5" spans="1:13">
      <c r="A2903" s="66"/>
      <c r="E2903" s="72" t="s">
        <v>2978</v>
      </c>
      <c r="F2903" s="18"/>
      <c r="G2903" s="18"/>
      <c r="H2903" s="18"/>
      <c r="I2903" s="18"/>
      <c r="J2903" s="18"/>
      <c r="K2903" s="18"/>
      <c r="L2903" s="18"/>
      <c r="M2903" s="18"/>
    </row>
    <row r="2904" s="65" customFormat="1" ht="13.5" spans="1:13">
      <c r="A2904" s="66"/>
      <c r="E2904" s="72" t="s">
        <v>2979</v>
      </c>
      <c r="F2904" s="18"/>
      <c r="G2904" s="18"/>
      <c r="H2904" s="18"/>
      <c r="I2904" s="18"/>
      <c r="J2904" s="18"/>
      <c r="K2904" s="18"/>
      <c r="L2904" s="18"/>
      <c r="M2904" s="18"/>
    </row>
    <row r="2905" s="65" customFormat="1" ht="13.5" spans="1:13">
      <c r="A2905" s="66"/>
      <c r="E2905" s="72" t="s">
        <v>2980</v>
      </c>
      <c r="F2905" s="18"/>
      <c r="G2905" s="18"/>
      <c r="H2905" s="18"/>
      <c r="I2905" s="18"/>
      <c r="J2905" s="18"/>
      <c r="K2905" s="18"/>
      <c r="L2905" s="18"/>
      <c r="M2905" s="18"/>
    </row>
    <row r="2906" s="65" customFormat="1" ht="13.5" spans="1:13">
      <c r="A2906" s="66"/>
      <c r="E2906" s="72" t="s">
        <v>2981</v>
      </c>
      <c r="F2906" s="18"/>
      <c r="G2906" s="18"/>
      <c r="H2906" s="18"/>
      <c r="I2906" s="18"/>
      <c r="J2906" s="18"/>
      <c r="K2906" s="18"/>
      <c r="L2906" s="18"/>
      <c r="M2906" s="18"/>
    </row>
    <row r="2907" s="65" customFormat="1" ht="13.5" spans="1:13">
      <c r="A2907" s="66"/>
      <c r="E2907" s="72" t="s">
        <v>2982</v>
      </c>
      <c r="F2907" s="18"/>
      <c r="G2907" s="18"/>
      <c r="H2907" s="18"/>
      <c r="I2907" s="18"/>
      <c r="J2907" s="18"/>
      <c r="K2907" s="18"/>
      <c r="L2907" s="18"/>
      <c r="M2907" s="18"/>
    </row>
    <row r="2908" s="65" customFormat="1" ht="13.5" spans="1:13">
      <c r="A2908" s="66"/>
      <c r="E2908" s="72" t="s">
        <v>2983</v>
      </c>
      <c r="F2908" s="18"/>
      <c r="G2908" s="18"/>
      <c r="H2908" s="18"/>
      <c r="I2908" s="18"/>
      <c r="J2908" s="18"/>
      <c r="K2908" s="18"/>
      <c r="L2908" s="18"/>
      <c r="M2908" s="18"/>
    </row>
    <row r="2909" s="65" customFormat="1" ht="13.5" spans="1:13">
      <c r="A2909" s="66"/>
      <c r="E2909" s="72" t="s">
        <v>2984</v>
      </c>
      <c r="F2909" s="18"/>
      <c r="G2909" s="18"/>
      <c r="H2909" s="18"/>
      <c r="I2909" s="18"/>
      <c r="J2909" s="18"/>
      <c r="K2909" s="18"/>
      <c r="L2909" s="18"/>
      <c r="M2909" s="18"/>
    </row>
    <row r="2910" s="65" customFormat="1" ht="13.5" spans="1:13">
      <c r="A2910" s="66"/>
      <c r="E2910" s="72" t="s">
        <v>2985</v>
      </c>
      <c r="F2910" s="18"/>
      <c r="G2910" s="18"/>
      <c r="H2910" s="18"/>
      <c r="I2910" s="18"/>
      <c r="J2910" s="18"/>
      <c r="K2910" s="18"/>
      <c r="L2910" s="18"/>
      <c r="M2910" s="18"/>
    </row>
    <row r="2911" s="65" customFormat="1" ht="13.5" spans="1:13">
      <c r="A2911" s="66"/>
      <c r="E2911" s="72" t="s">
        <v>2986</v>
      </c>
      <c r="F2911" s="18"/>
      <c r="G2911" s="18"/>
      <c r="H2911" s="18"/>
      <c r="I2911" s="18"/>
      <c r="J2911" s="18"/>
      <c r="K2911" s="18"/>
      <c r="L2911" s="18"/>
      <c r="M2911" s="18"/>
    </row>
    <row r="2912" s="65" customFormat="1" ht="13.5" spans="1:13">
      <c r="A2912" s="66"/>
      <c r="E2912" s="72" t="s">
        <v>2987</v>
      </c>
      <c r="F2912" s="18"/>
      <c r="G2912" s="18"/>
      <c r="H2912" s="18"/>
      <c r="I2912" s="18"/>
      <c r="J2912" s="18"/>
      <c r="K2912" s="18"/>
      <c r="L2912" s="18"/>
      <c r="M2912" s="18"/>
    </row>
    <row r="2913" s="65" customFormat="1" ht="13.5" spans="1:13">
      <c r="A2913" s="66"/>
      <c r="E2913" s="72" t="s">
        <v>2988</v>
      </c>
      <c r="F2913" s="18"/>
      <c r="G2913" s="18"/>
      <c r="H2913" s="18"/>
      <c r="I2913" s="18"/>
      <c r="J2913" s="18"/>
      <c r="K2913" s="18"/>
      <c r="L2913" s="18"/>
      <c r="M2913" s="18"/>
    </row>
    <row r="2914" s="65" customFormat="1" ht="13.5" spans="1:13">
      <c r="A2914" s="66"/>
      <c r="E2914" s="72" t="s">
        <v>2989</v>
      </c>
      <c r="F2914" s="18"/>
      <c r="G2914" s="18"/>
      <c r="H2914" s="18"/>
      <c r="I2914" s="18"/>
      <c r="J2914" s="18"/>
      <c r="K2914" s="18"/>
      <c r="L2914" s="18"/>
      <c r="M2914" s="18"/>
    </row>
    <row r="2915" s="65" customFormat="1" ht="13.5" spans="1:13">
      <c r="A2915" s="66"/>
      <c r="E2915" s="72" t="s">
        <v>2990</v>
      </c>
      <c r="F2915" s="18"/>
      <c r="G2915" s="18"/>
      <c r="H2915" s="18"/>
      <c r="I2915" s="18"/>
      <c r="J2915" s="18"/>
      <c r="K2915" s="18"/>
      <c r="L2915" s="18"/>
      <c r="M2915" s="18"/>
    </row>
    <row r="2916" s="65" customFormat="1" ht="13.5" spans="1:13">
      <c r="A2916" s="66"/>
      <c r="E2916" s="72" t="s">
        <v>2991</v>
      </c>
      <c r="F2916" s="18"/>
      <c r="G2916" s="18"/>
      <c r="H2916" s="18"/>
      <c r="I2916" s="18"/>
      <c r="J2916" s="18"/>
      <c r="K2916" s="18"/>
      <c r="L2916" s="18"/>
      <c r="M2916" s="18"/>
    </row>
    <row r="2917" s="65" customFormat="1" ht="13.5" spans="1:13">
      <c r="A2917" s="66"/>
      <c r="E2917" s="72" t="s">
        <v>2992</v>
      </c>
      <c r="F2917" s="18"/>
      <c r="G2917" s="18"/>
      <c r="H2917" s="18"/>
      <c r="I2917" s="18"/>
      <c r="J2917" s="18"/>
      <c r="K2917" s="18"/>
      <c r="L2917" s="18"/>
      <c r="M2917" s="18"/>
    </row>
    <row r="2918" s="65" customFormat="1" ht="13.5" spans="1:13">
      <c r="A2918" s="66"/>
      <c r="E2918" s="72" t="s">
        <v>2993</v>
      </c>
      <c r="F2918" s="18"/>
      <c r="G2918" s="18"/>
      <c r="H2918" s="18"/>
      <c r="I2918" s="18"/>
      <c r="J2918" s="18"/>
      <c r="K2918" s="18"/>
      <c r="L2918" s="18"/>
      <c r="M2918" s="18"/>
    </row>
    <row r="2919" s="65" customFormat="1" ht="13.5" spans="1:13">
      <c r="A2919" s="66"/>
      <c r="E2919" s="72" t="s">
        <v>2994</v>
      </c>
      <c r="F2919" s="18"/>
      <c r="G2919" s="18"/>
      <c r="H2919" s="18"/>
      <c r="I2919" s="18"/>
      <c r="J2919" s="18"/>
      <c r="K2919" s="18"/>
      <c r="L2919" s="18"/>
      <c r="M2919" s="18"/>
    </row>
    <row r="2920" s="65" customFormat="1" ht="13.5" spans="1:13">
      <c r="A2920" s="66"/>
      <c r="E2920" s="72" t="s">
        <v>2995</v>
      </c>
      <c r="F2920" s="18"/>
      <c r="G2920" s="18"/>
      <c r="H2920" s="18"/>
      <c r="I2920" s="18"/>
      <c r="J2920" s="18"/>
      <c r="K2920" s="18"/>
      <c r="L2920" s="18"/>
      <c r="M2920" s="18"/>
    </row>
    <row r="2921" s="65" customFormat="1" ht="13.5" spans="1:13">
      <c r="A2921" s="66"/>
      <c r="E2921" s="72" t="s">
        <v>2996</v>
      </c>
      <c r="F2921" s="18"/>
      <c r="G2921" s="18"/>
      <c r="H2921" s="18"/>
      <c r="I2921" s="18"/>
      <c r="J2921" s="18"/>
      <c r="K2921" s="18"/>
      <c r="L2921" s="18"/>
      <c r="M2921" s="18"/>
    </row>
    <row r="2922" s="65" customFormat="1" ht="13.5" spans="1:13">
      <c r="A2922" s="66"/>
      <c r="E2922" s="72" t="s">
        <v>2997</v>
      </c>
      <c r="F2922" s="18"/>
      <c r="G2922" s="18"/>
      <c r="H2922" s="18"/>
      <c r="I2922" s="18"/>
      <c r="J2922" s="18"/>
      <c r="K2922" s="18"/>
      <c r="L2922" s="18"/>
      <c r="M2922" s="18"/>
    </row>
    <row r="2923" s="65" customFormat="1" ht="13.5" spans="1:13">
      <c r="A2923" s="66"/>
      <c r="E2923" s="72" t="s">
        <v>2998</v>
      </c>
      <c r="F2923" s="18"/>
      <c r="G2923" s="18"/>
      <c r="H2923" s="18"/>
      <c r="I2923" s="18"/>
      <c r="J2923" s="18"/>
      <c r="K2923" s="18"/>
      <c r="L2923" s="18"/>
      <c r="M2923" s="18"/>
    </row>
    <row r="2924" s="65" customFormat="1" ht="13.5" spans="1:13">
      <c r="A2924" s="66"/>
      <c r="E2924" s="72" t="s">
        <v>2999</v>
      </c>
      <c r="F2924" s="18"/>
      <c r="G2924" s="18"/>
      <c r="H2924" s="18"/>
      <c r="I2924" s="18"/>
      <c r="J2924" s="18"/>
      <c r="K2924" s="18"/>
      <c r="L2924" s="18"/>
      <c r="M2924" s="18"/>
    </row>
    <row r="2925" s="65" customFormat="1" ht="13.5" spans="1:13">
      <c r="A2925" s="66"/>
      <c r="E2925" s="72" t="s">
        <v>3000</v>
      </c>
      <c r="F2925" s="18"/>
      <c r="G2925" s="18"/>
      <c r="H2925" s="18"/>
      <c r="I2925" s="18"/>
      <c r="J2925" s="18"/>
      <c r="K2925" s="18"/>
      <c r="L2925" s="18"/>
      <c r="M2925" s="18"/>
    </row>
    <row r="2926" s="65" customFormat="1" ht="13.5" spans="1:13">
      <c r="A2926" s="66"/>
      <c r="E2926" s="72" t="s">
        <v>3001</v>
      </c>
      <c r="F2926" s="18"/>
      <c r="G2926" s="18"/>
      <c r="H2926" s="18"/>
      <c r="I2926" s="18"/>
      <c r="J2926" s="18"/>
      <c r="K2926" s="18"/>
      <c r="L2926" s="18"/>
      <c r="M2926" s="18"/>
    </row>
    <row r="2927" s="65" customFormat="1" ht="13.5" spans="1:13">
      <c r="A2927" s="66"/>
      <c r="E2927" s="72" t="s">
        <v>3002</v>
      </c>
      <c r="F2927" s="18"/>
      <c r="G2927" s="18"/>
      <c r="H2927" s="18"/>
      <c r="I2927" s="18"/>
      <c r="J2927" s="18"/>
      <c r="K2927" s="18"/>
      <c r="L2927" s="18"/>
      <c r="M2927" s="18"/>
    </row>
    <row r="2928" s="65" customFormat="1" ht="13.5" spans="1:13">
      <c r="A2928" s="66"/>
      <c r="E2928" s="72" t="s">
        <v>3003</v>
      </c>
      <c r="F2928" s="18"/>
      <c r="G2928" s="18"/>
      <c r="H2928" s="18"/>
      <c r="I2928" s="18"/>
      <c r="J2928" s="18"/>
      <c r="K2928" s="18"/>
      <c r="L2928" s="18"/>
      <c r="M2928" s="18"/>
    </row>
    <row r="2929" s="65" customFormat="1" ht="13.5" spans="1:13">
      <c r="A2929" s="66"/>
      <c r="E2929" s="72" t="s">
        <v>3004</v>
      </c>
      <c r="F2929" s="18"/>
      <c r="G2929" s="18"/>
      <c r="H2929" s="18"/>
      <c r="I2929" s="18"/>
      <c r="J2929" s="18"/>
      <c r="K2929" s="18"/>
      <c r="L2929" s="18"/>
      <c r="M2929" s="18"/>
    </row>
    <row r="2930" s="65" customFormat="1" ht="13.5" spans="1:13">
      <c r="A2930" s="66"/>
      <c r="E2930" s="72" t="s">
        <v>3005</v>
      </c>
      <c r="F2930" s="18"/>
      <c r="G2930" s="18"/>
      <c r="H2930" s="18"/>
      <c r="I2930" s="18"/>
      <c r="J2930" s="18"/>
      <c r="K2930" s="18"/>
      <c r="L2930" s="18"/>
      <c r="M2930" s="18"/>
    </row>
    <row r="2931" s="65" customFormat="1" ht="13.5" spans="1:13">
      <c r="A2931" s="66"/>
      <c r="E2931" s="72" t="s">
        <v>3006</v>
      </c>
      <c r="F2931" s="18"/>
      <c r="G2931" s="18"/>
      <c r="H2931" s="18"/>
      <c r="I2931" s="18"/>
      <c r="J2931" s="18"/>
      <c r="K2931" s="18"/>
      <c r="L2931" s="18"/>
      <c r="M2931" s="18"/>
    </row>
    <row r="2932" s="65" customFormat="1" ht="13.5" spans="1:13">
      <c r="A2932" s="66"/>
      <c r="E2932" s="72" t="s">
        <v>3007</v>
      </c>
      <c r="F2932" s="18"/>
      <c r="G2932" s="18"/>
      <c r="H2932" s="18"/>
      <c r="I2932" s="18"/>
      <c r="J2932" s="18"/>
      <c r="K2932" s="18"/>
      <c r="L2932" s="18"/>
      <c r="M2932" s="18"/>
    </row>
    <row r="2933" s="65" customFormat="1" ht="13.5" spans="1:13">
      <c r="A2933" s="66"/>
      <c r="E2933" s="72" t="s">
        <v>3008</v>
      </c>
      <c r="F2933" s="18"/>
      <c r="G2933" s="18"/>
      <c r="H2933" s="18"/>
      <c r="I2933" s="18"/>
      <c r="J2933" s="18"/>
      <c r="K2933" s="18"/>
      <c r="L2933" s="18"/>
      <c r="M2933" s="18"/>
    </row>
    <row r="2934" s="65" customFormat="1" ht="13.5" spans="1:13">
      <c r="A2934" s="66"/>
      <c r="E2934" s="72" t="s">
        <v>3009</v>
      </c>
      <c r="F2934" s="18"/>
      <c r="G2934" s="18"/>
      <c r="H2934" s="18"/>
      <c r="I2934" s="18"/>
      <c r="J2934" s="18"/>
      <c r="K2934" s="18"/>
      <c r="L2934" s="18"/>
      <c r="M2934" s="18"/>
    </row>
    <row r="2935" s="65" customFormat="1" ht="13.5" spans="1:13">
      <c r="A2935" s="66"/>
      <c r="E2935" s="72" t="s">
        <v>3010</v>
      </c>
      <c r="F2935" s="18"/>
      <c r="G2935" s="18"/>
      <c r="H2935" s="18"/>
      <c r="I2935" s="18"/>
      <c r="J2935" s="18"/>
      <c r="K2935" s="18"/>
      <c r="L2935" s="18"/>
      <c r="M2935" s="18"/>
    </row>
    <row r="2936" s="65" customFormat="1" ht="13.5" spans="1:13">
      <c r="A2936" s="66"/>
      <c r="E2936" s="72" t="s">
        <v>3011</v>
      </c>
      <c r="F2936" s="18"/>
      <c r="G2936" s="18"/>
      <c r="H2936" s="18"/>
      <c r="I2936" s="18"/>
      <c r="J2936" s="18"/>
      <c r="K2936" s="18"/>
      <c r="L2936" s="18"/>
      <c r="M2936" s="18"/>
    </row>
    <row r="2937" s="65" customFormat="1" ht="13.5" spans="1:13">
      <c r="A2937" s="66"/>
      <c r="E2937" s="72" t="s">
        <v>3012</v>
      </c>
      <c r="F2937" s="18"/>
      <c r="G2937" s="18"/>
      <c r="H2937" s="18"/>
      <c r="I2937" s="18"/>
      <c r="J2937" s="18"/>
      <c r="K2937" s="18"/>
      <c r="L2937" s="18"/>
      <c r="M2937" s="18"/>
    </row>
    <row r="2938" s="65" customFormat="1" ht="13.5" spans="1:13">
      <c r="A2938" s="66"/>
      <c r="E2938" s="72" t="s">
        <v>3013</v>
      </c>
      <c r="F2938" s="18"/>
      <c r="G2938" s="18"/>
      <c r="H2938" s="18"/>
      <c r="I2938" s="18"/>
      <c r="J2938" s="18"/>
      <c r="K2938" s="18"/>
      <c r="L2938" s="18"/>
      <c r="M2938" s="18"/>
    </row>
    <row r="2939" s="65" customFormat="1" ht="13.5" spans="1:13">
      <c r="A2939" s="66"/>
      <c r="E2939" s="72" t="s">
        <v>3014</v>
      </c>
      <c r="F2939" s="18"/>
      <c r="G2939" s="18"/>
      <c r="H2939" s="18"/>
      <c r="I2939" s="18"/>
      <c r="J2939" s="18"/>
      <c r="K2939" s="18"/>
      <c r="L2939" s="18"/>
      <c r="M2939" s="18"/>
    </row>
    <row r="2940" s="65" customFormat="1" ht="13.5" spans="1:13">
      <c r="A2940" s="66"/>
      <c r="E2940" s="72" t="s">
        <v>3015</v>
      </c>
      <c r="F2940" s="18"/>
      <c r="G2940" s="18"/>
      <c r="H2940" s="18"/>
      <c r="I2940" s="18"/>
      <c r="J2940" s="18"/>
      <c r="K2940" s="18"/>
      <c r="L2940" s="18"/>
      <c r="M2940" s="18"/>
    </row>
    <row r="2941" s="65" customFormat="1" ht="13.5" spans="1:13">
      <c r="A2941" s="66"/>
      <c r="E2941" s="72" t="s">
        <v>3016</v>
      </c>
      <c r="F2941" s="18"/>
      <c r="G2941" s="18"/>
      <c r="H2941" s="18"/>
      <c r="I2941" s="18"/>
      <c r="J2941" s="18"/>
      <c r="K2941" s="18"/>
      <c r="L2941" s="18"/>
      <c r="M2941" s="18"/>
    </row>
    <row r="2942" s="65" customFormat="1" ht="13.5" spans="1:13">
      <c r="A2942" s="66"/>
      <c r="E2942" s="72" t="s">
        <v>3017</v>
      </c>
      <c r="F2942" s="18"/>
      <c r="G2942" s="18"/>
      <c r="H2942" s="18"/>
      <c r="I2942" s="18"/>
      <c r="J2942" s="18"/>
      <c r="K2942" s="18"/>
      <c r="L2942" s="18"/>
      <c r="M2942" s="18"/>
    </row>
    <row r="2943" s="65" customFormat="1" ht="13.5" spans="1:13">
      <c r="A2943" s="66"/>
      <c r="E2943" s="72" t="s">
        <v>3018</v>
      </c>
      <c r="F2943" s="18"/>
      <c r="G2943" s="18"/>
      <c r="H2943" s="18"/>
      <c r="I2943" s="18"/>
      <c r="J2943" s="18"/>
      <c r="K2943" s="18"/>
      <c r="L2943" s="18"/>
      <c r="M2943" s="18"/>
    </row>
    <row r="2944" s="65" customFormat="1" ht="13.5" spans="1:13">
      <c r="A2944" s="66"/>
      <c r="E2944" s="72" t="s">
        <v>3019</v>
      </c>
      <c r="F2944" s="18"/>
      <c r="G2944" s="18"/>
      <c r="H2944" s="18"/>
      <c r="I2944" s="18"/>
      <c r="J2944" s="18"/>
      <c r="K2944" s="18"/>
      <c r="L2944" s="18"/>
      <c r="M2944" s="18"/>
    </row>
    <row r="2945" s="65" customFormat="1" ht="13.5" spans="1:13">
      <c r="A2945" s="66"/>
      <c r="E2945" s="72" t="s">
        <v>3020</v>
      </c>
      <c r="F2945" s="18"/>
      <c r="G2945" s="18"/>
      <c r="H2945" s="18"/>
      <c r="I2945" s="18"/>
      <c r="J2945" s="18"/>
      <c r="K2945" s="18"/>
      <c r="L2945" s="18"/>
      <c r="M2945" s="18"/>
    </row>
    <row r="2946" s="65" customFormat="1" ht="13.5" spans="1:13">
      <c r="A2946" s="66"/>
      <c r="E2946" s="72" t="s">
        <v>3021</v>
      </c>
      <c r="F2946" s="18"/>
      <c r="G2946" s="18"/>
      <c r="H2946" s="18"/>
      <c r="I2946" s="18"/>
      <c r="J2946" s="18"/>
      <c r="K2946" s="18"/>
      <c r="L2946" s="18"/>
      <c r="M2946" s="18"/>
    </row>
    <row r="2947" s="65" customFormat="1" ht="13.5" spans="1:13">
      <c r="A2947" s="66"/>
      <c r="E2947" s="72" t="s">
        <v>3022</v>
      </c>
      <c r="F2947" s="18"/>
      <c r="G2947" s="18"/>
      <c r="H2947" s="18"/>
      <c r="I2947" s="18"/>
      <c r="J2947" s="18"/>
      <c r="K2947" s="18"/>
      <c r="L2947" s="18"/>
      <c r="M2947" s="18"/>
    </row>
    <row r="2948" s="65" customFormat="1" ht="13.5" spans="1:13">
      <c r="A2948" s="66"/>
      <c r="E2948" s="72" t="s">
        <v>3023</v>
      </c>
      <c r="F2948" s="18"/>
      <c r="G2948" s="18"/>
      <c r="H2948" s="18"/>
      <c r="I2948" s="18"/>
      <c r="J2948" s="18"/>
      <c r="K2948" s="18"/>
      <c r="L2948" s="18"/>
      <c r="M2948" s="18"/>
    </row>
    <row r="2949" s="65" customFormat="1" ht="13.5" spans="1:13">
      <c r="A2949" s="66"/>
      <c r="E2949" s="72" t="s">
        <v>3024</v>
      </c>
      <c r="F2949" s="18"/>
      <c r="G2949" s="18"/>
      <c r="H2949" s="18"/>
      <c r="I2949" s="18"/>
      <c r="J2949" s="18"/>
      <c r="K2949" s="18"/>
      <c r="L2949" s="18"/>
      <c r="M2949" s="18"/>
    </row>
    <row r="2950" s="65" customFormat="1" ht="13.5" spans="1:13">
      <c r="A2950" s="66"/>
      <c r="E2950" s="72" t="s">
        <v>3025</v>
      </c>
      <c r="F2950" s="18"/>
      <c r="G2950" s="18"/>
      <c r="H2950" s="18"/>
      <c r="I2950" s="18"/>
      <c r="J2950" s="18"/>
      <c r="K2950" s="18"/>
      <c r="L2950" s="18"/>
      <c r="M2950" s="18"/>
    </row>
    <row r="2951" s="65" customFormat="1" ht="13.5" spans="1:13">
      <c r="A2951" s="66"/>
      <c r="E2951" s="72" t="s">
        <v>3026</v>
      </c>
      <c r="F2951" s="18"/>
      <c r="G2951" s="18"/>
      <c r="H2951" s="18"/>
      <c r="I2951" s="18"/>
      <c r="J2951" s="18"/>
      <c r="K2951" s="18"/>
      <c r="L2951" s="18"/>
      <c r="M2951" s="18"/>
    </row>
    <row r="2952" s="65" customFormat="1" ht="13.5" spans="1:13">
      <c r="A2952" s="66"/>
      <c r="E2952" s="72" t="s">
        <v>3027</v>
      </c>
      <c r="F2952" s="18"/>
      <c r="G2952" s="18"/>
      <c r="H2952" s="18"/>
      <c r="I2952" s="18"/>
      <c r="J2952" s="18"/>
      <c r="K2952" s="18"/>
      <c r="L2952" s="18"/>
      <c r="M2952" s="18"/>
    </row>
    <row r="2953" s="65" customFormat="1" ht="13.5" spans="1:13">
      <c r="A2953" s="66"/>
      <c r="E2953" s="72" t="s">
        <v>3028</v>
      </c>
      <c r="F2953" s="18"/>
      <c r="G2953" s="18"/>
      <c r="H2953" s="18"/>
      <c r="I2953" s="18"/>
      <c r="J2953" s="18"/>
      <c r="K2953" s="18"/>
      <c r="L2953" s="18"/>
      <c r="M2953" s="18"/>
    </row>
    <row r="2954" s="65" customFormat="1" ht="13.5" spans="1:13">
      <c r="A2954" s="66"/>
      <c r="E2954" s="72" t="s">
        <v>3029</v>
      </c>
      <c r="F2954" s="18"/>
      <c r="G2954" s="18"/>
      <c r="H2954" s="18"/>
      <c r="I2954" s="18"/>
      <c r="J2954" s="18"/>
      <c r="K2954" s="18"/>
      <c r="L2954" s="18"/>
      <c r="M2954" s="18"/>
    </row>
    <row r="2955" s="65" customFormat="1" ht="13.5" spans="1:13">
      <c r="A2955" s="66"/>
      <c r="E2955" s="72" t="s">
        <v>3030</v>
      </c>
      <c r="F2955" s="18"/>
      <c r="G2955" s="18"/>
      <c r="H2955" s="18"/>
      <c r="I2955" s="18"/>
      <c r="J2955" s="18"/>
      <c r="K2955" s="18"/>
      <c r="L2955" s="18"/>
      <c r="M2955" s="18"/>
    </row>
    <row r="2956" s="65" customFormat="1" ht="13.5" spans="1:13">
      <c r="A2956" s="66"/>
      <c r="E2956" s="72" t="s">
        <v>3031</v>
      </c>
      <c r="F2956" s="18"/>
      <c r="G2956" s="18"/>
      <c r="H2956" s="18"/>
      <c r="I2956" s="18"/>
      <c r="J2956" s="18"/>
      <c r="K2956" s="18"/>
      <c r="L2956" s="18"/>
      <c r="M2956" s="18"/>
    </row>
    <row r="2957" s="65" customFormat="1" ht="13.5" spans="1:13">
      <c r="A2957" s="66"/>
      <c r="E2957" s="72" t="s">
        <v>3032</v>
      </c>
      <c r="F2957" s="18"/>
      <c r="G2957" s="18"/>
      <c r="H2957" s="18"/>
      <c r="I2957" s="18"/>
      <c r="J2957" s="18"/>
      <c r="K2957" s="18"/>
      <c r="L2957" s="18"/>
      <c r="M2957" s="18"/>
    </row>
    <row r="2958" s="65" customFormat="1" ht="13.5" spans="1:13">
      <c r="A2958" s="66"/>
      <c r="E2958" s="72" t="s">
        <v>3033</v>
      </c>
      <c r="F2958" s="18"/>
      <c r="G2958" s="18"/>
      <c r="H2958" s="18"/>
      <c r="I2958" s="18"/>
      <c r="J2958" s="18"/>
      <c r="K2958" s="18"/>
      <c r="L2958" s="18"/>
      <c r="M2958" s="18"/>
    </row>
    <row r="2959" s="65" customFormat="1" ht="13.5" spans="1:13">
      <c r="A2959" s="66"/>
      <c r="E2959" s="72" t="s">
        <v>3034</v>
      </c>
      <c r="F2959" s="18"/>
      <c r="G2959" s="18"/>
      <c r="H2959" s="18"/>
      <c r="I2959" s="18"/>
      <c r="J2959" s="18"/>
      <c r="K2959" s="18"/>
      <c r="L2959" s="18"/>
      <c r="M2959" s="18"/>
    </row>
    <row r="2960" s="65" customFormat="1" ht="13.5" spans="1:13">
      <c r="A2960" s="66"/>
      <c r="E2960" s="72" t="s">
        <v>3035</v>
      </c>
      <c r="F2960" s="18"/>
      <c r="G2960" s="18"/>
      <c r="H2960" s="18"/>
      <c r="I2960" s="18"/>
      <c r="J2960" s="18"/>
      <c r="K2960" s="18"/>
      <c r="L2960" s="18"/>
      <c r="M2960" s="18"/>
    </row>
    <row r="2961" s="65" customFormat="1" ht="13.5" spans="1:13">
      <c r="A2961" s="66"/>
      <c r="E2961" s="72" t="s">
        <v>3036</v>
      </c>
      <c r="F2961" s="18"/>
      <c r="G2961" s="18"/>
      <c r="H2961" s="18"/>
      <c r="I2961" s="18"/>
      <c r="J2961" s="18"/>
      <c r="K2961" s="18"/>
      <c r="L2961" s="18"/>
      <c r="M2961" s="18"/>
    </row>
    <row r="2962" s="65" customFormat="1" ht="13.5" spans="1:13">
      <c r="A2962" s="66"/>
      <c r="E2962" s="72" t="s">
        <v>3037</v>
      </c>
      <c r="F2962" s="18"/>
      <c r="G2962" s="18"/>
      <c r="H2962" s="18"/>
      <c r="I2962" s="18"/>
      <c r="J2962" s="18"/>
      <c r="K2962" s="18"/>
      <c r="L2962" s="18"/>
      <c r="M2962" s="18"/>
    </row>
    <row r="2963" s="65" customFormat="1" ht="13.5" spans="1:13">
      <c r="A2963" s="66"/>
      <c r="E2963" s="72" t="s">
        <v>3038</v>
      </c>
      <c r="F2963" s="18"/>
      <c r="G2963" s="18"/>
      <c r="H2963" s="18"/>
      <c r="I2963" s="18"/>
      <c r="J2963" s="18"/>
      <c r="K2963" s="18"/>
      <c r="L2963" s="18"/>
      <c r="M2963" s="18"/>
    </row>
    <row r="2964" s="65" customFormat="1" ht="13.5" spans="1:13">
      <c r="A2964" s="66"/>
      <c r="E2964" s="72" t="s">
        <v>3039</v>
      </c>
      <c r="F2964" s="18"/>
      <c r="G2964" s="18"/>
      <c r="H2964" s="18"/>
      <c r="I2964" s="18"/>
      <c r="J2964" s="18"/>
      <c r="K2964" s="18"/>
      <c r="L2964" s="18"/>
      <c r="M2964" s="18"/>
    </row>
    <row r="2965" s="65" customFormat="1" ht="13.5" spans="1:13">
      <c r="A2965" s="66"/>
      <c r="E2965" s="72" t="s">
        <v>3040</v>
      </c>
      <c r="F2965" s="18"/>
      <c r="G2965" s="18"/>
      <c r="H2965" s="18"/>
      <c r="I2965" s="18"/>
      <c r="J2965" s="18"/>
      <c r="K2965" s="18"/>
      <c r="L2965" s="18"/>
      <c r="M2965" s="18"/>
    </row>
    <row r="2966" s="65" customFormat="1" ht="13.5" spans="1:13">
      <c r="A2966" s="66"/>
      <c r="E2966" s="72" t="s">
        <v>3041</v>
      </c>
      <c r="F2966" s="18"/>
      <c r="G2966" s="18"/>
      <c r="H2966" s="18"/>
      <c r="I2966" s="18"/>
      <c r="J2966" s="18"/>
      <c r="K2966" s="18"/>
      <c r="L2966" s="18"/>
      <c r="M2966" s="18"/>
    </row>
    <row r="2967" s="65" customFormat="1" ht="13.5" spans="1:13">
      <c r="A2967" s="66"/>
      <c r="E2967" s="72" t="s">
        <v>3042</v>
      </c>
      <c r="F2967" s="18"/>
      <c r="G2967" s="18"/>
      <c r="H2967" s="18"/>
      <c r="I2967" s="18"/>
      <c r="J2967" s="18"/>
      <c r="K2967" s="18"/>
      <c r="L2967" s="18"/>
      <c r="M2967" s="18"/>
    </row>
    <row r="2968" s="65" customFormat="1" ht="13.5" spans="1:13">
      <c r="A2968" s="66"/>
      <c r="E2968" s="72" t="s">
        <v>3043</v>
      </c>
      <c r="F2968" s="18"/>
      <c r="G2968" s="18"/>
      <c r="H2968" s="18"/>
      <c r="I2968" s="18"/>
      <c r="J2968" s="18"/>
      <c r="K2968" s="18"/>
      <c r="L2968" s="18"/>
      <c r="M2968" s="18"/>
    </row>
    <row r="2969" s="65" customFormat="1" ht="13.5" spans="1:13">
      <c r="A2969" s="66"/>
      <c r="E2969" s="72" t="s">
        <v>3044</v>
      </c>
      <c r="F2969" s="18"/>
      <c r="G2969" s="18"/>
      <c r="H2969" s="18"/>
      <c r="I2969" s="18"/>
      <c r="J2969" s="18"/>
      <c r="K2969" s="18"/>
      <c r="L2969" s="18"/>
      <c r="M2969" s="18"/>
    </row>
    <row r="2970" s="65" customFormat="1" ht="13.5" spans="1:13">
      <c r="A2970" s="66"/>
      <c r="E2970" s="72" t="s">
        <v>3045</v>
      </c>
      <c r="F2970" s="18"/>
      <c r="G2970" s="18"/>
      <c r="H2970" s="18"/>
      <c r="I2970" s="18"/>
      <c r="J2970" s="18"/>
      <c r="K2970" s="18"/>
      <c r="L2970" s="18"/>
      <c r="M2970" s="18"/>
    </row>
    <row r="2971" s="65" customFormat="1" ht="13.5" spans="1:13">
      <c r="A2971" s="66"/>
      <c r="E2971" s="72" t="s">
        <v>3046</v>
      </c>
      <c r="F2971" s="18"/>
      <c r="G2971" s="18"/>
      <c r="H2971" s="18"/>
      <c r="I2971" s="18"/>
      <c r="J2971" s="18"/>
      <c r="K2971" s="18"/>
      <c r="L2971" s="18"/>
      <c r="M2971" s="18"/>
    </row>
    <row r="2972" s="65" customFormat="1" ht="13.5" spans="1:13">
      <c r="A2972" s="66"/>
      <c r="E2972" s="72" t="s">
        <v>3047</v>
      </c>
      <c r="F2972" s="18"/>
      <c r="G2972" s="18"/>
      <c r="H2972" s="18"/>
      <c r="I2972" s="18"/>
      <c r="J2972" s="18"/>
      <c r="K2972" s="18"/>
      <c r="L2972" s="18"/>
      <c r="M2972" s="18"/>
    </row>
    <row r="2973" s="65" customFormat="1" ht="13.5" spans="1:13">
      <c r="A2973" s="66"/>
      <c r="E2973" s="72" t="s">
        <v>3048</v>
      </c>
      <c r="F2973" s="18"/>
      <c r="G2973" s="18"/>
      <c r="H2973" s="18"/>
      <c r="I2973" s="18"/>
      <c r="J2973" s="18"/>
      <c r="K2973" s="18"/>
      <c r="L2973" s="18"/>
      <c r="M2973" s="18"/>
    </row>
    <row r="2974" s="65" customFormat="1" ht="13.5" spans="1:13">
      <c r="A2974" s="66"/>
      <c r="E2974" s="72" t="s">
        <v>3049</v>
      </c>
      <c r="F2974" s="18"/>
      <c r="G2974" s="18"/>
      <c r="H2974" s="18"/>
      <c r="I2974" s="18"/>
      <c r="J2974" s="18"/>
      <c r="K2974" s="18"/>
      <c r="L2974" s="18"/>
      <c r="M2974" s="18"/>
    </row>
    <row r="2975" s="65" customFormat="1" ht="13.5" spans="1:13">
      <c r="A2975" s="66"/>
      <c r="E2975" s="72" t="s">
        <v>3050</v>
      </c>
      <c r="F2975" s="18"/>
      <c r="G2975" s="18"/>
      <c r="H2975" s="18"/>
      <c r="I2975" s="18"/>
      <c r="J2975" s="18"/>
      <c r="K2975" s="18"/>
      <c r="L2975" s="18"/>
      <c r="M2975" s="18"/>
    </row>
    <row r="2976" s="65" customFormat="1" ht="13.5" spans="1:13">
      <c r="A2976" s="66"/>
      <c r="E2976" s="72" t="s">
        <v>3051</v>
      </c>
      <c r="F2976" s="18"/>
      <c r="G2976" s="18"/>
      <c r="H2976" s="18"/>
      <c r="I2976" s="18"/>
      <c r="J2976" s="18"/>
      <c r="K2976" s="18"/>
      <c r="L2976" s="18"/>
      <c r="M2976" s="18"/>
    </row>
    <row r="2977" s="65" customFormat="1" ht="13.5" spans="1:13">
      <c r="A2977" s="66"/>
      <c r="E2977" s="72" t="s">
        <v>3052</v>
      </c>
      <c r="F2977" s="18"/>
      <c r="G2977" s="18"/>
      <c r="H2977" s="18"/>
      <c r="I2977" s="18"/>
      <c r="J2977" s="18"/>
      <c r="K2977" s="18"/>
      <c r="L2977" s="18"/>
      <c r="M2977" s="18"/>
    </row>
    <row r="2978" s="65" customFormat="1" ht="13.5" spans="1:13">
      <c r="A2978" s="66"/>
      <c r="E2978" s="72" t="s">
        <v>3053</v>
      </c>
      <c r="F2978" s="18"/>
      <c r="G2978" s="18"/>
      <c r="H2978" s="18"/>
      <c r="I2978" s="18"/>
      <c r="J2978" s="18"/>
      <c r="K2978" s="18"/>
      <c r="L2978" s="18"/>
      <c r="M2978" s="18"/>
    </row>
    <row r="2979" s="65" customFormat="1" ht="13.5" spans="1:13">
      <c r="A2979" s="66"/>
      <c r="E2979" s="72" t="s">
        <v>3054</v>
      </c>
      <c r="F2979" s="18"/>
      <c r="G2979" s="18"/>
      <c r="H2979" s="18"/>
      <c r="I2979" s="18"/>
      <c r="J2979" s="18"/>
      <c r="K2979" s="18"/>
      <c r="L2979" s="18"/>
      <c r="M2979" s="18"/>
    </row>
    <row r="2980" s="65" customFormat="1" ht="13.5" spans="1:13">
      <c r="A2980" s="66"/>
      <c r="E2980" s="72" t="s">
        <v>3055</v>
      </c>
      <c r="F2980" s="18"/>
      <c r="G2980" s="18"/>
      <c r="H2980" s="18"/>
      <c r="I2980" s="18"/>
      <c r="J2980" s="18"/>
      <c r="K2980" s="18"/>
      <c r="L2980" s="18"/>
      <c r="M2980" s="18"/>
    </row>
    <row r="2981" s="65" customFormat="1" ht="13.5" spans="1:13">
      <c r="A2981" s="66"/>
      <c r="E2981" s="72" t="s">
        <v>3056</v>
      </c>
      <c r="F2981" s="18"/>
      <c r="G2981" s="18"/>
      <c r="H2981" s="18"/>
      <c r="I2981" s="18"/>
      <c r="J2981" s="18"/>
      <c r="K2981" s="18"/>
      <c r="L2981" s="18"/>
      <c r="M2981" s="18"/>
    </row>
    <row r="2982" s="65" customFormat="1" ht="13.5" spans="1:13">
      <c r="A2982" s="66"/>
      <c r="E2982" s="72" t="s">
        <v>3057</v>
      </c>
      <c r="F2982" s="18"/>
      <c r="G2982" s="18"/>
      <c r="H2982" s="18"/>
      <c r="I2982" s="18"/>
      <c r="J2982" s="18"/>
      <c r="K2982" s="18"/>
      <c r="L2982" s="18"/>
      <c r="M2982" s="18"/>
    </row>
    <row r="2983" s="65" customFormat="1" ht="13.5" spans="1:13">
      <c r="A2983" s="66"/>
      <c r="E2983" s="72" t="s">
        <v>3058</v>
      </c>
      <c r="F2983" s="18"/>
      <c r="G2983" s="18"/>
      <c r="H2983" s="18"/>
      <c r="I2983" s="18"/>
      <c r="J2983" s="18"/>
      <c r="K2983" s="18"/>
      <c r="L2983" s="18"/>
      <c r="M2983" s="18"/>
    </row>
    <row r="2984" s="65" customFormat="1" ht="13.5" spans="1:13">
      <c r="A2984" s="66"/>
      <c r="E2984" s="72" t="s">
        <v>3059</v>
      </c>
      <c r="F2984" s="18"/>
      <c r="G2984" s="18"/>
      <c r="H2984" s="18"/>
      <c r="I2984" s="18"/>
      <c r="J2984" s="18"/>
      <c r="K2984" s="18"/>
      <c r="L2984" s="18"/>
      <c r="M2984" s="18"/>
    </row>
    <row r="2985" s="65" customFormat="1" ht="13.5" spans="1:13">
      <c r="A2985" s="66"/>
      <c r="E2985" s="72" t="s">
        <v>3060</v>
      </c>
      <c r="F2985" s="18"/>
      <c r="G2985" s="18"/>
      <c r="H2985" s="18"/>
      <c r="I2985" s="18"/>
      <c r="J2985" s="18"/>
      <c r="K2985" s="18"/>
      <c r="L2985" s="18"/>
      <c r="M2985" s="18"/>
    </row>
    <row r="2986" s="65" customFormat="1" ht="13.5" spans="1:13">
      <c r="A2986" s="66"/>
      <c r="E2986" s="72" t="s">
        <v>3061</v>
      </c>
      <c r="F2986" s="18"/>
      <c r="G2986" s="18"/>
      <c r="H2986" s="18"/>
      <c r="I2986" s="18"/>
      <c r="J2986" s="18"/>
      <c r="K2986" s="18"/>
      <c r="L2986" s="18"/>
      <c r="M2986" s="18"/>
    </row>
    <row r="2987" s="65" customFormat="1" ht="13.5" spans="1:13">
      <c r="A2987" s="66"/>
      <c r="E2987" s="72" t="s">
        <v>3062</v>
      </c>
      <c r="F2987" s="18"/>
      <c r="G2987" s="18"/>
      <c r="H2987" s="18"/>
      <c r="I2987" s="18"/>
      <c r="J2987" s="18"/>
      <c r="K2987" s="18"/>
      <c r="L2987" s="18"/>
      <c r="M2987" s="18"/>
    </row>
    <row r="2988" s="65" customFormat="1" ht="13.5" spans="1:13">
      <c r="A2988" s="66"/>
      <c r="E2988" s="72" t="s">
        <v>3063</v>
      </c>
      <c r="F2988" s="18"/>
      <c r="G2988" s="18"/>
      <c r="H2988" s="18"/>
      <c r="I2988" s="18"/>
      <c r="J2988" s="18"/>
      <c r="K2988" s="18"/>
      <c r="L2988" s="18"/>
      <c r="M2988" s="18"/>
    </row>
    <row r="2989" s="65" customFormat="1" ht="13.5" spans="1:13">
      <c r="A2989" s="66"/>
      <c r="E2989" s="72" t="s">
        <v>3064</v>
      </c>
      <c r="F2989" s="18"/>
      <c r="G2989" s="18"/>
      <c r="H2989" s="18"/>
      <c r="I2989" s="18"/>
      <c r="J2989" s="18"/>
      <c r="K2989" s="18"/>
      <c r="L2989" s="18"/>
      <c r="M2989" s="18"/>
    </row>
    <row r="2990" s="65" customFormat="1" ht="13.5" spans="1:13">
      <c r="A2990" s="66"/>
      <c r="E2990" s="72" t="s">
        <v>3065</v>
      </c>
      <c r="F2990" s="18"/>
      <c r="G2990" s="18"/>
      <c r="H2990" s="18"/>
      <c r="I2990" s="18"/>
      <c r="J2990" s="18"/>
      <c r="K2990" s="18"/>
      <c r="L2990" s="18"/>
      <c r="M2990" s="18"/>
    </row>
    <row r="2991" s="65" customFormat="1" ht="13.5" spans="1:13">
      <c r="A2991" s="66"/>
      <c r="E2991" s="72" t="s">
        <v>3066</v>
      </c>
      <c r="F2991" s="18"/>
      <c r="G2991" s="18"/>
      <c r="H2991" s="18"/>
      <c r="I2991" s="18"/>
      <c r="J2991" s="18"/>
      <c r="K2991" s="18"/>
      <c r="L2991" s="18"/>
      <c r="M2991" s="18"/>
    </row>
    <row r="2992" s="65" customFormat="1" ht="13.5" spans="1:13">
      <c r="A2992" s="66"/>
      <c r="E2992" s="72" t="s">
        <v>3067</v>
      </c>
      <c r="F2992" s="18"/>
      <c r="G2992" s="18"/>
      <c r="H2992" s="18"/>
      <c r="I2992" s="18"/>
      <c r="J2992" s="18"/>
      <c r="K2992" s="18"/>
      <c r="L2992" s="18"/>
      <c r="M2992" s="18"/>
    </row>
    <row r="2993" s="65" customFormat="1" ht="13.5" spans="1:13">
      <c r="A2993" s="66"/>
      <c r="E2993" s="72" t="s">
        <v>3068</v>
      </c>
      <c r="F2993" s="18"/>
      <c r="G2993" s="18"/>
      <c r="H2993" s="18"/>
      <c r="I2993" s="18"/>
      <c r="J2993" s="18"/>
      <c r="K2993" s="18"/>
      <c r="L2993" s="18"/>
      <c r="M2993" s="18"/>
    </row>
    <row r="2994" s="65" customFormat="1" ht="13.5" spans="1:13">
      <c r="A2994" s="66"/>
      <c r="E2994" s="72" t="s">
        <v>3069</v>
      </c>
      <c r="F2994" s="18"/>
      <c r="G2994" s="18"/>
      <c r="H2994" s="18"/>
      <c r="I2994" s="18"/>
      <c r="J2994" s="18"/>
      <c r="K2994" s="18"/>
      <c r="L2994" s="18"/>
      <c r="M2994" s="18"/>
    </row>
    <row r="2995" s="65" customFormat="1" ht="13.5" spans="1:13">
      <c r="A2995" s="66"/>
      <c r="E2995" s="72" t="s">
        <v>3070</v>
      </c>
      <c r="F2995" s="18"/>
      <c r="G2995" s="18"/>
      <c r="H2995" s="18"/>
      <c r="I2995" s="18"/>
      <c r="J2995" s="18"/>
      <c r="K2995" s="18"/>
      <c r="L2995" s="18"/>
      <c r="M2995" s="18"/>
    </row>
    <row r="2996" s="65" customFormat="1" ht="13.5" spans="1:13">
      <c r="A2996" s="66"/>
      <c r="E2996" s="72" t="s">
        <v>3071</v>
      </c>
      <c r="F2996" s="18"/>
      <c r="G2996" s="18"/>
      <c r="H2996" s="18"/>
      <c r="I2996" s="18"/>
      <c r="J2996" s="18"/>
      <c r="K2996" s="18"/>
      <c r="L2996" s="18"/>
      <c r="M2996" s="18"/>
    </row>
    <row r="2997" s="65" customFormat="1" ht="13.5" spans="1:13">
      <c r="A2997" s="66"/>
      <c r="E2997" s="72" t="s">
        <v>3072</v>
      </c>
      <c r="F2997" s="18"/>
      <c r="G2997" s="18"/>
      <c r="H2997" s="18"/>
      <c r="I2997" s="18"/>
      <c r="J2997" s="18"/>
      <c r="K2997" s="18"/>
      <c r="L2997" s="18"/>
      <c r="M2997" s="18"/>
    </row>
    <row r="2998" s="65" customFormat="1" ht="13.5" spans="1:13">
      <c r="A2998" s="66"/>
      <c r="E2998" s="72" t="s">
        <v>3073</v>
      </c>
      <c r="F2998" s="18"/>
      <c r="G2998" s="18"/>
      <c r="H2998" s="18"/>
      <c r="I2998" s="18"/>
      <c r="J2998" s="18"/>
      <c r="K2998" s="18"/>
      <c r="L2998" s="18"/>
      <c r="M2998" s="18"/>
    </row>
    <row r="2999" s="65" customFormat="1" ht="13.5" spans="1:13">
      <c r="A2999" s="66"/>
      <c r="E2999" s="72" t="s">
        <v>3074</v>
      </c>
      <c r="F2999" s="18"/>
      <c r="G2999" s="18"/>
      <c r="H2999" s="18"/>
      <c r="I2999" s="18"/>
      <c r="J2999" s="18"/>
      <c r="K2999" s="18"/>
      <c r="L2999" s="18"/>
      <c r="M2999" s="18"/>
    </row>
    <row r="3000" s="65" customFormat="1" ht="13.5" spans="1:13">
      <c r="A3000" s="66"/>
      <c r="E3000" s="72" t="s">
        <v>3075</v>
      </c>
      <c r="F3000" s="18"/>
      <c r="G3000" s="18"/>
      <c r="H3000" s="18"/>
      <c r="I3000" s="18"/>
      <c r="J3000" s="18"/>
      <c r="K3000" s="18"/>
      <c r="L3000" s="18"/>
      <c r="M3000" s="18"/>
    </row>
    <row r="3001" s="65" customFormat="1" spans="1:13">
      <c r="A3001" s="66"/>
      <c r="E3001" s="67"/>
      <c r="F3001" s="18"/>
      <c r="G3001" s="18"/>
      <c r="H3001" s="18"/>
      <c r="I3001" s="18"/>
      <c r="J3001" s="18"/>
      <c r="K3001" s="18"/>
      <c r="L3001" s="18"/>
      <c r="M3001" s="18"/>
    </row>
  </sheetData>
  <mergeCells count="3">
    <mergeCell ref="A1:D1"/>
    <mergeCell ref="A6:D6"/>
    <mergeCell ref="A7:D24"/>
  </mergeCells>
  <dataValidations count="4">
    <dataValidation type="list" allowBlank="1" showInputMessage="1" showErrorMessage="1" sqref="B2">
      <formula1>"关键词收集,关键词分析,广告搭建,广告优化"</formula1>
    </dataValidation>
    <dataValidation allowBlank="1" showInputMessage="1" showErrorMessage="1" sqref="A3"/>
    <dataValidation type="list" allowBlank="1" showInputMessage="1" showErrorMessage="1" sqref="B3">
      <formula1>IF(B2="广告优化",H:H,IF(B2="广告搭建","广告搭建",IF(B2="关键词收集",F:F,IF(B2="关键词分析",$G:$G,0))))</formula1>
    </dataValidation>
    <dataValidation type="list" allowBlank="1" showInputMessage="1" showErrorMessage="1" sqref="D3">
      <formula1>"🇺🇸美国,🇯🇵日本,🇩🇪德国,🇨🇦加拿大,🇲🇽墨西哥,🇫🇷法国,🇮🇹意大利,🇪🇸西班牙,🇳🇱荷兰,🇵🇹葡萄牙,🇹🇷土耳其,🇦🇪阿拉伯,🇸🇪瑞典,🇵🇱波兰,uk 英国"</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topLeftCell="D1" workbookViewId="0">
      <selection activeCell="D3" sqref="D3"/>
    </sheetView>
  </sheetViews>
  <sheetFormatPr defaultColWidth="8.35238095238095" defaultRowHeight="14.25"/>
  <cols>
    <col min="1" max="1" width="15.7809523809524" style="32" customWidth="1"/>
    <col min="2" max="2" width="23.647619047619" style="32" customWidth="1"/>
    <col min="3" max="3" width="21.7142857142857" style="32" customWidth="1"/>
    <col min="4" max="4" width="27.9714285714286" style="18" customWidth="1"/>
    <col min="5" max="5" width="75.5904761904762" style="19" customWidth="1"/>
    <col min="6" max="6" width="24.4" style="33" customWidth="1"/>
    <col min="7" max="7" width="23.2095238095238" style="34" customWidth="1"/>
    <col min="8" max="8" width="57.2857142857143" style="35" customWidth="1"/>
    <col min="9" max="9" width="50.152380952381" style="18" customWidth="1"/>
    <col min="10" max="10" width="38.2380952380952" style="19" customWidth="1"/>
    <col min="11" max="11" width="43" style="18" customWidth="1"/>
    <col min="12" max="16384" width="8.57142857142857" style="18"/>
  </cols>
  <sheetData>
    <row r="1" s="18" customFormat="1" ht="60" customHeight="1" spans="1:11">
      <c r="A1" s="36" t="s">
        <v>3</v>
      </c>
      <c r="B1" s="37"/>
      <c r="C1" s="37"/>
      <c r="D1" s="38"/>
      <c r="E1" s="39" t="str">
        <f>IF(OR(B2="受众分析",B2="搜索词挖掘",B2="红人开发"),B2,B3)&amp;"Prompts"</f>
        <v>红人开发Prompts</v>
      </c>
      <c r="F1" s="40" t="s">
        <v>3076</v>
      </c>
      <c r="G1" s="41" t="s">
        <v>3077</v>
      </c>
      <c r="H1" s="42" t="s">
        <v>3</v>
      </c>
      <c r="I1" s="50" t="s">
        <v>3078</v>
      </c>
      <c r="J1" s="57" t="s">
        <v>3079</v>
      </c>
      <c r="K1" s="19"/>
    </row>
    <row r="2" s="18" customFormat="1" ht="39" customHeight="1" spans="1:11">
      <c r="A2" s="43" t="s">
        <v>57</v>
      </c>
      <c r="B2" s="44" t="s">
        <v>3</v>
      </c>
      <c r="C2" s="43" t="s">
        <v>61</v>
      </c>
      <c r="D2" s="45" t="s">
        <v>41</v>
      </c>
      <c r="E2" s="46" t="str">
        <f>IF(IF($B$2="受众分析",F2,IF($B$2="红人开发",H2,IF($B$2="搜索词挖掘",G2,IF(AND($B$2="红人沟通",$B$3="开发信"),I2,IF(AND($B$2="红人沟通",$B$3="消息回复"),J2,"")))))=0,"",IF($B$2="受众分析",F2,IF($B$2="红人开发",H2,IF($B$2="搜索词挖掘",G2,IF(AND($B$2="红人沟通",$B$3="开发信"),I2,IF(AND($B$2="红人沟通",$B$3="消息回复"),J2,""))))))</f>
        <v>【角色设定】你是一名资深的🇺🇸美国亚马逊【产品名称】portable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F2" s="47"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【角色设定】你是一名🇺🇸美国亚马逊【产品名称】portable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41" t="str">
        <f>"【受众搜索词】"&amp;"你是一名资深的"&amp;D3&amp;D2&amp;"站外推广专家，你将帮助我做红人开发,"&amp;D3&amp;D2&amp;"的受众人群，最常在"&amp;B4&amp;"平台上使用的20个搜索关键词有哪些?"</f>
        <v>【受众搜索词】你是一名资深的🇺🇸美国【产品名称】portable power station站外推广专家，你将帮助我做红人开发,🇺🇸美国【产品名称】portable power station的受众人群，最常在【产品亮点】我很高兴更你合作，但是我要收取300美金一条视频平台上使用的20个搜索关键词有哪些?</v>
      </c>
      <c r="H2" s="48"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【角色设定】你是一名资深的🇺🇸美国亚马逊【产品名称】portable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58" t="str">
        <f>"你是一名资深的有着10年经验来自品牌"&amp;D6&amp;"的"&amp;D2&amp;D3&amp;"市场推广经理,名叫"&amp;D5&amp;",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amp;D3&amp;"语言输出并翻译为中文，以下是相关信息：
-红人信息或链接:"&amp;D4&amp;"
-产品亮点:"&amp;B4&amp;"
-合作方式:"&amp;B5&amp;"
参考输出格式
-&lt;原文&gt;-：
-&lt;中文&gt;-"</f>
        <v>你是一名资深的有着10年经验来自品牌【品牌名】Anker的【产品名称】portable power station🇺🇸美国市场推广经理,名叫【客服姓名】Jayden,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美国语言输出并翻译为中文，以下是相关信息：
-红人信息或链接:【红人信息或链接】跟kol友好的砍价，希望他的价格能给得更低一点
-产品亮点:【产品亮点】我很高兴更你合作，但是我要收取300美金一条视频
-合作方式:【合作方式】我们提供免费但产品，并给到红人粉丝10%但优惠,希望红人帮忙为什么产品做一条体验视频分享
参考输出格式
-&lt;原文&gt;-：
-&lt;中文&gt;-</v>
      </c>
      <c r="J2" s="59" t="str">
        <f>"【说明书内容】："&amp;D7&amp;",【常见问题】:"&amp;B7&amp;"。你是一名资深的有着10年经验来自品牌"&amp;D6&amp;"的"&amp;D2&amp;D3&amp;"市场推广经理,名叫"&amp;D5&amp;",你将根据产品说明书、常见问题的内容，并结合我的要求，回复红人消息，用*"&amp;D3&amp;"语言输出并翻译为中文，
1.【红人消息】："&amp;B4&amp;"
2.【我的要求】是:"&amp;D4</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same,【常见问题】:Q: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system.。你是一名资深的有着10年经验来自品牌【品牌名】Anker的【产品名称】portable power station🇺🇸美国市场推广经理,名叫【客服姓名】Jayden,你将根据产品说明书、常见问题的内容，并结合我的要求，回复红人消息，用*🇺🇸美国语言输出并翻译为中文，
1.【红人消息】：【产品亮点】我很高兴更你合作，但是我要收取300美金一条视频
2.【我的要求】是:【红人信息或链接】跟kol友好的砍价，希望他的价格能给得更低一点</v>
      </c>
      <c r="K2" s="60" t="s">
        <v>10</v>
      </c>
    </row>
    <row r="3" s="18" customFormat="1" ht="39" customHeight="1" spans="1:11">
      <c r="A3" s="43" t="str">
        <f>IF(B2="红人沟通","细分任务","")</f>
        <v/>
      </c>
      <c r="B3" s="44" t="s">
        <v>3080</v>
      </c>
      <c r="C3" s="43" t="s">
        <v>68</v>
      </c>
      <c r="D3" s="45" t="s">
        <v>13</v>
      </c>
      <c r="E3" s="46"/>
      <c r="F3" s="49" t="str">
        <f>"【受众特征】分析"&amp;D2&amp;"在"&amp;D3&amp;"的受众人群特征,包括不限于他们的所在性别，年龄，兴趣，职业，收入，教育，家庭情况"</f>
        <v>【受众特征】分析【产品名称】portable power station在🇺🇸美国的受众人群特征,包括不限于他们的所在性别，年龄，兴趣，职业，收入，教育，家庭情况</v>
      </c>
      <c r="G3" s="41"/>
      <c r="H3" s="50" t="str">
        <f>"【受众特征】分析"&amp;D2&amp;"在"&amp;D3&amp;"的受众人群t特征,包括不限于他们的所在性别，年龄，兴趣，职业，收入，教育，家庭情况"</f>
        <v>【受众特征】分析【产品名称】portable power station在🇺🇸美国的受众人群t特征,包括不限于他们的所在性别，年龄，兴趣，职业，收入，教育，家庭情况</v>
      </c>
      <c r="I3" s="61"/>
      <c r="J3" s="62"/>
      <c r="K3" s="60"/>
    </row>
    <row r="4" s="18" customFormat="1" ht="53" customHeight="1" spans="1:11">
      <c r="A4" s="43" t="str">
        <f>IF(B2="搜索词挖掘","社媒平台",IF(AND(B2="红人沟通",B3="开发信"),"产品亮点",IF(AND(B2="红人沟通",B3="消息回复"),"红人消息","")))</f>
        <v/>
      </c>
      <c r="B4" s="44" t="s">
        <v>3081</v>
      </c>
      <c r="C4" s="43" t="str">
        <f>IF(AND(B2="红人沟通",B3="开发信"),"红人信息或链接",IF(AND(B2="红人沟通",B3="消息回复"),"我的要求",""))</f>
        <v/>
      </c>
      <c r="D4" s="51" t="s">
        <v>3082</v>
      </c>
      <c r="E4" s="46"/>
      <c r="F4" s="52" t="str">
        <f>"【受众习惯】分析"&amp;D2&amp;"在"&amp;D3&amp;"的受众人群购物频次，消费金额，购物时间，购物方式"</f>
        <v>【受众习惯】分析【产品名称】portable power station在🇺🇸美国的受众人群购物频次，消费金额，购物时间，购物方式</v>
      </c>
      <c r="G4" s="41"/>
      <c r="H4" s="50" t="str">
        <f>"【受众话题】"&amp;D3&amp;D2&amp;"的受众人群喜欢哪些话题内容，他们平时最常用的社媒平台有哪些?"</f>
        <v>【受众话题】🇺🇸美国【产品名称】portable power station的受众人群喜欢哪些话题内容，他们平时最常用的社媒平台有哪些?</v>
      </c>
      <c r="I4" s="61"/>
      <c r="J4" s="62"/>
      <c r="K4" s="60"/>
    </row>
    <row r="5" s="18" customFormat="1" ht="40" customHeight="1" spans="1:11">
      <c r="A5" s="43" t="str">
        <f>IF(AND(B2="红人沟通",B3="开发信"),"合作方式","")</f>
        <v/>
      </c>
      <c r="B5" s="44" t="s">
        <v>3083</v>
      </c>
      <c r="C5" s="43" t="str">
        <f>IF(B2="红人沟通","姓名","")</f>
        <v/>
      </c>
      <c r="D5" s="51" t="s">
        <v>3084</v>
      </c>
      <c r="E5" s="46"/>
      <c r="F5" s="52" t="str">
        <f>"【受众需求】分析"&amp;D2&amp;"在"&amp;D3&amp;"的受众人群购买"&amp;D2&amp;"的动机，未满足需求，使用时间，使用场景"</f>
        <v>【受众需求】分析【产品名称】portable power station在🇺🇸美国的受众人群购买【产品名称】portable power station的动机，未满足需求，使用时间，使用场景</v>
      </c>
      <c r="G5" s="41"/>
      <c r="H5" s="50" t="str">
        <f>"【社媒平台】如果我要在"&amp;D3&amp;"推广"&amp;D2&amp;"可以使用哪些社媒平台推广？如果只选择其中一个平台,你最会推荐哪个平台？原因是什么?"</f>
        <v>【社媒平台】如果我要在🇺🇸美国推广【产品名称】portable power station可以使用哪些社媒平台推广？如果只选择其中一个平台,你最会推荐哪个平台？原因是什么?</v>
      </c>
      <c r="I5" s="61"/>
      <c r="J5" s="62"/>
      <c r="K5" s="60"/>
    </row>
    <row r="6" s="18" customFormat="1" ht="38" customHeight="1" spans="1:11">
      <c r="A6" s="43"/>
      <c r="B6" s="44"/>
      <c r="C6" s="43" t="str">
        <f>IF(B2="红人沟通","品牌","")</f>
        <v/>
      </c>
      <c r="D6" s="51" t="s">
        <v>3085</v>
      </c>
      <c r="E6" s="53" t="str">
        <f>IF(IF($B$2="受众分析",F3,IF($B$2="红人开发",H3,IF($B$2="搜索词挖掘",G3,IF(AND($B$2="红人沟通",$B$3="开发信"),I3,IF(AND($B$2="红人沟通",$B$3="消息回复"),J3,"")))))=0,"",IF($B$2="受众分析",F3,IF($B$2="红人开发",H3,IF($B$2="搜索词挖掘",G3,IF(AND($B$2="红人沟通",$B$3="开发信"),I3,IF(AND($B$2="红人沟通",$B$3="消息回复"),J3,""))))))</f>
        <v>【受众特征】分析【产品名称】portable power station在🇺🇸美国的受众人群t特征,包括不限于他们的所在性别，年龄，兴趣，职业，收入，教育，家庭情况</v>
      </c>
      <c r="F6" s="52" t="str">
        <f>"【受众购买产品】分析"&amp;D2&amp;"在"&amp;D3&amp;"的受众人群购买"&amp;D2&amp;"常购买的互补产品和其它产品"</f>
        <v>【受众购买产品】分析【产品名称】portable power station在🇺🇸美国的受众人群购买【产品名称】portable power station常购买的互补产品和其它产品</v>
      </c>
      <c r="G6" s="41"/>
      <c r="H6" s="50" t="str">
        <f>"【找KOL】找20个"&amp;D3&amp;"你最推荐的平台KOL与"&amp;D2&amp;"话题相关，粉丝数量在1w-10w粉丝，并给到他们的频道名称，粉丝数量，频道介绍，国家，并用表格输出结果。"</f>
        <v>【找KOL】找20个🇺🇸美国你最推荐的平台KOL与【产品名称】portable power station话题相关，粉丝数量在1w-10w粉丝，并给到他们的频道名称，粉丝数量，频道介绍，国家，并用表格输出结果。</v>
      </c>
      <c r="I6" s="61"/>
      <c r="J6" s="62"/>
      <c r="K6" s="60"/>
    </row>
    <row r="7" s="18" customFormat="1" ht="39" customHeight="1" spans="1:11">
      <c r="A7" s="43" t="str">
        <f>IF(AND(B2="红人沟通",B3="消息回复"),"常见问题","")</f>
        <v/>
      </c>
      <c r="B7" s="44" t="s">
        <v>3086</v>
      </c>
      <c r="C7" s="43" t="str">
        <f>IF(AND(B2="红人沟通",B3="消息回复"),"说明书","")</f>
        <v/>
      </c>
      <c r="D7" s="51" t="s">
        <v>3087</v>
      </c>
      <c r="E7" s="53" t="str">
        <f>IF(IF($B$2="受众分析",F4,IF($B$2="红人开发",H4,IF($B$2="搜索词挖掘",G4,IF(AND($B$2="红人沟通",$B$3="开发信"),I4,IF(AND($B$2="红人沟通",$B$3="消息回复"),J4,"")))))=0,"",IF($B$2="受众分析",F4,IF($B$2="红人开发",H4,IF($B$2="搜索词挖掘",G4,IF(AND($B$2="红人沟通",$B$3="开发信"),I4,IF(AND($B$2="红人沟通",$B$3="消息回复"),J4,""))))))</f>
        <v>【受众话题】🇺🇸美国【产品名称】portable power station的受众人群喜欢哪些话题内容，他们平时最常用的社媒平台有哪些?</v>
      </c>
      <c r="F7" s="52" t="str">
        <f>"【受众问题】关于"&amp;D2&amp;"受众常问的TOP20的问题有哪些?"</f>
        <v>【受众问题】关于【产品名称】portable power station受众常问的TOP20的问题有哪些?</v>
      </c>
      <c r="G7" s="41"/>
      <c r="H7" s="50" t="str">
        <f>"【受众搜索词】"&amp;D3&amp;D2&amp;"的受众人群，最常在该推荐平台上常使用的20个搜索关键词有哪些？"</f>
        <v>【受众搜索词】🇺🇸美国【产品名称】portable power station的受众人群，最常在该推荐平台上常使用的20个搜索关键词有哪些？</v>
      </c>
      <c r="I7" s="61"/>
      <c r="J7" s="62"/>
      <c r="K7" s="60"/>
    </row>
    <row r="8" s="18" customFormat="1" ht="39" customHeight="1" spans="1:10">
      <c r="A8" s="32"/>
      <c r="B8" s="32"/>
      <c r="C8" s="32"/>
      <c r="E8" s="53" t="str">
        <f>IF(IF($B$2="受众分析",F5,IF($B$2="红人开发",H5,IF($B$2="搜索词挖掘",G5,IF(AND($B$2="红人沟通",$B$3="开发信"),I5,IF(AND($B$2="红人沟通",$B$3="消息回复"),J5,"")))))=0,"",IF($B$2="受众分析",F5,IF($B$2="红人开发",H5,IF($B$2="搜索词挖掘",G5,IF(AND($B$2="红人沟通",$B$3="开发信"),I5,IF(AND($B$2="红人沟通",$B$3="消息回复"),J5,""))))))</f>
        <v>【社媒平台】如果我要在🇺🇸美国推广【产品名称】portable power station可以使用哪些社媒平台推广？如果只选择其中一个平台,你最会推荐哪个平台？原因是什么?</v>
      </c>
      <c r="F8" s="49" t="str">
        <f>"【受众好评】关于"&amp;D2&amp;"受众对"&amp;D2&amp;"最常给出的TOP20好评有哪些？按照出现频次占比进行降序。"</f>
        <v>【受众好评】关于【产品名称】portable power station受众对【产品名称】portable power station最常给出的TOP20好评有哪些？按照出现频次占比进行降序。</v>
      </c>
      <c r="G8" s="41"/>
      <c r="H8" s="50"/>
      <c r="I8" s="61"/>
      <c r="J8" s="62"/>
    </row>
    <row r="9" s="18" customFormat="1" ht="39" customHeight="1" spans="1:10">
      <c r="A9" s="32"/>
      <c r="B9" s="32"/>
      <c r="C9" s="32"/>
      <c r="E9" s="53" t="str">
        <f>IF(IF($B$2="受众分析",F6,IF($B$2="红人开发",H6,IF($B$2="搜索词挖掘",G6,IF(AND($B$2="红人沟通",$B$3="开发信"),I6,IF(AND($B$2="红人沟通",$B$3="消息回复"),J6,"")))))=0,"",IF($B$2="受众分析",F6,IF($B$2="红人开发",H6,IF($B$2="搜索词挖掘",G6,IF(AND($B$2="红人沟通",$B$3="开发信"),I6,IF(AND($B$2="红人沟通",$B$3="消息回复"),J6,""))))))</f>
        <v>【找KOL】找20个🇺🇸美国你最推荐的平台KOL与【产品名称】portable power station话题相关，粉丝数量在1w-10w粉丝，并给到他们的频道名称，粉丝数量，频道介绍，国家，并用表格输出结果。</v>
      </c>
      <c r="F9" s="33" t="str">
        <f>"【受众差评】关于"&amp;D2&amp;"受众对"&amp;D2&amp;"最常给出的TOP20差评有哪些？按照出现频次占比进行降序。"</f>
        <v>【受众差评】关于【产品名称】portable power station受众对【产品名称】portable power station最常给出的TOP20差评有哪些？按照出现频次占比进行降序。</v>
      </c>
      <c r="G9" s="41"/>
      <c r="H9" s="35"/>
      <c r="I9" s="61"/>
      <c r="J9" s="63"/>
    </row>
    <row r="10" s="18" customFormat="1" ht="39" customHeight="1" spans="1:10">
      <c r="A10" s="32"/>
      <c r="B10" s="32"/>
      <c r="C10" s="32"/>
      <c r="E10" s="53" t="str">
        <f>IF(IF($B$2="受众分析",F7,IF($B$2="红人开发",H7,IF($B$2="搜索词挖掘",G7,IF(AND($B$2="红人沟通",$B$3="开发信"),I7,IF(AND($B$2="红人沟通",$B$3="消息回复"),J7,"")))))=0,"",IF($B$2="受众分析",F7,IF($B$2="红人开发",H7,IF($B$2="搜索词挖掘",G7,IF(AND($B$2="红人沟通",$B$3="开发信"),I7,IF(AND($B$2="红人沟通",$B$3="消息回复"),J7,""))))))</f>
        <v>【受众搜索词】🇺🇸美国【产品名称】portable power station的受众人群，最常在该推荐平台上常使用的20个搜索关键词有哪些？</v>
      </c>
      <c r="G10" s="41"/>
      <c r="I10" s="64"/>
      <c r="J10" s="57"/>
    </row>
    <row r="11" s="18" customFormat="1" ht="39" customHeight="1" spans="1:10">
      <c r="A11" s="32"/>
      <c r="B11" s="32"/>
      <c r="C11" s="32"/>
      <c r="E11" s="53" t="str">
        <f>IF(IF($B$2="受众分析",F8,IF($B$2="红人开发",H8,IF($B$2="搜索词挖掘",G8,IF(AND($B$2="红人沟通",$B$3="开发信"),I8,IF(AND($B$2="红人沟通",$B$3="消息回复"),J8,"")))))=0,"",IF($B$2="受众分析",F8,IF($B$2="红人开发",H8,IF($B$2="搜索词挖掘",G8,IF(AND($B$2="红人沟通",$B$3="开发信"),I8,IF(AND($B$2="红人沟通",$B$3="消息回复"),J8,""))))))</f>
        <v/>
      </c>
      <c r="F11" s="54"/>
      <c r="G11" s="41"/>
      <c r="H11" s="50"/>
      <c r="I11" s="35"/>
      <c r="J11" s="57"/>
    </row>
    <row r="12" s="18" customFormat="1" ht="39" customHeight="1" spans="1:10">
      <c r="A12" s="32"/>
      <c r="B12" s="32"/>
      <c r="C12" s="32"/>
      <c r="E12" s="53" t="str">
        <f>IF(IF($B$2="受众分析",F9,IF($B$2="红人开发",H9,IF($B$2="搜索词挖掘",G9,IF(AND($B$2="红人沟通",$B$3="开发信"),I9,IF(AND($B$2="红人沟通",$B$3="消息回复"),J9,"")))))=0,"",IF($B$2="受众分析",F9,IF($B$2="红人开发",H9,IF($B$2="搜索词挖掘",G9,IF(AND($B$2="红人沟通",$B$3="开发信"),I9,IF(AND($B$2="红人沟通",$B$3="消息回复"),J9,""))))))</f>
        <v/>
      </c>
      <c r="F12" s="33"/>
      <c r="G12" s="41"/>
      <c r="H12" s="35"/>
      <c r="I12" s="35"/>
      <c r="J12" s="57"/>
    </row>
    <row r="13" s="18" customFormat="1" ht="39" customHeight="1" spans="1:10">
      <c r="A13" s="32"/>
      <c r="B13" s="32"/>
      <c r="C13" s="32"/>
      <c r="E13" s="53" t="str">
        <f>IF(IF($B$2="受众分析",F10,IF($B$2="红人开发",H10,IF($B$2="搜索词挖掘",G10,IF(AND($B$2="红人沟通",$B$3="开发信"),I10,IF(AND($B$2="红人沟通",$B$3="消息回复"),J10,"")))))=0,"",IF($B$2="受众分析",F10,IF($B$2="红人开发",H10,IF($B$2="搜索词挖掘",G10,IF(AND($B$2="红人沟通",$B$3="开发信"),I10,IF(AND($B$2="红人沟通",$B$3="消息回复"),J10,""))))))</f>
        <v/>
      </c>
      <c r="F13" s="55"/>
      <c r="G13" s="41"/>
      <c r="H13" s="48"/>
      <c r="I13" s="35"/>
      <c r="J13" s="57"/>
    </row>
    <row r="14" s="18" customFormat="1" ht="39" customHeight="1" spans="1:10">
      <c r="A14" s="32"/>
      <c r="B14" s="32"/>
      <c r="C14" s="32"/>
      <c r="E14" s="53" t="str">
        <f>IF(IF($B$2="受众分析",F11,IF($B$2="红人开发",H11,IF($B$2="搜索词挖掘",G11,IF(AND($B$2="红人沟通",$B$3="开发信"),I11,IF(AND($B$2="红人沟通",$B$3="消息回复"),J11,"")))))=0,"",IF($B$2="受众分析",F11,IF($B$2="红人开发",H11,IF($B$2="搜索词挖掘",G11,IF(AND($B$2="红人沟通",$B$3="开发信"),I11,IF(AND($B$2="红人沟通",$B$3="消息回复"),J11,""))))))</f>
        <v/>
      </c>
      <c r="F14" s="55"/>
      <c r="G14" s="41"/>
      <c r="H14" s="48"/>
      <c r="I14" s="35"/>
      <c r="J14" s="57"/>
    </row>
    <row r="15" s="18" customFormat="1" ht="39" customHeight="1" spans="1:10">
      <c r="A15" s="32"/>
      <c r="B15" s="32"/>
      <c r="C15" s="32"/>
      <c r="E15" s="53" t="str">
        <f>IF(IF($B$2="受众分析",F12,IF($B$2="红人开发",H12,IF($B$2="搜索词挖掘",G12,IF(AND($B$2="红人沟通",$B$3="开发信"),I12,IF(AND($B$2="红人沟通",$B$3="消息回复"),J12,"")))))=0,"",IF($B$2="受众分析",F12,IF($B$2="红人开发",H12,IF($B$2="搜索词挖掘",G12,IF(AND($B$2="红人沟通",$B$3="开发信"),I12,IF(AND($B$2="红人沟通",$B$3="消息回复"),J12,""))))))</f>
        <v/>
      </c>
      <c r="F15" s="55"/>
      <c r="G15" s="41"/>
      <c r="H15" s="48"/>
      <c r="I15" s="35"/>
      <c r="J15" s="57"/>
    </row>
    <row r="16" s="18" customFormat="1" ht="39" customHeight="1" spans="1:10">
      <c r="A16" s="32"/>
      <c r="B16" s="32"/>
      <c r="C16" s="32"/>
      <c r="E16" s="53" t="str">
        <f>IF(IF($B$2="受众分析",F13,IF($B$2="红人开发",H13,IF($B$2="搜索词挖掘",G13,IF(AND($B$2="红人沟通",$B$3="开发信"),I13,IF(AND($B$2="红人沟通",$B$3="消息回复"),J13,"")))))=0,"",IF($B$2="受众分析",F13,IF($B$2="红人开发",H13,IF($B$2="搜索词挖掘",G13,IF(AND($B$2="红人沟通",$B$3="开发信"),I13,IF(AND($B$2="红人沟通",$B$3="消息回复"),J13,""))))))</f>
        <v/>
      </c>
      <c r="F16" s="55"/>
      <c r="G16" s="41"/>
      <c r="H16" s="48"/>
      <c r="I16" s="35"/>
      <c r="J16" s="57"/>
    </row>
    <row r="17" s="18" customFormat="1" ht="37" customHeight="1" spans="1:10">
      <c r="A17" s="32"/>
      <c r="B17" s="32"/>
      <c r="C17" s="32"/>
      <c r="E17" s="53" t="str">
        <f>IF(IF($B$2="受众分析",F14,IF($B$2="红人开发",H14,IF($B$2="搜索词挖掘",G14,IF(AND($B$2="红人沟通",$B$3="开发信"),I14,IF(AND($B$2="红人沟通",$B$3="消息回复"),J14,"")))))=0,"",IF($B$2="受众分析",F14,IF($B$2="红人开发",H14,IF($B$2="搜索词挖掘",G14,IF(AND($B$2="红人沟通",$B$3="开发信"),I14,IF(AND($B$2="红人沟通",$B$3="消息回复"),J14,""))))))</f>
        <v/>
      </c>
      <c r="F17" s="55"/>
      <c r="G17" s="41"/>
      <c r="H17" s="48"/>
      <c r="I17" s="35"/>
      <c r="J17" s="57"/>
    </row>
    <row r="18" s="18" customFormat="1" ht="37" customHeight="1" spans="1:10">
      <c r="A18" s="32"/>
      <c r="B18" s="32"/>
      <c r="C18" s="32"/>
      <c r="E18" s="53" t="str">
        <f>IF(IF($B$2="受众分析",F15,IF($B$2="红人开发",H15,IF($B$2="搜索词挖掘",G15,IF(AND($B$2="红人沟通",$B$3="开发信"),I15,IF(AND($B$2="红人沟通",$B$3="消息回复"),J15,"")))))=0,"",IF($B$2="受众分析",F15,IF($B$2="红人开发",H15,IF($B$2="搜索词挖掘",G15,IF(AND($B$2="红人沟通",$B$3="开发信"),I15,IF(AND($B$2="红人沟通",$B$3="消息回复"),J15,""))))))</f>
        <v/>
      </c>
      <c r="F18" s="55"/>
      <c r="G18" s="41"/>
      <c r="H18" s="48"/>
      <c r="I18" s="35"/>
      <c r="J18" s="57"/>
    </row>
    <row r="19" s="18" customFormat="1" ht="13.5" spans="1:10">
      <c r="A19" s="32"/>
      <c r="B19" s="32"/>
      <c r="C19" s="32"/>
      <c r="E19" s="53" t="str">
        <f>IF(IF($B$2="受众分析",F16,IF($B$2="红人开发",H16,IF($B$2="搜索词挖掘",G16,IF(AND($B$2="红人沟通",$B$3="开发信"),I16,IF(AND($B$2="红人沟通",$B$3="消息回复"),J16,"")))))=0,"",IF($B$2="受众分析",F16,IF($B$2="红人开发",H16,IF($B$2="搜索词挖掘",G16,IF(AND($B$2="红人沟通",$B$3="开发信"),I16,IF(AND($B$2="红人沟通",$B$3="消息回复"),J16,""))))))</f>
        <v/>
      </c>
      <c r="F19" s="55"/>
      <c r="G19" s="41"/>
      <c r="H19" s="48"/>
      <c r="I19" s="35"/>
      <c r="J19" s="57"/>
    </row>
    <row r="20" s="18" customFormat="1" ht="13.5" spans="1:10">
      <c r="A20" s="32"/>
      <c r="B20" s="32"/>
      <c r="C20" s="32"/>
      <c r="E20" s="53" t="str">
        <f>IF(IF($B$2="受众分析",F17,IF($B$2="红人开发",H17,IF($B$2="搜索词挖掘",G17,IF(AND($B$2="红人沟通",$B$3="开发信"),I17,IF(AND($B$2="红人沟通",$B$3="消息回复"),J17,"")))))=0,"",IF($B$2="受众分析",F17,IF($B$2="红人开发",H17,IF($B$2="搜索词挖掘",G17,IF(AND($B$2="红人沟通",$B$3="开发信"),I17,IF(AND($B$2="红人沟通",$B$3="消息回复"),J17,""))))))</f>
        <v/>
      </c>
      <c r="F20" s="55"/>
      <c r="G20" s="41"/>
      <c r="H20" s="48"/>
      <c r="I20" s="35"/>
      <c r="J20" s="57"/>
    </row>
    <row r="21" s="18" customFormat="1" ht="13.5" spans="1:10">
      <c r="A21" s="32"/>
      <c r="B21" s="32"/>
      <c r="C21" s="32"/>
      <c r="E21" s="53" t="str">
        <f>IF(IF($B$2="受众分析",F18,IF($B$2="红人开发",H18,IF($B$2="搜索词挖掘",G18,IF(AND($B$2="红人沟通",$B$3="开发信"),I18,IF(AND($B$2="红人沟通",$B$3="消息回复"),J18,"")))))=0,"",IF($B$2="受众分析",F18,IF($B$2="红人开发",H18,IF($B$2="搜索词挖掘",G18,IF(AND($B$2="红人沟通",$B$3="开发信"),I18,IF(AND($B$2="红人沟通",$B$3="消息回复"),J18,""))))))</f>
        <v/>
      </c>
      <c r="F21" s="55"/>
      <c r="G21" s="41"/>
      <c r="H21" s="48"/>
      <c r="I21" s="35"/>
      <c r="J21" s="57"/>
    </row>
    <row r="22" s="18" customFormat="1" ht="13.5" spans="1:10">
      <c r="A22" s="32"/>
      <c r="B22" s="32"/>
      <c r="C22" s="32"/>
      <c r="E22" s="53" t="str">
        <f>IF(IF($B$2="受众分析",F19,IF($B$2="红人开发",H19,IF($B$2="搜索词挖掘",G19,IF(AND($B$2="红人沟通",$B$3="开发信"),I19,IF(AND($B$2="红人沟通",$B$3="消息回复"),J19,"")))))=0,"",IF($B$2="受众分析",F19,IF($B$2="红人开发",H19,IF($B$2="搜索词挖掘",G19,IF(AND($B$2="红人沟通",$B$3="开发信"),I19,IF(AND($B$2="红人沟通",$B$3="消息回复"),J19,""))))))</f>
        <v/>
      </c>
      <c r="F22" s="55"/>
      <c r="G22" s="41"/>
      <c r="H22" s="48"/>
      <c r="I22" s="19"/>
      <c r="J22" s="19"/>
    </row>
    <row r="23" s="18" customFormat="1" ht="13.5" spans="1:10">
      <c r="A23" s="32"/>
      <c r="B23" s="32"/>
      <c r="C23" s="32"/>
      <c r="E23" s="53" t="str">
        <f>IF(IF($B$2="受众分析",F20,IF($B$2="红人开发",H20,IF($B$2="搜索词挖掘",G20,IF(AND($B$2="红人沟通",$B$3="开发信"),I20,IF(AND($B$2="红人沟通",$B$3="消息回复"),J20,"")))))=0,"",IF($B$2="受众分析",F20,IF($B$2="红人开发",H20,IF($B$2="搜索词挖掘",G20,IF(AND($B$2="红人沟通",$B$3="开发信"),I20,IF(AND($B$2="红人沟通",$B$3="消息回复"),J20,""))))))</f>
        <v/>
      </c>
      <c r="F23" s="55"/>
      <c r="G23" s="41"/>
      <c r="H23" s="48"/>
      <c r="I23" s="19"/>
      <c r="J23" s="19"/>
    </row>
    <row r="24" s="18" customFormat="1" ht="13.5" spans="1:10">
      <c r="A24" s="32"/>
      <c r="B24" s="32"/>
      <c r="C24" s="32"/>
      <c r="E24" s="53" t="str">
        <f>IF(IF($B$2="受众分析",F21,IF($B$2="红人开发",H21,IF($B$2="搜索词挖掘",G21,IF(AND($B$2="红人沟通",$B$3="开发信"),I21,IF(AND($B$2="红人沟通",$B$3="消息回复"),J21,"")))))=0,"",IF($B$2="受众分析",F21,IF($B$2="红人开发",H21,IF($B$2="搜索词挖掘",G21,IF(AND($B$2="红人沟通",$B$3="开发信"),I21,IF(AND($B$2="红人沟通",$B$3="消息回复"),J21,""))))))</f>
        <v/>
      </c>
      <c r="F24" s="55"/>
      <c r="G24" s="41"/>
      <c r="H24" s="48"/>
      <c r="I24" s="19"/>
      <c r="J24" s="19"/>
    </row>
    <row r="25" s="18" customFormat="1" ht="13.5" spans="1:10">
      <c r="A25" s="32"/>
      <c r="B25" s="32"/>
      <c r="C25" s="32"/>
      <c r="E25" s="53" t="str">
        <f>IF(IF($B$2="受众分析",F22,IF($B$2="红人开发",H22,IF($B$2="搜索词挖掘",G22,IF(AND($B$2="红人沟通",$B$3="开发信"),I22,IF(AND($B$2="红人沟通",$B$3="消息回复"),J22,"")))))=0,"",IF($B$2="受众分析",F22,IF($B$2="红人开发",H22,IF($B$2="搜索词挖掘",G22,IF(AND($B$2="红人沟通",$B$3="开发信"),I22,IF(AND($B$2="红人沟通",$B$3="消息回复"),J22,""))))))</f>
        <v/>
      </c>
      <c r="F25" s="55"/>
      <c r="G25" s="41"/>
      <c r="H25" s="48"/>
      <c r="I25" s="19"/>
      <c r="J25" s="19"/>
    </row>
    <row r="26" s="18" customFormat="1" ht="13.5" spans="1:10">
      <c r="A26" s="32"/>
      <c r="B26" s="32"/>
      <c r="C26" s="32"/>
      <c r="E26" s="53" t="str">
        <f>IF(IF($B$2="受众分析",F23,IF($B$2="红人开发",H23,IF($B$2="搜索词挖掘",G23,IF(AND($B$2="红人沟通",$B$3="开发信"),I23,IF(AND($B$2="红人沟通",$B$3="消息回复"),J23,"")))))=0,"",IF($B$2="受众分析",F23,IF($B$2="红人开发",H23,IF($B$2="搜索词挖掘",G23,IF(AND($B$2="红人沟通",$B$3="开发信"),I23,IF(AND($B$2="红人沟通",$B$3="消息回复"),J23,""))))))</f>
        <v/>
      </c>
      <c r="F26" s="33"/>
      <c r="G26" s="41"/>
      <c r="H26" s="35"/>
      <c r="J26" s="19"/>
    </row>
    <row r="27" s="18" customFormat="1" ht="13.5" spans="1:10">
      <c r="A27" s="32"/>
      <c r="B27" s="32"/>
      <c r="C27" s="32"/>
      <c r="E27" s="53" t="str">
        <f>IF(IF($B$2="受众分析",F24,IF($B$2="红人开发",H24,IF($B$2="搜索词挖掘",G24,IF(AND($B$2="红人沟通",$B$3="开发信"),I24,IF(AND($B$2="红人沟通",$B$3="消息回复"),J24,"")))))=0,"",IF($B$2="受众分析",F24,IF($B$2="红人开发",H24,IF($B$2="搜索词挖掘",G24,IF(AND($B$2="红人沟通",$B$3="开发信"),I24,IF(AND($B$2="红人沟通",$B$3="消息回复"),J24,""))))))</f>
        <v/>
      </c>
      <c r="F27" s="33"/>
      <c r="G27" s="41"/>
      <c r="H27" s="35"/>
      <c r="J27" s="19"/>
    </row>
    <row r="28" s="18" customFormat="1" ht="13.5" spans="1:10">
      <c r="A28" s="32"/>
      <c r="B28" s="32"/>
      <c r="C28" s="32"/>
      <c r="E28" s="53" t="str">
        <f>IF(IF($B$2="受众分析",F25,IF($B$2="红人开发",H25,IF($B$2="搜索词挖掘",G25,IF(AND($B$2="红人沟通",$B$3="开发信"),I25,IF(AND($B$2="红人沟通",$B$3="消息回复"),J25,"")))))=0,"",IF($B$2="受众分析",F25,IF($B$2="红人开发",H25,IF($B$2="搜索词挖掘",G25,IF(AND($B$2="红人沟通",$B$3="开发信"),I25,IF(AND($B$2="红人沟通",$B$3="消息回复"),J25,""))))))</f>
        <v/>
      </c>
      <c r="F28" s="33"/>
      <c r="G28" s="41"/>
      <c r="H28" s="35"/>
      <c r="J28" s="19"/>
    </row>
    <row r="29" s="18" customFormat="1" ht="13.5" spans="1:10">
      <c r="A29" s="32"/>
      <c r="B29" s="32"/>
      <c r="C29" s="32"/>
      <c r="E29" s="53" t="str">
        <f>IF(IF($B$2="受众分析",F26,IF($B$2="红人开发",H26,IF($B$2="搜索词挖掘",G26,IF(AND($B$2="红人沟通",$B$3="开发信"),I26,IF(AND($B$2="红人沟通",$B$3="消息回复"),J26,"")))))=0,"",IF($B$2="受众分析",F26,IF($B$2="红人开发",H26,IF($B$2="搜索词挖掘",G26,IF(AND($B$2="红人沟通",$B$3="开发信"),I26,IF(AND($B$2="红人沟通",$B$3="消息回复"),J26,""))))))</f>
        <v/>
      </c>
      <c r="F29" s="33"/>
      <c r="G29" s="41"/>
      <c r="H29" s="35"/>
      <c r="J29" s="19"/>
    </row>
    <row r="30" s="18" customFormat="1" ht="13.5" spans="1:10">
      <c r="A30" s="32"/>
      <c r="B30" s="32"/>
      <c r="C30" s="32"/>
      <c r="E30" s="53" t="str">
        <f>IF(IF($B$2="受众分析",F27,IF($B$2="红人开发",H27,IF($B$2="搜索词挖掘",G27,IF(AND($B$2="红人沟通",$B$3="开发信"),I27,IF(AND($B$2="红人沟通",$B$3="消息回复"),J27,"")))))=0,"",IF($B$2="受众分析",F27,IF($B$2="红人开发",H27,IF($B$2="搜索词挖掘",G27,IF(AND($B$2="红人沟通",$B$3="开发信"),I27,IF(AND($B$2="红人沟通",$B$3="消息回复"),J27,""))))))</f>
        <v/>
      </c>
      <c r="F30" s="33"/>
      <c r="G30" s="41"/>
      <c r="H30" s="35"/>
      <c r="J30" s="19"/>
    </row>
    <row r="31" s="18" customFormat="1" ht="13.5" spans="1:10">
      <c r="A31" s="32"/>
      <c r="B31" s="32"/>
      <c r="C31" s="32"/>
      <c r="E31" s="53" t="str">
        <f>IF(IF($B$2="受众分析",F28,IF($B$2="红人开发",H28,IF($B$2="搜索词挖掘",G28,IF(AND($B$2="红人沟通",$B$3="开发信"),I28,IF(AND($B$2="红人沟通",$B$3="消息回复"),J28,"")))))=0,"",IF($B$2="受众分析",F28,IF($B$2="红人开发",H28,IF($B$2="搜索词挖掘",G28,IF(AND($B$2="红人沟通",$B$3="开发信"),I28,IF(AND($B$2="红人沟通",$B$3="消息回复"),J28,""))))))</f>
        <v/>
      </c>
      <c r="F31" s="33"/>
      <c r="G31" s="41"/>
      <c r="H31" s="35"/>
      <c r="J31" s="19"/>
    </row>
    <row r="32" s="18" customFormat="1" ht="13.5" spans="1:10">
      <c r="A32" s="32"/>
      <c r="B32" s="32"/>
      <c r="C32" s="32"/>
      <c r="E32" s="56"/>
      <c r="F32" s="33"/>
      <c r="G32" s="41"/>
      <c r="H32" s="35"/>
      <c r="J32" s="19"/>
    </row>
    <row r="33" s="18" customFormat="1" ht="13.5" spans="1:10">
      <c r="A33" s="32"/>
      <c r="B33" s="32"/>
      <c r="C33" s="32"/>
      <c r="E33" s="56"/>
      <c r="F33" s="33"/>
      <c r="G33" s="41"/>
      <c r="H33" s="35"/>
      <c r="J33" s="19"/>
    </row>
    <row r="34" s="18" customFormat="1" ht="13.5" spans="1:10">
      <c r="A34" s="32"/>
      <c r="B34" s="32"/>
      <c r="C34" s="32"/>
      <c r="E34" s="56"/>
      <c r="F34" s="33"/>
      <c r="G34" s="41"/>
      <c r="H34" s="35"/>
      <c r="J34" s="19"/>
    </row>
    <row r="35" s="18" customFormat="1" ht="13.5" spans="1:10">
      <c r="A35" s="32"/>
      <c r="B35" s="32"/>
      <c r="C35" s="32"/>
      <c r="E35" s="56"/>
      <c r="F35" s="33"/>
      <c r="G35" s="41"/>
      <c r="H35" s="35"/>
      <c r="J35" s="19"/>
    </row>
    <row r="36" s="18" customFormat="1" ht="13.5" spans="1:10">
      <c r="A36" s="32"/>
      <c r="B36" s="32"/>
      <c r="C36" s="32"/>
      <c r="E36" s="56"/>
      <c r="F36" s="33"/>
      <c r="G36" s="41"/>
      <c r="H36" s="35"/>
      <c r="J36" s="19"/>
    </row>
    <row r="37" s="18" customFormat="1" ht="13.5" spans="1:10">
      <c r="A37" s="32"/>
      <c r="B37" s="32"/>
      <c r="C37" s="32"/>
      <c r="E37" s="56"/>
      <c r="F37" s="33"/>
      <c r="G37" s="41"/>
      <c r="H37" s="35"/>
      <c r="J37" s="19"/>
    </row>
    <row r="38" s="18" customFormat="1" ht="13.5" spans="1:10">
      <c r="A38" s="32"/>
      <c r="B38" s="32"/>
      <c r="C38" s="32"/>
      <c r="E38" s="56"/>
      <c r="F38" s="33"/>
      <c r="G38" s="41"/>
      <c r="H38" s="35"/>
      <c r="J38" s="19"/>
    </row>
    <row r="39" s="18" customFormat="1" ht="13.5" spans="1:10">
      <c r="A39" s="32"/>
      <c r="B39" s="32"/>
      <c r="C39" s="32"/>
      <c r="E39" s="56"/>
      <c r="F39" s="33"/>
      <c r="G39" s="41"/>
      <c r="H39" s="35"/>
      <c r="J39" s="19"/>
    </row>
    <row r="40" s="18" customFormat="1" ht="13.5" spans="1:10">
      <c r="A40" s="32"/>
      <c r="B40" s="32"/>
      <c r="C40" s="32"/>
      <c r="E40" s="56"/>
      <c r="F40" s="33"/>
      <c r="G40" s="41"/>
      <c r="H40" s="35"/>
      <c r="J40" s="19"/>
    </row>
    <row r="41" s="18" customFormat="1" ht="13.5" spans="1:10">
      <c r="A41" s="32"/>
      <c r="B41" s="32"/>
      <c r="C41" s="32"/>
      <c r="E41" s="56"/>
      <c r="F41" s="33"/>
      <c r="G41" s="41"/>
      <c r="H41" s="35"/>
      <c r="J41" s="19"/>
    </row>
    <row r="42" s="18" customFormat="1" spans="1:10">
      <c r="A42" s="32"/>
      <c r="B42" s="32"/>
      <c r="C42" s="32"/>
      <c r="E42" s="56"/>
      <c r="F42" s="33"/>
      <c r="G42" s="34"/>
      <c r="H42" s="35"/>
      <c r="J42" s="19"/>
    </row>
    <row r="43" s="18" customFormat="1" spans="1:10">
      <c r="A43" s="32"/>
      <c r="B43" s="32"/>
      <c r="C43" s="32"/>
      <c r="E43" s="56"/>
      <c r="F43" s="33"/>
      <c r="G43" s="34"/>
      <c r="H43" s="35"/>
      <c r="J43" s="19"/>
    </row>
  </sheetData>
  <mergeCells count="5">
    <mergeCell ref="A1:D1"/>
    <mergeCell ref="E2:E5"/>
    <mergeCell ref="I2:I9"/>
    <mergeCell ref="J2:J9"/>
    <mergeCell ref="K2:K7"/>
  </mergeCells>
  <dataValidations count="3">
    <dataValidation type="list" allowBlank="1" showInputMessage="1" showErrorMessage="1" sqref="B2">
      <formula1>"受众分析,搜索词挖掘,红人开发,红人沟通"</formula1>
    </dataValidation>
    <dataValidation type="list" allowBlank="1" showInputMessage="1" showErrorMessage="1" sqref="B3">
      <formula1>"开发信,消息回复"</formula1>
    </dataValidation>
    <dataValidation type="list" allowBlank="1" showInputMessage="1" showErrorMessage="1" sqref="D3">
      <formula1>"🇺🇸美国,🇯🇵日本,🇩🇪德国,🇨🇦加拿大,🇲🇽墨西哥,🇫🇷法国,🇮🇹意大利,🇪🇸西班牙,🇳🇱荷兰,🇵🇹葡萄牙,🇹🇷土耳其,🇦🇪阿拉伯,🇸🇪瑞典,🇵🇱波兰,uk 英国"</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B3" sqref="B3"/>
    </sheetView>
  </sheetViews>
  <sheetFormatPr defaultColWidth="8.35238095238095" defaultRowHeight="13.5"/>
  <cols>
    <col min="1" max="1" width="16.8095238095238" style="18" customWidth="1"/>
    <col min="2" max="2" width="45.9714285714286" style="18" customWidth="1"/>
    <col min="3" max="9" width="46.2190476190476" style="19" customWidth="1"/>
    <col min="10" max="10" width="33.7809523809524" style="18" customWidth="1"/>
    <col min="11" max="11" width="8.57142857142857" style="18" customWidth="1"/>
    <col min="12" max="16384" width="8.57142857142857" style="18"/>
  </cols>
  <sheetData>
    <row r="1" s="17" customFormat="1" ht="29" customHeight="1" spans="1:10">
      <c r="A1" s="20" t="s">
        <v>3088</v>
      </c>
      <c r="B1" s="20"/>
      <c r="C1" s="21" t="str">
        <f>B2&amp;"Prompts"</f>
        <v>🐶赶跟卖Prompts</v>
      </c>
      <c r="D1" s="22" t="s">
        <v>3080</v>
      </c>
      <c r="E1" s="22" t="s">
        <v>3089</v>
      </c>
      <c r="F1" s="22" t="s">
        <v>3090</v>
      </c>
      <c r="G1" s="22" t="s">
        <v>3091</v>
      </c>
      <c r="H1" s="22" t="s">
        <v>3092</v>
      </c>
      <c r="I1" s="22" t="s">
        <v>3093</v>
      </c>
      <c r="J1" s="31" t="s">
        <v>3094</v>
      </c>
    </row>
    <row r="2" s="18" customFormat="1" ht="44" customHeight="1" spans="1:10">
      <c r="A2" s="23" t="s">
        <v>6</v>
      </c>
      <c r="B2" s="24" t="s">
        <v>3095</v>
      </c>
      <c r="C2" s="25" t="str">
        <f>IF(B2="🐶赶跟卖",J2,IF(B2="📧消息回复",D2,IF(B2="🛒退款回复",E2,IF(B2="😊邀请好评",F2,IF(B2="🌟删除差评",G2,IF(B2="📃反馈分析",H2,IF(B2="✍️撰写POA",I2,"")))))))</f>
        <v>你是一位资深的🇺🇸美国亚马逊【品牌名/店铺名】anker店铺的客服经理【客服姓名】Jayden，你将用你专业的客服经验协助我赶跟卖。撰写一封赶跟卖的邮件给跟卖的卖家【产品】usb c hub，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美国使用语言】输出，最后将邮件翻译为中文。，以下是我的其它要求:【我的要求】一分钱一分货，感谢对产品对认可，我们会不断提升产品质量</v>
      </c>
      <c r="D2" s="26"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顾客：1.【顾客信息】："&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品牌名/店铺名】anker店铺的客服【客服姓名】Jayden，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顾客：1.【顾客信息】：【客户消息】this hub is expensive but good quality2.【我的要求】是:【我的要求】一分钱一分货，感谢对产品对认可，我们会不断提升产品质量</v>
      </c>
      <c r="E2" s="26"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挽留顾客，表达歉意，根据顾客遇到问题给到相应解决方案，另外可以给20% 做为补偿：1.【顾客退款原因】："&amp;B7&amp;"2.*【我的要求】是:"&amp;B8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品牌名/店铺名】anker店铺的客服【客服姓名】Jayden，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挽留顾客，表达歉意，根据顾客遇到问题给到相应解决方案，另外可以给20% 做为补偿：1.【顾客退款原因】：【客户消息】this hub is expensive but good quality2.*【我的要求】是:【我的要求】一分钱一分货，感谢对产品对认可，我们会不断提升产品质量</v>
      </c>
      <c r="F2" s="26" t="str">
        <f>"你是一位资深的"&amp;B3&amp;"亚马逊"&amp;B5&amp;"店铺"&amp;"的客服"&amp;B6&amp;"，用你专业的客服经验协助我解决顾客在亚马逊购物中遇到的问题和投诉，无论是关于订单、支付、配送、退换货的。用【"&amp;B3&amp;"使用语言】输出，撰写一封邀评信给客户关于购买的产品"&amp;B4&amp;"，要求：1.感谢购买；2.询问使用体验；3.如果有问题随时找我买沟通；4.巧妙引导客户给我们留评论，*但不能提及review和feedback关键词，用【"&amp;B3&amp;"使用语言】输出，最后将邮件翻译为中文。"</f>
        <v>你是一位资深的🇺🇸美国亚马逊【品牌名/店铺名】anker店铺的客服【客服姓名】Jayden，用你专业的客服经验协助我解决顾客在亚马逊购物中遇到的问题和投诉，无论是关于订单、支付、配送、退换货的。用【🇺🇸美国使用语言】输出，撰写一封邀评信给客户关于购买的产品【产品】usb c hub，要求：1.感谢购买；2.询问使用体验；3.如果有问题随时找我买沟通；4.巧妙引导客户给我们留评论，*但不能提及review和feedback关键词，用【🇺🇸美国使用语言】输出，最后将邮件翻译为中文。</v>
      </c>
      <c r="G2" s="26" t="str">
        <f>"【说明书内容】："&amp;B9&amp;",【常见QA】:"&amp;B10&amp;"【退款政策】:"&amp;B11&amp;"你是一位资深的"&amp;B3&amp;"亚马逊"&amp;B5&amp;"店铺"&amp;"的客服"&amp;B6&amp;"，你非常了解"&amp;B4&amp;"产品。用【"&amp;B3&amp;"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amp;B8&amp;"以下是顾客的差评"&amp;B7&amp;"用【"&amp;B3&amp;"使用语言】输出"</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2.如果产品损坏，可以给顾客换新品。你是一位资深的🇺🇸美国亚马逊【品牌名/店铺名】anker店铺的客服【客服姓名】Jayden，你非常了解【产品】usb c hub产品。用【🇺🇸美国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我的要求】一分钱一分货，感谢对产品对认可，我们会不断提升产品质量以下是顾客的差评【客户消息】this hub is expensive but good quality用【🇺🇸美国使用语言】输出</v>
      </c>
      <c r="H2" s="26" t="str">
        <f>"你是一位资深的"&amp;B3&amp;"亚马逊"&amp;B5&amp;"店铺"&amp;"的客服"&amp;B6&amp;"，总结以下负面反馈，将相似的反馈分组，记录它们出现的频率，按照降序排序，并提供相应的措施来解决它们。以表格格式输出结果，以下是反馈内容:"&amp;B7</f>
        <v>你是一位资深的🇺🇸美国亚马逊【品牌名/店铺名】anker店铺的客服【客服姓名】Jayden，总结以下负面反馈，将相似的反馈分组，记录它们出现的频率，按照降序排序，并提供相应的措施来解决它们。以表格格式输出结果，以下是反馈内容:【客户消息】this hub is expensive but good quality</v>
      </c>
      <c r="I2" s="26" t="str">
        <f>"你是一位资深的"&amp;B3&amp;"亚马逊"&amp;B5&amp;"店铺"&amp;"的客服"&amp;B6&amp;"，用你专业的客服经验协助我解决POA问题。POA结构参考：1.承认错误,2.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“未来预防措施”：详细描述一个负责任的、注重细节的企业将采取什么行动来确保根本原因几乎不可能再次发生。POA输出语言为(("&amp;B3&amp;"语言))，以下是亚马逊的警告信："&amp;B7</f>
        <v>你是一位资深的🇺🇸美国亚马逊【品牌名/店铺名】anker店铺的客服【客服姓名】Jayden，用你专业的客服经验协助我解决POA问题。POA结构参考：1.承认错误,2.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“未来预防措施”：详细描述一个负责任的、注重细节的企业将采取什么行动来确保根本原因几乎不可能再次发生。POA输出语言为((🇺🇸美国语言))，以下是亚马逊的警告信：【客户消息】this hub is expensive but good quality</v>
      </c>
      <c r="J2" s="26" t="str">
        <f>"你是一位资深的"&amp;B3&amp;"亚马逊"&amp;B5&amp;"店铺"&amp;"的客服经理"&amp;B6&amp;"，你将用你专业的客服经验协助我赶跟卖。撰写一封赶跟卖的邮件给跟卖的卖家"&amp;B4&amp;"，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amp;B3&amp;"使用语言】输出，最后将邮件翻译为中文。，以下是我的其它要求:"&amp;B8</f>
        <v>你是一位资深的🇺🇸美国亚马逊【品牌名/店铺名】anker店铺的客服经理【客服姓名】Jayden，你将用你专业的客服经验协助我赶跟卖。撰写一封赶跟卖的邮件给跟卖的卖家【产品】usb c hub，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美国使用语言】输出，最后将邮件翻译为中文。，以下是我的其它要求:【我的要求】一分钱一分货，感谢对产品对认可，我们会不断提升产品质量</v>
      </c>
    </row>
    <row r="3" s="18" customFormat="1" ht="44" customHeight="1" spans="1:10">
      <c r="A3" s="23" t="s">
        <v>12</v>
      </c>
      <c r="B3" s="27" t="s">
        <v>13</v>
      </c>
      <c r="C3" s="25"/>
      <c r="D3" s="26"/>
      <c r="E3" s="26"/>
      <c r="F3" s="26"/>
      <c r="G3" s="26"/>
      <c r="H3" s="26"/>
      <c r="I3" s="26"/>
      <c r="J3" s="26"/>
    </row>
    <row r="4" s="18" customFormat="1" ht="44" customHeight="1" spans="1:10">
      <c r="A4" s="23" t="s">
        <v>3096</v>
      </c>
      <c r="B4" s="27" t="s">
        <v>3097</v>
      </c>
      <c r="C4" s="25"/>
      <c r="D4" s="26"/>
      <c r="E4" s="26"/>
      <c r="F4" s="26"/>
      <c r="G4" s="26"/>
      <c r="H4" s="26"/>
      <c r="I4" s="26"/>
      <c r="J4" s="26"/>
    </row>
    <row r="5" s="18" customFormat="1" ht="44" customHeight="1" spans="1:10">
      <c r="A5" s="23" t="s">
        <v>3098</v>
      </c>
      <c r="B5" s="27" t="s">
        <v>3099</v>
      </c>
      <c r="C5" s="25"/>
      <c r="D5" s="26"/>
      <c r="E5" s="26"/>
      <c r="F5" s="26"/>
      <c r="G5" s="26"/>
      <c r="H5" s="26"/>
      <c r="I5" s="26"/>
      <c r="J5" s="26"/>
    </row>
    <row r="6" s="18" customFormat="1" ht="44" customHeight="1" spans="1:10">
      <c r="A6" s="23" t="s">
        <v>3100</v>
      </c>
      <c r="B6" s="27" t="s">
        <v>3084</v>
      </c>
      <c r="C6" s="25"/>
      <c r="D6" s="26"/>
      <c r="E6" s="26"/>
      <c r="F6" s="26"/>
      <c r="G6" s="26"/>
      <c r="H6" s="26"/>
      <c r="I6" s="26"/>
      <c r="J6" s="26"/>
    </row>
    <row r="7" s="18" customFormat="1" ht="44" customHeight="1" spans="1:10">
      <c r="A7" s="28" t="s">
        <v>3101</v>
      </c>
      <c r="B7" s="24" t="s">
        <v>3102</v>
      </c>
      <c r="C7" s="25"/>
      <c r="D7" s="26"/>
      <c r="E7" s="26"/>
      <c r="F7" s="26"/>
      <c r="G7" s="26"/>
      <c r="H7" s="26"/>
      <c r="I7" s="26"/>
      <c r="J7" s="26"/>
    </row>
    <row r="8" s="18" customFormat="1" ht="44" customHeight="1" spans="1:10">
      <c r="A8" s="28" t="s">
        <v>3103</v>
      </c>
      <c r="B8" s="24" t="s">
        <v>3104</v>
      </c>
      <c r="C8" s="25"/>
      <c r="D8" s="26"/>
      <c r="E8" s="26"/>
      <c r="F8" s="26"/>
      <c r="G8" s="26"/>
      <c r="H8" s="26"/>
      <c r="I8" s="26"/>
      <c r="J8" s="26"/>
    </row>
    <row r="9" s="18" customFormat="1" ht="44" customHeight="1" spans="1:10">
      <c r="A9" s="28" t="s">
        <v>3105</v>
      </c>
      <c r="B9" s="29" t="str">
        <f>IFERROR(VLOOKUP(B4,A12:B100,2,0),"无产品信息")</f>
        <v>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v>
      </c>
      <c r="C9" s="25"/>
      <c r="D9" s="26"/>
      <c r="E9" s="26"/>
      <c r="F9" s="26"/>
      <c r="G9" s="26"/>
      <c r="H9" s="26"/>
      <c r="I9" s="26"/>
      <c r="J9" s="26"/>
    </row>
    <row r="10" s="18" customFormat="1" ht="44" customHeight="1" spans="1:10">
      <c r="A10" s="28" t="s">
        <v>3106</v>
      </c>
      <c r="B10" s="29" t="str">
        <f>VLOOKUP(B4,A12:C100,3,0)</f>
        <v>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v>
      </c>
      <c r="C10" s="25"/>
      <c r="D10" s="26"/>
      <c r="E10" s="26"/>
      <c r="F10" s="26"/>
      <c r="G10" s="26"/>
      <c r="H10" s="26"/>
      <c r="I10" s="26"/>
      <c r="J10" s="26"/>
    </row>
    <row r="11" s="18" customFormat="1" ht="80" customHeight="1" spans="1:10">
      <c r="A11" s="28" t="s">
        <v>3107</v>
      </c>
      <c r="B11" s="29" t="s">
        <v>3108</v>
      </c>
      <c r="C11" s="25"/>
      <c r="D11" s="26"/>
      <c r="E11" s="26"/>
      <c r="F11" s="26"/>
      <c r="G11" s="26"/>
      <c r="H11" s="26"/>
      <c r="I11" s="26"/>
      <c r="J11" s="26"/>
    </row>
    <row r="12" s="18" customFormat="1" ht="28" customHeight="1" spans="1:9">
      <c r="A12" s="17" t="s">
        <v>3109</v>
      </c>
      <c r="B12" s="17" t="s">
        <v>3110</v>
      </c>
      <c r="C12" s="30" t="s">
        <v>3111</v>
      </c>
      <c r="D12" s="19"/>
      <c r="E12" s="19"/>
      <c r="F12" s="19"/>
      <c r="G12" s="19"/>
      <c r="H12" s="19"/>
      <c r="I12" s="19"/>
    </row>
    <row r="13" s="18" customFormat="1" ht="28" customHeight="1" spans="1:9">
      <c r="A13" s="18" t="s">
        <v>3112</v>
      </c>
      <c r="B13" s="19" t="s">
        <v>3113</v>
      </c>
      <c r="C13" s="19" t="s">
        <v>3114</v>
      </c>
      <c r="D13" s="19"/>
      <c r="E13" s="19"/>
      <c r="F13" s="19"/>
      <c r="G13" s="19"/>
      <c r="H13" s="19"/>
      <c r="I13" s="19"/>
    </row>
    <row r="14" s="18" customFormat="1" ht="28" customHeight="1" spans="1:9">
      <c r="A14" s="18" t="s">
        <v>3097</v>
      </c>
      <c r="B14" s="19" t="s">
        <v>3087</v>
      </c>
      <c r="C14" s="19" t="s">
        <v>3086</v>
      </c>
      <c r="D14" s="19"/>
      <c r="E14" s="19"/>
      <c r="F14" s="19"/>
      <c r="G14" s="19"/>
      <c r="H14" s="19"/>
      <c r="I14" s="19"/>
    </row>
    <row r="15" s="18" customFormat="1" ht="28" customHeight="1" spans="1:9">
      <c r="A15" s="18" t="s">
        <v>3115</v>
      </c>
      <c r="B15" s="19" t="s">
        <v>3116</v>
      </c>
      <c r="C15" s="19" t="s">
        <v>3117</v>
      </c>
      <c r="D15" s="19"/>
      <c r="E15" s="19"/>
      <c r="F15" s="19"/>
      <c r="G15" s="19"/>
      <c r="H15" s="19"/>
      <c r="I15" s="19"/>
    </row>
    <row r="16" s="18" customFormat="1" ht="28" customHeight="1" spans="1:9">
      <c r="A16" s="18" t="s">
        <v>3118</v>
      </c>
      <c r="B16" s="19" t="s">
        <v>3119</v>
      </c>
      <c r="C16" s="19" t="s">
        <v>3120</v>
      </c>
      <c r="D16" s="19"/>
      <c r="E16" s="19"/>
      <c r="F16" s="19"/>
      <c r="G16" s="19"/>
      <c r="H16" s="19"/>
      <c r="I16" s="19"/>
    </row>
    <row r="17" s="18" customFormat="1" ht="28" customHeight="1" spans="1:9">
      <c r="A17" s="18" t="s">
        <v>3121</v>
      </c>
      <c r="B17" s="18">
        <v>1</v>
      </c>
      <c r="C17" s="19">
        <v>1</v>
      </c>
      <c r="D17" s="19"/>
      <c r="E17" s="19"/>
      <c r="F17" s="19"/>
      <c r="G17" s="19"/>
      <c r="H17" s="19"/>
      <c r="I17" s="19"/>
    </row>
    <row r="18" s="18" customFormat="1" spans="1:9">
      <c r="A18" s="18" t="s">
        <v>3122</v>
      </c>
      <c r="B18" s="18">
        <v>2</v>
      </c>
      <c r="C18" s="19">
        <v>2</v>
      </c>
      <c r="D18" s="19"/>
      <c r="E18" s="19"/>
      <c r="F18" s="19"/>
      <c r="G18" s="19"/>
      <c r="H18" s="19"/>
      <c r="I18" s="19"/>
    </row>
  </sheetData>
  <mergeCells count="9">
    <mergeCell ref="A1:B1"/>
    <mergeCell ref="C2:C11"/>
    <mergeCell ref="D2:D11"/>
    <mergeCell ref="E2:E11"/>
    <mergeCell ref="F2:F11"/>
    <mergeCell ref="G2:G11"/>
    <mergeCell ref="H2:H11"/>
    <mergeCell ref="I2:I11"/>
    <mergeCell ref="J2:J11"/>
  </mergeCells>
  <dataValidations count="3">
    <dataValidation type="list" allowBlank="1" showInputMessage="1" showErrorMessage="1" sqref="B2">
      <formula1>"📧消息回复,🛒退款回复,😊邀请好评,🌟删除差评,📃反馈分析,🐶赶跟卖,✍️撰写POA"</formula1>
    </dataValidation>
    <dataValidation type="list" allowBlank="1" showInputMessage="1" showErrorMessage="1" sqref="B3">
      <formula1>"🇺🇸美国,🇯🇵日本,🇩🇪德国,🇨🇦加拿大,🇲🇽墨西哥,🇫🇷法国,🇮🇹意大利,🇪🇸西班牙,🇳🇱荷兰,🇵🇹葡萄牙,🇹🇷土耳其,🇦🇪阿拉伯,🇸🇪瑞典,🇵🇱波兰,uk 英国"</formula1>
    </dataValidation>
    <dataValidation type="list" allowBlank="1" showInputMessage="1" showErrorMessage="1" sqref="B4">
      <formula1>$A$13:$A$116</formula1>
    </dataValidation>
  </dataValidation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G21" sqref="G21"/>
    </sheetView>
  </sheetViews>
  <sheetFormatPr defaultColWidth="9.14285714285714" defaultRowHeight="12.75"/>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7"/>
  <sheetViews>
    <sheetView workbookViewId="0">
      <selection activeCell="A14" sqref="A14"/>
    </sheetView>
  </sheetViews>
  <sheetFormatPr defaultColWidth="16.3333333333333" defaultRowHeight="19.9" customHeight="1"/>
  <cols>
    <col min="1" max="2" width="16.352380952381" style="1" customWidth="1"/>
    <col min="3" max="3" width="10.2571428571429" style="1" customWidth="1"/>
    <col min="4" max="6" width="16.352380952381" style="1" customWidth="1"/>
    <col min="7" max="7" width="10.2571428571429" style="1" customWidth="1"/>
    <col min="8" max="12" width="16.352380952381" style="1" customWidth="1"/>
    <col min="13" max="13" width="10.2571428571429" style="1" customWidth="1"/>
    <col min="14" max="16" width="16.352380952381" style="1" customWidth="1"/>
    <col min="17" max="17" width="10.2571428571429" style="1" customWidth="1"/>
    <col min="18" max="16383" width="16.352380952381" style="1" customWidth="1"/>
    <col min="16384" max="16384" width="16.3333333333333" style="2"/>
  </cols>
  <sheetData>
    <row r="1" s="1" customFormat="1" ht="40.65" customHeight="1" spans="1:18">
      <c r="A1" s="3" t="s">
        <v>3123</v>
      </c>
      <c r="B1" s="4" t="s">
        <v>3124</v>
      </c>
      <c r="C1" s="3" t="s">
        <v>3125</v>
      </c>
      <c r="D1" s="4" t="s">
        <v>3126</v>
      </c>
      <c r="E1" s="3" t="s">
        <v>3127</v>
      </c>
      <c r="F1" s="4" t="s">
        <v>3128</v>
      </c>
      <c r="G1" s="3" t="s">
        <v>3129</v>
      </c>
      <c r="H1" s="4" t="s">
        <v>3130</v>
      </c>
      <c r="I1" s="3" t="s">
        <v>3131</v>
      </c>
      <c r="J1" s="4" t="s">
        <v>3132</v>
      </c>
      <c r="K1" s="3" t="s">
        <v>3133</v>
      </c>
      <c r="L1" s="4" t="s">
        <v>3134</v>
      </c>
      <c r="M1" s="3" t="s">
        <v>3135</v>
      </c>
      <c r="N1" s="4" t="s">
        <v>3136</v>
      </c>
      <c r="O1" s="4" t="s">
        <v>3137</v>
      </c>
      <c r="P1" s="4" t="s">
        <v>3138</v>
      </c>
      <c r="Q1" s="4" t="s">
        <v>3139</v>
      </c>
      <c r="R1" s="4" t="s">
        <v>3139</v>
      </c>
    </row>
    <row r="2" s="1" customFormat="1" ht="32.65" customHeight="1" spans="1:18">
      <c r="A2" s="3" t="s">
        <v>3140</v>
      </c>
      <c r="B2" s="4" t="s">
        <v>3141</v>
      </c>
      <c r="C2" s="3" t="s">
        <v>3142</v>
      </c>
      <c r="D2" s="4" t="s">
        <v>3143</v>
      </c>
      <c r="E2" s="3" t="s">
        <v>3144</v>
      </c>
      <c r="F2" s="4" t="s">
        <v>3145</v>
      </c>
      <c r="G2" s="3" t="s">
        <v>3146</v>
      </c>
      <c r="H2" s="4" t="s">
        <v>3147</v>
      </c>
      <c r="I2" s="3" t="s">
        <v>3148</v>
      </c>
      <c r="J2" s="4" t="s">
        <v>3149</v>
      </c>
      <c r="K2" s="3" t="s">
        <v>3150</v>
      </c>
      <c r="L2" s="4" t="s">
        <v>3151</v>
      </c>
      <c r="M2" s="3" t="s">
        <v>3152</v>
      </c>
      <c r="N2" s="4" t="s">
        <v>3153</v>
      </c>
      <c r="O2" s="3" t="s">
        <v>3154</v>
      </c>
      <c r="P2" s="4" t="s">
        <v>3155</v>
      </c>
      <c r="Q2" s="3" t="s">
        <v>3156</v>
      </c>
      <c r="R2" s="4" t="s">
        <v>3157</v>
      </c>
    </row>
    <row r="3" s="1" customFormat="1" ht="40.65" customHeight="1" spans="1:18">
      <c r="A3" s="3" t="s">
        <v>3158</v>
      </c>
      <c r="B3" s="4" t="s">
        <v>3159</v>
      </c>
      <c r="C3" s="5" t="s">
        <v>3160</v>
      </c>
      <c r="D3" s="6" t="s">
        <v>3161</v>
      </c>
      <c r="E3" s="3" t="s">
        <v>3162</v>
      </c>
      <c r="F3" s="4" t="s">
        <v>3163</v>
      </c>
      <c r="G3" s="5" t="s">
        <v>3164</v>
      </c>
      <c r="H3" s="6" t="s">
        <v>3165</v>
      </c>
      <c r="I3" s="3" t="s">
        <v>3166</v>
      </c>
      <c r="J3" s="4" t="s">
        <v>3167</v>
      </c>
      <c r="K3" s="3" t="s">
        <v>3168</v>
      </c>
      <c r="L3" s="4" t="s">
        <v>3169</v>
      </c>
      <c r="M3" s="5" t="s">
        <v>3170</v>
      </c>
      <c r="N3" s="6" t="s">
        <v>3171</v>
      </c>
      <c r="O3" s="4" t="s">
        <v>3172</v>
      </c>
      <c r="P3" s="4" t="s">
        <v>3173</v>
      </c>
      <c r="Q3" s="5" t="s">
        <v>3174</v>
      </c>
      <c r="R3" s="6" t="s">
        <v>3175</v>
      </c>
    </row>
    <row r="4" s="1" customFormat="1" ht="32" customHeight="1" spans="1:18">
      <c r="A4" s="5" t="s">
        <v>3176</v>
      </c>
      <c r="B4" s="6" t="s">
        <v>3177</v>
      </c>
      <c r="C4" s="5" t="s">
        <v>3178</v>
      </c>
      <c r="D4" s="6" t="s">
        <v>3179</v>
      </c>
      <c r="E4" s="6"/>
      <c r="F4" s="6"/>
      <c r="G4" s="5" t="s">
        <v>3180</v>
      </c>
      <c r="H4" s="6" t="s">
        <v>3181</v>
      </c>
      <c r="I4" s="5" t="s">
        <v>3182</v>
      </c>
      <c r="J4" s="6" t="s">
        <v>3183</v>
      </c>
      <c r="K4" s="5" t="s">
        <v>3184</v>
      </c>
      <c r="L4" s="6" t="s">
        <v>3185</v>
      </c>
      <c r="M4" s="5" t="s">
        <v>3186</v>
      </c>
      <c r="N4" s="6" t="s">
        <v>3187</v>
      </c>
      <c r="O4" s="5" t="s">
        <v>3188</v>
      </c>
      <c r="P4" s="6" t="s">
        <v>3189</v>
      </c>
      <c r="Q4" s="5" t="s">
        <v>3190</v>
      </c>
      <c r="R4" s="6" t="s">
        <v>3191</v>
      </c>
    </row>
    <row r="5" s="1" customFormat="1" ht="24.35" customHeight="1" spans="1:18">
      <c r="A5" s="5" t="s">
        <v>3192</v>
      </c>
      <c r="B5" s="6" t="s">
        <v>3193</v>
      </c>
      <c r="C5" s="7"/>
      <c r="D5" s="7"/>
      <c r="E5" s="6"/>
      <c r="F5" s="6"/>
      <c r="G5" s="8" t="s">
        <v>3194</v>
      </c>
      <c r="H5" s="7" t="s">
        <v>3195</v>
      </c>
      <c r="I5" s="5" t="s">
        <v>3196</v>
      </c>
      <c r="J5" s="6" t="s">
        <v>3197</v>
      </c>
      <c r="K5" s="5" t="s">
        <v>3198</v>
      </c>
      <c r="L5" s="6" t="s">
        <v>3199</v>
      </c>
      <c r="M5" s="8" t="s">
        <v>3200</v>
      </c>
      <c r="N5" s="7" t="s">
        <v>3201</v>
      </c>
      <c r="O5" s="5" t="s">
        <v>3202</v>
      </c>
      <c r="P5" s="6" t="s">
        <v>3203</v>
      </c>
      <c r="Q5" s="8" t="s">
        <v>3204</v>
      </c>
      <c r="R5" s="7" t="s">
        <v>3205</v>
      </c>
    </row>
    <row r="6" s="1" customFormat="1" ht="40.65" customHeight="1" spans="1:18">
      <c r="A6" s="5" t="s">
        <v>3206</v>
      </c>
      <c r="B6" s="6" t="s">
        <v>3207</v>
      </c>
      <c r="C6" s="7"/>
      <c r="D6" s="7"/>
      <c r="E6" s="6" t="s">
        <v>3208</v>
      </c>
      <c r="F6" s="6"/>
      <c r="G6" s="8" t="s">
        <v>3209</v>
      </c>
      <c r="H6" s="7" t="s">
        <v>3210</v>
      </c>
      <c r="I6" s="5" t="s">
        <v>3211</v>
      </c>
      <c r="J6" s="6" t="s">
        <v>3212</v>
      </c>
      <c r="K6" s="5" t="s">
        <v>3213</v>
      </c>
      <c r="L6" s="6" t="s">
        <v>3214</v>
      </c>
      <c r="M6" s="8" t="s">
        <v>3215</v>
      </c>
      <c r="N6" s="7" t="s">
        <v>3216</v>
      </c>
      <c r="O6" s="5" t="s">
        <v>3217</v>
      </c>
      <c r="P6" s="6" t="s">
        <v>3218</v>
      </c>
      <c r="Q6" s="8" t="s">
        <v>3217</v>
      </c>
      <c r="R6" s="7" t="s">
        <v>3219</v>
      </c>
    </row>
    <row r="7" s="1" customFormat="1" ht="24.35" customHeight="1" spans="1:18">
      <c r="A7" s="5" t="s">
        <v>3220</v>
      </c>
      <c r="B7" s="6" t="s">
        <v>3221</v>
      </c>
      <c r="C7" s="7"/>
      <c r="D7" s="7"/>
      <c r="E7" s="5" t="s">
        <v>3222</v>
      </c>
      <c r="F7" s="6" t="s">
        <v>3223</v>
      </c>
      <c r="G7" s="8" t="s">
        <v>3224</v>
      </c>
      <c r="H7" s="7" t="s">
        <v>3225</v>
      </c>
      <c r="I7" s="5" t="s">
        <v>3226</v>
      </c>
      <c r="J7" s="6" t="s">
        <v>3227</v>
      </c>
      <c r="K7" s="5" t="s">
        <v>3228</v>
      </c>
      <c r="L7" s="6" t="s">
        <v>3229</v>
      </c>
      <c r="M7" s="8" t="s">
        <v>3230</v>
      </c>
      <c r="N7" s="7" t="s">
        <v>3231</v>
      </c>
      <c r="O7" s="5" t="s">
        <v>3232</v>
      </c>
      <c r="P7" s="6" t="s">
        <v>3233</v>
      </c>
      <c r="Q7" s="8" t="s">
        <v>3234</v>
      </c>
      <c r="R7" s="7" t="s">
        <v>3235</v>
      </c>
    </row>
    <row r="8" s="1" customFormat="1" ht="36.35" customHeight="1" spans="1:18">
      <c r="A8" s="5" t="s">
        <v>3236</v>
      </c>
      <c r="B8" s="6" t="s">
        <v>3237</v>
      </c>
      <c r="C8" s="7"/>
      <c r="D8" s="7"/>
      <c r="E8" s="5" t="s">
        <v>3238</v>
      </c>
      <c r="F8" s="6" t="s">
        <v>3239</v>
      </c>
      <c r="G8" s="8" t="s">
        <v>3240</v>
      </c>
      <c r="H8" s="7" t="s">
        <v>3241</v>
      </c>
      <c r="I8" s="5" t="s">
        <v>3242</v>
      </c>
      <c r="J8" s="6" t="s">
        <v>3243</v>
      </c>
      <c r="K8" s="5" t="s">
        <v>3244</v>
      </c>
      <c r="L8" s="6" t="s">
        <v>3245</v>
      </c>
      <c r="M8" s="8" t="s">
        <v>3246</v>
      </c>
      <c r="N8" s="7" t="s">
        <v>3247</v>
      </c>
      <c r="O8" s="5" t="s">
        <v>3248</v>
      </c>
      <c r="P8" s="6" t="s">
        <v>3249</v>
      </c>
      <c r="Q8" s="8" t="s">
        <v>3250</v>
      </c>
      <c r="R8" s="7" t="s">
        <v>3251</v>
      </c>
    </row>
    <row r="9" s="1" customFormat="1" ht="36.35" customHeight="1" spans="1:18">
      <c r="A9" s="6" t="s">
        <v>3252</v>
      </c>
      <c r="B9" s="6" t="s">
        <v>3253</v>
      </c>
      <c r="C9" s="7"/>
      <c r="D9" s="7"/>
      <c r="E9" s="5" t="s">
        <v>3254</v>
      </c>
      <c r="F9" s="6" t="s">
        <v>3255</v>
      </c>
      <c r="G9" s="8" t="s">
        <v>3256</v>
      </c>
      <c r="H9" s="7" t="s">
        <v>3257</v>
      </c>
      <c r="I9" s="5" t="s">
        <v>3258</v>
      </c>
      <c r="J9" s="6" t="s">
        <v>3259</v>
      </c>
      <c r="K9" s="5" t="s">
        <v>3244</v>
      </c>
      <c r="L9" s="6" t="s">
        <v>3260</v>
      </c>
      <c r="M9" s="7" t="s">
        <v>3261</v>
      </c>
      <c r="N9" s="7" t="s">
        <v>3262</v>
      </c>
      <c r="O9" s="5" t="s">
        <v>3263</v>
      </c>
      <c r="P9" s="6" t="s">
        <v>3264</v>
      </c>
      <c r="Q9" s="8" t="s">
        <v>3265</v>
      </c>
      <c r="R9" s="7" t="s">
        <v>3266</v>
      </c>
    </row>
    <row r="10" s="1" customFormat="1" ht="24.35" customHeight="1" spans="1:18">
      <c r="A10" s="3" t="s">
        <v>3267</v>
      </c>
      <c r="B10" s="4" t="s">
        <v>3268</v>
      </c>
      <c r="C10" s="7"/>
      <c r="D10" s="7"/>
      <c r="E10" s="3" t="s">
        <v>3269</v>
      </c>
      <c r="F10" s="4" t="s">
        <v>3270</v>
      </c>
      <c r="G10" s="8" t="s">
        <v>3271</v>
      </c>
      <c r="H10" s="7" t="s">
        <v>3272</v>
      </c>
      <c r="I10" s="3" t="s">
        <v>3273</v>
      </c>
      <c r="J10" s="4" t="s">
        <v>3274</v>
      </c>
      <c r="K10" s="3" t="s">
        <v>3275</v>
      </c>
      <c r="L10" s="4" t="s">
        <v>3276</v>
      </c>
      <c r="M10" s="8" t="s">
        <v>3277</v>
      </c>
      <c r="N10" s="7" t="s">
        <v>3278</v>
      </c>
      <c r="O10" s="3" t="s">
        <v>3279</v>
      </c>
      <c r="P10" s="4" t="s">
        <v>3280</v>
      </c>
      <c r="Q10" s="7"/>
      <c r="R10" s="7"/>
    </row>
    <row r="11" s="1" customFormat="1" ht="24.35" customHeight="1" spans="1:18">
      <c r="A11" s="3" t="s">
        <v>3281</v>
      </c>
      <c r="B11" s="4" t="s">
        <v>3282</v>
      </c>
      <c r="C11" s="7"/>
      <c r="D11" s="7"/>
      <c r="E11" s="3" t="s">
        <v>3283</v>
      </c>
      <c r="F11" s="4" t="s">
        <v>3284</v>
      </c>
      <c r="G11" s="8" t="s">
        <v>3285</v>
      </c>
      <c r="H11" s="7" t="s">
        <v>3286</v>
      </c>
      <c r="I11" s="3" t="s">
        <v>3287</v>
      </c>
      <c r="J11" s="4" t="s">
        <v>3288</v>
      </c>
      <c r="K11" s="3" t="s">
        <v>3289</v>
      </c>
      <c r="L11" s="4" t="s">
        <v>3290</v>
      </c>
      <c r="M11" s="8" t="s">
        <v>3291</v>
      </c>
      <c r="N11" s="7" t="s">
        <v>3292</v>
      </c>
      <c r="O11" s="3" t="s">
        <v>3293</v>
      </c>
      <c r="P11" s="4" t="s">
        <v>3294</v>
      </c>
      <c r="Q11" s="7"/>
      <c r="R11" s="7"/>
    </row>
    <row r="12" s="1" customFormat="1" ht="40.65" customHeight="1" spans="1:18">
      <c r="A12" s="3" t="s">
        <v>3295</v>
      </c>
      <c r="B12" s="4" t="s">
        <v>3296</v>
      </c>
      <c r="C12" s="7"/>
      <c r="D12" s="7"/>
      <c r="E12" s="3" t="s">
        <v>3297</v>
      </c>
      <c r="F12" s="4" t="s">
        <v>3298</v>
      </c>
      <c r="G12" s="8" t="s">
        <v>3299</v>
      </c>
      <c r="H12" s="7" t="s">
        <v>3300</v>
      </c>
      <c r="I12" s="3" t="s">
        <v>3301</v>
      </c>
      <c r="J12" s="4" t="s">
        <v>3302</v>
      </c>
      <c r="K12" s="3" t="s">
        <v>3303</v>
      </c>
      <c r="L12" s="4" t="s">
        <v>3304</v>
      </c>
      <c r="M12" s="8" t="s">
        <v>3305</v>
      </c>
      <c r="N12" s="7" t="s">
        <v>3306</v>
      </c>
      <c r="O12" s="3" t="s">
        <v>3307</v>
      </c>
      <c r="P12" s="4" t="s">
        <v>3308</v>
      </c>
      <c r="Q12" s="7"/>
      <c r="R12" s="7"/>
    </row>
    <row r="13" s="1" customFormat="1" ht="32" customHeight="1" spans="1:18">
      <c r="A13" s="3" t="s">
        <v>3267</v>
      </c>
      <c r="B13" s="4" t="s">
        <v>3268</v>
      </c>
      <c r="C13" s="7"/>
      <c r="D13" s="7"/>
      <c r="E13" s="4"/>
      <c r="F13" s="4"/>
      <c r="G13" s="8" t="s">
        <v>3309</v>
      </c>
      <c r="H13" s="7" t="s">
        <v>3310</v>
      </c>
      <c r="I13" s="3" t="s">
        <v>3311</v>
      </c>
      <c r="J13" s="4" t="s">
        <v>3312</v>
      </c>
      <c r="K13" s="3" t="s">
        <v>3313</v>
      </c>
      <c r="L13" s="4" t="s">
        <v>3314</v>
      </c>
      <c r="M13" s="8" t="s">
        <v>3315</v>
      </c>
      <c r="N13" s="7" t="s">
        <v>3316</v>
      </c>
      <c r="O13" s="3" t="s">
        <v>3317</v>
      </c>
      <c r="P13" s="4" t="s">
        <v>3318</v>
      </c>
      <c r="Q13" s="7"/>
      <c r="R13" s="7"/>
    </row>
    <row r="14" s="1" customFormat="1" ht="56.65" customHeight="1" spans="1:18">
      <c r="A14" s="3" t="s">
        <v>3319</v>
      </c>
      <c r="B14" s="4" t="s">
        <v>3320</v>
      </c>
      <c r="C14" s="7"/>
      <c r="D14" s="7"/>
      <c r="E14" s="4" t="s">
        <v>3321</v>
      </c>
      <c r="F14" s="4" t="s">
        <v>3322</v>
      </c>
      <c r="G14" s="8" t="s">
        <v>3323</v>
      </c>
      <c r="H14" s="7" t="s">
        <v>3324</v>
      </c>
      <c r="I14" s="3" t="s">
        <v>3325</v>
      </c>
      <c r="J14" s="4" t="s">
        <v>3326</v>
      </c>
      <c r="K14" s="3" t="s">
        <v>3327</v>
      </c>
      <c r="L14" s="4" t="s">
        <v>3328</v>
      </c>
      <c r="M14" s="8" t="s">
        <v>3329</v>
      </c>
      <c r="N14" s="7" t="s">
        <v>3330</v>
      </c>
      <c r="O14" s="3" t="s">
        <v>3331</v>
      </c>
      <c r="P14" s="4" t="s">
        <v>3332</v>
      </c>
      <c r="Q14" s="7"/>
      <c r="R14" s="7"/>
    </row>
    <row r="15" s="1" customFormat="1" ht="40.65" customHeight="1" spans="1:18">
      <c r="A15" s="3" t="s">
        <v>3333</v>
      </c>
      <c r="B15" s="4" t="s">
        <v>3334</v>
      </c>
      <c r="C15" s="7"/>
      <c r="D15" s="7"/>
      <c r="E15" s="3" t="s">
        <v>3335</v>
      </c>
      <c r="F15" s="4" t="s">
        <v>3336</v>
      </c>
      <c r="G15" s="8" t="s">
        <v>3337</v>
      </c>
      <c r="H15" s="7" t="s">
        <v>3338</v>
      </c>
      <c r="I15" s="3" t="s">
        <v>3339</v>
      </c>
      <c r="J15" s="4" t="s">
        <v>3340</v>
      </c>
      <c r="K15" s="3" t="s">
        <v>3341</v>
      </c>
      <c r="L15" s="4" t="s">
        <v>3342</v>
      </c>
      <c r="M15" s="8" t="s">
        <v>3343</v>
      </c>
      <c r="N15" s="7" t="s">
        <v>3344</v>
      </c>
      <c r="O15" s="3" t="s">
        <v>3345</v>
      </c>
      <c r="P15" s="4" t="s">
        <v>3346</v>
      </c>
      <c r="Q15" s="7"/>
      <c r="R15" s="7"/>
    </row>
    <row r="16" s="1" customFormat="1" ht="32" customHeight="1" spans="1:18">
      <c r="A16" s="3" t="s">
        <v>3347</v>
      </c>
      <c r="B16" s="4" t="s">
        <v>3348</v>
      </c>
      <c r="C16" s="7"/>
      <c r="D16" s="7"/>
      <c r="E16" s="3" t="s">
        <v>3349</v>
      </c>
      <c r="F16" s="4" t="s">
        <v>3350</v>
      </c>
      <c r="G16" s="8" t="s">
        <v>3351</v>
      </c>
      <c r="H16" s="7" t="s">
        <v>3352</v>
      </c>
      <c r="I16" s="3" t="s">
        <v>3353</v>
      </c>
      <c r="J16" s="4" t="s">
        <v>3354</v>
      </c>
      <c r="K16" s="3" t="s">
        <v>3355</v>
      </c>
      <c r="L16" s="4" t="s">
        <v>3356</v>
      </c>
      <c r="M16" s="8" t="s">
        <v>3357</v>
      </c>
      <c r="N16" s="7" t="s">
        <v>3358</v>
      </c>
      <c r="O16" s="3" t="s">
        <v>3359</v>
      </c>
      <c r="P16" s="4" t="s">
        <v>3360</v>
      </c>
      <c r="Q16" s="7"/>
      <c r="R16" s="7"/>
    </row>
    <row r="17" s="1" customFormat="1" ht="24.35" customHeight="1" spans="1:18">
      <c r="A17" s="3" t="s">
        <v>3248</v>
      </c>
      <c r="B17" s="4" t="s">
        <v>3249</v>
      </c>
      <c r="C17" s="7"/>
      <c r="D17" s="7"/>
      <c r="E17" s="4"/>
      <c r="F17" s="4"/>
      <c r="G17" s="8" t="s">
        <v>3361</v>
      </c>
      <c r="H17" s="7" t="s">
        <v>3362</v>
      </c>
      <c r="I17" s="3" t="s">
        <v>3363</v>
      </c>
      <c r="J17" s="4" t="s">
        <v>3364</v>
      </c>
      <c r="K17" s="3" t="s">
        <v>3365</v>
      </c>
      <c r="L17" s="4" t="s">
        <v>3366</v>
      </c>
      <c r="M17" s="8" t="s">
        <v>3367</v>
      </c>
      <c r="N17" s="7" t="s">
        <v>3368</v>
      </c>
      <c r="O17" s="3" t="s">
        <v>3369</v>
      </c>
      <c r="P17" s="4" t="s">
        <v>3370</v>
      </c>
      <c r="Q17" s="7"/>
      <c r="R17" s="7"/>
    </row>
    <row r="18" s="1" customFormat="1" ht="104.95" customHeight="1" spans="1:18">
      <c r="A18" s="3" t="s">
        <v>3371</v>
      </c>
      <c r="B18" s="4" t="s">
        <v>3372</v>
      </c>
      <c r="C18" s="7"/>
      <c r="D18" s="7"/>
      <c r="E18" s="4" t="s">
        <v>3373</v>
      </c>
      <c r="F18" s="3" t="s">
        <v>3374</v>
      </c>
      <c r="G18" s="8" t="s">
        <v>3375</v>
      </c>
      <c r="H18" s="7" t="s">
        <v>3376</v>
      </c>
      <c r="I18" s="3" t="s">
        <v>3377</v>
      </c>
      <c r="J18" s="4" t="s">
        <v>3378</v>
      </c>
      <c r="K18" s="3" t="s">
        <v>3379</v>
      </c>
      <c r="L18" s="4" t="s">
        <v>3380</v>
      </c>
      <c r="M18" s="7" t="s">
        <v>3381</v>
      </c>
      <c r="N18" s="7" t="s">
        <v>3381</v>
      </c>
      <c r="O18" s="3" t="s">
        <v>3382</v>
      </c>
      <c r="P18" s="4" t="s">
        <v>3383</v>
      </c>
      <c r="Q18" s="7"/>
      <c r="R18" s="7"/>
    </row>
    <row r="19" s="1" customFormat="1" ht="74.35" customHeight="1" spans="1:18">
      <c r="A19" s="3" t="s">
        <v>3384</v>
      </c>
      <c r="B19" s="4" t="s">
        <v>3385</v>
      </c>
      <c r="C19" s="7"/>
      <c r="D19" s="7"/>
      <c r="E19" s="3" t="s">
        <v>3386</v>
      </c>
      <c r="F19" s="3" t="s">
        <v>3387</v>
      </c>
      <c r="G19" s="8" t="s">
        <v>3388</v>
      </c>
      <c r="H19" s="7" t="s">
        <v>3389</v>
      </c>
      <c r="I19" s="3" t="s">
        <v>3242</v>
      </c>
      <c r="J19" s="4" t="s">
        <v>3243</v>
      </c>
      <c r="K19" s="3" t="s">
        <v>3390</v>
      </c>
      <c r="L19" s="4" t="s">
        <v>3391</v>
      </c>
      <c r="M19" s="7" t="s">
        <v>3392</v>
      </c>
      <c r="N19" s="7" t="s">
        <v>3393</v>
      </c>
      <c r="O19" s="3" t="s">
        <v>3394</v>
      </c>
      <c r="P19" s="4" t="s">
        <v>3395</v>
      </c>
      <c r="Q19" s="7"/>
      <c r="R19" s="7"/>
    </row>
    <row r="20" s="1" customFormat="1" ht="32" customHeight="1" spans="1:18">
      <c r="A20" s="3" t="s">
        <v>3396</v>
      </c>
      <c r="B20" s="4" t="s">
        <v>3397</v>
      </c>
      <c r="C20" s="7"/>
      <c r="D20" s="7"/>
      <c r="E20" s="4" t="s">
        <v>3398</v>
      </c>
      <c r="F20" s="4"/>
      <c r="G20" s="8" t="s">
        <v>3399</v>
      </c>
      <c r="H20" s="7" t="s">
        <v>3400</v>
      </c>
      <c r="I20" s="3" t="s">
        <v>3401</v>
      </c>
      <c r="J20" s="4" t="s">
        <v>3402</v>
      </c>
      <c r="K20" s="3" t="s">
        <v>3403</v>
      </c>
      <c r="L20" s="4" t="s">
        <v>3404</v>
      </c>
      <c r="M20" s="7" t="s">
        <v>3405</v>
      </c>
      <c r="N20" s="7" t="s">
        <v>3405</v>
      </c>
      <c r="O20" s="3" t="s">
        <v>3406</v>
      </c>
      <c r="P20" s="4" t="s">
        <v>3407</v>
      </c>
      <c r="Q20" s="7"/>
      <c r="R20" s="7"/>
    </row>
    <row r="21" s="1" customFormat="1" ht="32" customHeight="1" spans="1:18">
      <c r="A21" s="3" t="s">
        <v>3140</v>
      </c>
      <c r="B21" s="4" t="s">
        <v>3141</v>
      </c>
      <c r="C21" s="7"/>
      <c r="D21" s="7"/>
      <c r="E21" s="4" t="s">
        <v>3408</v>
      </c>
      <c r="F21" s="4"/>
      <c r="G21" s="8" t="s">
        <v>3409</v>
      </c>
      <c r="H21" s="7" t="s">
        <v>3410</v>
      </c>
      <c r="I21" s="3" t="s">
        <v>3411</v>
      </c>
      <c r="J21" s="4" t="s">
        <v>3412</v>
      </c>
      <c r="K21" s="3" t="s">
        <v>3413</v>
      </c>
      <c r="L21" s="4" t="s">
        <v>3414</v>
      </c>
      <c r="M21" s="7" t="s">
        <v>3415</v>
      </c>
      <c r="N21" s="7" t="s">
        <v>3415</v>
      </c>
      <c r="O21" s="4"/>
      <c r="P21" s="4"/>
      <c r="Q21" s="7"/>
      <c r="R21" s="7"/>
    </row>
    <row r="22" s="1" customFormat="1" ht="24.35" customHeight="1" spans="1:18">
      <c r="A22" s="3" t="s">
        <v>3158</v>
      </c>
      <c r="B22" s="4" t="s">
        <v>3159</v>
      </c>
      <c r="C22" s="7"/>
      <c r="D22" s="7"/>
      <c r="E22" s="4" t="s">
        <v>3416</v>
      </c>
      <c r="F22" s="4"/>
      <c r="G22" s="8" t="s">
        <v>3417</v>
      </c>
      <c r="H22" s="7" t="s">
        <v>3418</v>
      </c>
      <c r="I22" s="3" t="s">
        <v>3419</v>
      </c>
      <c r="J22" s="4" t="s">
        <v>3420</v>
      </c>
      <c r="K22" s="3" t="s">
        <v>3421</v>
      </c>
      <c r="L22" s="4" t="s">
        <v>3422</v>
      </c>
      <c r="M22" s="7" t="s">
        <v>3423</v>
      </c>
      <c r="N22" s="7" t="s">
        <v>3423</v>
      </c>
      <c r="O22" s="4"/>
      <c r="P22" s="4"/>
      <c r="Q22" s="7"/>
      <c r="R22" s="7"/>
    </row>
    <row r="23" s="1" customFormat="1" ht="40.65" customHeight="1" spans="1:18">
      <c r="A23" s="3" t="s">
        <v>3424</v>
      </c>
      <c r="B23" s="4" t="s">
        <v>3425</v>
      </c>
      <c r="C23" s="7"/>
      <c r="D23" s="7"/>
      <c r="E23" s="4"/>
      <c r="F23" s="4"/>
      <c r="G23" s="8" t="s">
        <v>3426</v>
      </c>
      <c r="H23" s="7" t="s">
        <v>3427</v>
      </c>
      <c r="I23" s="3" t="s">
        <v>3428</v>
      </c>
      <c r="J23" s="4" t="s">
        <v>3429</v>
      </c>
      <c r="K23" s="3" t="s">
        <v>3430</v>
      </c>
      <c r="L23" s="4" t="s">
        <v>3431</v>
      </c>
      <c r="M23" s="7" t="s">
        <v>3432</v>
      </c>
      <c r="N23" s="7" t="s">
        <v>3432</v>
      </c>
      <c r="O23" s="4"/>
      <c r="P23" s="4"/>
      <c r="Q23" s="7"/>
      <c r="R23" s="7"/>
    </row>
    <row r="24" s="1" customFormat="1" ht="24.35" customHeight="1" spans="1:18">
      <c r="A24" s="3" t="s">
        <v>3433</v>
      </c>
      <c r="B24" s="4" t="s">
        <v>3434</v>
      </c>
      <c r="C24" s="7"/>
      <c r="D24" s="7"/>
      <c r="E24" s="4"/>
      <c r="F24" s="4"/>
      <c r="G24" s="8" t="s">
        <v>3435</v>
      </c>
      <c r="H24" s="7" t="s">
        <v>3436</v>
      </c>
      <c r="I24" s="3" t="s">
        <v>3437</v>
      </c>
      <c r="J24" s="4" t="s">
        <v>3438</v>
      </c>
      <c r="K24" s="3" t="s">
        <v>3439</v>
      </c>
      <c r="L24" s="4" t="s">
        <v>3440</v>
      </c>
      <c r="M24" s="7" t="s">
        <v>3441</v>
      </c>
      <c r="N24" s="7" t="s">
        <v>3441</v>
      </c>
      <c r="O24" s="4"/>
      <c r="P24" s="4"/>
      <c r="Q24" s="7"/>
      <c r="R24" s="7"/>
    </row>
    <row r="25" s="1" customFormat="1" ht="40.35" customHeight="1" spans="1:18">
      <c r="A25" s="3" t="s">
        <v>3396</v>
      </c>
      <c r="B25" s="4" t="s">
        <v>3397</v>
      </c>
      <c r="C25" s="7"/>
      <c r="D25" s="7"/>
      <c r="E25" s="4"/>
      <c r="F25" s="4"/>
      <c r="G25" s="8" t="s">
        <v>3442</v>
      </c>
      <c r="H25" s="7" t="s">
        <v>3443</v>
      </c>
      <c r="I25" s="3" t="s">
        <v>3444</v>
      </c>
      <c r="J25" s="4" t="s">
        <v>3445</v>
      </c>
      <c r="K25" s="3"/>
      <c r="L25" s="4"/>
      <c r="M25" s="7" t="s">
        <v>3446</v>
      </c>
      <c r="N25" s="7" t="s">
        <v>3446</v>
      </c>
      <c r="O25" s="4"/>
      <c r="P25" s="4"/>
      <c r="Q25" s="7"/>
      <c r="R25" s="7"/>
    </row>
    <row r="26" s="1" customFormat="1" ht="24.35" customHeight="1" spans="1:18">
      <c r="A26" s="3" t="s">
        <v>3447</v>
      </c>
      <c r="B26" s="4" t="s">
        <v>3448</v>
      </c>
      <c r="C26" s="7"/>
      <c r="D26" s="7"/>
      <c r="E26" s="4"/>
      <c r="F26" s="4"/>
      <c r="G26" s="8" t="s">
        <v>3449</v>
      </c>
      <c r="H26" s="7" t="s">
        <v>3450</v>
      </c>
      <c r="I26" s="3" t="s">
        <v>3451</v>
      </c>
      <c r="J26" s="4" t="s">
        <v>3197</v>
      </c>
      <c r="K26" s="3" t="s">
        <v>3452</v>
      </c>
      <c r="L26" s="4" t="s">
        <v>3453</v>
      </c>
      <c r="M26" s="7" t="s">
        <v>3454</v>
      </c>
      <c r="N26" s="7" t="s">
        <v>3454</v>
      </c>
      <c r="O26" s="4"/>
      <c r="P26" s="4"/>
      <c r="Q26" s="7"/>
      <c r="R26" s="7"/>
    </row>
    <row r="27" s="1" customFormat="1" ht="24.35" customHeight="1" spans="1:18">
      <c r="A27" s="3" t="s">
        <v>3455</v>
      </c>
      <c r="B27" s="4" t="s">
        <v>3456</v>
      </c>
      <c r="C27" s="7"/>
      <c r="D27" s="7"/>
      <c r="E27" s="4"/>
      <c r="F27" s="4"/>
      <c r="G27" s="8" t="s">
        <v>3457</v>
      </c>
      <c r="H27" s="7" t="s">
        <v>3458</v>
      </c>
      <c r="I27" s="3" t="s">
        <v>3459</v>
      </c>
      <c r="J27" s="4" t="s">
        <v>3460</v>
      </c>
      <c r="K27" s="3" t="s">
        <v>3461</v>
      </c>
      <c r="L27" s="4" t="s">
        <v>3462</v>
      </c>
      <c r="M27" s="7" t="s">
        <v>3463</v>
      </c>
      <c r="N27" s="7" t="s">
        <v>3463</v>
      </c>
      <c r="O27" s="4"/>
      <c r="P27" s="4"/>
      <c r="Q27" s="7"/>
      <c r="R27" s="7"/>
    </row>
    <row r="28" s="1" customFormat="1" ht="24.35" customHeight="1" spans="1:18">
      <c r="A28" s="3" t="s">
        <v>3464</v>
      </c>
      <c r="B28" s="4" t="s">
        <v>3465</v>
      </c>
      <c r="C28" s="7"/>
      <c r="D28" s="7"/>
      <c r="E28" s="4"/>
      <c r="F28" s="4"/>
      <c r="G28" s="8" t="s">
        <v>3256</v>
      </c>
      <c r="H28" s="7" t="s">
        <v>3257</v>
      </c>
      <c r="I28" s="3" t="s">
        <v>3466</v>
      </c>
      <c r="J28" s="4" t="s">
        <v>3467</v>
      </c>
      <c r="K28" s="3" t="s">
        <v>3468</v>
      </c>
      <c r="L28" s="4" t="s">
        <v>3469</v>
      </c>
      <c r="M28" s="7" t="s">
        <v>3470</v>
      </c>
      <c r="N28" s="7" t="s">
        <v>3470</v>
      </c>
      <c r="O28" s="4"/>
      <c r="P28" s="4"/>
      <c r="Q28" s="7"/>
      <c r="R28" s="7"/>
    </row>
    <row r="29" s="1" customFormat="1" ht="32" customHeight="1" spans="1:18">
      <c r="A29" s="3" t="s">
        <v>3471</v>
      </c>
      <c r="B29" s="4" t="s">
        <v>3472</v>
      </c>
      <c r="C29" s="7"/>
      <c r="D29" s="7"/>
      <c r="E29" s="4"/>
      <c r="F29" s="4"/>
      <c r="G29" s="8" t="s">
        <v>3309</v>
      </c>
      <c r="H29" s="7" t="s">
        <v>3310</v>
      </c>
      <c r="I29" s="3" t="s">
        <v>3473</v>
      </c>
      <c r="J29" s="4" t="s">
        <v>3474</v>
      </c>
      <c r="K29" s="3" t="s">
        <v>3475</v>
      </c>
      <c r="L29" s="4" t="s">
        <v>3476</v>
      </c>
      <c r="M29" s="7" t="s">
        <v>3477</v>
      </c>
      <c r="N29" s="7" t="s">
        <v>3477</v>
      </c>
      <c r="O29" s="4"/>
      <c r="P29" s="4"/>
      <c r="Q29" s="7"/>
      <c r="R29" s="7"/>
    </row>
    <row r="30" s="1" customFormat="1" ht="32" customHeight="1" spans="1:18">
      <c r="A30" s="4" t="s">
        <v>3478</v>
      </c>
      <c r="B30" s="4" t="s">
        <v>3478</v>
      </c>
      <c r="C30" s="7"/>
      <c r="D30" s="7"/>
      <c r="E30" s="4"/>
      <c r="F30" s="4"/>
      <c r="G30" s="8" t="s">
        <v>3479</v>
      </c>
      <c r="H30" s="7" t="s">
        <v>3480</v>
      </c>
      <c r="I30" s="3" t="s">
        <v>3481</v>
      </c>
      <c r="J30" s="4" t="s">
        <v>3482</v>
      </c>
      <c r="K30" s="3" t="s">
        <v>3483</v>
      </c>
      <c r="L30" s="4" t="s">
        <v>3484</v>
      </c>
      <c r="M30" s="7" t="s">
        <v>3485</v>
      </c>
      <c r="N30" s="7" t="s">
        <v>3485</v>
      </c>
      <c r="O30" s="4"/>
      <c r="P30" s="4"/>
      <c r="Q30" s="7"/>
      <c r="R30" s="7"/>
    </row>
    <row r="31" s="1" customFormat="1" ht="32" customHeight="1" spans="1:18">
      <c r="A31" s="3" t="s">
        <v>3486</v>
      </c>
      <c r="B31" s="4" t="s">
        <v>3487</v>
      </c>
      <c r="C31" s="7"/>
      <c r="D31" s="7"/>
      <c r="E31" s="4"/>
      <c r="F31" s="4"/>
      <c r="G31" s="8" t="s">
        <v>3488</v>
      </c>
      <c r="H31" s="7" t="s">
        <v>3489</v>
      </c>
      <c r="I31" s="3" t="s">
        <v>3490</v>
      </c>
      <c r="J31" s="4" t="s">
        <v>3491</v>
      </c>
      <c r="K31" s="3" t="s">
        <v>3492</v>
      </c>
      <c r="L31" s="4" t="s">
        <v>3493</v>
      </c>
      <c r="M31" s="7" t="s">
        <v>3494</v>
      </c>
      <c r="N31" s="7" t="s">
        <v>3494</v>
      </c>
      <c r="O31" s="4"/>
      <c r="P31" s="4"/>
      <c r="Q31" s="7"/>
      <c r="R31" s="7"/>
    </row>
    <row r="32" s="1" customFormat="1" ht="40.65" customHeight="1" spans="1:18">
      <c r="A32" s="3" t="s">
        <v>3495</v>
      </c>
      <c r="B32" s="4" t="s">
        <v>3496</v>
      </c>
      <c r="C32" s="7"/>
      <c r="D32" s="7"/>
      <c r="E32" s="4"/>
      <c r="F32" s="4"/>
      <c r="G32" s="8" t="s">
        <v>3497</v>
      </c>
      <c r="H32" s="7" t="s">
        <v>3498</v>
      </c>
      <c r="I32" s="4"/>
      <c r="J32" s="4"/>
      <c r="K32" s="3" t="s">
        <v>3499</v>
      </c>
      <c r="L32" s="4" t="s">
        <v>3500</v>
      </c>
      <c r="M32" s="7" t="s">
        <v>3501</v>
      </c>
      <c r="N32" s="7" t="s">
        <v>3501</v>
      </c>
      <c r="O32" s="4"/>
      <c r="P32" s="4"/>
      <c r="Q32" s="7"/>
      <c r="R32" s="7"/>
    </row>
    <row r="33" s="1" customFormat="1" ht="24.35" customHeight="1" spans="1:18">
      <c r="A33" s="3" t="s">
        <v>3502</v>
      </c>
      <c r="B33" s="4" t="s">
        <v>3503</v>
      </c>
      <c r="C33" s="7"/>
      <c r="D33" s="7"/>
      <c r="E33" s="4"/>
      <c r="F33" s="4"/>
      <c r="G33" s="8" t="s">
        <v>3504</v>
      </c>
      <c r="H33" s="7" t="s">
        <v>3505</v>
      </c>
      <c r="I33" s="4"/>
      <c r="J33" s="4"/>
      <c r="K33" s="3" t="s">
        <v>3506</v>
      </c>
      <c r="L33" s="4" t="s">
        <v>3507</v>
      </c>
      <c r="M33" s="7"/>
      <c r="N33" s="7"/>
      <c r="O33" s="4"/>
      <c r="P33" s="4"/>
      <c r="Q33" s="7"/>
      <c r="R33" s="7"/>
    </row>
    <row r="34" s="1" customFormat="1" ht="20.05" customHeight="1" spans="1:18">
      <c r="A34" s="3" t="s">
        <v>3508</v>
      </c>
      <c r="B34" s="4" t="s">
        <v>3509</v>
      </c>
      <c r="C34" s="7"/>
      <c r="D34" s="7"/>
      <c r="E34" s="4"/>
      <c r="F34" s="4"/>
      <c r="G34" s="7"/>
      <c r="H34" s="7"/>
      <c r="I34" s="4"/>
      <c r="J34" s="4"/>
      <c r="K34" s="3" t="s">
        <v>3510</v>
      </c>
      <c r="L34" s="4" t="s">
        <v>3511</v>
      </c>
      <c r="M34" s="7"/>
      <c r="N34" s="7"/>
      <c r="O34" s="4"/>
      <c r="P34" s="4"/>
      <c r="Q34" s="7"/>
      <c r="R34" s="7"/>
    </row>
    <row r="35" s="1" customFormat="1" ht="20.05" customHeight="1" spans="1:18">
      <c r="A35" s="3" t="s">
        <v>3512</v>
      </c>
      <c r="B35" s="4" t="s">
        <v>3513</v>
      </c>
      <c r="C35" s="7"/>
      <c r="D35" s="7"/>
      <c r="E35" s="4"/>
      <c r="F35" s="4"/>
      <c r="G35" s="7"/>
      <c r="H35" s="7"/>
      <c r="I35" s="4"/>
      <c r="J35" s="4"/>
      <c r="K35" s="3" t="s">
        <v>3514</v>
      </c>
      <c r="L35" s="4" t="s">
        <v>3515</v>
      </c>
      <c r="M35" s="7"/>
      <c r="N35" s="7"/>
      <c r="O35" s="4"/>
      <c r="P35" s="4"/>
      <c r="Q35" s="7"/>
      <c r="R35" s="7"/>
    </row>
    <row r="36" s="1" customFormat="1" ht="24" customHeight="1" spans="1:18">
      <c r="A36" s="3" t="s">
        <v>3516</v>
      </c>
      <c r="B36" s="4" t="s">
        <v>3517</v>
      </c>
      <c r="C36" s="7"/>
      <c r="D36" s="7"/>
      <c r="E36" s="4"/>
      <c r="F36" s="4"/>
      <c r="G36" s="7"/>
      <c r="H36" s="7"/>
      <c r="I36" s="4"/>
      <c r="J36" s="4"/>
      <c r="K36" s="3" t="s">
        <v>3518</v>
      </c>
      <c r="L36" s="4" t="s">
        <v>3519</v>
      </c>
      <c r="M36" s="7"/>
      <c r="N36" s="7"/>
      <c r="O36" s="4"/>
      <c r="P36" s="4"/>
      <c r="Q36" s="7"/>
      <c r="R36" s="7"/>
    </row>
    <row r="37" s="1" customFormat="1" ht="20.05" customHeight="1" spans="1:18">
      <c r="A37" s="3" t="s">
        <v>3520</v>
      </c>
      <c r="B37" s="4" t="s">
        <v>3521</v>
      </c>
      <c r="C37" s="7"/>
      <c r="D37" s="7"/>
      <c r="E37" s="4"/>
      <c r="F37" s="4"/>
      <c r="G37" s="7"/>
      <c r="H37" s="7"/>
      <c r="I37" s="4"/>
      <c r="J37" s="4"/>
      <c r="K37" s="3" t="s">
        <v>3522</v>
      </c>
      <c r="L37" s="4" t="s">
        <v>3523</v>
      </c>
      <c r="M37" s="7"/>
      <c r="N37" s="7"/>
      <c r="O37" s="4"/>
      <c r="P37" s="4"/>
      <c r="Q37" s="7"/>
      <c r="R37" s="7"/>
    </row>
    <row r="38" s="1" customFormat="1" ht="20.05" customHeight="1" spans="1:18">
      <c r="A38" s="3" t="s">
        <v>3524</v>
      </c>
      <c r="B38" s="4" t="s">
        <v>3525</v>
      </c>
      <c r="C38" s="7"/>
      <c r="D38" s="7"/>
      <c r="E38" s="4"/>
      <c r="F38" s="4"/>
      <c r="G38" s="7"/>
      <c r="H38" s="7"/>
      <c r="I38" s="4"/>
      <c r="J38" s="4"/>
      <c r="K38" s="3" t="s">
        <v>3526</v>
      </c>
      <c r="L38" s="4" t="s">
        <v>3527</v>
      </c>
      <c r="M38" s="7"/>
      <c r="N38" s="7"/>
      <c r="O38" s="4"/>
      <c r="P38" s="4"/>
      <c r="Q38" s="7"/>
      <c r="R38" s="7"/>
    </row>
    <row r="39" s="1" customFormat="1" ht="20.05" customHeight="1" spans="1:18">
      <c r="A39" s="3" t="s">
        <v>3528</v>
      </c>
      <c r="B39" s="4" t="s">
        <v>3529</v>
      </c>
      <c r="C39" s="7"/>
      <c r="D39" s="7"/>
      <c r="E39" s="4"/>
      <c r="F39" s="4"/>
      <c r="G39" s="7"/>
      <c r="H39" s="7"/>
      <c r="I39" s="4"/>
      <c r="J39" s="4"/>
      <c r="K39" s="3" t="s">
        <v>3530</v>
      </c>
      <c r="L39" s="4" t="s">
        <v>3531</v>
      </c>
      <c r="M39" s="7"/>
      <c r="N39" s="7"/>
      <c r="O39" s="4"/>
      <c r="P39" s="4"/>
      <c r="Q39" s="7"/>
      <c r="R39" s="7"/>
    </row>
    <row r="40" s="1" customFormat="1" ht="20.05" customHeight="1" spans="1:18">
      <c r="A40" s="3" t="s">
        <v>3532</v>
      </c>
      <c r="B40" s="4" t="s">
        <v>3533</v>
      </c>
      <c r="C40" s="7"/>
      <c r="D40" s="7"/>
      <c r="E40" s="4"/>
      <c r="F40" s="4"/>
      <c r="G40" s="7"/>
      <c r="H40" s="7"/>
      <c r="I40" s="4"/>
      <c r="J40" s="4"/>
      <c r="K40" s="3" t="s">
        <v>3534</v>
      </c>
      <c r="L40" s="4" t="s">
        <v>3535</v>
      </c>
      <c r="M40" s="7"/>
      <c r="N40" s="7"/>
      <c r="O40" s="4"/>
      <c r="P40" s="4"/>
      <c r="Q40" s="7"/>
      <c r="R40" s="7"/>
    </row>
    <row r="41" s="1" customFormat="1" ht="24" customHeight="1" spans="1:18">
      <c r="A41" s="3" t="s">
        <v>3536</v>
      </c>
      <c r="B41" s="4" t="s">
        <v>3537</v>
      </c>
      <c r="C41" s="7"/>
      <c r="D41" s="7"/>
      <c r="E41" s="4"/>
      <c r="F41" s="4"/>
      <c r="G41" s="7"/>
      <c r="H41" s="7"/>
      <c r="I41" s="4"/>
      <c r="J41" s="4"/>
      <c r="K41" s="3" t="s">
        <v>3538</v>
      </c>
      <c r="L41" s="4" t="s">
        <v>3539</v>
      </c>
      <c r="M41" s="7"/>
      <c r="N41" s="7"/>
      <c r="O41" s="4"/>
      <c r="P41" s="4"/>
      <c r="Q41" s="7"/>
      <c r="R41" s="7"/>
    </row>
    <row r="42" s="1" customFormat="1" ht="20.05" customHeight="1" spans="1:18">
      <c r="A42" s="9" t="s">
        <v>3540</v>
      </c>
      <c r="B42" s="9" t="s">
        <v>3541</v>
      </c>
      <c r="C42" s="7"/>
      <c r="D42" s="7"/>
      <c r="E42" s="9"/>
      <c r="F42" s="9"/>
      <c r="G42" s="7"/>
      <c r="H42" s="7"/>
      <c r="I42" s="9"/>
      <c r="J42" s="9"/>
      <c r="K42" s="10" t="s">
        <v>3542</v>
      </c>
      <c r="L42" s="9" t="s">
        <v>3543</v>
      </c>
      <c r="M42" s="7"/>
      <c r="N42" s="7"/>
      <c r="O42" s="9"/>
      <c r="P42" s="9"/>
      <c r="Q42" s="7"/>
      <c r="R42" s="7"/>
    </row>
    <row r="43" s="1" customFormat="1" ht="20.05" customHeight="1" spans="1:18">
      <c r="A43" s="10" t="s">
        <v>3544</v>
      </c>
      <c r="B43" s="9" t="s">
        <v>3545</v>
      </c>
      <c r="C43" s="7"/>
      <c r="D43" s="7"/>
      <c r="E43" s="9"/>
      <c r="F43" s="9"/>
      <c r="G43" s="7"/>
      <c r="H43" s="7"/>
      <c r="I43" s="9"/>
      <c r="J43" s="9"/>
      <c r="K43" s="10" t="s">
        <v>3546</v>
      </c>
      <c r="L43" s="9" t="s">
        <v>3547</v>
      </c>
      <c r="M43" s="7"/>
      <c r="N43" s="7"/>
      <c r="O43" s="9"/>
      <c r="P43" s="9"/>
      <c r="Q43" s="7"/>
      <c r="R43" s="7"/>
    </row>
    <row r="44" s="1" customFormat="1" ht="20.05" customHeight="1" spans="1:18">
      <c r="A44" s="11"/>
      <c r="B44" s="11"/>
      <c r="C44" s="12"/>
      <c r="D44" s="12"/>
      <c r="E44" s="11"/>
      <c r="F44" s="11"/>
      <c r="G44" s="12"/>
      <c r="H44" s="12"/>
      <c r="I44" s="11"/>
      <c r="J44" s="11"/>
      <c r="K44" s="14" t="s">
        <v>3548</v>
      </c>
      <c r="L44" s="11" t="s">
        <v>3549</v>
      </c>
      <c r="M44" s="12"/>
      <c r="N44" s="12"/>
      <c r="O44" s="11"/>
      <c r="P44" s="11"/>
      <c r="Q44" s="12"/>
      <c r="R44" s="12"/>
    </row>
    <row r="45" s="1" customFormat="1" ht="20.05" customHeight="1" spans="1:18">
      <c r="A45" s="11"/>
      <c r="B45" s="11"/>
      <c r="C45" s="13"/>
      <c r="D45" s="13"/>
      <c r="E45" s="11"/>
      <c r="F45" s="11"/>
      <c r="G45" s="13"/>
      <c r="H45" s="13"/>
      <c r="I45" s="11"/>
      <c r="J45" s="11"/>
      <c r="K45" s="14" t="s">
        <v>3550</v>
      </c>
      <c r="L45" s="11" t="s">
        <v>3551</v>
      </c>
      <c r="M45" s="13"/>
      <c r="N45" s="13"/>
      <c r="O45" s="11"/>
      <c r="P45" s="11"/>
      <c r="Q45" s="13"/>
      <c r="R45" s="13"/>
    </row>
    <row r="46" s="1" customFormat="1" ht="27.35" customHeight="1" spans="1:18">
      <c r="A46" s="13"/>
      <c r="B46" s="13"/>
      <c r="C46" s="13"/>
      <c r="D46" s="13"/>
      <c r="E46" s="13"/>
      <c r="F46" s="13"/>
      <c r="G46" s="13"/>
      <c r="H46" s="13"/>
      <c r="I46" s="13"/>
      <c r="J46" s="13"/>
      <c r="K46" s="15" t="s">
        <v>3552</v>
      </c>
      <c r="L46" s="13" t="s">
        <v>3553</v>
      </c>
      <c r="M46" s="13"/>
      <c r="N46" s="13"/>
      <c r="O46" s="13"/>
      <c r="P46" s="13"/>
      <c r="Q46" s="13"/>
      <c r="R46" s="13"/>
    </row>
    <row r="47" s="1" customFormat="1" ht="20.05" customHeight="1" spans="1:18">
      <c r="A47" s="13"/>
      <c r="B47" s="13"/>
      <c r="C47" s="13"/>
      <c r="D47" s="13"/>
      <c r="E47" s="13"/>
      <c r="F47" s="13"/>
      <c r="G47" s="13"/>
      <c r="H47" s="13"/>
      <c r="I47" s="13"/>
      <c r="J47" s="13"/>
      <c r="K47" s="15" t="s">
        <v>3554</v>
      </c>
      <c r="L47" s="13" t="s">
        <v>3555</v>
      </c>
      <c r="M47" s="13"/>
      <c r="N47" s="13"/>
      <c r="O47" s="13"/>
      <c r="P47" s="13"/>
      <c r="Q47" s="13"/>
      <c r="R47" s="13"/>
    </row>
    <row r="48" s="1" customFormat="1" ht="27.35" customHeight="1" spans="1:18">
      <c r="A48" s="13"/>
      <c r="B48" s="11"/>
      <c r="C48" s="13"/>
      <c r="D48" s="13"/>
      <c r="E48" s="13"/>
      <c r="F48" s="11"/>
      <c r="G48" s="13"/>
      <c r="H48" s="13"/>
      <c r="I48" s="13"/>
      <c r="J48" s="11"/>
      <c r="K48" s="15" t="s">
        <v>3556</v>
      </c>
      <c r="L48" s="11" t="s">
        <v>3557</v>
      </c>
      <c r="M48" s="13"/>
      <c r="N48" s="13"/>
      <c r="O48" s="13"/>
      <c r="P48" s="11"/>
      <c r="Q48" s="13"/>
      <c r="R48" s="13"/>
    </row>
    <row r="49" s="1" customFormat="1" ht="20.05" customHeight="1" spans="1:18">
      <c r="A49" s="13"/>
      <c r="B49" s="11"/>
      <c r="C49" s="13"/>
      <c r="D49" s="13"/>
      <c r="E49" s="13"/>
      <c r="F49" s="11"/>
      <c r="G49" s="13"/>
      <c r="H49" s="13"/>
      <c r="I49" s="13"/>
      <c r="J49" s="11"/>
      <c r="K49" s="15" t="s">
        <v>3558</v>
      </c>
      <c r="L49" s="11" t="s">
        <v>3559</v>
      </c>
      <c r="M49" s="13"/>
      <c r="N49" s="13"/>
      <c r="O49" s="13"/>
      <c r="P49" s="11"/>
      <c r="Q49" s="13"/>
      <c r="R49" s="13"/>
    </row>
    <row r="50" s="1" customFormat="1" ht="20.05" customHeight="1" spans="1:18">
      <c r="A50" s="13"/>
      <c r="B50" s="11"/>
      <c r="C50" s="13"/>
      <c r="D50" s="13"/>
      <c r="E50" s="13"/>
      <c r="F50" s="11"/>
      <c r="G50" s="13"/>
      <c r="H50" s="13"/>
      <c r="I50" s="13"/>
      <c r="J50" s="11"/>
      <c r="K50" s="15" t="s">
        <v>3560</v>
      </c>
      <c r="L50" s="11" t="s">
        <v>3561</v>
      </c>
      <c r="M50" s="13"/>
      <c r="N50" s="13"/>
      <c r="O50" s="13"/>
      <c r="P50" s="11"/>
      <c r="Q50" s="13"/>
      <c r="R50" s="13"/>
    </row>
    <row r="51" s="1" customFormat="1" ht="20.05" customHeight="1" spans="1:18">
      <c r="A51" s="13"/>
      <c r="B51" s="11"/>
      <c r="C51" s="13"/>
      <c r="D51" s="13"/>
      <c r="E51" s="13"/>
      <c r="F51" s="11"/>
      <c r="G51" s="13"/>
      <c r="H51" s="13"/>
      <c r="I51" s="13"/>
      <c r="J51" s="11"/>
      <c r="K51" s="15" t="s">
        <v>3562</v>
      </c>
      <c r="L51" s="11" t="s">
        <v>3563</v>
      </c>
      <c r="M51" s="13"/>
      <c r="N51" s="13"/>
      <c r="O51" s="13"/>
      <c r="P51" s="11"/>
      <c r="Q51" s="13"/>
      <c r="R51" s="13"/>
    </row>
    <row r="52" s="1" customFormat="1" ht="20.05" customHeight="1" spans="1:18">
      <c r="A52" s="13"/>
      <c r="B52" s="11"/>
      <c r="C52" s="13"/>
      <c r="D52" s="13"/>
      <c r="E52" s="13"/>
      <c r="F52" s="11"/>
      <c r="G52" s="13"/>
      <c r="H52" s="13"/>
      <c r="I52" s="13"/>
      <c r="J52" s="11"/>
      <c r="K52" s="15" t="s">
        <v>3564</v>
      </c>
      <c r="L52" s="11" t="s">
        <v>3565</v>
      </c>
      <c r="M52" s="13"/>
      <c r="N52" s="13"/>
      <c r="O52" s="13"/>
      <c r="P52" s="11"/>
      <c r="Q52" s="13"/>
      <c r="R52" s="13"/>
    </row>
    <row r="53" s="1" customFormat="1" ht="20.05" customHeight="1" spans="1:18">
      <c r="A53" s="13"/>
      <c r="B53" s="11"/>
      <c r="C53" s="13"/>
      <c r="D53" s="13"/>
      <c r="E53" s="13"/>
      <c r="F53" s="11"/>
      <c r="G53" s="13"/>
      <c r="H53" s="13"/>
      <c r="I53" s="13"/>
      <c r="J53" s="11"/>
      <c r="K53" s="15" t="s">
        <v>3566</v>
      </c>
      <c r="L53" s="11" t="s">
        <v>3567</v>
      </c>
      <c r="M53" s="13"/>
      <c r="N53" s="13"/>
      <c r="O53" s="13"/>
      <c r="P53" s="11"/>
      <c r="Q53" s="13"/>
      <c r="R53" s="13"/>
    </row>
    <row r="54" s="1" customFormat="1" ht="20.05" customHeight="1" spans="1:18">
      <c r="A54" s="13"/>
      <c r="B54" s="11"/>
      <c r="C54" s="13"/>
      <c r="D54" s="13"/>
      <c r="E54" s="13"/>
      <c r="F54" s="11"/>
      <c r="G54" s="13"/>
      <c r="H54" s="13"/>
      <c r="I54" s="13"/>
      <c r="J54" s="11"/>
      <c r="K54" s="15" t="s">
        <v>3568</v>
      </c>
      <c r="L54" s="11" t="s">
        <v>3569</v>
      </c>
      <c r="M54" s="13"/>
      <c r="N54" s="13"/>
      <c r="O54" s="13"/>
      <c r="P54" s="11"/>
      <c r="Q54" s="13"/>
      <c r="R54" s="13"/>
    </row>
    <row r="55" s="1" customFormat="1" ht="20.05" customHeight="1" spans="1:18">
      <c r="A55" s="13"/>
      <c r="B55" s="11"/>
      <c r="C55" s="13"/>
      <c r="D55" s="13"/>
      <c r="E55" s="13"/>
      <c r="F55" s="11"/>
      <c r="G55" s="13"/>
      <c r="H55" s="13"/>
      <c r="I55" s="13"/>
      <c r="J55" s="11"/>
      <c r="K55" s="15" t="s">
        <v>3570</v>
      </c>
      <c r="L55" s="11" t="s">
        <v>3571</v>
      </c>
      <c r="M55" s="13"/>
      <c r="N55" s="13"/>
      <c r="O55" s="13"/>
      <c r="P55" s="11"/>
      <c r="Q55" s="13"/>
      <c r="R55" s="13"/>
    </row>
    <row r="56" customHeight="1" spans="11:12">
      <c r="K56" s="16" t="s">
        <v>3572</v>
      </c>
      <c r="L56" s="1" t="s">
        <v>3573</v>
      </c>
    </row>
    <row r="57" customHeight="1" spans="11:12">
      <c r="K57" s="16" t="s">
        <v>3574</v>
      </c>
      <c r="L57" s="1" t="s">
        <v>3575</v>
      </c>
    </row>
    <row r="58" customHeight="1" spans="11:12">
      <c r="K58" s="16" t="s">
        <v>3576</v>
      </c>
      <c r="L58" s="1" t="s">
        <v>3577</v>
      </c>
    </row>
    <row r="59" customHeight="1" spans="11:12">
      <c r="K59" s="16" t="s">
        <v>3578</v>
      </c>
      <c r="L59" s="1" t="s">
        <v>3579</v>
      </c>
    </row>
    <row r="60" customHeight="1" spans="11:12">
      <c r="K60" s="16" t="s">
        <v>3580</v>
      </c>
      <c r="L60" s="1" t="s">
        <v>3581</v>
      </c>
    </row>
    <row r="61" customHeight="1" spans="11:12">
      <c r="K61" s="16" t="s">
        <v>3582</v>
      </c>
      <c r="L61" s="1" t="s">
        <v>3583</v>
      </c>
    </row>
    <row r="62" customHeight="1" spans="11:12">
      <c r="K62" s="16" t="s">
        <v>3584</v>
      </c>
      <c r="L62" s="1" t="s">
        <v>3585</v>
      </c>
    </row>
    <row r="63" customHeight="1" spans="11:12">
      <c r="K63" s="16" t="s">
        <v>3586</v>
      </c>
      <c r="L63" s="1" t="s">
        <v>3587</v>
      </c>
    </row>
    <row r="64" customHeight="1" spans="11:12">
      <c r="K64" s="16" t="s">
        <v>3588</v>
      </c>
      <c r="L64" s="1" t="s">
        <v>3589</v>
      </c>
    </row>
    <row r="65" customHeight="1" spans="11:12">
      <c r="K65" s="16" t="s">
        <v>3590</v>
      </c>
      <c r="L65" s="1" t="s">
        <v>3591</v>
      </c>
    </row>
    <row r="66" customHeight="1" spans="11:12">
      <c r="K66" s="16" t="s">
        <v>3592</v>
      </c>
      <c r="L66" s="1" t="s">
        <v>3593</v>
      </c>
    </row>
    <row r="67" customHeight="1" spans="11:12">
      <c r="K67" s="16" t="s">
        <v>3594</v>
      </c>
      <c r="L67" s="1" t="s">
        <v>3595</v>
      </c>
    </row>
    <row r="68" customHeight="1" spans="11:12">
      <c r="K68" s="16" t="s">
        <v>3596</v>
      </c>
      <c r="L68" s="1" t="s">
        <v>3597</v>
      </c>
    </row>
    <row r="69" customHeight="1" spans="11:12">
      <c r="K69" s="16" t="s">
        <v>3598</v>
      </c>
      <c r="L69" s="1" t="s">
        <v>3599</v>
      </c>
    </row>
    <row r="70" customHeight="1" spans="11:12">
      <c r="K70" s="16" t="s">
        <v>3600</v>
      </c>
      <c r="L70" s="1" t="s">
        <v>3601</v>
      </c>
    </row>
    <row r="71" customHeight="1" spans="11:12">
      <c r="K71" s="16" t="s">
        <v>3602</v>
      </c>
      <c r="L71" s="1" t="s">
        <v>3603</v>
      </c>
    </row>
    <row r="72" customHeight="1" spans="11:12">
      <c r="K72" s="16" t="s">
        <v>3604</v>
      </c>
      <c r="L72" s="1" t="s">
        <v>3605</v>
      </c>
    </row>
    <row r="73" customHeight="1" spans="11:12">
      <c r="K73" s="16" t="s">
        <v>3606</v>
      </c>
      <c r="L73" s="1" t="s">
        <v>3607</v>
      </c>
    </row>
    <row r="74" customHeight="1" spans="11:12">
      <c r="K74" s="16" t="s">
        <v>3608</v>
      </c>
      <c r="L74" s="1" t="s">
        <v>3609</v>
      </c>
    </row>
    <row r="75" customHeight="1" spans="11:12">
      <c r="K75" s="16" t="s">
        <v>3610</v>
      </c>
      <c r="L75" s="1" t="s">
        <v>3611</v>
      </c>
    </row>
    <row r="76" customHeight="1" spans="11:12">
      <c r="K76" s="16" t="s">
        <v>3612</v>
      </c>
      <c r="L76" s="1" t="s">
        <v>3613</v>
      </c>
    </row>
    <row r="77" customHeight="1" spans="11:12">
      <c r="K77" s="16" t="s">
        <v>3614</v>
      </c>
      <c r="L77" s="1" t="s">
        <v>3615</v>
      </c>
    </row>
    <row r="78" customHeight="1" spans="11:12">
      <c r="K78" s="16" t="s">
        <v>3616</v>
      </c>
      <c r="L78" s="1" t="s">
        <v>3617</v>
      </c>
    </row>
    <row r="79" customHeight="1" spans="11:12">
      <c r="K79" s="16" t="s">
        <v>3618</v>
      </c>
      <c r="L79" s="1" t="s">
        <v>3619</v>
      </c>
    </row>
    <row r="80" customHeight="1" spans="11:12">
      <c r="K80" s="16" t="s">
        <v>3620</v>
      </c>
      <c r="L80" s="1" t="s">
        <v>3621</v>
      </c>
    </row>
    <row r="81" customHeight="1" spans="11:12">
      <c r="K81" s="16" t="s">
        <v>3622</v>
      </c>
      <c r="L81" s="1" t="s">
        <v>3623</v>
      </c>
    </row>
    <row r="82" customHeight="1" spans="11:12">
      <c r="K82" s="16" t="s">
        <v>3624</v>
      </c>
      <c r="L82" s="1" t="s">
        <v>3625</v>
      </c>
    </row>
    <row r="83" customHeight="1" spans="11:12">
      <c r="K83" s="16" t="s">
        <v>3626</v>
      </c>
      <c r="L83" s="1" t="s">
        <v>3627</v>
      </c>
    </row>
    <row r="84" customHeight="1" spans="11:12">
      <c r="K84" s="16" t="s">
        <v>3628</v>
      </c>
      <c r="L84" s="1" t="s">
        <v>3629</v>
      </c>
    </row>
    <row r="85" customHeight="1" spans="11:12">
      <c r="K85" s="16" t="s">
        <v>3630</v>
      </c>
      <c r="L85" s="1" t="s">
        <v>3631</v>
      </c>
    </row>
    <row r="86" customHeight="1" spans="11:12">
      <c r="K86" s="16" t="s">
        <v>3632</v>
      </c>
      <c r="L86" s="1" t="s">
        <v>3633</v>
      </c>
    </row>
    <row r="87" customHeight="1" spans="11:12">
      <c r="K87" s="16" t="s">
        <v>3634</v>
      </c>
      <c r="L87" s="1" t="s">
        <v>3635</v>
      </c>
    </row>
    <row r="88" customHeight="1" spans="11:12">
      <c r="K88" s="16" t="s">
        <v>3636</v>
      </c>
      <c r="L88" s="1" t="s">
        <v>3637</v>
      </c>
    </row>
    <row r="89" customHeight="1" spans="11:12">
      <c r="K89" s="16" t="s">
        <v>3638</v>
      </c>
      <c r="L89" s="1" t="s">
        <v>3639</v>
      </c>
    </row>
    <row r="90" customHeight="1" spans="11:12">
      <c r="K90" s="16" t="s">
        <v>3640</v>
      </c>
      <c r="L90" s="1" t="s">
        <v>3641</v>
      </c>
    </row>
    <row r="91" customHeight="1" spans="11:12">
      <c r="K91" s="16" t="s">
        <v>3642</v>
      </c>
      <c r="L91" s="1" t="s">
        <v>3643</v>
      </c>
    </row>
    <row r="92" customHeight="1" spans="11:12">
      <c r="K92" s="16" t="s">
        <v>3644</v>
      </c>
      <c r="L92" s="1" t="s">
        <v>3645</v>
      </c>
    </row>
    <row r="93" customHeight="1" spans="11:12">
      <c r="K93" s="16" t="s">
        <v>3646</v>
      </c>
      <c r="L93" s="1" t="s">
        <v>3647</v>
      </c>
    </row>
    <row r="94" customHeight="1" spans="11:12">
      <c r="K94" s="16" t="s">
        <v>3648</v>
      </c>
      <c r="L94" s="1" t="s">
        <v>3649</v>
      </c>
    </row>
    <row r="95" customHeight="1" spans="11:12">
      <c r="K95" s="16" t="s">
        <v>3650</v>
      </c>
      <c r="L95" s="1" t="s">
        <v>3651</v>
      </c>
    </row>
    <row r="96" customHeight="1" spans="11:12">
      <c r="K96" s="16" t="s">
        <v>3652</v>
      </c>
      <c r="L96" s="1" t="s">
        <v>3653</v>
      </c>
    </row>
    <row r="97" customHeight="1" spans="11:12">
      <c r="K97" s="16" t="s">
        <v>3654</v>
      </c>
      <c r="L97" s="1" t="s">
        <v>3655</v>
      </c>
    </row>
    <row r="98" customHeight="1" spans="11:12">
      <c r="K98" s="16" t="s">
        <v>3656</v>
      </c>
      <c r="L98" s="1" t="s">
        <v>3657</v>
      </c>
    </row>
    <row r="99" customHeight="1" spans="11:12">
      <c r="K99" s="16" t="s">
        <v>3658</v>
      </c>
      <c r="L99" s="1" t="s">
        <v>3659</v>
      </c>
    </row>
    <row r="100" customHeight="1" spans="11:12">
      <c r="K100" s="16" t="s">
        <v>3660</v>
      </c>
      <c r="L100" s="1" t="s">
        <v>3661</v>
      </c>
    </row>
    <row r="101" customHeight="1" spans="11:12">
      <c r="K101" s="16" t="s">
        <v>3662</v>
      </c>
      <c r="L101" s="1" t="s">
        <v>3663</v>
      </c>
    </row>
    <row r="102" customHeight="1" spans="11:12">
      <c r="K102" s="16" t="s">
        <v>3664</v>
      </c>
      <c r="L102" s="1" t="s">
        <v>3665</v>
      </c>
    </row>
    <row r="103" customHeight="1" spans="11:12">
      <c r="K103" s="16" t="s">
        <v>3666</v>
      </c>
      <c r="L103" s="1" t="s">
        <v>3667</v>
      </c>
    </row>
    <row r="104" customHeight="1" spans="11:12">
      <c r="K104" s="16" t="s">
        <v>3668</v>
      </c>
      <c r="L104" s="1" t="s">
        <v>3669</v>
      </c>
    </row>
    <row r="105" customHeight="1" spans="11:12">
      <c r="K105" s="16" t="s">
        <v>3670</v>
      </c>
      <c r="L105" s="1" t="s">
        <v>3671</v>
      </c>
    </row>
    <row r="106" customHeight="1" spans="11:12">
      <c r="K106" s="16" t="s">
        <v>3672</v>
      </c>
      <c r="L106" s="1" t="s">
        <v>3673</v>
      </c>
    </row>
    <row r="107" customHeight="1" spans="11:12">
      <c r="K107" s="16" t="s">
        <v>3674</v>
      </c>
      <c r="L107" s="1" t="s">
        <v>3675</v>
      </c>
    </row>
    <row r="108" customHeight="1" spans="11:12">
      <c r="K108" s="16" t="s">
        <v>3676</v>
      </c>
      <c r="L108" s="1" t="s">
        <v>3677</v>
      </c>
    </row>
    <row r="109" customHeight="1" spans="11:12">
      <c r="K109" s="16" t="s">
        <v>3678</v>
      </c>
      <c r="L109" s="1" t="s">
        <v>3679</v>
      </c>
    </row>
    <row r="110" customHeight="1" spans="11:12">
      <c r="K110" s="16" t="s">
        <v>3680</v>
      </c>
      <c r="L110" s="1" t="s">
        <v>3681</v>
      </c>
    </row>
    <row r="111" customHeight="1" spans="11:12">
      <c r="K111" s="16" t="s">
        <v>3682</v>
      </c>
      <c r="L111" s="1" t="s">
        <v>3683</v>
      </c>
    </row>
    <row r="112" customHeight="1" spans="11:12">
      <c r="K112" s="16" t="s">
        <v>3684</v>
      </c>
      <c r="L112" s="1" t="s">
        <v>3685</v>
      </c>
    </row>
    <row r="113" customHeight="1" spans="11:12">
      <c r="K113" s="16" t="s">
        <v>3686</v>
      </c>
      <c r="L113" s="1" t="s">
        <v>3687</v>
      </c>
    </row>
    <row r="114" customHeight="1" spans="11:12">
      <c r="K114" s="16" t="s">
        <v>3688</v>
      </c>
      <c r="L114" s="1" t="s">
        <v>3689</v>
      </c>
    </row>
    <row r="115" customHeight="1" spans="11:12">
      <c r="K115" s="16" t="s">
        <v>3690</v>
      </c>
      <c r="L115" s="1" t="s">
        <v>3691</v>
      </c>
    </row>
    <row r="116" customHeight="1" spans="11:12">
      <c r="K116" s="16" t="s">
        <v>3692</v>
      </c>
      <c r="L116" s="1" t="s">
        <v>3693</v>
      </c>
    </row>
    <row r="117" customHeight="1" spans="11:12">
      <c r="K117" s="16" t="s">
        <v>3694</v>
      </c>
      <c r="L117" s="1" t="s">
        <v>3695</v>
      </c>
    </row>
    <row r="118" customHeight="1" spans="11:12">
      <c r="K118" s="16" t="s">
        <v>3696</v>
      </c>
      <c r="L118" s="1" t="s">
        <v>3697</v>
      </c>
    </row>
    <row r="119" customHeight="1" spans="11:12">
      <c r="K119" s="16" t="s">
        <v>3698</v>
      </c>
      <c r="L119" s="1" t="s">
        <v>3699</v>
      </c>
    </row>
    <row r="120" customHeight="1" spans="11:12">
      <c r="K120" s="16" t="s">
        <v>3700</v>
      </c>
      <c r="L120" s="1" t="s">
        <v>3701</v>
      </c>
    </row>
    <row r="121" customHeight="1" spans="11:12">
      <c r="K121" s="16" t="s">
        <v>3702</v>
      </c>
      <c r="L121" s="1" t="s">
        <v>3703</v>
      </c>
    </row>
    <row r="122" customHeight="1" spans="11:12">
      <c r="K122" s="16" t="s">
        <v>3704</v>
      </c>
      <c r="L122" s="1" t="s">
        <v>3705</v>
      </c>
    </row>
    <row r="123" customHeight="1" spans="11:12">
      <c r="K123" s="16" t="s">
        <v>3706</v>
      </c>
      <c r="L123" s="1" t="s">
        <v>3707</v>
      </c>
    </row>
    <row r="124" customHeight="1" spans="11:12">
      <c r="K124" s="16" t="s">
        <v>3708</v>
      </c>
      <c r="L124" s="1" t="s">
        <v>3709</v>
      </c>
    </row>
    <row r="125" customHeight="1" spans="11:12">
      <c r="K125" s="16" t="s">
        <v>3710</v>
      </c>
      <c r="L125" s="1" t="s">
        <v>3711</v>
      </c>
    </row>
    <row r="126" customHeight="1" spans="11:12">
      <c r="K126" s="16" t="s">
        <v>3712</v>
      </c>
      <c r="L126" s="1" t="s">
        <v>3713</v>
      </c>
    </row>
    <row r="127" customHeight="1" spans="11:12">
      <c r="K127" s="16" t="s">
        <v>3714</v>
      </c>
      <c r="L127" s="1" t="s">
        <v>3715</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市场调研</vt:lpstr>
      <vt:lpstr>文案生成</vt:lpstr>
      <vt:lpstr>关键词&amp;广告</vt:lpstr>
      <vt:lpstr>站外红人</vt:lpstr>
      <vt:lpstr>客服板块</vt:lpstr>
      <vt:lpstr>Sheet1</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WPS_1664800949</cp:lastModifiedBy>
  <dcterms:created xsi:type="dcterms:W3CDTF">2024-03-20T23:38:00Z</dcterms:created>
  <dcterms:modified xsi:type="dcterms:W3CDTF">2025-02-14T09:33:28Z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736DE3C94061430FBCE194CA5FA5B9E1_13</vt:lpwstr>
  </property>
</Properties>
</file>