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3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<sst xmlns="http://schemas.openxmlformats.org/spreadsheetml/2006/main" count="29" uniqueCount="27">
  <si>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库存分析-超出库存变色预警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</si>
  <si>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</si>
  <si>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</si>
  <si>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</si>
  <si>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</si>
  <si>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</si>
  <si>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</si>
  <si>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</si>
  <si>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</si>
  <si>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</si>
  <si>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</si>
  <si>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</si>
  <si>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</si>
  <si>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</si>
  <si>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安全库存量</t>
  </si>
  <si>
    <t>实际库存量</t>
  </si>
  <si>
    <t>差量</t>
  </si>
  <si>
    <t>去年同期量</t>
  </si>
  <si>
    <t>同期差量</t>
  </si>
  <si>
    <t>库存金额</t>
  </si>
  <si>
    <t>去年同期额</t>
  </si>
  <si>
    <t>库存量占比</t>
  </si>
  <si>
    <t>去年库存量占比</t>
  </si>
  <si>
    <t>库存金额占比</t>
  </si>
  <si>
    <t>去年库存金额占比</t>
  </si>
  <si>
    <t>低于目标</t>
  </si>
  <si>
    <t>高于目标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</si>
</sst>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  <numFmt numFmtId="178" formatCode=";;;"/>
  </numFmts>
  <fonts count="28">
    <font>
      <sz val="11"/>
      <color theme="1"/>
      <name val="宋体"/>
      <charset val="134"/>
      <scheme val="minor"/>
    </font>
    <font>
      <b/>
      <sz val="28"/>
      <color rgb="FF12B3C7"/>
      <name val="微软雅黑"/>
      <charset val="134"/>
    </font>
    <font>
      <b/>
      <sz val="14"/>
      <color theme="0"/>
      <name val="宋体"/>
      <charset val="134"/>
      <scheme val="minor"/>
    </font>
    <font>
      <b/>
      <sz val="16"/>
      <color theme="0"/>
      <name val="宋体"/>
      <charset val="134"/>
      <scheme val="minor"/>
    </font>
    <font>
      <sz val="11"/>
      <color theme="1" tint="0.25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color rgb="FF47C2AD"/>
      <name val="米开软笔行楷"/>
      <charset val="134"/>
    </font>
    <font>
      <sz val="11"/>
      <color theme="1" tint="0.25"/>
      <name val="米开软笔行楷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E939C"/>
        <bgColor indexed="64"/>
      </patternFill>
    </fill>
    <fill>
      <patternFill patternType="solid">
        <fgColor rgb="FF12B3C7"/>
        <bgColor indexed="64"/>
      </patternFill>
    </fill>
    <fill>
      <patternFill patternType="solid">
        <fgColor rgb="FFE6F7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E939C"/>
      </left>
      <right style="thin">
        <color rgb="FFFE939C"/>
      </right>
      <top style="thin">
        <color rgb="FFFE939C"/>
      </top>
      <bottom style="thin">
        <color rgb="FFFE939C"/>
      </bottom>
      <diagonal/>
    </border>
    <border>
      <left style="thick">
        <color rgb="FFFAFEFF"/>
      </left>
      <right style="thick">
        <color rgb="FFFAFEFF"/>
      </right>
      <top/>
      <bottom style="thick">
        <color rgb="FFFAFEFF"/>
      </bottom>
      <diagonal/>
    </border>
    <border>
      <left style="thick">
        <color rgb="FFFAFEFF"/>
      </left>
      <right style="thick">
        <color rgb="FFFAFEFF"/>
      </right>
      <top style="thick">
        <color rgb="FFFAFEFF"/>
      </top>
      <bottom style="thick">
        <color rgb="FFFAFE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176" fontId="8" fillId="5" borderId="2" xfId="0" applyNumberFormat="1" applyFont="1" applyFill="1" applyBorder="1" applyAlignment="1">
      <alignment horizontal="center" vertical="center"/>
    </xf>
    <xf numFmtId="0" fontId="7" fillId="5" borderId="3" xfId="0" applyNumberFormat="1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 vertical="center"/>
    </xf>
    <xf numFmtId="0" fontId="7" fillId="5" borderId="3" xfId="0" applyNumberFormat="1" applyFont="1" applyFill="1" applyBorder="1">
      <alignment vertical="center"/>
    </xf>
    <xf numFmtId="0" fontId="8" fillId="5" borderId="3" xfId="0" applyNumberFormat="1" applyFont="1" applyFill="1" applyBorder="1" applyAlignment="1">
      <alignment horizontal="center" vertical="center"/>
    </xf>
    <xf numFmtId="178" fontId="0" fillId="2" borderId="4" xfId="0" applyNumberForma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b val="0"/>
        <i val="0"/>
        <u val="none"/>
        <sz val="11"/>
        <color rgb="FFFAFEFF"/>
      </font>
      <fill>
        <patternFill patternType="solid">
          <bgColor rgb="FF47C2AD"/>
        </patternFill>
      </fill>
      <border>
        <left style="thick">
          <color rgb="FFFAFEFF"/>
        </left>
        <right style="thick">
          <color rgb="FFFAFEFF"/>
        </right>
        <top style="thick">
          <color rgb="FFFAFEFF"/>
        </top>
        <bottom style="thick">
          <color rgb="FFFAFEFF"/>
        </bottom>
        <vertical style="thick">
          <color rgb="FFFAFEFF"/>
        </vertical>
        <horizontal style="thick">
          <color rgb="FFFAFEFF"/>
        </horizontal>
      </border>
    </dxf>
    <dxf>
      <font>
        <b val="0"/>
        <i val="0"/>
        <u val="none"/>
        <sz val="11"/>
        <color rgb="FFFAFEFF"/>
      </font>
      <fill>
        <patternFill patternType="solid">
          <bgColor rgb="FF47C2AD"/>
        </patternFill>
      </fill>
      <border>
        <left style="thick">
          <color rgb="FFFAFEFF"/>
        </left>
        <right style="thick">
          <color rgb="FFFAFEFF"/>
        </right>
        <top style="thick">
          <color rgb="FFFAFEFF"/>
        </top>
        <bottom style="thick">
          <color rgb="FFFAFEFF"/>
        </bottom>
        <vertical style="thick">
          <color rgb="FFFAFEFF"/>
        </vertical>
        <horizontal style="thick">
          <color rgb="FFFAFEFF"/>
        </horizontal>
      </border>
    </dxf>
    <dxf>
      <font>
        <b val="0"/>
        <i val="0"/>
        <u val="none"/>
        <sz val="11"/>
        <color rgb="FF47C2AD"/>
      </font>
      <fill>
        <patternFill patternType="solid">
          <bgColor rgb="FFE6F7F4"/>
        </patternFill>
      </fill>
      <border>
        <left style="thick">
          <color rgb="FFFAFEFF"/>
        </left>
        <right style="thick">
          <color rgb="FFFAFEFF"/>
        </right>
        <top style="thick">
          <color rgb="FFFAFEFF"/>
        </top>
        <bottom style="thick">
          <color rgb="FFFAFEFF"/>
        </bottom>
        <vertical style="thick">
          <color rgb="FFFAFEFF"/>
        </vertical>
        <horizontal style="thick">
          <color rgb="FFFAFEFF"/>
        </horizontal>
      </border>
    </dxf>
  </dxfs>
  <tableStyles count="1" defaultTableStyle="TableStyleMedium2" defaultPivotStyle="PivotStyleLight16">
    <tableStyle name="首行首列填充表格样式52" count="3" xr9:uid="{33A94F1B-E78C-46DF-8698-EED481D56C75}">
      <tableStyleElement type="wholeTable" dxfId="2"/>
      <tableStyleElement type="headerRow" dxfId="1"/>
      <tableStyleElement type="firstColumn" dxfId="0"/>
    </tableStyle>
  </tableStyles>
  <colors>
    <mruColors>
      <color rgb="00F9680D"/>
      <color rgb="008AC08E"/>
      <color rgb="0048A088"/>
      <color rgb="0068978F"/>
      <color rgb="00BFD8C2"/>
      <color rgb="006B2E4F"/>
      <color rgb="005A7E91"/>
      <color rgb="00FACB9F"/>
      <color rgb="0012B3C7"/>
      <color rgb="00FE93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5" Type="http://schemas.microsoft.com/office/2011/relationships/chartColorStyle" Target="colors1.xml"/><Relationship Id="rId4" Type="http://schemas.microsoft.com/office/2011/relationships/chartStyle" Target="style1.xml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5" Type="http://schemas.microsoft.com/office/2011/relationships/chartColorStyle" Target="colors3.xml"/><Relationship Id="rId4" Type="http://schemas.microsoft.com/office/2011/relationships/chartStyle" Target="style3.xml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rgbClr val="FACB9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b="1">
                <a:solidFill>
                  <a:srgbClr val="FACB9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实际库存量与安全库存量差额分析</a:t>
            </a:r>
            <a:endParaRPr b="1">
              <a:solidFill>
                <a:srgbClr val="FACB9F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>
        <c:manualLayout>
          <c:xMode val="edge"/>
          <c:yMode val="edge"/>
          <c:x val="0.121725178988027"/>
          <c:y val="0.0085749134914360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00051619563815"/>
          <c:y val="0.0871247777429139"/>
          <c:w val="0.923732094463802"/>
          <c:h val="0.9044033050936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安全库存量</c:v>
                </c:pt>
              </c:strCache>
            </c:strRef>
          </c:tx>
          <c:spPr>
            <a:blipFill rotWithShape="1"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Sheet1!$C$5:$N$5</c:f>
              <c:numCache>
                <c:formatCode>0_);[Red]\(0\)</c:formatCode>
                <c:ptCount val="12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</c:numCache>
            </c:numRef>
          </c:val>
        </c:ser>
        <c:ser>
          <c:idx val="2"/>
          <c:order val="1"/>
          <c:tx>
            <c:strRef>
              <c:f>Sheet1!$B$7</c:f>
              <c:strCache>
                <c:ptCount val="1"/>
                <c:pt idx="0">
                  <c:v>差量</c:v>
                </c:pt>
              </c:strCache>
            </c:strRef>
          </c:tx>
          <c:spPr>
            <a:blipFill rotWithShape="1"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Sheet1!$C$7:$N$7</c:f>
              <c:numCache>
                <c:formatCode>0_ </c:formatCode>
                <c:ptCount val="12"/>
                <c:pt idx="0">
                  <c:v>-668.099676052869</c:v>
                </c:pt>
                <c:pt idx="1">
                  <c:v>-470.740459667722</c:v>
                </c:pt>
                <c:pt idx="2">
                  <c:v>499.996999322322</c:v>
                </c:pt>
                <c:pt idx="3">
                  <c:v>-388.108531284204</c:v>
                </c:pt>
                <c:pt idx="4">
                  <c:v>-987.823384660549</c:v>
                </c:pt>
                <c:pt idx="5">
                  <c:v>-209.604153720725</c:v>
                </c:pt>
                <c:pt idx="6">
                  <c:v>-13.9362271452068</c:v>
                </c:pt>
                <c:pt idx="7">
                  <c:v>-29.4825892407405</c:v>
                </c:pt>
                <c:pt idx="8">
                  <c:v>-703.186488307995</c:v>
                </c:pt>
                <c:pt idx="9">
                  <c:v>-929.345067650972</c:v>
                </c:pt>
                <c:pt idx="10">
                  <c:v>-721.149326151618</c:v>
                </c:pt>
                <c:pt idx="11">
                  <c:v>502.387717383899</c:v>
                </c:pt>
              </c:numCache>
            </c:numRef>
          </c:val>
        </c:ser>
        <c:ser>
          <c:idx val="1"/>
          <c:order val="2"/>
          <c:tx>
            <c:strRef>
              <c:f>Sheet1!$B$6</c:f>
              <c:strCache>
                <c:ptCount val="1"/>
                <c:pt idx="0">
                  <c:v>实际库存量</c:v>
                </c:pt>
              </c:strCache>
            </c:strRef>
          </c:tx>
          <c:spPr>
            <a:blipFill rotWithShape="1"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Sheet1!$C$6:$N$6</c:f>
              <c:numCache>
                <c:formatCode>0_);[Red]\(0\)</c:formatCode>
                <c:ptCount val="12"/>
                <c:pt idx="0">
                  <c:v>1668.09967605287</c:v>
                </c:pt>
                <c:pt idx="1">
                  <c:v>1470.74045966772</c:v>
                </c:pt>
                <c:pt idx="2">
                  <c:v>500.003000677678</c:v>
                </c:pt>
                <c:pt idx="3">
                  <c:v>1388.1085312842</c:v>
                </c:pt>
                <c:pt idx="4">
                  <c:v>1987.82338466055</c:v>
                </c:pt>
                <c:pt idx="5">
                  <c:v>1209.60415372072</c:v>
                </c:pt>
                <c:pt idx="6">
                  <c:v>1013.93622714521</c:v>
                </c:pt>
                <c:pt idx="7">
                  <c:v>1029.48258924074</c:v>
                </c:pt>
                <c:pt idx="8">
                  <c:v>1703.18648830799</c:v>
                </c:pt>
                <c:pt idx="9">
                  <c:v>1929.34506765097</c:v>
                </c:pt>
                <c:pt idx="10">
                  <c:v>1721.14932615162</c:v>
                </c:pt>
                <c:pt idx="11">
                  <c:v>497.612282616101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6"/>
        <c:overlap val="0"/>
        <c:axId val="556911362"/>
        <c:axId val="68769442"/>
      </c:barChart>
      <c:catAx>
        <c:axId val="556911362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769442"/>
        <c:crosses val="autoZero"/>
        <c:auto val="1"/>
        <c:lblAlgn val="ctr"/>
        <c:lblOffset val="100"/>
        <c:noMultiLvlLbl val="0"/>
      </c:catAx>
      <c:valAx>
        <c:axId val="68769442"/>
        <c:scaling>
          <c:orientation val="minMax"/>
        </c:scaling>
        <c:delete val="1"/>
        <c:axPos val="t"/>
        <c:numFmt formatCode="0_ 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9113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9473787262287"/>
          <c:y val="0.057842328649383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c71443-68f1-462b-acb1-b84c1432f597}"/>
      </c:ext>
    </c:extLst>
  </c:chart>
  <c:spPr>
    <a:solidFill>
      <a:schemeClr val="bg1"/>
    </a:solidFill>
    <a:ln w="9525" cap="flat" cmpd="sng" algn="ctr">
      <a:solidFill>
        <a:srgbClr val="FACB9F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rgbClr val="12B3C7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b="1">
                <a:solidFill>
                  <a:srgbClr val="12B3C7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同期库存量占比分析</a:t>
            </a:r>
            <a:endParaRPr b="1">
              <a:solidFill>
                <a:srgbClr val="12B3C7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61548537330811"/>
          <c:y val="0.149540696432386"/>
          <c:w val="0.967835831756658"/>
          <c:h val="0.757615894039735"/>
        </c:manualLayout>
      </c:layout>
      <c:lineChart>
        <c:grouping val="standar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库存量占比</c:v>
                </c:pt>
              </c:strCache>
            </c:strRef>
          </c:tx>
          <c:spPr>
            <a:ln w="28575" cap="rnd">
              <a:solidFill>
                <a:srgbClr val="12B3C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12B3C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Sheet1!$C$12:$N$12</c:f>
              <c:numCache>
                <c:formatCode>0.00%</c:formatCode>
                <c:ptCount val="12"/>
                <c:pt idx="0">
                  <c:v>0.103485963115584</c:v>
                </c:pt>
                <c:pt idx="1">
                  <c:v>0.0912421452667119</c:v>
                </c:pt>
                <c:pt idx="2">
                  <c:v>0.0310193046786321</c:v>
                </c:pt>
                <c:pt idx="3">
                  <c:v>0.0861158061062723</c:v>
                </c:pt>
                <c:pt idx="4">
                  <c:v>0.123321058338697</c:v>
                </c:pt>
                <c:pt idx="5">
                  <c:v>0.0750417092176407</c:v>
                </c:pt>
                <c:pt idx="6">
                  <c:v>0.0629028160068881</c:v>
                </c:pt>
                <c:pt idx="7">
                  <c:v>0.0638672849037389</c:v>
                </c:pt>
                <c:pt idx="8">
                  <c:v>0.105662687091377</c:v>
                </c:pt>
                <c:pt idx="9">
                  <c:v>0.119693166646136</c:v>
                </c:pt>
                <c:pt idx="10">
                  <c:v>0.106777069883499</c:v>
                </c:pt>
                <c:pt idx="11">
                  <c:v>0.0308709887448232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Sheet1!$B$13</c:f>
              <c:strCache>
                <c:ptCount val="1"/>
                <c:pt idx="0">
                  <c:v>去年库存量占比</c:v>
                </c:pt>
              </c:strCache>
            </c:strRef>
          </c:tx>
          <c:spPr>
            <a:ln w="28575" cap="rnd">
              <a:solidFill>
                <a:srgbClr val="FE939C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FE939C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Sheet1!$C$13:$N$13</c:f>
              <c:numCache>
                <c:formatCode>0.00%</c:formatCode>
                <c:ptCount val="12"/>
                <c:pt idx="0">
                  <c:v>0.161682538987529</c:v>
                </c:pt>
                <c:pt idx="1">
                  <c:v>0.0533049718890339</c:v>
                </c:pt>
                <c:pt idx="2">
                  <c:v>0.145432115047372</c:v>
                </c:pt>
                <c:pt idx="3">
                  <c:v>0.0867837143088254</c:v>
                </c:pt>
                <c:pt idx="4">
                  <c:v>0.0734629796634791</c:v>
                </c:pt>
                <c:pt idx="5">
                  <c:v>0.0250648323656458</c:v>
                </c:pt>
                <c:pt idx="6">
                  <c:v>0.0461349945195947</c:v>
                </c:pt>
                <c:pt idx="7">
                  <c:v>0.149714264486943</c:v>
                </c:pt>
                <c:pt idx="8">
                  <c:v>0.0871819310956838</c:v>
                </c:pt>
                <c:pt idx="9">
                  <c:v>0.108331661706179</c:v>
                </c:pt>
                <c:pt idx="10">
                  <c:v>0.0555223560448802</c:v>
                </c:pt>
                <c:pt idx="11">
                  <c:v>0.00738363988483449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01107127"/>
        <c:axId val="817593339"/>
      </c:lineChart>
      <c:catAx>
        <c:axId val="501107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rgbClr val="12B3C7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593339"/>
        <c:crosses val="autoZero"/>
        <c:auto val="1"/>
        <c:lblAlgn val="ctr"/>
        <c:lblOffset val="100"/>
        <c:noMultiLvlLbl val="0"/>
      </c:catAx>
      <c:valAx>
        <c:axId val="817593339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107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4385096783583"/>
          <c:y val="0.051271095919675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28860b-f07a-4748-9bdc-8a9ebad062ec}"/>
      </c:ext>
    </c:extLst>
  </c:chart>
  <c:spPr>
    <a:solidFill>
      <a:schemeClr val="bg1"/>
    </a:solidFill>
    <a:ln w="9525" cap="flat" cmpd="sng" algn="ctr">
      <a:solidFill>
        <a:srgbClr val="12B3C7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rgbClr val="12B3C7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b="1">
                <a:solidFill>
                  <a:srgbClr val="12B3C7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实际库存量与同期库存量差额分析</a:t>
            </a:r>
            <a:endParaRPr b="1">
              <a:solidFill>
                <a:srgbClr val="12B3C7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0583643393886335"/>
          <c:y val="0.160184990540256"/>
          <c:w val="0.986211424819435"/>
          <c:h val="0.8116459953752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实际库存量</c:v>
                </c:pt>
              </c:strCache>
            </c:strRef>
          </c:tx>
          <c:spPr>
            <a:blipFill rotWithShape="1"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Sheet1!$C$6:$N$6</c:f>
              <c:numCache>
                <c:formatCode>0_);[Red]\(0\)</c:formatCode>
                <c:ptCount val="12"/>
                <c:pt idx="0">
                  <c:v>1668.09967605287</c:v>
                </c:pt>
                <c:pt idx="1">
                  <c:v>1470.74045966772</c:v>
                </c:pt>
                <c:pt idx="2">
                  <c:v>500.003000677678</c:v>
                </c:pt>
                <c:pt idx="3">
                  <c:v>1388.1085312842</c:v>
                </c:pt>
                <c:pt idx="4">
                  <c:v>1987.82338466055</c:v>
                </c:pt>
                <c:pt idx="5">
                  <c:v>1209.60415372072</c:v>
                </c:pt>
                <c:pt idx="6">
                  <c:v>1013.93622714521</c:v>
                </c:pt>
                <c:pt idx="7">
                  <c:v>1029.48258924074</c:v>
                </c:pt>
                <c:pt idx="8">
                  <c:v>1703.18648830799</c:v>
                </c:pt>
                <c:pt idx="9">
                  <c:v>1929.34506765097</c:v>
                </c:pt>
                <c:pt idx="10">
                  <c:v>1721.14932615162</c:v>
                </c:pt>
                <c:pt idx="11">
                  <c:v>497.612282616101</c:v>
                </c:pt>
              </c:numCache>
            </c:numRef>
          </c:val>
        </c:ser>
        <c:ser>
          <c:idx val="2"/>
          <c:order val="1"/>
          <c:tx>
            <c:strRef>
              <c:f>Sheet1!$B$9</c:f>
              <c:strCache>
                <c:ptCount val="1"/>
                <c:pt idx="0">
                  <c:v>同期差量</c:v>
                </c:pt>
              </c:strCache>
            </c:strRef>
          </c:tx>
          <c:spPr>
            <a:blipFill rotWithShape="1"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Sheet1!$C$9:$N$9</c:f>
              <c:numCache>
                <c:formatCode>0_ </c:formatCode>
                <c:ptCount val="12"/>
                <c:pt idx="0">
                  <c:v>-29.8437829883192</c:v>
                </c:pt>
                <c:pt idx="1">
                  <c:v>910.946996996154</c:v>
                </c:pt>
                <c:pt idx="2">
                  <c:v>-1027.28318634997</c:v>
                </c:pt>
                <c:pt idx="3">
                  <c:v>476.73095777062</c:v>
                </c:pt>
                <c:pt idx="4">
                  <c:v>1216.33632995205</c:v>
                </c:pt>
                <c:pt idx="5">
                  <c:v>946.380503017819</c:v>
                </c:pt>
                <c:pt idx="6">
                  <c:v>529.439801816994</c:v>
                </c:pt>
                <c:pt idx="7">
                  <c:v>-542.773497920135</c:v>
                </c:pt>
                <c:pt idx="8">
                  <c:v>787.626956787314</c:v>
                </c:pt>
                <c:pt idx="9">
                  <c:v>791.677156490458</c:v>
                </c:pt>
                <c:pt idx="10">
                  <c:v>1138.06953369343</c:v>
                </c:pt>
                <c:pt idx="11">
                  <c:v>420.071423071971</c:v>
                </c:pt>
              </c:numCache>
            </c:numRef>
          </c:val>
        </c:ser>
        <c:ser>
          <c:idx val="1"/>
          <c:order val="2"/>
          <c:tx>
            <c:strRef>
              <c:f>Sheet1!$B$8</c:f>
              <c:strCache>
                <c:ptCount val="1"/>
                <c:pt idx="0">
                  <c:v>去年同期量</c:v>
                </c:pt>
              </c:strCache>
            </c:strRef>
          </c:tx>
          <c:spPr>
            <a:blipFill rotWithShape="1"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Sheet1!$C$8:$N$8</c:f>
              <c:numCache>
                <c:formatCode>0_);[Red]\(0\)</c:formatCode>
                <c:ptCount val="12"/>
                <c:pt idx="0">
                  <c:v>1697.94345904119</c:v>
                </c:pt>
                <c:pt idx="1">
                  <c:v>559.793462671569</c:v>
                </c:pt>
                <c:pt idx="2">
                  <c:v>1527.28618702764</c:v>
                </c:pt>
                <c:pt idx="3">
                  <c:v>911.377573513584</c:v>
                </c:pt>
                <c:pt idx="4">
                  <c:v>771.487054708497</c:v>
                </c:pt>
                <c:pt idx="5">
                  <c:v>263.223650702906</c:v>
                </c:pt>
                <c:pt idx="6">
                  <c:v>484.496425328213</c:v>
                </c:pt>
                <c:pt idx="7">
                  <c:v>1572.25608716088</c:v>
                </c:pt>
                <c:pt idx="8">
                  <c:v>915.559531520681</c:v>
                </c:pt>
                <c:pt idx="9">
                  <c:v>1137.66791116051</c:v>
                </c:pt>
                <c:pt idx="10">
                  <c:v>583.079792458184</c:v>
                </c:pt>
                <c:pt idx="11">
                  <c:v>77.5408595441305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763616143"/>
        <c:axId val="622858019"/>
      </c:barChart>
      <c:catAx>
        <c:axId val="763616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858019"/>
        <c:crosses val="autoZero"/>
        <c:auto val="1"/>
        <c:lblAlgn val="ctr"/>
        <c:lblOffset val="100"/>
        <c:noMultiLvlLbl val="0"/>
      </c:catAx>
      <c:valAx>
        <c:axId val="622858019"/>
        <c:scaling>
          <c:orientation val="minMax"/>
        </c:scaling>
        <c:delete val="1"/>
        <c:axPos val="l"/>
        <c:numFmt formatCode="0_ 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61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5538697206215"/>
          <c:y val="0.058860626445238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225caf-d776-4bfb-9ae7-fc1c5222b7bd}"/>
      </c:ext>
    </c:extLst>
  </c:chart>
  <c:spPr>
    <a:solidFill>
      <a:schemeClr val="bg1"/>
    </a:solidFill>
    <a:ln w="9525" cap="flat" cmpd="sng" algn="ctr">
      <a:solidFill>
        <a:srgbClr val="12B3C7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altLang="en-US" b="1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安全库存</a:t>
            </a:r>
            <a:r>
              <a:rPr lang="en-US" altLang="zh-CN" b="1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-</a:t>
            </a:r>
            <a:r>
              <a:rPr altLang="en-US" b="1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超目标变色预警</a:t>
            </a:r>
            <a:endParaRPr altLang="en-US" b="1">
              <a:solidFill>
                <a:srgbClr val="FE939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>
        <c:manualLayout>
          <c:xMode val="edge"/>
          <c:yMode val="edge"/>
          <c:x val="0.349861111111111"/>
          <c:y val="0.01041666666666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01408039687751"/>
          <c:y val="0.128"/>
          <c:w val="0.947545049974466"/>
          <c:h val="0.781768421052632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Sheet1!$B$16</c:f>
              <c:strCache>
                <c:ptCount val="1"/>
                <c:pt idx="0">
                  <c:v>低于目标</c:v>
                </c:pt>
              </c:strCache>
            </c:strRef>
          </c:tx>
          <c:spPr>
            <a:solidFill>
              <a:srgbClr val="12B3C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Sheet1!$C$16:$N$16</c:f>
              <c:numCache>
                <c:formatCode>0_);[Red]\(0\)</c:formatCode>
                <c:ptCount val="12"/>
                <c:pt idx="0">
                  <c:v>1000</c:v>
                </c:pt>
                <c:pt idx="1">
                  <c:v>1000</c:v>
                </c:pt>
                <c:pt idx="2">
                  <c:v>500.003000677678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497.612282616101</c:v>
                </c:pt>
              </c:numCache>
            </c:numRef>
          </c:val>
        </c:ser>
        <c:ser>
          <c:idx val="3"/>
          <c:order val="2"/>
          <c:tx>
            <c:strRef>
              <c:f>Sheet1!$B$17</c:f>
              <c:strCache>
                <c:ptCount val="1"/>
                <c:pt idx="0">
                  <c:v>高于目标</c:v>
                </c:pt>
              </c:strCache>
            </c:strRef>
          </c:tx>
          <c:spPr>
            <a:solidFill>
              <a:srgbClr val="FE939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Sheet1!$C$17:$N$17</c:f>
              <c:numCache>
                <c:formatCode>0_);[Red]\(0\)</c:formatCode>
                <c:ptCount val="12"/>
                <c:pt idx="0">
                  <c:v>668.099676052869</c:v>
                </c:pt>
                <c:pt idx="1">
                  <c:v>470.740459667722</c:v>
                </c:pt>
                <c:pt idx="2">
                  <c:v>#N/A</c:v>
                </c:pt>
                <c:pt idx="3">
                  <c:v>388.108531284204</c:v>
                </c:pt>
                <c:pt idx="4">
                  <c:v>987.823384660549</c:v>
                </c:pt>
                <c:pt idx="5">
                  <c:v>209.604153720725</c:v>
                </c:pt>
                <c:pt idx="6">
                  <c:v>13.9362271452068</c:v>
                </c:pt>
                <c:pt idx="7">
                  <c:v>29.4825892407405</c:v>
                </c:pt>
                <c:pt idx="8">
                  <c:v>703.186488307995</c:v>
                </c:pt>
                <c:pt idx="9">
                  <c:v>929.345067650972</c:v>
                </c:pt>
                <c:pt idx="10">
                  <c:v>721.149326151618</c:v>
                </c:pt>
                <c:pt idx="11">
                  <c:v>#N/A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1"/>
        <c:overlap val="100"/>
        <c:axId val="913157422"/>
        <c:axId val="472371527"/>
      </c:barChart>
      <c:lineChart>
        <c:grouping val="standar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安全库存量</c:v>
                </c:pt>
              </c:strCache>
            </c:strRef>
          </c:tx>
          <c:spPr>
            <a:ln w="34925" cap="rnd">
              <a:solidFill>
                <a:srgbClr val="FACB9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FACB9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Sheet1!$C$5:$N$5</c:f>
              <c:numCache>
                <c:formatCode>0_);[Red]\(0\)</c:formatCode>
                <c:ptCount val="12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Sheet1!$B$6</c:f>
              <c:strCache>
                <c:ptCount val="1"/>
                <c:pt idx="0">
                  <c:v>实际库存量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8"/>
              <c:delete val="1"/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Sheet1!$C$6:$N$6</c:f>
              <c:numCache>
                <c:formatCode>0_);[Red]\(0\)</c:formatCode>
                <c:ptCount val="12"/>
                <c:pt idx="0">
                  <c:v>1668.09967605287</c:v>
                </c:pt>
                <c:pt idx="1">
                  <c:v>1470.74045966772</c:v>
                </c:pt>
                <c:pt idx="2">
                  <c:v>500.003000677678</c:v>
                </c:pt>
                <c:pt idx="3">
                  <c:v>1388.1085312842</c:v>
                </c:pt>
                <c:pt idx="4">
                  <c:v>1987.82338466055</c:v>
                </c:pt>
                <c:pt idx="5">
                  <c:v>1209.60415372072</c:v>
                </c:pt>
                <c:pt idx="6">
                  <c:v>1013.93622714521</c:v>
                </c:pt>
                <c:pt idx="7">
                  <c:v>1029.48258924074</c:v>
                </c:pt>
                <c:pt idx="8">
                  <c:v>1703.18648830799</c:v>
                </c:pt>
                <c:pt idx="9">
                  <c:v>1929.34506765097</c:v>
                </c:pt>
                <c:pt idx="10">
                  <c:v>1721.14932615162</c:v>
                </c:pt>
                <c:pt idx="11">
                  <c:v>497.612282616101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16476939"/>
        <c:axId val="782447434"/>
      </c:lineChart>
      <c:catAx>
        <c:axId val="913157422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noFill/>
          <a:ln w="9525" cap="flat" cmpd="sng" algn="ctr">
            <a:solidFill>
              <a:srgbClr val="12B3C7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米开软笔行楷" panose="03000600000000000000" charset="-122"/>
                <a:ea typeface="米开软笔行楷" panose="03000600000000000000" charset="-122"/>
                <a:cs typeface="米开软笔行楷" panose="03000600000000000000" charset="-122"/>
                <a:sym typeface="米开软笔行楷" panose="03000600000000000000" charset="-122"/>
              </a:defRPr>
            </a:pPr>
          </a:p>
        </c:txPr>
        <c:crossAx val="472371527"/>
        <c:crosses val="autoZero"/>
        <c:auto val="1"/>
        <c:lblAlgn val="ctr"/>
        <c:lblOffset val="100"/>
        <c:noMultiLvlLbl val="0"/>
      </c:catAx>
      <c:valAx>
        <c:axId val="472371527"/>
        <c:scaling>
          <c:orientation val="minMax"/>
        </c:scaling>
        <c:delete val="1"/>
        <c:axPos val="l"/>
        <c:numFmt formatCode="0_);[Red]\(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米开软笔行楷" panose="03000600000000000000" charset="-122"/>
                <a:ea typeface="米开软笔行楷" panose="03000600000000000000" charset="-122"/>
                <a:cs typeface="米开软笔行楷" panose="03000600000000000000" charset="-122"/>
                <a:sym typeface="米开软笔行楷" panose="03000600000000000000" charset="-122"/>
              </a:defRPr>
            </a:pPr>
          </a:p>
        </c:txPr>
        <c:crossAx val="913157422"/>
        <c:crosses val="autoZero"/>
        <c:crossBetween val="between"/>
      </c:valAx>
      <c:catAx>
        <c:axId val="816476939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447434"/>
        <c:crosses val="autoZero"/>
        <c:auto val="1"/>
        <c:lblAlgn val="ctr"/>
        <c:lblOffset val="100"/>
        <c:noMultiLvlLbl val="0"/>
      </c:catAx>
      <c:valAx>
        <c:axId val="782447434"/>
        <c:scaling>
          <c:orientation val="minMax"/>
          <c:max val="200"/>
        </c:scaling>
        <c:delete val="1"/>
        <c:axPos val="r"/>
        <c:numFmt formatCode="0_);[Red]\(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476939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米开软笔行楷" panose="03000600000000000000" charset="-122"/>
                <a:ea typeface="米开软笔行楷" panose="03000600000000000000" charset="-122"/>
                <a:cs typeface="米开软笔行楷" panose="03000600000000000000" charset="-122"/>
                <a:sym typeface="米开软笔行楷" panose="03000600000000000000" charset="-122"/>
              </a:defRPr>
            </a:pPr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0.596463906192745"/>
          <c:y val="0.0537056928034372"/>
          <c:w val="0.400787834371565"/>
          <c:h val="0.08700322234156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米开软笔行楷" panose="03000600000000000000" charset="-122"/>
              <a:ea typeface="米开软笔行楷" panose="03000600000000000000" charset="-122"/>
              <a:cs typeface="米开软笔行楷" panose="03000600000000000000" charset="-122"/>
              <a:sym typeface="米开软笔行楷" panose="03000600000000000000" charset="-122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d431e06e-dcb3-4319-80e6-94c16694c7eb}"/>
      </c:ext>
    </c:extLst>
  </c:chart>
  <c:spPr>
    <a:solidFill>
      <a:schemeClr val="bg1"/>
    </a:solidFill>
    <a:ln w="9525" cap="flat" cmpd="sng" algn="ctr">
      <a:solidFill>
        <a:srgbClr val="FE939C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b="1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库存量同期对比</a:t>
            </a:r>
            <a:endParaRPr b="1">
              <a:solidFill>
                <a:srgbClr val="FE939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24461639535733"/>
          <c:y val="0.131518455158255"/>
          <c:w val="0.973830206584422"/>
          <c:h val="0.781996015214635"/>
        </c:manualLayout>
      </c:layout>
      <c:area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实际库存量</c:v>
                </c:pt>
              </c:strCache>
            </c:strRef>
          </c:tx>
          <c:spPr>
            <a:solidFill>
              <a:srgbClr val="12B3C7">
                <a:alpha val="80000"/>
              </a:srgb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Sheet1!$C$6:$N$6</c:f>
              <c:numCache>
                <c:formatCode>0_);[Red]\(0\)</c:formatCode>
                <c:ptCount val="12"/>
                <c:pt idx="0">
                  <c:v>1668.09967605287</c:v>
                </c:pt>
                <c:pt idx="1">
                  <c:v>1470.74045966772</c:v>
                </c:pt>
                <c:pt idx="2">
                  <c:v>500.003000677678</c:v>
                </c:pt>
                <c:pt idx="3">
                  <c:v>1388.1085312842</c:v>
                </c:pt>
                <c:pt idx="4">
                  <c:v>1987.82338466055</c:v>
                </c:pt>
                <c:pt idx="5">
                  <c:v>1209.60415372072</c:v>
                </c:pt>
                <c:pt idx="6">
                  <c:v>1013.93622714521</c:v>
                </c:pt>
                <c:pt idx="7">
                  <c:v>1029.48258924074</c:v>
                </c:pt>
                <c:pt idx="8">
                  <c:v>1703.18648830799</c:v>
                </c:pt>
                <c:pt idx="9">
                  <c:v>1929.34506765097</c:v>
                </c:pt>
                <c:pt idx="10">
                  <c:v>1721.14932615162</c:v>
                </c:pt>
                <c:pt idx="11">
                  <c:v>497.612282616101</c:v>
                </c:pt>
              </c:numCache>
            </c:numRef>
          </c:val>
        </c:ser>
        <c:ser>
          <c:idx val="1"/>
          <c:order val="1"/>
          <c:tx>
            <c:strRef>
              <c:f>Sheet1!$B$8</c:f>
              <c:strCache>
                <c:ptCount val="1"/>
                <c:pt idx="0">
                  <c:v>去年同期量</c:v>
                </c:pt>
              </c:strCache>
            </c:strRef>
          </c:tx>
          <c:spPr>
            <a:solidFill>
              <a:srgbClr val="FE939C">
                <a:alpha val="80000"/>
              </a:srgb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Sheet1!$C$8:$N$8</c:f>
              <c:numCache>
                <c:formatCode>0_);[Red]\(0\)</c:formatCode>
                <c:ptCount val="12"/>
                <c:pt idx="0">
                  <c:v>1697.94345904119</c:v>
                </c:pt>
                <c:pt idx="1">
                  <c:v>559.793462671569</c:v>
                </c:pt>
                <c:pt idx="2">
                  <c:v>1527.28618702764</c:v>
                </c:pt>
                <c:pt idx="3">
                  <c:v>911.377573513584</c:v>
                </c:pt>
                <c:pt idx="4">
                  <c:v>771.487054708497</c:v>
                </c:pt>
                <c:pt idx="5">
                  <c:v>263.223650702906</c:v>
                </c:pt>
                <c:pt idx="6">
                  <c:v>484.496425328213</c:v>
                </c:pt>
                <c:pt idx="7">
                  <c:v>1572.25608716088</c:v>
                </c:pt>
                <c:pt idx="8">
                  <c:v>915.559531520681</c:v>
                </c:pt>
                <c:pt idx="9">
                  <c:v>1137.66791116051</c:v>
                </c:pt>
                <c:pt idx="10">
                  <c:v>583.079792458184</c:v>
                </c:pt>
                <c:pt idx="11">
                  <c:v>77.5408595441305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28285167"/>
        <c:axId val="615300746"/>
      </c:areaChart>
      <c:catAx>
        <c:axId val="728285167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noFill/>
          <a:ln w="9525" cap="flat" cmpd="sng" algn="ctr">
            <a:solidFill>
              <a:srgbClr val="12B3C7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5300746"/>
        <c:crosses val="autoZero"/>
        <c:auto val="1"/>
        <c:lblAlgn val="ctr"/>
        <c:lblOffset val="100"/>
        <c:noMultiLvlLbl val="0"/>
      </c:catAx>
      <c:valAx>
        <c:axId val="615300746"/>
        <c:scaling>
          <c:orientation val="minMax"/>
        </c:scaling>
        <c:delete val="1"/>
        <c:axPos val="l"/>
        <c:numFmt formatCode="0_);[Red]\(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8285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2829403606103"/>
          <c:y val="0.042021372939684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231dfe-a757-40f4-a5ce-839805e28bb0}"/>
      </c:ext>
    </c:extLst>
  </c:chart>
  <c:spPr>
    <a:solidFill>
      <a:schemeClr val="bg1"/>
    </a:solidFill>
    <a:ln w="9525" cap="flat" cmpd="sng" algn="ctr">
      <a:solidFill>
        <a:srgbClr val="FE939C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b="1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库存额同期对比</a:t>
            </a:r>
            <a:endParaRPr b="1">
              <a:solidFill>
                <a:srgbClr val="FE939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71897810218978"/>
          <c:y val="0.13841961852861"/>
          <c:w val="0.962299270072993"/>
          <c:h val="0.796984559491371"/>
        </c:manualLayout>
      </c:layout>
      <c:areaChart>
        <c:grouping val="standar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库存金额</c:v>
                </c:pt>
              </c:strCache>
            </c:strRef>
          </c:tx>
          <c:spPr>
            <a:solidFill>
              <a:srgbClr val="12B3C7">
                <a:alpha val="80000"/>
              </a:srgb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Sheet1!$C$10:$N$10</c:f>
              <c:numCache>
                <c:formatCode>0_);[Red]\(0\)</c:formatCode>
                <c:ptCount val="12"/>
                <c:pt idx="0">
                  <c:v>187.942614104881</c:v>
                </c:pt>
                <c:pt idx="1">
                  <c:v>39.0769111217341</c:v>
                </c:pt>
                <c:pt idx="2">
                  <c:v>138.339303677281</c:v>
                </c:pt>
                <c:pt idx="3">
                  <c:v>162.282619716755</c:v>
                </c:pt>
                <c:pt idx="4">
                  <c:v>59.5355559202038</c:v>
                </c:pt>
                <c:pt idx="5">
                  <c:v>50.403365034447</c:v>
                </c:pt>
                <c:pt idx="6">
                  <c:v>92.9172817526887</c:v>
                </c:pt>
                <c:pt idx="7">
                  <c:v>4.69939333242197</c:v>
                </c:pt>
                <c:pt idx="8">
                  <c:v>71.9168887594911</c:v>
                </c:pt>
                <c:pt idx="9">
                  <c:v>154.975161240348</c:v>
                </c:pt>
                <c:pt idx="10">
                  <c:v>153.3688472809</c:v>
                </c:pt>
                <c:pt idx="11">
                  <c:v>80.5433870894588</c:v>
                </c:pt>
              </c:numCache>
            </c:numRef>
          </c:val>
        </c:ser>
        <c:ser>
          <c:idx val="1"/>
          <c:order val="1"/>
          <c:tx>
            <c:strRef>
              <c:f>Sheet1!$B$11</c:f>
              <c:strCache>
                <c:ptCount val="1"/>
                <c:pt idx="0">
                  <c:v>去年同期额</c:v>
                </c:pt>
              </c:strCache>
            </c:strRef>
          </c:tx>
          <c:spPr>
            <a:solidFill>
              <a:srgbClr val="FE939C">
                <a:alpha val="80000"/>
              </a:srgb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Sheet1!$C$11:$N$11</c:f>
              <c:numCache>
                <c:formatCode>0_);[Red]\(0\)</c:formatCode>
                <c:ptCount val="12"/>
                <c:pt idx="0">
                  <c:v>148.025889045833</c:v>
                </c:pt>
                <c:pt idx="1">
                  <c:v>150.647662825765</c:v>
                </c:pt>
                <c:pt idx="2">
                  <c:v>162.718207931892</c:v>
                </c:pt>
                <c:pt idx="3">
                  <c:v>45.4260301728182</c:v>
                </c:pt>
                <c:pt idx="4">
                  <c:v>62.6994092392532</c:v>
                </c:pt>
                <c:pt idx="5">
                  <c:v>162.339009471679</c:v>
                </c:pt>
                <c:pt idx="6">
                  <c:v>1.26751290616531</c:v>
                </c:pt>
                <c:pt idx="7">
                  <c:v>169.486981595695</c:v>
                </c:pt>
                <c:pt idx="8">
                  <c:v>190.511908630997</c:v>
                </c:pt>
                <c:pt idx="9">
                  <c:v>108.341108595813</c:v>
                </c:pt>
                <c:pt idx="10">
                  <c:v>175.187553357026</c:v>
                </c:pt>
                <c:pt idx="11">
                  <c:v>181.04361528432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79959136"/>
        <c:axId val="599712438"/>
      </c:areaChart>
      <c:catAx>
        <c:axId val="779959136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noFill/>
          <a:ln w="9525" cap="flat" cmpd="sng" algn="ctr">
            <a:solidFill>
              <a:srgbClr val="12B3C7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712438"/>
        <c:crosses val="autoZero"/>
        <c:auto val="1"/>
        <c:lblAlgn val="ctr"/>
        <c:lblOffset val="100"/>
        <c:noMultiLvlLbl val="0"/>
      </c:catAx>
      <c:valAx>
        <c:axId val="599712438"/>
        <c:scaling>
          <c:orientation val="minMax"/>
        </c:scaling>
        <c:delete val="1"/>
        <c:axPos val="l"/>
        <c:numFmt formatCode="0_);[Red]\(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95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3467153284672"/>
          <c:y val="0.032879200726612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46d2c2b-f23e-4514-9746-e77f192d3265}"/>
      </c:ext>
    </c:extLst>
  </c:chart>
  <c:spPr>
    <a:solidFill>
      <a:schemeClr val="bg1"/>
    </a:solidFill>
    <a:ln w="9525" cap="flat" cmpd="sng" algn="ctr">
      <a:solidFill>
        <a:srgbClr val="FE939C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45085</xdr:colOff>
      <xdr:row>2</xdr:row>
      <xdr:rowOff>115570</xdr:rowOff>
    </xdr:from>
    <xdr:to>
      <xdr:col>19</xdr:col>
      <xdr:colOff>591820</xdr:colOff>
      <xdr:row>49</xdr:row>
      <xdr:rowOff>5080</xdr:rowOff>
    </xdr:to>
    <xdr:graphicFrame>
      <xdr:nvGraphicFramePr>
        <xdr:cNvPr id="6" name="图表 5"/>
        <xdr:cNvGraphicFramePr/>
      </xdr:nvGraphicFramePr>
      <xdr:xfrm>
        <a:off x="8037830" y="750570"/>
        <a:ext cx="2578735" cy="1100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10160</xdr:colOff>
      <xdr:row>17</xdr:row>
      <xdr:rowOff>40005</xdr:rowOff>
    </xdr:from>
    <xdr:to>
      <xdr:col>14</xdr:col>
      <xdr:colOff>576580</xdr:colOff>
      <xdr:row>49</xdr:row>
      <xdr:rowOff>13970</xdr:rowOff>
    </xdr:to>
    <xdr:grpSp>
      <xdr:nvGrpSpPr>
        <xdr:cNvPr id="20" name="组合 19"/>
        <xdr:cNvGrpSpPr/>
      </xdr:nvGrpSpPr>
      <xdr:grpSpPr>
        <a:xfrm>
          <a:off x="121920" y="5374005"/>
          <a:ext cx="7870825" cy="6395085"/>
          <a:chOff x="196" y="8431"/>
          <a:chExt cx="13792" cy="9488"/>
        </a:xfrm>
      </xdr:grpSpPr>
      <xdr:graphicFrame>
        <xdr:nvGraphicFramePr>
          <xdr:cNvPr id="9" name="图表 8"/>
          <xdr:cNvGraphicFramePr/>
        </xdr:nvGraphicFramePr>
        <xdr:xfrm>
          <a:off x="198" y="13203"/>
          <a:ext cx="13791" cy="471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>
        <xdr:nvGraphicFramePr>
          <xdr:cNvPr id="11" name="图表 10"/>
          <xdr:cNvGraphicFramePr/>
        </xdr:nvGraphicFramePr>
        <xdr:xfrm>
          <a:off x="196" y="8431"/>
          <a:ext cx="13793" cy="47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20</xdr:col>
      <xdr:colOff>24765</xdr:colOff>
      <xdr:row>2</xdr:row>
      <xdr:rowOff>41910</xdr:rowOff>
    </xdr:from>
    <xdr:to>
      <xdr:col>32</xdr:col>
      <xdr:colOff>449580</xdr:colOff>
      <xdr:row>49</xdr:row>
      <xdr:rowOff>10160</xdr:rowOff>
    </xdr:to>
    <xdr:grpSp>
      <xdr:nvGrpSpPr>
        <xdr:cNvPr id="21" name="组合 20"/>
        <xdr:cNvGrpSpPr/>
      </xdr:nvGrpSpPr>
      <xdr:grpSpPr>
        <a:xfrm>
          <a:off x="10666730" y="676910"/>
          <a:ext cx="7814945" cy="11088370"/>
          <a:chOff x="18550" y="1147"/>
          <a:chExt cx="13698" cy="16768"/>
        </a:xfrm>
      </xdr:grpSpPr>
      <xdr:graphicFrame>
        <xdr:nvGraphicFramePr>
          <xdr:cNvPr id="17" name="图表 16"/>
          <xdr:cNvGraphicFramePr/>
        </xdr:nvGraphicFramePr>
        <xdr:xfrm>
          <a:off x="18550" y="1147"/>
          <a:ext cx="13699" cy="55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>
        <xdr:nvGraphicFramePr>
          <xdr:cNvPr id="18" name="图表 17"/>
          <xdr:cNvGraphicFramePr/>
        </xdr:nvGraphicFramePr>
        <xdr:xfrm>
          <a:off x="18550" y="6752"/>
          <a:ext cx="13698" cy="55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>
        <xdr:nvGraphicFramePr>
          <xdr:cNvPr id="19" name="图表 18"/>
          <xdr:cNvGraphicFramePr/>
        </xdr:nvGraphicFramePr>
        <xdr:xfrm>
          <a:off x="18550" y="12359"/>
          <a:ext cx="13698" cy="55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25"/>
  <sheetViews>
    <sheetView tabSelected="1" zoomScale="70" zoomScaleNormal="70" workbookViewId="0">
      <selection activeCell="J7" sqref="J7"/>
    </sheetView>
  </sheetViews>
  <sheetFormatPr defaultColWidth="9" defaultRowHeight="14.4"/>
  <cols>
    <col min="1" max="1" width="1.62962962962963" style="1" customWidth="1"/>
    <col min="2" max="2" width="15.7314814814815" style="1" customWidth="1"/>
    <col min="3" max="15" width="7.62962962962963" style="1" customWidth="1"/>
    <col min="16" max="16" width="2.62962962962963" style="2" customWidth="1"/>
    <col min="17" max="32" width="9" style="1"/>
    <col min="33" max="33" width="6.31481481481481" style="1" customWidth="1"/>
    <col min="34" max="16384" width="9" style="1"/>
  </cols>
  <sheetData>
    <row r="1" ht="10" customHeight="1"/>
    <row r="2" ht="40" customHeight="1" spans="2:33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0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10" customHeight="1"/>
    <row r="4" ht="30" customHeight="1" spans="2:15">
      <c r="B4" s="4"/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</row>
    <row r="5" ht="30" customHeight="1" spans="2:15">
      <c r="B5" s="4" t="s">
        <v>14</v>
      </c>
      <c r="C5" s="6">
        <v>1000</v>
      </c>
      <c r="D5" s="6">
        <v>1000</v>
      </c>
      <c r="E5" s="6">
        <v>1000</v>
      </c>
      <c r="F5" s="6">
        <v>1000</v>
      </c>
      <c r="G5" s="6">
        <v>1000</v>
      </c>
      <c r="H5" s="6">
        <v>1000</v>
      </c>
      <c r="I5" s="6">
        <v>1000</v>
      </c>
      <c r="J5" s="6">
        <v>1000</v>
      </c>
      <c r="K5" s="6">
        <v>1000</v>
      </c>
      <c r="L5" s="6">
        <v>1000</v>
      </c>
      <c r="M5" s="6">
        <v>1000</v>
      </c>
      <c r="N5" s="6">
        <v>1000</v>
      </c>
      <c r="O5" s="21">
        <f>SUM(C5:N5)</f>
        <v>12000</v>
      </c>
    </row>
    <row r="6" ht="30" customHeight="1" spans="2:15">
      <c r="B6" s="4" t="s">
        <v>15</v>
      </c>
      <c r="C6" s="6">
        <f ca="1">RAND()*2000</f>
        <v>1668.09967605287</v>
      </c>
      <c r="D6" s="6">
        <f ca="1" t="shared" ref="D6:N6" si="0">RAND()*2000</f>
        <v>1470.74045966772</v>
      </c>
      <c r="E6" s="6">
        <f ca="1" t="shared" si="0"/>
        <v>500.003000677678</v>
      </c>
      <c r="F6" s="6">
        <f ca="1" t="shared" si="0"/>
        <v>1388.1085312842</v>
      </c>
      <c r="G6" s="6">
        <f ca="1" t="shared" si="0"/>
        <v>1987.82338466055</v>
      </c>
      <c r="H6" s="6">
        <f ca="1" t="shared" si="0"/>
        <v>1209.60415372072</v>
      </c>
      <c r="I6" s="6">
        <f ca="1" t="shared" si="0"/>
        <v>1013.93622714521</v>
      </c>
      <c r="J6" s="6">
        <f ca="1" t="shared" si="0"/>
        <v>1029.48258924074</v>
      </c>
      <c r="K6" s="6">
        <f ca="1" t="shared" si="0"/>
        <v>1703.18648830799</v>
      </c>
      <c r="L6" s="6">
        <f ca="1" t="shared" si="0"/>
        <v>1929.34506765097</v>
      </c>
      <c r="M6" s="6">
        <f ca="1" t="shared" si="0"/>
        <v>1721.14932615162</v>
      </c>
      <c r="N6" s="6">
        <f ca="1" t="shared" si="0"/>
        <v>497.612282616101</v>
      </c>
      <c r="O6" s="21">
        <f ca="1">SUM(C6:N6)</f>
        <v>16119.0911871764</v>
      </c>
    </row>
    <row r="7" ht="30" customHeight="1" spans="2:15">
      <c r="B7" s="4" t="s">
        <v>16</v>
      </c>
      <c r="C7" s="7">
        <f ca="1">C5-C6</f>
        <v>-668.099676052869</v>
      </c>
      <c r="D7" s="7">
        <f ca="1" t="shared" ref="D7:O7" si="1">D5-D6</f>
        <v>-470.740459667722</v>
      </c>
      <c r="E7" s="7">
        <f ca="1" t="shared" si="1"/>
        <v>499.996999322322</v>
      </c>
      <c r="F7" s="7">
        <f ca="1" t="shared" si="1"/>
        <v>-388.108531284204</v>
      </c>
      <c r="G7" s="7">
        <f ca="1" t="shared" si="1"/>
        <v>-987.823384660549</v>
      </c>
      <c r="H7" s="7">
        <f ca="1" t="shared" si="1"/>
        <v>-209.604153720725</v>
      </c>
      <c r="I7" s="7">
        <f ca="1" t="shared" si="1"/>
        <v>-13.9362271452068</v>
      </c>
      <c r="J7" s="7">
        <f ca="1" t="shared" si="1"/>
        <v>-29.4825892407405</v>
      </c>
      <c r="K7" s="7">
        <f ca="1" t="shared" si="1"/>
        <v>-703.186488307995</v>
      </c>
      <c r="L7" s="7">
        <f ca="1" t="shared" si="1"/>
        <v>-929.345067650972</v>
      </c>
      <c r="M7" s="7">
        <f ca="1" t="shared" si="1"/>
        <v>-721.149326151618</v>
      </c>
      <c r="N7" s="7">
        <f ca="1" t="shared" si="1"/>
        <v>502.387717383899</v>
      </c>
      <c r="O7" s="7">
        <f ca="1" t="shared" si="1"/>
        <v>-4119.09118717638</v>
      </c>
    </row>
    <row r="8" ht="30" customHeight="1" spans="2:15">
      <c r="B8" s="4" t="s">
        <v>17</v>
      </c>
      <c r="C8" s="6">
        <f ca="1" t="shared" ref="C8:N8" si="2">RAND()*2000</f>
        <v>1697.94345904119</v>
      </c>
      <c r="D8" s="6">
        <f ca="1" t="shared" si="2"/>
        <v>559.793462671569</v>
      </c>
      <c r="E8" s="6">
        <f ca="1" t="shared" si="2"/>
        <v>1527.28618702764</v>
      </c>
      <c r="F8" s="6">
        <f ca="1" t="shared" si="2"/>
        <v>911.377573513584</v>
      </c>
      <c r="G8" s="6">
        <f ca="1" t="shared" si="2"/>
        <v>771.487054708497</v>
      </c>
      <c r="H8" s="6">
        <f ca="1" t="shared" si="2"/>
        <v>263.223650702906</v>
      </c>
      <c r="I8" s="6">
        <f ca="1" t="shared" si="2"/>
        <v>484.496425328213</v>
      </c>
      <c r="J8" s="6">
        <f ca="1" t="shared" si="2"/>
        <v>1572.25608716088</v>
      </c>
      <c r="K8" s="6">
        <f ca="1" t="shared" si="2"/>
        <v>915.559531520681</v>
      </c>
      <c r="L8" s="6">
        <f ca="1" t="shared" si="2"/>
        <v>1137.66791116051</v>
      </c>
      <c r="M8" s="6">
        <f ca="1" t="shared" si="2"/>
        <v>583.079792458184</v>
      </c>
      <c r="N8" s="6">
        <f ca="1" t="shared" si="2"/>
        <v>77.5408595441305</v>
      </c>
      <c r="O8" s="21">
        <f ca="1" t="shared" ref="O8:O14" si="3">SUM(C8:N8)</f>
        <v>10501.711994838</v>
      </c>
    </row>
    <row r="9" ht="30" customHeight="1" spans="2:15">
      <c r="B9" s="4" t="s">
        <v>18</v>
      </c>
      <c r="C9" s="8">
        <f ca="1">C6-C8</f>
        <v>-29.8437829883192</v>
      </c>
      <c r="D9" s="8">
        <f ca="1" t="shared" ref="D9:N9" si="4">D6-D8</f>
        <v>910.946996996154</v>
      </c>
      <c r="E9" s="8">
        <f ca="1" t="shared" si="4"/>
        <v>-1027.28318634997</v>
      </c>
      <c r="F9" s="8">
        <f ca="1" t="shared" si="4"/>
        <v>476.73095777062</v>
      </c>
      <c r="G9" s="8">
        <f ca="1" t="shared" si="4"/>
        <v>1216.33632995205</v>
      </c>
      <c r="H9" s="8">
        <f ca="1" t="shared" si="4"/>
        <v>946.380503017819</v>
      </c>
      <c r="I9" s="8">
        <f ca="1" t="shared" si="4"/>
        <v>529.439801816994</v>
      </c>
      <c r="J9" s="8">
        <f ca="1" t="shared" si="4"/>
        <v>-542.773497920135</v>
      </c>
      <c r="K9" s="8">
        <f ca="1" t="shared" si="4"/>
        <v>787.626956787314</v>
      </c>
      <c r="L9" s="8">
        <f ca="1" t="shared" si="4"/>
        <v>791.677156490458</v>
      </c>
      <c r="M9" s="8">
        <f ca="1" t="shared" si="4"/>
        <v>1138.06953369343</v>
      </c>
      <c r="N9" s="8">
        <f ca="1" t="shared" si="4"/>
        <v>420.071423071971</v>
      </c>
      <c r="O9" s="21">
        <f ca="1" t="shared" si="3"/>
        <v>5617.37919233839</v>
      </c>
    </row>
    <row r="10" ht="30" customHeight="1" spans="2:15">
      <c r="B10" s="4" t="s">
        <v>19</v>
      </c>
      <c r="C10" s="6">
        <f ca="1" t="shared" ref="C10:N10" si="5">RAND()*200</f>
        <v>187.942614104881</v>
      </c>
      <c r="D10" s="6">
        <f ca="1" t="shared" si="5"/>
        <v>39.0769111217341</v>
      </c>
      <c r="E10" s="6">
        <f ca="1" t="shared" si="5"/>
        <v>138.339303677281</v>
      </c>
      <c r="F10" s="6">
        <f ca="1" t="shared" si="5"/>
        <v>162.282619716755</v>
      </c>
      <c r="G10" s="6">
        <f ca="1" t="shared" si="5"/>
        <v>59.5355559202038</v>
      </c>
      <c r="H10" s="6">
        <f ca="1" t="shared" si="5"/>
        <v>50.403365034447</v>
      </c>
      <c r="I10" s="6">
        <f ca="1" t="shared" si="5"/>
        <v>92.9172817526887</v>
      </c>
      <c r="J10" s="6">
        <f ca="1" t="shared" si="5"/>
        <v>4.69939333242197</v>
      </c>
      <c r="K10" s="6">
        <f ca="1" t="shared" si="5"/>
        <v>71.9168887594911</v>
      </c>
      <c r="L10" s="6">
        <f ca="1" t="shared" si="5"/>
        <v>154.975161240348</v>
      </c>
      <c r="M10" s="6">
        <f ca="1" t="shared" si="5"/>
        <v>153.3688472809</v>
      </c>
      <c r="N10" s="6">
        <f ca="1" t="shared" si="5"/>
        <v>80.5433870894588</v>
      </c>
      <c r="O10" s="21">
        <f ca="1" t="shared" si="3"/>
        <v>1196.00132903061</v>
      </c>
    </row>
    <row r="11" ht="30" customHeight="1" spans="2:15">
      <c r="B11" s="4" t="s">
        <v>20</v>
      </c>
      <c r="C11" s="6">
        <f ca="1" t="shared" ref="C11:N11" si="6">RAND()*200</f>
        <v>148.025889045833</v>
      </c>
      <c r="D11" s="6">
        <f ca="1" t="shared" si="6"/>
        <v>150.647662825765</v>
      </c>
      <c r="E11" s="6">
        <f ca="1" t="shared" si="6"/>
        <v>162.718207931892</v>
      </c>
      <c r="F11" s="6">
        <f ca="1" t="shared" si="6"/>
        <v>45.4260301728182</v>
      </c>
      <c r="G11" s="6">
        <f ca="1" t="shared" si="6"/>
        <v>62.6994092392532</v>
      </c>
      <c r="H11" s="6">
        <f ca="1" t="shared" si="6"/>
        <v>162.339009471679</v>
      </c>
      <c r="I11" s="6">
        <f ca="1" t="shared" si="6"/>
        <v>1.26751290616531</v>
      </c>
      <c r="J11" s="6">
        <f ca="1" t="shared" si="6"/>
        <v>169.486981595695</v>
      </c>
      <c r="K11" s="6">
        <f ca="1" t="shared" si="6"/>
        <v>190.511908630997</v>
      </c>
      <c r="L11" s="6">
        <f ca="1" t="shared" si="6"/>
        <v>108.341108595813</v>
      </c>
      <c r="M11" s="6">
        <f ca="1" t="shared" si="6"/>
        <v>175.187553357026</v>
      </c>
      <c r="N11" s="6">
        <f ca="1" t="shared" si="6"/>
        <v>181.04361528432</v>
      </c>
      <c r="O11" s="21">
        <f ca="1" t="shared" si="3"/>
        <v>1557.69488905726</v>
      </c>
    </row>
    <row r="12" ht="30" customHeight="1" spans="2:15">
      <c r="B12" s="9" t="s">
        <v>21</v>
      </c>
      <c r="C12" s="10">
        <f ca="1">C6/$O$6</f>
        <v>0.103485963115584</v>
      </c>
      <c r="D12" s="10">
        <f ca="1" t="shared" ref="D12:N12" si="7">D6/$O$6</f>
        <v>0.0912421452667119</v>
      </c>
      <c r="E12" s="10">
        <f ca="1" t="shared" si="7"/>
        <v>0.0310193046786321</v>
      </c>
      <c r="F12" s="10">
        <f ca="1" t="shared" si="7"/>
        <v>0.0861158061062723</v>
      </c>
      <c r="G12" s="10">
        <f ca="1" t="shared" si="7"/>
        <v>0.123321058338697</v>
      </c>
      <c r="H12" s="10">
        <f ca="1" t="shared" si="7"/>
        <v>0.0750417092176407</v>
      </c>
      <c r="I12" s="10">
        <f ca="1" t="shared" si="7"/>
        <v>0.0629028160068881</v>
      </c>
      <c r="J12" s="10">
        <f ca="1" t="shared" si="7"/>
        <v>0.0638672849037389</v>
      </c>
      <c r="K12" s="10">
        <f ca="1" t="shared" si="7"/>
        <v>0.105662687091377</v>
      </c>
      <c r="L12" s="10">
        <f ca="1" t="shared" si="7"/>
        <v>0.119693166646136</v>
      </c>
      <c r="M12" s="10">
        <f ca="1" t="shared" si="7"/>
        <v>0.106777069883499</v>
      </c>
      <c r="N12" s="10">
        <f ca="1" t="shared" si="7"/>
        <v>0.0308709887448232</v>
      </c>
      <c r="O12" s="22">
        <f ca="1" t="shared" si="3"/>
        <v>1</v>
      </c>
    </row>
    <row r="13" ht="30" customHeight="1" spans="2:15">
      <c r="B13" s="11" t="s">
        <v>22</v>
      </c>
      <c r="C13" s="10">
        <f ca="1">C8/$O$8</f>
        <v>0.161682538987529</v>
      </c>
      <c r="D13" s="10">
        <f ca="1" t="shared" ref="D13:N13" si="8">D8/$O$8</f>
        <v>0.0533049718890339</v>
      </c>
      <c r="E13" s="10">
        <f ca="1" t="shared" si="8"/>
        <v>0.145432115047372</v>
      </c>
      <c r="F13" s="10">
        <f ca="1" t="shared" si="8"/>
        <v>0.0867837143088254</v>
      </c>
      <c r="G13" s="10">
        <f ca="1" t="shared" si="8"/>
        <v>0.0734629796634791</v>
      </c>
      <c r="H13" s="10">
        <f ca="1" t="shared" si="8"/>
        <v>0.0250648323656458</v>
      </c>
      <c r="I13" s="10">
        <f ca="1" t="shared" si="8"/>
        <v>0.0461349945195947</v>
      </c>
      <c r="J13" s="10">
        <f ca="1" t="shared" si="8"/>
        <v>0.149714264486943</v>
      </c>
      <c r="K13" s="10">
        <f ca="1" t="shared" si="8"/>
        <v>0.0871819310956838</v>
      </c>
      <c r="L13" s="10">
        <f ca="1" t="shared" si="8"/>
        <v>0.108331661706179</v>
      </c>
      <c r="M13" s="10">
        <f ca="1" t="shared" si="8"/>
        <v>0.0555223560448802</v>
      </c>
      <c r="N13" s="10">
        <f ca="1" t="shared" si="8"/>
        <v>0.00738363988483449</v>
      </c>
      <c r="O13" s="22">
        <f ca="1" t="shared" si="3"/>
        <v>1</v>
      </c>
    </row>
    <row r="14" ht="30" customHeight="1" spans="2:15">
      <c r="B14" s="12" t="s">
        <v>23</v>
      </c>
      <c r="C14" s="10">
        <f ca="1">C10/$O$10</f>
        <v>0.157142479312471</v>
      </c>
      <c r="D14" s="10">
        <f ca="1" t="shared" ref="D14:N14" si="9">D10/$O$10</f>
        <v>0.032672966302978</v>
      </c>
      <c r="E14" s="10">
        <f ca="1" t="shared" si="9"/>
        <v>0.115668185577527</v>
      </c>
      <c r="F14" s="10">
        <f ca="1" t="shared" si="9"/>
        <v>0.135687658347578</v>
      </c>
      <c r="G14" s="10">
        <f ca="1" t="shared" si="9"/>
        <v>0.0497788375941512</v>
      </c>
      <c r="H14" s="10">
        <f ca="1" t="shared" si="9"/>
        <v>0.0421432349705667</v>
      </c>
      <c r="I14" s="10">
        <f ca="1" t="shared" si="9"/>
        <v>0.0776899485789038</v>
      </c>
      <c r="J14" s="10">
        <f ca="1" t="shared" si="9"/>
        <v>0.00392925427284512</v>
      </c>
      <c r="K14" s="10">
        <f ca="1" t="shared" si="9"/>
        <v>0.0601311110730801</v>
      </c>
      <c r="L14" s="10">
        <f ca="1" t="shared" si="9"/>
        <v>0.129577750023037</v>
      </c>
      <c r="M14" s="10">
        <f ca="1" t="shared" si="9"/>
        <v>0.128234679643048</v>
      </c>
      <c r="N14" s="10">
        <f ca="1" t="shared" si="9"/>
        <v>0.0673438943038142</v>
      </c>
      <c r="O14" s="22">
        <f ca="1" t="shared" si="3"/>
        <v>1</v>
      </c>
    </row>
    <row r="15" ht="30" customHeight="1" spans="2:15">
      <c r="B15" s="11" t="s">
        <v>24</v>
      </c>
      <c r="C15" s="10">
        <f ca="1">C11/$O$11</f>
        <v>0.0950288083280678</v>
      </c>
      <c r="D15" s="10">
        <f ca="1" t="shared" ref="D15:O15" si="10">D11/$O$11</f>
        <v>0.0967119195704232</v>
      </c>
      <c r="E15" s="10">
        <f ca="1" t="shared" si="10"/>
        <v>0.104460898649011</v>
      </c>
      <c r="F15" s="10">
        <f ca="1" t="shared" si="10"/>
        <v>0.0291623414135426</v>
      </c>
      <c r="G15" s="10">
        <f ca="1" t="shared" si="10"/>
        <v>0.0402514058945137</v>
      </c>
      <c r="H15" s="10">
        <f ca="1" t="shared" si="10"/>
        <v>0.104217463003894</v>
      </c>
      <c r="I15" s="10">
        <f ca="1" t="shared" si="10"/>
        <v>0.000813710640684218</v>
      </c>
      <c r="J15" s="10">
        <f ca="1" t="shared" si="10"/>
        <v>0.108806277009917</v>
      </c>
      <c r="K15" s="10">
        <f ca="1" t="shared" si="10"/>
        <v>0.122303738664956</v>
      </c>
      <c r="L15" s="10">
        <f ca="1" t="shared" si="10"/>
        <v>0.0695522013694113</v>
      </c>
      <c r="M15" s="10">
        <f ca="1" t="shared" si="10"/>
        <v>0.112465897261211</v>
      </c>
      <c r="N15" s="10">
        <f ca="1" t="shared" si="10"/>
        <v>0.116225338194369</v>
      </c>
      <c r="O15" s="10">
        <f ca="1" t="shared" si="10"/>
        <v>1</v>
      </c>
    </row>
    <row r="16" ht="30" hidden="1" customHeight="1" spans="2:15">
      <c r="B16" s="13" t="s">
        <v>25</v>
      </c>
      <c r="C16" s="14">
        <f ca="1">IF(C6&lt;=C5,C6,C5)</f>
        <v>1000</v>
      </c>
      <c r="D16" s="14">
        <f ca="1" t="shared" ref="D16:N16" si="11">IF(D6&lt;=D5,D6,D5)</f>
        <v>1000</v>
      </c>
      <c r="E16" s="14">
        <f ca="1" t="shared" si="11"/>
        <v>500.003000677678</v>
      </c>
      <c r="F16" s="14">
        <f ca="1" t="shared" si="11"/>
        <v>1000</v>
      </c>
      <c r="G16" s="14">
        <f ca="1" t="shared" si="11"/>
        <v>1000</v>
      </c>
      <c r="H16" s="14">
        <f ca="1" t="shared" si="11"/>
        <v>1000</v>
      </c>
      <c r="I16" s="14">
        <f ca="1" t="shared" si="11"/>
        <v>1000</v>
      </c>
      <c r="J16" s="14">
        <f ca="1" t="shared" si="11"/>
        <v>1000</v>
      </c>
      <c r="K16" s="14">
        <f ca="1" t="shared" si="11"/>
        <v>1000</v>
      </c>
      <c r="L16" s="14">
        <f ca="1" t="shared" si="11"/>
        <v>1000</v>
      </c>
      <c r="M16" s="14">
        <f ca="1" t="shared" si="11"/>
        <v>1000</v>
      </c>
      <c r="N16" s="14">
        <f ca="1" t="shared" si="11"/>
        <v>497.612282616101</v>
      </c>
      <c r="O16" s="23"/>
    </row>
    <row r="17" ht="30" hidden="1" customHeight="1" spans="2:15">
      <c r="B17" s="15" t="s">
        <v>26</v>
      </c>
      <c r="C17" s="16">
        <f ca="1">IF(C6&gt;C5,C6-C5,NA())</f>
        <v>668.099676052869</v>
      </c>
      <c r="D17" s="16">
        <f ca="1">IF(D6&gt;D5,D6-D5,NA())</f>
        <v>470.740459667722</v>
      </c>
      <c r="E17" s="16" t="e">
        <f ca="1" t="shared" ref="E17:N17" si="12">IF(E6&gt;E5,E6-E5,NA())</f>
        <v>#N/A</v>
      </c>
      <c r="F17" s="16">
        <f ca="1" t="shared" si="12"/>
        <v>388.108531284204</v>
      </c>
      <c r="G17" s="16">
        <f ca="1" t="shared" si="12"/>
        <v>987.823384660549</v>
      </c>
      <c r="H17" s="16">
        <f ca="1" t="shared" si="12"/>
        <v>209.604153720725</v>
      </c>
      <c r="I17" s="16">
        <f ca="1" t="shared" si="12"/>
        <v>13.9362271452068</v>
      </c>
      <c r="J17" s="16">
        <f ca="1" t="shared" si="12"/>
        <v>29.4825892407405</v>
      </c>
      <c r="K17" s="16">
        <f ca="1" t="shared" si="12"/>
        <v>703.186488307995</v>
      </c>
      <c r="L17" s="16">
        <f ca="1" t="shared" si="12"/>
        <v>929.345067650972</v>
      </c>
      <c r="M17" s="16">
        <f ca="1" t="shared" si="12"/>
        <v>721.149326151618</v>
      </c>
      <c r="N17" s="16" t="e">
        <f ca="1" t="shared" si="12"/>
        <v>#N/A</v>
      </c>
      <c r="O17" s="23"/>
    </row>
    <row r="18" ht="30" customHeight="1"/>
    <row r="19" ht="30" customHeight="1"/>
    <row r="20" ht="30" customHeight="1" spans="2:14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ht="30" customHeight="1" spans="2:14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ht="20" customHeight="1"/>
    <row r="23" ht="20" customHeight="1"/>
    <row r="24" hidden="1" spans="2:14">
      <c r="B24" s="19" t="s">
        <v>25</v>
      </c>
      <c r="C24" s="19">
        <f t="shared" ref="C24:N24" si="13">IF(C21&lt;=C20,C21,C20)</f>
        <v>0</v>
      </c>
      <c r="D24" s="19">
        <f t="shared" si="13"/>
        <v>0</v>
      </c>
      <c r="E24" s="19">
        <f t="shared" si="13"/>
        <v>0</v>
      </c>
      <c r="F24" s="19">
        <f t="shared" si="13"/>
        <v>0</v>
      </c>
      <c r="G24" s="19">
        <f t="shared" si="13"/>
        <v>0</v>
      </c>
      <c r="H24" s="19">
        <f t="shared" si="13"/>
        <v>0</v>
      </c>
      <c r="I24" s="19">
        <f t="shared" si="13"/>
        <v>0</v>
      </c>
      <c r="J24" s="19">
        <f t="shared" si="13"/>
        <v>0</v>
      </c>
      <c r="K24" s="19">
        <f t="shared" si="13"/>
        <v>0</v>
      </c>
      <c r="L24" s="19">
        <f t="shared" si="13"/>
        <v>0</v>
      </c>
      <c r="M24" s="19">
        <f t="shared" si="13"/>
        <v>0</v>
      </c>
      <c r="N24" s="19">
        <f t="shared" si="13"/>
        <v>0</v>
      </c>
    </row>
    <row r="25" hidden="1" spans="2:14">
      <c r="B25" s="19" t="s">
        <v>26</v>
      </c>
      <c r="C25" s="19" t="e">
        <f t="shared" ref="C25:N25" si="14">IF(C21&gt;C20,C21-C20,NA())</f>
        <v>#N/A</v>
      </c>
      <c r="D25" s="19" t="e">
        <f t="shared" si="14"/>
        <v>#N/A</v>
      </c>
      <c r="E25" s="19" t="e">
        <f t="shared" si="14"/>
        <v>#N/A</v>
      </c>
      <c r="F25" s="19" t="e">
        <f t="shared" si="14"/>
        <v>#N/A</v>
      </c>
      <c r="G25" s="19" t="e">
        <f t="shared" si="14"/>
        <v>#N/A</v>
      </c>
      <c r="H25" s="19" t="e">
        <f t="shared" si="14"/>
        <v>#N/A</v>
      </c>
      <c r="I25" s="19" t="e">
        <f t="shared" si="14"/>
        <v>#N/A</v>
      </c>
      <c r="J25" s="19" t="e">
        <f t="shared" si="14"/>
        <v>#N/A</v>
      </c>
      <c r="K25" s="19" t="e">
        <f t="shared" si="14"/>
        <v>#N/A</v>
      </c>
      <c r="L25" s="19" t="e">
        <f t="shared" si="14"/>
        <v>#N/A</v>
      </c>
      <c r="M25" s="19" t="e">
        <f t="shared" si="14"/>
        <v>#N/A</v>
      </c>
      <c r="N25" s="19" t="e">
        <f t="shared" si="14"/>
        <v>#N/A</v>
      </c>
    </row>
  </sheetData>
  <mergeCells count="1">
    <mergeCell ref="B2:AG2"/>
  </mergeCells>
  <pageMargins left="0.699305555555556" right="0.699305555555556" top="0.75" bottom="0.75" header="0.3" footer="0.3"/>
  <pageSetup paperSize="9" orientation="portrait"/>
  <headerFooter/>
  <ignoredErrors>
    <ignoredError sqref="C7:O7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风中花染</cp:lastModifiedBy>
  <dcterms:created xsi:type="dcterms:W3CDTF">2019-08-06T01:05:00Z</dcterms:created>
  <dcterms:modified xsi:type="dcterms:W3CDTF">2025-02-19T13:53:09Z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B31E6E54B9F64421B1E557AD59A372F8</vt:lpwstr>
  </property>
</Properties>
</file>