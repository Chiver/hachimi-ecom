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workbookAlgorithmName="SHA-512" workbookHashValue="KNlxzz7o7B/ffNESmcMbjIfl+EXSVTbMvMv0dOCuriU617pMGXHnKVWFjZ0DSBVrm2KKhsRzbSZHKDcsSHdP0g==" workbookSaltValue="WbEI+461DxjDlJAXJhxByQ==" workbookSpinCount="100000" lockStructure="1"/>
  <bookViews>
    <workbookView windowWidth="28800" windowHeight="12375"/>
  </bookViews>
  <sheets>
    <sheet name="工具箱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<sst xmlns="http://schemas.openxmlformats.org/spreadsheetml/2006/main" count="25" uniqueCount="24">
  <si>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ACOS计算器</t>
  </si>
  <si>
    <t>产品利润计算器</t>
  </si>
  <si>
    <t>REVIEW评分计算器</t>
  </si>
  <si>
    <t>关键词</t>
  </si>
  <si>
    <t>拿货价</t>
  </si>
  <si>
    <t>5 stars</t>
  </si>
  <si>
    <t>预估竞价</t>
  </si>
  <si>
    <t>运费</t>
  </si>
  <si>
    <t>4 stars</t>
  </si>
  <si>
    <t>产品单价</t>
  </si>
  <si>
    <t>汇率</t>
  </si>
  <si>
    <t>3 stars</t>
  </si>
  <si>
    <t>产品转化率</t>
  </si>
  <si>
    <t>配送费</t>
  </si>
  <si>
    <t>2 stars</t>
  </si>
  <si>
    <t>利润率</t>
  </si>
  <si>
    <t>最低售价</t>
  </si>
  <si>
    <t>1 stars</t>
  </si>
  <si>
    <t>ACOS</t>
  </si>
  <si>
    <t>当前售价</t>
  </si>
  <si>
    <t>当前分数</t>
  </si>
  <si>
    <t>利润</t>
  </si>
  <si>
    <t>目标分数</t>
  </si>
  <si>
    <t>需补五星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</si>
</sst>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  <numFmt numFmtId="177" formatCode="\$#,##0.00;\-\$#,##0.00"/>
    <numFmt numFmtId="178" formatCode="0.0%"/>
    <numFmt numFmtId="179" formatCode="0.0"/>
  </numFmts>
  <fonts count="27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20"/>
      <color theme="5"/>
      <name val="微软雅黑"/>
      <charset val="134"/>
    </font>
    <font>
      <sz val="20"/>
      <color theme="4" tint="-0.249977111117893"/>
      <name val="微软雅黑"/>
      <charset val="134"/>
    </font>
    <font>
      <b/>
      <sz val="14"/>
      <color theme="1"/>
      <name val="等线"/>
      <charset val="134"/>
    </font>
    <font>
      <sz val="20"/>
      <color theme="0"/>
      <name val="微软雅黑"/>
      <charset val="134"/>
    </font>
    <font>
      <sz val="11"/>
      <color theme="0" tint="-0.0499893185216834"/>
      <name val="等线"/>
      <charset val="134"/>
    </font>
    <font>
      <sz val="11"/>
      <color theme="0" tint="-0.14999847407452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theme="0" tint="-0.14996795556505"/>
      </left>
      <right style="double">
        <color theme="0" tint="-0.14996795556505"/>
      </right>
      <top style="double">
        <color theme="0" tint="-0.14996795556505"/>
      </top>
      <bottom style="double">
        <color theme="0" tint="-0.14996795556505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theme="0" tint="-0.149937437055574"/>
      </left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/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double">
        <color theme="0" tint="-0.149937437055574"/>
      </right>
      <top style="double">
        <color theme="0" tint="-0.149937437055574"/>
      </top>
      <bottom style="double">
        <color theme="0" tint="-0.14993743705557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7" applyNumberFormat="0" applyAlignment="0" applyProtection="0">
      <alignment vertical="center"/>
    </xf>
    <xf numFmtId="0" fontId="17" fillId="9" borderId="18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10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0" xfId="0" applyFont="1" applyFill="1">
      <alignment vertical="center"/>
    </xf>
    <xf numFmtId="0" fontId="2" fillId="3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176" fontId="1" fillId="5" borderId="6" xfId="0" applyNumberFormat="1" applyFont="1" applyFill="1" applyBorder="1" applyProtection="1">
      <alignment vertical="center"/>
      <protection locked="0"/>
    </xf>
    <xf numFmtId="177" fontId="1" fillId="5" borderId="6" xfId="0" applyNumberFormat="1" applyFont="1" applyFill="1" applyBorder="1" applyProtection="1">
      <alignment vertical="center"/>
      <protection locked="0"/>
    </xf>
    <xf numFmtId="10" fontId="1" fillId="5" borderId="6" xfId="3" applyNumberFormat="1" applyFont="1" applyFill="1" applyBorder="1" applyProtection="1">
      <alignment vertical="center"/>
      <protection locked="0"/>
    </xf>
    <xf numFmtId="177" fontId="1" fillId="2" borderId="0" xfId="0" applyNumberFormat="1" applyFont="1" applyFill="1">
      <alignment vertical="center"/>
    </xf>
    <xf numFmtId="10" fontId="1" fillId="2" borderId="0" xfId="3" applyNumberFormat="1" applyFont="1" applyFill="1" applyBorder="1" applyAlignment="1" applyProtection="1">
      <alignment horizontal="right" vertical="center"/>
    </xf>
    <xf numFmtId="0" fontId="4" fillId="2" borderId="0" xfId="0" applyFont="1" applyFill="1" applyAlignment="1">
      <alignment horizontal="center" vertical="center"/>
    </xf>
    <xf numFmtId="176" fontId="1" fillId="2" borderId="0" xfId="0" applyNumberFormat="1" applyFont="1" applyFill="1">
      <alignment vertical="center"/>
    </xf>
    <xf numFmtId="0" fontId="4" fillId="2" borderId="4" xfId="0" applyFont="1" applyFill="1" applyBorder="1" applyAlignment="1">
      <alignment horizontal="center" vertical="center"/>
    </xf>
    <xf numFmtId="178" fontId="1" fillId="2" borderId="0" xfId="3" applyNumberFormat="1" applyFont="1" applyFill="1" applyBorder="1" applyProtection="1">
      <alignment vertical="center"/>
    </xf>
    <xf numFmtId="0" fontId="1" fillId="2" borderId="7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5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5" borderId="8" xfId="0" applyFont="1" applyFill="1" applyBorder="1" applyAlignment="1" applyProtection="1">
      <alignment horizontal="right"/>
      <protection locked="0"/>
    </xf>
    <xf numFmtId="0" fontId="1" fillId="5" borderId="9" xfId="0" applyFont="1" applyFill="1" applyBorder="1" applyAlignment="1" applyProtection="1">
      <alignment horizontal="right"/>
      <protection locked="0"/>
    </xf>
    <xf numFmtId="179" fontId="6" fillId="2" borderId="0" xfId="0" applyNumberFormat="1" applyFont="1" applyFill="1" applyAlignment="1">
      <alignment horizontal="right" vertical="center"/>
    </xf>
    <xf numFmtId="0" fontId="6" fillId="2" borderId="0" xfId="0" applyFont="1" applyFill="1">
      <alignment vertical="center"/>
    </xf>
    <xf numFmtId="1" fontId="1" fillId="2" borderId="0" xfId="0" applyNumberFormat="1" applyFont="1" applyFill="1" applyAlignment="1">
      <alignment horizontal="right"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5" borderId="12" xfId="0" applyFont="1" applyFill="1" applyBorder="1" applyAlignment="1" applyProtection="1">
      <alignment horizontal="right"/>
      <protection locked="0"/>
    </xf>
    <xf numFmtId="179" fontId="1" fillId="2" borderId="0" xfId="0" applyNumberFormat="1" applyFont="1" applyFill="1" applyAlignment="1">
      <alignment horizontal="right" vertical="center"/>
    </xf>
    <xf numFmtId="0" fontId="1" fillId="5" borderId="6" xfId="0" applyFont="1" applyFill="1" applyBorder="1" applyProtection="1">
      <alignment vertical="center"/>
      <protection locked="0"/>
    </xf>
    <xf numFmtId="0" fontId="1" fillId="2" borderId="13" xfId="0" applyFont="1" applyFill="1" applyBorder="1">
      <alignment vertical="center"/>
    </xf>
    <xf numFmtId="0" fontId="7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4:R22"/>
  <sheetViews>
    <sheetView showGridLines="0" tabSelected="1" zoomScale="115" zoomScaleNormal="115" workbookViewId="0">
      <selection activeCell="L13" sqref="L13:Q13"/>
    </sheetView>
  </sheetViews>
  <sheetFormatPr defaultColWidth="9" defaultRowHeight="13.5"/>
  <cols>
    <col min="1" max="2" width="9" style="1"/>
    <col min="3" max="3" width="10.3333333333333" style="1" customWidth="1"/>
    <col min="4" max="4" width="19.8333333333333" style="1" customWidth="1"/>
    <col min="5" max="6" width="3.66666666666667" style="1" customWidth="1"/>
    <col min="7" max="7" width="14.1666666666667" style="1" customWidth="1"/>
    <col min="8" max="8" width="14" style="1" customWidth="1"/>
    <col min="9" max="9" width="3.66666666666667" style="1" customWidth="1"/>
    <col min="10" max="10" width="4" style="1" customWidth="1"/>
    <col min="11" max="11" width="8.66666666666667" style="1" customWidth="1"/>
    <col min="12" max="16" width="2.66666666666667" style="1" customWidth="1"/>
    <col min="17" max="17" width="8.5" style="1" customWidth="1"/>
    <col min="18" max="16384" width="9" style="1"/>
  </cols>
  <sheetData>
    <row r="4" ht="14.25"/>
    <row r="5" spans="2:18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0"/>
    </row>
    <row r="6" spans="2:18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1"/>
    </row>
    <row r="7" ht="28.5" spans="2:18">
      <c r="B7" s="4"/>
      <c r="C7" s="6" t="s">
        <v>0</v>
      </c>
      <c r="D7" s="6"/>
      <c r="E7" s="5"/>
      <c r="F7" s="7"/>
      <c r="G7" s="8" t="s">
        <v>1</v>
      </c>
      <c r="H7" s="8"/>
      <c r="I7" s="5"/>
      <c r="J7" s="7"/>
      <c r="K7" s="22" t="s">
        <v>2</v>
      </c>
      <c r="L7" s="23"/>
      <c r="M7" s="23"/>
      <c r="N7" s="23"/>
      <c r="O7" s="23"/>
      <c r="P7" s="23"/>
      <c r="Q7" s="23"/>
      <c r="R7" s="31"/>
    </row>
    <row r="8" ht="5.25" customHeight="1" spans="2:18">
      <c r="B8" s="4"/>
      <c r="C8" s="9"/>
      <c r="D8" s="9"/>
      <c r="E8" s="5"/>
      <c r="F8" s="7"/>
      <c r="G8" s="10"/>
      <c r="H8" s="5"/>
      <c r="I8" s="5"/>
      <c r="J8" s="7"/>
      <c r="K8" s="24"/>
      <c r="L8" s="5"/>
      <c r="M8" s="5"/>
      <c r="N8" s="5"/>
      <c r="O8" s="5"/>
      <c r="P8" s="5"/>
      <c r="Q8" s="5"/>
      <c r="R8" s="31"/>
    </row>
    <row r="9" ht="15" spans="2:18">
      <c r="B9" s="4"/>
      <c r="C9" s="5" t="s">
        <v>3</v>
      </c>
      <c r="D9" s="11"/>
      <c r="E9" s="5"/>
      <c r="F9" s="7"/>
      <c r="G9" s="5" t="s">
        <v>4</v>
      </c>
      <c r="H9" s="11">
        <v>500</v>
      </c>
      <c r="I9" s="5"/>
      <c r="J9" s="7"/>
      <c r="K9" s="5" t="s">
        <v>5</v>
      </c>
      <c r="L9" s="25">
        <v>44</v>
      </c>
      <c r="M9" s="26"/>
      <c r="N9" s="26"/>
      <c r="O9" s="26"/>
      <c r="P9" s="26"/>
      <c r="Q9" s="32"/>
      <c r="R9" s="31"/>
    </row>
    <row r="10" ht="15" spans="2:18">
      <c r="B10" s="4"/>
      <c r="C10" s="5" t="s">
        <v>6</v>
      </c>
      <c r="D10" s="12">
        <v>0.5</v>
      </c>
      <c r="E10" s="5"/>
      <c r="F10" s="7"/>
      <c r="G10" s="5" t="s">
        <v>7</v>
      </c>
      <c r="H10" s="11">
        <v>125</v>
      </c>
      <c r="I10" s="5"/>
      <c r="J10" s="7"/>
      <c r="K10" s="5" t="s">
        <v>8</v>
      </c>
      <c r="L10" s="25">
        <v>14</v>
      </c>
      <c r="M10" s="26"/>
      <c r="N10" s="26"/>
      <c r="O10" s="26"/>
      <c r="P10" s="26"/>
      <c r="Q10" s="32"/>
      <c r="R10" s="31"/>
    </row>
    <row r="11" ht="15" spans="2:18">
      <c r="B11" s="4"/>
      <c r="C11" s="5" t="s">
        <v>9</v>
      </c>
      <c r="D11" s="12">
        <v>8.99</v>
      </c>
      <c r="E11" s="5"/>
      <c r="F11" s="7"/>
      <c r="G11" s="5" t="s">
        <v>10</v>
      </c>
      <c r="H11" s="11">
        <v>6.9</v>
      </c>
      <c r="I11" s="5"/>
      <c r="J11" s="7"/>
      <c r="K11" s="5" t="s">
        <v>11</v>
      </c>
      <c r="L11" s="25">
        <v>11</v>
      </c>
      <c r="M11" s="26"/>
      <c r="N11" s="26"/>
      <c r="O11" s="26"/>
      <c r="P11" s="26"/>
      <c r="Q11" s="32"/>
      <c r="R11" s="31"/>
    </row>
    <row r="12" spans="2:18">
      <c r="B12" s="4"/>
      <c r="C12" s="5" t="s">
        <v>12</v>
      </c>
      <c r="D12" s="13">
        <v>0.2</v>
      </c>
      <c r="E12" s="5"/>
      <c r="F12" s="7"/>
      <c r="G12" s="5" t="s">
        <v>13</v>
      </c>
      <c r="H12" s="12">
        <v>22</v>
      </c>
      <c r="I12" s="5"/>
      <c r="J12" s="7"/>
      <c r="K12" s="5" t="s">
        <v>14</v>
      </c>
      <c r="L12" s="25">
        <v>2</v>
      </c>
      <c r="M12" s="26"/>
      <c r="N12" s="26"/>
      <c r="O12" s="26"/>
      <c r="P12" s="26"/>
      <c r="Q12" s="32"/>
      <c r="R12" s="31"/>
    </row>
    <row r="13" ht="15" spans="2:18">
      <c r="B13" s="4"/>
      <c r="C13" s="5" t="s">
        <v>15</v>
      </c>
      <c r="D13" s="13">
        <v>0.3</v>
      </c>
      <c r="E13" s="5"/>
      <c r="F13" s="7"/>
      <c r="G13" s="5" t="s">
        <v>16</v>
      </c>
      <c r="H13" s="14">
        <f>((H9+H10)/H11+H12)/0.85</f>
        <v>132.446717817562</v>
      </c>
      <c r="I13" s="5"/>
      <c r="J13" s="7"/>
      <c r="K13" s="5" t="s">
        <v>17</v>
      </c>
      <c r="L13" s="25">
        <v>13</v>
      </c>
      <c r="M13" s="26"/>
      <c r="N13" s="26"/>
      <c r="O13" s="26"/>
      <c r="P13" s="26"/>
      <c r="Q13" s="32"/>
      <c r="R13" s="31"/>
    </row>
    <row r="14" ht="15" spans="2:18">
      <c r="B14" s="4"/>
      <c r="C14" s="5" t="s">
        <v>18</v>
      </c>
      <c r="D14" s="15">
        <f>D10/D11/D12</f>
        <v>0.278086763070078</v>
      </c>
      <c r="E14" s="5"/>
      <c r="F14" s="7"/>
      <c r="G14" s="5" t="s">
        <v>19</v>
      </c>
      <c r="H14" s="12">
        <v>299</v>
      </c>
      <c r="I14" s="5"/>
      <c r="J14" s="7"/>
      <c r="K14" s="5" t="s">
        <v>20</v>
      </c>
      <c r="L14" s="27">
        <f t="shared" ref="L14:L15" si="0">Q14</f>
        <v>3.88095238095238</v>
      </c>
      <c r="M14" s="27">
        <f>Q14</f>
        <v>3.88095238095238</v>
      </c>
      <c r="N14" s="27">
        <f>Q14</f>
        <v>3.88095238095238</v>
      </c>
      <c r="O14" s="27">
        <f>Q14</f>
        <v>3.88095238095238</v>
      </c>
      <c r="P14" s="27">
        <f>Q14</f>
        <v>3.88095238095238</v>
      </c>
      <c r="Q14" s="33">
        <f>IFERROR((L9*5+L10*4+L11*3+L12*2+L13*1)/SUM(L9:Q13),"数据有误")</f>
        <v>3.88095238095238</v>
      </c>
      <c r="R14" s="31"/>
    </row>
    <row r="15" ht="14.25" customHeight="1" spans="2:18">
      <c r="B15" s="4"/>
      <c r="C15" s="5"/>
      <c r="D15" s="16" t="str">
        <f>IF(D14&lt;=D13,"推荐","不推荐")</f>
        <v>推荐</v>
      </c>
      <c r="E15" s="5"/>
      <c r="F15" s="7"/>
      <c r="G15" s="5" t="s">
        <v>21</v>
      </c>
      <c r="H15" s="17">
        <f>(H14*0.85-H12)*H11-H10-H9</f>
        <v>976.835</v>
      </c>
      <c r="I15" s="5"/>
      <c r="J15" s="7"/>
      <c r="K15" s="5" t="s">
        <v>22</v>
      </c>
      <c r="L15" s="28">
        <f t="shared" si="0"/>
        <v>4.5</v>
      </c>
      <c r="M15" s="27">
        <f>Q15</f>
        <v>4.5</v>
      </c>
      <c r="N15" s="28">
        <f>Q15</f>
        <v>4.5</v>
      </c>
      <c r="O15" s="28">
        <f>Q15</f>
        <v>4.5</v>
      </c>
      <c r="P15" s="28">
        <f>Q15</f>
        <v>4.5</v>
      </c>
      <c r="Q15" s="34">
        <v>4.5</v>
      </c>
      <c r="R15" s="31"/>
    </row>
    <row r="16" ht="15" spans="2:18">
      <c r="B16" s="4"/>
      <c r="C16" s="5"/>
      <c r="D16" s="18"/>
      <c r="E16" s="5"/>
      <c r="F16" s="7"/>
      <c r="G16" s="5" t="s">
        <v>15</v>
      </c>
      <c r="H16" s="19">
        <f>H15/H11/H14</f>
        <v>0.473479230284523</v>
      </c>
      <c r="I16" s="5"/>
      <c r="J16" s="7"/>
      <c r="K16" s="5" t="s">
        <v>23</v>
      </c>
      <c r="L16" s="29"/>
      <c r="M16" s="29"/>
      <c r="N16" s="29"/>
      <c r="O16" s="29"/>
      <c r="P16" s="29"/>
      <c r="Q16" s="29">
        <f>IF(Q15&gt;Q14,IFERROR((Q15*SUM(L10:L13)-L10*4-L11*3-L12*2-L13*1)/(5-Q15)-L9,"数据有误"),"不需要")</f>
        <v>104</v>
      </c>
      <c r="R16" s="31"/>
    </row>
    <row r="17" spans="2:18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1"/>
    </row>
    <row r="18" spans="2:18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31"/>
    </row>
    <row r="19" spans="2:18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31"/>
    </row>
    <row r="20" ht="14.25" spans="2:18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5"/>
    </row>
    <row r="22" spans="18:18">
      <c r="R22" s="36"/>
    </row>
  </sheetData>
  <mergeCells count="6">
    <mergeCell ref="L9:Q9"/>
    <mergeCell ref="L10:Q10"/>
    <mergeCell ref="L11:Q11"/>
    <mergeCell ref="L12:Q12"/>
    <mergeCell ref="L13:Q13"/>
    <mergeCell ref="D15:D16"/>
  </mergeCells>
  <conditionalFormatting sqref="L9">
    <cfRule type="dataBar" priority="19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{577b6530-5637-4cd9-8984-06f02ddc416b}</x14:id>
        </ext>
      </extLst>
    </cfRule>
    <cfRule type="dataBar" priority="20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{3cb95c93-a566-4aab-8b4a-9f4425768fe3}</x14:id>
        </ext>
      </extLst>
    </cfRule>
  </conditionalFormatting>
  <conditionalFormatting sqref="D15">
    <cfRule type="cellIs" dxfId="0" priority="41" operator="equal">
      <formula>"不推荐"</formula>
    </cfRule>
    <cfRule type="cellIs" dxfId="1" priority="42" operator="equal">
      <formula>"推荐"</formula>
    </cfRule>
  </conditionalFormatting>
  <conditionalFormatting sqref="Q16">
    <cfRule type="cellIs" dxfId="2" priority="4" operator="equal">
      <formula>"不需要"</formula>
    </cfRule>
  </conditionalFormatting>
  <conditionalFormatting sqref="L10:L13">
    <cfRule type="dataBar" priority="2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{b5a56dac-ee81-480b-b96d-1ba9b351d90a}</x14:id>
        </ext>
      </extLst>
    </cfRule>
    <cfRule type="dataBar" priority="3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{23c38c97-b06e-4fa3-a318-cbef48e04bb6}</x14:id>
        </ext>
      </extLst>
    </cfRule>
  </conditionalFormatting>
  <conditionalFormatting sqref="Q10:Q13">
    <cfRule type="containsText" dxfId="3" priority="1" operator="between" text="有误">
      <formula>NOT(ISERROR(SEARCH("有误",Q10)))</formula>
    </cfRule>
  </conditionalFormatting>
  <conditionalFormatting sqref="Q1:Q9 Q14:Q1048576">
    <cfRule type="containsText" dxfId="3" priority="5" operator="between" text="有误">
      <formula>NOT(ISERROR(SEARCH("有误",Q1)))</formula>
    </cfRule>
  </conditionalFormatting>
  <conditionalFormatting sqref="L14:Q16">
    <cfRule type="containsText" dxfId="4" priority="17" operator="between" text="检查">
      <formula>NOT(ISERROR(SEARCH("检查",L14)))</formula>
    </cfRule>
  </conditionalFormatting>
  <pageMargins left="0.7" right="0.7" top="0.75" bottom="0.75" header="0.3" footer="0.3"/>
  <pageSetup paperSize="256" orientation="portrait" horizontalDpi="203" verticalDpi="203"/>
  <headerFooter/>
  <ignoredErrors>
    <ignoredError sqref="L10" listDataValidation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7b6530-5637-4cd9-8984-06f02ddc416b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3cb95c93-a566-4aab-8b4a-9f4425768fe3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iconSet" priority="14" id="{2fc41baa-a6f1-43e8-b625-cefa72ecd711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14:cfRule type="iconSet" priority="15" id="{60b0a4f6-eca3-41ab-ad0b-180ba6808b4a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16" id="{4dde8546-fc6e-446e-94d1-e9f9d2072b48}">
            <x14:iconSet iconSet="3TrafficLights1" custom="1">
              <x14:cfvo type="percent">
                <xm:f>0</xm:f>
              </x14:cfvo>
              <x14:cfvo type="percent">
                <xm:f>33</xm:f>
              </x14:cfvo>
              <x14:cfvo type="num">
                <xm:f>$Q$14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9" id="{6a0ff3e4-cfdf-4752-9f60-51cf410d7637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10" id="{06799b00-b08a-401d-ac66-0a9fee329d14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</xm:sqref>
        </x14:conditionalFormatting>
        <x14:conditionalFormatting xmlns:xm="http://schemas.microsoft.com/office/excel/2006/main">
          <x14:cfRule type="iconSet" priority="11" id="{d9ab5b90-e7ec-4f75-a426-4dad0cab70f0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M15</xm:sqref>
        </x14:conditionalFormatting>
        <x14:conditionalFormatting xmlns:xm="http://schemas.microsoft.com/office/excel/2006/main">
          <x14:cfRule type="dataBar" id="{b5a56dac-ee81-480b-b96d-1ba9b351d90a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23c38c97-b06e-4fa3-a318-cbef48e04bb6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L10:L13</xm:sqref>
        </x14:conditionalFormatting>
        <x14:conditionalFormatting xmlns:xm="http://schemas.microsoft.com/office/excel/2006/main">
          <x14:cfRule type="iconSet" priority="13" id="{f263c216-a930-4515-b309-8f6fe7cf3699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L14:L15</xm:sqref>
        </x14:conditionalFormatting>
        <x14:conditionalFormatting xmlns:xm="http://schemas.microsoft.com/office/excel/2006/main">
          <x14:cfRule type="iconSet" priority="12" id="{d32275b2-6639-4943-8642-d095d52c47d7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M14:M15</xm:sqref>
        </x14:conditionalFormatting>
        <x14:conditionalFormatting xmlns:xm="http://schemas.microsoft.com/office/excel/2006/main">
          <x14:cfRule type="iconSet" priority="8" id="{017dc790-6447-4adb-8936-eeadd8b8696e}">
            <x14:iconSet iconSet="3Stars">
              <x14:cfvo type="percent">
                <xm:f>0</xm:f>
              </x14:cfvo>
              <x14:cfvo type="num">
                <xm:f>2.29999999999999</xm:f>
              </x14:cfvo>
              <x14:cfvo type="num">
                <xm:f>2.7</xm:f>
              </x14:cfvo>
            </x14:iconSet>
          </x14:cfRule>
          <xm:sqref>N14:N15</xm:sqref>
        </x14:conditionalFormatting>
        <x14:conditionalFormatting xmlns:xm="http://schemas.microsoft.com/office/excel/2006/main">
          <x14:cfRule type="iconSet" priority="7" id="{a3d8f1ae-1d81-4115-a08c-79ed9c5cf140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O14:O15</xm:sqref>
        </x14:conditionalFormatting>
        <x14:conditionalFormatting xmlns:xm="http://schemas.microsoft.com/office/excel/2006/main">
          <x14:cfRule type="iconSet" priority="6" id="{674446d2-625a-4a57-b055-20a09e8464db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P14:P15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WPS_1664800949</cp:lastModifiedBy>
  <dcterms:created xsi:type="dcterms:W3CDTF">2018-08-15T03:21:00Z</dcterms:created>
  <dcterms:modified xsi:type="dcterms:W3CDTF">2025-04-01T08:09:52Z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DC516417B7764B6A992FCA8440C98ADE_13</vt:lpwstr>
  </property>
  <property fmtid="{D5CDD505-2E9C-101B-9397-08002B2CF9AE}" pid="3" name="KSOProductBuildVer">
    <vt:lpwstr>2052-12.1.0.20305</vt:lpwstr>
  </property>
</Properties>
</file>