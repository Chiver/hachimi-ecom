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市场调研" sheetId="8" r:id="rId1"/>
    <sheet name="Sheet1" sheetId="14" r:id="rId2"/>
    <sheet name="。"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28A9600B049E4895B3C21AF69F307805"/>
        <xdr:cNvPicPr>
          <a:picLocks noChangeAspect="1"/>
        </xdr:cNvPicPr>
      </xdr:nvPicPr>
      <xdr:blipFill>
        <a:blip r:embed="rId1"/>
        <a:stretch>
          <a:fillRect/>
        </a:stretch>
      </xdr:blipFill>
      <xdr:spPr>
        <a:xfrm>
          <a:off x="66675" y="66675"/>
          <a:ext cx="3733800" cy="4905375"/>
        </a:xfrm>
        <a:prstGeom prst="rect">
          <a:avLst/>
        </a:prstGeom>
        <a:noFill/>
        <a:ln w="9525">
          <a:noFill/>
        </a:ln>
      </xdr:spPr>
    </xdr:pic>
  </etc:cellImage>
</etc:cellImages>
</file>

<file path=xl/comments1.xml><?xml version="1.0" encoding="utf-8"?>
<comments xmlns="http://schemas.openxmlformats.org/spreadsheetml/2006/main">
  <authors>
    <author>user</author>
  </authors>
  <commentList>
    <comment ref="A2" authorId="0">
      <text>
        <r>
          <rPr>
            <sz val="9"/>
            <rFont val="宋体"/>
            <charset val="134"/>
          </rPr>
          <t>必填，选择生成调研还是竞品分析</t>
        </r>
      </text>
    </comment>
    <comment ref="C2" authorId="0">
      <text>
        <r>
          <rPr>
            <sz val="9"/>
            <rFont val="宋体"/>
            <charset val="134"/>
          </rPr>
          <t>建议最好是用本土最核心的关键词</t>
        </r>
      </text>
    </comment>
    <comment ref="A3" authorId="0">
      <text>
        <r>
          <rPr>
            <sz val="9"/>
            <rFont val="宋体"/>
            <charset val="134"/>
          </rPr>
          <t>竞品分析下选择具体任务</t>
        </r>
      </text>
    </comment>
  </commentList>
</comments>
</file>

<file path=xl/sharedStrings.xml><?xml version="1.0" encoding="utf-8"?>
<sst xmlns="http://schemas.openxmlformats.org/spreadsheetml/2006/main" count="656" uniqueCount="621">
  <si>
    <t>调研报告Prompts</t>
  </si>
  <si>
    <t>市场调研Prompts</t>
  </si>
  <si>
    <t>受众人群</t>
  </si>
  <si>
    <t>红人开发</t>
  </si>
  <si>
    <t>竞品功能对比</t>
  </si>
  <si>
    <t>文案能力分析</t>
  </si>
  <si>
    <t>*任务类型</t>
  </si>
  <si>
    <t>🔍微观竞品分析</t>
  </si>
  <si>
    <t>*商品名称</t>
  </si>
  <si>
    <t>portable power station</t>
  </si>
  <si>
    <t>·</t>
  </si>
  <si>
    <t>🆚竞品功能对比</t>
  </si>
  <si>
    <t>*销售站点</t>
  </si>
  <si>
    <t>🇺🇸美国</t>
  </si>
  <si>
    <t>关键词</t>
  </si>
  <si>
    <t>portable power station, solar generator, power generator, outdoor generator, electric generator</t>
  </si>
  <si>
    <t>B0C897FFCJ</t>
  </si>
  <si>
    <t>Portable Power Station, 300Wh Backup Lithium Battery,110V/300W Pure Sine Wave AC Outlet for Outdoors Camping Travel Hunting Blackout</t>
  </si>
  <si>
    <t>[PORTABLE AND POWERFUL]: The Dr. Prince Portable Power Station is MSDS, UN38.3 certified, with portable dimensions of 9 x 5.8 x 7.9 inches and weighs only 6.8 pounds, yet with 299wh capacity and 300W AC output, the Dr. Prince Portable Power Station provides enough power to charge your cell phone, laptop, camera, Gopro, drone and more. Designed with 7 output ports to charge multiple devices at once, it is an ideal emergency battery, outdoor and camping backup.
[110V Pure Sine Wave and Multi-Port]: Built-in 1 x 110V Pure Sine Wave AC outlet ensures that the solar power generator (without solar panel) works quieter, more efficiently and stably, which protects your sensitive devices such as laptops from damage.2 x Regulated DC Outputs (12V/24V) provide stable power output for DC appliances, such as a mini fridge or car vacuum cleaner. Quick Charger USB (5V/3A max) and USB-C port (30W) for fast charging of cell phones and tablets.
[Tips for protecting battery station]: 1. Fully charge the electricity power station before using 2. If it is not used for a long time, the stored battery should be recharged every 3-6 months, and it is appropriate to keep it at 40%-70%. Recharging the battery before it is completely exhausted 3. The battery should be stored in a dry environment at 40°F~100°F (4°C~35°C) or in moisture-proof packaging. Keep away from heat sources, and don’t place it in direct sunlight
[Note]: 1. This 300w portable generator only support lower than 300Watt Hour device, it may not support large capacity product（Electric Grill/ Induction cooker/ Microwave/ Refrigerator) and more 2. It is normal when you turn on the ac output button, the red triangle shows up for checking AC output and will disappear in 3-5 second.
[Power is supplied by a variety of charging methods]: 1,The solar generator can be charged with any compatible 12-25V solar panel (panels not included), and the built-in controller speeds up battery charging.2,Portable power stations with AC outlets can be charged by plugging into a wall outlet.3,Portable AC battery packs can be charged by a 12V outlet in a vehicle.4,Portable battery packs can be charged by a 12V outlet in a car.5,Portable battery packs can be charged by a 12V outlet in a car.6,Portable battery packs are designed for use in a car. Maximum charging rate is 100W and can be fully charged in 4 hours.</t>
  </si>
  <si>
    <t>B0B286D2V7</t>
  </si>
  <si>
    <t>Portable Power Station 300W (Peak 600W), GRECELL 288Wh Solar Generator with 60W USB-C PD Output, 110V Pure Sine Wave AC Outlet Backup Lithium Battery for Outdoors Camping Travel Hunting Home Blackout</t>
  </si>
  <si>
    <t>【288Wh Capacity, 330W Output】330W (600W surge) pure sine wave supports most laptops, tablets, phones, lights, fans, CPAP medical devices, projectors, TV, mini-refrigerator, speaker, camera (rated power less than 330W). 288Wh huge capacity but light weight makes it compact and perfect for camping, car trips and other family outings.
【Upgraded Battery Management System】We promise to adopt quality lithium batteries since we found that the use of lower-quality batteries could pose a serious risk to life and should become a crucial part of deciding what to buy. Upgraded BMS provides built-in overload, overcharge (automatically stops charging when the device is full), and short-circuit protection. Dual built-in silent cooling fans help to keep the station's temperature safe.
【USB-C PD 60W, USB-A QC 18W】PD60W fast charging makes it possible to charge Android and iPhone, tablets, and laptops quickly, more than twice as fast as other standard USB-C output, and ultra-high efficiency in emergencies. All USB-A ports are quick-charge 3.0 18W, providing higher efficiency for each device.
【Power 8 Device simultaneously】Equipped with 1*AC output, 1*USB-C PD 60W output, 3*USB-A QC3.0 18W outputs, 1*Car port, 2*DC outputs, GRECELL solar generator can power eight devices at the same time (as long as they draw less than 330W combined). Each switch can control each output module.
【3 Ways To Recharge, Built-in MPPT Controller】GRECELL power station, can be charged via an AC outlet, a solar panel, or a car outlet. Built-in MPPT (Maximum Power Point Tracking Control) so it can extract the maximum power from the solar panel, optimizing the utilization of variable power sources like a solar generator.</t>
  </si>
  <si>
    <t>B0CGHTGTWZ</t>
  </si>
  <si>
    <t>300W Portable Power Station, 300Wh/81000mAh Laptop Power Bank with AC Outlet, Dual Way 65W PD/USB-C Port, Laptop Charger Battery Pack Power Supply for Outdoor Camping Home Emergency Outage</t>
  </si>
  <si>
    <t>【RAPID RECHARGE FROM 0-60% WITHIN 1 HOUR】- With the DC 120W and PD 65W plugged in, the ac power bank supports up to 185W input rate. Get it recharged before camping or a trip, it will be prepared in less than one hour, allowing your travel to go as you please.
【2 PURE SINE WAVE AC 300W OUTPUT】- The rechargeable power bank with 300W ac outlet can be used to charge and power a wide range of devices(Rated power less than 300W), including laptops, mini refrigerators, fans, fish finders, cpap, small heater, small appliances and other camping tools. It serves as your emergency power supply and backup battery, allowing you to keep your electronic devices charged and running in an emergency.
【PD 65W FAST CHARGING PORT】- PD 65W fast charging, make your laptop power bank ready quickly, and can also charge your phones, tablets, laptops, and other electronic devices in a short time. The charge speed and input power are twice as fast as using a USB-C/Type-C port.
【9 OUTPUT MEET YOUR NEED】- The battery pack is equipped with 2* USB ports, 1* QC 3.0 port, 1*PD 65W port, 1*PD 18W port, 2*AC 300W power outlet, and 2*DC output. It could provide you with electricity for multiple devices at the same time, making your camp life more convenient. (Note: If you want to charge faster, we recommend that you prioritize using the AC or PD port for charging.)
【4 RECHARGING WAYS】- Powdeom power bank with outlet can be recharged by a wall outlet, PD port, or 60w solar panel, even wall outlet and PD port charging together. No matter whether you are outdoors camping, taking a trip, or at home resting, it can be charged and fully used, keeping you stay connected to unlimited energy.
【MULTIPLE PROTECTION MECHANISMS】- We never compromise on the safety of this battery bank, the built-in Battery Management System ( BMS ) could protect it from over-temperature, over-voltage, over-power, over-current, and short circuits no matter the weather is cold or hot, it is outdoor or indoor.
【CAMPACT DESIGN &amp; 3 MODES LED LIGHT】- The 7.7lbs lightweight portable laptop charger is portable for men, women, and even kids. The soft leather handle design could keep your hand comfortable and makes the station easy to carry. This portable generator is built with 3 lighting modes (bright light, flash, and SOS mode) to meet your different needs. In lighting mode, it can last up to 50 hours. When you go out camping or experience power outages, this power supply can always help you out.
【WHAT YOU GET】- Powdeom 300W Portable Power Station, DC adapter, manual. Powdeom provides our dear customers with warranty of 12 months from the date of purchase and friendly customer service.</t>
  </si>
  <si>
    <t>B08F7XNWW4</t>
  </si>
  <si>
    <t>300W Portable Power Station, 299Wh/80818mAh Solar Generator, Regulated DC Output Backup Battery with Pass-Through Charging AC Outlet, Pure Sine Wave, LED Light Power Station for CPAP Camping</t>
  </si>
  <si>
    <t>More Powerful In Less Weight : 299Wh/80818mAh portable power station weights only 7lb, powerful enough to charge smartphones (2000mah) 40 times, laptops (56wh) 4-5 times, mini fridge(45W) about 6-18 hours, CPAP 2-4 nights(using DC converter). Ideal for camping, home emergency, travel, fishing, van life.
Multiple Outputs For Choice: This solar powered generator features 1*pure sine wave 110v AC outlet (300w rated, 600w peak); 1*car port (12V/10A, 120w max); Built-in QC 3.0 USB and USB-C output(9V/2A, 18w max) can charge your small digital devices effectively; Fast charger on the top is convenient to charge your phone any where when you forget to bring usb cable (*All ports support pass-through charging*)
Smart 12V Regulated Power: Progeny P66 300W power station was the 1st to offer regulated 12v outout comparing to most similar power staions on the market, 12V regulated power can keep you trouble-free from the devices shutting down when the battery is low (like electric cooler, freezer, CPAP)
Charge It Anywhere: Built-in professional MPPT technology, this solar generator provides faster solar recharge rates by Progeny 120W solar panel (sold separately) about 6-7 hrs; Recharge from a carport within 7-8 hrs while on-the-road/off-road; It also can be full charged by AC wall outlet within 6-7 hrs
Safe And Reliable: P66 portable battery pack use battery management system (BMS) to improve battery utilization, extend battery life through short protection, overcurrent protection, overvoltage protection, overload protection, and overheating protection; With Pure Sine Wave charges your devices more stable and safety without damage and reduces audible electrical noise</t>
  </si>
  <si>
    <t>从后面</t>
  </si>
  <si>
    <t>from behind</t>
  </si>
  <si>
    <t>深色背景</t>
  </si>
  <si>
    <t>dark background</t>
  </si>
  <si>
    <r>
      <rPr>
        <sz val="14"/>
        <color theme="0"/>
        <rFont val="宋体-简"/>
        <charset val="134"/>
      </rPr>
      <t>低混乱值</t>
    </r>
    <r>
      <rPr>
        <sz val="14"/>
        <color theme="0"/>
        <rFont val="Helvetica Neue"/>
        <charset val="134"/>
      </rPr>
      <t>1</t>
    </r>
  </si>
  <si>
    <t>—chaos 1</t>
  </si>
  <si>
    <r>
      <rPr>
        <sz val="14"/>
        <color theme="0"/>
        <rFont val="宋体-简"/>
        <charset val="134"/>
      </rPr>
      <t>爱尔尼斯特</t>
    </r>
    <r>
      <rPr>
        <sz val="14"/>
        <color theme="0"/>
        <rFont val="Helvetica Neue"/>
        <charset val="134"/>
      </rPr>
      <t>·</t>
    </r>
    <r>
      <rPr>
        <sz val="14"/>
        <color theme="0"/>
        <rFont val="宋体-简"/>
        <charset val="134"/>
      </rPr>
      <t>穆</t>
    </r>
  </si>
  <si>
    <t>Ernesto Michahelles</t>
  </si>
  <si>
    <t>巴洛克风格</t>
  </si>
  <si>
    <t>Baroque</t>
  </si>
  <si>
    <t>棉</t>
  </si>
  <si>
    <t>Cotton</t>
  </si>
  <si>
    <t>苹果</t>
  </si>
  <si>
    <t>Apple</t>
  </si>
  <si>
    <r>
      <rPr>
        <sz val="14"/>
        <color theme="0"/>
        <rFont val="Helvetica Neue"/>
        <charset val="134"/>
      </rPr>
      <t>Oc</t>
    </r>
    <r>
      <rPr>
        <sz val="14"/>
        <color theme="0"/>
        <rFont val="宋体-简"/>
        <charset val="134"/>
      </rPr>
      <t>渲染</t>
    </r>
  </si>
  <si>
    <t>octane render</t>
  </si>
  <si>
    <r>
      <rPr>
        <sz val="14"/>
        <color theme="0"/>
        <rFont val="Helvetica Neue"/>
        <charset val="134"/>
      </rPr>
      <t>1080p</t>
    </r>
    <r>
      <rPr>
        <sz val="14"/>
        <color theme="0"/>
        <rFont val="宋体-简"/>
        <charset val="134"/>
      </rPr>
      <t>，</t>
    </r>
    <r>
      <rPr>
        <sz val="14"/>
        <color theme="0"/>
        <rFont val="Helvetica Neue"/>
        <charset val="134"/>
      </rPr>
      <t>2k</t>
    </r>
    <r>
      <rPr>
        <sz val="14"/>
        <color theme="0"/>
        <rFont val="宋体-简"/>
        <charset val="134"/>
      </rPr>
      <t>，</t>
    </r>
    <r>
      <rPr>
        <sz val="14"/>
        <color theme="0"/>
        <rFont val="Helvetica Neue"/>
        <charset val="134"/>
      </rPr>
      <t>4k</t>
    </r>
    <r>
      <rPr>
        <sz val="14"/>
        <color theme="0"/>
        <rFont val="宋体-简"/>
        <charset val="134"/>
      </rPr>
      <t>，</t>
    </r>
    <r>
      <rPr>
        <sz val="14"/>
        <color theme="0"/>
        <rFont val="Helvetica Neue"/>
        <charset val="134"/>
      </rPr>
      <t>8k</t>
    </r>
    <r>
      <rPr>
        <sz val="14"/>
        <color theme="0"/>
        <rFont val="宋体-简"/>
        <charset val="134"/>
      </rPr>
      <t>，</t>
    </r>
    <r>
      <rPr>
        <sz val="14"/>
        <color theme="0"/>
        <rFont val="Helvetica Neue"/>
        <charset val="134"/>
      </rPr>
      <t>HD</t>
    </r>
  </si>
  <si>
    <t>从下面</t>
  </si>
  <si>
    <t>from below</t>
  </si>
  <si>
    <t>白色背景</t>
  </si>
  <si>
    <t>white background</t>
  </si>
  <si>
    <r>
      <rPr>
        <sz val="14"/>
        <color theme="0"/>
        <rFont val="宋体-简"/>
        <charset val="134"/>
      </rPr>
      <t>中混乱值</t>
    </r>
    <r>
      <rPr>
        <sz val="14"/>
        <color theme="0"/>
        <rFont val="Helvetica Neue"/>
        <charset val="134"/>
      </rPr>
      <t>50</t>
    </r>
  </si>
  <si>
    <t>—chaos 50</t>
  </si>
  <si>
    <r>
      <rPr>
        <sz val="14"/>
        <color theme="0"/>
        <rFont val="宋体-简"/>
        <charset val="134"/>
      </rPr>
      <t>弗朗西斯科</t>
    </r>
    <r>
      <rPr>
        <sz val="14"/>
        <color theme="0"/>
        <rFont val="Helvetica Neue"/>
        <charset val="134"/>
      </rPr>
      <t>·</t>
    </r>
    <r>
      <rPr>
        <sz val="14"/>
        <color theme="0"/>
        <rFont val="宋体-简"/>
        <charset val="134"/>
      </rPr>
      <t>托马西尼</t>
    </r>
  </si>
  <si>
    <t>Francesco Tomassini</t>
  </si>
  <si>
    <t>洛可可风格</t>
  </si>
  <si>
    <t>rococo style</t>
  </si>
  <si>
    <t>麻</t>
  </si>
  <si>
    <t>Linen</t>
  </si>
  <si>
    <t>特斯拉</t>
  </si>
  <si>
    <t>tesla</t>
  </si>
  <si>
    <t>虚幻引擎</t>
  </si>
  <si>
    <t>Unreal Engine</t>
  </si>
  <si>
    <t>高细节</t>
  </si>
  <si>
    <t>high detail</t>
  </si>
  <si>
    <t>从上面</t>
  </si>
  <si>
    <t>from above</t>
  </si>
  <si>
    <t>黑色背景</t>
  </si>
  <si>
    <t>black background</t>
  </si>
  <si>
    <r>
      <rPr>
        <sz val="14"/>
        <color theme="0"/>
        <rFont val="宋体-简"/>
        <charset val="134"/>
      </rPr>
      <t>高混乱值</t>
    </r>
    <r>
      <rPr>
        <sz val="14"/>
        <color theme="0"/>
        <rFont val="Helvetica Neue"/>
        <charset val="134"/>
      </rPr>
      <t>100</t>
    </r>
  </si>
  <si>
    <t>—chaos 100</t>
  </si>
  <si>
    <r>
      <rPr>
        <sz val="14"/>
        <color theme="0"/>
        <rFont val="宋体-简"/>
        <charset val="134"/>
      </rPr>
      <t>阿切莫</t>
    </r>
    <r>
      <rPr>
        <sz val="14"/>
        <color theme="0"/>
        <rFont val="Helvetica Neue"/>
        <charset val="134"/>
      </rPr>
      <t>·</t>
    </r>
    <r>
      <rPr>
        <sz val="14"/>
        <color theme="0"/>
        <rFont val="宋体-简"/>
        <charset val="134"/>
      </rPr>
      <t>卡斯特利亚尼</t>
    </r>
  </si>
  <si>
    <t>Achille Castiglioni</t>
  </si>
  <si>
    <t>新古典主义风格</t>
  </si>
  <si>
    <t>neoclassical style</t>
  </si>
  <si>
    <t>大麻</t>
  </si>
  <si>
    <t>Hemp</t>
  </si>
  <si>
    <t>索尼</t>
  </si>
  <si>
    <t>sony</t>
  </si>
  <si>
    <r>
      <rPr>
        <sz val="14"/>
        <color theme="0"/>
        <rFont val="Helvetica Neue"/>
        <charset val="134"/>
      </rPr>
      <t>C4D</t>
    </r>
    <r>
      <rPr>
        <sz val="14"/>
        <color theme="0"/>
        <rFont val="宋体-简"/>
        <charset val="134"/>
      </rPr>
      <t>渲染</t>
    </r>
  </si>
  <si>
    <t>Maxon Cinema 4D</t>
  </si>
  <si>
    <t>高品质</t>
  </si>
  <si>
    <t>hyper quality</t>
  </si>
  <si>
    <t>侧角</t>
  </si>
  <si>
    <t>Side angle</t>
  </si>
  <si>
    <t>灰色背景</t>
  </si>
  <si>
    <t>gray background</t>
  </si>
  <si>
    <r>
      <rPr>
        <sz val="14"/>
        <color theme="0"/>
        <rFont val="宋体-简"/>
        <charset val="134"/>
      </rPr>
      <t>乔治</t>
    </r>
    <r>
      <rPr>
        <sz val="14"/>
        <color theme="0"/>
        <rFont val="Helvetica Neue"/>
        <charset val="134"/>
      </rPr>
      <t>·</t>
    </r>
    <r>
      <rPr>
        <sz val="14"/>
        <color theme="0"/>
        <rFont val="宋体-简"/>
        <charset val="134"/>
      </rPr>
      <t>内尔森</t>
    </r>
  </si>
  <si>
    <t>George Nelson</t>
  </si>
  <si>
    <t>工艺美术风格</t>
  </si>
  <si>
    <t>arts and crafts style</t>
  </si>
  <si>
    <t>黄麻</t>
  </si>
  <si>
    <t>Jute</t>
  </si>
  <si>
    <t>戴森</t>
  </si>
  <si>
    <t>Dyson</t>
  </si>
  <si>
    <t>建筑渲染</t>
  </si>
  <si>
    <t>architectural visualisation</t>
  </si>
  <si>
    <t>高分辨率</t>
  </si>
  <si>
    <t>high resolution</t>
  </si>
  <si>
    <t>自上而下的角度</t>
  </si>
  <si>
    <t>Top-down angle</t>
  </si>
  <si>
    <r>
      <rPr>
        <sz val="14"/>
        <color theme="0"/>
        <rFont val="宋体-简"/>
        <charset val="134"/>
      </rPr>
      <t>菲利普</t>
    </r>
    <r>
      <rPr>
        <sz val="14"/>
        <color theme="0"/>
        <rFont val="Helvetica Neue"/>
        <charset val="134"/>
      </rPr>
      <t>·</t>
    </r>
    <r>
      <rPr>
        <sz val="14"/>
        <color theme="0"/>
        <rFont val="宋体-简"/>
        <charset val="134"/>
      </rPr>
      <t>斯塔克</t>
    </r>
  </si>
  <si>
    <t>Philippe Starck</t>
  </si>
  <si>
    <t>装饰艺术风格</t>
  </si>
  <si>
    <t>art deco style</t>
  </si>
  <si>
    <t>纸沙草纤维</t>
  </si>
  <si>
    <t>papyrus fabric</t>
  </si>
  <si>
    <t>宜家</t>
  </si>
  <si>
    <t>IKEA</t>
  </si>
  <si>
    <t>室内渲染</t>
  </si>
  <si>
    <t>corona render</t>
  </si>
  <si>
    <t>超写实的</t>
  </si>
  <si>
    <t>hyperrealistic</t>
  </si>
  <si>
    <t>低角度：</t>
  </si>
  <si>
    <t>Low angle:</t>
  </si>
  <si>
    <r>
      <rPr>
        <sz val="14"/>
        <color theme="0"/>
        <rFont val="Helvetica Neue"/>
        <charset val="134"/>
      </rPr>
      <t>Ai</t>
    </r>
    <r>
      <rPr>
        <sz val="14"/>
        <color theme="0"/>
        <rFont val="宋体-简"/>
        <charset val="134"/>
      </rPr>
      <t>算法审美（算法风格）</t>
    </r>
  </si>
  <si>
    <r>
      <rPr>
        <sz val="14"/>
        <color theme="0"/>
        <rFont val="宋体-简"/>
        <charset val="134"/>
      </rPr>
      <t>卡尔</t>
    </r>
    <r>
      <rPr>
        <sz val="14"/>
        <color theme="0"/>
        <rFont val="Helvetica Neue"/>
        <charset val="134"/>
      </rPr>
      <t>·</t>
    </r>
    <r>
      <rPr>
        <sz val="14"/>
        <color theme="0"/>
        <rFont val="宋体-简"/>
        <charset val="134"/>
      </rPr>
      <t>拉格斐</t>
    </r>
  </si>
  <si>
    <t>Karim Rashid</t>
  </si>
  <si>
    <t>包豪斯风格</t>
  </si>
  <si>
    <t>bauhaus style</t>
  </si>
  <si>
    <t>沃尔</t>
  </si>
  <si>
    <t>Wool</t>
  </si>
  <si>
    <t>赫曼米勒</t>
  </si>
  <si>
    <t>Herman Miller</t>
  </si>
  <si>
    <t>真实感</t>
  </si>
  <si>
    <t>quixel megascans render</t>
  </si>
  <si>
    <t>photorealistic</t>
  </si>
  <si>
    <t>高角度</t>
  </si>
  <si>
    <t>High angle</t>
  </si>
  <si>
    <r>
      <rPr>
        <sz val="14"/>
        <color theme="0"/>
        <rFont val="宋体-简"/>
        <charset val="134"/>
      </rPr>
      <t>第</t>
    </r>
    <r>
      <rPr>
        <sz val="14"/>
        <color theme="0"/>
        <rFont val="Helvetica Neue"/>
        <charset val="134"/>
      </rPr>
      <t>4</t>
    </r>
    <r>
      <rPr>
        <sz val="14"/>
        <color theme="0"/>
        <rFont val="宋体-简"/>
        <charset val="134"/>
      </rPr>
      <t>版本算法风格</t>
    </r>
  </si>
  <si>
    <t>—v 4</t>
  </si>
  <si>
    <r>
      <rPr>
        <sz val="14"/>
        <color theme="0"/>
        <rFont val="宋体-简"/>
        <charset val="134"/>
      </rPr>
      <t>维克多</t>
    </r>
    <r>
      <rPr>
        <sz val="14"/>
        <color theme="0"/>
        <rFont val="Helvetica Neue"/>
        <charset val="134"/>
      </rPr>
      <t>·</t>
    </r>
    <r>
      <rPr>
        <sz val="14"/>
        <color theme="0"/>
        <rFont val="宋体-简"/>
        <charset val="134"/>
      </rPr>
      <t>帕帕涅克</t>
    </r>
  </si>
  <si>
    <t>Victor Papanek</t>
  </si>
  <si>
    <t>现代主义风格</t>
  </si>
  <si>
    <t>modernist style</t>
  </si>
  <si>
    <t>羊绒/克什米尔</t>
  </si>
  <si>
    <t>Cashmere</t>
  </si>
  <si>
    <t>保时捷</t>
  </si>
  <si>
    <t xml:space="preserve">Porsche Design </t>
  </si>
  <si>
    <t>情绪照明</t>
  </si>
  <si>
    <t>mood lighting</t>
  </si>
  <si>
    <t>超逼真</t>
  </si>
  <si>
    <t>Ultra Photoreal</t>
  </si>
  <si>
    <t>对角线角度</t>
  </si>
  <si>
    <t>Diagonal angle</t>
  </si>
  <si>
    <r>
      <rPr>
        <sz val="14"/>
        <color theme="0"/>
        <rFont val="宋体-简"/>
        <charset val="134"/>
      </rPr>
      <t>第</t>
    </r>
    <r>
      <rPr>
        <sz val="14"/>
        <color theme="0"/>
        <rFont val="Helvetica Neue"/>
        <charset val="134"/>
      </rPr>
      <t>4</t>
    </r>
    <r>
      <rPr>
        <sz val="14"/>
        <color theme="0"/>
        <rFont val="宋体-简"/>
        <charset val="134"/>
      </rPr>
      <t>版本算法风格</t>
    </r>
    <r>
      <rPr>
        <sz val="14"/>
        <color theme="0"/>
        <rFont val="Helvetica Neue"/>
        <charset val="134"/>
      </rPr>
      <t>4a</t>
    </r>
  </si>
  <si>
    <t>—v 4 —style 4a</t>
  </si>
  <si>
    <r>
      <rPr>
        <sz val="14"/>
        <color theme="0"/>
        <rFont val="宋体-简"/>
        <charset val="134"/>
      </rPr>
      <t>威廉</t>
    </r>
    <r>
      <rPr>
        <sz val="14"/>
        <color theme="0"/>
        <rFont val="Helvetica Neue"/>
        <charset val="134"/>
      </rPr>
      <t>·</t>
    </r>
    <r>
      <rPr>
        <sz val="14"/>
        <color theme="0"/>
        <rFont val="宋体-简"/>
        <charset val="134"/>
      </rPr>
      <t>麦克唐纳</t>
    </r>
  </si>
  <si>
    <t>William McDonough</t>
  </si>
  <si>
    <t>后现代主义风格</t>
  </si>
  <si>
    <t>postmodernist style</t>
  </si>
  <si>
    <t>蚕丝</t>
  </si>
  <si>
    <t>Silk</t>
  </si>
  <si>
    <t>无印良品</t>
  </si>
  <si>
    <t>Muji</t>
  </si>
  <si>
    <t>强光</t>
  </si>
  <si>
    <t>hard lighting</t>
  </si>
  <si>
    <t>超详细</t>
  </si>
  <si>
    <t>Ultra detailed</t>
  </si>
  <si>
    <r>
      <rPr>
        <sz val="14"/>
        <color theme="0"/>
        <rFont val="Helvetica Neue"/>
        <charset val="134"/>
      </rPr>
      <t>3/4</t>
    </r>
    <r>
      <rPr>
        <sz val="14"/>
        <color theme="0"/>
        <rFont val="宋体-简"/>
        <charset val="134"/>
      </rPr>
      <t>角度</t>
    </r>
  </si>
  <si>
    <t>3/4 angle</t>
  </si>
  <si>
    <r>
      <rPr>
        <sz val="14"/>
        <color theme="0"/>
        <rFont val="宋体-简"/>
        <charset val="134"/>
      </rPr>
      <t>第</t>
    </r>
    <r>
      <rPr>
        <sz val="14"/>
        <color theme="0"/>
        <rFont val="Helvetica Neue"/>
        <charset val="134"/>
      </rPr>
      <t>4</t>
    </r>
    <r>
      <rPr>
        <sz val="14"/>
        <color theme="0"/>
        <rFont val="宋体-简"/>
        <charset val="134"/>
      </rPr>
      <t>版本算法风格</t>
    </r>
    <r>
      <rPr>
        <sz val="14"/>
        <color theme="0"/>
        <rFont val="Helvetica Neue"/>
        <charset val="134"/>
      </rPr>
      <t>4c</t>
    </r>
  </si>
  <si>
    <t>—v 4 —style 4c</t>
  </si>
  <si>
    <r>
      <rPr>
        <sz val="14"/>
        <color theme="0"/>
        <rFont val="宋体-简"/>
        <charset val="134"/>
      </rPr>
      <t>弗兰克</t>
    </r>
    <r>
      <rPr>
        <sz val="14"/>
        <color theme="0"/>
        <rFont val="Helvetica Neue"/>
        <charset val="134"/>
      </rPr>
      <t>·</t>
    </r>
    <r>
      <rPr>
        <sz val="14"/>
        <color theme="0"/>
        <rFont val="宋体-简"/>
        <charset val="134"/>
      </rPr>
      <t>盖里</t>
    </r>
  </si>
  <si>
    <t>Frank Gehry</t>
  </si>
  <si>
    <t>生态设计风格</t>
  </si>
  <si>
    <t>eco design style</t>
  </si>
  <si>
    <t>Mohair</t>
  </si>
  <si>
    <t>B&amp;O</t>
  </si>
  <si>
    <t>Bang &amp; Olufsen</t>
  </si>
  <si>
    <t>全局照明</t>
  </si>
  <si>
    <t>global lights</t>
  </si>
  <si>
    <t>细节复杂</t>
  </si>
  <si>
    <t>Intricate details</t>
  </si>
  <si>
    <t>广角</t>
  </si>
  <si>
    <t>wide angle</t>
  </si>
  <si>
    <r>
      <rPr>
        <sz val="14"/>
        <color theme="0"/>
        <rFont val="宋体-简"/>
        <charset val="134"/>
      </rPr>
      <t>第</t>
    </r>
    <r>
      <rPr>
        <sz val="14"/>
        <color theme="0"/>
        <rFont val="Helvetica Neue"/>
        <charset val="134"/>
      </rPr>
      <t>3</t>
    </r>
    <r>
      <rPr>
        <sz val="14"/>
        <color theme="0"/>
        <rFont val="宋体-简"/>
        <charset val="134"/>
      </rPr>
      <t>版本算法风格</t>
    </r>
  </si>
  <si>
    <t>—v 3</t>
  </si>
  <si>
    <r>
      <rPr>
        <sz val="14"/>
        <color theme="0"/>
        <rFont val="宋体-简"/>
        <charset val="134"/>
      </rPr>
      <t>雷蒙德</t>
    </r>
    <r>
      <rPr>
        <sz val="14"/>
        <color theme="0"/>
        <rFont val="Helvetica Neue"/>
        <charset val="134"/>
      </rPr>
      <t>·</t>
    </r>
    <r>
      <rPr>
        <sz val="14"/>
        <color theme="0"/>
        <rFont val="宋体-简"/>
        <charset val="134"/>
      </rPr>
      <t>洛伊</t>
    </r>
  </si>
  <si>
    <t>Raymond Loewy</t>
  </si>
  <si>
    <t>简约风格</t>
  </si>
  <si>
    <t>simple style</t>
  </si>
  <si>
    <t>羊驼毛</t>
  </si>
  <si>
    <t>Alpaca</t>
  </si>
  <si>
    <t>汤姆狄克逊</t>
  </si>
  <si>
    <t>Tom Dixon</t>
  </si>
  <si>
    <t>明亮的</t>
  </si>
  <si>
    <t>bright</t>
  </si>
  <si>
    <t>鱼眼镜头</t>
  </si>
  <si>
    <t>fisheye lens</t>
  </si>
  <si>
    <r>
      <rPr>
        <sz val="14"/>
        <color theme="0"/>
        <rFont val="宋体-简"/>
        <charset val="134"/>
      </rPr>
      <t>第</t>
    </r>
    <r>
      <rPr>
        <sz val="14"/>
        <color theme="0"/>
        <rFont val="Helvetica Neue"/>
        <charset val="134"/>
      </rPr>
      <t>2</t>
    </r>
    <r>
      <rPr>
        <sz val="14"/>
        <color theme="0"/>
        <rFont val="宋体-简"/>
        <charset val="134"/>
      </rPr>
      <t>版本算法风格</t>
    </r>
  </si>
  <si>
    <t>—v 2</t>
  </si>
  <si>
    <r>
      <rPr>
        <sz val="14"/>
        <color theme="0"/>
        <rFont val="宋体-简"/>
        <charset val="134"/>
      </rPr>
      <t>马克</t>
    </r>
    <r>
      <rPr>
        <sz val="14"/>
        <color theme="0"/>
        <rFont val="Helvetica Neue"/>
        <charset val="134"/>
      </rPr>
      <t>·</t>
    </r>
    <r>
      <rPr>
        <sz val="14"/>
        <color theme="0"/>
        <rFont val="宋体-简"/>
        <charset val="134"/>
      </rPr>
      <t>比尔</t>
    </r>
  </si>
  <si>
    <t>Max Bill</t>
  </si>
  <si>
    <t>有机风格</t>
  </si>
  <si>
    <t>organic style</t>
  </si>
  <si>
    <t>纱</t>
  </si>
  <si>
    <t>Yarn</t>
  </si>
  <si>
    <t>阿莱西</t>
  </si>
  <si>
    <t>Alessi</t>
  </si>
  <si>
    <t>工作室照明</t>
  </si>
  <si>
    <t>studio lighting</t>
  </si>
  <si>
    <t>长焦</t>
  </si>
  <si>
    <t>telephoto</t>
  </si>
  <si>
    <r>
      <rPr>
        <sz val="14"/>
        <color theme="0"/>
        <rFont val="宋体-简"/>
        <charset val="134"/>
      </rPr>
      <t>第</t>
    </r>
    <r>
      <rPr>
        <sz val="14"/>
        <color theme="0"/>
        <rFont val="Helvetica Neue"/>
        <charset val="134"/>
      </rPr>
      <t>1</t>
    </r>
    <r>
      <rPr>
        <sz val="14"/>
        <color theme="0"/>
        <rFont val="宋体-简"/>
        <charset val="134"/>
      </rPr>
      <t>版本算法风格</t>
    </r>
  </si>
  <si>
    <t>—v 1</t>
  </si>
  <si>
    <r>
      <rPr>
        <sz val="14"/>
        <color theme="0"/>
        <rFont val="宋体-简"/>
        <charset val="134"/>
      </rPr>
      <t>瓦尔特</t>
    </r>
    <r>
      <rPr>
        <sz val="14"/>
        <color theme="0"/>
        <rFont val="Helvetica Neue"/>
        <charset val="134"/>
      </rPr>
      <t>·</t>
    </r>
    <r>
      <rPr>
        <sz val="14"/>
        <color theme="0"/>
        <rFont val="宋体-简"/>
        <charset val="134"/>
      </rPr>
      <t>格罗皮乌斯</t>
    </r>
  </si>
  <si>
    <t>Walter Gropius</t>
  </si>
  <si>
    <t>技术感风格</t>
  </si>
  <si>
    <t>technical style</t>
  </si>
  <si>
    <t>碳纤维</t>
  </si>
  <si>
    <t>Carbon Fibers</t>
  </si>
  <si>
    <t>小米</t>
  </si>
  <si>
    <t>xiaomi</t>
  </si>
  <si>
    <t>体积光</t>
  </si>
  <si>
    <t>volumetric lighting</t>
  </si>
  <si>
    <r>
      <rPr>
        <sz val="14"/>
        <color theme="0"/>
        <rFont val="宋体-简"/>
        <charset val="134"/>
      </rPr>
      <t>米斯</t>
    </r>
    <r>
      <rPr>
        <sz val="14"/>
        <color theme="0"/>
        <rFont val="Helvetica Neue"/>
        <charset val="134"/>
      </rPr>
      <t>·</t>
    </r>
    <r>
      <rPr>
        <sz val="14"/>
        <color theme="0"/>
        <rFont val="宋体-简"/>
        <charset val="134"/>
      </rPr>
      <t>凡德罗</t>
    </r>
  </si>
  <si>
    <t>Ludwig Mies van der Rohe</t>
  </si>
  <si>
    <t>古典复古风格</t>
  </si>
  <si>
    <t>classic retro style</t>
  </si>
  <si>
    <t>金属纱</t>
  </si>
  <si>
    <t>Metallic Yarn</t>
  </si>
  <si>
    <t>华为</t>
  </si>
  <si>
    <t>Huawei</t>
  </si>
  <si>
    <t>电影灯光</t>
  </si>
  <si>
    <t>cinematic lighting</t>
  </si>
  <si>
    <t>全景</t>
  </si>
  <si>
    <t>panoramic</t>
  </si>
  <si>
    <r>
      <rPr>
        <sz val="14"/>
        <color theme="0"/>
        <rFont val="Helvetica Neue"/>
        <charset val="134"/>
      </rPr>
      <t>AI</t>
    </r>
    <r>
      <rPr>
        <sz val="14"/>
        <color theme="0"/>
        <rFont val="宋体-简"/>
        <charset val="134"/>
      </rPr>
      <t>画幅比例</t>
    </r>
  </si>
  <si>
    <r>
      <rPr>
        <sz val="14"/>
        <color theme="0"/>
        <rFont val="Helvetica Neue"/>
        <charset val="134"/>
      </rPr>
      <t>v4</t>
    </r>
    <r>
      <rPr>
        <sz val="14"/>
        <color theme="0"/>
        <rFont val="宋体-简"/>
        <charset val="134"/>
      </rPr>
      <t>只支持</t>
    </r>
    <r>
      <rPr>
        <sz val="14"/>
        <color theme="0"/>
        <rFont val="Helvetica Neue"/>
        <charset val="134"/>
      </rPr>
      <t>1:1</t>
    </r>
    <r>
      <rPr>
        <sz val="14"/>
        <color theme="0"/>
        <rFont val="宋体-简"/>
        <charset val="134"/>
      </rPr>
      <t>与</t>
    </r>
    <r>
      <rPr>
        <sz val="14"/>
        <color theme="0"/>
        <rFont val="Helvetica Neue"/>
        <charset val="134"/>
      </rPr>
      <t>2:3</t>
    </r>
    <r>
      <rPr>
        <sz val="14"/>
        <color theme="0"/>
        <rFont val="宋体-简"/>
        <charset val="134"/>
      </rPr>
      <t>比例，且必须要放在句末</t>
    </r>
  </si>
  <si>
    <r>
      <rPr>
        <sz val="14"/>
        <color theme="0"/>
        <rFont val="宋体-简"/>
        <charset val="134"/>
      </rPr>
      <t>威廉</t>
    </r>
    <r>
      <rPr>
        <sz val="14"/>
        <color theme="0"/>
        <rFont val="Helvetica Neue"/>
        <charset val="134"/>
      </rPr>
      <t>·</t>
    </r>
    <r>
      <rPr>
        <sz val="14"/>
        <color theme="0"/>
        <rFont val="宋体-简"/>
        <charset val="134"/>
      </rPr>
      <t>莫里斯</t>
    </r>
  </si>
  <si>
    <t>William Morris</t>
  </si>
  <si>
    <t>意大利现代主义风格</t>
  </si>
  <si>
    <t>italian modernist style</t>
  </si>
  <si>
    <t>符合</t>
  </si>
  <si>
    <t>Nylon , Plya Mid</t>
  </si>
  <si>
    <t>大疆</t>
  </si>
  <si>
    <t xml:space="preserve">DJI </t>
  </si>
  <si>
    <t>柔光箱照明</t>
  </si>
  <si>
    <t>softbox lighting</t>
  </si>
  <si>
    <t>背景虚化</t>
  </si>
  <si>
    <t>bokeh</t>
  </si>
  <si>
    <r>
      <rPr>
        <sz val="14"/>
        <color theme="0"/>
        <rFont val="宋体-简"/>
        <charset val="134"/>
      </rPr>
      <t>画幅</t>
    </r>
    <r>
      <rPr>
        <sz val="14"/>
        <color theme="0"/>
        <rFont val="Helvetica Neue"/>
        <charset val="134"/>
      </rPr>
      <t>1:1</t>
    </r>
  </si>
  <si>
    <t>—ar1:1</t>
  </si>
  <si>
    <r>
      <rPr>
        <sz val="14"/>
        <color theme="0"/>
        <rFont val="宋体-简"/>
        <charset val="134"/>
      </rPr>
      <t>查尔斯</t>
    </r>
    <r>
      <rPr>
        <sz val="14"/>
        <color theme="0"/>
        <rFont val="Helvetica Neue"/>
        <charset val="134"/>
      </rPr>
      <t>·</t>
    </r>
    <r>
      <rPr>
        <sz val="14"/>
        <color theme="0"/>
        <rFont val="宋体-简"/>
        <charset val="134"/>
      </rPr>
      <t>罗伯特</t>
    </r>
    <r>
      <rPr>
        <sz val="14"/>
        <color theme="0"/>
        <rFont val="Helvetica Neue"/>
        <charset val="134"/>
      </rPr>
      <t>·</t>
    </r>
    <r>
      <rPr>
        <sz val="14"/>
        <color theme="0"/>
        <rFont val="宋体-简"/>
        <charset val="134"/>
      </rPr>
      <t>阿什比</t>
    </r>
  </si>
  <si>
    <t>Charles Robert Ashbee</t>
  </si>
  <si>
    <t>美国现代主义风格</t>
  </si>
  <si>
    <t>american modernist style</t>
  </si>
  <si>
    <t>涤纶、涤纶</t>
  </si>
  <si>
    <t>Polyester</t>
  </si>
  <si>
    <t>格力</t>
  </si>
  <si>
    <t>gree</t>
  </si>
  <si>
    <t>发光灯</t>
  </si>
  <si>
    <t>glowing lights</t>
  </si>
  <si>
    <t>镜头光晕</t>
  </si>
  <si>
    <t>lens flare</t>
  </si>
  <si>
    <r>
      <rPr>
        <sz val="14"/>
        <color theme="0"/>
        <rFont val="宋体-简"/>
        <charset val="134"/>
      </rPr>
      <t>画幅</t>
    </r>
    <r>
      <rPr>
        <sz val="14"/>
        <color theme="0"/>
        <rFont val="Helvetica Neue"/>
        <charset val="134"/>
      </rPr>
      <t>2:3</t>
    </r>
  </si>
  <si>
    <t>—ar2:3</t>
  </si>
  <si>
    <r>
      <rPr>
        <sz val="14"/>
        <color theme="0"/>
        <rFont val="宋体-简"/>
        <charset val="134"/>
      </rPr>
      <t>鲁道夫</t>
    </r>
    <r>
      <rPr>
        <sz val="14"/>
        <color theme="0"/>
        <rFont val="Helvetica Neue"/>
        <charset val="134"/>
      </rPr>
      <t>·</t>
    </r>
    <r>
      <rPr>
        <sz val="14"/>
        <color theme="0"/>
        <rFont val="宋体-简"/>
        <charset val="134"/>
      </rPr>
      <t>斯特劳斯</t>
    </r>
  </si>
  <si>
    <t>Rudolf von Alt</t>
  </si>
  <si>
    <t>可持续设计风格</t>
  </si>
  <si>
    <t>Sustainable Design Style</t>
  </si>
  <si>
    <t>压克力纱</t>
  </si>
  <si>
    <t>Acrylic</t>
  </si>
  <si>
    <t>九阳</t>
  </si>
  <si>
    <t>joyouny</t>
  </si>
  <si>
    <t>蓝色照明</t>
  </si>
  <si>
    <t>blue lighting</t>
  </si>
  <si>
    <r>
      <rPr>
        <sz val="14"/>
        <color theme="0"/>
        <rFont val="宋体-简"/>
        <charset val="134"/>
      </rPr>
      <t>朱塞佩</t>
    </r>
    <r>
      <rPr>
        <sz val="14"/>
        <color theme="0"/>
        <rFont val="Helvetica Neue"/>
        <charset val="134"/>
      </rPr>
      <t>·</t>
    </r>
    <r>
      <rPr>
        <sz val="14"/>
        <color theme="0"/>
        <rFont val="宋体-简"/>
        <charset val="134"/>
      </rPr>
      <t>瓦隆</t>
    </r>
  </si>
  <si>
    <t>Giuseppe Valadier</t>
  </si>
  <si>
    <t>雕塑风格</t>
  </si>
  <si>
    <t>sculpture style</t>
  </si>
  <si>
    <t>人造棉人造丝</t>
  </si>
  <si>
    <t>Rayon</t>
  </si>
  <si>
    <t>比亚迪</t>
  </si>
  <si>
    <t>BYD</t>
  </si>
  <si>
    <t>长时间曝光</t>
  </si>
  <si>
    <t>long exposure</t>
  </si>
  <si>
    <t>无人机角度</t>
  </si>
  <si>
    <t>drone</t>
  </si>
  <si>
    <r>
      <rPr>
        <sz val="14"/>
        <color theme="0"/>
        <rFont val="Helvetica Neue"/>
        <charset val="134"/>
      </rPr>
      <t>seed</t>
    </r>
    <r>
      <rPr>
        <sz val="14"/>
        <color theme="0"/>
        <rFont val="宋体-简"/>
        <charset val="134"/>
      </rPr>
      <t>值</t>
    </r>
  </si>
  <si>
    <r>
      <rPr>
        <sz val="14"/>
        <color theme="0"/>
        <rFont val="宋体-简"/>
        <charset val="134"/>
      </rPr>
      <t>四宫格的图片会有一个身份证号，就是</t>
    </r>
    <r>
      <rPr>
        <sz val="14"/>
        <color theme="0"/>
        <rFont val="Helvetica Neue"/>
        <charset val="134"/>
      </rPr>
      <t>seed</t>
    </r>
    <r>
      <rPr>
        <sz val="14"/>
        <color theme="0"/>
        <rFont val="宋体-简"/>
        <charset val="134"/>
      </rPr>
      <t>值。完全同样的关键词和</t>
    </r>
    <r>
      <rPr>
        <sz val="14"/>
        <color theme="0"/>
        <rFont val="Helvetica Neue"/>
        <charset val="134"/>
      </rPr>
      <t>seed</t>
    </r>
    <r>
      <rPr>
        <sz val="14"/>
        <color theme="0"/>
        <rFont val="宋体-简"/>
        <charset val="134"/>
      </rPr>
      <t>值会产出完全相同的结果</t>
    </r>
  </si>
  <si>
    <r>
      <rPr>
        <sz val="14"/>
        <color theme="0"/>
        <rFont val="宋体-简"/>
        <charset val="134"/>
      </rPr>
      <t>查尔斯</t>
    </r>
    <r>
      <rPr>
        <sz val="14"/>
        <color theme="0"/>
        <rFont val="Helvetica Neue"/>
        <charset val="134"/>
      </rPr>
      <t>-</t>
    </r>
    <r>
      <rPr>
        <sz val="14"/>
        <color theme="0"/>
        <rFont val="宋体-简"/>
        <charset val="134"/>
      </rPr>
      <t>弗朗索瓦</t>
    </r>
  </si>
  <si>
    <t>Charles-Fosse</t>
  </si>
  <si>
    <t>波普艺术风格</t>
  </si>
  <si>
    <t>pop art style</t>
  </si>
  <si>
    <t>弹力纤维</t>
  </si>
  <si>
    <t>Elastane Fiber</t>
  </si>
  <si>
    <t>TCL</t>
  </si>
  <si>
    <t>童话般的灯光</t>
  </si>
  <si>
    <t>fairy lights</t>
  </si>
  <si>
    <t>在画布上</t>
  </si>
  <si>
    <t>on canvas</t>
  </si>
  <si>
    <r>
      <rPr>
        <sz val="14"/>
        <color theme="0"/>
        <rFont val="宋体-简"/>
        <charset val="134"/>
      </rPr>
      <t>图片左上角发送一个✉</t>
    </r>
    <r>
      <rPr>
        <sz val="14"/>
        <color theme="0"/>
        <rFont val="Helvetica Neue"/>
        <charset val="134"/>
      </rPr>
      <t>️</t>
    </r>
    <r>
      <rPr>
        <sz val="14"/>
        <color theme="0"/>
        <rFont val="宋体-简"/>
        <charset val="134"/>
      </rPr>
      <t>表情即可，收到系统的消息，告诉你</t>
    </r>
    <r>
      <rPr>
        <sz val="14"/>
        <color theme="0"/>
        <rFont val="Helvetica Neue"/>
        <charset val="134"/>
      </rPr>
      <t>seed</t>
    </r>
    <r>
      <rPr>
        <sz val="14"/>
        <color theme="0"/>
        <rFont val="宋体-简"/>
        <charset val="134"/>
      </rPr>
      <t>值</t>
    </r>
  </si>
  <si>
    <r>
      <rPr>
        <sz val="14"/>
        <color theme="0"/>
        <rFont val="宋体-简"/>
        <charset val="134"/>
      </rPr>
      <t>如何看到自己生成图的</t>
    </r>
    <r>
      <rPr>
        <sz val="14"/>
        <color theme="0"/>
        <rFont val="Helvetica Neue"/>
        <charset val="134"/>
      </rPr>
      <t>seed</t>
    </r>
    <r>
      <rPr>
        <sz val="14"/>
        <color theme="0"/>
        <rFont val="宋体-简"/>
        <charset val="134"/>
      </rPr>
      <t>值（最开始系统自己随机分配）</t>
    </r>
  </si>
  <si>
    <t>布鲁默</t>
  </si>
  <si>
    <t>Nicolas Pineau</t>
  </si>
  <si>
    <t>莫代尔</t>
  </si>
  <si>
    <t>Modal</t>
  </si>
  <si>
    <t>SpaceX</t>
  </si>
  <si>
    <t>spacex</t>
  </si>
  <si>
    <t>伦勃朗光</t>
  </si>
  <si>
    <t>rembrandt lighting</t>
  </si>
  <si>
    <t>特写</t>
  </si>
  <si>
    <t>close up</t>
  </si>
  <si>
    <t>—seed 2333</t>
  </si>
  <si>
    <r>
      <rPr>
        <sz val="14"/>
        <color theme="0"/>
        <rFont val="宋体-简"/>
        <charset val="134"/>
      </rPr>
      <t>莫里斯</t>
    </r>
    <r>
      <rPr>
        <sz val="14"/>
        <color theme="0"/>
        <rFont val="Helvetica Neue"/>
        <charset val="134"/>
      </rPr>
      <t>·</t>
    </r>
    <r>
      <rPr>
        <sz val="14"/>
        <color theme="0"/>
        <rFont val="宋体-简"/>
        <charset val="134"/>
      </rPr>
      <t>昂格</t>
    </r>
  </si>
  <si>
    <t>Maurice Angel</t>
  </si>
  <si>
    <t>日本的和风设计</t>
  </si>
  <si>
    <t>Japanese style design</t>
  </si>
  <si>
    <t>莱卡</t>
  </si>
  <si>
    <t>Lycra</t>
  </si>
  <si>
    <t>Vitra</t>
  </si>
  <si>
    <t>背光</t>
  </si>
  <si>
    <t>back lighting</t>
  </si>
  <si>
    <t>—seed 23333</t>
  </si>
  <si>
    <t>贝尔尼尼</t>
  </si>
  <si>
    <t>Gian Lorenzo Bernini</t>
  </si>
  <si>
    <t>公共艺术风格</t>
  </si>
  <si>
    <t>public art style</t>
  </si>
  <si>
    <t>皮革</t>
  </si>
  <si>
    <t>Leather</t>
  </si>
  <si>
    <t>Flos</t>
  </si>
  <si>
    <t>—seed 233333</t>
  </si>
  <si>
    <r>
      <rPr>
        <sz val="14"/>
        <color theme="0"/>
        <rFont val="宋体-简"/>
        <charset val="134"/>
      </rPr>
      <t>亚尔</t>
    </r>
    <r>
      <rPr>
        <sz val="14"/>
        <color theme="0"/>
        <rFont val="Helvetica Neue"/>
        <charset val="134"/>
      </rPr>
      <t>·</t>
    </r>
    <r>
      <rPr>
        <sz val="14"/>
        <color theme="0"/>
        <rFont val="宋体-简"/>
        <charset val="134"/>
      </rPr>
      <t>阿尔托</t>
    </r>
  </si>
  <si>
    <t>Alvar Aalto</t>
  </si>
  <si>
    <t>简约主义风格</t>
  </si>
  <si>
    <t>minimalist style</t>
  </si>
  <si>
    <t>扁柏</t>
  </si>
  <si>
    <t>Hinoki falsecypress</t>
  </si>
  <si>
    <t>Muuto</t>
  </si>
  <si>
    <t>通过潜望镜</t>
  </si>
  <si>
    <t>through a periscope</t>
  </si>
  <si>
    <r>
      <rPr>
        <sz val="14"/>
        <color theme="0"/>
        <rFont val="宋体-简"/>
        <charset val="134"/>
      </rPr>
      <t>阿奇葛尔</t>
    </r>
    <r>
      <rPr>
        <sz val="14"/>
        <color theme="0"/>
        <rFont val="Helvetica Neue"/>
        <charset val="134"/>
      </rPr>
      <t>·</t>
    </r>
    <r>
      <rPr>
        <sz val="14"/>
        <color theme="0"/>
        <rFont val="宋体-简"/>
        <charset val="134"/>
      </rPr>
      <t>雅各布森</t>
    </r>
  </si>
  <si>
    <t>Arne Jacobsen</t>
  </si>
  <si>
    <t>人性化设计风格</t>
  </si>
  <si>
    <t>Humanized Design Style</t>
  </si>
  <si>
    <t>松树</t>
  </si>
  <si>
    <t xml:space="preserve">Pine </t>
  </si>
  <si>
    <t>Braun</t>
  </si>
  <si>
    <t>通过舷窗</t>
  </si>
  <si>
    <t>through a porthole</t>
  </si>
  <si>
    <r>
      <rPr>
        <sz val="14"/>
        <color theme="0"/>
        <rFont val="宋体-简"/>
        <charset val="134"/>
      </rPr>
      <t>维格纳</t>
    </r>
    <r>
      <rPr>
        <sz val="14"/>
        <color theme="0"/>
        <rFont val="Helvetica Neue"/>
        <charset val="134"/>
      </rPr>
      <t>·</t>
    </r>
    <r>
      <rPr>
        <sz val="14"/>
        <color theme="0"/>
        <rFont val="宋体-简"/>
        <charset val="134"/>
      </rPr>
      <t>希斯科布</t>
    </r>
  </si>
  <si>
    <t>Verner Panton</t>
  </si>
  <si>
    <t>未来主义风格</t>
  </si>
  <si>
    <t>futuristic style</t>
  </si>
  <si>
    <t>冷杉</t>
  </si>
  <si>
    <t>Fir</t>
  </si>
  <si>
    <t>Kartell</t>
  </si>
  <si>
    <r>
      <rPr>
        <sz val="14"/>
        <color theme="0"/>
        <rFont val="宋体-简"/>
        <charset val="134"/>
      </rPr>
      <t>马库斯</t>
    </r>
    <r>
      <rPr>
        <sz val="14"/>
        <color theme="0"/>
        <rFont val="Helvetica Neue"/>
        <charset val="134"/>
      </rPr>
      <t>·</t>
    </r>
    <r>
      <rPr>
        <sz val="14"/>
        <color theme="0"/>
        <rFont val="宋体-简"/>
        <charset val="134"/>
      </rPr>
      <t>恩格曼</t>
    </r>
  </si>
  <si>
    <t>Marc Newson</t>
  </si>
  <si>
    <t>社会主义现实主义风格</t>
  </si>
  <si>
    <t>socialist realism style</t>
  </si>
  <si>
    <t>Hay</t>
  </si>
  <si>
    <t>关闭脸</t>
  </si>
  <si>
    <t>close face</t>
  </si>
  <si>
    <r>
      <rPr>
        <sz val="14"/>
        <color theme="0"/>
        <rFont val="宋体-简"/>
        <charset val="134"/>
      </rPr>
      <t>詹姆斯</t>
    </r>
    <r>
      <rPr>
        <sz val="14"/>
        <color theme="0"/>
        <rFont val="Helvetica Neue"/>
        <charset val="134"/>
      </rPr>
      <t>·</t>
    </r>
    <r>
      <rPr>
        <sz val="14"/>
        <color theme="0"/>
        <rFont val="宋体-简"/>
        <charset val="134"/>
      </rPr>
      <t>戴</t>
    </r>
  </si>
  <si>
    <t>James Dyson</t>
  </si>
  <si>
    <t>艺术装饰风格</t>
  </si>
  <si>
    <t>云杉</t>
  </si>
  <si>
    <t>Spruce</t>
  </si>
  <si>
    <t xml:space="preserve">Gubi </t>
  </si>
  <si>
    <t>低角度</t>
  </si>
  <si>
    <t>low angle</t>
  </si>
  <si>
    <r>
      <rPr>
        <sz val="14"/>
        <color theme="0"/>
        <rFont val="宋体-简"/>
        <charset val="134"/>
      </rPr>
      <t>罗斯</t>
    </r>
    <r>
      <rPr>
        <sz val="14"/>
        <color theme="0"/>
        <rFont val="Helvetica Neue"/>
        <charset val="134"/>
      </rPr>
      <t>·</t>
    </r>
    <r>
      <rPr>
        <sz val="14"/>
        <color theme="0"/>
        <rFont val="宋体-简"/>
        <charset val="134"/>
      </rPr>
      <t>拉夫拉克</t>
    </r>
  </si>
  <si>
    <t>Ross Lovegrov</t>
  </si>
  <si>
    <t>战争时期风格</t>
  </si>
  <si>
    <t>war time style</t>
  </si>
  <si>
    <t>雪松 / 香柏树</t>
  </si>
  <si>
    <t>Cedar</t>
  </si>
  <si>
    <t>Louis Poulsen</t>
  </si>
  <si>
    <t>等距的</t>
  </si>
  <si>
    <t>isometric</t>
  </si>
  <si>
    <t>科技主义风格</t>
  </si>
  <si>
    <t>techno style</t>
  </si>
  <si>
    <t>侧柏</t>
  </si>
  <si>
    <t>Arborvitae</t>
  </si>
  <si>
    <t>Magis</t>
  </si>
  <si>
    <t>从后面看</t>
  </si>
  <si>
    <t>viewed from behind</t>
  </si>
  <si>
    <t>北欧设计风格</t>
  </si>
  <si>
    <t>Scandinavian design style</t>
  </si>
  <si>
    <t>落叶松</t>
  </si>
  <si>
    <t>Larch</t>
  </si>
  <si>
    <t xml:space="preserve">Fritz Hansen </t>
  </si>
  <si>
    <t>85mm</t>
  </si>
  <si>
    <t>原研哉</t>
  </si>
  <si>
    <t>Kenya Hara</t>
  </si>
  <si>
    <t>形式主义设计风格</t>
  </si>
  <si>
    <t>formal design style</t>
  </si>
  <si>
    <t>落羽杉</t>
  </si>
  <si>
    <t>Bald Cypress / Swamp Cypess</t>
  </si>
  <si>
    <t xml:space="preserve">Muromachi </t>
  </si>
  <si>
    <t>极端特写镜头</t>
  </si>
  <si>
    <t>extreme close-up shot</t>
  </si>
  <si>
    <t>深泽直人</t>
  </si>
  <si>
    <t>Naoto Fukasawa</t>
  </si>
  <si>
    <t>折衷主义设计风格</t>
  </si>
  <si>
    <t>eclectic design style</t>
  </si>
  <si>
    <t>花旗杉 / 北美黄杉</t>
  </si>
  <si>
    <t>Douglas Fir</t>
  </si>
  <si>
    <t>Nendo</t>
  </si>
  <si>
    <t>中弹</t>
  </si>
  <si>
    <t>midshot</t>
  </si>
  <si>
    <r>
      <rPr>
        <sz val="14"/>
        <color theme="0"/>
        <rFont val="宋体-简"/>
        <charset val="134"/>
      </rPr>
      <t>荣久庵宪司</t>
    </r>
    <r>
      <rPr>
        <sz val="14"/>
        <color theme="0"/>
        <rFont val="Helvetica Neue"/>
        <charset val="134"/>
      </rPr>
      <t>GK</t>
    </r>
    <r>
      <rPr>
        <sz val="14"/>
        <color theme="0"/>
        <rFont val="宋体-简"/>
        <charset val="134"/>
      </rPr>
      <t>设计集团主席</t>
    </r>
  </si>
  <si>
    <t>Kenji Ekuan</t>
  </si>
  <si>
    <t>柏树</t>
  </si>
  <si>
    <t>Cypress</t>
  </si>
  <si>
    <t>Toshiba</t>
  </si>
  <si>
    <t>头部和肩部拍摄</t>
  </si>
  <si>
    <t>head-and-shoulders shot</t>
  </si>
  <si>
    <t>佐藤大</t>
  </si>
  <si>
    <t>nendo</t>
  </si>
  <si>
    <t>红桧</t>
  </si>
  <si>
    <t>Benihi</t>
  </si>
  <si>
    <t>远射</t>
  </si>
  <si>
    <t>long shot</t>
  </si>
  <si>
    <t>台湾肖楠</t>
  </si>
  <si>
    <t>Taiwan Incense Cedar</t>
  </si>
  <si>
    <t>全镜头</t>
  </si>
  <si>
    <t>full shot</t>
  </si>
  <si>
    <t>刺柏</t>
  </si>
  <si>
    <t>Juniper</t>
  </si>
  <si>
    <t>极端广角镜头</t>
  </si>
  <si>
    <t>extreme wide shot</t>
  </si>
  <si>
    <t>红杉</t>
  </si>
  <si>
    <t>Sequoia</t>
  </si>
  <si>
    <t>在远处</t>
  </si>
  <si>
    <t>in the distance</t>
  </si>
  <si>
    <t>北美白蜡木</t>
  </si>
  <si>
    <t>American White Ash</t>
  </si>
  <si>
    <t>俯视图</t>
  </si>
  <si>
    <t>overhead view</t>
  </si>
  <si>
    <r>
      <rPr>
        <sz val="14"/>
        <color theme="0"/>
        <rFont val="宋体-简"/>
        <charset val="134"/>
      </rPr>
      <t>北美红橡木</t>
    </r>
    <r>
      <rPr>
        <sz val="14"/>
        <color theme="0"/>
        <rFont val="Helvetica Neue"/>
        <charset val="134"/>
      </rPr>
      <t xml:space="preserve"> / </t>
    </r>
    <r>
      <rPr>
        <sz val="14"/>
        <color theme="0"/>
        <rFont val="宋体-简"/>
        <charset val="134"/>
      </rPr>
      <t>红栎木</t>
    </r>
  </si>
  <si>
    <t>American Red Oak</t>
  </si>
  <si>
    <t>鸟瞰图</t>
  </si>
  <si>
    <t>aerial view</t>
  </si>
  <si>
    <t>胡桃木</t>
  </si>
  <si>
    <t>Walnut</t>
  </si>
  <si>
    <t>倾斜的框架</t>
  </si>
  <si>
    <t>tilted frame</t>
  </si>
  <si>
    <r>
      <rPr>
        <sz val="14"/>
        <color theme="0"/>
        <rFont val="宋体-简"/>
        <charset val="134"/>
      </rPr>
      <t>黄杨木</t>
    </r>
    <r>
      <rPr>
        <sz val="14"/>
        <color theme="0"/>
        <rFont val="Helvetica Neue"/>
        <charset val="134"/>
      </rPr>
      <t xml:space="preserve"> / </t>
    </r>
    <r>
      <rPr>
        <sz val="14"/>
        <color theme="0"/>
        <rFont val="宋体-简"/>
        <charset val="134"/>
      </rPr>
      <t>北美鹅掌楸</t>
    </r>
  </si>
  <si>
    <t>Yellow poplar wood</t>
  </si>
  <si>
    <t>过肩射</t>
  </si>
  <si>
    <t>over-the-shoulder shot</t>
  </si>
  <si>
    <t>柚木</t>
  </si>
  <si>
    <t>Teak</t>
  </si>
  <si>
    <r>
      <rPr>
        <sz val="14"/>
        <color theme="0"/>
        <rFont val="Arial"/>
        <charset val="134"/>
      </rPr>
      <t xml:space="preserve">1/1000 </t>
    </r>
    <r>
      <rPr>
        <sz val="14"/>
        <color theme="0"/>
        <rFont val="宋体-简"/>
        <charset val="134"/>
      </rPr>
      <t>秒快门</t>
    </r>
  </si>
  <si>
    <t>1/1000 sec shutter</t>
  </si>
  <si>
    <t>玫瑰木</t>
  </si>
  <si>
    <t>Red Grandis</t>
  </si>
  <si>
    <t>运动模糊</t>
  </si>
  <si>
    <t>motion blur</t>
  </si>
  <si>
    <t>桃花心木</t>
  </si>
  <si>
    <t>mahogany / Swietenia</t>
  </si>
  <si>
    <t>棹木</t>
  </si>
  <si>
    <t>Beech</t>
  </si>
  <si>
    <t>山毛榉</t>
  </si>
  <si>
    <t>Fagaceae</t>
  </si>
  <si>
    <t>白桦树</t>
  </si>
  <si>
    <t>Birch / Betula</t>
  </si>
  <si>
    <r>
      <rPr>
        <sz val="10"/>
        <color theme="0"/>
        <rFont val="宋体-简"/>
        <charset val="134"/>
      </rPr>
      <t>橡木</t>
    </r>
    <r>
      <rPr>
        <sz val="10"/>
        <color theme="0"/>
        <rFont val="Helvetica Neue"/>
        <charset val="134"/>
      </rPr>
      <t xml:space="preserve"> / </t>
    </r>
    <r>
      <rPr>
        <sz val="10"/>
        <color theme="0"/>
        <rFont val="宋体-简"/>
        <charset val="134"/>
      </rPr>
      <t>栎树</t>
    </r>
  </si>
  <si>
    <t>Oak</t>
  </si>
  <si>
    <t>橡胶木</t>
  </si>
  <si>
    <t>Rubber Wood</t>
  </si>
  <si>
    <t>黑檀木</t>
  </si>
  <si>
    <t>Ebony</t>
  </si>
  <si>
    <t>檀木</t>
  </si>
  <si>
    <t>Sandalwood</t>
  </si>
  <si>
    <r>
      <rPr>
        <sz val="10"/>
        <color theme="0"/>
        <rFont val="宋体-简"/>
        <charset val="134"/>
      </rPr>
      <t>玫瑰木</t>
    </r>
    <r>
      <rPr>
        <sz val="10"/>
        <color theme="0"/>
        <rFont val="Helvetica Neue"/>
        <charset val="134"/>
      </rPr>
      <t xml:space="preserve"> / </t>
    </r>
    <r>
      <rPr>
        <sz val="10"/>
        <color theme="0"/>
        <rFont val="宋体-简"/>
        <charset val="134"/>
      </rPr>
      <t>紫檀木</t>
    </r>
  </si>
  <si>
    <t>Rosewood / Padauk</t>
  </si>
  <si>
    <t>定向纤维板</t>
  </si>
  <si>
    <t>Oriented Strand Board</t>
  </si>
  <si>
    <r>
      <rPr>
        <sz val="10"/>
        <color theme="0"/>
        <rFont val="宋体-简"/>
        <charset val="134"/>
      </rPr>
      <t>胶合板</t>
    </r>
    <r>
      <rPr>
        <sz val="10"/>
        <color theme="0"/>
        <rFont val="Helvetica Neue"/>
        <charset val="134"/>
      </rPr>
      <t>(</t>
    </r>
    <r>
      <rPr>
        <sz val="10"/>
        <color theme="0"/>
        <rFont val="宋体-简"/>
        <charset val="134"/>
      </rPr>
      <t>木夹板</t>
    </r>
    <r>
      <rPr>
        <sz val="10"/>
        <color theme="0"/>
        <rFont val="Helvetica Neue"/>
        <charset val="134"/>
      </rPr>
      <t>)</t>
    </r>
  </si>
  <si>
    <t>Wooden Plywood</t>
  </si>
  <si>
    <t>木芯版</t>
  </si>
  <si>
    <t>Lumber core plywood</t>
  </si>
  <si>
    <t>灼木皮</t>
  </si>
  <si>
    <t>Veneer</t>
  </si>
  <si>
    <t>人造板</t>
  </si>
  <si>
    <t>wood-based panel</t>
  </si>
  <si>
    <t>金</t>
  </si>
  <si>
    <t>Gold</t>
  </si>
  <si>
    <t>银</t>
  </si>
  <si>
    <t>Silver</t>
  </si>
  <si>
    <t>铜</t>
  </si>
  <si>
    <t>Copper</t>
  </si>
  <si>
    <t>铁</t>
  </si>
  <si>
    <t>iron</t>
  </si>
  <si>
    <t>面条</t>
  </si>
  <si>
    <t>Brass</t>
  </si>
  <si>
    <t>青铜</t>
  </si>
  <si>
    <t>Bronze</t>
  </si>
  <si>
    <t>锡</t>
  </si>
  <si>
    <t>Tin</t>
  </si>
  <si>
    <r>
      <rPr>
        <sz val="10"/>
        <color theme="0"/>
        <rFont val="宋体-简"/>
        <charset val="134"/>
      </rPr>
      <t>铂</t>
    </r>
    <r>
      <rPr>
        <sz val="10"/>
        <color theme="0"/>
        <rFont val="Helvetica Neue"/>
        <charset val="134"/>
      </rPr>
      <t xml:space="preserve"> / </t>
    </r>
    <r>
      <rPr>
        <sz val="10"/>
        <color theme="0"/>
        <rFont val="宋体-简"/>
        <charset val="134"/>
      </rPr>
      <t>白金</t>
    </r>
  </si>
  <si>
    <t>Platinum</t>
  </si>
  <si>
    <t>铋</t>
  </si>
  <si>
    <t>Bismuth</t>
  </si>
  <si>
    <t>镁合金</t>
  </si>
  <si>
    <t>Aluminum alloy</t>
  </si>
  <si>
    <t>金银花丝</t>
  </si>
  <si>
    <t xml:space="preserve"> filigree</t>
  </si>
  <si>
    <t>石灰岩</t>
  </si>
  <si>
    <t>Limestone</t>
  </si>
  <si>
    <r>
      <rPr>
        <sz val="10"/>
        <color theme="0"/>
        <rFont val="宋体-简"/>
        <charset val="134"/>
      </rPr>
      <t>泥岩</t>
    </r>
    <r>
      <rPr>
        <sz val="10"/>
        <color theme="0"/>
        <rFont val="Helvetica Neue"/>
        <charset val="134"/>
      </rPr>
      <t>/</t>
    </r>
    <r>
      <rPr>
        <sz val="10"/>
        <color theme="0"/>
        <rFont val="宋体-简"/>
        <charset val="134"/>
      </rPr>
      <t>页岩</t>
    </r>
  </si>
  <si>
    <t>Shale</t>
  </si>
  <si>
    <t>沙岩</t>
  </si>
  <si>
    <t>Sandstone</t>
  </si>
  <si>
    <t>板岩</t>
  </si>
  <si>
    <t>Slate</t>
  </si>
  <si>
    <t>燧石</t>
  </si>
  <si>
    <t>Chert</t>
  </si>
  <si>
    <r>
      <rPr>
        <sz val="10"/>
        <color theme="0"/>
        <rFont val="宋体-简"/>
        <charset val="134"/>
      </rPr>
      <t>熔岩</t>
    </r>
    <r>
      <rPr>
        <sz val="10"/>
        <color theme="0"/>
        <rFont val="Helvetica Neue"/>
        <charset val="134"/>
      </rPr>
      <t>(</t>
    </r>
    <r>
      <rPr>
        <sz val="10"/>
        <color theme="0"/>
        <rFont val="宋体-简"/>
        <charset val="134"/>
      </rPr>
      <t>岩浆状态</t>
    </r>
    <r>
      <rPr>
        <sz val="10"/>
        <color theme="0"/>
        <rFont val="Helvetica Neue"/>
        <charset val="134"/>
      </rPr>
      <t>)</t>
    </r>
  </si>
  <si>
    <t>Lava</t>
  </si>
  <si>
    <r>
      <rPr>
        <sz val="10"/>
        <color theme="0"/>
        <rFont val="宋体-简"/>
        <charset val="134"/>
      </rPr>
      <t>火山岩</t>
    </r>
    <r>
      <rPr>
        <sz val="10"/>
        <color theme="0"/>
        <rFont val="Helvetica Neue"/>
        <charset val="134"/>
      </rPr>
      <t>(</t>
    </r>
    <r>
      <rPr>
        <sz val="10"/>
        <color theme="0"/>
        <rFont val="宋体-简"/>
        <charset val="134"/>
      </rPr>
      <t>密恐那种</t>
    </r>
    <r>
      <rPr>
        <sz val="10"/>
        <color theme="0"/>
        <rFont val="Helvetica Neue"/>
        <charset val="134"/>
      </rPr>
      <t>)</t>
    </r>
  </si>
  <si>
    <t>volcanic rock</t>
  </si>
  <si>
    <t>安山岩</t>
  </si>
  <si>
    <t>Andesite</t>
  </si>
  <si>
    <t>花岗岩</t>
  </si>
  <si>
    <t>Granite</t>
  </si>
  <si>
    <t>玄武岩</t>
  </si>
  <si>
    <t>Basalt</t>
  </si>
  <si>
    <t>黑耀石</t>
  </si>
  <si>
    <t>Obsidian</t>
  </si>
  <si>
    <t>大理石</t>
  </si>
  <si>
    <t>Marble / Marbling</t>
  </si>
  <si>
    <t>石英岩</t>
  </si>
  <si>
    <t>Quartzite</t>
  </si>
  <si>
    <t>蛇岩纹</t>
  </si>
  <si>
    <t>Serpentinite</t>
  </si>
  <si>
    <t>磨石子</t>
  </si>
  <si>
    <t>Terrazzo</t>
  </si>
  <si>
    <r>
      <rPr>
        <sz val="10"/>
        <color theme="0"/>
        <rFont val="宋体-简"/>
        <charset val="134"/>
      </rPr>
      <t>洞岩</t>
    </r>
    <r>
      <rPr>
        <sz val="10"/>
        <color theme="0"/>
        <rFont val="Helvetica Neue"/>
        <charset val="134"/>
      </rPr>
      <t xml:space="preserve"> / </t>
    </r>
    <r>
      <rPr>
        <sz val="10"/>
        <color theme="0"/>
        <rFont val="宋体-简"/>
        <charset val="134"/>
      </rPr>
      <t>石灰华</t>
    </r>
  </si>
  <si>
    <t>Travertine</t>
  </si>
  <si>
    <t>马赛克</t>
  </si>
  <si>
    <t>Mosaic</t>
  </si>
  <si>
    <t>石柱</t>
  </si>
  <si>
    <t>Column</t>
  </si>
  <si>
    <t>哑光</t>
  </si>
  <si>
    <t>hone finished</t>
  </si>
  <si>
    <t>抛光</t>
  </si>
  <si>
    <t>polished finished</t>
  </si>
  <si>
    <t>混合结构</t>
  </si>
  <si>
    <t>concrete texture</t>
  </si>
  <si>
    <t>磁砖</t>
  </si>
  <si>
    <t>Tile</t>
  </si>
  <si>
    <t>鹅卵石</t>
  </si>
  <si>
    <t>cobblestone</t>
  </si>
  <si>
    <t>红宝石</t>
  </si>
  <si>
    <t>Ruby</t>
  </si>
  <si>
    <t>蓝宝石</t>
  </si>
  <si>
    <t>Sapphire</t>
  </si>
  <si>
    <t>天青石</t>
  </si>
  <si>
    <t>Celestine</t>
  </si>
  <si>
    <t>青金石</t>
  </si>
  <si>
    <t>Lazurite</t>
  </si>
  <si>
    <t>月光石</t>
  </si>
  <si>
    <t>Moonstone</t>
  </si>
  <si>
    <t>紫水晶</t>
  </si>
  <si>
    <t>Amethyst</t>
  </si>
  <si>
    <t>黄玉（黄晶）</t>
  </si>
  <si>
    <t>Citrine</t>
  </si>
  <si>
    <t>水晶</t>
  </si>
  <si>
    <t>Crystal</t>
  </si>
  <si>
    <t>本质</t>
  </si>
  <si>
    <t>Quartz</t>
  </si>
  <si>
    <t>石榴石</t>
  </si>
  <si>
    <t>tasty</t>
  </si>
  <si>
    <t>钻石</t>
  </si>
  <si>
    <t>Diamond</t>
  </si>
  <si>
    <r>
      <rPr>
        <sz val="10"/>
        <color theme="0"/>
        <rFont val="宋体-简"/>
        <charset val="134"/>
      </rPr>
      <t>亚历山大石</t>
    </r>
    <r>
      <rPr>
        <sz val="10"/>
        <color theme="0"/>
        <rFont val="Helvetica Neue"/>
        <charset val="134"/>
      </rPr>
      <t>/</t>
    </r>
    <r>
      <rPr>
        <sz val="10"/>
        <color theme="0"/>
        <rFont val="宋体-简"/>
        <charset val="134"/>
      </rPr>
      <t>变色石</t>
    </r>
  </si>
  <si>
    <t xml:space="preserve">Alexandrite        </t>
  </si>
  <si>
    <t>金绿玉</t>
  </si>
  <si>
    <t>Chrysoberyl</t>
  </si>
  <si>
    <t>电气石（碧玺）</t>
  </si>
  <si>
    <t>Tourmaline</t>
  </si>
  <si>
    <t>绿松石</t>
  </si>
  <si>
    <t>Turquoise</t>
  </si>
  <si>
    <t>祖母绿</t>
  </si>
  <si>
    <t>Emerald</t>
  </si>
  <si>
    <t>海蓝宝石</t>
  </si>
  <si>
    <t>Aquamarine</t>
  </si>
  <si>
    <t>橄榄石</t>
  </si>
  <si>
    <t>Olivine/Peridot</t>
  </si>
  <si>
    <t>玛瑙</t>
  </si>
  <si>
    <t>Agate</t>
  </si>
  <si>
    <t>蛋白石</t>
  </si>
  <si>
    <t>Opal</t>
  </si>
  <si>
    <t>绿柱石</t>
  </si>
  <si>
    <t>Beryl</t>
  </si>
  <si>
    <r>
      <rPr>
        <sz val="10"/>
        <color theme="0"/>
        <rFont val="宋体-简"/>
        <charset val="134"/>
      </rPr>
      <t>丹泉石</t>
    </r>
    <r>
      <rPr>
        <sz val="10"/>
        <color theme="0"/>
        <rFont val="Helvetica Neue"/>
        <charset val="134"/>
      </rPr>
      <t>(</t>
    </r>
    <r>
      <rPr>
        <sz val="10"/>
        <color theme="0"/>
        <rFont val="宋体-简"/>
        <charset val="134"/>
      </rPr>
      <t>坦桑石</t>
    </r>
    <r>
      <rPr>
        <sz val="10"/>
        <color theme="0"/>
        <rFont val="Helvetica Neue"/>
        <charset val="134"/>
      </rPr>
      <t>)</t>
    </r>
  </si>
  <si>
    <t>Tanzanite</t>
  </si>
  <si>
    <t>琥珀</t>
  </si>
  <si>
    <t>Amber</t>
  </si>
  <si>
    <t>珍珠</t>
  </si>
  <si>
    <t>Pearl</t>
  </si>
  <si>
    <t>珊瑚</t>
  </si>
  <si>
    <t>Coral</t>
  </si>
  <si>
    <t>象牙</t>
  </si>
  <si>
    <t>Ivory</t>
  </si>
  <si>
    <r>
      <rPr>
        <sz val="10"/>
        <color theme="0"/>
        <rFont val="宋体-简"/>
        <charset val="134"/>
      </rPr>
      <t>蓝铜矿</t>
    </r>
    <r>
      <rPr>
        <sz val="10"/>
        <color theme="0"/>
        <rFont val="Helvetica Neue"/>
        <charset val="134"/>
      </rPr>
      <t>/</t>
    </r>
    <r>
      <rPr>
        <sz val="10"/>
        <color theme="0"/>
        <rFont val="宋体-简"/>
        <charset val="134"/>
      </rPr>
      <t>石青</t>
    </r>
  </si>
  <si>
    <t>Azurite</t>
  </si>
  <si>
    <t>孔雀石</t>
  </si>
  <si>
    <t>Malachite</t>
  </si>
  <si>
    <r>
      <rPr>
        <sz val="10"/>
        <color theme="0"/>
        <rFont val="宋体-简"/>
        <charset val="134"/>
      </rPr>
      <t>翡翠</t>
    </r>
    <r>
      <rPr>
        <sz val="10"/>
        <color theme="0"/>
        <rFont val="Helvetica Neue"/>
        <charset val="134"/>
      </rPr>
      <t>/</t>
    </r>
    <r>
      <rPr>
        <sz val="10"/>
        <color theme="0"/>
        <rFont val="宋体-简"/>
        <charset val="134"/>
      </rPr>
      <t>玉石</t>
    </r>
  </si>
  <si>
    <t>Jadeite / Jade</t>
  </si>
  <si>
    <r>
      <rPr>
        <sz val="10"/>
        <color theme="0"/>
        <rFont val="宋体-简"/>
        <charset val="134"/>
      </rPr>
      <t>煤精</t>
    </r>
    <r>
      <rPr>
        <sz val="10"/>
        <color theme="0"/>
        <rFont val="Helvetica Neue"/>
        <charset val="134"/>
      </rPr>
      <t>/</t>
    </r>
    <r>
      <rPr>
        <sz val="10"/>
        <color theme="0"/>
        <rFont val="宋体-简"/>
        <charset val="134"/>
      </rPr>
      <t>炭玉</t>
    </r>
  </si>
  <si>
    <t>Jet</t>
  </si>
  <si>
    <t>斑彩石</t>
  </si>
  <si>
    <t>Calcentin / Korit</t>
  </si>
  <si>
    <t>硫</t>
  </si>
  <si>
    <t>Sulfur</t>
  </si>
  <si>
    <t>莫桑石（像钻石）</t>
  </si>
  <si>
    <t>Moissanite</t>
  </si>
  <si>
    <t>萤石</t>
  </si>
  <si>
    <t>Fluorite</t>
  </si>
  <si>
    <t>摩根石</t>
  </si>
  <si>
    <t>Morganite</t>
  </si>
  <si>
    <t>粉红尖晶石</t>
  </si>
  <si>
    <t>Pink Spinel</t>
  </si>
  <si>
    <t>煤矿</t>
  </si>
  <si>
    <t>coal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</si>
</sst>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5">
    <font>
      <sz val="10"/>
      <color indexed="8"/>
      <name val="Helvetica Neue"/>
      <charset val="134"/>
    </font>
    <font>
      <sz val="10"/>
      <color theme="0"/>
      <name val="Helvetica Neue"/>
      <charset val="134"/>
    </font>
    <font>
      <sz val="14"/>
      <color theme="0"/>
      <name val="宋体-简"/>
      <charset val="134"/>
    </font>
    <font>
      <sz val="14"/>
      <color theme="0"/>
      <name val="Helvetica Neue"/>
      <charset val="134"/>
    </font>
    <font>
      <sz val="14"/>
      <color theme="0"/>
      <name val="Arial"/>
      <charset val="134"/>
    </font>
    <font>
      <sz val="10"/>
      <color theme="0"/>
      <name val="Arial"/>
      <charset val="134"/>
    </font>
    <font>
      <sz val="11"/>
      <color theme="0"/>
      <name val="Helvetica Neue"/>
      <charset val="134"/>
    </font>
    <font>
      <sz val="10"/>
      <color theme="0"/>
      <name val="宋体-简"/>
      <charset val="134"/>
    </font>
    <font>
      <sz val="11"/>
      <color rgb="FF000000"/>
      <name val="宋体"/>
      <charset val="134"/>
    </font>
    <font>
      <b/>
      <sz val="14"/>
      <color rgb="FF000000"/>
      <name val="宋体"/>
      <charset val="134"/>
    </font>
    <font>
      <b/>
      <sz val="11"/>
      <color rgb="FF000000"/>
      <name val="宋体"/>
      <charset val="134"/>
    </font>
    <font>
      <b/>
      <sz val="11"/>
      <name val="宋体"/>
      <charset val="134"/>
    </font>
    <font>
      <sz val="11"/>
      <name val="宋体"/>
      <charset val="134"/>
    </font>
    <font>
      <sz val="12"/>
      <name val="宋体"/>
      <charset val="134"/>
    </font>
    <font>
      <sz val="11"/>
      <color theme="1"/>
      <name val="Helvetica Neue"/>
      <charset val="134"/>
      <scheme val="minor"/>
    </font>
    <font>
      <u/>
      <sz val="11"/>
      <color rgb="FF0000FF"/>
      <name val="Helvetica Neue"/>
      <charset val="0"/>
      <scheme val="minor"/>
    </font>
    <font>
      <u/>
      <sz val="11"/>
      <color rgb="FF800080"/>
      <name val="Helvetica Neue"/>
      <charset val="0"/>
      <scheme val="minor"/>
    </font>
    <font>
      <sz val="11"/>
      <color rgb="FFFF0000"/>
      <name val="Helvetica Neue"/>
      <charset val="0"/>
      <scheme val="minor"/>
    </font>
    <font>
      <b/>
      <sz val="18"/>
      <color theme="3"/>
      <name val="Helvetica Neue"/>
      <charset val="134"/>
      <scheme val="minor"/>
    </font>
    <font>
      <i/>
      <sz val="11"/>
      <color rgb="FF7F7F7F"/>
      <name val="Helvetica Neue"/>
      <charset val="0"/>
      <scheme val="minor"/>
    </font>
    <font>
      <b/>
      <sz val="15"/>
      <color theme="3"/>
      <name val="Helvetica Neue"/>
      <charset val="134"/>
      <scheme val="minor"/>
    </font>
    <font>
      <b/>
      <sz val="13"/>
      <color theme="3"/>
      <name val="Helvetica Neue"/>
      <charset val="134"/>
      <scheme val="minor"/>
    </font>
    <font>
      <b/>
      <sz val="11"/>
      <color theme="3"/>
      <name val="Helvetica Neue"/>
      <charset val="134"/>
      <scheme val="minor"/>
    </font>
    <font>
      <sz val="11"/>
      <color rgb="FF3F3F76"/>
      <name val="Helvetica Neue"/>
      <charset val="0"/>
      <scheme val="minor"/>
    </font>
    <font>
      <b/>
      <sz val="11"/>
      <color rgb="FF3F3F3F"/>
      <name val="Helvetica Neue"/>
      <charset val="0"/>
      <scheme val="minor"/>
    </font>
    <font>
      <b/>
      <sz val="11"/>
      <color rgb="FFFA7D00"/>
      <name val="Helvetica Neue"/>
      <charset val="0"/>
      <scheme val="minor"/>
    </font>
    <font>
      <b/>
      <sz val="11"/>
      <color rgb="FFFFFFFF"/>
      <name val="Helvetica Neue"/>
      <charset val="0"/>
      <scheme val="minor"/>
    </font>
    <font>
      <sz val="11"/>
      <color rgb="FFFA7D00"/>
      <name val="Helvetica Neue"/>
      <charset val="0"/>
      <scheme val="minor"/>
    </font>
    <font>
      <b/>
      <sz val="11"/>
      <color theme="1"/>
      <name val="Helvetica Neue"/>
      <charset val="0"/>
      <scheme val="minor"/>
    </font>
    <font>
      <sz val="11"/>
      <color rgb="FF006100"/>
      <name val="Helvetica Neue"/>
      <charset val="0"/>
      <scheme val="minor"/>
    </font>
    <font>
      <sz val="11"/>
      <color rgb="FF9C0006"/>
      <name val="Helvetica Neue"/>
      <charset val="0"/>
      <scheme val="minor"/>
    </font>
    <font>
      <sz val="11"/>
      <color rgb="FF9C6500"/>
      <name val="Helvetica Neue"/>
      <charset val="0"/>
      <scheme val="minor"/>
    </font>
    <font>
      <sz val="11"/>
      <color theme="0"/>
      <name val="Helvetica Neue"/>
      <charset val="0"/>
      <scheme val="minor"/>
    </font>
    <font>
      <sz val="11"/>
      <color theme="1"/>
      <name val="Helvetica Neue"/>
      <charset val="0"/>
      <scheme val="minor"/>
    </font>
    <font>
      <sz val="9"/>
      <name val="宋体"/>
      <charset val="134"/>
    </font>
  </fonts>
  <fills count="38">
    <fill>
      <patternFill patternType="none"/>
    </fill>
    <fill>
      <patternFill patternType="gray125"/>
    </fill>
    <fill>
      <patternFill patternType="solid">
        <fgColor rgb="FF2F75B5"/>
        <bgColor indexed="64"/>
      </patternFill>
    </fill>
    <fill>
      <patternFill patternType="solid">
        <fgColor rgb="FFF4B084"/>
        <bgColor indexed="64"/>
      </patternFill>
    </fill>
    <fill>
      <patternFill patternType="solid">
        <fgColor rgb="FF9BC2E6"/>
        <bgColor indexed="64"/>
      </patternFill>
    </fill>
    <fill>
      <patternFill patternType="solid">
        <fgColor rgb="FFDDEBF7"/>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indexed="10"/>
      </left>
      <right style="thin">
        <color indexed="10"/>
      </right>
      <top style="thin">
        <color indexed="10"/>
      </top>
      <bottom style="thin">
        <color indexed="10"/>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style="thin">
        <color auto="1"/>
      </top>
      <bottom style="thin">
        <color auto="1"/>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ill="0" applyBorder="0" applyProtection="0">
      <alignment vertical="top" wrapText="1"/>
    </xf>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7" borderId="8"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9" applyNumberFormat="0" applyFill="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2" fillId="0" borderId="0" applyNumberFormat="0" applyFill="0" applyBorder="0" applyAlignment="0" applyProtection="0">
      <alignment vertical="center"/>
    </xf>
    <xf numFmtId="0" fontId="23" fillId="8" borderId="11" applyNumberFormat="0" applyAlignment="0" applyProtection="0">
      <alignment vertical="center"/>
    </xf>
    <xf numFmtId="0" fontId="24" fillId="9" borderId="12" applyNumberFormat="0" applyAlignment="0" applyProtection="0">
      <alignment vertical="center"/>
    </xf>
    <xf numFmtId="0" fontId="25" fillId="9" borderId="11" applyNumberFormat="0" applyAlignment="0" applyProtection="0">
      <alignment vertical="center"/>
    </xf>
    <xf numFmtId="0" fontId="26" fillId="10" borderId="13" applyNumberFormat="0" applyAlignment="0" applyProtection="0">
      <alignment vertical="center"/>
    </xf>
    <xf numFmtId="0" fontId="27" fillId="0" borderId="14" applyNumberFormat="0" applyFill="0" applyAlignment="0" applyProtection="0">
      <alignment vertical="center"/>
    </xf>
    <xf numFmtId="0" fontId="28" fillId="0" borderId="15" applyNumberFormat="0" applyFill="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2" fillId="37" borderId="0" applyNumberFormat="0" applyBorder="0" applyAlignment="0" applyProtection="0">
      <alignment vertical="center"/>
    </xf>
  </cellStyleXfs>
  <cellXfs count="46">
    <xf numFmtId="0" fontId="0" fillId="0" borderId="0" xfId="0" applyFont="1" applyAlignment="1">
      <alignment vertical="top" wrapText="1"/>
    </xf>
    <xf numFmtId="0" fontId="1" fillId="0" borderId="0" xfId="0" applyNumberFormat="1" applyFont="1" applyFill="1" applyAlignment="1">
      <alignment vertical="top" wrapText="1"/>
    </xf>
    <xf numFmtId="0" fontId="1" fillId="0" borderId="0" xfId="0" applyFont="1" applyFill="1" applyAlignment="1">
      <alignment vertical="top" wrapText="1"/>
    </xf>
    <xf numFmtId="49" fontId="2" fillId="0" borderId="1" xfId="0" applyNumberFormat="1" applyFont="1" applyFill="1" applyBorder="1" applyAlignment="1">
      <alignment vertical="center" wrapText="1"/>
    </xf>
    <xf numFmtId="49" fontId="3" fillId="0" borderId="1" xfId="0" applyNumberFormat="1" applyFont="1" applyFill="1" applyBorder="1" applyAlignment="1">
      <alignment vertical="center" wrapText="1"/>
    </xf>
    <xf numFmtId="49" fontId="2" fillId="0" borderId="1" xfId="0" applyNumberFormat="1" applyFont="1" applyFill="1" applyBorder="1" applyAlignment="1">
      <alignment vertical="top" wrapText="1"/>
    </xf>
    <xf numFmtId="49" fontId="3" fillId="0" borderId="1" xfId="0" applyNumberFormat="1" applyFont="1" applyFill="1" applyBorder="1" applyAlignment="1">
      <alignment vertical="top" wrapText="1"/>
    </xf>
    <xf numFmtId="0" fontId="3" fillId="0" borderId="1" xfId="0" applyFont="1" applyFill="1" applyBorder="1" applyAlignment="1">
      <alignment vertical="top" wrapText="1"/>
    </xf>
    <xf numFmtId="0" fontId="2" fillId="0" borderId="1" xfId="0" applyFont="1" applyFill="1" applyBorder="1" applyAlignment="1">
      <alignment vertical="top" wrapText="1"/>
    </xf>
    <xf numFmtId="49" fontId="4" fillId="0" borderId="1" xfId="0" applyNumberFormat="1" applyFont="1" applyFill="1" applyBorder="1" applyAlignment="1">
      <alignment horizontal="left" vertical="center" wrapText="1" readingOrder="1"/>
    </xf>
    <xf numFmtId="49" fontId="2" fillId="0" borderId="1" xfId="0" applyNumberFormat="1" applyFont="1" applyFill="1" applyBorder="1" applyAlignment="1">
      <alignment horizontal="left" vertical="center" wrapText="1" readingOrder="1"/>
    </xf>
    <xf numFmtId="0" fontId="5" fillId="0" borderId="1" xfId="0" applyFont="1" applyFill="1" applyBorder="1" applyAlignment="1">
      <alignment horizontal="left" vertical="center" wrapText="1" readingOrder="1"/>
    </xf>
    <xf numFmtId="0" fontId="6" fillId="0" borderId="1" xfId="0" applyFont="1" applyFill="1" applyBorder="1" applyAlignment="1">
      <alignment vertical="top" wrapText="1"/>
    </xf>
    <xf numFmtId="0" fontId="1" fillId="0" borderId="1" xfId="0" applyFont="1" applyFill="1" applyBorder="1" applyAlignment="1">
      <alignment vertical="top" wrapText="1"/>
    </xf>
    <xf numFmtId="0" fontId="7" fillId="0" borderId="1" xfId="0" applyFont="1" applyFill="1" applyBorder="1" applyAlignment="1">
      <alignment horizontal="left" vertical="center" wrapText="1" readingOrder="1"/>
    </xf>
    <xf numFmtId="0" fontId="7" fillId="0" borderId="1" xfId="0" applyFont="1" applyFill="1" applyBorder="1" applyAlignment="1">
      <alignment vertical="top" wrapText="1"/>
    </xf>
    <xf numFmtId="0" fontId="7" fillId="0" borderId="0" xfId="0" applyNumberFormat="1" applyFont="1" applyFill="1" applyAlignment="1">
      <alignment vertical="top" wrapText="1"/>
    </xf>
    <xf numFmtId="0" fontId="8" fillId="0" borderId="0" xfId="0" applyNumberFormat="1" applyFont="1" applyFill="1" applyBorder="1" applyAlignment="1" applyProtection="1">
      <alignment vertical="center"/>
      <protection locked="0" hidden="1"/>
    </xf>
    <xf numFmtId="0" fontId="8" fillId="0" borderId="0" xfId="0" applyNumberFormat="1" applyFont="1" applyFill="1" applyBorder="1" applyAlignment="1" applyProtection="1">
      <alignment vertical="center"/>
      <protection locked="0"/>
    </xf>
    <xf numFmtId="0" fontId="8" fillId="0" borderId="0" xfId="0" applyNumberFormat="1" applyFont="1" applyFill="1" applyBorder="1" applyAlignment="1" applyProtection="1">
      <alignment vertical="center" wrapText="1"/>
      <protection locked="0" hidden="1"/>
    </xf>
    <xf numFmtId="0" fontId="8" fillId="0" borderId="2" xfId="0" applyNumberFormat="1" applyFont="1" applyFill="1" applyBorder="1" applyAlignment="1" applyProtection="1">
      <alignment vertical="center" wrapText="1"/>
      <protection locked="0" hidden="1"/>
    </xf>
    <xf numFmtId="0" fontId="9" fillId="2" borderId="3" xfId="0" applyNumberFormat="1" applyFont="1" applyFill="1" applyBorder="1" applyAlignment="1" applyProtection="1">
      <alignment horizontal="center" vertical="center"/>
      <protection locked="0"/>
    </xf>
    <xf numFmtId="0" fontId="9" fillId="2" borderId="0" xfId="0" applyNumberFormat="1" applyFont="1" applyFill="1" applyBorder="1" applyAlignment="1" applyProtection="1">
      <alignment horizontal="center" vertical="center"/>
      <protection locked="0"/>
    </xf>
    <xf numFmtId="0" fontId="10" fillId="3" borderId="2" xfId="0" applyNumberFormat="1" applyFont="1" applyFill="1" applyBorder="1" applyAlignment="1" applyProtection="1">
      <alignment horizontal="center" vertical="center" wrapText="1"/>
      <protection locked="0" hidden="1"/>
    </xf>
    <xf numFmtId="0" fontId="10" fillId="0" borderId="4" xfId="0" applyNumberFormat="1" applyFont="1" applyFill="1" applyBorder="1" applyAlignment="1" applyProtection="1">
      <alignment horizontal="center" vertical="center"/>
      <protection locked="0" hidden="1"/>
    </xf>
    <xf numFmtId="0" fontId="10" fillId="0" borderId="2" xfId="0" applyNumberFormat="1" applyFont="1" applyFill="1" applyBorder="1" applyAlignment="1" applyProtection="1">
      <alignment horizontal="center" vertical="center"/>
      <protection locked="0" hidden="1"/>
    </xf>
    <xf numFmtId="0" fontId="11" fillId="4" borderId="2" xfId="0" applyNumberFormat="1" applyFont="1" applyFill="1" applyBorder="1" applyAlignment="1" applyProtection="1">
      <alignment vertical="center"/>
      <protection locked="0"/>
    </xf>
    <xf numFmtId="0" fontId="8" fillId="5" borderId="2" xfId="0" applyNumberFormat="1" applyFont="1" applyFill="1" applyBorder="1" applyAlignment="1" applyProtection="1">
      <alignment vertical="center"/>
      <protection locked="0"/>
    </xf>
    <xf numFmtId="0" fontId="10" fillId="5" borderId="2" xfId="0" applyNumberFormat="1" applyFont="1" applyFill="1" applyBorder="1" applyAlignment="1" applyProtection="1">
      <alignment vertical="center"/>
      <protection locked="0"/>
    </xf>
    <xf numFmtId="0" fontId="10" fillId="6" borderId="2" xfId="0" applyNumberFormat="1" applyFont="1" applyFill="1" applyBorder="1" applyAlignment="1" applyProtection="1">
      <alignment horizontal="center" vertical="center" wrapText="1"/>
      <protection hidden="1"/>
    </xf>
    <xf numFmtId="0" fontId="12" fillId="0" borderId="4" xfId="0" applyNumberFormat="1" applyFont="1" applyFill="1" applyBorder="1" applyAlignment="1" applyProtection="1">
      <alignment vertical="center" wrapText="1"/>
      <protection locked="0" hidden="1"/>
    </xf>
    <xf numFmtId="0" fontId="12" fillId="0" borderId="2" xfId="0" applyNumberFormat="1" applyFont="1" applyFill="1" applyBorder="1" applyAlignment="1" applyProtection="1">
      <alignment vertical="center" wrapText="1"/>
      <protection locked="0" hidden="1"/>
    </xf>
    <xf numFmtId="0" fontId="11" fillId="4" borderId="2" xfId="0" applyNumberFormat="1" applyFont="1" applyFill="1" applyBorder="1" applyAlignment="1" applyProtection="1">
      <alignment vertical="center"/>
      <protection locked="0" hidden="1"/>
    </xf>
    <xf numFmtId="0" fontId="8" fillId="0" borderId="2" xfId="0" applyNumberFormat="1" applyFont="1" applyFill="1" applyBorder="1" applyAlignment="1" applyProtection="1">
      <alignment vertical="center"/>
      <protection locked="0" hidden="1"/>
    </xf>
    <xf numFmtId="0" fontId="8" fillId="0" borderId="2" xfId="0" applyNumberFormat="1" applyFont="1" applyFill="1" applyBorder="1" applyAlignment="1" applyProtection="1">
      <alignment horizontal="center" vertical="center"/>
      <protection locked="0" hidden="1"/>
    </xf>
    <xf numFmtId="0" fontId="8" fillId="0" borderId="2" xfId="0" applyNumberFormat="1" applyFont="1" applyFill="1" applyBorder="1" applyAlignment="1" applyProtection="1">
      <alignment vertical="center"/>
      <protection locked="0"/>
    </xf>
    <xf numFmtId="176" fontId="13" fillId="0" borderId="2" xfId="0" applyNumberFormat="1" applyFont="1" applyFill="1" applyBorder="1" applyAlignment="1" applyProtection="1">
      <alignment horizontal="left" vertical="center" wrapText="1"/>
      <protection locked="0"/>
    </xf>
    <xf numFmtId="0" fontId="8" fillId="0" borderId="2" xfId="0" applyNumberFormat="1" applyFont="1" applyFill="1" applyBorder="1" applyAlignment="1" applyProtection="1">
      <alignment vertical="center" wrapText="1"/>
      <protection locked="0"/>
    </xf>
    <xf numFmtId="0" fontId="10" fillId="6" borderId="2" xfId="0" applyNumberFormat="1" applyFont="1" applyFill="1" applyBorder="1" applyAlignment="1" applyProtection="1">
      <alignment vertical="center" wrapText="1"/>
      <protection hidden="1"/>
    </xf>
    <xf numFmtId="0" fontId="12" fillId="0" borderId="5" xfId="0" applyNumberFormat="1" applyFont="1" applyFill="1" applyBorder="1" applyAlignment="1" applyProtection="1">
      <alignment vertical="center" wrapText="1"/>
      <protection locked="0" hidden="1"/>
    </xf>
    <xf numFmtId="0" fontId="12" fillId="0" borderId="6" xfId="0" applyNumberFormat="1" applyFont="1" applyFill="1" applyBorder="1" applyAlignment="1" applyProtection="1">
      <alignment vertical="center" wrapText="1"/>
      <protection locked="0" hidden="1"/>
    </xf>
    <xf numFmtId="0" fontId="8" fillId="0" borderId="0" xfId="0" applyNumberFormat="1" applyFont="1" applyFill="1" applyBorder="1" applyAlignment="1" applyProtection="1">
      <alignment vertical="center" wrapText="1"/>
      <protection hidden="1"/>
    </xf>
    <xf numFmtId="0" fontId="8" fillId="0" borderId="7" xfId="0" applyNumberFormat="1" applyFont="1" applyFill="1" applyBorder="1" applyAlignment="1" applyProtection="1">
      <alignment vertical="center"/>
      <protection locked="0" hidden="1"/>
    </xf>
    <xf numFmtId="0" fontId="8" fillId="0" borderId="7" xfId="0" applyNumberFormat="1" applyFont="1" applyFill="1" applyBorder="1" applyAlignment="1" applyProtection="1">
      <alignment horizontal="center" vertical="center" wrapText="1"/>
      <protection locked="0" hidden="1"/>
    </xf>
    <xf numFmtId="0" fontId="8" fillId="0" borderId="2" xfId="0" applyNumberFormat="1" applyFont="1" applyFill="1" applyBorder="1" applyAlignment="1" applyProtection="1">
      <alignment horizontal="center" vertical="center" wrapText="1"/>
      <protection locked="0" hidden="1"/>
    </xf>
    <xf numFmtId="0" fontId="8" fillId="0" borderId="0" xfId="0" applyNumberFormat="1" applyFont="1" applyFill="1" applyBorder="1" applyAlignment="1" applyProtection="1">
      <alignment horizontal="center" vertical="center" wrapText="1"/>
      <protection locked="0" hidden="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colors>
    <indexedColors>
      <rgbColor rgb="00000000"/>
      <rgbColor rgb="00FFFFFF"/>
      <rgbColor rgb="00FF0000"/>
      <rgbColor rgb="0000FF00"/>
      <rgbColor rgb="000000FF"/>
      <rgbColor rgb="00FFFF00"/>
      <rgbColor rgb="00FF00FF"/>
      <rgbColor rgb="0000FFFF"/>
      <rgbColor rgb="00000000"/>
      <rgbColor rgb="00D5D5D5"/>
      <rgbColor rgb="00A5A5A5"/>
      <rgbColor rgb="003F3F3F"/>
      <rgbColor rgb="00FEFFFE"/>
      <rgbColor rgb="00BDC0BF"/>
      <rgbColor rgb="00374151"/>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DEECFB"/>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www.wps.cn/officeDocument/2020/cellImage" Target="cellimag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panose="02000503000000020004"/>
            <a:ea typeface="Helvetica Neue Medium" panose="02000503000000020004"/>
            <a:cs typeface="Helvetica Neue Medium" panose="02000503000000020004"/>
            <a:sym typeface="Helvetica Neue Medium" panose="020005030000000200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spDef>
    <a:lnDef>
      <a:spPr>
        <a:noFill/>
        <a:ln w="12700" cap="flat">
          <a:solidFill>
            <a:srgbClr val="000000"/>
          </a:solidFill>
          <a:prstDash val="solid"/>
          <a:miter lim="400000"/>
        </a:ln>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lnDef>
    <a:txDef>
      <a:spPr>
        <a:noFill/>
        <a:ln w="12700" cap="flat">
          <a:noFill/>
          <a:miter lim="400000"/>
        </a:ln>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panose="02000503000000020004"/>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rgbClr val="FFFFFF"/>
        </a:lnRef>
        <a:fillRef idx="0">
          <a:srgbClr val="FFFFFF"/>
        </a:fillRef>
        <a:effectRef idx="0">
          <a:srgbClr val="FFFFFF"/>
        </a:effectRef>
        <a:fontRef idx="none"/>
      </a:style>
    </a:tx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0"/>
  <sheetViews>
    <sheetView tabSelected="1" workbookViewId="0">
      <selection activeCell="C5" sqref="C5"/>
    </sheetView>
  </sheetViews>
  <sheetFormatPr defaultColWidth="8.35238095238095" defaultRowHeight="13.5"/>
  <cols>
    <col min="1" max="1" width="9.80952380952381" style="18" customWidth="1"/>
    <col min="2" max="2" width="21.8571428571429" style="18" customWidth="1"/>
    <col min="3" max="3" width="15.3333333333333" style="18" customWidth="1"/>
    <col min="4" max="4" width="27.8190476190476" style="18" customWidth="1"/>
    <col min="5" max="5" width="75.5904761904762" style="19" customWidth="1"/>
    <col min="6" max="6" width="38.6857142857143" style="19" customWidth="1"/>
    <col min="7" max="8" width="38.6857142857143" style="20" customWidth="1"/>
    <col min="9" max="9" width="33.3333333333333" style="17" customWidth="1"/>
    <col min="10" max="10" width="38.2380952380952" style="19" customWidth="1"/>
    <col min="11" max="11" width="43" style="17" customWidth="1"/>
    <col min="12" max="16384" width="8.57142857142857" style="17"/>
  </cols>
  <sheetData>
    <row r="1" s="17" customFormat="1" ht="60" customHeight="1" spans="1:11">
      <c r="A1" s="21" t="s">
        <v>0</v>
      </c>
      <c r="B1" s="22"/>
      <c r="C1" s="22"/>
      <c r="D1" s="22"/>
      <c r="E1" s="23" t="str">
        <f>IF(OR(B2="👀宏观市场调研",B2="🙋受众分析",B2="💃红人开发"),B2,B3)&amp;"Prompts"</f>
        <v>🆚竞品功能对比Prompts</v>
      </c>
      <c r="F1" s="24" t="s">
        <v>1</v>
      </c>
      <c r="G1" s="25" t="s">
        <v>2</v>
      </c>
      <c r="H1" s="25" t="s">
        <v>3</v>
      </c>
      <c r="I1" s="42" t="s">
        <v>4</v>
      </c>
      <c r="J1" s="20" t="s">
        <v>5</v>
      </c>
      <c r="K1" s="19"/>
    </row>
    <row r="2" s="17" customFormat="1" ht="39" customHeight="1" spans="1:11">
      <c r="A2" s="26" t="s">
        <v>6</v>
      </c>
      <c r="B2" s="27" t="s">
        <v>7</v>
      </c>
      <c r="C2" s="26" t="s">
        <v>8</v>
      </c>
      <c r="D2" s="28" t="s">
        <v>9</v>
      </c>
      <c r="E2" s="29" t="str">
        <f>IF($B$2="👀宏观市场调研",F2,IF($B$2="🙋受众分析",G2,IF($B$2="💃红人开发",H2,IF(AND(B2="🔍微观竞品分析",B3="💯竞品文案分析"),J2,IF(AND(B2="🔍微观竞品分析",B3="🆚竞品功能对比"),I2,"")))))</f>
        <v>【竞品功能对比】将以下产品的功能进行归纳对比分析，并以表格形式中文输出，最后一列根据产品竞争力打一个总分（满分10分）：#B0C897FFCJ| Portable Power Station, 300Wh Backup Lithium Battery,110V/300W Pure Sine Wave AC Outlet for Outdoors Camping Travel Hunting Blackout| [PORTABLE AND POWERFUL]: The Dr. Prince Portable Power Station is MSDS, UN38.3 certified, with portable dimensions of 9 x 5.8 x 7.9 inches and weighs only 6.8 pounds, yet with 299wh capacity and 300W AC output, the Dr. Prince Portable Power Station provides enough power to charge your cell phone, laptop, camera, Gopro, drone and more. Designed with 7 output ports to charge multiple devices at once, it is an ideal emergency battery, outdoor and camping backup.
[110V Pure Sine Wave and Multi-Port]: Built-in 1 x 110V Pure Sine Wave AC outlet ensures that the solar power generator (without solar panel) works quieter, more efficiently and stably, which protects your sensitive devices such as laptops from damage.2 x Regulated DC Outputs (12V/24V) provide stable power output for DC appliances, such as a mini fridge or car vacuum cleaner. Quick Charger USB (5V/3A max) and USB-C port (30W) for fast charging of cell phones and tablets.
[Tips for protecting battery station]: 1. Fully charge the electricity power station before using 2. If it is not used for a long time, the stored battery should be recharged every 3-6 months, and it is appropriate to keep it at 40%-70%. Recharging the battery before it is completely exhausted 3. The battery should be stored in a dry environment at 40°F~100°F (4°C~35°C) or in moisture-proof packaging. Keep away from heat sources, and don’t place it in direct sunlight
[Note]: 1. This 300w portable generator only support lower than 300Watt Hour device, it may not support large capacity product（Electric Grill/ Induction cooker/ Microwave/ Refrigerator) and more 2. It is normal when you turn on the ac output button, the red triangle shows up for checking AC output and will disappear in 3-5 second.
[Power is supplied by a variety of charging methods]: 1,The solar generator can be charged with any compatible 12-25V solar panel (panels not included), and the built-in controller speeds up battery charging.2,Portable power stations with AC outlets can be charged by plugging into a wall outlet.3,Portable AC battery packs can be charged by a 12V outlet in a vehicle.4,Portable battery packs can be charged by a 12V outlet in a car.5,Portable battery packs can be charged by a 12V outlet in a car.6,Portable battery packs are designed for use in a car. Maximum charging rate is 100W and can be fully charged in 4 hours.#B0B286D2V7| Portable Power Station 300W (Peak 600W), GRECELL 288Wh Solar Generator with 60W USB-C PD Output, 110V Pure Sine Wave AC Outlet Backup Lithium Battery for Outdoors Camping Travel Hunting Home Blackout| 【288Wh Capacity, 330W Output】330W (600W surge) pure sine wave supports most laptops, tablets, phones, lights, fans, CPAP medical devices, projectors, TV, mini-refrigerator, speaker, camera (rated power less than 330W). 288Wh huge capacity but light weight makes it compact and perfect for camping, car trips and other family outings.
【Upgraded Battery Management System】We promise to adopt quality lithium batteries since we found that the use of lower-quality batteries could pose a serious risk to life and should become a crucial part of deciding what to buy. Upgraded BMS provides built-in overload, overcharge (automatically stops charging when the device is full), and short-circuit protection. Dual built-in silent cooling fans help to keep the station's temperature safe.
【USB-C PD 60W, USB-A QC 18W】PD60W fast charging makes it possible to charge Android and iPhone, tablets, and laptops quickly, more than twice as fast as other standard USB-C output, and ultra-high efficiency in emergencies. All USB-A ports are quick-charge 3.0 18W, providing higher efficiency for each device.
【Power 8 Device simultaneously】Equipped with 1*AC output, 1*USB-C PD 60W output, 3*USB-A QC3.0 18W outputs, 1*Car port, 2*DC outputs, GRECELL solar generator can power eight devices at the same time (as long as they draw less than 330W combined). Each switch can control each output module.
【3 Ways To Recharge, Built-in MPPT Controller】GRECELL power station, can be charged via an AC outlet, a solar panel, or a car outlet. Built-in MPPT (Maximum Power Point Tracking Control) so it can extract the maximum power from the solar panel, optimizing the utilization of variable power sources like a solar generator.#B0CGHTGTWZ| 300W Portable Power Station, 300Wh/81000mAh Laptop Power Bank with AC Outlet, Dual Way 65W PD/USB-C Port, Laptop Charger Battery Pack Power Supply for Outdoor Camping Home Emergency Outage| 【RAPID RECHARGE FROM 0-60% WITHIN 1 HOUR】- With the DC 120W and PD 65W plugged in, the ac power bank supports up to 185W input rate. Get it recharged before camping or a trip, it will be prepared in less than one hour, allowing your travel to go as you please.
【2 PURE SINE WAVE AC 300W OUTPUT】- The rechargeable power bank with 300W ac outlet can be used to charge and power a wide range of devices(Rated power less than 300W), including laptops, mini refrigerators, fans, fish finders, cpap, small heater, small appliances and other camping tools. It serves as your emergency power supply and backup battery, allowing you to keep your electronic devices charged and running in an emergency.
【PD 65W FAST CHARGING PORT】- PD 65W fast charging, make your laptop power bank ready quickly, and can also charge your phones, tablets, laptops, and other electronic devices in a short time. The charge speed and input power are twice as fast as using a USB-C/Type-C port.
【9 OUTPUT MEET YOUR NEED】- The battery pack is equipped with 2* USB ports, 1* QC 3.0 port, 1*PD 65W port, 1*PD 18W port, 2*AC 300W power outlet, and 2*DC output. It could provide you with electricity for multiple devices at the same time, making your camp life more convenient. (Note: If you want to charge faster, we recommend that you prioritize using the AC or PD port for charging.)
【4 RECHARGING WAYS】- Powdeom power bank with outlet can be recharged by a wall outlet, PD port, or 60w solar panel, even wall outlet and PD port charging together. No matter whether you are outdoors camping, taking a trip, or at home resting, it can be charged and fully used, keeping you stay connected to unlimited energy.
【MULTIPLE PROTECTION MECHANISMS】- We never compromise on the safety of this battery bank, the built-in Battery Management System ( BMS ) could protect it from over-temperature, over-voltage, over-power, over-current, and short circuits no matter the weather is cold or hot, it is outdoor or indoor.
【CAMPACT DESIGN &amp; 3 MODES LED LIGHT】- The 7.7lbs lightweight portable laptop charger is portable for men, women, and even kids. The soft leather handle design could keep your hand comfortable and makes the station easy to carry. This portable generator is built with 3 lighting modes (bright light, flash, and SOS mode) to meet your different needs. In lighting mode, it can last up to 50 hours. When you go out camping or experience power outages, this power supply can always help you out.
【WHAT YOU GET】- Powdeom 300W Portable Power Station, DC adapter, manual. Powdeom provides our dear customers with warranty of 12 months from the date of purchase and friendly customer service.#B08F7XNWW4| 300W Portable Power Station, 299Wh/80818mAh Solar Generator, Regulated DC Output Backup Battery with Pass-Through Charging AC Outlet, Pure Sine Wave, LED Light Power Station for CPAP Camping| More Powerful In Less Weight : 299Wh/80818mAh portable power station weights only 7lb, powerful enough to charge smartphones (2000mah) 40 times, laptops (56wh) 4-5 times, mini fridge(45W) about 6-18 hours, CPAP 2-4 nights(using DC converter). Ideal for camping, home emergency, travel, fishing, van life.
Multiple Outputs For Choice: This solar powered generator features 1*pure sine wave 110v AC outlet (300w rated, 600w peak); 1*car port (12V/10A, 120w max); Built-in QC 3.0 USB and USB-C output(9V/2A, 18w max) can charge your small digital devices effectively; Fast charger on the top is convenient to charge your phone any where when you forget to bring usb cable (*All ports support pass-through charging*)
Smart 12V Regulated Power: Progeny P66 300W power station was the 1st to offer regulated 12v outout comparing to most similar power staions on the market, 12V regulated power can keep you trouble-free from the devices shutting down when the battery is low (like electric cooler, freezer, CPAP)
Charge It Anywhere: Built-in professional MPPT technology, this solar generator provides faster solar recharge rates by Progeny 120W solar panel (sold separately) about 6-7 hrs; Recharge from a carport within 7-8 hrs while on-the-road/off-road; It also can be full charged by AC wall outlet within 6-7 hrs
Safe And Reliable: P66 portable battery pack use battery management system (BMS) to improve battery utilization, extend battery life through short protection, overcurrent protection, overvoltage protection, overload protection, and overheating protection; With Pure Sine Wave charges your devices more stable and safety without damage and reduces audible electrical noise</v>
      </c>
      <c r="F2" s="30" t="str">
        <f>"【角色设定】你是一名资深的"&amp;D3&amp;"亚马逊"&amp;D2&amp;"产品开发经理，你将用你专业的产品开发经验协助我进行产品开发，你将根据我的需求提供数据分析、市场调研、竞品分析等报告。回答风格以，专业、客观、详细。当你为我提供反馈或建议时，会引导我进一步说明产品需求或意愿。你将遵守以下规则：1、始终以该身份和名义回答我的任何问题。2、不胡编乱造内容，一切回答都可以在互联网上追溯到。当遇到不确定和不知道的问题时直接回答不知道。"</f>
        <v>【角色设定】你是一名资深的🇺🇸美国亚马逊portable power station产品开发经理，你将用你专业的产品开发经验协助我进行产品开发，你将根据我的需求提供数据分析、市场调研、竞品分析等报告。回答风格以，专业、客观、详细。当你为我提供反馈或建议时，会引导我进一步说明产品需求或意愿。你将遵守以下规则：1、始终以该身份和名义回答我的任何问题。2、不胡编乱造内容，一切回答都可以在互联网上追溯到。当遇到不确定和不知道的问题时直接回答不知道。</v>
      </c>
      <c r="G2" s="31" t="str">
        <f>"【角色设定】你是一名"&amp;D3&amp;"亚马逊"&amp;D2&amp;"资深市场调研专家，你将用你专业的市场调研经验根据我的需求提供数据分析、市场调研、受众分析，竞品分析等报告。回答风格以，专业、客观、详细。当你为我提供反馈或建议时，会引导我进一步说明产品需求或意愿。你将遵守以下规则：1、始终以该身份和名义回答我的任何问题。2、不胡编乱造内容，一切回答都可以在互联网上追溯到。当遇到不确定和不知道的问题时直接回答不知道。"</f>
        <v>【角色设定】你是一名🇺🇸美国亚马逊portable power station资深市场调研专家，你将用你专业的市场调研经验根据我的需求提供数据分析、市场调研、受众分析，竞品分析等报告。回答风格以，专业、客观、详细。当你为我提供反馈或建议时，会引导我进一步说明产品需求或意愿。你将遵守以下规则：1、始终以该身份和名义回答我的任何问题。2、不胡编乱造内容，一切回答都可以在互联网上追溯到。当遇到不确定和不知道的问题时直接回答不知道。</v>
      </c>
      <c r="H2" s="31" t="str">
        <f>"【角色设定】你是一名资深的"&amp;D3&amp;"亚马逊"&amp;D2&amp;"站外推广专家，你将为我提供专业的站外推广咨询服务，帮助我快速提升产品曝光度，获取更多有效的访问和销售机会。无论是从渠道选择、投放策略、数据分析等方面，你都能提供具有成本效益的解决方案。回答风格以客观专业，注重实效。当你为我提供反馈或建议时，会引导我进一步说明产品需求或意愿。始终以该角色的身份和名义回答我的任何问题。以下是我的第一个问题："</f>
        <v>【角色设定】你是一名资深的🇺🇸美国亚马逊portable power station站外推广专家，你将为我提供专业的站外推广咨询服务，帮助我快速提升产品曝光度，获取更多有效的访问和销售机会。无论是从渠道选择、投放策略、数据分析等方面，你都能提供具有成本效益的解决方案。回答风格以客观专业，注重实效。当你为我提供反馈或建议时，会引导我进一步说明产品需求或意愿。始终以该角色的身份和名义回答我的任何问题。以下是我的第一个问题：</v>
      </c>
      <c r="I2" s="43" t="str">
        <f>"【竞品功能对比】将以下产品的功能进行归纳对比分析，并以表格形式中文输出，最后一列根据产品竞争力打一个总分（满分10分）："&amp;"#"&amp;B6&amp;"| "&amp;C6&amp;"| "&amp;D6&amp;"#"&amp;B7&amp;"| "&amp;C7&amp;"| "&amp;D7&amp;"#"&amp;B8&amp;"| "&amp;C8&amp;"| "&amp;D8&amp;"#"&amp;B9&amp;"| "&amp;C9&amp;"| "&amp;D9</f>
        <v>【竞品功能对比】将以下产品的功能进行归纳对比分析，并以表格形式中文输出，最后一列根据产品竞争力打一个总分（满分10分）：#B0C897FFCJ| Portable Power Station, 300Wh Backup Lithium Battery,110V/300W Pure Sine Wave AC Outlet for Outdoors Camping Travel Hunting Blackout| [PORTABLE AND POWERFUL]: The Dr. Prince Portable Power Station is MSDS, UN38.3 certified, with portable dimensions of 9 x 5.8 x 7.9 inches and weighs only 6.8 pounds, yet with 299wh capacity and 300W AC output, the Dr. Prince Portable Power Station provides enough power to charge your cell phone, laptop, camera, Gopro, drone and more. Designed with 7 output ports to charge multiple devices at once, it is an ideal emergency battery, outdoor and camping backup.
[110V Pure Sine Wave and Multi-Port]: Built-in 1 x 110V Pure Sine Wave AC outlet ensures that the solar power generator (without solar panel) works quieter, more efficiently and stably, which protects your sensitive devices such as laptops from damage.2 x Regulated DC Outputs (12V/24V) provide stable power output for DC appliances, such as a mini fridge or car vacuum cleaner. Quick Charger USB (5V/3A max) and USB-C port (30W) for fast charging of cell phones and tablets.
[Tips for protecting battery station]: 1. Fully charge the electricity power station before using 2. If it is not used for a long time, the stored battery should be recharged every 3-6 months, and it is appropriate to keep it at 40%-70%. Recharging the battery before it is completely exhausted 3. The battery should be stored in a dry environment at 40°F~100°F (4°C~35°C) or in moisture-proof packaging. Keep away from heat sources, and don’t place it in direct sunlight
[Note]: 1. This 300w portable generator only support lower than 300Watt Hour device, it may not support large capacity product（Electric Grill/ Induction cooker/ Microwave/ Refrigerator) and more 2. It is normal when you turn on the ac output button, the red triangle shows up for checking AC output and will disappear in 3-5 second.
[Power is supplied by a variety of charging methods]: 1,The solar generator can be charged with any compatible 12-25V solar panel (panels not included), and the built-in controller speeds up battery charging.2,Portable power stations with AC outlets can be charged by plugging into a wall outlet.3,Portable AC battery packs can be charged by a 12V outlet in a vehicle.4,Portable battery packs can be charged by a 12V outlet in a car.5,Portable battery packs can be charged by a 12V outlet in a car.6,Portable battery packs are designed for use in a car. Maximum charging rate is 100W and can be fully charged in 4 hours.#B0B286D2V7| Portable Power Station 300W (Peak 600W), GRECELL 288Wh Solar Generator with 60W USB-C PD Output, 110V Pure Sine Wave AC Outlet Backup Lithium Battery for Outdoors Camping Travel Hunting Home Blackout| 【288Wh Capacity, 330W Output】330W (600W surge) pure sine wave supports most laptops, tablets, phones, lights, fans, CPAP medical devices, projectors, TV, mini-refrigerator, speaker, camera (rated power less than 330W). 288Wh huge capacity but light weight makes it compact and perfect for camping, car trips and other family outings.
【Upgraded Battery Management System】We promise to adopt quality lithium batteries since we found that the use of lower-quality batteries could pose a serious risk to life and should become a crucial part of deciding what to buy. Upgraded BMS provides built-in overload, overcharge (automatically stops charging when the device is full), and short-circuit protection. Dual built-in silent cooling fans help to keep the station's temperature safe.
【USB-C PD 60W, USB-A QC 18W】PD60W fast charging makes it possible to charge Android and iPhone, tablets, and laptops quickly, more than twice as fast as other standard USB-C output, and ultra-high efficiency in emergencies. All USB-A ports are quick-charge 3.0 18W, providing higher efficiency for each device.
【Power 8 Device simultaneously】Equipped with 1*AC output, 1*USB-C PD 60W output, 3*USB-A QC3.0 18W outputs, 1*Car port, 2*DC outputs, GRECELL solar generator can power eight devices at the same time (as long as they draw less than 330W combined). Each switch can control each output module.
【3 Ways To Recharge, Built-in MPPT Controller】GRECELL power station, can be charged via an AC outlet, a solar panel, or a car outlet. Built-in MPPT (Maximum Power Point Tracking Control) so it can extract the maximum power from the solar panel, optimizing the utilization of variable power sources like a solar generator.#B0CGHTGTWZ| 300W Portable Power Station, 300Wh/81000mAh Laptop Power Bank with AC Outlet, Dual Way 65W PD/USB-C Port, Laptop Charger Battery Pack Power Supply for Outdoor Camping Home Emergency Outage| 【RAPID RECHARGE FROM 0-60% WITHIN 1 HOUR】- With the DC 120W and PD 65W plugged in, the ac power bank supports up to 185W input rate. Get it recharged before camping or a trip, it will be prepared in less than one hour, allowing your travel to go as you please.
【2 PURE SINE WAVE AC 300W OUTPUT】- The rechargeable power bank with 300W ac outlet can be used to charge and power a wide range of devices(Rated power less than 300W), including laptops, mini refrigerators, fans, fish finders, cpap, small heater, small appliances and other camping tools. It serves as your emergency power supply and backup battery, allowing you to keep your electronic devices charged and running in an emergency.
【PD 65W FAST CHARGING PORT】- PD 65W fast charging, make your laptop power bank ready quickly, and can also charge your phones, tablets, laptops, and other electronic devices in a short time. The charge speed and input power are twice as fast as using a USB-C/Type-C port.
【9 OUTPUT MEET YOUR NEED】- The battery pack is equipped with 2* USB ports, 1* QC 3.0 port, 1*PD 65W port, 1*PD 18W port, 2*AC 300W power outlet, and 2*DC output. It could provide you with electricity for multiple devices at the same time, making your camp life more convenient. (Note: If you want to charge faster, we recommend that you prioritize using the AC or PD port for charging.)
【4 RECHARGING WAYS】- Powdeom power bank with outlet can be recharged by a wall outlet, PD port, or 60w solar panel, even wall outlet and PD port charging together. No matter whether you are outdoors camping, taking a trip, or at home resting, it can be charged and fully used, keeping you stay connected to unlimited energy.
【MULTIPLE PROTECTION MECHANISMS】- We never compromise on the safety of this battery bank, the built-in Battery Management System ( BMS ) could protect it from over-temperature, over-voltage, over-power, over-current, and short circuits no matter the weather is cold or hot, it is outdoor or indoor.
【CAMPACT DESIGN &amp; 3 MODES LED LIGHT】- The 7.7lbs lightweight portable laptop charger is portable for men, women, and even kids. The soft leather handle design could keep your hand comfortable and makes the station easy to carry. This portable generator is built with 3 lighting modes (bright light, flash, and SOS mode) to meet your different needs. In lighting mode, it can last up to 50 hours. When you go out camping or experience power outages, this power supply can always help you out.
【WHAT YOU GET】- Powdeom 300W Portable Power Station, DC adapter, manual. Powdeom provides our dear customers with warranty of 12 months from the date of purchase and friendly customer service.#B08F7XNWW4| 300W Portable Power Station, 299Wh/80818mAh Solar Generator, Regulated DC Output Backup Battery with Pass-Through Charging AC Outlet, Pure Sine Wave, LED Light Power Station for CPAP Camping| More Powerful In Less Weight : 299Wh/80818mAh portable power station weights only 7lb, powerful enough to charge smartphones (2000mah) 40 times, laptops (56wh) 4-5 times, mini fridge(45W) about 6-18 hours, CPAP 2-4 nights(using DC converter). Ideal for camping, home emergency, travel, fishing, van life.
Multiple Outputs For Choice: This solar powered generator features 1*pure sine wave 110v AC outlet (300w rated, 600w peak); 1*car port (12V/10A, 120w max); Built-in QC 3.0 USB and USB-C output(9V/2A, 18w max) can charge your small digital devices effectively; Fast charger on the top is convenient to charge your phone any where when you forget to bring usb cable (*All ports support pass-through charging*)
Smart 12V Regulated Power: Progeny P66 300W power station was the 1st to offer regulated 12v outout comparing to most similar power staions on the market, 12V regulated power can keep you trouble-free from the devices shutting down when the battery is low (like electric cooler, freezer, CPAP)
Charge It Anywhere: Built-in professional MPPT technology, this solar generator provides faster solar recharge rates by Progeny 120W solar panel (sold separately) about 6-7 hrs; Recharge from a carport within 7-8 hrs while on-the-road/off-road; It also can be full charged by AC wall outlet within 6-7 hrs
Safe And Reliable: P66 portable battery pack use battery management system (BMS) to improve battery utilization, extend battery life through short protection, overcurrent protection, overvoltage protection, overload protection, and overheating protection; With Pure Sine Wave charges your devices more stable and safety without damage and reduces audible electrical noise</v>
      </c>
      <c r="J2" s="44" t="str">
        <f>"【文案能力分析】针对"&amp;D2&amp;"这款产品，请分析亚马逊平台竞争对手的Listing，根据亚马逊规则，从合规性、SEO（依据是否埋入以下关键词"&amp;B4&amp;")，语法拼写、可读性、卖点，语言本土化，专业性，情感表达、号召性等方面评估Listing的质量，并打分（满分10分），用表格形式中文输出, 参考格式：产、合规性、SEO，语法拼写，可读性、卖点、本土化、专业性、情感、号召性。最后给到打分理由："&amp;B6&amp;"| "&amp;D6&amp;B7&amp;"| "&amp;D7&amp;B8&amp;"| "&amp;D8&amp;B9&amp;"| "&amp;D9</f>
        <v>【文案能力分析】针对portable power station这款产品，请分析亚马逊平台竞争对手的Listing，根据亚马逊规则，从合规性、SEO（依据是否埋入以下关键词portable power station, solar generator, power generator, outdoor generator, electric generator)，语法拼写、可读性、卖点，语言本土化，专业性，情感表达、号召性等方面评估Listing的质量，并打分（满分10分），用表格形式中文输出, 参考格式：产、合规性、SEO，语法拼写，可读性、卖点、本土化、专业性、情感、号召性。最后给到打分理由：B0C897FFCJ| [PORTABLE AND POWERFUL]: The Dr. Prince Portable Power Station is MSDS, UN38.3 certified, with portable dimensions of 9 x 5.8 x 7.9 inches and weighs only 6.8 pounds, yet with 299wh capacity and 300W AC output, the Dr. Prince Portable Power Station provides enough power to charge your cell phone, laptop, camera, Gopro, drone and more. Designed with 7 output ports to charge multiple devices at once, it is an ideal emergency battery, outdoor and camping backup.
[110V Pure Sine Wave and Multi-Port]: Built-in 1 x 110V Pure Sine Wave AC outlet ensures that the solar power generator (without solar panel) works quieter, more efficiently and stably, which protects your sensitive devices such as laptops from damage.2 x Regulated DC Outputs (12V/24V) provide stable power output for DC appliances, such as a mini fridge or car vacuum cleaner. Quick Charger USB (5V/3A max) and USB-C port (30W) for fast charging of cell phones and tablets.
[Tips for protecting battery station]: 1. Fully charge the electricity power station before using 2. If it is not used for a long time, the stored battery should be recharged every 3-6 months, and it is appropriate to keep it at 40%-70%. Recharging the battery before it is completely exhausted 3. The battery should be stored in a dry environment at 40°F~100°F (4°C~35°C) or in moisture-proof packaging. Keep away from heat sources, and don’t place it in direct sunlight
[Note]: 1. This 300w portable generator only support lower than 300Watt Hour device, it may not support large capacity product（Electric Grill/ Induction cooker/ Microwave/ Refrigerator) and more 2. It is normal when you turn on the ac output button, the red triangle shows up for checking AC output and will disappear in 3-5 second.
[Power is supplied by a variety of charging methods]: 1,The solar generator can be charged with any compatible 12-25V solar panel (panels not included), and the built-in controller speeds up battery charging.2,Portable power stations with AC outlets can be charged by plugging into a wall outlet.3,Portable AC battery packs can be charged by a 12V outlet in a vehicle.4,Portable battery packs can be charged by a 12V outlet in a car.5,Portable battery packs can be charged by a 12V outlet in a car.6,Portable battery packs are designed for use in a car. Maximum charging rate is 100W and can be fully charged in 4 hours.B0B286D2V7| 【288Wh Capacity, 330W Output】330W (600W surge) pure sine wave supports most laptops, tablets, phones, lights, fans, CPAP medical devices, projectors, TV, mini-refrigerator, speaker, camera (rated power less than 330W). 288Wh huge capacity but light weight makes it compact and perfect for camping, car trips and other family outings.
【Upgraded Battery Management System】We promise to adopt quality lithium batteries since we found that the use of lower-quality batteries could pose a serious risk to life and should become a crucial part of deciding what to buy. Upgraded BMS provides built-in overload, overcharge (automatically stops charging when the device is full), and short-circuit protection. Dual built-in silent cooling fans help to keep the station's temperature safe.
【USB-C PD 60W, USB-A QC 18W】PD60W fast charging makes it possible to charge Android and iPhone, tablets, and laptops quickly, more than twice as fast as other standard USB-C output, and ultra-high efficiency in emergencies. All USB-A ports are quick-charge 3.0 18W, providing higher efficiency for each device.
【Power 8 Device simultaneously】Equipped with 1*AC output, 1*USB-C PD 60W output, 3*USB-A QC3.0 18W outputs, 1*Car port, 2*DC outputs, GRECELL solar generator can power eight devices at the same time (as long as they draw less than 330W combined). Each switch can control each output module.
【3 Ways To Recharge, Built-in MPPT Controller】GRECELL power station, can be charged via an AC outlet, a solar panel, or a car outlet. Built-in MPPT (Maximum Power Point Tracking Control) so it can extract the maximum power from the solar panel, optimizing the utilization of variable power sources like a solar generator.B0CGHTGTWZ| 【RAPID RECHARGE FROM 0-60% WITHIN 1 HOUR】- With the DC 120W and PD 65W plugged in, the ac power bank supports up to 185W input rate. Get it recharged before camping or a trip, it will be prepared in less than one hour, allowing your travel to go as you please.
【2 PURE SINE WAVE AC 300W OUTPUT】- The rechargeable power bank with 300W ac outlet can be used to charge and power a wide range of devices(Rated power less than 300W), including laptops, mini refrigerators, fans, fish finders, cpap, small heater, small appliances and other camping tools. It serves as your emergency power supply and backup battery, allowing you to keep your electronic devices charged and running in an emergency.
【PD 65W FAST CHARGING PORT】- PD 65W fast charging, make your laptop power bank ready quickly, and can also charge your phones, tablets, laptops, and other electronic devices in a short time. The charge speed and input power are twice as fast as using a USB-C/Type-C port.
【9 OUTPUT MEET YOUR NEED】- The battery pack is equipped with 2* USB ports, 1* QC 3.0 port, 1*PD 65W port, 1*PD 18W port, 2*AC 300W power outlet, and 2*DC output. It could provide you with electricity for multiple devices at the same time, making your camp life more convenient. (Note: If you want to charge faster, we recommend that you prioritize using the AC or PD port for charging.)
【4 RECHARGING WAYS】- Powdeom power bank with outlet can be recharged by a wall outlet, PD port, or 60w solar panel, even wall outlet and PD port charging together. No matter whether you are outdoors camping, taking a trip, or at home resting, it can be charged and fully used, keeping you stay connected to unlimited energy.
【MULTIPLE PROTECTION MECHANISMS】- We never compromise on the safety of this battery bank, the built-in Battery Management System ( BMS ) could protect it from over-temperature, over-voltage, over-power, over-current, and short circuits no matter the weather is cold or hot, it is outdoor or indoor.
【CAMPACT DESIGN &amp; 3 MODES LED LIGHT】- The 7.7lbs lightweight portable laptop charger is portable for men, women, and even kids. The soft leather handle design could keep your hand comfortable and makes the station easy to carry. This portable generator is built with 3 lighting modes (bright light, flash, and SOS mode) to meet your different needs. In lighting mode, it can last up to 50 hours. When you go out camping or experience power outages, this power supply can always help you out.
【WHAT YOU GET】- Powdeom 300W Portable Power Station, DC adapter, manual. Powdeom provides our dear customers with warranty of 12 months from the date of purchase and friendly customer service.B08F7XNWW4| More Powerful In Less Weight : 299Wh/80818mAh portable power station weights only 7lb, powerful enough to charge smartphones (2000mah) 40 times, laptops (56wh) 4-5 times, mini fridge(45W) about 6-18 hours, CPAP 2-4 nights(using DC converter). Ideal for camping, home emergency, travel, fishing, van life.
Multiple Outputs For Choice: This solar powered generator features 1*pure sine wave 110v AC outlet (300w rated, 600w peak); 1*car port (12V/10A, 120w max); Built-in QC 3.0 USB and USB-C output(9V/2A, 18w max) can charge your small digital devices effectively; Fast charger on the top is convenient to charge your phone any where when you forget to bring usb cable (*All ports support pass-through charging*)
Smart 12V Regulated Power: Progeny P66 300W power station was the 1st to offer regulated 12v outout comparing to most similar power staions on the market, 12V regulated power can keep you trouble-free from the devices shutting down when the battery is low (like electric cooler, freezer, CPAP)
Charge It Anywhere: Built-in professional MPPT technology, this solar generator provides faster solar recharge rates by Progeny 120W solar panel (sold separately) about 6-7 hrs; Recharge from a carport within 7-8 hrs while on-the-road/off-road; It also can be full charged by AC wall outlet within 6-7 hrs
Safe And Reliable: P66 portable battery pack use battery management system (BMS) to improve battery utilization, extend battery life through short protection, overcurrent protection, overvoltage protection, overload protection, and overheating protection; With Pure Sine Wave charges your devices more stable and safety without damage and reduces audible electrical noise</v>
      </c>
      <c r="K2" s="45" t="s">
        <v>10</v>
      </c>
    </row>
    <row r="3" s="17" customFormat="1" ht="39" customHeight="1" spans="1:11">
      <c r="A3" s="32" t="str">
        <f>IF(B2="🔍微观竞品分析","*细分任务","")</f>
        <v>*细分任务</v>
      </c>
      <c r="B3" s="27" t="s">
        <v>11</v>
      </c>
      <c r="C3" s="26" t="s">
        <v>12</v>
      </c>
      <c r="D3" s="28" t="s">
        <v>13</v>
      </c>
      <c r="E3" s="29"/>
      <c r="F3" s="30" t="str">
        <f>"【市场容量】"&amp;"分析"&amp;D2&amp;"在"&amp;D3&amp;"市场容量和年销售额。"</f>
        <v>【市场容量】分析portable power station在🇺🇸美国市场容量和年销售额。</v>
      </c>
      <c r="G3" s="33" t="str">
        <f>"【受众特征】分析"&amp;D2&amp;"在"&amp;D3&amp;"的受众人群特征,包括不限于他们的所在性别，年龄，兴趣，职业，收入，教育，家庭情况"</f>
        <v>【受众特征】分析portable power station在🇺🇸美国的受众人群特征,包括不限于他们的所在性别，年龄，兴趣，职业，收入，教育，家庭情况</v>
      </c>
      <c r="H3" s="33" t="str">
        <f>"【受众特征】分析"&amp;D2&amp;"在"&amp;D3&amp;"的受众人群t特征,包括不限于他们的所在性别，年龄，兴趣，职业，收入，教育，家庭情况"</f>
        <v>【受众特征】分析portable power station在🇺🇸美国的受众人群t特征,包括不限于他们的所在性别，年龄，兴趣，职业，收入，教育，家庭情况</v>
      </c>
      <c r="I3" s="43"/>
      <c r="J3" s="44"/>
      <c r="K3" s="45"/>
    </row>
    <row r="4" s="17" customFormat="1" ht="76" customHeight="1" spans="1:11">
      <c r="A4" s="33" t="s">
        <v>14</v>
      </c>
      <c r="B4" s="34" t="s">
        <v>15</v>
      </c>
      <c r="C4" s="34"/>
      <c r="D4" s="34"/>
      <c r="E4" s="29"/>
      <c r="F4" s="30" t="str">
        <f>"【市场趋势】"&amp;"分析"&amp;D3&amp;D2&amp;"，1、所处生命周期；2、年增长趋势和年复合增长率；3、旺季与淡季情况。"</f>
        <v>【市场趋势】分析🇺🇸美国portable power station，1、所处生命周期；2、年增长趋势和年复合增长率；3、旺季与淡季情况。</v>
      </c>
      <c r="G4" s="20" t="str">
        <f>"【受众习惯】分析"&amp;D2&amp;"在"&amp;D3&amp;"的受众人群购物频次，消费金额，购物时间，购物方式"</f>
        <v>【受众习惯】分析portable power station在🇺🇸美国的受众人群购物频次，消费金额，购物时间，购物方式</v>
      </c>
      <c r="H4" s="33" t="str">
        <f>"【受众话题】"&amp;D3&amp;D2&amp;"的受众人群喜欢哪些话题内容，他们平时最常用的社媒平台有哪些?"</f>
        <v>【受众话题】🇺🇸美国portable power station的受众人群喜欢哪些话题内容，他们平时最常用的社媒平台有哪些?</v>
      </c>
      <c r="I4" s="43"/>
      <c r="J4" s="44"/>
      <c r="K4" s="45"/>
    </row>
    <row r="5" s="17" customFormat="1" ht="61" customHeight="1" spans="1:11">
      <c r="A5" s="33" t="str">
        <f>IF(B2="🔍微观竞品分析","竞品","")</f>
        <v>竞品</v>
      </c>
      <c r="B5" s="33" t="str">
        <f>IF(B2="🔍微观竞品分析","*Asin","")</f>
        <v>*Asin</v>
      </c>
      <c r="C5" s="33" t="str">
        <f>IF(AND(B2="🔍微观竞品分析",B3="🆚竞品功能对比"),"*标题","")</f>
        <v>*标题</v>
      </c>
      <c r="D5" s="33" t="str">
        <f>IF(B2="🔍微观竞品分析","*五行","")</f>
        <v>*五行</v>
      </c>
      <c r="E5" s="29"/>
      <c r="F5" s="30" t="str">
        <f>"【市场竞争】"&amp;"分析"&amp;D2&amp;"在"&amp;D3&amp;"市场的竞争情况。"</f>
        <v>【市场竞争】分析portable power station在🇺🇸美国市场的竞争情况。</v>
      </c>
      <c r="G5" s="20" t="str">
        <f>"【受众需求】分析"&amp;D2&amp;"在"&amp;D3&amp;"的受众人群购买"&amp;D2&amp;"的动机，未满足需求，使用时间，使用场景"</f>
        <v>【受众需求】分析portable power station在🇺🇸美国的受众人群购买portable power station的动机，未满足需求，使用时间，使用场景</v>
      </c>
      <c r="H5" s="33" t="str">
        <f>"【社媒平台】如果我要在"&amp;D3&amp;"推广"&amp;D2&amp;"可以使用哪些社媒平台推广？如果只选择其中一个平台,你最会推荐哪个平台？原因是什么?"</f>
        <v>【社媒平台】如果我要在🇺🇸美国推广portable power station可以使用哪些社媒平台推广？如果只选择其中一个平台,你最会推荐哪个平台？原因是什么?</v>
      </c>
      <c r="I5" s="43"/>
      <c r="J5" s="44"/>
      <c r="K5" s="45"/>
    </row>
    <row r="6" s="17" customFormat="1" ht="39" customHeight="1" spans="1:11">
      <c r="A6" s="33" t="str">
        <f>IF(B2="🔍微观竞品分析","竞品1","")</f>
        <v>竞品1</v>
      </c>
      <c r="B6" s="35" t="s">
        <v>16</v>
      </c>
      <c r="C6" s="36" t="s">
        <v>17</v>
      </c>
      <c r="D6" s="37" t="s">
        <v>18</v>
      </c>
      <c r="E6" s="38" t="str">
        <f>IF(IF($B$2="👀宏观市场调研",F3,IF($B$2="🙋受众分析",G3,IF($B$2="💃红人开发",H3,"")))=0,"",IF($B$2="👀宏观市场调研",F3,IF($B$2="🙋受众分析",G3,IF($B$2="💃红人开发",H3,""))))</f>
        <v/>
      </c>
      <c r="F6" s="30" t="str">
        <f>"【TOP公司】"&amp;"分析"&amp;D3&amp;"市场头部的"&amp;D2&amp;"品牌，包括它们所属国家、成立年份、公司背景、年收入、"&amp;D2&amp;"市场份额占比和核心竞争力，并用表格形式输出结果。"</f>
        <v>【TOP公司】分析🇺🇸美国市场头部的portable power station品牌，包括它们所属国家、成立年份、公司背景、年收入、portable power station市场份额占比和核心竞争力，并用表格形式输出结果。</v>
      </c>
      <c r="G6" s="20" t="str">
        <f>"【受众购买产品】分析"&amp;D2&amp;"在"&amp;D3&amp;"的受众人群购买"&amp;D2&amp;"常购买的互补产品和其它产品"</f>
        <v>【受众购买产品】分析portable power station在🇺🇸美国的受众人群购买portable power station常购买的互补产品和其它产品</v>
      </c>
      <c r="H6" s="33" t="str">
        <f>"【找KOL】找20个"&amp;D3&amp;"你最推荐的平台KOL与"&amp;D2&amp;"话题相关，粉丝数量在1w-10w粉丝，并给到他们的频道名称，粉丝数量，频道介绍，国家，并用表格输出结果。"</f>
        <v>【找KOL】找20个🇺🇸美国你最推荐的平台KOL与portable power station话题相关，粉丝数量在1w-10w粉丝，并给到他们的频道名称，粉丝数量，频道介绍，国家，并用表格输出结果。</v>
      </c>
      <c r="I6" s="43"/>
      <c r="J6" s="44"/>
      <c r="K6" s="45"/>
    </row>
    <row r="7" s="17" customFormat="1" ht="39" customHeight="1" spans="1:10">
      <c r="A7" s="33" t="str">
        <f>IF(B2="🔍微观竞品分析","竞品2","")</f>
        <v>竞品2</v>
      </c>
      <c r="B7" s="35" t="s">
        <v>19</v>
      </c>
      <c r="C7" s="36" t="s">
        <v>20</v>
      </c>
      <c r="D7" s="37" t="s">
        <v>21</v>
      </c>
      <c r="E7" s="38" t="str">
        <f>IF(IF($B$2="👀宏观市场调研",F4,IF($B$2="🙋受众分析",G4,IF($B$2="💃红人开发",H4,"")))=0,"",IF($B$2="👀宏观市场调研",F4,IF($B$2="🙋受众分析",G4,IF($B$2="💃红人开发",H4,""))))</f>
        <v/>
      </c>
      <c r="F7" s="30" t="str">
        <f>"【产品认知】"&amp;"从多个方面和维度全面介绍"&amp;D2&amp;"。"</f>
        <v>【产品认知】从多个方面和维度全面介绍portable power station。</v>
      </c>
      <c r="G7" s="20" t="str">
        <f>"【受众问题】关于"&amp;D2&amp;"受众常问的TOP20的问题有哪些?"</f>
        <v>【受众问题】关于portable power station受众常问的TOP20的问题有哪些?</v>
      </c>
      <c r="H7" s="33" t="str">
        <f>"【受众搜索词】"&amp;D3&amp;D2&amp;"的受众人群，最常在该推荐平台上常使用的20个搜索关键词有哪些？"</f>
        <v>【受众搜索词】🇺🇸美国portable power station的受众人群，最常在该推荐平台上常使用的20个搜索关键词有哪些？</v>
      </c>
      <c r="I7" s="43"/>
      <c r="J7" s="44"/>
    </row>
    <row r="8" s="17" customFormat="1" ht="39" customHeight="1" spans="1:10">
      <c r="A8" s="33" t="str">
        <f>IF(B2="🔍微观竞品分析","竞品3","")</f>
        <v>竞品3</v>
      </c>
      <c r="B8" s="35" t="s">
        <v>22</v>
      </c>
      <c r="C8" s="36" t="s">
        <v>23</v>
      </c>
      <c r="D8" s="37" t="s">
        <v>24</v>
      </c>
      <c r="E8" s="38" t="str">
        <f>IF(IF($B$2="👀宏观市场调研",F5,IF($B$2="🙋受众分析",G5,IF($B$2="💃红人开发",H5,"")))=0,"",IF($B$2="👀宏观市场调研",F5,IF($B$2="🙋受众分析",G5,IF($B$2="💃红人开发",H5,""))))</f>
        <v/>
      </c>
      <c r="F8" s="30" t="str">
        <f>"【产品功能】"&amp;"详细阐述"&amp;D2&amp;"有哪些款式，功能和他们的平均成本，在"&amp;D3&amp;"市场平均客单价。"</f>
        <v>【产品功能】详细阐述portable power station有哪些款式，功能和他们的平均成本，在🇺🇸美国市场平均客单价。</v>
      </c>
      <c r="G8" s="33" t="str">
        <f>"【受众好评】关于"&amp;D2&amp;"受众对"&amp;D2&amp;"最常给出的TOP20好评有哪些？按照出现频次占比进行降序。"</f>
        <v>【受众好评】关于portable power station受众对portable power station最常给出的TOP20好评有哪些？按照出现频次占比进行降序。</v>
      </c>
      <c r="H8" s="33"/>
      <c r="I8" s="43"/>
      <c r="J8" s="44"/>
    </row>
    <row r="9" s="17" customFormat="1" ht="39" customHeight="1" spans="1:10">
      <c r="A9" s="33" t="str">
        <f>IF(B2="🔍微观竞品分析","竞品4","")</f>
        <v>竞品4</v>
      </c>
      <c r="B9" s="35" t="s">
        <v>25</v>
      </c>
      <c r="C9" s="36" t="s">
        <v>26</v>
      </c>
      <c r="D9" s="37" t="s">
        <v>27</v>
      </c>
      <c r="E9" s="38" t="str">
        <f>IF(IF($B$2="👀宏观市场调研",F6,IF($B$2="🙋受众分析",G6,IF($B$2="💃红人开发",H6,"")))=0,"",IF($B$2="👀宏观市场调研",F6,IF($B$2="🙋受众分析",G6,IF($B$2="💃红人开发",H6,""))))</f>
        <v/>
      </c>
      <c r="F9" s="30" t="str">
        <f>"【产品构成】"&amp;D2&amp;"由哪些材料和部件组成，他们的成本占比是多少，用表格输出。"</f>
        <v>【产品构成】portable power station由哪些材料和部件组成，他们的成本占比是多少，用表格输出。</v>
      </c>
      <c r="G9" s="20" t="str">
        <f>"【受众差评】关于"&amp;D2&amp;"受众对"&amp;D2&amp;"最常给出的TOP20差评有哪些？按照出现频次占比进行降序。"</f>
        <v>【受众差评】关于portable power station受众对portable power station最常给出的TOP20差评有哪些？按照出现频次占比进行降序。</v>
      </c>
      <c r="H9" s="20"/>
      <c r="I9" s="43"/>
      <c r="J9" s="44"/>
    </row>
    <row r="10" s="17" customFormat="1" ht="39" customHeight="1" spans="1:10">
      <c r="A10" s="18"/>
      <c r="B10" s="18"/>
      <c r="C10" s="18"/>
      <c r="D10" s="18"/>
      <c r="E10" s="38" t="str">
        <f>IF(IF($B$2="👀宏观市场调研",F7,IF($B$2="🙋受众分析",G7,IF($B$2="💃红人开发",H7,"")))=0,"",IF($B$2="👀宏观市场调研",F7,IF($B$2="🙋受众分析",G7,IF($B$2="💃红人开发",H7,""))))</f>
        <v/>
      </c>
      <c r="F10" s="30" t="str">
        <f>"【产品痛点】"&amp;D2&amp;"解决了哪些痛点,还有哪些痛点未被解决?"</f>
        <v>【产品痛点】portable power station解决了哪些痛点,还有哪些痛点未被解决?</v>
      </c>
      <c r="G10" s="33"/>
      <c r="H10" s="33"/>
      <c r="I10" s="43"/>
      <c r="J10" s="44"/>
    </row>
    <row r="11" s="17" customFormat="1" ht="39" customHeight="1" spans="1:10">
      <c r="A11" s="18"/>
      <c r="B11" s="18"/>
      <c r="C11" s="18"/>
      <c r="D11" s="18"/>
      <c r="E11" s="38" t="str">
        <f>IF(IF($B$2="👀宏观市场调研",F8,IF($B$2="🙋受众分析",G8,IF($B$2="💃红人开发",H8,"")))=0,"",IF($B$2="👀宏观市场调研",F8,IF($B$2="🙋受众分析",G8,IF($B$2="💃红人开发",H8,""))))</f>
        <v/>
      </c>
      <c r="F11" s="30" t="str">
        <f>"【客户问题】"&amp;"关于"&amp;D2&amp;"客户常问的问题有哪些?"</f>
        <v>【客户问题】关于portable power station客户常问的问题有哪些?</v>
      </c>
      <c r="G11" s="20"/>
      <c r="H11" s="20"/>
      <c r="I11" s="43"/>
      <c r="J11" s="44"/>
    </row>
    <row r="12" s="17" customFormat="1" ht="39" customHeight="1" spans="1:10">
      <c r="A12" s="18"/>
      <c r="B12" s="18"/>
      <c r="C12" s="18"/>
      <c r="D12" s="18"/>
      <c r="E12" s="38" t="str">
        <f>IF(IF($B$2="👀宏观市场调研",F9,IF($B$2="🙋受众分析",G9,IF($B$2="💃红人开发",H9,"")))=0,"",IF($B$2="👀宏观市场调研",F9,IF($B$2="🙋受众分析",G9,IF($B$2="💃红人开发",H9,""))))</f>
        <v/>
      </c>
      <c r="F12" s="30" t="str">
        <f>"【好评点】"&amp;"客户对"&amp;D2&amp;"最常给出的好评有哪些？按照占比进行降序。"</f>
        <v>【好评点】客户对portable power station最常给出的好评有哪些？按照占比进行降序。</v>
      </c>
      <c r="G12" s="31"/>
      <c r="H12" s="31"/>
      <c r="I12" s="43"/>
      <c r="J12" s="44"/>
    </row>
    <row r="13" s="17" customFormat="1" ht="39" customHeight="1" spans="1:10">
      <c r="A13" s="18"/>
      <c r="B13" s="18"/>
      <c r="C13" s="18"/>
      <c r="D13" s="18"/>
      <c r="E13" s="38" t="str">
        <f>IF(IF($B$2="👀宏观市场调研",F10,IF($B$2="🙋受众分析",G10,IF($B$2="💃红人开发",H10,"")))=0,"",IF($B$2="👀宏观市场调研",F10,IF($B$2="🙋受众分析",G10,IF($B$2="💃红人开发",H10,""))))</f>
        <v/>
      </c>
      <c r="F13" s="30" t="str">
        <f>"【吐槽点】"&amp;"客户对"&amp;D2&amp;"最常吐槽点点有哪些？按照占比进行降序。"</f>
        <v>【吐槽点】客户对portable power station最常吐槽点点有哪些？按照占比进行降序。</v>
      </c>
      <c r="G13" s="31"/>
      <c r="H13" s="31"/>
      <c r="I13" s="43"/>
      <c r="J13" s="44"/>
    </row>
    <row r="14" s="17" customFormat="1" ht="39" customHeight="1" spans="1:10">
      <c r="A14" s="18"/>
      <c r="B14" s="18"/>
      <c r="C14" s="18"/>
      <c r="D14" s="18"/>
      <c r="E14" s="38" t="str">
        <f>IF(IF($B$2="👀宏观市场调研",F11,IF($B$2="🙋受众分析",G11,IF($B$2="💃红人开发",H11,"")))=0,"",IF($B$2="👀宏观市场调研",F11,IF($B$2="🙋受众分析",G11,IF($B$2="💃红人开发",H11,""))))</f>
        <v/>
      </c>
      <c r="F14" s="30" t="str">
        <f>"【产品认证】"&amp;"将中国制造的"&amp;D2&amp;"销售到"&amp;D3&amp;"亚马逊平台需要做哪些认证？获取认证周期需要多久，费用需要多久，按照表格输出结果。"</f>
        <v>【产品认证】将中国制造的portable power station销售到🇺🇸美国亚马逊平台需要做哪些认证？获取认证周期需要多久，费用需要多久，按照表格输出结果。</v>
      </c>
      <c r="G14" s="31"/>
      <c r="H14" s="31"/>
      <c r="I14" s="43"/>
      <c r="J14" s="44"/>
    </row>
    <row r="15" s="17" customFormat="1" ht="39" customHeight="1" spans="1:10">
      <c r="A15" s="18"/>
      <c r="B15" s="18"/>
      <c r="C15" s="18"/>
      <c r="D15" s="18"/>
      <c r="E15" s="38" t="str">
        <f>IF(IF($B$2="👀宏观市场调研",F12,IF($B$2="🙋受众分析",G12,IF($B$2="💃红人开发",H12,"")))=0,"",IF($B$2="👀宏观市场调研",F12,IF($B$2="🙋受众分析",G12,IF($B$2="💃红人开发",H12,""))))</f>
        <v/>
      </c>
      <c r="F15" s="30" t="str">
        <f>"【产品专利】"&amp;D2&amp;"在美国销售是否有专利侵权风险，我可以从哪些方法去避免？"</f>
        <v>【产品专利】portable power station在美国销售是否有专利侵权风险，我可以从哪些方法去避免？</v>
      </c>
      <c r="G15" s="31"/>
      <c r="H15" s="31"/>
      <c r="I15" s="43"/>
      <c r="J15" s="44"/>
    </row>
    <row r="16" s="17" customFormat="1" ht="37" customHeight="1" spans="1:10">
      <c r="A16" s="18"/>
      <c r="B16" s="18"/>
      <c r="C16" s="18"/>
      <c r="D16" s="18"/>
      <c r="E16" s="38" t="str">
        <f>IF(IF($B$2="👀宏观市场调研",F13,IF($B$2="🙋受众分析",G13,IF($B$2="💃红人开发",H13,"")))=0,"",IF($B$2="👀宏观市场调研",F13,IF($B$2="🙋受众分析",G13,IF($B$2="💃红人开发",H13,""))))</f>
        <v/>
      </c>
      <c r="F16" s="30" t="str">
        <f>"【受众人群】"&amp;"分析"&amp;D2&amp;"在"&amp;D3&amp;"的目标受众，包含性别、年龄、兴趣、收入、教育程度、家庭情况以及常购买的产品。"</f>
        <v>【受众人群】分析portable power station在🇺🇸美国的目标受众，包含性别、年龄、兴趣、收入、教育程度、家庭情况以及常购买的产品。</v>
      </c>
      <c r="G16" s="31"/>
      <c r="H16" s="31"/>
      <c r="I16" s="43"/>
      <c r="J16" s="44"/>
    </row>
    <row r="17" s="17" customFormat="1" ht="37" customHeight="1" spans="1:10">
      <c r="A17" s="18"/>
      <c r="B17" s="18"/>
      <c r="C17" s="18"/>
      <c r="D17" s="18"/>
      <c r="E17" s="38" t="str">
        <f>IF(IF($B$2="👀宏观市场调研",F14,IF($B$2="🙋受众分析",G14,IF($B$2="💃红人开发",H14,"")))=0,"",IF($B$2="👀宏观市场调研",F14,IF($B$2="🙋受众分析",G14,IF($B$2="💃红人开发",H14,""))))</f>
        <v/>
      </c>
      <c r="F17" s="30" t="str">
        <f>"【使用场景】"&amp;"列出"&amp;D2&amp;"所有的应用场景。"</f>
        <v>【使用场景】列出portable power station所有的应用场景。</v>
      </c>
      <c r="G17" s="31"/>
      <c r="H17" s="31"/>
      <c r="I17" s="43"/>
      <c r="J17" s="44"/>
    </row>
    <row r="18" s="17" customFormat="1" ht="67.5" spans="1:10">
      <c r="A18" s="18"/>
      <c r="B18" s="18"/>
      <c r="C18" s="18"/>
      <c r="D18" s="18"/>
      <c r="E18" s="38" t="str">
        <f>IF(IF($B$2="👀宏观市场调研",F15,IF($B$2="🙋受众分析",G15,IF($B$2="💃红人开发",H15,"")))=0,"",IF($B$2="👀宏观市场调研",F15,IF($B$2="🙋受众分析",G15,IF($B$2="💃红人开发",H15,""))))</f>
        <v/>
      </c>
      <c r="F18" s="30" t="str">
        <f>"【差异设计】"&amp;"综上所述，你建议我做一个什么款式的"&amp;D2&amp;",从材料，外观，功能做差异化设计，以满足"&amp;D3&amp;"消费者的审美喜好和需求，并提高产品转化率。"</f>
        <v>【差异设计】综上所述，你建议我做一个什么款式的portable power station,从材料，外观，功能做差异化设计，以满足🇺🇸美国消费者的审美喜好和需求，并提高产品转化率。</v>
      </c>
      <c r="G18" s="31"/>
      <c r="H18" s="31"/>
      <c r="I18" s="43"/>
      <c r="J18" s="44"/>
    </row>
    <row r="19" s="17" customFormat="1" ht="67.5" spans="1:10">
      <c r="A19" s="18"/>
      <c r="B19" s="18"/>
      <c r="C19" s="18"/>
      <c r="D19" s="18"/>
      <c r="E19" s="38" t="str">
        <f>IF(IF($B$2="👀宏观市场调研",F16,IF($B$2="🙋受众分析",G16,IF($B$2="💃红人开发",H16,"")))=0,"",IF($B$2="👀宏观市场调研",F16,IF($B$2="🙋受众分析",G16,IF($B$2="💃红人开发",H16,""))))</f>
        <v/>
      </c>
      <c r="F19" s="30" t="str">
        <f>"【风险把控】"&amp;"如果我要开发"&amp;D2&amp;",在开发设计中需要注意具体的哪些点以降低风险，提高产品的成功率？针对"&amp;D2&amp;"进行详细说明。"</f>
        <v>【风险把控】如果我要开发portable power station,在开发设计中需要注意具体的哪些点以降低风险，提高产品的成功率？针对portable power station进行详细说明。</v>
      </c>
      <c r="G19" s="31"/>
      <c r="H19" s="31"/>
      <c r="I19" s="43"/>
      <c r="J19" s="44"/>
    </row>
    <row r="20" s="17" customFormat="1" ht="54" spans="1:10">
      <c r="A20" s="18"/>
      <c r="B20" s="18"/>
      <c r="C20" s="18"/>
      <c r="D20" s="18"/>
      <c r="E20" s="38" t="str">
        <f>IF(IF($B$2="👀宏观市场调研",F17,IF($B$2="🙋受众分析",G17,IF($B$2="💃红人开发",H17,"")))=0,"",IF($B$2="👀宏观市场调研",F17,IF($B$2="🙋受众分析",G17,IF($B$2="💃红人开发",H17,""))))</f>
        <v/>
      </c>
      <c r="F20" s="30" t="str">
        <f>"【SWOT与PEST】"&amp;"请用SWOT和PEST分别分析"&amp;D2&amp;"在"&amp;D3&amp;"市场进入的可行性，并最后总结，对进入可行性打分（满分10分）。"</f>
        <v>【SWOT与PEST】请用SWOT和PEST分别分析portable power station在🇺🇸美国市场进入的可行性，并最后总结，对进入可行性打分（满分10分）。</v>
      </c>
      <c r="G20" s="31"/>
      <c r="H20" s="31"/>
      <c r="I20" s="43"/>
      <c r="J20" s="44"/>
    </row>
    <row r="21" s="17" customFormat="1" spans="1:10">
      <c r="A21" s="18"/>
      <c r="B21" s="18"/>
      <c r="C21" s="18"/>
      <c r="D21" s="18"/>
      <c r="E21" s="38" t="str">
        <f>IF(IF($B$2="👀宏观市场调研",F18,IF($B$2="🙋受众分析",G18,IF($B$2="💃红人开发",H18,"")))=0,"",IF($B$2="👀宏观市场调研",F18,IF($B$2="🙋受众分析",G18,IF($B$2="💃红人开发",H18,""))))</f>
        <v/>
      </c>
      <c r="F21" s="39"/>
      <c r="G21" s="31"/>
      <c r="H21" s="31"/>
      <c r="I21" s="19"/>
      <c r="J21" s="19"/>
    </row>
    <row r="22" s="17" customFormat="1" spans="1:10">
      <c r="A22" s="18"/>
      <c r="B22" s="18"/>
      <c r="C22" s="18"/>
      <c r="D22" s="18"/>
      <c r="E22" s="38" t="str">
        <f>IF(IF($B$2="👀宏观市场调研",F19,IF($B$2="🙋受众分析",G19,IF($B$2="💃红人开发",H19,"")))=0,"",IF($B$2="👀宏观市场调研",F19,IF($B$2="🙋受众分析",G19,IF($B$2="💃红人开发",H19,""))))</f>
        <v/>
      </c>
      <c r="F22" s="40"/>
      <c r="G22" s="31"/>
      <c r="H22" s="31"/>
      <c r="I22" s="19"/>
      <c r="J22" s="19"/>
    </row>
    <row r="23" s="17" customFormat="1" spans="1:10">
      <c r="A23" s="18"/>
      <c r="B23" s="18"/>
      <c r="C23" s="18"/>
      <c r="D23" s="18"/>
      <c r="E23" s="38" t="str">
        <f>IF(IF($B$2="👀宏观市场调研",F20,IF($B$2="🙋受众分析",G20,IF($B$2="💃红人开发",H20,"")))=0,"",IF($B$2="👀宏观市场调研",F20,IF($B$2="🙋受众分析",G20,IF($B$2="💃红人开发",H20,""))))</f>
        <v/>
      </c>
      <c r="F23" s="40"/>
      <c r="G23" s="31"/>
      <c r="H23" s="31"/>
      <c r="I23" s="19"/>
      <c r="J23" s="19"/>
    </row>
    <row r="24" s="17" customFormat="1" spans="1:10">
      <c r="A24" s="18"/>
      <c r="B24" s="18"/>
      <c r="C24" s="18"/>
      <c r="D24" s="18"/>
      <c r="E24" s="38" t="str">
        <f>IF(IF($B$2="👀宏观市场调研",F21,IF($B$2="🙋受众分析",G21,IF($B$2="💃红人开发",H21,"")))=0,"",IF($B$2="👀宏观市场调研",F21,IF($B$2="🙋受众分析",G21,IF($B$2="💃红人开发",H21,""))))</f>
        <v/>
      </c>
      <c r="F24" s="30"/>
      <c r="G24" s="31"/>
      <c r="H24" s="31"/>
      <c r="I24" s="19"/>
      <c r="J24" s="19"/>
    </row>
    <row r="25" s="17" customFormat="1" spans="1:10">
      <c r="A25" s="18"/>
      <c r="B25" s="18"/>
      <c r="C25" s="18"/>
      <c r="D25" s="18"/>
      <c r="E25" s="41"/>
      <c r="F25" s="19"/>
      <c r="G25" s="20"/>
      <c r="H25" s="20"/>
      <c r="J25" s="19"/>
    </row>
    <row r="26" s="17" customFormat="1" spans="1:10">
      <c r="A26" s="18"/>
      <c r="B26" s="18"/>
      <c r="C26" s="18"/>
      <c r="D26" s="18"/>
      <c r="E26" s="41"/>
      <c r="F26" s="19"/>
      <c r="G26" s="20"/>
      <c r="H26" s="20"/>
      <c r="J26" s="19"/>
    </row>
    <row r="27" s="17" customFormat="1" spans="1:10">
      <c r="A27" s="18"/>
      <c r="B27" s="18"/>
      <c r="C27" s="18"/>
      <c r="D27" s="18"/>
      <c r="E27" s="41"/>
      <c r="F27" s="19"/>
      <c r="G27" s="20"/>
      <c r="H27" s="20"/>
      <c r="J27" s="19"/>
    </row>
    <row r="28" s="17" customFormat="1" spans="1:10">
      <c r="A28" s="18"/>
      <c r="B28" s="18"/>
      <c r="C28" s="18"/>
      <c r="D28" s="18"/>
      <c r="E28" s="41"/>
      <c r="F28" s="19"/>
      <c r="G28" s="20"/>
      <c r="H28" s="20"/>
      <c r="J28" s="19"/>
    </row>
    <row r="29" s="17" customFormat="1" spans="1:10">
      <c r="A29" s="18"/>
      <c r="B29" s="18"/>
      <c r="C29" s="18"/>
      <c r="D29" s="18"/>
      <c r="E29" s="41"/>
      <c r="F29" s="19"/>
      <c r="G29" s="20"/>
      <c r="H29" s="20"/>
      <c r="J29" s="19"/>
    </row>
    <row r="30" s="17" customFormat="1" spans="1:10">
      <c r="A30" s="18"/>
      <c r="B30" s="18"/>
      <c r="C30" s="18"/>
      <c r="D30" s="18"/>
      <c r="E30" s="41"/>
      <c r="F30" s="19"/>
      <c r="G30" s="20"/>
      <c r="H30" s="20"/>
      <c r="J30" s="19"/>
    </row>
    <row r="31" s="17" customFormat="1" spans="1:10">
      <c r="A31" s="18"/>
      <c r="B31" s="18"/>
      <c r="C31" s="18"/>
      <c r="D31" s="18"/>
      <c r="E31" s="41"/>
      <c r="F31" s="19"/>
      <c r="G31" s="20"/>
      <c r="H31" s="20"/>
      <c r="J31" s="19"/>
    </row>
    <row r="32" s="17" customFormat="1" spans="1:10">
      <c r="A32" s="18"/>
      <c r="B32" s="18"/>
      <c r="C32" s="18"/>
      <c r="D32" s="18"/>
      <c r="E32" s="41"/>
      <c r="F32" s="19"/>
      <c r="G32" s="20"/>
      <c r="H32" s="20"/>
      <c r="J32" s="19"/>
    </row>
    <row r="33" s="17" customFormat="1" spans="1:10">
      <c r="A33" s="18"/>
      <c r="B33" s="18"/>
      <c r="C33" s="18"/>
      <c r="D33" s="18"/>
      <c r="E33" s="41"/>
      <c r="F33" s="19"/>
      <c r="G33" s="20"/>
      <c r="H33" s="20"/>
      <c r="J33" s="19"/>
    </row>
    <row r="34" s="17" customFormat="1" spans="1:10">
      <c r="A34" s="18"/>
      <c r="B34" s="18"/>
      <c r="C34" s="18"/>
      <c r="D34" s="18"/>
      <c r="E34" s="41"/>
      <c r="F34" s="19"/>
      <c r="G34" s="20"/>
      <c r="H34" s="20"/>
      <c r="J34" s="19"/>
    </row>
    <row r="35" s="17" customFormat="1" spans="1:10">
      <c r="A35" s="18"/>
      <c r="B35" s="18"/>
      <c r="C35" s="18"/>
      <c r="D35" s="18"/>
      <c r="E35" s="41"/>
      <c r="F35" s="19"/>
      <c r="G35" s="20"/>
      <c r="H35" s="20"/>
      <c r="J35" s="19"/>
    </row>
    <row r="36" s="17" customFormat="1" spans="1:10">
      <c r="A36" s="18"/>
      <c r="B36" s="18"/>
      <c r="C36" s="18"/>
      <c r="D36" s="18"/>
      <c r="E36" s="41"/>
      <c r="F36" s="19"/>
      <c r="G36" s="20"/>
      <c r="H36" s="20"/>
      <c r="J36" s="19"/>
    </row>
    <row r="37" s="17" customFormat="1" spans="1:10">
      <c r="A37" s="18"/>
      <c r="B37" s="18"/>
      <c r="C37" s="18"/>
      <c r="D37" s="18"/>
      <c r="E37" s="41"/>
      <c r="F37" s="19"/>
      <c r="G37" s="20"/>
      <c r="H37" s="20"/>
      <c r="J37" s="19"/>
    </row>
    <row r="38" s="17" customFormat="1" spans="1:10">
      <c r="A38" s="18"/>
      <c r="B38" s="18"/>
      <c r="C38" s="18"/>
      <c r="D38" s="18"/>
      <c r="E38" s="41"/>
      <c r="F38" s="19"/>
      <c r="G38" s="20"/>
      <c r="H38" s="20"/>
      <c r="J38" s="19"/>
    </row>
    <row r="39" s="17" customFormat="1" spans="1:10">
      <c r="A39" s="18"/>
      <c r="B39" s="18"/>
      <c r="C39" s="18"/>
      <c r="D39" s="18"/>
      <c r="E39" s="41"/>
      <c r="F39" s="19"/>
      <c r="G39" s="20"/>
      <c r="H39" s="20"/>
      <c r="J39" s="19"/>
    </row>
    <row r="40" s="17" customFormat="1" spans="1:10">
      <c r="A40" s="18"/>
      <c r="B40" s="18"/>
      <c r="C40" s="18"/>
      <c r="D40" s="18"/>
      <c r="E40" s="41"/>
      <c r="F40" s="19"/>
      <c r="G40" s="20"/>
      <c r="H40" s="20"/>
      <c r="J40" s="19"/>
    </row>
  </sheetData>
  <mergeCells count="6">
    <mergeCell ref="A1:D1"/>
    <mergeCell ref="B4:D4"/>
    <mergeCell ref="E2:E5"/>
    <mergeCell ref="I2:I20"/>
    <mergeCell ref="J2:J20"/>
    <mergeCell ref="K2:K6"/>
  </mergeCells>
  <dataValidations count="3">
    <dataValidation type="list" allowBlank="1" showInputMessage="1" showErrorMessage="1" sqref="B2">
      <formula1>"👀宏观市场调研,🔍微观竞品分析,🙋受众分析"</formula1>
    </dataValidation>
    <dataValidation type="list" allowBlank="1" showInputMessage="1" showErrorMessage="1" sqref="B3">
      <formula1>"🆚竞品功能对比,💯竞品文案分析"</formula1>
    </dataValidation>
    <dataValidation type="list" allowBlank="1" showInputMessage="1" showErrorMessage="1" sqref="D3">
      <formula1>"🇺🇸美国,🇯🇵日本,🇩🇪德国,🇨🇦加拿大,🇲🇽墨西哥,🇫🇷法国,🇮🇹意大利,🇪🇸西班牙,🇳🇱荷兰,🇵🇹葡萄牙,🇹🇷土耳其,🇦🇪阿拉伯,🇸🇪瑞典,🇵🇱波兰"</formula1>
    </dataValidation>
  </dataValidation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2.75"/>
  <cols>
    <col min="1" max="1" width="32" customWidth="1"/>
  </cols>
  <sheetData>
    <row r="1" ht="156" customHeight="1" spans="1:1">
      <c r="A1" t="str">
        <f>_xlfn.DISPIMG("ID_28A9600B049E4895B3C21AF69F307805",1)</f>
        <v>=DISPIMG("ID_28A9600B049E4895B3C21AF69F307805",1)</v>
      </c>
    </row>
  </sheetData>
  <sheetProtection algorithmName="SHA-512" hashValue="8PzY9W/FqNcKd4Tmb2lA3t5QKqsNHOLKWlwTGKr8Fzhfd79TsMtY7WM5CmzuOj2cojJ2k7aTc2SWnkPvo1w5Kw==" saltValue="bOWHf5k92VXceCbnBFcYWA==" spinCount="100000" sheet="1" objects="1"/>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7"/>
  <sheetViews>
    <sheetView workbookViewId="0">
      <selection activeCell="E6" sqref="E6"/>
    </sheetView>
  </sheetViews>
  <sheetFormatPr defaultColWidth="16.3333333333333" defaultRowHeight="19.9" customHeight="1"/>
  <cols>
    <col min="1" max="2" width="16.352380952381" style="1" customWidth="1"/>
    <col min="3" max="3" width="10.2571428571429" style="1" customWidth="1"/>
    <col min="4" max="6" width="16.352380952381" style="1" customWidth="1"/>
    <col min="7" max="7" width="10.2571428571429" style="1" customWidth="1"/>
    <col min="8" max="12" width="16.352380952381" style="1" customWidth="1"/>
    <col min="13" max="13" width="10.2571428571429" style="1" customWidth="1"/>
    <col min="14" max="16" width="16.352380952381" style="1" customWidth="1"/>
    <col min="17" max="17" width="10.2571428571429" style="1" customWidth="1"/>
    <col min="18" max="16383" width="16.352380952381" style="1" customWidth="1"/>
    <col min="16384" max="16384" width="16.3333333333333" style="2"/>
  </cols>
  <sheetData>
    <row r="1" s="1" customFormat="1" ht="40.65" customHeight="1" spans="1:18">
      <c r="A1" s="3" t="s">
        <v>28</v>
      </c>
      <c r="B1" s="4" t="s">
        <v>29</v>
      </c>
      <c r="C1" s="3" t="s">
        <v>30</v>
      </c>
      <c r="D1" s="4" t="s">
        <v>31</v>
      </c>
      <c r="E1" s="3" t="s">
        <v>32</v>
      </c>
      <c r="F1" s="4" t="s">
        <v>33</v>
      </c>
      <c r="G1" s="3" t="s">
        <v>34</v>
      </c>
      <c r="H1" s="4" t="s">
        <v>35</v>
      </c>
      <c r="I1" s="3" t="s">
        <v>36</v>
      </c>
      <c r="J1" s="4" t="s">
        <v>37</v>
      </c>
      <c r="K1" s="3" t="s">
        <v>38</v>
      </c>
      <c r="L1" s="4" t="s">
        <v>39</v>
      </c>
      <c r="M1" s="3" t="s">
        <v>40</v>
      </c>
      <c r="N1" s="4" t="s">
        <v>41</v>
      </c>
      <c r="O1" s="4" t="s">
        <v>42</v>
      </c>
      <c r="P1" s="4" t="s">
        <v>43</v>
      </c>
      <c r="Q1" s="4" t="s">
        <v>44</v>
      </c>
      <c r="R1" s="4" t="s">
        <v>44</v>
      </c>
    </row>
    <row r="2" s="1" customFormat="1" ht="32.65" customHeight="1" spans="1:18">
      <c r="A2" s="3" t="s">
        <v>45</v>
      </c>
      <c r="B2" s="4" t="s">
        <v>46</v>
      </c>
      <c r="C2" s="3" t="s">
        <v>47</v>
      </c>
      <c r="D2" s="4" t="s">
        <v>48</v>
      </c>
      <c r="E2" s="3" t="s">
        <v>49</v>
      </c>
      <c r="F2" s="4" t="s">
        <v>50</v>
      </c>
      <c r="G2" s="3" t="s">
        <v>51</v>
      </c>
      <c r="H2" s="4" t="s">
        <v>52</v>
      </c>
      <c r="I2" s="3" t="s">
        <v>53</v>
      </c>
      <c r="J2" s="4" t="s">
        <v>54</v>
      </c>
      <c r="K2" s="3" t="s">
        <v>55</v>
      </c>
      <c r="L2" s="4" t="s">
        <v>56</v>
      </c>
      <c r="M2" s="3" t="s">
        <v>57</v>
      </c>
      <c r="N2" s="4" t="s">
        <v>58</v>
      </c>
      <c r="O2" s="3" t="s">
        <v>59</v>
      </c>
      <c r="P2" s="4" t="s">
        <v>60</v>
      </c>
      <c r="Q2" s="3" t="s">
        <v>61</v>
      </c>
      <c r="R2" s="4" t="s">
        <v>62</v>
      </c>
    </row>
    <row r="3" s="1" customFormat="1" ht="40.65" customHeight="1" spans="1:18">
      <c r="A3" s="3" t="s">
        <v>63</v>
      </c>
      <c r="B3" s="4" t="s">
        <v>64</v>
      </c>
      <c r="C3" s="5" t="s">
        <v>65</v>
      </c>
      <c r="D3" s="6" t="s">
        <v>66</v>
      </c>
      <c r="E3" s="3" t="s">
        <v>67</v>
      </c>
      <c r="F3" s="4" t="s">
        <v>68</v>
      </c>
      <c r="G3" s="5" t="s">
        <v>69</v>
      </c>
      <c r="H3" s="6" t="s">
        <v>70</v>
      </c>
      <c r="I3" s="3" t="s">
        <v>71</v>
      </c>
      <c r="J3" s="4" t="s">
        <v>72</v>
      </c>
      <c r="K3" s="3" t="s">
        <v>73</v>
      </c>
      <c r="L3" s="4" t="s">
        <v>74</v>
      </c>
      <c r="M3" s="5" t="s">
        <v>75</v>
      </c>
      <c r="N3" s="6" t="s">
        <v>76</v>
      </c>
      <c r="O3" s="4" t="s">
        <v>77</v>
      </c>
      <c r="P3" s="4" t="s">
        <v>78</v>
      </c>
      <c r="Q3" s="5" t="s">
        <v>79</v>
      </c>
      <c r="R3" s="6" t="s">
        <v>80</v>
      </c>
    </row>
    <row r="4" s="1" customFormat="1" ht="32" customHeight="1" spans="1:18">
      <c r="A4" s="5" t="s">
        <v>81</v>
      </c>
      <c r="B4" s="6" t="s">
        <v>82</v>
      </c>
      <c r="C4" s="5" t="s">
        <v>83</v>
      </c>
      <c r="D4" s="6" t="s">
        <v>84</v>
      </c>
      <c r="E4" s="6"/>
      <c r="F4" s="6"/>
      <c r="G4" s="5" t="s">
        <v>85</v>
      </c>
      <c r="H4" s="6" t="s">
        <v>86</v>
      </c>
      <c r="I4" s="5" t="s">
        <v>87</v>
      </c>
      <c r="J4" s="6" t="s">
        <v>88</v>
      </c>
      <c r="K4" s="5" t="s">
        <v>89</v>
      </c>
      <c r="L4" s="6" t="s">
        <v>90</v>
      </c>
      <c r="M4" s="5" t="s">
        <v>91</v>
      </c>
      <c r="N4" s="6" t="s">
        <v>92</v>
      </c>
      <c r="O4" s="5" t="s">
        <v>93</v>
      </c>
      <c r="P4" s="6" t="s">
        <v>94</v>
      </c>
      <c r="Q4" s="5" t="s">
        <v>95</v>
      </c>
      <c r="R4" s="6" t="s">
        <v>96</v>
      </c>
    </row>
    <row r="5" s="1" customFormat="1" ht="24.35" customHeight="1" spans="1:18">
      <c r="A5" s="5" t="s">
        <v>97</v>
      </c>
      <c r="B5" s="6" t="s">
        <v>98</v>
      </c>
      <c r="C5" s="7"/>
      <c r="D5" s="7"/>
      <c r="E5" s="6"/>
      <c r="F5" s="6"/>
      <c r="G5" s="8" t="s">
        <v>99</v>
      </c>
      <c r="H5" s="7" t="s">
        <v>100</v>
      </c>
      <c r="I5" s="5" t="s">
        <v>101</v>
      </c>
      <c r="J5" s="6" t="s">
        <v>102</v>
      </c>
      <c r="K5" s="5" t="s">
        <v>103</v>
      </c>
      <c r="L5" s="6" t="s">
        <v>104</v>
      </c>
      <c r="M5" s="8" t="s">
        <v>105</v>
      </c>
      <c r="N5" s="7" t="s">
        <v>106</v>
      </c>
      <c r="O5" s="5" t="s">
        <v>107</v>
      </c>
      <c r="P5" s="6" t="s">
        <v>108</v>
      </c>
      <c r="Q5" s="8" t="s">
        <v>109</v>
      </c>
      <c r="R5" s="7" t="s">
        <v>110</v>
      </c>
    </row>
    <row r="6" s="1" customFormat="1" ht="40.65" customHeight="1" spans="1:18">
      <c r="A6" s="5" t="s">
        <v>111</v>
      </c>
      <c r="B6" s="6" t="s">
        <v>112</v>
      </c>
      <c r="C6" s="7"/>
      <c r="D6" s="7"/>
      <c r="E6" s="6" t="s">
        <v>113</v>
      </c>
      <c r="F6" s="6"/>
      <c r="G6" s="8" t="s">
        <v>114</v>
      </c>
      <c r="H6" s="7" t="s">
        <v>115</v>
      </c>
      <c r="I6" s="5" t="s">
        <v>116</v>
      </c>
      <c r="J6" s="6" t="s">
        <v>117</v>
      </c>
      <c r="K6" s="5" t="s">
        <v>118</v>
      </c>
      <c r="L6" s="6" t="s">
        <v>119</v>
      </c>
      <c r="M6" s="8" t="s">
        <v>120</v>
      </c>
      <c r="N6" s="7" t="s">
        <v>121</v>
      </c>
      <c r="O6" s="5" t="s">
        <v>122</v>
      </c>
      <c r="P6" s="6" t="s">
        <v>123</v>
      </c>
      <c r="Q6" s="8" t="s">
        <v>122</v>
      </c>
      <c r="R6" s="7" t="s">
        <v>124</v>
      </c>
    </row>
    <row r="7" s="1" customFormat="1" ht="24.35" customHeight="1" spans="1:18">
      <c r="A7" s="5" t="s">
        <v>125</v>
      </c>
      <c r="B7" s="6" t="s">
        <v>126</v>
      </c>
      <c r="C7" s="7"/>
      <c r="D7" s="7"/>
      <c r="E7" s="5" t="s">
        <v>127</v>
      </c>
      <c r="F7" s="6" t="s">
        <v>128</v>
      </c>
      <c r="G7" s="8" t="s">
        <v>129</v>
      </c>
      <c r="H7" s="7" t="s">
        <v>130</v>
      </c>
      <c r="I7" s="5" t="s">
        <v>131</v>
      </c>
      <c r="J7" s="6" t="s">
        <v>132</v>
      </c>
      <c r="K7" s="5" t="s">
        <v>133</v>
      </c>
      <c r="L7" s="6" t="s">
        <v>134</v>
      </c>
      <c r="M7" s="8" t="s">
        <v>135</v>
      </c>
      <c r="N7" s="7" t="s">
        <v>136</v>
      </c>
      <c r="O7" s="5" t="s">
        <v>137</v>
      </c>
      <c r="P7" s="6" t="s">
        <v>138</v>
      </c>
      <c r="Q7" s="8" t="s">
        <v>139</v>
      </c>
      <c r="R7" s="7" t="s">
        <v>140</v>
      </c>
    </row>
    <row r="8" s="1" customFormat="1" ht="36.35" customHeight="1" spans="1:18">
      <c r="A8" s="5" t="s">
        <v>141</v>
      </c>
      <c r="B8" s="6" t="s">
        <v>142</v>
      </c>
      <c r="C8" s="7"/>
      <c r="D8" s="7"/>
      <c r="E8" s="5" t="s">
        <v>143</v>
      </c>
      <c r="F8" s="6" t="s">
        <v>144</v>
      </c>
      <c r="G8" s="8" t="s">
        <v>145</v>
      </c>
      <c r="H8" s="7" t="s">
        <v>146</v>
      </c>
      <c r="I8" s="5" t="s">
        <v>147</v>
      </c>
      <c r="J8" s="6" t="s">
        <v>148</v>
      </c>
      <c r="K8" s="5" t="s">
        <v>149</v>
      </c>
      <c r="L8" s="6" t="s">
        <v>150</v>
      </c>
      <c r="M8" s="8" t="s">
        <v>151</v>
      </c>
      <c r="N8" s="7" t="s">
        <v>152</v>
      </c>
      <c r="O8" s="5" t="s">
        <v>153</v>
      </c>
      <c r="P8" s="6" t="s">
        <v>154</v>
      </c>
      <c r="Q8" s="8" t="s">
        <v>155</v>
      </c>
      <c r="R8" s="7" t="s">
        <v>156</v>
      </c>
    </row>
    <row r="9" s="1" customFormat="1" ht="36.35" customHeight="1" spans="1:18">
      <c r="A9" s="6" t="s">
        <v>157</v>
      </c>
      <c r="B9" s="6" t="s">
        <v>158</v>
      </c>
      <c r="C9" s="7"/>
      <c r="D9" s="7"/>
      <c r="E9" s="5" t="s">
        <v>159</v>
      </c>
      <c r="F9" s="6" t="s">
        <v>160</v>
      </c>
      <c r="G9" s="8" t="s">
        <v>161</v>
      </c>
      <c r="H9" s="7" t="s">
        <v>162</v>
      </c>
      <c r="I9" s="5" t="s">
        <v>163</v>
      </c>
      <c r="J9" s="6" t="s">
        <v>164</v>
      </c>
      <c r="K9" s="5" t="s">
        <v>149</v>
      </c>
      <c r="L9" s="6" t="s">
        <v>165</v>
      </c>
      <c r="M9" s="7" t="s">
        <v>166</v>
      </c>
      <c r="N9" s="7" t="s">
        <v>167</v>
      </c>
      <c r="O9" s="5" t="s">
        <v>168</v>
      </c>
      <c r="P9" s="6" t="s">
        <v>169</v>
      </c>
      <c r="Q9" s="8" t="s">
        <v>170</v>
      </c>
      <c r="R9" s="7" t="s">
        <v>171</v>
      </c>
    </row>
    <row r="10" s="1" customFormat="1" ht="24.35" customHeight="1" spans="1:18">
      <c r="A10" s="3" t="s">
        <v>172</v>
      </c>
      <c r="B10" s="4" t="s">
        <v>173</v>
      </c>
      <c r="C10" s="7"/>
      <c r="D10" s="7"/>
      <c r="E10" s="3" t="s">
        <v>174</v>
      </c>
      <c r="F10" s="4" t="s">
        <v>175</v>
      </c>
      <c r="G10" s="8" t="s">
        <v>176</v>
      </c>
      <c r="H10" s="7" t="s">
        <v>177</v>
      </c>
      <c r="I10" s="3" t="s">
        <v>178</v>
      </c>
      <c r="J10" s="4" t="s">
        <v>179</v>
      </c>
      <c r="K10" s="3" t="s">
        <v>180</v>
      </c>
      <c r="L10" s="4" t="s">
        <v>181</v>
      </c>
      <c r="M10" s="8" t="s">
        <v>182</v>
      </c>
      <c r="N10" s="7" t="s">
        <v>183</v>
      </c>
      <c r="O10" s="3" t="s">
        <v>184</v>
      </c>
      <c r="P10" s="4" t="s">
        <v>185</v>
      </c>
      <c r="Q10" s="7"/>
      <c r="R10" s="7"/>
    </row>
    <row r="11" s="1" customFormat="1" ht="24.35" customHeight="1" spans="1:18">
      <c r="A11" s="3" t="s">
        <v>186</v>
      </c>
      <c r="B11" s="4" t="s">
        <v>187</v>
      </c>
      <c r="C11" s="7"/>
      <c r="D11" s="7"/>
      <c r="E11" s="3" t="s">
        <v>188</v>
      </c>
      <c r="F11" s="4" t="s">
        <v>189</v>
      </c>
      <c r="G11" s="8" t="s">
        <v>190</v>
      </c>
      <c r="H11" s="7" t="s">
        <v>191</v>
      </c>
      <c r="I11" s="3" t="s">
        <v>192</v>
      </c>
      <c r="J11" s="4" t="s">
        <v>193</v>
      </c>
      <c r="K11" s="3" t="s">
        <v>194</v>
      </c>
      <c r="L11" s="4" t="s">
        <v>195</v>
      </c>
      <c r="M11" s="8" t="s">
        <v>196</v>
      </c>
      <c r="N11" s="7" t="s">
        <v>197</v>
      </c>
      <c r="O11" s="3" t="s">
        <v>198</v>
      </c>
      <c r="P11" s="4" t="s">
        <v>199</v>
      </c>
      <c r="Q11" s="7"/>
      <c r="R11" s="7"/>
    </row>
    <row r="12" s="1" customFormat="1" ht="40.65" customHeight="1" spans="1:18">
      <c r="A12" s="3" t="s">
        <v>200</v>
      </c>
      <c r="B12" s="4" t="s">
        <v>201</v>
      </c>
      <c r="C12" s="7"/>
      <c r="D12" s="7"/>
      <c r="E12" s="3" t="s">
        <v>202</v>
      </c>
      <c r="F12" s="4" t="s">
        <v>203</v>
      </c>
      <c r="G12" s="8" t="s">
        <v>204</v>
      </c>
      <c r="H12" s="7" t="s">
        <v>205</v>
      </c>
      <c r="I12" s="3" t="s">
        <v>206</v>
      </c>
      <c r="J12" s="4" t="s">
        <v>207</v>
      </c>
      <c r="K12" s="3" t="s">
        <v>208</v>
      </c>
      <c r="L12" s="4" t="s">
        <v>209</v>
      </c>
      <c r="M12" s="8" t="s">
        <v>210</v>
      </c>
      <c r="N12" s="7" t="s">
        <v>211</v>
      </c>
      <c r="O12" s="3" t="s">
        <v>212</v>
      </c>
      <c r="P12" s="4" t="s">
        <v>213</v>
      </c>
      <c r="Q12" s="7"/>
      <c r="R12" s="7"/>
    </row>
    <row r="13" s="1" customFormat="1" ht="32" customHeight="1" spans="1:18">
      <c r="A13" s="3" t="s">
        <v>172</v>
      </c>
      <c r="B13" s="4" t="s">
        <v>173</v>
      </c>
      <c r="C13" s="7"/>
      <c r="D13" s="7"/>
      <c r="E13" s="4"/>
      <c r="F13" s="4"/>
      <c r="G13" s="8" t="s">
        <v>214</v>
      </c>
      <c r="H13" s="7" t="s">
        <v>215</v>
      </c>
      <c r="I13" s="3" t="s">
        <v>216</v>
      </c>
      <c r="J13" s="4" t="s">
        <v>217</v>
      </c>
      <c r="K13" s="3" t="s">
        <v>218</v>
      </c>
      <c r="L13" s="4" t="s">
        <v>219</v>
      </c>
      <c r="M13" s="8" t="s">
        <v>220</v>
      </c>
      <c r="N13" s="7" t="s">
        <v>221</v>
      </c>
      <c r="O13" s="3" t="s">
        <v>222</v>
      </c>
      <c r="P13" s="4" t="s">
        <v>223</v>
      </c>
      <c r="Q13" s="7"/>
      <c r="R13" s="7"/>
    </row>
    <row r="14" s="1" customFormat="1" ht="56.65" customHeight="1" spans="1:18">
      <c r="A14" s="3" t="s">
        <v>224</v>
      </c>
      <c r="B14" s="4" t="s">
        <v>225</v>
      </c>
      <c r="C14" s="7"/>
      <c r="D14" s="7"/>
      <c r="E14" s="4" t="s">
        <v>226</v>
      </c>
      <c r="F14" s="4" t="s">
        <v>227</v>
      </c>
      <c r="G14" s="8" t="s">
        <v>228</v>
      </c>
      <c r="H14" s="7" t="s">
        <v>229</v>
      </c>
      <c r="I14" s="3" t="s">
        <v>230</v>
      </c>
      <c r="J14" s="4" t="s">
        <v>231</v>
      </c>
      <c r="K14" s="3" t="s">
        <v>232</v>
      </c>
      <c r="L14" s="4" t="s">
        <v>233</v>
      </c>
      <c r="M14" s="8" t="s">
        <v>234</v>
      </c>
      <c r="N14" s="7" t="s">
        <v>235</v>
      </c>
      <c r="O14" s="3" t="s">
        <v>236</v>
      </c>
      <c r="P14" s="4" t="s">
        <v>237</v>
      </c>
      <c r="Q14" s="7"/>
      <c r="R14" s="7"/>
    </row>
    <row r="15" s="1" customFormat="1" ht="40.65" customHeight="1" spans="1:18">
      <c r="A15" s="3" t="s">
        <v>238</v>
      </c>
      <c r="B15" s="4" t="s">
        <v>239</v>
      </c>
      <c r="C15" s="7"/>
      <c r="D15" s="7"/>
      <c r="E15" s="3" t="s">
        <v>240</v>
      </c>
      <c r="F15" s="4" t="s">
        <v>241</v>
      </c>
      <c r="G15" s="8" t="s">
        <v>242</v>
      </c>
      <c r="H15" s="7" t="s">
        <v>243</v>
      </c>
      <c r="I15" s="3" t="s">
        <v>244</v>
      </c>
      <c r="J15" s="4" t="s">
        <v>245</v>
      </c>
      <c r="K15" s="3" t="s">
        <v>246</v>
      </c>
      <c r="L15" s="4" t="s">
        <v>247</v>
      </c>
      <c r="M15" s="8" t="s">
        <v>248</v>
      </c>
      <c r="N15" s="7" t="s">
        <v>249</v>
      </c>
      <c r="O15" s="3" t="s">
        <v>250</v>
      </c>
      <c r="P15" s="4" t="s">
        <v>251</v>
      </c>
      <c r="Q15" s="7"/>
      <c r="R15" s="7"/>
    </row>
    <row r="16" s="1" customFormat="1" ht="32" customHeight="1" spans="1:18">
      <c r="A16" s="3" t="s">
        <v>252</v>
      </c>
      <c r="B16" s="4" t="s">
        <v>253</v>
      </c>
      <c r="C16" s="7"/>
      <c r="D16" s="7"/>
      <c r="E16" s="3" t="s">
        <v>254</v>
      </c>
      <c r="F16" s="4" t="s">
        <v>255</v>
      </c>
      <c r="G16" s="8" t="s">
        <v>256</v>
      </c>
      <c r="H16" s="7" t="s">
        <v>257</v>
      </c>
      <c r="I16" s="3" t="s">
        <v>258</v>
      </c>
      <c r="J16" s="4" t="s">
        <v>259</v>
      </c>
      <c r="K16" s="3" t="s">
        <v>260</v>
      </c>
      <c r="L16" s="4" t="s">
        <v>261</v>
      </c>
      <c r="M16" s="8" t="s">
        <v>262</v>
      </c>
      <c r="N16" s="7" t="s">
        <v>263</v>
      </c>
      <c r="O16" s="3" t="s">
        <v>264</v>
      </c>
      <c r="P16" s="4" t="s">
        <v>265</v>
      </c>
      <c r="Q16" s="7"/>
      <c r="R16" s="7"/>
    </row>
    <row r="17" s="1" customFormat="1" ht="24.35" customHeight="1" spans="1:18">
      <c r="A17" s="3" t="s">
        <v>153</v>
      </c>
      <c r="B17" s="4" t="s">
        <v>154</v>
      </c>
      <c r="C17" s="7"/>
      <c r="D17" s="7"/>
      <c r="E17" s="4"/>
      <c r="F17" s="4"/>
      <c r="G17" s="8" t="s">
        <v>266</v>
      </c>
      <c r="H17" s="7" t="s">
        <v>267</v>
      </c>
      <c r="I17" s="3" t="s">
        <v>268</v>
      </c>
      <c r="J17" s="4" t="s">
        <v>269</v>
      </c>
      <c r="K17" s="3" t="s">
        <v>270</v>
      </c>
      <c r="L17" s="4" t="s">
        <v>271</v>
      </c>
      <c r="M17" s="8" t="s">
        <v>272</v>
      </c>
      <c r="N17" s="7" t="s">
        <v>273</v>
      </c>
      <c r="O17" s="3" t="s">
        <v>274</v>
      </c>
      <c r="P17" s="4" t="s">
        <v>275</v>
      </c>
      <c r="Q17" s="7"/>
      <c r="R17" s="7"/>
    </row>
    <row r="18" s="1" customFormat="1" ht="104.95" customHeight="1" spans="1:18">
      <c r="A18" s="3" t="s">
        <v>276</v>
      </c>
      <c r="B18" s="4" t="s">
        <v>277</v>
      </c>
      <c r="C18" s="7"/>
      <c r="D18" s="7"/>
      <c r="E18" s="4" t="s">
        <v>278</v>
      </c>
      <c r="F18" s="3" t="s">
        <v>279</v>
      </c>
      <c r="G18" s="8" t="s">
        <v>280</v>
      </c>
      <c r="H18" s="7" t="s">
        <v>281</v>
      </c>
      <c r="I18" s="3" t="s">
        <v>282</v>
      </c>
      <c r="J18" s="4" t="s">
        <v>283</v>
      </c>
      <c r="K18" s="3" t="s">
        <v>284</v>
      </c>
      <c r="L18" s="4" t="s">
        <v>285</v>
      </c>
      <c r="M18" s="7" t="s">
        <v>286</v>
      </c>
      <c r="N18" s="7" t="s">
        <v>286</v>
      </c>
      <c r="O18" s="3" t="s">
        <v>287</v>
      </c>
      <c r="P18" s="4" t="s">
        <v>288</v>
      </c>
      <c r="Q18" s="7"/>
      <c r="R18" s="7"/>
    </row>
    <row r="19" s="1" customFormat="1" ht="74.35" customHeight="1" spans="1:18">
      <c r="A19" s="3" t="s">
        <v>289</v>
      </c>
      <c r="B19" s="4" t="s">
        <v>290</v>
      </c>
      <c r="C19" s="7"/>
      <c r="D19" s="7"/>
      <c r="E19" s="3" t="s">
        <v>291</v>
      </c>
      <c r="F19" s="3" t="s">
        <v>292</v>
      </c>
      <c r="G19" s="8" t="s">
        <v>293</v>
      </c>
      <c r="H19" s="7" t="s">
        <v>294</v>
      </c>
      <c r="I19" s="3" t="s">
        <v>147</v>
      </c>
      <c r="J19" s="4" t="s">
        <v>148</v>
      </c>
      <c r="K19" s="3" t="s">
        <v>295</v>
      </c>
      <c r="L19" s="4" t="s">
        <v>296</v>
      </c>
      <c r="M19" s="7" t="s">
        <v>297</v>
      </c>
      <c r="N19" s="7" t="s">
        <v>298</v>
      </c>
      <c r="O19" s="3" t="s">
        <v>299</v>
      </c>
      <c r="P19" s="4" t="s">
        <v>300</v>
      </c>
      <c r="Q19" s="7"/>
      <c r="R19" s="7"/>
    </row>
    <row r="20" s="1" customFormat="1" ht="32" customHeight="1" spans="1:18">
      <c r="A20" s="3" t="s">
        <v>301</v>
      </c>
      <c r="B20" s="4" t="s">
        <v>302</v>
      </c>
      <c r="C20" s="7"/>
      <c r="D20" s="7"/>
      <c r="E20" s="4" t="s">
        <v>303</v>
      </c>
      <c r="F20" s="4"/>
      <c r="G20" s="8" t="s">
        <v>304</v>
      </c>
      <c r="H20" s="7" t="s">
        <v>305</v>
      </c>
      <c r="I20" s="3" t="s">
        <v>306</v>
      </c>
      <c r="J20" s="4" t="s">
        <v>307</v>
      </c>
      <c r="K20" s="3" t="s">
        <v>308</v>
      </c>
      <c r="L20" s="4" t="s">
        <v>309</v>
      </c>
      <c r="M20" s="7" t="s">
        <v>310</v>
      </c>
      <c r="N20" s="7" t="s">
        <v>310</v>
      </c>
      <c r="O20" s="3" t="s">
        <v>311</v>
      </c>
      <c r="P20" s="4" t="s">
        <v>312</v>
      </c>
      <c r="Q20" s="7"/>
      <c r="R20" s="7"/>
    </row>
    <row r="21" s="1" customFormat="1" ht="32" customHeight="1" spans="1:18">
      <c r="A21" s="3" t="s">
        <v>45</v>
      </c>
      <c r="B21" s="4" t="s">
        <v>46</v>
      </c>
      <c r="C21" s="7"/>
      <c r="D21" s="7"/>
      <c r="E21" s="4" t="s">
        <v>313</v>
      </c>
      <c r="F21" s="4"/>
      <c r="G21" s="8" t="s">
        <v>314</v>
      </c>
      <c r="H21" s="7" t="s">
        <v>315</v>
      </c>
      <c r="I21" s="3" t="s">
        <v>316</v>
      </c>
      <c r="J21" s="4" t="s">
        <v>317</v>
      </c>
      <c r="K21" s="3" t="s">
        <v>318</v>
      </c>
      <c r="L21" s="4" t="s">
        <v>319</v>
      </c>
      <c r="M21" s="7" t="s">
        <v>320</v>
      </c>
      <c r="N21" s="7" t="s">
        <v>320</v>
      </c>
      <c r="O21" s="4"/>
      <c r="P21" s="4"/>
      <c r="Q21" s="7"/>
      <c r="R21" s="7"/>
    </row>
    <row r="22" s="1" customFormat="1" ht="24.35" customHeight="1" spans="1:18">
      <c r="A22" s="3" t="s">
        <v>63</v>
      </c>
      <c r="B22" s="4" t="s">
        <v>64</v>
      </c>
      <c r="C22" s="7"/>
      <c r="D22" s="7"/>
      <c r="E22" s="4" t="s">
        <v>321</v>
      </c>
      <c r="F22" s="4"/>
      <c r="G22" s="8" t="s">
        <v>322</v>
      </c>
      <c r="H22" s="7" t="s">
        <v>323</v>
      </c>
      <c r="I22" s="3" t="s">
        <v>324</v>
      </c>
      <c r="J22" s="4" t="s">
        <v>325</v>
      </c>
      <c r="K22" s="3" t="s">
        <v>326</v>
      </c>
      <c r="L22" s="4" t="s">
        <v>327</v>
      </c>
      <c r="M22" s="7" t="s">
        <v>328</v>
      </c>
      <c r="N22" s="7" t="s">
        <v>328</v>
      </c>
      <c r="O22" s="4"/>
      <c r="P22" s="4"/>
      <c r="Q22" s="7"/>
      <c r="R22" s="7"/>
    </row>
    <row r="23" s="1" customFormat="1" ht="40.65" customHeight="1" spans="1:18">
      <c r="A23" s="3" t="s">
        <v>329</v>
      </c>
      <c r="B23" s="4" t="s">
        <v>330</v>
      </c>
      <c r="C23" s="7"/>
      <c r="D23" s="7"/>
      <c r="E23" s="4"/>
      <c r="F23" s="4"/>
      <c r="G23" s="8" t="s">
        <v>331</v>
      </c>
      <c r="H23" s="7" t="s">
        <v>332</v>
      </c>
      <c r="I23" s="3" t="s">
        <v>333</v>
      </c>
      <c r="J23" s="4" t="s">
        <v>334</v>
      </c>
      <c r="K23" s="3" t="s">
        <v>335</v>
      </c>
      <c r="L23" s="4" t="s">
        <v>336</v>
      </c>
      <c r="M23" s="7" t="s">
        <v>337</v>
      </c>
      <c r="N23" s="7" t="s">
        <v>337</v>
      </c>
      <c r="O23" s="4"/>
      <c r="P23" s="4"/>
      <c r="Q23" s="7"/>
      <c r="R23" s="7"/>
    </row>
    <row r="24" s="1" customFormat="1" ht="24.35" customHeight="1" spans="1:18">
      <c r="A24" s="3" t="s">
        <v>338</v>
      </c>
      <c r="B24" s="4" t="s">
        <v>339</v>
      </c>
      <c r="C24" s="7"/>
      <c r="D24" s="7"/>
      <c r="E24" s="4"/>
      <c r="F24" s="4"/>
      <c r="G24" s="8" t="s">
        <v>340</v>
      </c>
      <c r="H24" s="7" t="s">
        <v>341</v>
      </c>
      <c r="I24" s="3" t="s">
        <v>342</v>
      </c>
      <c r="J24" s="4" t="s">
        <v>343</v>
      </c>
      <c r="K24" s="3" t="s">
        <v>344</v>
      </c>
      <c r="L24" s="4" t="s">
        <v>345</v>
      </c>
      <c r="M24" s="7" t="s">
        <v>346</v>
      </c>
      <c r="N24" s="7" t="s">
        <v>346</v>
      </c>
      <c r="O24" s="4"/>
      <c r="P24" s="4"/>
      <c r="Q24" s="7"/>
      <c r="R24" s="7"/>
    </row>
    <row r="25" s="1" customFormat="1" ht="40.35" customHeight="1" spans="1:18">
      <c r="A25" s="3" t="s">
        <v>301</v>
      </c>
      <c r="B25" s="4" t="s">
        <v>302</v>
      </c>
      <c r="C25" s="7"/>
      <c r="D25" s="7"/>
      <c r="E25" s="4"/>
      <c r="F25" s="4"/>
      <c r="G25" s="8" t="s">
        <v>347</v>
      </c>
      <c r="H25" s="7" t="s">
        <v>348</v>
      </c>
      <c r="I25" s="3" t="s">
        <v>349</v>
      </c>
      <c r="J25" s="4" t="s">
        <v>350</v>
      </c>
      <c r="K25" s="3"/>
      <c r="L25" s="4"/>
      <c r="M25" s="7" t="s">
        <v>351</v>
      </c>
      <c r="N25" s="7" t="s">
        <v>351</v>
      </c>
      <c r="O25" s="4"/>
      <c r="P25" s="4"/>
      <c r="Q25" s="7"/>
      <c r="R25" s="7"/>
    </row>
    <row r="26" s="1" customFormat="1" ht="24.35" customHeight="1" spans="1:18">
      <c r="A26" s="3" t="s">
        <v>352</v>
      </c>
      <c r="B26" s="4" t="s">
        <v>353</v>
      </c>
      <c r="C26" s="7"/>
      <c r="D26" s="7"/>
      <c r="E26" s="4"/>
      <c r="F26" s="4"/>
      <c r="G26" s="8" t="s">
        <v>354</v>
      </c>
      <c r="H26" s="7" t="s">
        <v>355</v>
      </c>
      <c r="I26" s="3" t="s">
        <v>356</v>
      </c>
      <c r="J26" s="4" t="s">
        <v>102</v>
      </c>
      <c r="K26" s="3" t="s">
        <v>357</v>
      </c>
      <c r="L26" s="4" t="s">
        <v>358</v>
      </c>
      <c r="M26" s="7" t="s">
        <v>359</v>
      </c>
      <c r="N26" s="7" t="s">
        <v>359</v>
      </c>
      <c r="O26" s="4"/>
      <c r="P26" s="4"/>
      <c r="Q26" s="7"/>
      <c r="R26" s="7"/>
    </row>
    <row r="27" s="1" customFormat="1" ht="24.35" customHeight="1" spans="1:18">
      <c r="A27" s="3" t="s">
        <v>360</v>
      </c>
      <c r="B27" s="4" t="s">
        <v>361</v>
      </c>
      <c r="C27" s="7"/>
      <c r="D27" s="7"/>
      <c r="E27" s="4"/>
      <c r="F27" s="4"/>
      <c r="G27" s="8" t="s">
        <v>362</v>
      </c>
      <c r="H27" s="7" t="s">
        <v>363</v>
      </c>
      <c r="I27" s="3" t="s">
        <v>364</v>
      </c>
      <c r="J27" s="4" t="s">
        <v>365</v>
      </c>
      <c r="K27" s="3" t="s">
        <v>366</v>
      </c>
      <c r="L27" s="4" t="s">
        <v>367</v>
      </c>
      <c r="M27" s="7" t="s">
        <v>368</v>
      </c>
      <c r="N27" s="7" t="s">
        <v>368</v>
      </c>
      <c r="O27" s="4"/>
      <c r="P27" s="4"/>
      <c r="Q27" s="7"/>
      <c r="R27" s="7"/>
    </row>
    <row r="28" s="1" customFormat="1" ht="24.35" customHeight="1" spans="1:18">
      <c r="A28" s="3" t="s">
        <v>369</v>
      </c>
      <c r="B28" s="4" t="s">
        <v>370</v>
      </c>
      <c r="C28" s="7"/>
      <c r="D28" s="7"/>
      <c r="E28" s="4"/>
      <c r="F28" s="4"/>
      <c r="G28" s="8" t="s">
        <v>161</v>
      </c>
      <c r="H28" s="7" t="s">
        <v>162</v>
      </c>
      <c r="I28" s="3" t="s">
        <v>371</v>
      </c>
      <c r="J28" s="4" t="s">
        <v>372</v>
      </c>
      <c r="K28" s="3" t="s">
        <v>373</v>
      </c>
      <c r="L28" s="4" t="s">
        <v>374</v>
      </c>
      <c r="M28" s="7" t="s">
        <v>375</v>
      </c>
      <c r="N28" s="7" t="s">
        <v>375</v>
      </c>
      <c r="O28" s="4"/>
      <c r="P28" s="4"/>
      <c r="Q28" s="7"/>
      <c r="R28" s="7"/>
    </row>
    <row r="29" s="1" customFormat="1" ht="32" customHeight="1" spans="1:18">
      <c r="A29" s="3" t="s">
        <v>376</v>
      </c>
      <c r="B29" s="4" t="s">
        <v>377</v>
      </c>
      <c r="C29" s="7"/>
      <c r="D29" s="7"/>
      <c r="E29" s="4"/>
      <c r="F29" s="4"/>
      <c r="G29" s="8" t="s">
        <v>214</v>
      </c>
      <c r="H29" s="7" t="s">
        <v>215</v>
      </c>
      <c r="I29" s="3" t="s">
        <v>378</v>
      </c>
      <c r="J29" s="4" t="s">
        <v>379</v>
      </c>
      <c r="K29" s="3" t="s">
        <v>380</v>
      </c>
      <c r="L29" s="4" t="s">
        <v>381</v>
      </c>
      <c r="M29" s="7" t="s">
        <v>382</v>
      </c>
      <c r="N29" s="7" t="s">
        <v>382</v>
      </c>
      <c r="O29" s="4"/>
      <c r="P29" s="4"/>
      <c r="Q29" s="7"/>
      <c r="R29" s="7"/>
    </row>
    <row r="30" s="1" customFormat="1" ht="32" customHeight="1" spans="1:18">
      <c r="A30" s="4" t="s">
        <v>383</v>
      </c>
      <c r="B30" s="4" t="s">
        <v>383</v>
      </c>
      <c r="C30" s="7"/>
      <c r="D30" s="7"/>
      <c r="E30" s="4"/>
      <c r="F30" s="4"/>
      <c r="G30" s="8" t="s">
        <v>384</v>
      </c>
      <c r="H30" s="7" t="s">
        <v>385</v>
      </c>
      <c r="I30" s="3" t="s">
        <v>386</v>
      </c>
      <c r="J30" s="4" t="s">
        <v>387</v>
      </c>
      <c r="K30" s="3" t="s">
        <v>388</v>
      </c>
      <c r="L30" s="4" t="s">
        <v>389</v>
      </c>
      <c r="M30" s="7" t="s">
        <v>390</v>
      </c>
      <c r="N30" s="7" t="s">
        <v>390</v>
      </c>
      <c r="O30" s="4"/>
      <c r="P30" s="4"/>
      <c r="Q30" s="7"/>
      <c r="R30" s="7"/>
    </row>
    <row r="31" s="1" customFormat="1" ht="32" customHeight="1" spans="1:18">
      <c r="A31" s="3" t="s">
        <v>391</v>
      </c>
      <c r="B31" s="4" t="s">
        <v>392</v>
      </c>
      <c r="C31" s="7"/>
      <c r="D31" s="7"/>
      <c r="E31" s="4"/>
      <c r="F31" s="4"/>
      <c r="G31" s="8" t="s">
        <v>393</v>
      </c>
      <c r="H31" s="7" t="s">
        <v>394</v>
      </c>
      <c r="I31" s="3" t="s">
        <v>395</v>
      </c>
      <c r="J31" s="4" t="s">
        <v>396</v>
      </c>
      <c r="K31" s="3" t="s">
        <v>397</v>
      </c>
      <c r="L31" s="4" t="s">
        <v>398</v>
      </c>
      <c r="M31" s="7" t="s">
        <v>399</v>
      </c>
      <c r="N31" s="7" t="s">
        <v>399</v>
      </c>
      <c r="O31" s="4"/>
      <c r="P31" s="4"/>
      <c r="Q31" s="7"/>
      <c r="R31" s="7"/>
    </row>
    <row r="32" s="1" customFormat="1" ht="40.65" customHeight="1" spans="1:18">
      <c r="A32" s="3" t="s">
        <v>400</v>
      </c>
      <c r="B32" s="4" t="s">
        <v>401</v>
      </c>
      <c r="C32" s="7"/>
      <c r="D32" s="7"/>
      <c r="E32" s="4"/>
      <c r="F32" s="4"/>
      <c r="G32" s="8" t="s">
        <v>402</v>
      </c>
      <c r="H32" s="7" t="s">
        <v>403</v>
      </c>
      <c r="I32" s="4"/>
      <c r="J32" s="4"/>
      <c r="K32" s="3" t="s">
        <v>404</v>
      </c>
      <c r="L32" s="4" t="s">
        <v>405</v>
      </c>
      <c r="M32" s="7" t="s">
        <v>406</v>
      </c>
      <c r="N32" s="7" t="s">
        <v>406</v>
      </c>
      <c r="O32" s="4"/>
      <c r="P32" s="4"/>
      <c r="Q32" s="7"/>
      <c r="R32" s="7"/>
    </row>
    <row r="33" s="1" customFormat="1" ht="24.35" customHeight="1" spans="1:18">
      <c r="A33" s="3" t="s">
        <v>407</v>
      </c>
      <c r="B33" s="4" t="s">
        <v>408</v>
      </c>
      <c r="C33" s="7"/>
      <c r="D33" s="7"/>
      <c r="E33" s="4"/>
      <c r="F33" s="4"/>
      <c r="G33" s="8" t="s">
        <v>409</v>
      </c>
      <c r="H33" s="7" t="s">
        <v>410</v>
      </c>
      <c r="I33" s="4"/>
      <c r="J33" s="4"/>
      <c r="K33" s="3" t="s">
        <v>411</v>
      </c>
      <c r="L33" s="4" t="s">
        <v>412</v>
      </c>
      <c r="M33" s="7"/>
      <c r="N33" s="7"/>
      <c r="O33" s="4"/>
      <c r="P33" s="4"/>
      <c r="Q33" s="7"/>
      <c r="R33" s="7"/>
    </row>
    <row r="34" s="1" customFormat="1" ht="20.05" customHeight="1" spans="1:18">
      <c r="A34" s="3" t="s">
        <v>413</v>
      </c>
      <c r="B34" s="4" t="s">
        <v>414</v>
      </c>
      <c r="C34" s="7"/>
      <c r="D34" s="7"/>
      <c r="E34" s="4"/>
      <c r="F34" s="4"/>
      <c r="G34" s="7"/>
      <c r="H34" s="7"/>
      <c r="I34" s="4"/>
      <c r="J34" s="4"/>
      <c r="K34" s="3" t="s">
        <v>415</v>
      </c>
      <c r="L34" s="4" t="s">
        <v>416</v>
      </c>
      <c r="M34" s="7"/>
      <c r="N34" s="7"/>
      <c r="O34" s="4"/>
      <c r="P34" s="4"/>
      <c r="Q34" s="7"/>
      <c r="R34" s="7"/>
    </row>
    <row r="35" s="1" customFormat="1" ht="20.05" customHeight="1" spans="1:18">
      <c r="A35" s="3" t="s">
        <v>417</v>
      </c>
      <c r="B35" s="4" t="s">
        <v>418</v>
      </c>
      <c r="C35" s="7"/>
      <c r="D35" s="7"/>
      <c r="E35" s="4"/>
      <c r="F35" s="4"/>
      <c r="G35" s="7"/>
      <c r="H35" s="7"/>
      <c r="I35" s="4"/>
      <c r="J35" s="4"/>
      <c r="K35" s="3" t="s">
        <v>419</v>
      </c>
      <c r="L35" s="4" t="s">
        <v>420</v>
      </c>
      <c r="M35" s="7"/>
      <c r="N35" s="7"/>
      <c r="O35" s="4"/>
      <c r="P35" s="4"/>
      <c r="Q35" s="7"/>
      <c r="R35" s="7"/>
    </row>
    <row r="36" s="1" customFormat="1" ht="24" customHeight="1" spans="1:18">
      <c r="A36" s="3" t="s">
        <v>421</v>
      </c>
      <c r="B36" s="4" t="s">
        <v>422</v>
      </c>
      <c r="C36" s="7"/>
      <c r="D36" s="7"/>
      <c r="E36" s="4"/>
      <c r="F36" s="4"/>
      <c r="G36" s="7"/>
      <c r="H36" s="7"/>
      <c r="I36" s="4"/>
      <c r="J36" s="4"/>
      <c r="K36" s="3" t="s">
        <v>423</v>
      </c>
      <c r="L36" s="4" t="s">
        <v>424</v>
      </c>
      <c r="M36" s="7"/>
      <c r="N36" s="7"/>
      <c r="O36" s="4"/>
      <c r="P36" s="4"/>
      <c r="Q36" s="7"/>
      <c r="R36" s="7"/>
    </row>
    <row r="37" s="1" customFormat="1" ht="20.05" customHeight="1" spans="1:18">
      <c r="A37" s="3" t="s">
        <v>425</v>
      </c>
      <c r="B37" s="4" t="s">
        <v>426</v>
      </c>
      <c r="C37" s="7"/>
      <c r="D37" s="7"/>
      <c r="E37" s="4"/>
      <c r="F37" s="4"/>
      <c r="G37" s="7"/>
      <c r="H37" s="7"/>
      <c r="I37" s="4"/>
      <c r="J37" s="4"/>
      <c r="K37" s="3" t="s">
        <v>427</v>
      </c>
      <c r="L37" s="4" t="s">
        <v>428</v>
      </c>
      <c r="M37" s="7"/>
      <c r="N37" s="7"/>
      <c r="O37" s="4"/>
      <c r="P37" s="4"/>
      <c r="Q37" s="7"/>
      <c r="R37" s="7"/>
    </row>
    <row r="38" s="1" customFormat="1" ht="20.05" customHeight="1" spans="1:18">
      <c r="A38" s="3" t="s">
        <v>429</v>
      </c>
      <c r="B38" s="4" t="s">
        <v>430</v>
      </c>
      <c r="C38" s="7"/>
      <c r="D38" s="7"/>
      <c r="E38" s="4"/>
      <c r="F38" s="4"/>
      <c r="G38" s="7"/>
      <c r="H38" s="7"/>
      <c r="I38" s="4"/>
      <c r="J38" s="4"/>
      <c r="K38" s="3" t="s">
        <v>431</v>
      </c>
      <c r="L38" s="4" t="s">
        <v>432</v>
      </c>
      <c r="M38" s="7"/>
      <c r="N38" s="7"/>
      <c r="O38" s="4"/>
      <c r="P38" s="4"/>
      <c r="Q38" s="7"/>
      <c r="R38" s="7"/>
    </row>
    <row r="39" s="1" customFormat="1" ht="20.05" customHeight="1" spans="1:18">
      <c r="A39" s="3" t="s">
        <v>433</v>
      </c>
      <c r="B39" s="4" t="s">
        <v>434</v>
      </c>
      <c r="C39" s="7"/>
      <c r="D39" s="7"/>
      <c r="E39" s="4"/>
      <c r="F39" s="4"/>
      <c r="G39" s="7"/>
      <c r="H39" s="7"/>
      <c r="I39" s="4"/>
      <c r="J39" s="4"/>
      <c r="K39" s="3" t="s">
        <v>435</v>
      </c>
      <c r="L39" s="4" t="s">
        <v>436</v>
      </c>
      <c r="M39" s="7"/>
      <c r="N39" s="7"/>
      <c r="O39" s="4"/>
      <c r="P39" s="4"/>
      <c r="Q39" s="7"/>
      <c r="R39" s="7"/>
    </row>
    <row r="40" s="1" customFormat="1" ht="20.05" customHeight="1" spans="1:18">
      <c r="A40" s="3" t="s">
        <v>437</v>
      </c>
      <c r="B40" s="4" t="s">
        <v>438</v>
      </c>
      <c r="C40" s="7"/>
      <c r="D40" s="7"/>
      <c r="E40" s="4"/>
      <c r="F40" s="4"/>
      <c r="G40" s="7"/>
      <c r="H40" s="7"/>
      <c r="I40" s="4"/>
      <c r="J40" s="4"/>
      <c r="K40" s="3" t="s">
        <v>439</v>
      </c>
      <c r="L40" s="4" t="s">
        <v>440</v>
      </c>
      <c r="M40" s="7"/>
      <c r="N40" s="7"/>
      <c r="O40" s="4"/>
      <c r="P40" s="4"/>
      <c r="Q40" s="7"/>
      <c r="R40" s="7"/>
    </row>
    <row r="41" s="1" customFormat="1" ht="24" customHeight="1" spans="1:18">
      <c r="A41" s="3" t="s">
        <v>441</v>
      </c>
      <c r="B41" s="4" t="s">
        <v>442</v>
      </c>
      <c r="C41" s="7"/>
      <c r="D41" s="7"/>
      <c r="E41" s="4"/>
      <c r="F41" s="4"/>
      <c r="G41" s="7"/>
      <c r="H41" s="7"/>
      <c r="I41" s="4"/>
      <c r="J41" s="4"/>
      <c r="K41" s="3" t="s">
        <v>443</v>
      </c>
      <c r="L41" s="4" t="s">
        <v>444</v>
      </c>
      <c r="M41" s="7"/>
      <c r="N41" s="7"/>
      <c r="O41" s="4"/>
      <c r="P41" s="4"/>
      <c r="Q41" s="7"/>
      <c r="R41" s="7"/>
    </row>
    <row r="42" s="1" customFormat="1" ht="20.05" customHeight="1" spans="1:18">
      <c r="A42" s="9" t="s">
        <v>445</v>
      </c>
      <c r="B42" s="9" t="s">
        <v>446</v>
      </c>
      <c r="C42" s="7"/>
      <c r="D42" s="7"/>
      <c r="E42" s="9"/>
      <c r="F42" s="9"/>
      <c r="G42" s="7"/>
      <c r="H42" s="7"/>
      <c r="I42" s="9"/>
      <c r="J42" s="9"/>
      <c r="K42" s="10" t="s">
        <v>447</v>
      </c>
      <c r="L42" s="9" t="s">
        <v>448</v>
      </c>
      <c r="M42" s="7"/>
      <c r="N42" s="7"/>
      <c r="O42" s="9"/>
      <c r="P42" s="9"/>
      <c r="Q42" s="7"/>
      <c r="R42" s="7"/>
    </row>
    <row r="43" s="1" customFormat="1" ht="20.05" customHeight="1" spans="1:18">
      <c r="A43" s="10" t="s">
        <v>449</v>
      </c>
      <c r="B43" s="9" t="s">
        <v>450</v>
      </c>
      <c r="C43" s="7"/>
      <c r="D43" s="7"/>
      <c r="E43" s="9"/>
      <c r="F43" s="9"/>
      <c r="G43" s="7"/>
      <c r="H43" s="7"/>
      <c r="I43" s="9"/>
      <c r="J43" s="9"/>
      <c r="K43" s="10" t="s">
        <v>451</v>
      </c>
      <c r="L43" s="9" t="s">
        <v>452</v>
      </c>
      <c r="M43" s="7"/>
      <c r="N43" s="7"/>
      <c r="O43" s="9"/>
      <c r="P43" s="9"/>
      <c r="Q43" s="7"/>
      <c r="R43" s="7"/>
    </row>
    <row r="44" s="1" customFormat="1" ht="20.05" customHeight="1" spans="1:18">
      <c r="A44" s="11"/>
      <c r="B44" s="11"/>
      <c r="C44" s="12"/>
      <c r="D44" s="12"/>
      <c r="E44" s="11"/>
      <c r="F44" s="11"/>
      <c r="G44" s="12"/>
      <c r="H44" s="12"/>
      <c r="I44" s="11"/>
      <c r="J44" s="11"/>
      <c r="K44" s="14" t="s">
        <v>453</v>
      </c>
      <c r="L44" s="11" t="s">
        <v>454</v>
      </c>
      <c r="M44" s="12"/>
      <c r="N44" s="12"/>
      <c r="O44" s="11"/>
      <c r="P44" s="11"/>
      <c r="Q44" s="12"/>
      <c r="R44" s="12"/>
    </row>
    <row r="45" s="1" customFormat="1" ht="20.05" customHeight="1" spans="1:18">
      <c r="A45" s="11"/>
      <c r="B45" s="11"/>
      <c r="C45" s="13"/>
      <c r="D45" s="13"/>
      <c r="E45" s="11"/>
      <c r="F45" s="11"/>
      <c r="G45" s="13"/>
      <c r="H45" s="13"/>
      <c r="I45" s="11"/>
      <c r="J45" s="11"/>
      <c r="K45" s="14" t="s">
        <v>455</v>
      </c>
      <c r="L45" s="11" t="s">
        <v>456</v>
      </c>
      <c r="M45" s="13"/>
      <c r="N45" s="13"/>
      <c r="O45" s="11"/>
      <c r="P45" s="11"/>
      <c r="Q45" s="13"/>
      <c r="R45" s="13"/>
    </row>
    <row r="46" s="1" customFormat="1" ht="27.35" customHeight="1" spans="1:18">
      <c r="A46" s="13"/>
      <c r="B46" s="13"/>
      <c r="C46" s="13"/>
      <c r="D46" s="13"/>
      <c r="E46" s="13"/>
      <c r="F46" s="13"/>
      <c r="G46" s="13"/>
      <c r="H46" s="13"/>
      <c r="I46" s="13"/>
      <c r="J46" s="13"/>
      <c r="K46" s="15" t="s">
        <v>457</v>
      </c>
      <c r="L46" s="13" t="s">
        <v>458</v>
      </c>
      <c r="M46" s="13"/>
      <c r="N46" s="13"/>
      <c r="O46" s="13"/>
      <c r="P46" s="13"/>
      <c r="Q46" s="13"/>
      <c r="R46" s="13"/>
    </row>
    <row r="47" s="1" customFormat="1" ht="20.05" customHeight="1" spans="1:18">
      <c r="A47" s="13"/>
      <c r="B47" s="13"/>
      <c r="C47" s="13"/>
      <c r="D47" s="13"/>
      <c r="E47" s="13"/>
      <c r="F47" s="13"/>
      <c r="G47" s="13"/>
      <c r="H47" s="13"/>
      <c r="I47" s="13"/>
      <c r="J47" s="13"/>
      <c r="K47" s="15" t="s">
        <v>459</v>
      </c>
      <c r="L47" s="13" t="s">
        <v>460</v>
      </c>
      <c r="M47" s="13"/>
      <c r="N47" s="13"/>
      <c r="O47" s="13"/>
      <c r="P47" s="13"/>
      <c r="Q47" s="13"/>
      <c r="R47" s="13"/>
    </row>
    <row r="48" s="1" customFormat="1" ht="27.35" customHeight="1" spans="1:18">
      <c r="A48" s="13"/>
      <c r="B48" s="11"/>
      <c r="C48" s="13"/>
      <c r="D48" s="13"/>
      <c r="E48" s="13"/>
      <c r="F48" s="11"/>
      <c r="G48" s="13"/>
      <c r="H48" s="13"/>
      <c r="I48" s="13"/>
      <c r="J48" s="11"/>
      <c r="K48" s="15" t="s">
        <v>461</v>
      </c>
      <c r="L48" s="11" t="s">
        <v>462</v>
      </c>
      <c r="M48" s="13"/>
      <c r="N48" s="13"/>
      <c r="O48" s="13"/>
      <c r="P48" s="11"/>
      <c r="Q48" s="13"/>
      <c r="R48" s="13"/>
    </row>
    <row r="49" s="1" customFormat="1" ht="20.05" customHeight="1" spans="1:18">
      <c r="A49" s="13"/>
      <c r="B49" s="11"/>
      <c r="C49" s="13"/>
      <c r="D49" s="13"/>
      <c r="E49" s="13"/>
      <c r="F49" s="11"/>
      <c r="G49" s="13"/>
      <c r="H49" s="13"/>
      <c r="I49" s="13"/>
      <c r="J49" s="11"/>
      <c r="K49" s="15" t="s">
        <v>463</v>
      </c>
      <c r="L49" s="11" t="s">
        <v>464</v>
      </c>
      <c r="M49" s="13"/>
      <c r="N49" s="13"/>
      <c r="O49" s="13"/>
      <c r="P49" s="11"/>
      <c r="Q49" s="13"/>
      <c r="R49" s="13"/>
    </row>
    <row r="50" s="1" customFormat="1" ht="20.05" customHeight="1" spans="1:18">
      <c r="A50" s="13"/>
      <c r="B50" s="11"/>
      <c r="C50" s="13"/>
      <c r="D50" s="13"/>
      <c r="E50" s="13"/>
      <c r="F50" s="11"/>
      <c r="G50" s="13"/>
      <c r="H50" s="13"/>
      <c r="I50" s="13"/>
      <c r="J50" s="11"/>
      <c r="K50" s="15" t="s">
        <v>465</v>
      </c>
      <c r="L50" s="11" t="s">
        <v>466</v>
      </c>
      <c r="M50" s="13"/>
      <c r="N50" s="13"/>
      <c r="O50" s="13"/>
      <c r="P50" s="11"/>
      <c r="Q50" s="13"/>
      <c r="R50" s="13"/>
    </row>
    <row r="51" s="1" customFormat="1" ht="20.05" customHeight="1" spans="1:18">
      <c r="A51" s="13"/>
      <c r="B51" s="11"/>
      <c r="C51" s="13"/>
      <c r="D51" s="13"/>
      <c r="E51" s="13"/>
      <c r="F51" s="11"/>
      <c r="G51" s="13"/>
      <c r="H51" s="13"/>
      <c r="I51" s="13"/>
      <c r="J51" s="11"/>
      <c r="K51" s="15" t="s">
        <v>467</v>
      </c>
      <c r="L51" s="11" t="s">
        <v>468</v>
      </c>
      <c r="M51" s="13"/>
      <c r="N51" s="13"/>
      <c r="O51" s="13"/>
      <c r="P51" s="11"/>
      <c r="Q51" s="13"/>
      <c r="R51" s="13"/>
    </row>
    <row r="52" s="1" customFormat="1" ht="20.05" customHeight="1" spans="1:18">
      <c r="A52" s="13"/>
      <c r="B52" s="11"/>
      <c r="C52" s="13"/>
      <c r="D52" s="13"/>
      <c r="E52" s="13"/>
      <c r="F52" s="11"/>
      <c r="G52" s="13"/>
      <c r="H52" s="13"/>
      <c r="I52" s="13"/>
      <c r="J52" s="11"/>
      <c r="K52" s="15" t="s">
        <v>469</v>
      </c>
      <c r="L52" s="11" t="s">
        <v>470</v>
      </c>
      <c r="M52" s="13"/>
      <c r="N52" s="13"/>
      <c r="O52" s="13"/>
      <c r="P52" s="11"/>
      <c r="Q52" s="13"/>
      <c r="R52" s="13"/>
    </row>
    <row r="53" s="1" customFormat="1" ht="20.05" customHeight="1" spans="1:18">
      <c r="A53" s="13"/>
      <c r="B53" s="11"/>
      <c r="C53" s="13"/>
      <c r="D53" s="13"/>
      <c r="E53" s="13"/>
      <c r="F53" s="11"/>
      <c r="G53" s="13"/>
      <c r="H53" s="13"/>
      <c r="I53" s="13"/>
      <c r="J53" s="11"/>
      <c r="K53" s="15" t="s">
        <v>471</v>
      </c>
      <c r="L53" s="11" t="s">
        <v>472</v>
      </c>
      <c r="M53" s="13"/>
      <c r="N53" s="13"/>
      <c r="O53" s="13"/>
      <c r="P53" s="11"/>
      <c r="Q53" s="13"/>
      <c r="R53" s="13"/>
    </row>
    <row r="54" s="1" customFormat="1" ht="20.05" customHeight="1" spans="1:18">
      <c r="A54" s="13"/>
      <c r="B54" s="11"/>
      <c r="C54" s="13"/>
      <c r="D54" s="13"/>
      <c r="E54" s="13"/>
      <c r="F54" s="11"/>
      <c r="G54" s="13"/>
      <c r="H54" s="13"/>
      <c r="I54" s="13"/>
      <c r="J54" s="11"/>
      <c r="K54" s="15" t="s">
        <v>473</v>
      </c>
      <c r="L54" s="11" t="s">
        <v>474</v>
      </c>
      <c r="M54" s="13"/>
      <c r="N54" s="13"/>
      <c r="O54" s="13"/>
      <c r="P54" s="11"/>
      <c r="Q54" s="13"/>
      <c r="R54" s="13"/>
    </row>
    <row r="55" s="1" customFormat="1" ht="20.05" customHeight="1" spans="1:18">
      <c r="A55" s="13"/>
      <c r="B55" s="11"/>
      <c r="C55" s="13"/>
      <c r="D55" s="13"/>
      <c r="E55" s="13"/>
      <c r="F55" s="11"/>
      <c r="G55" s="13"/>
      <c r="H55" s="13"/>
      <c r="I55" s="13"/>
      <c r="J55" s="11"/>
      <c r="K55" s="15" t="s">
        <v>475</v>
      </c>
      <c r="L55" s="11" t="s">
        <v>476</v>
      </c>
      <c r="M55" s="13"/>
      <c r="N55" s="13"/>
      <c r="O55" s="13"/>
      <c r="P55" s="11"/>
      <c r="Q55" s="13"/>
      <c r="R55" s="13"/>
    </row>
    <row r="56" customHeight="1" spans="11:12">
      <c r="K56" s="16" t="s">
        <v>477</v>
      </c>
      <c r="L56" s="1" t="s">
        <v>478</v>
      </c>
    </row>
    <row r="57" customHeight="1" spans="11:12">
      <c r="K57" s="16" t="s">
        <v>479</v>
      </c>
      <c r="L57" s="1" t="s">
        <v>480</v>
      </c>
    </row>
    <row r="58" customHeight="1" spans="11:12">
      <c r="K58" s="16" t="s">
        <v>481</v>
      </c>
      <c r="L58" s="1" t="s">
        <v>482</v>
      </c>
    </row>
    <row r="59" customHeight="1" spans="11:12">
      <c r="K59" s="16" t="s">
        <v>483</v>
      </c>
      <c r="L59" s="1" t="s">
        <v>484</v>
      </c>
    </row>
    <row r="60" customHeight="1" spans="11:12">
      <c r="K60" s="16" t="s">
        <v>485</v>
      </c>
      <c r="L60" s="1" t="s">
        <v>486</v>
      </c>
    </row>
    <row r="61" customHeight="1" spans="11:12">
      <c r="K61" s="16" t="s">
        <v>487</v>
      </c>
      <c r="L61" s="1" t="s">
        <v>488</v>
      </c>
    </row>
    <row r="62" customHeight="1" spans="11:12">
      <c r="K62" s="16" t="s">
        <v>489</v>
      </c>
      <c r="L62" s="1" t="s">
        <v>490</v>
      </c>
    </row>
    <row r="63" customHeight="1" spans="11:12">
      <c r="K63" s="16" t="s">
        <v>491</v>
      </c>
      <c r="L63" s="1" t="s">
        <v>492</v>
      </c>
    </row>
    <row r="64" customHeight="1" spans="11:12">
      <c r="K64" s="16" t="s">
        <v>493</v>
      </c>
      <c r="L64" s="1" t="s">
        <v>494</v>
      </c>
    </row>
    <row r="65" customHeight="1" spans="11:12">
      <c r="K65" s="16" t="s">
        <v>495</v>
      </c>
      <c r="L65" s="1" t="s">
        <v>496</v>
      </c>
    </row>
    <row r="66" customHeight="1" spans="11:12">
      <c r="K66" s="16" t="s">
        <v>497</v>
      </c>
      <c r="L66" s="1" t="s">
        <v>498</v>
      </c>
    </row>
    <row r="67" customHeight="1" spans="11:12">
      <c r="K67" s="16" t="s">
        <v>499</v>
      </c>
      <c r="L67" s="1" t="s">
        <v>500</v>
      </c>
    </row>
    <row r="68" customHeight="1" spans="11:12">
      <c r="K68" s="16" t="s">
        <v>501</v>
      </c>
      <c r="L68" s="1" t="s">
        <v>502</v>
      </c>
    </row>
    <row r="69" customHeight="1" spans="11:12">
      <c r="K69" s="16" t="s">
        <v>503</v>
      </c>
      <c r="L69" s="1" t="s">
        <v>504</v>
      </c>
    </row>
    <row r="70" customHeight="1" spans="11:12">
      <c r="K70" s="16" t="s">
        <v>505</v>
      </c>
      <c r="L70" s="1" t="s">
        <v>506</v>
      </c>
    </row>
    <row r="71" customHeight="1" spans="11:12">
      <c r="K71" s="16" t="s">
        <v>507</v>
      </c>
      <c r="L71" s="1" t="s">
        <v>508</v>
      </c>
    </row>
    <row r="72" customHeight="1" spans="11:12">
      <c r="K72" s="16" t="s">
        <v>509</v>
      </c>
      <c r="L72" s="1" t="s">
        <v>510</v>
      </c>
    </row>
    <row r="73" customHeight="1" spans="11:12">
      <c r="K73" s="16" t="s">
        <v>511</v>
      </c>
      <c r="L73" s="1" t="s">
        <v>512</v>
      </c>
    </row>
    <row r="74" customHeight="1" spans="11:12">
      <c r="K74" s="16" t="s">
        <v>513</v>
      </c>
      <c r="L74" s="1" t="s">
        <v>514</v>
      </c>
    </row>
    <row r="75" customHeight="1" spans="11:12">
      <c r="K75" s="16" t="s">
        <v>515</v>
      </c>
      <c r="L75" s="1" t="s">
        <v>516</v>
      </c>
    </row>
    <row r="76" customHeight="1" spans="11:12">
      <c r="K76" s="16" t="s">
        <v>517</v>
      </c>
      <c r="L76" s="1" t="s">
        <v>518</v>
      </c>
    </row>
    <row r="77" customHeight="1" spans="11:12">
      <c r="K77" s="16" t="s">
        <v>519</v>
      </c>
      <c r="L77" s="1" t="s">
        <v>520</v>
      </c>
    </row>
    <row r="78" customHeight="1" spans="11:12">
      <c r="K78" s="16" t="s">
        <v>521</v>
      </c>
      <c r="L78" s="1" t="s">
        <v>522</v>
      </c>
    </row>
    <row r="79" customHeight="1" spans="11:12">
      <c r="K79" s="16" t="s">
        <v>523</v>
      </c>
      <c r="L79" s="1" t="s">
        <v>524</v>
      </c>
    </row>
    <row r="80" customHeight="1" spans="11:12">
      <c r="K80" s="16" t="s">
        <v>525</v>
      </c>
      <c r="L80" s="1" t="s">
        <v>526</v>
      </c>
    </row>
    <row r="81" customHeight="1" spans="11:12">
      <c r="K81" s="16" t="s">
        <v>527</v>
      </c>
      <c r="L81" s="1" t="s">
        <v>528</v>
      </c>
    </row>
    <row r="82" customHeight="1" spans="11:12">
      <c r="K82" s="16" t="s">
        <v>529</v>
      </c>
      <c r="L82" s="1" t="s">
        <v>530</v>
      </c>
    </row>
    <row r="83" customHeight="1" spans="11:12">
      <c r="K83" s="16" t="s">
        <v>531</v>
      </c>
      <c r="L83" s="1" t="s">
        <v>532</v>
      </c>
    </row>
    <row r="84" customHeight="1" spans="11:12">
      <c r="K84" s="16" t="s">
        <v>533</v>
      </c>
      <c r="L84" s="1" t="s">
        <v>534</v>
      </c>
    </row>
    <row r="85" customHeight="1" spans="11:12">
      <c r="K85" s="16" t="s">
        <v>535</v>
      </c>
      <c r="L85" s="1" t="s">
        <v>536</v>
      </c>
    </row>
    <row r="86" customHeight="1" spans="11:12">
      <c r="K86" s="16" t="s">
        <v>537</v>
      </c>
      <c r="L86" s="1" t="s">
        <v>538</v>
      </c>
    </row>
    <row r="87" customHeight="1" spans="11:12">
      <c r="K87" s="16" t="s">
        <v>539</v>
      </c>
      <c r="L87" s="1" t="s">
        <v>540</v>
      </c>
    </row>
    <row r="88" customHeight="1" spans="11:12">
      <c r="K88" s="16" t="s">
        <v>541</v>
      </c>
      <c r="L88" s="1" t="s">
        <v>542</v>
      </c>
    </row>
    <row r="89" customHeight="1" spans="11:12">
      <c r="K89" s="16" t="s">
        <v>543</v>
      </c>
      <c r="L89" s="1" t="s">
        <v>544</v>
      </c>
    </row>
    <row r="90" customHeight="1" spans="11:12">
      <c r="K90" s="16" t="s">
        <v>545</v>
      </c>
      <c r="L90" s="1" t="s">
        <v>546</v>
      </c>
    </row>
    <row r="91" customHeight="1" spans="11:12">
      <c r="K91" s="16" t="s">
        <v>547</v>
      </c>
      <c r="L91" s="1" t="s">
        <v>548</v>
      </c>
    </row>
    <row r="92" customHeight="1" spans="11:12">
      <c r="K92" s="16" t="s">
        <v>549</v>
      </c>
      <c r="L92" s="1" t="s">
        <v>550</v>
      </c>
    </row>
    <row r="93" customHeight="1" spans="11:12">
      <c r="K93" s="16" t="s">
        <v>551</v>
      </c>
      <c r="L93" s="1" t="s">
        <v>552</v>
      </c>
    </row>
    <row r="94" customHeight="1" spans="11:12">
      <c r="K94" s="16" t="s">
        <v>553</v>
      </c>
      <c r="L94" s="1" t="s">
        <v>554</v>
      </c>
    </row>
    <row r="95" customHeight="1" spans="11:12">
      <c r="K95" s="16" t="s">
        <v>555</v>
      </c>
      <c r="L95" s="1" t="s">
        <v>556</v>
      </c>
    </row>
    <row r="96" customHeight="1" spans="11:12">
      <c r="K96" s="16" t="s">
        <v>557</v>
      </c>
      <c r="L96" s="1" t="s">
        <v>558</v>
      </c>
    </row>
    <row r="97" customHeight="1" spans="11:12">
      <c r="K97" s="16" t="s">
        <v>559</v>
      </c>
      <c r="L97" s="1" t="s">
        <v>560</v>
      </c>
    </row>
    <row r="98" customHeight="1" spans="11:12">
      <c r="K98" s="16" t="s">
        <v>561</v>
      </c>
      <c r="L98" s="1" t="s">
        <v>562</v>
      </c>
    </row>
    <row r="99" customHeight="1" spans="11:12">
      <c r="K99" s="16" t="s">
        <v>563</v>
      </c>
      <c r="L99" s="1" t="s">
        <v>564</v>
      </c>
    </row>
    <row r="100" customHeight="1" spans="11:12">
      <c r="K100" s="16" t="s">
        <v>565</v>
      </c>
      <c r="L100" s="1" t="s">
        <v>566</v>
      </c>
    </row>
    <row r="101" customHeight="1" spans="11:12">
      <c r="K101" s="16" t="s">
        <v>567</v>
      </c>
      <c r="L101" s="1" t="s">
        <v>568</v>
      </c>
    </row>
    <row r="102" customHeight="1" spans="11:12">
      <c r="K102" s="16" t="s">
        <v>569</v>
      </c>
      <c r="L102" s="1" t="s">
        <v>570</v>
      </c>
    </row>
    <row r="103" customHeight="1" spans="11:12">
      <c r="K103" s="16" t="s">
        <v>571</v>
      </c>
      <c r="L103" s="1" t="s">
        <v>572</v>
      </c>
    </row>
    <row r="104" customHeight="1" spans="11:12">
      <c r="K104" s="16" t="s">
        <v>573</v>
      </c>
      <c r="L104" s="1" t="s">
        <v>574</v>
      </c>
    </row>
    <row r="105" customHeight="1" spans="11:12">
      <c r="K105" s="16" t="s">
        <v>575</v>
      </c>
      <c r="L105" s="1" t="s">
        <v>576</v>
      </c>
    </row>
    <row r="106" customHeight="1" spans="11:12">
      <c r="K106" s="16" t="s">
        <v>577</v>
      </c>
      <c r="L106" s="1" t="s">
        <v>578</v>
      </c>
    </row>
    <row r="107" customHeight="1" spans="11:12">
      <c r="K107" s="16" t="s">
        <v>579</v>
      </c>
      <c r="L107" s="1" t="s">
        <v>580</v>
      </c>
    </row>
    <row r="108" customHeight="1" spans="11:12">
      <c r="K108" s="16" t="s">
        <v>581</v>
      </c>
      <c r="L108" s="1" t="s">
        <v>582</v>
      </c>
    </row>
    <row r="109" customHeight="1" spans="11:12">
      <c r="K109" s="16" t="s">
        <v>583</v>
      </c>
      <c r="L109" s="1" t="s">
        <v>584</v>
      </c>
    </row>
    <row r="110" customHeight="1" spans="11:12">
      <c r="K110" s="16" t="s">
        <v>585</v>
      </c>
      <c r="L110" s="1" t="s">
        <v>586</v>
      </c>
    </row>
    <row r="111" customHeight="1" spans="11:12">
      <c r="K111" s="16" t="s">
        <v>587</v>
      </c>
      <c r="L111" s="1" t="s">
        <v>588</v>
      </c>
    </row>
    <row r="112" customHeight="1" spans="11:12">
      <c r="K112" s="16" t="s">
        <v>589</v>
      </c>
      <c r="L112" s="1" t="s">
        <v>590</v>
      </c>
    </row>
    <row r="113" customHeight="1" spans="11:12">
      <c r="K113" s="16" t="s">
        <v>591</v>
      </c>
      <c r="L113" s="1" t="s">
        <v>592</v>
      </c>
    </row>
    <row r="114" customHeight="1" spans="11:12">
      <c r="K114" s="16" t="s">
        <v>593</v>
      </c>
      <c r="L114" s="1" t="s">
        <v>594</v>
      </c>
    </row>
    <row r="115" customHeight="1" spans="11:12">
      <c r="K115" s="16" t="s">
        <v>595</v>
      </c>
      <c r="L115" s="1" t="s">
        <v>596</v>
      </c>
    </row>
    <row r="116" customHeight="1" spans="11:12">
      <c r="K116" s="16" t="s">
        <v>597</v>
      </c>
      <c r="L116" s="1" t="s">
        <v>598</v>
      </c>
    </row>
    <row r="117" customHeight="1" spans="11:12">
      <c r="K117" s="16" t="s">
        <v>599</v>
      </c>
      <c r="L117" s="1" t="s">
        <v>600</v>
      </c>
    </row>
    <row r="118" customHeight="1" spans="11:12">
      <c r="K118" s="16" t="s">
        <v>601</v>
      </c>
      <c r="L118" s="1" t="s">
        <v>602</v>
      </c>
    </row>
    <row r="119" customHeight="1" spans="11:12">
      <c r="K119" s="16" t="s">
        <v>603</v>
      </c>
      <c r="L119" s="1" t="s">
        <v>604</v>
      </c>
    </row>
    <row r="120" customHeight="1" spans="11:12">
      <c r="K120" s="16" t="s">
        <v>605</v>
      </c>
      <c r="L120" s="1" t="s">
        <v>606</v>
      </c>
    </row>
    <row r="121" customHeight="1" spans="11:12">
      <c r="K121" s="16" t="s">
        <v>607</v>
      </c>
      <c r="L121" s="1" t="s">
        <v>608</v>
      </c>
    </row>
    <row r="122" customHeight="1" spans="11:12">
      <c r="K122" s="16" t="s">
        <v>609</v>
      </c>
      <c r="L122" s="1" t="s">
        <v>610</v>
      </c>
    </row>
    <row r="123" customHeight="1" spans="11:12">
      <c r="K123" s="16" t="s">
        <v>611</v>
      </c>
      <c r="L123" s="1" t="s">
        <v>612</v>
      </c>
    </row>
    <row r="124" customHeight="1" spans="11:12">
      <c r="K124" s="16" t="s">
        <v>613</v>
      </c>
      <c r="L124" s="1" t="s">
        <v>614</v>
      </c>
    </row>
    <row r="125" customHeight="1" spans="11:12">
      <c r="K125" s="16" t="s">
        <v>615</v>
      </c>
      <c r="L125" s="1" t="s">
        <v>616</v>
      </c>
    </row>
    <row r="126" customHeight="1" spans="11:12">
      <c r="K126" s="16" t="s">
        <v>617</v>
      </c>
      <c r="L126" s="1" t="s">
        <v>618</v>
      </c>
    </row>
    <row r="127" customHeight="1" spans="11:12">
      <c r="K127" s="16" t="s">
        <v>619</v>
      </c>
      <c r="L127" s="1" t="s">
        <v>620</v>
      </c>
    </row>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8" master="" otherUserPermission="visible"/>
  <rangeList sheetStid="14" master="" otherUserPermission="visible"/>
  <rangeList sheetStid="3" master="" otherUserPermission="visible"/>
</allowEditUser>
</file>

<file path=customXml/item2.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市场调研</vt:lpstr>
      <vt:lpstr>Sheet1</vt:lpstr>
      <vt:lpst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自己的文件存本地</cp:lastModifiedBy>
  <dcterms:created xsi:type="dcterms:W3CDTF">2024-03-20T23:38:00Z</dcterms:created>
  <dcterms:modified xsi:type="dcterms:W3CDTF">2024-12-12T09:04:05Z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8B1CFE7D48A44558B44D40E63BF96D81_13</vt:lpwstr>
  </property>
</Properties>
</file>